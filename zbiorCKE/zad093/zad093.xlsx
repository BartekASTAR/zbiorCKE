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artl\PycharmProjects\zbiorCKE\zbiorCKE\zad093\"/>
    </mc:Choice>
  </mc:AlternateContent>
  <xr:revisionPtr revIDLastSave="0" documentId="13_ncr:1_{BC9A6029-5BE4-4383-ACAE-E449D28D35ED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dane" sheetId="2" r:id="rId1"/>
    <sheet name="93.1" sheetId="3" r:id="rId2"/>
    <sheet name="93.2" sheetId="4" r:id="rId3"/>
    <sheet name="93.3" sheetId="6" r:id="rId4"/>
    <sheet name="93.4" sheetId="7" r:id="rId5"/>
    <sheet name="93.5" sheetId="8" r:id="rId6"/>
  </sheets>
  <calcPr calcId="191029"/>
  <pivotCaches>
    <pivotCache cacheId="5" r:id="rId7"/>
    <pivotCache cacheId="13" r:id="rId8"/>
    <pivotCache cacheId="21" r:id="rId9"/>
    <pivotCache cacheId="25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2" i="6"/>
  <c r="M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J754" i="8"/>
  <c r="J755" i="8"/>
  <c r="J756" i="8"/>
  <c r="J757" i="8"/>
  <c r="J758" i="8"/>
  <c r="J759" i="8"/>
  <c r="J760" i="8"/>
  <c r="J761" i="8"/>
  <c r="J762" i="8"/>
  <c r="J763" i="8"/>
  <c r="J764" i="8"/>
  <c r="J765" i="8"/>
  <c r="J766" i="8"/>
  <c r="J767" i="8"/>
  <c r="J768" i="8"/>
  <c r="J769" i="8"/>
  <c r="J770" i="8"/>
  <c r="J771" i="8"/>
  <c r="J772" i="8"/>
  <c r="J773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841" i="8"/>
  <c r="J842" i="8"/>
  <c r="J843" i="8"/>
  <c r="J844" i="8"/>
  <c r="J845" i="8"/>
  <c r="J846" i="8"/>
  <c r="J847" i="8"/>
  <c r="J848" i="8"/>
  <c r="J849" i="8"/>
  <c r="J850" i="8"/>
  <c r="J851" i="8"/>
  <c r="J852" i="8"/>
  <c r="J853" i="8"/>
  <c r="J854" i="8"/>
  <c r="J855" i="8"/>
  <c r="J856" i="8"/>
  <c r="J857" i="8"/>
  <c r="J858" i="8"/>
  <c r="J859" i="8"/>
  <c r="J860" i="8"/>
  <c r="J861" i="8"/>
  <c r="J862" i="8"/>
  <c r="J863" i="8"/>
  <c r="J864" i="8"/>
  <c r="J865" i="8"/>
  <c r="J866" i="8"/>
  <c r="J867" i="8"/>
  <c r="J868" i="8"/>
  <c r="J869" i="8"/>
  <c r="J870" i="8"/>
  <c r="J871" i="8"/>
  <c r="J872" i="8"/>
  <c r="J873" i="8"/>
  <c r="J874" i="8"/>
  <c r="J875" i="8"/>
  <c r="J876" i="8"/>
  <c r="J877" i="8"/>
  <c r="J878" i="8"/>
  <c r="J879" i="8"/>
  <c r="J880" i="8"/>
  <c r="J881" i="8"/>
  <c r="J882" i="8"/>
  <c r="J883" i="8"/>
  <c r="J884" i="8"/>
  <c r="J885" i="8"/>
  <c r="J886" i="8"/>
  <c r="J887" i="8"/>
  <c r="J888" i="8"/>
  <c r="J889" i="8"/>
  <c r="J890" i="8"/>
  <c r="J891" i="8"/>
  <c r="J892" i="8"/>
  <c r="J893" i="8"/>
  <c r="J894" i="8"/>
  <c r="J895" i="8"/>
  <c r="J896" i="8"/>
  <c r="J897" i="8"/>
  <c r="J898" i="8"/>
  <c r="J899" i="8"/>
  <c r="J900" i="8"/>
  <c r="J901" i="8"/>
  <c r="J902" i="8"/>
  <c r="J903" i="8"/>
  <c r="J904" i="8"/>
  <c r="J905" i="8"/>
  <c r="J906" i="8"/>
  <c r="J907" i="8"/>
  <c r="J908" i="8"/>
  <c r="J909" i="8"/>
  <c r="J910" i="8"/>
  <c r="J911" i="8"/>
  <c r="J912" i="8"/>
  <c r="J913" i="8"/>
  <c r="J914" i="8"/>
  <c r="J915" i="8"/>
  <c r="J916" i="8"/>
  <c r="J917" i="8"/>
  <c r="J918" i="8"/>
  <c r="J919" i="8"/>
  <c r="J920" i="8"/>
  <c r="J921" i="8"/>
  <c r="J922" i="8"/>
  <c r="J923" i="8"/>
  <c r="J924" i="8"/>
  <c r="J925" i="8"/>
  <c r="J926" i="8"/>
  <c r="J927" i="8"/>
  <c r="J928" i="8"/>
  <c r="J929" i="8"/>
  <c r="J930" i="8"/>
  <c r="J931" i="8"/>
  <c r="J932" i="8"/>
  <c r="J933" i="8"/>
  <c r="J934" i="8"/>
  <c r="J935" i="8"/>
  <c r="J936" i="8"/>
  <c r="J937" i="8"/>
  <c r="J938" i="8"/>
  <c r="J939" i="8"/>
  <c r="J940" i="8"/>
  <c r="J941" i="8"/>
  <c r="J942" i="8"/>
  <c r="J943" i="8"/>
  <c r="J944" i="8"/>
  <c r="J945" i="8"/>
  <c r="J946" i="8"/>
  <c r="J947" i="8"/>
  <c r="J948" i="8"/>
  <c r="J949" i="8"/>
  <c r="J950" i="8"/>
  <c r="J951" i="8"/>
  <c r="J952" i="8"/>
  <c r="J953" i="8"/>
  <c r="J954" i="8"/>
  <c r="J955" i="8"/>
  <c r="J956" i="8"/>
  <c r="J957" i="8"/>
  <c r="J958" i="8"/>
  <c r="J959" i="8"/>
  <c r="J960" i="8"/>
  <c r="J961" i="8"/>
  <c r="J962" i="8"/>
  <c r="J963" i="8"/>
  <c r="J964" i="8"/>
  <c r="J965" i="8"/>
  <c r="J966" i="8"/>
  <c r="J967" i="8"/>
  <c r="J968" i="8"/>
  <c r="J969" i="8"/>
  <c r="J970" i="8"/>
  <c r="J971" i="8"/>
  <c r="J972" i="8"/>
  <c r="J973" i="8"/>
  <c r="J974" i="8"/>
  <c r="J975" i="8"/>
  <c r="J976" i="8"/>
  <c r="J977" i="8"/>
  <c r="J978" i="8"/>
  <c r="J979" i="8"/>
  <c r="J980" i="8"/>
  <c r="J981" i="8"/>
  <c r="J982" i="8"/>
  <c r="J983" i="8"/>
  <c r="J984" i="8"/>
  <c r="J985" i="8"/>
  <c r="J986" i="8"/>
  <c r="J987" i="8"/>
  <c r="J988" i="8"/>
  <c r="J989" i="8"/>
  <c r="J990" i="8"/>
  <c r="J991" i="8"/>
  <c r="J992" i="8"/>
  <c r="J993" i="8"/>
  <c r="J994" i="8"/>
  <c r="J995" i="8"/>
  <c r="J996" i="8"/>
  <c r="J997" i="8"/>
  <c r="J998" i="8"/>
  <c r="J999" i="8"/>
  <c r="J1000" i="8"/>
  <c r="J1001" i="8"/>
  <c r="J2" i="8"/>
  <c r="K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2" i="8"/>
  <c r="H1001" i="8"/>
  <c r="G1001" i="8"/>
  <c r="H1000" i="8"/>
  <c r="G1000" i="8"/>
  <c r="H999" i="8"/>
  <c r="G999" i="8"/>
  <c r="H998" i="8"/>
  <c r="G998" i="8"/>
  <c r="H997" i="8"/>
  <c r="G997" i="8"/>
  <c r="H996" i="8"/>
  <c r="G996" i="8"/>
  <c r="H995" i="8"/>
  <c r="G995" i="8"/>
  <c r="H994" i="8"/>
  <c r="G994" i="8"/>
  <c r="H993" i="8"/>
  <c r="G993" i="8"/>
  <c r="H992" i="8"/>
  <c r="G992" i="8"/>
  <c r="H991" i="8"/>
  <c r="G991" i="8"/>
  <c r="H990" i="8"/>
  <c r="G990" i="8"/>
  <c r="H989" i="8"/>
  <c r="G989" i="8"/>
  <c r="H988" i="8"/>
  <c r="G988" i="8"/>
  <c r="H987" i="8"/>
  <c r="G987" i="8"/>
  <c r="H986" i="8"/>
  <c r="G986" i="8"/>
  <c r="H985" i="8"/>
  <c r="G985" i="8"/>
  <c r="H984" i="8"/>
  <c r="G984" i="8"/>
  <c r="H983" i="8"/>
  <c r="G983" i="8"/>
  <c r="H982" i="8"/>
  <c r="G982" i="8"/>
  <c r="H981" i="8"/>
  <c r="G981" i="8"/>
  <c r="H980" i="8"/>
  <c r="G980" i="8"/>
  <c r="H979" i="8"/>
  <c r="G979" i="8"/>
  <c r="H978" i="8"/>
  <c r="G978" i="8"/>
  <c r="H977" i="8"/>
  <c r="G977" i="8"/>
  <c r="H976" i="8"/>
  <c r="G976" i="8"/>
  <c r="H975" i="8"/>
  <c r="G975" i="8"/>
  <c r="H974" i="8"/>
  <c r="G974" i="8"/>
  <c r="H973" i="8"/>
  <c r="G973" i="8"/>
  <c r="H972" i="8"/>
  <c r="G972" i="8"/>
  <c r="H971" i="8"/>
  <c r="G971" i="8"/>
  <c r="H970" i="8"/>
  <c r="G970" i="8"/>
  <c r="H969" i="8"/>
  <c r="G969" i="8"/>
  <c r="H968" i="8"/>
  <c r="G968" i="8"/>
  <c r="H967" i="8"/>
  <c r="G967" i="8"/>
  <c r="H966" i="8"/>
  <c r="G966" i="8"/>
  <c r="H965" i="8"/>
  <c r="G965" i="8"/>
  <c r="H964" i="8"/>
  <c r="G964" i="8"/>
  <c r="H963" i="8"/>
  <c r="G963" i="8"/>
  <c r="H962" i="8"/>
  <c r="G962" i="8"/>
  <c r="H961" i="8"/>
  <c r="G961" i="8"/>
  <c r="H960" i="8"/>
  <c r="G960" i="8"/>
  <c r="H959" i="8"/>
  <c r="G959" i="8"/>
  <c r="H958" i="8"/>
  <c r="G958" i="8"/>
  <c r="H957" i="8"/>
  <c r="G957" i="8"/>
  <c r="H956" i="8"/>
  <c r="G956" i="8"/>
  <c r="H955" i="8"/>
  <c r="G955" i="8"/>
  <c r="H954" i="8"/>
  <c r="G954" i="8"/>
  <c r="H953" i="8"/>
  <c r="G953" i="8"/>
  <c r="H952" i="8"/>
  <c r="G952" i="8"/>
  <c r="H951" i="8"/>
  <c r="G951" i="8"/>
  <c r="H950" i="8"/>
  <c r="G950" i="8"/>
  <c r="H949" i="8"/>
  <c r="G949" i="8"/>
  <c r="H948" i="8"/>
  <c r="G948" i="8"/>
  <c r="H947" i="8"/>
  <c r="G947" i="8"/>
  <c r="H946" i="8"/>
  <c r="G946" i="8"/>
  <c r="H945" i="8"/>
  <c r="G945" i="8"/>
  <c r="H944" i="8"/>
  <c r="G944" i="8"/>
  <c r="H943" i="8"/>
  <c r="G943" i="8"/>
  <c r="H942" i="8"/>
  <c r="G942" i="8"/>
  <c r="H941" i="8"/>
  <c r="G941" i="8"/>
  <c r="H940" i="8"/>
  <c r="G940" i="8"/>
  <c r="H939" i="8"/>
  <c r="G939" i="8"/>
  <c r="H938" i="8"/>
  <c r="G938" i="8"/>
  <c r="H937" i="8"/>
  <c r="G937" i="8"/>
  <c r="H936" i="8"/>
  <c r="G936" i="8"/>
  <c r="H935" i="8"/>
  <c r="G935" i="8"/>
  <c r="H934" i="8"/>
  <c r="G934" i="8"/>
  <c r="H933" i="8"/>
  <c r="G933" i="8"/>
  <c r="H932" i="8"/>
  <c r="G932" i="8"/>
  <c r="H931" i="8"/>
  <c r="G931" i="8"/>
  <c r="H930" i="8"/>
  <c r="G930" i="8"/>
  <c r="H929" i="8"/>
  <c r="G929" i="8"/>
  <c r="H928" i="8"/>
  <c r="G928" i="8"/>
  <c r="H927" i="8"/>
  <c r="G927" i="8"/>
  <c r="H926" i="8"/>
  <c r="G926" i="8"/>
  <c r="H925" i="8"/>
  <c r="G925" i="8"/>
  <c r="H924" i="8"/>
  <c r="G924" i="8"/>
  <c r="H923" i="8"/>
  <c r="G923" i="8"/>
  <c r="H922" i="8"/>
  <c r="G922" i="8"/>
  <c r="H921" i="8"/>
  <c r="G921" i="8"/>
  <c r="H920" i="8"/>
  <c r="G920" i="8"/>
  <c r="H919" i="8"/>
  <c r="G919" i="8"/>
  <c r="H918" i="8"/>
  <c r="G918" i="8"/>
  <c r="H917" i="8"/>
  <c r="G917" i="8"/>
  <c r="H916" i="8"/>
  <c r="G916" i="8"/>
  <c r="H915" i="8"/>
  <c r="G915" i="8"/>
  <c r="H914" i="8"/>
  <c r="G914" i="8"/>
  <c r="H913" i="8"/>
  <c r="G913" i="8"/>
  <c r="H912" i="8"/>
  <c r="G912" i="8"/>
  <c r="H911" i="8"/>
  <c r="G911" i="8"/>
  <c r="H910" i="8"/>
  <c r="G910" i="8"/>
  <c r="H909" i="8"/>
  <c r="G909" i="8"/>
  <c r="H908" i="8"/>
  <c r="G908" i="8"/>
  <c r="H907" i="8"/>
  <c r="G907" i="8"/>
  <c r="H906" i="8"/>
  <c r="G906" i="8"/>
  <c r="H905" i="8"/>
  <c r="G905" i="8"/>
  <c r="H904" i="8"/>
  <c r="G904" i="8"/>
  <c r="H903" i="8"/>
  <c r="G903" i="8"/>
  <c r="H902" i="8"/>
  <c r="G902" i="8"/>
  <c r="H901" i="8"/>
  <c r="G901" i="8"/>
  <c r="H900" i="8"/>
  <c r="G900" i="8"/>
  <c r="H899" i="8"/>
  <c r="G899" i="8"/>
  <c r="H898" i="8"/>
  <c r="G898" i="8"/>
  <c r="H897" i="8"/>
  <c r="G897" i="8"/>
  <c r="H896" i="8"/>
  <c r="G896" i="8"/>
  <c r="H895" i="8"/>
  <c r="G895" i="8"/>
  <c r="H894" i="8"/>
  <c r="G894" i="8"/>
  <c r="H893" i="8"/>
  <c r="G893" i="8"/>
  <c r="H892" i="8"/>
  <c r="G892" i="8"/>
  <c r="H891" i="8"/>
  <c r="G891" i="8"/>
  <c r="H890" i="8"/>
  <c r="G890" i="8"/>
  <c r="H889" i="8"/>
  <c r="G889" i="8"/>
  <c r="H888" i="8"/>
  <c r="G888" i="8"/>
  <c r="H887" i="8"/>
  <c r="G887" i="8"/>
  <c r="H886" i="8"/>
  <c r="G886" i="8"/>
  <c r="H885" i="8"/>
  <c r="G885" i="8"/>
  <c r="H884" i="8"/>
  <c r="G884" i="8"/>
  <c r="H883" i="8"/>
  <c r="G883" i="8"/>
  <c r="H882" i="8"/>
  <c r="G882" i="8"/>
  <c r="H881" i="8"/>
  <c r="G881" i="8"/>
  <c r="H880" i="8"/>
  <c r="G880" i="8"/>
  <c r="H879" i="8"/>
  <c r="G879" i="8"/>
  <c r="H878" i="8"/>
  <c r="G878" i="8"/>
  <c r="H877" i="8"/>
  <c r="G877" i="8"/>
  <c r="H876" i="8"/>
  <c r="G876" i="8"/>
  <c r="H875" i="8"/>
  <c r="G875" i="8"/>
  <c r="H874" i="8"/>
  <c r="G874" i="8"/>
  <c r="H873" i="8"/>
  <c r="G873" i="8"/>
  <c r="H872" i="8"/>
  <c r="G872" i="8"/>
  <c r="H871" i="8"/>
  <c r="G871" i="8"/>
  <c r="H870" i="8"/>
  <c r="G870" i="8"/>
  <c r="H869" i="8"/>
  <c r="G869" i="8"/>
  <c r="H868" i="8"/>
  <c r="G868" i="8"/>
  <c r="H867" i="8"/>
  <c r="G867" i="8"/>
  <c r="H866" i="8"/>
  <c r="G866" i="8"/>
  <c r="H865" i="8"/>
  <c r="G865" i="8"/>
  <c r="H864" i="8"/>
  <c r="G864" i="8"/>
  <c r="H863" i="8"/>
  <c r="G863" i="8"/>
  <c r="H862" i="8"/>
  <c r="G862" i="8"/>
  <c r="H861" i="8"/>
  <c r="G861" i="8"/>
  <c r="H860" i="8"/>
  <c r="G860" i="8"/>
  <c r="H859" i="8"/>
  <c r="G859" i="8"/>
  <c r="H858" i="8"/>
  <c r="G858" i="8"/>
  <c r="H857" i="8"/>
  <c r="G857" i="8"/>
  <c r="H856" i="8"/>
  <c r="G856" i="8"/>
  <c r="H855" i="8"/>
  <c r="G855" i="8"/>
  <c r="H854" i="8"/>
  <c r="G854" i="8"/>
  <c r="H853" i="8"/>
  <c r="G853" i="8"/>
  <c r="H852" i="8"/>
  <c r="G852" i="8"/>
  <c r="H851" i="8"/>
  <c r="G851" i="8"/>
  <c r="H850" i="8"/>
  <c r="G850" i="8"/>
  <c r="H849" i="8"/>
  <c r="G849" i="8"/>
  <c r="H848" i="8"/>
  <c r="G848" i="8"/>
  <c r="H847" i="8"/>
  <c r="G847" i="8"/>
  <c r="H846" i="8"/>
  <c r="G846" i="8"/>
  <c r="H845" i="8"/>
  <c r="G845" i="8"/>
  <c r="H844" i="8"/>
  <c r="G844" i="8"/>
  <c r="H843" i="8"/>
  <c r="G843" i="8"/>
  <c r="H842" i="8"/>
  <c r="G842" i="8"/>
  <c r="H841" i="8"/>
  <c r="G841" i="8"/>
  <c r="H840" i="8"/>
  <c r="G840" i="8"/>
  <c r="H839" i="8"/>
  <c r="G839" i="8"/>
  <c r="H838" i="8"/>
  <c r="G838" i="8"/>
  <c r="H837" i="8"/>
  <c r="G837" i="8"/>
  <c r="H836" i="8"/>
  <c r="G836" i="8"/>
  <c r="H835" i="8"/>
  <c r="G835" i="8"/>
  <c r="H834" i="8"/>
  <c r="G834" i="8"/>
  <c r="H833" i="8"/>
  <c r="G833" i="8"/>
  <c r="H832" i="8"/>
  <c r="G832" i="8"/>
  <c r="H831" i="8"/>
  <c r="G831" i="8"/>
  <c r="H830" i="8"/>
  <c r="G830" i="8"/>
  <c r="H829" i="8"/>
  <c r="G829" i="8"/>
  <c r="H828" i="8"/>
  <c r="G828" i="8"/>
  <c r="H827" i="8"/>
  <c r="G827" i="8"/>
  <c r="H826" i="8"/>
  <c r="G826" i="8"/>
  <c r="H825" i="8"/>
  <c r="G825" i="8"/>
  <c r="H824" i="8"/>
  <c r="G824" i="8"/>
  <c r="H823" i="8"/>
  <c r="G823" i="8"/>
  <c r="H822" i="8"/>
  <c r="G822" i="8"/>
  <c r="H821" i="8"/>
  <c r="G821" i="8"/>
  <c r="H820" i="8"/>
  <c r="G820" i="8"/>
  <c r="H819" i="8"/>
  <c r="G819" i="8"/>
  <c r="H818" i="8"/>
  <c r="G818" i="8"/>
  <c r="H817" i="8"/>
  <c r="G817" i="8"/>
  <c r="H816" i="8"/>
  <c r="G816" i="8"/>
  <c r="H815" i="8"/>
  <c r="G815" i="8"/>
  <c r="H814" i="8"/>
  <c r="G814" i="8"/>
  <c r="H813" i="8"/>
  <c r="G813" i="8"/>
  <c r="H812" i="8"/>
  <c r="G812" i="8"/>
  <c r="H811" i="8"/>
  <c r="G811" i="8"/>
  <c r="H810" i="8"/>
  <c r="G810" i="8"/>
  <c r="H809" i="8"/>
  <c r="G809" i="8"/>
  <c r="H808" i="8"/>
  <c r="G808" i="8"/>
  <c r="H807" i="8"/>
  <c r="G807" i="8"/>
  <c r="H806" i="8"/>
  <c r="G806" i="8"/>
  <c r="H805" i="8"/>
  <c r="G805" i="8"/>
  <c r="H804" i="8"/>
  <c r="G804" i="8"/>
  <c r="H803" i="8"/>
  <c r="G803" i="8"/>
  <c r="H802" i="8"/>
  <c r="G802" i="8"/>
  <c r="H801" i="8"/>
  <c r="G801" i="8"/>
  <c r="H800" i="8"/>
  <c r="G800" i="8"/>
  <c r="H799" i="8"/>
  <c r="G799" i="8"/>
  <c r="H798" i="8"/>
  <c r="G798" i="8"/>
  <c r="H797" i="8"/>
  <c r="G797" i="8"/>
  <c r="H796" i="8"/>
  <c r="G796" i="8"/>
  <c r="H795" i="8"/>
  <c r="G795" i="8"/>
  <c r="H794" i="8"/>
  <c r="G794" i="8"/>
  <c r="H793" i="8"/>
  <c r="G793" i="8"/>
  <c r="H792" i="8"/>
  <c r="G792" i="8"/>
  <c r="H791" i="8"/>
  <c r="G791" i="8"/>
  <c r="H790" i="8"/>
  <c r="G790" i="8"/>
  <c r="H789" i="8"/>
  <c r="G789" i="8"/>
  <c r="H788" i="8"/>
  <c r="G788" i="8"/>
  <c r="H787" i="8"/>
  <c r="G787" i="8"/>
  <c r="H786" i="8"/>
  <c r="G786" i="8"/>
  <c r="H785" i="8"/>
  <c r="G785" i="8"/>
  <c r="H784" i="8"/>
  <c r="G784" i="8"/>
  <c r="H783" i="8"/>
  <c r="G783" i="8"/>
  <c r="H782" i="8"/>
  <c r="G782" i="8"/>
  <c r="H781" i="8"/>
  <c r="G781" i="8"/>
  <c r="H780" i="8"/>
  <c r="G780" i="8"/>
  <c r="H779" i="8"/>
  <c r="G779" i="8"/>
  <c r="H778" i="8"/>
  <c r="G778" i="8"/>
  <c r="H777" i="8"/>
  <c r="G777" i="8"/>
  <c r="H776" i="8"/>
  <c r="G776" i="8"/>
  <c r="H775" i="8"/>
  <c r="G775" i="8"/>
  <c r="H774" i="8"/>
  <c r="G774" i="8"/>
  <c r="H773" i="8"/>
  <c r="G773" i="8"/>
  <c r="H772" i="8"/>
  <c r="G772" i="8"/>
  <c r="H771" i="8"/>
  <c r="G771" i="8"/>
  <c r="H770" i="8"/>
  <c r="G770" i="8"/>
  <c r="H769" i="8"/>
  <c r="G769" i="8"/>
  <c r="H768" i="8"/>
  <c r="G768" i="8"/>
  <c r="H767" i="8"/>
  <c r="G767" i="8"/>
  <c r="H766" i="8"/>
  <c r="G766" i="8"/>
  <c r="H765" i="8"/>
  <c r="G765" i="8"/>
  <c r="H764" i="8"/>
  <c r="G764" i="8"/>
  <c r="H763" i="8"/>
  <c r="G763" i="8"/>
  <c r="H762" i="8"/>
  <c r="G762" i="8"/>
  <c r="H761" i="8"/>
  <c r="G761" i="8"/>
  <c r="H760" i="8"/>
  <c r="G760" i="8"/>
  <c r="H759" i="8"/>
  <c r="G759" i="8"/>
  <c r="H758" i="8"/>
  <c r="G758" i="8"/>
  <c r="H757" i="8"/>
  <c r="G757" i="8"/>
  <c r="H756" i="8"/>
  <c r="G756" i="8"/>
  <c r="H755" i="8"/>
  <c r="G755" i="8"/>
  <c r="H754" i="8"/>
  <c r="G754" i="8"/>
  <c r="H753" i="8"/>
  <c r="G753" i="8"/>
  <c r="H752" i="8"/>
  <c r="G752" i="8"/>
  <c r="H751" i="8"/>
  <c r="G751" i="8"/>
  <c r="H750" i="8"/>
  <c r="G750" i="8"/>
  <c r="H749" i="8"/>
  <c r="G749" i="8"/>
  <c r="H748" i="8"/>
  <c r="G748" i="8"/>
  <c r="H747" i="8"/>
  <c r="G747" i="8"/>
  <c r="H746" i="8"/>
  <c r="G746" i="8"/>
  <c r="H745" i="8"/>
  <c r="G745" i="8"/>
  <c r="H744" i="8"/>
  <c r="G744" i="8"/>
  <c r="H743" i="8"/>
  <c r="G743" i="8"/>
  <c r="H742" i="8"/>
  <c r="G742" i="8"/>
  <c r="H741" i="8"/>
  <c r="G741" i="8"/>
  <c r="H740" i="8"/>
  <c r="G740" i="8"/>
  <c r="H739" i="8"/>
  <c r="G739" i="8"/>
  <c r="H738" i="8"/>
  <c r="G738" i="8"/>
  <c r="H737" i="8"/>
  <c r="G737" i="8"/>
  <c r="H736" i="8"/>
  <c r="G736" i="8"/>
  <c r="H735" i="8"/>
  <c r="G735" i="8"/>
  <c r="H734" i="8"/>
  <c r="G734" i="8"/>
  <c r="H733" i="8"/>
  <c r="G733" i="8"/>
  <c r="H732" i="8"/>
  <c r="G732" i="8"/>
  <c r="H731" i="8"/>
  <c r="G731" i="8"/>
  <c r="H730" i="8"/>
  <c r="G730" i="8"/>
  <c r="H729" i="8"/>
  <c r="G729" i="8"/>
  <c r="H728" i="8"/>
  <c r="G728" i="8"/>
  <c r="H727" i="8"/>
  <c r="G727" i="8"/>
  <c r="H726" i="8"/>
  <c r="G726" i="8"/>
  <c r="H725" i="8"/>
  <c r="G725" i="8"/>
  <c r="H724" i="8"/>
  <c r="G724" i="8"/>
  <c r="H723" i="8"/>
  <c r="G723" i="8"/>
  <c r="H722" i="8"/>
  <c r="G722" i="8"/>
  <c r="H721" i="8"/>
  <c r="G721" i="8"/>
  <c r="H720" i="8"/>
  <c r="G720" i="8"/>
  <c r="H719" i="8"/>
  <c r="G719" i="8"/>
  <c r="H718" i="8"/>
  <c r="G718" i="8"/>
  <c r="H717" i="8"/>
  <c r="G717" i="8"/>
  <c r="H716" i="8"/>
  <c r="G716" i="8"/>
  <c r="H715" i="8"/>
  <c r="G715" i="8"/>
  <c r="H714" i="8"/>
  <c r="G714" i="8"/>
  <c r="H713" i="8"/>
  <c r="G713" i="8"/>
  <c r="H712" i="8"/>
  <c r="G712" i="8"/>
  <c r="H711" i="8"/>
  <c r="G711" i="8"/>
  <c r="H710" i="8"/>
  <c r="G710" i="8"/>
  <c r="H709" i="8"/>
  <c r="G709" i="8"/>
  <c r="H708" i="8"/>
  <c r="G708" i="8"/>
  <c r="H707" i="8"/>
  <c r="G707" i="8"/>
  <c r="H706" i="8"/>
  <c r="G706" i="8"/>
  <c r="H705" i="8"/>
  <c r="G705" i="8"/>
  <c r="H704" i="8"/>
  <c r="G704" i="8"/>
  <c r="H703" i="8"/>
  <c r="G703" i="8"/>
  <c r="H702" i="8"/>
  <c r="G702" i="8"/>
  <c r="H701" i="8"/>
  <c r="G701" i="8"/>
  <c r="H700" i="8"/>
  <c r="G700" i="8"/>
  <c r="H699" i="8"/>
  <c r="G699" i="8"/>
  <c r="H698" i="8"/>
  <c r="G698" i="8"/>
  <c r="H697" i="8"/>
  <c r="G697" i="8"/>
  <c r="H696" i="8"/>
  <c r="G696" i="8"/>
  <c r="H695" i="8"/>
  <c r="G695" i="8"/>
  <c r="H694" i="8"/>
  <c r="G694" i="8"/>
  <c r="H693" i="8"/>
  <c r="G693" i="8"/>
  <c r="H692" i="8"/>
  <c r="G692" i="8"/>
  <c r="H691" i="8"/>
  <c r="G691" i="8"/>
  <c r="H690" i="8"/>
  <c r="G690" i="8"/>
  <c r="H689" i="8"/>
  <c r="G689" i="8"/>
  <c r="H688" i="8"/>
  <c r="G688" i="8"/>
  <c r="H687" i="8"/>
  <c r="G687" i="8"/>
  <c r="H686" i="8"/>
  <c r="G686" i="8"/>
  <c r="H685" i="8"/>
  <c r="G685" i="8"/>
  <c r="H684" i="8"/>
  <c r="G684" i="8"/>
  <c r="H683" i="8"/>
  <c r="G683" i="8"/>
  <c r="H682" i="8"/>
  <c r="G682" i="8"/>
  <c r="H681" i="8"/>
  <c r="G681" i="8"/>
  <c r="H680" i="8"/>
  <c r="G680" i="8"/>
  <c r="H679" i="8"/>
  <c r="G679" i="8"/>
  <c r="H678" i="8"/>
  <c r="G678" i="8"/>
  <c r="H677" i="8"/>
  <c r="G677" i="8"/>
  <c r="H676" i="8"/>
  <c r="G676" i="8"/>
  <c r="H675" i="8"/>
  <c r="G675" i="8"/>
  <c r="H674" i="8"/>
  <c r="G674" i="8"/>
  <c r="H673" i="8"/>
  <c r="G673" i="8"/>
  <c r="H672" i="8"/>
  <c r="G672" i="8"/>
  <c r="H671" i="8"/>
  <c r="G671" i="8"/>
  <c r="H670" i="8"/>
  <c r="G670" i="8"/>
  <c r="H669" i="8"/>
  <c r="G669" i="8"/>
  <c r="H668" i="8"/>
  <c r="G668" i="8"/>
  <c r="H667" i="8"/>
  <c r="G667" i="8"/>
  <c r="H666" i="8"/>
  <c r="G666" i="8"/>
  <c r="H665" i="8"/>
  <c r="G665" i="8"/>
  <c r="H664" i="8"/>
  <c r="G664" i="8"/>
  <c r="H663" i="8"/>
  <c r="G663" i="8"/>
  <c r="H662" i="8"/>
  <c r="G662" i="8"/>
  <c r="H661" i="8"/>
  <c r="G661" i="8"/>
  <c r="H660" i="8"/>
  <c r="G660" i="8"/>
  <c r="H659" i="8"/>
  <c r="G659" i="8"/>
  <c r="H658" i="8"/>
  <c r="G658" i="8"/>
  <c r="H657" i="8"/>
  <c r="G657" i="8"/>
  <c r="H656" i="8"/>
  <c r="G656" i="8"/>
  <c r="H655" i="8"/>
  <c r="G655" i="8"/>
  <c r="H654" i="8"/>
  <c r="G654" i="8"/>
  <c r="H653" i="8"/>
  <c r="G653" i="8"/>
  <c r="H652" i="8"/>
  <c r="G652" i="8"/>
  <c r="H651" i="8"/>
  <c r="G651" i="8"/>
  <c r="H650" i="8"/>
  <c r="G650" i="8"/>
  <c r="H649" i="8"/>
  <c r="G649" i="8"/>
  <c r="H648" i="8"/>
  <c r="G648" i="8"/>
  <c r="H647" i="8"/>
  <c r="G647" i="8"/>
  <c r="H646" i="8"/>
  <c r="G646" i="8"/>
  <c r="H645" i="8"/>
  <c r="G645" i="8"/>
  <c r="H644" i="8"/>
  <c r="G644" i="8"/>
  <c r="H643" i="8"/>
  <c r="G643" i="8"/>
  <c r="H642" i="8"/>
  <c r="G642" i="8"/>
  <c r="H641" i="8"/>
  <c r="G641" i="8"/>
  <c r="H640" i="8"/>
  <c r="G640" i="8"/>
  <c r="H639" i="8"/>
  <c r="G639" i="8"/>
  <c r="H638" i="8"/>
  <c r="G638" i="8"/>
  <c r="H637" i="8"/>
  <c r="G637" i="8"/>
  <c r="H636" i="8"/>
  <c r="G636" i="8"/>
  <c r="H635" i="8"/>
  <c r="G635" i="8"/>
  <c r="H634" i="8"/>
  <c r="G634" i="8"/>
  <c r="H633" i="8"/>
  <c r="G633" i="8"/>
  <c r="H632" i="8"/>
  <c r="G632" i="8"/>
  <c r="H631" i="8"/>
  <c r="G631" i="8"/>
  <c r="H630" i="8"/>
  <c r="G630" i="8"/>
  <c r="H629" i="8"/>
  <c r="G629" i="8"/>
  <c r="H628" i="8"/>
  <c r="G628" i="8"/>
  <c r="H627" i="8"/>
  <c r="G627" i="8"/>
  <c r="H626" i="8"/>
  <c r="G626" i="8"/>
  <c r="H625" i="8"/>
  <c r="G625" i="8"/>
  <c r="H624" i="8"/>
  <c r="G624" i="8"/>
  <c r="H623" i="8"/>
  <c r="G623" i="8"/>
  <c r="H622" i="8"/>
  <c r="G622" i="8"/>
  <c r="H621" i="8"/>
  <c r="G621" i="8"/>
  <c r="H620" i="8"/>
  <c r="G620" i="8"/>
  <c r="H619" i="8"/>
  <c r="G619" i="8"/>
  <c r="H618" i="8"/>
  <c r="G618" i="8"/>
  <c r="H617" i="8"/>
  <c r="G617" i="8"/>
  <c r="H616" i="8"/>
  <c r="G616" i="8"/>
  <c r="H615" i="8"/>
  <c r="G615" i="8"/>
  <c r="H614" i="8"/>
  <c r="G614" i="8"/>
  <c r="H613" i="8"/>
  <c r="G613" i="8"/>
  <c r="H612" i="8"/>
  <c r="G612" i="8"/>
  <c r="H611" i="8"/>
  <c r="G611" i="8"/>
  <c r="H610" i="8"/>
  <c r="G610" i="8"/>
  <c r="H609" i="8"/>
  <c r="G609" i="8"/>
  <c r="H608" i="8"/>
  <c r="G608" i="8"/>
  <c r="H607" i="8"/>
  <c r="G607" i="8"/>
  <c r="H606" i="8"/>
  <c r="G606" i="8"/>
  <c r="H605" i="8"/>
  <c r="G605" i="8"/>
  <c r="H604" i="8"/>
  <c r="G604" i="8"/>
  <c r="H603" i="8"/>
  <c r="G603" i="8"/>
  <c r="H602" i="8"/>
  <c r="G602" i="8"/>
  <c r="H601" i="8"/>
  <c r="G601" i="8"/>
  <c r="H600" i="8"/>
  <c r="G600" i="8"/>
  <c r="H599" i="8"/>
  <c r="G599" i="8"/>
  <c r="H598" i="8"/>
  <c r="G598" i="8"/>
  <c r="H597" i="8"/>
  <c r="G597" i="8"/>
  <c r="H596" i="8"/>
  <c r="G596" i="8"/>
  <c r="H595" i="8"/>
  <c r="G595" i="8"/>
  <c r="H594" i="8"/>
  <c r="G594" i="8"/>
  <c r="H593" i="8"/>
  <c r="G593" i="8"/>
  <c r="H592" i="8"/>
  <c r="G592" i="8"/>
  <c r="H591" i="8"/>
  <c r="G591" i="8"/>
  <c r="H590" i="8"/>
  <c r="G590" i="8"/>
  <c r="H589" i="8"/>
  <c r="G589" i="8"/>
  <c r="H588" i="8"/>
  <c r="G588" i="8"/>
  <c r="H587" i="8"/>
  <c r="G587" i="8"/>
  <c r="H586" i="8"/>
  <c r="G586" i="8"/>
  <c r="H585" i="8"/>
  <c r="G585" i="8"/>
  <c r="H584" i="8"/>
  <c r="G584" i="8"/>
  <c r="H583" i="8"/>
  <c r="G583" i="8"/>
  <c r="H582" i="8"/>
  <c r="G582" i="8"/>
  <c r="H581" i="8"/>
  <c r="G581" i="8"/>
  <c r="H580" i="8"/>
  <c r="G580" i="8"/>
  <c r="H579" i="8"/>
  <c r="G579" i="8"/>
  <c r="H578" i="8"/>
  <c r="G578" i="8"/>
  <c r="H577" i="8"/>
  <c r="G577" i="8"/>
  <c r="H576" i="8"/>
  <c r="G576" i="8"/>
  <c r="H575" i="8"/>
  <c r="G575" i="8"/>
  <c r="H574" i="8"/>
  <c r="G574" i="8"/>
  <c r="H573" i="8"/>
  <c r="G573" i="8"/>
  <c r="H572" i="8"/>
  <c r="G572" i="8"/>
  <c r="H571" i="8"/>
  <c r="G571" i="8"/>
  <c r="H570" i="8"/>
  <c r="G570" i="8"/>
  <c r="H569" i="8"/>
  <c r="G569" i="8"/>
  <c r="H568" i="8"/>
  <c r="G568" i="8"/>
  <c r="H567" i="8"/>
  <c r="G567" i="8"/>
  <c r="H566" i="8"/>
  <c r="G566" i="8"/>
  <c r="H565" i="8"/>
  <c r="G565" i="8"/>
  <c r="H564" i="8"/>
  <c r="G564" i="8"/>
  <c r="H563" i="8"/>
  <c r="G563" i="8"/>
  <c r="H562" i="8"/>
  <c r="G562" i="8"/>
  <c r="H561" i="8"/>
  <c r="G561" i="8"/>
  <c r="H560" i="8"/>
  <c r="G560" i="8"/>
  <c r="H559" i="8"/>
  <c r="G559" i="8"/>
  <c r="H558" i="8"/>
  <c r="G558" i="8"/>
  <c r="H557" i="8"/>
  <c r="G557" i="8"/>
  <c r="H556" i="8"/>
  <c r="G556" i="8"/>
  <c r="H555" i="8"/>
  <c r="G555" i="8"/>
  <c r="H554" i="8"/>
  <c r="G554" i="8"/>
  <c r="H553" i="8"/>
  <c r="G553" i="8"/>
  <c r="H552" i="8"/>
  <c r="G552" i="8"/>
  <c r="H551" i="8"/>
  <c r="G551" i="8"/>
  <c r="H550" i="8"/>
  <c r="G550" i="8"/>
  <c r="H549" i="8"/>
  <c r="G549" i="8"/>
  <c r="H548" i="8"/>
  <c r="G548" i="8"/>
  <c r="H547" i="8"/>
  <c r="G547" i="8"/>
  <c r="H546" i="8"/>
  <c r="G546" i="8"/>
  <c r="H545" i="8"/>
  <c r="G545" i="8"/>
  <c r="H544" i="8"/>
  <c r="G544" i="8"/>
  <c r="H543" i="8"/>
  <c r="G543" i="8"/>
  <c r="H542" i="8"/>
  <c r="G542" i="8"/>
  <c r="H541" i="8"/>
  <c r="G541" i="8"/>
  <c r="H540" i="8"/>
  <c r="G540" i="8"/>
  <c r="H539" i="8"/>
  <c r="G539" i="8"/>
  <c r="H538" i="8"/>
  <c r="G538" i="8"/>
  <c r="H537" i="8"/>
  <c r="G537" i="8"/>
  <c r="H536" i="8"/>
  <c r="G536" i="8"/>
  <c r="H535" i="8"/>
  <c r="G535" i="8"/>
  <c r="H534" i="8"/>
  <c r="G534" i="8"/>
  <c r="H533" i="8"/>
  <c r="G533" i="8"/>
  <c r="H532" i="8"/>
  <c r="G532" i="8"/>
  <c r="H531" i="8"/>
  <c r="G531" i="8"/>
  <c r="H530" i="8"/>
  <c r="G530" i="8"/>
  <c r="H529" i="8"/>
  <c r="G529" i="8"/>
  <c r="H528" i="8"/>
  <c r="G528" i="8"/>
  <c r="H527" i="8"/>
  <c r="G527" i="8"/>
  <c r="H526" i="8"/>
  <c r="G526" i="8"/>
  <c r="H525" i="8"/>
  <c r="G525" i="8"/>
  <c r="H524" i="8"/>
  <c r="G524" i="8"/>
  <c r="H523" i="8"/>
  <c r="G523" i="8"/>
  <c r="H522" i="8"/>
  <c r="G522" i="8"/>
  <c r="H521" i="8"/>
  <c r="G521" i="8"/>
  <c r="H520" i="8"/>
  <c r="G520" i="8"/>
  <c r="H519" i="8"/>
  <c r="G519" i="8"/>
  <c r="H518" i="8"/>
  <c r="G518" i="8"/>
  <c r="H517" i="8"/>
  <c r="G517" i="8"/>
  <c r="H516" i="8"/>
  <c r="G516" i="8"/>
  <c r="H515" i="8"/>
  <c r="G515" i="8"/>
  <c r="H514" i="8"/>
  <c r="G514" i="8"/>
  <c r="H513" i="8"/>
  <c r="G513" i="8"/>
  <c r="H512" i="8"/>
  <c r="G512" i="8"/>
  <c r="H511" i="8"/>
  <c r="G511" i="8"/>
  <c r="H510" i="8"/>
  <c r="G510" i="8"/>
  <c r="H509" i="8"/>
  <c r="G509" i="8"/>
  <c r="H508" i="8"/>
  <c r="G508" i="8"/>
  <c r="H507" i="8"/>
  <c r="G507" i="8"/>
  <c r="H506" i="8"/>
  <c r="G506" i="8"/>
  <c r="H505" i="8"/>
  <c r="G505" i="8"/>
  <c r="H504" i="8"/>
  <c r="G504" i="8"/>
  <c r="H503" i="8"/>
  <c r="G503" i="8"/>
  <c r="H502" i="8"/>
  <c r="G502" i="8"/>
  <c r="H501" i="8"/>
  <c r="G501" i="8"/>
  <c r="H500" i="8"/>
  <c r="G500" i="8"/>
  <c r="H499" i="8"/>
  <c r="G499" i="8"/>
  <c r="H498" i="8"/>
  <c r="G498" i="8"/>
  <c r="H497" i="8"/>
  <c r="G497" i="8"/>
  <c r="H496" i="8"/>
  <c r="G496" i="8"/>
  <c r="H495" i="8"/>
  <c r="G495" i="8"/>
  <c r="H494" i="8"/>
  <c r="G494" i="8"/>
  <c r="H493" i="8"/>
  <c r="G493" i="8"/>
  <c r="H492" i="8"/>
  <c r="G492" i="8"/>
  <c r="H491" i="8"/>
  <c r="G491" i="8"/>
  <c r="H490" i="8"/>
  <c r="G490" i="8"/>
  <c r="H489" i="8"/>
  <c r="G489" i="8"/>
  <c r="H488" i="8"/>
  <c r="G488" i="8"/>
  <c r="H487" i="8"/>
  <c r="G487" i="8"/>
  <c r="H486" i="8"/>
  <c r="G486" i="8"/>
  <c r="H485" i="8"/>
  <c r="G485" i="8"/>
  <c r="H484" i="8"/>
  <c r="G484" i="8"/>
  <c r="H483" i="8"/>
  <c r="G483" i="8"/>
  <c r="H482" i="8"/>
  <c r="G482" i="8"/>
  <c r="H481" i="8"/>
  <c r="G481" i="8"/>
  <c r="H480" i="8"/>
  <c r="G480" i="8"/>
  <c r="H479" i="8"/>
  <c r="G479" i="8"/>
  <c r="H478" i="8"/>
  <c r="G478" i="8"/>
  <c r="H477" i="8"/>
  <c r="G477" i="8"/>
  <c r="H476" i="8"/>
  <c r="G476" i="8"/>
  <c r="H475" i="8"/>
  <c r="G475" i="8"/>
  <c r="H474" i="8"/>
  <c r="G474" i="8"/>
  <c r="H473" i="8"/>
  <c r="G473" i="8"/>
  <c r="H472" i="8"/>
  <c r="G472" i="8"/>
  <c r="H471" i="8"/>
  <c r="G471" i="8"/>
  <c r="H470" i="8"/>
  <c r="G470" i="8"/>
  <c r="H469" i="8"/>
  <c r="G469" i="8"/>
  <c r="H468" i="8"/>
  <c r="G468" i="8"/>
  <c r="H467" i="8"/>
  <c r="G467" i="8"/>
  <c r="H466" i="8"/>
  <c r="G466" i="8"/>
  <c r="H465" i="8"/>
  <c r="G465" i="8"/>
  <c r="H464" i="8"/>
  <c r="G464" i="8"/>
  <c r="H463" i="8"/>
  <c r="G463" i="8"/>
  <c r="H462" i="8"/>
  <c r="G462" i="8"/>
  <c r="H461" i="8"/>
  <c r="G461" i="8"/>
  <c r="H460" i="8"/>
  <c r="G460" i="8"/>
  <c r="H459" i="8"/>
  <c r="G459" i="8"/>
  <c r="H458" i="8"/>
  <c r="G458" i="8"/>
  <c r="H457" i="8"/>
  <c r="G457" i="8"/>
  <c r="H456" i="8"/>
  <c r="G456" i="8"/>
  <c r="H455" i="8"/>
  <c r="G455" i="8"/>
  <c r="H454" i="8"/>
  <c r="G454" i="8"/>
  <c r="H453" i="8"/>
  <c r="G453" i="8"/>
  <c r="H452" i="8"/>
  <c r="G452" i="8"/>
  <c r="H451" i="8"/>
  <c r="G451" i="8"/>
  <c r="H450" i="8"/>
  <c r="G450" i="8"/>
  <c r="H449" i="8"/>
  <c r="G449" i="8"/>
  <c r="H448" i="8"/>
  <c r="G448" i="8"/>
  <c r="H447" i="8"/>
  <c r="G447" i="8"/>
  <c r="H446" i="8"/>
  <c r="G446" i="8"/>
  <c r="H445" i="8"/>
  <c r="G445" i="8"/>
  <c r="H444" i="8"/>
  <c r="G444" i="8"/>
  <c r="H443" i="8"/>
  <c r="G443" i="8"/>
  <c r="H442" i="8"/>
  <c r="G442" i="8"/>
  <c r="H441" i="8"/>
  <c r="G441" i="8"/>
  <c r="H440" i="8"/>
  <c r="G440" i="8"/>
  <c r="H439" i="8"/>
  <c r="G439" i="8"/>
  <c r="H438" i="8"/>
  <c r="G438" i="8"/>
  <c r="H437" i="8"/>
  <c r="G437" i="8"/>
  <c r="H436" i="8"/>
  <c r="G436" i="8"/>
  <c r="H435" i="8"/>
  <c r="G435" i="8"/>
  <c r="H434" i="8"/>
  <c r="G434" i="8"/>
  <c r="H433" i="8"/>
  <c r="G433" i="8"/>
  <c r="H432" i="8"/>
  <c r="G432" i="8"/>
  <c r="H431" i="8"/>
  <c r="G431" i="8"/>
  <c r="H430" i="8"/>
  <c r="G430" i="8"/>
  <c r="H429" i="8"/>
  <c r="G429" i="8"/>
  <c r="H428" i="8"/>
  <c r="G428" i="8"/>
  <c r="H427" i="8"/>
  <c r="G427" i="8"/>
  <c r="H426" i="8"/>
  <c r="G426" i="8"/>
  <c r="H425" i="8"/>
  <c r="G425" i="8"/>
  <c r="H424" i="8"/>
  <c r="G424" i="8"/>
  <c r="H423" i="8"/>
  <c r="G423" i="8"/>
  <c r="H422" i="8"/>
  <c r="G422" i="8"/>
  <c r="H421" i="8"/>
  <c r="G421" i="8"/>
  <c r="H420" i="8"/>
  <c r="G420" i="8"/>
  <c r="H419" i="8"/>
  <c r="G419" i="8"/>
  <c r="H418" i="8"/>
  <c r="G418" i="8"/>
  <c r="H417" i="8"/>
  <c r="G417" i="8"/>
  <c r="H416" i="8"/>
  <c r="G416" i="8"/>
  <c r="H415" i="8"/>
  <c r="G415" i="8"/>
  <c r="H414" i="8"/>
  <c r="G414" i="8"/>
  <c r="H413" i="8"/>
  <c r="G413" i="8"/>
  <c r="H412" i="8"/>
  <c r="G412" i="8"/>
  <c r="H411" i="8"/>
  <c r="G411" i="8"/>
  <c r="H410" i="8"/>
  <c r="G410" i="8"/>
  <c r="H409" i="8"/>
  <c r="G409" i="8"/>
  <c r="H408" i="8"/>
  <c r="G408" i="8"/>
  <c r="H407" i="8"/>
  <c r="G407" i="8"/>
  <c r="H406" i="8"/>
  <c r="G406" i="8"/>
  <c r="H405" i="8"/>
  <c r="G405" i="8"/>
  <c r="H404" i="8"/>
  <c r="G404" i="8"/>
  <c r="H403" i="8"/>
  <c r="G403" i="8"/>
  <c r="H402" i="8"/>
  <c r="G402" i="8"/>
  <c r="H401" i="8"/>
  <c r="G401" i="8"/>
  <c r="H400" i="8"/>
  <c r="G400" i="8"/>
  <c r="H399" i="8"/>
  <c r="G399" i="8"/>
  <c r="H398" i="8"/>
  <c r="G398" i="8"/>
  <c r="H397" i="8"/>
  <c r="G397" i="8"/>
  <c r="H396" i="8"/>
  <c r="G396" i="8"/>
  <c r="H395" i="8"/>
  <c r="G395" i="8"/>
  <c r="H394" i="8"/>
  <c r="G394" i="8"/>
  <c r="H393" i="8"/>
  <c r="G393" i="8"/>
  <c r="H392" i="8"/>
  <c r="G392" i="8"/>
  <c r="H391" i="8"/>
  <c r="G391" i="8"/>
  <c r="H390" i="8"/>
  <c r="G390" i="8"/>
  <c r="H389" i="8"/>
  <c r="G389" i="8"/>
  <c r="H388" i="8"/>
  <c r="G388" i="8"/>
  <c r="H387" i="8"/>
  <c r="G387" i="8"/>
  <c r="H386" i="8"/>
  <c r="G386" i="8"/>
  <c r="H385" i="8"/>
  <c r="G385" i="8"/>
  <c r="H384" i="8"/>
  <c r="G384" i="8"/>
  <c r="H383" i="8"/>
  <c r="G383" i="8"/>
  <c r="H382" i="8"/>
  <c r="G382" i="8"/>
  <c r="H381" i="8"/>
  <c r="G381" i="8"/>
  <c r="H380" i="8"/>
  <c r="G380" i="8"/>
  <c r="H379" i="8"/>
  <c r="G379" i="8"/>
  <c r="H378" i="8"/>
  <c r="G378" i="8"/>
  <c r="H377" i="8"/>
  <c r="G377" i="8"/>
  <c r="H376" i="8"/>
  <c r="G376" i="8"/>
  <c r="H375" i="8"/>
  <c r="G375" i="8"/>
  <c r="H374" i="8"/>
  <c r="G374" i="8"/>
  <c r="H373" i="8"/>
  <c r="G373" i="8"/>
  <c r="H372" i="8"/>
  <c r="G372" i="8"/>
  <c r="H371" i="8"/>
  <c r="G371" i="8"/>
  <c r="H370" i="8"/>
  <c r="G370" i="8"/>
  <c r="H369" i="8"/>
  <c r="G369" i="8"/>
  <c r="H368" i="8"/>
  <c r="G368" i="8"/>
  <c r="H367" i="8"/>
  <c r="G367" i="8"/>
  <c r="H366" i="8"/>
  <c r="G366" i="8"/>
  <c r="H365" i="8"/>
  <c r="G365" i="8"/>
  <c r="H364" i="8"/>
  <c r="G364" i="8"/>
  <c r="H363" i="8"/>
  <c r="G363" i="8"/>
  <c r="H362" i="8"/>
  <c r="G362" i="8"/>
  <c r="H361" i="8"/>
  <c r="G361" i="8"/>
  <c r="H360" i="8"/>
  <c r="G360" i="8"/>
  <c r="H359" i="8"/>
  <c r="G359" i="8"/>
  <c r="H358" i="8"/>
  <c r="G358" i="8"/>
  <c r="H357" i="8"/>
  <c r="G357" i="8"/>
  <c r="H356" i="8"/>
  <c r="G356" i="8"/>
  <c r="H355" i="8"/>
  <c r="G355" i="8"/>
  <c r="H354" i="8"/>
  <c r="G354" i="8"/>
  <c r="H353" i="8"/>
  <c r="G353" i="8"/>
  <c r="H352" i="8"/>
  <c r="G352" i="8"/>
  <c r="H351" i="8"/>
  <c r="G351" i="8"/>
  <c r="H350" i="8"/>
  <c r="G350" i="8"/>
  <c r="H349" i="8"/>
  <c r="G349" i="8"/>
  <c r="H348" i="8"/>
  <c r="G348" i="8"/>
  <c r="H347" i="8"/>
  <c r="G347" i="8"/>
  <c r="H346" i="8"/>
  <c r="G346" i="8"/>
  <c r="H345" i="8"/>
  <c r="G345" i="8"/>
  <c r="H344" i="8"/>
  <c r="G344" i="8"/>
  <c r="H343" i="8"/>
  <c r="G343" i="8"/>
  <c r="H342" i="8"/>
  <c r="G342" i="8"/>
  <c r="H341" i="8"/>
  <c r="G341" i="8"/>
  <c r="H340" i="8"/>
  <c r="G340" i="8"/>
  <c r="H339" i="8"/>
  <c r="G339" i="8"/>
  <c r="H338" i="8"/>
  <c r="G338" i="8"/>
  <c r="H337" i="8"/>
  <c r="G337" i="8"/>
  <c r="H336" i="8"/>
  <c r="G336" i="8"/>
  <c r="H335" i="8"/>
  <c r="G335" i="8"/>
  <c r="H334" i="8"/>
  <c r="G334" i="8"/>
  <c r="H333" i="8"/>
  <c r="G333" i="8"/>
  <c r="H332" i="8"/>
  <c r="G332" i="8"/>
  <c r="H331" i="8"/>
  <c r="G331" i="8"/>
  <c r="H330" i="8"/>
  <c r="G330" i="8"/>
  <c r="H329" i="8"/>
  <c r="G329" i="8"/>
  <c r="H328" i="8"/>
  <c r="G328" i="8"/>
  <c r="H327" i="8"/>
  <c r="G327" i="8"/>
  <c r="H326" i="8"/>
  <c r="G326" i="8"/>
  <c r="H325" i="8"/>
  <c r="G325" i="8"/>
  <c r="H324" i="8"/>
  <c r="G324" i="8"/>
  <c r="H323" i="8"/>
  <c r="G323" i="8"/>
  <c r="H322" i="8"/>
  <c r="G322" i="8"/>
  <c r="H321" i="8"/>
  <c r="G321" i="8"/>
  <c r="H320" i="8"/>
  <c r="G320" i="8"/>
  <c r="H319" i="8"/>
  <c r="G319" i="8"/>
  <c r="H318" i="8"/>
  <c r="G318" i="8"/>
  <c r="H317" i="8"/>
  <c r="G317" i="8"/>
  <c r="H316" i="8"/>
  <c r="G316" i="8"/>
  <c r="H315" i="8"/>
  <c r="G315" i="8"/>
  <c r="H314" i="8"/>
  <c r="G314" i="8"/>
  <c r="H313" i="8"/>
  <c r="G313" i="8"/>
  <c r="H312" i="8"/>
  <c r="G312" i="8"/>
  <c r="H311" i="8"/>
  <c r="G311" i="8"/>
  <c r="H310" i="8"/>
  <c r="G310" i="8"/>
  <c r="H309" i="8"/>
  <c r="G309" i="8"/>
  <c r="H308" i="8"/>
  <c r="G308" i="8"/>
  <c r="H307" i="8"/>
  <c r="G307" i="8"/>
  <c r="H306" i="8"/>
  <c r="G306" i="8"/>
  <c r="H305" i="8"/>
  <c r="G305" i="8"/>
  <c r="H304" i="8"/>
  <c r="G304" i="8"/>
  <c r="H303" i="8"/>
  <c r="G303" i="8"/>
  <c r="H302" i="8"/>
  <c r="G302" i="8"/>
  <c r="H301" i="8"/>
  <c r="G301" i="8"/>
  <c r="H300" i="8"/>
  <c r="G300" i="8"/>
  <c r="H299" i="8"/>
  <c r="G299" i="8"/>
  <c r="H298" i="8"/>
  <c r="G298" i="8"/>
  <c r="H297" i="8"/>
  <c r="G297" i="8"/>
  <c r="H296" i="8"/>
  <c r="G296" i="8"/>
  <c r="H295" i="8"/>
  <c r="G295" i="8"/>
  <c r="H294" i="8"/>
  <c r="G294" i="8"/>
  <c r="H293" i="8"/>
  <c r="G293" i="8"/>
  <c r="H292" i="8"/>
  <c r="G292" i="8"/>
  <c r="H291" i="8"/>
  <c r="G291" i="8"/>
  <c r="H290" i="8"/>
  <c r="G290" i="8"/>
  <c r="H289" i="8"/>
  <c r="G289" i="8"/>
  <c r="H288" i="8"/>
  <c r="G288" i="8"/>
  <c r="H287" i="8"/>
  <c r="G287" i="8"/>
  <c r="H286" i="8"/>
  <c r="G286" i="8"/>
  <c r="H285" i="8"/>
  <c r="G285" i="8"/>
  <c r="H284" i="8"/>
  <c r="G284" i="8"/>
  <c r="H283" i="8"/>
  <c r="G283" i="8"/>
  <c r="H282" i="8"/>
  <c r="G282" i="8"/>
  <c r="H281" i="8"/>
  <c r="G281" i="8"/>
  <c r="H280" i="8"/>
  <c r="G280" i="8"/>
  <c r="H279" i="8"/>
  <c r="G279" i="8"/>
  <c r="H278" i="8"/>
  <c r="G278" i="8"/>
  <c r="H277" i="8"/>
  <c r="G277" i="8"/>
  <c r="H276" i="8"/>
  <c r="G276" i="8"/>
  <c r="H275" i="8"/>
  <c r="G275" i="8"/>
  <c r="H274" i="8"/>
  <c r="G274" i="8"/>
  <c r="H273" i="8"/>
  <c r="G273" i="8"/>
  <c r="H272" i="8"/>
  <c r="G272" i="8"/>
  <c r="H271" i="8"/>
  <c r="G271" i="8"/>
  <c r="H270" i="8"/>
  <c r="G270" i="8"/>
  <c r="H269" i="8"/>
  <c r="G269" i="8"/>
  <c r="H268" i="8"/>
  <c r="G268" i="8"/>
  <c r="H267" i="8"/>
  <c r="G267" i="8"/>
  <c r="H266" i="8"/>
  <c r="G266" i="8"/>
  <c r="H265" i="8"/>
  <c r="G265" i="8"/>
  <c r="H264" i="8"/>
  <c r="G264" i="8"/>
  <c r="H263" i="8"/>
  <c r="G263" i="8"/>
  <c r="H262" i="8"/>
  <c r="G262" i="8"/>
  <c r="H261" i="8"/>
  <c r="G261" i="8"/>
  <c r="H260" i="8"/>
  <c r="G260" i="8"/>
  <c r="H259" i="8"/>
  <c r="G259" i="8"/>
  <c r="H258" i="8"/>
  <c r="G258" i="8"/>
  <c r="H257" i="8"/>
  <c r="G257" i="8"/>
  <c r="H256" i="8"/>
  <c r="G256" i="8"/>
  <c r="H255" i="8"/>
  <c r="G255" i="8"/>
  <c r="H254" i="8"/>
  <c r="G254" i="8"/>
  <c r="H253" i="8"/>
  <c r="G253" i="8"/>
  <c r="H252" i="8"/>
  <c r="G252" i="8"/>
  <c r="H251" i="8"/>
  <c r="G251" i="8"/>
  <c r="H250" i="8"/>
  <c r="G250" i="8"/>
  <c r="H249" i="8"/>
  <c r="G249" i="8"/>
  <c r="H248" i="8"/>
  <c r="G248" i="8"/>
  <c r="H247" i="8"/>
  <c r="G247" i="8"/>
  <c r="H246" i="8"/>
  <c r="G246" i="8"/>
  <c r="H245" i="8"/>
  <c r="G245" i="8"/>
  <c r="H244" i="8"/>
  <c r="G244" i="8"/>
  <c r="H243" i="8"/>
  <c r="G243" i="8"/>
  <c r="H242" i="8"/>
  <c r="G242" i="8"/>
  <c r="H241" i="8"/>
  <c r="G241" i="8"/>
  <c r="H240" i="8"/>
  <c r="G240" i="8"/>
  <c r="H239" i="8"/>
  <c r="G239" i="8"/>
  <c r="H238" i="8"/>
  <c r="G238" i="8"/>
  <c r="H237" i="8"/>
  <c r="G237" i="8"/>
  <c r="H236" i="8"/>
  <c r="G236" i="8"/>
  <c r="H235" i="8"/>
  <c r="G235" i="8"/>
  <c r="H234" i="8"/>
  <c r="G234" i="8"/>
  <c r="H233" i="8"/>
  <c r="G233" i="8"/>
  <c r="H232" i="8"/>
  <c r="G232" i="8"/>
  <c r="H231" i="8"/>
  <c r="G231" i="8"/>
  <c r="H230" i="8"/>
  <c r="G230" i="8"/>
  <c r="H229" i="8"/>
  <c r="G229" i="8"/>
  <c r="H228" i="8"/>
  <c r="G228" i="8"/>
  <c r="H227" i="8"/>
  <c r="G227" i="8"/>
  <c r="H226" i="8"/>
  <c r="G226" i="8"/>
  <c r="H225" i="8"/>
  <c r="G225" i="8"/>
  <c r="H224" i="8"/>
  <c r="G224" i="8"/>
  <c r="H223" i="8"/>
  <c r="G223" i="8"/>
  <c r="H222" i="8"/>
  <c r="G222" i="8"/>
  <c r="H221" i="8"/>
  <c r="G221" i="8"/>
  <c r="H220" i="8"/>
  <c r="G220" i="8"/>
  <c r="H219" i="8"/>
  <c r="G219" i="8"/>
  <c r="H218" i="8"/>
  <c r="G218" i="8"/>
  <c r="H217" i="8"/>
  <c r="G217" i="8"/>
  <c r="H216" i="8"/>
  <c r="G216" i="8"/>
  <c r="H215" i="8"/>
  <c r="G215" i="8"/>
  <c r="H214" i="8"/>
  <c r="G214" i="8"/>
  <c r="H213" i="8"/>
  <c r="G213" i="8"/>
  <c r="H212" i="8"/>
  <c r="G212" i="8"/>
  <c r="H211" i="8"/>
  <c r="G211" i="8"/>
  <c r="H210" i="8"/>
  <c r="G210" i="8"/>
  <c r="H209" i="8"/>
  <c r="G209" i="8"/>
  <c r="H208" i="8"/>
  <c r="G208" i="8"/>
  <c r="H207" i="8"/>
  <c r="G207" i="8"/>
  <c r="H206" i="8"/>
  <c r="G206" i="8"/>
  <c r="H205" i="8"/>
  <c r="G205" i="8"/>
  <c r="H204" i="8"/>
  <c r="G204" i="8"/>
  <c r="H203" i="8"/>
  <c r="G203" i="8"/>
  <c r="H202" i="8"/>
  <c r="G202" i="8"/>
  <c r="H201" i="8"/>
  <c r="G201" i="8"/>
  <c r="H200" i="8"/>
  <c r="G200" i="8"/>
  <c r="H199" i="8"/>
  <c r="G199" i="8"/>
  <c r="H198" i="8"/>
  <c r="G198" i="8"/>
  <c r="H197" i="8"/>
  <c r="G197" i="8"/>
  <c r="H196" i="8"/>
  <c r="G196" i="8"/>
  <c r="H195" i="8"/>
  <c r="G195" i="8"/>
  <c r="H194" i="8"/>
  <c r="G194" i="8"/>
  <c r="H193" i="8"/>
  <c r="G193" i="8"/>
  <c r="H192" i="8"/>
  <c r="G192" i="8"/>
  <c r="H191" i="8"/>
  <c r="G191" i="8"/>
  <c r="H190" i="8"/>
  <c r="G190" i="8"/>
  <c r="H189" i="8"/>
  <c r="G189" i="8"/>
  <c r="H188" i="8"/>
  <c r="G188" i="8"/>
  <c r="H187" i="8"/>
  <c r="G187" i="8"/>
  <c r="H186" i="8"/>
  <c r="G186" i="8"/>
  <c r="H185" i="8"/>
  <c r="G185" i="8"/>
  <c r="H184" i="8"/>
  <c r="G184" i="8"/>
  <c r="H183" i="8"/>
  <c r="G183" i="8"/>
  <c r="H182" i="8"/>
  <c r="G182" i="8"/>
  <c r="H181" i="8"/>
  <c r="G181" i="8"/>
  <c r="H180" i="8"/>
  <c r="G180" i="8"/>
  <c r="H179" i="8"/>
  <c r="G179" i="8"/>
  <c r="H178" i="8"/>
  <c r="G178" i="8"/>
  <c r="H177" i="8"/>
  <c r="G177" i="8"/>
  <c r="H176" i="8"/>
  <c r="G176" i="8"/>
  <c r="H175" i="8"/>
  <c r="G175" i="8"/>
  <c r="H174" i="8"/>
  <c r="G174" i="8"/>
  <c r="H173" i="8"/>
  <c r="G173" i="8"/>
  <c r="H172" i="8"/>
  <c r="G172" i="8"/>
  <c r="H171" i="8"/>
  <c r="G171" i="8"/>
  <c r="H170" i="8"/>
  <c r="G170" i="8"/>
  <c r="H169" i="8"/>
  <c r="G169" i="8"/>
  <c r="H168" i="8"/>
  <c r="G168" i="8"/>
  <c r="H167" i="8"/>
  <c r="G167" i="8"/>
  <c r="H166" i="8"/>
  <c r="G166" i="8"/>
  <c r="H165" i="8"/>
  <c r="G165" i="8"/>
  <c r="H164" i="8"/>
  <c r="G164" i="8"/>
  <c r="H163" i="8"/>
  <c r="G163" i="8"/>
  <c r="H162" i="8"/>
  <c r="G162" i="8"/>
  <c r="H161" i="8"/>
  <c r="G161" i="8"/>
  <c r="H160" i="8"/>
  <c r="G160" i="8"/>
  <c r="H159" i="8"/>
  <c r="G159" i="8"/>
  <c r="H158" i="8"/>
  <c r="G158" i="8"/>
  <c r="H157" i="8"/>
  <c r="G157" i="8"/>
  <c r="H156" i="8"/>
  <c r="G156" i="8"/>
  <c r="H155" i="8"/>
  <c r="G155" i="8"/>
  <c r="H154" i="8"/>
  <c r="G154" i="8"/>
  <c r="H153" i="8"/>
  <c r="G153" i="8"/>
  <c r="H152" i="8"/>
  <c r="G152" i="8"/>
  <c r="H151" i="8"/>
  <c r="G151" i="8"/>
  <c r="H150" i="8"/>
  <c r="G150" i="8"/>
  <c r="H149" i="8"/>
  <c r="G149" i="8"/>
  <c r="H148" i="8"/>
  <c r="G148" i="8"/>
  <c r="H147" i="8"/>
  <c r="G147" i="8"/>
  <c r="H146" i="8"/>
  <c r="G146" i="8"/>
  <c r="H145" i="8"/>
  <c r="G145" i="8"/>
  <c r="H144" i="8"/>
  <c r="G144" i="8"/>
  <c r="H143" i="8"/>
  <c r="G143" i="8"/>
  <c r="H142" i="8"/>
  <c r="G142" i="8"/>
  <c r="H141" i="8"/>
  <c r="G141" i="8"/>
  <c r="H140" i="8"/>
  <c r="G140" i="8"/>
  <c r="H139" i="8"/>
  <c r="G139" i="8"/>
  <c r="H138" i="8"/>
  <c r="G138" i="8"/>
  <c r="H137" i="8"/>
  <c r="G137" i="8"/>
  <c r="H136" i="8"/>
  <c r="G136" i="8"/>
  <c r="H135" i="8"/>
  <c r="G135" i="8"/>
  <c r="H134" i="8"/>
  <c r="G134" i="8"/>
  <c r="H133" i="8"/>
  <c r="G133" i="8"/>
  <c r="H132" i="8"/>
  <c r="G132" i="8"/>
  <c r="H131" i="8"/>
  <c r="G131" i="8"/>
  <c r="H130" i="8"/>
  <c r="G130" i="8"/>
  <c r="H129" i="8"/>
  <c r="G129" i="8"/>
  <c r="H128" i="8"/>
  <c r="G128" i="8"/>
  <c r="H127" i="8"/>
  <c r="G127" i="8"/>
  <c r="H126" i="8"/>
  <c r="G126" i="8"/>
  <c r="H125" i="8"/>
  <c r="G125" i="8"/>
  <c r="H124" i="8"/>
  <c r="G124" i="8"/>
  <c r="H123" i="8"/>
  <c r="G123" i="8"/>
  <c r="H122" i="8"/>
  <c r="G122" i="8"/>
  <c r="H121" i="8"/>
  <c r="G121" i="8"/>
  <c r="H120" i="8"/>
  <c r="G120" i="8"/>
  <c r="H119" i="8"/>
  <c r="G119" i="8"/>
  <c r="H118" i="8"/>
  <c r="G118" i="8"/>
  <c r="H117" i="8"/>
  <c r="G117" i="8"/>
  <c r="H116" i="8"/>
  <c r="G116" i="8"/>
  <c r="H115" i="8"/>
  <c r="G115" i="8"/>
  <c r="H114" i="8"/>
  <c r="G114" i="8"/>
  <c r="H113" i="8"/>
  <c r="G113" i="8"/>
  <c r="H112" i="8"/>
  <c r="G112" i="8"/>
  <c r="H111" i="8"/>
  <c r="G111" i="8"/>
  <c r="H110" i="8"/>
  <c r="G110" i="8"/>
  <c r="H109" i="8"/>
  <c r="G109" i="8"/>
  <c r="H108" i="8"/>
  <c r="G108" i="8"/>
  <c r="H107" i="8"/>
  <c r="G107" i="8"/>
  <c r="H106" i="8"/>
  <c r="G106" i="8"/>
  <c r="H105" i="8"/>
  <c r="G105" i="8"/>
  <c r="H104" i="8"/>
  <c r="G104" i="8"/>
  <c r="H103" i="8"/>
  <c r="G103" i="8"/>
  <c r="H102" i="8"/>
  <c r="G102" i="8"/>
  <c r="H101" i="8"/>
  <c r="G101" i="8"/>
  <c r="H100" i="8"/>
  <c r="G100" i="8"/>
  <c r="H99" i="8"/>
  <c r="G99" i="8"/>
  <c r="H98" i="8"/>
  <c r="G98" i="8"/>
  <c r="H97" i="8"/>
  <c r="G97" i="8"/>
  <c r="H96" i="8"/>
  <c r="G96" i="8"/>
  <c r="H95" i="8"/>
  <c r="G95" i="8"/>
  <c r="H94" i="8"/>
  <c r="G94" i="8"/>
  <c r="H93" i="8"/>
  <c r="G93" i="8"/>
  <c r="H92" i="8"/>
  <c r="G92" i="8"/>
  <c r="H91" i="8"/>
  <c r="G91" i="8"/>
  <c r="H90" i="8"/>
  <c r="G90" i="8"/>
  <c r="H89" i="8"/>
  <c r="G89" i="8"/>
  <c r="H88" i="8"/>
  <c r="G88" i="8"/>
  <c r="H87" i="8"/>
  <c r="G87" i="8"/>
  <c r="H86" i="8"/>
  <c r="G86" i="8"/>
  <c r="H85" i="8"/>
  <c r="G85" i="8"/>
  <c r="H84" i="8"/>
  <c r="G84" i="8"/>
  <c r="H83" i="8"/>
  <c r="G83" i="8"/>
  <c r="H82" i="8"/>
  <c r="G82" i="8"/>
  <c r="H81" i="8"/>
  <c r="G81" i="8"/>
  <c r="H80" i="8"/>
  <c r="G80" i="8"/>
  <c r="H79" i="8"/>
  <c r="G79" i="8"/>
  <c r="H78" i="8"/>
  <c r="G78" i="8"/>
  <c r="H77" i="8"/>
  <c r="G77" i="8"/>
  <c r="H76" i="8"/>
  <c r="G76" i="8"/>
  <c r="H75" i="8"/>
  <c r="G75" i="8"/>
  <c r="H74" i="8"/>
  <c r="G74" i="8"/>
  <c r="H73" i="8"/>
  <c r="G73" i="8"/>
  <c r="H72" i="8"/>
  <c r="G72" i="8"/>
  <c r="H71" i="8"/>
  <c r="G71" i="8"/>
  <c r="H70" i="8"/>
  <c r="G70" i="8"/>
  <c r="H69" i="8"/>
  <c r="G69" i="8"/>
  <c r="H68" i="8"/>
  <c r="G68" i="8"/>
  <c r="H67" i="8"/>
  <c r="G67" i="8"/>
  <c r="H66" i="8"/>
  <c r="G66" i="8"/>
  <c r="H65" i="8"/>
  <c r="G65" i="8"/>
  <c r="H64" i="8"/>
  <c r="G64" i="8"/>
  <c r="H63" i="8"/>
  <c r="G63" i="8"/>
  <c r="H62" i="8"/>
  <c r="G62" i="8"/>
  <c r="H61" i="8"/>
  <c r="G61" i="8"/>
  <c r="H60" i="8"/>
  <c r="G60" i="8"/>
  <c r="H59" i="8"/>
  <c r="G59" i="8"/>
  <c r="H58" i="8"/>
  <c r="G58" i="8"/>
  <c r="H57" i="8"/>
  <c r="G57" i="8"/>
  <c r="H56" i="8"/>
  <c r="G56" i="8"/>
  <c r="H55" i="8"/>
  <c r="G55" i="8"/>
  <c r="H54" i="8"/>
  <c r="G54" i="8"/>
  <c r="H53" i="8"/>
  <c r="G53" i="8"/>
  <c r="H52" i="8"/>
  <c r="G52" i="8"/>
  <c r="H51" i="8"/>
  <c r="G51" i="8"/>
  <c r="H50" i="8"/>
  <c r="G50" i="8"/>
  <c r="H49" i="8"/>
  <c r="G49" i="8"/>
  <c r="H48" i="8"/>
  <c r="G48" i="8"/>
  <c r="H47" i="8"/>
  <c r="G47" i="8"/>
  <c r="H46" i="8"/>
  <c r="G46" i="8"/>
  <c r="H45" i="8"/>
  <c r="G45" i="8"/>
  <c r="H44" i="8"/>
  <c r="G44" i="8"/>
  <c r="H43" i="8"/>
  <c r="G43" i="8"/>
  <c r="H42" i="8"/>
  <c r="G42" i="8"/>
  <c r="H41" i="8"/>
  <c r="G41" i="8"/>
  <c r="H40" i="8"/>
  <c r="G40" i="8"/>
  <c r="H39" i="8"/>
  <c r="G39" i="8"/>
  <c r="H38" i="8"/>
  <c r="G38" i="8"/>
  <c r="H37" i="8"/>
  <c r="G37" i="8"/>
  <c r="H36" i="8"/>
  <c r="G36" i="8"/>
  <c r="H35" i="8"/>
  <c r="G35" i="8"/>
  <c r="H34" i="8"/>
  <c r="G34" i="8"/>
  <c r="H33" i="8"/>
  <c r="G33" i="8"/>
  <c r="H32" i="8"/>
  <c r="G32" i="8"/>
  <c r="H31" i="8"/>
  <c r="G31" i="8"/>
  <c r="H30" i="8"/>
  <c r="G30" i="8"/>
  <c r="H29" i="8"/>
  <c r="G29" i="8"/>
  <c r="H28" i="8"/>
  <c r="G28" i="8"/>
  <c r="H27" i="8"/>
  <c r="G27" i="8"/>
  <c r="H26" i="8"/>
  <c r="G26" i="8"/>
  <c r="H25" i="8"/>
  <c r="G25" i="8"/>
  <c r="H24" i="8"/>
  <c r="G24" i="8"/>
  <c r="H23" i="8"/>
  <c r="G23" i="8"/>
  <c r="H22" i="8"/>
  <c r="G22" i="8"/>
  <c r="H21" i="8"/>
  <c r="G21" i="8"/>
  <c r="H20" i="8"/>
  <c r="G20" i="8"/>
  <c r="H19" i="8"/>
  <c r="G19" i="8"/>
  <c r="H18" i="8"/>
  <c r="G18" i="8"/>
  <c r="H17" i="8"/>
  <c r="G17" i="8"/>
  <c r="H16" i="8"/>
  <c r="G16" i="8"/>
  <c r="H15" i="8"/>
  <c r="G15" i="8"/>
  <c r="H14" i="8"/>
  <c r="G14" i="8"/>
  <c r="H13" i="8"/>
  <c r="G13" i="8"/>
  <c r="H12" i="8"/>
  <c r="G12" i="8"/>
  <c r="H11" i="8"/>
  <c r="G11" i="8"/>
  <c r="H10" i="8"/>
  <c r="G10" i="8"/>
  <c r="H9" i="8"/>
  <c r="G9" i="8"/>
  <c r="H8" i="8"/>
  <c r="G8" i="8"/>
  <c r="H7" i="8"/>
  <c r="G7" i="8"/>
  <c r="H6" i="8"/>
  <c r="G6" i="8"/>
  <c r="H5" i="8"/>
  <c r="G5" i="8"/>
  <c r="H4" i="8"/>
  <c r="G4" i="8"/>
  <c r="H3" i="8"/>
  <c r="G3" i="8"/>
  <c r="H2" i="8"/>
  <c r="G2" i="8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2" i="6"/>
  <c r="G1001" i="6"/>
  <c r="G1000" i="6"/>
  <c r="G999" i="6"/>
  <c r="G998" i="6"/>
  <c r="G997" i="6"/>
  <c r="G996" i="6"/>
  <c r="G995" i="6"/>
  <c r="G994" i="6"/>
  <c r="G993" i="6"/>
  <c r="G992" i="6"/>
  <c r="G991" i="6"/>
  <c r="G990" i="6"/>
  <c r="G989" i="6"/>
  <c r="G988" i="6"/>
  <c r="G987" i="6"/>
  <c r="G986" i="6"/>
  <c r="G985" i="6"/>
  <c r="G984" i="6"/>
  <c r="G983" i="6"/>
  <c r="G982" i="6"/>
  <c r="G981" i="6"/>
  <c r="G980" i="6"/>
  <c r="G979" i="6"/>
  <c r="G978" i="6"/>
  <c r="G977" i="6"/>
  <c r="G976" i="6"/>
  <c r="G975" i="6"/>
  <c r="G974" i="6"/>
  <c r="G973" i="6"/>
  <c r="G972" i="6"/>
  <c r="G971" i="6"/>
  <c r="G970" i="6"/>
  <c r="G969" i="6"/>
  <c r="G968" i="6"/>
  <c r="G967" i="6"/>
  <c r="G966" i="6"/>
  <c r="G965" i="6"/>
  <c r="G964" i="6"/>
  <c r="G963" i="6"/>
  <c r="G962" i="6"/>
  <c r="G961" i="6"/>
  <c r="G960" i="6"/>
  <c r="G959" i="6"/>
  <c r="G958" i="6"/>
  <c r="G957" i="6"/>
  <c r="G956" i="6"/>
  <c r="G955" i="6"/>
  <c r="G954" i="6"/>
  <c r="G953" i="6"/>
  <c r="G952" i="6"/>
  <c r="G951" i="6"/>
  <c r="G950" i="6"/>
  <c r="G949" i="6"/>
  <c r="G948" i="6"/>
  <c r="G947" i="6"/>
  <c r="G946" i="6"/>
  <c r="G945" i="6"/>
  <c r="G944" i="6"/>
  <c r="G943" i="6"/>
  <c r="G942" i="6"/>
  <c r="G941" i="6"/>
  <c r="G940" i="6"/>
  <c r="G939" i="6"/>
  <c r="G938" i="6"/>
  <c r="G937" i="6"/>
  <c r="G936" i="6"/>
  <c r="G935" i="6"/>
  <c r="G934" i="6"/>
  <c r="G933" i="6"/>
  <c r="G932" i="6"/>
  <c r="G931" i="6"/>
  <c r="G930" i="6"/>
  <c r="G929" i="6"/>
  <c r="G928" i="6"/>
  <c r="G927" i="6"/>
  <c r="G926" i="6"/>
  <c r="G925" i="6"/>
  <c r="G924" i="6"/>
  <c r="G923" i="6"/>
  <c r="G922" i="6"/>
  <c r="G921" i="6"/>
  <c r="G920" i="6"/>
  <c r="G919" i="6"/>
  <c r="G918" i="6"/>
  <c r="G917" i="6"/>
  <c r="G916" i="6"/>
  <c r="G915" i="6"/>
  <c r="G914" i="6"/>
  <c r="G913" i="6"/>
  <c r="G912" i="6"/>
  <c r="G911" i="6"/>
  <c r="G910" i="6"/>
  <c r="G909" i="6"/>
  <c r="G908" i="6"/>
  <c r="G907" i="6"/>
  <c r="G906" i="6"/>
  <c r="G905" i="6"/>
  <c r="G904" i="6"/>
  <c r="G903" i="6"/>
  <c r="G902" i="6"/>
  <c r="G901" i="6"/>
  <c r="G900" i="6"/>
  <c r="G899" i="6"/>
  <c r="G898" i="6"/>
  <c r="G897" i="6"/>
  <c r="G896" i="6"/>
  <c r="G895" i="6"/>
  <c r="G894" i="6"/>
  <c r="G893" i="6"/>
  <c r="G892" i="6"/>
  <c r="G891" i="6"/>
  <c r="G890" i="6"/>
  <c r="G889" i="6"/>
  <c r="G888" i="6"/>
  <c r="G887" i="6"/>
  <c r="G886" i="6"/>
  <c r="G885" i="6"/>
  <c r="G884" i="6"/>
  <c r="G883" i="6"/>
  <c r="G882" i="6"/>
  <c r="G881" i="6"/>
  <c r="G880" i="6"/>
  <c r="G879" i="6"/>
  <c r="G878" i="6"/>
  <c r="G877" i="6"/>
  <c r="G876" i="6"/>
  <c r="G875" i="6"/>
  <c r="G874" i="6"/>
  <c r="G873" i="6"/>
  <c r="G872" i="6"/>
  <c r="G871" i="6"/>
  <c r="G870" i="6"/>
  <c r="G869" i="6"/>
  <c r="G868" i="6"/>
  <c r="G867" i="6"/>
  <c r="G866" i="6"/>
  <c r="G865" i="6"/>
  <c r="G864" i="6"/>
  <c r="G863" i="6"/>
  <c r="G862" i="6"/>
  <c r="G861" i="6"/>
  <c r="G860" i="6"/>
  <c r="G859" i="6"/>
  <c r="G858" i="6"/>
  <c r="G857" i="6"/>
  <c r="G856" i="6"/>
  <c r="G855" i="6"/>
  <c r="G854" i="6"/>
  <c r="G853" i="6"/>
  <c r="G852" i="6"/>
  <c r="G851" i="6"/>
  <c r="G850" i="6"/>
  <c r="G849" i="6"/>
  <c r="G848" i="6"/>
  <c r="G847" i="6"/>
  <c r="G846" i="6"/>
  <c r="G845" i="6"/>
  <c r="G844" i="6"/>
  <c r="G843" i="6"/>
  <c r="G842" i="6"/>
  <c r="G841" i="6"/>
  <c r="G840" i="6"/>
  <c r="G839" i="6"/>
  <c r="G838" i="6"/>
  <c r="G837" i="6"/>
  <c r="G836" i="6"/>
  <c r="G835" i="6"/>
  <c r="G834" i="6"/>
  <c r="G833" i="6"/>
  <c r="G832" i="6"/>
  <c r="G831" i="6"/>
  <c r="G830" i="6"/>
  <c r="G829" i="6"/>
  <c r="G828" i="6"/>
  <c r="G827" i="6"/>
  <c r="G826" i="6"/>
  <c r="G825" i="6"/>
  <c r="G824" i="6"/>
  <c r="G823" i="6"/>
  <c r="G822" i="6"/>
  <c r="G821" i="6"/>
  <c r="G820" i="6"/>
  <c r="G819" i="6"/>
  <c r="G818" i="6"/>
  <c r="G817" i="6"/>
  <c r="G816" i="6"/>
  <c r="G815" i="6"/>
  <c r="G814" i="6"/>
  <c r="G813" i="6"/>
  <c r="G812" i="6"/>
  <c r="G811" i="6"/>
  <c r="G810" i="6"/>
  <c r="G809" i="6"/>
  <c r="G808" i="6"/>
  <c r="G807" i="6"/>
  <c r="G806" i="6"/>
  <c r="G805" i="6"/>
  <c r="G804" i="6"/>
  <c r="G803" i="6"/>
  <c r="G802" i="6"/>
  <c r="G801" i="6"/>
  <c r="G800" i="6"/>
  <c r="G799" i="6"/>
  <c r="G798" i="6"/>
  <c r="G797" i="6"/>
  <c r="G796" i="6"/>
  <c r="G795" i="6"/>
  <c r="G794" i="6"/>
  <c r="G793" i="6"/>
  <c r="G792" i="6"/>
  <c r="G791" i="6"/>
  <c r="G790" i="6"/>
  <c r="G789" i="6"/>
  <c r="G788" i="6"/>
  <c r="G787" i="6"/>
  <c r="G786" i="6"/>
  <c r="G785" i="6"/>
  <c r="G784" i="6"/>
  <c r="G783" i="6"/>
  <c r="G782" i="6"/>
  <c r="G781" i="6"/>
  <c r="G780" i="6"/>
  <c r="G779" i="6"/>
  <c r="G778" i="6"/>
  <c r="G777" i="6"/>
  <c r="G776" i="6"/>
  <c r="G775" i="6"/>
  <c r="G774" i="6"/>
  <c r="G773" i="6"/>
  <c r="G772" i="6"/>
  <c r="G771" i="6"/>
  <c r="G770" i="6"/>
  <c r="G769" i="6"/>
  <c r="G768" i="6"/>
  <c r="G767" i="6"/>
  <c r="G766" i="6"/>
  <c r="G765" i="6"/>
  <c r="G764" i="6"/>
  <c r="G763" i="6"/>
  <c r="G762" i="6"/>
  <c r="G761" i="6"/>
  <c r="G760" i="6"/>
  <c r="G759" i="6"/>
  <c r="G758" i="6"/>
  <c r="G757" i="6"/>
  <c r="G756" i="6"/>
  <c r="G755" i="6"/>
  <c r="G754" i="6"/>
  <c r="G753" i="6"/>
  <c r="G752" i="6"/>
  <c r="G751" i="6"/>
  <c r="G750" i="6"/>
  <c r="G749" i="6"/>
  <c r="G748" i="6"/>
  <c r="G747" i="6"/>
  <c r="G746" i="6"/>
  <c r="G745" i="6"/>
  <c r="G744" i="6"/>
  <c r="G743" i="6"/>
  <c r="G742" i="6"/>
  <c r="G741" i="6"/>
  <c r="G740" i="6"/>
  <c r="G739" i="6"/>
  <c r="G738" i="6"/>
  <c r="G737" i="6"/>
  <c r="G736" i="6"/>
  <c r="G735" i="6"/>
  <c r="G734" i="6"/>
  <c r="G733" i="6"/>
  <c r="G732" i="6"/>
  <c r="G731" i="6"/>
  <c r="G730" i="6"/>
  <c r="G729" i="6"/>
  <c r="G728" i="6"/>
  <c r="G727" i="6"/>
  <c r="G726" i="6"/>
  <c r="G725" i="6"/>
  <c r="G724" i="6"/>
  <c r="G723" i="6"/>
  <c r="G722" i="6"/>
  <c r="G721" i="6"/>
  <c r="G720" i="6"/>
  <c r="G719" i="6"/>
  <c r="G718" i="6"/>
  <c r="G717" i="6"/>
  <c r="G716" i="6"/>
  <c r="G715" i="6"/>
  <c r="G714" i="6"/>
  <c r="G713" i="6"/>
  <c r="G712" i="6"/>
  <c r="G711" i="6"/>
  <c r="G710" i="6"/>
  <c r="G709" i="6"/>
  <c r="G708" i="6"/>
  <c r="G707" i="6"/>
  <c r="G706" i="6"/>
  <c r="G705" i="6"/>
  <c r="G704" i="6"/>
  <c r="G703" i="6"/>
  <c r="G702" i="6"/>
  <c r="G701" i="6"/>
  <c r="G700" i="6"/>
  <c r="G699" i="6"/>
  <c r="G698" i="6"/>
  <c r="G697" i="6"/>
  <c r="G696" i="6"/>
  <c r="G695" i="6"/>
  <c r="G694" i="6"/>
  <c r="G693" i="6"/>
  <c r="G692" i="6"/>
  <c r="G691" i="6"/>
  <c r="G690" i="6"/>
  <c r="G689" i="6"/>
  <c r="G688" i="6"/>
  <c r="G687" i="6"/>
  <c r="G686" i="6"/>
  <c r="G685" i="6"/>
  <c r="G684" i="6"/>
  <c r="G683" i="6"/>
  <c r="G682" i="6"/>
  <c r="G681" i="6"/>
  <c r="G680" i="6"/>
  <c r="G679" i="6"/>
  <c r="G678" i="6"/>
  <c r="G677" i="6"/>
  <c r="G676" i="6"/>
  <c r="G675" i="6"/>
  <c r="G674" i="6"/>
  <c r="G673" i="6"/>
  <c r="G672" i="6"/>
  <c r="G671" i="6"/>
  <c r="G670" i="6"/>
  <c r="G669" i="6"/>
  <c r="G668" i="6"/>
  <c r="G667" i="6"/>
  <c r="G666" i="6"/>
  <c r="G665" i="6"/>
  <c r="G664" i="6"/>
  <c r="G663" i="6"/>
  <c r="G662" i="6"/>
  <c r="G661" i="6"/>
  <c r="G660" i="6"/>
  <c r="G659" i="6"/>
  <c r="G658" i="6"/>
  <c r="G657" i="6"/>
  <c r="G656" i="6"/>
  <c r="G655" i="6"/>
  <c r="G654" i="6"/>
  <c r="G653" i="6"/>
  <c r="G652" i="6"/>
  <c r="G651" i="6"/>
  <c r="G650" i="6"/>
  <c r="G649" i="6"/>
  <c r="G648" i="6"/>
  <c r="G647" i="6"/>
  <c r="G646" i="6"/>
  <c r="G645" i="6"/>
  <c r="G644" i="6"/>
  <c r="G643" i="6"/>
  <c r="G642" i="6"/>
  <c r="G641" i="6"/>
  <c r="G640" i="6"/>
  <c r="G639" i="6"/>
  <c r="G638" i="6"/>
  <c r="G637" i="6"/>
  <c r="G636" i="6"/>
  <c r="G635" i="6"/>
  <c r="G634" i="6"/>
  <c r="G633" i="6"/>
  <c r="G632" i="6"/>
  <c r="G631" i="6"/>
  <c r="G630" i="6"/>
  <c r="G629" i="6"/>
  <c r="G628" i="6"/>
  <c r="G627" i="6"/>
  <c r="G626" i="6"/>
  <c r="G625" i="6"/>
  <c r="G624" i="6"/>
  <c r="G623" i="6"/>
  <c r="G622" i="6"/>
  <c r="G621" i="6"/>
  <c r="G620" i="6"/>
  <c r="G619" i="6"/>
  <c r="G618" i="6"/>
  <c r="G617" i="6"/>
  <c r="G616" i="6"/>
  <c r="G615" i="6"/>
  <c r="G614" i="6"/>
  <c r="G613" i="6"/>
  <c r="G612" i="6"/>
  <c r="G611" i="6"/>
  <c r="G610" i="6"/>
  <c r="G609" i="6"/>
  <c r="G608" i="6"/>
  <c r="G607" i="6"/>
  <c r="G606" i="6"/>
  <c r="G605" i="6"/>
  <c r="G604" i="6"/>
  <c r="G603" i="6"/>
  <c r="G602" i="6"/>
  <c r="G601" i="6"/>
  <c r="G600" i="6"/>
  <c r="G599" i="6"/>
  <c r="G598" i="6"/>
  <c r="G597" i="6"/>
  <c r="G596" i="6"/>
  <c r="G595" i="6"/>
  <c r="G594" i="6"/>
  <c r="G593" i="6"/>
  <c r="G592" i="6"/>
  <c r="G591" i="6"/>
  <c r="G590" i="6"/>
  <c r="G589" i="6"/>
  <c r="G588" i="6"/>
  <c r="G587" i="6"/>
  <c r="G586" i="6"/>
  <c r="G585" i="6"/>
  <c r="G584" i="6"/>
  <c r="G583" i="6"/>
  <c r="G582" i="6"/>
  <c r="G581" i="6"/>
  <c r="G580" i="6"/>
  <c r="G579" i="6"/>
  <c r="G578" i="6"/>
  <c r="G577" i="6"/>
  <c r="G576" i="6"/>
  <c r="G575" i="6"/>
  <c r="G574" i="6"/>
  <c r="G573" i="6"/>
  <c r="G572" i="6"/>
  <c r="G571" i="6"/>
  <c r="G570" i="6"/>
  <c r="G569" i="6"/>
  <c r="G568" i="6"/>
  <c r="G567" i="6"/>
  <c r="G566" i="6"/>
  <c r="G565" i="6"/>
  <c r="G564" i="6"/>
  <c r="G563" i="6"/>
  <c r="G562" i="6"/>
  <c r="G561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7" i="6"/>
  <c r="G546" i="6"/>
  <c r="G545" i="6"/>
  <c r="G544" i="6"/>
  <c r="G543" i="6"/>
  <c r="G542" i="6"/>
  <c r="G541" i="6"/>
  <c r="G540" i="6"/>
  <c r="G539" i="6"/>
  <c r="G538" i="6"/>
  <c r="G537" i="6"/>
  <c r="G536" i="6"/>
  <c r="G535" i="6"/>
  <c r="G534" i="6"/>
  <c r="G533" i="6"/>
  <c r="G532" i="6"/>
  <c r="G531" i="6"/>
  <c r="G530" i="6"/>
  <c r="G529" i="6"/>
  <c r="G528" i="6"/>
  <c r="G527" i="6"/>
  <c r="G526" i="6"/>
  <c r="G525" i="6"/>
  <c r="G524" i="6"/>
  <c r="G523" i="6"/>
  <c r="G522" i="6"/>
  <c r="G521" i="6"/>
  <c r="G520" i="6"/>
  <c r="G519" i="6"/>
  <c r="G518" i="6"/>
  <c r="G517" i="6"/>
  <c r="G516" i="6"/>
  <c r="G515" i="6"/>
  <c r="G514" i="6"/>
  <c r="G513" i="6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G497" i="6"/>
  <c r="G496" i="6"/>
  <c r="G495" i="6"/>
  <c r="G494" i="6"/>
  <c r="G493" i="6"/>
  <c r="G492" i="6"/>
  <c r="G491" i="6"/>
  <c r="G490" i="6"/>
  <c r="G489" i="6"/>
  <c r="G488" i="6"/>
  <c r="G487" i="6"/>
  <c r="G486" i="6"/>
  <c r="G485" i="6"/>
  <c r="G484" i="6"/>
  <c r="G483" i="6"/>
  <c r="G482" i="6"/>
  <c r="G481" i="6"/>
  <c r="G480" i="6"/>
  <c r="G479" i="6"/>
  <c r="G478" i="6"/>
  <c r="G477" i="6"/>
  <c r="G476" i="6"/>
  <c r="G475" i="6"/>
  <c r="G474" i="6"/>
  <c r="G473" i="6"/>
  <c r="G472" i="6"/>
  <c r="G471" i="6"/>
  <c r="G470" i="6"/>
  <c r="G469" i="6"/>
  <c r="G468" i="6"/>
  <c r="G467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G451" i="6"/>
  <c r="G450" i="6"/>
  <c r="G449" i="6"/>
  <c r="G448" i="6"/>
  <c r="G447" i="6"/>
  <c r="G446" i="6"/>
  <c r="G445" i="6"/>
  <c r="G444" i="6"/>
  <c r="G443" i="6"/>
  <c r="G442" i="6"/>
  <c r="G441" i="6"/>
  <c r="G440" i="6"/>
  <c r="G439" i="6"/>
  <c r="G438" i="6"/>
  <c r="G437" i="6"/>
  <c r="G436" i="6"/>
  <c r="G435" i="6"/>
  <c r="G434" i="6"/>
  <c r="G433" i="6"/>
  <c r="G432" i="6"/>
  <c r="G431" i="6"/>
  <c r="G430" i="6"/>
  <c r="G429" i="6"/>
  <c r="G428" i="6"/>
  <c r="G427" i="6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3" i="6"/>
  <c r="G412" i="6"/>
  <c r="G411" i="6"/>
  <c r="G410" i="6"/>
  <c r="G409" i="6"/>
  <c r="G408" i="6"/>
  <c r="G407" i="6"/>
  <c r="G406" i="6"/>
  <c r="G405" i="6"/>
  <c r="G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G372" i="6"/>
  <c r="G371" i="6"/>
  <c r="G370" i="6"/>
  <c r="G369" i="6"/>
  <c r="G368" i="6"/>
  <c r="G367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EA7D21-40EC-4B80-9C65-9DBA4BF7D866}" keepAlive="1" name="Zapytanie — podroze" description="Połączenie z zapytaniem „podroze” w skoroszycie." type="5" refreshedVersion="0" background="1">
    <dbPr connection="Provider=Microsoft.Mashup.OleDb.1;Data Source=$Workbook$;Location=podroze;Extended Properties=&quot;&quot;" command="SELECT * FROM [podroze]"/>
  </connection>
</connections>
</file>

<file path=xl/sharedStrings.xml><?xml version="1.0" encoding="utf-8"?>
<sst xmlns="http://schemas.openxmlformats.org/spreadsheetml/2006/main" count="18288" uniqueCount="199">
  <si>
    <t>Imie</t>
  </si>
  <si>
    <t>Nazwisko</t>
  </si>
  <si>
    <t>Miasto</t>
  </si>
  <si>
    <t>D_wyj</t>
  </si>
  <si>
    <t>D_powr</t>
  </si>
  <si>
    <t>Koszt_wyj</t>
  </si>
  <si>
    <t>Karolina</t>
  </si>
  <si>
    <t>Arska</t>
  </si>
  <si>
    <t>Malbork</t>
  </si>
  <si>
    <t>Justyna</t>
  </si>
  <si>
    <t>Kolska</t>
  </si>
  <si>
    <t>Siedlce</t>
  </si>
  <si>
    <t>Dorota</t>
  </si>
  <si>
    <t>Morska</t>
  </si>
  <si>
    <t>Radom</t>
  </si>
  <si>
    <t>Piotr</t>
  </si>
  <si>
    <t>Roman</t>
  </si>
  <si>
    <t>Krakow</t>
  </si>
  <si>
    <t>Tracz</t>
  </si>
  <si>
    <t>Bydgoszcz</t>
  </si>
  <si>
    <t>Kamil</t>
  </si>
  <si>
    <t>Zabrzeski</t>
  </si>
  <si>
    <t>Patrycja</t>
  </si>
  <si>
    <t>Andrycz</t>
  </si>
  <si>
    <t>Lublin</t>
  </si>
  <si>
    <t>Jerzy</t>
  </si>
  <si>
    <t>Granica</t>
  </si>
  <si>
    <t>Mielec</t>
  </si>
  <si>
    <t>Marzena</t>
  </si>
  <si>
    <t>Gras</t>
  </si>
  <si>
    <t>Zgierz</t>
  </si>
  <si>
    <t>Sebastian</t>
  </si>
  <si>
    <t>Halik</t>
  </si>
  <si>
    <t>Andrzej</t>
  </si>
  <si>
    <t>Klajn</t>
  </si>
  <si>
    <t>Misiek</t>
  </si>
  <si>
    <t>January</t>
  </si>
  <si>
    <t>Pluta</t>
  </si>
  <si>
    <t>Kutno</t>
  </si>
  <si>
    <t>Gustaw</t>
  </si>
  <si>
    <t>Poznanski</t>
  </si>
  <si>
    <t>Kolarski</t>
  </si>
  <si>
    <t>Marta</t>
  </si>
  <si>
    <t>Nowowiejska</t>
  </si>
  <si>
    <t>Armowicz</t>
  </si>
  <si>
    <t>Podkalicka</t>
  </si>
  <si>
    <t>Bojarun</t>
  </si>
  <si>
    <t>Olsztyn</t>
  </si>
  <si>
    <t>Bonifacy</t>
  </si>
  <si>
    <t>Barczewski</t>
  </si>
  <si>
    <t>Olivia</t>
  </si>
  <si>
    <t>Gabor</t>
  </si>
  <si>
    <t>Lidia</t>
  </si>
  <si>
    <t>Opolska</t>
  </si>
  <si>
    <t>Paulina</t>
  </si>
  <si>
    <t>Basala</t>
  </si>
  <si>
    <t>Janes</t>
  </si>
  <si>
    <t>Amelia</t>
  </si>
  <si>
    <t>Wojtecka</t>
  </si>
  <si>
    <t>Kalisz</t>
  </si>
  <si>
    <t>Grab</t>
  </si>
  <si>
    <t>Amadeusz</t>
  </si>
  <si>
    <t>Helski</t>
  </si>
  <si>
    <t>Rajczakowski</t>
  </si>
  <si>
    <t>Karol</t>
  </si>
  <si>
    <t>Witkiewicz</t>
  </si>
  <si>
    <t>Kielce</t>
  </si>
  <si>
    <t>Dusznicki</t>
  </si>
  <si>
    <t>Jurajski</t>
  </si>
  <si>
    <t>Krynicka</t>
  </si>
  <si>
    <t>Marek</t>
  </si>
  <si>
    <t>Holski</t>
  </si>
  <si>
    <t>Katowice</t>
  </si>
  <si>
    <t>Wojciech</t>
  </si>
  <si>
    <t>Krokus</t>
  </si>
  <si>
    <t>Ewelia</t>
  </si>
  <si>
    <t>Prus</t>
  </si>
  <si>
    <t>Puchacz</t>
  </si>
  <si>
    <t>Argonski</t>
  </si>
  <si>
    <t>Eustachy</t>
  </si>
  <si>
    <t>Bydgoski</t>
  </si>
  <si>
    <t>Chorzowska</t>
  </si>
  <si>
    <t>Kornel</t>
  </si>
  <si>
    <t>Czerski</t>
  </si>
  <si>
    <t>Edwina</t>
  </si>
  <si>
    <t>Elawa</t>
  </si>
  <si>
    <t>Adam</t>
  </si>
  <si>
    <t>Markowski</t>
  </si>
  <si>
    <t>Nyska</t>
  </si>
  <si>
    <t>Narcyz</t>
  </si>
  <si>
    <t>Polanicki</t>
  </si>
  <si>
    <t>Jan</t>
  </si>
  <si>
    <t>Rzymski</t>
  </si>
  <si>
    <t>Zofia</t>
  </si>
  <si>
    <t>Seredycka</t>
  </si>
  <si>
    <t>Sosnowiecka</t>
  </si>
  <si>
    <t>Sworacz</t>
  </si>
  <si>
    <t>Janusz</t>
  </si>
  <si>
    <t>Jurkicz</t>
  </si>
  <si>
    <t>Ewa</t>
  </si>
  <si>
    <t>Kwiska</t>
  </si>
  <si>
    <t>Michalina</t>
  </si>
  <si>
    <t>Lamda</t>
  </si>
  <si>
    <t>Laska</t>
  </si>
  <si>
    <t>Magierowcz</t>
  </si>
  <si>
    <t>Malski</t>
  </si>
  <si>
    <t>Maselska</t>
  </si>
  <si>
    <t>Kazimiera</t>
  </si>
  <si>
    <t>Parczewska</t>
  </si>
  <si>
    <t>Katarzyna</t>
  </si>
  <si>
    <t>Piotrowska</t>
  </si>
  <si>
    <t>Grzegorz</t>
  </si>
  <si>
    <t>Podolski</t>
  </si>
  <si>
    <t>Tomasz</t>
  </si>
  <si>
    <t>Rzepka</t>
  </si>
  <si>
    <t>Anna</t>
  </si>
  <si>
    <t>Sobecka</t>
  </si>
  <si>
    <t>Trzeski</t>
  </si>
  <si>
    <t>Watrach</t>
  </si>
  <si>
    <t>Malwina</t>
  </si>
  <si>
    <t>Papkin</t>
  </si>
  <si>
    <t>Maskor</t>
  </si>
  <si>
    <t>Dominika</t>
  </si>
  <si>
    <t>Bodera</t>
  </si>
  <si>
    <t>Budzianowska</t>
  </si>
  <si>
    <t>Henrykowski</t>
  </si>
  <si>
    <t>Kacper</t>
  </si>
  <si>
    <t>Krajewski</t>
  </si>
  <si>
    <t>Janina</t>
  </si>
  <si>
    <t>Bolanowska</t>
  </si>
  <si>
    <t>Fidyk</t>
  </si>
  <si>
    <t>Wiktor</t>
  </si>
  <si>
    <t>Wroblewski</t>
  </si>
  <si>
    <t>Dok</t>
  </si>
  <si>
    <t>Zuzanna</t>
  </si>
  <si>
    <t>Kowalska</t>
  </si>
  <si>
    <t>Wradoch</t>
  </si>
  <si>
    <t>Rozalia</t>
  </si>
  <si>
    <t>Siedlecka</t>
  </si>
  <si>
    <t>Bizuta</t>
  </si>
  <si>
    <t>Kaliska</t>
  </si>
  <si>
    <t>Barcz</t>
  </si>
  <si>
    <t>Czekan</t>
  </si>
  <si>
    <t>Bogumi</t>
  </si>
  <si>
    <t>Lubelski</t>
  </si>
  <si>
    <t>Zyta</t>
  </si>
  <si>
    <t>Mazurkiewicz</t>
  </si>
  <si>
    <t>Maria</t>
  </si>
  <si>
    <t>Ozimek</t>
  </si>
  <si>
    <t>Piotrkowska</t>
  </si>
  <si>
    <t>Falski</t>
  </si>
  <si>
    <t>Teresa</t>
  </si>
  <si>
    <t>Moskiewska</t>
  </si>
  <si>
    <t>Augustowska</t>
  </si>
  <si>
    <t>Budzis</t>
  </si>
  <si>
    <t>Mazowiecki</t>
  </si>
  <si>
    <t>Irma</t>
  </si>
  <si>
    <t>Opoczna</t>
  </si>
  <si>
    <t>Krystyna</t>
  </si>
  <si>
    <t>Pleszewska</t>
  </si>
  <si>
    <t>Parad</t>
  </si>
  <si>
    <t>Suwski</t>
  </si>
  <si>
    <t>Pomorski</t>
  </si>
  <si>
    <t>Calika</t>
  </si>
  <si>
    <t>Albert</t>
  </si>
  <si>
    <t>Marakasz</t>
  </si>
  <si>
    <t>Daria</t>
  </si>
  <si>
    <t>Paryska</t>
  </si>
  <si>
    <t>Marcin</t>
  </si>
  <si>
    <t>Jarskarski</t>
  </si>
  <si>
    <t>Natalia</t>
  </si>
  <si>
    <t>Idar</t>
  </si>
  <si>
    <t>Czarnoleska</t>
  </si>
  <si>
    <t>Ewelina</t>
  </si>
  <si>
    <t>Adamska</t>
  </si>
  <si>
    <t>Etykiety wierszy</t>
  </si>
  <si>
    <t>Suma końcowa</t>
  </si>
  <si>
    <t>Liczba z D_wyj</t>
  </si>
  <si>
    <t>Adamska Ewelina</t>
  </si>
  <si>
    <t>Ilość Dni</t>
  </si>
  <si>
    <t>Suma z Ilość Dni</t>
  </si>
  <si>
    <t>Koszt posiłków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</si>
  <si>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</si>
  <si>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</si>
  <si>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</si>
  <si>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</si>
  <si>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</si>
  <si>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</si>
  <si>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</si>
  <si>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</si>
  <si>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</si>
  <si>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</si>
  <si>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</si>
  <si>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</si>
  <si>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Liczba z Nazwisko</t>
  </si>
  <si>
    <t>Liczba noclegów</t>
  </si>
  <si>
    <t>Del 2 dni</t>
  </si>
  <si>
    <t>Koszt delegacji</t>
  </si>
  <si>
    <t>Suma z Koszt delegacji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</si>
</sst>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NumberFormat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NumberFormat="1" applyFont="1" applyFill="1" applyBorder="1"/>
    <xf numFmtId="0" fontId="0" fillId="3" borderId="5" xfId="0" applyNumberFormat="1" applyFont="1" applyFill="1" applyBorder="1"/>
    <xf numFmtId="14" fontId="0" fillId="3" borderId="5" xfId="0" applyNumberFormat="1" applyFont="1" applyFill="1" applyBorder="1"/>
    <xf numFmtId="0" fontId="0" fillId="3" borderId="6" xfId="0" applyFont="1" applyFill="1" applyBorder="1"/>
    <xf numFmtId="0" fontId="0" fillId="0" borderId="4" xfId="0" applyNumberFormat="1" applyFont="1" applyBorder="1"/>
    <xf numFmtId="0" fontId="0" fillId="0" borderId="5" xfId="0" applyNumberFormat="1" applyFont="1" applyBorder="1"/>
    <xf numFmtId="14" fontId="0" fillId="0" borderId="5" xfId="0" applyNumberFormat="1" applyFont="1" applyBorder="1"/>
    <xf numFmtId="0" fontId="0" fillId="0" borderId="6" xfId="0" applyFont="1" applyBorder="1"/>
    <xf numFmtId="0" fontId="0" fillId="0" borderId="1" xfId="0" applyNumberFormat="1" applyFont="1" applyBorder="1"/>
    <xf numFmtId="0" fontId="0" fillId="0" borderId="2" xfId="0" applyNumberFormat="1" applyFont="1" applyBorder="1"/>
    <xf numFmtId="14" fontId="0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0" xfId="0" applyFont="1" applyFill="1" applyBorder="1"/>
    <xf numFmtId="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[zad093.xlsx]93.4!Tabela przestawna4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delegacji w poszczególnych miesiącach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'93.4'!$I$2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'93.4'!$H$3:$H$15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'93.4'!$I$3:$I$15</c:f>
              <c:numCache>
                <c:formatCode>General</c:formatCode>
                <c:ptCount val="12"/>
                <c:pt idx="0">
                  <c:v>130</c:v>
                </c:pt>
                <c:pt idx="1">
                  <c:v>68</c:v>
                </c:pt>
                <c:pt idx="2">
                  <c:v>63</c:v>
                </c:pt>
                <c:pt idx="3">
                  <c:v>32</c:v>
                </c:pt>
                <c:pt idx="4">
                  <c:v>31</c:v>
                </c:pt>
                <c:pt idx="5">
                  <c:v>63</c:v>
                </c:pt>
                <c:pt idx="6">
                  <c:v>70</c:v>
                </c:pt>
                <c:pt idx="7">
                  <c:v>54</c:v>
                </c:pt>
                <c:pt idx="8">
                  <c:v>121</c:v>
                </c:pt>
                <c:pt idx="9">
                  <c:v>103</c:v>
                </c:pt>
                <c:pt idx="10">
                  <c:v>135</c:v>
                </c:pt>
                <c:pt idx="11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0-497C-BD08-712195E9A2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7140783"/>
        <c:axId val="587143663"/>
      </c:barChart>
      <c:catAx>
        <c:axId val="587140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7143663"/>
        <c:crosses val="autoZero"/>
        <c:auto val="1"/>
        <c:lblAlgn val="ctr"/>
        <c:lblOffset val="100"/>
        <c:noMultiLvlLbl val="0"/>
      </c:catAx>
      <c:valAx>
        <c:axId val="58714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osób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714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508835</xdr:colOff>
      <xdr:row>16</xdr:row>
      <xdr:rowOff>2006</xdr:rowOff>
    </xdr:from>
    <xdr:to>
      <xdr:col>12</xdr:col>
      <xdr:colOff>348414</xdr:colOff>
      <xdr:row>30</xdr:row>
      <xdr:rowOff>78206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2E7B3F4-BFE1-01CC-BE9C-213873980F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064.927585532409" createdVersion="8" refreshedVersion="8" minRefreshableVersion="3" recordCount="1000" xr:uid="{798E4811-3CFB-4B06-8218-A086DEBF1451}">
  <cacheSource type="worksheet">
    <worksheetSource ref="A1:F1001" sheet="93.1"/>
  </cacheSource>
  <cacheFields count="6">
    <cacheField name="Imie" numFmtId="0">
      <sharedItems count="56">
        <s v="Karolina"/>
        <s v="Justyna"/>
        <s v="Dorota"/>
        <s v="Piotr"/>
        <s v="Kamil"/>
        <s v="Patrycja"/>
        <s v="Jerzy"/>
        <s v="Marzena"/>
        <s v="Sebastian"/>
        <s v="Andrzej"/>
        <s v="January"/>
        <s v="Gustaw"/>
        <s v="Marta"/>
        <s v="Bonifacy"/>
        <s v="Olivia"/>
        <s v="Lidia"/>
        <s v="Paulina"/>
        <s v="Amelia"/>
        <s v="Amadeusz"/>
        <s v="Karol"/>
        <s v="Marek"/>
        <s v="Wojciech"/>
        <s v="Ewelia"/>
        <s v="Eustachy"/>
        <s v="Kornel"/>
        <s v="Edwina"/>
        <s v="Adam"/>
        <s v="Narcyz"/>
        <s v="Jan"/>
        <s v="Zofia"/>
        <s v="Janusz"/>
        <s v="Ewa"/>
        <s v="Michalina"/>
        <s v="Kazimiera"/>
        <s v="Katarzyna"/>
        <s v="Grzegorz"/>
        <s v="Tomasz"/>
        <s v="Anna"/>
        <s v="Malwina"/>
        <s v="Dominika"/>
        <s v="Kacper"/>
        <s v="Janina"/>
        <s v="Wiktor"/>
        <s v="Zuzanna"/>
        <s v="Rozalia"/>
        <s v="Bogumi"/>
        <s v="Zyta"/>
        <s v="Maria"/>
        <s v="Teresa"/>
        <s v="Irma"/>
        <s v="Krystyna"/>
        <s v="Albert"/>
        <s v="Daria"/>
        <s v="Marcin"/>
        <s v="Natalia"/>
        <s v="Ewelina"/>
      </sharedItems>
    </cacheField>
    <cacheField name="Nazwisko" numFmtId="0">
      <sharedItems count="100">
        <s v="Arska"/>
        <s v="Kolska"/>
        <s v="Morska"/>
        <s v="Roman"/>
        <s v="Tracz"/>
        <s v="Zabrzeski"/>
        <s v="Andrycz"/>
        <s v="Granica"/>
        <s v="Gras"/>
        <s v="Halik"/>
        <s v="Klajn"/>
        <s v="Misiek"/>
        <s v="Pluta"/>
        <s v="Poznanski"/>
        <s v="Kolarski"/>
        <s v="Nowowiejska"/>
        <s v="Armowicz"/>
        <s v="Podkalicka"/>
        <s v="Bojarun"/>
        <s v="Barczewski"/>
        <s v="Gabor"/>
        <s v="Opolska"/>
        <s v="Basala"/>
        <s v="Janes"/>
        <s v="Wojtecka"/>
        <s v="Grab"/>
        <s v="Helski"/>
        <s v="Rajczakowski"/>
        <s v="Witkiewicz"/>
        <s v="Dusznicki"/>
        <s v="Jurajski"/>
        <s v="Krynicka"/>
        <s v="Holski"/>
        <s v="Krokus"/>
        <s v="Prus"/>
        <s v="Puchacz"/>
        <s v="Argonski"/>
        <s v="Bydgoski"/>
        <s v="Chorzowska"/>
        <s v="Czerski"/>
        <s v="Elawa"/>
        <s v="Markowski"/>
        <s v="Nyska"/>
        <s v="Polanicki"/>
        <s v="Rzymski"/>
        <s v="Seredycka"/>
        <s v="Sosnowiecka"/>
        <s v="Sworacz"/>
        <s v="Jurkicz"/>
        <s v="Kwiska"/>
        <s v="Lamda"/>
        <s v="Laska"/>
        <s v="Magierowcz"/>
        <s v="Malski"/>
        <s v="Maselska"/>
        <s v="Parczewska"/>
        <s v="Piotrowska"/>
        <s v="Podolski"/>
        <s v="Rzepka"/>
        <s v="Sobecka"/>
        <s v="Trzeski"/>
        <s v="Watrach"/>
        <s v="Papkin"/>
        <s v="Maskor"/>
        <s v="Bodera"/>
        <s v="Budzianowska"/>
        <s v="Henrykowski"/>
        <s v="Krajewski"/>
        <s v="Bolanowska"/>
        <s v="Fidyk"/>
        <s v="Wroblewski"/>
        <s v="Dok"/>
        <s v="Kowalska"/>
        <s v="Wradoch"/>
        <s v="Siedlecka"/>
        <s v="Bizuta"/>
        <s v="Kaliska"/>
        <s v="Barcz"/>
        <s v="Czekan"/>
        <s v="Lubelski"/>
        <s v="Mazurkiewicz"/>
        <s v="Ozimek"/>
        <s v="Piotrkowska"/>
        <s v="Falski"/>
        <s v="Moskiewska"/>
        <s v="Augustowska"/>
        <s v="Budzis"/>
        <s v="Mazowiecki"/>
        <s v="Opoczna"/>
        <s v="Pleszewska"/>
        <s v="Parad"/>
        <s v="Suwski"/>
        <s v="Pomorski"/>
        <s v="Calika"/>
        <s v="Marakasz"/>
        <s v="Paryska"/>
        <s v="Jarskarski"/>
        <s v="Idar"/>
        <s v="Czarnoleska"/>
        <s v="Adamska"/>
      </sharedItems>
    </cacheField>
    <cacheField name="Miasto" numFmtId="0">
      <sharedItems count="13">
        <s v="Malbork"/>
        <s v="Siedlce"/>
        <s v="Radom"/>
        <s v="Krakow"/>
        <s v="Bydgoszcz"/>
        <s v="Lublin"/>
        <s v="Mielec"/>
        <s v="Zgierz"/>
        <s v="Kutno"/>
        <s v="Olsztyn"/>
        <s v="Kalisz"/>
        <s v="Kielce"/>
        <s v="Katowice"/>
      </sharedItems>
    </cacheField>
    <cacheField name="D_wyj" numFmtId="14">
      <sharedItems containsSemiMixedTypes="0" containsNonDate="0" containsDate="1" containsString="0" minDate="2014-01-02T00:00:00" maxDate="2014-12-30T00:00:00"/>
    </cacheField>
    <cacheField name="D_powr" numFmtId="14">
      <sharedItems containsSemiMixedTypes="0" containsNonDate="0" containsDate="1" containsString="0" minDate="2014-01-02T00:00:00" maxDate="2014-12-31T00:00:00"/>
    </cacheField>
    <cacheField name="Koszt_wyj" numFmtId="0">
      <sharedItems containsSemiMixedTypes="0" containsString="0" containsNumber="1" minValue="156.4" maxValue="15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064.929376157408" createdVersion="8" refreshedVersion="8" minRefreshableVersion="3" recordCount="1000" xr:uid="{A3A36147-0690-4F31-AA4A-54B319D29172}">
  <cacheSource type="worksheet">
    <worksheetSource ref="A1:G1001" sheet="93.2"/>
  </cacheSource>
  <cacheFields count="7">
    <cacheField name="Imie" numFmtId="0">
      <sharedItems/>
    </cacheField>
    <cacheField name="Nazwisko" numFmtId="0">
      <sharedItems count="100">
        <s v="Arska"/>
        <s v="Kolska"/>
        <s v="Morska"/>
        <s v="Roman"/>
        <s v="Tracz"/>
        <s v="Zabrzeski"/>
        <s v="Andrycz"/>
        <s v="Granica"/>
        <s v="Gras"/>
        <s v="Halik"/>
        <s v="Klajn"/>
        <s v="Misiek"/>
        <s v="Pluta"/>
        <s v="Poznanski"/>
        <s v="Kolarski"/>
        <s v="Nowowiejska"/>
        <s v="Armowicz"/>
        <s v="Podkalicka"/>
        <s v="Bojarun"/>
        <s v="Barczewski"/>
        <s v="Gabor"/>
        <s v="Opolska"/>
        <s v="Basala"/>
        <s v="Janes"/>
        <s v="Wojtecka"/>
        <s v="Grab"/>
        <s v="Helski"/>
        <s v="Rajczakowski"/>
        <s v="Witkiewicz"/>
        <s v="Dusznicki"/>
        <s v="Jurajski"/>
        <s v="Krynicka"/>
        <s v="Holski"/>
        <s v="Krokus"/>
        <s v="Prus"/>
        <s v="Puchacz"/>
        <s v="Argonski"/>
        <s v="Bydgoski"/>
        <s v="Chorzowska"/>
        <s v="Czerski"/>
        <s v="Elawa"/>
        <s v="Markowski"/>
        <s v="Nyska"/>
        <s v="Polanicki"/>
        <s v="Rzymski"/>
        <s v="Seredycka"/>
        <s v="Sosnowiecka"/>
        <s v="Sworacz"/>
        <s v="Jurkicz"/>
        <s v="Kwiska"/>
        <s v="Lamda"/>
        <s v="Laska"/>
        <s v="Magierowcz"/>
        <s v="Malski"/>
        <s v="Maselska"/>
        <s v="Parczewska"/>
        <s v="Piotrowska"/>
        <s v="Podolski"/>
        <s v="Rzepka"/>
        <s v="Sobecka"/>
        <s v="Trzeski"/>
        <s v="Watrach"/>
        <s v="Papkin"/>
        <s v="Maskor"/>
        <s v="Bodera"/>
        <s v="Budzianowska"/>
        <s v="Henrykowski"/>
        <s v="Krajewski"/>
        <s v="Bolanowska"/>
        <s v="Fidyk"/>
        <s v="Wroblewski"/>
        <s v="Dok"/>
        <s v="Kowalska"/>
        <s v="Wradoch"/>
        <s v="Siedlecka"/>
        <s v="Bizuta"/>
        <s v="Kaliska"/>
        <s v="Barcz"/>
        <s v="Czekan"/>
        <s v="Lubelski"/>
        <s v="Mazurkiewicz"/>
        <s v="Ozimek"/>
        <s v="Piotrkowska"/>
        <s v="Falski"/>
        <s v="Moskiewska"/>
        <s v="Augustowska"/>
        <s v="Budzis"/>
        <s v="Mazowiecki"/>
        <s v="Opoczna"/>
        <s v="Pleszewska"/>
        <s v="Parad"/>
        <s v="Suwski"/>
        <s v="Pomorski"/>
        <s v="Calika"/>
        <s v="Marakasz"/>
        <s v="Paryska"/>
        <s v="Jarskarski"/>
        <s v="Idar"/>
        <s v="Czarnoleska"/>
        <s v="Adamska"/>
      </sharedItems>
    </cacheField>
    <cacheField name="Miasto" numFmtId="0">
      <sharedItems/>
    </cacheField>
    <cacheField name="D_wyj" numFmtId="14">
      <sharedItems containsSemiMixedTypes="0" containsNonDate="0" containsDate="1" containsString="0" minDate="2014-01-02T00:00:00" maxDate="2014-12-30T00:00:00"/>
    </cacheField>
    <cacheField name="D_powr" numFmtId="14">
      <sharedItems containsSemiMixedTypes="0" containsNonDate="0" containsDate="1" containsString="0" minDate="2014-01-02T00:00:00" maxDate="2014-12-31T00:00:00"/>
    </cacheField>
    <cacheField name="Koszt_wyj" numFmtId="0">
      <sharedItems containsSemiMixedTypes="0" containsString="0" containsNumber="1" minValue="156.4" maxValue="1555"/>
    </cacheField>
    <cacheField name="Ilość Dni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064.931993518519" createdVersion="8" refreshedVersion="8" minRefreshableVersion="3" recordCount="1000" xr:uid="{B1236C90-B845-4259-843D-3D6F173EAD97}">
  <cacheSource type="worksheet">
    <worksheetSource ref="A1:F1001" sheet="93.4"/>
  </cacheSource>
  <cacheFields count="8">
    <cacheField name="Imie" numFmtId="0">
      <sharedItems/>
    </cacheField>
    <cacheField name="Nazwisko" numFmtId="0">
      <sharedItems/>
    </cacheField>
    <cacheField name="Miasto" numFmtId="0">
      <sharedItems/>
    </cacheField>
    <cacheField name="D_wyj" numFmtId="14">
      <sharedItems containsSemiMixedTypes="0" containsNonDate="0" containsDate="1" containsString="0" minDate="2014-01-02T00:00:00" maxDate="2014-12-30T00:00:00" count="179"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2T00:00:00"/>
        <d v="2014-01-13T00:00:00"/>
        <d v="2014-01-14T00:00:00"/>
        <d v="2014-01-15T00:00:00"/>
        <d v="2014-01-17T00:00:00"/>
        <d v="2014-01-18T00:00:00"/>
        <d v="2014-01-19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2-02T00:00:00"/>
        <d v="2014-02-03T00:00:00"/>
        <d v="2014-02-07T00:00:00"/>
        <d v="2014-02-10T00:00:00"/>
        <d v="2014-02-12T00:00:00"/>
        <d v="2014-02-14T00:00:00"/>
        <d v="2014-02-15T00:00:00"/>
        <d v="2014-02-19T00:00:00"/>
        <d v="2014-02-22T00:00:00"/>
        <d v="2014-02-26T00:00:00"/>
        <d v="2014-02-28T00:00:00"/>
        <d v="2014-03-03T00:00:00"/>
        <d v="2014-03-06T00:00:00"/>
        <d v="2014-03-07T00:00:00"/>
        <d v="2014-03-09T00:00:00"/>
        <d v="2014-03-10T00:00:00"/>
        <d v="2014-03-11T00:00:00"/>
        <d v="2014-03-12T00:00:00"/>
        <d v="2014-03-15T00:00:00"/>
        <d v="2014-03-17T00:00:00"/>
        <d v="2014-03-18T00:00:00"/>
        <d v="2014-03-21T00:00:00"/>
        <d v="2014-03-27T00:00:00"/>
        <d v="2014-04-02T00:00:00"/>
        <d v="2014-04-03T00:00:00"/>
        <d v="2014-04-08T00:00:00"/>
        <d v="2014-04-14T00:00:00"/>
        <d v="2014-04-18T00:00:00"/>
        <d v="2014-04-20T00:00:00"/>
        <d v="2014-04-23T00:00:00"/>
        <d v="2014-04-24T00:00:00"/>
        <d v="2014-04-26T00:00:00"/>
        <d v="2014-04-28T00:00:00"/>
        <d v="2014-05-02T00:00:00"/>
        <d v="2014-05-05T00:00:00"/>
        <d v="2014-05-06T00:00:00"/>
        <d v="2014-05-08T00:00:00"/>
        <d v="2014-05-14T00:00:00"/>
        <d v="2014-05-20T00:00:00"/>
        <d v="2014-05-26T00:00:00"/>
        <d v="2014-06-01T00:00:00"/>
        <d v="2014-06-02T00:00:00"/>
        <d v="2014-06-03T00:00:00"/>
        <d v="2014-06-04T00:00:00"/>
        <d v="2014-06-05T00:00:00"/>
        <d v="2014-06-07T00:00:00"/>
        <d v="2014-06-09T00:00:00"/>
        <d v="2014-06-13T00:00:00"/>
        <d v="2014-06-16T00:00:00"/>
        <d v="2014-06-19T00:00:00"/>
        <d v="2014-06-25T00:00:00"/>
        <d v="2014-06-28T00:00:00"/>
        <d v="2014-07-01T00:00:00"/>
        <d v="2014-07-07T00:00:00"/>
        <d v="2014-07-10T00:00:00"/>
        <d v="2014-07-11T00:00:00"/>
        <d v="2014-07-13T00:00:00"/>
        <d v="2014-07-14T00:00:00"/>
        <d v="2014-07-15T00:00:00"/>
        <d v="2014-07-17T00:00:00"/>
        <d v="2014-07-19T00:00:00"/>
        <d v="2014-07-21T00:00:00"/>
        <d v="2014-07-25T00:00:00"/>
        <d v="2014-07-31T00:00:00"/>
        <d v="2014-08-06T00:00:00"/>
        <d v="2014-08-09T00:00:00"/>
        <d v="2014-08-12T00:00:00"/>
        <d v="2014-08-14T00:00:00"/>
        <d v="2014-08-18T00:00:00"/>
        <d v="2014-08-24T00:00:00"/>
        <d v="2014-08-25T00:00:00"/>
        <d v="2014-08-26T00:00:00"/>
        <d v="2014-08-27T00:00:00"/>
        <d v="2014-08-30T00:00:00"/>
        <d v="2014-09-03T00:00:00"/>
        <d v="2014-09-04T00:00:00"/>
        <d v="2014-09-05T00:00:00"/>
        <d v="2014-09-07T00:00:00"/>
        <d v="2014-09-08T00:00:00"/>
        <d v="2014-09-11T00:00:00"/>
        <d v="2014-09-15T00:00:00"/>
        <d v="2014-09-16T00:00:00"/>
        <d v="2014-09-17T00:00:00"/>
        <d v="2014-09-18T00:00:00"/>
        <d v="2014-09-19T00:00:00"/>
        <d v="2014-09-20T00:00:00"/>
        <d v="2014-09-22T00:00:00"/>
        <d v="2014-09-23T00:00:00"/>
        <d v="2014-09-24T00:00:00"/>
        <d v="2014-09-26T00:00:00"/>
        <d v="2014-09-28T00:00:00"/>
        <d v="2014-09-29T00:00:00"/>
        <d v="2014-09-30T00:00:00"/>
        <d v="2014-10-01T00:00:00"/>
        <d v="2014-10-02T00:00:00"/>
        <d v="2014-10-03T00:00:00"/>
        <d v="2014-10-05T00:00:00"/>
        <d v="2014-10-06T00:00:00"/>
        <d v="2014-10-10T00:00:00"/>
        <d v="2014-10-11T00:00:00"/>
        <d v="2014-10-13T00:00:00"/>
        <d v="2014-10-14T00:00:00"/>
        <d v="2014-10-15T00:00:00"/>
        <d v="2014-10-16T00:00:00"/>
        <d v="2014-10-17T00:00:00"/>
        <d v="2014-10-18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1-03T00:00:00"/>
        <d v="2014-11-04T00:00:00"/>
        <d v="2014-11-06T00:00:00"/>
        <d v="2014-11-07T00:00:00"/>
        <d v="2014-11-10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7T00:00:00"/>
        <d v="2014-11-28T00:00:00"/>
        <d v="2014-11-29T00:00:00"/>
        <d v="2014-12-01T00:00:00"/>
        <d v="2014-12-02T00:00:00"/>
        <d v="2014-12-03T00:00:00"/>
        <d v="2014-12-04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8T00:00:00"/>
        <d v="2014-12-29T00:00:00"/>
      </sharedItems>
      <fieldGroup par="7"/>
    </cacheField>
    <cacheField name="D_powr" numFmtId="14">
      <sharedItems containsSemiMixedTypes="0" containsNonDate="0" containsDate="1" containsString="0" minDate="2014-01-02T00:00:00" maxDate="2014-12-31T00:00:00"/>
    </cacheField>
    <cacheField name="Koszt_wyj" numFmtId="0">
      <sharedItems containsSemiMixedTypes="0" containsString="0" containsNumber="1" minValue="156.4" maxValue="1555"/>
    </cacheField>
    <cacheField name="Dni (D_wyj)" numFmtId="0" databaseField="0">
      <fieldGroup base="3">
        <rangePr groupBy="days" startDate="2014-01-02T00:00:00" endDate="2014-12-30T00:00:00"/>
        <groupItems count="368">
          <s v="&lt;02.01.2014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30.12.2014"/>
        </groupItems>
      </fieldGroup>
    </cacheField>
    <cacheField name="Miesiące (D_wyj)" numFmtId="0" databaseField="0">
      <fieldGroup base="3">
        <rangePr groupBy="months" startDate="2014-01-02T00:00:00" endDate="2014-12-30T00:00:00"/>
        <groupItems count="14">
          <s v="&lt;02.01.2014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30.12.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064.936728472225" createdVersion="8" refreshedVersion="8" minRefreshableVersion="3" recordCount="1000" xr:uid="{07A0C9BC-C47E-4398-81EC-F1DFF914214A}">
  <cacheSource type="worksheet">
    <worksheetSource ref="A1:I1001" sheet="93.3"/>
  </cacheSource>
  <cacheFields count="9">
    <cacheField name="Imie" numFmtId="0">
      <sharedItems/>
    </cacheField>
    <cacheField name="Nazwisko" numFmtId="0">
      <sharedItems/>
    </cacheField>
    <cacheField name="Miasto" numFmtId="0">
      <sharedItems count="13">
        <s v="Malbork"/>
        <s v="Siedlce"/>
        <s v="Radom"/>
        <s v="Krakow"/>
        <s v="Bydgoszcz"/>
        <s v="Lublin"/>
        <s v="Mielec"/>
        <s v="Zgierz"/>
        <s v="Kutno"/>
        <s v="Olsztyn"/>
        <s v="Kalisz"/>
        <s v="Kielce"/>
        <s v="Katowice"/>
      </sharedItems>
    </cacheField>
    <cacheField name="D_wyj" numFmtId="14">
      <sharedItems containsSemiMixedTypes="0" containsNonDate="0" containsDate="1" containsString="0" minDate="2014-01-02T00:00:00" maxDate="2014-12-30T00:00:00"/>
    </cacheField>
    <cacheField name="D_powr" numFmtId="14">
      <sharedItems containsSemiMixedTypes="0" containsNonDate="0" containsDate="1" containsString="0" minDate="2014-01-02T00:00:00" maxDate="2014-12-31T00:00:00"/>
    </cacheField>
    <cacheField name="Koszt_wyj" numFmtId="0">
      <sharedItems containsSemiMixedTypes="0" containsString="0" containsNumber="1" minValue="156.4" maxValue="1555"/>
    </cacheField>
    <cacheField name="Ilość Dni" numFmtId="0">
      <sharedItems containsSemiMixedTypes="0" containsString="0" containsNumber="1" containsInteger="1" minValue="1" maxValue="8"/>
    </cacheField>
    <cacheField name="Koszt posiłków" numFmtId="0">
      <sharedItems containsSemiMixedTypes="0" containsString="0" containsNumber="1" containsInteger="1" minValue="30" maxValue="198"/>
    </cacheField>
    <cacheField name="Koszt delegacji" numFmtId="0">
      <sharedItems containsSemiMixedTypes="0" containsString="0" containsNumber="1" minValue="186.4" maxValue="17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d v="2014-01-02T00:00:00"/>
    <d v="2014-01-03T00:00:00"/>
    <n v="891"/>
  </r>
  <r>
    <x v="1"/>
    <x v="1"/>
    <x v="1"/>
    <d v="2014-01-02T00:00:00"/>
    <d v="2014-01-03T00:00:00"/>
    <n v="295.39999999999998"/>
  </r>
  <r>
    <x v="2"/>
    <x v="2"/>
    <x v="2"/>
    <d v="2014-01-02T00:00:00"/>
    <d v="2014-01-03T00:00:00"/>
    <n v="302.5"/>
  </r>
  <r>
    <x v="3"/>
    <x v="3"/>
    <x v="3"/>
    <d v="2014-01-02T00:00:00"/>
    <d v="2014-01-02T00:00:00"/>
    <n v="501.5"/>
  </r>
  <r>
    <x v="1"/>
    <x v="4"/>
    <x v="4"/>
    <d v="2014-01-02T00:00:00"/>
    <d v="2014-01-03T00:00:00"/>
    <n v="654.4"/>
  </r>
  <r>
    <x v="4"/>
    <x v="5"/>
    <x v="0"/>
    <d v="2014-01-02T00:00:00"/>
    <d v="2014-01-03T00:00:00"/>
    <n v="891"/>
  </r>
  <r>
    <x v="5"/>
    <x v="6"/>
    <x v="5"/>
    <d v="2014-01-03T00:00:00"/>
    <d v="2014-01-04T00:00:00"/>
    <n v="439.7"/>
  </r>
  <r>
    <x v="6"/>
    <x v="7"/>
    <x v="6"/>
    <d v="2014-01-03T00:00:00"/>
    <d v="2014-01-06T00:00:00"/>
    <n v="826"/>
  </r>
  <r>
    <x v="7"/>
    <x v="8"/>
    <x v="7"/>
    <d v="2014-01-03T00:00:00"/>
    <d v="2014-01-04T00:00:00"/>
    <n v="331.5"/>
  </r>
  <r>
    <x v="8"/>
    <x v="9"/>
    <x v="5"/>
    <d v="2014-01-03T00:00:00"/>
    <d v="2014-01-04T00:00:00"/>
    <n v="439.7"/>
  </r>
  <r>
    <x v="9"/>
    <x v="10"/>
    <x v="7"/>
    <d v="2014-01-03T00:00:00"/>
    <d v="2014-01-05T00:00:00"/>
    <n v="450.5"/>
  </r>
  <r>
    <x v="6"/>
    <x v="11"/>
    <x v="2"/>
    <d v="2014-01-03T00:00:00"/>
    <d v="2014-01-03T00:00:00"/>
    <n v="178.5"/>
  </r>
  <r>
    <x v="10"/>
    <x v="12"/>
    <x v="8"/>
    <d v="2014-01-03T00:00:00"/>
    <d v="2014-01-04T00:00:00"/>
    <n v="407.8"/>
  </r>
  <r>
    <x v="11"/>
    <x v="13"/>
    <x v="6"/>
    <d v="2014-01-03T00:00:00"/>
    <d v="2014-01-03T00:00:00"/>
    <n v="442"/>
  </r>
  <r>
    <x v="0"/>
    <x v="0"/>
    <x v="5"/>
    <d v="2014-01-04T00:00:00"/>
    <d v="2014-01-05T00:00:00"/>
    <n v="439.7"/>
  </r>
  <r>
    <x v="9"/>
    <x v="14"/>
    <x v="7"/>
    <d v="2014-01-04T00:00:00"/>
    <d v="2014-01-05T00:00:00"/>
    <n v="331.5"/>
  </r>
  <r>
    <x v="12"/>
    <x v="15"/>
    <x v="4"/>
    <d v="2014-01-04T00:00:00"/>
    <d v="2014-01-04T00:00:00"/>
    <n v="513.4"/>
  </r>
  <r>
    <x v="3"/>
    <x v="16"/>
    <x v="3"/>
    <d v="2014-01-05T00:00:00"/>
    <d v="2014-01-05T00:00:00"/>
    <n v="501.5"/>
  </r>
  <r>
    <x v="0"/>
    <x v="17"/>
    <x v="6"/>
    <d v="2014-01-05T00:00:00"/>
    <d v="2014-01-05T00:00:00"/>
    <n v="442"/>
  </r>
  <r>
    <x v="3"/>
    <x v="18"/>
    <x v="9"/>
    <d v="2014-01-06T00:00:00"/>
    <d v="2014-01-06T00:00:00"/>
    <n v="363.8"/>
  </r>
  <r>
    <x v="13"/>
    <x v="19"/>
    <x v="1"/>
    <d v="2014-01-07T00:00:00"/>
    <d v="2014-01-07T00:00:00"/>
    <n v="156.4"/>
  </r>
  <r>
    <x v="14"/>
    <x v="20"/>
    <x v="8"/>
    <d v="2014-01-07T00:00:00"/>
    <d v="2014-01-07T00:00:00"/>
    <n v="278.8"/>
  </r>
  <r>
    <x v="9"/>
    <x v="14"/>
    <x v="2"/>
    <d v="2014-01-07T00:00:00"/>
    <d v="2014-01-07T00:00:00"/>
    <n v="178.5"/>
  </r>
  <r>
    <x v="6"/>
    <x v="11"/>
    <x v="7"/>
    <d v="2014-01-07T00:00:00"/>
    <d v="2014-01-07T00:00:00"/>
    <n v="212.5"/>
  </r>
  <r>
    <x v="15"/>
    <x v="21"/>
    <x v="5"/>
    <d v="2014-01-07T00:00:00"/>
    <d v="2014-01-07T00:00:00"/>
    <n v="290.7"/>
  </r>
  <r>
    <x v="16"/>
    <x v="22"/>
    <x v="4"/>
    <d v="2014-01-08T00:00:00"/>
    <d v="2014-01-08T00:00:00"/>
    <n v="513.4"/>
  </r>
  <r>
    <x v="0"/>
    <x v="23"/>
    <x v="4"/>
    <d v="2014-01-08T00:00:00"/>
    <d v="2014-01-08T00:00:00"/>
    <n v="513.4"/>
  </r>
  <r>
    <x v="17"/>
    <x v="24"/>
    <x v="10"/>
    <d v="2014-01-08T00:00:00"/>
    <d v="2014-01-08T00:00:00"/>
    <n v="442"/>
  </r>
  <r>
    <x v="7"/>
    <x v="25"/>
    <x v="1"/>
    <d v="2014-01-09T00:00:00"/>
    <d v="2014-01-13T00:00:00"/>
    <n v="712.4"/>
  </r>
  <r>
    <x v="18"/>
    <x v="26"/>
    <x v="3"/>
    <d v="2014-01-09T00:00:00"/>
    <d v="2014-01-12T00:00:00"/>
    <n v="1116.5"/>
  </r>
  <r>
    <x v="3"/>
    <x v="27"/>
    <x v="1"/>
    <d v="2014-01-09T00:00:00"/>
    <d v="2014-01-10T00:00:00"/>
    <n v="295.39999999999998"/>
  </r>
  <r>
    <x v="19"/>
    <x v="28"/>
    <x v="11"/>
    <d v="2014-01-09T00:00:00"/>
    <d v="2014-01-10T00:00:00"/>
    <n v="485.7"/>
  </r>
  <r>
    <x v="6"/>
    <x v="29"/>
    <x v="8"/>
    <d v="2014-01-10T00:00:00"/>
    <d v="2014-01-10T00:00:00"/>
    <n v="278.8"/>
  </r>
  <r>
    <x v="6"/>
    <x v="30"/>
    <x v="10"/>
    <d v="2014-01-10T00:00:00"/>
    <d v="2014-01-10T00:00:00"/>
    <n v="442"/>
  </r>
  <r>
    <x v="1"/>
    <x v="31"/>
    <x v="0"/>
    <d v="2014-01-10T00:00:00"/>
    <d v="2014-01-10T00:00:00"/>
    <n v="680"/>
  </r>
  <r>
    <x v="15"/>
    <x v="21"/>
    <x v="9"/>
    <d v="2014-01-10T00:00:00"/>
    <d v="2014-01-10T00:00:00"/>
    <n v="363.8"/>
  </r>
  <r>
    <x v="5"/>
    <x v="6"/>
    <x v="10"/>
    <d v="2014-01-12T00:00:00"/>
    <d v="2014-01-12T00:00:00"/>
    <n v="442"/>
  </r>
  <r>
    <x v="3"/>
    <x v="18"/>
    <x v="2"/>
    <d v="2014-01-13T00:00:00"/>
    <d v="2014-01-16T00:00:00"/>
    <n v="550.5"/>
  </r>
  <r>
    <x v="20"/>
    <x v="32"/>
    <x v="6"/>
    <d v="2014-01-13T00:00:00"/>
    <d v="2014-01-13T00:00:00"/>
    <n v="442"/>
  </r>
  <r>
    <x v="6"/>
    <x v="30"/>
    <x v="12"/>
    <d v="2014-01-13T00:00:00"/>
    <d v="2014-01-13T00:00:00"/>
    <n v="494.7"/>
  </r>
  <r>
    <x v="21"/>
    <x v="33"/>
    <x v="6"/>
    <d v="2014-01-13T00:00:00"/>
    <d v="2014-01-14T00:00:00"/>
    <n v="570"/>
  </r>
  <r>
    <x v="22"/>
    <x v="34"/>
    <x v="9"/>
    <d v="2014-01-13T00:00:00"/>
    <d v="2014-01-14T00:00:00"/>
    <n v="526.79999999999995"/>
  </r>
  <r>
    <x v="8"/>
    <x v="35"/>
    <x v="8"/>
    <d v="2014-01-13T00:00:00"/>
    <d v="2014-01-13T00:00:00"/>
    <n v="278.8"/>
  </r>
  <r>
    <x v="5"/>
    <x v="6"/>
    <x v="8"/>
    <d v="2014-01-14T00:00:00"/>
    <d v="2014-01-17T00:00:00"/>
    <n v="665.8"/>
  </r>
  <r>
    <x v="8"/>
    <x v="36"/>
    <x v="6"/>
    <d v="2014-01-14T00:00:00"/>
    <d v="2014-01-16T00:00:00"/>
    <n v="698"/>
  </r>
  <r>
    <x v="13"/>
    <x v="19"/>
    <x v="12"/>
    <d v="2014-01-14T00:00:00"/>
    <d v="2014-01-14T00:00:00"/>
    <n v="494.7"/>
  </r>
  <r>
    <x v="23"/>
    <x v="37"/>
    <x v="6"/>
    <d v="2014-01-14T00:00:00"/>
    <d v="2014-01-18T00:00:00"/>
    <n v="954"/>
  </r>
  <r>
    <x v="16"/>
    <x v="38"/>
    <x v="0"/>
    <d v="2014-01-14T00:00:00"/>
    <d v="2014-01-14T00:00:00"/>
    <n v="680"/>
  </r>
  <r>
    <x v="24"/>
    <x v="39"/>
    <x v="12"/>
    <d v="2014-01-14T00:00:00"/>
    <d v="2014-01-18T00:00:00"/>
    <n v="1290.7"/>
  </r>
  <r>
    <x v="25"/>
    <x v="40"/>
    <x v="5"/>
    <d v="2014-01-14T00:00:00"/>
    <d v="2014-01-16T00:00:00"/>
    <n v="588.70000000000005"/>
  </r>
  <r>
    <x v="8"/>
    <x v="9"/>
    <x v="7"/>
    <d v="2014-01-14T00:00:00"/>
    <d v="2014-01-16T00:00:00"/>
    <n v="450.5"/>
  </r>
  <r>
    <x v="0"/>
    <x v="23"/>
    <x v="7"/>
    <d v="2014-01-14T00:00:00"/>
    <d v="2014-01-18T00:00:00"/>
    <n v="688.5"/>
  </r>
  <r>
    <x v="26"/>
    <x v="41"/>
    <x v="12"/>
    <d v="2014-01-14T00:00:00"/>
    <d v="2014-01-15T00:00:00"/>
    <n v="693.7"/>
  </r>
  <r>
    <x v="22"/>
    <x v="42"/>
    <x v="7"/>
    <d v="2014-01-14T00:00:00"/>
    <d v="2014-01-14T00:00:00"/>
    <n v="212.5"/>
  </r>
  <r>
    <x v="27"/>
    <x v="43"/>
    <x v="0"/>
    <d v="2014-01-14T00:00:00"/>
    <d v="2014-01-15T00:00:00"/>
    <n v="891"/>
  </r>
  <r>
    <x v="11"/>
    <x v="13"/>
    <x v="8"/>
    <d v="2014-01-14T00:00:00"/>
    <d v="2014-01-15T00:00:00"/>
    <n v="407.8"/>
  </r>
  <r>
    <x v="3"/>
    <x v="27"/>
    <x v="4"/>
    <d v="2014-01-14T00:00:00"/>
    <d v="2014-01-14T00:00:00"/>
    <n v="513.4"/>
  </r>
  <r>
    <x v="28"/>
    <x v="44"/>
    <x v="10"/>
    <d v="2014-01-14T00:00:00"/>
    <d v="2014-01-16T00:00:00"/>
    <n v="760"/>
  </r>
  <r>
    <x v="29"/>
    <x v="45"/>
    <x v="9"/>
    <d v="2014-01-14T00:00:00"/>
    <d v="2014-01-15T00:00:00"/>
    <n v="526.79999999999995"/>
  </r>
  <r>
    <x v="2"/>
    <x v="46"/>
    <x v="0"/>
    <d v="2014-01-14T00:00:00"/>
    <d v="2014-01-17T00:00:00"/>
    <n v="1313"/>
  </r>
  <r>
    <x v="3"/>
    <x v="47"/>
    <x v="11"/>
    <d v="2014-01-14T00:00:00"/>
    <d v="2014-01-17T00:00:00"/>
    <n v="841.7"/>
  </r>
  <r>
    <x v="19"/>
    <x v="28"/>
    <x v="8"/>
    <d v="2014-01-14T00:00:00"/>
    <d v="2014-01-18T00:00:00"/>
    <n v="794.8"/>
  </r>
  <r>
    <x v="17"/>
    <x v="24"/>
    <x v="9"/>
    <d v="2014-01-14T00:00:00"/>
    <d v="2014-01-17T00:00:00"/>
    <n v="852.8"/>
  </r>
  <r>
    <x v="14"/>
    <x v="20"/>
    <x v="10"/>
    <d v="2014-01-15T00:00:00"/>
    <d v="2014-01-17T00:00:00"/>
    <n v="760"/>
  </r>
  <r>
    <x v="7"/>
    <x v="25"/>
    <x v="3"/>
    <d v="2014-01-15T00:00:00"/>
    <d v="2014-01-18T00:00:00"/>
    <n v="1116.5"/>
  </r>
  <r>
    <x v="7"/>
    <x v="8"/>
    <x v="1"/>
    <d v="2014-01-15T00:00:00"/>
    <d v="2014-01-18T00:00:00"/>
    <n v="573.4"/>
  </r>
  <r>
    <x v="8"/>
    <x v="9"/>
    <x v="10"/>
    <d v="2014-01-15T00:00:00"/>
    <d v="2014-01-17T00:00:00"/>
    <n v="760"/>
  </r>
  <r>
    <x v="30"/>
    <x v="48"/>
    <x v="0"/>
    <d v="2014-01-15T00:00:00"/>
    <d v="2014-01-17T00:00:00"/>
    <n v="1102"/>
  </r>
  <r>
    <x v="1"/>
    <x v="31"/>
    <x v="4"/>
    <d v="2014-01-15T00:00:00"/>
    <d v="2014-01-18T00:00:00"/>
    <n v="936.4"/>
  </r>
  <r>
    <x v="31"/>
    <x v="49"/>
    <x v="11"/>
    <d v="2014-01-15T00:00:00"/>
    <d v="2014-01-19T00:00:00"/>
    <n v="1019.7"/>
  </r>
  <r>
    <x v="32"/>
    <x v="50"/>
    <x v="12"/>
    <d v="2014-01-15T00:00:00"/>
    <d v="2014-01-18T00:00:00"/>
    <n v="1091.7"/>
  </r>
  <r>
    <x v="1"/>
    <x v="51"/>
    <x v="9"/>
    <d v="2014-01-15T00:00:00"/>
    <d v="2014-01-19T00:00:00"/>
    <n v="1015.8"/>
  </r>
  <r>
    <x v="21"/>
    <x v="52"/>
    <x v="9"/>
    <d v="2014-01-15T00:00:00"/>
    <d v="2014-01-16T00:00:00"/>
    <n v="526.79999999999995"/>
  </r>
  <r>
    <x v="3"/>
    <x v="53"/>
    <x v="2"/>
    <d v="2014-01-15T00:00:00"/>
    <d v="2014-01-16T00:00:00"/>
    <n v="302.5"/>
  </r>
  <r>
    <x v="29"/>
    <x v="54"/>
    <x v="9"/>
    <d v="2014-01-15T00:00:00"/>
    <d v="2014-01-15T00:00:00"/>
    <n v="363.8"/>
  </r>
  <r>
    <x v="29"/>
    <x v="54"/>
    <x v="2"/>
    <d v="2014-01-15T00:00:00"/>
    <d v="2014-01-15T00:00:00"/>
    <n v="178.5"/>
  </r>
  <r>
    <x v="12"/>
    <x v="15"/>
    <x v="6"/>
    <d v="2014-01-15T00:00:00"/>
    <d v="2014-01-16T00:00:00"/>
    <n v="570"/>
  </r>
  <r>
    <x v="33"/>
    <x v="55"/>
    <x v="11"/>
    <d v="2014-01-15T00:00:00"/>
    <d v="2014-01-16T00:00:00"/>
    <n v="485.7"/>
  </r>
  <r>
    <x v="34"/>
    <x v="56"/>
    <x v="2"/>
    <d v="2014-01-15T00:00:00"/>
    <d v="2014-01-16T00:00:00"/>
    <n v="302.5"/>
  </r>
  <r>
    <x v="0"/>
    <x v="17"/>
    <x v="11"/>
    <d v="2014-01-15T00:00:00"/>
    <d v="2014-01-17T00:00:00"/>
    <n v="663.7"/>
  </r>
  <r>
    <x v="35"/>
    <x v="57"/>
    <x v="11"/>
    <d v="2014-01-15T00:00:00"/>
    <d v="2014-01-17T00:00:00"/>
    <n v="663.7"/>
  </r>
  <r>
    <x v="36"/>
    <x v="58"/>
    <x v="1"/>
    <d v="2014-01-15T00:00:00"/>
    <d v="2014-01-19T00:00:00"/>
    <n v="712.4"/>
  </r>
  <r>
    <x v="37"/>
    <x v="59"/>
    <x v="2"/>
    <d v="2014-01-15T00:00:00"/>
    <d v="2014-01-16T00:00:00"/>
    <n v="302.5"/>
  </r>
  <r>
    <x v="20"/>
    <x v="60"/>
    <x v="0"/>
    <d v="2014-01-15T00:00:00"/>
    <d v="2014-01-16T00:00:00"/>
    <n v="891"/>
  </r>
  <r>
    <x v="16"/>
    <x v="61"/>
    <x v="0"/>
    <d v="2014-01-15T00:00:00"/>
    <d v="2014-01-18T00:00:00"/>
    <n v="1313"/>
  </r>
  <r>
    <x v="16"/>
    <x v="38"/>
    <x v="6"/>
    <d v="2014-01-17T00:00:00"/>
    <d v="2014-01-17T00:00:00"/>
    <n v="442"/>
  </r>
  <r>
    <x v="38"/>
    <x v="62"/>
    <x v="6"/>
    <d v="2014-01-17T00:00:00"/>
    <d v="2014-01-17T00:00:00"/>
    <n v="442"/>
  </r>
  <r>
    <x v="8"/>
    <x v="35"/>
    <x v="1"/>
    <d v="2014-01-17T00:00:00"/>
    <d v="2014-01-17T00:00:00"/>
    <n v="156.4"/>
  </r>
  <r>
    <x v="1"/>
    <x v="4"/>
    <x v="1"/>
    <d v="2014-01-17T00:00:00"/>
    <d v="2014-01-17T00:00:00"/>
    <n v="156.4"/>
  </r>
  <r>
    <x v="26"/>
    <x v="41"/>
    <x v="3"/>
    <d v="2014-01-18T00:00:00"/>
    <d v="2014-01-18T00:00:00"/>
    <n v="501.5"/>
  </r>
  <r>
    <x v="22"/>
    <x v="42"/>
    <x v="2"/>
    <d v="2014-01-18T00:00:00"/>
    <d v="2014-01-19T00:00:00"/>
    <n v="302.5"/>
  </r>
  <r>
    <x v="29"/>
    <x v="45"/>
    <x v="0"/>
    <d v="2014-01-18T00:00:00"/>
    <d v="2014-01-18T00:00:00"/>
    <n v="680"/>
  </r>
  <r>
    <x v="13"/>
    <x v="19"/>
    <x v="4"/>
    <d v="2014-01-19T00:00:00"/>
    <d v="2014-01-19T00:00:00"/>
    <n v="513.4"/>
  </r>
  <r>
    <x v="35"/>
    <x v="57"/>
    <x v="3"/>
    <d v="2014-01-19T00:00:00"/>
    <d v="2014-01-19T00:00:00"/>
    <n v="501.5"/>
  </r>
  <r>
    <x v="0"/>
    <x v="23"/>
    <x v="12"/>
    <d v="2014-01-21T00:00:00"/>
    <d v="2014-01-23T00:00:00"/>
    <n v="892.7"/>
  </r>
  <r>
    <x v="31"/>
    <x v="49"/>
    <x v="6"/>
    <d v="2014-01-21T00:00:00"/>
    <d v="2014-01-24T00:00:00"/>
    <n v="826"/>
  </r>
  <r>
    <x v="26"/>
    <x v="41"/>
    <x v="12"/>
    <d v="2014-01-21T00:00:00"/>
    <d v="2014-01-23T00:00:00"/>
    <n v="892.7"/>
  </r>
  <r>
    <x v="16"/>
    <x v="63"/>
    <x v="4"/>
    <d v="2014-01-21T00:00:00"/>
    <d v="2014-01-23T00:00:00"/>
    <n v="795.4"/>
  </r>
  <r>
    <x v="22"/>
    <x v="34"/>
    <x v="0"/>
    <d v="2014-01-21T00:00:00"/>
    <d v="2014-01-25T00:00:00"/>
    <n v="1524"/>
  </r>
  <r>
    <x v="8"/>
    <x v="35"/>
    <x v="9"/>
    <d v="2014-01-21T00:00:00"/>
    <d v="2014-01-24T00:00:00"/>
    <n v="852.8"/>
  </r>
  <r>
    <x v="39"/>
    <x v="64"/>
    <x v="3"/>
    <d v="2014-01-22T00:00:00"/>
    <d v="2014-01-22T00:00:00"/>
    <n v="501.5"/>
  </r>
  <r>
    <x v="29"/>
    <x v="65"/>
    <x v="10"/>
    <d v="2014-01-22T00:00:00"/>
    <d v="2014-01-22T00:00:00"/>
    <n v="442"/>
  </r>
  <r>
    <x v="24"/>
    <x v="66"/>
    <x v="0"/>
    <d v="2014-01-22T00:00:00"/>
    <d v="2014-01-24T00:00:00"/>
    <n v="1102"/>
  </r>
  <r>
    <x v="40"/>
    <x v="67"/>
    <x v="2"/>
    <d v="2014-01-22T00:00:00"/>
    <d v="2014-01-24T00:00:00"/>
    <n v="426.5"/>
  </r>
  <r>
    <x v="41"/>
    <x v="68"/>
    <x v="4"/>
    <d v="2014-01-23T00:00:00"/>
    <d v="2014-01-24T00:00:00"/>
    <n v="654.4"/>
  </r>
  <r>
    <x v="6"/>
    <x v="7"/>
    <x v="1"/>
    <d v="2014-01-23T00:00:00"/>
    <d v="2014-01-24T00:00:00"/>
    <n v="295.39999999999998"/>
  </r>
  <r>
    <x v="6"/>
    <x v="30"/>
    <x v="11"/>
    <d v="2014-01-23T00:00:00"/>
    <d v="2014-01-24T00:00:00"/>
    <n v="485.7"/>
  </r>
  <r>
    <x v="31"/>
    <x v="69"/>
    <x v="12"/>
    <d v="2014-01-24T00:00:00"/>
    <d v="2014-01-24T00:00:00"/>
    <n v="494.7"/>
  </r>
  <r>
    <x v="42"/>
    <x v="70"/>
    <x v="8"/>
    <d v="2014-01-24T00:00:00"/>
    <d v="2014-01-24T00:00:00"/>
    <n v="278.8"/>
  </r>
  <r>
    <x v="29"/>
    <x v="45"/>
    <x v="9"/>
    <d v="2014-01-25T00:00:00"/>
    <d v="2014-01-25T00:00:00"/>
    <n v="363.8"/>
  </r>
  <r>
    <x v="0"/>
    <x v="0"/>
    <x v="11"/>
    <d v="2014-01-26T00:00:00"/>
    <d v="2014-01-30T00:00:00"/>
    <n v="1019.7"/>
  </r>
  <r>
    <x v="23"/>
    <x v="37"/>
    <x v="4"/>
    <d v="2014-01-26T00:00:00"/>
    <d v="2014-01-30T00:00:00"/>
    <n v="1077.4000000000001"/>
  </r>
  <r>
    <x v="16"/>
    <x v="71"/>
    <x v="3"/>
    <d v="2014-01-26T00:00:00"/>
    <d v="2014-01-28T00:00:00"/>
    <n v="911.5"/>
  </r>
  <r>
    <x v="43"/>
    <x v="72"/>
    <x v="9"/>
    <d v="2014-01-26T00:00:00"/>
    <d v="2014-01-28T00:00:00"/>
    <n v="689.8"/>
  </r>
  <r>
    <x v="29"/>
    <x v="54"/>
    <x v="3"/>
    <d v="2014-01-26T00:00:00"/>
    <d v="2014-01-30T00:00:00"/>
    <n v="1321.5"/>
  </r>
  <r>
    <x v="15"/>
    <x v="21"/>
    <x v="10"/>
    <d v="2014-01-26T00:00:00"/>
    <d v="2014-01-30T00:00:00"/>
    <n v="1078"/>
  </r>
  <r>
    <x v="38"/>
    <x v="62"/>
    <x v="5"/>
    <d v="2014-01-26T00:00:00"/>
    <d v="2014-01-29T00:00:00"/>
    <n v="737.7"/>
  </r>
  <r>
    <x v="27"/>
    <x v="43"/>
    <x v="12"/>
    <d v="2014-01-26T00:00:00"/>
    <d v="2014-01-27T00:00:00"/>
    <n v="693.7"/>
  </r>
  <r>
    <x v="2"/>
    <x v="46"/>
    <x v="1"/>
    <d v="2014-01-26T00:00:00"/>
    <d v="2014-01-28T00:00:00"/>
    <n v="434.4"/>
  </r>
  <r>
    <x v="3"/>
    <x v="47"/>
    <x v="1"/>
    <d v="2014-01-26T00:00:00"/>
    <d v="2014-01-29T00:00:00"/>
    <n v="573.4"/>
  </r>
  <r>
    <x v="26"/>
    <x v="73"/>
    <x v="6"/>
    <d v="2014-01-26T00:00:00"/>
    <d v="2014-01-30T00:00:00"/>
    <n v="954"/>
  </r>
  <r>
    <x v="4"/>
    <x v="5"/>
    <x v="8"/>
    <d v="2014-01-26T00:00:00"/>
    <d v="2014-01-27T00:00:00"/>
    <n v="407.8"/>
  </r>
  <r>
    <x v="16"/>
    <x v="38"/>
    <x v="3"/>
    <d v="2014-01-27T00:00:00"/>
    <d v="2014-01-27T00:00:00"/>
    <n v="501.5"/>
  </r>
  <r>
    <x v="8"/>
    <x v="35"/>
    <x v="12"/>
    <d v="2014-01-27T00:00:00"/>
    <d v="2014-01-29T00:00:00"/>
    <n v="892.7"/>
  </r>
  <r>
    <x v="29"/>
    <x v="45"/>
    <x v="0"/>
    <d v="2014-01-27T00:00:00"/>
    <d v="2014-01-27T00:00:00"/>
    <n v="680"/>
  </r>
  <r>
    <x v="44"/>
    <x v="74"/>
    <x v="4"/>
    <d v="2014-01-27T00:00:00"/>
    <d v="2014-01-29T00:00:00"/>
    <n v="795.4"/>
  </r>
  <r>
    <x v="42"/>
    <x v="70"/>
    <x v="4"/>
    <d v="2014-01-27T00:00:00"/>
    <d v="2014-01-29T00:00:00"/>
    <n v="795.4"/>
  </r>
  <r>
    <x v="31"/>
    <x v="69"/>
    <x v="9"/>
    <d v="2014-01-28T00:00:00"/>
    <d v="2014-01-28T00:00:00"/>
    <n v="363.8"/>
  </r>
  <r>
    <x v="28"/>
    <x v="44"/>
    <x v="3"/>
    <d v="2014-01-28T00:00:00"/>
    <d v="2014-01-30T00:00:00"/>
    <n v="911.5"/>
  </r>
  <r>
    <x v="17"/>
    <x v="24"/>
    <x v="8"/>
    <d v="2014-01-28T00:00:00"/>
    <d v="2014-01-30T00:00:00"/>
    <n v="536.79999999999995"/>
  </r>
  <r>
    <x v="0"/>
    <x v="0"/>
    <x v="10"/>
    <d v="2014-02-02T00:00:00"/>
    <d v="2014-02-04T00:00:00"/>
    <n v="760"/>
  </r>
  <r>
    <x v="0"/>
    <x v="75"/>
    <x v="3"/>
    <d v="2014-02-02T00:00:00"/>
    <d v="2014-02-03T00:00:00"/>
    <n v="706.5"/>
  </r>
  <r>
    <x v="29"/>
    <x v="65"/>
    <x v="12"/>
    <d v="2014-02-02T00:00:00"/>
    <d v="2014-02-05T00:00:00"/>
    <n v="1091.7"/>
  </r>
  <r>
    <x v="41"/>
    <x v="68"/>
    <x v="6"/>
    <d v="2014-02-03T00:00:00"/>
    <d v="2014-02-06T00:00:00"/>
    <n v="826"/>
  </r>
  <r>
    <x v="37"/>
    <x v="76"/>
    <x v="11"/>
    <d v="2014-02-03T00:00:00"/>
    <d v="2014-02-03T00:00:00"/>
    <n v="307.7"/>
  </r>
  <r>
    <x v="12"/>
    <x v="15"/>
    <x v="9"/>
    <d v="2014-02-03T00:00:00"/>
    <d v="2014-02-03T00:00:00"/>
    <n v="363.8"/>
  </r>
  <r>
    <x v="33"/>
    <x v="55"/>
    <x v="4"/>
    <d v="2014-02-03T00:00:00"/>
    <d v="2014-02-05T00:00:00"/>
    <n v="795.4"/>
  </r>
  <r>
    <x v="8"/>
    <x v="36"/>
    <x v="6"/>
    <d v="2014-02-07T00:00:00"/>
    <d v="2014-02-11T00:00:00"/>
    <n v="954"/>
  </r>
  <r>
    <x v="0"/>
    <x v="0"/>
    <x v="8"/>
    <d v="2014-02-07T00:00:00"/>
    <d v="2014-02-11T00:00:00"/>
    <n v="794.8"/>
  </r>
  <r>
    <x v="9"/>
    <x v="77"/>
    <x v="4"/>
    <d v="2014-02-07T00:00:00"/>
    <d v="2014-02-10T00:00:00"/>
    <n v="936.4"/>
  </r>
  <r>
    <x v="0"/>
    <x v="75"/>
    <x v="12"/>
    <d v="2014-02-07T00:00:00"/>
    <d v="2014-02-09T00:00:00"/>
    <n v="892.7"/>
  </r>
  <r>
    <x v="39"/>
    <x v="64"/>
    <x v="11"/>
    <d v="2014-02-07T00:00:00"/>
    <d v="2014-02-08T00:00:00"/>
    <n v="485.7"/>
  </r>
  <r>
    <x v="3"/>
    <x v="18"/>
    <x v="4"/>
    <d v="2014-02-07T00:00:00"/>
    <d v="2014-02-10T00:00:00"/>
    <n v="936.4"/>
  </r>
  <r>
    <x v="42"/>
    <x v="78"/>
    <x v="6"/>
    <d v="2014-02-07T00:00:00"/>
    <d v="2014-02-11T00:00:00"/>
    <n v="954"/>
  </r>
  <r>
    <x v="0"/>
    <x v="23"/>
    <x v="4"/>
    <d v="2014-02-07T00:00:00"/>
    <d v="2014-02-10T00:00:00"/>
    <n v="936.4"/>
  </r>
  <r>
    <x v="37"/>
    <x v="76"/>
    <x v="10"/>
    <d v="2014-02-07T00:00:00"/>
    <d v="2014-02-07T00:00:00"/>
    <n v="442"/>
  </r>
  <r>
    <x v="40"/>
    <x v="67"/>
    <x v="8"/>
    <d v="2014-02-07T00:00:00"/>
    <d v="2014-02-09T00:00:00"/>
    <n v="536.79999999999995"/>
  </r>
  <r>
    <x v="21"/>
    <x v="33"/>
    <x v="7"/>
    <d v="2014-02-07T00:00:00"/>
    <d v="2014-02-07T00:00:00"/>
    <n v="212.5"/>
  </r>
  <r>
    <x v="32"/>
    <x v="50"/>
    <x v="10"/>
    <d v="2014-02-07T00:00:00"/>
    <d v="2014-02-09T00:00:00"/>
    <n v="760"/>
  </r>
  <r>
    <x v="45"/>
    <x v="79"/>
    <x v="6"/>
    <d v="2014-02-07T00:00:00"/>
    <d v="2014-02-08T00:00:00"/>
    <n v="570"/>
  </r>
  <r>
    <x v="21"/>
    <x v="52"/>
    <x v="9"/>
    <d v="2014-02-07T00:00:00"/>
    <d v="2014-02-09T00:00:00"/>
    <n v="689.8"/>
  </r>
  <r>
    <x v="29"/>
    <x v="54"/>
    <x v="11"/>
    <d v="2014-02-07T00:00:00"/>
    <d v="2014-02-11T00:00:00"/>
    <n v="1019.7"/>
  </r>
  <r>
    <x v="46"/>
    <x v="80"/>
    <x v="0"/>
    <d v="2014-02-07T00:00:00"/>
    <d v="2014-02-08T00:00:00"/>
    <n v="891"/>
  </r>
  <r>
    <x v="47"/>
    <x v="81"/>
    <x v="1"/>
    <d v="2014-02-07T00:00:00"/>
    <d v="2014-02-08T00:00:00"/>
    <n v="295.39999999999998"/>
  </r>
  <r>
    <x v="38"/>
    <x v="62"/>
    <x v="0"/>
    <d v="2014-02-07T00:00:00"/>
    <d v="2014-02-08T00:00:00"/>
    <n v="891"/>
  </r>
  <r>
    <x v="43"/>
    <x v="82"/>
    <x v="7"/>
    <d v="2014-02-07T00:00:00"/>
    <d v="2014-02-11T00:00:00"/>
    <n v="688.5"/>
  </r>
  <r>
    <x v="35"/>
    <x v="57"/>
    <x v="11"/>
    <d v="2014-02-07T00:00:00"/>
    <d v="2014-02-09T00:00:00"/>
    <n v="663.7"/>
  </r>
  <r>
    <x v="3"/>
    <x v="3"/>
    <x v="7"/>
    <d v="2014-02-07T00:00:00"/>
    <d v="2014-02-10T00:00:00"/>
    <n v="569.5"/>
  </r>
  <r>
    <x v="16"/>
    <x v="22"/>
    <x v="6"/>
    <d v="2014-02-10T00:00:00"/>
    <d v="2014-02-10T00:00:00"/>
    <n v="442"/>
  </r>
  <r>
    <x v="9"/>
    <x v="14"/>
    <x v="4"/>
    <d v="2014-02-10T00:00:00"/>
    <d v="2014-02-10T00:00:00"/>
    <n v="513.4"/>
  </r>
  <r>
    <x v="33"/>
    <x v="55"/>
    <x v="7"/>
    <d v="2014-02-10T00:00:00"/>
    <d v="2014-02-11T00:00:00"/>
    <n v="331.5"/>
  </r>
  <r>
    <x v="16"/>
    <x v="38"/>
    <x v="4"/>
    <d v="2014-02-12T00:00:00"/>
    <d v="2014-02-12T00:00:00"/>
    <n v="513.4"/>
  </r>
  <r>
    <x v="26"/>
    <x v="83"/>
    <x v="7"/>
    <d v="2014-02-14T00:00:00"/>
    <d v="2014-02-16T00:00:00"/>
    <n v="450.5"/>
  </r>
  <r>
    <x v="31"/>
    <x v="49"/>
    <x v="4"/>
    <d v="2014-02-14T00:00:00"/>
    <d v="2014-02-16T00:00:00"/>
    <n v="795.4"/>
  </r>
  <r>
    <x v="48"/>
    <x v="84"/>
    <x v="7"/>
    <d v="2014-02-14T00:00:00"/>
    <d v="2014-02-14T00:00:00"/>
    <n v="212.5"/>
  </r>
  <r>
    <x v="15"/>
    <x v="21"/>
    <x v="12"/>
    <d v="2014-02-14T00:00:00"/>
    <d v="2014-02-16T00:00:00"/>
    <n v="892.7"/>
  </r>
  <r>
    <x v="8"/>
    <x v="35"/>
    <x v="11"/>
    <d v="2014-02-14T00:00:00"/>
    <d v="2014-02-18T00:00:00"/>
    <n v="1019.7"/>
  </r>
  <r>
    <x v="36"/>
    <x v="58"/>
    <x v="1"/>
    <d v="2014-02-14T00:00:00"/>
    <d v="2014-02-17T00:00:00"/>
    <n v="573.4"/>
  </r>
  <r>
    <x v="34"/>
    <x v="56"/>
    <x v="8"/>
    <d v="2014-02-15T00:00:00"/>
    <d v="2014-02-17T00:00:00"/>
    <n v="536.79999999999995"/>
  </r>
  <r>
    <x v="19"/>
    <x v="28"/>
    <x v="3"/>
    <d v="2014-02-15T00:00:00"/>
    <d v="2014-02-16T00:00:00"/>
    <n v="706.5"/>
  </r>
  <r>
    <x v="5"/>
    <x v="6"/>
    <x v="12"/>
    <d v="2014-02-19T00:00:00"/>
    <d v="2014-02-23T00:00:00"/>
    <n v="1290.7"/>
  </r>
  <r>
    <x v="37"/>
    <x v="85"/>
    <x v="7"/>
    <d v="2014-02-19T00:00:00"/>
    <d v="2014-02-23T00:00:00"/>
    <n v="688.5"/>
  </r>
  <r>
    <x v="42"/>
    <x v="86"/>
    <x v="6"/>
    <d v="2014-02-19T00:00:00"/>
    <d v="2014-02-20T00:00:00"/>
    <n v="570"/>
  </r>
  <r>
    <x v="6"/>
    <x v="29"/>
    <x v="3"/>
    <d v="2014-02-19T00:00:00"/>
    <d v="2014-02-22T00:00:00"/>
    <n v="1116.5"/>
  </r>
  <r>
    <x v="14"/>
    <x v="20"/>
    <x v="0"/>
    <d v="2014-02-19T00:00:00"/>
    <d v="2014-02-20T00:00:00"/>
    <n v="891"/>
  </r>
  <r>
    <x v="20"/>
    <x v="32"/>
    <x v="8"/>
    <d v="2014-02-19T00:00:00"/>
    <d v="2014-02-22T00:00:00"/>
    <n v="665.8"/>
  </r>
  <r>
    <x v="9"/>
    <x v="14"/>
    <x v="1"/>
    <d v="2014-02-19T00:00:00"/>
    <d v="2014-02-21T00:00:00"/>
    <n v="434.4"/>
  </r>
  <r>
    <x v="1"/>
    <x v="1"/>
    <x v="5"/>
    <d v="2014-02-19T00:00:00"/>
    <d v="2014-02-21T00:00:00"/>
    <n v="588.70000000000005"/>
  </r>
  <r>
    <x v="3"/>
    <x v="53"/>
    <x v="11"/>
    <d v="2014-02-19T00:00:00"/>
    <d v="2014-02-22T00:00:00"/>
    <n v="841.7"/>
  </r>
  <r>
    <x v="21"/>
    <x v="87"/>
    <x v="4"/>
    <d v="2014-02-19T00:00:00"/>
    <d v="2014-02-20T00:00:00"/>
    <n v="654.4"/>
  </r>
  <r>
    <x v="48"/>
    <x v="84"/>
    <x v="3"/>
    <d v="2014-02-19T00:00:00"/>
    <d v="2014-02-20T00:00:00"/>
    <n v="706.5"/>
  </r>
  <r>
    <x v="49"/>
    <x v="88"/>
    <x v="3"/>
    <d v="2014-02-19T00:00:00"/>
    <d v="2014-02-23T00:00:00"/>
    <n v="1321.5"/>
  </r>
  <r>
    <x v="50"/>
    <x v="89"/>
    <x v="5"/>
    <d v="2014-02-19T00:00:00"/>
    <d v="2014-02-23T00:00:00"/>
    <n v="886.7"/>
  </r>
  <r>
    <x v="44"/>
    <x v="74"/>
    <x v="7"/>
    <d v="2014-02-19T00:00:00"/>
    <d v="2014-02-20T00:00:00"/>
    <n v="331.5"/>
  </r>
  <r>
    <x v="2"/>
    <x v="46"/>
    <x v="0"/>
    <d v="2014-02-19T00:00:00"/>
    <d v="2014-02-20T00:00:00"/>
    <n v="891"/>
  </r>
  <r>
    <x v="2"/>
    <x v="46"/>
    <x v="1"/>
    <d v="2014-02-19T00:00:00"/>
    <d v="2014-02-20T00:00:00"/>
    <n v="295.39999999999998"/>
  </r>
  <r>
    <x v="3"/>
    <x v="47"/>
    <x v="6"/>
    <d v="2014-02-19T00:00:00"/>
    <d v="2014-02-22T00:00:00"/>
    <n v="826"/>
  </r>
  <r>
    <x v="1"/>
    <x v="4"/>
    <x v="6"/>
    <d v="2014-02-19T00:00:00"/>
    <d v="2014-02-21T00:00:00"/>
    <n v="698"/>
  </r>
  <r>
    <x v="19"/>
    <x v="28"/>
    <x v="9"/>
    <d v="2014-02-19T00:00:00"/>
    <d v="2014-02-19T00:00:00"/>
    <n v="363.8"/>
  </r>
  <r>
    <x v="26"/>
    <x v="73"/>
    <x v="8"/>
    <d v="2014-02-19T00:00:00"/>
    <d v="2014-02-21T00:00:00"/>
    <n v="536.79999999999995"/>
  </r>
  <r>
    <x v="42"/>
    <x v="86"/>
    <x v="0"/>
    <d v="2014-02-22T00:00:00"/>
    <d v="2014-02-22T00:00:00"/>
    <n v="680"/>
  </r>
  <r>
    <x v="6"/>
    <x v="30"/>
    <x v="6"/>
    <d v="2014-02-26T00:00:00"/>
    <d v="2014-03-02T00:00:00"/>
    <n v="954"/>
  </r>
  <r>
    <x v="21"/>
    <x v="87"/>
    <x v="4"/>
    <d v="2014-02-26T00:00:00"/>
    <d v="2014-02-28T00:00:00"/>
    <n v="795.4"/>
  </r>
  <r>
    <x v="49"/>
    <x v="88"/>
    <x v="2"/>
    <d v="2014-02-26T00:00:00"/>
    <d v="2014-03-01T00:00:00"/>
    <n v="550.5"/>
  </r>
  <r>
    <x v="44"/>
    <x v="90"/>
    <x v="5"/>
    <d v="2014-02-26T00:00:00"/>
    <d v="2014-02-27T00:00:00"/>
    <n v="439.7"/>
  </r>
  <r>
    <x v="3"/>
    <x v="3"/>
    <x v="3"/>
    <d v="2014-02-26T00:00:00"/>
    <d v="2014-02-27T00:00:00"/>
    <n v="706.5"/>
  </r>
  <r>
    <x v="28"/>
    <x v="91"/>
    <x v="11"/>
    <d v="2014-02-26T00:00:00"/>
    <d v="2014-02-27T00:00:00"/>
    <n v="485.7"/>
  </r>
  <r>
    <x v="42"/>
    <x v="86"/>
    <x v="8"/>
    <d v="2014-02-28T00:00:00"/>
    <d v="2014-02-28T00:00:00"/>
    <n v="278.8"/>
  </r>
  <r>
    <x v="3"/>
    <x v="16"/>
    <x v="12"/>
    <d v="2014-03-03T00:00:00"/>
    <d v="2014-03-04T00:00:00"/>
    <n v="693.7"/>
  </r>
  <r>
    <x v="16"/>
    <x v="22"/>
    <x v="12"/>
    <d v="2014-03-03T00:00:00"/>
    <d v="2014-03-03T00:00:00"/>
    <n v="494.7"/>
  </r>
  <r>
    <x v="31"/>
    <x v="69"/>
    <x v="3"/>
    <d v="2014-03-03T00:00:00"/>
    <d v="2014-03-05T00:00:00"/>
    <n v="911.5"/>
  </r>
  <r>
    <x v="7"/>
    <x v="8"/>
    <x v="1"/>
    <d v="2014-03-03T00:00:00"/>
    <d v="2014-03-04T00:00:00"/>
    <n v="295.39999999999998"/>
  </r>
  <r>
    <x v="21"/>
    <x v="52"/>
    <x v="1"/>
    <d v="2014-03-03T00:00:00"/>
    <d v="2014-03-07T00:00:00"/>
    <n v="712.4"/>
  </r>
  <r>
    <x v="16"/>
    <x v="63"/>
    <x v="7"/>
    <d v="2014-03-03T00:00:00"/>
    <d v="2014-03-05T00:00:00"/>
    <n v="450.5"/>
  </r>
  <r>
    <x v="21"/>
    <x v="87"/>
    <x v="2"/>
    <d v="2014-03-03T00:00:00"/>
    <d v="2014-03-06T00:00:00"/>
    <n v="550.5"/>
  </r>
  <r>
    <x v="22"/>
    <x v="42"/>
    <x v="6"/>
    <d v="2014-03-03T00:00:00"/>
    <d v="2014-03-04T00:00:00"/>
    <n v="570"/>
  </r>
  <r>
    <x v="44"/>
    <x v="90"/>
    <x v="6"/>
    <d v="2014-03-03T00:00:00"/>
    <d v="2014-03-05T00:00:00"/>
    <n v="698"/>
  </r>
  <r>
    <x v="35"/>
    <x v="57"/>
    <x v="1"/>
    <d v="2014-03-03T00:00:00"/>
    <d v="2014-03-03T00:00:00"/>
    <n v="156.4"/>
  </r>
  <r>
    <x v="27"/>
    <x v="43"/>
    <x v="0"/>
    <d v="2014-03-03T00:00:00"/>
    <d v="2014-03-07T00:00:00"/>
    <n v="1524"/>
  </r>
  <r>
    <x v="4"/>
    <x v="92"/>
    <x v="9"/>
    <d v="2014-03-03T00:00:00"/>
    <d v="2014-03-07T00:00:00"/>
    <n v="1015.8"/>
  </r>
  <r>
    <x v="44"/>
    <x v="74"/>
    <x v="3"/>
    <d v="2014-03-03T00:00:00"/>
    <d v="2014-03-05T00:00:00"/>
    <n v="911.5"/>
  </r>
  <r>
    <x v="19"/>
    <x v="28"/>
    <x v="9"/>
    <d v="2014-03-03T00:00:00"/>
    <d v="2014-03-07T00:00:00"/>
    <n v="1015.8"/>
  </r>
  <r>
    <x v="26"/>
    <x v="73"/>
    <x v="8"/>
    <d v="2014-03-03T00:00:00"/>
    <d v="2014-03-03T00:00:00"/>
    <n v="278.8"/>
  </r>
  <r>
    <x v="4"/>
    <x v="5"/>
    <x v="2"/>
    <d v="2014-03-03T00:00:00"/>
    <d v="2014-03-06T00:00:00"/>
    <n v="550.5"/>
  </r>
  <r>
    <x v="12"/>
    <x v="15"/>
    <x v="12"/>
    <d v="2014-03-06T00:00:00"/>
    <d v="2014-03-06T00:00:00"/>
    <n v="494.7"/>
  </r>
  <r>
    <x v="35"/>
    <x v="57"/>
    <x v="7"/>
    <d v="2014-03-06T00:00:00"/>
    <d v="2014-03-06T00:00:00"/>
    <n v="212.5"/>
  </r>
  <r>
    <x v="26"/>
    <x v="73"/>
    <x v="5"/>
    <d v="2014-03-07T00:00:00"/>
    <d v="2014-03-07T00:00:00"/>
    <n v="290.7"/>
  </r>
  <r>
    <x v="17"/>
    <x v="93"/>
    <x v="6"/>
    <d v="2014-03-09T00:00:00"/>
    <d v="2014-03-12T00:00:00"/>
    <n v="826"/>
  </r>
  <r>
    <x v="42"/>
    <x v="86"/>
    <x v="5"/>
    <d v="2014-03-10T00:00:00"/>
    <d v="2014-03-10T00:00:00"/>
    <n v="290.7"/>
  </r>
  <r>
    <x v="31"/>
    <x v="69"/>
    <x v="7"/>
    <d v="2014-03-10T00:00:00"/>
    <d v="2014-03-12T00:00:00"/>
    <n v="450.5"/>
  </r>
  <r>
    <x v="1"/>
    <x v="1"/>
    <x v="11"/>
    <d v="2014-03-10T00:00:00"/>
    <d v="2014-03-13T00:00:00"/>
    <n v="841.7"/>
  </r>
  <r>
    <x v="51"/>
    <x v="94"/>
    <x v="2"/>
    <d v="2014-03-10T00:00:00"/>
    <d v="2014-03-12T00:00:00"/>
    <n v="426.5"/>
  </r>
  <r>
    <x v="29"/>
    <x v="45"/>
    <x v="1"/>
    <d v="2014-03-10T00:00:00"/>
    <d v="2014-03-12T00:00:00"/>
    <n v="434.4"/>
  </r>
  <r>
    <x v="16"/>
    <x v="63"/>
    <x v="9"/>
    <d v="2014-03-11T00:00:00"/>
    <d v="2014-03-11T00:00:00"/>
    <n v="363.8"/>
  </r>
  <r>
    <x v="44"/>
    <x v="74"/>
    <x v="6"/>
    <d v="2014-03-11T00:00:00"/>
    <d v="2014-03-13T00:00:00"/>
    <n v="698"/>
  </r>
  <r>
    <x v="44"/>
    <x v="90"/>
    <x v="11"/>
    <d v="2014-03-12T00:00:00"/>
    <d v="2014-03-12T00:00:00"/>
    <n v="307.7"/>
  </r>
  <r>
    <x v="9"/>
    <x v="77"/>
    <x v="7"/>
    <d v="2014-03-15T00:00:00"/>
    <d v="2014-03-17T00:00:00"/>
    <n v="450.5"/>
  </r>
  <r>
    <x v="0"/>
    <x v="75"/>
    <x v="4"/>
    <d v="2014-03-15T00:00:00"/>
    <d v="2014-03-19T00:00:00"/>
    <n v="1077.4000000000001"/>
  </r>
  <r>
    <x v="3"/>
    <x v="18"/>
    <x v="8"/>
    <d v="2014-03-15T00:00:00"/>
    <d v="2014-03-16T00:00:00"/>
    <n v="407.8"/>
  </r>
  <r>
    <x v="41"/>
    <x v="68"/>
    <x v="9"/>
    <d v="2014-03-15T00:00:00"/>
    <d v="2014-03-18T00:00:00"/>
    <n v="852.8"/>
  </r>
  <r>
    <x v="42"/>
    <x v="86"/>
    <x v="6"/>
    <d v="2014-03-15T00:00:00"/>
    <d v="2014-03-17T00:00:00"/>
    <n v="698"/>
  </r>
  <r>
    <x v="42"/>
    <x v="78"/>
    <x v="0"/>
    <d v="2014-03-15T00:00:00"/>
    <d v="2014-03-18T00:00:00"/>
    <n v="1313"/>
  </r>
  <r>
    <x v="7"/>
    <x v="25"/>
    <x v="12"/>
    <d v="2014-03-15T00:00:00"/>
    <d v="2014-03-18T00:00:00"/>
    <n v="1091.7"/>
  </r>
  <r>
    <x v="6"/>
    <x v="30"/>
    <x v="8"/>
    <d v="2014-03-15T00:00:00"/>
    <d v="2014-03-16T00:00:00"/>
    <n v="407.8"/>
  </r>
  <r>
    <x v="9"/>
    <x v="14"/>
    <x v="12"/>
    <d v="2014-03-15T00:00:00"/>
    <d v="2014-03-19T00:00:00"/>
    <n v="1290.7"/>
  </r>
  <r>
    <x v="1"/>
    <x v="51"/>
    <x v="6"/>
    <d v="2014-03-15T00:00:00"/>
    <d v="2014-03-19T00:00:00"/>
    <n v="954"/>
  </r>
  <r>
    <x v="21"/>
    <x v="52"/>
    <x v="4"/>
    <d v="2014-03-15T00:00:00"/>
    <d v="2014-03-16T00:00:00"/>
    <n v="654.4"/>
  </r>
  <r>
    <x v="21"/>
    <x v="87"/>
    <x v="6"/>
    <d v="2014-03-15T00:00:00"/>
    <d v="2014-03-15T00:00:00"/>
    <n v="442"/>
  </r>
  <r>
    <x v="52"/>
    <x v="95"/>
    <x v="0"/>
    <d v="2014-03-15T00:00:00"/>
    <d v="2014-03-17T00:00:00"/>
    <n v="1102"/>
  </r>
  <r>
    <x v="0"/>
    <x v="17"/>
    <x v="3"/>
    <d v="2014-03-15T00:00:00"/>
    <d v="2014-03-17T00:00:00"/>
    <n v="911.5"/>
  </r>
  <r>
    <x v="3"/>
    <x v="47"/>
    <x v="3"/>
    <d v="2014-03-15T00:00:00"/>
    <d v="2014-03-19T00:00:00"/>
    <n v="1321.5"/>
  </r>
  <r>
    <x v="1"/>
    <x v="4"/>
    <x v="12"/>
    <d v="2014-03-15T00:00:00"/>
    <d v="2014-03-18T00:00:00"/>
    <n v="1091.7"/>
  </r>
  <r>
    <x v="24"/>
    <x v="66"/>
    <x v="9"/>
    <d v="2014-03-17T00:00:00"/>
    <d v="2014-03-19T00:00:00"/>
    <n v="689.8"/>
  </r>
  <r>
    <x v="11"/>
    <x v="13"/>
    <x v="9"/>
    <d v="2014-03-17T00:00:00"/>
    <d v="2014-03-18T00:00:00"/>
    <n v="526.79999999999995"/>
  </r>
  <r>
    <x v="3"/>
    <x v="27"/>
    <x v="11"/>
    <d v="2014-03-17T00:00:00"/>
    <d v="2014-03-18T00:00:00"/>
    <n v="485.7"/>
  </r>
  <r>
    <x v="17"/>
    <x v="24"/>
    <x v="0"/>
    <d v="2014-03-17T00:00:00"/>
    <d v="2014-03-17T00:00:00"/>
    <n v="680"/>
  </r>
  <r>
    <x v="18"/>
    <x v="26"/>
    <x v="12"/>
    <d v="2014-03-18T00:00:00"/>
    <d v="2014-03-18T00:00:00"/>
    <n v="494.7"/>
  </r>
  <r>
    <x v="40"/>
    <x v="67"/>
    <x v="2"/>
    <d v="2014-03-18T00:00:00"/>
    <d v="2014-03-18T00:00:00"/>
    <n v="178.5"/>
  </r>
  <r>
    <x v="2"/>
    <x v="2"/>
    <x v="7"/>
    <d v="2014-03-18T00:00:00"/>
    <d v="2014-03-19T00:00:00"/>
    <n v="331.5"/>
  </r>
  <r>
    <x v="42"/>
    <x v="78"/>
    <x v="12"/>
    <d v="2014-03-21T00:00:00"/>
    <d v="2014-03-25T00:00:00"/>
    <n v="1290.7"/>
  </r>
  <r>
    <x v="16"/>
    <x v="71"/>
    <x v="5"/>
    <d v="2014-03-21T00:00:00"/>
    <d v="2014-03-23T00:00:00"/>
    <n v="588.70000000000005"/>
  </r>
  <r>
    <x v="6"/>
    <x v="29"/>
    <x v="12"/>
    <d v="2014-03-21T00:00:00"/>
    <d v="2014-03-25T00:00:00"/>
    <n v="1290.7"/>
  </r>
  <r>
    <x v="20"/>
    <x v="32"/>
    <x v="1"/>
    <d v="2014-03-21T00:00:00"/>
    <d v="2014-03-22T00:00:00"/>
    <n v="295.39999999999998"/>
  </r>
  <r>
    <x v="1"/>
    <x v="31"/>
    <x v="11"/>
    <d v="2014-03-21T00:00:00"/>
    <d v="2014-03-23T00:00:00"/>
    <n v="663.7"/>
  </r>
  <r>
    <x v="36"/>
    <x v="58"/>
    <x v="10"/>
    <d v="2014-03-21T00:00:00"/>
    <d v="2014-03-22T00:00:00"/>
    <n v="601"/>
  </r>
  <r>
    <x v="0"/>
    <x v="23"/>
    <x v="1"/>
    <d v="2014-03-27T00:00:00"/>
    <d v="2014-03-28T00:00:00"/>
    <n v="295.39999999999998"/>
  </r>
  <r>
    <x v="9"/>
    <x v="10"/>
    <x v="12"/>
    <d v="2014-03-27T00:00:00"/>
    <d v="2014-03-31T00:00:00"/>
    <n v="1290.7"/>
  </r>
  <r>
    <x v="43"/>
    <x v="72"/>
    <x v="8"/>
    <d v="2014-03-27T00:00:00"/>
    <d v="2014-03-31T00:00:00"/>
    <n v="794.8"/>
  </r>
  <r>
    <x v="29"/>
    <x v="45"/>
    <x v="4"/>
    <d v="2014-03-27T00:00:00"/>
    <d v="2014-03-28T00:00:00"/>
    <n v="654.4"/>
  </r>
  <r>
    <x v="44"/>
    <x v="74"/>
    <x v="12"/>
    <d v="2014-03-27T00:00:00"/>
    <d v="2014-03-28T00:00:00"/>
    <n v="693.7"/>
  </r>
  <r>
    <x v="1"/>
    <x v="4"/>
    <x v="1"/>
    <d v="2014-03-27T00:00:00"/>
    <d v="2014-03-30T00:00:00"/>
    <n v="573.4"/>
  </r>
  <r>
    <x v="37"/>
    <x v="76"/>
    <x v="8"/>
    <d v="2014-04-02T00:00:00"/>
    <d v="2014-04-04T00:00:00"/>
    <n v="536.79999999999995"/>
  </r>
  <r>
    <x v="1"/>
    <x v="51"/>
    <x v="9"/>
    <d v="2014-04-02T00:00:00"/>
    <d v="2014-04-06T00:00:00"/>
    <n v="1015.8"/>
  </r>
  <r>
    <x v="45"/>
    <x v="79"/>
    <x v="6"/>
    <d v="2014-04-02T00:00:00"/>
    <d v="2014-04-05T00:00:00"/>
    <n v="826"/>
  </r>
  <r>
    <x v="47"/>
    <x v="81"/>
    <x v="3"/>
    <d v="2014-04-02T00:00:00"/>
    <d v="2014-04-06T00:00:00"/>
    <n v="1321.5"/>
  </r>
  <r>
    <x v="52"/>
    <x v="95"/>
    <x v="12"/>
    <d v="2014-04-02T00:00:00"/>
    <d v="2014-04-04T00:00:00"/>
    <n v="892.7"/>
  </r>
  <r>
    <x v="28"/>
    <x v="91"/>
    <x v="1"/>
    <d v="2014-04-02T00:00:00"/>
    <d v="2014-04-03T00:00:00"/>
    <n v="295.39999999999998"/>
  </r>
  <r>
    <x v="44"/>
    <x v="90"/>
    <x v="8"/>
    <d v="2014-04-03T00:00:00"/>
    <d v="2014-04-07T00:00:00"/>
    <n v="794.8"/>
  </r>
  <r>
    <x v="13"/>
    <x v="19"/>
    <x v="1"/>
    <d v="2014-04-08T00:00:00"/>
    <d v="2014-04-11T00:00:00"/>
    <n v="573.4"/>
  </r>
  <r>
    <x v="3"/>
    <x v="18"/>
    <x v="10"/>
    <d v="2014-04-08T00:00:00"/>
    <d v="2014-04-10T00:00:00"/>
    <n v="760"/>
  </r>
  <r>
    <x v="18"/>
    <x v="26"/>
    <x v="2"/>
    <d v="2014-04-08T00:00:00"/>
    <d v="2014-04-12T00:00:00"/>
    <n v="674.5"/>
  </r>
  <r>
    <x v="2"/>
    <x v="2"/>
    <x v="2"/>
    <d v="2014-04-08T00:00:00"/>
    <d v="2014-04-11T00:00:00"/>
    <n v="550.5"/>
  </r>
  <r>
    <x v="47"/>
    <x v="81"/>
    <x v="12"/>
    <d v="2014-04-08T00:00:00"/>
    <d v="2014-04-11T00:00:00"/>
    <n v="1091.7"/>
  </r>
  <r>
    <x v="10"/>
    <x v="12"/>
    <x v="3"/>
    <d v="2014-04-08T00:00:00"/>
    <d v="2014-04-12T00:00:00"/>
    <n v="1321.5"/>
  </r>
  <r>
    <x v="8"/>
    <x v="36"/>
    <x v="12"/>
    <d v="2014-04-14T00:00:00"/>
    <d v="2014-04-18T00:00:00"/>
    <n v="1290.7"/>
  </r>
  <r>
    <x v="6"/>
    <x v="29"/>
    <x v="0"/>
    <d v="2014-04-14T00:00:00"/>
    <d v="2014-04-16T00:00:00"/>
    <n v="1102"/>
  </r>
  <r>
    <x v="9"/>
    <x v="14"/>
    <x v="0"/>
    <d v="2014-04-14T00:00:00"/>
    <d v="2014-04-15T00:00:00"/>
    <n v="891"/>
  </r>
  <r>
    <x v="16"/>
    <x v="63"/>
    <x v="0"/>
    <d v="2014-04-14T00:00:00"/>
    <d v="2014-04-17T00:00:00"/>
    <n v="1313"/>
  </r>
  <r>
    <x v="35"/>
    <x v="57"/>
    <x v="3"/>
    <d v="2014-04-14T00:00:00"/>
    <d v="2014-04-15T00:00:00"/>
    <n v="706.5"/>
  </r>
  <r>
    <x v="42"/>
    <x v="70"/>
    <x v="3"/>
    <d v="2014-04-14T00:00:00"/>
    <d v="2014-04-16T00:00:00"/>
    <n v="911.5"/>
  </r>
  <r>
    <x v="1"/>
    <x v="51"/>
    <x v="4"/>
    <d v="2014-04-18T00:00:00"/>
    <d v="2014-04-18T00:00:00"/>
    <n v="513.4"/>
  </r>
  <r>
    <x v="39"/>
    <x v="64"/>
    <x v="12"/>
    <d v="2014-04-20T00:00:00"/>
    <d v="2014-04-22T00:00:00"/>
    <n v="892.7"/>
  </r>
  <r>
    <x v="3"/>
    <x v="53"/>
    <x v="9"/>
    <d v="2014-04-20T00:00:00"/>
    <d v="2014-04-21T00:00:00"/>
    <n v="526.79999999999995"/>
  </r>
  <r>
    <x v="1"/>
    <x v="51"/>
    <x v="10"/>
    <d v="2014-04-23T00:00:00"/>
    <d v="2014-04-24T00:00:00"/>
    <n v="601"/>
  </r>
  <r>
    <x v="22"/>
    <x v="34"/>
    <x v="9"/>
    <d v="2014-04-23T00:00:00"/>
    <d v="2014-04-24T00:00:00"/>
    <n v="526.79999999999995"/>
  </r>
  <r>
    <x v="42"/>
    <x v="70"/>
    <x v="8"/>
    <d v="2014-04-24T00:00:00"/>
    <d v="2014-04-24T00:00:00"/>
    <n v="278.8"/>
  </r>
  <r>
    <x v="7"/>
    <x v="25"/>
    <x v="8"/>
    <d v="2014-04-26T00:00:00"/>
    <d v="2014-04-30T00:00:00"/>
    <n v="794.8"/>
  </r>
  <r>
    <x v="6"/>
    <x v="7"/>
    <x v="10"/>
    <d v="2014-04-26T00:00:00"/>
    <d v="2014-04-29T00:00:00"/>
    <n v="919"/>
  </r>
  <r>
    <x v="53"/>
    <x v="96"/>
    <x v="1"/>
    <d v="2014-04-26T00:00:00"/>
    <d v="2014-04-27T00:00:00"/>
    <n v="295.39999999999998"/>
  </r>
  <r>
    <x v="6"/>
    <x v="11"/>
    <x v="9"/>
    <d v="2014-04-26T00:00:00"/>
    <d v="2014-04-27T00:00:00"/>
    <n v="526.79999999999995"/>
  </r>
  <r>
    <x v="36"/>
    <x v="58"/>
    <x v="4"/>
    <d v="2014-04-26T00:00:00"/>
    <d v="2014-04-29T00:00:00"/>
    <n v="936.4"/>
  </r>
  <r>
    <x v="28"/>
    <x v="44"/>
    <x v="1"/>
    <d v="2014-04-26T00:00:00"/>
    <d v="2014-04-26T00:00:00"/>
    <n v="156.4"/>
  </r>
  <r>
    <x v="0"/>
    <x v="75"/>
    <x v="3"/>
    <d v="2014-04-28T00:00:00"/>
    <d v="2014-04-29T00:00:00"/>
    <n v="706.5"/>
  </r>
  <r>
    <x v="7"/>
    <x v="8"/>
    <x v="4"/>
    <d v="2014-05-02T00:00:00"/>
    <d v="2014-05-06T00:00:00"/>
    <n v="1077.4000000000001"/>
  </r>
  <r>
    <x v="8"/>
    <x v="9"/>
    <x v="2"/>
    <d v="2014-05-02T00:00:00"/>
    <d v="2014-05-04T00:00:00"/>
    <n v="426.5"/>
  </r>
  <r>
    <x v="30"/>
    <x v="48"/>
    <x v="3"/>
    <d v="2014-05-02T00:00:00"/>
    <d v="2014-05-03T00:00:00"/>
    <n v="706.5"/>
  </r>
  <r>
    <x v="5"/>
    <x v="6"/>
    <x v="4"/>
    <d v="2014-05-05T00:00:00"/>
    <d v="2014-05-06T00:00:00"/>
    <n v="654.4"/>
  </r>
  <r>
    <x v="3"/>
    <x v="16"/>
    <x v="5"/>
    <d v="2014-05-05T00:00:00"/>
    <d v="2014-05-05T00:00:00"/>
    <n v="290.7"/>
  </r>
  <r>
    <x v="52"/>
    <x v="95"/>
    <x v="6"/>
    <d v="2014-05-06T00:00:00"/>
    <d v="2014-05-07T00:00:00"/>
    <n v="570"/>
  </r>
  <r>
    <x v="24"/>
    <x v="39"/>
    <x v="3"/>
    <d v="2014-05-08T00:00:00"/>
    <d v="2014-05-11T00:00:00"/>
    <n v="1116.5"/>
  </r>
  <r>
    <x v="25"/>
    <x v="40"/>
    <x v="0"/>
    <d v="2014-05-08T00:00:00"/>
    <d v="2014-05-10T00:00:00"/>
    <n v="1102"/>
  </r>
  <r>
    <x v="31"/>
    <x v="69"/>
    <x v="2"/>
    <d v="2014-05-08T00:00:00"/>
    <d v="2014-05-09T00:00:00"/>
    <n v="302.5"/>
  </r>
  <r>
    <x v="21"/>
    <x v="33"/>
    <x v="1"/>
    <d v="2014-05-08T00:00:00"/>
    <d v="2014-05-11T00:00:00"/>
    <n v="573.4"/>
  </r>
  <r>
    <x v="10"/>
    <x v="12"/>
    <x v="4"/>
    <d v="2014-05-08T00:00:00"/>
    <d v="2014-05-11T00:00:00"/>
    <n v="936.4"/>
  </r>
  <r>
    <x v="22"/>
    <x v="34"/>
    <x v="11"/>
    <d v="2014-05-08T00:00:00"/>
    <d v="2014-05-12T00:00:00"/>
    <n v="1019.7"/>
  </r>
  <r>
    <x v="39"/>
    <x v="64"/>
    <x v="1"/>
    <d v="2014-05-14T00:00:00"/>
    <d v="2014-05-17T00:00:00"/>
    <n v="573.4"/>
  </r>
  <r>
    <x v="3"/>
    <x v="18"/>
    <x v="5"/>
    <d v="2014-05-14T00:00:00"/>
    <d v="2014-05-18T00:00:00"/>
    <n v="886.7"/>
  </r>
  <r>
    <x v="6"/>
    <x v="29"/>
    <x v="4"/>
    <d v="2014-05-14T00:00:00"/>
    <d v="2014-05-18T00:00:00"/>
    <n v="1077.4000000000001"/>
  </r>
  <r>
    <x v="7"/>
    <x v="25"/>
    <x v="5"/>
    <d v="2014-05-14T00:00:00"/>
    <d v="2014-05-15T00:00:00"/>
    <n v="439.7"/>
  </r>
  <r>
    <x v="8"/>
    <x v="9"/>
    <x v="5"/>
    <d v="2014-05-14T00:00:00"/>
    <d v="2014-05-16T00:00:00"/>
    <n v="588.70000000000005"/>
  </r>
  <r>
    <x v="44"/>
    <x v="90"/>
    <x v="8"/>
    <d v="2014-05-14T00:00:00"/>
    <d v="2014-05-15T00:00:00"/>
    <n v="407.8"/>
  </r>
  <r>
    <x v="8"/>
    <x v="35"/>
    <x v="5"/>
    <d v="2014-05-14T00:00:00"/>
    <d v="2014-05-16T00:00:00"/>
    <n v="588.70000000000005"/>
  </r>
  <r>
    <x v="9"/>
    <x v="14"/>
    <x v="12"/>
    <d v="2014-05-20T00:00:00"/>
    <d v="2014-05-21T00:00:00"/>
    <n v="693.7"/>
  </r>
  <r>
    <x v="3"/>
    <x v="53"/>
    <x v="2"/>
    <d v="2014-05-20T00:00:00"/>
    <d v="2014-05-24T00:00:00"/>
    <n v="674.5"/>
  </r>
  <r>
    <x v="48"/>
    <x v="84"/>
    <x v="7"/>
    <d v="2014-05-20T00:00:00"/>
    <d v="2014-05-23T00:00:00"/>
    <n v="569.5"/>
  </r>
  <r>
    <x v="52"/>
    <x v="95"/>
    <x v="6"/>
    <d v="2014-05-20T00:00:00"/>
    <d v="2014-05-23T00:00:00"/>
    <n v="826"/>
  </r>
  <r>
    <x v="50"/>
    <x v="89"/>
    <x v="5"/>
    <d v="2014-05-20T00:00:00"/>
    <d v="2014-05-24T00:00:00"/>
    <n v="886.7"/>
  </r>
  <r>
    <x v="28"/>
    <x v="44"/>
    <x v="11"/>
    <d v="2014-05-20T00:00:00"/>
    <d v="2014-05-23T00:00:00"/>
    <n v="841.7"/>
  </r>
  <r>
    <x v="3"/>
    <x v="16"/>
    <x v="12"/>
    <d v="2014-05-26T00:00:00"/>
    <d v="2014-05-28T00:00:00"/>
    <n v="892.7"/>
  </r>
  <r>
    <x v="42"/>
    <x v="86"/>
    <x v="11"/>
    <d v="2014-05-26T00:00:00"/>
    <d v="2014-05-30T00:00:00"/>
    <n v="1019.7"/>
  </r>
  <r>
    <x v="23"/>
    <x v="37"/>
    <x v="1"/>
    <d v="2014-05-26T00:00:00"/>
    <d v="2014-05-28T00:00:00"/>
    <n v="434.4"/>
  </r>
  <r>
    <x v="17"/>
    <x v="93"/>
    <x v="10"/>
    <d v="2014-05-26T00:00:00"/>
    <d v="2014-05-29T00:00:00"/>
    <n v="919"/>
  </r>
  <r>
    <x v="6"/>
    <x v="7"/>
    <x v="10"/>
    <d v="2014-05-26T00:00:00"/>
    <d v="2014-05-29T00:00:00"/>
    <n v="919"/>
  </r>
  <r>
    <x v="10"/>
    <x v="12"/>
    <x v="10"/>
    <d v="2014-05-26T00:00:00"/>
    <d v="2014-05-28T00:00:00"/>
    <n v="760"/>
  </r>
  <r>
    <x v="3"/>
    <x v="16"/>
    <x v="4"/>
    <d v="2014-06-01T00:00:00"/>
    <d v="2014-06-04T00:00:00"/>
    <n v="936.4"/>
  </r>
  <r>
    <x v="37"/>
    <x v="85"/>
    <x v="5"/>
    <d v="2014-06-01T00:00:00"/>
    <d v="2014-06-04T00:00:00"/>
    <n v="737.7"/>
  </r>
  <r>
    <x v="29"/>
    <x v="65"/>
    <x v="5"/>
    <d v="2014-06-01T00:00:00"/>
    <d v="2014-06-05T00:00:00"/>
    <n v="886.7"/>
  </r>
  <r>
    <x v="6"/>
    <x v="29"/>
    <x v="7"/>
    <d v="2014-06-01T00:00:00"/>
    <d v="2014-06-03T00:00:00"/>
    <n v="450.5"/>
  </r>
  <r>
    <x v="25"/>
    <x v="40"/>
    <x v="4"/>
    <d v="2014-06-01T00:00:00"/>
    <d v="2014-06-04T00:00:00"/>
    <n v="936.4"/>
  </r>
  <r>
    <x v="43"/>
    <x v="82"/>
    <x v="5"/>
    <d v="2014-06-01T00:00:00"/>
    <d v="2014-06-03T00:00:00"/>
    <n v="588.70000000000005"/>
  </r>
  <r>
    <x v="3"/>
    <x v="47"/>
    <x v="10"/>
    <d v="2014-06-01T00:00:00"/>
    <d v="2014-06-03T00:00:00"/>
    <n v="760"/>
  </r>
  <r>
    <x v="7"/>
    <x v="25"/>
    <x v="7"/>
    <d v="2014-06-02T00:00:00"/>
    <d v="2014-06-02T00:00:00"/>
    <n v="212.5"/>
  </r>
  <r>
    <x v="6"/>
    <x v="7"/>
    <x v="8"/>
    <d v="2014-06-02T00:00:00"/>
    <d v="2014-06-02T00:00:00"/>
    <n v="278.8"/>
  </r>
  <r>
    <x v="3"/>
    <x v="27"/>
    <x v="5"/>
    <d v="2014-06-02T00:00:00"/>
    <d v="2014-06-04T00:00:00"/>
    <n v="588.70000000000005"/>
  </r>
  <r>
    <x v="28"/>
    <x v="44"/>
    <x v="8"/>
    <d v="2014-06-02T00:00:00"/>
    <d v="2014-06-02T00:00:00"/>
    <n v="278.8"/>
  </r>
  <r>
    <x v="54"/>
    <x v="97"/>
    <x v="2"/>
    <d v="2014-06-03T00:00:00"/>
    <d v="2014-06-03T00:00:00"/>
    <n v="178.5"/>
  </r>
  <r>
    <x v="8"/>
    <x v="35"/>
    <x v="3"/>
    <d v="2014-06-03T00:00:00"/>
    <d v="2014-06-04T00:00:00"/>
    <n v="706.5"/>
  </r>
  <r>
    <x v="31"/>
    <x v="69"/>
    <x v="7"/>
    <d v="2014-06-04T00:00:00"/>
    <d v="2014-06-05T00:00:00"/>
    <n v="331.5"/>
  </r>
  <r>
    <x v="51"/>
    <x v="94"/>
    <x v="6"/>
    <d v="2014-06-04T00:00:00"/>
    <d v="2014-06-05T00:00:00"/>
    <n v="570"/>
  </r>
  <r>
    <x v="28"/>
    <x v="44"/>
    <x v="3"/>
    <d v="2014-06-04T00:00:00"/>
    <d v="2014-06-05T00:00:00"/>
    <n v="706.5"/>
  </r>
  <r>
    <x v="6"/>
    <x v="29"/>
    <x v="3"/>
    <d v="2014-06-05T00:00:00"/>
    <d v="2014-06-05T00:00:00"/>
    <n v="501.5"/>
  </r>
  <r>
    <x v="5"/>
    <x v="6"/>
    <x v="1"/>
    <d v="2014-06-07T00:00:00"/>
    <d v="2014-06-07T00:00:00"/>
    <n v="156.4"/>
  </r>
  <r>
    <x v="29"/>
    <x v="65"/>
    <x v="11"/>
    <d v="2014-06-07T00:00:00"/>
    <d v="2014-06-09T00:00:00"/>
    <n v="663.7"/>
  </r>
  <r>
    <x v="26"/>
    <x v="83"/>
    <x v="12"/>
    <d v="2014-06-07T00:00:00"/>
    <d v="2014-06-11T00:00:00"/>
    <n v="1290.7"/>
  </r>
  <r>
    <x v="2"/>
    <x v="2"/>
    <x v="1"/>
    <d v="2014-06-07T00:00:00"/>
    <d v="2014-06-11T00:00:00"/>
    <n v="712.4"/>
  </r>
  <r>
    <x v="28"/>
    <x v="91"/>
    <x v="4"/>
    <d v="2014-06-07T00:00:00"/>
    <d v="2014-06-09T00:00:00"/>
    <n v="795.4"/>
  </r>
  <r>
    <x v="10"/>
    <x v="12"/>
    <x v="11"/>
    <d v="2014-06-09T00:00:00"/>
    <d v="2014-06-10T00:00:00"/>
    <n v="485.7"/>
  </r>
  <r>
    <x v="16"/>
    <x v="22"/>
    <x v="11"/>
    <d v="2014-06-13T00:00:00"/>
    <d v="2014-06-15T00:00:00"/>
    <n v="663.7"/>
  </r>
  <r>
    <x v="42"/>
    <x v="86"/>
    <x v="10"/>
    <d v="2014-06-13T00:00:00"/>
    <d v="2014-06-17T00:00:00"/>
    <n v="1078"/>
  </r>
  <r>
    <x v="5"/>
    <x v="98"/>
    <x v="12"/>
    <d v="2014-06-13T00:00:00"/>
    <d v="2014-06-13T00:00:00"/>
    <n v="494.7"/>
  </r>
  <r>
    <x v="25"/>
    <x v="40"/>
    <x v="8"/>
    <d v="2014-06-13T00:00:00"/>
    <d v="2014-06-17T00:00:00"/>
    <n v="794.8"/>
  </r>
  <r>
    <x v="0"/>
    <x v="23"/>
    <x v="12"/>
    <d v="2014-06-13T00:00:00"/>
    <d v="2014-06-16T00:00:00"/>
    <n v="1091.7"/>
  </r>
  <r>
    <x v="9"/>
    <x v="14"/>
    <x v="12"/>
    <d v="2014-06-13T00:00:00"/>
    <d v="2014-06-16T00:00:00"/>
    <n v="1091.7"/>
  </r>
  <r>
    <x v="43"/>
    <x v="72"/>
    <x v="8"/>
    <d v="2014-06-13T00:00:00"/>
    <d v="2014-06-17T00:00:00"/>
    <n v="794.8"/>
  </r>
  <r>
    <x v="1"/>
    <x v="31"/>
    <x v="12"/>
    <d v="2014-06-13T00:00:00"/>
    <d v="2014-06-14T00:00:00"/>
    <n v="693.7"/>
  </r>
  <r>
    <x v="31"/>
    <x v="49"/>
    <x v="12"/>
    <d v="2014-06-13T00:00:00"/>
    <d v="2014-06-15T00:00:00"/>
    <n v="892.7"/>
  </r>
  <r>
    <x v="46"/>
    <x v="80"/>
    <x v="9"/>
    <d v="2014-06-13T00:00:00"/>
    <d v="2014-06-16T00:00:00"/>
    <n v="852.8"/>
  </r>
  <r>
    <x v="48"/>
    <x v="84"/>
    <x v="12"/>
    <d v="2014-06-13T00:00:00"/>
    <d v="2014-06-13T00:00:00"/>
    <n v="494.7"/>
  </r>
  <r>
    <x v="22"/>
    <x v="42"/>
    <x v="6"/>
    <d v="2014-06-13T00:00:00"/>
    <d v="2014-06-13T00:00:00"/>
    <n v="442"/>
  </r>
  <r>
    <x v="44"/>
    <x v="90"/>
    <x v="11"/>
    <d v="2014-06-13T00:00:00"/>
    <d v="2014-06-15T00:00:00"/>
    <n v="663.7"/>
  </r>
  <r>
    <x v="50"/>
    <x v="89"/>
    <x v="0"/>
    <d v="2014-06-13T00:00:00"/>
    <d v="2014-06-16T00:00:00"/>
    <n v="1313"/>
  </r>
  <r>
    <x v="37"/>
    <x v="59"/>
    <x v="3"/>
    <d v="2014-06-13T00:00:00"/>
    <d v="2014-06-15T00:00:00"/>
    <n v="911.5"/>
  </r>
  <r>
    <x v="51"/>
    <x v="94"/>
    <x v="10"/>
    <d v="2014-06-16T00:00:00"/>
    <d v="2014-06-17T00:00:00"/>
    <n v="601"/>
  </r>
  <r>
    <x v="22"/>
    <x v="34"/>
    <x v="6"/>
    <d v="2014-06-16T00:00:00"/>
    <d v="2014-06-16T00:00:00"/>
    <n v="442"/>
  </r>
  <r>
    <x v="40"/>
    <x v="67"/>
    <x v="7"/>
    <d v="2014-06-19T00:00:00"/>
    <d v="2014-06-22T00:00:00"/>
    <n v="569.5"/>
  </r>
  <r>
    <x v="46"/>
    <x v="80"/>
    <x v="5"/>
    <d v="2014-06-19T00:00:00"/>
    <d v="2014-06-20T00:00:00"/>
    <n v="439.7"/>
  </r>
  <r>
    <x v="22"/>
    <x v="42"/>
    <x v="11"/>
    <d v="2014-06-19T00:00:00"/>
    <d v="2014-06-22T00:00:00"/>
    <n v="841.7"/>
  </r>
  <r>
    <x v="34"/>
    <x v="56"/>
    <x v="4"/>
    <d v="2014-06-19T00:00:00"/>
    <d v="2014-06-21T00:00:00"/>
    <n v="795.4"/>
  </r>
  <r>
    <x v="4"/>
    <x v="92"/>
    <x v="12"/>
    <d v="2014-06-19T00:00:00"/>
    <d v="2014-06-23T00:00:00"/>
    <n v="1290.7"/>
  </r>
  <r>
    <x v="4"/>
    <x v="5"/>
    <x v="6"/>
    <d v="2014-06-19T00:00:00"/>
    <d v="2014-06-21T00:00:00"/>
    <n v="698"/>
  </r>
  <r>
    <x v="13"/>
    <x v="19"/>
    <x v="5"/>
    <d v="2014-06-25T00:00:00"/>
    <d v="2014-06-26T00:00:00"/>
    <n v="439.7"/>
  </r>
  <r>
    <x v="16"/>
    <x v="71"/>
    <x v="12"/>
    <d v="2014-06-25T00:00:00"/>
    <d v="2014-06-25T00:00:00"/>
    <n v="494.7"/>
  </r>
  <r>
    <x v="16"/>
    <x v="71"/>
    <x v="3"/>
    <d v="2014-06-25T00:00:00"/>
    <d v="2014-06-27T00:00:00"/>
    <n v="911.5"/>
  </r>
  <r>
    <x v="14"/>
    <x v="20"/>
    <x v="0"/>
    <d v="2014-06-25T00:00:00"/>
    <d v="2014-06-26T00:00:00"/>
    <n v="891"/>
  </r>
  <r>
    <x v="18"/>
    <x v="26"/>
    <x v="8"/>
    <d v="2014-06-25T00:00:00"/>
    <d v="2014-06-28T00:00:00"/>
    <n v="665.8"/>
  </r>
  <r>
    <x v="40"/>
    <x v="67"/>
    <x v="4"/>
    <d v="2014-06-25T00:00:00"/>
    <d v="2014-06-27T00:00:00"/>
    <n v="795.4"/>
  </r>
  <r>
    <x v="1"/>
    <x v="51"/>
    <x v="4"/>
    <d v="2014-06-25T00:00:00"/>
    <d v="2014-06-26T00:00:00"/>
    <n v="654.4"/>
  </r>
  <r>
    <x v="49"/>
    <x v="88"/>
    <x v="5"/>
    <d v="2014-06-25T00:00:00"/>
    <d v="2014-06-28T00:00:00"/>
    <n v="737.7"/>
  </r>
  <r>
    <x v="15"/>
    <x v="21"/>
    <x v="5"/>
    <d v="2014-06-25T00:00:00"/>
    <d v="2014-06-29T00:00:00"/>
    <n v="886.7"/>
  </r>
  <r>
    <x v="50"/>
    <x v="89"/>
    <x v="1"/>
    <d v="2014-06-25T00:00:00"/>
    <d v="2014-06-26T00:00:00"/>
    <n v="295.39999999999998"/>
  </r>
  <r>
    <x v="0"/>
    <x v="17"/>
    <x v="9"/>
    <d v="2014-06-25T00:00:00"/>
    <d v="2014-06-27T00:00:00"/>
    <n v="689.8"/>
  </r>
  <r>
    <x v="8"/>
    <x v="35"/>
    <x v="0"/>
    <d v="2014-06-25T00:00:00"/>
    <d v="2014-06-29T00:00:00"/>
    <n v="1524"/>
  </r>
  <r>
    <x v="3"/>
    <x v="3"/>
    <x v="1"/>
    <d v="2014-06-25T00:00:00"/>
    <d v="2014-06-26T00:00:00"/>
    <n v="295.39999999999998"/>
  </r>
  <r>
    <x v="36"/>
    <x v="58"/>
    <x v="10"/>
    <d v="2014-06-25T00:00:00"/>
    <d v="2014-06-27T00:00:00"/>
    <n v="760"/>
  </r>
  <r>
    <x v="37"/>
    <x v="59"/>
    <x v="4"/>
    <d v="2014-06-25T00:00:00"/>
    <d v="2014-06-27T00:00:00"/>
    <n v="795.4"/>
  </r>
  <r>
    <x v="26"/>
    <x v="73"/>
    <x v="2"/>
    <d v="2014-06-25T00:00:00"/>
    <d v="2014-06-26T00:00:00"/>
    <n v="302.5"/>
  </r>
  <r>
    <x v="1"/>
    <x v="51"/>
    <x v="9"/>
    <d v="2014-06-28T00:00:00"/>
    <d v="2014-06-28T00:00:00"/>
    <n v="363.8"/>
  </r>
  <r>
    <x v="3"/>
    <x v="18"/>
    <x v="12"/>
    <d v="2014-07-01T00:00:00"/>
    <d v="2014-07-05T00:00:00"/>
    <n v="1290.7"/>
  </r>
  <r>
    <x v="9"/>
    <x v="14"/>
    <x v="4"/>
    <d v="2014-07-01T00:00:00"/>
    <d v="2014-07-05T00:00:00"/>
    <n v="1077.4000000000001"/>
  </r>
  <r>
    <x v="32"/>
    <x v="50"/>
    <x v="11"/>
    <d v="2014-07-01T00:00:00"/>
    <d v="2014-07-03T00:00:00"/>
    <n v="663.7"/>
  </r>
  <r>
    <x v="45"/>
    <x v="79"/>
    <x v="2"/>
    <d v="2014-07-01T00:00:00"/>
    <d v="2014-07-05T00:00:00"/>
    <n v="674.5"/>
  </r>
  <r>
    <x v="48"/>
    <x v="84"/>
    <x v="3"/>
    <d v="2014-07-01T00:00:00"/>
    <d v="2014-07-03T00:00:00"/>
    <n v="911.5"/>
  </r>
  <r>
    <x v="22"/>
    <x v="34"/>
    <x v="2"/>
    <d v="2014-07-01T00:00:00"/>
    <d v="2014-07-04T00:00:00"/>
    <n v="550.5"/>
  </r>
  <r>
    <x v="37"/>
    <x v="85"/>
    <x v="12"/>
    <d v="2014-07-07T00:00:00"/>
    <d v="2014-07-09T00:00:00"/>
    <n v="892.7"/>
  </r>
  <r>
    <x v="42"/>
    <x v="78"/>
    <x v="6"/>
    <d v="2014-07-07T00:00:00"/>
    <d v="2014-07-09T00:00:00"/>
    <n v="698"/>
  </r>
  <r>
    <x v="6"/>
    <x v="29"/>
    <x v="5"/>
    <d v="2014-07-07T00:00:00"/>
    <d v="2014-07-10T00:00:00"/>
    <n v="737.7"/>
  </r>
  <r>
    <x v="6"/>
    <x v="7"/>
    <x v="8"/>
    <d v="2014-07-07T00:00:00"/>
    <d v="2014-07-08T00:00:00"/>
    <n v="407.8"/>
  </r>
  <r>
    <x v="18"/>
    <x v="26"/>
    <x v="10"/>
    <d v="2014-07-07T00:00:00"/>
    <d v="2014-07-10T00:00:00"/>
    <n v="919"/>
  </r>
  <r>
    <x v="53"/>
    <x v="96"/>
    <x v="5"/>
    <d v="2014-07-07T00:00:00"/>
    <d v="2014-07-08T00:00:00"/>
    <n v="439.7"/>
  </r>
  <r>
    <x v="9"/>
    <x v="14"/>
    <x v="4"/>
    <d v="2014-07-07T00:00:00"/>
    <d v="2014-07-09T00:00:00"/>
    <n v="795.4"/>
  </r>
  <r>
    <x v="45"/>
    <x v="79"/>
    <x v="2"/>
    <d v="2014-07-07T00:00:00"/>
    <d v="2014-07-08T00:00:00"/>
    <n v="302.5"/>
  </r>
  <r>
    <x v="51"/>
    <x v="94"/>
    <x v="9"/>
    <d v="2014-07-07T00:00:00"/>
    <d v="2014-07-07T00:00:00"/>
    <n v="363.8"/>
  </r>
  <r>
    <x v="15"/>
    <x v="21"/>
    <x v="8"/>
    <d v="2014-07-07T00:00:00"/>
    <d v="2014-07-11T00:00:00"/>
    <n v="794.8"/>
  </r>
  <r>
    <x v="47"/>
    <x v="81"/>
    <x v="8"/>
    <d v="2014-07-07T00:00:00"/>
    <d v="2014-07-11T00:00:00"/>
    <n v="794.8"/>
  </r>
  <r>
    <x v="27"/>
    <x v="43"/>
    <x v="1"/>
    <d v="2014-07-07T00:00:00"/>
    <d v="2014-07-08T00:00:00"/>
    <n v="295.39999999999998"/>
  </r>
  <r>
    <x v="11"/>
    <x v="13"/>
    <x v="3"/>
    <d v="2014-07-07T00:00:00"/>
    <d v="2014-07-08T00:00:00"/>
    <n v="706.5"/>
  </r>
  <r>
    <x v="3"/>
    <x v="27"/>
    <x v="11"/>
    <d v="2014-07-07T00:00:00"/>
    <d v="2014-07-08T00:00:00"/>
    <n v="485.7"/>
  </r>
  <r>
    <x v="28"/>
    <x v="44"/>
    <x v="11"/>
    <d v="2014-07-07T00:00:00"/>
    <d v="2014-07-10T00:00:00"/>
    <n v="841.7"/>
  </r>
  <r>
    <x v="51"/>
    <x v="94"/>
    <x v="10"/>
    <d v="2014-07-10T00:00:00"/>
    <d v="2014-07-10T00:00:00"/>
    <n v="442"/>
  </r>
  <r>
    <x v="42"/>
    <x v="78"/>
    <x v="2"/>
    <d v="2014-07-11T00:00:00"/>
    <d v="2014-07-11T00:00:00"/>
    <n v="178.5"/>
  </r>
  <r>
    <x v="8"/>
    <x v="36"/>
    <x v="9"/>
    <d v="2014-07-13T00:00:00"/>
    <d v="2014-07-16T00:00:00"/>
    <n v="852.8"/>
  </r>
  <r>
    <x v="20"/>
    <x v="60"/>
    <x v="12"/>
    <d v="2014-07-13T00:00:00"/>
    <d v="2014-07-17T00:00:00"/>
    <n v="1290.7"/>
  </r>
  <r>
    <x v="3"/>
    <x v="27"/>
    <x v="3"/>
    <d v="2014-07-14T00:00:00"/>
    <d v="2014-07-14T00:00:00"/>
    <n v="501.5"/>
  </r>
  <r>
    <x v="5"/>
    <x v="98"/>
    <x v="11"/>
    <d v="2014-07-15T00:00:00"/>
    <d v="2014-07-15T00:00:00"/>
    <n v="307.7"/>
  </r>
  <r>
    <x v="53"/>
    <x v="96"/>
    <x v="1"/>
    <d v="2014-07-15T00:00:00"/>
    <d v="2014-07-16T00:00:00"/>
    <n v="295.39999999999998"/>
  </r>
  <r>
    <x v="21"/>
    <x v="52"/>
    <x v="4"/>
    <d v="2014-07-15T00:00:00"/>
    <d v="2014-07-15T00:00:00"/>
    <n v="513.4"/>
  </r>
  <r>
    <x v="16"/>
    <x v="38"/>
    <x v="6"/>
    <d v="2014-07-17T00:00:00"/>
    <d v="2014-07-17T00:00:00"/>
    <n v="442"/>
  </r>
  <r>
    <x v="41"/>
    <x v="68"/>
    <x v="8"/>
    <d v="2014-07-19T00:00:00"/>
    <d v="2014-07-23T00:00:00"/>
    <n v="794.8"/>
  </r>
  <r>
    <x v="41"/>
    <x v="68"/>
    <x v="2"/>
    <d v="2014-07-19T00:00:00"/>
    <d v="2014-07-22T00:00:00"/>
    <n v="550.5"/>
  </r>
  <r>
    <x v="29"/>
    <x v="65"/>
    <x v="9"/>
    <d v="2014-07-19T00:00:00"/>
    <d v="2014-07-20T00:00:00"/>
    <n v="526.79999999999995"/>
  </r>
  <r>
    <x v="5"/>
    <x v="98"/>
    <x v="7"/>
    <d v="2014-07-19T00:00:00"/>
    <d v="2014-07-23T00:00:00"/>
    <n v="688.5"/>
  </r>
  <r>
    <x v="16"/>
    <x v="71"/>
    <x v="4"/>
    <d v="2014-07-19T00:00:00"/>
    <d v="2014-07-20T00:00:00"/>
    <n v="654.4"/>
  </r>
  <r>
    <x v="6"/>
    <x v="29"/>
    <x v="11"/>
    <d v="2014-07-19T00:00:00"/>
    <d v="2014-07-20T00:00:00"/>
    <n v="485.7"/>
  </r>
  <r>
    <x v="25"/>
    <x v="40"/>
    <x v="1"/>
    <d v="2014-07-19T00:00:00"/>
    <d v="2014-07-20T00:00:00"/>
    <n v="295.39999999999998"/>
  </r>
  <r>
    <x v="26"/>
    <x v="83"/>
    <x v="5"/>
    <d v="2014-07-19T00:00:00"/>
    <d v="2014-07-23T00:00:00"/>
    <n v="886.7"/>
  </r>
  <r>
    <x v="1"/>
    <x v="51"/>
    <x v="5"/>
    <d v="2014-07-19T00:00:00"/>
    <d v="2014-07-20T00:00:00"/>
    <n v="439.7"/>
  </r>
  <r>
    <x v="12"/>
    <x v="15"/>
    <x v="5"/>
    <d v="2014-07-19T00:00:00"/>
    <d v="2014-07-21T00:00:00"/>
    <n v="588.70000000000005"/>
  </r>
  <r>
    <x v="49"/>
    <x v="88"/>
    <x v="4"/>
    <d v="2014-07-19T00:00:00"/>
    <d v="2014-07-21T00:00:00"/>
    <n v="795.4"/>
  </r>
  <r>
    <x v="3"/>
    <x v="27"/>
    <x v="1"/>
    <d v="2014-07-19T00:00:00"/>
    <d v="2014-07-19T00:00:00"/>
    <n v="156.4"/>
  </r>
  <r>
    <x v="42"/>
    <x v="70"/>
    <x v="4"/>
    <d v="2014-07-19T00:00:00"/>
    <d v="2014-07-23T00:00:00"/>
    <n v="1077.4000000000001"/>
  </r>
  <r>
    <x v="53"/>
    <x v="96"/>
    <x v="0"/>
    <d v="2014-07-21T00:00:00"/>
    <d v="2014-07-21T00:00:00"/>
    <n v="680"/>
  </r>
  <r>
    <x v="34"/>
    <x v="56"/>
    <x v="12"/>
    <d v="2014-07-21T00:00:00"/>
    <d v="2014-07-23T00:00:00"/>
    <n v="892.7"/>
  </r>
  <r>
    <x v="44"/>
    <x v="74"/>
    <x v="11"/>
    <d v="2014-07-21T00:00:00"/>
    <d v="2014-07-21T00:00:00"/>
    <n v="307.7"/>
  </r>
  <r>
    <x v="37"/>
    <x v="85"/>
    <x v="5"/>
    <d v="2014-07-25T00:00:00"/>
    <d v="2014-07-28T00:00:00"/>
    <n v="737.7"/>
  </r>
  <r>
    <x v="39"/>
    <x v="64"/>
    <x v="3"/>
    <d v="2014-07-25T00:00:00"/>
    <d v="2014-07-27T00:00:00"/>
    <n v="911.5"/>
  </r>
  <r>
    <x v="24"/>
    <x v="39"/>
    <x v="7"/>
    <d v="2014-07-25T00:00:00"/>
    <d v="2014-07-29T00:00:00"/>
    <n v="688.5"/>
  </r>
  <r>
    <x v="7"/>
    <x v="25"/>
    <x v="7"/>
    <d v="2014-07-25T00:00:00"/>
    <d v="2014-07-29T00:00:00"/>
    <n v="688.5"/>
  </r>
  <r>
    <x v="16"/>
    <x v="63"/>
    <x v="1"/>
    <d v="2014-07-25T00:00:00"/>
    <d v="2014-07-29T00:00:00"/>
    <n v="712.4"/>
  </r>
  <r>
    <x v="35"/>
    <x v="57"/>
    <x v="3"/>
    <d v="2014-07-25T00:00:00"/>
    <d v="2014-07-26T00:00:00"/>
    <n v="706.5"/>
  </r>
  <r>
    <x v="3"/>
    <x v="16"/>
    <x v="8"/>
    <d v="2014-07-31T00:00:00"/>
    <d v="2014-08-04T00:00:00"/>
    <n v="794.8"/>
  </r>
  <r>
    <x v="3"/>
    <x v="18"/>
    <x v="12"/>
    <d v="2014-07-31T00:00:00"/>
    <d v="2014-08-03T00:00:00"/>
    <n v="1091.7"/>
  </r>
  <r>
    <x v="29"/>
    <x v="65"/>
    <x v="12"/>
    <d v="2014-07-31T00:00:00"/>
    <d v="2014-08-02T00:00:00"/>
    <n v="892.7"/>
  </r>
  <r>
    <x v="24"/>
    <x v="39"/>
    <x v="6"/>
    <d v="2014-07-31T00:00:00"/>
    <d v="2014-08-01T00:00:00"/>
    <n v="570"/>
  </r>
  <r>
    <x v="0"/>
    <x v="23"/>
    <x v="5"/>
    <d v="2014-07-31T00:00:00"/>
    <d v="2014-08-03T00:00:00"/>
    <n v="737.7"/>
  </r>
  <r>
    <x v="9"/>
    <x v="14"/>
    <x v="7"/>
    <d v="2014-07-31T00:00:00"/>
    <d v="2014-08-04T00:00:00"/>
    <n v="688.5"/>
  </r>
  <r>
    <x v="32"/>
    <x v="50"/>
    <x v="8"/>
    <d v="2014-07-31T00:00:00"/>
    <d v="2014-08-02T00:00:00"/>
    <n v="536.79999999999995"/>
  </r>
  <r>
    <x v="51"/>
    <x v="94"/>
    <x v="9"/>
    <d v="2014-07-31T00:00:00"/>
    <d v="2014-08-01T00:00:00"/>
    <n v="526.79999999999995"/>
  </r>
  <r>
    <x v="33"/>
    <x v="55"/>
    <x v="0"/>
    <d v="2014-07-31T00:00:00"/>
    <d v="2014-08-04T00:00:00"/>
    <n v="1524"/>
  </r>
  <r>
    <x v="52"/>
    <x v="95"/>
    <x v="3"/>
    <d v="2014-07-31T00:00:00"/>
    <d v="2014-08-03T00:00:00"/>
    <n v="1116.5"/>
  </r>
  <r>
    <x v="43"/>
    <x v="82"/>
    <x v="1"/>
    <d v="2014-07-31T00:00:00"/>
    <d v="2014-08-01T00:00:00"/>
    <n v="295.39999999999998"/>
  </r>
  <r>
    <x v="35"/>
    <x v="57"/>
    <x v="12"/>
    <d v="2014-07-31T00:00:00"/>
    <d v="2014-08-01T00:00:00"/>
    <n v="693.7"/>
  </r>
  <r>
    <x v="8"/>
    <x v="35"/>
    <x v="10"/>
    <d v="2014-07-31T00:00:00"/>
    <d v="2014-08-01T00:00:00"/>
    <n v="601"/>
  </r>
  <r>
    <x v="3"/>
    <x v="3"/>
    <x v="0"/>
    <d v="2014-07-31T00:00:00"/>
    <d v="2014-08-03T00:00:00"/>
    <n v="1313"/>
  </r>
  <r>
    <x v="36"/>
    <x v="58"/>
    <x v="8"/>
    <d v="2014-07-31T00:00:00"/>
    <d v="2014-08-01T00:00:00"/>
    <n v="407.8"/>
  </r>
  <r>
    <x v="28"/>
    <x v="44"/>
    <x v="11"/>
    <d v="2014-07-31T00:00:00"/>
    <d v="2014-08-03T00:00:00"/>
    <n v="841.7"/>
  </r>
  <r>
    <x v="29"/>
    <x v="45"/>
    <x v="6"/>
    <d v="2014-07-31T00:00:00"/>
    <d v="2014-08-04T00:00:00"/>
    <n v="954"/>
  </r>
  <r>
    <x v="3"/>
    <x v="47"/>
    <x v="7"/>
    <d v="2014-07-31T00:00:00"/>
    <d v="2014-08-02T00:00:00"/>
    <n v="450.5"/>
  </r>
  <r>
    <x v="16"/>
    <x v="22"/>
    <x v="8"/>
    <d v="2014-08-06T00:00:00"/>
    <d v="2014-08-07T00:00:00"/>
    <n v="407.8"/>
  </r>
  <r>
    <x v="45"/>
    <x v="79"/>
    <x v="3"/>
    <d v="2014-08-06T00:00:00"/>
    <d v="2014-08-07T00:00:00"/>
    <n v="706.5"/>
  </r>
  <r>
    <x v="6"/>
    <x v="11"/>
    <x v="6"/>
    <d v="2014-08-06T00:00:00"/>
    <d v="2014-08-10T00:00:00"/>
    <n v="954"/>
  </r>
  <r>
    <x v="3"/>
    <x v="27"/>
    <x v="7"/>
    <d v="2014-08-06T00:00:00"/>
    <d v="2014-08-10T00:00:00"/>
    <n v="688.5"/>
  </r>
  <r>
    <x v="29"/>
    <x v="45"/>
    <x v="9"/>
    <d v="2014-08-06T00:00:00"/>
    <d v="2014-08-09T00:00:00"/>
    <n v="852.8"/>
  </r>
  <r>
    <x v="45"/>
    <x v="79"/>
    <x v="11"/>
    <d v="2014-08-09T00:00:00"/>
    <d v="2014-08-09T00:00:00"/>
    <n v="307.7"/>
  </r>
  <r>
    <x v="5"/>
    <x v="6"/>
    <x v="0"/>
    <d v="2014-08-12T00:00:00"/>
    <d v="2014-08-16T00:00:00"/>
    <n v="1524"/>
  </r>
  <r>
    <x v="37"/>
    <x v="85"/>
    <x v="9"/>
    <d v="2014-08-12T00:00:00"/>
    <d v="2014-08-13T00:00:00"/>
    <n v="526.79999999999995"/>
  </r>
  <r>
    <x v="29"/>
    <x v="65"/>
    <x v="5"/>
    <d v="2014-08-12T00:00:00"/>
    <d v="2014-08-14T00:00:00"/>
    <n v="588.70000000000005"/>
  </r>
  <r>
    <x v="23"/>
    <x v="37"/>
    <x v="5"/>
    <d v="2014-08-12T00:00:00"/>
    <d v="2014-08-12T00:00:00"/>
    <n v="290.7"/>
  </r>
  <r>
    <x v="25"/>
    <x v="40"/>
    <x v="11"/>
    <d v="2014-08-12T00:00:00"/>
    <d v="2014-08-14T00:00:00"/>
    <n v="663.7"/>
  </r>
  <r>
    <x v="7"/>
    <x v="25"/>
    <x v="8"/>
    <d v="2014-08-12T00:00:00"/>
    <d v="2014-08-14T00:00:00"/>
    <n v="536.79999999999995"/>
  </r>
  <r>
    <x v="1"/>
    <x v="1"/>
    <x v="9"/>
    <d v="2014-08-12T00:00:00"/>
    <d v="2014-08-13T00:00:00"/>
    <n v="526.79999999999995"/>
  </r>
  <r>
    <x v="21"/>
    <x v="33"/>
    <x v="0"/>
    <d v="2014-08-12T00:00:00"/>
    <d v="2014-08-13T00:00:00"/>
    <n v="891"/>
  </r>
  <r>
    <x v="21"/>
    <x v="52"/>
    <x v="3"/>
    <d v="2014-08-12T00:00:00"/>
    <d v="2014-08-16T00:00:00"/>
    <n v="1321.5"/>
  </r>
  <r>
    <x v="26"/>
    <x v="41"/>
    <x v="12"/>
    <d v="2014-08-12T00:00:00"/>
    <d v="2014-08-12T00:00:00"/>
    <n v="494.7"/>
  </r>
  <r>
    <x v="46"/>
    <x v="80"/>
    <x v="7"/>
    <d v="2014-08-12T00:00:00"/>
    <d v="2014-08-16T00:00:00"/>
    <n v="688.5"/>
  </r>
  <r>
    <x v="6"/>
    <x v="11"/>
    <x v="12"/>
    <d v="2014-08-12T00:00:00"/>
    <d v="2014-08-12T00:00:00"/>
    <n v="494.7"/>
  </r>
  <r>
    <x v="38"/>
    <x v="62"/>
    <x v="9"/>
    <d v="2014-08-12T00:00:00"/>
    <d v="2014-08-14T00:00:00"/>
    <n v="689.8"/>
  </r>
  <r>
    <x v="28"/>
    <x v="44"/>
    <x v="2"/>
    <d v="2014-08-12T00:00:00"/>
    <d v="2014-08-16T00:00:00"/>
    <n v="674.5"/>
  </r>
  <r>
    <x v="29"/>
    <x v="45"/>
    <x v="11"/>
    <d v="2014-08-12T00:00:00"/>
    <d v="2014-08-14T00:00:00"/>
    <n v="663.7"/>
  </r>
  <r>
    <x v="20"/>
    <x v="60"/>
    <x v="10"/>
    <d v="2014-08-12T00:00:00"/>
    <d v="2014-08-14T00:00:00"/>
    <n v="760"/>
  </r>
  <r>
    <x v="4"/>
    <x v="5"/>
    <x v="9"/>
    <d v="2014-08-12T00:00:00"/>
    <d v="2014-08-16T00:00:00"/>
    <n v="1015.8"/>
  </r>
  <r>
    <x v="6"/>
    <x v="11"/>
    <x v="9"/>
    <d v="2014-08-14T00:00:00"/>
    <d v="2014-08-14T00:00:00"/>
    <n v="363.8"/>
  </r>
  <r>
    <x v="29"/>
    <x v="65"/>
    <x v="0"/>
    <d v="2014-08-18T00:00:00"/>
    <d v="2014-08-20T00:00:00"/>
    <n v="1102"/>
  </r>
  <r>
    <x v="16"/>
    <x v="71"/>
    <x v="5"/>
    <d v="2014-08-18T00:00:00"/>
    <d v="2014-08-22T00:00:00"/>
    <n v="886.7"/>
  </r>
  <r>
    <x v="20"/>
    <x v="32"/>
    <x v="1"/>
    <d v="2014-08-18T00:00:00"/>
    <d v="2014-08-19T00:00:00"/>
    <n v="295.39999999999998"/>
  </r>
  <r>
    <x v="26"/>
    <x v="41"/>
    <x v="0"/>
    <d v="2014-08-18T00:00:00"/>
    <d v="2014-08-19T00:00:00"/>
    <n v="891"/>
  </r>
  <r>
    <x v="49"/>
    <x v="88"/>
    <x v="9"/>
    <d v="2014-08-18T00:00:00"/>
    <d v="2014-08-20T00:00:00"/>
    <n v="689.8"/>
  </r>
  <r>
    <x v="36"/>
    <x v="58"/>
    <x v="3"/>
    <d v="2014-08-18T00:00:00"/>
    <d v="2014-08-20T00:00:00"/>
    <n v="911.5"/>
  </r>
  <r>
    <x v="3"/>
    <x v="16"/>
    <x v="7"/>
    <d v="2014-08-24T00:00:00"/>
    <d v="2014-08-26T00:00:00"/>
    <n v="450.5"/>
  </r>
  <r>
    <x v="0"/>
    <x v="0"/>
    <x v="0"/>
    <d v="2014-08-24T00:00:00"/>
    <d v="2014-08-28T00:00:00"/>
    <n v="1524"/>
  </r>
  <r>
    <x v="9"/>
    <x v="77"/>
    <x v="3"/>
    <d v="2014-08-24T00:00:00"/>
    <d v="2014-08-25T00:00:00"/>
    <n v="706.5"/>
  </r>
  <r>
    <x v="42"/>
    <x v="86"/>
    <x v="4"/>
    <d v="2014-08-24T00:00:00"/>
    <d v="2014-08-28T00:00:00"/>
    <n v="1077.4000000000001"/>
  </r>
  <r>
    <x v="30"/>
    <x v="48"/>
    <x v="0"/>
    <d v="2014-08-24T00:00:00"/>
    <d v="2014-08-25T00:00:00"/>
    <n v="891"/>
  </r>
  <r>
    <x v="40"/>
    <x v="67"/>
    <x v="3"/>
    <d v="2014-08-24T00:00:00"/>
    <d v="2014-08-27T00:00:00"/>
    <n v="1116.5"/>
  </r>
  <r>
    <x v="1"/>
    <x v="51"/>
    <x v="7"/>
    <d v="2014-08-24T00:00:00"/>
    <d v="2014-08-28T00:00:00"/>
    <n v="688.5"/>
  </r>
  <r>
    <x v="49"/>
    <x v="88"/>
    <x v="3"/>
    <d v="2014-08-24T00:00:00"/>
    <d v="2014-08-27T00:00:00"/>
    <n v="1116.5"/>
  </r>
  <r>
    <x v="43"/>
    <x v="82"/>
    <x v="5"/>
    <d v="2014-08-24T00:00:00"/>
    <d v="2014-08-28T00:00:00"/>
    <n v="886.7"/>
  </r>
  <r>
    <x v="36"/>
    <x v="58"/>
    <x v="12"/>
    <d v="2014-08-24T00:00:00"/>
    <d v="2014-08-26T00:00:00"/>
    <n v="892.7"/>
  </r>
  <r>
    <x v="26"/>
    <x v="73"/>
    <x v="2"/>
    <d v="2014-08-24T00:00:00"/>
    <d v="2014-08-28T00:00:00"/>
    <n v="674.5"/>
  </r>
  <r>
    <x v="14"/>
    <x v="20"/>
    <x v="0"/>
    <d v="2014-08-25T00:00:00"/>
    <d v="2014-08-26T00:00:00"/>
    <n v="891"/>
  </r>
  <r>
    <x v="33"/>
    <x v="55"/>
    <x v="4"/>
    <d v="2014-08-25T00:00:00"/>
    <d v="2014-08-26T00:00:00"/>
    <n v="654.4"/>
  </r>
  <r>
    <x v="4"/>
    <x v="92"/>
    <x v="10"/>
    <d v="2014-08-25T00:00:00"/>
    <d v="2014-08-27T00:00:00"/>
    <n v="760"/>
  </r>
  <r>
    <x v="3"/>
    <x v="3"/>
    <x v="8"/>
    <d v="2014-08-25T00:00:00"/>
    <d v="2014-08-26T00:00:00"/>
    <n v="407.8"/>
  </r>
  <r>
    <x v="4"/>
    <x v="5"/>
    <x v="4"/>
    <d v="2014-08-25T00:00:00"/>
    <d v="2014-08-26T00:00:00"/>
    <n v="654.4"/>
  </r>
  <r>
    <x v="6"/>
    <x v="7"/>
    <x v="8"/>
    <d v="2014-08-26T00:00:00"/>
    <d v="2014-08-27T00:00:00"/>
    <n v="407.8"/>
  </r>
  <r>
    <x v="29"/>
    <x v="54"/>
    <x v="12"/>
    <d v="2014-08-27T00:00:00"/>
    <d v="2014-08-27T00:00:00"/>
    <n v="494.7"/>
  </r>
  <r>
    <x v="23"/>
    <x v="37"/>
    <x v="9"/>
    <d v="2014-08-30T00:00:00"/>
    <d v="2014-09-02T00:00:00"/>
    <n v="852.8"/>
  </r>
  <r>
    <x v="14"/>
    <x v="20"/>
    <x v="12"/>
    <d v="2014-08-30T00:00:00"/>
    <d v="2014-08-31T00:00:00"/>
    <n v="693.7"/>
  </r>
  <r>
    <x v="6"/>
    <x v="7"/>
    <x v="1"/>
    <d v="2014-08-30T00:00:00"/>
    <d v="2014-09-01T00:00:00"/>
    <n v="434.4"/>
  </r>
  <r>
    <x v="24"/>
    <x v="66"/>
    <x v="11"/>
    <d v="2014-08-30T00:00:00"/>
    <d v="2014-08-31T00:00:00"/>
    <n v="485.7"/>
  </r>
  <r>
    <x v="43"/>
    <x v="82"/>
    <x v="0"/>
    <d v="2014-08-30T00:00:00"/>
    <d v="2014-08-31T00:00:00"/>
    <n v="891"/>
  </r>
  <r>
    <x v="19"/>
    <x v="28"/>
    <x v="3"/>
    <d v="2014-08-30T00:00:00"/>
    <d v="2014-09-03T00:00:00"/>
    <n v="1321.5"/>
  </r>
  <r>
    <x v="34"/>
    <x v="56"/>
    <x v="2"/>
    <d v="2014-09-03T00:00:00"/>
    <d v="2014-09-06T00:00:00"/>
    <n v="550.5"/>
  </r>
  <r>
    <x v="8"/>
    <x v="36"/>
    <x v="5"/>
    <d v="2014-09-04T00:00:00"/>
    <d v="2014-09-05T00:00:00"/>
    <n v="439.7"/>
  </r>
  <r>
    <x v="0"/>
    <x v="0"/>
    <x v="7"/>
    <d v="2014-09-04T00:00:00"/>
    <d v="2014-09-07T00:00:00"/>
    <n v="569.5"/>
  </r>
  <r>
    <x v="39"/>
    <x v="64"/>
    <x v="2"/>
    <d v="2014-09-04T00:00:00"/>
    <d v="2014-09-07T00:00:00"/>
    <n v="550.5"/>
  </r>
  <r>
    <x v="29"/>
    <x v="65"/>
    <x v="5"/>
    <d v="2014-09-04T00:00:00"/>
    <d v="2014-09-05T00:00:00"/>
    <n v="439.7"/>
  </r>
  <r>
    <x v="5"/>
    <x v="98"/>
    <x v="5"/>
    <d v="2014-09-04T00:00:00"/>
    <d v="2014-09-04T00:00:00"/>
    <n v="290.7"/>
  </r>
  <r>
    <x v="25"/>
    <x v="40"/>
    <x v="4"/>
    <d v="2014-09-04T00:00:00"/>
    <d v="2014-09-08T00:00:00"/>
    <n v="1077.4000000000001"/>
  </r>
  <r>
    <x v="24"/>
    <x v="66"/>
    <x v="2"/>
    <d v="2014-09-04T00:00:00"/>
    <d v="2014-09-06T00:00:00"/>
    <n v="426.5"/>
  </r>
  <r>
    <x v="9"/>
    <x v="10"/>
    <x v="6"/>
    <d v="2014-09-04T00:00:00"/>
    <d v="2014-09-05T00:00:00"/>
    <n v="570"/>
  </r>
  <r>
    <x v="1"/>
    <x v="31"/>
    <x v="5"/>
    <d v="2014-09-04T00:00:00"/>
    <d v="2014-09-04T00:00:00"/>
    <n v="290.7"/>
  </r>
  <r>
    <x v="45"/>
    <x v="79"/>
    <x v="4"/>
    <d v="2014-09-04T00:00:00"/>
    <d v="2014-09-05T00:00:00"/>
    <n v="654.4"/>
  </r>
  <r>
    <x v="22"/>
    <x v="42"/>
    <x v="11"/>
    <d v="2014-09-04T00:00:00"/>
    <d v="2014-09-08T00:00:00"/>
    <n v="1019.7"/>
  </r>
  <r>
    <x v="38"/>
    <x v="62"/>
    <x v="1"/>
    <d v="2014-09-04T00:00:00"/>
    <d v="2014-09-07T00:00:00"/>
    <n v="573.4"/>
  </r>
  <r>
    <x v="10"/>
    <x v="12"/>
    <x v="3"/>
    <d v="2014-09-04T00:00:00"/>
    <d v="2014-09-07T00:00:00"/>
    <n v="1116.5"/>
  </r>
  <r>
    <x v="22"/>
    <x v="34"/>
    <x v="1"/>
    <d v="2014-09-04T00:00:00"/>
    <d v="2014-09-06T00:00:00"/>
    <n v="434.4"/>
  </r>
  <r>
    <x v="28"/>
    <x v="44"/>
    <x v="8"/>
    <d v="2014-09-04T00:00:00"/>
    <d v="2014-09-05T00:00:00"/>
    <n v="407.8"/>
  </r>
  <r>
    <x v="2"/>
    <x v="46"/>
    <x v="11"/>
    <d v="2014-09-04T00:00:00"/>
    <d v="2014-09-07T00:00:00"/>
    <n v="841.7"/>
  </r>
  <r>
    <x v="16"/>
    <x v="61"/>
    <x v="7"/>
    <d v="2014-09-04T00:00:00"/>
    <d v="2014-09-04T00:00:00"/>
    <n v="212.5"/>
  </r>
  <r>
    <x v="3"/>
    <x v="18"/>
    <x v="5"/>
    <d v="2014-09-05T00:00:00"/>
    <d v="2014-09-07T00:00:00"/>
    <n v="588.70000000000005"/>
  </r>
  <r>
    <x v="6"/>
    <x v="7"/>
    <x v="3"/>
    <d v="2014-09-05T00:00:00"/>
    <d v="2014-09-05T00:00:00"/>
    <n v="501.5"/>
  </r>
  <r>
    <x v="20"/>
    <x v="32"/>
    <x v="2"/>
    <d v="2014-09-05T00:00:00"/>
    <d v="2014-09-06T00:00:00"/>
    <n v="302.5"/>
  </r>
  <r>
    <x v="37"/>
    <x v="76"/>
    <x v="6"/>
    <d v="2014-09-05T00:00:00"/>
    <d v="2014-09-05T00:00:00"/>
    <n v="442"/>
  </r>
  <r>
    <x v="43"/>
    <x v="72"/>
    <x v="4"/>
    <d v="2014-09-05T00:00:00"/>
    <d v="2014-09-08T00:00:00"/>
    <n v="936.4"/>
  </r>
  <r>
    <x v="31"/>
    <x v="49"/>
    <x v="4"/>
    <d v="2014-09-05T00:00:00"/>
    <d v="2014-09-05T00:00:00"/>
    <n v="513.4"/>
  </r>
  <r>
    <x v="32"/>
    <x v="50"/>
    <x v="1"/>
    <d v="2014-09-05T00:00:00"/>
    <d v="2014-09-06T00:00:00"/>
    <n v="295.39999999999998"/>
  </r>
  <r>
    <x v="45"/>
    <x v="79"/>
    <x v="7"/>
    <d v="2014-09-05T00:00:00"/>
    <d v="2014-09-09T00:00:00"/>
    <n v="688.5"/>
  </r>
  <r>
    <x v="29"/>
    <x v="54"/>
    <x v="3"/>
    <d v="2014-09-05T00:00:00"/>
    <d v="2014-09-08T00:00:00"/>
    <n v="1116.5"/>
  </r>
  <r>
    <x v="29"/>
    <x v="45"/>
    <x v="2"/>
    <d v="2014-09-05T00:00:00"/>
    <d v="2014-09-07T00:00:00"/>
    <n v="426.5"/>
  </r>
  <r>
    <x v="44"/>
    <x v="74"/>
    <x v="6"/>
    <d v="2014-09-05T00:00:00"/>
    <d v="2014-09-07T00:00:00"/>
    <n v="698"/>
  </r>
  <r>
    <x v="37"/>
    <x v="59"/>
    <x v="7"/>
    <d v="2014-09-05T00:00:00"/>
    <d v="2014-09-06T00:00:00"/>
    <n v="331.5"/>
  </r>
  <r>
    <x v="19"/>
    <x v="28"/>
    <x v="8"/>
    <d v="2014-09-05T00:00:00"/>
    <d v="2014-09-07T00:00:00"/>
    <n v="536.79999999999995"/>
  </r>
  <r>
    <x v="26"/>
    <x v="73"/>
    <x v="12"/>
    <d v="2014-09-05T00:00:00"/>
    <d v="2014-09-06T00:00:00"/>
    <n v="693.7"/>
  </r>
  <r>
    <x v="29"/>
    <x v="65"/>
    <x v="3"/>
    <d v="2014-09-07T00:00:00"/>
    <d v="2014-09-07T00:00:00"/>
    <n v="501.5"/>
  </r>
  <r>
    <x v="16"/>
    <x v="22"/>
    <x v="4"/>
    <d v="2014-09-08T00:00:00"/>
    <d v="2014-09-08T00:00:00"/>
    <n v="513.4"/>
  </r>
  <r>
    <x v="5"/>
    <x v="98"/>
    <x v="6"/>
    <d v="2014-09-08T00:00:00"/>
    <d v="2014-09-08T00:00:00"/>
    <n v="442"/>
  </r>
  <r>
    <x v="1"/>
    <x v="31"/>
    <x v="8"/>
    <d v="2014-09-08T00:00:00"/>
    <d v="2014-09-08T00:00:00"/>
    <n v="278.8"/>
  </r>
  <r>
    <x v="16"/>
    <x v="61"/>
    <x v="5"/>
    <d v="2014-09-08T00:00:00"/>
    <d v="2014-09-08T00:00:00"/>
    <n v="290.7"/>
  </r>
  <r>
    <x v="31"/>
    <x v="69"/>
    <x v="8"/>
    <d v="2014-09-11T00:00:00"/>
    <d v="2014-09-14T00:00:00"/>
    <n v="665.8"/>
  </r>
  <r>
    <x v="37"/>
    <x v="76"/>
    <x v="0"/>
    <d v="2014-09-11T00:00:00"/>
    <d v="2014-09-14T00:00:00"/>
    <n v="1313"/>
  </r>
  <r>
    <x v="34"/>
    <x v="56"/>
    <x v="0"/>
    <d v="2014-09-11T00:00:00"/>
    <d v="2014-09-12T00:00:00"/>
    <n v="891"/>
  </r>
  <r>
    <x v="44"/>
    <x v="74"/>
    <x v="9"/>
    <d v="2014-09-11T00:00:00"/>
    <d v="2014-09-13T00:00:00"/>
    <n v="689.8"/>
  </r>
  <r>
    <x v="2"/>
    <x v="46"/>
    <x v="9"/>
    <d v="2014-09-11T00:00:00"/>
    <d v="2014-09-12T00:00:00"/>
    <n v="526.79999999999995"/>
  </r>
  <r>
    <x v="17"/>
    <x v="24"/>
    <x v="1"/>
    <d v="2014-09-11T00:00:00"/>
    <d v="2014-09-14T00:00:00"/>
    <n v="573.4"/>
  </r>
  <r>
    <x v="0"/>
    <x v="0"/>
    <x v="8"/>
    <d v="2014-09-15T00:00:00"/>
    <d v="2014-09-15T00:00:00"/>
    <n v="278.8"/>
  </r>
  <r>
    <x v="16"/>
    <x v="61"/>
    <x v="3"/>
    <d v="2014-09-15T00:00:00"/>
    <d v="2014-09-16T00:00:00"/>
    <n v="706.5"/>
  </r>
  <r>
    <x v="5"/>
    <x v="6"/>
    <x v="5"/>
    <d v="2014-09-16T00:00:00"/>
    <d v="2014-09-19T00:00:00"/>
    <n v="737.7"/>
  </r>
  <r>
    <x v="5"/>
    <x v="6"/>
    <x v="6"/>
    <d v="2014-09-16T00:00:00"/>
    <d v="2014-09-18T00:00:00"/>
    <n v="698"/>
  </r>
  <r>
    <x v="8"/>
    <x v="36"/>
    <x v="3"/>
    <d v="2014-09-16T00:00:00"/>
    <d v="2014-09-17T00:00:00"/>
    <n v="706.5"/>
  </r>
  <r>
    <x v="0"/>
    <x v="75"/>
    <x v="8"/>
    <d v="2014-09-16T00:00:00"/>
    <d v="2014-09-18T00:00:00"/>
    <n v="536.79999999999995"/>
  </r>
  <r>
    <x v="39"/>
    <x v="64"/>
    <x v="1"/>
    <d v="2014-09-16T00:00:00"/>
    <d v="2014-09-20T00:00:00"/>
    <n v="712.4"/>
  </r>
  <r>
    <x v="17"/>
    <x v="93"/>
    <x v="4"/>
    <d v="2014-09-16T00:00:00"/>
    <d v="2014-09-19T00:00:00"/>
    <n v="936.4"/>
  </r>
  <r>
    <x v="17"/>
    <x v="93"/>
    <x v="0"/>
    <d v="2014-09-16T00:00:00"/>
    <d v="2014-09-20T00:00:00"/>
    <n v="1524"/>
  </r>
  <r>
    <x v="5"/>
    <x v="98"/>
    <x v="4"/>
    <d v="2014-09-16T00:00:00"/>
    <d v="2014-09-18T00:00:00"/>
    <n v="795.4"/>
  </r>
  <r>
    <x v="14"/>
    <x v="20"/>
    <x v="3"/>
    <d v="2014-09-16T00:00:00"/>
    <d v="2014-09-19T00:00:00"/>
    <n v="1116.5"/>
  </r>
  <r>
    <x v="37"/>
    <x v="76"/>
    <x v="12"/>
    <d v="2014-09-16T00:00:00"/>
    <d v="2014-09-17T00:00:00"/>
    <n v="693.7"/>
  </r>
  <r>
    <x v="9"/>
    <x v="10"/>
    <x v="12"/>
    <d v="2014-09-16T00:00:00"/>
    <d v="2014-09-18T00:00:00"/>
    <n v="892.7"/>
  </r>
  <r>
    <x v="9"/>
    <x v="14"/>
    <x v="3"/>
    <d v="2014-09-16T00:00:00"/>
    <d v="2014-09-16T00:00:00"/>
    <n v="501.5"/>
  </r>
  <r>
    <x v="29"/>
    <x v="54"/>
    <x v="6"/>
    <d v="2014-09-16T00:00:00"/>
    <d v="2014-09-17T00:00:00"/>
    <n v="570"/>
  </r>
  <r>
    <x v="6"/>
    <x v="11"/>
    <x v="8"/>
    <d v="2014-09-16T00:00:00"/>
    <d v="2014-09-19T00:00:00"/>
    <n v="665.8"/>
  </r>
  <r>
    <x v="38"/>
    <x v="62"/>
    <x v="7"/>
    <d v="2014-09-16T00:00:00"/>
    <d v="2014-09-17T00:00:00"/>
    <n v="331.5"/>
  </r>
  <r>
    <x v="0"/>
    <x v="17"/>
    <x v="7"/>
    <d v="2014-09-16T00:00:00"/>
    <d v="2014-09-19T00:00:00"/>
    <n v="569.5"/>
  </r>
  <r>
    <x v="3"/>
    <x v="3"/>
    <x v="5"/>
    <d v="2014-09-16T00:00:00"/>
    <d v="2014-09-20T00:00:00"/>
    <n v="886.7"/>
  </r>
  <r>
    <x v="28"/>
    <x v="44"/>
    <x v="0"/>
    <d v="2014-09-16T00:00:00"/>
    <d v="2014-09-18T00:00:00"/>
    <n v="1102"/>
  </r>
  <r>
    <x v="44"/>
    <x v="74"/>
    <x v="12"/>
    <d v="2014-09-16T00:00:00"/>
    <d v="2014-09-18T00:00:00"/>
    <n v="892.7"/>
  </r>
  <r>
    <x v="0"/>
    <x v="75"/>
    <x v="5"/>
    <d v="2014-09-17T00:00:00"/>
    <d v="2014-09-20T00:00:00"/>
    <n v="737.7"/>
  </r>
  <r>
    <x v="26"/>
    <x v="83"/>
    <x v="7"/>
    <d v="2014-09-17T00:00:00"/>
    <d v="2014-09-18T00:00:00"/>
    <n v="331.5"/>
  </r>
  <r>
    <x v="31"/>
    <x v="69"/>
    <x v="6"/>
    <d v="2014-09-17T00:00:00"/>
    <d v="2014-09-18T00:00:00"/>
    <n v="570"/>
  </r>
  <r>
    <x v="14"/>
    <x v="20"/>
    <x v="12"/>
    <d v="2014-09-17T00:00:00"/>
    <d v="2014-09-20T00:00:00"/>
    <n v="1091.7"/>
  </r>
  <r>
    <x v="24"/>
    <x v="66"/>
    <x v="11"/>
    <d v="2014-09-17T00:00:00"/>
    <d v="2014-09-18T00:00:00"/>
    <n v="485.7"/>
  </r>
  <r>
    <x v="31"/>
    <x v="49"/>
    <x v="1"/>
    <d v="2014-09-17T00:00:00"/>
    <d v="2014-09-21T00:00:00"/>
    <n v="712.4"/>
  </r>
  <r>
    <x v="32"/>
    <x v="50"/>
    <x v="6"/>
    <d v="2014-09-17T00:00:00"/>
    <d v="2014-09-20T00:00:00"/>
    <n v="826"/>
  </r>
  <r>
    <x v="21"/>
    <x v="87"/>
    <x v="3"/>
    <d v="2014-09-17T00:00:00"/>
    <d v="2014-09-18T00:00:00"/>
    <n v="706.5"/>
  </r>
  <r>
    <x v="48"/>
    <x v="84"/>
    <x v="2"/>
    <d v="2014-09-17T00:00:00"/>
    <d v="2014-09-20T00:00:00"/>
    <n v="550.5"/>
  </r>
  <r>
    <x v="38"/>
    <x v="62"/>
    <x v="9"/>
    <d v="2014-09-17T00:00:00"/>
    <d v="2014-09-18T00:00:00"/>
    <n v="526.79999999999995"/>
  </r>
  <r>
    <x v="35"/>
    <x v="57"/>
    <x v="7"/>
    <d v="2014-09-17T00:00:00"/>
    <d v="2014-09-20T00:00:00"/>
    <n v="569.5"/>
  </r>
  <r>
    <x v="22"/>
    <x v="34"/>
    <x v="9"/>
    <d v="2014-09-17T00:00:00"/>
    <d v="2014-09-21T00:00:00"/>
    <n v="1015.8"/>
  </r>
  <r>
    <x v="36"/>
    <x v="58"/>
    <x v="0"/>
    <d v="2014-09-17T00:00:00"/>
    <d v="2014-09-19T00:00:00"/>
    <n v="1102"/>
  </r>
  <r>
    <x v="20"/>
    <x v="60"/>
    <x v="6"/>
    <d v="2014-09-17T00:00:00"/>
    <d v="2014-09-20T00:00:00"/>
    <n v="826"/>
  </r>
  <r>
    <x v="4"/>
    <x v="5"/>
    <x v="1"/>
    <d v="2014-09-17T00:00:00"/>
    <d v="2014-09-19T00:00:00"/>
    <n v="434.4"/>
  </r>
  <r>
    <x v="9"/>
    <x v="14"/>
    <x v="1"/>
    <d v="2014-09-18T00:00:00"/>
    <d v="2014-09-20T00:00:00"/>
    <n v="434.4"/>
  </r>
  <r>
    <x v="2"/>
    <x v="2"/>
    <x v="0"/>
    <d v="2014-09-19T00:00:00"/>
    <d v="2014-09-19T00:00:00"/>
    <n v="680"/>
  </r>
  <r>
    <x v="24"/>
    <x v="66"/>
    <x v="3"/>
    <d v="2014-09-20T00:00:00"/>
    <d v="2014-09-20T00:00:00"/>
    <n v="501.5"/>
  </r>
  <r>
    <x v="3"/>
    <x v="16"/>
    <x v="8"/>
    <d v="2014-09-22T00:00:00"/>
    <d v="2014-09-22T00:00:00"/>
    <n v="278.8"/>
  </r>
  <r>
    <x v="5"/>
    <x v="6"/>
    <x v="10"/>
    <d v="2014-09-23T00:00:00"/>
    <d v="2014-09-27T00:00:00"/>
    <n v="1078"/>
  </r>
  <r>
    <x v="29"/>
    <x v="65"/>
    <x v="5"/>
    <d v="2014-09-23T00:00:00"/>
    <d v="2014-09-27T00:00:00"/>
    <n v="886.7"/>
  </r>
  <r>
    <x v="15"/>
    <x v="21"/>
    <x v="4"/>
    <d v="2014-09-23T00:00:00"/>
    <d v="2014-09-23T00:00:00"/>
    <n v="513.4"/>
  </r>
  <r>
    <x v="33"/>
    <x v="55"/>
    <x v="3"/>
    <d v="2014-09-23T00:00:00"/>
    <d v="2014-09-25T00:00:00"/>
    <n v="911.5"/>
  </r>
  <r>
    <x v="1"/>
    <x v="4"/>
    <x v="4"/>
    <d v="2014-09-23T00:00:00"/>
    <d v="2014-09-26T00:00:00"/>
    <n v="936.4"/>
  </r>
  <r>
    <x v="4"/>
    <x v="5"/>
    <x v="3"/>
    <d v="2014-09-23T00:00:00"/>
    <d v="2014-09-23T00:00:00"/>
    <n v="501.5"/>
  </r>
  <r>
    <x v="3"/>
    <x v="3"/>
    <x v="0"/>
    <d v="2014-09-24T00:00:00"/>
    <d v="2014-09-26T00:00:00"/>
    <n v="1102"/>
  </r>
  <r>
    <x v="15"/>
    <x v="21"/>
    <x v="5"/>
    <d v="2014-09-26T00:00:00"/>
    <d v="2014-09-26T00:00:00"/>
    <n v="290.7"/>
  </r>
  <r>
    <x v="13"/>
    <x v="19"/>
    <x v="2"/>
    <d v="2014-09-28T00:00:00"/>
    <d v="2014-09-28T00:00:00"/>
    <n v="178.5"/>
  </r>
  <r>
    <x v="0"/>
    <x v="75"/>
    <x v="0"/>
    <d v="2014-09-28T00:00:00"/>
    <d v="2014-09-30T00:00:00"/>
    <n v="1102"/>
  </r>
  <r>
    <x v="17"/>
    <x v="93"/>
    <x v="5"/>
    <d v="2014-09-28T00:00:00"/>
    <d v="2014-10-02T00:00:00"/>
    <n v="886.7"/>
  </r>
  <r>
    <x v="42"/>
    <x v="78"/>
    <x v="3"/>
    <d v="2014-09-28T00:00:00"/>
    <d v="2014-10-02T00:00:00"/>
    <n v="1321.5"/>
  </r>
  <r>
    <x v="24"/>
    <x v="39"/>
    <x v="0"/>
    <d v="2014-09-28T00:00:00"/>
    <d v="2014-09-29T00:00:00"/>
    <n v="891"/>
  </r>
  <r>
    <x v="25"/>
    <x v="40"/>
    <x v="7"/>
    <d v="2014-09-28T00:00:00"/>
    <d v="2014-09-29T00:00:00"/>
    <n v="331.5"/>
  </r>
  <r>
    <x v="24"/>
    <x v="66"/>
    <x v="7"/>
    <d v="2014-09-28T00:00:00"/>
    <d v="2014-09-30T00:00:00"/>
    <n v="450.5"/>
  </r>
  <r>
    <x v="43"/>
    <x v="72"/>
    <x v="8"/>
    <d v="2014-09-28T00:00:00"/>
    <d v="2014-09-29T00:00:00"/>
    <n v="407.8"/>
  </r>
  <r>
    <x v="1"/>
    <x v="4"/>
    <x v="11"/>
    <d v="2014-09-28T00:00:00"/>
    <d v="2014-10-01T00:00:00"/>
    <n v="841.7"/>
  </r>
  <r>
    <x v="16"/>
    <x v="61"/>
    <x v="7"/>
    <d v="2014-09-28T00:00:00"/>
    <d v="2014-09-30T00:00:00"/>
    <n v="450.5"/>
  </r>
  <r>
    <x v="5"/>
    <x v="6"/>
    <x v="5"/>
    <d v="2014-09-29T00:00:00"/>
    <d v="2014-10-03T00:00:00"/>
    <n v="886.7"/>
  </r>
  <r>
    <x v="3"/>
    <x v="16"/>
    <x v="6"/>
    <d v="2014-09-29T00:00:00"/>
    <d v="2014-10-01T00:00:00"/>
    <n v="698"/>
  </r>
  <r>
    <x v="0"/>
    <x v="0"/>
    <x v="4"/>
    <d v="2014-09-29T00:00:00"/>
    <d v="2014-10-01T00:00:00"/>
    <n v="795.4"/>
  </r>
  <r>
    <x v="5"/>
    <x v="98"/>
    <x v="1"/>
    <d v="2014-09-29T00:00:00"/>
    <d v="2014-10-03T00:00:00"/>
    <n v="712.4"/>
  </r>
  <r>
    <x v="6"/>
    <x v="29"/>
    <x v="11"/>
    <d v="2014-09-29T00:00:00"/>
    <d v="2014-09-30T00:00:00"/>
    <n v="485.7"/>
  </r>
  <r>
    <x v="18"/>
    <x v="26"/>
    <x v="9"/>
    <d v="2014-09-29T00:00:00"/>
    <d v="2014-10-01T00:00:00"/>
    <n v="689.8"/>
  </r>
  <r>
    <x v="54"/>
    <x v="97"/>
    <x v="8"/>
    <d v="2014-09-29T00:00:00"/>
    <d v="2014-10-01T00:00:00"/>
    <n v="536.79999999999995"/>
  </r>
  <r>
    <x v="40"/>
    <x v="67"/>
    <x v="9"/>
    <d v="2014-09-29T00:00:00"/>
    <d v="2014-10-01T00:00:00"/>
    <n v="689.8"/>
  </r>
  <r>
    <x v="1"/>
    <x v="51"/>
    <x v="8"/>
    <d v="2014-09-29T00:00:00"/>
    <d v="2014-09-29T00:00:00"/>
    <n v="278.8"/>
  </r>
  <r>
    <x v="26"/>
    <x v="41"/>
    <x v="5"/>
    <d v="2014-09-29T00:00:00"/>
    <d v="2014-09-30T00:00:00"/>
    <n v="439.7"/>
  </r>
  <r>
    <x v="2"/>
    <x v="2"/>
    <x v="3"/>
    <d v="2014-09-29T00:00:00"/>
    <d v="2014-09-30T00:00:00"/>
    <n v="706.5"/>
  </r>
  <r>
    <x v="12"/>
    <x v="15"/>
    <x v="5"/>
    <d v="2014-09-29T00:00:00"/>
    <d v="2014-10-01T00:00:00"/>
    <n v="588.70000000000005"/>
  </r>
  <r>
    <x v="52"/>
    <x v="95"/>
    <x v="9"/>
    <d v="2014-09-29T00:00:00"/>
    <d v="2014-10-03T00:00:00"/>
    <n v="1015.8"/>
  </r>
  <r>
    <x v="43"/>
    <x v="82"/>
    <x v="6"/>
    <d v="2014-09-29T00:00:00"/>
    <d v="2014-10-01T00:00:00"/>
    <n v="698"/>
  </r>
  <r>
    <x v="35"/>
    <x v="57"/>
    <x v="9"/>
    <d v="2014-09-29T00:00:00"/>
    <d v="2014-10-02T00:00:00"/>
    <n v="852.8"/>
  </r>
  <r>
    <x v="4"/>
    <x v="92"/>
    <x v="7"/>
    <d v="2014-09-29T00:00:00"/>
    <d v="2014-10-02T00:00:00"/>
    <n v="569.5"/>
  </r>
  <r>
    <x v="3"/>
    <x v="27"/>
    <x v="6"/>
    <d v="2014-09-29T00:00:00"/>
    <d v="2014-09-30T00:00:00"/>
    <n v="570"/>
  </r>
  <r>
    <x v="28"/>
    <x v="44"/>
    <x v="11"/>
    <d v="2014-09-29T00:00:00"/>
    <d v="2014-10-03T00:00:00"/>
    <n v="1019.7"/>
  </r>
  <r>
    <x v="42"/>
    <x v="70"/>
    <x v="10"/>
    <d v="2014-09-29T00:00:00"/>
    <d v="2014-09-29T00:00:00"/>
    <n v="442"/>
  </r>
  <r>
    <x v="14"/>
    <x v="20"/>
    <x v="7"/>
    <d v="2014-09-30T00:00:00"/>
    <d v="2014-09-30T00:00:00"/>
    <n v="212.5"/>
  </r>
  <r>
    <x v="24"/>
    <x v="39"/>
    <x v="6"/>
    <d v="2014-10-01T00:00:00"/>
    <d v="2014-10-01T00:00:00"/>
    <n v="442"/>
  </r>
  <r>
    <x v="25"/>
    <x v="40"/>
    <x v="10"/>
    <d v="2014-10-01T00:00:00"/>
    <d v="2014-10-01T00:00:00"/>
    <n v="442"/>
  </r>
  <r>
    <x v="45"/>
    <x v="79"/>
    <x v="11"/>
    <d v="2014-10-02T00:00:00"/>
    <d v="2014-10-02T00:00:00"/>
    <n v="307.7"/>
  </r>
  <r>
    <x v="36"/>
    <x v="58"/>
    <x v="5"/>
    <d v="2014-10-02T00:00:00"/>
    <d v="2014-10-03T00:00:00"/>
    <n v="439.7"/>
  </r>
  <r>
    <x v="24"/>
    <x v="66"/>
    <x v="1"/>
    <d v="2014-10-03T00:00:00"/>
    <d v="2014-10-03T00:00:00"/>
    <n v="156.4"/>
  </r>
  <r>
    <x v="1"/>
    <x v="51"/>
    <x v="5"/>
    <d v="2014-10-03T00:00:00"/>
    <d v="2014-10-03T00:00:00"/>
    <n v="290.7"/>
  </r>
  <r>
    <x v="42"/>
    <x v="70"/>
    <x v="5"/>
    <d v="2014-10-03T00:00:00"/>
    <d v="2014-10-03T00:00:00"/>
    <n v="290.7"/>
  </r>
  <r>
    <x v="38"/>
    <x v="62"/>
    <x v="7"/>
    <d v="2014-10-05T00:00:00"/>
    <d v="2014-10-06T00:00:00"/>
    <n v="331.5"/>
  </r>
  <r>
    <x v="44"/>
    <x v="74"/>
    <x v="0"/>
    <d v="2014-10-05T00:00:00"/>
    <d v="2014-10-06T00:00:00"/>
    <n v="891"/>
  </r>
  <r>
    <x v="37"/>
    <x v="59"/>
    <x v="11"/>
    <d v="2014-10-05T00:00:00"/>
    <d v="2014-10-09T00:00:00"/>
    <n v="1019.7"/>
  </r>
  <r>
    <x v="8"/>
    <x v="9"/>
    <x v="6"/>
    <d v="2014-10-06T00:00:00"/>
    <d v="2014-10-06T00:00:00"/>
    <n v="442"/>
  </r>
  <r>
    <x v="46"/>
    <x v="80"/>
    <x v="11"/>
    <d v="2014-10-06T00:00:00"/>
    <d v="2014-10-07T00:00:00"/>
    <n v="485.7"/>
  </r>
  <r>
    <x v="22"/>
    <x v="42"/>
    <x v="10"/>
    <d v="2014-10-06T00:00:00"/>
    <d v="2014-10-13T00:00:00"/>
    <n v="1555"/>
  </r>
  <r>
    <x v="33"/>
    <x v="55"/>
    <x v="8"/>
    <d v="2014-10-06T00:00:00"/>
    <d v="2014-10-08T00:00:00"/>
    <n v="536.79999999999995"/>
  </r>
  <r>
    <x v="17"/>
    <x v="24"/>
    <x v="4"/>
    <d v="2014-10-06T00:00:00"/>
    <d v="2014-10-07T00:00:00"/>
    <n v="654.4"/>
  </r>
  <r>
    <x v="24"/>
    <x v="39"/>
    <x v="12"/>
    <d v="2014-10-10T00:00:00"/>
    <d v="2014-10-12T00:00:00"/>
    <n v="892.7"/>
  </r>
  <r>
    <x v="25"/>
    <x v="40"/>
    <x v="5"/>
    <d v="2014-10-10T00:00:00"/>
    <d v="2014-10-13T00:00:00"/>
    <n v="737.7"/>
  </r>
  <r>
    <x v="14"/>
    <x v="20"/>
    <x v="6"/>
    <d v="2014-10-10T00:00:00"/>
    <d v="2014-10-10T00:00:00"/>
    <n v="442"/>
  </r>
  <r>
    <x v="54"/>
    <x v="97"/>
    <x v="10"/>
    <d v="2014-10-10T00:00:00"/>
    <d v="2014-10-14T00:00:00"/>
    <n v="1078"/>
  </r>
  <r>
    <x v="53"/>
    <x v="96"/>
    <x v="3"/>
    <d v="2014-10-10T00:00:00"/>
    <d v="2014-10-10T00:00:00"/>
    <n v="501.5"/>
  </r>
  <r>
    <x v="37"/>
    <x v="76"/>
    <x v="1"/>
    <d v="2014-10-10T00:00:00"/>
    <d v="2014-10-10T00:00:00"/>
    <n v="156.4"/>
  </r>
  <r>
    <x v="9"/>
    <x v="10"/>
    <x v="3"/>
    <d v="2014-10-10T00:00:00"/>
    <d v="2014-10-10T00:00:00"/>
    <n v="501.5"/>
  </r>
  <r>
    <x v="9"/>
    <x v="14"/>
    <x v="1"/>
    <d v="2014-10-10T00:00:00"/>
    <d v="2014-10-13T00:00:00"/>
    <n v="573.4"/>
  </r>
  <r>
    <x v="21"/>
    <x v="52"/>
    <x v="12"/>
    <d v="2014-10-10T00:00:00"/>
    <d v="2014-10-14T00:00:00"/>
    <n v="1290.7"/>
  </r>
  <r>
    <x v="29"/>
    <x v="54"/>
    <x v="3"/>
    <d v="2014-10-10T00:00:00"/>
    <d v="2014-10-11T00:00:00"/>
    <n v="706.5"/>
  </r>
  <r>
    <x v="16"/>
    <x v="63"/>
    <x v="6"/>
    <d v="2014-10-10T00:00:00"/>
    <d v="2014-10-13T00:00:00"/>
    <n v="826"/>
  </r>
  <r>
    <x v="2"/>
    <x v="2"/>
    <x v="10"/>
    <d v="2014-10-10T00:00:00"/>
    <d v="2014-10-11T00:00:00"/>
    <n v="601"/>
  </r>
  <r>
    <x v="3"/>
    <x v="3"/>
    <x v="8"/>
    <d v="2014-10-10T00:00:00"/>
    <d v="2014-10-14T00:00:00"/>
    <n v="794.8"/>
  </r>
  <r>
    <x v="20"/>
    <x v="60"/>
    <x v="7"/>
    <d v="2014-10-10T00:00:00"/>
    <d v="2014-10-11T00:00:00"/>
    <n v="331.5"/>
  </r>
  <r>
    <x v="16"/>
    <x v="61"/>
    <x v="3"/>
    <d v="2014-10-10T00:00:00"/>
    <d v="2014-10-11T00:00:00"/>
    <n v="706.5"/>
  </r>
  <r>
    <x v="9"/>
    <x v="77"/>
    <x v="2"/>
    <d v="2014-10-11T00:00:00"/>
    <d v="2014-10-15T00:00:00"/>
    <n v="674.5"/>
  </r>
  <r>
    <x v="29"/>
    <x v="65"/>
    <x v="9"/>
    <d v="2014-10-11T00:00:00"/>
    <d v="2014-10-13T00:00:00"/>
    <n v="689.8"/>
  </r>
  <r>
    <x v="42"/>
    <x v="78"/>
    <x v="7"/>
    <d v="2014-10-11T00:00:00"/>
    <d v="2014-10-12T00:00:00"/>
    <n v="331.5"/>
  </r>
  <r>
    <x v="1"/>
    <x v="31"/>
    <x v="2"/>
    <d v="2014-10-11T00:00:00"/>
    <d v="2014-10-13T00:00:00"/>
    <n v="426.5"/>
  </r>
  <r>
    <x v="31"/>
    <x v="49"/>
    <x v="3"/>
    <d v="2014-10-11T00:00:00"/>
    <d v="2014-10-14T00:00:00"/>
    <n v="1116.5"/>
  </r>
  <r>
    <x v="44"/>
    <x v="74"/>
    <x v="4"/>
    <d v="2014-10-11T00:00:00"/>
    <d v="2014-10-15T00:00:00"/>
    <n v="1077.4000000000001"/>
  </r>
  <r>
    <x v="3"/>
    <x v="47"/>
    <x v="10"/>
    <d v="2014-10-11T00:00:00"/>
    <d v="2014-10-13T00:00:00"/>
    <n v="760"/>
  </r>
  <r>
    <x v="1"/>
    <x v="4"/>
    <x v="5"/>
    <d v="2014-10-11T00:00:00"/>
    <d v="2014-10-14T00:00:00"/>
    <n v="737.7"/>
  </r>
  <r>
    <x v="1"/>
    <x v="4"/>
    <x v="6"/>
    <d v="2014-10-11T00:00:00"/>
    <d v="2014-10-12T00:00:00"/>
    <n v="570"/>
  </r>
  <r>
    <x v="16"/>
    <x v="61"/>
    <x v="10"/>
    <d v="2014-10-11T00:00:00"/>
    <d v="2014-10-14T00:00:00"/>
    <n v="919"/>
  </r>
  <r>
    <x v="26"/>
    <x v="73"/>
    <x v="10"/>
    <d v="2014-10-11T00:00:00"/>
    <d v="2014-10-15T00:00:00"/>
    <n v="1078"/>
  </r>
  <r>
    <x v="0"/>
    <x v="75"/>
    <x v="11"/>
    <d v="2014-10-13T00:00:00"/>
    <d v="2014-10-13T00:00:00"/>
    <n v="307.7"/>
  </r>
  <r>
    <x v="53"/>
    <x v="96"/>
    <x v="4"/>
    <d v="2014-10-13T00:00:00"/>
    <d v="2014-10-13T00:00:00"/>
    <n v="513.4"/>
  </r>
  <r>
    <x v="9"/>
    <x v="10"/>
    <x v="12"/>
    <d v="2014-10-13T00:00:00"/>
    <d v="2014-10-13T00:00:00"/>
    <n v="494.7"/>
  </r>
  <r>
    <x v="36"/>
    <x v="58"/>
    <x v="4"/>
    <d v="2014-10-13T00:00:00"/>
    <d v="2014-10-13T00:00:00"/>
    <n v="513.4"/>
  </r>
  <r>
    <x v="20"/>
    <x v="60"/>
    <x v="12"/>
    <d v="2014-10-13T00:00:00"/>
    <d v="2014-10-13T00:00:00"/>
    <n v="494.7"/>
  </r>
  <r>
    <x v="14"/>
    <x v="20"/>
    <x v="3"/>
    <d v="2014-10-14T00:00:00"/>
    <d v="2014-10-14T00:00:00"/>
    <n v="501.5"/>
  </r>
  <r>
    <x v="2"/>
    <x v="2"/>
    <x v="1"/>
    <d v="2014-10-15T00:00:00"/>
    <d v="2014-10-15T00:00:00"/>
    <n v="156.4"/>
  </r>
  <r>
    <x v="20"/>
    <x v="60"/>
    <x v="7"/>
    <d v="2014-10-15T00:00:00"/>
    <d v="2014-10-15T00:00:00"/>
    <n v="212.5"/>
  </r>
  <r>
    <x v="36"/>
    <x v="58"/>
    <x v="5"/>
    <d v="2014-10-16T00:00:00"/>
    <d v="2014-10-16T00:00:00"/>
    <n v="290.7"/>
  </r>
  <r>
    <x v="5"/>
    <x v="98"/>
    <x v="5"/>
    <d v="2014-10-17T00:00:00"/>
    <d v="2014-10-18T00:00:00"/>
    <n v="439.7"/>
  </r>
  <r>
    <x v="9"/>
    <x v="10"/>
    <x v="10"/>
    <d v="2014-10-17T00:00:00"/>
    <d v="2014-10-20T00:00:00"/>
    <n v="919"/>
  </r>
  <r>
    <x v="1"/>
    <x v="51"/>
    <x v="5"/>
    <d v="2014-10-17T00:00:00"/>
    <d v="2014-10-20T00:00:00"/>
    <n v="737.7"/>
  </r>
  <r>
    <x v="37"/>
    <x v="59"/>
    <x v="7"/>
    <d v="2014-10-17T00:00:00"/>
    <d v="2014-10-18T00:00:00"/>
    <n v="331.5"/>
  </r>
  <r>
    <x v="2"/>
    <x v="46"/>
    <x v="0"/>
    <d v="2014-10-17T00:00:00"/>
    <d v="2014-10-18T00:00:00"/>
    <n v="891"/>
  </r>
  <r>
    <x v="1"/>
    <x v="4"/>
    <x v="8"/>
    <d v="2014-10-17T00:00:00"/>
    <d v="2014-10-20T00:00:00"/>
    <n v="665.8"/>
  </r>
  <r>
    <x v="2"/>
    <x v="2"/>
    <x v="7"/>
    <d v="2014-10-18T00:00:00"/>
    <d v="2014-10-18T00:00:00"/>
    <n v="212.5"/>
  </r>
  <r>
    <x v="39"/>
    <x v="64"/>
    <x v="10"/>
    <d v="2014-10-22T00:00:00"/>
    <d v="2014-10-25T00:00:00"/>
    <n v="919"/>
  </r>
  <r>
    <x v="29"/>
    <x v="65"/>
    <x v="12"/>
    <d v="2014-10-22T00:00:00"/>
    <d v="2014-10-23T00:00:00"/>
    <n v="693.7"/>
  </r>
  <r>
    <x v="16"/>
    <x v="38"/>
    <x v="11"/>
    <d v="2014-10-22T00:00:00"/>
    <d v="2014-10-22T00:00:00"/>
    <n v="307.7"/>
  </r>
  <r>
    <x v="5"/>
    <x v="98"/>
    <x v="11"/>
    <d v="2014-10-22T00:00:00"/>
    <d v="2014-10-23T00:00:00"/>
    <n v="485.7"/>
  </r>
  <r>
    <x v="42"/>
    <x v="78"/>
    <x v="5"/>
    <d v="2014-10-22T00:00:00"/>
    <d v="2014-10-25T00:00:00"/>
    <n v="737.7"/>
  </r>
  <r>
    <x v="26"/>
    <x v="83"/>
    <x v="0"/>
    <d v="2014-10-22T00:00:00"/>
    <d v="2014-10-23T00:00:00"/>
    <n v="891"/>
  </r>
  <r>
    <x v="14"/>
    <x v="20"/>
    <x v="9"/>
    <d v="2014-10-22T00:00:00"/>
    <d v="2014-10-24T00:00:00"/>
    <n v="689.8"/>
  </r>
  <r>
    <x v="24"/>
    <x v="66"/>
    <x v="12"/>
    <d v="2014-10-22T00:00:00"/>
    <d v="2014-10-22T00:00:00"/>
    <n v="494.7"/>
  </r>
  <r>
    <x v="54"/>
    <x v="97"/>
    <x v="6"/>
    <d v="2014-10-22T00:00:00"/>
    <d v="2014-10-22T00:00:00"/>
    <n v="442"/>
  </r>
  <r>
    <x v="1"/>
    <x v="1"/>
    <x v="10"/>
    <d v="2014-10-22T00:00:00"/>
    <d v="2014-10-25T00:00:00"/>
    <n v="919"/>
  </r>
  <r>
    <x v="21"/>
    <x v="33"/>
    <x v="10"/>
    <d v="2014-10-22T00:00:00"/>
    <d v="2014-10-26T00:00:00"/>
    <n v="1078"/>
  </r>
  <r>
    <x v="16"/>
    <x v="63"/>
    <x v="8"/>
    <d v="2014-10-22T00:00:00"/>
    <d v="2014-10-22T00:00:00"/>
    <n v="278.8"/>
  </r>
  <r>
    <x v="2"/>
    <x v="2"/>
    <x v="8"/>
    <d v="2014-10-22T00:00:00"/>
    <d v="2014-10-24T00:00:00"/>
    <n v="536.79999999999995"/>
  </r>
  <r>
    <x v="47"/>
    <x v="81"/>
    <x v="7"/>
    <d v="2014-10-22T00:00:00"/>
    <d v="2014-10-25T00:00:00"/>
    <n v="569.5"/>
  </r>
  <r>
    <x v="27"/>
    <x v="43"/>
    <x v="10"/>
    <d v="2014-10-22T00:00:00"/>
    <d v="2014-10-24T00:00:00"/>
    <n v="760"/>
  </r>
  <r>
    <x v="28"/>
    <x v="91"/>
    <x v="2"/>
    <d v="2014-10-22T00:00:00"/>
    <d v="2014-10-26T00:00:00"/>
    <n v="674.5"/>
  </r>
  <r>
    <x v="1"/>
    <x v="4"/>
    <x v="8"/>
    <d v="2014-10-22T00:00:00"/>
    <d v="2014-10-22T00:00:00"/>
    <n v="278.8"/>
  </r>
  <r>
    <x v="17"/>
    <x v="24"/>
    <x v="7"/>
    <d v="2014-10-22T00:00:00"/>
    <d v="2014-10-23T00:00:00"/>
    <n v="331.5"/>
  </r>
  <r>
    <x v="4"/>
    <x v="5"/>
    <x v="9"/>
    <d v="2014-10-22T00:00:00"/>
    <d v="2014-10-26T00:00:00"/>
    <n v="1015.8"/>
  </r>
  <r>
    <x v="5"/>
    <x v="6"/>
    <x v="12"/>
    <d v="2014-10-23T00:00:00"/>
    <d v="2014-10-25T00:00:00"/>
    <n v="892.7"/>
  </r>
  <r>
    <x v="8"/>
    <x v="36"/>
    <x v="10"/>
    <d v="2014-10-23T00:00:00"/>
    <d v="2014-10-26T00:00:00"/>
    <n v="919"/>
  </r>
  <r>
    <x v="26"/>
    <x v="83"/>
    <x v="6"/>
    <d v="2014-10-23T00:00:00"/>
    <d v="2014-10-24T00:00:00"/>
    <n v="570"/>
  </r>
  <r>
    <x v="6"/>
    <x v="7"/>
    <x v="1"/>
    <d v="2014-10-23T00:00:00"/>
    <d v="2014-10-24T00:00:00"/>
    <n v="295.39999999999998"/>
  </r>
  <r>
    <x v="8"/>
    <x v="9"/>
    <x v="0"/>
    <d v="2014-10-23T00:00:00"/>
    <d v="2014-10-24T00:00:00"/>
    <n v="891"/>
  </r>
  <r>
    <x v="53"/>
    <x v="96"/>
    <x v="6"/>
    <d v="2014-10-23T00:00:00"/>
    <d v="2014-10-24T00:00:00"/>
    <n v="570"/>
  </r>
  <r>
    <x v="37"/>
    <x v="76"/>
    <x v="5"/>
    <d v="2014-10-23T00:00:00"/>
    <d v="2014-10-23T00:00:00"/>
    <n v="290.7"/>
  </r>
  <r>
    <x v="21"/>
    <x v="33"/>
    <x v="3"/>
    <d v="2014-10-23T00:00:00"/>
    <d v="2014-10-24T00:00:00"/>
    <n v="706.5"/>
  </r>
  <r>
    <x v="38"/>
    <x v="62"/>
    <x v="3"/>
    <d v="2014-10-23T00:00:00"/>
    <d v="2014-10-25T00:00:00"/>
    <n v="911.5"/>
  </r>
  <r>
    <x v="33"/>
    <x v="55"/>
    <x v="11"/>
    <d v="2014-10-23T00:00:00"/>
    <d v="2014-10-26T00:00:00"/>
    <n v="841.7"/>
  </r>
  <r>
    <x v="11"/>
    <x v="13"/>
    <x v="0"/>
    <d v="2014-10-23T00:00:00"/>
    <d v="2014-10-25T00:00:00"/>
    <n v="1102"/>
  </r>
  <r>
    <x v="2"/>
    <x v="46"/>
    <x v="0"/>
    <d v="2014-10-23T00:00:00"/>
    <d v="2014-10-23T00:00:00"/>
    <n v="680"/>
  </r>
  <r>
    <x v="54"/>
    <x v="97"/>
    <x v="11"/>
    <d v="2014-10-24T00:00:00"/>
    <d v="2014-10-24T00:00:00"/>
    <n v="307.7"/>
  </r>
  <r>
    <x v="1"/>
    <x v="4"/>
    <x v="5"/>
    <d v="2014-10-24T00:00:00"/>
    <d v="2014-10-24T00:00:00"/>
    <n v="290.7"/>
  </r>
  <r>
    <x v="24"/>
    <x v="66"/>
    <x v="11"/>
    <d v="2014-10-25T00:00:00"/>
    <d v="2014-10-25T00:00:00"/>
    <n v="307.7"/>
  </r>
  <r>
    <x v="16"/>
    <x v="63"/>
    <x v="8"/>
    <d v="2014-10-25T00:00:00"/>
    <d v="2014-10-25T00:00:00"/>
    <n v="278.8"/>
  </r>
  <r>
    <x v="2"/>
    <x v="46"/>
    <x v="6"/>
    <d v="2014-10-25T00:00:00"/>
    <d v="2014-10-26T00:00:00"/>
    <n v="570"/>
  </r>
  <r>
    <x v="8"/>
    <x v="9"/>
    <x v="4"/>
    <d v="2014-10-26T00:00:00"/>
    <d v="2014-10-26T00:00:00"/>
    <n v="513.4"/>
  </r>
  <r>
    <x v="54"/>
    <x v="97"/>
    <x v="11"/>
    <d v="2014-10-27T00:00:00"/>
    <d v="2014-10-27T00:00:00"/>
    <n v="307.7"/>
  </r>
  <r>
    <x v="16"/>
    <x v="22"/>
    <x v="2"/>
    <d v="2014-10-28T00:00:00"/>
    <d v="2014-10-30T00:00:00"/>
    <n v="426.5"/>
  </r>
  <r>
    <x v="24"/>
    <x v="39"/>
    <x v="8"/>
    <d v="2014-10-29T00:00:00"/>
    <d v="2014-10-30T00:00:00"/>
    <n v="407.8"/>
  </r>
  <r>
    <x v="8"/>
    <x v="9"/>
    <x v="4"/>
    <d v="2014-10-29T00:00:00"/>
    <d v="2014-10-29T00:00:00"/>
    <n v="513.4"/>
  </r>
  <r>
    <x v="35"/>
    <x v="57"/>
    <x v="1"/>
    <d v="2014-10-29T00:00:00"/>
    <d v="2014-10-30T00:00:00"/>
    <n v="295.39999999999998"/>
  </r>
  <r>
    <x v="36"/>
    <x v="58"/>
    <x v="5"/>
    <d v="2014-10-29T00:00:00"/>
    <d v="2014-10-30T00:00:00"/>
    <n v="439.7"/>
  </r>
  <r>
    <x v="28"/>
    <x v="44"/>
    <x v="5"/>
    <d v="2014-10-29T00:00:00"/>
    <d v="2014-11-02T00:00:00"/>
    <n v="886.7"/>
  </r>
  <r>
    <x v="2"/>
    <x v="46"/>
    <x v="6"/>
    <d v="2014-10-29T00:00:00"/>
    <d v="2014-10-31T00:00:00"/>
    <n v="698"/>
  </r>
  <r>
    <x v="4"/>
    <x v="5"/>
    <x v="11"/>
    <d v="2014-10-29T00:00:00"/>
    <d v="2014-10-29T00:00:00"/>
    <n v="307.7"/>
  </r>
  <r>
    <x v="29"/>
    <x v="65"/>
    <x v="1"/>
    <d v="2014-11-03T00:00:00"/>
    <d v="2014-11-04T00:00:00"/>
    <n v="295.39999999999998"/>
  </r>
  <r>
    <x v="16"/>
    <x v="38"/>
    <x v="3"/>
    <d v="2014-11-03T00:00:00"/>
    <d v="2014-11-03T00:00:00"/>
    <n v="501.5"/>
  </r>
  <r>
    <x v="42"/>
    <x v="78"/>
    <x v="8"/>
    <d v="2014-11-03T00:00:00"/>
    <d v="2014-11-06T00:00:00"/>
    <n v="665.8"/>
  </r>
  <r>
    <x v="37"/>
    <x v="76"/>
    <x v="9"/>
    <d v="2014-11-03T00:00:00"/>
    <d v="2014-11-07T00:00:00"/>
    <n v="1015.8"/>
  </r>
  <r>
    <x v="1"/>
    <x v="1"/>
    <x v="5"/>
    <d v="2014-11-03T00:00:00"/>
    <d v="2014-11-04T00:00:00"/>
    <n v="439.7"/>
  </r>
  <r>
    <x v="1"/>
    <x v="31"/>
    <x v="9"/>
    <d v="2014-11-03T00:00:00"/>
    <d v="2014-11-03T00:00:00"/>
    <n v="363.8"/>
  </r>
  <r>
    <x v="32"/>
    <x v="50"/>
    <x v="10"/>
    <d v="2014-11-03T00:00:00"/>
    <d v="2014-11-04T00:00:00"/>
    <n v="601"/>
  </r>
  <r>
    <x v="45"/>
    <x v="79"/>
    <x v="10"/>
    <d v="2014-11-03T00:00:00"/>
    <d v="2014-11-04T00:00:00"/>
    <n v="601"/>
  </r>
  <r>
    <x v="51"/>
    <x v="94"/>
    <x v="12"/>
    <d v="2014-11-03T00:00:00"/>
    <d v="2014-11-03T00:00:00"/>
    <n v="494.7"/>
  </r>
  <r>
    <x v="16"/>
    <x v="63"/>
    <x v="5"/>
    <d v="2014-11-03T00:00:00"/>
    <d v="2014-11-07T00:00:00"/>
    <n v="886.7"/>
  </r>
  <r>
    <x v="48"/>
    <x v="84"/>
    <x v="12"/>
    <d v="2014-11-03T00:00:00"/>
    <d v="2014-11-03T00:00:00"/>
    <n v="494.7"/>
  </r>
  <r>
    <x v="22"/>
    <x v="42"/>
    <x v="8"/>
    <d v="2014-11-03T00:00:00"/>
    <d v="2014-11-03T00:00:00"/>
    <n v="278.8"/>
  </r>
  <r>
    <x v="47"/>
    <x v="81"/>
    <x v="6"/>
    <d v="2014-11-03T00:00:00"/>
    <d v="2014-11-04T00:00:00"/>
    <n v="570"/>
  </r>
  <r>
    <x v="52"/>
    <x v="95"/>
    <x v="5"/>
    <d v="2014-11-03T00:00:00"/>
    <d v="2014-11-04T00:00:00"/>
    <n v="439.7"/>
  </r>
  <r>
    <x v="4"/>
    <x v="92"/>
    <x v="7"/>
    <d v="2014-11-03T00:00:00"/>
    <d v="2014-11-04T00:00:00"/>
    <n v="331.5"/>
  </r>
  <r>
    <x v="11"/>
    <x v="13"/>
    <x v="1"/>
    <d v="2014-11-03T00:00:00"/>
    <d v="2014-11-07T00:00:00"/>
    <n v="712.4"/>
  </r>
  <r>
    <x v="36"/>
    <x v="58"/>
    <x v="1"/>
    <d v="2014-11-03T00:00:00"/>
    <d v="2014-11-04T00:00:00"/>
    <n v="295.39999999999998"/>
  </r>
  <r>
    <x v="19"/>
    <x v="28"/>
    <x v="1"/>
    <d v="2014-11-03T00:00:00"/>
    <d v="2014-11-07T00:00:00"/>
    <n v="712.4"/>
  </r>
  <r>
    <x v="55"/>
    <x v="99"/>
    <x v="12"/>
    <d v="2014-11-04T00:00:00"/>
    <d v="2014-11-06T00:00:00"/>
    <n v="892.7"/>
  </r>
  <r>
    <x v="0"/>
    <x v="0"/>
    <x v="2"/>
    <d v="2014-11-04T00:00:00"/>
    <d v="2014-11-06T00:00:00"/>
    <n v="426.5"/>
  </r>
  <r>
    <x v="13"/>
    <x v="19"/>
    <x v="0"/>
    <d v="2014-11-04T00:00:00"/>
    <d v="2014-11-06T00:00:00"/>
    <n v="1102"/>
  </r>
  <r>
    <x v="5"/>
    <x v="98"/>
    <x v="3"/>
    <d v="2014-11-04T00:00:00"/>
    <d v="2014-11-06T00:00:00"/>
    <n v="911.5"/>
  </r>
  <r>
    <x v="7"/>
    <x v="8"/>
    <x v="9"/>
    <d v="2014-11-04T00:00:00"/>
    <d v="2014-11-05T00:00:00"/>
    <n v="526.79999999999995"/>
  </r>
  <r>
    <x v="9"/>
    <x v="10"/>
    <x v="2"/>
    <d v="2014-11-04T00:00:00"/>
    <d v="2014-11-08T00:00:00"/>
    <n v="674.5"/>
  </r>
  <r>
    <x v="21"/>
    <x v="33"/>
    <x v="9"/>
    <d v="2014-11-04T00:00:00"/>
    <d v="2014-11-07T00:00:00"/>
    <n v="852.8"/>
  </r>
  <r>
    <x v="6"/>
    <x v="11"/>
    <x v="12"/>
    <d v="2014-11-04T00:00:00"/>
    <d v="2014-11-08T00:00:00"/>
    <n v="1290.7"/>
  </r>
  <r>
    <x v="2"/>
    <x v="2"/>
    <x v="3"/>
    <d v="2014-11-04T00:00:00"/>
    <d v="2014-11-05T00:00:00"/>
    <n v="706.5"/>
  </r>
  <r>
    <x v="49"/>
    <x v="88"/>
    <x v="3"/>
    <d v="2014-11-04T00:00:00"/>
    <d v="2014-11-05T00:00:00"/>
    <n v="706.5"/>
  </r>
  <r>
    <x v="43"/>
    <x v="82"/>
    <x v="3"/>
    <d v="2014-11-04T00:00:00"/>
    <d v="2014-11-04T00:00:00"/>
    <n v="501.5"/>
  </r>
  <r>
    <x v="35"/>
    <x v="57"/>
    <x v="11"/>
    <d v="2014-11-04T00:00:00"/>
    <d v="2014-11-05T00:00:00"/>
    <n v="485.7"/>
  </r>
  <r>
    <x v="8"/>
    <x v="35"/>
    <x v="9"/>
    <d v="2014-11-04T00:00:00"/>
    <d v="2014-11-05T00:00:00"/>
    <n v="526.79999999999995"/>
  </r>
  <r>
    <x v="3"/>
    <x v="47"/>
    <x v="11"/>
    <d v="2014-11-04T00:00:00"/>
    <d v="2014-11-07T00:00:00"/>
    <n v="841.7"/>
  </r>
  <r>
    <x v="52"/>
    <x v="95"/>
    <x v="10"/>
    <d v="2014-11-06T00:00:00"/>
    <d v="2014-11-06T00:00:00"/>
    <n v="442"/>
  </r>
  <r>
    <x v="43"/>
    <x v="82"/>
    <x v="12"/>
    <d v="2014-11-06T00:00:00"/>
    <d v="2014-11-08T00:00:00"/>
    <n v="892.7"/>
  </r>
  <r>
    <x v="1"/>
    <x v="31"/>
    <x v="7"/>
    <d v="2014-11-07T00:00:00"/>
    <d v="2014-11-08T00:00:00"/>
    <n v="331.5"/>
  </r>
  <r>
    <x v="51"/>
    <x v="94"/>
    <x v="11"/>
    <d v="2014-11-07T00:00:00"/>
    <d v="2014-11-07T00:00:00"/>
    <n v="307.7"/>
  </r>
  <r>
    <x v="48"/>
    <x v="84"/>
    <x v="8"/>
    <d v="2014-11-07T00:00:00"/>
    <d v="2014-11-07T00:00:00"/>
    <n v="278.8"/>
  </r>
  <r>
    <x v="22"/>
    <x v="42"/>
    <x v="6"/>
    <d v="2014-11-07T00:00:00"/>
    <d v="2014-11-07T00:00:00"/>
    <n v="442"/>
  </r>
  <r>
    <x v="36"/>
    <x v="58"/>
    <x v="10"/>
    <d v="2014-11-07T00:00:00"/>
    <d v="2014-11-07T00:00:00"/>
    <n v="442"/>
  </r>
  <r>
    <x v="39"/>
    <x v="64"/>
    <x v="0"/>
    <d v="2014-11-10T00:00:00"/>
    <d v="2014-11-13T00:00:00"/>
    <n v="1313"/>
  </r>
  <r>
    <x v="43"/>
    <x v="82"/>
    <x v="8"/>
    <d v="2014-11-13T00:00:00"/>
    <d v="2014-11-14T00:00:00"/>
    <n v="407.8"/>
  </r>
  <r>
    <x v="11"/>
    <x v="13"/>
    <x v="5"/>
    <d v="2014-11-14T00:00:00"/>
    <d v="2014-11-14T00:00:00"/>
    <n v="290.7"/>
  </r>
  <r>
    <x v="41"/>
    <x v="68"/>
    <x v="0"/>
    <d v="2014-11-15T00:00:00"/>
    <d v="2014-11-15T00:00:00"/>
    <n v="680"/>
  </r>
  <r>
    <x v="25"/>
    <x v="40"/>
    <x v="0"/>
    <d v="2014-11-15T00:00:00"/>
    <d v="2014-11-19T00:00:00"/>
    <n v="1524"/>
  </r>
  <r>
    <x v="0"/>
    <x v="23"/>
    <x v="2"/>
    <d v="2014-11-15T00:00:00"/>
    <d v="2014-11-15T00:00:00"/>
    <n v="178.5"/>
  </r>
  <r>
    <x v="43"/>
    <x v="72"/>
    <x v="6"/>
    <d v="2014-11-15T00:00:00"/>
    <d v="2014-11-17T00:00:00"/>
    <n v="698"/>
  </r>
  <r>
    <x v="1"/>
    <x v="31"/>
    <x v="10"/>
    <d v="2014-11-15T00:00:00"/>
    <d v="2014-11-15T00:00:00"/>
    <n v="442"/>
  </r>
  <r>
    <x v="21"/>
    <x v="52"/>
    <x v="7"/>
    <d v="2014-11-15T00:00:00"/>
    <d v="2014-11-19T00:00:00"/>
    <n v="688.5"/>
  </r>
  <r>
    <x v="3"/>
    <x v="53"/>
    <x v="11"/>
    <d v="2014-11-15T00:00:00"/>
    <d v="2014-11-18T00:00:00"/>
    <n v="841.7"/>
  </r>
  <r>
    <x v="29"/>
    <x v="54"/>
    <x v="6"/>
    <d v="2014-11-15T00:00:00"/>
    <d v="2014-11-15T00:00:00"/>
    <n v="442"/>
  </r>
  <r>
    <x v="16"/>
    <x v="63"/>
    <x v="3"/>
    <d v="2014-11-15T00:00:00"/>
    <d v="2014-11-18T00:00:00"/>
    <n v="1116.5"/>
  </r>
  <r>
    <x v="33"/>
    <x v="55"/>
    <x v="6"/>
    <d v="2014-11-15T00:00:00"/>
    <d v="2014-11-15T00:00:00"/>
    <n v="442"/>
  </r>
  <r>
    <x v="52"/>
    <x v="95"/>
    <x v="9"/>
    <d v="2014-11-15T00:00:00"/>
    <d v="2014-11-16T00:00:00"/>
    <n v="526.79999999999995"/>
  </r>
  <r>
    <x v="10"/>
    <x v="12"/>
    <x v="4"/>
    <d v="2014-11-15T00:00:00"/>
    <d v="2014-11-18T00:00:00"/>
    <n v="936.4"/>
  </r>
  <r>
    <x v="35"/>
    <x v="57"/>
    <x v="8"/>
    <d v="2014-11-15T00:00:00"/>
    <d v="2014-11-16T00:00:00"/>
    <n v="407.8"/>
  </r>
  <r>
    <x v="8"/>
    <x v="35"/>
    <x v="4"/>
    <d v="2014-11-15T00:00:00"/>
    <d v="2014-11-19T00:00:00"/>
    <n v="1077.4000000000001"/>
  </r>
  <r>
    <x v="3"/>
    <x v="47"/>
    <x v="8"/>
    <d v="2014-11-15T00:00:00"/>
    <d v="2014-11-16T00:00:00"/>
    <n v="407.8"/>
  </r>
  <r>
    <x v="39"/>
    <x v="64"/>
    <x v="7"/>
    <d v="2014-11-16T00:00:00"/>
    <d v="2014-11-17T00:00:00"/>
    <n v="331.5"/>
  </r>
  <r>
    <x v="42"/>
    <x v="86"/>
    <x v="8"/>
    <d v="2014-11-16T00:00:00"/>
    <d v="2014-11-17T00:00:00"/>
    <n v="407.8"/>
  </r>
  <r>
    <x v="16"/>
    <x v="38"/>
    <x v="11"/>
    <d v="2014-11-16T00:00:00"/>
    <d v="2014-11-17T00:00:00"/>
    <n v="485.7"/>
  </r>
  <r>
    <x v="5"/>
    <x v="98"/>
    <x v="12"/>
    <d v="2014-11-16T00:00:00"/>
    <d v="2014-11-20T00:00:00"/>
    <n v="1290.7"/>
  </r>
  <r>
    <x v="1"/>
    <x v="1"/>
    <x v="7"/>
    <d v="2014-11-16T00:00:00"/>
    <d v="2014-11-18T00:00:00"/>
    <n v="450.5"/>
  </r>
  <r>
    <x v="1"/>
    <x v="51"/>
    <x v="3"/>
    <d v="2014-11-16T00:00:00"/>
    <d v="2014-11-18T00:00:00"/>
    <n v="911.5"/>
  </r>
  <r>
    <x v="49"/>
    <x v="88"/>
    <x v="10"/>
    <d v="2014-11-16T00:00:00"/>
    <d v="2014-11-19T00:00:00"/>
    <n v="919"/>
  </r>
  <r>
    <x v="50"/>
    <x v="89"/>
    <x v="4"/>
    <d v="2014-11-16T00:00:00"/>
    <d v="2014-11-17T00:00:00"/>
    <n v="654.4"/>
  </r>
  <r>
    <x v="1"/>
    <x v="4"/>
    <x v="9"/>
    <d v="2014-11-16T00:00:00"/>
    <d v="2014-11-17T00:00:00"/>
    <n v="526.79999999999995"/>
  </r>
  <r>
    <x v="37"/>
    <x v="76"/>
    <x v="11"/>
    <d v="2014-11-17T00:00:00"/>
    <d v="2014-11-17T00:00:00"/>
    <n v="307.7"/>
  </r>
  <r>
    <x v="51"/>
    <x v="94"/>
    <x v="8"/>
    <d v="2014-11-17T00:00:00"/>
    <d v="2014-11-17T00:00:00"/>
    <n v="278.8"/>
  </r>
  <r>
    <x v="36"/>
    <x v="58"/>
    <x v="0"/>
    <d v="2014-11-17T00:00:00"/>
    <d v="2014-11-19T00:00:00"/>
    <n v="1102"/>
  </r>
  <r>
    <x v="29"/>
    <x v="45"/>
    <x v="1"/>
    <d v="2014-11-17T00:00:00"/>
    <d v="2014-11-19T00:00:00"/>
    <n v="434.4"/>
  </r>
  <r>
    <x v="20"/>
    <x v="60"/>
    <x v="0"/>
    <d v="2014-11-17T00:00:00"/>
    <d v="2014-11-17T00:00:00"/>
    <n v="680"/>
  </r>
  <r>
    <x v="41"/>
    <x v="68"/>
    <x v="6"/>
    <d v="2014-11-18T00:00:00"/>
    <d v="2014-11-18T00:00:00"/>
    <n v="442"/>
  </r>
  <r>
    <x v="7"/>
    <x v="25"/>
    <x v="11"/>
    <d v="2014-11-18T00:00:00"/>
    <d v="2014-11-18T00:00:00"/>
    <n v="307.7"/>
  </r>
  <r>
    <x v="1"/>
    <x v="31"/>
    <x v="6"/>
    <d v="2014-11-18T00:00:00"/>
    <d v="2014-11-18T00:00:00"/>
    <n v="442"/>
  </r>
  <r>
    <x v="24"/>
    <x v="66"/>
    <x v="12"/>
    <d v="2014-11-19T00:00:00"/>
    <d v="2014-11-19T00:00:00"/>
    <n v="494.7"/>
  </r>
  <r>
    <x v="53"/>
    <x v="96"/>
    <x v="1"/>
    <d v="2014-11-19T00:00:00"/>
    <d v="2014-11-19T00:00:00"/>
    <n v="156.4"/>
  </r>
  <r>
    <x v="43"/>
    <x v="72"/>
    <x v="6"/>
    <d v="2014-11-19T00:00:00"/>
    <d v="2014-11-19T00:00:00"/>
    <n v="442"/>
  </r>
  <r>
    <x v="51"/>
    <x v="94"/>
    <x v="3"/>
    <d v="2014-11-19T00:00:00"/>
    <d v="2014-11-19T00:00:00"/>
    <n v="501.5"/>
  </r>
  <r>
    <x v="18"/>
    <x v="26"/>
    <x v="4"/>
    <d v="2014-11-20T00:00:00"/>
    <d v="2014-11-21T00:00:00"/>
    <n v="654.4"/>
  </r>
  <r>
    <x v="0"/>
    <x v="23"/>
    <x v="10"/>
    <d v="2014-11-20T00:00:00"/>
    <d v="2014-11-20T00:00:00"/>
    <n v="442"/>
  </r>
  <r>
    <x v="3"/>
    <x v="47"/>
    <x v="7"/>
    <d v="2014-11-20T00:00:00"/>
    <d v="2014-11-20T00:00:00"/>
    <n v="212.5"/>
  </r>
  <r>
    <x v="16"/>
    <x v="22"/>
    <x v="6"/>
    <d v="2014-11-21T00:00:00"/>
    <d v="2014-11-22T00:00:00"/>
    <n v="570"/>
  </r>
  <r>
    <x v="42"/>
    <x v="86"/>
    <x v="8"/>
    <d v="2014-11-21T00:00:00"/>
    <d v="2014-11-22T00:00:00"/>
    <n v="407.8"/>
  </r>
  <r>
    <x v="6"/>
    <x v="29"/>
    <x v="7"/>
    <d v="2014-11-22T00:00:00"/>
    <d v="2014-11-26T00:00:00"/>
    <n v="688.5"/>
  </r>
  <r>
    <x v="1"/>
    <x v="51"/>
    <x v="1"/>
    <d v="2014-11-22T00:00:00"/>
    <d v="2014-11-22T00:00:00"/>
    <n v="156.4"/>
  </r>
  <r>
    <x v="45"/>
    <x v="79"/>
    <x v="12"/>
    <d v="2014-11-22T00:00:00"/>
    <d v="2014-11-23T00:00:00"/>
    <n v="693.7"/>
  </r>
  <r>
    <x v="51"/>
    <x v="94"/>
    <x v="12"/>
    <d v="2014-11-22T00:00:00"/>
    <d v="2014-11-22T00:00:00"/>
    <n v="494.7"/>
  </r>
  <r>
    <x v="50"/>
    <x v="89"/>
    <x v="3"/>
    <d v="2014-11-22T00:00:00"/>
    <d v="2014-11-25T00:00:00"/>
    <n v="1116.5"/>
  </r>
  <r>
    <x v="27"/>
    <x v="43"/>
    <x v="0"/>
    <d v="2014-11-22T00:00:00"/>
    <d v="2014-11-23T00:00:00"/>
    <n v="891"/>
  </r>
  <r>
    <x v="37"/>
    <x v="59"/>
    <x v="5"/>
    <d v="2014-11-22T00:00:00"/>
    <d v="2014-11-25T00:00:00"/>
    <n v="737.7"/>
  </r>
  <r>
    <x v="37"/>
    <x v="85"/>
    <x v="4"/>
    <d v="2014-11-23T00:00:00"/>
    <d v="2014-11-23T00:00:00"/>
    <n v="513.4"/>
  </r>
  <r>
    <x v="18"/>
    <x v="26"/>
    <x v="0"/>
    <d v="2014-11-24T00:00:00"/>
    <d v="2014-11-25T00:00:00"/>
    <n v="891"/>
  </r>
  <r>
    <x v="38"/>
    <x v="62"/>
    <x v="2"/>
    <d v="2014-11-24T00:00:00"/>
    <d v="2014-11-24T00:00:00"/>
    <n v="178.5"/>
  </r>
  <r>
    <x v="7"/>
    <x v="25"/>
    <x v="0"/>
    <d v="2014-11-25T00:00:00"/>
    <d v="2014-11-25T00:00:00"/>
    <n v="680"/>
  </r>
  <r>
    <x v="51"/>
    <x v="94"/>
    <x v="2"/>
    <d v="2014-11-25T00:00:00"/>
    <d v="2014-11-25T00:00:00"/>
    <n v="178.5"/>
  </r>
  <r>
    <x v="2"/>
    <x v="46"/>
    <x v="4"/>
    <d v="2014-11-25T00:00:00"/>
    <d v="2014-11-25T00:00:00"/>
    <n v="513.4"/>
  </r>
  <r>
    <x v="8"/>
    <x v="36"/>
    <x v="1"/>
    <d v="2014-11-27T00:00:00"/>
    <d v="2014-11-30T00:00:00"/>
    <n v="573.4"/>
  </r>
  <r>
    <x v="24"/>
    <x v="66"/>
    <x v="3"/>
    <d v="2014-11-27T00:00:00"/>
    <d v="2014-11-27T00:00:00"/>
    <n v="501.5"/>
  </r>
  <r>
    <x v="20"/>
    <x v="32"/>
    <x v="2"/>
    <d v="2014-11-27T00:00:00"/>
    <d v="2014-12-01T00:00:00"/>
    <n v="674.5"/>
  </r>
  <r>
    <x v="6"/>
    <x v="30"/>
    <x v="10"/>
    <d v="2014-11-27T00:00:00"/>
    <d v="2014-12-01T00:00:00"/>
    <n v="1078"/>
  </r>
  <r>
    <x v="9"/>
    <x v="10"/>
    <x v="10"/>
    <d v="2014-11-27T00:00:00"/>
    <d v="2014-11-27T00:00:00"/>
    <n v="442"/>
  </r>
  <r>
    <x v="43"/>
    <x v="72"/>
    <x v="9"/>
    <d v="2014-11-27T00:00:00"/>
    <d v="2014-11-28T00:00:00"/>
    <n v="526.79999999999995"/>
  </r>
  <r>
    <x v="21"/>
    <x v="33"/>
    <x v="10"/>
    <d v="2014-11-27T00:00:00"/>
    <d v="2014-11-27T00:00:00"/>
    <n v="442"/>
  </r>
  <r>
    <x v="51"/>
    <x v="94"/>
    <x v="3"/>
    <d v="2014-11-27T00:00:00"/>
    <d v="2014-11-30T00:00:00"/>
    <n v="1116.5"/>
  </r>
  <r>
    <x v="16"/>
    <x v="63"/>
    <x v="12"/>
    <d v="2014-11-27T00:00:00"/>
    <d v="2014-12-01T00:00:00"/>
    <n v="1290.7"/>
  </r>
  <r>
    <x v="6"/>
    <x v="11"/>
    <x v="12"/>
    <d v="2014-11-27T00:00:00"/>
    <d v="2014-11-29T00:00:00"/>
    <n v="892.7"/>
  </r>
  <r>
    <x v="48"/>
    <x v="84"/>
    <x v="9"/>
    <d v="2014-11-27T00:00:00"/>
    <d v="2014-11-27T00:00:00"/>
    <n v="363.8"/>
  </r>
  <r>
    <x v="47"/>
    <x v="81"/>
    <x v="5"/>
    <d v="2014-11-27T00:00:00"/>
    <d v="2014-11-27T00:00:00"/>
    <n v="290.7"/>
  </r>
  <r>
    <x v="34"/>
    <x v="56"/>
    <x v="9"/>
    <d v="2014-11-27T00:00:00"/>
    <d v="2014-11-28T00:00:00"/>
    <n v="526.79999999999995"/>
  </r>
  <r>
    <x v="29"/>
    <x v="45"/>
    <x v="7"/>
    <d v="2014-11-27T00:00:00"/>
    <d v="2014-11-27T00:00:00"/>
    <n v="212.5"/>
  </r>
  <r>
    <x v="37"/>
    <x v="59"/>
    <x v="10"/>
    <d v="2014-11-27T00:00:00"/>
    <d v="2014-11-28T00:00:00"/>
    <n v="601"/>
  </r>
  <r>
    <x v="2"/>
    <x v="46"/>
    <x v="4"/>
    <d v="2014-11-27T00:00:00"/>
    <d v="2014-11-27T00:00:00"/>
    <n v="513.4"/>
  </r>
  <r>
    <x v="16"/>
    <x v="61"/>
    <x v="12"/>
    <d v="2014-11-27T00:00:00"/>
    <d v="2014-11-28T00:00:00"/>
    <n v="693.7"/>
  </r>
  <r>
    <x v="4"/>
    <x v="5"/>
    <x v="2"/>
    <d v="2014-11-27T00:00:00"/>
    <d v="2014-11-29T00:00:00"/>
    <n v="426.5"/>
  </r>
  <r>
    <x v="16"/>
    <x v="38"/>
    <x v="4"/>
    <d v="2014-11-28T00:00:00"/>
    <d v="2014-12-01T00:00:00"/>
    <n v="936.4"/>
  </r>
  <r>
    <x v="5"/>
    <x v="98"/>
    <x v="12"/>
    <d v="2014-11-28T00:00:00"/>
    <d v="2014-11-30T00:00:00"/>
    <n v="892.7"/>
  </r>
  <r>
    <x v="42"/>
    <x v="78"/>
    <x v="0"/>
    <d v="2014-11-28T00:00:00"/>
    <d v="2014-11-30T00:00:00"/>
    <n v="1102"/>
  </r>
  <r>
    <x v="25"/>
    <x v="40"/>
    <x v="6"/>
    <d v="2014-11-28T00:00:00"/>
    <d v="2014-11-30T00:00:00"/>
    <n v="698"/>
  </r>
  <r>
    <x v="26"/>
    <x v="83"/>
    <x v="12"/>
    <d v="2014-11-28T00:00:00"/>
    <d v="2014-11-29T00:00:00"/>
    <n v="693.7"/>
  </r>
  <r>
    <x v="14"/>
    <x v="20"/>
    <x v="3"/>
    <d v="2014-11-28T00:00:00"/>
    <d v="2014-11-28T00:00:00"/>
    <n v="501.5"/>
  </r>
  <r>
    <x v="6"/>
    <x v="7"/>
    <x v="11"/>
    <d v="2014-11-28T00:00:00"/>
    <d v="2014-11-28T00:00:00"/>
    <n v="307.7"/>
  </r>
  <r>
    <x v="7"/>
    <x v="8"/>
    <x v="11"/>
    <d v="2014-11-28T00:00:00"/>
    <d v="2014-11-29T00:00:00"/>
    <n v="485.7"/>
  </r>
  <r>
    <x v="53"/>
    <x v="96"/>
    <x v="10"/>
    <d v="2014-11-28T00:00:00"/>
    <d v="2014-12-02T00:00:00"/>
    <n v="1078"/>
  </r>
  <r>
    <x v="37"/>
    <x v="76"/>
    <x v="9"/>
    <d v="2014-11-28T00:00:00"/>
    <d v="2014-11-28T00:00:00"/>
    <n v="363.8"/>
  </r>
  <r>
    <x v="40"/>
    <x v="67"/>
    <x v="4"/>
    <d v="2014-11-28T00:00:00"/>
    <d v="2014-11-28T00:00:00"/>
    <n v="513.4"/>
  </r>
  <r>
    <x v="1"/>
    <x v="31"/>
    <x v="8"/>
    <d v="2014-11-28T00:00:00"/>
    <d v="2014-11-29T00:00:00"/>
    <n v="407.8"/>
  </r>
  <r>
    <x v="31"/>
    <x v="49"/>
    <x v="12"/>
    <d v="2014-11-28T00:00:00"/>
    <d v="2014-12-01T00:00:00"/>
    <n v="1091.7"/>
  </r>
  <r>
    <x v="46"/>
    <x v="80"/>
    <x v="2"/>
    <d v="2014-11-28T00:00:00"/>
    <d v="2014-12-02T00:00:00"/>
    <n v="674.5"/>
  </r>
  <r>
    <x v="49"/>
    <x v="88"/>
    <x v="0"/>
    <d v="2014-11-28T00:00:00"/>
    <d v="2014-12-02T00:00:00"/>
    <n v="1524"/>
  </r>
  <r>
    <x v="44"/>
    <x v="90"/>
    <x v="7"/>
    <d v="2014-11-28T00:00:00"/>
    <d v="2014-12-02T00:00:00"/>
    <n v="688.5"/>
  </r>
  <r>
    <x v="50"/>
    <x v="89"/>
    <x v="5"/>
    <d v="2014-11-28T00:00:00"/>
    <d v="2014-11-29T00:00:00"/>
    <n v="439.7"/>
  </r>
  <r>
    <x v="8"/>
    <x v="35"/>
    <x v="12"/>
    <d v="2014-11-28T00:00:00"/>
    <d v="2014-11-29T00:00:00"/>
    <n v="693.7"/>
  </r>
  <r>
    <x v="17"/>
    <x v="24"/>
    <x v="0"/>
    <d v="2014-11-28T00:00:00"/>
    <d v="2014-12-01T00:00:00"/>
    <n v="1313"/>
  </r>
  <r>
    <x v="26"/>
    <x v="73"/>
    <x v="0"/>
    <d v="2014-11-28T00:00:00"/>
    <d v="2014-11-29T00:00:00"/>
    <n v="891"/>
  </r>
  <r>
    <x v="54"/>
    <x v="97"/>
    <x v="5"/>
    <d v="2014-11-29T00:00:00"/>
    <d v="2014-11-30T00:00:00"/>
    <n v="439.7"/>
  </r>
  <r>
    <x v="37"/>
    <x v="76"/>
    <x v="0"/>
    <d v="2014-12-01T00:00:00"/>
    <d v="2014-12-01T00:00:00"/>
    <n v="680"/>
  </r>
  <r>
    <x v="9"/>
    <x v="10"/>
    <x v="10"/>
    <d v="2014-12-01T00:00:00"/>
    <d v="2014-12-01T00:00:00"/>
    <n v="442"/>
  </r>
  <r>
    <x v="40"/>
    <x v="67"/>
    <x v="2"/>
    <d v="2014-12-01T00:00:00"/>
    <d v="2014-12-02T00:00:00"/>
    <n v="302.5"/>
  </r>
  <r>
    <x v="21"/>
    <x v="33"/>
    <x v="4"/>
    <d v="2014-12-01T00:00:00"/>
    <d v="2014-12-01T00:00:00"/>
    <n v="513.4"/>
  </r>
  <r>
    <x v="48"/>
    <x v="84"/>
    <x v="10"/>
    <d v="2014-12-01T00:00:00"/>
    <d v="2014-12-01T00:00:00"/>
    <n v="442"/>
  </r>
  <r>
    <x v="47"/>
    <x v="81"/>
    <x v="12"/>
    <d v="2014-12-01T00:00:00"/>
    <d v="2014-12-01T00:00:00"/>
    <n v="494.7"/>
  </r>
  <r>
    <x v="29"/>
    <x v="45"/>
    <x v="4"/>
    <d v="2014-12-01T00:00:00"/>
    <d v="2014-12-01T00:00:00"/>
    <n v="513.4"/>
  </r>
  <r>
    <x v="42"/>
    <x v="86"/>
    <x v="10"/>
    <d v="2014-12-02T00:00:00"/>
    <d v="2014-12-02T00:00:00"/>
    <n v="442"/>
  </r>
  <r>
    <x v="5"/>
    <x v="98"/>
    <x v="7"/>
    <d v="2014-12-02T00:00:00"/>
    <d v="2014-12-03T00:00:00"/>
    <n v="331.5"/>
  </r>
  <r>
    <x v="16"/>
    <x v="71"/>
    <x v="9"/>
    <d v="2014-12-02T00:00:00"/>
    <d v="2014-12-04T00:00:00"/>
    <n v="689.8"/>
  </r>
  <r>
    <x v="14"/>
    <x v="20"/>
    <x v="8"/>
    <d v="2014-12-02T00:00:00"/>
    <d v="2014-12-02T00:00:00"/>
    <n v="278.8"/>
  </r>
  <r>
    <x v="50"/>
    <x v="89"/>
    <x v="1"/>
    <d v="2014-12-02T00:00:00"/>
    <d v="2014-12-02T00:00:00"/>
    <n v="156.4"/>
  </r>
  <r>
    <x v="37"/>
    <x v="59"/>
    <x v="5"/>
    <d v="2014-12-02T00:00:00"/>
    <d v="2014-12-02T00:00:00"/>
    <n v="290.7"/>
  </r>
  <r>
    <x v="54"/>
    <x v="97"/>
    <x v="8"/>
    <d v="2014-12-03T00:00:00"/>
    <d v="2014-12-03T00:00:00"/>
    <n v="278.8"/>
  </r>
  <r>
    <x v="16"/>
    <x v="38"/>
    <x v="4"/>
    <d v="2014-12-04T00:00:00"/>
    <d v="2014-12-04T00:00:00"/>
    <n v="513.4"/>
  </r>
  <r>
    <x v="31"/>
    <x v="69"/>
    <x v="5"/>
    <d v="2014-12-04T00:00:00"/>
    <d v="2014-12-05T00:00:00"/>
    <n v="439.7"/>
  </r>
  <r>
    <x v="30"/>
    <x v="48"/>
    <x v="2"/>
    <d v="2014-12-04T00:00:00"/>
    <d v="2014-12-05T00:00:00"/>
    <n v="302.5"/>
  </r>
  <r>
    <x v="21"/>
    <x v="87"/>
    <x v="1"/>
    <d v="2014-12-04T00:00:00"/>
    <d v="2014-12-05T00:00:00"/>
    <n v="295.39999999999998"/>
  </r>
  <r>
    <x v="34"/>
    <x v="56"/>
    <x v="5"/>
    <d v="2014-12-04T00:00:00"/>
    <d v="2014-12-08T00:00:00"/>
    <n v="886.7"/>
  </r>
  <r>
    <x v="4"/>
    <x v="92"/>
    <x v="12"/>
    <d v="2014-12-04T00:00:00"/>
    <d v="2014-12-08T00:00:00"/>
    <n v="1290.7"/>
  </r>
  <r>
    <x v="3"/>
    <x v="3"/>
    <x v="8"/>
    <d v="2014-12-04T00:00:00"/>
    <d v="2014-12-06T00:00:00"/>
    <n v="536.79999999999995"/>
  </r>
  <r>
    <x v="8"/>
    <x v="36"/>
    <x v="5"/>
    <d v="2014-12-09T00:00:00"/>
    <d v="2014-12-10T00:00:00"/>
    <n v="439.7"/>
  </r>
  <r>
    <x v="9"/>
    <x v="77"/>
    <x v="8"/>
    <d v="2014-12-09T00:00:00"/>
    <d v="2014-12-09T00:00:00"/>
    <n v="278.8"/>
  </r>
  <r>
    <x v="13"/>
    <x v="19"/>
    <x v="5"/>
    <d v="2014-12-09T00:00:00"/>
    <d v="2014-12-12T00:00:00"/>
    <n v="737.7"/>
  </r>
  <r>
    <x v="0"/>
    <x v="75"/>
    <x v="7"/>
    <d v="2014-12-09T00:00:00"/>
    <d v="2014-12-10T00:00:00"/>
    <n v="331.5"/>
  </r>
  <r>
    <x v="39"/>
    <x v="64"/>
    <x v="10"/>
    <d v="2014-12-09T00:00:00"/>
    <d v="2014-12-09T00:00:00"/>
    <n v="442"/>
  </r>
  <r>
    <x v="29"/>
    <x v="65"/>
    <x v="12"/>
    <d v="2014-12-09T00:00:00"/>
    <d v="2014-12-09T00:00:00"/>
    <n v="494.7"/>
  </r>
  <r>
    <x v="8"/>
    <x v="9"/>
    <x v="0"/>
    <d v="2014-12-09T00:00:00"/>
    <d v="2014-12-11T00:00:00"/>
    <n v="1102"/>
  </r>
  <r>
    <x v="18"/>
    <x v="26"/>
    <x v="7"/>
    <d v="2014-12-09T00:00:00"/>
    <d v="2014-12-13T00:00:00"/>
    <n v="688.5"/>
  </r>
  <r>
    <x v="54"/>
    <x v="97"/>
    <x v="6"/>
    <d v="2014-12-09T00:00:00"/>
    <d v="2014-12-10T00:00:00"/>
    <n v="570"/>
  </r>
  <r>
    <x v="53"/>
    <x v="96"/>
    <x v="10"/>
    <d v="2014-12-09T00:00:00"/>
    <d v="2014-12-11T00:00:00"/>
    <n v="760"/>
  </r>
  <r>
    <x v="9"/>
    <x v="10"/>
    <x v="0"/>
    <d v="2014-12-09T00:00:00"/>
    <d v="2014-12-10T00:00:00"/>
    <n v="891"/>
  </r>
  <r>
    <x v="1"/>
    <x v="1"/>
    <x v="12"/>
    <d v="2014-12-09T00:00:00"/>
    <d v="2014-12-11T00:00:00"/>
    <n v="892.7"/>
  </r>
  <r>
    <x v="21"/>
    <x v="33"/>
    <x v="1"/>
    <d v="2014-12-09T00:00:00"/>
    <d v="2014-12-12T00:00:00"/>
    <n v="573.4"/>
  </r>
  <r>
    <x v="32"/>
    <x v="50"/>
    <x v="7"/>
    <d v="2014-12-09T00:00:00"/>
    <d v="2014-12-12T00:00:00"/>
    <n v="569.5"/>
  </r>
  <r>
    <x v="26"/>
    <x v="41"/>
    <x v="2"/>
    <d v="2014-12-09T00:00:00"/>
    <d v="2014-12-13T00:00:00"/>
    <n v="674.5"/>
  </r>
  <r>
    <x v="33"/>
    <x v="55"/>
    <x v="4"/>
    <d v="2014-12-09T00:00:00"/>
    <d v="2014-12-10T00:00:00"/>
    <n v="654.4"/>
  </r>
  <r>
    <x v="43"/>
    <x v="82"/>
    <x v="0"/>
    <d v="2014-12-09T00:00:00"/>
    <d v="2014-12-10T00:00:00"/>
    <n v="891"/>
  </r>
  <r>
    <x v="35"/>
    <x v="57"/>
    <x v="10"/>
    <d v="2014-12-09T00:00:00"/>
    <d v="2014-12-11T00:00:00"/>
    <n v="760"/>
  </r>
  <r>
    <x v="29"/>
    <x v="45"/>
    <x v="11"/>
    <d v="2014-12-09T00:00:00"/>
    <d v="2014-12-13T00:00:00"/>
    <n v="1019.7"/>
  </r>
  <r>
    <x v="20"/>
    <x v="60"/>
    <x v="9"/>
    <d v="2014-12-09T00:00:00"/>
    <d v="2014-12-10T00:00:00"/>
    <n v="526.79999999999995"/>
  </r>
  <r>
    <x v="26"/>
    <x v="73"/>
    <x v="9"/>
    <d v="2014-12-09T00:00:00"/>
    <d v="2014-12-10T00:00:00"/>
    <n v="526.79999999999995"/>
  </r>
  <r>
    <x v="3"/>
    <x v="16"/>
    <x v="3"/>
    <d v="2014-12-10T00:00:00"/>
    <d v="2014-12-11T00:00:00"/>
    <n v="706.5"/>
  </r>
  <r>
    <x v="0"/>
    <x v="0"/>
    <x v="7"/>
    <d v="2014-12-10T00:00:00"/>
    <d v="2014-12-11T00:00:00"/>
    <n v="331.5"/>
  </r>
  <r>
    <x v="41"/>
    <x v="68"/>
    <x v="2"/>
    <d v="2014-12-10T00:00:00"/>
    <d v="2014-12-13T00:00:00"/>
    <n v="550.5"/>
  </r>
  <r>
    <x v="24"/>
    <x v="39"/>
    <x v="3"/>
    <d v="2014-12-10T00:00:00"/>
    <d v="2014-12-13T00:00:00"/>
    <n v="1116.5"/>
  </r>
  <r>
    <x v="6"/>
    <x v="29"/>
    <x v="5"/>
    <d v="2014-12-10T00:00:00"/>
    <d v="2014-12-11T00:00:00"/>
    <n v="439.7"/>
  </r>
  <r>
    <x v="7"/>
    <x v="25"/>
    <x v="10"/>
    <d v="2014-12-10T00:00:00"/>
    <d v="2014-12-10T00:00:00"/>
    <n v="442"/>
  </r>
  <r>
    <x v="7"/>
    <x v="8"/>
    <x v="3"/>
    <d v="2014-12-10T00:00:00"/>
    <d v="2014-12-12T00:00:00"/>
    <n v="911.5"/>
  </r>
  <r>
    <x v="24"/>
    <x v="66"/>
    <x v="9"/>
    <d v="2014-12-10T00:00:00"/>
    <d v="2014-12-14T00:00:00"/>
    <n v="1015.8"/>
  </r>
  <r>
    <x v="20"/>
    <x v="32"/>
    <x v="7"/>
    <d v="2014-12-10T00:00:00"/>
    <d v="2014-12-11T00:00:00"/>
    <n v="331.5"/>
  </r>
  <r>
    <x v="0"/>
    <x v="23"/>
    <x v="6"/>
    <d v="2014-12-10T00:00:00"/>
    <d v="2014-12-14T00:00:00"/>
    <n v="954"/>
  </r>
  <r>
    <x v="1"/>
    <x v="31"/>
    <x v="0"/>
    <d v="2014-12-10T00:00:00"/>
    <d v="2014-12-12T00:00:00"/>
    <n v="1102"/>
  </r>
  <r>
    <x v="29"/>
    <x v="54"/>
    <x v="11"/>
    <d v="2014-12-10T00:00:00"/>
    <d v="2014-12-11T00:00:00"/>
    <n v="485.7"/>
  </r>
  <r>
    <x v="16"/>
    <x v="63"/>
    <x v="8"/>
    <d v="2014-12-10T00:00:00"/>
    <d v="2014-12-13T00:00:00"/>
    <n v="665.8"/>
  </r>
  <r>
    <x v="46"/>
    <x v="80"/>
    <x v="5"/>
    <d v="2014-12-10T00:00:00"/>
    <d v="2014-12-12T00:00:00"/>
    <n v="588.70000000000005"/>
  </r>
  <r>
    <x v="6"/>
    <x v="11"/>
    <x v="12"/>
    <d v="2014-12-10T00:00:00"/>
    <d v="2014-12-13T00:00:00"/>
    <n v="1091.7"/>
  </r>
  <r>
    <x v="2"/>
    <x v="2"/>
    <x v="9"/>
    <d v="2014-12-10T00:00:00"/>
    <d v="2014-12-14T00:00:00"/>
    <n v="1015.8"/>
  </r>
  <r>
    <x v="22"/>
    <x v="42"/>
    <x v="4"/>
    <d v="2014-12-10T00:00:00"/>
    <d v="2014-12-11T00:00:00"/>
    <n v="654.4"/>
  </r>
  <r>
    <x v="52"/>
    <x v="95"/>
    <x v="8"/>
    <d v="2014-12-10T00:00:00"/>
    <d v="2014-12-11T00:00:00"/>
    <n v="407.8"/>
  </r>
  <r>
    <x v="0"/>
    <x v="17"/>
    <x v="1"/>
    <d v="2014-12-10T00:00:00"/>
    <d v="2014-12-10T00:00:00"/>
    <n v="156.4"/>
  </r>
  <r>
    <x v="4"/>
    <x v="92"/>
    <x v="2"/>
    <d v="2014-12-10T00:00:00"/>
    <d v="2014-12-13T00:00:00"/>
    <n v="550.5"/>
  </r>
  <r>
    <x v="3"/>
    <x v="3"/>
    <x v="0"/>
    <d v="2014-12-10T00:00:00"/>
    <d v="2014-12-14T00:00:00"/>
    <n v="1524"/>
  </r>
  <r>
    <x v="4"/>
    <x v="5"/>
    <x v="8"/>
    <d v="2014-12-10T00:00:00"/>
    <d v="2014-12-11T00:00:00"/>
    <n v="407.8"/>
  </r>
  <r>
    <x v="37"/>
    <x v="76"/>
    <x v="3"/>
    <d v="2014-12-11T00:00:00"/>
    <d v="2014-12-12T00:00:00"/>
    <n v="706.5"/>
  </r>
  <r>
    <x v="9"/>
    <x v="10"/>
    <x v="5"/>
    <d v="2014-12-11T00:00:00"/>
    <d v="2014-12-11T00:00:00"/>
    <n v="290.7"/>
  </r>
  <r>
    <x v="9"/>
    <x v="77"/>
    <x v="6"/>
    <d v="2014-12-12T00:00:00"/>
    <d v="2014-12-12T00:00:00"/>
    <n v="442"/>
  </r>
  <r>
    <x v="0"/>
    <x v="75"/>
    <x v="10"/>
    <d v="2014-12-12T00:00:00"/>
    <d v="2014-12-12T00:00:00"/>
    <n v="442"/>
  </r>
  <r>
    <x v="39"/>
    <x v="64"/>
    <x v="8"/>
    <d v="2014-12-12T00:00:00"/>
    <d v="2014-12-12T00:00:00"/>
    <n v="278.8"/>
  </r>
  <r>
    <x v="29"/>
    <x v="65"/>
    <x v="8"/>
    <d v="2014-12-12T00:00:00"/>
    <d v="2014-12-12T00:00:00"/>
    <n v="278.8"/>
  </r>
  <r>
    <x v="26"/>
    <x v="83"/>
    <x v="2"/>
    <d v="2014-12-12T00:00:00"/>
    <d v="2014-12-12T00:00:00"/>
    <n v="178.5"/>
  </r>
  <r>
    <x v="38"/>
    <x v="62"/>
    <x v="1"/>
    <d v="2014-12-12T00:00:00"/>
    <d v="2014-12-15T00:00:00"/>
    <n v="573.4"/>
  </r>
  <r>
    <x v="43"/>
    <x v="82"/>
    <x v="11"/>
    <d v="2014-12-12T00:00:00"/>
    <d v="2014-12-12T00:00:00"/>
    <n v="307.7"/>
  </r>
  <r>
    <x v="36"/>
    <x v="58"/>
    <x v="11"/>
    <d v="2014-12-12T00:00:00"/>
    <d v="2014-12-12T00:00:00"/>
    <n v="307.7"/>
  </r>
  <r>
    <x v="28"/>
    <x v="91"/>
    <x v="11"/>
    <d v="2014-12-12T00:00:00"/>
    <d v="2014-12-16T00:00:00"/>
    <n v="1019.7"/>
  </r>
  <r>
    <x v="9"/>
    <x v="10"/>
    <x v="3"/>
    <d v="2014-12-13T00:00:00"/>
    <d v="2014-12-13T00:00:00"/>
    <n v="501.5"/>
  </r>
  <r>
    <x v="0"/>
    <x v="17"/>
    <x v="3"/>
    <d v="2014-12-13T00:00:00"/>
    <d v="2014-12-13T00:00:00"/>
    <n v="501.5"/>
  </r>
  <r>
    <x v="37"/>
    <x v="85"/>
    <x v="7"/>
    <d v="2014-12-14T00:00:00"/>
    <d v="2014-12-14T00:00:00"/>
    <n v="212.5"/>
  </r>
  <r>
    <x v="8"/>
    <x v="9"/>
    <x v="3"/>
    <d v="2014-12-14T00:00:00"/>
    <d v="2014-12-14T00:00:00"/>
    <n v="501.5"/>
  </r>
  <r>
    <x v="54"/>
    <x v="97"/>
    <x v="1"/>
    <d v="2014-12-15T00:00:00"/>
    <d v="2014-12-15T00:00:00"/>
    <n v="156.4"/>
  </r>
  <r>
    <x v="26"/>
    <x v="41"/>
    <x v="7"/>
    <d v="2014-12-15T00:00:00"/>
    <d v="2014-12-15T00:00:00"/>
    <n v="212.5"/>
  </r>
  <r>
    <x v="21"/>
    <x v="87"/>
    <x v="1"/>
    <d v="2014-12-15T00:00:00"/>
    <d v="2014-12-15T00:00:00"/>
    <n v="156.4"/>
  </r>
  <r>
    <x v="9"/>
    <x v="77"/>
    <x v="0"/>
    <d v="2014-12-16T00:00:00"/>
    <d v="2014-12-17T00:00:00"/>
    <n v="891"/>
  </r>
  <r>
    <x v="5"/>
    <x v="98"/>
    <x v="9"/>
    <d v="2014-12-16T00:00:00"/>
    <d v="2014-12-19T00:00:00"/>
    <n v="852.8"/>
  </r>
  <r>
    <x v="14"/>
    <x v="20"/>
    <x v="3"/>
    <d v="2014-12-16T00:00:00"/>
    <d v="2014-12-17T00:00:00"/>
    <n v="706.5"/>
  </r>
  <r>
    <x v="33"/>
    <x v="55"/>
    <x v="10"/>
    <d v="2014-12-16T00:00:00"/>
    <d v="2014-12-16T00:00:00"/>
    <n v="442"/>
  </r>
  <r>
    <x v="34"/>
    <x v="56"/>
    <x v="8"/>
    <d v="2014-12-16T00:00:00"/>
    <d v="2014-12-16T00:00:00"/>
    <n v="278.8"/>
  </r>
  <r>
    <x v="3"/>
    <x v="27"/>
    <x v="1"/>
    <d v="2014-12-16T00:00:00"/>
    <d v="2014-12-17T00:00:00"/>
    <n v="295.39999999999998"/>
  </r>
  <r>
    <x v="37"/>
    <x v="85"/>
    <x v="9"/>
    <d v="2014-12-17T00:00:00"/>
    <d v="2014-12-17T00:00:00"/>
    <n v="363.8"/>
  </r>
  <r>
    <x v="16"/>
    <x v="63"/>
    <x v="3"/>
    <d v="2014-12-17T00:00:00"/>
    <d v="2014-12-17T00:00:00"/>
    <n v="501.5"/>
  </r>
  <r>
    <x v="0"/>
    <x v="17"/>
    <x v="4"/>
    <d v="2014-12-17T00:00:00"/>
    <d v="2014-12-17T00:00:00"/>
    <n v="513.4"/>
  </r>
  <r>
    <x v="6"/>
    <x v="29"/>
    <x v="9"/>
    <d v="2014-12-18T00:00:00"/>
    <d v="2014-12-18T00:00:00"/>
    <n v="363.8"/>
  </r>
  <r>
    <x v="40"/>
    <x v="67"/>
    <x v="9"/>
    <d v="2014-12-18T00:00:00"/>
    <d v="2014-12-18T00:00:00"/>
    <n v="363.8"/>
  </r>
  <r>
    <x v="43"/>
    <x v="82"/>
    <x v="5"/>
    <d v="2014-12-18T00:00:00"/>
    <d v="2014-12-18T00:00:00"/>
    <n v="290.7"/>
  </r>
  <r>
    <x v="3"/>
    <x v="3"/>
    <x v="7"/>
    <d v="2014-12-18T00:00:00"/>
    <d v="2014-12-19T00:00:00"/>
    <n v="331.5"/>
  </r>
  <r>
    <x v="4"/>
    <x v="5"/>
    <x v="12"/>
    <d v="2014-12-18T00:00:00"/>
    <d v="2014-12-18T00:00:00"/>
    <n v="494.7"/>
  </r>
  <r>
    <x v="6"/>
    <x v="11"/>
    <x v="1"/>
    <d v="2014-12-19T00:00:00"/>
    <d v="2014-12-19T00:00:00"/>
    <n v="156.4"/>
  </r>
  <r>
    <x v="48"/>
    <x v="84"/>
    <x v="12"/>
    <d v="2014-12-19T00:00:00"/>
    <d v="2014-12-19T00:00:00"/>
    <n v="494.7"/>
  </r>
  <r>
    <x v="0"/>
    <x v="0"/>
    <x v="11"/>
    <d v="2014-12-20T00:00:00"/>
    <d v="2014-12-20T00:00:00"/>
    <n v="307.7"/>
  </r>
  <r>
    <x v="3"/>
    <x v="27"/>
    <x v="0"/>
    <d v="2014-12-20T00:00:00"/>
    <d v="2014-12-20T00:00:00"/>
    <n v="680"/>
  </r>
  <r>
    <x v="39"/>
    <x v="64"/>
    <x v="6"/>
    <d v="2014-12-21T00:00:00"/>
    <d v="2014-12-21T00:00:00"/>
    <n v="442"/>
  </r>
  <r>
    <x v="3"/>
    <x v="18"/>
    <x v="4"/>
    <d v="2014-12-21T00:00:00"/>
    <d v="2014-12-21T00:00:00"/>
    <n v="513.4"/>
  </r>
  <r>
    <x v="17"/>
    <x v="93"/>
    <x v="0"/>
    <d v="2014-12-21T00:00:00"/>
    <d v="2014-12-21T00:00:00"/>
    <n v="680"/>
  </r>
  <r>
    <x v="5"/>
    <x v="98"/>
    <x v="3"/>
    <d v="2014-12-21T00:00:00"/>
    <d v="2014-12-21T00:00:00"/>
    <n v="501.5"/>
  </r>
  <r>
    <x v="14"/>
    <x v="20"/>
    <x v="5"/>
    <d v="2014-12-21T00:00:00"/>
    <d v="2014-12-21T00:00:00"/>
    <n v="290.7"/>
  </r>
  <r>
    <x v="0"/>
    <x v="23"/>
    <x v="10"/>
    <d v="2014-12-21T00:00:00"/>
    <d v="2014-12-22T00:00:00"/>
    <n v="601"/>
  </r>
  <r>
    <x v="45"/>
    <x v="79"/>
    <x v="6"/>
    <d v="2014-12-21T00:00:00"/>
    <d v="2014-12-22T00:00:00"/>
    <n v="570"/>
  </r>
  <r>
    <x v="16"/>
    <x v="61"/>
    <x v="7"/>
    <d v="2014-12-21T00:00:00"/>
    <d v="2014-12-22T00:00:00"/>
    <n v="331.5"/>
  </r>
  <r>
    <x v="37"/>
    <x v="85"/>
    <x v="3"/>
    <d v="2014-12-22T00:00:00"/>
    <d v="2014-12-22T00:00:00"/>
    <n v="501.5"/>
  </r>
  <r>
    <x v="23"/>
    <x v="37"/>
    <x v="9"/>
    <d v="2014-12-22T00:00:00"/>
    <d v="2014-12-22T00:00:00"/>
    <n v="363.8"/>
  </r>
  <r>
    <x v="53"/>
    <x v="96"/>
    <x v="11"/>
    <d v="2014-12-22T00:00:00"/>
    <d v="2014-12-23T00:00:00"/>
    <n v="485.7"/>
  </r>
  <r>
    <x v="30"/>
    <x v="48"/>
    <x v="5"/>
    <d v="2014-12-22T00:00:00"/>
    <d v="2014-12-22T00:00:00"/>
    <n v="290.7"/>
  </r>
  <r>
    <x v="37"/>
    <x v="76"/>
    <x v="1"/>
    <d v="2014-12-22T00:00:00"/>
    <d v="2014-12-23T00:00:00"/>
    <n v="295.39999999999998"/>
  </r>
  <r>
    <x v="32"/>
    <x v="50"/>
    <x v="1"/>
    <d v="2014-12-22T00:00:00"/>
    <d v="2014-12-22T00:00:00"/>
    <n v="156.4"/>
  </r>
  <r>
    <x v="51"/>
    <x v="94"/>
    <x v="3"/>
    <d v="2014-12-22T00:00:00"/>
    <d v="2014-12-22T00:00:00"/>
    <n v="501.5"/>
  </r>
  <r>
    <x v="29"/>
    <x v="54"/>
    <x v="7"/>
    <d v="2014-12-22T00:00:00"/>
    <d v="2014-12-22T00:00:00"/>
    <n v="212.5"/>
  </r>
  <r>
    <x v="43"/>
    <x v="82"/>
    <x v="3"/>
    <d v="2014-12-22T00:00:00"/>
    <d v="2014-12-23T00:00:00"/>
    <n v="706.5"/>
  </r>
  <r>
    <x v="43"/>
    <x v="82"/>
    <x v="6"/>
    <d v="2014-12-22T00:00:00"/>
    <d v="2014-12-22T00:00:00"/>
    <n v="442"/>
  </r>
  <r>
    <x v="34"/>
    <x v="56"/>
    <x v="7"/>
    <d v="2014-12-22T00:00:00"/>
    <d v="2014-12-23T00:00:00"/>
    <n v="331.5"/>
  </r>
  <r>
    <x v="29"/>
    <x v="45"/>
    <x v="8"/>
    <d v="2014-12-22T00:00:00"/>
    <d v="2014-12-22T00:00:00"/>
    <n v="278.8"/>
  </r>
  <r>
    <x v="2"/>
    <x v="46"/>
    <x v="4"/>
    <d v="2014-12-22T00:00:00"/>
    <d v="2014-12-23T00:00:00"/>
    <n v="654.4"/>
  </r>
  <r>
    <x v="42"/>
    <x v="70"/>
    <x v="2"/>
    <d v="2014-12-22T00:00:00"/>
    <d v="2014-12-22T00:00:00"/>
    <n v="178.5"/>
  </r>
  <r>
    <x v="42"/>
    <x v="86"/>
    <x v="1"/>
    <d v="2014-12-28T00:00:00"/>
    <d v="2014-12-29T00:00:00"/>
    <n v="295.39999999999998"/>
  </r>
  <r>
    <x v="1"/>
    <x v="51"/>
    <x v="5"/>
    <d v="2014-12-28T00:00:00"/>
    <d v="2014-12-30T00:00:00"/>
    <n v="588.70000000000005"/>
  </r>
  <r>
    <x v="7"/>
    <x v="25"/>
    <x v="10"/>
    <d v="2014-12-29T00:00:00"/>
    <d v="2014-12-30T00:00:00"/>
    <n v="601"/>
  </r>
  <r>
    <x v="0"/>
    <x v="23"/>
    <x v="12"/>
    <d v="2014-12-29T00:00:00"/>
    <d v="2014-12-29T00:00:00"/>
    <n v="494.7"/>
  </r>
  <r>
    <x v="37"/>
    <x v="76"/>
    <x v="4"/>
    <d v="2014-12-29T00:00:00"/>
    <d v="2014-12-29T00:00:00"/>
    <n v="513.4"/>
  </r>
  <r>
    <x v="43"/>
    <x v="82"/>
    <x v="12"/>
    <d v="2014-12-29T00:00:00"/>
    <d v="2014-12-29T00:00:00"/>
    <n v="494.7"/>
  </r>
  <r>
    <x v="3"/>
    <x v="3"/>
    <x v="10"/>
    <d v="2014-12-29T00:00:00"/>
    <d v="2014-12-29T00:00:00"/>
    <n v="442"/>
  </r>
  <r>
    <x v="26"/>
    <x v="73"/>
    <x v="7"/>
    <d v="2014-12-29T00:00:00"/>
    <d v="2014-12-30T00:00:00"/>
    <n v="331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Karolina"/>
    <x v="0"/>
    <s v="Malbork"/>
    <d v="2014-01-02T00:00:00"/>
    <d v="2014-01-03T00:00:00"/>
    <n v="891"/>
    <n v="2"/>
  </r>
  <r>
    <s v="Justyna"/>
    <x v="1"/>
    <s v="Siedlce"/>
    <d v="2014-01-02T00:00:00"/>
    <d v="2014-01-03T00:00:00"/>
    <n v="295.39999999999998"/>
    <n v="2"/>
  </r>
  <r>
    <s v="Dorota"/>
    <x v="2"/>
    <s v="Radom"/>
    <d v="2014-01-02T00:00:00"/>
    <d v="2014-01-03T00:00:00"/>
    <n v="302.5"/>
    <n v="2"/>
  </r>
  <r>
    <s v="Piotr"/>
    <x v="3"/>
    <s v="Krakow"/>
    <d v="2014-01-02T00:00:00"/>
    <d v="2014-01-02T00:00:00"/>
    <n v="501.5"/>
    <n v="1"/>
  </r>
  <r>
    <s v="Justyna"/>
    <x v="4"/>
    <s v="Bydgoszcz"/>
    <d v="2014-01-02T00:00:00"/>
    <d v="2014-01-03T00:00:00"/>
    <n v="654.4"/>
    <n v="2"/>
  </r>
  <r>
    <s v="Kamil"/>
    <x v="5"/>
    <s v="Malbork"/>
    <d v="2014-01-02T00:00:00"/>
    <d v="2014-01-03T00:00:00"/>
    <n v="891"/>
    <n v="2"/>
  </r>
  <r>
    <s v="Patrycja"/>
    <x v="6"/>
    <s v="Lublin"/>
    <d v="2014-01-03T00:00:00"/>
    <d v="2014-01-04T00:00:00"/>
    <n v="439.7"/>
    <n v="2"/>
  </r>
  <r>
    <s v="Jerzy"/>
    <x v="7"/>
    <s v="Mielec"/>
    <d v="2014-01-03T00:00:00"/>
    <d v="2014-01-06T00:00:00"/>
    <n v="826"/>
    <n v="4"/>
  </r>
  <r>
    <s v="Marzena"/>
    <x v="8"/>
    <s v="Zgierz"/>
    <d v="2014-01-03T00:00:00"/>
    <d v="2014-01-04T00:00:00"/>
    <n v="331.5"/>
    <n v="2"/>
  </r>
  <r>
    <s v="Sebastian"/>
    <x v="9"/>
    <s v="Lublin"/>
    <d v="2014-01-03T00:00:00"/>
    <d v="2014-01-04T00:00:00"/>
    <n v="439.7"/>
    <n v="2"/>
  </r>
  <r>
    <s v="Andrzej"/>
    <x v="10"/>
    <s v="Zgierz"/>
    <d v="2014-01-03T00:00:00"/>
    <d v="2014-01-05T00:00:00"/>
    <n v="450.5"/>
    <n v="3"/>
  </r>
  <r>
    <s v="Jerzy"/>
    <x v="11"/>
    <s v="Radom"/>
    <d v="2014-01-03T00:00:00"/>
    <d v="2014-01-03T00:00:00"/>
    <n v="178.5"/>
    <n v="1"/>
  </r>
  <r>
    <s v="January"/>
    <x v="12"/>
    <s v="Kutno"/>
    <d v="2014-01-03T00:00:00"/>
    <d v="2014-01-04T00:00:00"/>
    <n v="407.8"/>
    <n v="2"/>
  </r>
  <r>
    <s v="Gustaw"/>
    <x v="13"/>
    <s v="Mielec"/>
    <d v="2014-01-03T00:00:00"/>
    <d v="2014-01-03T00:00:00"/>
    <n v="442"/>
    <n v="1"/>
  </r>
  <r>
    <s v="Karolina"/>
    <x v="0"/>
    <s v="Lublin"/>
    <d v="2014-01-04T00:00:00"/>
    <d v="2014-01-05T00:00:00"/>
    <n v="439.7"/>
    <n v="2"/>
  </r>
  <r>
    <s v="Andrzej"/>
    <x v="14"/>
    <s v="Zgierz"/>
    <d v="2014-01-04T00:00:00"/>
    <d v="2014-01-05T00:00:00"/>
    <n v="331.5"/>
    <n v="2"/>
  </r>
  <r>
    <s v="Marta"/>
    <x v="15"/>
    <s v="Bydgoszcz"/>
    <d v="2014-01-04T00:00:00"/>
    <d v="2014-01-04T00:00:00"/>
    <n v="513.4"/>
    <n v="1"/>
  </r>
  <r>
    <s v="Piotr"/>
    <x v="16"/>
    <s v="Krakow"/>
    <d v="2014-01-05T00:00:00"/>
    <d v="2014-01-05T00:00:00"/>
    <n v="501.5"/>
    <n v="1"/>
  </r>
  <r>
    <s v="Karolina"/>
    <x v="17"/>
    <s v="Mielec"/>
    <d v="2014-01-05T00:00:00"/>
    <d v="2014-01-05T00:00:00"/>
    <n v="442"/>
    <n v="1"/>
  </r>
  <r>
    <s v="Piotr"/>
    <x v="18"/>
    <s v="Olsztyn"/>
    <d v="2014-01-06T00:00:00"/>
    <d v="2014-01-06T00:00:00"/>
    <n v="363.8"/>
    <n v="1"/>
  </r>
  <r>
    <s v="Bonifacy"/>
    <x v="19"/>
    <s v="Siedlce"/>
    <d v="2014-01-07T00:00:00"/>
    <d v="2014-01-07T00:00:00"/>
    <n v="156.4"/>
    <n v="1"/>
  </r>
  <r>
    <s v="Olivia"/>
    <x v="20"/>
    <s v="Kutno"/>
    <d v="2014-01-07T00:00:00"/>
    <d v="2014-01-07T00:00:00"/>
    <n v="278.8"/>
    <n v="1"/>
  </r>
  <r>
    <s v="Andrzej"/>
    <x v="14"/>
    <s v="Radom"/>
    <d v="2014-01-07T00:00:00"/>
    <d v="2014-01-07T00:00:00"/>
    <n v="178.5"/>
    <n v="1"/>
  </r>
  <r>
    <s v="Jerzy"/>
    <x v="11"/>
    <s v="Zgierz"/>
    <d v="2014-01-07T00:00:00"/>
    <d v="2014-01-07T00:00:00"/>
    <n v="212.5"/>
    <n v="1"/>
  </r>
  <r>
    <s v="Lidia"/>
    <x v="21"/>
    <s v="Lublin"/>
    <d v="2014-01-07T00:00:00"/>
    <d v="2014-01-07T00:00:00"/>
    <n v="290.7"/>
    <n v="1"/>
  </r>
  <r>
    <s v="Paulina"/>
    <x v="22"/>
    <s v="Bydgoszcz"/>
    <d v="2014-01-08T00:00:00"/>
    <d v="2014-01-08T00:00:00"/>
    <n v="513.4"/>
    <n v="1"/>
  </r>
  <r>
    <s v="Karolina"/>
    <x v="23"/>
    <s v="Bydgoszcz"/>
    <d v="2014-01-08T00:00:00"/>
    <d v="2014-01-08T00:00:00"/>
    <n v="513.4"/>
    <n v="1"/>
  </r>
  <r>
    <s v="Amelia"/>
    <x v="24"/>
    <s v="Kalisz"/>
    <d v="2014-01-08T00:00:00"/>
    <d v="2014-01-08T00:00:00"/>
    <n v="442"/>
    <n v="1"/>
  </r>
  <r>
    <s v="Marzena"/>
    <x v="25"/>
    <s v="Siedlce"/>
    <d v="2014-01-09T00:00:00"/>
    <d v="2014-01-13T00:00:00"/>
    <n v="712.4"/>
    <n v="5"/>
  </r>
  <r>
    <s v="Amadeusz"/>
    <x v="26"/>
    <s v="Krakow"/>
    <d v="2014-01-09T00:00:00"/>
    <d v="2014-01-12T00:00:00"/>
    <n v="1116.5"/>
    <n v="4"/>
  </r>
  <r>
    <s v="Piotr"/>
    <x v="27"/>
    <s v="Siedlce"/>
    <d v="2014-01-09T00:00:00"/>
    <d v="2014-01-10T00:00:00"/>
    <n v="295.39999999999998"/>
    <n v="2"/>
  </r>
  <r>
    <s v="Karol"/>
    <x v="28"/>
    <s v="Kielce"/>
    <d v="2014-01-09T00:00:00"/>
    <d v="2014-01-10T00:00:00"/>
    <n v="485.7"/>
    <n v="2"/>
  </r>
  <r>
    <s v="Jerzy"/>
    <x v="29"/>
    <s v="Kutno"/>
    <d v="2014-01-10T00:00:00"/>
    <d v="2014-01-10T00:00:00"/>
    <n v="278.8"/>
    <n v="1"/>
  </r>
  <r>
    <s v="Jerzy"/>
    <x v="30"/>
    <s v="Kalisz"/>
    <d v="2014-01-10T00:00:00"/>
    <d v="2014-01-10T00:00:00"/>
    <n v="442"/>
    <n v="1"/>
  </r>
  <r>
    <s v="Justyna"/>
    <x v="31"/>
    <s v="Malbork"/>
    <d v="2014-01-10T00:00:00"/>
    <d v="2014-01-10T00:00:00"/>
    <n v="680"/>
    <n v="1"/>
  </r>
  <r>
    <s v="Lidia"/>
    <x v="21"/>
    <s v="Olsztyn"/>
    <d v="2014-01-10T00:00:00"/>
    <d v="2014-01-10T00:00:00"/>
    <n v="363.8"/>
    <n v="1"/>
  </r>
  <r>
    <s v="Patrycja"/>
    <x v="6"/>
    <s v="Kalisz"/>
    <d v="2014-01-12T00:00:00"/>
    <d v="2014-01-12T00:00:00"/>
    <n v="442"/>
    <n v="1"/>
  </r>
  <r>
    <s v="Piotr"/>
    <x v="18"/>
    <s v="Radom"/>
    <d v="2014-01-13T00:00:00"/>
    <d v="2014-01-16T00:00:00"/>
    <n v="550.5"/>
    <n v="4"/>
  </r>
  <r>
    <s v="Marek"/>
    <x v="32"/>
    <s v="Mielec"/>
    <d v="2014-01-13T00:00:00"/>
    <d v="2014-01-13T00:00:00"/>
    <n v="442"/>
    <n v="1"/>
  </r>
  <r>
    <s v="Jerzy"/>
    <x v="30"/>
    <s v="Katowice"/>
    <d v="2014-01-13T00:00:00"/>
    <d v="2014-01-13T00:00:00"/>
    <n v="494.7"/>
    <n v="1"/>
  </r>
  <r>
    <s v="Wojciech"/>
    <x v="33"/>
    <s v="Mielec"/>
    <d v="2014-01-13T00:00:00"/>
    <d v="2014-01-14T00:00:00"/>
    <n v="570"/>
    <n v="2"/>
  </r>
  <r>
    <s v="Ewelia"/>
    <x v="34"/>
    <s v="Olsztyn"/>
    <d v="2014-01-13T00:00:00"/>
    <d v="2014-01-14T00:00:00"/>
    <n v="526.79999999999995"/>
    <n v="2"/>
  </r>
  <r>
    <s v="Sebastian"/>
    <x v="35"/>
    <s v="Kutno"/>
    <d v="2014-01-13T00:00:00"/>
    <d v="2014-01-13T00:00:00"/>
    <n v="278.8"/>
    <n v="1"/>
  </r>
  <r>
    <s v="Patrycja"/>
    <x v="6"/>
    <s v="Kutno"/>
    <d v="2014-01-14T00:00:00"/>
    <d v="2014-01-17T00:00:00"/>
    <n v="665.8"/>
    <n v="4"/>
  </r>
  <r>
    <s v="Sebastian"/>
    <x v="36"/>
    <s v="Mielec"/>
    <d v="2014-01-14T00:00:00"/>
    <d v="2014-01-16T00:00:00"/>
    <n v="698"/>
    <n v="3"/>
  </r>
  <r>
    <s v="Bonifacy"/>
    <x v="19"/>
    <s v="Katowice"/>
    <d v="2014-01-14T00:00:00"/>
    <d v="2014-01-14T00:00:00"/>
    <n v="494.7"/>
    <n v="1"/>
  </r>
  <r>
    <s v="Eustachy"/>
    <x v="37"/>
    <s v="Mielec"/>
    <d v="2014-01-14T00:00:00"/>
    <d v="2014-01-18T00:00:00"/>
    <n v="954"/>
    <n v="5"/>
  </r>
  <r>
    <s v="Paulina"/>
    <x v="38"/>
    <s v="Malbork"/>
    <d v="2014-01-14T00:00:00"/>
    <d v="2014-01-14T00:00:00"/>
    <n v="680"/>
    <n v="1"/>
  </r>
  <r>
    <s v="Kornel"/>
    <x v="39"/>
    <s v="Katowice"/>
    <d v="2014-01-14T00:00:00"/>
    <d v="2014-01-18T00:00:00"/>
    <n v="1290.7"/>
    <n v="5"/>
  </r>
  <r>
    <s v="Edwina"/>
    <x v="40"/>
    <s v="Lublin"/>
    <d v="2014-01-14T00:00:00"/>
    <d v="2014-01-16T00:00:00"/>
    <n v="588.70000000000005"/>
    <n v="3"/>
  </r>
  <r>
    <s v="Sebastian"/>
    <x v="9"/>
    <s v="Zgierz"/>
    <d v="2014-01-14T00:00:00"/>
    <d v="2014-01-16T00:00:00"/>
    <n v="450.5"/>
    <n v="3"/>
  </r>
  <r>
    <s v="Karolina"/>
    <x v="23"/>
    <s v="Zgierz"/>
    <d v="2014-01-14T00:00:00"/>
    <d v="2014-01-18T00:00:00"/>
    <n v="688.5"/>
    <n v="5"/>
  </r>
  <r>
    <s v="Adam"/>
    <x v="41"/>
    <s v="Katowice"/>
    <d v="2014-01-14T00:00:00"/>
    <d v="2014-01-15T00:00:00"/>
    <n v="693.7"/>
    <n v="2"/>
  </r>
  <r>
    <s v="Ewelia"/>
    <x v="42"/>
    <s v="Zgierz"/>
    <d v="2014-01-14T00:00:00"/>
    <d v="2014-01-14T00:00:00"/>
    <n v="212.5"/>
    <n v="1"/>
  </r>
  <r>
    <s v="Narcyz"/>
    <x v="43"/>
    <s v="Malbork"/>
    <d v="2014-01-14T00:00:00"/>
    <d v="2014-01-15T00:00:00"/>
    <n v="891"/>
    <n v="2"/>
  </r>
  <r>
    <s v="Gustaw"/>
    <x v="13"/>
    <s v="Kutno"/>
    <d v="2014-01-14T00:00:00"/>
    <d v="2014-01-15T00:00:00"/>
    <n v="407.8"/>
    <n v="2"/>
  </r>
  <r>
    <s v="Piotr"/>
    <x v="27"/>
    <s v="Bydgoszcz"/>
    <d v="2014-01-14T00:00:00"/>
    <d v="2014-01-14T00:00:00"/>
    <n v="513.4"/>
    <n v="1"/>
  </r>
  <r>
    <s v="Jan"/>
    <x v="44"/>
    <s v="Kalisz"/>
    <d v="2014-01-14T00:00:00"/>
    <d v="2014-01-16T00:00:00"/>
    <n v="760"/>
    <n v="3"/>
  </r>
  <r>
    <s v="Zofia"/>
    <x v="45"/>
    <s v="Olsztyn"/>
    <d v="2014-01-14T00:00:00"/>
    <d v="2014-01-15T00:00:00"/>
    <n v="526.79999999999995"/>
    <n v="2"/>
  </r>
  <r>
    <s v="Dorota"/>
    <x v="46"/>
    <s v="Malbork"/>
    <d v="2014-01-14T00:00:00"/>
    <d v="2014-01-17T00:00:00"/>
    <n v="1313"/>
    <n v="4"/>
  </r>
  <r>
    <s v="Piotr"/>
    <x v="47"/>
    <s v="Kielce"/>
    <d v="2014-01-14T00:00:00"/>
    <d v="2014-01-17T00:00:00"/>
    <n v="841.7"/>
    <n v="4"/>
  </r>
  <r>
    <s v="Karol"/>
    <x v="28"/>
    <s v="Kutno"/>
    <d v="2014-01-14T00:00:00"/>
    <d v="2014-01-18T00:00:00"/>
    <n v="794.8"/>
    <n v="5"/>
  </r>
  <r>
    <s v="Amelia"/>
    <x v="24"/>
    <s v="Olsztyn"/>
    <d v="2014-01-14T00:00:00"/>
    <d v="2014-01-17T00:00:00"/>
    <n v="852.8"/>
    <n v="4"/>
  </r>
  <r>
    <s v="Olivia"/>
    <x v="20"/>
    <s v="Kalisz"/>
    <d v="2014-01-15T00:00:00"/>
    <d v="2014-01-17T00:00:00"/>
    <n v="760"/>
    <n v="3"/>
  </r>
  <r>
    <s v="Marzena"/>
    <x v="25"/>
    <s v="Krakow"/>
    <d v="2014-01-15T00:00:00"/>
    <d v="2014-01-18T00:00:00"/>
    <n v="1116.5"/>
    <n v="4"/>
  </r>
  <r>
    <s v="Marzena"/>
    <x v="8"/>
    <s v="Siedlce"/>
    <d v="2014-01-15T00:00:00"/>
    <d v="2014-01-18T00:00:00"/>
    <n v="573.4"/>
    <n v="4"/>
  </r>
  <r>
    <s v="Sebastian"/>
    <x v="9"/>
    <s v="Kalisz"/>
    <d v="2014-01-15T00:00:00"/>
    <d v="2014-01-17T00:00:00"/>
    <n v="760"/>
    <n v="3"/>
  </r>
  <r>
    <s v="Janusz"/>
    <x v="48"/>
    <s v="Malbork"/>
    <d v="2014-01-15T00:00:00"/>
    <d v="2014-01-17T00:00:00"/>
    <n v="1102"/>
    <n v="3"/>
  </r>
  <r>
    <s v="Justyna"/>
    <x v="31"/>
    <s v="Bydgoszcz"/>
    <d v="2014-01-15T00:00:00"/>
    <d v="2014-01-18T00:00:00"/>
    <n v="936.4"/>
    <n v="4"/>
  </r>
  <r>
    <s v="Ewa"/>
    <x v="49"/>
    <s v="Kielce"/>
    <d v="2014-01-15T00:00:00"/>
    <d v="2014-01-19T00:00:00"/>
    <n v="1019.7"/>
    <n v="5"/>
  </r>
  <r>
    <s v="Michalina"/>
    <x v="50"/>
    <s v="Katowice"/>
    <d v="2014-01-15T00:00:00"/>
    <d v="2014-01-18T00:00:00"/>
    <n v="1091.7"/>
    <n v="4"/>
  </r>
  <r>
    <s v="Justyna"/>
    <x v="51"/>
    <s v="Olsztyn"/>
    <d v="2014-01-15T00:00:00"/>
    <d v="2014-01-19T00:00:00"/>
    <n v="1015.8"/>
    <n v="5"/>
  </r>
  <r>
    <s v="Wojciech"/>
    <x v="52"/>
    <s v="Olsztyn"/>
    <d v="2014-01-15T00:00:00"/>
    <d v="2014-01-16T00:00:00"/>
    <n v="526.79999999999995"/>
    <n v="2"/>
  </r>
  <r>
    <s v="Piotr"/>
    <x v="53"/>
    <s v="Radom"/>
    <d v="2014-01-15T00:00:00"/>
    <d v="2014-01-16T00:00:00"/>
    <n v="302.5"/>
    <n v="2"/>
  </r>
  <r>
    <s v="Zofia"/>
    <x v="54"/>
    <s v="Olsztyn"/>
    <d v="2014-01-15T00:00:00"/>
    <d v="2014-01-15T00:00:00"/>
    <n v="363.8"/>
    <n v="1"/>
  </r>
  <r>
    <s v="Zofia"/>
    <x v="54"/>
    <s v="Radom"/>
    <d v="2014-01-15T00:00:00"/>
    <d v="2014-01-15T00:00:00"/>
    <n v="178.5"/>
    <n v="1"/>
  </r>
  <r>
    <s v="Marta"/>
    <x v="15"/>
    <s v="Mielec"/>
    <d v="2014-01-15T00:00:00"/>
    <d v="2014-01-16T00:00:00"/>
    <n v="570"/>
    <n v="2"/>
  </r>
  <r>
    <s v="Kazimiera"/>
    <x v="55"/>
    <s v="Kielce"/>
    <d v="2014-01-15T00:00:00"/>
    <d v="2014-01-16T00:00:00"/>
    <n v="485.7"/>
    <n v="2"/>
  </r>
  <r>
    <s v="Katarzyna"/>
    <x v="56"/>
    <s v="Radom"/>
    <d v="2014-01-15T00:00:00"/>
    <d v="2014-01-16T00:00:00"/>
    <n v="302.5"/>
    <n v="2"/>
  </r>
  <r>
    <s v="Karolina"/>
    <x v="17"/>
    <s v="Kielce"/>
    <d v="2014-01-15T00:00:00"/>
    <d v="2014-01-17T00:00:00"/>
    <n v="663.7"/>
    <n v="3"/>
  </r>
  <r>
    <s v="Grzegorz"/>
    <x v="57"/>
    <s v="Kielce"/>
    <d v="2014-01-15T00:00:00"/>
    <d v="2014-01-17T00:00:00"/>
    <n v="663.7"/>
    <n v="3"/>
  </r>
  <r>
    <s v="Tomasz"/>
    <x v="58"/>
    <s v="Siedlce"/>
    <d v="2014-01-15T00:00:00"/>
    <d v="2014-01-19T00:00:00"/>
    <n v="712.4"/>
    <n v="5"/>
  </r>
  <r>
    <s v="Anna"/>
    <x v="59"/>
    <s v="Radom"/>
    <d v="2014-01-15T00:00:00"/>
    <d v="2014-01-16T00:00:00"/>
    <n v="302.5"/>
    <n v="2"/>
  </r>
  <r>
    <s v="Marek"/>
    <x v="60"/>
    <s v="Malbork"/>
    <d v="2014-01-15T00:00:00"/>
    <d v="2014-01-16T00:00:00"/>
    <n v="891"/>
    <n v="2"/>
  </r>
  <r>
    <s v="Paulina"/>
    <x v="61"/>
    <s v="Malbork"/>
    <d v="2014-01-15T00:00:00"/>
    <d v="2014-01-18T00:00:00"/>
    <n v="1313"/>
    <n v="4"/>
  </r>
  <r>
    <s v="Paulina"/>
    <x v="38"/>
    <s v="Mielec"/>
    <d v="2014-01-17T00:00:00"/>
    <d v="2014-01-17T00:00:00"/>
    <n v="442"/>
    <n v="1"/>
  </r>
  <r>
    <s v="Malwina"/>
    <x v="62"/>
    <s v="Mielec"/>
    <d v="2014-01-17T00:00:00"/>
    <d v="2014-01-17T00:00:00"/>
    <n v="442"/>
    <n v="1"/>
  </r>
  <r>
    <s v="Sebastian"/>
    <x v="35"/>
    <s v="Siedlce"/>
    <d v="2014-01-17T00:00:00"/>
    <d v="2014-01-17T00:00:00"/>
    <n v="156.4"/>
    <n v="1"/>
  </r>
  <r>
    <s v="Justyna"/>
    <x v="4"/>
    <s v="Siedlce"/>
    <d v="2014-01-17T00:00:00"/>
    <d v="2014-01-17T00:00:00"/>
    <n v="156.4"/>
    <n v="1"/>
  </r>
  <r>
    <s v="Adam"/>
    <x v="41"/>
    <s v="Krakow"/>
    <d v="2014-01-18T00:00:00"/>
    <d v="2014-01-18T00:00:00"/>
    <n v="501.5"/>
    <n v="1"/>
  </r>
  <r>
    <s v="Ewelia"/>
    <x v="42"/>
    <s v="Radom"/>
    <d v="2014-01-18T00:00:00"/>
    <d v="2014-01-19T00:00:00"/>
    <n v="302.5"/>
    <n v="2"/>
  </r>
  <r>
    <s v="Zofia"/>
    <x v="45"/>
    <s v="Malbork"/>
    <d v="2014-01-18T00:00:00"/>
    <d v="2014-01-18T00:00:00"/>
    <n v="680"/>
    <n v="1"/>
  </r>
  <r>
    <s v="Bonifacy"/>
    <x v="19"/>
    <s v="Bydgoszcz"/>
    <d v="2014-01-19T00:00:00"/>
    <d v="2014-01-19T00:00:00"/>
    <n v="513.4"/>
    <n v="1"/>
  </r>
  <r>
    <s v="Grzegorz"/>
    <x v="57"/>
    <s v="Krakow"/>
    <d v="2014-01-19T00:00:00"/>
    <d v="2014-01-19T00:00:00"/>
    <n v="501.5"/>
    <n v="1"/>
  </r>
  <r>
    <s v="Karolina"/>
    <x v="23"/>
    <s v="Katowice"/>
    <d v="2014-01-21T00:00:00"/>
    <d v="2014-01-23T00:00:00"/>
    <n v="892.7"/>
    <n v="3"/>
  </r>
  <r>
    <s v="Ewa"/>
    <x v="49"/>
    <s v="Mielec"/>
    <d v="2014-01-21T00:00:00"/>
    <d v="2014-01-24T00:00:00"/>
    <n v="826"/>
    <n v="4"/>
  </r>
  <r>
    <s v="Adam"/>
    <x v="41"/>
    <s v="Katowice"/>
    <d v="2014-01-21T00:00:00"/>
    <d v="2014-01-23T00:00:00"/>
    <n v="892.7"/>
    <n v="3"/>
  </r>
  <r>
    <s v="Paulina"/>
    <x v="63"/>
    <s v="Bydgoszcz"/>
    <d v="2014-01-21T00:00:00"/>
    <d v="2014-01-23T00:00:00"/>
    <n v="795.4"/>
    <n v="3"/>
  </r>
  <r>
    <s v="Ewelia"/>
    <x v="34"/>
    <s v="Malbork"/>
    <d v="2014-01-21T00:00:00"/>
    <d v="2014-01-25T00:00:00"/>
    <n v="1524"/>
    <n v="5"/>
  </r>
  <r>
    <s v="Sebastian"/>
    <x v="35"/>
    <s v="Olsztyn"/>
    <d v="2014-01-21T00:00:00"/>
    <d v="2014-01-24T00:00:00"/>
    <n v="852.8"/>
    <n v="4"/>
  </r>
  <r>
    <s v="Dominika"/>
    <x v="64"/>
    <s v="Krakow"/>
    <d v="2014-01-22T00:00:00"/>
    <d v="2014-01-22T00:00:00"/>
    <n v="501.5"/>
    <n v="1"/>
  </r>
  <r>
    <s v="Zofia"/>
    <x v="65"/>
    <s v="Kalisz"/>
    <d v="2014-01-22T00:00:00"/>
    <d v="2014-01-22T00:00:00"/>
    <n v="442"/>
    <n v="1"/>
  </r>
  <r>
    <s v="Kornel"/>
    <x v="66"/>
    <s v="Malbork"/>
    <d v="2014-01-22T00:00:00"/>
    <d v="2014-01-24T00:00:00"/>
    <n v="1102"/>
    <n v="3"/>
  </r>
  <r>
    <s v="Kacper"/>
    <x v="67"/>
    <s v="Radom"/>
    <d v="2014-01-22T00:00:00"/>
    <d v="2014-01-24T00:00:00"/>
    <n v="426.5"/>
    <n v="3"/>
  </r>
  <r>
    <s v="Janina"/>
    <x v="68"/>
    <s v="Bydgoszcz"/>
    <d v="2014-01-23T00:00:00"/>
    <d v="2014-01-24T00:00:00"/>
    <n v="654.4"/>
    <n v="2"/>
  </r>
  <r>
    <s v="Jerzy"/>
    <x v="7"/>
    <s v="Siedlce"/>
    <d v="2014-01-23T00:00:00"/>
    <d v="2014-01-24T00:00:00"/>
    <n v="295.39999999999998"/>
    <n v="2"/>
  </r>
  <r>
    <s v="Jerzy"/>
    <x v="30"/>
    <s v="Kielce"/>
    <d v="2014-01-23T00:00:00"/>
    <d v="2014-01-24T00:00:00"/>
    <n v="485.7"/>
    <n v="2"/>
  </r>
  <r>
    <s v="Ewa"/>
    <x v="69"/>
    <s v="Katowice"/>
    <d v="2014-01-24T00:00:00"/>
    <d v="2014-01-24T00:00:00"/>
    <n v="494.7"/>
    <n v="1"/>
  </r>
  <r>
    <s v="Wiktor"/>
    <x v="70"/>
    <s v="Kutno"/>
    <d v="2014-01-24T00:00:00"/>
    <d v="2014-01-24T00:00:00"/>
    <n v="278.8"/>
    <n v="1"/>
  </r>
  <r>
    <s v="Zofia"/>
    <x v="45"/>
    <s v="Olsztyn"/>
    <d v="2014-01-25T00:00:00"/>
    <d v="2014-01-25T00:00:00"/>
    <n v="363.8"/>
    <n v="1"/>
  </r>
  <r>
    <s v="Karolina"/>
    <x v="0"/>
    <s v="Kielce"/>
    <d v="2014-01-26T00:00:00"/>
    <d v="2014-01-30T00:00:00"/>
    <n v="1019.7"/>
    <n v="5"/>
  </r>
  <r>
    <s v="Eustachy"/>
    <x v="37"/>
    <s v="Bydgoszcz"/>
    <d v="2014-01-26T00:00:00"/>
    <d v="2014-01-30T00:00:00"/>
    <n v="1077.4000000000001"/>
    <n v="5"/>
  </r>
  <r>
    <s v="Paulina"/>
    <x v="71"/>
    <s v="Krakow"/>
    <d v="2014-01-26T00:00:00"/>
    <d v="2014-01-28T00:00:00"/>
    <n v="911.5"/>
    <n v="3"/>
  </r>
  <r>
    <s v="Zuzanna"/>
    <x v="72"/>
    <s v="Olsztyn"/>
    <d v="2014-01-26T00:00:00"/>
    <d v="2014-01-28T00:00:00"/>
    <n v="689.8"/>
    <n v="3"/>
  </r>
  <r>
    <s v="Zofia"/>
    <x v="54"/>
    <s v="Krakow"/>
    <d v="2014-01-26T00:00:00"/>
    <d v="2014-01-30T00:00:00"/>
    <n v="1321.5"/>
    <n v="5"/>
  </r>
  <r>
    <s v="Lidia"/>
    <x v="21"/>
    <s v="Kalisz"/>
    <d v="2014-01-26T00:00:00"/>
    <d v="2014-01-30T00:00:00"/>
    <n v="1078"/>
    <n v="5"/>
  </r>
  <r>
    <s v="Malwina"/>
    <x v="62"/>
    <s v="Lublin"/>
    <d v="2014-01-26T00:00:00"/>
    <d v="2014-01-29T00:00:00"/>
    <n v="737.7"/>
    <n v="4"/>
  </r>
  <r>
    <s v="Narcyz"/>
    <x v="43"/>
    <s v="Katowice"/>
    <d v="2014-01-26T00:00:00"/>
    <d v="2014-01-27T00:00:00"/>
    <n v="693.7"/>
    <n v="2"/>
  </r>
  <r>
    <s v="Dorota"/>
    <x v="46"/>
    <s v="Siedlce"/>
    <d v="2014-01-26T00:00:00"/>
    <d v="2014-01-28T00:00:00"/>
    <n v="434.4"/>
    <n v="3"/>
  </r>
  <r>
    <s v="Piotr"/>
    <x v="47"/>
    <s v="Siedlce"/>
    <d v="2014-01-26T00:00:00"/>
    <d v="2014-01-29T00:00:00"/>
    <n v="573.4"/>
    <n v="4"/>
  </r>
  <r>
    <s v="Adam"/>
    <x v="73"/>
    <s v="Mielec"/>
    <d v="2014-01-26T00:00:00"/>
    <d v="2014-01-30T00:00:00"/>
    <n v="954"/>
    <n v="5"/>
  </r>
  <r>
    <s v="Kamil"/>
    <x v="5"/>
    <s v="Kutno"/>
    <d v="2014-01-26T00:00:00"/>
    <d v="2014-01-27T00:00:00"/>
    <n v="407.8"/>
    <n v="2"/>
  </r>
  <r>
    <s v="Paulina"/>
    <x v="38"/>
    <s v="Krakow"/>
    <d v="2014-01-27T00:00:00"/>
    <d v="2014-01-27T00:00:00"/>
    <n v="501.5"/>
    <n v="1"/>
  </r>
  <r>
    <s v="Sebastian"/>
    <x v="35"/>
    <s v="Katowice"/>
    <d v="2014-01-27T00:00:00"/>
    <d v="2014-01-29T00:00:00"/>
    <n v="892.7"/>
    <n v="3"/>
  </r>
  <r>
    <s v="Zofia"/>
    <x v="45"/>
    <s v="Malbork"/>
    <d v="2014-01-27T00:00:00"/>
    <d v="2014-01-27T00:00:00"/>
    <n v="680"/>
    <n v="1"/>
  </r>
  <r>
    <s v="Rozalia"/>
    <x v="74"/>
    <s v="Bydgoszcz"/>
    <d v="2014-01-27T00:00:00"/>
    <d v="2014-01-29T00:00:00"/>
    <n v="795.4"/>
    <n v="3"/>
  </r>
  <r>
    <s v="Wiktor"/>
    <x v="70"/>
    <s v="Bydgoszcz"/>
    <d v="2014-01-27T00:00:00"/>
    <d v="2014-01-29T00:00:00"/>
    <n v="795.4"/>
    <n v="3"/>
  </r>
  <r>
    <s v="Ewa"/>
    <x v="69"/>
    <s v="Olsztyn"/>
    <d v="2014-01-28T00:00:00"/>
    <d v="2014-01-28T00:00:00"/>
    <n v="363.8"/>
    <n v="1"/>
  </r>
  <r>
    <s v="Jan"/>
    <x v="44"/>
    <s v="Krakow"/>
    <d v="2014-01-28T00:00:00"/>
    <d v="2014-01-30T00:00:00"/>
    <n v="911.5"/>
    <n v="3"/>
  </r>
  <r>
    <s v="Amelia"/>
    <x v="24"/>
    <s v="Kutno"/>
    <d v="2014-01-28T00:00:00"/>
    <d v="2014-01-30T00:00:00"/>
    <n v="536.79999999999995"/>
    <n v="3"/>
  </r>
  <r>
    <s v="Karolina"/>
    <x v="0"/>
    <s v="Kalisz"/>
    <d v="2014-02-02T00:00:00"/>
    <d v="2014-02-04T00:00:00"/>
    <n v="760"/>
    <n v="3"/>
  </r>
  <r>
    <s v="Karolina"/>
    <x v="75"/>
    <s v="Krakow"/>
    <d v="2014-02-02T00:00:00"/>
    <d v="2014-02-03T00:00:00"/>
    <n v="706.5"/>
    <n v="2"/>
  </r>
  <r>
    <s v="Zofia"/>
    <x v="65"/>
    <s v="Katowice"/>
    <d v="2014-02-02T00:00:00"/>
    <d v="2014-02-05T00:00:00"/>
    <n v="1091.7"/>
    <n v="4"/>
  </r>
  <r>
    <s v="Janina"/>
    <x v="68"/>
    <s v="Mielec"/>
    <d v="2014-02-03T00:00:00"/>
    <d v="2014-02-06T00:00:00"/>
    <n v="826"/>
    <n v="4"/>
  </r>
  <r>
    <s v="Anna"/>
    <x v="76"/>
    <s v="Kielce"/>
    <d v="2014-02-03T00:00:00"/>
    <d v="2014-02-03T00:00:00"/>
    <n v="307.7"/>
    <n v="1"/>
  </r>
  <r>
    <s v="Marta"/>
    <x v="15"/>
    <s v="Olsztyn"/>
    <d v="2014-02-03T00:00:00"/>
    <d v="2014-02-03T00:00:00"/>
    <n v="363.8"/>
    <n v="1"/>
  </r>
  <r>
    <s v="Kazimiera"/>
    <x v="55"/>
    <s v="Bydgoszcz"/>
    <d v="2014-02-03T00:00:00"/>
    <d v="2014-02-05T00:00:00"/>
    <n v="795.4"/>
    <n v="3"/>
  </r>
  <r>
    <s v="Sebastian"/>
    <x v="36"/>
    <s v="Mielec"/>
    <d v="2014-02-07T00:00:00"/>
    <d v="2014-02-11T00:00:00"/>
    <n v="954"/>
    <n v="5"/>
  </r>
  <r>
    <s v="Karolina"/>
    <x v="0"/>
    <s v="Kutno"/>
    <d v="2014-02-07T00:00:00"/>
    <d v="2014-02-11T00:00:00"/>
    <n v="794.8"/>
    <n v="5"/>
  </r>
  <r>
    <s v="Andrzej"/>
    <x v="77"/>
    <s v="Bydgoszcz"/>
    <d v="2014-02-07T00:00:00"/>
    <d v="2014-02-10T00:00:00"/>
    <n v="936.4"/>
    <n v="4"/>
  </r>
  <r>
    <s v="Karolina"/>
    <x v="75"/>
    <s v="Katowice"/>
    <d v="2014-02-07T00:00:00"/>
    <d v="2014-02-09T00:00:00"/>
    <n v="892.7"/>
    <n v="3"/>
  </r>
  <r>
    <s v="Dominika"/>
    <x v="64"/>
    <s v="Kielce"/>
    <d v="2014-02-07T00:00:00"/>
    <d v="2014-02-08T00:00:00"/>
    <n v="485.7"/>
    <n v="2"/>
  </r>
  <r>
    <s v="Piotr"/>
    <x v="18"/>
    <s v="Bydgoszcz"/>
    <d v="2014-02-07T00:00:00"/>
    <d v="2014-02-10T00:00:00"/>
    <n v="936.4"/>
    <n v="4"/>
  </r>
  <r>
    <s v="Wiktor"/>
    <x v="78"/>
    <s v="Mielec"/>
    <d v="2014-02-07T00:00:00"/>
    <d v="2014-02-11T00:00:00"/>
    <n v="954"/>
    <n v="5"/>
  </r>
  <r>
    <s v="Karolina"/>
    <x v="23"/>
    <s v="Bydgoszcz"/>
    <d v="2014-02-07T00:00:00"/>
    <d v="2014-02-10T00:00:00"/>
    <n v="936.4"/>
    <n v="4"/>
  </r>
  <r>
    <s v="Anna"/>
    <x v="76"/>
    <s v="Kalisz"/>
    <d v="2014-02-07T00:00:00"/>
    <d v="2014-02-07T00:00:00"/>
    <n v="442"/>
    <n v="1"/>
  </r>
  <r>
    <s v="Kacper"/>
    <x v="67"/>
    <s v="Kutno"/>
    <d v="2014-02-07T00:00:00"/>
    <d v="2014-02-09T00:00:00"/>
    <n v="536.79999999999995"/>
    <n v="3"/>
  </r>
  <r>
    <s v="Wojciech"/>
    <x v="33"/>
    <s v="Zgierz"/>
    <d v="2014-02-07T00:00:00"/>
    <d v="2014-02-07T00:00:00"/>
    <n v="212.5"/>
    <n v="1"/>
  </r>
  <r>
    <s v="Michalina"/>
    <x v="50"/>
    <s v="Kalisz"/>
    <d v="2014-02-07T00:00:00"/>
    <d v="2014-02-09T00:00:00"/>
    <n v="760"/>
    <n v="3"/>
  </r>
  <r>
    <s v="Bogumi"/>
    <x v="79"/>
    <s v="Mielec"/>
    <d v="2014-02-07T00:00:00"/>
    <d v="2014-02-08T00:00:00"/>
    <n v="570"/>
    <n v="2"/>
  </r>
  <r>
    <s v="Wojciech"/>
    <x v="52"/>
    <s v="Olsztyn"/>
    <d v="2014-02-07T00:00:00"/>
    <d v="2014-02-09T00:00:00"/>
    <n v="689.8"/>
    <n v="3"/>
  </r>
  <r>
    <s v="Zofia"/>
    <x v="54"/>
    <s v="Kielce"/>
    <d v="2014-02-07T00:00:00"/>
    <d v="2014-02-11T00:00:00"/>
    <n v="1019.7"/>
    <n v="5"/>
  </r>
  <r>
    <s v="Zyta"/>
    <x v="80"/>
    <s v="Malbork"/>
    <d v="2014-02-07T00:00:00"/>
    <d v="2014-02-08T00:00:00"/>
    <n v="891"/>
    <n v="2"/>
  </r>
  <r>
    <s v="Maria"/>
    <x v="81"/>
    <s v="Siedlce"/>
    <d v="2014-02-07T00:00:00"/>
    <d v="2014-02-08T00:00:00"/>
    <n v="295.39999999999998"/>
    <n v="2"/>
  </r>
  <r>
    <s v="Malwina"/>
    <x v="62"/>
    <s v="Malbork"/>
    <d v="2014-02-07T00:00:00"/>
    <d v="2014-02-08T00:00:00"/>
    <n v="891"/>
    <n v="2"/>
  </r>
  <r>
    <s v="Zuzanna"/>
    <x v="82"/>
    <s v="Zgierz"/>
    <d v="2014-02-07T00:00:00"/>
    <d v="2014-02-11T00:00:00"/>
    <n v="688.5"/>
    <n v="5"/>
  </r>
  <r>
    <s v="Grzegorz"/>
    <x v="57"/>
    <s v="Kielce"/>
    <d v="2014-02-07T00:00:00"/>
    <d v="2014-02-09T00:00:00"/>
    <n v="663.7"/>
    <n v="3"/>
  </r>
  <r>
    <s v="Piotr"/>
    <x v="3"/>
    <s v="Zgierz"/>
    <d v="2014-02-07T00:00:00"/>
    <d v="2014-02-10T00:00:00"/>
    <n v="569.5"/>
    <n v="4"/>
  </r>
  <r>
    <s v="Paulina"/>
    <x v="22"/>
    <s v="Mielec"/>
    <d v="2014-02-10T00:00:00"/>
    <d v="2014-02-10T00:00:00"/>
    <n v="442"/>
    <n v="1"/>
  </r>
  <r>
    <s v="Andrzej"/>
    <x v="14"/>
    <s v="Bydgoszcz"/>
    <d v="2014-02-10T00:00:00"/>
    <d v="2014-02-10T00:00:00"/>
    <n v="513.4"/>
    <n v="1"/>
  </r>
  <r>
    <s v="Kazimiera"/>
    <x v="55"/>
    <s v="Zgierz"/>
    <d v="2014-02-10T00:00:00"/>
    <d v="2014-02-11T00:00:00"/>
    <n v="331.5"/>
    <n v="2"/>
  </r>
  <r>
    <s v="Paulina"/>
    <x v="38"/>
    <s v="Bydgoszcz"/>
    <d v="2014-02-12T00:00:00"/>
    <d v="2014-02-12T00:00:00"/>
    <n v="513.4"/>
    <n v="1"/>
  </r>
  <r>
    <s v="Adam"/>
    <x v="83"/>
    <s v="Zgierz"/>
    <d v="2014-02-14T00:00:00"/>
    <d v="2014-02-16T00:00:00"/>
    <n v="450.5"/>
    <n v="3"/>
  </r>
  <r>
    <s v="Ewa"/>
    <x v="49"/>
    <s v="Bydgoszcz"/>
    <d v="2014-02-14T00:00:00"/>
    <d v="2014-02-16T00:00:00"/>
    <n v="795.4"/>
    <n v="3"/>
  </r>
  <r>
    <s v="Teresa"/>
    <x v="84"/>
    <s v="Zgierz"/>
    <d v="2014-02-14T00:00:00"/>
    <d v="2014-02-14T00:00:00"/>
    <n v="212.5"/>
    <n v="1"/>
  </r>
  <r>
    <s v="Lidia"/>
    <x v="21"/>
    <s v="Katowice"/>
    <d v="2014-02-14T00:00:00"/>
    <d v="2014-02-16T00:00:00"/>
    <n v="892.7"/>
    <n v="3"/>
  </r>
  <r>
    <s v="Sebastian"/>
    <x v="35"/>
    <s v="Kielce"/>
    <d v="2014-02-14T00:00:00"/>
    <d v="2014-02-18T00:00:00"/>
    <n v="1019.7"/>
    <n v="5"/>
  </r>
  <r>
    <s v="Tomasz"/>
    <x v="58"/>
    <s v="Siedlce"/>
    <d v="2014-02-14T00:00:00"/>
    <d v="2014-02-17T00:00:00"/>
    <n v="573.4"/>
    <n v="4"/>
  </r>
  <r>
    <s v="Katarzyna"/>
    <x v="56"/>
    <s v="Kutno"/>
    <d v="2014-02-15T00:00:00"/>
    <d v="2014-02-17T00:00:00"/>
    <n v="536.79999999999995"/>
    <n v="3"/>
  </r>
  <r>
    <s v="Karol"/>
    <x v="28"/>
    <s v="Krakow"/>
    <d v="2014-02-15T00:00:00"/>
    <d v="2014-02-16T00:00:00"/>
    <n v="706.5"/>
    <n v="2"/>
  </r>
  <r>
    <s v="Patrycja"/>
    <x v="6"/>
    <s v="Katowice"/>
    <d v="2014-02-19T00:00:00"/>
    <d v="2014-02-23T00:00:00"/>
    <n v="1290.7"/>
    <n v="5"/>
  </r>
  <r>
    <s v="Anna"/>
    <x v="85"/>
    <s v="Zgierz"/>
    <d v="2014-02-19T00:00:00"/>
    <d v="2014-02-23T00:00:00"/>
    <n v="688.5"/>
    <n v="5"/>
  </r>
  <r>
    <s v="Wiktor"/>
    <x v="86"/>
    <s v="Mielec"/>
    <d v="2014-02-19T00:00:00"/>
    <d v="2014-02-20T00:00:00"/>
    <n v="570"/>
    <n v="2"/>
  </r>
  <r>
    <s v="Jerzy"/>
    <x v="29"/>
    <s v="Krakow"/>
    <d v="2014-02-19T00:00:00"/>
    <d v="2014-02-22T00:00:00"/>
    <n v="1116.5"/>
    <n v="4"/>
  </r>
  <r>
    <s v="Olivia"/>
    <x v="20"/>
    <s v="Malbork"/>
    <d v="2014-02-19T00:00:00"/>
    <d v="2014-02-20T00:00:00"/>
    <n v="891"/>
    <n v="2"/>
  </r>
  <r>
    <s v="Marek"/>
    <x v="32"/>
    <s v="Kutno"/>
    <d v="2014-02-19T00:00:00"/>
    <d v="2014-02-22T00:00:00"/>
    <n v="665.8"/>
    <n v="4"/>
  </r>
  <r>
    <s v="Andrzej"/>
    <x v="14"/>
    <s v="Siedlce"/>
    <d v="2014-02-19T00:00:00"/>
    <d v="2014-02-21T00:00:00"/>
    <n v="434.4"/>
    <n v="3"/>
  </r>
  <r>
    <s v="Justyna"/>
    <x v="1"/>
    <s v="Lublin"/>
    <d v="2014-02-19T00:00:00"/>
    <d v="2014-02-21T00:00:00"/>
    <n v="588.70000000000005"/>
    <n v="3"/>
  </r>
  <r>
    <s v="Piotr"/>
    <x v="53"/>
    <s v="Kielce"/>
    <d v="2014-02-19T00:00:00"/>
    <d v="2014-02-22T00:00:00"/>
    <n v="841.7"/>
    <n v="4"/>
  </r>
  <r>
    <s v="Wojciech"/>
    <x v="87"/>
    <s v="Bydgoszcz"/>
    <d v="2014-02-19T00:00:00"/>
    <d v="2014-02-20T00:00:00"/>
    <n v="654.4"/>
    <n v="2"/>
  </r>
  <r>
    <s v="Teresa"/>
    <x v="84"/>
    <s v="Krakow"/>
    <d v="2014-02-19T00:00:00"/>
    <d v="2014-02-20T00:00:00"/>
    <n v="706.5"/>
    <n v="2"/>
  </r>
  <r>
    <s v="Irma"/>
    <x v="88"/>
    <s v="Krakow"/>
    <d v="2014-02-19T00:00:00"/>
    <d v="2014-02-23T00:00:00"/>
    <n v="1321.5"/>
    <n v="5"/>
  </r>
  <r>
    <s v="Krystyna"/>
    <x v="89"/>
    <s v="Lublin"/>
    <d v="2014-02-19T00:00:00"/>
    <d v="2014-02-23T00:00:00"/>
    <n v="886.7"/>
    <n v="5"/>
  </r>
  <r>
    <s v="Rozalia"/>
    <x v="74"/>
    <s v="Zgierz"/>
    <d v="2014-02-19T00:00:00"/>
    <d v="2014-02-20T00:00:00"/>
    <n v="331.5"/>
    <n v="2"/>
  </r>
  <r>
    <s v="Dorota"/>
    <x v="46"/>
    <s v="Malbork"/>
    <d v="2014-02-19T00:00:00"/>
    <d v="2014-02-20T00:00:00"/>
    <n v="891"/>
    <n v="2"/>
  </r>
  <r>
    <s v="Dorota"/>
    <x v="46"/>
    <s v="Siedlce"/>
    <d v="2014-02-19T00:00:00"/>
    <d v="2014-02-20T00:00:00"/>
    <n v="295.39999999999998"/>
    <n v="2"/>
  </r>
  <r>
    <s v="Piotr"/>
    <x v="47"/>
    <s v="Mielec"/>
    <d v="2014-02-19T00:00:00"/>
    <d v="2014-02-22T00:00:00"/>
    <n v="826"/>
    <n v="4"/>
  </r>
  <r>
    <s v="Justyna"/>
    <x v="4"/>
    <s v="Mielec"/>
    <d v="2014-02-19T00:00:00"/>
    <d v="2014-02-21T00:00:00"/>
    <n v="698"/>
    <n v="3"/>
  </r>
  <r>
    <s v="Karol"/>
    <x v="28"/>
    <s v="Olsztyn"/>
    <d v="2014-02-19T00:00:00"/>
    <d v="2014-02-19T00:00:00"/>
    <n v="363.8"/>
    <n v="1"/>
  </r>
  <r>
    <s v="Adam"/>
    <x v="73"/>
    <s v="Kutno"/>
    <d v="2014-02-19T00:00:00"/>
    <d v="2014-02-21T00:00:00"/>
    <n v="536.79999999999995"/>
    <n v="3"/>
  </r>
  <r>
    <s v="Wiktor"/>
    <x v="86"/>
    <s v="Malbork"/>
    <d v="2014-02-22T00:00:00"/>
    <d v="2014-02-22T00:00:00"/>
    <n v="680"/>
    <n v="1"/>
  </r>
  <r>
    <s v="Jerzy"/>
    <x v="30"/>
    <s v="Mielec"/>
    <d v="2014-02-26T00:00:00"/>
    <d v="2014-03-02T00:00:00"/>
    <n v="954"/>
    <n v="5"/>
  </r>
  <r>
    <s v="Wojciech"/>
    <x v="87"/>
    <s v="Bydgoszcz"/>
    <d v="2014-02-26T00:00:00"/>
    <d v="2014-02-28T00:00:00"/>
    <n v="795.4"/>
    <n v="3"/>
  </r>
  <r>
    <s v="Irma"/>
    <x v="88"/>
    <s v="Radom"/>
    <d v="2014-02-26T00:00:00"/>
    <d v="2014-03-01T00:00:00"/>
    <n v="550.5"/>
    <n v="4"/>
  </r>
  <r>
    <s v="Rozalia"/>
    <x v="90"/>
    <s v="Lublin"/>
    <d v="2014-02-26T00:00:00"/>
    <d v="2014-02-27T00:00:00"/>
    <n v="439.7"/>
    <n v="2"/>
  </r>
  <r>
    <s v="Piotr"/>
    <x v="3"/>
    <s v="Krakow"/>
    <d v="2014-02-26T00:00:00"/>
    <d v="2014-02-27T00:00:00"/>
    <n v="706.5"/>
    <n v="2"/>
  </r>
  <r>
    <s v="Jan"/>
    <x v="91"/>
    <s v="Kielce"/>
    <d v="2014-02-26T00:00:00"/>
    <d v="2014-02-27T00:00:00"/>
    <n v="485.7"/>
    <n v="2"/>
  </r>
  <r>
    <s v="Wiktor"/>
    <x v="86"/>
    <s v="Kutno"/>
    <d v="2014-02-28T00:00:00"/>
    <d v="2014-02-28T00:00:00"/>
    <n v="278.8"/>
    <n v="1"/>
  </r>
  <r>
    <s v="Piotr"/>
    <x v="16"/>
    <s v="Katowice"/>
    <d v="2014-03-03T00:00:00"/>
    <d v="2014-03-04T00:00:00"/>
    <n v="693.7"/>
    <n v="2"/>
  </r>
  <r>
    <s v="Paulina"/>
    <x v="22"/>
    <s v="Katowice"/>
    <d v="2014-03-03T00:00:00"/>
    <d v="2014-03-03T00:00:00"/>
    <n v="494.7"/>
    <n v="1"/>
  </r>
  <r>
    <s v="Ewa"/>
    <x v="69"/>
    <s v="Krakow"/>
    <d v="2014-03-03T00:00:00"/>
    <d v="2014-03-05T00:00:00"/>
    <n v="911.5"/>
    <n v="3"/>
  </r>
  <r>
    <s v="Marzena"/>
    <x v="8"/>
    <s v="Siedlce"/>
    <d v="2014-03-03T00:00:00"/>
    <d v="2014-03-04T00:00:00"/>
    <n v="295.39999999999998"/>
    <n v="2"/>
  </r>
  <r>
    <s v="Wojciech"/>
    <x v="52"/>
    <s v="Siedlce"/>
    <d v="2014-03-03T00:00:00"/>
    <d v="2014-03-07T00:00:00"/>
    <n v="712.4"/>
    <n v="5"/>
  </r>
  <r>
    <s v="Paulina"/>
    <x v="63"/>
    <s v="Zgierz"/>
    <d v="2014-03-03T00:00:00"/>
    <d v="2014-03-05T00:00:00"/>
    <n v="450.5"/>
    <n v="3"/>
  </r>
  <r>
    <s v="Wojciech"/>
    <x v="87"/>
    <s v="Radom"/>
    <d v="2014-03-03T00:00:00"/>
    <d v="2014-03-06T00:00:00"/>
    <n v="550.5"/>
    <n v="4"/>
  </r>
  <r>
    <s v="Ewelia"/>
    <x v="42"/>
    <s v="Mielec"/>
    <d v="2014-03-03T00:00:00"/>
    <d v="2014-03-04T00:00:00"/>
    <n v="570"/>
    <n v="2"/>
  </r>
  <r>
    <s v="Rozalia"/>
    <x v="90"/>
    <s v="Mielec"/>
    <d v="2014-03-03T00:00:00"/>
    <d v="2014-03-05T00:00:00"/>
    <n v="698"/>
    <n v="3"/>
  </r>
  <r>
    <s v="Grzegorz"/>
    <x v="57"/>
    <s v="Siedlce"/>
    <d v="2014-03-03T00:00:00"/>
    <d v="2014-03-03T00:00:00"/>
    <n v="156.4"/>
    <n v="1"/>
  </r>
  <r>
    <s v="Narcyz"/>
    <x v="43"/>
    <s v="Malbork"/>
    <d v="2014-03-03T00:00:00"/>
    <d v="2014-03-07T00:00:00"/>
    <n v="1524"/>
    <n v="5"/>
  </r>
  <r>
    <s v="Kamil"/>
    <x v="92"/>
    <s v="Olsztyn"/>
    <d v="2014-03-03T00:00:00"/>
    <d v="2014-03-07T00:00:00"/>
    <n v="1015.8"/>
    <n v="5"/>
  </r>
  <r>
    <s v="Rozalia"/>
    <x v="74"/>
    <s v="Krakow"/>
    <d v="2014-03-03T00:00:00"/>
    <d v="2014-03-05T00:00:00"/>
    <n v="911.5"/>
    <n v="3"/>
  </r>
  <r>
    <s v="Karol"/>
    <x v="28"/>
    <s v="Olsztyn"/>
    <d v="2014-03-03T00:00:00"/>
    <d v="2014-03-07T00:00:00"/>
    <n v="1015.8"/>
    <n v="5"/>
  </r>
  <r>
    <s v="Adam"/>
    <x v="73"/>
    <s v="Kutno"/>
    <d v="2014-03-03T00:00:00"/>
    <d v="2014-03-03T00:00:00"/>
    <n v="278.8"/>
    <n v="1"/>
  </r>
  <r>
    <s v="Kamil"/>
    <x v="5"/>
    <s v="Radom"/>
    <d v="2014-03-03T00:00:00"/>
    <d v="2014-03-06T00:00:00"/>
    <n v="550.5"/>
    <n v="4"/>
  </r>
  <r>
    <s v="Marta"/>
    <x v="15"/>
    <s v="Katowice"/>
    <d v="2014-03-06T00:00:00"/>
    <d v="2014-03-06T00:00:00"/>
    <n v="494.7"/>
    <n v="1"/>
  </r>
  <r>
    <s v="Grzegorz"/>
    <x v="57"/>
    <s v="Zgierz"/>
    <d v="2014-03-06T00:00:00"/>
    <d v="2014-03-06T00:00:00"/>
    <n v="212.5"/>
    <n v="1"/>
  </r>
  <r>
    <s v="Adam"/>
    <x v="73"/>
    <s v="Lublin"/>
    <d v="2014-03-07T00:00:00"/>
    <d v="2014-03-07T00:00:00"/>
    <n v="290.7"/>
    <n v="1"/>
  </r>
  <r>
    <s v="Amelia"/>
    <x v="93"/>
    <s v="Mielec"/>
    <d v="2014-03-09T00:00:00"/>
    <d v="2014-03-12T00:00:00"/>
    <n v="826"/>
    <n v="4"/>
  </r>
  <r>
    <s v="Wiktor"/>
    <x v="86"/>
    <s v="Lublin"/>
    <d v="2014-03-10T00:00:00"/>
    <d v="2014-03-10T00:00:00"/>
    <n v="290.7"/>
    <n v="1"/>
  </r>
  <r>
    <s v="Ewa"/>
    <x v="69"/>
    <s v="Zgierz"/>
    <d v="2014-03-10T00:00:00"/>
    <d v="2014-03-12T00:00:00"/>
    <n v="450.5"/>
    <n v="3"/>
  </r>
  <r>
    <s v="Justyna"/>
    <x v="1"/>
    <s v="Kielce"/>
    <d v="2014-03-10T00:00:00"/>
    <d v="2014-03-13T00:00:00"/>
    <n v="841.7"/>
    <n v="4"/>
  </r>
  <r>
    <s v="Albert"/>
    <x v="94"/>
    <s v="Radom"/>
    <d v="2014-03-10T00:00:00"/>
    <d v="2014-03-12T00:00:00"/>
    <n v="426.5"/>
    <n v="3"/>
  </r>
  <r>
    <s v="Zofia"/>
    <x v="45"/>
    <s v="Siedlce"/>
    <d v="2014-03-10T00:00:00"/>
    <d v="2014-03-12T00:00:00"/>
    <n v="434.4"/>
    <n v="3"/>
  </r>
  <r>
    <s v="Paulina"/>
    <x v="63"/>
    <s v="Olsztyn"/>
    <d v="2014-03-11T00:00:00"/>
    <d v="2014-03-11T00:00:00"/>
    <n v="363.8"/>
    <n v="1"/>
  </r>
  <r>
    <s v="Rozalia"/>
    <x v="74"/>
    <s v="Mielec"/>
    <d v="2014-03-11T00:00:00"/>
    <d v="2014-03-13T00:00:00"/>
    <n v="698"/>
    <n v="3"/>
  </r>
  <r>
    <s v="Rozalia"/>
    <x v="90"/>
    <s v="Kielce"/>
    <d v="2014-03-12T00:00:00"/>
    <d v="2014-03-12T00:00:00"/>
    <n v="307.7"/>
    <n v="1"/>
  </r>
  <r>
    <s v="Andrzej"/>
    <x v="77"/>
    <s v="Zgierz"/>
    <d v="2014-03-15T00:00:00"/>
    <d v="2014-03-17T00:00:00"/>
    <n v="450.5"/>
    <n v="3"/>
  </r>
  <r>
    <s v="Karolina"/>
    <x v="75"/>
    <s v="Bydgoszcz"/>
    <d v="2014-03-15T00:00:00"/>
    <d v="2014-03-19T00:00:00"/>
    <n v="1077.4000000000001"/>
    <n v="5"/>
  </r>
  <r>
    <s v="Piotr"/>
    <x v="18"/>
    <s v="Kutno"/>
    <d v="2014-03-15T00:00:00"/>
    <d v="2014-03-16T00:00:00"/>
    <n v="407.8"/>
    <n v="2"/>
  </r>
  <r>
    <s v="Janina"/>
    <x v="68"/>
    <s v="Olsztyn"/>
    <d v="2014-03-15T00:00:00"/>
    <d v="2014-03-18T00:00:00"/>
    <n v="852.8"/>
    <n v="4"/>
  </r>
  <r>
    <s v="Wiktor"/>
    <x v="86"/>
    <s v="Mielec"/>
    <d v="2014-03-15T00:00:00"/>
    <d v="2014-03-17T00:00:00"/>
    <n v="698"/>
    <n v="3"/>
  </r>
  <r>
    <s v="Wiktor"/>
    <x v="78"/>
    <s v="Malbork"/>
    <d v="2014-03-15T00:00:00"/>
    <d v="2014-03-18T00:00:00"/>
    <n v="1313"/>
    <n v="4"/>
  </r>
  <r>
    <s v="Marzena"/>
    <x v="25"/>
    <s v="Katowice"/>
    <d v="2014-03-15T00:00:00"/>
    <d v="2014-03-18T00:00:00"/>
    <n v="1091.7"/>
    <n v="4"/>
  </r>
  <r>
    <s v="Jerzy"/>
    <x v="30"/>
    <s v="Kutno"/>
    <d v="2014-03-15T00:00:00"/>
    <d v="2014-03-16T00:00:00"/>
    <n v="407.8"/>
    <n v="2"/>
  </r>
  <r>
    <s v="Andrzej"/>
    <x v="14"/>
    <s v="Katowice"/>
    <d v="2014-03-15T00:00:00"/>
    <d v="2014-03-19T00:00:00"/>
    <n v="1290.7"/>
    <n v="5"/>
  </r>
  <r>
    <s v="Justyna"/>
    <x v="51"/>
    <s v="Mielec"/>
    <d v="2014-03-15T00:00:00"/>
    <d v="2014-03-19T00:00:00"/>
    <n v="954"/>
    <n v="5"/>
  </r>
  <r>
    <s v="Wojciech"/>
    <x v="52"/>
    <s v="Bydgoszcz"/>
    <d v="2014-03-15T00:00:00"/>
    <d v="2014-03-16T00:00:00"/>
    <n v="654.4"/>
    <n v="2"/>
  </r>
  <r>
    <s v="Wojciech"/>
    <x v="87"/>
    <s v="Mielec"/>
    <d v="2014-03-15T00:00:00"/>
    <d v="2014-03-15T00:00:00"/>
    <n v="442"/>
    <n v="1"/>
  </r>
  <r>
    <s v="Daria"/>
    <x v="95"/>
    <s v="Malbork"/>
    <d v="2014-03-15T00:00:00"/>
    <d v="2014-03-17T00:00:00"/>
    <n v="1102"/>
    <n v="3"/>
  </r>
  <r>
    <s v="Karolina"/>
    <x v="17"/>
    <s v="Krakow"/>
    <d v="2014-03-15T00:00:00"/>
    <d v="2014-03-17T00:00:00"/>
    <n v="911.5"/>
    <n v="3"/>
  </r>
  <r>
    <s v="Piotr"/>
    <x v="47"/>
    <s v="Krakow"/>
    <d v="2014-03-15T00:00:00"/>
    <d v="2014-03-19T00:00:00"/>
    <n v="1321.5"/>
    <n v="5"/>
  </r>
  <r>
    <s v="Justyna"/>
    <x v="4"/>
    <s v="Katowice"/>
    <d v="2014-03-15T00:00:00"/>
    <d v="2014-03-18T00:00:00"/>
    <n v="1091.7"/>
    <n v="4"/>
  </r>
  <r>
    <s v="Kornel"/>
    <x v="66"/>
    <s v="Olsztyn"/>
    <d v="2014-03-17T00:00:00"/>
    <d v="2014-03-19T00:00:00"/>
    <n v="689.8"/>
    <n v="3"/>
  </r>
  <r>
    <s v="Gustaw"/>
    <x v="13"/>
    <s v="Olsztyn"/>
    <d v="2014-03-17T00:00:00"/>
    <d v="2014-03-18T00:00:00"/>
    <n v="526.79999999999995"/>
    <n v="2"/>
  </r>
  <r>
    <s v="Piotr"/>
    <x v="27"/>
    <s v="Kielce"/>
    <d v="2014-03-17T00:00:00"/>
    <d v="2014-03-18T00:00:00"/>
    <n v="485.7"/>
    <n v="2"/>
  </r>
  <r>
    <s v="Amelia"/>
    <x v="24"/>
    <s v="Malbork"/>
    <d v="2014-03-17T00:00:00"/>
    <d v="2014-03-17T00:00:00"/>
    <n v="680"/>
    <n v="1"/>
  </r>
  <r>
    <s v="Amadeusz"/>
    <x v="26"/>
    <s v="Katowice"/>
    <d v="2014-03-18T00:00:00"/>
    <d v="2014-03-18T00:00:00"/>
    <n v="494.7"/>
    <n v="1"/>
  </r>
  <r>
    <s v="Kacper"/>
    <x v="67"/>
    <s v="Radom"/>
    <d v="2014-03-18T00:00:00"/>
    <d v="2014-03-18T00:00:00"/>
    <n v="178.5"/>
    <n v="1"/>
  </r>
  <r>
    <s v="Dorota"/>
    <x v="2"/>
    <s v="Zgierz"/>
    <d v="2014-03-18T00:00:00"/>
    <d v="2014-03-19T00:00:00"/>
    <n v="331.5"/>
    <n v="2"/>
  </r>
  <r>
    <s v="Wiktor"/>
    <x v="78"/>
    <s v="Katowice"/>
    <d v="2014-03-21T00:00:00"/>
    <d v="2014-03-25T00:00:00"/>
    <n v="1290.7"/>
    <n v="5"/>
  </r>
  <r>
    <s v="Paulina"/>
    <x v="71"/>
    <s v="Lublin"/>
    <d v="2014-03-21T00:00:00"/>
    <d v="2014-03-23T00:00:00"/>
    <n v="588.70000000000005"/>
    <n v="3"/>
  </r>
  <r>
    <s v="Jerzy"/>
    <x v="29"/>
    <s v="Katowice"/>
    <d v="2014-03-21T00:00:00"/>
    <d v="2014-03-25T00:00:00"/>
    <n v="1290.7"/>
    <n v="5"/>
  </r>
  <r>
    <s v="Marek"/>
    <x v="32"/>
    <s v="Siedlce"/>
    <d v="2014-03-21T00:00:00"/>
    <d v="2014-03-22T00:00:00"/>
    <n v="295.39999999999998"/>
    <n v="2"/>
  </r>
  <r>
    <s v="Justyna"/>
    <x v="31"/>
    <s v="Kielce"/>
    <d v="2014-03-21T00:00:00"/>
    <d v="2014-03-23T00:00:00"/>
    <n v="663.7"/>
    <n v="3"/>
  </r>
  <r>
    <s v="Tomasz"/>
    <x v="58"/>
    <s v="Kalisz"/>
    <d v="2014-03-21T00:00:00"/>
    <d v="2014-03-22T00:00:00"/>
    <n v="601"/>
    <n v="2"/>
  </r>
  <r>
    <s v="Karolina"/>
    <x v="23"/>
    <s v="Siedlce"/>
    <d v="2014-03-27T00:00:00"/>
    <d v="2014-03-28T00:00:00"/>
    <n v="295.39999999999998"/>
    <n v="2"/>
  </r>
  <r>
    <s v="Andrzej"/>
    <x v="10"/>
    <s v="Katowice"/>
    <d v="2014-03-27T00:00:00"/>
    <d v="2014-03-31T00:00:00"/>
    <n v="1290.7"/>
    <n v="5"/>
  </r>
  <r>
    <s v="Zuzanna"/>
    <x v="72"/>
    <s v="Kutno"/>
    <d v="2014-03-27T00:00:00"/>
    <d v="2014-03-31T00:00:00"/>
    <n v="794.8"/>
    <n v="5"/>
  </r>
  <r>
    <s v="Zofia"/>
    <x v="45"/>
    <s v="Bydgoszcz"/>
    <d v="2014-03-27T00:00:00"/>
    <d v="2014-03-28T00:00:00"/>
    <n v="654.4"/>
    <n v="2"/>
  </r>
  <r>
    <s v="Rozalia"/>
    <x v="74"/>
    <s v="Katowice"/>
    <d v="2014-03-27T00:00:00"/>
    <d v="2014-03-28T00:00:00"/>
    <n v="693.7"/>
    <n v="2"/>
  </r>
  <r>
    <s v="Justyna"/>
    <x v="4"/>
    <s v="Siedlce"/>
    <d v="2014-03-27T00:00:00"/>
    <d v="2014-03-30T00:00:00"/>
    <n v="573.4"/>
    <n v="4"/>
  </r>
  <r>
    <s v="Anna"/>
    <x v="76"/>
    <s v="Kutno"/>
    <d v="2014-04-02T00:00:00"/>
    <d v="2014-04-04T00:00:00"/>
    <n v="536.79999999999995"/>
    <n v="3"/>
  </r>
  <r>
    <s v="Justyna"/>
    <x v="51"/>
    <s v="Olsztyn"/>
    <d v="2014-04-02T00:00:00"/>
    <d v="2014-04-06T00:00:00"/>
    <n v="1015.8"/>
    <n v="5"/>
  </r>
  <r>
    <s v="Bogumi"/>
    <x v="79"/>
    <s v="Mielec"/>
    <d v="2014-04-02T00:00:00"/>
    <d v="2014-04-05T00:00:00"/>
    <n v="826"/>
    <n v="4"/>
  </r>
  <r>
    <s v="Maria"/>
    <x v="81"/>
    <s v="Krakow"/>
    <d v="2014-04-02T00:00:00"/>
    <d v="2014-04-06T00:00:00"/>
    <n v="1321.5"/>
    <n v="5"/>
  </r>
  <r>
    <s v="Daria"/>
    <x v="95"/>
    <s v="Katowice"/>
    <d v="2014-04-02T00:00:00"/>
    <d v="2014-04-04T00:00:00"/>
    <n v="892.7"/>
    <n v="3"/>
  </r>
  <r>
    <s v="Jan"/>
    <x v="91"/>
    <s v="Siedlce"/>
    <d v="2014-04-02T00:00:00"/>
    <d v="2014-04-03T00:00:00"/>
    <n v="295.39999999999998"/>
    <n v="2"/>
  </r>
  <r>
    <s v="Rozalia"/>
    <x v="90"/>
    <s v="Kutno"/>
    <d v="2014-04-03T00:00:00"/>
    <d v="2014-04-07T00:00:00"/>
    <n v="794.8"/>
    <n v="5"/>
  </r>
  <r>
    <s v="Bonifacy"/>
    <x v="19"/>
    <s v="Siedlce"/>
    <d v="2014-04-08T00:00:00"/>
    <d v="2014-04-11T00:00:00"/>
    <n v="573.4"/>
    <n v="4"/>
  </r>
  <r>
    <s v="Piotr"/>
    <x v="18"/>
    <s v="Kalisz"/>
    <d v="2014-04-08T00:00:00"/>
    <d v="2014-04-10T00:00:00"/>
    <n v="760"/>
    <n v="3"/>
  </r>
  <r>
    <s v="Amadeusz"/>
    <x v="26"/>
    <s v="Radom"/>
    <d v="2014-04-08T00:00:00"/>
    <d v="2014-04-12T00:00:00"/>
    <n v="674.5"/>
    <n v="5"/>
  </r>
  <r>
    <s v="Dorota"/>
    <x v="2"/>
    <s v="Radom"/>
    <d v="2014-04-08T00:00:00"/>
    <d v="2014-04-11T00:00:00"/>
    <n v="550.5"/>
    <n v="4"/>
  </r>
  <r>
    <s v="Maria"/>
    <x v="81"/>
    <s v="Katowice"/>
    <d v="2014-04-08T00:00:00"/>
    <d v="2014-04-11T00:00:00"/>
    <n v="1091.7"/>
    <n v="4"/>
  </r>
  <r>
    <s v="January"/>
    <x v="12"/>
    <s v="Krakow"/>
    <d v="2014-04-08T00:00:00"/>
    <d v="2014-04-12T00:00:00"/>
    <n v="1321.5"/>
    <n v="5"/>
  </r>
  <r>
    <s v="Sebastian"/>
    <x v="36"/>
    <s v="Katowice"/>
    <d v="2014-04-14T00:00:00"/>
    <d v="2014-04-18T00:00:00"/>
    <n v="1290.7"/>
    <n v="5"/>
  </r>
  <r>
    <s v="Jerzy"/>
    <x v="29"/>
    <s v="Malbork"/>
    <d v="2014-04-14T00:00:00"/>
    <d v="2014-04-16T00:00:00"/>
    <n v="1102"/>
    <n v="3"/>
  </r>
  <r>
    <s v="Andrzej"/>
    <x v="14"/>
    <s v="Malbork"/>
    <d v="2014-04-14T00:00:00"/>
    <d v="2014-04-15T00:00:00"/>
    <n v="891"/>
    <n v="2"/>
  </r>
  <r>
    <s v="Paulina"/>
    <x v="63"/>
    <s v="Malbork"/>
    <d v="2014-04-14T00:00:00"/>
    <d v="2014-04-17T00:00:00"/>
    <n v="1313"/>
    <n v="4"/>
  </r>
  <r>
    <s v="Grzegorz"/>
    <x v="57"/>
    <s v="Krakow"/>
    <d v="2014-04-14T00:00:00"/>
    <d v="2014-04-15T00:00:00"/>
    <n v="706.5"/>
    <n v="2"/>
  </r>
  <r>
    <s v="Wiktor"/>
    <x v="70"/>
    <s v="Krakow"/>
    <d v="2014-04-14T00:00:00"/>
    <d v="2014-04-16T00:00:00"/>
    <n v="911.5"/>
    <n v="3"/>
  </r>
  <r>
    <s v="Justyna"/>
    <x v="51"/>
    <s v="Bydgoszcz"/>
    <d v="2014-04-18T00:00:00"/>
    <d v="2014-04-18T00:00:00"/>
    <n v="513.4"/>
    <n v="1"/>
  </r>
  <r>
    <s v="Dominika"/>
    <x v="64"/>
    <s v="Katowice"/>
    <d v="2014-04-20T00:00:00"/>
    <d v="2014-04-22T00:00:00"/>
    <n v="892.7"/>
    <n v="3"/>
  </r>
  <r>
    <s v="Piotr"/>
    <x v="53"/>
    <s v="Olsztyn"/>
    <d v="2014-04-20T00:00:00"/>
    <d v="2014-04-21T00:00:00"/>
    <n v="526.79999999999995"/>
    <n v="2"/>
  </r>
  <r>
    <s v="Justyna"/>
    <x v="51"/>
    <s v="Kalisz"/>
    <d v="2014-04-23T00:00:00"/>
    <d v="2014-04-24T00:00:00"/>
    <n v="601"/>
    <n v="2"/>
  </r>
  <r>
    <s v="Ewelia"/>
    <x v="34"/>
    <s v="Olsztyn"/>
    <d v="2014-04-23T00:00:00"/>
    <d v="2014-04-24T00:00:00"/>
    <n v="526.79999999999995"/>
    <n v="2"/>
  </r>
  <r>
    <s v="Wiktor"/>
    <x v="70"/>
    <s v="Kutno"/>
    <d v="2014-04-24T00:00:00"/>
    <d v="2014-04-24T00:00:00"/>
    <n v="278.8"/>
    <n v="1"/>
  </r>
  <r>
    <s v="Marzena"/>
    <x v="25"/>
    <s v="Kutno"/>
    <d v="2014-04-26T00:00:00"/>
    <d v="2014-04-30T00:00:00"/>
    <n v="794.8"/>
    <n v="5"/>
  </r>
  <r>
    <s v="Jerzy"/>
    <x v="7"/>
    <s v="Kalisz"/>
    <d v="2014-04-26T00:00:00"/>
    <d v="2014-04-29T00:00:00"/>
    <n v="919"/>
    <n v="4"/>
  </r>
  <r>
    <s v="Marcin"/>
    <x v="96"/>
    <s v="Siedlce"/>
    <d v="2014-04-26T00:00:00"/>
    <d v="2014-04-27T00:00:00"/>
    <n v="295.39999999999998"/>
    <n v="2"/>
  </r>
  <r>
    <s v="Jerzy"/>
    <x v="11"/>
    <s v="Olsztyn"/>
    <d v="2014-04-26T00:00:00"/>
    <d v="2014-04-27T00:00:00"/>
    <n v="526.79999999999995"/>
    <n v="2"/>
  </r>
  <r>
    <s v="Tomasz"/>
    <x v="58"/>
    <s v="Bydgoszcz"/>
    <d v="2014-04-26T00:00:00"/>
    <d v="2014-04-29T00:00:00"/>
    <n v="936.4"/>
    <n v="4"/>
  </r>
  <r>
    <s v="Jan"/>
    <x v="44"/>
    <s v="Siedlce"/>
    <d v="2014-04-26T00:00:00"/>
    <d v="2014-04-26T00:00:00"/>
    <n v="156.4"/>
    <n v="1"/>
  </r>
  <r>
    <s v="Karolina"/>
    <x v="75"/>
    <s v="Krakow"/>
    <d v="2014-04-28T00:00:00"/>
    <d v="2014-04-29T00:00:00"/>
    <n v="706.5"/>
    <n v="2"/>
  </r>
  <r>
    <s v="Marzena"/>
    <x v="8"/>
    <s v="Bydgoszcz"/>
    <d v="2014-05-02T00:00:00"/>
    <d v="2014-05-06T00:00:00"/>
    <n v="1077.4000000000001"/>
    <n v="5"/>
  </r>
  <r>
    <s v="Sebastian"/>
    <x v="9"/>
    <s v="Radom"/>
    <d v="2014-05-02T00:00:00"/>
    <d v="2014-05-04T00:00:00"/>
    <n v="426.5"/>
    <n v="3"/>
  </r>
  <r>
    <s v="Janusz"/>
    <x v="48"/>
    <s v="Krakow"/>
    <d v="2014-05-02T00:00:00"/>
    <d v="2014-05-03T00:00:00"/>
    <n v="706.5"/>
    <n v="2"/>
  </r>
  <r>
    <s v="Patrycja"/>
    <x v="6"/>
    <s v="Bydgoszcz"/>
    <d v="2014-05-05T00:00:00"/>
    <d v="2014-05-06T00:00:00"/>
    <n v="654.4"/>
    <n v="2"/>
  </r>
  <r>
    <s v="Piotr"/>
    <x v="16"/>
    <s v="Lublin"/>
    <d v="2014-05-05T00:00:00"/>
    <d v="2014-05-05T00:00:00"/>
    <n v="290.7"/>
    <n v="1"/>
  </r>
  <r>
    <s v="Daria"/>
    <x v="95"/>
    <s v="Mielec"/>
    <d v="2014-05-06T00:00:00"/>
    <d v="2014-05-07T00:00:00"/>
    <n v="570"/>
    <n v="2"/>
  </r>
  <r>
    <s v="Kornel"/>
    <x v="39"/>
    <s v="Krakow"/>
    <d v="2014-05-08T00:00:00"/>
    <d v="2014-05-11T00:00:00"/>
    <n v="1116.5"/>
    <n v="4"/>
  </r>
  <r>
    <s v="Edwina"/>
    <x v="40"/>
    <s v="Malbork"/>
    <d v="2014-05-08T00:00:00"/>
    <d v="2014-05-10T00:00:00"/>
    <n v="1102"/>
    <n v="3"/>
  </r>
  <r>
    <s v="Ewa"/>
    <x v="69"/>
    <s v="Radom"/>
    <d v="2014-05-08T00:00:00"/>
    <d v="2014-05-09T00:00:00"/>
    <n v="302.5"/>
    <n v="2"/>
  </r>
  <r>
    <s v="Wojciech"/>
    <x v="33"/>
    <s v="Siedlce"/>
    <d v="2014-05-08T00:00:00"/>
    <d v="2014-05-11T00:00:00"/>
    <n v="573.4"/>
    <n v="4"/>
  </r>
  <r>
    <s v="January"/>
    <x v="12"/>
    <s v="Bydgoszcz"/>
    <d v="2014-05-08T00:00:00"/>
    <d v="2014-05-11T00:00:00"/>
    <n v="936.4"/>
    <n v="4"/>
  </r>
  <r>
    <s v="Ewelia"/>
    <x v="34"/>
    <s v="Kielce"/>
    <d v="2014-05-08T00:00:00"/>
    <d v="2014-05-12T00:00:00"/>
    <n v="1019.7"/>
    <n v="5"/>
  </r>
  <r>
    <s v="Dominika"/>
    <x v="64"/>
    <s v="Siedlce"/>
    <d v="2014-05-14T00:00:00"/>
    <d v="2014-05-17T00:00:00"/>
    <n v="573.4"/>
    <n v="4"/>
  </r>
  <r>
    <s v="Piotr"/>
    <x v="18"/>
    <s v="Lublin"/>
    <d v="2014-05-14T00:00:00"/>
    <d v="2014-05-18T00:00:00"/>
    <n v="886.7"/>
    <n v="5"/>
  </r>
  <r>
    <s v="Jerzy"/>
    <x v="29"/>
    <s v="Bydgoszcz"/>
    <d v="2014-05-14T00:00:00"/>
    <d v="2014-05-18T00:00:00"/>
    <n v="1077.4000000000001"/>
    <n v="5"/>
  </r>
  <r>
    <s v="Marzena"/>
    <x v="25"/>
    <s v="Lublin"/>
    <d v="2014-05-14T00:00:00"/>
    <d v="2014-05-15T00:00:00"/>
    <n v="439.7"/>
    <n v="2"/>
  </r>
  <r>
    <s v="Sebastian"/>
    <x v="9"/>
    <s v="Lublin"/>
    <d v="2014-05-14T00:00:00"/>
    <d v="2014-05-16T00:00:00"/>
    <n v="588.70000000000005"/>
    <n v="3"/>
  </r>
  <r>
    <s v="Rozalia"/>
    <x v="90"/>
    <s v="Kutno"/>
    <d v="2014-05-14T00:00:00"/>
    <d v="2014-05-15T00:00:00"/>
    <n v="407.8"/>
    <n v="2"/>
  </r>
  <r>
    <s v="Sebastian"/>
    <x v="35"/>
    <s v="Lublin"/>
    <d v="2014-05-14T00:00:00"/>
    <d v="2014-05-16T00:00:00"/>
    <n v="588.70000000000005"/>
    <n v="3"/>
  </r>
  <r>
    <s v="Andrzej"/>
    <x v="14"/>
    <s v="Katowice"/>
    <d v="2014-05-20T00:00:00"/>
    <d v="2014-05-21T00:00:00"/>
    <n v="693.7"/>
    <n v="2"/>
  </r>
  <r>
    <s v="Piotr"/>
    <x v="53"/>
    <s v="Radom"/>
    <d v="2014-05-20T00:00:00"/>
    <d v="2014-05-24T00:00:00"/>
    <n v="674.5"/>
    <n v="5"/>
  </r>
  <r>
    <s v="Teresa"/>
    <x v="84"/>
    <s v="Zgierz"/>
    <d v="2014-05-20T00:00:00"/>
    <d v="2014-05-23T00:00:00"/>
    <n v="569.5"/>
    <n v="4"/>
  </r>
  <r>
    <s v="Daria"/>
    <x v="95"/>
    <s v="Mielec"/>
    <d v="2014-05-20T00:00:00"/>
    <d v="2014-05-23T00:00:00"/>
    <n v="826"/>
    <n v="4"/>
  </r>
  <r>
    <s v="Krystyna"/>
    <x v="89"/>
    <s v="Lublin"/>
    <d v="2014-05-20T00:00:00"/>
    <d v="2014-05-24T00:00:00"/>
    <n v="886.7"/>
    <n v="5"/>
  </r>
  <r>
    <s v="Jan"/>
    <x v="44"/>
    <s v="Kielce"/>
    <d v="2014-05-20T00:00:00"/>
    <d v="2014-05-23T00:00:00"/>
    <n v="841.7"/>
    <n v="4"/>
  </r>
  <r>
    <s v="Piotr"/>
    <x v="16"/>
    <s v="Katowice"/>
    <d v="2014-05-26T00:00:00"/>
    <d v="2014-05-28T00:00:00"/>
    <n v="892.7"/>
    <n v="3"/>
  </r>
  <r>
    <s v="Wiktor"/>
    <x v="86"/>
    <s v="Kielce"/>
    <d v="2014-05-26T00:00:00"/>
    <d v="2014-05-30T00:00:00"/>
    <n v="1019.7"/>
    <n v="5"/>
  </r>
  <r>
    <s v="Eustachy"/>
    <x v="37"/>
    <s v="Siedlce"/>
    <d v="2014-05-26T00:00:00"/>
    <d v="2014-05-28T00:00:00"/>
    <n v="434.4"/>
    <n v="3"/>
  </r>
  <r>
    <s v="Amelia"/>
    <x v="93"/>
    <s v="Kalisz"/>
    <d v="2014-05-26T00:00:00"/>
    <d v="2014-05-29T00:00:00"/>
    <n v="919"/>
    <n v="4"/>
  </r>
  <r>
    <s v="Jerzy"/>
    <x v="7"/>
    <s v="Kalisz"/>
    <d v="2014-05-26T00:00:00"/>
    <d v="2014-05-29T00:00:00"/>
    <n v="919"/>
    <n v="4"/>
  </r>
  <r>
    <s v="January"/>
    <x v="12"/>
    <s v="Kalisz"/>
    <d v="2014-05-26T00:00:00"/>
    <d v="2014-05-28T00:00:00"/>
    <n v="760"/>
    <n v="3"/>
  </r>
  <r>
    <s v="Piotr"/>
    <x v="16"/>
    <s v="Bydgoszcz"/>
    <d v="2014-06-01T00:00:00"/>
    <d v="2014-06-04T00:00:00"/>
    <n v="936.4"/>
    <n v="4"/>
  </r>
  <r>
    <s v="Anna"/>
    <x v="85"/>
    <s v="Lublin"/>
    <d v="2014-06-01T00:00:00"/>
    <d v="2014-06-04T00:00:00"/>
    <n v="737.7"/>
    <n v="4"/>
  </r>
  <r>
    <s v="Zofia"/>
    <x v="65"/>
    <s v="Lublin"/>
    <d v="2014-06-01T00:00:00"/>
    <d v="2014-06-05T00:00:00"/>
    <n v="886.7"/>
    <n v="5"/>
  </r>
  <r>
    <s v="Jerzy"/>
    <x v="29"/>
    <s v="Zgierz"/>
    <d v="2014-06-01T00:00:00"/>
    <d v="2014-06-03T00:00:00"/>
    <n v="450.5"/>
    <n v="3"/>
  </r>
  <r>
    <s v="Edwina"/>
    <x v="40"/>
    <s v="Bydgoszcz"/>
    <d v="2014-06-01T00:00:00"/>
    <d v="2014-06-04T00:00:00"/>
    <n v="936.4"/>
    <n v="4"/>
  </r>
  <r>
    <s v="Zuzanna"/>
    <x v="82"/>
    <s v="Lublin"/>
    <d v="2014-06-01T00:00:00"/>
    <d v="2014-06-03T00:00:00"/>
    <n v="588.70000000000005"/>
    <n v="3"/>
  </r>
  <r>
    <s v="Piotr"/>
    <x v="47"/>
    <s v="Kalisz"/>
    <d v="2014-06-01T00:00:00"/>
    <d v="2014-06-03T00:00:00"/>
    <n v="760"/>
    <n v="3"/>
  </r>
  <r>
    <s v="Marzena"/>
    <x v="25"/>
    <s v="Zgierz"/>
    <d v="2014-06-02T00:00:00"/>
    <d v="2014-06-02T00:00:00"/>
    <n v="212.5"/>
    <n v="1"/>
  </r>
  <r>
    <s v="Jerzy"/>
    <x v="7"/>
    <s v="Kutno"/>
    <d v="2014-06-02T00:00:00"/>
    <d v="2014-06-02T00:00:00"/>
    <n v="278.8"/>
    <n v="1"/>
  </r>
  <r>
    <s v="Piotr"/>
    <x v="27"/>
    <s v="Lublin"/>
    <d v="2014-06-02T00:00:00"/>
    <d v="2014-06-04T00:00:00"/>
    <n v="588.70000000000005"/>
    <n v="3"/>
  </r>
  <r>
    <s v="Jan"/>
    <x v="44"/>
    <s v="Kutno"/>
    <d v="2014-06-02T00:00:00"/>
    <d v="2014-06-02T00:00:00"/>
    <n v="278.8"/>
    <n v="1"/>
  </r>
  <r>
    <s v="Natalia"/>
    <x v="97"/>
    <s v="Radom"/>
    <d v="2014-06-03T00:00:00"/>
    <d v="2014-06-03T00:00:00"/>
    <n v="178.5"/>
    <n v="1"/>
  </r>
  <r>
    <s v="Sebastian"/>
    <x v="35"/>
    <s v="Krakow"/>
    <d v="2014-06-03T00:00:00"/>
    <d v="2014-06-04T00:00:00"/>
    <n v="706.5"/>
    <n v="2"/>
  </r>
  <r>
    <s v="Ewa"/>
    <x v="69"/>
    <s v="Zgierz"/>
    <d v="2014-06-04T00:00:00"/>
    <d v="2014-06-05T00:00:00"/>
    <n v="331.5"/>
    <n v="2"/>
  </r>
  <r>
    <s v="Albert"/>
    <x v="94"/>
    <s v="Mielec"/>
    <d v="2014-06-04T00:00:00"/>
    <d v="2014-06-05T00:00:00"/>
    <n v="570"/>
    <n v="2"/>
  </r>
  <r>
    <s v="Jan"/>
    <x v="44"/>
    <s v="Krakow"/>
    <d v="2014-06-04T00:00:00"/>
    <d v="2014-06-05T00:00:00"/>
    <n v="706.5"/>
    <n v="2"/>
  </r>
  <r>
    <s v="Jerzy"/>
    <x v="29"/>
    <s v="Krakow"/>
    <d v="2014-06-05T00:00:00"/>
    <d v="2014-06-05T00:00:00"/>
    <n v="501.5"/>
    <n v="1"/>
  </r>
  <r>
    <s v="Patrycja"/>
    <x v="6"/>
    <s v="Siedlce"/>
    <d v="2014-06-07T00:00:00"/>
    <d v="2014-06-07T00:00:00"/>
    <n v="156.4"/>
    <n v="1"/>
  </r>
  <r>
    <s v="Zofia"/>
    <x v="65"/>
    <s v="Kielce"/>
    <d v="2014-06-07T00:00:00"/>
    <d v="2014-06-09T00:00:00"/>
    <n v="663.7"/>
    <n v="3"/>
  </r>
  <r>
    <s v="Adam"/>
    <x v="83"/>
    <s v="Katowice"/>
    <d v="2014-06-07T00:00:00"/>
    <d v="2014-06-11T00:00:00"/>
    <n v="1290.7"/>
    <n v="5"/>
  </r>
  <r>
    <s v="Dorota"/>
    <x v="2"/>
    <s v="Siedlce"/>
    <d v="2014-06-07T00:00:00"/>
    <d v="2014-06-11T00:00:00"/>
    <n v="712.4"/>
    <n v="5"/>
  </r>
  <r>
    <s v="Jan"/>
    <x v="91"/>
    <s v="Bydgoszcz"/>
    <d v="2014-06-07T00:00:00"/>
    <d v="2014-06-09T00:00:00"/>
    <n v="795.4"/>
    <n v="3"/>
  </r>
  <r>
    <s v="January"/>
    <x v="12"/>
    <s v="Kielce"/>
    <d v="2014-06-09T00:00:00"/>
    <d v="2014-06-10T00:00:00"/>
    <n v="485.7"/>
    <n v="2"/>
  </r>
  <r>
    <s v="Paulina"/>
    <x v="22"/>
    <s v="Kielce"/>
    <d v="2014-06-13T00:00:00"/>
    <d v="2014-06-15T00:00:00"/>
    <n v="663.7"/>
    <n v="3"/>
  </r>
  <r>
    <s v="Wiktor"/>
    <x v="86"/>
    <s v="Kalisz"/>
    <d v="2014-06-13T00:00:00"/>
    <d v="2014-06-17T00:00:00"/>
    <n v="1078"/>
    <n v="5"/>
  </r>
  <r>
    <s v="Patrycja"/>
    <x v="98"/>
    <s v="Katowice"/>
    <d v="2014-06-13T00:00:00"/>
    <d v="2014-06-13T00:00:00"/>
    <n v="494.7"/>
    <n v="1"/>
  </r>
  <r>
    <s v="Edwina"/>
    <x v="40"/>
    <s v="Kutno"/>
    <d v="2014-06-13T00:00:00"/>
    <d v="2014-06-17T00:00:00"/>
    <n v="794.8"/>
    <n v="5"/>
  </r>
  <r>
    <s v="Karolina"/>
    <x v="23"/>
    <s v="Katowice"/>
    <d v="2014-06-13T00:00:00"/>
    <d v="2014-06-16T00:00:00"/>
    <n v="1091.7"/>
    <n v="4"/>
  </r>
  <r>
    <s v="Andrzej"/>
    <x v="14"/>
    <s v="Katowice"/>
    <d v="2014-06-13T00:00:00"/>
    <d v="2014-06-16T00:00:00"/>
    <n v="1091.7"/>
    <n v="4"/>
  </r>
  <r>
    <s v="Zuzanna"/>
    <x v="72"/>
    <s v="Kutno"/>
    <d v="2014-06-13T00:00:00"/>
    <d v="2014-06-17T00:00:00"/>
    <n v="794.8"/>
    <n v="5"/>
  </r>
  <r>
    <s v="Justyna"/>
    <x v="31"/>
    <s v="Katowice"/>
    <d v="2014-06-13T00:00:00"/>
    <d v="2014-06-14T00:00:00"/>
    <n v="693.7"/>
    <n v="2"/>
  </r>
  <r>
    <s v="Ewa"/>
    <x v="49"/>
    <s v="Katowice"/>
    <d v="2014-06-13T00:00:00"/>
    <d v="2014-06-15T00:00:00"/>
    <n v="892.7"/>
    <n v="3"/>
  </r>
  <r>
    <s v="Zyta"/>
    <x v="80"/>
    <s v="Olsztyn"/>
    <d v="2014-06-13T00:00:00"/>
    <d v="2014-06-16T00:00:00"/>
    <n v="852.8"/>
    <n v="4"/>
  </r>
  <r>
    <s v="Teresa"/>
    <x v="84"/>
    <s v="Katowice"/>
    <d v="2014-06-13T00:00:00"/>
    <d v="2014-06-13T00:00:00"/>
    <n v="494.7"/>
    <n v="1"/>
  </r>
  <r>
    <s v="Ewelia"/>
    <x v="42"/>
    <s v="Mielec"/>
    <d v="2014-06-13T00:00:00"/>
    <d v="2014-06-13T00:00:00"/>
    <n v="442"/>
    <n v="1"/>
  </r>
  <r>
    <s v="Rozalia"/>
    <x v="90"/>
    <s v="Kielce"/>
    <d v="2014-06-13T00:00:00"/>
    <d v="2014-06-15T00:00:00"/>
    <n v="663.7"/>
    <n v="3"/>
  </r>
  <r>
    <s v="Krystyna"/>
    <x v="89"/>
    <s v="Malbork"/>
    <d v="2014-06-13T00:00:00"/>
    <d v="2014-06-16T00:00:00"/>
    <n v="1313"/>
    <n v="4"/>
  </r>
  <r>
    <s v="Anna"/>
    <x v="59"/>
    <s v="Krakow"/>
    <d v="2014-06-13T00:00:00"/>
    <d v="2014-06-15T00:00:00"/>
    <n v="911.5"/>
    <n v="3"/>
  </r>
  <r>
    <s v="Albert"/>
    <x v="94"/>
    <s v="Kalisz"/>
    <d v="2014-06-16T00:00:00"/>
    <d v="2014-06-17T00:00:00"/>
    <n v="601"/>
    <n v="2"/>
  </r>
  <r>
    <s v="Ewelia"/>
    <x v="34"/>
    <s v="Mielec"/>
    <d v="2014-06-16T00:00:00"/>
    <d v="2014-06-16T00:00:00"/>
    <n v="442"/>
    <n v="1"/>
  </r>
  <r>
    <s v="Kacper"/>
    <x v="67"/>
    <s v="Zgierz"/>
    <d v="2014-06-19T00:00:00"/>
    <d v="2014-06-22T00:00:00"/>
    <n v="569.5"/>
    <n v="4"/>
  </r>
  <r>
    <s v="Zyta"/>
    <x v="80"/>
    <s v="Lublin"/>
    <d v="2014-06-19T00:00:00"/>
    <d v="2014-06-20T00:00:00"/>
    <n v="439.7"/>
    <n v="2"/>
  </r>
  <r>
    <s v="Ewelia"/>
    <x v="42"/>
    <s v="Kielce"/>
    <d v="2014-06-19T00:00:00"/>
    <d v="2014-06-22T00:00:00"/>
    <n v="841.7"/>
    <n v="4"/>
  </r>
  <r>
    <s v="Katarzyna"/>
    <x v="56"/>
    <s v="Bydgoszcz"/>
    <d v="2014-06-19T00:00:00"/>
    <d v="2014-06-21T00:00:00"/>
    <n v="795.4"/>
    <n v="3"/>
  </r>
  <r>
    <s v="Kamil"/>
    <x v="92"/>
    <s v="Katowice"/>
    <d v="2014-06-19T00:00:00"/>
    <d v="2014-06-23T00:00:00"/>
    <n v="1290.7"/>
    <n v="5"/>
  </r>
  <r>
    <s v="Kamil"/>
    <x v="5"/>
    <s v="Mielec"/>
    <d v="2014-06-19T00:00:00"/>
    <d v="2014-06-21T00:00:00"/>
    <n v="698"/>
    <n v="3"/>
  </r>
  <r>
    <s v="Bonifacy"/>
    <x v="19"/>
    <s v="Lublin"/>
    <d v="2014-06-25T00:00:00"/>
    <d v="2014-06-26T00:00:00"/>
    <n v="439.7"/>
    <n v="2"/>
  </r>
  <r>
    <s v="Paulina"/>
    <x v="71"/>
    <s v="Katowice"/>
    <d v="2014-06-25T00:00:00"/>
    <d v="2014-06-25T00:00:00"/>
    <n v="494.7"/>
    <n v="1"/>
  </r>
  <r>
    <s v="Paulina"/>
    <x v="71"/>
    <s v="Krakow"/>
    <d v="2014-06-25T00:00:00"/>
    <d v="2014-06-27T00:00:00"/>
    <n v="911.5"/>
    <n v="3"/>
  </r>
  <r>
    <s v="Olivia"/>
    <x v="20"/>
    <s v="Malbork"/>
    <d v="2014-06-25T00:00:00"/>
    <d v="2014-06-26T00:00:00"/>
    <n v="891"/>
    <n v="2"/>
  </r>
  <r>
    <s v="Amadeusz"/>
    <x v="26"/>
    <s v="Kutno"/>
    <d v="2014-06-25T00:00:00"/>
    <d v="2014-06-28T00:00:00"/>
    <n v="665.8"/>
    <n v="4"/>
  </r>
  <r>
    <s v="Kacper"/>
    <x v="67"/>
    <s v="Bydgoszcz"/>
    <d v="2014-06-25T00:00:00"/>
    <d v="2014-06-27T00:00:00"/>
    <n v="795.4"/>
    <n v="3"/>
  </r>
  <r>
    <s v="Justyna"/>
    <x v="51"/>
    <s v="Bydgoszcz"/>
    <d v="2014-06-25T00:00:00"/>
    <d v="2014-06-26T00:00:00"/>
    <n v="654.4"/>
    <n v="2"/>
  </r>
  <r>
    <s v="Irma"/>
    <x v="88"/>
    <s v="Lublin"/>
    <d v="2014-06-25T00:00:00"/>
    <d v="2014-06-28T00:00:00"/>
    <n v="737.7"/>
    <n v="4"/>
  </r>
  <r>
    <s v="Lidia"/>
    <x v="21"/>
    <s v="Lublin"/>
    <d v="2014-06-25T00:00:00"/>
    <d v="2014-06-29T00:00:00"/>
    <n v="886.7"/>
    <n v="5"/>
  </r>
  <r>
    <s v="Krystyna"/>
    <x v="89"/>
    <s v="Siedlce"/>
    <d v="2014-06-25T00:00:00"/>
    <d v="2014-06-26T00:00:00"/>
    <n v="295.39999999999998"/>
    <n v="2"/>
  </r>
  <r>
    <s v="Karolina"/>
    <x v="17"/>
    <s v="Olsztyn"/>
    <d v="2014-06-25T00:00:00"/>
    <d v="2014-06-27T00:00:00"/>
    <n v="689.8"/>
    <n v="3"/>
  </r>
  <r>
    <s v="Sebastian"/>
    <x v="35"/>
    <s v="Malbork"/>
    <d v="2014-06-25T00:00:00"/>
    <d v="2014-06-29T00:00:00"/>
    <n v="1524"/>
    <n v="5"/>
  </r>
  <r>
    <s v="Piotr"/>
    <x v="3"/>
    <s v="Siedlce"/>
    <d v="2014-06-25T00:00:00"/>
    <d v="2014-06-26T00:00:00"/>
    <n v="295.39999999999998"/>
    <n v="2"/>
  </r>
  <r>
    <s v="Tomasz"/>
    <x v="58"/>
    <s v="Kalisz"/>
    <d v="2014-06-25T00:00:00"/>
    <d v="2014-06-27T00:00:00"/>
    <n v="760"/>
    <n v="3"/>
  </r>
  <r>
    <s v="Anna"/>
    <x v="59"/>
    <s v="Bydgoszcz"/>
    <d v="2014-06-25T00:00:00"/>
    <d v="2014-06-27T00:00:00"/>
    <n v="795.4"/>
    <n v="3"/>
  </r>
  <r>
    <s v="Adam"/>
    <x v="73"/>
    <s v="Radom"/>
    <d v="2014-06-25T00:00:00"/>
    <d v="2014-06-26T00:00:00"/>
    <n v="302.5"/>
    <n v="2"/>
  </r>
  <r>
    <s v="Justyna"/>
    <x v="51"/>
    <s v="Olsztyn"/>
    <d v="2014-06-28T00:00:00"/>
    <d v="2014-06-28T00:00:00"/>
    <n v="363.8"/>
    <n v="1"/>
  </r>
  <r>
    <s v="Piotr"/>
    <x v="18"/>
    <s v="Katowice"/>
    <d v="2014-07-01T00:00:00"/>
    <d v="2014-07-05T00:00:00"/>
    <n v="1290.7"/>
    <n v="5"/>
  </r>
  <r>
    <s v="Andrzej"/>
    <x v="14"/>
    <s v="Bydgoszcz"/>
    <d v="2014-07-01T00:00:00"/>
    <d v="2014-07-05T00:00:00"/>
    <n v="1077.4000000000001"/>
    <n v="5"/>
  </r>
  <r>
    <s v="Michalina"/>
    <x v="50"/>
    <s v="Kielce"/>
    <d v="2014-07-01T00:00:00"/>
    <d v="2014-07-03T00:00:00"/>
    <n v="663.7"/>
    <n v="3"/>
  </r>
  <r>
    <s v="Bogumi"/>
    <x v="79"/>
    <s v="Radom"/>
    <d v="2014-07-01T00:00:00"/>
    <d v="2014-07-05T00:00:00"/>
    <n v="674.5"/>
    <n v="5"/>
  </r>
  <r>
    <s v="Teresa"/>
    <x v="84"/>
    <s v="Krakow"/>
    <d v="2014-07-01T00:00:00"/>
    <d v="2014-07-03T00:00:00"/>
    <n v="911.5"/>
    <n v="3"/>
  </r>
  <r>
    <s v="Ewelia"/>
    <x v="34"/>
    <s v="Radom"/>
    <d v="2014-07-01T00:00:00"/>
    <d v="2014-07-04T00:00:00"/>
    <n v="550.5"/>
    <n v="4"/>
  </r>
  <r>
    <s v="Anna"/>
    <x v="85"/>
    <s v="Katowice"/>
    <d v="2014-07-07T00:00:00"/>
    <d v="2014-07-09T00:00:00"/>
    <n v="892.7"/>
    <n v="3"/>
  </r>
  <r>
    <s v="Wiktor"/>
    <x v="78"/>
    <s v="Mielec"/>
    <d v="2014-07-07T00:00:00"/>
    <d v="2014-07-09T00:00:00"/>
    <n v="698"/>
    <n v="3"/>
  </r>
  <r>
    <s v="Jerzy"/>
    <x v="29"/>
    <s v="Lublin"/>
    <d v="2014-07-07T00:00:00"/>
    <d v="2014-07-10T00:00:00"/>
    <n v="737.7"/>
    <n v="4"/>
  </r>
  <r>
    <s v="Jerzy"/>
    <x v="7"/>
    <s v="Kutno"/>
    <d v="2014-07-07T00:00:00"/>
    <d v="2014-07-08T00:00:00"/>
    <n v="407.8"/>
    <n v="2"/>
  </r>
  <r>
    <s v="Amadeusz"/>
    <x v="26"/>
    <s v="Kalisz"/>
    <d v="2014-07-07T00:00:00"/>
    <d v="2014-07-10T00:00:00"/>
    <n v="919"/>
    <n v="4"/>
  </r>
  <r>
    <s v="Marcin"/>
    <x v="96"/>
    <s v="Lublin"/>
    <d v="2014-07-07T00:00:00"/>
    <d v="2014-07-08T00:00:00"/>
    <n v="439.7"/>
    <n v="2"/>
  </r>
  <r>
    <s v="Andrzej"/>
    <x v="14"/>
    <s v="Bydgoszcz"/>
    <d v="2014-07-07T00:00:00"/>
    <d v="2014-07-09T00:00:00"/>
    <n v="795.4"/>
    <n v="3"/>
  </r>
  <r>
    <s v="Bogumi"/>
    <x v="79"/>
    <s v="Radom"/>
    <d v="2014-07-07T00:00:00"/>
    <d v="2014-07-08T00:00:00"/>
    <n v="302.5"/>
    <n v="2"/>
  </r>
  <r>
    <s v="Albert"/>
    <x v="94"/>
    <s v="Olsztyn"/>
    <d v="2014-07-07T00:00:00"/>
    <d v="2014-07-07T00:00:00"/>
    <n v="363.8"/>
    <n v="1"/>
  </r>
  <r>
    <s v="Lidia"/>
    <x v="21"/>
    <s v="Kutno"/>
    <d v="2014-07-07T00:00:00"/>
    <d v="2014-07-11T00:00:00"/>
    <n v="794.8"/>
    <n v="5"/>
  </r>
  <r>
    <s v="Maria"/>
    <x v="81"/>
    <s v="Kutno"/>
    <d v="2014-07-07T00:00:00"/>
    <d v="2014-07-11T00:00:00"/>
    <n v="794.8"/>
    <n v="5"/>
  </r>
  <r>
    <s v="Narcyz"/>
    <x v="43"/>
    <s v="Siedlce"/>
    <d v="2014-07-07T00:00:00"/>
    <d v="2014-07-08T00:00:00"/>
    <n v="295.39999999999998"/>
    <n v="2"/>
  </r>
  <r>
    <s v="Gustaw"/>
    <x v="13"/>
    <s v="Krakow"/>
    <d v="2014-07-07T00:00:00"/>
    <d v="2014-07-08T00:00:00"/>
    <n v="706.5"/>
    <n v="2"/>
  </r>
  <r>
    <s v="Piotr"/>
    <x v="27"/>
    <s v="Kielce"/>
    <d v="2014-07-07T00:00:00"/>
    <d v="2014-07-08T00:00:00"/>
    <n v="485.7"/>
    <n v="2"/>
  </r>
  <r>
    <s v="Jan"/>
    <x v="44"/>
    <s v="Kielce"/>
    <d v="2014-07-07T00:00:00"/>
    <d v="2014-07-10T00:00:00"/>
    <n v="841.7"/>
    <n v="4"/>
  </r>
  <r>
    <s v="Albert"/>
    <x v="94"/>
    <s v="Kalisz"/>
    <d v="2014-07-10T00:00:00"/>
    <d v="2014-07-10T00:00:00"/>
    <n v="442"/>
    <n v="1"/>
  </r>
  <r>
    <s v="Wiktor"/>
    <x v="78"/>
    <s v="Radom"/>
    <d v="2014-07-11T00:00:00"/>
    <d v="2014-07-11T00:00:00"/>
    <n v="178.5"/>
    <n v="1"/>
  </r>
  <r>
    <s v="Sebastian"/>
    <x v="36"/>
    <s v="Olsztyn"/>
    <d v="2014-07-13T00:00:00"/>
    <d v="2014-07-16T00:00:00"/>
    <n v="852.8"/>
    <n v="4"/>
  </r>
  <r>
    <s v="Marek"/>
    <x v="60"/>
    <s v="Katowice"/>
    <d v="2014-07-13T00:00:00"/>
    <d v="2014-07-17T00:00:00"/>
    <n v="1290.7"/>
    <n v="5"/>
  </r>
  <r>
    <s v="Piotr"/>
    <x v="27"/>
    <s v="Krakow"/>
    <d v="2014-07-14T00:00:00"/>
    <d v="2014-07-14T00:00:00"/>
    <n v="501.5"/>
    <n v="1"/>
  </r>
  <r>
    <s v="Patrycja"/>
    <x v="98"/>
    <s v="Kielce"/>
    <d v="2014-07-15T00:00:00"/>
    <d v="2014-07-15T00:00:00"/>
    <n v="307.7"/>
    <n v="1"/>
  </r>
  <r>
    <s v="Marcin"/>
    <x v="96"/>
    <s v="Siedlce"/>
    <d v="2014-07-15T00:00:00"/>
    <d v="2014-07-16T00:00:00"/>
    <n v="295.39999999999998"/>
    <n v="2"/>
  </r>
  <r>
    <s v="Wojciech"/>
    <x v="52"/>
    <s v="Bydgoszcz"/>
    <d v="2014-07-15T00:00:00"/>
    <d v="2014-07-15T00:00:00"/>
    <n v="513.4"/>
    <n v="1"/>
  </r>
  <r>
    <s v="Paulina"/>
    <x v="38"/>
    <s v="Mielec"/>
    <d v="2014-07-17T00:00:00"/>
    <d v="2014-07-17T00:00:00"/>
    <n v="442"/>
    <n v="1"/>
  </r>
  <r>
    <s v="Janina"/>
    <x v="68"/>
    <s v="Kutno"/>
    <d v="2014-07-19T00:00:00"/>
    <d v="2014-07-23T00:00:00"/>
    <n v="794.8"/>
    <n v="5"/>
  </r>
  <r>
    <s v="Janina"/>
    <x v="68"/>
    <s v="Radom"/>
    <d v="2014-07-19T00:00:00"/>
    <d v="2014-07-22T00:00:00"/>
    <n v="550.5"/>
    <n v="4"/>
  </r>
  <r>
    <s v="Zofia"/>
    <x v="65"/>
    <s v="Olsztyn"/>
    <d v="2014-07-19T00:00:00"/>
    <d v="2014-07-20T00:00:00"/>
    <n v="526.79999999999995"/>
    <n v="2"/>
  </r>
  <r>
    <s v="Patrycja"/>
    <x v="98"/>
    <s v="Zgierz"/>
    <d v="2014-07-19T00:00:00"/>
    <d v="2014-07-23T00:00:00"/>
    <n v="688.5"/>
    <n v="5"/>
  </r>
  <r>
    <s v="Paulina"/>
    <x v="71"/>
    <s v="Bydgoszcz"/>
    <d v="2014-07-19T00:00:00"/>
    <d v="2014-07-20T00:00:00"/>
    <n v="654.4"/>
    <n v="2"/>
  </r>
  <r>
    <s v="Jerzy"/>
    <x v="29"/>
    <s v="Kielce"/>
    <d v="2014-07-19T00:00:00"/>
    <d v="2014-07-20T00:00:00"/>
    <n v="485.7"/>
    <n v="2"/>
  </r>
  <r>
    <s v="Edwina"/>
    <x v="40"/>
    <s v="Siedlce"/>
    <d v="2014-07-19T00:00:00"/>
    <d v="2014-07-20T00:00:00"/>
    <n v="295.39999999999998"/>
    <n v="2"/>
  </r>
  <r>
    <s v="Adam"/>
    <x v="83"/>
    <s v="Lublin"/>
    <d v="2014-07-19T00:00:00"/>
    <d v="2014-07-23T00:00:00"/>
    <n v="886.7"/>
    <n v="5"/>
  </r>
  <r>
    <s v="Justyna"/>
    <x v="51"/>
    <s v="Lublin"/>
    <d v="2014-07-19T00:00:00"/>
    <d v="2014-07-20T00:00:00"/>
    <n v="439.7"/>
    <n v="2"/>
  </r>
  <r>
    <s v="Marta"/>
    <x v="15"/>
    <s v="Lublin"/>
    <d v="2014-07-19T00:00:00"/>
    <d v="2014-07-21T00:00:00"/>
    <n v="588.70000000000005"/>
    <n v="3"/>
  </r>
  <r>
    <s v="Irma"/>
    <x v="88"/>
    <s v="Bydgoszcz"/>
    <d v="2014-07-19T00:00:00"/>
    <d v="2014-07-21T00:00:00"/>
    <n v="795.4"/>
    <n v="3"/>
  </r>
  <r>
    <s v="Piotr"/>
    <x v="27"/>
    <s v="Siedlce"/>
    <d v="2014-07-19T00:00:00"/>
    <d v="2014-07-19T00:00:00"/>
    <n v="156.4"/>
    <n v="1"/>
  </r>
  <r>
    <s v="Wiktor"/>
    <x v="70"/>
    <s v="Bydgoszcz"/>
    <d v="2014-07-19T00:00:00"/>
    <d v="2014-07-23T00:00:00"/>
    <n v="1077.4000000000001"/>
    <n v="5"/>
  </r>
  <r>
    <s v="Marcin"/>
    <x v="96"/>
    <s v="Malbork"/>
    <d v="2014-07-21T00:00:00"/>
    <d v="2014-07-21T00:00:00"/>
    <n v="680"/>
    <n v="1"/>
  </r>
  <r>
    <s v="Katarzyna"/>
    <x v="56"/>
    <s v="Katowice"/>
    <d v="2014-07-21T00:00:00"/>
    <d v="2014-07-23T00:00:00"/>
    <n v="892.7"/>
    <n v="3"/>
  </r>
  <r>
    <s v="Rozalia"/>
    <x v="74"/>
    <s v="Kielce"/>
    <d v="2014-07-21T00:00:00"/>
    <d v="2014-07-21T00:00:00"/>
    <n v="307.7"/>
    <n v="1"/>
  </r>
  <r>
    <s v="Anna"/>
    <x v="85"/>
    <s v="Lublin"/>
    <d v="2014-07-25T00:00:00"/>
    <d v="2014-07-28T00:00:00"/>
    <n v="737.7"/>
    <n v="4"/>
  </r>
  <r>
    <s v="Dominika"/>
    <x v="64"/>
    <s v="Krakow"/>
    <d v="2014-07-25T00:00:00"/>
    <d v="2014-07-27T00:00:00"/>
    <n v="911.5"/>
    <n v="3"/>
  </r>
  <r>
    <s v="Kornel"/>
    <x v="39"/>
    <s v="Zgierz"/>
    <d v="2014-07-25T00:00:00"/>
    <d v="2014-07-29T00:00:00"/>
    <n v="688.5"/>
    <n v="5"/>
  </r>
  <r>
    <s v="Marzena"/>
    <x v="25"/>
    <s v="Zgierz"/>
    <d v="2014-07-25T00:00:00"/>
    <d v="2014-07-29T00:00:00"/>
    <n v="688.5"/>
    <n v="5"/>
  </r>
  <r>
    <s v="Paulina"/>
    <x v="63"/>
    <s v="Siedlce"/>
    <d v="2014-07-25T00:00:00"/>
    <d v="2014-07-29T00:00:00"/>
    <n v="712.4"/>
    <n v="5"/>
  </r>
  <r>
    <s v="Grzegorz"/>
    <x v="57"/>
    <s v="Krakow"/>
    <d v="2014-07-25T00:00:00"/>
    <d v="2014-07-26T00:00:00"/>
    <n v="706.5"/>
    <n v="2"/>
  </r>
  <r>
    <s v="Piotr"/>
    <x v="16"/>
    <s v="Kutno"/>
    <d v="2014-07-31T00:00:00"/>
    <d v="2014-08-04T00:00:00"/>
    <n v="794.8"/>
    <n v="5"/>
  </r>
  <r>
    <s v="Piotr"/>
    <x v="18"/>
    <s v="Katowice"/>
    <d v="2014-07-31T00:00:00"/>
    <d v="2014-08-03T00:00:00"/>
    <n v="1091.7"/>
    <n v="4"/>
  </r>
  <r>
    <s v="Zofia"/>
    <x v="65"/>
    <s v="Katowice"/>
    <d v="2014-07-31T00:00:00"/>
    <d v="2014-08-02T00:00:00"/>
    <n v="892.7"/>
    <n v="3"/>
  </r>
  <r>
    <s v="Kornel"/>
    <x v="39"/>
    <s v="Mielec"/>
    <d v="2014-07-31T00:00:00"/>
    <d v="2014-08-01T00:00:00"/>
    <n v="570"/>
    <n v="2"/>
  </r>
  <r>
    <s v="Karolina"/>
    <x v="23"/>
    <s v="Lublin"/>
    <d v="2014-07-31T00:00:00"/>
    <d v="2014-08-03T00:00:00"/>
    <n v="737.7"/>
    <n v="4"/>
  </r>
  <r>
    <s v="Andrzej"/>
    <x v="14"/>
    <s v="Zgierz"/>
    <d v="2014-07-31T00:00:00"/>
    <d v="2014-08-04T00:00:00"/>
    <n v="688.5"/>
    <n v="5"/>
  </r>
  <r>
    <s v="Michalina"/>
    <x v="50"/>
    <s v="Kutno"/>
    <d v="2014-07-31T00:00:00"/>
    <d v="2014-08-02T00:00:00"/>
    <n v="536.79999999999995"/>
    <n v="3"/>
  </r>
  <r>
    <s v="Albert"/>
    <x v="94"/>
    <s v="Olsztyn"/>
    <d v="2014-07-31T00:00:00"/>
    <d v="2014-08-01T00:00:00"/>
    <n v="526.79999999999995"/>
    <n v="2"/>
  </r>
  <r>
    <s v="Kazimiera"/>
    <x v="55"/>
    <s v="Malbork"/>
    <d v="2014-07-31T00:00:00"/>
    <d v="2014-08-04T00:00:00"/>
    <n v="1524"/>
    <n v="5"/>
  </r>
  <r>
    <s v="Daria"/>
    <x v="95"/>
    <s v="Krakow"/>
    <d v="2014-07-31T00:00:00"/>
    <d v="2014-08-03T00:00:00"/>
    <n v="1116.5"/>
    <n v="4"/>
  </r>
  <r>
    <s v="Zuzanna"/>
    <x v="82"/>
    <s v="Siedlce"/>
    <d v="2014-07-31T00:00:00"/>
    <d v="2014-08-01T00:00:00"/>
    <n v="295.39999999999998"/>
    <n v="2"/>
  </r>
  <r>
    <s v="Grzegorz"/>
    <x v="57"/>
    <s v="Katowice"/>
    <d v="2014-07-31T00:00:00"/>
    <d v="2014-08-01T00:00:00"/>
    <n v="693.7"/>
    <n v="2"/>
  </r>
  <r>
    <s v="Sebastian"/>
    <x v="35"/>
    <s v="Kalisz"/>
    <d v="2014-07-31T00:00:00"/>
    <d v="2014-08-01T00:00:00"/>
    <n v="601"/>
    <n v="2"/>
  </r>
  <r>
    <s v="Piotr"/>
    <x v="3"/>
    <s v="Malbork"/>
    <d v="2014-07-31T00:00:00"/>
    <d v="2014-08-03T00:00:00"/>
    <n v="1313"/>
    <n v="4"/>
  </r>
  <r>
    <s v="Tomasz"/>
    <x v="58"/>
    <s v="Kutno"/>
    <d v="2014-07-31T00:00:00"/>
    <d v="2014-08-01T00:00:00"/>
    <n v="407.8"/>
    <n v="2"/>
  </r>
  <r>
    <s v="Jan"/>
    <x v="44"/>
    <s v="Kielce"/>
    <d v="2014-07-31T00:00:00"/>
    <d v="2014-08-03T00:00:00"/>
    <n v="841.7"/>
    <n v="4"/>
  </r>
  <r>
    <s v="Zofia"/>
    <x v="45"/>
    <s v="Mielec"/>
    <d v="2014-07-31T00:00:00"/>
    <d v="2014-08-04T00:00:00"/>
    <n v="954"/>
    <n v="5"/>
  </r>
  <r>
    <s v="Piotr"/>
    <x v="47"/>
    <s v="Zgierz"/>
    <d v="2014-07-31T00:00:00"/>
    <d v="2014-08-02T00:00:00"/>
    <n v="450.5"/>
    <n v="3"/>
  </r>
  <r>
    <s v="Paulina"/>
    <x v="22"/>
    <s v="Kutno"/>
    <d v="2014-08-06T00:00:00"/>
    <d v="2014-08-07T00:00:00"/>
    <n v="407.8"/>
    <n v="2"/>
  </r>
  <r>
    <s v="Bogumi"/>
    <x v="79"/>
    <s v="Krakow"/>
    <d v="2014-08-06T00:00:00"/>
    <d v="2014-08-07T00:00:00"/>
    <n v="706.5"/>
    <n v="2"/>
  </r>
  <r>
    <s v="Jerzy"/>
    <x v="11"/>
    <s v="Mielec"/>
    <d v="2014-08-06T00:00:00"/>
    <d v="2014-08-10T00:00:00"/>
    <n v="954"/>
    <n v="5"/>
  </r>
  <r>
    <s v="Piotr"/>
    <x v="27"/>
    <s v="Zgierz"/>
    <d v="2014-08-06T00:00:00"/>
    <d v="2014-08-10T00:00:00"/>
    <n v="688.5"/>
    <n v="5"/>
  </r>
  <r>
    <s v="Zofia"/>
    <x v="45"/>
    <s v="Olsztyn"/>
    <d v="2014-08-06T00:00:00"/>
    <d v="2014-08-09T00:00:00"/>
    <n v="852.8"/>
    <n v="4"/>
  </r>
  <r>
    <s v="Bogumi"/>
    <x v="79"/>
    <s v="Kielce"/>
    <d v="2014-08-09T00:00:00"/>
    <d v="2014-08-09T00:00:00"/>
    <n v="307.7"/>
    <n v="1"/>
  </r>
  <r>
    <s v="Patrycja"/>
    <x v="6"/>
    <s v="Malbork"/>
    <d v="2014-08-12T00:00:00"/>
    <d v="2014-08-16T00:00:00"/>
    <n v="1524"/>
    <n v="5"/>
  </r>
  <r>
    <s v="Anna"/>
    <x v="85"/>
    <s v="Olsztyn"/>
    <d v="2014-08-12T00:00:00"/>
    <d v="2014-08-13T00:00:00"/>
    <n v="526.79999999999995"/>
    <n v="2"/>
  </r>
  <r>
    <s v="Zofia"/>
    <x v="65"/>
    <s v="Lublin"/>
    <d v="2014-08-12T00:00:00"/>
    <d v="2014-08-14T00:00:00"/>
    <n v="588.70000000000005"/>
    <n v="3"/>
  </r>
  <r>
    <s v="Eustachy"/>
    <x v="37"/>
    <s v="Lublin"/>
    <d v="2014-08-12T00:00:00"/>
    <d v="2014-08-12T00:00:00"/>
    <n v="290.7"/>
    <n v="1"/>
  </r>
  <r>
    <s v="Edwina"/>
    <x v="40"/>
    <s v="Kielce"/>
    <d v="2014-08-12T00:00:00"/>
    <d v="2014-08-14T00:00:00"/>
    <n v="663.7"/>
    <n v="3"/>
  </r>
  <r>
    <s v="Marzena"/>
    <x v="25"/>
    <s v="Kutno"/>
    <d v="2014-08-12T00:00:00"/>
    <d v="2014-08-14T00:00:00"/>
    <n v="536.79999999999995"/>
    <n v="3"/>
  </r>
  <r>
    <s v="Justyna"/>
    <x v="1"/>
    <s v="Olsztyn"/>
    <d v="2014-08-12T00:00:00"/>
    <d v="2014-08-13T00:00:00"/>
    <n v="526.79999999999995"/>
    <n v="2"/>
  </r>
  <r>
    <s v="Wojciech"/>
    <x v="33"/>
    <s v="Malbork"/>
    <d v="2014-08-12T00:00:00"/>
    <d v="2014-08-13T00:00:00"/>
    <n v="891"/>
    <n v="2"/>
  </r>
  <r>
    <s v="Wojciech"/>
    <x v="52"/>
    <s v="Krakow"/>
    <d v="2014-08-12T00:00:00"/>
    <d v="2014-08-16T00:00:00"/>
    <n v="1321.5"/>
    <n v="5"/>
  </r>
  <r>
    <s v="Adam"/>
    <x v="41"/>
    <s v="Katowice"/>
    <d v="2014-08-12T00:00:00"/>
    <d v="2014-08-12T00:00:00"/>
    <n v="494.7"/>
    <n v="1"/>
  </r>
  <r>
    <s v="Zyta"/>
    <x v="80"/>
    <s v="Zgierz"/>
    <d v="2014-08-12T00:00:00"/>
    <d v="2014-08-16T00:00:00"/>
    <n v="688.5"/>
    <n v="5"/>
  </r>
  <r>
    <s v="Jerzy"/>
    <x v="11"/>
    <s v="Katowice"/>
    <d v="2014-08-12T00:00:00"/>
    <d v="2014-08-12T00:00:00"/>
    <n v="494.7"/>
    <n v="1"/>
  </r>
  <r>
    <s v="Malwina"/>
    <x v="62"/>
    <s v="Olsztyn"/>
    <d v="2014-08-12T00:00:00"/>
    <d v="2014-08-14T00:00:00"/>
    <n v="689.8"/>
    <n v="3"/>
  </r>
  <r>
    <s v="Jan"/>
    <x v="44"/>
    <s v="Radom"/>
    <d v="2014-08-12T00:00:00"/>
    <d v="2014-08-16T00:00:00"/>
    <n v="674.5"/>
    <n v="5"/>
  </r>
  <r>
    <s v="Zofia"/>
    <x v="45"/>
    <s v="Kielce"/>
    <d v="2014-08-12T00:00:00"/>
    <d v="2014-08-14T00:00:00"/>
    <n v="663.7"/>
    <n v="3"/>
  </r>
  <r>
    <s v="Marek"/>
    <x v="60"/>
    <s v="Kalisz"/>
    <d v="2014-08-12T00:00:00"/>
    <d v="2014-08-14T00:00:00"/>
    <n v="760"/>
    <n v="3"/>
  </r>
  <r>
    <s v="Kamil"/>
    <x v="5"/>
    <s v="Olsztyn"/>
    <d v="2014-08-12T00:00:00"/>
    <d v="2014-08-16T00:00:00"/>
    <n v="1015.8"/>
    <n v="5"/>
  </r>
  <r>
    <s v="Jerzy"/>
    <x v="11"/>
    <s v="Olsztyn"/>
    <d v="2014-08-14T00:00:00"/>
    <d v="2014-08-14T00:00:00"/>
    <n v="363.8"/>
    <n v="1"/>
  </r>
  <r>
    <s v="Zofia"/>
    <x v="65"/>
    <s v="Malbork"/>
    <d v="2014-08-18T00:00:00"/>
    <d v="2014-08-20T00:00:00"/>
    <n v="1102"/>
    <n v="3"/>
  </r>
  <r>
    <s v="Paulina"/>
    <x v="71"/>
    <s v="Lublin"/>
    <d v="2014-08-18T00:00:00"/>
    <d v="2014-08-22T00:00:00"/>
    <n v="886.7"/>
    <n v="5"/>
  </r>
  <r>
    <s v="Marek"/>
    <x v="32"/>
    <s v="Siedlce"/>
    <d v="2014-08-18T00:00:00"/>
    <d v="2014-08-19T00:00:00"/>
    <n v="295.39999999999998"/>
    <n v="2"/>
  </r>
  <r>
    <s v="Adam"/>
    <x v="41"/>
    <s v="Malbork"/>
    <d v="2014-08-18T00:00:00"/>
    <d v="2014-08-19T00:00:00"/>
    <n v="891"/>
    <n v="2"/>
  </r>
  <r>
    <s v="Irma"/>
    <x v="88"/>
    <s v="Olsztyn"/>
    <d v="2014-08-18T00:00:00"/>
    <d v="2014-08-20T00:00:00"/>
    <n v="689.8"/>
    <n v="3"/>
  </r>
  <r>
    <s v="Tomasz"/>
    <x v="58"/>
    <s v="Krakow"/>
    <d v="2014-08-18T00:00:00"/>
    <d v="2014-08-20T00:00:00"/>
    <n v="911.5"/>
    <n v="3"/>
  </r>
  <r>
    <s v="Piotr"/>
    <x v="16"/>
    <s v="Zgierz"/>
    <d v="2014-08-24T00:00:00"/>
    <d v="2014-08-26T00:00:00"/>
    <n v="450.5"/>
    <n v="3"/>
  </r>
  <r>
    <s v="Karolina"/>
    <x v="0"/>
    <s v="Malbork"/>
    <d v="2014-08-24T00:00:00"/>
    <d v="2014-08-28T00:00:00"/>
    <n v="1524"/>
    <n v="5"/>
  </r>
  <r>
    <s v="Andrzej"/>
    <x v="77"/>
    <s v="Krakow"/>
    <d v="2014-08-24T00:00:00"/>
    <d v="2014-08-25T00:00:00"/>
    <n v="706.5"/>
    <n v="2"/>
  </r>
  <r>
    <s v="Wiktor"/>
    <x v="86"/>
    <s v="Bydgoszcz"/>
    <d v="2014-08-24T00:00:00"/>
    <d v="2014-08-28T00:00:00"/>
    <n v="1077.4000000000001"/>
    <n v="5"/>
  </r>
  <r>
    <s v="Janusz"/>
    <x v="48"/>
    <s v="Malbork"/>
    <d v="2014-08-24T00:00:00"/>
    <d v="2014-08-25T00:00:00"/>
    <n v="891"/>
    <n v="2"/>
  </r>
  <r>
    <s v="Kacper"/>
    <x v="67"/>
    <s v="Krakow"/>
    <d v="2014-08-24T00:00:00"/>
    <d v="2014-08-27T00:00:00"/>
    <n v="1116.5"/>
    <n v="4"/>
  </r>
  <r>
    <s v="Justyna"/>
    <x v="51"/>
    <s v="Zgierz"/>
    <d v="2014-08-24T00:00:00"/>
    <d v="2014-08-28T00:00:00"/>
    <n v="688.5"/>
    <n v="5"/>
  </r>
  <r>
    <s v="Irma"/>
    <x v="88"/>
    <s v="Krakow"/>
    <d v="2014-08-24T00:00:00"/>
    <d v="2014-08-27T00:00:00"/>
    <n v="1116.5"/>
    <n v="4"/>
  </r>
  <r>
    <s v="Zuzanna"/>
    <x v="82"/>
    <s v="Lublin"/>
    <d v="2014-08-24T00:00:00"/>
    <d v="2014-08-28T00:00:00"/>
    <n v="886.7"/>
    <n v="5"/>
  </r>
  <r>
    <s v="Tomasz"/>
    <x v="58"/>
    <s v="Katowice"/>
    <d v="2014-08-24T00:00:00"/>
    <d v="2014-08-26T00:00:00"/>
    <n v="892.7"/>
    <n v="3"/>
  </r>
  <r>
    <s v="Adam"/>
    <x v="73"/>
    <s v="Radom"/>
    <d v="2014-08-24T00:00:00"/>
    <d v="2014-08-28T00:00:00"/>
    <n v="674.5"/>
    <n v="5"/>
  </r>
  <r>
    <s v="Olivia"/>
    <x v="20"/>
    <s v="Malbork"/>
    <d v="2014-08-25T00:00:00"/>
    <d v="2014-08-26T00:00:00"/>
    <n v="891"/>
    <n v="2"/>
  </r>
  <r>
    <s v="Kazimiera"/>
    <x v="55"/>
    <s v="Bydgoszcz"/>
    <d v="2014-08-25T00:00:00"/>
    <d v="2014-08-26T00:00:00"/>
    <n v="654.4"/>
    <n v="2"/>
  </r>
  <r>
    <s v="Kamil"/>
    <x v="92"/>
    <s v="Kalisz"/>
    <d v="2014-08-25T00:00:00"/>
    <d v="2014-08-27T00:00:00"/>
    <n v="760"/>
    <n v="3"/>
  </r>
  <r>
    <s v="Piotr"/>
    <x v="3"/>
    <s v="Kutno"/>
    <d v="2014-08-25T00:00:00"/>
    <d v="2014-08-26T00:00:00"/>
    <n v="407.8"/>
    <n v="2"/>
  </r>
  <r>
    <s v="Kamil"/>
    <x v="5"/>
    <s v="Bydgoszcz"/>
    <d v="2014-08-25T00:00:00"/>
    <d v="2014-08-26T00:00:00"/>
    <n v="654.4"/>
    <n v="2"/>
  </r>
  <r>
    <s v="Jerzy"/>
    <x v="7"/>
    <s v="Kutno"/>
    <d v="2014-08-26T00:00:00"/>
    <d v="2014-08-27T00:00:00"/>
    <n v="407.8"/>
    <n v="2"/>
  </r>
  <r>
    <s v="Zofia"/>
    <x v="54"/>
    <s v="Katowice"/>
    <d v="2014-08-27T00:00:00"/>
    <d v="2014-08-27T00:00:00"/>
    <n v="494.7"/>
    <n v="1"/>
  </r>
  <r>
    <s v="Eustachy"/>
    <x v="37"/>
    <s v="Olsztyn"/>
    <d v="2014-08-30T00:00:00"/>
    <d v="2014-09-02T00:00:00"/>
    <n v="852.8"/>
    <n v="4"/>
  </r>
  <r>
    <s v="Olivia"/>
    <x v="20"/>
    <s v="Katowice"/>
    <d v="2014-08-30T00:00:00"/>
    <d v="2014-08-31T00:00:00"/>
    <n v="693.7"/>
    <n v="2"/>
  </r>
  <r>
    <s v="Jerzy"/>
    <x v="7"/>
    <s v="Siedlce"/>
    <d v="2014-08-30T00:00:00"/>
    <d v="2014-09-01T00:00:00"/>
    <n v="434.4"/>
    <n v="3"/>
  </r>
  <r>
    <s v="Kornel"/>
    <x v="66"/>
    <s v="Kielce"/>
    <d v="2014-08-30T00:00:00"/>
    <d v="2014-08-31T00:00:00"/>
    <n v="485.7"/>
    <n v="2"/>
  </r>
  <r>
    <s v="Zuzanna"/>
    <x v="82"/>
    <s v="Malbork"/>
    <d v="2014-08-30T00:00:00"/>
    <d v="2014-08-31T00:00:00"/>
    <n v="891"/>
    <n v="2"/>
  </r>
  <r>
    <s v="Karol"/>
    <x v="28"/>
    <s v="Krakow"/>
    <d v="2014-08-30T00:00:00"/>
    <d v="2014-09-03T00:00:00"/>
    <n v="1321.5"/>
    <n v="5"/>
  </r>
  <r>
    <s v="Katarzyna"/>
    <x v="56"/>
    <s v="Radom"/>
    <d v="2014-09-03T00:00:00"/>
    <d v="2014-09-06T00:00:00"/>
    <n v="550.5"/>
    <n v="4"/>
  </r>
  <r>
    <s v="Sebastian"/>
    <x v="36"/>
    <s v="Lublin"/>
    <d v="2014-09-04T00:00:00"/>
    <d v="2014-09-05T00:00:00"/>
    <n v="439.7"/>
    <n v="2"/>
  </r>
  <r>
    <s v="Karolina"/>
    <x v="0"/>
    <s v="Zgierz"/>
    <d v="2014-09-04T00:00:00"/>
    <d v="2014-09-07T00:00:00"/>
    <n v="569.5"/>
    <n v="4"/>
  </r>
  <r>
    <s v="Dominika"/>
    <x v="64"/>
    <s v="Radom"/>
    <d v="2014-09-04T00:00:00"/>
    <d v="2014-09-07T00:00:00"/>
    <n v="550.5"/>
    <n v="4"/>
  </r>
  <r>
    <s v="Zofia"/>
    <x v="65"/>
    <s v="Lublin"/>
    <d v="2014-09-04T00:00:00"/>
    <d v="2014-09-05T00:00:00"/>
    <n v="439.7"/>
    <n v="2"/>
  </r>
  <r>
    <s v="Patrycja"/>
    <x v="98"/>
    <s v="Lublin"/>
    <d v="2014-09-04T00:00:00"/>
    <d v="2014-09-04T00:00:00"/>
    <n v="290.7"/>
    <n v="1"/>
  </r>
  <r>
    <s v="Edwina"/>
    <x v="40"/>
    <s v="Bydgoszcz"/>
    <d v="2014-09-04T00:00:00"/>
    <d v="2014-09-08T00:00:00"/>
    <n v="1077.4000000000001"/>
    <n v="5"/>
  </r>
  <r>
    <s v="Kornel"/>
    <x v="66"/>
    <s v="Radom"/>
    <d v="2014-09-04T00:00:00"/>
    <d v="2014-09-06T00:00:00"/>
    <n v="426.5"/>
    <n v="3"/>
  </r>
  <r>
    <s v="Andrzej"/>
    <x v="10"/>
    <s v="Mielec"/>
    <d v="2014-09-04T00:00:00"/>
    <d v="2014-09-05T00:00:00"/>
    <n v="570"/>
    <n v="2"/>
  </r>
  <r>
    <s v="Justyna"/>
    <x v="31"/>
    <s v="Lublin"/>
    <d v="2014-09-04T00:00:00"/>
    <d v="2014-09-04T00:00:00"/>
    <n v="290.7"/>
    <n v="1"/>
  </r>
  <r>
    <s v="Bogumi"/>
    <x v="79"/>
    <s v="Bydgoszcz"/>
    <d v="2014-09-04T00:00:00"/>
    <d v="2014-09-05T00:00:00"/>
    <n v="654.4"/>
    <n v="2"/>
  </r>
  <r>
    <s v="Ewelia"/>
    <x v="42"/>
    <s v="Kielce"/>
    <d v="2014-09-04T00:00:00"/>
    <d v="2014-09-08T00:00:00"/>
    <n v="1019.7"/>
    <n v="5"/>
  </r>
  <r>
    <s v="Malwina"/>
    <x v="62"/>
    <s v="Siedlce"/>
    <d v="2014-09-04T00:00:00"/>
    <d v="2014-09-07T00:00:00"/>
    <n v="573.4"/>
    <n v="4"/>
  </r>
  <r>
    <s v="January"/>
    <x v="12"/>
    <s v="Krakow"/>
    <d v="2014-09-04T00:00:00"/>
    <d v="2014-09-07T00:00:00"/>
    <n v="1116.5"/>
    <n v="4"/>
  </r>
  <r>
    <s v="Ewelia"/>
    <x v="34"/>
    <s v="Siedlce"/>
    <d v="2014-09-04T00:00:00"/>
    <d v="2014-09-06T00:00:00"/>
    <n v="434.4"/>
    <n v="3"/>
  </r>
  <r>
    <s v="Jan"/>
    <x v="44"/>
    <s v="Kutno"/>
    <d v="2014-09-04T00:00:00"/>
    <d v="2014-09-05T00:00:00"/>
    <n v="407.8"/>
    <n v="2"/>
  </r>
  <r>
    <s v="Dorota"/>
    <x v="46"/>
    <s v="Kielce"/>
    <d v="2014-09-04T00:00:00"/>
    <d v="2014-09-07T00:00:00"/>
    <n v="841.7"/>
    <n v="4"/>
  </r>
  <r>
    <s v="Paulina"/>
    <x v="61"/>
    <s v="Zgierz"/>
    <d v="2014-09-04T00:00:00"/>
    <d v="2014-09-04T00:00:00"/>
    <n v="212.5"/>
    <n v="1"/>
  </r>
  <r>
    <s v="Piotr"/>
    <x v="18"/>
    <s v="Lublin"/>
    <d v="2014-09-05T00:00:00"/>
    <d v="2014-09-07T00:00:00"/>
    <n v="588.70000000000005"/>
    <n v="3"/>
  </r>
  <r>
    <s v="Jerzy"/>
    <x v="7"/>
    <s v="Krakow"/>
    <d v="2014-09-05T00:00:00"/>
    <d v="2014-09-05T00:00:00"/>
    <n v="501.5"/>
    <n v="1"/>
  </r>
  <r>
    <s v="Marek"/>
    <x v="32"/>
    <s v="Radom"/>
    <d v="2014-09-05T00:00:00"/>
    <d v="2014-09-06T00:00:00"/>
    <n v="302.5"/>
    <n v="2"/>
  </r>
  <r>
    <s v="Anna"/>
    <x v="76"/>
    <s v="Mielec"/>
    <d v="2014-09-05T00:00:00"/>
    <d v="2014-09-05T00:00:00"/>
    <n v="442"/>
    <n v="1"/>
  </r>
  <r>
    <s v="Zuzanna"/>
    <x v="72"/>
    <s v="Bydgoszcz"/>
    <d v="2014-09-05T00:00:00"/>
    <d v="2014-09-08T00:00:00"/>
    <n v="936.4"/>
    <n v="4"/>
  </r>
  <r>
    <s v="Ewa"/>
    <x v="49"/>
    <s v="Bydgoszcz"/>
    <d v="2014-09-05T00:00:00"/>
    <d v="2014-09-05T00:00:00"/>
    <n v="513.4"/>
    <n v="1"/>
  </r>
  <r>
    <s v="Michalina"/>
    <x v="50"/>
    <s v="Siedlce"/>
    <d v="2014-09-05T00:00:00"/>
    <d v="2014-09-06T00:00:00"/>
    <n v="295.39999999999998"/>
    <n v="2"/>
  </r>
  <r>
    <s v="Bogumi"/>
    <x v="79"/>
    <s v="Zgierz"/>
    <d v="2014-09-05T00:00:00"/>
    <d v="2014-09-09T00:00:00"/>
    <n v="688.5"/>
    <n v="5"/>
  </r>
  <r>
    <s v="Zofia"/>
    <x v="54"/>
    <s v="Krakow"/>
    <d v="2014-09-05T00:00:00"/>
    <d v="2014-09-08T00:00:00"/>
    <n v="1116.5"/>
    <n v="4"/>
  </r>
  <r>
    <s v="Zofia"/>
    <x v="45"/>
    <s v="Radom"/>
    <d v="2014-09-05T00:00:00"/>
    <d v="2014-09-07T00:00:00"/>
    <n v="426.5"/>
    <n v="3"/>
  </r>
  <r>
    <s v="Rozalia"/>
    <x v="74"/>
    <s v="Mielec"/>
    <d v="2014-09-05T00:00:00"/>
    <d v="2014-09-07T00:00:00"/>
    <n v="698"/>
    <n v="3"/>
  </r>
  <r>
    <s v="Anna"/>
    <x v="59"/>
    <s v="Zgierz"/>
    <d v="2014-09-05T00:00:00"/>
    <d v="2014-09-06T00:00:00"/>
    <n v="331.5"/>
    <n v="2"/>
  </r>
  <r>
    <s v="Karol"/>
    <x v="28"/>
    <s v="Kutno"/>
    <d v="2014-09-05T00:00:00"/>
    <d v="2014-09-07T00:00:00"/>
    <n v="536.79999999999995"/>
    <n v="3"/>
  </r>
  <r>
    <s v="Adam"/>
    <x v="73"/>
    <s v="Katowice"/>
    <d v="2014-09-05T00:00:00"/>
    <d v="2014-09-06T00:00:00"/>
    <n v="693.7"/>
    <n v="2"/>
  </r>
  <r>
    <s v="Zofia"/>
    <x v="65"/>
    <s v="Krakow"/>
    <d v="2014-09-07T00:00:00"/>
    <d v="2014-09-07T00:00:00"/>
    <n v="501.5"/>
    <n v="1"/>
  </r>
  <r>
    <s v="Paulina"/>
    <x v="22"/>
    <s v="Bydgoszcz"/>
    <d v="2014-09-08T00:00:00"/>
    <d v="2014-09-08T00:00:00"/>
    <n v="513.4"/>
    <n v="1"/>
  </r>
  <r>
    <s v="Patrycja"/>
    <x v="98"/>
    <s v="Mielec"/>
    <d v="2014-09-08T00:00:00"/>
    <d v="2014-09-08T00:00:00"/>
    <n v="442"/>
    <n v="1"/>
  </r>
  <r>
    <s v="Justyna"/>
    <x v="31"/>
    <s v="Kutno"/>
    <d v="2014-09-08T00:00:00"/>
    <d v="2014-09-08T00:00:00"/>
    <n v="278.8"/>
    <n v="1"/>
  </r>
  <r>
    <s v="Paulina"/>
    <x v="61"/>
    <s v="Lublin"/>
    <d v="2014-09-08T00:00:00"/>
    <d v="2014-09-08T00:00:00"/>
    <n v="290.7"/>
    <n v="1"/>
  </r>
  <r>
    <s v="Ewa"/>
    <x v="69"/>
    <s v="Kutno"/>
    <d v="2014-09-11T00:00:00"/>
    <d v="2014-09-14T00:00:00"/>
    <n v="665.8"/>
    <n v="4"/>
  </r>
  <r>
    <s v="Anna"/>
    <x v="76"/>
    <s v="Malbork"/>
    <d v="2014-09-11T00:00:00"/>
    <d v="2014-09-14T00:00:00"/>
    <n v="1313"/>
    <n v="4"/>
  </r>
  <r>
    <s v="Katarzyna"/>
    <x v="56"/>
    <s v="Malbork"/>
    <d v="2014-09-11T00:00:00"/>
    <d v="2014-09-12T00:00:00"/>
    <n v="891"/>
    <n v="2"/>
  </r>
  <r>
    <s v="Rozalia"/>
    <x v="74"/>
    <s v="Olsztyn"/>
    <d v="2014-09-11T00:00:00"/>
    <d v="2014-09-13T00:00:00"/>
    <n v="689.8"/>
    <n v="3"/>
  </r>
  <r>
    <s v="Dorota"/>
    <x v="46"/>
    <s v="Olsztyn"/>
    <d v="2014-09-11T00:00:00"/>
    <d v="2014-09-12T00:00:00"/>
    <n v="526.79999999999995"/>
    <n v="2"/>
  </r>
  <r>
    <s v="Amelia"/>
    <x v="24"/>
    <s v="Siedlce"/>
    <d v="2014-09-11T00:00:00"/>
    <d v="2014-09-14T00:00:00"/>
    <n v="573.4"/>
    <n v="4"/>
  </r>
  <r>
    <s v="Karolina"/>
    <x v="0"/>
    <s v="Kutno"/>
    <d v="2014-09-15T00:00:00"/>
    <d v="2014-09-15T00:00:00"/>
    <n v="278.8"/>
    <n v="1"/>
  </r>
  <r>
    <s v="Paulina"/>
    <x v="61"/>
    <s v="Krakow"/>
    <d v="2014-09-15T00:00:00"/>
    <d v="2014-09-16T00:00:00"/>
    <n v="706.5"/>
    <n v="2"/>
  </r>
  <r>
    <s v="Patrycja"/>
    <x v="6"/>
    <s v="Lublin"/>
    <d v="2014-09-16T00:00:00"/>
    <d v="2014-09-19T00:00:00"/>
    <n v="737.7"/>
    <n v="4"/>
  </r>
  <r>
    <s v="Patrycja"/>
    <x v="6"/>
    <s v="Mielec"/>
    <d v="2014-09-16T00:00:00"/>
    <d v="2014-09-18T00:00:00"/>
    <n v="698"/>
    <n v="3"/>
  </r>
  <r>
    <s v="Sebastian"/>
    <x v="36"/>
    <s v="Krakow"/>
    <d v="2014-09-16T00:00:00"/>
    <d v="2014-09-17T00:00:00"/>
    <n v="706.5"/>
    <n v="2"/>
  </r>
  <r>
    <s v="Karolina"/>
    <x v="75"/>
    <s v="Kutno"/>
    <d v="2014-09-16T00:00:00"/>
    <d v="2014-09-18T00:00:00"/>
    <n v="536.79999999999995"/>
    <n v="3"/>
  </r>
  <r>
    <s v="Dominika"/>
    <x v="64"/>
    <s v="Siedlce"/>
    <d v="2014-09-16T00:00:00"/>
    <d v="2014-09-20T00:00:00"/>
    <n v="712.4"/>
    <n v="5"/>
  </r>
  <r>
    <s v="Amelia"/>
    <x v="93"/>
    <s v="Bydgoszcz"/>
    <d v="2014-09-16T00:00:00"/>
    <d v="2014-09-19T00:00:00"/>
    <n v="936.4"/>
    <n v="4"/>
  </r>
  <r>
    <s v="Amelia"/>
    <x v="93"/>
    <s v="Malbork"/>
    <d v="2014-09-16T00:00:00"/>
    <d v="2014-09-20T00:00:00"/>
    <n v="1524"/>
    <n v="5"/>
  </r>
  <r>
    <s v="Patrycja"/>
    <x v="98"/>
    <s v="Bydgoszcz"/>
    <d v="2014-09-16T00:00:00"/>
    <d v="2014-09-18T00:00:00"/>
    <n v="795.4"/>
    <n v="3"/>
  </r>
  <r>
    <s v="Olivia"/>
    <x v="20"/>
    <s v="Krakow"/>
    <d v="2014-09-16T00:00:00"/>
    <d v="2014-09-19T00:00:00"/>
    <n v="1116.5"/>
    <n v="4"/>
  </r>
  <r>
    <s v="Anna"/>
    <x v="76"/>
    <s v="Katowice"/>
    <d v="2014-09-16T00:00:00"/>
    <d v="2014-09-17T00:00:00"/>
    <n v="693.7"/>
    <n v="2"/>
  </r>
  <r>
    <s v="Andrzej"/>
    <x v="10"/>
    <s v="Katowice"/>
    <d v="2014-09-16T00:00:00"/>
    <d v="2014-09-18T00:00:00"/>
    <n v="892.7"/>
    <n v="3"/>
  </r>
  <r>
    <s v="Andrzej"/>
    <x v="14"/>
    <s v="Krakow"/>
    <d v="2014-09-16T00:00:00"/>
    <d v="2014-09-16T00:00:00"/>
    <n v="501.5"/>
    <n v="1"/>
  </r>
  <r>
    <s v="Zofia"/>
    <x v="54"/>
    <s v="Mielec"/>
    <d v="2014-09-16T00:00:00"/>
    <d v="2014-09-17T00:00:00"/>
    <n v="570"/>
    <n v="2"/>
  </r>
  <r>
    <s v="Jerzy"/>
    <x v="11"/>
    <s v="Kutno"/>
    <d v="2014-09-16T00:00:00"/>
    <d v="2014-09-19T00:00:00"/>
    <n v="665.8"/>
    <n v="4"/>
  </r>
  <r>
    <s v="Malwina"/>
    <x v="62"/>
    <s v="Zgierz"/>
    <d v="2014-09-16T00:00:00"/>
    <d v="2014-09-17T00:00:00"/>
    <n v="331.5"/>
    <n v="2"/>
  </r>
  <r>
    <s v="Karolina"/>
    <x v="17"/>
    <s v="Zgierz"/>
    <d v="2014-09-16T00:00:00"/>
    <d v="2014-09-19T00:00:00"/>
    <n v="569.5"/>
    <n v="4"/>
  </r>
  <r>
    <s v="Piotr"/>
    <x v="3"/>
    <s v="Lublin"/>
    <d v="2014-09-16T00:00:00"/>
    <d v="2014-09-20T00:00:00"/>
    <n v="886.7"/>
    <n v="5"/>
  </r>
  <r>
    <s v="Jan"/>
    <x v="44"/>
    <s v="Malbork"/>
    <d v="2014-09-16T00:00:00"/>
    <d v="2014-09-18T00:00:00"/>
    <n v="1102"/>
    <n v="3"/>
  </r>
  <r>
    <s v="Rozalia"/>
    <x v="74"/>
    <s v="Katowice"/>
    <d v="2014-09-16T00:00:00"/>
    <d v="2014-09-18T00:00:00"/>
    <n v="892.7"/>
    <n v="3"/>
  </r>
  <r>
    <s v="Karolina"/>
    <x v="75"/>
    <s v="Lublin"/>
    <d v="2014-09-17T00:00:00"/>
    <d v="2014-09-20T00:00:00"/>
    <n v="737.7"/>
    <n v="4"/>
  </r>
  <r>
    <s v="Adam"/>
    <x v="83"/>
    <s v="Zgierz"/>
    <d v="2014-09-17T00:00:00"/>
    <d v="2014-09-18T00:00:00"/>
    <n v="331.5"/>
    <n v="2"/>
  </r>
  <r>
    <s v="Ewa"/>
    <x v="69"/>
    <s v="Mielec"/>
    <d v="2014-09-17T00:00:00"/>
    <d v="2014-09-18T00:00:00"/>
    <n v="570"/>
    <n v="2"/>
  </r>
  <r>
    <s v="Olivia"/>
    <x v="20"/>
    <s v="Katowice"/>
    <d v="2014-09-17T00:00:00"/>
    <d v="2014-09-20T00:00:00"/>
    <n v="1091.7"/>
    <n v="4"/>
  </r>
  <r>
    <s v="Kornel"/>
    <x v="66"/>
    <s v="Kielce"/>
    <d v="2014-09-17T00:00:00"/>
    <d v="2014-09-18T00:00:00"/>
    <n v="485.7"/>
    <n v="2"/>
  </r>
  <r>
    <s v="Ewa"/>
    <x v="49"/>
    <s v="Siedlce"/>
    <d v="2014-09-17T00:00:00"/>
    <d v="2014-09-21T00:00:00"/>
    <n v="712.4"/>
    <n v="5"/>
  </r>
  <r>
    <s v="Michalina"/>
    <x v="50"/>
    <s v="Mielec"/>
    <d v="2014-09-17T00:00:00"/>
    <d v="2014-09-20T00:00:00"/>
    <n v="826"/>
    <n v="4"/>
  </r>
  <r>
    <s v="Wojciech"/>
    <x v="87"/>
    <s v="Krakow"/>
    <d v="2014-09-17T00:00:00"/>
    <d v="2014-09-18T00:00:00"/>
    <n v="706.5"/>
    <n v="2"/>
  </r>
  <r>
    <s v="Teresa"/>
    <x v="84"/>
    <s v="Radom"/>
    <d v="2014-09-17T00:00:00"/>
    <d v="2014-09-20T00:00:00"/>
    <n v="550.5"/>
    <n v="4"/>
  </r>
  <r>
    <s v="Malwina"/>
    <x v="62"/>
    <s v="Olsztyn"/>
    <d v="2014-09-17T00:00:00"/>
    <d v="2014-09-18T00:00:00"/>
    <n v="526.79999999999995"/>
    <n v="2"/>
  </r>
  <r>
    <s v="Grzegorz"/>
    <x v="57"/>
    <s v="Zgierz"/>
    <d v="2014-09-17T00:00:00"/>
    <d v="2014-09-20T00:00:00"/>
    <n v="569.5"/>
    <n v="4"/>
  </r>
  <r>
    <s v="Ewelia"/>
    <x v="34"/>
    <s v="Olsztyn"/>
    <d v="2014-09-17T00:00:00"/>
    <d v="2014-09-21T00:00:00"/>
    <n v="1015.8"/>
    <n v="5"/>
  </r>
  <r>
    <s v="Tomasz"/>
    <x v="58"/>
    <s v="Malbork"/>
    <d v="2014-09-17T00:00:00"/>
    <d v="2014-09-19T00:00:00"/>
    <n v="1102"/>
    <n v="3"/>
  </r>
  <r>
    <s v="Marek"/>
    <x v="60"/>
    <s v="Mielec"/>
    <d v="2014-09-17T00:00:00"/>
    <d v="2014-09-20T00:00:00"/>
    <n v="826"/>
    <n v="4"/>
  </r>
  <r>
    <s v="Kamil"/>
    <x v="5"/>
    <s v="Siedlce"/>
    <d v="2014-09-17T00:00:00"/>
    <d v="2014-09-19T00:00:00"/>
    <n v="434.4"/>
    <n v="3"/>
  </r>
  <r>
    <s v="Andrzej"/>
    <x v="14"/>
    <s v="Siedlce"/>
    <d v="2014-09-18T00:00:00"/>
    <d v="2014-09-20T00:00:00"/>
    <n v="434.4"/>
    <n v="3"/>
  </r>
  <r>
    <s v="Dorota"/>
    <x v="2"/>
    <s v="Malbork"/>
    <d v="2014-09-19T00:00:00"/>
    <d v="2014-09-19T00:00:00"/>
    <n v="680"/>
    <n v="1"/>
  </r>
  <r>
    <s v="Kornel"/>
    <x v="66"/>
    <s v="Krakow"/>
    <d v="2014-09-20T00:00:00"/>
    <d v="2014-09-20T00:00:00"/>
    <n v="501.5"/>
    <n v="1"/>
  </r>
  <r>
    <s v="Piotr"/>
    <x v="16"/>
    <s v="Kutno"/>
    <d v="2014-09-22T00:00:00"/>
    <d v="2014-09-22T00:00:00"/>
    <n v="278.8"/>
    <n v="1"/>
  </r>
  <r>
    <s v="Patrycja"/>
    <x v="6"/>
    <s v="Kalisz"/>
    <d v="2014-09-23T00:00:00"/>
    <d v="2014-09-27T00:00:00"/>
    <n v="1078"/>
    <n v="5"/>
  </r>
  <r>
    <s v="Zofia"/>
    <x v="65"/>
    <s v="Lublin"/>
    <d v="2014-09-23T00:00:00"/>
    <d v="2014-09-27T00:00:00"/>
    <n v="886.7"/>
    <n v="5"/>
  </r>
  <r>
    <s v="Lidia"/>
    <x v="21"/>
    <s v="Bydgoszcz"/>
    <d v="2014-09-23T00:00:00"/>
    <d v="2014-09-23T00:00:00"/>
    <n v="513.4"/>
    <n v="1"/>
  </r>
  <r>
    <s v="Kazimiera"/>
    <x v="55"/>
    <s v="Krakow"/>
    <d v="2014-09-23T00:00:00"/>
    <d v="2014-09-25T00:00:00"/>
    <n v="911.5"/>
    <n v="3"/>
  </r>
  <r>
    <s v="Justyna"/>
    <x v="4"/>
    <s v="Bydgoszcz"/>
    <d v="2014-09-23T00:00:00"/>
    <d v="2014-09-26T00:00:00"/>
    <n v="936.4"/>
    <n v="4"/>
  </r>
  <r>
    <s v="Kamil"/>
    <x v="5"/>
    <s v="Krakow"/>
    <d v="2014-09-23T00:00:00"/>
    <d v="2014-09-23T00:00:00"/>
    <n v="501.5"/>
    <n v="1"/>
  </r>
  <r>
    <s v="Piotr"/>
    <x v="3"/>
    <s v="Malbork"/>
    <d v="2014-09-24T00:00:00"/>
    <d v="2014-09-26T00:00:00"/>
    <n v="1102"/>
    <n v="3"/>
  </r>
  <r>
    <s v="Lidia"/>
    <x v="21"/>
    <s v="Lublin"/>
    <d v="2014-09-26T00:00:00"/>
    <d v="2014-09-26T00:00:00"/>
    <n v="290.7"/>
    <n v="1"/>
  </r>
  <r>
    <s v="Bonifacy"/>
    <x v="19"/>
    <s v="Radom"/>
    <d v="2014-09-28T00:00:00"/>
    <d v="2014-09-28T00:00:00"/>
    <n v="178.5"/>
    <n v="1"/>
  </r>
  <r>
    <s v="Karolina"/>
    <x v="75"/>
    <s v="Malbork"/>
    <d v="2014-09-28T00:00:00"/>
    <d v="2014-09-30T00:00:00"/>
    <n v="1102"/>
    <n v="3"/>
  </r>
  <r>
    <s v="Amelia"/>
    <x v="93"/>
    <s v="Lublin"/>
    <d v="2014-09-28T00:00:00"/>
    <d v="2014-10-02T00:00:00"/>
    <n v="886.7"/>
    <n v="5"/>
  </r>
  <r>
    <s v="Wiktor"/>
    <x v="78"/>
    <s v="Krakow"/>
    <d v="2014-09-28T00:00:00"/>
    <d v="2014-10-02T00:00:00"/>
    <n v="1321.5"/>
    <n v="5"/>
  </r>
  <r>
    <s v="Kornel"/>
    <x v="39"/>
    <s v="Malbork"/>
    <d v="2014-09-28T00:00:00"/>
    <d v="2014-09-29T00:00:00"/>
    <n v="891"/>
    <n v="2"/>
  </r>
  <r>
    <s v="Edwina"/>
    <x v="40"/>
    <s v="Zgierz"/>
    <d v="2014-09-28T00:00:00"/>
    <d v="2014-09-29T00:00:00"/>
    <n v="331.5"/>
    <n v="2"/>
  </r>
  <r>
    <s v="Kornel"/>
    <x v="66"/>
    <s v="Zgierz"/>
    <d v="2014-09-28T00:00:00"/>
    <d v="2014-09-30T00:00:00"/>
    <n v="450.5"/>
    <n v="3"/>
  </r>
  <r>
    <s v="Zuzanna"/>
    <x v="72"/>
    <s v="Kutno"/>
    <d v="2014-09-28T00:00:00"/>
    <d v="2014-09-29T00:00:00"/>
    <n v="407.8"/>
    <n v="2"/>
  </r>
  <r>
    <s v="Justyna"/>
    <x v="4"/>
    <s v="Kielce"/>
    <d v="2014-09-28T00:00:00"/>
    <d v="2014-10-01T00:00:00"/>
    <n v="841.7"/>
    <n v="4"/>
  </r>
  <r>
    <s v="Paulina"/>
    <x v="61"/>
    <s v="Zgierz"/>
    <d v="2014-09-28T00:00:00"/>
    <d v="2014-09-30T00:00:00"/>
    <n v="450.5"/>
    <n v="3"/>
  </r>
  <r>
    <s v="Patrycja"/>
    <x v="6"/>
    <s v="Lublin"/>
    <d v="2014-09-29T00:00:00"/>
    <d v="2014-10-03T00:00:00"/>
    <n v="886.7"/>
    <n v="5"/>
  </r>
  <r>
    <s v="Piotr"/>
    <x v="16"/>
    <s v="Mielec"/>
    <d v="2014-09-29T00:00:00"/>
    <d v="2014-10-01T00:00:00"/>
    <n v="698"/>
    <n v="3"/>
  </r>
  <r>
    <s v="Karolina"/>
    <x v="0"/>
    <s v="Bydgoszcz"/>
    <d v="2014-09-29T00:00:00"/>
    <d v="2014-10-01T00:00:00"/>
    <n v="795.4"/>
    <n v="3"/>
  </r>
  <r>
    <s v="Patrycja"/>
    <x v="98"/>
    <s v="Siedlce"/>
    <d v="2014-09-29T00:00:00"/>
    <d v="2014-10-03T00:00:00"/>
    <n v="712.4"/>
    <n v="5"/>
  </r>
  <r>
    <s v="Jerzy"/>
    <x v="29"/>
    <s v="Kielce"/>
    <d v="2014-09-29T00:00:00"/>
    <d v="2014-09-30T00:00:00"/>
    <n v="485.7"/>
    <n v="2"/>
  </r>
  <r>
    <s v="Amadeusz"/>
    <x v="26"/>
    <s v="Olsztyn"/>
    <d v="2014-09-29T00:00:00"/>
    <d v="2014-10-01T00:00:00"/>
    <n v="689.8"/>
    <n v="3"/>
  </r>
  <r>
    <s v="Natalia"/>
    <x v="97"/>
    <s v="Kutno"/>
    <d v="2014-09-29T00:00:00"/>
    <d v="2014-10-01T00:00:00"/>
    <n v="536.79999999999995"/>
    <n v="3"/>
  </r>
  <r>
    <s v="Kacper"/>
    <x v="67"/>
    <s v="Olsztyn"/>
    <d v="2014-09-29T00:00:00"/>
    <d v="2014-10-01T00:00:00"/>
    <n v="689.8"/>
    <n v="3"/>
  </r>
  <r>
    <s v="Justyna"/>
    <x v="51"/>
    <s v="Kutno"/>
    <d v="2014-09-29T00:00:00"/>
    <d v="2014-09-29T00:00:00"/>
    <n v="278.8"/>
    <n v="1"/>
  </r>
  <r>
    <s v="Adam"/>
    <x v="41"/>
    <s v="Lublin"/>
    <d v="2014-09-29T00:00:00"/>
    <d v="2014-09-30T00:00:00"/>
    <n v="439.7"/>
    <n v="2"/>
  </r>
  <r>
    <s v="Dorota"/>
    <x v="2"/>
    <s v="Krakow"/>
    <d v="2014-09-29T00:00:00"/>
    <d v="2014-09-30T00:00:00"/>
    <n v="706.5"/>
    <n v="2"/>
  </r>
  <r>
    <s v="Marta"/>
    <x v="15"/>
    <s v="Lublin"/>
    <d v="2014-09-29T00:00:00"/>
    <d v="2014-10-01T00:00:00"/>
    <n v="588.70000000000005"/>
    <n v="3"/>
  </r>
  <r>
    <s v="Daria"/>
    <x v="95"/>
    <s v="Olsztyn"/>
    <d v="2014-09-29T00:00:00"/>
    <d v="2014-10-03T00:00:00"/>
    <n v="1015.8"/>
    <n v="5"/>
  </r>
  <r>
    <s v="Zuzanna"/>
    <x v="82"/>
    <s v="Mielec"/>
    <d v="2014-09-29T00:00:00"/>
    <d v="2014-10-01T00:00:00"/>
    <n v="698"/>
    <n v="3"/>
  </r>
  <r>
    <s v="Grzegorz"/>
    <x v="57"/>
    <s v="Olsztyn"/>
    <d v="2014-09-29T00:00:00"/>
    <d v="2014-10-02T00:00:00"/>
    <n v="852.8"/>
    <n v="4"/>
  </r>
  <r>
    <s v="Kamil"/>
    <x v="92"/>
    <s v="Zgierz"/>
    <d v="2014-09-29T00:00:00"/>
    <d v="2014-10-02T00:00:00"/>
    <n v="569.5"/>
    <n v="4"/>
  </r>
  <r>
    <s v="Piotr"/>
    <x v="27"/>
    <s v="Mielec"/>
    <d v="2014-09-29T00:00:00"/>
    <d v="2014-09-30T00:00:00"/>
    <n v="570"/>
    <n v="2"/>
  </r>
  <r>
    <s v="Jan"/>
    <x v="44"/>
    <s v="Kielce"/>
    <d v="2014-09-29T00:00:00"/>
    <d v="2014-10-03T00:00:00"/>
    <n v="1019.7"/>
    <n v="5"/>
  </r>
  <r>
    <s v="Wiktor"/>
    <x v="70"/>
    <s v="Kalisz"/>
    <d v="2014-09-29T00:00:00"/>
    <d v="2014-09-29T00:00:00"/>
    <n v="442"/>
    <n v="1"/>
  </r>
  <r>
    <s v="Olivia"/>
    <x v="20"/>
    <s v="Zgierz"/>
    <d v="2014-09-30T00:00:00"/>
    <d v="2014-09-30T00:00:00"/>
    <n v="212.5"/>
    <n v="1"/>
  </r>
  <r>
    <s v="Kornel"/>
    <x v="39"/>
    <s v="Mielec"/>
    <d v="2014-10-01T00:00:00"/>
    <d v="2014-10-01T00:00:00"/>
    <n v="442"/>
    <n v="1"/>
  </r>
  <r>
    <s v="Edwina"/>
    <x v="40"/>
    <s v="Kalisz"/>
    <d v="2014-10-01T00:00:00"/>
    <d v="2014-10-01T00:00:00"/>
    <n v="442"/>
    <n v="1"/>
  </r>
  <r>
    <s v="Bogumi"/>
    <x v="79"/>
    <s v="Kielce"/>
    <d v="2014-10-02T00:00:00"/>
    <d v="2014-10-02T00:00:00"/>
    <n v="307.7"/>
    <n v="1"/>
  </r>
  <r>
    <s v="Tomasz"/>
    <x v="58"/>
    <s v="Lublin"/>
    <d v="2014-10-02T00:00:00"/>
    <d v="2014-10-03T00:00:00"/>
    <n v="439.7"/>
    <n v="2"/>
  </r>
  <r>
    <s v="Kornel"/>
    <x v="66"/>
    <s v="Siedlce"/>
    <d v="2014-10-03T00:00:00"/>
    <d v="2014-10-03T00:00:00"/>
    <n v="156.4"/>
    <n v="1"/>
  </r>
  <r>
    <s v="Justyna"/>
    <x v="51"/>
    <s v="Lublin"/>
    <d v="2014-10-03T00:00:00"/>
    <d v="2014-10-03T00:00:00"/>
    <n v="290.7"/>
    <n v="1"/>
  </r>
  <r>
    <s v="Wiktor"/>
    <x v="70"/>
    <s v="Lublin"/>
    <d v="2014-10-03T00:00:00"/>
    <d v="2014-10-03T00:00:00"/>
    <n v="290.7"/>
    <n v="1"/>
  </r>
  <r>
    <s v="Malwina"/>
    <x v="62"/>
    <s v="Zgierz"/>
    <d v="2014-10-05T00:00:00"/>
    <d v="2014-10-06T00:00:00"/>
    <n v="331.5"/>
    <n v="2"/>
  </r>
  <r>
    <s v="Rozalia"/>
    <x v="74"/>
    <s v="Malbork"/>
    <d v="2014-10-05T00:00:00"/>
    <d v="2014-10-06T00:00:00"/>
    <n v="891"/>
    <n v="2"/>
  </r>
  <r>
    <s v="Anna"/>
    <x v="59"/>
    <s v="Kielce"/>
    <d v="2014-10-05T00:00:00"/>
    <d v="2014-10-09T00:00:00"/>
    <n v="1019.7"/>
    <n v="5"/>
  </r>
  <r>
    <s v="Sebastian"/>
    <x v="9"/>
    <s v="Mielec"/>
    <d v="2014-10-06T00:00:00"/>
    <d v="2014-10-06T00:00:00"/>
    <n v="442"/>
    <n v="1"/>
  </r>
  <r>
    <s v="Zyta"/>
    <x v="80"/>
    <s v="Kielce"/>
    <d v="2014-10-06T00:00:00"/>
    <d v="2014-10-07T00:00:00"/>
    <n v="485.7"/>
    <n v="2"/>
  </r>
  <r>
    <s v="Ewelia"/>
    <x v="42"/>
    <s v="Kalisz"/>
    <d v="2014-10-06T00:00:00"/>
    <d v="2014-10-13T00:00:00"/>
    <n v="1555"/>
    <n v="8"/>
  </r>
  <r>
    <s v="Kazimiera"/>
    <x v="55"/>
    <s v="Kutno"/>
    <d v="2014-10-06T00:00:00"/>
    <d v="2014-10-08T00:00:00"/>
    <n v="536.79999999999995"/>
    <n v="3"/>
  </r>
  <r>
    <s v="Amelia"/>
    <x v="24"/>
    <s v="Bydgoszcz"/>
    <d v="2014-10-06T00:00:00"/>
    <d v="2014-10-07T00:00:00"/>
    <n v="654.4"/>
    <n v="2"/>
  </r>
  <r>
    <s v="Kornel"/>
    <x v="39"/>
    <s v="Katowice"/>
    <d v="2014-10-10T00:00:00"/>
    <d v="2014-10-12T00:00:00"/>
    <n v="892.7"/>
    <n v="3"/>
  </r>
  <r>
    <s v="Edwina"/>
    <x v="40"/>
    <s v="Lublin"/>
    <d v="2014-10-10T00:00:00"/>
    <d v="2014-10-13T00:00:00"/>
    <n v="737.7"/>
    <n v="4"/>
  </r>
  <r>
    <s v="Olivia"/>
    <x v="20"/>
    <s v="Mielec"/>
    <d v="2014-10-10T00:00:00"/>
    <d v="2014-10-10T00:00:00"/>
    <n v="442"/>
    <n v="1"/>
  </r>
  <r>
    <s v="Natalia"/>
    <x v="97"/>
    <s v="Kalisz"/>
    <d v="2014-10-10T00:00:00"/>
    <d v="2014-10-14T00:00:00"/>
    <n v="1078"/>
    <n v="5"/>
  </r>
  <r>
    <s v="Marcin"/>
    <x v="96"/>
    <s v="Krakow"/>
    <d v="2014-10-10T00:00:00"/>
    <d v="2014-10-10T00:00:00"/>
    <n v="501.5"/>
    <n v="1"/>
  </r>
  <r>
    <s v="Anna"/>
    <x v="76"/>
    <s v="Siedlce"/>
    <d v="2014-10-10T00:00:00"/>
    <d v="2014-10-10T00:00:00"/>
    <n v="156.4"/>
    <n v="1"/>
  </r>
  <r>
    <s v="Andrzej"/>
    <x v="10"/>
    <s v="Krakow"/>
    <d v="2014-10-10T00:00:00"/>
    <d v="2014-10-10T00:00:00"/>
    <n v="501.5"/>
    <n v="1"/>
  </r>
  <r>
    <s v="Andrzej"/>
    <x v="14"/>
    <s v="Siedlce"/>
    <d v="2014-10-10T00:00:00"/>
    <d v="2014-10-13T00:00:00"/>
    <n v="573.4"/>
    <n v="4"/>
  </r>
  <r>
    <s v="Wojciech"/>
    <x v="52"/>
    <s v="Katowice"/>
    <d v="2014-10-10T00:00:00"/>
    <d v="2014-10-14T00:00:00"/>
    <n v="1290.7"/>
    <n v="5"/>
  </r>
  <r>
    <s v="Zofia"/>
    <x v="54"/>
    <s v="Krakow"/>
    <d v="2014-10-10T00:00:00"/>
    <d v="2014-10-11T00:00:00"/>
    <n v="706.5"/>
    <n v="2"/>
  </r>
  <r>
    <s v="Paulina"/>
    <x v="63"/>
    <s v="Mielec"/>
    <d v="2014-10-10T00:00:00"/>
    <d v="2014-10-13T00:00:00"/>
    <n v="826"/>
    <n v="4"/>
  </r>
  <r>
    <s v="Dorota"/>
    <x v="2"/>
    <s v="Kalisz"/>
    <d v="2014-10-10T00:00:00"/>
    <d v="2014-10-11T00:00:00"/>
    <n v="601"/>
    <n v="2"/>
  </r>
  <r>
    <s v="Piotr"/>
    <x v="3"/>
    <s v="Kutno"/>
    <d v="2014-10-10T00:00:00"/>
    <d v="2014-10-14T00:00:00"/>
    <n v="794.8"/>
    <n v="5"/>
  </r>
  <r>
    <s v="Marek"/>
    <x v="60"/>
    <s v="Zgierz"/>
    <d v="2014-10-10T00:00:00"/>
    <d v="2014-10-11T00:00:00"/>
    <n v="331.5"/>
    <n v="2"/>
  </r>
  <r>
    <s v="Paulina"/>
    <x v="61"/>
    <s v="Krakow"/>
    <d v="2014-10-10T00:00:00"/>
    <d v="2014-10-11T00:00:00"/>
    <n v="706.5"/>
    <n v="2"/>
  </r>
  <r>
    <s v="Andrzej"/>
    <x v="77"/>
    <s v="Radom"/>
    <d v="2014-10-11T00:00:00"/>
    <d v="2014-10-15T00:00:00"/>
    <n v="674.5"/>
    <n v="5"/>
  </r>
  <r>
    <s v="Zofia"/>
    <x v="65"/>
    <s v="Olsztyn"/>
    <d v="2014-10-11T00:00:00"/>
    <d v="2014-10-13T00:00:00"/>
    <n v="689.8"/>
    <n v="3"/>
  </r>
  <r>
    <s v="Wiktor"/>
    <x v="78"/>
    <s v="Zgierz"/>
    <d v="2014-10-11T00:00:00"/>
    <d v="2014-10-12T00:00:00"/>
    <n v="331.5"/>
    <n v="2"/>
  </r>
  <r>
    <s v="Justyna"/>
    <x v="31"/>
    <s v="Radom"/>
    <d v="2014-10-11T00:00:00"/>
    <d v="2014-10-13T00:00:00"/>
    <n v="426.5"/>
    <n v="3"/>
  </r>
  <r>
    <s v="Ewa"/>
    <x v="49"/>
    <s v="Krakow"/>
    <d v="2014-10-11T00:00:00"/>
    <d v="2014-10-14T00:00:00"/>
    <n v="1116.5"/>
    <n v="4"/>
  </r>
  <r>
    <s v="Rozalia"/>
    <x v="74"/>
    <s v="Bydgoszcz"/>
    <d v="2014-10-11T00:00:00"/>
    <d v="2014-10-15T00:00:00"/>
    <n v="1077.4000000000001"/>
    <n v="5"/>
  </r>
  <r>
    <s v="Piotr"/>
    <x v="47"/>
    <s v="Kalisz"/>
    <d v="2014-10-11T00:00:00"/>
    <d v="2014-10-13T00:00:00"/>
    <n v="760"/>
    <n v="3"/>
  </r>
  <r>
    <s v="Justyna"/>
    <x v="4"/>
    <s v="Lublin"/>
    <d v="2014-10-11T00:00:00"/>
    <d v="2014-10-14T00:00:00"/>
    <n v="737.7"/>
    <n v="4"/>
  </r>
  <r>
    <s v="Justyna"/>
    <x v="4"/>
    <s v="Mielec"/>
    <d v="2014-10-11T00:00:00"/>
    <d v="2014-10-12T00:00:00"/>
    <n v="570"/>
    <n v="2"/>
  </r>
  <r>
    <s v="Paulina"/>
    <x v="61"/>
    <s v="Kalisz"/>
    <d v="2014-10-11T00:00:00"/>
    <d v="2014-10-14T00:00:00"/>
    <n v="919"/>
    <n v="4"/>
  </r>
  <r>
    <s v="Adam"/>
    <x v="73"/>
    <s v="Kalisz"/>
    <d v="2014-10-11T00:00:00"/>
    <d v="2014-10-15T00:00:00"/>
    <n v="1078"/>
    <n v="5"/>
  </r>
  <r>
    <s v="Karolina"/>
    <x v="75"/>
    <s v="Kielce"/>
    <d v="2014-10-13T00:00:00"/>
    <d v="2014-10-13T00:00:00"/>
    <n v="307.7"/>
    <n v="1"/>
  </r>
  <r>
    <s v="Marcin"/>
    <x v="96"/>
    <s v="Bydgoszcz"/>
    <d v="2014-10-13T00:00:00"/>
    <d v="2014-10-13T00:00:00"/>
    <n v="513.4"/>
    <n v="1"/>
  </r>
  <r>
    <s v="Andrzej"/>
    <x v="10"/>
    <s v="Katowice"/>
    <d v="2014-10-13T00:00:00"/>
    <d v="2014-10-13T00:00:00"/>
    <n v="494.7"/>
    <n v="1"/>
  </r>
  <r>
    <s v="Tomasz"/>
    <x v="58"/>
    <s v="Bydgoszcz"/>
    <d v="2014-10-13T00:00:00"/>
    <d v="2014-10-13T00:00:00"/>
    <n v="513.4"/>
    <n v="1"/>
  </r>
  <r>
    <s v="Marek"/>
    <x v="60"/>
    <s v="Katowice"/>
    <d v="2014-10-13T00:00:00"/>
    <d v="2014-10-13T00:00:00"/>
    <n v="494.7"/>
    <n v="1"/>
  </r>
  <r>
    <s v="Olivia"/>
    <x v="20"/>
    <s v="Krakow"/>
    <d v="2014-10-14T00:00:00"/>
    <d v="2014-10-14T00:00:00"/>
    <n v="501.5"/>
    <n v="1"/>
  </r>
  <r>
    <s v="Dorota"/>
    <x v="2"/>
    <s v="Siedlce"/>
    <d v="2014-10-15T00:00:00"/>
    <d v="2014-10-15T00:00:00"/>
    <n v="156.4"/>
    <n v="1"/>
  </r>
  <r>
    <s v="Marek"/>
    <x v="60"/>
    <s v="Zgierz"/>
    <d v="2014-10-15T00:00:00"/>
    <d v="2014-10-15T00:00:00"/>
    <n v="212.5"/>
    <n v="1"/>
  </r>
  <r>
    <s v="Tomasz"/>
    <x v="58"/>
    <s v="Lublin"/>
    <d v="2014-10-16T00:00:00"/>
    <d v="2014-10-16T00:00:00"/>
    <n v="290.7"/>
    <n v="1"/>
  </r>
  <r>
    <s v="Patrycja"/>
    <x v="98"/>
    <s v="Lublin"/>
    <d v="2014-10-17T00:00:00"/>
    <d v="2014-10-18T00:00:00"/>
    <n v="439.7"/>
    <n v="2"/>
  </r>
  <r>
    <s v="Andrzej"/>
    <x v="10"/>
    <s v="Kalisz"/>
    <d v="2014-10-17T00:00:00"/>
    <d v="2014-10-20T00:00:00"/>
    <n v="919"/>
    <n v="4"/>
  </r>
  <r>
    <s v="Justyna"/>
    <x v="51"/>
    <s v="Lublin"/>
    <d v="2014-10-17T00:00:00"/>
    <d v="2014-10-20T00:00:00"/>
    <n v="737.7"/>
    <n v="4"/>
  </r>
  <r>
    <s v="Anna"/>
    <x v="59"/>
    <s v="Zgierz"/>
    <d v="2014-10-17T00:00:00"/>
    <d v="2014-10-18T00:00:00"/>
    <n v="331.5"/>
    <n v="2"/>
  </r>
  <r>
    <s v="Dorota"/>
    <x v="46"/>
    <s v="Malbork"/>
    <d v="2014-10-17T00:00:00"/>
    <d v="2014-10-18T00:00:00"/>
    <n v="891"/>
    <n v="2"/>
  </r>
  <r>
    <s v="Justyna"/>
    <x v="4"/>
    <s v="Kutno"/>
    <d v="2014-10-17T00:00:00"/>
    <d v="2014-10-20T00:00:00"/>
    <n v="665.8"/>
    <n v="4"/>
  </r>
  <r>
    <s v="Dorota"/>
    <x v="2"/>
    <s v="Zgierz"/>
    <d v="2014-10-18T00:00:00"/>
    <d v="2014-10-18T00:00:00"/>
    <n v="212.5"/>
    <n v="1"/>
  </r>
  <r>
    <s v="Dominika"/>
    <x v="64"/>
    <s v="Kalisz"/>
    <d v="2014-10-22T00:00:00"/>
    <d v="2014-10-25T00:00:00"/>
    <n v="919"/>
    <n v="4"/>
  </r>
  <r>
    <s v="Zofia"/>
    <x v="65"/>
    <s v="Katowice"/>
    <d v="2014-10-22T00:00:00"/>
    <d v="2014-10-23T00:00:00"/>
    <n v="693.7"/>
    <n v="2"/>
  </r>
  <r>
    <s v="Paulina"/>
    <x v="38"/>
    <s v="Kielce"/>
    <d v="2014-10-22T00:00:00"/>
    <d v="2014-10-22T00:00:00"/>
    <n v="307.7"/>
    <n v="1"/>
  </r>
  <r>
    <s v="Patrycja"/>
    <x v="98"/>
    <s v="Kielce"/>
    <d v="2014-10-22T00:00:00"/>
    <d v="2014-10-23T00:00:00"/>
    <n v="485.7"/>
    <n v="2"/>
  </r>
  <r>
    <s v="Wiktor"/>
    <x v="78"/>
    <s v="Lublin"/>
    <d v="2014-10-22T00:00:00"/>
    <d v="2014-10-25T00:00:00"/>
    <n v="737.7"/>
    <n v="4"/>
  </r>
  <r>
    <s v="Adam"/>
    <x v="83"/>
    <s v="Malbork"/>
    <d v="2014-10-22T00:00:00"/>
    <d v="2014-10-23T00:00:00"/>
    <n v="891"/>
    <n v="2"/>
  </r>
  <r>
    <s v="Olivia"/>
    <x v="20"/>
    <s v="Olsztyn"/>
    <d v="2014-10-22T00:00:00"/>
    <d v="2014-10-24T00:00:00"/>
    <n v="689.8"/>
    <n v="3"/>
  </r>
  <r>
    <s v="Kornel"/>
    <x v="66"/>
    <s v="Katowice"/>
    <d v="2014-10-22T00:00:00"/>
    <d v="2014-10-22T00:00:00"/>
    <n v="494.7"/>
    <n v="1"/>
  </r>
  <r>
    <s v="Natalia"/>
    <x v="97"/>
    <s v="Mielec"/>
    <d v="2014-10-22T00:00:00"/>
    <d v="2014-10-22T00:00:00"/>
    <n v="442"/>
    <n v="1"/>
  </r>
  <r>
    <s v="Justyna"/>
    <x v="1"/>
    <s v="Kalisz"/>
    <d v="2014-10-22T00:00:00"/>
    <d v="2014-10-25T00:00:00"/>
    <n v="919"/>
    <n v="4"/>
  </r>
  <r>
    <s v="Wojciech"/>
    <x v="33"/>
    <s v="Kalisz"/>
    <d v="2014-10-22T00:00:00"/>
    <d v="2014-10-26T00:00:00"/>
    <n v="1078"/>
    <n v="5"/>
  </r>
  <r>
    <s v="Paulina"/>
    <x v="63"/>
    <s v="Kutno"/>
    <d v="2014-10-22T00:00:00"/>
    <d v="2014-10-22T00:00:00"/>
    <n v="278.8"/>
    <n v="1"/>
  </r>
  <r>
    <s v="Dorota"/>
    <x v="2"/>
    <s v="Kutno"/>
    <d v="2014-10-22T00:00:00"/>
    <d v="2014-10-24T00:00:00"/>
    <n v="536.79999999999995"/>
    <n v="3"/>
  </r>
  <r>
    <s v="Maria"/>
    <x v="81"/>
    <s v="Zgierz"/>
    <d v="2014-10-22T00:00:00"/>
    <d v="2014-10-25T00:00:00"/>
    <n v="569.5"/>
    <n v="4"/>
  </r>
  <r>
    <s v="Narcyz"/>
    <x v="43"/>
    <s v="Kalisz"/>
    <d v="2014-10-22T00:00:00"/>
    <d v="2014-10-24T00:00:00"/>
    <n v="760"/>
    <n v="3"/>
  </r>
  <r>
    <s v="Jan"/>
    <x v="91"/>
    <s v="Radom"/>
    <d v="2014-10-22T00:00:00"/>
    <d v="2014-10-26T00:00:00"/>
    <n v="674.5"/>
    <n v="5"/>
  </r>
  <r>
    <s v="Justyna"/>
    <x v="4"/>
    <s v="Kutno"/>
    <d v="2014-10-22T00:00:00"/>
    <d v="2014-10-22T00:00:00"/>
    <n v="278.8"/>
    <n v="1"/>
  </r>
  <r>
    <s v="Amelia"/>
    <x v="24"/>
    <s v="Zgierz"/>
    <d v="2014-10-22T00:00:00"/>
    <d v="2014-10-23T00:00:00"/>
    <n v="331.5"/>
    <n v="2"/>
  </r>
  <r>
    <s v="Kamil"/>
    <x v="5"/>
    <s v="Olsztyn"/>
    <d v="2014-10-22T00:00:00"/>
    <d v="2014-10-26T00:00:00"/>
    <n v="1015.8"/>
    <n v="5"/>
  </r>
  <r>
    <s v="Patrycja"/>
    <x v="6"/>
    <s v="Katowice"/>
    <d v="2014-10-23T00:00:00"/>
    <d v="2014-10-25T00:00:00"/>
    <n v="892.7"/>
    <n v="3"/>
  </r>
  <r>
    <s v="Sebastian"/>
    <x v="36"/>
    <s v="Kalisz"/>
    <d v="2014-10-23T00:00:00"/>
    <d v="2014-10-26T00:00:00"/>
    <n v="919"/>
    <n v="4"/>
  </r>
  <r>
    <s v="Adam"/>
    <x v="83"/>
    <s v="Mielec"/>
    <d v="2014-10-23T00:00:00"/>
    <d v="2014-10-24T00:00:00"/>
    <n v="570"/>
    <n v="2"/>
  </r>
  <r>
    <s v="Jerzy"/>
    <x v="7"/>
    <s v="Siedlce"/>
    <d v="2014-10-23T00:00:00"/>
    <d v="2014-10-24T00:00:00"/>
    <n v="295.39999999999998"/>
    <n v="2"/>
  </r>
  <r>
    <s v="Sebastian"/>
    <x v="9"/>
    <s v="Malbork"/>
    <d v="2014-10-23T00:00:00"/>
    <d v="2014-10-24T00:00:00"/>
    <n v="891"/>
    <n v="2"/>
  </r>
  <r>
    <s v="Marcin"/>
    <x v="96"/>
    <s v="Mielec"/>
    <d v="2014-10-23T00:00:00"/>
    <d v="2014-10-24T00:00:00"/>
    <n v="570"/>
    <n v="2"/>
  </r>
  <r>
    <s v="Anna"/>
    <x v="76"/>
    <s v="Lublin"/>
    <d v="2014-10-23T00:00:00"/>
    <d v="2014-10-23T00:00:00"/>
    <n v="290.7"/>
    <n v="1"/>
  </r>
  <r>
    <s v="Wojciech"/>
    <x v="33"/>
    <s v="Krakow"/>
    <d v="2014-10-23T00:00:00"/>
    <d v="2014-10-24T00:00:00"/>
    <n v="706.5"/>
    <n v="2"/>
  </r>
  <r>
    <s v="Malwina"/>
    <x v="62"/>
    <s v="Krakow"/>
    <d v="2014-10-23T00:00:00"/>
    <d v="2014-10-25T00:00:00"/>
    <n v="911.5"/>
    <n v="3"/>
  </r>
  <r>
    <s v="Kazimiera"/>
    <x v="55"/>
    <s v="Kielce"/>
    <d v="2014-10-23T00:00:00"/>
    <d v="2014-10-26T00:00:00"/>
    <n v="841.7"/>
    <n v="4"/>
  </r>
  <r>
    <s v="Gustaw"/>
    <x v="13"/>
    <s v="Malbork"/>
    <d v="2014-10-23T00:00:00"/>
    <d v="2014-10-25T00:00:00"/>
    <n v="1102"/>
    <n v="3"/>
  </r>
  <r>
    <s v="Dorota"/>
    <x v="46"/>
    <s v="Malbork"/>
    <d v="2014-10-23T00:00:00"/>
    <d v="2014-10-23T00:00:00"/>
    <n v="680"/>
    <n v="1"/>
  </r>
  <r>
    <s v="Natalia"/>
    <x v="97"/>
    <s v="Kielce"/>
    <d v="2014-10-24T00:00:00"/>
    <d v="2014-10-24T00:00:00"/>
    <n v="307.7"/>
    <n v="1"/>
  </r>
  <r>
    <s v="Justyna"/>
    <x v="4"/>
    <s v="Lublin"/>
    <d v="2014-10-24T00:00:00"/>
    <d v="2014-10-24T00:00:00"/>
    <n v="290.7"/>
    <n v="1"/>
  </r>
  <r>
    <s v="Kornel"/>
    <x v="66"/>
    <s v="Kielce"/>
    <d v="2014-10-25T00:00:00"/>
    <d v="2014-10-25T00:00:00"/>
    <n v="307.7"/>
    <n v="1"/>
  </r>
  <r>
    <s v="Paulina"/>
    <x v="63"/>
    <s v="Kutno"/>
    <d v="2014-10-25T00:00:00"/>
    <d v="2014-10-25T00:00:00"/>
    <n v="278.8"/>
    <n v="1"/>
  </r>
  <r>
    <s v="Dorota"/>
    <x v="46"/>
    <s v="Mielec"/>
    <d v="2014-10-25T00:00:00"/>
    <d v="2014-10-26T00:00:00"/>
    <n v="570"/>
    <n v="2"/>
  </r>
  <r>
    <s v="Sebastian"/>
    <x v="9"/>
    <s v="Bydgoszcz"/>
    <d v="2014-10-26T00:00:00"/>
    <d v="2014-10-26T00:00:00"/>
    <n v="513.4"/>
    <n v="1"/>
  </r>
  <r>
    <s v="Natalia"/>
    <x v="97"/>
    <s v="Kielce"/>
    <d v="2014-10-27T00:00:00"/>
    <d v="2014-10-27T00:00:00"/>
    <n v="307.7"/>
    <n v="1"/>
  </r>
  <r>
    <s v="Paulina"/>
    <x v="22"/>
    <s v="Radom"/>
    <d v="2014-10-28T00:00:00"/>
    <d v="2014-10-30T00:00:00"/>
    <n v="426.5"/>
    <n v="3"/>
  </r>
  <r>
    <s v="Kornel"/>
    <x v="39"/>
    <s v="Kutno"/>
    <d v="2014-10-29T00:00:00"/>
    <d v="2014-10-30T00:00:00"/>
    <n v="407.8"/>
    <n v="2"/>
  </r>
  <r>
    <s v="Sebastian"/>
    <x v="9"/>
    <s v="Bydgoszcz"/>
    <d v="2014-10-29T00:00:00"/>
    <d v="2014-10-29T00:00:00"/>
    <n v="513.4"/>
    <n v="1"/>
  </r>
  <r>
    <s v="Grzegorz"/>
    <x v="57"/>
    <s v="Siedlce"/>
    <d v="2014-10-29T00:00:00"/>
    <d v="2014-10-30T00:00:00"/>
    <n v="295.39999999999998"/>
    <n v="2"/>
  </r>
  <r>
    <s v="Tomasz"/>
    <x v="58"/>
    <s v="Lublin"/>
    <d v="2014-10-29T00:00:00"/>
    <d v="2014-10-30T00:00:00"/>
    <n v="439.7"/>
    <n v="2"/>
  </r>
  <r>
    <s v="Jan"/>
    <x v="44"/>
    <s v="Lublin"/>
    <d v="2014-10-29T00:00:00"/>
    <d v="2014-11-02T00:00:00"/>
    <n v="886.7"/>
    <n v="5"/>
  </r>
  <r>
    <s v="Dorota"/>
    <x v="46"/>
    <s v="Mielec"/>
    <d v="2014-10-29T00:00:00"/>
    <d v="2014-10-31T00:00:00"/>
    <n v="698"/>
    <n v="3"/>
  </r>
  <r>
    <s v="Kamil"/>
    <x v="5"/>
    <s v="Kielce"/>
    <d v="2014-10-29T00:00:00"/>
    <d v="2014-10-29T00:00:00"/>
    <n v="307.7"/>
    <n v="1"/>
  </r>
  <r>
    <s v="Zofia"/>
    <x v="65"/>
    <s v="Siedlce"/>
    <d v="2014-11-03T00:00:00"/>
    <d v="2014-11-04T00:00:00"/>
    <n v="295.39999999999998"/>
    <n v="2"/>
  </r>
  <r>
    <s v="Paulina"/>
    <x v="38"/>
    <s v="Krakow"/>
    <d v="2014-11-03T00:00:00"/>
    <d v="2014-11-03T00:00:00"/>
    <n v="501.5"/>
    <n v="1"/>
  </r>
  <r>
    <s v="Wiktor"/>
    <x v="78"/>
    <s v="Kutno"/>
    <d v="2014-11-03T00:00:00"/>
    <d v="2014-11-06T00:00:00"/>
    <n v="665.8"/>
    <n v="4"/>
  </r>
  <r>
    <s v="Anna"/>
    <x v="76"/>
    <s v="Olsztyn"/>
    <d v="2014-11-03T00:00:00"/>
    <d v="2014-11-07T00:00:00"/>
    <n v="1015.8"/>
    <n v="5"/>
  </r>
  <r>
    <s v="Justyna"/>
    <x v="1"/>
    <s v="Lublin"/>
    <d v="2014-11-03T00:00:00"/>
    <d v="2014-11-04T00:00:00"/>
    <n v="439.7"/>
    <n v="2"/>
  </r>
  <r>
    <s v="Justyna"/>
    <x v="31"/>
    <s v="Olsztyn"/>
    <d v="2014-11-03T00:00:00"/>
    <d v="2014-11-03T00:00:00"/>
    <n v="363.8"/>
    <n v="1"/>
  </r>
  <r>
    <s v="Michalina"/>
    <x v="50"/>
    <s v="Kalisz"/>
    <d v="2014-11-03T00:00:00"/>
    <d v="2014-11-04T00:00:00"/>
    <n v="601"/>
    <n v="2"/>
  </r>
  <r>
    <s v="Bogumi"/>
    <x v="79"/>
    <s v="Kalisz"/>
    <d v="2014-11-03T00:00:00"/>
    <d v="2014-11-04T00:00:00"/>
    <n v="601"/>
    <n v="2"/>
  </r>
  <r>
    <s v="Albert"/>
    <x v="94"/>
    <s v="Katowice"/>
    <d v="2014-11-03T00:00:00"/>
    <d v="2014-11-03T00:00:00"/>
    <n v="494.7"/>
    <n v="1"/>
  </r>
  <r>
    <s v="Paulina"/>
    <x v="63"/>
    <s v="Lublin"/>
    <d v="2014-11-03T00:00:00"/>
    <d v="2014-11-07T00:00:00"/>
    <n v="886.7"/>
    <n v="5"/>
  </r>
  <r>
    <s v="Teresa"/>
    <x v="84"/>
    <s v="Katowice"/>
    <d v="2014-11-03T00:00:00"/>
    <d v="2014-11-03T00:00:00"/>
    <n v="494.7"/>
    <n v="1"/>
  </r>
  <r>
    <s v="Ewelia"/>
    <x v="42"/>
    <s v="Kutno"/>
    <d v="2014-11-03T00:00:00"/>
    <d v="2014-11-03T00:00:00"/>
    <n v="278.8"/>
    <n v="1"/>
  </r>
  <r>
    <s v="Maria"/>
    <x v="81"/>
    <s v="Mielec"/>
    <d v="2014-11-03T00:00:00"/>
    <d v="2014-11-04T00:00:00"/>
    <n v="570"/>
    <n v="2"/>
  </r>
  <r>
    <s v="Daria"/>
    <x v="95"/>
    <s v="Lublin"/>
    <d v="2014-11-03T00:00:00"/>
    <d v="2014-11-04T00:00:00"/>
    <n v="439.7"/>
    <n v="2"/>
  </r>
  <r>
    <s v="Kamil"/>
    <x v="92"/>
    <s v="Zgierz"/>
    <d v="2014-11-03T00:00:00"/>
    <d v="2014-11-04T00:00:00"/>
    <n v="331.5"/>
    <n v="2"/>
  </r>
  <r>
    <s v="Gustaw"/>
    <x v="13"/>
    <s v="Siedlce"/>
    <d v="2014-11-03T00:00:00"/>
    <d v="2014-11-07T00:00:00"/>
    <n v="712.4"/>
    <n v="5"/>
  </r>
  <r>
    <s v="Tomasz"/>
    <x v="58"/>
    <s v="Siedlce"/>
    <d v="2014-11-03T00:00:00"/>
    <d v="2014-11-04T00:00:00"/>
    <n v="295.39999999999998"/>
    <n v="2"/>
  </r>
  <r>
    <s v="Karol"/>
    <x v="28"/>
    <s v="Siedlce"/>
    <d v="2014-11-03T00:00:00"/>
    <d v="2014-11-07T00:00:00"/>
    <n v="712.4"/>
    <n v="5"/>
  </r>
  <r>
    <s v="Ewelina"/>
    <x v="99"/>
    <s v="Katowice"/>
    <d v="2014-11-04T00:00:00"/>
    <d v="2014-11-06T00:00:00"/>
    <n v="892.7"/>
    <n v="3"/>
  </r>
  <r>
    <s v="Karolina"/>
    <x v="0"/>
    <s v="Radom"/>
    <d v="2014-11-04T00:00:00"/>
    <d v="2014-11-06T00:00:00"/>
    <n v="426.5"/>
    <n v="3"/>
  </r>
  <r>
    <s v="Bonifacy"/>
    <x v="19"/>
    <s v="Malbork"/>
    <d v="2014-11-04T00:00:00"/>
    <d v="2014-11-06T00:00:00"/>
    <n v="1102"/>
    <n v="3"/>
  </r>
  <r>
    <s v="Patrycja"/>
    <x v="98"/>
    <s v="Krakow"/>
    <d v="2014-11-04T00:00:00"/>
    <d v="2014-11-06T00:00:00"/>
    <n v="911.5"/>
    <n v="3"/>
  </r>
  <r>
    <s v="Marzena"/>
    <x v="8"/>
    <s v="Olsztyn"/>
    <d v="2014-11-04T00:00:00"/>
    <d v="2014-11-05T00:00:00"/>
    <n v="526.79999999999995"/>
    <n v="2"/>
  </r>
  <r>
    <s v="Andrzej"/>
    <x v="10"/>
    <s v="Radom"/>
    <d v="2014-11-04T00:00:00"/>
    <d v="2014-11-08T00:00:00"/>
    <n v="674.5"/>
    <n v="5"/>
  </r>
  <r>
    <s v="Wojciech"/>
    <x v="33"/>
    <s v="Olsztyn"/>
    <d v="2014-11-04T00:00:00"/>
    <d v="2014-11-07T00:00:00"/>
    <n v="852.8"/>
    <n v="4"/>
  </r>
  <r>
    <s v="Jerzy"/>
    <x v="11"/>
    <s v="Katowice"/>
    <d v="2014-11-04T00:00:00"/>
    <d v="2014-11-08T00:00:00"/>
    <n v="1290.7"/>
    <n v="5"/>
  </r>
  <r>
    <s v="Dorota"/>
    <x v="2"/>
    <s v="Krakow"/>
    <d v="2014-11-04T00:00:00"/>
    <d v="2014-11-05T00:00:00"/>
    <n v="706.5"/>
    <n v="2"/>
  </r>
  <r>
    <s v="Irma"/>
    <x v="88"/>
    <s v="Krakow"/>
    <d v="2014-11-04T00:00:00"/>
    <d v="2014-11-05T00:00:00"/>
    <n v="706.5"/>
    <n v="2"/>
  </r>
  <r>
    <s v="Zuzanna"/>
    <x v="82"/>
    <s v="Krakow"/>
    <d v="2014-11-04T00:00:00"/>
    <d v="2014-11-04T00:00:00"/>
    <n v="501.5"/>
    <n v="1"/>
  </r>
  <r>
    <s v="Grzegorz"/>
    <x v="57"/>
    <s v="Kielce"/>
    <d v="2014-11-04T00:00:00"/>
    <d v="2014-11-05T00:00:00"/>
    <n v="485.7"/>
    <n v="2"/>
  </r>
  <r>
    <s v="Sebastian"/>
    <x v="35"/>
    <s v="Olsztyn"/>
    <d v="2014-11-04T00:00:00"/>
    <d v="2014-11-05T00:00:00"/>
    <n v="526.79999999999995"/>
    <n v="2"/>
  </r>
  <r>
    <s v="Piotr"/>
    <x v="47"/>
    <s v="Kielce"/>
    <d v="2014-11-04T00:00:00"/>
    <d v="2014-11-07T00:00:00"/>
    <n v="841.7"/>
    <n v="4"/>
  </r>
  <r>
    <s v="Daria"/>
    <x v="95"/>
    <s v="Kalisz"/>
    <d v="2014-11-06T00:00:00"/>
    <d v="2014-11-06T00:00:00"/>
    <n v="442"/>
    <n v="1"/>
  </r>
  <r>
    <s v="Zuzanna"/>
    <x v="82"/>
    <s v="Katowice"/>
    <d v="2014-11-06T00:00:00"/>
    <d v="2014-11-08T00:00:00"/>
    <n v="892.7"/>
    <n v="3"/>
  </r>
  <r>
    <s v="Justyna"/>
    <x v="31"/>
    <s v="Zgierz"/>
    <d v="2014-11-07T00:00:00"/>
    <d v="2014-11-08T00:00:00"/>
    <n v="331.5"/>
    <n v="2"/>
  </r>
  <r>
    <s v="Albert"/>
    <x v="94"/>
    <s v="Kielce"/>
    <d v="2014-11-07T00:00:00"/>
    <d v="2014-11-07T00:00:00"/>
    <n v="307.7"/>
    <n v="1"/>
  </r>
  <r>
    <s v="Teresa"/>
    <x v="84"/>
    <s v="Kutno"/>
    <d v="2014-11-07T00:00:00"/>
    <d v="2014-11-07T00:00:00"/>
    <n v="278.8"/>
    <n v="1"/>
  </r>
  <r>
    <s v="Ewelia"/>
    <x v="42"/>
    <s v="Mielec"/>
    <d v="2014-11-07T00:00:00"/>
    <d v="2014-11-07T00:00:00"/>
    <n v="442"/>
    <n v="1"/>
  </r>
  <r>
    <s v="Tomasz"/>
    <x v="58"/>
    <s v="Kalisz"/>
    <d v="2014-11-07T00:00:00"/>
    <d v="2014-11-07T00:00:00"/>
    <n v="442"/>
    <n v="1"/>
  </r>
  <r>
    <s v="Dominika"/>
    <x v="64"/>
    <s v="Malbork"/>
    <d v="2014-11-10T00:00:00"/>
    <d v="2014-11-13T00:00:00"/>
    <n v="1313"/>
    <n v="4"/>
  </r>
  <r>
    <s v="Zuzanna"/>
    <x v="82"/>
    <s v="Kutno"/>
    <d v="2014-11-13T00:00:00"/>
    <d v="2014-11-14T00:00:00"/>
    <n v="407.8"/>
    <n v="2"/>
  </r>
  <r>
    <s v="Gustaw"/>
    <x v="13"/>
    <s v="Lublin"/>
    <d v="2014-11-14T00:00:00"/>
    <d v="2014-11-14T00:00:00"/>
    <n v="290.7"/>
    <n v="1"/>
  </r>
  <r>
    <s v="Janina"/>
    <x v="68"/>
    <s v="Malbork"/>
    <d v="2014-11-15T00:00:00"/>
    <d v="2014-11-15T00:00:00"/>
    <n v="680"/>
    <n v="1"/>
  </r>
  <r>
    <s v="Edwina"/>
    <x v="40"/>
    <s v="Malbork"/>
    <d v="2014-11-15T00:00:00"/>
    <d v="2014-11-19T00:00:00"/>
    <n v="1524"/>
    <n v="5"/>
  </r>
  <r>
    <s v="Karolina"/>
    <x v="23"/>
    <s v="Radom"/>
    <d v="2014-11-15T00:00:00"/>
    <d v="2014-11-15T00:00:00"/>
    <n v="178.5"/>
    <n v="1"/>
  </r>
  <r>
    <s v="Zuzanna"/>
    <x v="72"/>
    <s v="Mielec"/>
    <d v="2014-11-15T00:00:00"/>
    <d v="2014-11-17T00:00:00"/>
    <n v="698"/>
    <n v="3"/>
  </r>
  <r>
    <s v="Justyna"/>
    <x v="31"/>
    <s v="Kalisz"/>
    <d v="2014-11-15T00:00:00"/>
    <d v="2014-11-15T00:00:00"/>
    <n v="442"/>
    <n v="1"/>
  </r>
  <r>
    <s v="Wojciech"/>
    <x v="52"/>
    <s v="Zgierz"/>
    <d v="2014-11-15T00:00:00"/>
    <d v="2014-11-19T00:00:00"/>
    <n v="688.5"/>
    <n v="5"/>
  </r>
  <r>
    <s v="Piotr"/>
    <x v="53"/>
    <s v="Kielce"/>
    <d v="2014-11-15T00:00:00"/>
    <d v="2014-11-18T00:00:00"/>
    <n v="841.7"/>
    <n v="4"/>
  </r>
  <r>
    <s v="Zofia"/>
    <x v="54"/>
    <s v="Mielec"/>
    <d v="2014-11-15T00:00:00"/>
    <d v="2014-11-15T00:00:00"/>
    <n v="442"/>
    <n v="1"/>
  </r>
  <r>
    <s v="Paulina"/>
    <x v="63"/>
    <s v="Krakow"/>
    <d v="2014-11-15T00:00:00"/>
    <d v="2014-11-18T00:00:00"/>
    <n v="1116.5"/>
    <n v="4"/>
  </r>
  <r>
    <s v="Kazimiera"/>
    <x v="55"/>
    <s v="Mielec"/>
    <d v="2014-11-15T00:00:00"/>
    <d v="2014-11-15T00:00:00"/>
    <n v="442"/>
    <n v="1"/>
  </r>
  <r>
    <s v="Daria"/>
    <x v="95"/>
    <s v="Olsztyn"/>
    <d v="2014-11-15T00:00:00"/>
    <d v="2014-11-16T00:00:00"/>
    <n v="526.79999999999995"/>
    <n v="2"/>
  </r>
  <r>
    <s v="January"/>
    <x v="12"/>
    <s v="Bydgoszcz"/>
    <d v="2014-11-15T00:00:00"/>
    <d v="2014-11-18T00:00:00"/>
    <n v="936.4"/>
    <n v="4"/>
  </r>
  <r>
    <s v="Grzegorz"/>
    <x v="57"/>
    <s v="Kutno"/>
    <d v="2014-11-15T00:00:00"/>
    <d v="2014-11-16T00:00:00"/>
    <n v="407.8"/>
    <n v="2"/>
  </r>
  <r>
    <s v="Sebastian"/>
    <x v="35"/>
    <s v="Bydgoszcz"/>
    <d v="2014-11-15T00:00:00"/>
    <d v="2014-11-19T00:00:00"/>
    <n v="1077.4000000000001"/>
    <n v="5"/>
  </r>
  <r>
    <s v="Piotr"/>
    <x v="47"/>
    <s v="Kutno"/>
    <d v="2014-11-15T00:00:00"/>
    <d v="2014-11-16T00:00:00"/>
    <n v="407.8"/>
    <n v="2"/>
  </r>
  <r>
    <s v="Dominika"/>
    <x v="64"/>
    <s v="Zgierz"/>
    <d v="2014-11-16T00:00:00"/>
    <d v="2014-11-17T00:00:00"/>
    <n v="331.5"/>
    <n v="2"/>
  </r>
  <r>
    <s v="Wiktor"/>
    <x v="86"/>
    <s v="Kutno"/>
    <d v="2014-11-16T00:00:00"/>
    <d v="2014-11-17T00:00:00"/>
    <n v="407.8"/>
    <n v="2"/>
  </r>
  <r>
    <s v="Paulina"/>
    <x v="38"/>
    <s v="Kielce"/>
    <d v="2014-11-16T00:00:00"/>
    <d v="2014-11-17T00:00:00"/>
    <n v="485.7"/>
    <n v="2"/>
  </r>
  <r>
    <s v="Patrycja"/>
    <x v="98"/>
    <s v="Katowice"/>
    <d v="2014-11-16T00:00:00"/>
    <d v="2014-11-20T00:00:00"/>
    <n v="1290.7"/>
    <n v="5"/>
  </r>
  <r>
    <s v="Justyna"/>
    <x v="1"/>
    <s v="Zgierz"/>
    <d v="2014-11-16T00:00:00"/>
    <d v="2014-11-18T00:00:00"/>
    <n v="450.5"/>
    <n v="3"/>
  </r>
  <r>
    <s v="Justyna"/>
    <x v="51"/>
    <s v="Krakow"/>
    <d v="2014-11-16T00:00:00"/>
    <d v="2014-11-18T00:00:00"/>
    <n v="911.5"/>
    <n v="3"/>
  </r>
  <r>
    <s v="Irma"/>
    <x v="88"/>
    <s v="Kalisz"/>
    <d v="2014-11-16T00:00:00"/>
    <d v="2014-11-19T00:00:00"/>
    <n v="919"/>
    <n v="4"/>
  </r>
  <r>
    <s v="Krystyna"/>
    <x v="89"/>
    <s v="Bydgoszcz"/>
    <d v="2014-11-16T00:00:00"/>
    <d v="2014-11-17T00:00:00"/>
    <n v="654.4"/>
    <n v="2"/>
  </r>
  <r>
    <s v="Justyna"/>
    <x v="4"/>
    <s v="Olsztyn"/>
    <d v="2014-11-16T00:00:00"/>
    <d v="2014-11-17T00:00:00"/>
    <n v="526.79999999999995"/>
    <n v="2"/>
  </r>
  <r>
    <s v="Anna"/>
    <x v="76"/>
    <s v="Kielce"/>
    <d v="2014-11-17T00:00:00"/>
    <d v="2014-11-17T00:00:00"/>
    <n v="307.7"/>
    <n v="1"/>
  </r>
  <r>
    <s v="Albert"/>
    <x v="94"/>
    <s v="Kutno"/>
    <d v="2014-11-17T00:00:00"/>
    <d v="2014-11-17T00:00:00"/>
    <n v="278.8"/>
    <n v="1"/>
  </r>
  <r>
    <s v="Tomasz"/>
    <x v="58"/>
    <s v="Malbork"/>
    <d v="2014-11-17T00:00:00"/>
    <d v="2014-11-19T00:00:00"/>
    <n v="1102"/>
    <n v="3"/>
  </r>
  <r>
    <s v="Zofia"/>
    <x v="45"/>
    <s v="Siedlce"/>
    <d v="2014-11-17T00:00:00"/>
    <d v="2014-11-19T00:00:00"/>
    <n v="434.4"/>
    <n v="3"/>
  </r>
  <r>
    <s v="Marek"/>
    <x v="60"/>
    <s v="Malbork"/>
    <d v="2014-11-17T00:00:00"/>
    <d v="2014-11-17T00:00:00"/>
    <n v="680"/>
    <n v="1"/>
  </r>
  <r>
    <s v="Janina"/>
    <x v="68"/>
    <s v="Mielec"/>
    <d v="2014-11-18T00:00:00"/>
    <d v="2014-11-18T00:00:00"/>
    <n v="442"/>
    <n v="1"/>
  </r>
  <r>
    <s v="Marzena"/>
    <x v="25"/>
    <s v="Kielce"/>
    <d v="2014-11-18T00:00:00"/>
    <d v="2014-11-18T00:00:00"/>
    <n v="307.7"/>
    <n v="1"/>
  </r>
  <r>
    <s v="Justyna"/>
    <x v="31"/>
    <s v="Mielec"/>
    <d v="2014-11-18T00:00:00"/>
    <d v="2014-11-18T00:00:00"/>
    <n v="442"/>
    <n v="1"/>
  </r>
  <r>
    <s v="Kornel"/>
    <x v="66"/>
    <s v="Katowice"/>
    <d v="2014-11-19T00:00:00"/>
    <d v="2014-11-19T00:00:00"/>
    <n v="494.7"/>
    <n v="1"/>
  </r>
  <r>
    <s v="Marcin"/>
    <x v="96"/>
    <s v="Siedlce"/>
    <d v="2014-11-19T00:00:00"/>
    <d v="2014-11-19T00:00:00"/>
    <n v="156.4"/>
    <n v="1"/>
  </r>
  <r>
    <s v="Zuzanna"/>
    <x v="72"/>
    <s v="Mielec"/>
    <d v="2014-11-19T00:00:00"/>
    <d v="2014-11-19T00:00:00"/>
    <n v="442"/>
    <n v="1"/>
  </r>
  <r>
    <s v="Albert"/>
    <x v="94"/>
    <s v="Krakow"/>
    <d v="2014-11-19T00:00:00"/>
    <d v="2014-11-19T00:00:00"/>
    <n v="501.5"/>
    <n v="1"/>
  </r>
  <r>
    <s v="Amadeusz"/>
    <x v="26"/>
    <s v="Bydgoszcz"/>
    <d v="2014-11-20T00:00:00"/>
    <d v="2014-11-21T00:00:00"/>
    <n v="654.4"/>
    <n v="2"/>
  </r>
  <r>
    <s v="Karolina"/>
    <x v="23"/>
    <s v="Kalisz"/>
    <d v="2014-11-20T00:00:00"/>
    <d v="2014-11-20T00:00:00"/>
    <n v="442"/>
    <n v="1"/>
  </r>
  <r>
    <s v="Piotr"/>
    <x v="47"/>
    <s v="Zgierz"/>
    <d v="2014-11-20T00:00:00"/>
    <d v="2014-11-20T00:00:00"/>
    <n v="212.5"/>
    <n v="1"/>
  </r>
  <r>
    <s v="Paulina"/>
    <x v="22"/>
    <s v="Mielec"/>
    <d v="2014-11-21T00:00:00"/>
    <d v="2014-11-22T00:00:00"/>
    <n v="570"/>
    <n v="2"/>
  </r>
  <r>
    <s v="Wiktor"/>
    <x v="86"/>
    <s v="Kutno"/>
    <d v="2014-11-21T00:00:00"/>
    <d v="2014-11-22T00:00:00"/>
    <n v="407.8"/>
    <n v="2"/>
  </r>
  <r>
    <s v="Jerzy"/>
    <x v="29"/>
    <s v="Zgierz"/>
    <d v="2014-11-22T00:00:00"/>
    <d v="2014-11-26T00:00:00"/>
    <n v="688.5"/>
    <n v="5"/>
  </r>
  <r>
    <s v="Justyna"/>
    <x v="51"/>
    <s v="Siedlce"/>
    <d v="2014-11-22T00:00:00"/>
    <d v="2014-11-22T00:00:00"/>
    <n v="156.4"/>
    <n v="1"/>
  </r>
  <r>
    <s v="Bogumi"/>
    <x v="79"/>
    <s v="Katowice"/>
    <d v="2014-11-22T00:00:00"/>
    <d v="2014-11-23T00:00:00"/>
    <n v="693.7"/>
    <n v="2"/>
  </r>
  <r>
    <s v="Albert"/>
    <x v="94"/>
    <s v="Katowice"/>
    <d v="2014-11-22T00:00:00"/>
    <d v="2014-11-22T00:00:00"/>
    <n v="494.7"/>
    <n v="1"/>
  </r>
  <r>
    <s v="Krystyna"/>
    <x v="89"/>
    <s v="Krakow"/>
    <d v="2014-11-22T00:00:00"/>
    <d v="2014-11-25T00:00:00"/>
    <n v="1116.5"/>
    <n v="4"/>
  </r>
  <r>
    <s v="Narcyz"/>
    <x v="43"/>
    <s v="Malbork"/>
    <d v="2014-11-22T00:00:00"/>
    <d v="2014-11-23T00:00:00"/>
    <n v="891"/>
    <n v="2"/>
  </r>
  <r>
    <s v="Anna"/>
    <x v="59"/>
    <s v="Lublin"/>
    <d v="2014-11-22T00:00:00"/>
    <d v="2014-11-25T00:00:00"/>
    <n v="737.7"/>
    <n v="4"/>
  </r>
  <r>
    <s v="Anna"/>
    <x v="85"/>
    <s v="Bydgoszcz"/>
    <d v="2014-11-23T00:00:00"/>
    <d v="2014-11-23T00:00:00"/>
    <n v="513.4"/>
    <n v="1"/>
  </r>
  <r>
    <s v="Amadeusz"/>
    <x v="26"/>
    <s v="Malbork"/>
    <d v="2014-11-24T00:00:00"/>
    <d v="2014-11-25T00:00:00"/>
    <n v="891"/>
    <n v="2"/>
  </r>
  <r>
    <s v="Malwina"/>
    <x v="62"/>
    <s v="Radom"/>
    <d v="2014-11-24T00:00:00"/>
    <d v="2014-11-24T00:00:00"/>
    <n v="178.5"/>
    <n v="1"/>
  </r>
  <r>
    <s v="Marzena"/>
    <x v="25"/>
    <s v="Malbork"/>
    <d v="2014-11-25T00:00:00"/>
    <d v="2014-11-25T00:00:00"/>
    <n v="680"/>
    <n v="1"/>
  </r>
  <r>
    <s v="Albert"/>
    <x v="94"/>
    <s v="Radom"/>
    <d v="2014-11-25T00:00:00"/>
    <d v="2014-11-25T00:00:00"/>
    <n v="178.5"/>
    <n v="1"/>
  </r>
  <r>
    <s v="Dorota"/>
    <x v="46"/>
    <s v="Bydgoszcz"/>
    <d v="2014-11-25T00:00:00"/>
    <d v="2014-11-25T00:00:00"/>
    <n v="513.4"/>
    <n v="1"/>
  </r>
  <r>
    <s v="Sebastian"/>
    <x v="36"/>
    <s v="Siedlce"/>
    <d v="2014-11-27T00:00:00"/>
    <d v="2014-11-30T00:00:00"/>
    <n v="573.4"/>
    <n v="4"/>
  </r>
  <r>
    <s v="Kornel"/>
    <x v="66"/>
    <s v="Krakow"/>
    <d v="2014-11-27T00:00:00"/>
    <d v="2014-11-27T00:00:00"/>
    <n v="501.5"/>
    <n v="1"/>
  </r>
  <r>
    <s v="Marek"/>
    <x v="32"/>
    <s v="Radom"/>
    <d v="2014-11-27T00:00:00"/>
    <d v="2014-12-01T00:00:00"/>
    <n v="674.5"/>
    <n v="5"/>
  </r>
  <r>
    <s v="Jerzy"/>
    <x v="30"/>
    <s v="Kalisz"/>
    <d v="2014-11-27T00:00:00"/>
    <d v="2014-12-01T00:00:00"/>
    <n v="1078"/>
    <n v="5"/>
  </r>
  <r>
    <s v="Andrzej"/>
    <x v="10"/>
    <s v="Kalisz"/>
    <d v="2014-11-27T00:00:00"/>
    <d v="2014-11-27T00:00:00"/>
    <n v="442"/>
    <n v="1"/>
  </r>
  <r>
    <s v="Zuzanna"/>
    <x v="72"/>
    <s v="Olsztyn"/>
    <d v="2014-11-27T00:00:00"/>
    <d v="2014-11-28T00:00:00"/>
    <n v="526.79999999999995"/>
    <n v="2"/>
  </r>
  <r>
    <s v="Wojciech"/>
    <x v="33"/>
    <s v="Kalisz"/>
    <d v="2014-11-27T00:00:00"/>
    <d v="2014-11-27T00:00:00"/>
    <n v="442"/>
    <n v="1"/>
  </r>
  <r>
    <s v="Albert"/>
    <x v="94"/>
    <s v="Krakow"/>
    <d v="2014-11-27T00:00:00"/>
    <d v="2014-11-30T00:00:00"/>
    <n v="1116.5"/>
    <n v="4"/>
  </r>
  <r>
    <s v="Paulina"/>
    <x v="63"/>
    <s v="Katowice"/>
    <d v="2014-11-27T00:00:00"/>
    <d v="2014-12-01T00:00:00"/>
    <n v="1290.7"/>
    <n v="5"/>
  </r>
  <r>
    <s v="Jerzy"/>
    <x v="11"/>
    <s v="Katowice"/>
    <d v="2014-11-27T00:00:00"/>
    <d v="2014-11-29T00:00:00"/>
    <n v="892.7"/>
    <n v="3"/>
  </r>
  <r>
    <s v="Teresa"/>
    <x v="84"/>
    <s v="Olsztyn"/>
    <d v="2014-11-27T00:00:00"/>
    <d v="2014-11-27T00:00:00"/>
    <n v="363.8"/>
    <n v="1"/>
  </r>
  <r>
    <s v="Maria"/>
    <x v="81"/>
    <s v="Lublin"/>
    <d v="2014-11-27T00:00:00"/>
    <d v="2014-11-27T00:00:00"/>
    <n v="290.7"/>
    <n v="1"/>
  </r>
  <r>
    <s v="Katarzyna"/>
    <x v="56"/>
    <s v="Olsztyn"/>
    <d v="2014-11-27T00:00:00"/>
    <d v="2014-11-28T00:00:00"/>
    <n v="526.79999999999995"/>
    <n v="2"/>
  </r>
  <r>
    <s v="Zofia"/>
    <x v="45"/>
    <s v="Zgierz"/>
    <d v="2014-11-27T00:00:00"/>
    <d v="2014-11-27T00:00:00"/>
    <n v="212.5"/>
    <n v="1"/>
  </r>
  <r>
    <s v="Anna"/>
    <x v="59"/>
    <s v="Kalisz"/>
    <d v="2014-11-27T00:00:00"/>
    <d v="2014-11-28T00:00:00"/>
    <n v="601"/>
    <n v="2"/>
  </r>
  <r>
    <s v="Dorota"/>
    <x v="46"/>
    <s v="Bydgoszcz"/>
    <d v="2014-11-27T00:00:00"/>
    <d v="2014-11-27T00:00:00"/>
    <n v="513.4"/>
    <n v="1"/>
  </r>
  <r>
    <s v="Paulina"/>
    <x v="61"/>
    <s v="Katowice"/>
    <d v="2014-11-27T00:00:00"/>
    <d v="2014-11-28T00:00:00"/>
    <n v="693.7"/>
    <n v="2"/>
  </r>
  <r>
    <s v="Kamil"/>
    <x v="5"/>
    <s v="Radom"/>
    <d v="2014-11-27T00:00:00"/>
    <d v="2014-11-29T00:00:00"/>
    <n v="426.5"/>
    <n v="3"/>
  </r>
  <r>
    <s v="Paulina"/>
    <x v="38"/>
    <s v="Bydgoszcz"/>
    <d v="2014-11-28T00:00:00"/>
    <d v="2014-12-01T00:00:00"/>
    <n v="936.4"/>
    <n v="4"/>
  </r>
  <r>
    <s v="Patrycja"/>
    <x v="98"/>
    <s v="Katowice"/>
    <d v="2014-11-28T00:00:00"/>
    <d v="2014-11-30T00:00:00"/>
    <n v="892.7"/>
    <n v="3"/>
  </r>
  <r>
    <s v="Wiktor"/>
    <x v="78"/>
    <s v="Malbork"/>
    <d v="2014-11-28T00:00:00"/>
    <d v="2014-11-30T00:00:00"/>
    <n v="1102"/>
    <n v="3"/>
  </r>
  <r>
    <s v="Edwina"/>
    <x v="40"/>
    <s v="Mielec"/>
    <d v="2014-11-28T00:00:00"/>
    <d v="2014-11-30T00:00:00"/>
    <n v="698"/>
    <n v="3"/>
  </r>
  <r>
    <s v="Adam"/>
    <x v="83"/>
    <s v="Katowice"/>
    <d v="2014-11-28T00:00:00"/>
    <d v="2014-11-29T00:00:00"/>
    <n v="693.7"/>
    <n v="2"/>
  </r>
  <r>
    <s v="Olivia"/>
    <x v="20"/>
    <s v="Krakow"/>
    <d v="2014-11-28T00:00:00"/>
    <d v="2014-11-28T00:00:00"/>
    <n v="501.5"/>
    <n v="1"/>
  </r>
  <r>
    <s v="Jerzy"/>
    <x v="7"/>
    <s v="Kielce"/>
    <d v="2014-11-28T00:00:00"/>
    <d v="2014-11-28T00:00:00"/>
    <n v="307.7"/>
    <n v="1"/>
  </r>
  <r>
    <s v="Marzena"/>
    <x v="8"/>
    <s v="Kielce"/>
    <d v="2014-11-28T00:00:00"/>
    <d v="2014-11-29T00:00:00"/>
    <n v="485.7"/>
    <n v="2"/>
  </r>
  <r>
    <s v="Marcin"/>
    <x v="96"/>
    <s v="Kalisz"/>
    <d v="2014-11-28T00:00:00"/>
    <d v="2014-12-02T00:00:00"/>
    <n v="1078"/>
    <n v="5"/>
  </r>
  <r>
    <s v="Anna"/>
    <x v="76"/>
    <s v="Olsztyn"/>
    <d v="2014-11-28T00:00:00"/>
    <d v="2014-11-28T00:00:00"/>
    <n v="363.8"/>
    <n v="1"/>
  </r>
  <r>
    <s v="Kacper"/>
    <x v="67"/>
    <s v="Bydgoszcz"/>
    <d v="2014-11-28T00:00:00"/>
    <d v="2014-11-28T00:00:00"/>
    <n v="513.4"/>
    <n v="1"/>
  </r>
  <r>
    <s v="Justyna"/>
    <x v="31"/>
    <s v="Kutno"/>
    <d v="2014-11-28T00:00:00"/>
    <d v="2014-11-29T00:00:00"/>
    <n v="407.8"/>
    <n v="2"/>
  </r>
  <r>
    <s v="Ewa"/>
    <x v="49"/>
    <s v="Katowice"/>
    <d v="2014-11-28T00:00:00"/>
    <d v="2014-12-01T00:00:00"/>
    <n v="1091.7"/>
    <n v="4"/>
  </r>
  <r>
    <s v="Zyta"/>
    <x v="80"/>
    <s v="Radom"/>
    <d v="2014-11-28T00:00:00"/>
    <d v="2014-12-02T00:00:00"/>
    <n v="674.5"/>
    <n v="5"/>
  </r>
  <r>
    <s v="Irma"/>
    <x v="88"/>
    <s v="Malbork"/>
    <d v="2014-11-28T00:00:00"/>
    <d v="2014-12-02T00:00:00"/>
    <n v="1524"/>
    <n v="5"/>
  </r>
  <r>
    <s v="Rozalia"/>
    <x v="90"/>
    <s v="Zgierz"/>
    <d v="2014-11-28T00:00:00"/>
    <d v="2014-12-02T00:00:00"/>
    <n v="688.5"/>
    <n v="5"/>
  </r>
  <r>
    <s v="Krystyna"/>
    <x v="89"/>
    <s v="Lublin"/>
    <d v="2014-11-28T00:00:00"/>
    <d v="2014-11-29T00:00:00"/>
    <n v="439.7"/>
    <n v="2"/>
  </r>
  <r>
    <s v="Sebastian"/>
    <x v="35"/>
    <s v="Katowice"/>
    <d v="2014-11-28T00:00:00"/>
    <d v="2014-11-29T00:00:00"/>
    <n v="693.7"/>
    <n v="2"/>
  </r>
  <r>
    <s v="Amelia"/>
    <x v="24"/>
    <s v="Malbork"/>
    <d v="2014-11-28T00:00:00"/>
    <d v="2014-12-01T00:00:00"/>
    <n v="1313"/>
    <n v="4"/>
  </r>
  <r>
    <s v="Adam"/>
    <x v="73"/>
    <s v="Malbork"/>
    <d v="2014-11-28T00:00:00"/>
    <d v="2014-11-29T00:00:00"/>
    <n v="891"/>
    <n v="2"/>
  </r>
  <r>
    <s v="Natalia"/>
    <x v="97"/>
    <s v="Lublin"/>
    <d v="2014-11-29T00:00:00"/>
    <d v="2014-11-30T00:00:00"/>
    <n v="439.7"/>
    <n v="2"/>
  </r>
  <r>
    <s v="Anna"/>
    <x v="76"/>
    <s v="Malbork"/>
    <d v="2014-12-01T00:00:00"/>
    <d v="2014-12-01T00:00:00"/>
    <n v="680"/>
    <n v="1"/>
  </r>
  <r>
    <s v="Andrzej"/>
    <x v="10"/>
    <s v="Kalisz"/>
    <d v="2014-12-01T00:00:00"/>
    <d v="2014-12-01T00:00:00"/>
    <n v="442"/>
    <n v="1"/>
  </r>
  <r>
    <s v="Kacper"/>
    <x v="67"/>
    <s v="Radom"/>
    <d v="2014-12-01T00:00:00"/>
    <d v="2014-12-02T00:00:00"/>
    <n v="302.5"/>
    <n v="2"/>
  </r>
  <r>
    <s v="Wojciech"/>
    <x v="33"/>
    <s v="Bydgoszcz"/>
    <d v="2014-12-01T00:00:00"/>
    <d v="2014-12-01T00:00:00"/>
    <n v="513.4"/>
    <n v="1"/>
  </r>
  <r>
    <s v="Teresa"/>
    <x v="84"/>
    <s v="Kalisz"/>
    <d v="2014-12-01T00:00:00"/>
    <d v="2014-12-01T00:00:00"/>
    <n v="442"/>
    <n v="1"/>
  </r>
  <r>
    <s v="Maria"/>
    <x v="81"/>
    <s v="Katowice"/>
    <d v="2014-12-01T00:00:00"/>
    <d v="2014-12-01T00:00:00"/>
    <n v="494.7"/>
    <n v="1"/>
  </r>
  <r>
    <s v="Zofia"/>
    <x v="45"/>
    <s v="Bydgoszcz"/>
    <d v="2014-12-01T00:00:00"/>
    <d v="2014-12-01T00:00:00"/>
    <n v="513.4"/>
    <n v="1"/>
  </r>
  <r>
    <s v="Wiktor"/>
    <x v="86"/>
    <s v="Kalisz"/>
    <d v="2014-12-02T00:00:00"/>
    <d v="2014-12-02T00:00:00"/>
    <n v="442"/>
    <n v="1"/>
  </r>
  <r>
    <s v="Patrycja"/>
    <x v="98"/>
    <s v="Zgierz"/>
    <d v="2014-12-02T00:00:00"/>
    <d v="2014-12-03T00:00:00"/>
    <n v="331.5"/>
    <n v="2"/>
  </r>
  <r>
    <s v="Paulina"/>
    <x v="71"/>
    <s v="Olsztyn"/>
    <d v="2014-12-02T00:00:00"/>
    <d v="2014-12-04T00:00:00"/>
    <n v="689.8"/>
    <n v="3"/>
  </r>
  <r>
    <s v="Olivia"/>
    <x v="20"/>
    <s v="Kutno"/>
    <d v="2014-12-02T00:00:00"/>
    <d v="2014-12-02T00:00:00"/>
    <n v="278.8"/>
    <n v="1"/>
  </r>
  <r>
    <s v="Krystyna"/>
    <x v="89"/>
    <s v="Siedlce"/>
    <d v="2014-12-02T00:00:00"/>
    <d v="2014-12-02T00:00:00"/>
    <n v="156.4"/>
    <n v="1"/>
  </r>
  <r>
    <s v="Anna"/>
    <x v="59"/>
    <s v="Lublin"/>
    <d v="2014-12-02T00:00:00"/>
    <d v="2014-12-02T00:00:00"/>
    <n v="290.7"/>
    <n v="1"/>
  </r>
  <r>
    <s v="Natalia"/>
    <x v="97"/>
    <s v="Kutno"/>
    <d v="2014-12-03T00:00:00"/>
    <d v="2014-12-03T00:00:00"/>
    <n v="278.8"/>
    <n v="1"/>
  </r>
  <r>
    <s v="Paulina"/>
    <x v="38"/>
    <s v="Bydgoszcz"/>
    <d v="2014-12-04T00:00:00"/>
    <d v="2014-12-04T00:00:00"/>
    <n v="513.4"/>
    <n v="1"/>
  </r>
  <r>
    <s v="Ewa"/>
    <x v="69"/>
    <s v="Lublin"/>
    <d v="2014-12-04T00:00:00"/>
    <d v="2014-12-05T00:00:00"/>
    <n v="439.7"/>
    <n v="2"/>
  </r>
  <r>
    <s v="Janusz"/>
    <x v="48"/>
    <s v="Radom"/>
    <d v="2014-12-04T00:00:00"/>
    <d v="2014-12-05T00:00:00"/>
    <n v="302.5"/>
    <n v="2"/>
  </r>
  <r>
    <s v="Wojciech"/>
    <x v="87"/>
    <s v="Siedlce"/>
    <d v="2014-12-04T00:00:00"/>
    <d v="2014-12-05T00:00:00"/>
    <n v="295.39999999999998"/>
    <n v="2"/>
  </r>
  <r>
    <s v="Katarzyna"/>
    <x v="56"/>
    <s v="Lublin"/>
    <d v="2014-12-04T00:00:00"/>
    <d v="2014-12-08T00:00:00"/>
    <n v="886.7"/>
    <n v="5"/>
  </r>
  <r>
    <s v="Kamil"/>
    <x v="92"/>
    <s v="Katowice"/>
    <d v="2014-12-04T00:00:00"/>
    <d v="2014-12-08T00:00:00"/>
    <n v="1290.7"/>
    <n v="5"/>
  </r>
  <r>
    <s v="Piotr"/>
    <x v="3"/>
    <s v="Kutno"/>
    <d v="2014-12-04T00:00:00"/>
    <d v="2014-12-06T00:00:00"/>
    <n v="536.79999999999995"/>
    <n v="3"/>
  </r>
  <r>
    <s v="Sebastian"/>
    <x v="36"/>
    <s v="Lublin"/>
    <d v="2014-12-09T00:00:00"/>
    <d v="2014-12-10T00:00:00"/>
    <n v="439.7"/>
    <n v="2"/>
  </r>
  <r>
    <s v="Andrzej"/>
    <x v="77"/>
    <s v="Kutno"/>
    <d v="2014-12-09T00:00:00"/>
    <d v="2014-12-09T00:00:00"/>
    <n v="278.8"/>
    <n v="1"/>
  </r>
  <r>
    <s v="Bonifacy"/>
    <x v="19"/>
    <s v="Lublin"/>
    <d v="2014-12-09T00:00:00"/>
    <d v="2014-12-12T00:00:00"/>
    <n v="737.7"/>
    <n v="4"/>
  </r>
  <r>
    <s v="Karolina"/>
    <x v="75"/>
    <s v="Zgierz"/>
    <d v="2014-12-09T00:00:00"/>
    <d v="2014-12-10T00:00:00"/>
    <n v="331.5"/>
    <n v="2"/>
  </r>
  <r>
    <s v="Dominika"/>
    <x v="64"/>
    <s v="Kalisz"/>
    <d v="2014-12-09T00:00:00"/>
    <d v="2014-12-09T00:00:00"/>
    <n v="442"/>
    <n v="1"/>
  </r>
  <r>
    <s v="Zofia"/>
    <x v="65"/>
    <s v="Katowice"/>
    <d v="2014-12-09T00:00:00"/>
    <d v="2014-12-09T00:00:00"/>
    <n v="494.7"/>
    <n v="1"/>
  </r>
  <r>
    <s v="Sebastian"/>
    <x v="9"/>
    <s v="Malbork"/>
    <d v="2014-12-09T00:00:00"/>
    <d v="2014-12-11T00:00:00"/>
    <n v="1102"/>
    <n v="3"/>
  </r>
  <r>
    <s v="Amadeusz"/>
    <x v="26"/>
    <s v="Zgierz"/>
    <d v="2014-12-09T00:00:00"/>
    <d v="2014-12-13T00:00:00"/>
    <n v="688.5"/>
    <n v="5"/>
  </r>
  <r>
    <s v="Natalia"/>
    <x v="97"/>
    <s v="Mielec"/>
    <d v="2014-12-09T00:00:00"/>
    <d v="2014-12-10T00:00:00"/>
    <n v="570"/>
    <n v="2"/>
  </r>
  <r>
    <s v="Marcin"/>
    <x v="96"/>
    <s v="Kalisz"/>
    <d v="2014-12-09T00:00:00"/>
    <d v="2014-12-11T00:00:00"/>
    <n v="760"/>
    <n v="3"/>
  </r>
  <r>
    <s v="Andrzej"/>
    <x v="10"/>
    <s v="Malbork"/>
    <d v="2014-12-09T00:00:00"/>
    <d v="2014-12-10T00:00:00"/>
    <n v="891"/>
    <n v="2"/>
  </r>
  <r>
    <s v="Justyna"/>
    <x v="1"/>
    <s v="Katowice"/>
    <d v="2014-12-09T00:00:00"/>
    <d v="2014-12-11T00:00:00"/>
    <n v="892.7"/>
    <n v="3"/>
  </r>
  <r>
    <s v="Wojciech"/>
    <x v="33"/>
    <s v="Siedlce"/>
    <d v="2014-12-09T00:00:00"/>
    <d v="2014-12-12T00:00:00"/>
    <n v="573.4"/>
    <n v="4"/>
  </r>
  <r>
    <s v="Michalina"/>
    <x v="50"/>
    <s v="Zgierz"/>
    <d v="2014-12-09T00:00:00"/>
    <d v="2014-12-12T00:00:00"/>
    <n v="569.5"/>
    <n v="4"/>
  </r>
  <r>
    <s v="Adam"/>
    <x v="41"/>
    <s v="Radom"/>
    <d v="2014-12-09T00:00:00"/>
    <d v="2014-12-13T00:00:00"/>
    <n v="674.5"/>
    <n v="5"/>
  </r>
  <r>
    <s v="Kazimiera"/>
    <x v="55"/>
    <s v="Bydgoszcz"/>
    <d v="2014-12-09T00:00:00"/>
    <d v="2014-12-10T00:00:00"/>
    <n v="654.4"/>
    <n v="2"/>
  </r>
  <r>
    <s v="Zuzanna"/>
    <x v="82"/>
    <s v="Malbork"/>
    <d v="2014-12-09T00:00:00"/>
    <d v="2014-12-10T00:00:00"/>
    <n v="891"/>
    <n v="2"/>
  </r>
  <r>
    <s v="Grzegorz"/>
    <x v="57"/>
    <s v="Kalisz"/>
    <d v="2014-12-09T00:00:00"/>
    <d v="2014-12-11T00:00:00"/>
    <n v="760"/>
    <n v="3"/>
  </r>
  <r>
    <s v="Zofia"/>
    <x v="45"/>
    <s v="Kielce"/>
    <d v="2014-12-09T00:00:00"/>
    <d v="2014-12-13T00:00:00"/>
    <n v="1019.7"/>
    <n v="5"/>
  </r>
  <r>
    <s v="Marek"/>
    <x v="60"/>
    <s v="Olsztyn"/>
    <d v="2014-12-09T00:00:00"/>
    <d v="2014-12-10T00:00:00"/>
    <n v="526.79999999999995"/>
    <n v="2"/>
  </r>
  <r>
    <s v="Adam"/>
    <x v="73"/>
    <s v="Olsztyn"/>
    <d v="2014-12-09T00:00:00"/>
    <d v="2014-12-10T00:00:00"/>
    <n v="526.79999999999995"/>
    <n v="2"/>
  </r>
  <r>
    <s v="Piotr"/>
    <x v="16"/>
    <s v="Krakow"/>
    <d v="2014-12-10T00:00:00"/>
    <d v="2014-12-11T00:00:00"/>
    <n v="706.5"/>
    <n v="2"/>
  </r>
  <r>
    <s v="Karolina"/>
    <x v="0"/>
    <s v="Zgierz"/>
    <d v="2014-12-10T00:00:00"/>
    <d v="2014-12-11T00:00:00"/>
    <n v="331.5"/>
    <n v="2"/>
  </r>
  <r>
    <s v="Janina"/>
    <x v="68"/>
    <s v="Radom"/>
    <d v="2014-12-10T00:00:00"/>
    <d v="2014-12-13T00:00:00"/>
    <n v="550.5"/>
    <n v="4"/>
  </r>
  <r>
    <s v="Kornel"/>
    <x v="39"/>
    <s v="Krakow"/>
    <d v="2014-12-10T00:00:00"/>
    <d v="2014-12-13T00:00:00"/>
    <n v="1116.5"/>
    <n v="4"/>
  </r>
  <r>
    <s v="Jerzy"/>
    <x v="29"/>
    <s v="Lublin"/>
    <d v="2014-12-10T00:00:00"/>
    <d v="2014-12-11T00:00:00"/>
    <n v="439.7"/>
    <n v="2"/>
  </r>
  <r>
    <s v="Marzena"/>
    <x v="25"/>
    <s v="Kalisz"/>
    <d v="2014-12-10T00:00:00"/>
    <d v="2014-12-10T00:00:00"/>
    <n v="442"/>
    <n v="1"/>
  </r>
  <r>
    <s v="Marzena"/>
    <x v="8"/>
    <s v="Krakow"/>
    <d v="2014-12-10T00:00:00"/>
    <d v="2014-12-12T00:00:00"/>
    <n v="911.5"/>
    <n v="3"/>
  </r>
  <r>
    <s v="Kornel"/>
    <x v="66"/>
    <s v="Olsztyn"/>
    <d v="2014-12-10T00:00:00"/>
    <d v="2014-12-14T00:00:00"/>
    <n v="1015.8"/>
    <n v="5"/>
  </r>
  <r>
    <s v="Marek"/>
    <x v="32"/>
    <s v="Zgierz"/>
    <d v="2014-12-10T00:00:00"/>
    <d v="2014-12-11T00:00:00"/>
    <n v="331.5"/>
    <n v="2"/>
  </r>
  <r>
    <s v="Karolina"/>
    <x v="23"/>
    <s v="Mielec"/>
    <d v="2014-12-10T00:00:00"/>
    <d v="2014-12-14T00:00:00"/>
    <n v="954"/>
    <n v="5"/>
  </r>
  <r>
    <s v="Justyna"/>
    <x v="31"/>
    <s v="Malbork"/>
    <d v="2014-12-10T00:00:00"/>
    <d v="2014-12-12T00:00:00"/>
    <n v="1102"/>
    <n v="3"/>
  </r>
  <r>
    <s v="Zofia"/>
    <x v="54"/>
    <s v="Kielce"/>
    <d v="2014-12-10T00:00:00"/>
    <d v="2014-12-11T00:00:00"/>
    <n v="485.7"/>
    <n v="2"/>
  </r>
  <r>
    <s v="Paulina"/>
    <x v="63"/>
    <s v="Kutno"/>
    <d v="2014-12-10T00:00:00"/>
    <d v="2014-12-13T00:00:00"/>
    <n v="665.8"/>
    <n v="4"/>
  </r>
  <r>
    <s v="Zyta"/>
    <x v="80"/>
    <s v="Lublin"/>
    <d v="2014-12-10T00:00:00"/>
    <d v="2014-12-12T00:00:00"/>
    <n v="588.70000000000005"/>
    <n v="3"/>
  </r>
  <r>
    <s v="Jerzy"/>
    <x v="11"/>
    <s v="Katowice"/>
    <d v="2014-12-10T00:00:00"/>
    <d v="2014-12-13T00:00:00"/>
    <n v="1091.7"/>
    <n v="4"/>
  </r>
  <r>
    <s v="Dorota"/>
    <x v="2"/>
    <s v="Olsztyn"/>
    <d v="2014-12-10T00:00:00"/>
    <d v="2014-12-14T00:00:00"/>
    <n v="1015.8"/>
    <n v="5"/>
  </r>
  <r>
    <s v="Ewelia"/>
    <x v="42"/>
    <s v="Bydgoszcz"/>
    <d v="2014-12-10T00:00:00"/>
    <d v="2014-12-11T00:00:00"/>
    <n v="654.4"/>
    <n v="2"/>
  </r>
  <r>
    <s v="Daria"/>
    <x v="95"/>
    <s v="Kutno"/>
    <d v="2014-12-10T00:00:00"/>
    <d v="2014-12-11T00:00:00"/>
    <n v="407.8"/>
    <n v="2"/>
  </r>
  <r>
    <s v="Karolina"/>
    <x v="17"/>
    <s v="Siedlce"/>
    <d v="2014-12-10T00:00:00"/>
    <d v="2014-12-10T00:00:00"/>
    <n v="156.4"/>
    <n v="1"/>
  </r>
  <r>
    <s v="Kamil"/>
    <x v="92"/>
    <s v="Radom"/>
    <d v="2014-12-10T00:00:00"/>
    <d v="2014-12-13T00:00:00"/>
    <n v="550.5"/>
    <n v="4"/>
  </r>
  <r>
    <s v="Piotr"/>
    <x v="3"/>
    <s v="Malbork"/>
    <d v="2014-12-10T00:00:00"/>
    <d v="2014-12-14T00:00:00"/>
    <n v="1524"/>
    <n v="5"/>
  </r>
  <r>
    <s v="Kamil"/>
    <x v="5"/>
    <s v="Kutno"/>
    <d v="2014-12-10T00:00:00"/>
    <d v="2014-12-11T00:00:00"/>
    <n v="407.8"/>
    <n v="2"/>
  </r>
  <r>
    <s v="Anna"/>
    <x v="76"/>
    <s v="Krakow"/>
    <d v="2014-12-11T00:00:00"/>
    <d v="2014-12-12T00:00:00"/>
    <n v="706.5"/>
    <n v="2"/>
  </r>
  <r>
    <s v="Andrzej"/>
    <x v="10"/>
    <s v="Lublin"/>
    <d v="2014-12-11T00:00:00"/>
    <d v="2014-12-11T00:00:00"/>
    <n v="290.7"/>
    <n v="1"/>
  </r>
  <r>
    <s v="Andrzej"/>
    <x v="77"/>
    <s v="Mielec"/>
    <d v="2014-12-12T00:00:00"/>
    <d v="2014-12-12T00:00:00"/>
    <n v="442"/>
    <n v="1"/>
  </r>
  <r>
    <s v="Karolina"/>
    <x v="75"/>
    <s v="Kalisz"/>
    <d v="2014-12-12T00:00:00"/>
    <d v="2014-12-12T00:00:00"/>
    <n v="442"/>
    <n v="1"/>
  </r>
  <r>
    <s v="Dominika"/>
    <x v="64"/>
    <s v="Kutno"/>
    <d v="2014-12-12T00:00:00"/>
    <d v="2014-12-12T00:00:00"/>
    <n v="278.8"/>
    <n v="1"/>
  </r>
  <r>
    <s v="Zofia"/>
    <x v="65"/>
    <s v="Kutno"/>
    <d v="2014-12-12T00:00:00"/>
    <d v="2014-12-12T00:00:00"/>
    <n v="278.8"/>
    <n v="1"/>
  </r>
  <r>
    <s v="Adam"/>
    <x v="83"/>
    <s v="Radom"/>
    <d v="2014-12-12T00:00:00"/>
    <d v="2014-12-12T00:00:00"/>
    <n v="178.5"/>
    <n v="1"/>
  </r>
  <r>
    <s v="Malwina"/>
    <x v="62"/>
    <s v="Siedlce"/>
    <d v="2014-12-12T00:00:00"/>
    <d v="2014-12-15T00:00:00"/>
    <n v="573.4"/>
    <n v="4"/>
  </r>
  <r>
    <s v="Zuzanna"/>
    <x v="82"/>
    <s v="Kielce"/>
    <d v="2014-12-12T00:00:00"/>
    <d v="2014-12-12T00:00:00"/>
    <n v="307.7"/>
    <n v="1"/>
  </r>
  <r>
    <s v="Tomasz"/>
    <x v="58"/>
    <s v="Kielce"/>
    <d v="2014-12-12T00:00:00"/>
    <d v="2014-12-12T00:00:00"/>
    <n v="307.7"/>
    <n v="1"/>
  </r>
  <r>
    <s v="Jan"/>
    <x v="91"/>
    <s v="Kielce"/>
    <d v="2014-12-12T00:00:00"/>
    <d v="2014-12-16T00:00:00"/>
    <n v="1019.7"/>
    <n v="5"/>
  </r>
  <r>
    <s v="Andrzej"/>
    <x v="10"/>
    <s v="Krakow"/>
    <d v="2014-12-13T00:00:00"/>
    <d v="2014-12-13T00:00:00"/>
    <n v="501.5"/>
    <n v="1"/>
  </r>
  <r>
    <s v="Karolina"/>
    <x v="17"/>
    <s v="Krakow"/>
    <d v="2014-12-13T00:00:00"/>
    <d v="2014-12-13T00:00:00"/>
    <n v="501.5"/>
    <n v="1"/>
  </r>
  <r>
    <s v="Anna"/>
    <x v="85"/>
    <s v="Zgierz"/>
    <d v="2014-12-14T00:00:00"/>
    <d v="2014-12-14T00:00:00"/>
    <n v="212.5"/>
    <n v="1"/>
  </r>
  <r>
    <s v="Sebastian"/>
    <x v="9"/>
    <s v="Krakow"/>
    <d v="2014-12-14T00:00:00"/>
    <d v="2014-12-14T00:00:00"/>
    <n v="501.5"/>
    <n v="1"/>
  </r>
  <r>
    <s v="Natalia"/>
    <x v="97"/>
    <s v="Siedlce"/>
    <d v="2014-12-15T00:00:00"/>
    <d v="2014-12-15T00:00:00"/>
    <n v="156.4"/>
    <n v="1"/>
  </r>
  <r>
    <s v="Adam"/>
    <x v="41"/>
    <s v="Zgierz"/>
    <d v="2014-12-15T00:00:00"/>
    <d v="2014-12-15T00:00:00"/>
    <n v="212.5"/>
    <n v="1"/>
  </r>
  <r>
    <s v="Wojciech"/>
    <x v="87"/>
    <s v="Siedlce"/>
    <d v="2014-12-15T00:00:00"/>
    <d v="2014-12-15T00:00:00"/>
    <n v="156.4"/>
    <n v="1"/>
  </r>
  <r>
    <s v="Andrzej"/>
    <x v="77"/>
    <s v="Malbork"/>
    <d v="2014-12-16T00:00:00"/>
    <d v="2014-12-17T00:00:00"/>
    <n v="891"/>
    <n v="2"/>
  </r>
  <r>
    <s v="Patrycja"/>
    <x v="98"/>
    <s v="Olsztyn"/>
    <d v="2014-12-16T00:00:00"/>
    <d v="2014-12-19T00:00:00"/>
    <n v="852.8"/>
    <n v="4"/>
  </r>
  <r>
    <s v="Olivia"/>
    <x v="20"/>
    <s v="Krakow"/>
    <d v="2014-12-16T00:00:00"/>
    <d v="2014-12-17T00:00:00"/>
    <n v="706.5"/>
    <n v="2"/>
  </r>
  <r>
    <s v="Kazimiera"/>
    <x v="55"/>
    <s v="Kalisz"/>
    <d v="2014-12-16T00:00:00"/>
    <d v="2014-12-16T00:00:00"/>
    <n v="442"/>
    <n v="1"/>
  </r>
  <r>
    <s v="Katarzyna"/>
    <x v="56"/>
    <s v="Kutno"/>
    <d v="2014-12-16T00:00:00"/>
    <d v="2014-12-16T00:00:00"/>
    <n v="278.8"/>
    <n v="1"/>
  </r>
  <r>
    <s v="Piotr"/>
    <x v="27"/>
    <s v="Siedlce"/>
    <d v="2014-12-16T00:00:00"/>
    <d v="2014-12-17T00:00:00"/>
    <n v="295.39999999999998"/>
    <n v="2"/>
  </r>
  <r>
    <s v="Anna"/>
    <x v="85"/>
    <s v="Olsztyn"/>
    <d v="2014-12-17T00:00:00"/>
    <d v="2014-12-17T00:00:00"/>
    <n v="363.8"/>
    <n v="1"/>
  </r>
  <r>
    <s v="Paulina"/>
    <x v="63"/>
    <s v="Krakow"/>
    <d v="2014-12-17T00:00:00"/>
    <d v="2014-12-17T00:00:00"/>
    <n v="501.5"/>
    <n v="1"/>
  </r>
  <r>
    <s v="Karolina"/>
    <x v="17"/>
    <s v="Bydgoszcz"/>
    <d v="2014-12-17T00:00:00"/>
    <d v="2014-12-17T00:00:00"/>
    <n v="513.4"/>
    <n v="1"/>
  </r>
  <r>
    <s v="Jerzy"/>
    <x v="29"/>
    <s v="Olsztyn"/>
    <d v="2014-12-18T00:00:00"/>
    <d v="2014-12-18T00:00:00"/>
    <n v="363.8"/>
    <n v="1"/>
  </r>
  <r>
    <s v="Kacper"/>
    <x v="67"/>
    <s v="Olsztyn"/>
    <d v="2014-12-18T00:00:00"/>
    <d v="2014-12-18T00:00:00"/>
    <n v="363.8"/>
    <n v="1"/>
  </r>
  <r>
    <s v="Zuzanna"/>
    <x v="82"/>
    <s v="Lublin"/>
    <d v="2014-12-18T00:00:00"/>
    <d v="2014-12-18T00:00:00"/>
    <n v="290.7"/>
    <n v="1"/>
  </r>
  <r>
    <s v="Piotr"/>
    <x v="3"/>
    <s v="Zgierz"/>
    <d v="2014-12-18T00:00:00"/>
    <d v="2014-12-19T00:00:00"/>
    <n v="331.5"/>
    <n v="2"/>
  </r>
  <r>
    <s v="Kamil"/>
    <x v="5"/>
    <s v="Katowice"/>
    <d v="2014-12-18T00:00:00"/>
    <d v="2014-12-18T00:00:00"/>
    <n v="494.7"/>
    <n v="1"/>
  </r>
  <r>
    <s v="Jerzy"/>
    <x v="11"/>
    <s v="Siedlce"/>
    <d v="2014-12-19T00:00:00"/>
    <d v="2014-12-19T00:00:00"/>
    <n v="156.4"/>
    <n v="1"/>
  </r>
  <r>
    <s v="Teresa"/>
    <x v="84"/>
    <s v="Katowice"/>
    <d v="2014-12-19T00:00:00"/>
    <d v="2014-12-19T00:00:00"/>
    <n v="494.7"/>
    <n v="1"/>
  </r>
  <r>
    <s v="Karolina"/>
    <x v="0"/>
    <s v="Kielce"/>
    <d v="2014-12-20T00:00:00"/>
    <d v="2014-12-20T00:00:00"/>
    <n v="307.7"/>
    <n v="1"/>
  </r>
  <r>
    <s v="Piotr"/>
    <x v="27"/>
    <s v="Malbork"/>
    <d v="2014-12-20T00:00:00"/>
    <d v="2014-12-20T00:00:00"/>
    <n v="680"/>
    <n v="1"/>
  </r>
  <r>
    <s v="Dominika"/>
    <x v="64"/>
    <s v="Mielec"/>
    <d v="2014-12-21T00:00:00"/>
    <d v="2014-12-21T00:00:00"/>
    <n v="442"/>
    <n v="1"/>
  </r>
  <r>
    <s v="Piotr"/>
    <x v="18"/>
    <s v="Bydgoszcz"/>
    <d v="2014-12-21T00:00:00"/>
    <d v="2014-12-21T00:00:00"/>
    <n v="513.4"/>
    <n v="1"/>
  </r>
  <r>
    <s v="Amelia"/>
    <x v="93"/>
    <s v="Malbork"/>
    <d v="2014-12-21T00:00:00"/>
    <d v="2014-12-21T00:00:00"/>
    <n v="680"/>
    <n v="1"/>
  </r>
  <r>
    <s v="Patrycja"/>
    <x v="98"/>
    <s v="Krakow"/>
    <d v="2014-12-21T00:00:00"/>
    <d v="2014-12-21T00:00:00"/>
    <n v="501.5"/>
    <n v="1"/>
  </r>
  <r>
    <s v="Olivia"/>
    <x v="20"/>
    <s v="Lublin"/>
    <d v="2014-12-21T00:00:00"/>
    <d v="2014-12-21T00:00:00"/>
    <n v="290.7"/>
    <n v="1"/>
  </r>
  <r>
    <s v="Karolina"/>
    <x v="23"/>
    <s v="Kalisz"/>
    <d v="2014-12-21T00:00:00"/>
    <d v="2014-12-22T00:00:00"/>
    <n v="601"/>
    <n v="2"/>
  </r>
  <r>
    <s v="Bogumi"/>
    <x v="79"/>
    <s v="Mielec"/>
    <d v="2014-12-21T00:00:00"/>
    <d v="2014-12-22T00:00:00"/>
    <n v="570"/>
    <n v="2"/>
  </r>
  <r>
    <s v="Paulina"/>
    <x v="61"/>
    <s v="Zgierz"/>
    <d v="2014-12-21T00:00:00"/>
    <d v="2014-12-22T00:00:00"/>
    <n v="331.5"/>
    <n v="2"/>
  </r>
  <r>
    <s v="Anna"/>
    <x v="85"/>
    <s v="Krakow"/>
    <d v="2014-12-22T00:00:00"/>
    <d v="2014-12-22T00:00:00"/>
    <n v="501.5"/>
    <n v="1"/>
  </r>
  <r>
    <s v="Eustachy"/>
    <x v="37"/>
    <s v="Olsztyn"/>
    <d v="2014-12-22T00:00:00"/>
    <d v="2014-12-22T00:00:00"/>
    <n v="363.8"/>
    <n v="1"/>
  </r>
  <r>
    <s v="Marcin"/>
    <x v="96"/>
    <s v="Kielce"/>
    <d v="2014-12-22T00:00:00"/>
    <d v="2014-12-23T00:00:00"/>
    <n v="485.7"/>
    <n v="2"/>
  </r>
  <r>
    <s v="Janusz"/>
    <x v="48"/>
    <s v="Lublin"/>
    <d v="2014-12-22T00:00:00"/>
    <d v="2014-12-22T00:00:00"/>
    <n v="290.7"/>
    <n v="1"/>
  </r>
  <r>
    <s v="Anna"/>
    <x v="76"/>
    <s v="Siedlce"/>
    <d v="2014-12-22T00:00:00"/>
    <d v="2014-12-23T00:00:00"/>
    <n v="295.39999999999998"/>
    <n v="2"/>
  </r>
  <r>
    <s v="Michalina"/>
    <x v="50"/>
    <s v="Siedlce"/>
    <d v="2014-12-22T00:00:00"/>
    <d v="2014-12-22T00:00:00"/>
    <n v="156.4"/>
    <n v="1"/>
  </r>
  <r>
    <s v="Albert"/>
    <x v="94"/>
    <s v="Krakow"/>
    <d v="2014-12-22T00:00:00"/>
    <d v="2014-12-22T00:00:00"/>
    <n v="501.5"/>
    <n v="1"/>
  </r>
  <r>
    <s v="Zofia"/>
    <x v="54"/>
    <s v="Zgierz"/>
    <d v="2014-12-22T00:00:00"/>
    <d v="2014-12-22T00:00:00"/>
    <n v="212.5"/>
    <n v="1"/>
  </r>
  <r>
    <s v="Zuzanna"/>
    <x v="82"/>
    <s v="Krakow"/>
    <d v="2014-12-22T00:00:00"/>
    <d v="2014-12-23T00:00:00"/>
    <n v="706.5"/>
    <n v="2"/>
  </r>
  <r>
    <s v="Zuzanna"/>
    <x v="82"/>
    <s v="Mielec"/>
    <d v="2014-12-22T00:00:00"/>
    <d v="2014-12-22T00:00:00"/>
    <n v="442"/>
    <n v="1"/>
  </r>
  <r>
    <s v="Katarzyna"/>
    <x v="56"/>
    <s v="Zgierz"/>
    <d v="2014-12-22T00:00:00"/>
    <d v="2014-12-23T00:00:00"/>
    <n v="331.5"/>
    <n v="2"/>
  </r>
  <r>
    <s v="Zofia"/>
    <x v="45"/>
    <s v="Kutno"/>
    <d v="2014-12-22T00:00:00"/>
    <d v="2014-12-22T00:00:00"/>
    <n v="278.8"/>
    <n v="1"/>
  </r>
  <r>
    <s v="Dorota"/>
    <x v="46"/>
    <s v="Bydgoszcz"/>
    <d v="2014-12-22T00:00:00"/>
    <d v="2014-12-23T00:00:00"/>
    <n v="654.4"/>
    <n v="2"/>
  </r>
  <r>
    <s v="Wiktor"/>
    <x v="70"/>
    <s v="Radom"/>
    <d v="2014-12-22T00:00:00"/>
    <d v="2014-12-22T00:00:00"/>
    <n v="178.5"/>
    <n v="1"/>
  </r>
  <r>
    <s v="Wiktor"/>
    <x v="86"/>
    <s v="Siedlce"/>
    <d v="2014-12-28T00:00:00"/>
    <d v="2014-12-29T00:00:00"/>
    <n v="295.39999999999998"/>
    <n v="2"/>
  </r>
  <r>
    <s v="Justyna"/>
    <x v="51"/>
    <s v="Lublin"/>
    <d v="2014-12-28T00:00:00"/>
    <d v="2014-12-30T00:00:00"/>
    <n v="588.70000000000005"/>
    <n v="3"/>
  </r>
  <r>
    <s v="Marzena"/>
    <x v="25"/>
    <s v="Kalisz"/>
    <d v="2014-12-29T00:00:00"/>
    <d v="2014-12-30T00:00:00"/>
    <n v="601"/>
    <n v="2"/>
  </r>
  <r>
    <s v="Karolina"/>
    <x v="23"/>
    <s v="Katowice"/>
    <d v="2014-12-29T00:00:00"/>
    <d v="2014-12-29T00:00:00"/>
    <n v="494.7"/>
    <n v="1"/>
  </r>
  <r>
    <s v="Anna"/>
    <x v="76"/>
    <s v="Bydgoszcz"/>
    <d v="2014-12-29T00:00:00"/>
    <d v="2014-12-29T00:00:00"/>
    <n v="513.4"/>
    <n v="1"/>
  </r>
  <r>
    <s v="Zuzanna"/>
    <x v="82"/>
    <s v="Katowice"/>
    <d v="2014-12-29T00:00:00"/>
    <d v="2014-12-29T00:00:00"/>
    <n v="494.7"/>
    <n v="1"/>
  </r>
  <r>
    <s v="Piotr"/>
    <x v="3"/>
    <s v="Kalisz"/>
    <d v="2014-12-29T00:00:00"/>
    <d v="2014-12-29T00:00:00"/>
    <n v="442"/>
    <n v="1"/>
  </r>
  <r>
    <s v="Adam"/>
    <x v="73"/>
    <s v="Zgierz"/>
    <d v="2014-12-29T00:00:00"/>
    <d v="2014-12-30T00:00:00"/>
    <n v="331.5"/>
    <n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Karolina"/>
    <s v="Arska"/>
    <s v="Malbork"/>
    <x v="0"/>
    <d v="2014-01-03T00:00:00"/>
    <n v="891"/>
  </r>
  <r>
    <s v="Justyna"/>
    <s v="Kolska"/>
    <s v="Siedlce"/>
    <x v="0"/>
    <d v="2014-01-03T00:00:00"/>
    <n v="295.39999999999998"/>
  </r>
  <r>
    <s v="Dorota"/>
    <s v="Morska"/>
    <s v="Radom"/>
    <x v="0"/>
    <d v="2014-01-03T00:00:00"/>
    <n v="302.5"/>
  </r>
  <r>
    <s v="Piotr"/>
    <s v="Roman"/>
    <s v="Krakow"/>
    <x v="0"/>
    <d v="2014-01-02T00:00:00"/>
    <n v="501.5"/>
  </r>
  <r>
    <s v="Justyna"/>
    <s v="Tracz"/>
    <s v="Bydgoszcz"/>
    <x v="0"/>
    <d v="2014-01-03T00:00:00"/>
    <n v="654.4"/>
  </r>
  <r>
    <s v="Kamil"/>
    <s v="Zabrzeski"/>
    <s v="Malbork"/>
    <x v="0"/>
    <d v="2014-01-03T00:00:00"/>
    <n v="891"/>
  </r>
  <r>
    <s v="Patrycja"/>
    <s v="Andrycz"/>
    <s v="Lublin"/>
    <x v="1"/>
    <d v="2014-01-04T00:00:00"/>
    <n v="439.7"/>
  </r>
  <r>
    <s v="Jerzy"/>
    <s v="Granica"/>
    <s v="Mielec"/>
    <x v="1"/>
    <d v="2014-01-06T00:00:00"/>
    <n v="826"/>
  </r>
  <r>
    <s v="Marzena"/>
    <s v="Gras"/>
    <s v="Zgierz"/>
    <x v="1"/>
    <d v="2014-01-04T00:00:00"/>
    <n v="331.5"/>
  </r>
  <r>
    <s v="Sebastian"/>
    <s v="Halik"/>
    <s v="Lublin"/>
    <x v="1"/>
    <d v="2014-01-04T00:00:00"/>
    <n v="439.7"/>
  </r>
  <r>
    <s v="Andrzej"/>
    <s v="Klajn"/>
    <s v="Zgierz"/>
    <x v="1"/>
    <d v="2014-01-05T00:00:00"/>
    <n v="450.5"/>
  </r>
  <r>
    <s v="Jerzy"/>
    <s v="Misiek"/>
    <s v="Radom"/>
    <x v="1"/>
    <d v="2014-01-03T00:00:00"/>
    <n v="178.5"/>
  </r>
  <r>
    <s v="January"/>
    <s v="Pluta"/>
    <s v="Kutno"/>
    <x v="1"/>
    <d v="2014-01-04T00:00:00"/>
    <n v="407.8"/>
  </r>
  <r>
    <s v="Gustaw"/>
    <s v="Poznanski"/>
    <s v="Mielec"/>
    <x v="1"/>
    <d v="2014-01-03T00:00:00"/>
    <n v="442"/>
  </r>
  <r>
    <s v="Karolina"/>
    <s v="Arska"/>
    <s v="Lublin"/>
    <x v="2"/>
    <d v="2014-01-05T00:00:00"/>
    <n v="439.7"/>
  </r>
  <r>
    <s v="Andrzej"/>
    <s v="Kolarski"/>
    <s v="Zgierz"/>
    <x v="2"/>
    <d v="2014-01-05T00:00:00"/>
    <n v="331.5"/>
  </r>
  <r>
    <s v="Marta"/>
    <s v="Nowowiejska"/>
    <s v="Bydgoszcz"/>
    <x v="2"/>
    <d v="2014-01-04T00:00:00"/>
    <n v="513.4"/>
  </r>
  <r>
    <s v="Piotr"/>
    <s v="Armowicz"/>
    <s v="Krakow"/>
    <x v="3"/>
    <d v="2014-01-05T00:00:00"/>
    <n v="501.5"/>
  </r>
  <r>
    <s v="Karolina"/>
    <s v="Podkalicka"/>
    <s v="Mielec"/>
    <x v="3"/>
    <d v="2014-01-05T00:00:00"/>
    <n v="442"/>
  </r>
  <r>
    <s v="Piotr"/>
    <s v="Bojarun"/>
    <s v="Olsztyn"/>
    <x v="4"/>
    <d v="2014-01-06T00:00:00"/>
    <n v="363.8"/>
  </r>
  <r>
    <s v="Bonifacy"/>
    <s v="Barczewski"/>
    <s v="Siedlce"/>
    <x v="5"/>
    <d v="2014-01-07T00:00:00"/>
    <n v="156.4"/>
  </r>
  <r>
    <s v="Olivia"/>
    <s v="Gabor"/>
    <s v="Kutno"/>
    <x v="5"/>
    <d v="2014-01-07T00:00:00"/>
    <n v="278.8"/>
  </r>
  <r>
    <s v="Andrzej"/>
    <s v="Kolarski"/>
    <s v="Radom"/>
    <x v="5"/>
    <d v="2014-01-07T00:00:00"/>
    <n v="178.5"/>
  </r>
  <r>
    <s v="Jerzy"/>
    <s v="Misiek"/>
    <s v="Zgierz"/>
    <x v="5"/>
    <d v="2014-01-07T00:00:00"/>
    <n v="212.5"/>
  </r>
  <r>
    <s v="Lidia"/>
    <s v="Opolska"/>
    <s v="Lublin"/>
    <x v="5"/>
    <d v="2014-01-07T00:00:00"/>
    <n v="290.7"/>
  </r>
  <r>
    <s v="Paulina"/>
    <s v="Basala"/>
    <s v="Bydgoszcz"/>
    <x v="6"/>
    <d v="2014-01-08T00:00:00"/>
    <n v="513.4"/>
  </r>
  <r>
    <s v="Karolina"/>
    <s v="Janes"/>
    <s v="Bydgoszcz"/>
    <x v="6"/>
    <d v="2014-01-08T00:00:00"/>
    <n v="513.4"/>
  </r>
  <r>
    <s v="Amelia"/>
    <s v="Wojtecka"/>
    <s v="Kalisz"/>
    <x v="6"/>
    <d v="2014-01-08T00:00:00"/>
    <n v="442"/>
  </r>
  <r>
    <s v="Marzena"/>
    <s v="Grab"/>
    <s v="Siedlce"/>
    <x v="7"/>
    <d v="2014-01-13T00:00:00"/>
    <n v="712.4"/>
  </r>
  <r>
    <s v="Amadeusz"/>
    <s v="Helski"/>
    <s v="Krakow"/>
    <x v="7"/>
    <d v="2014-01-12T00:00:00"/>
    <n v="1116.5"/>
  </r>
  <r>
    <s v="Piotr"/>
    <s v="Rajczakowski"/>
    <s v="Siedlce"/>
    <x v="7"/>
    <d v="2014-01-10T00:00:00"/>
    <n v="295.39999999999998"/>
  </r>
  <r>
    <s v="Karol"/>
    <s v="Witkiewicz"/>
    <s v="Kielce"/>
    <x v="7"/>
    <d v="2014-01-10T00:00:00"/>
    <n v="485.7"/>
  </r>
  <r>
    <s v="Jerzy"/>
    <s v="Dusznicki"/>
    <s v="Kutno"/>
    <x v="8"/>
    <d v="2014-01-10T00:00:00"/>
    <n v="278.8"/>
  </r>
  <r>
    <s v="Jerzy"/>
    <s v="Jurajski"/>
    <s v="Kalisz"/>
    <x v="8"/>
    <d v="2014-01-10T00:00:00"/>
    <n v="442"/>
  </r>
  <r>
    <s v="Justyna"/>
    <s v="Krynicka"/>
    <s v="Malbork"/>
    <x v="8"/>
    <d v="2014-01-10T00:00:00"/>
    <n v="680"/>
  </r>
  <r>
    <s v="Lidia"/>
    <s v="Opolska"/>
    <s v="Olsztyn"/>
    <x v="8"/>
    <d v="2014-01-10T00:00:00"/>
    <n v="363.8"/>
  </r>
  <r>
    <s v="Patrycja"/>
    <s v="Andrycz"/>
    <s v="Kalisz"/>
    <x v="9"/>
    <d v="2014-01-12T00:00:00"/>
    <n v="442"/>
  </r>
  <r>
    <s v="Piotr"/>
    <s v="Bojarun"/>
    <s v="Radom"/>
    <x v="10"/>
    <d v="2014-01-16T00:00:00"/>
    <n v="550.5"/>
  </r>
  <r>
    <s v="Marek"/>
    <s v="Holski"/>
    <s v="Mielec"/>
    <x v="10"/>
    <d v="2014-01-13T00:00:00"/>
    <n v="442"/>
  </r>
  <r>
    <s v="Jerzy"/>
    <s v="Jurajski"/>
    <s v="Katowice"/>
    <x v="10"/>
    <d v="2014-01-13T00:00:00"/>
    <n v="494.7"/>
  </r>
  <r>
    <s v="Wojciech"/>
    <s v="Krokus"/>
    <s v="Mielec"/>
    <x v="10"/>
    <d v="2014-01-14T00:00:00"/>
    <n v="570"/>
  </r>
  <r>
    <s v="Ewelia"/>
    <s v="Prus"/>
    <s v="Olsztyn"/>
    <x v="10"/>
    <d v="2014-01-14T00:00:00"/>
    <n v="526.79999999999995"/>
  </r>
  <r>
    <s v="Sebastian"/>
    <s v="Puchacz"/>
    <s v="Kutno"/>
    <x v="10"/>
    <d v="2014-01-13T00:00:00"/>
    <n v="278.8"/>
  </r>
  <r>
    <s v="Patrycja"/>
    <s v="Andrycz"/>
    <s v="Kutno"/>
    <x v="11"/>
    <d v="2014-01-17T00:00:00"/>
    <n v="665.8"/>
  </r>
  <r>
    <s v="Sebastian"/>
    <s v="Argonski"/>
    <s v="Mielec"/>
    <x v="11"/>
    <d v="2014-01-16T00:00:00"/>
    <n v="698"/>
  </r>
  <r>
    <s v="Bonifacy"/>
    <s v="Barczewski"/>
    <s v="Katowice"/>
    <x v="11"/>
    <d v="2014-01-14T00:00:00"/>
    <n v="494.7"/>
  </r>
  <r>
    <s v="Eustachy"/>
    <s v="Bydgoski"/>
    <s v="Mielec"/>
    <x v="11"/>
    <d v="2014-01-18T00:00:00"/>
    <n v="954"/>
  </r>
  <r>
    <s v="Paulina"/>
    <s v="Chorzowska"/>
    <s v="Malbork"/>
    <x v="11"/>
    <d v="2014-01-14T00:00:00"/>
    <n v="680"/>
  </r>
  <r>
    <s v="Kornel"/>
    <s v="Czerski"/>
    <s v="Katowice"/>
    <x v="11"/>
    <d v="2014-01-18T00:00:00"/>
    <n v="1290.7"/>
  </r>
  <r>
    <s v="Edwina"/>
    <s v="Elawa"/>
    <s v="Lublin"/>
    <x v="11"/>
    <d v="2014-01-16T00:00:00"/>
    <n v="588.70000000000005"/>
  </r>
  <r>
    <s v="Sebastian"/>
    <s v="Halik"/>
    <s v="Zgierz"/>
    <x v="11"/>
    <d v="2014-01-16T00:00:00"/>
    <n v="450.5"/>
  </r>
  <r>
    <s v="Karolina"/>
    <s v="Janes"/>
    <s v="Zgierz"/>
    <x v="11"/>
    <d v="2014-01-18T00:00:00"/>
    <n v="688.5"/>
  </r>
  <r>
    <s v="Adam"/>
    <s v="Markowski"/>
    <s v="Katowice"/>
    <x v="11"/>
    <d v="2014-01-15T00:00:00"/>
    <n v="693.7"/>
  </r>
  <r>
    <s v="Ewelia"/>
    <s v="Nyska"/>
    <s v="Zgierz"/>
    <x v="11"/>
    <d v="2014-01-14T00:00:00"/>
    <n v="212.5"/>
  </r>
  <r>
    <s v="Narcyz"/>
    <s v="Polanicki"/>
    <s v="Malbork"/>
    <x v="11"/>
    <d v="2014-01-15T00:00:00"/>
    <n v="891"/>
  </r>
  <r>
    <s v="Gustaw"/>
    <s v="Poznanski"/>
    <s v="Kutno"/>
    <x v="11"/>
    <d v="2014-01-15T00:00:00"/>
    <n v="407.8"/>
  </r>
  <r>
    <s v="Piotr"/>
    <s v="Rajczakowski"/>
    <s v="Bydgoszcz"/>
    <x v="11"/>
    <d v="2014-01-14T00:00:00"/>
    <n v="513.4"/>
  </r>
  <r>
    <s v="Jan"/>
    <s v="Rzymski"/>
    <s v="Kalisz"/>
    <x v="11"/>
    <d v="2014-01-16T00:00:00"/>
    <n v="760"/>
  </r>
  <r>
    <s v="Zofia"/>
    <s v="Seredycka"/>
    <s v="Olsztyn"/>
    <x v="11"/>
    <d v="2014-01-15T00:00:00"/>
    <n v="526.79999999999995"/>
  </r>
  <r>
    <s v="Dorota"/>
    <s v="Sosnowiecka"/>
    <s v="Malbork"/>
    <x v="11"/>
    <d v="2014-01-17T00:00:00"/>
    <n v="1313"/>
  </r>
  <r>
    <s v="Piotr"/>
    <s v="Sworacz"/>
    <s v="Kielce"/>
    <x v="11"/>
    <d v="2014-01-17T00:00:00"/>
    <n v="841.7"/>
  </r>
  <r>
    <s v="Karol"/>
    <s v="Witkiewicz"/>
    <s v="Kutno"/>
    <x v="11"/>
    <d v="2014-01-18T00:00:00"/>
    <n v="794.8"/>
  </r>
  <r>
    <s v="Amelia"/>
    <s v="Wojtecka"/>
    <s v="Olsztyn"/>
    <x v="11"/>
    <d v="2014-01-17T00:00:00"/>
    <n v="852.8"/>
  </r>
  <r>
    <s v="Olivia"/>
    <s v="Gabor"/>
    <s v="Kalisz"/>
    <x v="12"/>
    <d v="2014-01-17T00:00:00"/>
    <n v="760"/>
  </r>
  <r>
    <s v="Marzena"/>
    <s v="Grab"/>
    <s v="Krakow"/>
    <x v="12"/>
    <d v="2014-01-18T00:00:00"/>
    <n v="1116.5"/>
  </r>
  <r>
    <s v="Marzena"/>
    <s v="Gras"/>
    <s v="Siedlce"/>
    <x v="12"/>
    <d v="2014-01-18T00:00:00"/>
    <n v="573.4"/>
  </r>
  <r>
    <s v="Sebastian"/>
    <s v="Halik"/>
    <s v="Kalisz"/>
    <x v="12"/>
    <d v="2014-01-17T00:00:00"/>
    <n v="760"/>
  </r>
  <r>
    <s v="Janusz"/>
    <s v="Jurkicz"/>
    <s v="Malbork"/>
    <x v="12"/>
    <d v="2014-01-17T00:00:00"/>
    <n v="1102"/>
  </r>
  <r>
    <s v="Justyna"/>
    <s v="Krynicka"/>
    <s v="Bydgoszcz"/>
    <x v="12"/>
    <d v="2014-01-18T00:00:00"/>
    <n v="936.4"/>
  </r>
  <r>
    <s v="Ewa"/>
    <s v="Kwiska"/>
    <s v="Kielce"/>
    <x v="12"/>
    <d v="2014-01-19T00:00:00"/>
    <n v="1019.7"/>
  </r>
  <r>
    <s v="Michalina"/>
    <s v="Lamda"/>
    <s v="Katowice"/>
    <x v="12"/>
    <d v="2014-01-18T00:00:00"/>
    <n v="1091.7"/>
  </r>
  <r>
    <s v="Justyna"/>
    <s v="Laska"/>
    <s v="Olsztyn"/>
    <x v="12"/>
    <d v="2014-01-19T00:00:00"/>
    <n v="1015.8"/>
  </r>
  <r>
    <s v="Wojciech"/>
    <s v="Magierowcz"/>
    <s v="Olsztyn"/>
    <x v="12"/>
    <d v="2014-01-16T00:00:00"/>
    <n v="526.79999999999995"/>
  </r>
  <r>
    <s v="Piotr"/>
    <s v="Malski"/>
    <s v="Radom"/>
    <x v="12"/>
    <d v="2014-01-16T00:00:00"/>
    <n v="302.5"/>
  </r>
  <r>
    <s v="Zofia"/>
    <s v="Maselska"/>
    <s v="Olsztyn"/>
    <x v="12"/>
    <d v="2014-01-15T00:00:00"/>
    <n v="363.8"/>
  </r>
  <r>
    <s v="Zofia"/>
    <s v="Maselska"/>
    <s v="Radom"/>
    <x v="12"/>
    <d v="2014-01-15T00:00:00"/>
    <n v="178.5"/>
  </r>
  <r>
    <s v="Marta"/>
    <s v="Nowowiejska"/>
    <s v="Mielec"/>
    <x v="12"/>
    <d v="2014-01-16T00:00:00"/>
    <n v="570"/>
  </r>
  <r>
    <s v="Kazimiera"/>
    <s v="Parczewska"/>
    <s v="Kielce"/>
    <x v="12"/>
    <d v="2014-01-16T00:00:00"/>
    <n v="485.7"/>
  </r>
  <r>
    <s v="Katarzyna"/>
    <s v="Piotrowska"/>
    <s v="Radom"/>
    <x v="12"/>
    <d v="2014-01-16T00:00:00"/>
    <n v="302.5"/>
  </r>
  <r>
    <s v="Karolina"/>
    <s v="Podkalicka"/>
    <s v="Kielce"/>
    <x v="12"/>
    <d v="2014-01-17T00:00:00"/>
    <n v="663.7"/>
  </r>
  <r>
    <s v="Grzegorz"/>
    <s v="Podolski"/>
    <s v="Kielce"/>
    <x v="12"/>
    <d v="2014-01-17T00:00:00"/>
    <n v="663.7"/>
  </r>
  <r>
    <s v="Tomasz"/>
    <s v="Rzepka"/>
    <s v="Siedlce"/>
    <x v="12"/>
    <d v="2014-01-19T00:00:00"/>
    <n v="712.4"/>
  </r>
  <r>
    <s v="Anna"/>
    <s v="Sobecka"/>
    <s v="Radom"/>
    <x v="12"/>
    <d v="2014-01-16T00:00:00"/>
    <n v="302.5"/>
  </r>
  <r>
    <s v="Marek"/>
    <s v="Trzeski"/>
    <s v="Malbork"/>
    <x v="12"/>
    <d v="2014-01-16T00:00:00"/>
    <n v="891"/>
  </r>
  <r>
    <s v="Paulina"/>
    <s v="Watrach"/>
    <s v="Malbork"/>
    <x v="12"/>
    <d v="2014-01-18T00:00:00"/>
    <n v="1313"/>
  </r>
  <r>
    <s v="Paulina"/>
    <s v="Chorzowska"/>
    <s v="Mielec"/>
    <x v="13"/>
    <d v="2014-01-17T00:00:00"/>
    <n v="442"/>
  </r>
  <r>
    <s v="Malwina"/>
    <s v="Papkin"/>
    <s v="Mielec"/>
    <x v="13"/>
    <d v="2014-01-17T00:00:00"/>
    <n v="442"/>
  </r>
  <r>
    <s v="Sebastian"/>
    <s v="Puchacz"/>
    <s v="Siedlce"/>
    <x v="13"/>
    <d v="2014-01-17T00:00:00"/>
    <n v="156.4"/>
  </r>
  <r>
    <s v="Justyna"/>
    <s v="Tracz"/>
    <s v="Siedlce"/>
    <x v="13"/>
    <d v="2014-01-17T00:00:00"/>
    <n v="156.4"/>
  </r>
  <r>
    <s v="Adam"/>
    <s v="Markowski"/>
    <s v="Krakow"/>
    <x v="14"/>
    <d v="2014-01-18T00:00:00"/>
    <n v="501.5"/>
  </r>
  <r>
    <s v="Ewelia"/>
    <s v="Nyska"/>
    <s v="Radom"/>
    <x v="14"/>
    <d v="2014-01-19T00:00:00"/>
    <n v="302.5"/>
  </r>
  <r>
    <s v="Zofia"/>
    <s v="Seredycka"/>
    <s v="Malbork"/>
    <x v="14"/>
    <d v="2014-01-18T00:00:00"/>
    <n v="680"/>
  </r>
  <r>
    <s v="Bonifacy"/>
    <s v="Barczewski"/>
    <s v="Bydgoszcz"/>
    <x v="15"/>
    <d v="2014-01-19T00:00:00"/>
    <n v="513.4"/>
  </r>
  <r>
    <s v="Grzegorz"/>
    <s v="Podolski"/>
    <s v="Krakow"/>
    <x v="15"/>
    <d v="2014-01-19T00:00:00"/>
    <n v="501.5"/>
  </r>
  <r>
    <s v="Karolina"/>
    <s v="Janes"/>
    <s v="Katowice"/>
    <x v="16"/>
    <d v="2014-01-23T00:00:00"/>
    <n v="892.7"/>
  </r>
  <r>
    <s v="Ewa"/>
    <s v="Kwiska"/>
    <s v="Mielec"/>
    <x v="16"/>
    <d v="2014-01-24T00:00:00"/>
    <n v="826"/>
  </r>
  <r>
    <s v="Adam"/>
    <s v="Markowski"/>
    <s v="Katowice"/>
    <x v="16"/>
    <d v="2014-01-23T00:00:00"/>
    <n v="892.7"/>
  </r>
  <r>
    <s v="Paulina"/>
    <s v="Maskor"/>
    <s v="Bydgoszcz"/>
    <x v="16"/>
    <d v="2014-01-23T00:00:00"/>
    <n v="795.4"/>
  </r>
  <r>
    <s v="Ewelia"/>
    <s v="Prus"/>
    <s v="Malbork"/>
    <x v="16"/>
    <d v="2014-01-25T00:00:00"/>
    <n v="1524"/>
  </r>
  <r>
    <s v="Sebastian"/>
    <s v="Puchacz"/>
    <s v="Olsztyn"/>
    <x v="16"/>
    <d v="2014-01-24T00:00:00"/>
    <n v="852.8"/>
  </r>
  <r>
    <s v="Dominika"/>
    <s v="Bodera"/>
    <s v="Krakow"/>
    <x v="17"/>
    <d v="2014-01-22T00:00:00"/>
    <n v="501.5"/>
  </r>
  <r>
    <s v="Zofia"/>
    <s v="Budzianowska"/>
    <s v="Kalisz"/>
    <x v="17"/>
    <d v="2014-01-22T00:00:00"/>
    <n v="442"/>
  </r>
  <r>
    <s v="Kornel"/>
    <s v="Henrykowski"/>
    <s v="Malbork"/>
    <x v="17"/>
    <d v="2014-01-24T00:00:00"/>
    <n v="1102"/>
  </r>
  <r>
    <s v="Kacper"/>
    <s v="Krajewski"/>
    <s v="Radom"/>
    <x v="17"/>
    <d v="2014-01-24T00:00:00"/>
    <n v="426.5"/>
  </r>
  <r>
    <s v="Janina"/>
    <s v="Bolanowska"/>
    <s v="Bydgoszcz"/>
    <x v="18"/>
    <d v="2014-01-24T00:00:00"/>
    <n v="654.4"/>
  </r>
  <r>
    <s v="Jerzy"/>
    <s v="Granica"/>
    <s v="Siedlce"/>
    <x v="18"/>
    <d v="2014-01-24T00:00:00"/>
    <n v="295.39999999999998"/>
  </r>
  <r>
    <s v="Jerzy"/>
    <s v="Jurajski"/>
    <s v="Kielce"/>
    <x v="18"/>
    <d v="2014-01-24T00:00:00"/>
    <n v="485.7"/>
  </r>
  <r>
    <s v="Ewa"/>
    <s v="Fidyk"/>
    <s v="Katowice"/>
    <x v="19"/>
    <d v="2014-01-24T00:00:00"/>
    <n v="494.7"/>
  </r>
  <r>
    <s v="Wiktor"/>
    <s v="Wroblewski"/>
    <s v="Kutno"/>
    <x v="19"/>
    <d v="2014-01-24T00:00:00"/>
    <n v="278.8"/>
  </r>
  <r>
    <s v="Zofia"/>
    <s v="Seredycka"/>
    <s v="Olsztyn"/>
    <x v="20"/>
    <d v="2014-01-25T00:00:00"/>
    <n v="363.8"/>
  </r>
  <r>
    <s v="Karolina"/>
    <s v="Arska"/>
    <s v="Kielce"/>
    <x v="21"/>
    <d v="2014-01-30T00:00:00"/>
    <n v="1019.7"/>
  </r>
  <r>
    <s v="Eustachy"/>
    <s v="Bydgoski"/>
    <s v="Bydgoszcz"/>
    <x v="21"/>
    <d v="2014-01-30T00:00:00"/>
    <n v="1077.4000000000001"/>
  </r>
  <r>
    <s v="Paulina"/>
    <s v="Dok"/>
    <s v="Krakow"/>
    <x v="21"/>
    <d v="2014-01-28T00:00:00"/>
    <n v="911.5"/>
  </r>
  <r>
    <s v="Zuzanna"/>
    <s v="Kowalska"/>
    <s v="Olsztyn"/>
    <x v="21"/>
    <d v="2014-01-28T00:00:00"/>
    <n v="689.8"/>
  </r>
  <r>
    <s v="Zofia"/>
    <s v="Maselska"/>
    <s v="Krakow"/>
    <x v="21"/>
    <d v="2014-01-30T00:00:00"/>
    <n v="1321.5"/>
  </r>
  <r>
    <s v="Lidia"/>
    <s v="Opolska"/>
    <s v="Kalisz"/>
    <x v="21"/>
    <d v="2014-01-30T00:00:00"/>
    <n v="1078"/>
  </r>
  <r>
    <s v="Malwina"/>
    <s v="Papkin"/>
    <s v="Lublin"/>
    <x v="21"/>
    <d v="2014-01-29T00:00:00"/>
    <n v="737.7"/>
  </r>
  <r>
    <s v="Narcyz"/>
    <s v="Polanicki"/>
    <s v="Katowice"/>
    <x v="21"/>
    <d v="2014-01-27T00:00:00"/>
    <n v="693.7"/>
  </r>
  <r>
    <s v="Dorota"/>
    <s v="Sosnowiecka"/>
    <s v="Siedlce"/>
    <x v="21"/>
    <d v="2014-01-28T00:00:00"/>
    <n v="434.4"/>
  </r>
  <r>
    <s v="Piotr"/>
    <s v="Sworacz"/>
    <s v="Siedlce"/>
    <x v="21"/>
    <d v="2014-01-29T00:00:00"/>
    <n v="573.4"/>
  </r>
  <r>
    <s v="Adam"/>
    <s v="Wradoch"/>
    <s v="Mielec"/>
    <x v="21"/>
    <d v="2014-01-30T00:00:00"/>
    <n v="954"/>
  </r>
  <r>
    <s v="Kamil"/>
    <s v="Zabrzeski"/>
    <s v="Kutno"/>
    <x v="21"/>
    <d v="2014-01-27T00:00:00"/>
    <n v="407.8"/>
  </r>
  <r>
    <s v="Paulina"/>
    <s v="Chorzowska"/>
    <s v="Krakow"/>
    <x v="22"/>
    <d v="2014-01-27T00:00:00"/>
    <n v="501.5"/>
  </r>
  <r>
    <s v="Sebastian"/>
    <s v="Puchacz"/>
    <s v="Katowice"/>
    <x v="22"/>
    <d v="2014-01-29T00:00:00"/>
    <n v="892.7"/>
  </r>
  <r>
    <s v="Zofia"/>
    <s v="Seredycka"/>
    <s v="Malbork"/>
    <x v="22"/>
    <d v="2014-01-27T00:00:00"/>
    <n v="680"/>
  </r>
  <r>
    <s v="Rozalia"/>
    <s v="Siedlecka"/>
    <s v="Bydgoszcz"/>
    <x v="22"/>
    <d v="2014-01-29T00:00:00"/>
    <n v="795.4"/>
  </r>
  <r>
    <s v="Wiktor"/>
    <s v="Wroblewski"/>
    <s v="Bydgoszcz"/>
    <x v="22"/>
    <d v="2014-01-29T00:00:00"/>
    <n v="795.4"/>
  </r>
  <r>
    <s v="Ewa"/>
    <s v="Fidyk"/>
    <s v="Olsztyn"/>
    <x v="23"/>
    <d v="2014-01-28T00:00:00"/>
    <n v="363.8"/>
  </r>
  <r>
    <s v="Jan"/>
    <s v="Rzymski"/>
    <s v="Krakow"/>
    <x v="23"/>
    <d v="2014-01-30T00:00:00"/>
    <n v="911.5"/>
  </r>
  <r>
    <s v="Amelia"/>
    <s v="Wojtecka"/>
    <s v="Kutno"/>
    <x v="23"/>
    <d v="2014-01-30T00:00:00"/>
    <n v="536.79999999999995"/>
  </r>
  <r>
    <s v="Karolina"/>
    <s v="Arska"/>
    <s v="Kalisz"/>
    <x v="24"/>
    <d v="2014-02-04T00:00:00"/>
    <n v="760"/>
  </r>
  <r>
    <s v="Karolina"/>
    <s v="Bizuta"/>
    <s v="Krakow"/>
    <x v="24"/>
    <d v="2014-02-03T00:00:00"/>
    <n v="706.5"/>
  </r>
  <r>
    <s v="Zofia"/>
    <s v="Budzianowska"/>
    <s v="Katowice"/>
    <x v="24"/>
    <d v="2014-02-05T00:00:00"/>
    <n v="1091.7"/>
  </r>
  <r>
    <s v="Janina"/>
    <s v="Bolanowska"/>
    <s v="Mielec"/>
    <x v="25"/>
    <d v="2014-02-06T00:00:00"/>
    <n v="826"/>
  </r>
  <r>
    <s v="Anna"/>
    <s v="Kaliska"/>
    <s v="Kielce"/>
    <x v="25"/>
    <d v="2014-02-03T00:00:00"/>
    <n v="307.7"/>
  </r>
  <r>
    <s v="Marta"/>
    <s v="Nowowiejska"/>
    <s v="Olsztyn"/>
    <x v="25"/>
    <d v="2014-02-03T00:00:00"/>
    <n v="363.8"/>
  </r>
  <r>
    <s v="Kazimiera"/>
    <s v="Parczewska"/>
    <s v="Bydgoszcz"/>
    <x v="25"/>
    <d v="2014-02-05T00:00:00"/>
    <n v="795.4"/>
  </r>
  <r>
    <s v="Sebastian"/>
    <s v="Argonski"/>
    <s v="Mielec"/>
    <x v="26"/>
    <d v="2014-02-11T00:00:00"/>
    <n v="954"/>
  </r>
  <r>
    <s v="Karolina"/>
    <s v="Arska"/>
    <s v="Kutno"/>
    <x v="26"/>
    <d v="2014-02-11T00:00:00"/>
    <n v="794.8"/>
  </r>
  <r>
    <s v="Andrzej"/>
    <s v="Barcz"/>
    <s v="Bydgoszcz"/>
    <x v="26"/>
    <d v="2014-02-10T00:00:00"/>
    <n v="936.4"/>
  </r>
  <r>
    <s v="Karolina"/>
    <s v="Bizuta"/>
    <s v="Katowice"/>
    <x v="26"/>
    <d v="2014-02-09T00:00:00"/>
    <n v="892.7"/>
  </r>
  <r>
    <s v="Dominika"/>
    <s v="Bodera"/>
    <s v="Kielce"/>
    <x v="26"/>
    <d v="2014-02-08T00:00:00"/>
    <n v="485.7"/>
  </r>
  <r>
    <s v="Piotr"/>
    <s v="Bojarun"/>
    <s v="Bydgoszcz"/>
    <x v="26"/>
    <d v="2014-02-10T00:00:00"/>
    <n v="936.4"/>
  </r>
  <r>
    <s v="Wiktor"/>
    <s v="Czekan"/>
    <s v="Mielec"/>
    <x v="26"/>
    <d v="2014-02-11T00:00:00"/>
    <n v="954"/>
  </r>
  <r>
    <s v="Karolina"/>
    <s v="Janes"/>
    <s v="Bydgoszcz"/>
    <x v="26"/>
    <d v="2014-02-10T00:00:00"/>
    <n v="936.4"/>
  </r>
  <r>
    <s v="Anna"/>
    <s v="Kaliska"/>
    <s v="Kalisz"/>
    <x v="26"/>
    <d v="2014-02-07T00:00:00"/>
    <n v="442"/>
  </r>
  <r>
    <s v="Kacper"/>
    <s v="Krajewski"/>
    <s v="Kutno"/>
    <x v="26"/>
    <d v="2014-02-09T00:00:00"/>
    <n v="536.79999999999995"/>
  </r>
  <r>
    <s v="Wojciech"/>
    <s v="Krokus"/>
    <s v="Zgierz"/>
    <x v="26"/>
    <d v="2014-02-07T00:00:00"/>
    <n v="212.5"/>
  </r>
  <r>
    <s v="Michalina"/>
    <s v="Lamda"/>
    <s v="Kalisz"/>
    <x v="26"/>
    <d v="2014-02-09T00:00:00"/>
    <n v="760"/>
  </r>
  <r>
    <s v="Bogumi"/>
    <s v="Lubelski"/>
    <s v="Mielec"/>
    <x v="26"/>
    <d v="2014-02-08T00:00:00"/>
    <n v="570"/>
  </r>
  <r>
    <s v="Wojciech"/>
    <s v="Magierowcz"/>
    <s v="Olsztyn"/>
    <x v="26"/>
    <d v="2014-02-09T00:00:00"/>
    <n v="689.8"/>
  </r>
  <r>
    <s v="Zofia"/>
    <s v="Maselska"/>
    <s v="Kielce"/>
    <x v="26"/>
    <d v="2014-02-11T00:00:00"/>
    <n v="1019.7"/>
  </r>
  <r>
    <s v="Zyta"/>
    <s v="Mazurkiewicz"/>
    <s v="Malbork"/>
    <x v="26"/>
    <d v="2014-02-08T00:00:00"/>
    <n v="891"/>
  </r>
  <r>
    <s v="Maria"/>
    <s v="Ozimek"/>
    <s v="Siedlce"/>
    <x v="26"/>
    <d v="2014-02-08T00:00:00"/>
    <n v="295.39999999999998"/>
  </r>
  <r>
    <s v="Malwina"/>
    <s v="Papkin"/>
    <s v="Malbork"/>
    <x v="26"/>
    <d v="2014-02-08T00:00:00"/>
    <n v="891"/>
  </r>
  <r>
    <s v="Zuzanna"/>
    <s v="Piotrkowska"/>
    <s v="Zgierz"/>
    <x v="26"/>
    <d v="2014-02-11T00:00:00"/>
    <n v="688.5"/>
  </r>
  <r>
    <s v="Grzegorz"/>
    <s v="Podolski"/>
    <s v="Kielce"/>
    <x v="26"/>
    <d v="2014-02-09T00:00:00"/>
    <n v="663.7"/>
  </r>
  <r>
    <s v="Piotr"/>
    <s v="Roman"/>
    <s v="Zgierz"/>
    <x v="26"/>
    <d v="2014-02-10T00:00:00"/>
    <n v="569.5"/>
  </r>
  <r>
    <s v="Paulina"/>
    <s v="Basala"/>
    <s v="Mielec"/>
    <x v="27"/>
    <d v="2014-02-10T00:00:00"/>
    <n v="442"/>
  </r>
  <r>
    <s v="Andrzej"/>
    <s v="Kolarski"/>
    <s v="Bydgoszcz"/>
    <x v="27"/>
    <d v="2014-02-10T00:00:00"/>
    <n v="513.4"/>
  </r>
  <r>
    <s v="Kazimiera"/>
    <s v="Parczewska"/>
    <s v="Zgierz"/>
    <x v="27"/>
    <d v="2014-02-11T00:00:00"/>
    <n v="331.5"/>
  </r>
  <r>
    <s v="Paulina"/>
    <s v="Chorzowska"/>
    <s v="Bydgoszcz"/>
    <x v="28"/>
    <d v="2014-02-12T00:00:00"/>
    <n v="513.4"/>
  </r>
  <r>
    <s v="Adam"/>
    <s v="Falski"/>
    <s v="Zgierz"/>
    <x v="29"/>
    <d v="2014-02-16T00:00:00"/>
    <n v="450.5"/>
  </r>
  <r>
    <s v="Ewa"/>
    <s v="Kwiska"/>
    <s v="Bydgoszcz"/>
    <x v="29"/>
    <d v="2014-02-16T00:00:00"/>
    <n v="795.4"/>
  </r>
  <r>
    <s v="Teresa"/>
    <s v="Moskiewska"/>
    <s v="Zgierz"/>
    <x v="29"/>
    <d v="2014-02-14T00:00:00"/>
    <n v="212.5"/>
  </r>
  <r>
    <s v="Lidia"/>
    <s v="Opolska"/>
    <s v="Katowice"/>
    <x v="29"/>
    <d v="2014-02-16T00:00:00"/>
    <n v="892.7"/>
  </r>
  <r>
    <s v="Sebastian"/>
    <s v="Puchacz"/>
    <s v="Kielce"/>
    <x v="29"/>
    <d v="2014-02-18T00:00:00"/>
    <n v="1019.7"/>
  </r>
  <r>
    <s v="Tomasz"/>
    <s v="Rzepka"/>
    <s v="Siedlce"/>
    <x v="29"/>
    <d v="2014-02-17T00:00:00"/>
    <n v="573.4"/>
  </r>
  <r>
    <s v="Katarzyna"/>
    <s v="Piotrowska"/>
    <s v="Kutno"/>
    <x v="30"/>
    <d v="2014-02-17T00:00:00"/>
    <n v="536.79999999999995"/>
  </r>
  <r>
    <s v="Karol"/>
    <s v="Witkiewicz"/>
    <s v="Krakow"/>
    <x v="30"/>
    <d v="2014-02-16T00:00:00"/>
    <n v="706.5"/>
  </r>
  <r>
    <s v="Patrycja"/>
    <s v="Andrycz"/>
    <s v="Katowice"/>
    <x v="31"/>
    <d v="2014-02-23T00:00:00"/>
    <n v="1290.7"/>
  </r>
  <r>
    <s v="Anna"/>
    <s v="Augustowska"/>
    <s v="Zgierz"/>
    <x v="31"/>
    <d v="2014-02-23T00:00:00"/>
    <n v="688.5"/>
  </r>
  <r>
    <s v="Wiktor"/>
    <s v="Budzis"/>
    <s v="Mielec"/>
    <x v="31"/>
    <d v="2014-02-20T00:00:00"/>
    <n v="570"/>
  </r>
  <r>
    <s v="Jerzy"/>
    <s v="Dusznicki"/>
    <s v="Krakow"/>
    <x v="31"/>
    <d v="2014-02-22T00:00:00"/>
    <n v="1116.5"/>
  </r>
  <r>
    <s v="Olivia"/>
    <s v="Gabor"/>
    <s v="Malbork"/>
    <x v="31"/>
    <d v="2014-02-20T00:00:00"/>
    <n v="891"/>
  </r>
  <r>
    <s v="Marek"/>
    <s v="Holski"/>
    <s v="Kutno"/>
    <x v="31"/>
    <d v="2014-02-22T00:00:00"/>
    <n v="665.8"/>
  </r>
  <r>
    <s v="Andrzej"/>
    <s v="Kolarski"/>
    <s v="Siedlce"/>
    <x v="31"/>
    <d v="2014-02-21T00:00:00"/>
    <n v="434.4"/>
  </r>
  <r>
    <s v="Justyna"/>
    <s v="Kolska"/>
    <s v="Lublin"/>
    <x v="31"/>
    <d v="2014-02-21T00:00:00"/>
    <n v="588.70000000000005"/>
  </r>
  <r>
    <s v="Piotr"/>
    <s v="Malski"/>
    <s v="Kielce"/>
    <x v="31"/>
    <d v="2014-02-22T00:00:00"/>
    <n v="841.7"/>
  </r>
  <r>
    <s v="Wojciech"/>
    <s v="Mazowiecki"/>
    <s v="Bydgoszcz"/>
    <x v="31"/>
    <d v="2014-02-20T00:00:00"/>
    <n v="654.4"/>
  </r>
  <r>
    <s v="Teresa"/>
    <s v="Moskiewska"/>
    <s v="Krakow"/>
    <x v="31"/>
    <d v="2014-02-20T00:00:00"/>
    <n v="706.5"/>
  </r>
  <r>
    <s v="Irma"/>
    <s v="Opoczna"/>
    <s v="Krakow"/>
    <x v="31"/>
    <d v="2014-02-23T00:00:00"/>
    <n v="1321.5"/>
  </r>
  <r>
    <s v="Krystyna"/>
    <s v="Pleszewska"/>
    <s v="Lublin"/>
    <x v="31"/>
    <d v="2014-02-23T00:00:00"/>
    <n v="886.7"/>
  </r>
  <r>
    <s v="Rozalia"/>
    <s v="Siedlecka"/>
    <s v="Zgierz"/>
    <x v="31"/>
    <d v="2014-02-20T00:00:00"/>
    <n v="331.5"/>
  </r>
  <r>
    <s v="Dorota"/>
    <s v="Sosnowiecka"/>
    <s v="Malbork"/>
    <x v="31"/>
    <d v="2014-02-20T00:00:00"/>
    <n v="891"/>
  </r>
  <r>
    <s v="Dorota"/>
    <s v="Sosnowiecka"/>
    <s v="Siedlce"/>
    <x v="31"/>
    <d v="2014-02-20T00:00:00"/>
    <n v="295.39999999999998"/>
  </r>
  <r>
    <s v="Piotr"/>
    <s v="Sworacz"/>
    <s v="Mielec"/>
    <x v="31"/>
    <d v="2014-02-22T00:00:00"/>
    <n v="826"/>
  </r>
  <r>
    <s v="Justyna"/>
    <s v="Tracz"/>
    <s v="Mielec"/>
    <x v="31"/>
    <d v="2014-02-21T00:00:00"/>
    <n v="698"/>
  </r>
  <r>
    <s v="Karol"/>
    <s v="Witkiewicz"/>
    <s v="Olsztyn"/>
    <x v="31"/>
    <d v="2014-02-19T00:00:00"/>
    <n v="363.8"/>
  </r>
  <r>
    <s v="Adam"/>
    <s v="Wradoch"/>
    <s v="Kutno"/>
    <x v="31"/>
    <d v="2014-02-21T00:00:00"/>
    <n v="536.79999999999995"/>
  </r>
  <r>
    <s v="Wiktor"/>
    <s v="Budzis"/>
    <s v="Malbork"/>
    <x v="32"/>
    <d v="2014-02-22T00:00:00"/>
    <n v="680"/>
  </r>
  <r>
    <s v="Jerzy"/>
    <s v="Jurajski"/>
    <s v="Mielec"/>
    <x v="33"/>
    <d v="2014-03-02T00:00:00"/>
    <n v="954"/>
  </r>
  <r>
    <s v="Wojciech"/>
    <s v="Mazowiecki"/>
    <s v="Bydgoszcz"/>
    <x v="33"/>
    <d v="2014-02-28T00:00:00"/>
    <n v="795.4"/>
  </r>
  <r>
    <s v="Irma"/>
    <s v="Opoczna"/>
    <s v="Radom"/>
    <x v="33"/>
    <d v="2014-03-01T00:00:00"/>
    <n v="550.5"/>
  </r>
  <r>
    <s v="Rozalia"/>
    <s v="Parad"/>
    <s v="Lublin"/>
    <x v="33"/>
    <d v="2014-02-27T00:00:00"/>
    <n v="439.7"/>
  </r>
  <r>
    <s v="Piotr"/>
    <s v="Roman"/>
    <s v="Krakow"/>
    <x v="33"/>
    <d v="2014-02-27T00:00:00"/>
    <n v="706.5"/>
  </r>
  <r>
    <s v="Jan"/>
    <s v="Suwski"/>
    <s v="Kielce"/>
    <x v="33"/>
    <d v="2014-02-27T00:00:00"/>
    <n v="485.7"/>
  </r>
  <r>
    <s v="Wiktor"/>
    <s v="Budzis"/>
    <s v="Kutno"/>
    <x v="34"/>
    <d v="2014-02-28T00:00:00"/>
    <n v="278.8"/>
  </r>
  <r>
    <s v="Piotr"/>
    <s v="Armowicz"/>
    <s v="Katowice"/>
    <x v="35"/>
    <d v="2014-03-04T00:00:00"/>
    <n v="693.7"/>
  </r>
  <r>
    <s v="Paulina"/>
    <s v="Basala"/>
    <s v="Katowice"/>
    <x v="35"/>
    <d v="2014-03-03T00:00:00"/>
    <n v="494.7"/>
  </r>
  <r>
    <s v="Ewa"/>
    <s v="Fidyk"/>
    <s v="Krakow"/>
    <x v="35"/>
    <d v="2014-03-05T00:00:00"/>
    <n v="911.5"/>
  </r>
  <r>
    <s v="Marzena"/>
    <s v="Gras"/>
    <s v="Siedlce"/>
    <x v="35"/>
    <d v="2014-03-04T00:00:00"/>
    <n v="295.39999999999998"/>
  </r>
  <r>
    <s v="Wojciech"/>
    <s v="Magierowcz"/>
    <s v="Siedlce"/>
    <x v="35"/>
    <d v="2014-03-07T00:00:00"/>
    <n v="712.4"/>
  </r>
  <r>
    <s v="Paulina"/>
    <s v="Maskor"/>
    <s v="Zgierz"/>
    <x v="35"/>
    <d v="2014-03-05T00:00:00"/>
    <n v="450.5"/>
  </r>
  <r>
    <s v="Wojciech"/>
    <s v="Mazowiecki"/>
    <s v="Radom"/>
    <x v="35"/>
    <d v="2014-03-06T00:00:00"/>
    <n v="550.5"/>
  </r>
  <r>
    <s v="Ewelia"/>
    <s v="Nyska"/>
    <s v="Mielec"/>
    <x v="35"/>
    <d v="2014-03-04T00:00:00"/>
    <n v="570"/>
  </r>
  <r>
    <s v="Rozalia"/>
    <s v="Parad"/>
    <s v="Mielec"/>
    <x v="35"/>
    <d v="2014-03-05T00:00:00"/>
    <n v="698"/>
  </r>
  <r>
    <s v="Grzegorz"/>
    <s v="Podolski"/>
    <s v="Siedlce"/>
    <x v="35"/>
    <d v="2014-03-03T00:00:00"/>
    <n v="156.4"/>
  </r>
  <r>
    <s v="Narcyz"/>
    <s v="Polanicki"/>
    <s v="Malbork"/>
    <x v="35"/>
    <d v="2014-03-07T00:00:00"/>
    <n v="1524"/>
  </r>
  <r>
    <s v="Kamil"/>
    <s v="Pomorski"/>
    <s v="Olsztyn"/>
    <x v="35"/>
    <d v="2014-03-07T00:00:00"/>
    <n v="1015.8"/>
  </r>
  <r>
    <s v="Rozalia"/>
    <s v="Siedlecka"/>
    <s v="Krakow"/>
    <x v="35"/>
    <d v="2014-03-05T00:00:00"/>
    <n v="911.5"/>
  </r>
  <r>
    <s v="Karol"/>
    <s v="Witkiewicz"/>
    <s v="Olsztyn"/>
    <x v="35"/>
    <d v="2014-03-07T00:00:00"/>
    <n v="1015.8"/>
  </r>
  <r>
    <s v="Adam"/>
    <s v="Wradoch"/>
    <s v="Kutno"/>
    <x v="35"/>
    <d v="2014-03-03T00:00:00"/>
    <n v="278.8"/>
  </r>
  <r>
    <s v="Kamil"/>
    <s v="Zabrzeski"/>
    <s v="Radom"/>
    <x v="35"/>
    <d v="2014-03-06T00:00:00"/>
    <n v="550.5"/>
  </r>
  <r>
    <s v="Marta"/>
    <s v="Nowowiejska"/>
    <s v="Katowice"/>
    <x v="36"/>
    <d v="2014-03-06T00:00:00"/>
    <n v="494.7"/>
  </r>
  <r>
    <s v="Grzegorz"/>
    <s v="Podolski"/>
    <s v="Zgierz"/>
    <x v="36"/>
    <d v="2014-03-06T00:00:00"/>
    <n v="212.5"/>
  </r>
  <r>
    <s v="Adam"/>
    <s v="Wradoch"/>
    <s v="Lublin"/>
    <x v="37"/>
    <d v="2014-03-07T00:00:00"/>
    <n v="290.7"/>
  </r>
  <r>
    <s v="Amelia"/>
    <s v="Calika"/>
    <s v="Mielec"/>
    <x v="38"/>
    <d v="2014-03-12T00:00:00"/>
    <n v="826"/>
  </r>
  <r>
    <s v="Wiktor"/>
    <s v="Budzis"/>
    <s v="Lublin"/>
    <x v="39"/>
    <d v="2014-03-10T00:00:00"/>
    <n v="290.7"/>
  </r>
  <r>
    <s v="Ewa"/>
    <s v="Fidyk"/>
    <s v="Zgierz"/>
    <x v="39"/>
    <d v="2014-03-12T00:00:00"/>
    <n v="450.5"/>
  </r>
  <r>
    <s v="Justyna"/>
    <s v="Kolska"/>
    <s v="Kielce"/>
    <x v="39"/>
    <d v="2014-03-13T00:00:00"/>
    <n v="841.7"/>
  </r>
  <r>
    <s v="Albert"/>
    <s v="Marakasz"/>
    <s v="Radom"/>
    <x v="39"/>
    <d v="2014-03-12T00:00:00"/>
    <n v="426.5"/>
  </r>
  <r>
    <s v="Zofia"/>
    <s v="Seredycka"/>
    <s v="Siedlce"/>
    <x v="39"/>
    <d v="2014-03-12T00:00:00"/>
    <n v="434.4"/>
  </r>
  <r>
    <s v="Paulina"/>
    <s v="Maskor"/>
    <s v="Olsztyn"/>
    <x v="40"/>
    <d v="2014-03-11T00:00:00"/>
    <n v="363.8"/>
  </r>
  <r>
    <s v="Rozalia"/>
    <s v="Siedlecka"/>
    <s v="Mielec"/>
    <x v="40"/>
    <d v="2014-03-13T00:00:00"/>
    <n v="698"/>
  </r>
  <r>
    <s v="Rozalia"/>
    <s v="Parad"/>
    <s v="Kielce"/>
    <x v="41"/>
    <d v="2014-03-12T00:00:00"/>
    <n v="307.7"/>
  </r>
  <r>
    <s v="Andrzej"/>
    <s v="Barcz"/>
    <s v="Zgierz"/>
    <x v="42"/>
    <d v="2014-03-17T00:00:00"/>
    <n v="450.5"/>
  </r>
  <r>
    <s v="Karolina"/>
    <s v="Bizuta"/>
    <s v="Bydgoszcz"/>
    <x v="42"/>
    <d v="2014-03-19T00:00:00"/>
    <n v="1077.4000000000001"/>
  </r>
  <r>
    <s v="Piotr"/>
    <s v="Bojarun"/>
    <s v="Kutno"/>
    <x v="42"/>
    <d v="2014-03-16T00:00:00"/>
    <n v="407.8"/>
  </r>
  <r>
    <s v="Janina"/>
    <s v="Bolanowska"/>
    <s v="Olsztyn"/>
    <x v="42"/>
    <d v="2014-03-18T00:00:00"/>
    <n v="852.8"/>
  </r>
  <r>
    <s v="Wiktor"/>
    <s v="Budzis"/>
    <s v="Mielec"/>
    <x v="42"/>
    <d v="2014-03-17T00:00:00"/>
    <n v="698"/>
  </r>
  <r>
    <s v="Wiktor"/>
    <s v="Czekan"/>
    <s v="Malbork"/>
    <x v="42"/>
    <d v="2014-03-18T00:00:00"/>
    <n v="1313"/>
  </r>
  <r>
    <s v="Marzena"/>
    <s v="Grab"/>
    <s v="Katowice"/>
    <x v="42"/>
    <d v="2014-03-18T00:00:00"/>
    <n v="1091.7"/>
  </r>
  <r>
    <s v="Jerzy"/>
    <s v="Jurajski"/>
    <s v="Kutno"/>
    <x v="42"/>
    <d v="2014-03-16T00:00:00"/>
    <n v="407.8"/>
  </r>
  <r>
    <s v="Andrzej"/>
    <s v="Kolarski"/>
    <s v="Katowice"/>
    <x v="42"/>
    <d v="2014-03-19T00:00:00"/>
    <n v="1290.7"/>
  </r>
  <r>
    <s v="Justyna"/>
    <s v="Laska"/>
    <s v="Mielec"/>
    <x v="42"/>
    <d v="2014-03-19T00:00:00"/>
    <n v="954"/>
  </r>
  <r>
    <s v="Wojciech"/>
    <s v="Magierowcz"/>
    <s v="Bydgoszcz"/>
    <x v="42"/>
    <d v="2014-03-16T00:00:00"/>
    <n v="654.4"/>
  </r>
  <r>
    <s v="Wojciech"/>
    <s v="Mazowiecki"/>
    <s v="Mielec"/>
    <x v="42"/>
    <d v="2014-03-15T00:00:00"/>
    <n v="442"/>
  </r>
  <r>
    <s v="Daria"/>
    <s v="Paryska"/>
    <s v="Malbork"/>
    <x v="42"/>
    <d v="2014-03-17T00:00:00"/>
    <n v="1102"/>
  </r>
  <r>
    <s v="Karolina"/>
    <s v="Podkalicka"/>
    <s v="Krakow"/>
    <x v="42"/>
    <d v="2014-03-17T00:00:00"/>
    <n v="911.5"/>
  </r>
  <r>
    <s v="Piotr"/>
    <s v="Sworacz"/>
    <s v="Krakow"/>
    <x v="42"/>
    <d v="2014-03-19T00:00:00"/>
    <n v="1321.5"/>
  </r>
  <r>
    <s v="Justyna"/>
    <s v="Tracz"/>
    <s v="Katowice"/>
    <x v="42"/>
    <d v="2014-03-18T00:00:00"/>
    <n v="1091.7"/>
  </r>
  <r>
    <s v="Kornel"/>
    <s v="Henrykowski"/>
    <s v="Olsztyn"/>
    <x v="43"/>
    <d v="2014-03-19T00:00:00"/>
    <n v="689.8"/>
  </r>
  <r>
    <s v="Gustaw"/>
    <s v="Poznanski"/>
    <s v="Olsztyn"/>
    <x v="43"/>
    <d v="2014-03-18T00:00:00"/>
    <n v="526.79999999999995"/>
  </r>
  <r>
    <s v="Piotr"/>
    <s v="Rajczakowski"/>
    <s v="Kielce"/>
    <x v="43"/>
    <d v="2014-03-18T00:00:00"/>
    <n v="485.7"/>
  </r>
  <r>
    <s v="Amelia"/>
    <s v="Wojtecka"/>
    <s v="Malbork"/>
    <x v="43"/>
    <d v="2014-03-17T00:00:00"/>
    <n v="680"/>
  </r>
  <r>
    <s v="Amadeusz"/>
    <s v="Helski"/>
    <s v="Katowice"/>
    <x v="44"/>
    <d v="2014-03-18T00:00:00"/>
    <n v="494.7"/>
  </r>
  <r>
    <s v="Kacper"/>
    <s v="Krajewski"/>
    <s v="Radom"/>
    <x v="44"/>
    <d v="2014-03-18T00:00:00"/>
    <n v="178.5"/>
  </r>
  <r>
    <s v="Dorota"/>
    <s v="Morska"/>
    <s v="Zgierz"/>
    <x v="44"/>
    <d v="2014-03-19T00:00:00"/>
    <n v="331.5"/>
  </r>
  <r>
    <s v="Wiktor"/>
    <s v="Czekan"/>
    <s v="Katowice"/>
    <x v="45"/>
    <d v="2014-03-25T00:00:00"/>
    <n v="1290.7"/>
  </r>
  <r>
    <s v="Paulina"/>
    <s v="Dok"/>
    <s v="Lublin"/>
    <x v="45"/>
    <d v="2014-03-23T00:00:00"/>
    <n v="588.70000000000005"/>
  </r>
  <r>
    <s v="Jerzy"/>
    <s v="Dusznicki"/>
    <s v="Katowice"/>
    <x v="45"/>
    <d v="2014-03-25T00:00:00"/>
    <n v="1290.7"/>
  </r>
  <r>
    <s v="Marek"/>
    <s v="Holski"/>
    <s v="Siedlce"/>
    <x v="45"/>
    <d v="2014-03-22T00:00:00"/>
    <n v="295.39999999999998"/>
  </r>
  <r>
    <s v="Justyna"/>
    <s v="Krynicka"/>
    <s v="Kielce"/>
    <x v="45"/>
    <d v="2014-03-23T00:00:00"/>
    <n v="663.7"/>
  </r>
  <r>
    <s v="Tomasz"/>
    <s v="Rzepka"/>
    <s v="Kalisz"/>
    <x v="45"/>
    <d v="2014-03-22T00:00:00"/>
    <n v="601"/>
  </r>
  <r>
    <s v="Karolina"/>
    <s v="Janes"/>
    <s v="Siedlce"/>
    <x v="46"/>
    <d v="2014-03-28T00:00:00"/>
    <n v="295.39999999999998"/>
  </r>
  <r>
    <s v="Andrzej"/>
    <s v="Klajn"/>
    <s v="Katowice"/>
    <x v="46"/>
    <d v="2014-03-31T00:00:00"/>
    <n v="1290.7"/>
  </r>
  <r>
    <s v="Zuzanna"/>
    <s v="Kowalska"/>
    <s v="Kutno"/>
    <x v="46"/>
    <d v="2014-03-31T00:00:00"/>
    <n v="794.8"/>
  </r>
  <r>
    <s v="Zofia"/>
    <s v="Seredycka"/>
    <s v="Bydgoszcz"/>
    <x v="46"/>
    <d v="2014-03-28T00:00:00"/>
    <n v="654.4"/>
  </r>
  <r>
    <s v="Rozalia"/>
    <s v="Siedlecka"/>
    <s v="Katowice"/>
    <x v="46"/>
    <d v="2014-03-28T00:00:00"/>
    <n v="693.7"/>
  </r>
  <r>
    <s v="Justyna"/>
    <s v="Tracz"/>
    <s v="Siedlce"/>
    <x v="46"/>
    <d v="2014-03-30T00:00:00"/>
    <n v="573.4"/>
  </r>
  <r>
    <s v="Anna"/>
    <s v="Kaliska"/>
    <s v="Kutno"/>
    <x v="47"/>
    <d v="2014-04-04T00:00:00"/>
    <n v="536.79999999999995"/>
  </r>
  <r>
    <s v="Justyna"/>
    <s v="Laska"/>
    <s v="Olsztyn"/>
    <x v="47"/>
    <d v="2014-04-06T00:00:00"/>
    <n v="1015.8"/>
  </r>
  <r>
    <s v="Bogumi"/>
    <s v="Lubelski"/>
    <s v="Mielec"/>
    <x v="47"/>
    <d v="2014-04-05T00:00:00"/>
    <n v="826"/>
  </r>
  <r>
    <s v="Maria"/>
    <s v="Ozimek"/>
    <s v="Krakow"/>
    <x v="47"/>
    <d v="2014-04-06T00:00:00"/>
    <n v="1321.5"/>
  </r>
  <r>
    <s v="Daria"/>
    <s v="Paryska"/>
    <s v="Katowice"/>
    <x v="47"/>
    <d v="2014-04-04T00:00:00"/>
    <n v="892.7"/>
  </r>
  <r>
    <s v="Jan"/>
    <s v="Suwski"/>
    <s v="Siedlce"/>
    <x v="47"/>
    <d v="2014-04-03T00:00:00"/>
    <n v="295.39999999999998"/>
  </r>
  <r>
    <s v="Rozalia"/>
    <s v="Parad"/>
    <s v="Kutno"/>
    <x v="48"/>
    <d v="2014-04-07T00:00:00"/>
    <n v="794.8"/>
  </r>
  <r>
    <s v="Bonifacy"/>
    <s v="Barczewski"/>
    <s v="Siedlce"/>
    <x v="49"/>
    <d v="2014-04-11T00:00:00"/>
    <n v="573.4"/>
  </r>
  <r>
    <s v="Piotr"/>
    <s v="Bojarun"/>
    <s v="Kalisz"/>
    <x v="49"/>
    <d v="2014-04-10T00:00:00"/>
    <n v="760"/>
  </r>
  <r>
    <s v="Amadeusz"/>
    <s v="Helski"/>
    <s v="Radom"/>
    <x v="49"/>
    <d v="2014-04-12T00:00:00"/>
    <n v="674.5"/>
  </r>
  <r>
    <s v="Dorota"/>
    <s v="Morska"/>
    <s v="Radom"/>
    <x v="49"/>
    <d v="2014-04-11T00:00:00"/>
    <n v="550.5"/>
  </r>
  <r>
    <s v="Maria"/>
    <s v="Ozimek"/>
    <s v="Katowice"/>
    <x v="49"/>
    <d v="2014-04-11T00:00:00"/>
    <n v="1091.7"/>
  </r>
  <r>
    <s v="January"/>
    <s v="Pluta"/>
    <s v="Krakow"/>
    <x v="49"/>
    <d v="2014-04-12T00:00:00"/>
    <n v="1321.5"/>
  </r>
  <r>
    <s v="Sebastian"/>
    <s v="Argonski"/>
    <s v="Katowice"/>
    <x v="50"/>
    <d v="2014-04-18T00:00:00"/>
    <n v="1290.7"/>
  </r>
  <r>
    <s v="Jerzy"/>
    <s v="Dusznicki"/>
    <s v="Malbork"/>
    <x v="50"/>
    <d v="2014-04-16T00:00:00"/>
    <n v="1102"/>
  </r>
  <r>
    <s v="Andrzej"/>
    <s v="Kolarski"/>
    <s v="Malbork"/>
    <x v="50"/>
    <d v="2014-04-15T00:00:00"/>
    <n v="891"/>
  </r>
  <r>
    <s v="Paulina"/>
    <s v="Maskor"/>
    <s v="Malbork"/>
    <x v="50"/>
    <d v="2014-04-17T00:00:00"/>
    <n v="1313"/>
  </r>
  <r>
    <s v="Grzegorz"/>
    <s v="Podolski"/>
    <s v="Krakow"/>
    <x v="50"/>
    <d v="2014-04-15T00:00:00"/>
    <n v="706.5"/>
  </r>
  <r>
    <s v="Wiktor"/>
    <s v="Wroblewski"/>
    <s v="Krakow"/>
    <x v="50"/>
    <d v="2014-04-16T00:00:00"/>
    <n v="911.5"/>
  </r>
  <r>
    <s v="Justyna"/>
    <s v="Laska"/>
    <s v="Bydgoszcz"/>
    <x v="51"/>
    <d v="2014-04-18T00:00:00"/>
    <n v="513.4"/>
  </r>
  <r>
    <s v="Dominika"/>
    <s v="Bodera"/>
    <s v="Katowice"/>
    <x v="52"/>
    <d v="2014-04-22T00:00:00"/>
    <n v="892.7"/>
  </r>
  <r>
    <s v="Piotr"/>
    <s v="Malski"/>
    <s v="Olsztyn"/>
    <x v="52"/>
    <d v="2014-04-21T00:00:00"/>
    <n v="526.79999999999995"/>
  </r>
  <r>
    <s v="Justyna"/>
    <s v="Laska"/>
    <s v="Kalisz"/>
    <x v="53"/>
    <d v="2014-04-24T00:00:00"/>
    <n v="601"/>
  </r>
  <r>
    <s v="Ewelia"/>
    <s v="Prus"/>
    <s v="Olsztyn"/>
    <x v="53"/>
    <d v="2014-04-24T00:00:00"/>
    <n v="526.79999999999995"/>
  </r>
  <r>
    <s v="Wiktor"/>
    <s v="Wroblewski"/>
    <s v="Kutno"/>
    <x v="54"/>
    <d v="2014-04-24T00:00:00"/>
    <n v="278.8"/>
  </r>
  <r>
    <s v="Marzena"/>
    <s v="Grab"/>
    <s v="Kutno"/>
    <x v="55"/>
    <d v="2014-04-30T00:00:00"/>
    <n v="794.8"/>
  </r>
  <r>
    <s v="Jerzy"/>
    <s v="Granica"/>
    <s v="Kalisz"/>
    <x v="55"/>
    <d v="2014-04-29T00:00:00"/>
    <n v="919"/>
  </r>
  <r>
    <s v="Marcin"/>
    <s v="Jarskarski"/>
    <s v="Siedlce"/>
    <x v="55"/>
    <d v="2014-04-27T00:00:00"/>
    <n v="295.39999999999998"/>
  </r>
  <r>
    <s v="Jerzy"/>
    <s v="Misiek"/>
    <s v="Olsztyn"/>
    <x v="55"/>
    <d v="2014-04-27T00:00:00"/>
    <n v="526.79999999999995"/>
  </r>
  <r>
    <s v="Tomasz"/>
    <s v="Rzepka"/>
    <s v="Bydgoszcz"/>
    <x v="55"/>
    <d v="2014-04-29T00:00:00"/>
    <n v="936.4"/>
  </r>
  <r>
    <s v="Jan"/>
    <s v="Rzymski"/>
    <s v="Siedlce"/>
    <x v="55"/>
    <d v="2014-04-26T00:00:00"/>
    <n v="156.4"/>
  </r>
  <r>
    <s v="Karolina"/>
    <s v="Bizuta"/>
    <s v="Krakow"/>
    <x v="56"/>
    <d v="2014-04-29T00:00:00"/>
    <n v="706.5"/>
  </r>
  <r>
    <s v="Marzena"/>
    <s v="Gras"/>
    <s v="Bydgoszcz"/>
    <x v="57"/>
    <d v="2014-05-06T00:00:00"/>
    <n v="1077.4000000000001"/>
  </r>
  <r>
    <s v="Sebastian"/>
    <s v="Halik"/>
    <s v="Radom"/>
    <x v="57"/>
    <d v="2014-05-04T00:00:00"/>
    <n v="426.5"/>
  </r>
  <r>
    <s v="Janusz"/>
    <s v="Jurkicz"/>
    <s v="Krakow"/>
    <x v="57"/>
    <d v="2014-05-03T00:00:00"/>
    <n v="706.5"/>
  </r>
  <r>
    <s v="Patrycja"/>
    <s v="Andrycz"/>
    <s v="Bydgoszcz"/>
    <x v="58"/>
    <d v="2014-05-06T00:00:00"/>
    <n v="654.4"/>
  </r>
  <r>
    <s v="Piotr"/>
    <s v="Armowicz"/>
    <s v="Lublin"/>
    <x v="58"/>
    <d v="2014-05-05T00:00:00"/>
    <n v="290.7"/>
  </r>
  <r>
    <s v="Daria"/>
    <s v="Paryska"/>
    <s v="Mielec"/>
    <x v="59"/>
    <d v="2014-05-07T00:00:00"/>
    <n v="570"/>
  </r>
  <r>
    <s v="Kornel"/>
    <s v="Czerski"/>
    <s v="Krakow"/>
    <x v="60"/>
    <d v="2014-05-11T00:00:00"/>
    <n v="1116.5"/>
  </r>
  <r>
    <s v="Edwina"/>
    <s v="Elawa"/>
    <s v="Malbork"/>
    <x v="60"/>
    <d v="2014-05-10T00:00:00"/>
    <n v="1102"/>
  </r>
  <r>
    <s v="Ewa"/>
    <s v="Fidyk"/>
    <s v="Radom"/>
    <x v="60"/>
    <d v="2014-05-09T00:00:00"/>
    <n v="302.5"/>
  </r>
  <r>
    <s v="Wojciech"/>
    <s v="Krokus"/>
    <s v="Siedlce"/>
    <x v="60"/>
    <d v="2014-05-11T00:00:00"/>
    <n v="573.4"/>
  </r>
  <r>
    <s v="January"/>
    <s v="Pluta"/>
    <s v="Bydgoszcz"/>
    <x v="60"/>
    <d v="2014-05-11T00:00:00"/>
    <n v="936.4"/>
  </r>
  <r>
    <s v="Ewelia"/>
    <s v="Prus"/>
    <s v="Kielce"/>
    <x v="60"/>
    <d v="2014-05-12T00:00:00"/>
    <n v="1019.7"/>
  </r>
  <r>
    <s v="Dominika"/>
    <s v="Bodera"/>
    <s v="Siedlce"/>
    <x v="61"/>
    <d v="2014-05-17T00:00:00"/>
    <n v="573.4"/>
  </r>
  <r>
    <s v="Piotr"/>
    <s v="Bojarun"/>
    <s v="Lublin"/>
    <x v="61"/>
    <d v="2014-05-18T00:00:00"/>
    <n v="886.7"/>
  </r>
  <r>
    <s v="Jerzy"/>
    <s v="Dusznicki"/>
    <s v="Bydgoszcz"/>
    <x v="61"/>
    <d v="2014-05-18T00:00:00"/>
    <n v="1077.4000000000001"/>
  </r>
  <r>
    <s v="Marzena"/>
    <s v="Grab"/>
    <s v="Lublin"/>
    <x v="61"/>
    <d v="2014-05-15T00:00:00"/>
    <n v="439.7"/>
  </r>
  <r>
    <s v="Sebastian"/>
    <s v="Halik"/>
    <s v="Lublin"/>
    <x v="61"/>
    <d v="2014-05-16T00:00:00"/>
    <n v="588.70000000000005"/>
  </r>
  <r>
    <s v="Rozalia"/>
    <s v="Parad"/>
    <s v="Kutno"/>
    <x v="61"/>
    <d v="2014-05-15T00:00:00"/>
    <n v="407.8"/>
  </r>
  <r>
    <s v="Sebastian"/>
    <s v="Puchacz"/>
    <s v="Lublin"/>
    <x v="61"/>
    <d v="2014-05-16T00:00:00"/>
    <n v="588.70000000000005"/>
  </r>
  <r>
    <s v="Andrzej"/>
    <s v="Kolarski"/>
    <s v="Katowice"/>
    <x v="62"/>
    <d v="2014-05-21T00:00:00"/>
    <n v="693.7"/>
  </r>
  <r>
    <s v="Piotr"/>
    <s v="Malski"/>
    <s v="Radom"/>
    <x v="62"/>
    <d v="2014-05-24T00:00:00"/>
    <n v="674.5"/>
  </r>
  <r>
    <s v="Teresa"/>
    <s v="Moskiewska"/>
    <s v="Zgierz"/>
    <x v="62"/>
    <d v="2014-05-23T00:00:00"/>
    <n v="569.5"/>
  </r>
  <r>
    <s v="Daria"/>
    <s v="Paryska"/>
    <s v="Mielec"/>
    <x v="62"/>
    <d v="2014-05-23T00:00:00"/>
    <n v="826"/>
  </r>
  <r>
    <s v="Krystyna"/>
    <s v="Pleszewska"/>
    <s v="Lublin"/>
    <x v="62"/>
    <d v="2014-05-24T00:00:00"/>
    <n v="886.7"/>
  </r>
  <r>
    <s v="Jan"/>
    <s v="Rzymski"/>
    <s v="Kielce"/>
    <x v="62"/>
    <d v="2014-05-23T00:00:00"/>
    <n v="841.7"/>
  </r>
  <r>
    <s v="Piotr"/>
    <s v="Armowicz"/>
    <s v="Katowice"/>
    <x v="63"/>
    <d v="2014-05-28T00:00:00"/>
    <n v="892.7"/>
  </r>
  <r>
    <s v="Wiktor"/>
    <s v="Budzis"/>
    <s v="Kielce"/>
    <x v="63"/>
    <d v="2014-05-30T00:00:00"/>
    <n v="1019.7"/>
  </r>
  <r>
    <s v="Eustachy"/>
    <s v="Bydgoski"/>
    <s v="Siedlce"/>
    <x v="63"/>
    <d v="2014-05-28T00:00:00"/>
    <n v="434.4"/>
  </r>
  <r>
    <s v="Amelia"/>
    <s v="Calika"/>
    <s v="Kalisz"/>
    <x v="63"/>
    <d v="2014-05-29T00:00:00"/>
    <n v="919"/>
  </r>
  <r>
    <s v="Jerzy"/>
    <s v="Granica"/>
    <s v="Kalisz"/>
    <x v="63"/>
    <d v="2014-05-29T00:00:00"/>
    <n v="919"/>
  </r>
  <r>
    <s v="January"/>
    <s v="Pluta"/>
    <s v="Kalisz"/>
    <x v="63"/>
    <d v="2014-05-28T00:00:00"/>
    <n v="760"/>
  </r>
  <r>
    <s v="Piotr"/>
    <s v="Armowicz"/>
    <s v="Bydgoszcz"/>
    <x v="64"/>
    <d v="2014-06-04T00:00:00"/>
    <n v="936.4"/>
  </r>
  <r>
    <s v="Anna"/>
    <s v="Augustowska"/>
    <s v="Lublin"/>
    <x v="64"/>
    <d v="2014-06-04T00:00:00"/>
    <n v="737.7"/>
  </r>
  <r>
    <s v="Zofia"/>
    <s v="Budzianowska"/>
    <s v="Lublin"/>
    <x v="64"/>
    <d v="2014-06-05T00:00:00"/>
    <n v="886.7"/>
  </r>
  <r>
    <s v="Jerzy"/>
    <s v="Dusznicki"/>
    <s v="Zgierz"/>
    <x v="64"/>
    <d v="2014-06-03T00:00:00"/>
    <n v="450.5"/>
  </r>
  <r>
    <s v="Edwina"/>
    <s v="Elawa"/>
    <s v="Bydgoszcz"/>
    <x v="64"/>
    <d v="2014-06-04T00:00:00"/>
    <n v="936.4"/>
  </r>
  <r>
    <s v="Zuzanna"/>
    <s v="Piotrkowska"/>
    <s v="Lublin"/>
    <x v="64"/>
    <d v="2014-06-03T00:00:00"/>
    <n v="588.70000000000005"/>
  </r>
  <r>
    <s v="Piotr"/>
    <s v="Sworacz"/>
    <s v="Kalisz"/>
    <x v="64"/>
    <d v="2014-06-03T00:00:00"/>
    <n v="760"/>
  </r>
  <r>
    <s v="Marzena"/>
    <s v="Grab"/>
    <s v="Zgierz"/>
    <x v="65"/>
    <d v="2014-06-02T00:00:00"/>
    <n v="212.5"/>
  </r>
  <r>
    <s v="Jerzy"/>
    <s v="Granica"/>
    <s v="Kutno"/>
    <x v="65"/>
    <d v="2014-06-02T00:00:00"/>
    <n v="278.8"/>
  </r>
  <r>
    <s v="Piotr"/>
    <s v="Rajczakowski"/>
    <s v="Lublin"/>
    <x v="65"/>
    <d v="2014-06-04T00:00:00"/>
    <n v="588.70000000000005"/>
  </r>
  <r>
    <s v="Jan"/>
    <s v="Rzymski"/>
    <s v="Kutno"/>
    <x v="65"/>
    <d v="2014-06-02T00:00:00"/>
    <n v="278.8"/>
  </r>
  <r>
    <s v="Natalia"/>
    <s v="Idar"/>
    <s v="Radom"/>
    <x v="66"/>
    <d v="2014-06-03T00:00:00"/>
    <n v="178.5"/>
  </r>
  <r>
    <s v="Sebastian"/>
    <s v="Puchacz"/>
    <s v="Krakow"/>
    <x v="66"/>
    <d v="2014-06-04T00:00:00"/>
    <n v="706.5"/>
  </r>
  <r>
    <s v="Ewa"/>
    <s v="Fidyk"/>
    <s v="Zgierz"/>
    <x v="67"/>
    <d v="2014-06-05T00:00:00"/>
    <n v="331.5"/>
  </r>
  <r>
    <s v="Albert"/>
    <s v="Marakasz"/>
    <s v="Mielec"/>
    <x v="67"/>
    <d v="2014-06-05T00:00:00"/>
    <n v="570"/>
  </r>
  <r>
    <s v="Jan"/>
    <s v="Rzymski"/>
    <s v="Krakow"/>
    <x v="67"/>
    <d v="2014-06-05T00:00:00"/>
    <n v="706.5"/>
  </r>
  <r>
    <s v="Jerzy"/>
    <s v="Dusznicki"/>
    <s v="Krakow"/>
    <x v="68"/>
    <d v="2014-06-05T00:00:00"/>
    <n v="501.5"/>
  </r>
  <r>
    <s v="Patrycja"/>
    <s v="Andrycz"/>
    <s v="Siedlce"/>
    <x v="69"/>
    <d v="2014-06-07T00:00:00"/>
    <n v="156.4"/>
  </r>
  <r>
    <s v="Zofia"/>
    <s v="Budzianowska"/>
    <s v="Kielce"/>
    <x v="69"/>
    <d v="2014-06-09T00:00:00"/>
    <n v="663.7"/>
  </r>
  <r>
    <s v="Adam"/>
    <s v="Falski"/>
    <s v="Katowice"/>
    <x v="69"/>
    <d v="2014-06-11T00:00:00"/>
    <n v="1290.7"/>
  </r>
  <r>
    <s v="Dorota"/>
    <s v="Morska"/>
    <s v="Siedlce"/>
    <x v="69"/>
    <d v="2014-06-11T00:00:00"/>
    <n v="712.4"/>
  </r>
  <r>
    <s v="Jan"/>
    <s v="Suwski"/>
    <s v="Bydgoszcz"/>
    <x v="69"/>
    <d v="2014-06-09T00:00:00"/>
    <n v="795.4"/>
  </r>
  <r>
    <s v="January"/>
    <s v="Pluta"/>
    <s v="Kielce"/>
    <x v="70"/>
    <d v="2014-06-10T00:00:00"/>
    <n v="485.7"/>
  </r>
  <r>
    <s v="Paulina"/>
    <s v="Basala"/>
    <s v="Kielce"/>
    <x v="71"/>
    <d v="2014-06-15T00:00:00"/>
    <n v="663.7"/>
  </r>
  <r>
    <s v="Wiktor"/>
    <s v="Budzis"/>
    <s v="Kalisz"/>
    <x v="71"/>
    <d v="2014-06-17T00:00:00"/>
    <n v="1078"/>
  </r>
  <r>
    <s v="Patrycja"/>
    <s v="Czarnoleska"/>
    <s v="Katowice"/>
    <x v="71"/>
    <d v="2014-06-13T00:00:00"/>
    <n v="494.7"/>
  </r>
  <r>
    <s v="Edwina"/>
    <s v="Elawa"/>
    <s v="Kutno"/>
    <x v="71"/>
    <d v="2014-06-17T00:00:00"/>
    <n v="794.8"/>
  </r>
  <r>
    <s v="Karolina"/>
    <s v="Janes"/>
    <s v="Katowice"/>
    <x v="71"/>
    <d v="2014-06-16T00:00:00"/>
    <n v="1091.7"/>
  </r>
  <r>
    <s v="Andrzej"/>
    <s v="Kolarski"/>
    <s v="Katowice"/>
    <x v="71"/>
    <d v="2014-06-16T00:00:00"/>
    <n v="1091.7"/>
  </r>
  <r>
    <s v="Zuzanna"/>
    <s v="Kowalska"/>
    <s v="Kutno"/>
    <x v="71"/>
    <d v="2014-06-17T00:00:00"/>
    <n v="794.8"/>
  </r>
  <r>
    <s v="Justyna"/>
    <s v="Krynicka"/>
    <s v="Katowice"/>
    <x v="71"/>
    <d v="2014-06-14T00:00:00"/>
    <n v="693.7"/>
  </r>
  <r>
    <s v="Ewa"/>
    <s v="Kwiska"/>
    <s v="Katowice"/>
    <x v="71"/>
    <d v="2014-06-15T00:00:00"/>
    <n v="892.7"/>
  </r>
  <r>
    <s v="Zyta"/>
    <s v="Mazurkiewicz"/>
    <s v="Olsztyn"/>
    <x v="71"/>
    <d v="2014-06-16T00:00:00"/>
    <n v="852.8"/>
  </r>
  <r>
    <s v="Teresa"/>
    <s v="Moskiewska"/>
    <s v="Katowice"/>
    <x v="71"/>
    <d v="2014-06-13T00:00:00"/>
    <n v="494.7"/>
  </r>
  <r>
    <s v="Ewelia"/>
    <s v="Nyska"/>
    <s v="Mielec"/>
    <x v="71"/>
    <d v="2014-06-13T00:00:00"/>
    <n v="442"/>
  </r>
  <r>
    <s v="Rozalia"/>
    <s v="Parad"/>
    <s v="Kielce"/>
    <x v="71"/>
    <d v="2014-06-15T00:00:00"/>
    <n v="663.7"/>
  </r>
  <r>
    <s v="Krystyna"/>
    <s v="Pleszewska"/>
    <s v="Malbork"/>
    <x v="71"/>
    <d v="2014-06-16T00:00:00"/>
    <n v="1313"/>
  </r>
  <r>
    <s v="Anna"/>
    <s v="Sobecka"/>
    <s v="Krakow"/>
    <x v="71"/>
    <d v="2014-06-15T00:00:00"/>
    <n v="911.5"/>
  </r>
  <r>
    <s v="Albert"/>
    <s v="Marakasz"/>
    <s v="Kalisz"/>
    <x v="72"/>
    <d v="2014-06-17T00:00:00"/>
    <n v="601"/>
  </r>
  <r>
    <s v="Ewelia"/>
    <s v="Prus"/>
    <s v="Mielec"/>
    <x v="72"/>
    <d v="2014-06-16T00:00:00"/>
    <n v="442"/>
  </r>
  <r>
    <s v="Kacper"/>
    <s v="Krajewski"/>
    <s v="Zgierz"/>
    <x v="73"/>
    <d v="2014-06-22T00:00:00"/>
    <n v="569.5"/>
  </r>
  <r>
    <s v="Zyta"/>
    <s v="Mazurkiewicz"/>
    <s v="Lublin"/>
    <x v="73"/>
    <d v="2014-06-20T00:00:00"/>
    <n v="439.7"/>
  </r>
  <r>
    <s v="Ewelia"/>
    <s v="Nyska"/>
    <s v="Kielce"/>
    <x v="73"/>
    <d v="2014-06-22T00:00:00"/>
    <n v="841.7"/>
  </r>
  <r>
    <s v="Katarzyna"/>
    <s v="Piotrowska"/>
    <s v="Bydgoszcz"/>
    <x v="73"/>
    <d v="2014-06-21T00:00:00"/>
    <n v="795.4"/>
  </r>
  <r>
    <s v="Kamil"/>
    <s v="Pomorski"/>
    <s v="Katowice"/>
    <x v="73"/>
    <d v="2014-06-23T00:00:00"/>
    <n v="1290.7"/>
  </r>
  <r>
    <s v="Kamil"/>
    <s v="Zabrzeski"/>
    <s v="Mielec"/>
    <x v="73"/>
    <d v="2014-06-21T00:00:00"/>
    <n v="698"/>
  </r>
  <r>
    <s v="Bonifacy"/>
    <s v="Barczewski"/>
    <s v="Lublin"/>
    <x v="74"/>
    <d v="2014-06-26T00:00:00"/>
    <n v="439.7"/>
  </r>
  <r>
    <s v="Paulina"/>
    <s v="Dok"/>
    <s v="Katowice"/>
    <x v="74"/>
    <d v="2014-06-25T00:00:00"/>
    <n v="494.7"/>
  </r>
  <r>
    <s v="Paulina"/>
    <s v="Dok"/>
    <s v="Krakow"/>
    <x v="74"/>
    <d v="2014-06-27T00:00:00"/>
    <n v="911.5"/>
  </r>
  <r>
    <s v="Olivia"/>
    <s v="Gabor"/>
    <s v="Malbork"/>
    <x v="74"/>
    <d v="2014-06-26T00:00:00"/>
    <n v="891"/>
  </r>
  <r>
    <s v="Amadeusz"/>
    <s v="Helski"/>
    <s v="Kutno"/>
    <x v="74"/>
    <d v="2014-06-28T00:00:00"/>
    <n v="665.8"/>
  </r>
  <r>
    <s v="Kacper"/>
    <s v="Krajewski"/>
    <s v="Bydgoszcz"/>
    <x v="74"/>
    <d v="2014-06-27T00:00:00"/>
    <n v="795.4"/>
  </r>
  <r>
    <s v="Justyna"/>
    <s v="Laska"/>
    <s v="Bydgoszcz"/>
    <x v="74"/>
    <d v="2014-06-26T00:00:00"/>
    <n v="654.4"/>
  </r>
  <r>
    <s v="Irma"/>
    <s v="Opoczna"/>
    <s v="Lublin"/>
    <x v="74"/>
    <d v="2014-06-28T00:00:00"/>
    <n v="737.7"/>
  </r>
  <r>
    <s v="Lidia"/>
    <s v="Opolska"/>
    <s v="Lublin"/>
    <x v="74"/>
    <d v="2014-06-29T00:00:00"/>
    <n v="886.7"/>
  </r>
  <r>
    <s v="Krystyna"/>
    <s v="Pleszewska"/>
    <s v="Siedlce"/>
    <x v="74"/>
    <d v="2014-06-26T00:00:00"/>
    <n v="295.39999999999998"/>
  </r>
  <r>
    <s v="Karolina"/>
    <s v="Podkalicka"/>
    <s v="Olsztyn"/>
    <x v="74"/>
    <d v="2014-06-27T00:00:00"/>
    <n v="689.8"/>
  </r>
  <r>
    <s v="Sebastian"/>
    <s v="Puchacz"/>
    <s v="Malbork"/>
    <x v="74"/>
    <d v="2014-06-29T00:00:00"/>
    <n v="1524"/>
  </r>
  <r>
    <s v="Piotr"/>
    <s v="Roman"/>
    <s v="Siedlce"/>
    <x v="74"/>
    <d v="2014-06-26T00:00:00"/>
    <n v="295.39999999999998"/>
  </r>
  <r>
    <s v="Tomasz"/>
    <s v="Rzepka"/>
    <s v="Kalisz"/>
    <x v="74"/>
    <d v="2014-06-27T00:00:00"/>
    <n v="760"/>
  </r>
  <r>
    <s v="Anna"/>
    <s v="Sobecka"/>
    <s v="Bydgoszcz"/>
    <x v="74"/>
    <d v="2014-06-27T00:00:00"/>
    <n v="795.4"/>
  </r>
  <r>
    <s v="Adam"/>
    <s v="Wradoch"/>
    <s v="Radom"/>
    <x v="74"/>
    <d v="2014-06-26T00:00:00"/>
    <n v="302.5"/>
  </r>
  <r>
    <s v="Justyna"/>
    <s v="Laska"/>
    <s v="Olsztyn"/>
    <x v="75"/>
    <d v="2014-06-28T00:00:00"/>
    <n v="363.8"/>
  </r>
  <r>
    <s v="Piotr"/>
    <s v="Bojarun"/>
    <s v="Katowice"/>
    <x v="76"/>
    <d v="2014-07-05T00:00:00"/>
    <n v="1290.7"/>
  </r>
  <r>
    <s v="Andrzej"/>
    <s v="Kolarski"/>
    <s v="Bydgoszcz"/>
    <x v="76"/>
    <d v="2014-07-05T00:00:00"/>
    <n v="1077.4000000000001"/>
  </r>
  <r>
    <s v="Michalina"/>
    <s v="Lamda"/>
    <s v="Kielce"/>
    <x v="76"/>
    <d v="2014-07-03T00:00:00"/>
    <n v="663.7"/>
  </r>
  <r>
    <s v="Bogumi"/>
    <s v="Lubelski"/>
    <s v="Radom"/>
    <x v="76"/>
    <d v="2014-07-05T00:00:00"/>
    <n v="674.5"/>
  </r>
  <r>
    <s v="Teresa"/>
    <s v="Moskiewska"/>
    <s v="Krakow"/>
    <x v="76"/>
    <d v="2014-07-03T00:00:00"/>
    <n v="911.5"/>
  </r>
  <r>
    <s v="Ewelia"/>
    <s v="Prus"/>
    <s v="Radom"/>
    <x v="76"/>
    <d v="2014-07-04T00:00:00"/>
    <n v="550.5"/>
  </r>
  <r>
    <s v="Anna"/>
    <s v="Augustowska"/>
    <s v="Katowice"/>
    <x v="77"/>
    <d v="2014-07-09T00:00:00"/>
    <n v="892.7"/>
  </r>
  <r>
    <s v="Wiktor"/>
    <s v="Czekan"/>
    <s v="Mielec"/>
    <x v="77"/>
    <d v="2014-07-09T00:00:00"/>
    <n v="698"/>
  </r>
  <r>
    <s v="Jerzy"/>
    <s v="Dusznicki"/>
    <s v="Lublin"/>
    <x v="77"/>
    <d v="2014-07-10T00:00:00"/>
    <n v="737.7"/>
  </r>
  <r>
    <s v="Jerzy"/>
    <s v="Granica"/>
    <s v="Kutno"/>
    <x v="77"/>
    <d v="2014-07-08T00:00:00"/>
    <n v="407.8"/>
  </r>
  <r>
    <s v="Amadeusz"/>
    <s v="Helski"/>
    <s v="Kalisz"/>
    <x v="77"/>
    <d v="2014-07-10T00:00:00"/>
    <n v="919"/>
  </r>
  <r>
    <s v="Marcin"/>
    <s v="Jarskarski"/>
    <s v="Lublin"/>
    <x v="77"/>
    <d v="2014-07-08T00:00:00"/>
    <n v="439.7"/>
  </r>
  <r>
    <s v="Andrzej"/>
    <s v="Kolarski"/>
    <s v="Bydgoszcz"/>
    <x v="77"/>
    <d v="2014-07-09T00:00:00"/>
    <n v="795.4"/>
  </r>
  <r>
    <s v="Bogumi"/>
    <s v="Lubelski"/>
    <s v="Radom"/>
    <x v="77"/>
    <d v="2014-07-08T00:00:00"/>
    <n v="302.5"/>
  </r>
  <r>
    <s v="Albert"/>
    <s v="Marakasz"/>
    <s v="Olsztyn"/>
    <x v="77"/>
    <d v="2014-07-07T00:00:00"/>
    <n v="363.8"/>
  </r>
  <r>
    <s v="Lidia"/>
    <s v="Opolska"/>
    <s v="Kutno"/>
    <x v="77"/>
    <d v="2014-07-11T00:00:00"/>
    <n v="794.8"/>
  </r>
  <r>
    <s v="Maria"/>
    <s v="Ozimek"/>
    <s v="Kutno"/>
    <x v="77"/>
    <d v="2014-07-11T00:00:00"/>
    <n v="794.8"/>
  </r>
  <r>
    <s v="Narcyz"/>
    <s v="Polanicki"/>
    <s v="Siedlce"/>
    <x v="77"/>
    <d v="2014-07-08T00:00:00"/>
    <n v="295.39999999999998"/>
  </r>
  <r>
    <s v="Gustaw"/>
    <s v="Poznanski"/>
    <s v="Krakow"/>
    <x v="77"/>
    <d v="2014-07-08T00:00:00"/>
    <n v="706.5"/>
  </r>
  <r>
    <s v="Piotr"/>
    <s v="Rajczakowski"/>
    <s v="Kielce"/>
    <x v="77"/>
    <d v="2014-07-08T00:00:00"/>
    <n v="485.7"/>
  </r>
  <r>
    <s v="Jan"/>
    <s v="Rzymski"/>
    <s v="Kielce"/>
    <x v="77"/>
    <d v="2014-07-10T00:00:00"/>
    <n v="841.7"/>
  </r>
  <r>
    <s v="Albert"/>
    <s v="Marakasz"/>
    <s v="Kalisz"/>
    <x v="78"/>
    <d v="2014-07-10T00:00:00"/>
    <n v="442"/>
  </r>
  <r>
    <s v="Wiktor"/>
    <s v="Czekan"/>
    <s v="Radom"/>
    <x v="79"/>
    <d v="2014-07-11T00:00:00"/>
    <n v="178.5"/>
  </r>
  <r>
    <s v="Sebastian"/>
    <s v="Argonski"/>
    <s v="Olsztyn"/>
    <x v="80"/>
    <d v="2014-07-16T00:00:00"/>
    <n v="852.8"/>
  </r>
  <r>
    <s v="Marek"/>
    <s v="Trzeski"/>
    <s v="Katowice"/>
    <x v="80"/>
    <d v="2014-07-17T00:00:00"/>
    <n v="1290.7"/>
  </r>
  <r>
    <s v="Piotr"/>
    <s v="Rajczakowski"/>
    <s v="Krakow"/>
    <x v="81"/>
    <d v="2014-07-14T00:00:00"/>
    <n v="501.5"/>
  </r>
  <r>
    <s v="Patrycja"/>
    <s v="Czarnoleska"/>
    <s v="Kielce"/>
    <x v="82"/>
    <d v="2014-07-15T00:00:00"/>
    <n v="307.7"/>
  </r>
  <r>
    <s v="Marcin"/>
    <s v="Jarskarski"/>
    <s v="Siedlce"/>
    <x v="82"/>
    <d v="2014-07-16T00:00:00"/>
    <n v="295.39999999999998"/>
  </r>
  <r>
    <s v="Wojciech"/>
    <s v="Magierowcz"/>
    <s v="Bydgoszcz"/>
    <x v="82"/>
    <d v="2014-07-15T00:00:00"/>
    <n v="513.4"/>
  </r>
  <r>
    <s v="Paulina"/>
    <s v="Chorzowska"/>
    <s v="Mielec"/>
    <x v="83"/>
    <d v="2014-07-17T00:00:00"/>
    <n v="442"/>
  </r>
  <r>
    <s v="Janina"/>
    <s v="Bolanowska"/>
    <s v="Kutno"/>
    <x v="84"/>
    <d v="2014-07-23T00:00:00"/>
    <n v="794.8"/>
  </r>
  <r>
    <s v="Janina"/>
    <s v="Bolanowska"/>
    <s v="Radom"/>
    <x v="84"/>
    <d v="2014-07-22T00:00:00"/>
    <n v="550.5"/>
  </r>
  <r>
    <s v="Zofia"/>
    <s v="Budzianowska"/>
    <s v="Olsztyn"/>
    <x v="84"/>
    <d v="2014-07-20T00:00:00"/>
    <n v="526.79999999999995"/>
  </r>
  <r>
    <s v="Patrycja"/>
    <s v="Czarnoleska"/>
    <s v="Zgierz"/>
    <x v="84"/>
    <d v="2014-07-23T00:00:00"/>
    <n v="688.5"/>
  </r>
  <r>
    <s v="Paulina"/>
    <s v="Dok"/>
    <s v="Bydgoszcz"/>
    <x v="84"/>
    <d v="2014-07-20T00:00:00"/>
    <n v="654.4"/>
  </r>
  <r>
    <s v="Jerzy"/>
    <s v="Dusznicki"/>
    <s v="Kielce"/>
    <x v="84"/>
    <d v="2014-07-20T00:00:00"/>
    <n v="485.7"/>
  </r>
  <r>
    <s v="Edwina"/>
    <s v="Elawa"/>
    <s v="Siedlce"/>
    <x v="84"/>
    <d v="2014-07-20T00:00:00"/>
    <n v="295.39999999999998"/>
  </r>
  <r>
    <s v="Adam"/>
    <s v="Falski"/>
    <s v="Lublin"/>
    <x v="84"/>
    <d v="2014-07-23T00:00:00"/>
    <n v="886.7"/>
  </r>
  <r>
    <s v="Justyna"/>
    <s v="Laska"/>
    <s v="Lublin"/>
    <x v="84"/>
    <d v="2014-07-20T00:00:00"/>
    <n v="439.7"/>
  </r>
  <r>
    <s v="Marta"/>
    <s v="Nowowiejska"/>
    <s v="Lublin"/>
    <x v="84"/>
    <d v="2014-07-21T00:00:00"/>
    <n v="588.70000000000005"/>
  </r>
  <r>
    <s v="Irma"/>
    <s v="Opoczna"/>
    <s v="Bydgoszcz"/>
    <x v="84"/>
    <d v="2014-07-21T00:00:00"/>
    <n v="795.4"/>
  </r>
  <r>
    <s v="Piotr"/>
    <s v="Rajczakowski"/>
    <s v="Siedlce"/>
    <x v="84"/>
    <d v="2014-07-19T00:00:00"/>
    <n v="156.4"/>
  </r>
  <r>
    <s v="Wiktor"/>
    <s v="Wroblewski"/>
    <s v="Bydgoszcz"/>
    <x v="84"/>
    <d v="2014-07-23T00:00:00"/>
    <n v="1077.4000000000001"/>
  </r>
  <r>
    <s v="Marcin"/>
    <s v="Jarskarski"/>
    <s v="Malbork"/>
    <x v="85"/>
    <d v="2014-07-21T00:00:00"/>
    <n v="680"/>
  </r>
  <r>
    <s v="Katarzyna"/>
    <s v="Piotrowska"/>
    <s v="Katowice"/>
    <x v="85"/>
    <d v="2014-07-23T00:00:00"/>
    <n v="892.7"/>
  </r>
  <r>
    <s v="Rozalia"/>
    <s v="Siedlecka"/>
    <s v="Kielce"/>
    <x v="85"/>
    <d v="2014-07-21T00:00:00"/>
    <n v="307.7"/>
  </r>
  <r>
    <s v="Anna"/>
    <s v="Augustowska"/>
    <s v="Lublin"/>
    <x v="86"/>
    <d v="2014-07-28T00:00:00"/>
    <n v="737.7"/>
  </r>
  <r>
    <s v="Dominika"/>
    <s v="Bodera"/>
    <s v="Krakow"/>
    <x v="86"/>
    <d v="2014-07-27T00:00:00"/>
    <n v="911.5"/>
  </r>
  <r>
    <s v="Kornel"/>
    <s v="Czerski"/>
    <s v="Zgierz"/>
    <x v="86"/>
    <d v="2014-07-29T00:00:00"/>
    <n v="688.5"/>
  </r>
  <r>
    <s v="Marzena"/>
    <s v="Grab"/>
    <s v="Zgierz"/>
    <x v="86"/>
    <d v="2014-07-29T00:00:00"/>
    <n v="688.5"/>
  </r>
  <r>
    <s v="Paulina"/>
    <s v="Maskor"/>
    <s v="Siedlce"/>
    <x v="86"/>
    <d v="2014-07-29T00:00:00"/>
    <n v="712.4"/>
  </r>
  <r>
    <s v="Grzegorz"/>
    <s v="Podolski"/>
    <s v="Krakow"/>
    <x v="86"/>
    <d v="2014-07-26T00:00:00"/>
    <n v="706.5"/>
  </r>
  <r>
    <s v="Piotr"/>
    <s v="Armowicz"/>
    <s v="Kutno"/>
    <x v="87"/>
    <d v="2014-08-04T00:00:00"/>
    <n v="794.8"/>
  </r>
  <r>
    <s v="Piotr"/>
    <s v="Bojarun"/>
    <s v="Katowice"/>
    <x v="87"/>
    <d v="2014-08-03T00:00:00"/>
    <n v="1091.7"/>
  </r>
  <r>
    <s v="Zofia"/>
    <s v="Budzianowska"/>
    <s v="Katowice"/>
    <x v="87"/>
    <d v="2014-08-02T00:00:00"/>
    <n v="892.7"/>
  </r>
  <r>
    <s v="Kornel"/>
    <s v="Czerski"/>
    <s v="Mielec"/>
    <x v="87"/>
    <d v="2014-08-01T00:00:00"/>
    <n v="570"/>
  </r>
  <r>
    <s v="Karolina"/>
    <s v="Janes"/>
    <s v="Lublin"/>
    <x v="87"/>
    <d v="2014-08-03T00:00:00"/>
    <n v="737.7"/>
  </r>
  <r>
    <s v="Andrzej"/>
    <s v="Kolarski"/>
    <s v="Zgierz"/>
    <x v="87"/>
    <d v="2014-08-04T00:00:00"/>
    <n v="688.5"/>
  </r>
  <r>
    <s v="Michalina"/>
    <s v="Lamda"/>
    <s v="Kutno"/>
    <x v="87"/>
    <d v="2014-08-02T00:00:00"/>
    <n v="536.79999999999995"/>
  </r>
  <r>
    <s v="Albert"/>
    <s v="Marakasz"/>
    <s v="Olsztyn"/>
    <x v="87"/>
    <d v="2014-08-01T00:00:00"/>
    <n v="526.79999999999995"/>
  </r>
  <r>
    <s v="Kazimiera"/>
    <s v="Parczewska"/>
    <s v="Malbork"/>
    <x v="87"/>
    <d v="2014-08-04T00:00:00"/>
    <n v="1524"/>
  </r>
  <r>
    <s v="Daria"/>
    <s v="Paryska"/>
    <s v="Krakow"/>
    <x v="87"/>
    <d v="2014-08-03T00:00:00"/>
    <n v="1116.5"/>
  </r>
  <r>
    <s v="Zuzanna"/>
    <s v="Piotrkowska"/>
    <s v="Siedlce"/>
    <x v="87"/>
    <d v="2014-08-01T00:00:00"/>
    <n v="295.39999999999998"/>
  </r>
  <r>
    <s v="Grzegorz"/>
    <s v="Podolski"/>
    <s v="Katowice"/>
    <x v="87"/>
    <d v="2014-08-01T00:00:00"/>
    <n v="693.7"/>
  </r>
  <r>
    <s v="Sebastian"/>
    <s v="Puchacz"/>
    <s v="Kalisz"/>
    <x v="87"/>
    <d v="2014-08-01T00:00:00"/>
    <n v="601"/>
  </r>
  <r>
    <s v="Piotr"/>
    <s v="Roman"/>
    <s v="Malbork"/>
    <x v="87"/>
    <d v="2014-08-03T00:00:00"/>
    <n v="1313"/>
  </r>
  <r>
    <s v="Tomasz"/>
    <s v="Rzepka"/>
    <s v="Kutno"/>
    <x v="87"/>
    <d v="2014-08-01T00:00:00"/>
    <n v="407.8"/>
  </r>
  <r>
    <s v="Jan"/>
    <s v="Rzymski"/>
    <s v="Kielce"/>
    <x v="87"/>
    <d v="2014-08-03T00:00:00"/>
    <n v="841.7"/>
  </r>
  <r>
    <s v="Zofia"/>
    <s v="Seredycka"/>
    <s v="Mielec"/>
    <x v="87"/>
    <d v="2014-08-04T00:00:00"/>
    <n v="954"/>
  </r>
  <r>
    <s v="Piotr"/>
    <s v="Sworacz"/>
    <s v="Zgierz"/>
    <x v="87"/>
    <d v="2014-08-02T00:00:00"/>
    <n v="450.5"/>
  </r>
  <r>
    <s v="Paulina"/>
    <s v="Basala"/>
    <s v="Kutno"/>
    <x v="88"/>
    <d v="2014-08-07T00:00:00"/>
    <n v="407.8"/>
  </r>
  <r>
    <s v="Bogumi"/>
    <s v="Lubelski"/>
    <s v="Krakow"/>
    <x v="88"/>
    <d v="2014-08-07T00:00:00"/>
    <n v="706.5"/>
  </r>
  <r>
    <s v="Jerzy"/>
    <s v="Misiek"/>
    <s v="Mielec"/>
    <x v="88"/>
    <d v="2014-08-10T00:00:00"/>
    <n v="954"/>
  </r>
  <r>
    <s v="Piotr"/>
    <s v="Rajczakowski"/>
    <s v="Zgierz"/>
    <x v="88"/>
    <d v="2014-08-10T00:00:00"/>
    <n v="688.5"/>
  </r>
  <r>
    <s v="Zofia"/>
    <s v="Seredycka"/>
    <s v="Olsztyn"/>
    <x v="88"/>
    <d v="2014-08-09T00:00:00"/>
    <n v="852.8"/>
  </r>
  <r>
    <s v="Bogumi"/>
    <s v="Lubelski"/>
    <s v="Kielce"/>
    <x v="89"/>
    <d v="2014-08-09T00:00:00"/>
    <n v="307.7"/>
  </r>
  <r>
    <s v="Patrycja"/>
    <s v="Andrycz"/>
    <s v="Malbork"/>
    <x v="90"/>
    <d v="2014-08-16T00:00:00"/>
    <n v="1524"/>
  </r>
  <r>
    <s v="Anna"/>
    <s v="Augustowska"/>
    <s v="Olsztyn"/>
    <x v="90"/>
    <d v="2014-08-13T00:00:00"/>
    <n v="526.79999999999995"/>
  </r>
  <r>
    <s v="Zofia"/>
    <s v="Budzianowska"/>
    <s v="Lublin"/>
    <x v="90"/>
    <d v="2014-08-14T00:00:00"/>
    <n v="588.70000000000005"/>
  </r>
  <r>
    <s v="Eustachy"/>
    <s v="Bydgoski"/>
    <s v="Lublin"/>
    <x v="90"/>
    <d v="2014-08-12T00:00:00"/>
    <n v="290.7"/>
  </r>
  <r>
    <s v="Edwina"/>
    <s v="Elawa"/>
    <s v="Kielce"/>
    <x v="90"/>
    <d v="2014-08-14T00:00:00"/>
    <n v="663.7"/>
  </r>
  <r>
    <s v="Marzena"/>
    <s v="Grab"/>
    <s v="Kutno"/>
    <x v="90"/>
    <d v="2014-08-14T00:00:00"/>
    <n v="536.79999999999995"/>
  </r>
  <r>
    <s v="Justyna"/>
    <s v="Kolska"/>
    <s v="Olsztyn"/>
    <x v="90"/>
    <d v="2014-08-13T00:00:00"/>
    <n v="526.79999999999995"/>
  </r>
  <r>
    <s v="Wojciech"/>
    <s v="Krokus"/>
    <s v="Malbork"/>
    <x v="90"/>
    <d v="2014-08-13T00:00:00"/>
    <n v="891"/>
  </r>
  <r>
    <s v="Wojciech"/>
    <s v="Magierowcz"/>
    <s v="Krakow"/>
    <x v="90"/>
    <d v="2014-08-16T00:00:00"/>
    <n v="1321.5"/>
  </r>
  <r>
    <s v="Adam"/>
    <s v="Markowski"/>
    <s v="Katowice"/>
    <x v="90"/>
    <d v="2014-08-12T00:00:00"/>
    <n v="494.7"/>
  </r>
  <r>
    <s v="Zyta"/>
    <s v="Mazurkiewicz"/>
    <s v="Zgierz"/>
    <x v="90"/>
    <d v="2014-08-16T00:00:00"/>
    <n v="688.5"/>
  </r>
  <r>
    <s v="Jerzy"/>
    <s v="Misiek"/>
    <s v="Katowice"/>
    <x v="90"/>
    <d v="2014-08-12T00:00:00"/>
    <n v="494.7"/>
  </r>
  <r>
    <s v="Malwina"/>
    <s v="Papkin"/>
    <s v="Olsztyn"/>
    <x v="90"/>
    <d v="2014-08-14T00:00:00"/>
    <n v="689.8"/>
  </r>
  <r>
    <s v="Jan"/>
    <s v="Rzymski"/>
    <s v="Radom"/>
    <x v="90"/>
    <d v="2014-08-16T00:00:00"/>
    <n v="674.5"/>
  </r>
  <r>
    <s v="Zofia"/>
    <s v="Seredycka"/>
    <s v="Kielce"/>
    <x v="90"/>
    <d v="2014-08-14T00:00:00"/>
    <n v="663.7"/>
  </r>
  <r>
    <s v="Marek"/>
    <s v="Trzeski"/>
    <s v="Kalisz"/>
    <x v="90"/>
    <d v="2014-08-14T00:00:00"/>
    <n v="760"/>
  </r>
  <r>
    <s v="Kamil"/>
    <s v="Zabrzeski"/>
    <s v="Olsztyn"/>
    <x v="90"/>
    <d v="2014-08-16T00:00:00"/>
    <n v="1015.8"/>
  </r>
  <r>
    <s v="Jerzy"/>
    <s v="Misiek"/>
    <s v="Olsztyn"/>
    <x v="91"/>
    <d v="2014-08-14T00:00:00"/>
    <n v="363.8"/>
  </r>
  <r>
    <s v="Zofia"/>
    <s v="Budzianowska"/>
    <s v="Malbork"/>
    <x v="92"/>
    <d v="2014-08-20T00:00:00"/>
    <n v="1102"/>
  </r>
  <r>
    <s v="Paulina"/>
    <s v="Dok"/>
    <s v="Lublin"/>
    <x v="92"/>
    <d v="2014-08-22T00:00:00"/>
    <n v="886.7"/>
  </r>
  <r>
    <s v="Marek"/>
    <s v="Holski"/>
    <s v="Siedlce"/>
    <x v="92"/>
    <d v="2014-08-19T00:00:00"/>
    <n v="295.39999999999998"/>
  </r>
  <r>
    <s v="Adam"/>
    <s v="Markowski"/>
    <s v="Malbork"/>
    <x v="92"/>
    <d v="2014-08-19T00:00:00"/>
    <n v="891"/>
  </r>
  <r>
    <s v="Irma"/>
    <s v="Opoczna"/>
    <s v="Olsztyn"/>
    <x v="92"/>
    <d v="2014-08-20T00:00:00"/>
    <n v="689.8"/>
  </r>
  <r>
    <s v="Tomasz"/>
    <s v="Rzepka"/>
    <s v="Krakow"/>
    <x v="92"/>
    <d v="2014-08-20T00:00:00"/>
    <n v="911.5"/>
  </r>
  <r>
    <s v="Piotr"/>
    <s v="Armowicz"/>
    <s v="Zgierz"/>
    <x v="93"/>
    <d v="2014-08-26T00:00:00"/>
    <n v="450.5"/>
  </r>
  <r>
    <s v="Karolina"/>
    <s v="Arska"/>
    <s v="Malbork"/>
    <x v="93"/>
    <d v="2014-08-28T00:00:00"/>
    <n v="1524"/>
  </r>
  <r>
    <s v="Andrzej"/>
    <s v="Barcz"/>
    <s v="Krakow"/>
    <x v="93"/>
    <d v="2014-08-25T00:00:00"/>
    <n v="706.5"/>
  </r>
  <r>
    <s v="Wiktor"/>
    <s v="Budzis"/>
    <s v="Bydgoszcz"/>
    <x v="93"/>
    <d v="2014-08-28T00:00:00"/>
    <n v="1077.4000000000001"/>
  </r>
  <r>
    <s v="Janusz"/>
    <s v="Jurkicz"/>
    <s v="Malbork"/>
    <x v="93"/>
    <d v="2014-08-25T00:00:00"/>
    <n v="891"/>
  </r>
  <r>
    <s v="Kacper"/>
    <s v="Krajewski"/>
    <s v="Krakow"/>
    <x v="93"/>
    <d v="2014-08-27T00:00:00"/>
    <n v="1116.5"/>
  </r>
  <r>
    <s v="Justyna"/>
    <s v="Laska"/>
    <s v="Zgierz"/>
    <x v="93"/>
    <d v="2014-08-28T00:00:00"/>
    <n v="688.5"/>
  </r>
  <r>
    <s v="Irma"/>
    <s v="Opoczna"/>
    <s v="Krakow"/>
    <x v="93"/>
    <d v="2014-08-27T00:00:00"/>
    <n v="1116.5"/>
  </r>
  <r>
    <s v="Zuzanna"/>
    <s v="Piotrkowska"/>
    <s v="Lublin"/>
    <x v="93"/>
    <d v="2014-08-28T00:00:00"/>
    <n v="886.7"/>
  </r>
  <r>
    <s v="Tomasz"/>
    <s v="Rzepka"/>
    <s v="Katowice"/>
    <x v="93"/>
    <d v="2014-08-26T00:00:00"/>
    <n v="892.7"/>
  </r>
  <r>
    <s v="Adam"/>
    <s v="Wradoch"/>
    <s v="Radom"/>
    <x v="93"/>
    <d v="2014-08-28T00:00:00"/>
    <n v="674.5"/>
  </r>
  <r>
    <s v="Olivia"/>
    <s v="Gabor"/>
    <s v="Malbork"/>
    <x v="94"/>
    <d v="2014-08-26T00:00:00"/>
    <n v="891"/>
  </r>
  <r>
    <s v="Kazimiera"/>
    <s v="Parczewska"/>
    <s v="Bydgoszcz"/>
    <x v="94"/>
    <d v="2014-08-26T00:00:00"/>
    <n v="654.4"/>
  </r>
  <r>
    <s v="Kamil"/>
    <s v="Pomorski"/>
    <s v="Kalisz"/>
    <x v="94"/>
    <d v="2014-08-27T00:00:00"/>
    <n v="760"/>
  </r>
  <r>
    <s v="Piotr"/>
    <s v="Roman"/>
    <s v="Kutno"/>
    <x v="94"/>
    <d v="2014-08-26T00:00:00"/>
    <n v="407.8"/>
  </r>
  <r>
    <s v="Kamil"/>
    <s v="Zabrzeski"/>
    <s v="Bydgoszcz"/>
    <x v="94"/>
    <d v="2014-08-26T00:00:00"/>
    <n v="654.4"/>
  </r>
  <r>
    <s v="Jerzy"/>
    <s v="Granica"/>
    <s v="Kutno"/>
    <x v="95"/>
    <d v="2014-08-27T00:00:00"/>
    <n v="407.8"/>
  </r>
  <r>
    <s v="Zofia"/>
    <s v="Maselska"/>
    <s v="Katowice"/>
    <x v="96"/>
    <d v="2014-08-27T00:00:00"/>
    <n v="494.7"/>
  </r>
  <r>
    <s v="Eustachy"/>
    <s v="Bydgoski"/>
    <s v="Olsztyn"/>
    <x v="97"/>
    <d v="2014-09-02T00:00:00"/>
    <n v="852.8"/>
  </r>
  <r>
    <s v="Olivia"/>
    <s v="Gabor"/>
    <s v="Katowice"/>
    <x v="97"/>
    <d v="2014-08-31T00:00:00"/>
    <n v="693.7"/>
  </r>
  <r>
    <s v="Jerzy"/>
    <s v="Granica"/>
    <s v="Siedlce"/>
    <x v="97"/>
    <d v="2014-09-01T00:00:00"/>
    <n v="434.4"/>
  </r>
  <r>
    <s v="Kornel"/>
    <s v="Henrykowski"/>
    <s v="Kielce"/>
    <x v="97"/>
    <d v="2014-08-31T00:00:00"/>
    <n v="485.7"/>
  </r>
  <r>
    <s v="Zuzanna"/>
    <s v="Piotrkowska"/>
    <s v="Malbork"/>
    <x v="97"/>
    <d v="2014-08-31T00:00:00"/>
    <n v="891"/>
  </r>
  <r>
    <s v="Karol"/>
    <s v="Witkiewicz"/>
    <s v="Krakow"/>
    <x v="97"/>
    <d v="2014-09-03T00:00:00"/>
    <n v="1321.5"/>
  </r>
  <r>
    <s v="Katarzyna"/>
    <s v="Piotrowska"/>
    <s v="Radom"/>
    <x v="98"/>
    <d v="2014-09-06T00:00:00"/>
    <n v="550.5"/>
  </r>
  <r>
    <s v="Sebastian"/>
    <s v="Argonski"/>
    <s v="Lublin"/>
    <x v="99"/>
    <d v="2014-09-05T00:00:00"/>
    <n v="439.7"/>
  </r>
  <r>
    <s v="Karolina"/>
    <s v="Arska"/>
    <s v="Zgierz"/>
    <x v="99"/>
    <d v="2014-09-07T00:00:00"/>
    <n v="569.5"/>
  </r>
  <r>
    <s v="Dominika"/>
    <s v="Bodera"/>
    <s v="Radom"/>
    <x v="99"/>
    <d v="2014-09-07T00:00:00"/>
    <n v="550.5"/>
  </r>
  <r>
    <s v="Zofia"/>
    <s v="Budzianowska"/>
    <s v="Lublin"/>
    <x v="99"/>
    <d v="2014-09-05T00:00:00"/>
    <n v="439.7"/>
  </r>
  <r>
    <s v="Patrycja"/>
    <s v="Czarnoleska"/>
    <s v="Lublin"/>
    <x v="99"/>
    <d v="2014-09-04T00:00:00"/>
    <n v="290.7"/>
  </r>
  <r>
    <s v="Edwina"/>
    <s v="Elawa"/>
    <s v="Bydgoszcz"/>
    <x v="99"/>
    <d v="2014-09-08T00:00:00"/>
    <n v="1077.4000000000001"/>
  </r>
  <r>
    <s v="Kornel"/>
    <s v="Henrykowski"/>
    <s v="Radom"/>
    <x v="99"/>
    <d v="2014-09-06T00:00:00"/>
    <n v="426.5"/>
  </r>
  <r>
    <s v="Andrzej"/>
    <s v="Klajn"/>
    <s v="Mielec"/>
    <x v="99"/>
    <d v="2014-09-05T00:00:00"/>
    <n v="570"/>
  </r>
  <r>
    <s v="Justyna"/>
    <s v="Krynicka"/>
    <s v="Lublin"/>
    <x v="99"/>
    <d v="2014-09-04T00:00:00"/>
    <n v="290.7"/>
  </r>
  <r>
    <s v="Bogumi"/>
    <s v="Lubelski"/>
    <s v="Bydgoszcz"/>
    <x v="99"/>
    <d v="2014-09-05T00:00:00"/>
    <n v="654.4"/>
  </r>
  <r>
    <s v="Ewelia"/>
    <s v="Nyska"/>
    <s v="Kielce"/>
    <x v="99"/>
    <d v="2014-09-08T00:00:00"/>
    <n v="1019.7"/>
  </r>
  <r>
    <s v="Malwina"/>
    <s v="Papkin"/>
    <s v="Siedlce"/>
    <x v="99"/>
    <d v="2014-09-07T00:00:00"/>
    <n v="573.4"/>
  </r>
  <r>
    <s v="January"/>
    <s v="Pluta"/>
    <s v="Krakow"/>
    <x v="99"/>
    <d v="2014-09-07T00:00:00"/>
    <n v="1116.5"/>
  </r>
  <r>
    <s v="Ewelia"/>
    <s v="Prus"/>
    <s v="Siedlce"/>
    <x v="99"/>
    <d v="2014-09-06T00:00:00"/>
    <n v="434.4"/>
  </r>
  <r>
    <s v="Jan"/>
    <s v="Rzymski"/>
    <s v="Kutno"/>
    <x v="99"/>
    <d v="2014-09-05T00:00:00"/>
    <n v="407.8"/>
  </r>
  <r>
    <s v="Dorota"/>
    <s v="Sosnowiecka"/>
    <s v="Kielce"/>
    <x v="99"/>
    <d v="2014-09-07T00:00:00"/>
    <n v="841.7"/>
  </r>
  <r>
    <s v="Paulina"/>
    <s v="Watrach"/>
    <s v="Zgierz"/>
    <x v="99"/>
    <d v="2014-09-04T00:00:00"/>
    <n v="212.5"/>
  </r>
  <r>
    <s v="Piotr"/>
    <s v="Bojarun"/>
    <s v="Lublin"/>
    <x v="100"/>
    <d v="2014-09-07T00:00:00"/>
    <n v="588.70000000000005"/>
  </r>
  <r>
    <s v="Jerzy"/>
    <s v="Granica"/>
    <s v="Krakow"/>
    <x v="100"/>
    <d v="2014-09-05T00:00:00"/>
    <n v="501.5"/>
  </r>
  <r>
    <s v="Marek"/>
    <s v="Holski"/>
    <s v="Radom"/>
    <x v="100"/>
    <d v="2014-09-06T00:00:00"/>
    <n v="302.5"/>
  </r>
  <r>
    <s v="Anna"/>
    <s v="Kaliska"/>
    <s v="Mielec"/>
    <x v="100"/>
    <d v="2014-09-05T00:00:00"/>
    <n v="442"/>
  </r>
  <r>
    <s v="Zuzanna"/>
    <s v="Kowalska"/>
    <s v="Bydgoszcz"/>
    <x v="100"/>
    <d v="2014-09-08T00:00:00"/>
    <n v="936.4"/>
  </r>
  <r>
    <s v="Ewa"/>
    <s v="Kwiska"/>
    <s v="Bydgoszcz"/>
    <x v="100"/>
    <d v="2014-09-05T00:00:00"/>
    <n v="513.4"/>
  </r>
  <r>
    <s v="Michalina"/>
    <s v="Lamda"/>
    <s v="Siedlce"/>
    <x v="100"/>
    <d v="2014-09-06T00:00:00"/>
    <n v="295.39999999999998"/>
  </r>
  <r>
    <s v="Bogumi"/>
    <s v="Lubelski"/>
    <s v="Zgierz"/>
    <x v="100"/>
    <d v="2014-09-09T00:00:00"/>
    <n v="688.5"/>
  </r>
  <r>
    <s v="Zofia"/>
    <s v="Maselska"/>
    <s v="Krakow"/>
    <x v="100"/>
    <d v="2014-09-08T00:00:00"/>
    <n v="1116.5"/>
  </r>
  <r>
    <s v="Zofia"/>
    <s v="Seredycka"/>
    <s v="Radom"/>
    <x v="100"/>
    <d v="2014-09-07T00:00:00"/>
    <n v="426.5"/>
  </r>
  <r>
    <s v="Rozalia"/>
    <s v="Siedlecka"/>
    <s v="Mielec"/>
    <x v="100"/>
    <d v="2014-09-07T00:00:00"/>
    <n v="698"/>
  </r>
  <r>
    <s v="Anna"/>
    <s v="Sobecka"/>
    <s v="Zgierz"/>
    <x v="100"/>
    <d v="2014-09-06T00:00:00"/>
    <n v="331.5"/>
  </r>
  <r>
    <s v="Karol"/>
    <s v="Witkiewicz"/>
    <s v="Kutno"/>
    <x v="100"/>
    <d v="2014-09-07T00:00:00"/>
    <n v="536.79999999999995"/>
  </r>
  <r>
    <s v="Adam"/>
    <s v="Wradoch"/>
    <s v="Katowice"/>
    <x v="100"/>
    <d v="2014-09-06T00:00:00"/>
    <n v="693.7"/>
  </r>
  <r>
    <s v="Zofia"/>
    <s v="Budzianowska"/>
    <s v="Krakow"/>
    <x v="101"/>
    <d v="2014-09-07T00:00:00"/>
    <n v="501.5"/>
  </r>
  <r>
    <s v="Paulina"/>
    <s v="Basala"/>
    <s v="Bydgoszcz"/>
    <x v="102"/>
    <d v="2014-09-08T00:00:00"/>
    <n v="513.4"/>
  </r>
  <r>
    <s v="Patrycja"/>
    <s v="Czarnoleska"/>
    <s v="Mielec"/>
    <x v="102"/>
    <d v="2014-09-08T00:00:00"/>
    <n v="442"/>
  </r>
  <r>
    <s v="Justyna"/>
    <s v="Krynicka"/>
    <s v="Kutno"/>
    <x v="102"/>
    <d v="2014-09-08T00:00:00"/>
    <n v="278.8"/>
  </r>
  <r>
    <s v="Paulina"/>
    <s v="Watrach"/>
    <s v="Lublin"/>
    <x v="102"/>
    <d v="2014-09-08T00:00:00"/>
    <n v="290.7"/>
  </r>
  <r>
    <s v="Ewa"/>
    <s v="Fidyk"/>
    <s v="Kutno"/>
    <x v="103"/>
    <d v="2014-09-14T00:00:00"/>
    <n v="665.8"/>
  </r>
  <r>
    <s v="Anna"/>
    <s v="Kaliska"/>
    <s v="Malbork"/>
    <x v="103"/>
    <d v="2014-09-14T00:00:00"/>
    <n v="1313"/>
  </r>
  <r>
    <s v="Katarzyna"/>
    <s v="Piotrowska"/>
    <s v="Malbork"/>
    <x v="103"/>
    <d v="2014-09-12T00:00:00"/>
    <n v="891"/>
  </r>
  <r>
    <s v="Rozalia"/>
    <s v="Siedlecka"/>
    <s v="Olsztyn"/>
    <x v="103"/>
    <d v="2014-09-13T00:00:00"/>
    <n v="689.8"/>
  </r>
  <r>
    <s v="Dorota"/>
    <s v="Sosnowiecka"/>
    <s v="Olsztyn"/>
    <x v="103"/>
    <d v="2014-09-12T00:00:00"/>
    <n v="526.79999999999995"/>
  </r>
  <r>
    <s v="Amelia"/>
    <s v="Wojtecka"/>
    <s v="Siedlce"/>
    <x v="103"/>
    <d v="2014-09-14T00:00:00"/>
    <n v="573.4"/>
  </r>
  <r>
    <s v="Karolina"/>
    <s v="Arska"/>
    <s v="Kutno"/>
    <x v="104"/>
    <d v="2014-09-15T00:00:00"/>
    <n v="278.8"/>
  </r>
  <r>
    <s v="Paulina"/>
    <s v="Watrach"/>
    <s v="Krakow"/>
    <x v="104"/>
    <d v="2014-09-16T00:00:00"/>
    <n v="706.5"/>
  </r>
  <r>
    <s v="Patrycja"/>
    <s v="Andrycz"/>
    <s v="Lublin"/>
    <x v="105"/>
    <d v="2014-09-19T00:00:00"/>
    <n v="737.7"/>
  </r>
  <r>
    <s v="Patrycja"/>
    <s v="Andrycz"/>
    <s v="Mielec"/>
    <x v="105"/>
    <d v="2014-09-18T00:00:00"/>
    <n v="698"/>
  </r>
  <r>
    <s v="Sebastian"/>
    <s v="Argonski"/>
    <s v="Krakow"/>
    <x v="105"/>
    <d v="2014-09-17T00:00:00"/>
    <n v="706.5"/>
  </r>
  <r>
    <s v="Karolina"/>
    <s v="Bizuta"/>
    <s v="Kutno"/>
    <x v="105"/>
    <d v="2014-09-18T00:00:00"/>
    <n v="536.79999999999995"/>
  </r>
  <r>
    <s v="Dominika"/>
    <s v="Bodera"/>
    <s v="Siedlce"/>
    <x v="105"/>
    <d v="2014-09-20T00:00:00"/>
    <n v="712.4"/>
  </r>
  <r>
    <s v="Amelia"/>
    <s v="Calika"/>
    <s v="Bydgoszcz"/>
    <x v="105"/>
    <d v="2014-09-19T00:00:00"/>
    <n v="936.4"/>
  </r>
  <r>
    <s v="Amelia"/>
    <s v="Calika"/>
    <s v="Malbork"/>
    <x v="105"/>
    <d v="2014-09-20T00:00:00"/>
    <n v="1524"/>
  </r>
  <r>
    <s v="Patrycja"/>
    <s v="Czarnoleska"/>
    <s v="Bydgoszcz"/>
    <x v="105"/>
    <d v="2014-09-18T00:00:00"/>
    <n v="795.4"/>
  </r>
  <r>
    <s v="Olivia"/>
    <s v="Gabor"/>
    <s v="Krakow"/>
    <x v="105"/>
    <d v="2014-09-19T00:00:00"/>
    <n v="1116.5"/>
  </r>
  <r>
    <s v="Anna"/>
    <s v="Kaliska"/>
    <s v="Katowice"/>
    <x v="105"/>
    <d v="2014-09-17T00:00:00"/>
    <n v="693.7"/>
  </r>
  <r>
    <s v="Andrzej"/>
    <s v="Klajn"/>
    <s v="Katowice"/>
    <x v="105"/>
    <d v="2014-09-18T00:00:00"/>
    <n v="892.7"/>
  </r>
  <r>
    <s v="Andrzej"/>
    <s v="Kolarski"/>
    <s v="Krakow"/>
    <x v="105"/>
    <d v="2014-09-16T00:00:00"/>
    <n v="501.5"/>
  </r>
  <r>
    <s v="Zofia"/>
    <s v="Maselska"/>
    <s v="Mielec"/>
    <x v="105"/>
    <d v="2014-09-17T00:00:00"/>
    <n v="570"/>
  </r>
  <r>
    <s v="Jerzy"/>
    <s v="Misiek"/>
    <s v="Kutno"/>
    <x v="105"/>
    <d v="2014-09-19T00:00:00"/>
    <n v="665.8"/>
  </r>
  <r>
    <s v="Malwina"/>
    <s v="Papkin"/>
    <s v="Zgierz"/>
    <x v="105"/>
    <d v="2014-09-17T00:00:00"/>
    <n v="331.5"/>
  </r>
  <r>
    <s v="Karolina"/>
    <s v="Podkalicka"/>
    <s v="Zgierz"/>
    <x v="105"/>
    <d v="2014-09-19T00:00:00"/>
    <n v="569.5"/>
  </r>
  <r>
    <s v="Piotr"/>
    <s v="Roman"/>
    <s v="Lublin"/>
    <x v="105"/>
    <d v="2014-09-20T00:00:00"/>
    <n v="886.7"/>
  </r>
  <r>
    <s v="Jan"/>
    <s v="Rzymski"/>
    <s v="Malbork"/>
    <x v="105"/>
    <d v="2014-09-18T00:00:00"/>
    <n v="1102"/>
  </r>
  <r>
    <s v="Rozalia"/>
    <s v="Siedlecka"/>
    <s v="Katowice"/>
    <x v="105"/>
    <d v="2014-09-18T00:00:00"/>
    <n v="892.7"/>
  </r>
  <r>
    <s v="Karolina"/>
    <s v="Bizuta"/>
    <s v="Lublin"/>
    <x v="106"/>
    <d v="2014-09-20T00:00:00"/>
    <n v="737.7"/>
  </r>
  <r>
    <s v="Adam"/>
    <s v="Falski"/>
    <s v="Zgierz"/>
    <x v="106"/>
    <d v="2014-09-18T00:00:00"/>
    <n v="331.5"/>
  </r>
  <r>
    <s v="Ewa"/>
    <s v="Fidyk"/>
    <s v="Mielec"/>
    <x v="106"/>
    <d v="2014-09-18T00:00:00"/>
    <n v="570"/>
  </r>
  <r>
    <s v="Olivia"/>
    <s v="Gabor"/>
    <s v="Katowice"/>
    <x v="106"/>
    <d v="2014-09-20T00:00:00"/>
    <n v="1091.7"/>
  </r>
  <r>
    <s v="Kornel"/>
    <s v="Henrykowski"/>
    <s v="Kielce"/>
    <x v="106"/>
    <d v="2014-09-18T00:00:00"/>
    <n v="485.7"/>
  </r>
  <r>
    <s v="Ewa"/>
    <s v="Kwiska"/>
    <s v="Siedlce"/>
    <x v="106"/>
    <d v="2014-09-21T00:00:00"/>
    <n v="712.4"/>
  </r>
  <r>
    <s v="Michalina"/>
    <s v="Lamda"/>
    <s v="Mielec"/>
    <x v="106"/>
    <d v="2014-09-20T00:00:00"/>
    <n v="826"/>
  </r>
  <r>
    <s v="Wojciech"/>
    <s v="Mazowiecki"/>
    <s v="Krakow"/>
    <x v="106"/>
    <d v="2014-09-18T00:00:00"/>
    <n v="706.5"/>
  </r>
  <r>
    <s v="Teresa"/>
    <s v="Moskiewska"/>
    <s v="Radom"/>
    <x v="106"/>
    <d v="2014-09-20T00:00:00"/>
    <n v="550.5"/>
  </r>
  <r>
    <s v="Malwina"/>
    <s v="Papkin"/>
    <s v="Olsztyn"/>
    <x v="106"/>
    <d v="2014-09-18T00:00:00"/>
    <n v="526.79999999999995"/>
  </r>
  <r>
    <s v="Grzegorz"/>
    <s v="Podolski"/>
    <s v="Zgierz"/>
    <x v="106"/>
    <d v="2014-09-20T00:00:00"/>
    <n v="569.5"/>
  </r>
  <r>
    <s v="Ewelia"/>
    <s v="Prus"/>
    <s v="Olsztyn"/>
    <x v="106"/>
    <d v="2014-09-21T00:00:00"/>
    <n v="1015.8"/>
  </r>
  <r>
    <s v="Tomasz"/>
    <s v="Rzepka"/>
    <s v="Malbork"/>
    <x v="106"/>
    <d v="2014-09-19T00:00:00"/>
    <n v="1102"/>
  </r>
  <r>
    <s v="Marek"/>
    <s v="Trzeski"/>
    <s v="Mielec"/>
    <x v="106"/>
    <d v="2014-09-20T00:00:00"/>
    <n v="826"/>
  </r>
  <r>
    <s v="Kamil"/>
    <s v="Zabrzeski"/>
    <s v="Siedlce"/>
    <x v="106"/>
    <d v="2014-09-19T00:00:00"/>
    <n v="434.4"/>
  </r>
  <r>
    <s v="Andrzej"/>
    <s v="Kolarski"/>
    <s v="Siedlce"/>
    <x v="107"/>
    <d v="2014-09-20T00:00:00"/>
    <n v="434.4"/>
  </r>
  <r>
    <s v="Dorota"/>
    <s v="Morska"/>
    <s v="Malbork"/>
    <x v="108"/>
    <d v="2014-09-19T00:00:00"/>
    <n v="680"/>
  </r>
  <r>
    <s v="Kornel"/>
    <s v="Henrykowski"/>
    <s v="Krakow"/>
    <x v="109"/>
    <d v="2014-09-20T00:00:00"/>
    <n v="501.5"/>
  </r>
  <r>
    <s v="Piotr"/>
    <s v="Armowicz"/>
    <s v="Kutno"/>
    <x v="110"/>
    <d v="2014-09-22T00:00:00"/>
    <n v="278.8"/>
  </r>
  <r>
    <s v="Patrycja"/>
    <s v="Andrycz"/>
    <s v="Kalisz"/>
    <x v="111"/>
    <d v="2014-09-27T00:00:00"/>
    <n v="1078"/>
  </r>
  <r>
    <s v="Zofia"/>
    <s v="Budzianowska"/>
    <s v="Lublin"/>
    <x v="111"/>
    <d v="2014-09-27T00:00:00"/>
    <n v="886.7"/>
  </r>
  <r>
    <s v="Lidia"/>
    <s v="Opolska"/>
    <s v="Bydgoszcz"/>
    <x v="111"/>
    <d v="2014-09-23T00:00:00"/>
    <n v="513.4"/>
  </r>
  <r>
    <s v="Kazimiera"/>
    <s v="Parczewska"/>
    <s v="Krakow"/>
    <x v="111"/>
    <d v="2014-09-25T00:00:00"/>
    <n v="911.5"/>
  </r>
  <r>
    <s v="Justyna"/>
    <s v="Tracz"/>
    <s v="Bydgoszcz"/>
    <x v="111"/>
    <d v="2014-09-26T00:00:00"/>
    <n v="936.4"/>
  </r>
  <r>
    <s v="Kamil"/>
    <s v="Zabrzeski"/>
    <s v="Krakow"/>
    <x v="111"/>
    <d v="2014-09-23T00:00:00"/>
    <n v="501.5"/>
  </r>
  <r>
    <s v="Piotr"/>
    <s v="Roman"/>
    <s v="Malbork"/>
    <x v="112"/>
    <d v="2014-09-26T00:00:00"/>
    <n v="1102"/>
  </r>
  <r>
    <s v="Lidia"/>
    <s v="Opolska"/>
    <s v="Lublin"/>
    <x v="113"/>
    <d v="2014-09-26T00:00:00"/>
    <n v="290.7"/>
  </r>
  <r>
    <s v="Bonifacy"/>
    <s v="Barczewski"/>
    <s v="Radom"/>
    <x v="114"/>
    <d v="2014-09-28T00:00:00"/>
    <n v="178.5"/>
  </r>
  <r>
    <s v="Karolina"/>
    <s v="Bizuta"/>
    <s v="Malbork"/>
    <x v="114"/>
    <d v="2014-09-30T00:00:00"/>
    <n v="1102"/>
  </r>
  <r>
    <s v="Amelia"/>
    <s v="Calika"/>
    <s v="Lublin"/>
    <x v="114"/>
    <d v="2014-10-02T00:00:00"/>
    <n v="886.7"/>
  </r>
  <r>
    <s v="Wiktor"/>
    <s v="Czekan"/>
    <s v="Krakow"/>
    <x v="114"/>
    <d v="2014-10-02T00:00:00"/>
    <n v="1321.5"/>
  </r>
  <r>
    <s v="Kornel"/>
    <s v="Czerski"/>
    <s v="Malbork"/>
    <x v="114"/>
    <d v="2014-09-29T00:00:00"/>
    <n v="891"/>
  </r>
  <r>
    <s v="Edwina"/>
    <s v="Elawa"/>
    <s v="Zgierz"/>
    <x v="114"/>
    <d v="2014-09-29T00:00:00"/>
    <n v="331.5"/>
  </r>
  <r>
    <s v="Kornel"/>
    <s v="Henrykowski"/>
    <s v="Zgierz"/>
    <x v="114"/>
    <d v="2014-09-30T00:00:00"/>
    <n v="450.5"/>
  </r>
  <r>
    <s v="Zuzanna"/>
    <s v="Kowalska"/>
    <s v="Kutno"/>
    <x v="114"/>
    <d v="2014-09-29T00:00:00"/>
    <n v="407.8"/>
  </r>
  <r>
    <s v="Justyna"/>
    <s v="Tracz"/>
    <s v="Kielce"/>
    <x v="114"/>
    <d v="2014-10-01T00:00:00"/>
    <n v="841.7"/>
  </r>
  <r>
    <s v="Paulina"/>
    <s v="Watrach"/>
    <s v="Zgierz"/>
    <x v="114"/>
    <d v="2014-09-30T00:00:00"/>
    <n v="450.5"/>
  </r>
  <r>
    <s v="Patrycja"/>
    <s v="Andrycz"/>
    <s v="Lublin"/>
    <x v="115"/>
    <d v="2014-10-03T00:00:00"/>
    <n v="886.7"/>
  </r>
  <r>
    <s v="Piotr"/>
    <s v="Armowicz"/>
    <s v="Mielec"/>
    <x v="115"/>
    <d v="2014-10-01T00:00:00"/>
    <n v="698"/>
  </r>
  <r>
    <s v="Karolina"/>
    <s v="Arska"/>
    <s v="Bydgoszcz"/>
    <x v="115"/>
    <d v="2014-10-01T00:00:00"/>
    <n v="795.4"/>
  </r>
  <r>
    <s v="Patrycja"/>
    <s v="Czarnoleska"/>
    <s v="Siedlce"/>
    <x v="115"/>
    <d v="2014-10-03T00:00:00"/>
    <n v="712.4"/>
  </r>
  <r>
    <s v="Jerzy"/>
    <s v="Dusznicki"/>
    <s v="Kielce"/>
    <x v="115"/>
    <d v="2014-09-30T00:00:00"/>
    <n v="485.7"/>
  </r>
  <r>
    <s v="Amadeusz"/>
    <s v="Helski"/>
    <s v="Olsztyn"/>
    <x v="115"/>
    <d v="2014-10-01T00:00:00"/>
    <n v="689.8"/>
  </r>
  <r>
    <s v="Natalia"/>
    <s v="Idar"/>
    <s v="Kutno"/>
    <x v="115"/>
    <d v="2014-10-01T00:00:00"/>
    <n v="536.79999999999995"/>
  </r>
  <r>
    <s v="Kacper"/>
    <s v="Krajewski"/>
    <s v="Olsztyn"/>
    <x v="115"/>
    <d v="2014-10-01T00:00:00"/>
    <n v="689.8"/>
  </r>
  <r>
    <s v="Justyna"/>
    <s v="Laska"/>
    <s v="Kutno"/>
    <x v="115"/>
    <d v="2014-09-29T00:00:00"/>
    <n v="278.8"/>
  </r>
  <r>
    <s v="Adam"/>
    <s v="Markowski"/>
    <s v="Lublin"/>
    <x v="115"/>
    <d v="2014-09-30T00:00:00"/>
    <n v="439.7"/>
  </r>
  <r>
    <s v="Dorota"/>
    <s v="Morska"/>
    <s v="Krakow"/>
    <x v="115"/>
    <d v="2014-09-30T00:00:00"/>
    <n v="706.5"/>
  </r>
  <r>
    <s v="Marta"/>
    <s v="Nowowiejska"/>
    <s v="Lublin"/>
    <x v="115"/>
    <d v="2014-10-01T00:00:00"/>
    <n v="588.70000000000005"/>
  </r>
  <r>
    <s v="Daria"/>
    <s v="Paryska"/>
    <s v="Olsztyn"/>
    <x v="115"/>
    <d v="2014-10-03T00:00:00"/>
    <n v="1015.8"/>
  </r>
  <r>
    <s v="Zuzanna"/>
    <s v="Piotrkowska"/>
    <s v="Mielec"/>
    <x v="115"/>
    <d v="2014-10-01T00:00:00"/>
    <n v="698"/>
  </r>
  <r>
    <s v="Grzegorz"/>
    <s v="Podolski"/>
    <s v="Olsztyn"/>
    <x v="115"/>
    <d v="2014-10-02T00:00:00"/>
    <n v="852.8"/>
  </r>
  <r>
    <s v="Kamil"/>
    <s v="Pomorski"/>
    <s v="Zgierz"/>
    <x v="115"/>
    <d v="2014-10-02T00:00:00"/>
    <n v="569.5"/>
  </r>
  <r>
    <s v="Piotr"/>
    <s v="Rajczakowski"/>
    <s v="Mielec"/>
    <x v="115"/>
    <d v="2014-09-30T00:00:00"/>
    <n v="570"/>
  </r>
  <r>
    <s v="Jan"/>
    <s v="Rzymski"/>
    <s v="Kielce"/>
    <x v="115"/>
    <d v="2014-10-03T00:00:00"/>
    <n v="1019.7"/>
  </r>
  <r>
    <s v="Wiktor"/>
    <s v="Wroblewski"/>
    <s v="Kalisz"/>
    <x v="115"/>
    <d v="2014-09-29T00:00:00"/>
    <n v="442"/>
  </r>
  <r>
    <s v="Olivia"/>
    <s v="Gabor"/>
    <s v="Zgierz"/>
    <x v="116"/>
    <d v="2014-09-30T00:00:00"/>
    <n v="212.5"/>
  </r>
  <r>
    <s v="Kornel"/>
    <s v="Czerski"/>
    <s v="Mielec"/>
    <x v="117"/>
    <d v="2014-10-01T00:00:00"/>
    <n v="442"/>
  </r>
  <r>
    <s v="Edwina"/>
    <s v="Elawa"/>
    <s v="Kalisz"/>
    <x v="117"/>
    <d v="2014-10-01T00:00:00"/>
    <n v="442"/>
  </r>
  <r>
    <s v="Bogumi"/>
    <s v="Lubelski"/>
    <s v="Kielce"/>
    <x v="118"/>
    <d v="2014-10-02T00:00:00"/>
    <n v="307.7"/>
  </r>
  <r>
    <s v="Tomasz"/>
    <s v="Rzepka"/>
    <s v="Lublin"/>
    <x v="118"/>
    <d v="2014-10-03T00:00:00"/>
    <n v="439.7"/>
  </r>
  <r>
    <s v="Kornel"/>
    <s v="Henrykowski"/>
    <s v="Siedlce"/>
    <x v="119"/>
    <d v="2014-10-03T00:00:00"/>
    <n v="156.4"/>
  </r>
  <r>
    <s v="Justyna"/>
    <s v="Laska"/>
    <s v="Lublin"/>
    <x v="119"/>
    <d v="2014-10-03T00:00:00"/>
    <n v="290.7"/>
  </r>
  <r>
    <s v="Wiktor"/>
    <s v="Wroblewski"/>
    <s v="Lublin"/>
    <x v="119"/>
    <d v="2014-10-03T00:00:00"/>
    <n v="290.7"/>
  </r>
  <r>
    <s v="Malwina"/>
    <s v="Papkin"/>
    <s v="Zgierz"/>
    <x v="120"/>
    <d v="2014-10-06T00:00:00"/>
    <n v="331.5"/>
  </r>
  <r>
    <s v="Rozalia"/>
    <s v="Siedlecka"/>
    <s v="Malbork"/>
    <x v="120"/>
    <d v="2014-10-06T00:00:00"/>
    <n v="891"/>
  </r>
  <r>
    <s v="Anna"/>
    <s v="Sobecka"/>
    <s v="Kielce"/>
    <x v="120"/>
    <d v="2014-10-09T00:00:00"/>
    <n v="1019.7"/>
  </r>
  <r>
    <s v="Sebastian"/>
    <s v="Halik"/>
    <s v="Mielec"/>
    <x v="121"/>
    <d v="2014-10-06T00:00:00"/>
    <n v="442"/>
  </r>
  <r>
    <s v="Zyta"/>
    <s v="Mazurkiewicz"/>
    <s v="Kielce"/>
    <x v="121"/>
    <d v="2014-10-07T00:00:00"/>
    <n v="485.7"/>
  </r>
  <r>
    <s v="Ewelia"/>
    <s v="Nyska"/>
    <s v="Kalisz"/>
    <x v="121"/>
    <d v="2014-10-13T00:00:00"/>
    <n v="1555"/>
  </r>
  <r>
    <s v="Kazimiera"/>
    <s v="Parczewska"/>
    <s v="Kutno"/>
    <x v="121"/>
    <d v="2014-10-08T00:00:00"/>
    <n v="536.79999999999995"/>
  </r>
  <r>
    <s v="Amelia"/>
    <s v="Wojtecka"/>
    <s v="Bydgoszcz"/>
    <x v="121"/>
    <d v="2014-10-07T00:00:00"/>
    <n v="654.4"/>
  </r>
  <r>
    <s v="Kornel"/>
    <s v="Czerski"/>
    <s v="Katowice"/>
    <x v="122"/>
    <d v="2014-10-12T00:00:00"/>
    <n v="892.7"/>
  </r>
  <r>
    <s v="Edwina"/>
    <s v="Elawa"/>
    <s v="Lublin"/>
    <x v="122"/>
    <d v="2014-10-13T00:00:00"/>
    <n v="737.7"/>
  </r>
  <r>
    <s v="Olivia"/>
    <s v="Gabor"/>
    <s v="Mielec"/>
    <x v="122"/>
    <d v="2014-10-10T00:00:00"/>
    <n v="442"/>
  </r>
  <r>
    <s v="Natalia"/>
    <s v="Idar"/>
    <s v="Kalisz"/>
    <x v="122"/>
    <d v="2014-10-14T00:00:00"/>
    <n v="1078"/>
  </r>
  <r>
    <s v="Marcin"/>
    <s v="Jarskarski"/>
    <s v="Krakow"/>
    <x v="122"/>
    <d v="2014-10-10T00:00:00"/>
    <n v="501.5"/>
  </r>
  <r>
    <s v="Anna"/>
    <s v="Kaliska"/>
    <s v="Siedlce"/>
    <x v="122"/>
    <d v="2014-10-10T00:00:00"/>
    <n v="156.4"/>
  </r>
  <r>
    <s v="Andrzej"/>
    <s v="Klajn"/>
    <s v="Krakow"/>
    <x v="122"/>
    <d v="2014-10-10T00:00:00"/>
    <n v="501.5"/>
  </r>
  <r>
    <s v="Andrzej"/>
    <s v="Kolarski"/>
    <s v="Siedlce"/>
    <x v="122"/>
    <d v="2014-10-13T00:00:00"/>
    <n v="573.4"/>
  </r>
  <r>
    <s v="Wojciech"/>
    <s v="Magierowcz"/>
    <s v="Katowice"/>
    <x v="122"/>
    <d v="2014-10-14T00:00:00"/>
    <n v="1290.7"/>
  </r>
  <r>
    <s v="Zofia"/>
    <s v="Maselska"/>
    <s v="Krakow"/>
    <x v="122"/>
    <d v="2014-10-11T00:00:00"/>
    <n v="706.5"/>
  </r>
  <r>
    <s v="Paulina"/>
    <s v="Maskor"/>
    <s v="Mielec"/>
    <x v="122"/>
    <d v="2014-10-13T00:00:00"/>
    <n v="826"/>
  </r>
  <r>
    <s v="Dorota"/>
    <s v="Morska"/>
    <s v="Kalisz"/>
    <x v="122"/>
    <d v="2014-10-11T00:00:00"/>
    <n v="601"/>
  </r>
  <r>
    <s v="Piotr"/>
    <s v="Roman"/>
    <s v="Kutno"/>
    <x v="122"/>
    <d v="2014-10-14T00:00:00"/>
    <n v="794.8"/>
  </r>
  <r>
    <s v="Marek"/>
    <s v="Trzeski"/>
    <s v="Zgierz"/>
    <x v="122"/>
    <d v="2014-10-11T00:00:00"/>
    <n v="331.5"/>
  </r>
  <r>
    <s v="Paulina"/>
    <s v="Watrach"/>
    <s v="Krakow"/>
    <x v="122"/>
    <d v="2014-10-11T00:00:00"/>
    <n v="706.5"/>
  </r>
  <r>
    <s v="Andrzej"/>
    <s v="Barcz"/>
    <s v="Radom"/>
    <x v="123"/>
    <d v="2014-10-15T00:00:00"/>
    <n v="674.5"/>
  </r>
  <r>
    <s v="Zofia"/>
    <s v="Budzianowska"/>
    <s v="Olsztyn"/>
    <x v="123"/>
    <d v="2014-10-13T00:00:00"/>
    <n v="689.8"/>
  </r>
  <r>
    <s v="Wiktor"/>
    <s v="Czekan"/>
    <s v="Zgierz"/>
    <x v="123"/>
    <d v="2014-10-12T00:00:00"/>
    <n v="331.5"/>
  </r>
  <r>
    <s v="Justyna"/>
    <s v="Krynicka"/>
    <s v="Radom"/>
    <x v="123"/>
    <d v="2014-10-13T00:00:00"/>
    <n v="426.5"/>
  </r>
  <r>
    <s v="Ewa"/>
    <s v="Kwiska"/>
    <s v="Krakow"/>
    <x v="123"/>
    <d v="2014-10-14T00:00:00"/>
    <n v="1116.5"/>
  </r>
  <r>
    <s v="Rozalia"/>
    <s v="Siedlecka"/>
    <s v="Bydgoszcz"/>
    <x v="123"/>
    <d v="2014-10-15T00:00:00"/>
    <n v="1077.4000000000001"/>
  </r>
  <r>
    <s v="Piotr"/>
    <s v="Sworacz"/>
    <s v="Kalisz"/>
    <x v="123"/>
    <d v="2014-10-13T00:00:00"/>
    <n v="760"/>
  </r>
  <r>
    <s v="Justyna"/>
    <s v="Tracz"/>
    <s v="Lublin"/>
    <x v="123"/>
    <d v="2014-10-14T00:00:00"/>
    <n v="737.7"/>
  </r>
  <r>
    <s v="Justyna"/>
    <s v="Tracz"/>
    <s v="Mielec"/>
    <x v="123"/>
    <d v="2014-10-12T00:00:00"/>
    <n v="570"/>
  </r>
  <r>
    <s v="Paulina"/>
    <s v="Watrach"/>
    <s v="Kalisz"/>
    <x v="123"/>
    <d v="2014-10-14T00:00:00"/>
    <n v="919"/>
  </r>
  <r>
    <s v="Adam"/>
    <s v="Wradoch"/>
    <s v="Kalisz"/>
    <x v="123"/>
    <d v="2014-10-15T00:00:00"/>
    <n v="1078"/>
  </r>
  <r>
    <s v="Karolina"/>
    <s v="Bizuta"/>
    <s v="Kielce"/>
    <x v="124"/>
    <d v="2014-10-13T00:00:00"/>
    <n v="307.7"/>
  </r>
  <r>
    <s v="Marcin"/>
    <s v="Jarskarski"/>
    <s v="Bydgoszcz"/>
    <x v="124"/>
    <d v="2014-10-13T00:00:00"/>
    <n v="513.4"/>
  </r>
  <r>
    <s v="Andrzej"/>
    <s v="Klajn"/>
    <s v="Katowice"/>
    <x v="124"/>
    <d v="2014-10-13T00:00:00"/>
    <n v="494.7"/>
  </r>
  <r>
    <s v="Tomasz"/>
    <s v="Rzepka"/>
    <s v="Bydgoszcz"/>
    <x v="124"/>
    <d v="2014-10-13T00:00:00"/>
    <n v="513.4"/>
  </r>
  <r>
    <s v="Marek"/>
    <s v="Trzeski"/>
    <s v="Katowice"/>
    <x v="124"/>
    <d v="2014-10-13T00:00:00"/>
    <n v="494.7"/>
  </r>
  <r>
    <s v="Olivia"/>
    <s v="Gabor"/>
    <s v="Krakow"/>
    <x v="125"/>
    <d v="2014-10-14T00:00:00"/>
    <n v="501.5"/>
  </r>
  <r>
    <s v="Dorota"/>
    <s v="Morska"/>
    <s v="Siedlce"/>
    <x v="126"/>
    <d v="2014-10-15T00:00:00"/>
    <n v="156.4"/>
  </r>
  <r>
    <s v="Marek"/>
    <s v="Trzeski"/>
    <s v="Zgierz"/>
    <x v="126"/>
    <d v="2014-10-15T00:00:00"/>
    <n v="212.5"/>
  </r>
  <r>
    <s v="Tomasz"/>
    <s v="Rzepka"/>
    <s v="Lublin"/>
    <x v="127"/>
    <d v="2014-10-16T00:00:00"/>
    <n v="290.7"/>
  </r>
  <r>
    <s v="Patrycja"/>
    <s v="Czarnoleska"/>
    <s v="Lublin"/>
    <x v="128"/>
    <d v="2014-10-18T00:00:00"/>
    <n v="439.7"/>
  </r>
  <r>
    <s v="Andrzej"/>
    <s v="Klajn"/>
    <s v="Kalisz"/>
    <x v="128"/>
    <d v="2014-10-20T00:00:00"/>
    <n v="919"/>
  </r>
  <r>
    <s v="Justyna"/>
    <s v="Laska"/>
    <s v="Lublin"/>
    <x v="128"/>
    <d v="2014-10-20T00:00:00"/>
    <n v="737.7"/>
  </r>
  <r>
    <s v="Anna"/>
    <s v="Sobecka"/>
    <s v="Zgierz"/>
    <x v="128"/>
    <d v="2014-10-18T00:00:00"/>
    <n v="331.5"/>
  </r>
  <r>
    <s v="Dorota"/>
    <s v="Sosnowiecka"/>
    <s v="Malbork"/>
    <x v="128"/>
    <d v="2014-10-18T00:00:00"/>
    <n v="891"/>
  </r>
  <r>
    <s v="Justyna"/>
    <s v="Tracz"/>
    <s v="Kutno"/>
    <x v="128"/>
    <d v="2014-10-20T00:00:00"/>
    <n v="665.8"/>
  </r>
  <r>
    <s v="Dorota"/>
    <s v="Morska"/>
    <s v="Zgierz"/>
    <x v="129"/>
    <d v="2014-10-18T00:00:00"/>
    <n v="212.5"/>
  </r>
  <r>
    <s v="Dominika"/>
    <s v="Bodera"/>
    <s v="Kalisz"/>
    <x v="130"/>
    <d v="2014-10-25T00:00:00"/>
    <n v="919"/>
  </r>
  <r>
    <s v="Zofia"/>
    <s v="Budzianowska"/>
    <s v="Katowice"/>
    <x v="130"/>
    <d v="2014-10-23T00:00:00"/>
    <n v="693.7"/>
  </r>
  <r>
    <s v="Paulina"/>
    <s v="Chorzowska"/>
    <s v="Kielce"/>
    <x v="130"/>
    <d v="2014-10-22T00:00:00"/>
    <n v="307.7"/>
  </r>
  <r>
    <s v="Patrycja"/>
    <s v="Czarnoleska"/>
    <s v="Kielce"/>
    <x v="130"/>
    <d v="2014-10-23T00:00:00"/>
    <n v="485.7"/>
  </r>
  <r>
    <s v="Wiktor"/>
    <s v="Czekan"/>
    <s v="Lublin"/>
    <x v="130"/>
    <d v="2014-10-25T00:00:00"/>
    <n v="737.7"/>
  </r>
  <r>
    <s v="Adam"/>
    <s v="Falski"/>
    <s v="Malbork"/>
    <x v="130"/>
    <d v="2014-10-23T00:00:00"/>
    <n v="891"/>
  </r>
  <r>
    <s v="Olivia"/>
    <s v="Gabor"/>
    <s v="Olsztyn"/>
    <x v="130"/>
    <d v="2014-10-24T00:00:00"/>
    <n v="689.8"/>
  </r>
  <r>
    <s v="Kornel"/>
    <s v="Henrykowski"/>
    <s v="Katowice"/>
    <x v="130"/>
    <d v="2014-10-22T00:00:00"/>
    <n v="494.7"/>
  </r>
  <r>
    <s v="Natalia"/>
    <s v="Idar"/>
    <s v="Mielec"/>
    <x v="130"/>
    <d v="2014-10-22T00:00:00"/>
    <n v="442"/>
  </r>
  <r>
    <s v="Justyna"/>
    <s v="Kolska"/>
    <s v="Kalisz"/>
    <x v="130"/>
    <d v="2014-10-25T00:00:00"/>
    <n v="919"/>
  </r>
  <r>
    <s v="Wojciech"/>
    <s v="Krokus"/>
    <s v="Kalisz"/>
    <x v="130"/>
    <d v="2014-10-26T00:00:00"/>
    <n v="1078"/>
  </r>
  <r>
    <s v="Paulina"/>
    <s v="Maskor"/>
    <s v="Kutno"/>
    <x v="130"/>
    <d v="2014-10-22T00:00:00"/>
    <n v="278.8"/>
  </r>
  <r>
    <s v="Dorota"/>
    <s v="Morska"/>
    <s v="Kutno"/>
    <x v="130"/>
    <d v="2014-10-24T00:00:00"/>
    <n v="536.79999999999995"/>
  </r>
  <r>
    <s v="Maria"/>
    <s v="Ozimek"/>
    <s v="Zgierz"/>
    <x v="130"/>
    <d v="2014-10-25T00:00:00"/>
    <n v="569.5"/>
  </r>
  <r>
    <s v="Narcyz"/>
    <s v="Polanicki"/>
    <s v="Kalisz"/>
    <x v="130"/>
    <d v="2014-10-24T00:00:00"/>
    <n v="760"/>
  </r>
  <r>
    <s v="Jan"/>
    <s v="Suwski"/>
    <s v="Radom"/>
    <x v="130"/>
    <d v="2014-10-26T00:00:00"/>
    <n v="674.5"/>
  </r>
  <r>
    <s v="Justyna"/>
    <s v="Tracz"/>
    <s v="Kutno"/>
    <x v="130"/>
    <d v="2014-10-22T00:00:00"/>
    <n v="278.8"/>
  </r>
  <r>
    <s v="Amelia"/>
    <s v="Wojtecka"/>
    <s v="Zgierz"/>
    <x v="130"/>
    <d v="2014-10-23T00:00:00"/>
    <n v="331.5"/>
  </r>
  <r>
    <s v="Kamil"/>
    <s v="Zabrzeski"/>
    <s v="Olsztyn"/>
    <x v="130"/>
    <d v="2014-10-26T00:00:00"/>
    <n v="1015.8"/>
  </r>
  <r>
    <s v="Patrycja"/>
    <s v="Andrycz"/>
    <s v="Katowice"/>
    <x v="131"/>
    <d v="2014-10-25T00:00:00"/>
    <n v="892.7"/>
  </r>
  <r>
    <s v="Sebastian"/>
    <s v="Argonski"/>
    <s v="Kalisz"/>
    <x v="131"/>
    <d v="2014-10-26T00:00:00"/>
    <n v="919"/>
  </r>
  <r>
    <s v="Adam"/>
    <s v="Falski"/>
    <s v="Mielec"/>
    <x v="131"/>
    <d v="2014-10-24T00:00:00"/>
    <n v="570"/>
  </r>
  <r>
    <s v="Jerzy"/>
    <s v="Granica"/>
    <s v="Siedlce"/>
    <x v="131"/>
    <d v="2014-10-24T00:00:00"/>
    <n v="295.39999999999998"/>
  </r>
  <r>
    <s v="Sebastian"/>
    <s v="Halik"/>
    <s v="Malbork"/>
    <x v="131"/>
    <d v="2014-10-24T00:00:00"/>
    <n v="891"/>
  </r>
  <r>
    <s v="Marcin"/>
    <s v="Jarskarski"/>
    <s v="Mielec"/>
    <x v="131"/>
    <d v="2014-10-24T00:00:00"/>
    <n v="570"/>
  </r>
  <r>
    <s v="Anna"/>
    <s v="Kaliska"/>
    <s v="Lublin"/>
    <x v="131"/>
    <d v="2014-10-23T00:00:00"/>
    <n v="290.7"/>
  </r>
  <r>
    <s v="Wojciech"/>
    <s v="Krokus"/>
    <s v="Krakow"/>
    <x v="131"/>
    <d v="2014-10-24T00:00:00"/>
    <n v="706.5"/>
  </r>
  <r>
    <s v="Malwina"/>
    <s v="Papkin"/>
    <s v="Krakow"/>
    <x v="131"/>
    <d v="2014-10-25T00:00:00"/>
    <n v="911.5"/>
  </r>
  <r>
    <s v="Kazimiera"/>
    <s v="Parczewska"/>
    <s v="Kielce"/>
    <x v="131"/>
    <d v="2014-10-26T00:00:00"/>
    <n v="841.7"/>
  </r>
  <r>
    <s v="Gustaw"/>
    <s v="Poznanski"/>
    <s v="Malbork"/>
    <x v="131"/>
    <d v="2014-10-25T00:00:00"/>
    <n v="1102"/>
  </r>
  <r>
    <s v="Dorota"/>
    <s v="Sosnowiecka"/>
    <s v="Malbork"/>
    <x v="131"/>
    <d v="2014-10-23T00:00:00"/>
    <n v="680"/>
  </r>
  <r>
    <s v="Natalia"/>
    <s v="Idar"/>
    <s v="Kielce"/>
    <x v="132"/>
    <d v="2014-10-24T00:00:00"/>
    <n v="307.7"/>
  </r>
  <r>
    <s v="Justyna"/>
    <s v="Tracz"/>
    <s v="Lublin"/>
    <x v="132"/>
    <d v="2014-10-24T00:00:00"/>
    <n v="290.7"/>
  </r>
  <r>
    <s v="Kornel"/>
    <s v="Henrykowski"/>
    <s v="Kielce"/>
    <x v="133"/>
    <d v="2014-10-25T00:00:00"/>
    <n v="307.7"/>
  </r>
  <r>
    <s v="Paulina"/>
    <s v="Maskor"/>
    <s v="Kutno"/>
    <x v="133"/>
    <d v="2014-10-25T00:00:00"/>
    <n v="278.8"/>
  </r>
  <r>
    <s v="Dorota"/>
    <s v="Sosnowiecka"/>
    <s v="Mielec"/>
    <x v="133"/>
    <d v="2014-10-26T00:00:00"/>
    <n v="570"/>
  </r>
  <r>
    <s v="Sebastian"/>
    <s v="Halik"/>
    <s v="Bydgoszcz"/>
    <x v="134"/>
    <d v="2014-10-26T00:00:00"/>
    <n v="513.4"/>
  </r>
  <r>
    <s v="Natalia"/>
    <s v="Idar"/>
    <s v="Kielce"/>
    <x v="135"/>
    <d v="2014-10-27T00:00:00"/>
    <n v="307.7"/>
  </r>
  <r>
    <s v="Paulina"/>
    <s v="Basala"/>
    <s v="Radom"/>
    <x v="136"/>
    <d v="2014-10-30T00:00:00"/>
    <n v="426.5"/>
  </r>
  <r>
    <s v="Kornel"/>
    <s v="Czerski"/>
    <s v="Kutno"/>
    <x v="137"/>
    <d v="2014-10-30T00:00:00"/>
    <n v="407.8"/>
  </r>
  <r>
    <s v="Sebastian"/>
    <s v="Halik"/>
    <s v="Bydgoszcz"/>
    <x v="137"/>
    <d v="2014-10-29T00:00:00"/>
    <n v="513.4"/>
  </r>
  <r>
    <s v="Grzegorz"/>
    <s v="Podolski"/>
    <s v="Siedlce"/>
    <x v="137"/>
    <d v="2014-10-30T00:00:00"/>
    <n v="295.39999999999998"/>
  </r>
  <r>
    <s v="Tomasz"/>
    <s v="Rzepka"/>
    <s v="Lublin"/>
    <x v="137"/>
    <d v="2014-10-30T00:00:00"/>
    <n v="439.7"/>
  </r>
  <r>
    <s v="Jan"/>
    <s v="Rzymski"/>
    <s v="Lublin"/>
    <x v="137"/>
    <d v="2014-11-02T00:00:00"/>
    <n v="886.7"/>
  </r>
  <r>
    <s v="Dorota"/>
    <s v="Sosnowiecka"/>
    <s v="Mielec"/>
    <x v="137"/>
    <d v="2014-10-31T00:00:00"/>
    <n v="698"/>
  </r>
  <r>
    <s v="Kamil"/>
    <s v="Zabrzeski"/>
    <s v="Kielce"/>
    <x v="137"/>
    <d v="2014-10-29T00:00:00"/>
    <n v="307.7"/>
  </r>
  <r>
    <s v="Zofia"/>
    <s v="Budzianowska"/>
    <s v="Siedlce"/>
    <x v="138"/>
    <d v="2014-11-04T00:00:00"/>
    <n v="295.39999999999998"/>
  </r>
  <r>
    <s v="Paulina"/>
    <s v="Chorzowska"/>
    <s v="Krakow"/>
    <x v="138"/>
    <d v="2014-11-03T00:00:00"/>
    <n v="501.5"/>
  </r>
  <r>
    <s v="Wiktor"/>
    <s v="Czekan"/>
    <s v="Kutno"/>
    <x v="138"/>
    <d v="2014-11-06T00:00:00"/>
    <n v="665.8"/>
  </r>
  <r>
    <s v="Anna"/>
    <s v="Kaliska"/>
    <s v="Olsztyn"/>
    <x v="138"/>
    <d v="2014-11-07T00:00:00"/>
    <n v="1015.8"/>
  </r>
  <r>
    <s v="Justyna"/>
    <s v="Kolska"/>
    <s v="Lublin"/>
    <x v="138"/>
    <d v="2014-11-04T00:00:00"/>
    <n v="439.7"/>
  </r>
  <r>
    <s v="Justyna"/>
    <s v="Krynicka"/>
    <s v="Olsztyn"/>
    <x v="138"/>
    <d v="2014-11-03T00:00:00"/>
    <n v="363.8"/>
  </r>
  <r>
    <s v="Michalina"/>
    <s v="Lamda"/>
    <s v="Kalisz"/>
    <x v="138"/>
    <d v="2014-11-04T00:00:00"/>
    <n v="601"/>
  </r>
  <r>
    <s v="Bogumi"/>
    <s v="Lubelski"/>
    <s v="Kalisz"/>
    <x v="138"/>
    <d v="2014-11-04T00:00:00"/>
    <n v="601"/>
  </r>
  <r>
    <s v="Albert"/>
    <s v="Marakasz"/>
    <s v="Katowice"/>
    <x v="138"/>
    <d v="2014-11-03T00:00:00"/>
    <n v="494.7"/>
  </r>
  <r>
    <s v="Paulina"/>
    <s v="Maskor"/>
    <s v="Lublin"/>
    <x v="138"/>
    <d v="2014-11-07T00:00:00"/>
    <n v="886.7"/>
  </r>
  <r>
    <s v="Teresa"/>
    <s v="Moskiewska"/>
    <s v="Katowice"/>
    <x v="138"/>
    <d v="2014-11-03T00:00:00"/>
    <n v="494.7"/>
  </r>
  <r>
    <s v="Ewelia"/>
    <s v="Nyska"/>
    <s v="Kutno"/>
    <x v="138"/>
    <d v="2014-11-03T00:00:00"/>
    <n v="278.8"/>
  </r>
  <r>
    <s v="Maria"/>
    <s v="Ozimek"/>
    <s v="Mielec"/>
    <x v="138"/>
    <d v="2014-11-04T00:00:00"/>
    <n v="570"/>
  </r>
  <r>
    <s v="Daria"/>
    <s v="Paryska"/>
    <s v="Lublin"/>
    <x v="138"/>
    <d v="2014-11-04T00:00:00"/>
    <n v="439.7"/>
  </r>
  <r>
    <s v="Kamil"/>
    <s v="Pomorski"/>
    <s v="Zgierz"/>
    <x v="138"/>
    <d v="2014-11-04T00:00:00"/>
    <n v="331.5"/>
  </r>
  <r>
    <s v="Gustaw"/>
    <s v="Poznanski"/>
    <s v="Siedlce"/>
    <x v="138"/>
    <d v="2014-11-07T00:00:00"/>
    <n v="712.4"/>
  </r>
  <r>
    <s v="Tomasz"/>
    <s v="Rzepka"/>
    <s v="Siedlce"/>
    <x v="138"/>
    <d v="2014-11-04T00:00:00"/>
    <n v="295.39999999999998"/>
  </r>
  <r>
    <s v="Karol"/>
    <s v="Witkiewicz"/>
    <s v="Siedlce"/>
    <x v="138"/>
    <d v="2014-11-07T00:00:00"/>
    <n v="712.4"/>
  </r>
  <r>
    <s v="Ewelina"/>
    <s v="Adamska"/>
    <s v="Katowice"/>
    <x v="139"/>
    <d v="2014-11-06T00:00:00"/>
    <n v="892.7"/>
  </r>
  <r>
    <s v="Karolina"/>
    <s v="Arska"/>
    <s v="Radom"/>
    <x v="139"/>
    <d v="2014-11-06T00:00:00"/>
    <n v="426.5"/>
  </r>
  <r>
    <s v="Bonifacy"/>
    <s v="Barczewski"/>
    <s v="Malbork"/>
    <x v="139"/>
    <d v="2014-11-06T00:00:00"/>
    <n v="1102"/>
  </r>
  <r>
    <s v="Patrycja"/>
    <s v="Czarnoleska"/>
    <s v="Krakow"/>
    <x v="139"/>
    <d v="2014-11-06T00:00:00"/>
    <n v="911.5"/>
  </r>
  <r>
    <s v="Marzena"/>
    <s v="Gras"/>
    <s v="Olsztyn"/>
    <x v="139"/>
    <d v="2014-11-05T00:00:00"/>
    <n v="526.79999999999995"/>
  </r>
  <r>
    <s v="Andrzej"/>
    <s v="Klajn"/>
    <s v="Radom"/>
    <x v="139"/>
    <d v="2014-11-08T00:00:00"/>
    <n v="674.5"/>
  </r>
  <r>
    <s v="Wojciech"/>
    <s v="Krokus"/>
    <s v="Olsztyn"/>
    <x v="139"/>
    <d v="2014-11-07T00:00:00"/>
    <n v="852.8"/>
  </r>
  <r>
    <s v="Jerzy"/>
    <s v="Misiek"/>
    <s v="Katowice"/>
    <x v="139"/>
    <d v="2014-11-08T00:00:00"/>
    <n v="1290.7"/>
  </r>
  <r>
    <s v="Dorota"/>
    <s v="Morska"/>
    <s v="Krakow"/>
    <x v="139"/>
    <d v="2014-11-05T00:00:00"/>
    <n v="706.5"/>
  </r>
  <r>
    <s v="Irma"/>
    <s v="Opoczna"/>
    <s v="Krakow"/>
    <x v="139"/>
    <d v="2014-11-05T00:00:00"/>
    <n v="706.5"/>
  </r>
  <r>
    <s v="Zuzanna"/>
    <s v="Piotrkowska"/>
    <s v="Krakow"/>
    <x v="139"/>
    <d v="2014-11-04T00:00:00"/>
    <n v="501.5"/>
  </r>
  <r>
    <s v="Grzegorz"/>
    <s v="Podolski"/>
    <s v="Kielce"/>
    <x v="139"/>
    <d v="2014-11-05T00:00:00"/>
    <n v="485.7"/>
  </r>
  <r>
    <s v="Sebastian"/>
    <s v="Puchacz"/>
    <s v="Olsztyn"/>
    <x v="139"/>
    <d v="2014-11-05T00:00:00"/>
    <n v="526.79999999999995"/>
  </r>
  <r>
    <s v="Piotr"/>
    <s v="Sworacz"/>
    <s v="Kielce"/>
    <x v="139"/>
    <d v="2014-11-07T00:00:00"/>
    <n v="841.7"/>
  </r>
  <r>
    <s v="Daria"/>
    <s v="Paryska"/>
    <s v="Kalisz"/>
    <x v="140"/>
    <d v="2014-11-06T00:00:00"/>
    <n v="442"/>
  </r>
  <r>
    <s v="Zuzanna"/>
    <s v="Piotrkowska"/>
    <s v="Katowice"/>
    <x v="140"/>
    <d v="2014-11-08T00:00:00"/>
    <n v="892.7"/>
  </r>
  <r>
    <s v="Justyna"/>
    <s v="Krynicka"/>
    <s v="Zgierz"/>
    <x v="141"/>
    <d v="2014-11-08T00:00:00"/>
    <n v="331.5"/>
  </r>
  <r>
    <s v="Albert"/>
    <s v="Marakasz"/>
    <s v="Kielce"/>
    <x v="141"/>
    <d v="2014-11-07T00:00:00"/>
    <n v="307.7"/>
  </r>
  <r>
    <s v="Teresa"/>
    <s v="Moskiewska"/>
    <s v="Kutno"/>
    <x v="141"/>
    <d v="2014-11-07T00:00:00"/>
    <n v="278.8"/>
  </r>
  <r>
    <s v="Ewelia"/>
    <s v="Nyska"/>
    <s v="Mielec"/>
    <x v="141"/>
    <d v="2014-11-07T00:00:00"/>
    <n v="442"/>
  </r>
  <r>
    <s v="Tomasz"/>
    <s v="Rzepka"/>
    <s v="Kalisz"/>
    <x v="141"/>
    <d v="2014-11-07T00:00:00"/>
    <n v="442"/>
  </r>
  <r>
    <s v="Dominika"/>
    <s v="Bodera"/>
    <s v="Malbork"/>
    <x v="142"/>
    <d v="2014-11-13T00:00:00"/>
    <n v="1313"/>
  </r>
  <r>
    <s v="Zuzanna"/>
    <s v="Piotrkowska"/>
    <s v="Kutno"/>
    <x v="143"/>
    <d v="2014-11-14T00:00:00"/>
    <n v="407.8"/>
  </r>
  <r>
    <s v="Gustaw"/>
    <s v="Poznanski"/>
    <s v="Lublin"/>
    <x v="144"/>
    <d v="2014-11-14T00:00:00"/>
    <n v="290.7"/>
  </r>
  <r>
    <s v="Janina"/>
    <s v="Bolanowska"/>
    <s v="Malbork"/>
    <x v="145"/>
    <d v="2014-11-15T00:00:00"/>
    <n v="680"/>
  </r>
  <r>
    <s v="Edwina"/>
    <s v="Elawa"/>
    <s v="Malbork"/>
    <x v="145"/>
    <d v="2014-11-19T00:00:00"/>
    <n v="1524"/>
  </r>
  <r>
    <s v="Karolina"/>
    <s v="Janes"/>
    <s v="Radom"/>
    <x v="145"/>
    <d v="2014-11-15T00:00:00"/>
    <n v="178.5"/>
  </r>
  <r>
    <s v="Zuzanna"/>
    <s v="Kowalska"/>
    <s v="Mielec"/>
    <x v="145"/>
    <d v="2014-11-17T00:00:00"/>
    <n v="698"/>
  </r>
  <r>
    <s v="Justyna"/>
    <s v="Krynicka"/>
    <s v="Kalisz"/>
    <x v="145"/>
    <d v="2014-11-15T00:00:00"/>
    <n v="442"/>
  </r>
  <r>
    <s v="Wojciech"/>
    <s v="Magierowcz"/>
    <s v="Zgierz"/>
    <x v="145"/>
    <d v="2014-11-19T00:00:00"/>
    <n v="688.5"/>
  </r>
  <r>
    <s v="Piotr"/>
    <s v="Malski"/>
    <s v="Kielce"/>
    <x v="145"/>
    <d v="2014-11-18T00:00:00"/>
    <n v="841.7"/>
  </r>
  <r>
    <s v="Zofia"/>
    <s v="Maselska"/>
    <s v="Mielec"/>
    <x v="145"/>
    <d v="2014-11-15T00:00:00"/>
    <n v="442"/>
  </r>
  <r>
    <s v="Paulina"/>
    <s v="Maskor"/>
    <s v="Krakow"/>
    <x v="145"/>
    <d v="2014-11-18T00:00:00"/>
    <n v="1116.5"/>
  </r>
  <r>
    <s v="Kazimiera"/>
    <s v="Parczewska"/>
    <s v="Mielec"/>
    <x v="145"/>
    <d v="2014-11-15T00:00:00"/>
    <n v="442"/>
  </r>
  <r>
    <s v="Daria"/>
    <s v="Paryska"/>
    <s v="Olsztyn"/>
    <x v="145"/>
    <d v="2014-11-16T00:00:00"/>
    <n v="526.79999999999995"/>
  </r>
  <r>
    <s v="January"/>
    <s v="Pluta"/>
    <s v="Bydgoszcz"/>
    <x v="145"/>
    <d v="2014-11-18T00:00:00"/>
    <n v="936.4"/>
  </r>
  <r>
    <s v="Grzegorz"/>
    <s v="Podolski"/>
    <s v="Kutno"/>
    <x v="145"/>
    <d v="2014-11-16T00:00:00"/>
    <n v="407.8"/>
  </r>
  <r>
    <s v="Sebastian"/>
    <s v="Puchacz"/>
    <s v="Bydgoszcz"/>
    <x v="145"/>
    <d v="2014-11-19T00:00:00"/>
    <n v="1077.4000000000001"/>
  </r>
  <r>
    <s v="Piotr"/>
    <s v="Sworacz"/>
    <s v="Kutno"/>
    <x v="145"/>
    <d v="2014-11-16T00:00:00"/>
    <n v="407.8"/>
  </r>
  <r>
    <s v="Dominika"/>
    <s v="Bodera"/>
    <s v="Zgierz"/>
    <x v="146"/>
    <d v="2014-11-17T00:00:00"/>
    <n v="331.5"/>
  </r>
  <r>
    <s v="Wiktor"/>
    <s v="Budzis"/>
    <s v="Kutno"/>
    <x v="146"/>
    <d v="2014-11-17T00:00:00"/>
    <n v="407.8"/>
  </r>
  <r>
    <s v="Paulina"/>
    <s v="Chorzowska"/>
    <s v="Kielce"/>
    <x v="146"/>
    <d v="2014-11-17T00:00:00"/>
    <n v="485.7"/>
  </r>
  <r>
    <s v="Patrycja"/>
    <s v="Czarnoleska"/>
    <s v="Katowice"/>
    <x v="146"/>
    <d v="2014-11-20T00:00:00"/>
    <n v="1290.7"/>
  </r>
  <r>
    <s v="Justyna"/>
    <s v="Kolska"/>
    <s v="Zgierz"/>
    <x v="146"/>
    <d v="2014-11-18T00:00:00"/>
    <n v="450.5"/>
  </r>
  <r>
    <s v="Justyna"/>
    <s v="Laska"/>
    <s v="Krakow"/>
    <x v="146"/>
    <d v="2014-11-18T00:00:00"/>
    <n v="911.5"/>
  </r>
  <r>
    <s v="Irma"/>
    <s v="Opoczna"/>
    <s v="Kalisz"/>
    <x v="146"/>
    <d v="2014-11-19T00:00:00"/>
    <n v="919"/>
  </r>
  <r>
    <s v="Krystyna"/>
    <s v="Pleszewska"/>
    <s v="Bydgoszcz"/>
    <x v="146"/>
    <d v="2014-11-17T00:00:00"/>
    <n v="654.4"/>
  </r>
  <r>
    <s v="Justyna"/>
    <s v="Tracz"/>
    <s v="Olsztyn"/>
    <x v="146"/>
    <d v="2014-11-17T00:00:00"/>
    <n v="526.79999999999995"/>
  </r>
  <r>
    <s v="Anna"/>
    <s v="Kaliska"/>
    <s v="Kielce"/>
    <x v="147"/>
    <d v="2014-11-17T00:00:00"/>
    <n v="307.7"/>
  </r>
  <r>
    <s v="Albert"/>
    <s v="Marakasz"/>
    <s v="Kutno"/>
    <x v="147"/>
    <d v="2014-11-17T00:00:00"/>
    <n v="278.8"/>
  </r>
  <r>
    <s v="Tomasz"/>
    <s v="Rzepka"/>
    <s v="Malbork"/>
    <x v="147"/>
    <d v="2014-11-19T00:00:00"/>
    <n v="1102"/>
  </r>
  <r>
    <s v="Zofia"/>
    <s v="Seredycka"/>
    <s v="Siedlce"/>
    <x v="147"/>
    <d v="2014-11-19T00:00:00"/>
    <n v="434.4"/>
  </r>
  <r>
    <s v="Marek"/>
    <s v="Trzeski"/>
    <s v="Malbork"/>
    <x v="147"/>
    <d v="2014-11-17T00:00:00"/>
    <n v="680"/>
  </r>
  <r>
    <s v="Janina"/>
    <s v="Bolanowska"/>
    <s v="Mielec"/>
    <x v="148"/>
    <d v="2014-11-18T00:00:00"/>
    <n v="442"/>
  </r>
  <r>
    <s v="Marzena"/>
    <s v="Grab"/>
    <s v="Kielce"/>
    <x v="148"/>
    <d v="2014-11-18T00:00:00"/>
    <n v="307.7"/>
  </r>
  <r>
    <s v="Justyna"/>
    <s v="Krynicka"/>
    <s v="Mielec"/>
    <x v="148"/>
    <d v="2014-11-18T00:00:00"/>
    <n v="442"/>
  </r>
  <r>
    <s v="Kornel"/>
    <s v="Henrykowski"/>
    <s v="Katowice"/>
    <x v="149"/>
    <d v="2014-11-19T00:00:00"/>
    <n v="494.7"/>
  </r>
  <r>
    <s v="Marcin"/>
    <s v="Jarskarski"/>
    <s v="Siedlce"/>
    <x v="149"/>
    <d v="2014-11-19T00:00:00"/>
    <n v="156.4"/>
  </r>
  <r>
    <s v="Zuzanna"/>
    <s v="Kowalska"/>
    <s v="Mielec"/>
    <x v="149"/>
    <d v="2014-11-19T00:00:00"/>
    <n v="442"/>
  </r>
  <r>
    <s v="Albert"/>
    <s v="Marakasz"/>
    <s v="Krakow"/>
    <x v="149"/>
    <d v="2014-11-19T00:00:00"/>
    <n v="501.5"/>
  </r>
  <r>
    <s v="Amadeusz"/>
    <s v="Helski"/>
    <s v="Bydgoszcz"/>
    <x v="150"/>
    <d v="2014-11-21T00:00:00"/>
    <n v="654.4"/>
  </r>
  <r>
    <s v="Karolina"/>
    <s v="Janes"/>
    <s v="Kalisz"/>
    <x v="150"/>
    <d v="2014-11-20T00:00:00"/>
    <n v="442"/>
  </r>
  <r>
    <s v="Piotr"/>
    <s v="Sworacz"/>
    <s v="Zgierz"/>
    <x v="150"/>
    <d v="2014-11-20T00:00:00"/>
    <n v="212.5"/>
  </r>
  <r>
    <s v="Paulina"/>
    <s v="Basala"/>
    <s v="Mielec"/>
    <x v="151"/>
    <d v="2014-11-22T00:00:00"/>
    <n v="570"/>
  </r>
  <r>
    <s v="Wiktor"/>
    <s v="Budzis"/>
    <s v="Kutno"/>
    <x v="151"/>
    <d v="2014-11-22T00:00:00"/>
    <n v="407.8"/>
  </r>
  <r>
    <s v="Jerzy"/>
    <s v="Dusznicki"/>
    <s v="Zgierz"/>
    <x v="152"/>
    <d v="2014-11-26T00:00:00"/>
    <n v="688.5"/>
  </r>
  <r>
    <s v="Justyna"/>
    <s v="Laska"/>
    <s v="Siedlce"/>
    <x v="152"/>
    <d v="2014-11-22T00:00:00"/>
    <n v="156.4"/>
  </r>
  <r>
    <s v="Bogumi"/>
    <s v="Lubelski"/>
    <s v="Katowice"/>
    <x v="152"/>
    <d v="2014-11-23T00:00:00"/>
    <n v="693.7"/>
  </r>
  <r>
    <s v="Albert"/>
    <s v="Marakasz"/>
    <s v="Katowice"/>
    <x v="152"/>
    <d v="2014-11-22T00:00:00"/>
    <n v="494.7"/>
  </r>
  <r>
    <s v="Krystyna"/>
    <s v="Pleszewska"/>
    <s v="Krakow"/>
    <x v="152"/>
    <d v="2014-11-25T00:00:00"/>
    <n v="1116.5"/>
  </r>
  <r>
    <s v="Narcyz"/>
    <s v="Polanicki"/>
    <s v="Malbork"/>
    <x v="152"/>
    <d v="2014-11-23T00:00:00"/>
    <n v="891"/>
  </r>
  <r>
    <s v="Anna"/>
    <s v="Sobecka"/>
    <s v="Lublin"/>
    <x v="152"/>
    <d v="2014-11-25T00:00:00"/>
    <n v="737.7"/>
  </r>
  <r>
    <s v="Anna"/>
    <s v="Augustowska"/>
    <s v="Bydgoszcz"/>
    <x v="153"/>
    <d v="2014-11-23T00:00:00"/>
    <n v="513.4"/>
  </r>
  <r>
    <s v="Amadeusz"/>
    <s v="Helski"/>
    <s v="Malbork"/>
    <x v="154"/>
    <d v="2014-11-25T00:00:00"/>
    <n v="891"/>
  </r>
  <r>
    <s v="Malwina"/>
    <s v="Papkin"/>
    <s v="Radom"/>
    <x v="154"/>
    <d v="2014-11-24T00:00:00"/>
    <n v="178.5"/>
  </r>
  <r>
    <s v="Marzena"/>
    <s v="Grab"/>
    <s v="Malbork"/>
    <x v="155"/>
    <d v="2014-11-25T00:00:00"/>
    <n v="680"/>
  </r>
  <r>
    <s v="Albert"/>
    <s v="Marakasz"/>
    <s v="Radom"/>
    <x v="155"/>
    <d v="2014-11-25T00:00:00"/>
    <n v="178.5"/>
  </r>
  <r>
    <s v="Dorota"/>
    <s v="Sosnowiecka"/>
    <s v="Bydgoszcz"/>
    <x v="155"/>
    <d v="2014-11-25T00:00:00"/>
    <n v="513.4"/>
  </r>
  <r>
    <s v="Sebastian"/>
    <s v="Argonski"/>
    <s v="Siedlce"/>
    <x v="156"/>
    <d v="2014-11-30T00:00:00"/>
    <n v="573.4"/>
  </r>
  <r>
    <s v="Kornel"/>
    <s v="Henrykowski"/>
    <s v="Krakow"/>
    <x v="156"/>
    <d v="2014-11-27T00:00:00"/>
    <n v="501.5"/>
  </r>
  <r>
    <s v="Marek"/>
    <s v="Holski"/>
    <s v="Radom"/>
    <x v="156"/>
    <d v="2014-12-01T00:00:00"/>
    <n v="674.5"/>
  </r>
  <r>
    <s v="Jerzy"/>
    <s v="Jurajski"/>
    <s v="Kalisz"/>
    <x v="156"/>
    <d v="2014-12-01T00:00:00"/>
    <n v="1078"/>
  </r>
  <r>
    <s v="Andrzej"/>
    <s v="Klajn"/>
    <s v="Kalisz"/>
    <x v="156"/>
    <d v="2014-11-27T00:00:00"/>
    <n v="442"/>
  </r>
  <r>
    <s v="Zuzanna"/>
    <s v="Kowalska"/>
    <s v="Olsztyn"/>
    <x v="156"/>
    <d v="2014-11-28T00:00:00"/>
    <n v="526.79999999999995"/>
  </r>
  <r>
    <s v="Wojciech"/>
    <s v="Krokus"/>
    <s v="Kalisz"/>
    <x v="156"/>
    <d v="2014-11-27T00:00:00"/>
    <n v="442"/>
  </r>
  <r>
    <s v="Albert"/>
    <s v="Marakasz"/>
    <s v="Krakow"/>
    <x v="156"/>
    <d v="2014-11-30T00:00:00"/>
    <n v="1116.5"/>
  </r>
  <r>
    <s v="Paulina"/>
    <s v="Maskor"/>
    <s v="Katowice"/>
    <x v="156"/>
    <d v="2014-12-01T00:00:00"/>
    <n v="1290.7"/>
  </r>
  <r>
    <s v="Jerzy"/>
    <s v="Misiek"/>
    <s v="Katowice"/>
    <x v="156"/>
    <d v="2014-11-29T00:00:00"/>
    <n v="892.7"/>
  </r>
  <r>
    <s v="Teresa"/>
    <s v="Moskiewska"/>
    <s v="Olsztyn"/>
    <x v="156"/>
    <d v="2014-11-27T00:00:00"/>
    <n v="363.8"/>
  </r>
  <r>
    <s v="Maria"/>
    <s v="Ozimek"/>
    <s v="Lublin"/>
    <x v="156"/>
    <d v="2014-11-27T00:00:00"/>
    <n v="290.7"/>
  </r>
  <r>
    <s v="Katarzyna"/>
    <s v="Piotrowska"/>
    <s v="Olsztyn"/>
    <x v="156"/>
    <d v="2014-11-28T00:00:00"/>
    <n v="526.79999999999995"/>
  </r>
  <r>
    <s v="Zofia"/>
    <s v="Seredycka"/>
    <s v="Zgierz"/>
    <x v="156"/>
    <d v="2014-11-27T00:00:00"/>
    <n v="212.5"/>
  </r>
  <r>
    <s v="Anna"/>
    <s v="Sobecka"/>
    <s v="Kalisz"/>
    <x v="156"/>
    <d v="2014-11-28T00:00:00"/>
    <n v="601"/>
  </r>
  <r>
    <s v="Dorota"/>
    <s v="Sosnowiecka"/>
    <s v="Bydgoszcz"/>
    <x v="156"/>
    <d v="2014-11-27T00:00:00"/>
    <n v="513.4"/>
  </r>
  <r>
    <s v="Paulina"/>
    <s v="Watrach"/>
    <s v="Katowice"/>
    <x v="156"/>
    <d v="2014-11-28T00:00:00"/>
    <n v="693.7"/>
  </r>
  <r>
    <s v="Kamil"/>
    <s v="Zabrzeski"/>
    <s v="Radom"/>
    <x v="156"/>
    <d v="2014-11-29T00:00:00"/>
    <n v="426.5"/>
  </r>
  <r>
    <s v="Paulina"/>
    <s v="Chorzowska"/>
    <s v="Bydgoszcz"/>
    <x v="157"/>
    <d v="2014-12-01T00:00:00"/>
    <n v="936.4"/>
  </r>
  <r>
    <s v="Patrycja"/>
    <s v="Czarnoleska"/>
    <s v="Katowice"/>
    <x v="157"/>
    <d v="2014-11-30T00:00:00"/>
    <n v="892.7"/>
  </r>
  <r>
    <s v="Wiktor"/>
    <s v="Czekan"/>
    <s v="Malbork"/>
    <x v="157"/>
    <d v="2014-11-30T00:00:00"/>
    <n v="1102"/>
  </r>
  <r>
    <s v="Edwina"/>
    <s v="Elawa"/>
    <s v="Mielec"/>
    <x v="157"/>
    <d v="2014-11-30T00:00:00"/>
    <n v="698"/>
  </r>
  <r>
    <s v="Adam"/>
    <s v="Falski"/>
    <s v="Katowice"/>
    <x v="157"/>
    <d v="2014-11-29T00:00:00"/>
    <n v="693.7"/>
  </r>
  <r>
    <s v="Olivia"/>
    <s v="Gabor"/>
    <s v="Krakow"/>
    <x v="157"/>
    <d v="2014-11-28T00:00:00"/>
    <n v="501.5"/>
  </r>
  <r>
    <s v="Jerzy"/>
    <s v="Granica"/>
    <s v="Kielce"/>
    <x v="157"/>
    <d v="2014-11-28T00:00:00"/>
    <n v="307.7"/>
  </r>
  <r>
    <s v="Marzena"/>
    <s v="Gras"/>
    <s v="Kielce"/>
    <x v="157"/>
    <d v="2014-11-29T00:00:00"/>
    <n v="485.7"/>
  </r>
  <r>
    <s v="Marcin"/>
    <s v="Jarskarski"/>
    <s v="Kalisz"/>
    <x v="157"/>
    <d v="2014-12-02T00:00:00"/>
    <n v="1078"/>
  </r>
  <r>
    <s v="Anna"/>
    <s v="Kaliska"/>
    <s v="Olsztyn"/>
    <x v="157"/>
    <d v="2014-11-28T00:00:00"/>
    <n v="363.8"/>
  </r>
  <r>
    <s v="Kacper"/>
    <s v="Krajewski"/>
    <s v="Bydgoszcz"/>
    <x v="157"/>
    <d v="2014-11-28T00:00:00"/>
    <n v="513.4"/>
  </r>
  <r>
    <s v="Justyna"/>
    <s v="Krynicka"/>
    <s v="Kutno"/>
    <x v="157"/>
    <d v="2014-11-29T00:00:00"/>
    <n v="407.8"/>
  </r>
  <r>
    <s v="Ewa"/>
    <s v="Kwiska"/>
    <s v="Katowice"/>
    <x v="157"/>
    <d v="2014-12-01T00:00:00"/>
    <n v="1091.7"/>
  </r>
  <r>
    <s v="Zyta"/>
    <s v="Mazurkiewicz"/>
    <s v="Radom"/>
    <x v="157"/>
    <d v="2014-12-02T00:00:00"/>
    <n v="674.5"/>
  </r>
  <r>
    <s v="Irma"/>
    <s v="Opoczna"/>
    <s v="Malbork"/>
    <x v="157"/>
    <d v="2014-12-02T00:00:00"/>
    <n v="1524"/>
  </r>
  <r>
    <s v="Rozalia"/>
    <s v="Parad"/>
    <s v="Zgierz"/>
    <x v="157"/>
    <d v="2014-12-02T00:00:00"/>
    <n v="688.5"/>
  </r>
  <r>
    <s v="Krystyna"/>
    <s v="Pleszewska"/>
    <s v="Lublin"/>
    <x v="157"/>
    <d v="2014-11-29T00:00:00"/>
    <n v="439.7"/>
  </r>
  <r>
    <s v="Sebastian"/>
    <s v="Puchacz"/>
    <s v="Katowice"/>
    <x v="157"/>
    <d v="2014-11-29T00:00:00"/>
    <n v="693.7"/>
  </r>
  <r>
    <s v="Amelia"/>
    <s v="Wojtecka"/>
    <s v="Malbork"/>
    <x v="157"/>
    <d v="2014-12-01T00:00:00"/>
    <n v="1313"/>
  </r>
  <r>
    <s v="Adam"/>
    <s v="Wradoch"/>
    <s v="Malbork"/>
    <x v="157"/>
    <d v="2014-11-29T00:00:00"/>
    <n v="891"/>
  </r>
  <r>
    <s v="Natalia"/>
    <s v="Idar"/>
    <s v="Lublin"/>
    <x v="158"/>
    <d v="2014-11-30T00:00:00"/>
    <n v="439.7"/>
  </r>
  <r>
    <s v="Anna"/>
    <s v="Kaliska"/>
    <s v="Malbork"/>
    <x v="159"/>
    <d v="2014-12-01T00:00:00"/>
    <n v="680"/>
  </r>
  <r>
    <s v="Andrzej"/>
    <s v="Klajn"/>
    <s v="Kalisz"/>
    <x v="159"/>
    <d v="2014-12-01T00:00:00"/>
    <n v="442"/>
  </r>
  <r>
    <s v="Kacper"/>
    <s v="Krajewski"/>
    <s v="Radom"/>
    <x v="159"/>
    <d v="2014-12-02T00:00:00"/>
    <n v="302.5"/>
  </r>
  <r>
    <s v="Wojciech"/>
    <s v="Krokus"/>
    <s v="Bydgoszcz"/>
    <x v="159"/>
    <d v="2014-12-01T00:00:00"/>
    <n v="513.4"/>
  </r>
  <r>
    <s v="Teresa"/>
    <s v="Moskiewska"/>
    <s v="Kalisz"/>
    <x v="159"/>
    <d v="2014-12-01T00:00:00"/>
    <n v="442"/>
  </r>
  <r>
    <s v="Maria"/>
    <s v="Ozimek"/>
    <s v="Katowice"/>
    <x v="159"/>
    <d v="2014-12-01T00:00:00"/>
    <n v="494.7"/>
  </r>
  <r>
    <s v="Zofia"/>
    <s v="Seredycka"/>
    <s v="Bydgoszcz"/>
    <x v="159"/>
    <d v="2014-12-01T00:00:00"/>
    <n v="513.4"/>
  </r>
  <r>
    <s v="Wiktor"/>
    <s v="Budzis"/>
    <s v="Kalisz"/>
    <x v="160"/>
    <d v="2014-12-02T00:00:00"/>
    <n v="442"/>
  </r>
  <r>
    <s v="Patrycja"/>
    <s v="Czarnoleska"/>
    <s v="Zgierz"/>
    <x v="160"/>
    <d v="2014-12-03T00:00:00"/>
    <n v="331.5"/>
  </r>
  <r>
    <s v="Paulina"/>
    <s v="Dok"/>
    <s v="Olsztyn"/>
    <x v="160"/>
    <d v="2014-12-04T00:00:00"/>
    <n v="689.8"/>
  </r>
  <r>
    <s v="Olivia"/>
    <s v="Gabor"/>
    <s v="Kutno"/>
    <x v="160"/>
    <d v="2014-12-02T00:00:00"/>
    <n v="278.8"/>
  </r>
  <r>
    <s v="Krystyna"/>
    <s v="Pleszewska"/>
    <s v="Siedlce"/>
    <x v="160"/>
    <d v="2014-12-02T00:00:00"/>
    <n v="156.4"/>
  </r>
  <r>
    <s v="Anna"/>
    <s v="Sobecka"/>
    <s v="Lublin"/>
    <x v="160"/>
    <d v="2014-12-02T00:00:00"/>
    <n v="290.7"/>
  </r>
  <r>
    <s v="Natalia"/>
    <s v="Idar"/>
    <s v="Kutno"/>
    <x v="161"/>
    <d v="2014-12-03T00:00:00"/>
    <n v="278.8"/>
  </r>
  <r>
    <s v="Paulina"/>
    <s v="Chorzowska"/>
    <s v="Bydgoszcz"/>
    <x v="162"/>
    <d v="2014-12-04T00:00:00"/>
    <n v="513.4"/>
  </r>
  <r>
    <s v="Ewa"/>
    <s v="Fidyk"/>
    <s v="Lublin"/>
    <x v="162"/>
    <d v="2014-12-05T00:00:00"/>
    <n v="439.7"/>
  </r>
  <r>
    <s v="Janusz"/>
    <s v="Jurkicz"/>
    <s v="Radom"/>
    <x v="162"/>
    <d v="2014-12-05T00:00:00"/>
    <n v="302.5"/>
  </r>
  <r>
    <s v="Wojciech"/>
    <s v="Mazowiecki"/>
    <s v="Siedlce"/>
    <x v="162"/>
    <d v="2014-12-05T00:00:00"/>
    <n v="295.39999999999998"/>
  </r>
  <r>
    <s v="Katarzyna"/>
    <s v="Piotrowska"/>
    <s v="Lublin"/>
    <x v="162"/>
    <d v="2014-12-08T00:00:00"/>
    <n v="886.7"/>
  </r>
  <r>
    <s v="Kamil"/>
    <s v="Pomorski"/>
    <s v="Katowice"/>
    <x v="162"/>
    <d v="2014-12-08T00:00:00"/>
    <n v="1290.7"/>
  </r>
  <r>
    <s v="Piotr"/>
    <s v="Roman"/>
    <s v="Kutno"/>
    <x v="162"/>
    <d v="2014-12-06T00:00:00"/>
    <n v="536.79999999999995"/>
  </r>
  <r>
    <s v="Sebastian"/>
    <s v="Argonski"/>
    <s v="Lublin"/>
    <x v="163"/>
    <d v="2014-12-10T00:00:00"/>
    <n v="439.7"/>
  </r>
  <r>
    <s v="Andrzej"/>
    <s v="Barcz"/>
    <s v="Kutno"/>
    <x v="163"/>
    <d v="2014-12-09T00:00:00"/>
    <n v="278.8"/>
  </r>
  <r>
    <s v="Bonifacy"/>
    <s v="Barczewski"/>
    <s v="Lublin"/>
    <x v="163"/>
    <d v="2014-12-12T00:00:00"/>
    <n v="737.7"/>
  </r>
  <r>
    <s v="Karolina"/>
    <s v="Bizuta"/>
    <s v="Zgierz"/>
    <x v="163"/>
    <d v="2014-12-10T00:00:00"/>
    <n v="331.5"/>
  </r>
  <r>
    <s v="Dominika"/>
    <s v="Bodera"/>
    <s v="Kalisz"/>
    <x v="163"/>
    <d v="2014-12-09T00:00:00"/>
    <n v="442"/>
  </r>
  <r>
    <s v="Zofia"/>
    <s v="Budzianowska"/>
    <s v="Katowice"/>
    <x v="163"/>
    <d v="2014-12-09T00:00:00"/>
    <n v="494.7"/>
  </r>
  <r>
    <s v="Sebastian"/>
    <s v="Halik"/>
    <s v="Malbork"/>
    <x v="163"/>
    <d v="2014-12-11T00:00:00"/>
    <n v="1102"/>
  </r>
  <r>
    <s v="Amadeusz"/>
    <s v="Helski"/>
    <s v="Zgierz"/>
    <x v="163"/>
    <d v="2014-12-13T00:00:00"/>
    <n v="688.5"/>
  </r>
  <r>
    <s v="Natalia"/>
    <s v="Idar"/>
    <s v="Mielec"/>
    <x v="163"/>
    <d v="2014-12-10T00:00:00"/>
    <n v="570"/>
  </r>
  <r>
    <s v="Marcin"/>
    <s v="Jarskarski"/>
    <s v="Kalisz"/>
    <x v="163"/>
    <d v="2014-12-11T00:00:00"/>
    <n v="760"/>
  </r>
  <r>
    <s v="Andrzej"/>
    <s v="Klajn"/>
    <s v="Malbork"/>
    <x v="163"/>
    <d v="2014-12-10T00:00:00"/>
    <n v="891"/>
  </r>
  <r>
    <s v="Justyna"/>
    <s v="Kolska"/>
    <s v="Katowice"/>
    <x v="163"/>
    <d v="2014-12-11T00:00:00"/>
    <n v="892.7"/>
  </r>
  <r>
    <s v="Wojciech"/>
    <s v="Krokus"/>
    <s v="Siedlce"/>
    <x v="163"/>
    <d v="2014-12-12T00:00:00"/>
    <n v="573.4"/>
  </r>
  <r>
    <s v="Michalina"/>
    <s v="Lamda"/>
    <s v="Zgierz"/>
    <x v="163"/>
    <d v="2014-12-12T00:00:00"/>
    <n v="569.5"/>
  </r>
  <r>
    <s v="Adam"/>
    <s v="Markowski"/>
    <s v="Radom"/>
    <x v="163"/>
    <d v="2014-12-13T00:00:00"/>
    <n v="674.5"/>
  </r>
  <r>
    <s v="Kazimiera"/>
    <s v="Parczewska"/>
    <s v="Bydgoszcz"/>
    <x v="163"/>
    <d v="2014-12-10T00:00:00"/>
    <n v="654.4"/>
  </r>
  <r>
    <s v="Zuzanna"/>
    <s v="Piotrkowska"/>
    <s v="Malbork"/>
    <x v="163"/>
    <d v="2014-12-10T00:00:00"/>
    <n v="891"/>
  </r>
  <r>
    <s v="Grzegorz"/>
    <s v="Podolski"/>
    <s v="Kalisz"/>
    <x v="163"/>
    <d v="2014-12-11T00:00:00"/>
    <n v="760"/>
  </r>
  <r>
    <s v="Zofia"/>
    <s v="Seredycka"/>
    <s v="Kielce"/>
    <x v="163"/>
    <d v="2014-12-13T00:00:00"/>
    <n v="1019.7"/>
  </r>
  <r>
    <s v="Marek"/>
    <s v="Trzeski"/>
    <s v="Olsztyn"/>
    <x v="163"/>
    <d v="2014-12-10T00:00:00"/>
    <n v="526.79999999999995"/>
  </r>
  <r>
    <s v="Adam"/>
    <s v="Wradoch"/>
    <s v="Olsztyn"/>
    <x v="163"/>
    <d v="2014-12-10T00:00:00"/>
    <n v="526.79999999999995"/>
  </r>
  <r>
    <s v="Piotr"/>
    <s v="Armowicz"/>
    <s v="Krakow"/>
    <x v="164"/>
    <d v="2014-12-11T00:00:00"/>
    <n v="706.5"/>
  </r>
  <r>
    <s v="Karolina"/>
    <s v="Arska"/>
    <s v="Zgierz"/>
    <x v="164"/>
    <d v="2014-12-11T00:00:00"/>
    <n v="331.5"/>
  </r>
  <r>
    <s v="Janina"/>
    <s v="Bolanowska"/>
    <s v="Radom"/>
    <x v="164"/>
    <d v="2014-12-13T00:00:00"/>
    <n v="550.5"/>
  </r>
  <r>
    <s v="Kornel"/>
    <s v="Czerski"/>
    <s v="Krakow"/>
    <x v="164"/>
    <d v="2014-12-13T00:00:00"/>
    <n v="1116.5"/>
  </r>
  <r>
    <s v="Jerzy"/>
    <s v="Dusznicki"/>
    <s v="Lublin"/>
    <x v="164"/>
    <d v="2014-12-11T00:00:00"/>
    <n v="439.7"/>
  </r>
  <r>
    <s v="Marzena"/>
    <s v="Grab"/>
    <s v="Kalisz"/>
    <x v="164"/>
    <d v="2014-12-10T00:00:00"/>
    <n v="442"/>
  </r>
  <r>
    <s v="Marzena"/>
    <s v="Gras"/>
    <s v="Krakow"/>
    <x v="164"/>
    <d v="2014-12-12T00:00:00"/>
    <n v="911.5"/>
  </r>
  <r>
    <s v="Kornel"/>
    <s v="Henrykowski"/>
    <s v="Olsztyn"/>
    <x v="164"/>
    <d v="2014-12-14T00:00:00"/>
    <n v="1015.8"/>
  </r>
  <r>
    <s v="Marek"/>
    <s v="Holski"/>
    <s v="Zgierz"/>
    <x v="164"/>
    <d v="2014-12-11T00:00:00"/>
    <n v="331.5"/>
  </r>
  <r>
    <s v="Karolina"/>
    <s v="Janes"/>
    <s v="Mielec"/>
    <x v="164"/>
    <d v="2014-12-14T00:00:00"/>
    <n v="954"/>
  </r>
  <r>
    <s v="Justyna"/>
    <s v="Krynicka"/>
    <s v="Malbork"/>
    <x v="164"/>
    <d v="2014-12-12T00:00:00"/>
    <n v="1102"/>
  </r>
  <r>
    <s v="Zofia"/>
    <s v="Maselska"/>
    <s v="Kielce"/>
    <x v="164"/>
    <d v="2014-12-11T00:00:00"/>
    <n v="485.7"/>
  </r>
  <r>
    <s v="Paulina"/>
    <s v="Maskor"/>
    <s v="Kutno"/>
    <x v="164"/>
    <d v="2014-12-13T00:00:00"/>
    <n v="665.8"/>
  </r>
  <r>
    <s v="Zyta"/>
    <s v="Mazurkiewicz"/>
    <s v="Lublin"/>
    <x v="164"/>
    <d v="2014-12-12T00:00:00"/>
    <n v="588.70000000000005"/>
  </r>
  <r>
    <s v="Jerzy"/>
    <s v="Misiek"/>
    <s v="Katowice"/>
    <x v="164"/>
    <d v="2014-12-13T00:00:00"/>
    <n v="1091.7"/>
  </r>
  <r>
    <s v="Dorota"/>
    <s v="Morska"/>
    <s v="Olsztyn"/>
    <x v="164"/>
    <d v="2014-12-14T00:00:00"/>
    <n v="1015.8"/>
  </r>
  <r>
    <s v="Ewelia"/>
    <s v="Nyska"/>
    <s v="Bydgoszcz"/>
    <x v="164"/>
    <d v="2014-12-11T00:00:00"/>
    <n v="654.4"/>
  </r>
  <r>
    <s v="Daria"/>
    <s v="Paryska"/>
    <s v="Kutno"/>
    <x v="164"/>
    <d v="2014-12-11T00:00:00"/>
    <n v="407.8"/>
  </r>
  <r>
    <s v="Karolina"/>
    <s v="Podkalicka"/>
    <s v="Siedlce"/>
    <x v="164"/>
    <d v="2014-12-10T00:00:00"/>
    <n v="156.4"/>
  </r>
  <r>
    <s v="Kamil"/>
    <s v="Pomorski"/>
    <s v="Radom"/>
    <x v="164"/>
    <d v="2014-12-13T00:00:00"/>
    <n v="550.5"/>
  </r>
  <r>
    <s v="Piotr"/>
    <s v="Roman"/>
    <s v="Malbork"/>
    <x v="164"/>
    <d v="2014-12-14T00:00:00"/>
    <n v="1524"/>
  </r>
  <r>
    <s v="Kamil"/>
    <s v="Zabrzeski"/>
    <s v="Kutno"/>
    <x v="164"/>
    <d v="2014-12-11T00:00:00"/>
    <n v="407.8"/>
  </r>
  <r>
    <s v="Anna"/>
    <s v="Kaliska"/>
    <s v="Krakow"/>
    <x v="165"/>
    <d v="2014-12-12T00:00:00"/>
    <n v="706.5"/>
  </r>
  <r>
    <s v="Andrzej"/>
    <s v="Klajn"/>
    <s v="Lublin"/>
    <x v="165"/>
    <d v="2014-12-11T00:00:00"/>
    <n v="290.7"/>
  </r>
  <r>
    <s v="Andrzej"/>
    <s v="Barcz"/>
    <s v="Mielec"/>
    <x v="166"/>
    <d v="2014-12-12T00:00:00"/>
    <n v="442"/>
  </r>
  <r>
    <s v="Karolina"/>
    <s v="Bizuta"/>
    <s v="Kalisz"/>
    <x v="166"/>
    <d v="2014-12-12T00:00:00"/>
    <n v="442"/>
  </r>
  <r>
    <s v="Dominika"/>
    <s v="Bodera"/>
    <s v="Kutno"/>
    <x v="166"/>
    <d v="2014-12-12T00:00:00"/>
    <n v="278.8"/>
  </r>
  <r>
    <s v="Zofia"/>
    <s v="Budzianowska"/>
    <s v="Kutno"/>
    <x v="166"/>
    <d v="2014-12-12T00:00:00"/>
    <n v="278.8"/>
  </r>
  <r>
    <s v="Adam"/>
    <s v="Falski"/>
    <s v="Radom"/>
    <x v="166"/>
    <d v="2014-12-12T00:00:00"/>
    <n v="178.5"/>
  </r>
  <r>
    <s v="Malwina"/>
    <s v="Papkin"/>
    <s v="Siedlce"/>
    <x v="166"/>
    <d v="2014-12-15T00:00:00"/>
    <n v="573.4"/>
  </r>
  <r>
    <s v="Zuzanna"/>
    <s v="Piotrkowska"/>
    <s v="Kielce"/>
    <x v="166"/>
    <d v="2014-12-12T00:00:00"/>
    <n v="307.7"/>
  </r>
  <r>
    <s v="Tomasz"/>
    <s v="Rzepka"/>
    <s v="Kielce"/>
    <x v="166"/>
    <d v="2014-12-12T00:00:00"/>
    <n v="307.7"/>
  </r>
  <r>
    <s v="Jan"/>
    <s v="Suwski"/>
    <s v="Kielce"/>
    <x v="166"/>
    <d v="2014-12-16T00:00:00"/>
    <n v="1019.7"/>
  </r>
  <r>
    <s v="Andrzej"/>
    <s v="Klajn"/>
    <s v="Krakow"/>
    <x v="167"/>
    <d v="2014-12-13T00:00:00"/>
    <n v="501.5"/>
  </r>
  <r>
    <s v="Karolina"/>
    <s v="Podkalicka"/>
    <s v="Krakow"/>
    <x v="167"/>
    <d v="2014-12-13T00:00:00"/>
    <n v="501.5"/>
  </r>
  <r>
    <s v="Anna"/>
    <s v="Augustowska"/>
    <s v="Zgierz"/>
    <x v="168"/>
    <d v="2014-12-14T00:00:00"/>
    <n v="212.5"/>
  </r>
  <r>
    <s v="Sebastian"/>
    <s v="Halik"/>
    <s v="Krakow"/>
    <x v="168"/>
    <d v="2014-12-14T00:00:00"/>
    <n v="501.5"/>
  </r>
  <r>
    <s v="Natalia"/>
    <s v="Idar"/>
    <s v="Siedlce"/>
    <x v="169"/>
    <d v="2014-12-15T00:00:00"/>
    <n v="156.4"/>
  </r>
  <r>
    <s v="Adam"/>
    <s v="Markowski"/>
    <s v="Zgierz"/>
    <x v="169"/>
    <d v="2014-12-15T00:00:00"/>
    <n v="212.5"/>
  </r>
  <r>
    <s v="Wojciech"/>
    <s v="Mazowiecki"/>
    <s v="Siedlce"/>
    <x v="169"/>
    <d v="2014-12-15T00:00:00"/>
    <n v="156.4"/>
  </r>
  <r>
    <s v="Andrzej"/>
    <s v="Barcz"/>
    <s v="Malbork"/>
    <x v="170"/>
    <d v="2014-12-17T00:00:00"/>
    <n v="891"/>
  </r>
  <r>
    <s v="Patrycja"/>
    <s v="Czarnoleska"/>
    <s v="Olsztyn"/>
    <x v="170"/>
    <d v="2014-12-19T00:00:00"/>
    <n v="852.8"/>
  </r>
  <r>
    <s v="Olivia"/>
    <s v="Gabor"/>
    <s v="Krakow"/>
    <x v="170"/>
    <d v="2014-12-17T00:00:00"/>
    <n v="706.5"/>
  </r>
  <r>
    <s v="Kazimiera"/>
    <s v="Parczewska"/>
    <s v="Kalisz"/>
    <x v="170"/>
    <d v="2014-12-16T00:00:00"/>
    <n v="442"/>
  </r>
  <r>
    <s v="Katarzyna"/>
    <s v="Piotrowska"/>
    <s v="Kutno"/>
    <x v="170"/>
    <d v="2014-12-16T00:00:00"/>
    <n v="278.8"/>
  </r>
  <r>
    <s v="Piotr"/>
    <s v="Rajczakowski"/>
    <s v="Siedlce"/>
    <x v="170"/>
    <d v="2014-12-17T00:00:00"/>
    <n v="295.39999999999998"/>
  </r>
  <r>
    <s v="Anna"/>
    <s v="Augustowska"/>
    <s v="Olsztyn"/>
    <x v="171"/>
    <d v="2014-12-17T00:00:00"/>
    <n v="363.8"/>
  </r>
  <r>
    <s v="Paulina"/>
    <s v="Maskor"/>
    <s v="Krakow"/>
    <x v="171"/>
    <d v="2014-12-17T00:00:00"/>
    <n v="501.5"/>
  </r>
  <r>
    <s v="Karolina"/>
    <s v="Podkalicka"/>
    <s v="Bydgoszcz"/>
    <x v="171"/>
    <d v="2014-12-17T00:00:00"/>
    <n v="513.4"/>
  </r>
  <r>
    <s v="Jerzy"/>
    <s v="Dusznicki"/>
    <s v="Olsztyn"/>
    <x v="172"/>
    <d v="2014-12-18T00:00:00"/>
    <n v="363.8"/>
  </r>
  <r>
    <s v="Kacper"/>
    <s v="Krajewski"/>
    <s v="Olsztyn"/>
    <x v="172"/>
    <d v="2014-12-18T00:00:00"/>
    <n v="363.8"/>
  </r>
  <r>
    <s v="Zuzanna"/>
    <s v="Piotrkowska"/>
    <s v="Lublin"/>
    <x v="172"/>
    <d v="2014-12-18T00:00:00"/>
    <n v="290.7"/>
  </r>
  <r>
    <s v="Piotr"/>
    <s v="Roman"/>
    <s v="Zgierz"/>
    <x v="172"/>
    <d v="2014-12-19T00:00:00"/>
    <n v="331.5"/>
  </r>
  <r>
    <s v="Kamil"/>
    <s v="Zabrzeski"/>
    <s v="Katowice"/>
    <x v="172"/>
    <d v="2014-12-18T00:00:00"/>
    <n v="494.7"/>
  </r>
  <r>
    <s v="Jerzy"/>
    <s v="Misiek"/>
    <s v="Siedlce"/>
    <x v="173"/>
    <d v="2014-12-19T00:00:00"/>
    <n v="156.4"/>
  </r>
  <r>
    <s v="Teresa"/>
    <s v="Moskiewska"/>
    <s v="Katowice"/>
    <x v="173"/>
    <d v="2014-12-19T00:00:00"/>
    <n v="494.7"/>
  </r>
  <r>
    <s v="Karolina"/>
    <s v="Arska"/>
    <s v="Kielce"/>
    <x v="174"/>
    <d v="2014-12-20T00:00:00"/>
    <n v="307.7"/>
  </r>
  <r>
    <s v="Piotr"/>
    <s v="Rajczakowski"/>
    <s v="Malbork"/>
    <x v="174"/>
    <d v="2014-12-20T00:00:00"/>
    <n v="680"/>
  </r>
  <r>
    <s v="Dominika"/>
    <s v="Bodera"/>
    <s v="Mielec"/>
    <x v="175"/>
    <d v="2014-12-21T00:00:00"/>
    <n v="442"/>
  </r>
  <r>
    <s v="Piotr"/>
    <s v="Bojarun"/>
    <s v="Bydgoszcz"/>
    <x v="175"/>
    <d v="2014-12-21T00:00:00"/>
    <n v="513.4"/>
  </r>
  <r>
    <s v="Amelia"/>
    <s v="Calika"/>
    <s v="Malbork"/>
    <x v="175"/>
    <d v="2014-12-21T00:00:00"/>
    <n v="680"/>
  </r>
  <r>
    <s v="Patrycja"/>
    <s v="Czarnoleska"/>
    <s v="Krakow"/>
    <x v="175"/>
    <d v="2014-12-21T00:00:00"/>
    <n v="501.5"/>
  </r>
  <r>
    <s v="Olivia"/>
    <s v="Gabor"/>
    <s v="Lublin"/>
    <x v="175"/>
    <d v="2014-12-21T00:00:00"/>
    <n v="290.7"/>
  </r>
  <r>
    <s v="Karolina"/>
    <s v="Janes"/>
    <s v="Kalisz"/>
    <x v="175"/>
    <d v="2014-12-22T00:00:00"/>
    <n v="601"/>
  </r>
  <r>
    <s v="Bogumi"/>
    <s v="Lubelski"/>
    <s v="Mielec"/>
    <x v="175"/>
    <d v="2014-12-22T00:00:00"/>
    <n v="570"/>
  </r>
  <r>
    <s v="Paulina"/>
    <s v="Watrach"/>
    <s v="Zgierz"/>
    <x v="175"/>
    <d v="2014-12-22T00:00:00"/>
    <n v="331.5"/>
  </r>
  <r>
    <s v="Anna"/>
    <s v="Augustowska"/>
    <s v="Krakow"/>
    <x v="176"/>
    <d v="2014-12-22T00:00:00"/>
    <n v="501.5"/>
  </r>
  <r>
    <s v="Eustachy"/>
    <s v="Bydgoski"/>
    <s v="Olsztyn"/>
    <x v="176"/>
    <d v="2014-12-22T00:00:00"/>
    <n v="363.8"/>
  </r>
  <r>
    <s v="Marcin"/>
    <s v="Jarskarski"/>
    <s v="Kielce"/>
    <x v="176"/>
    <d v="2014-12-23T00:00:00"/>
    <n v="485.7"/>
  </r>
  <r>
    <s v="Janusz"/>
    <s v="Jurkicz"/>
    <s v="Lublin"/>
    <x v="176"/>
    <d v="2014-12-22T00:00:00"/>
    <n v="290.7"/>
  </r>
  <r>
    <s v="Anna"/>
    <s v="Kaliska"/>
    <s v="Siedlce"/>
    <x v="176"/>
    <d v="2014-12-23T00:00:00"/>
    <n v="295.39999999999998"/>
  </r>
  <r>
    <s v="Michalina"/>
    <s v="Lamda"/>
    <s v="Siedlce"/>
    <x v="176"/>
    <d v="2014-12-22T00:00:00"/>
    <n v="156.4"/>
  </r>
  <r>
    <s v="Albert"/>
    <s v="Marakasz"/>
    <s v="Krakow"/>
    <x v="176"/>
    <d v="2014-12-22T00:00:00"/>
    <n v="501.5"/>
  </r>
  <r>
    <s v="Zofia"/>
    <s v="Maselska"/>
    <s v="Zgierz"/>
    <x v="176"/>
    <d v="2014-12-22T00:00:00"/>
    <n v="212.5"/>
  </r>
  <r>
    <s v="Zuzanna"/>
    <s v="Piotrkowska"/>
    <s v="Krakow"/>
    <x v="176"/>
    <d v="2014-12-23T00:00:00"/>
    <n v="706.5"/>
  </r>
  <r>
    <s v="Zuzanna"/>
    <s v="Piotrkowska"/>
    <s v="Mielec"/>
    <x v="176"/>
    <d v="2014-12-22T00:00:00"/>
    <n v="442"/>
  </r>
  <r>
    <s v="Katarzyna"/>
    <s v="Piotrowska"/>
    <s v="Zgierz"/>
    <x v="176"/>
    <d v="2014-12-23T00:00:00"/>
    <n v="331.5"/>
  </r>
  <r>
    <s v="Zofia"/>
    <s v="Seredycka"/>
    <s v="Kutno"/>
    <x v="176"/>
    <d v="2014-12-22T00:00:00"/>
    <n v="278.8"/>
  </r>
  <r>
    <s v="Dorota"/>
    <s v="Sosnowiecka"/>
    <s v="Bydgoszcz"/>
    <x v="176"/>
    <d v="2014-12-23T00:00:00"/>
    <n v="654.4"/>
  </r>
  <r>
    <s v="Wiktor"/>
    <s v="Wroblewski"/>
    <s v="Radom"/>
    <x v="176"/>
    <d v="2014-12-22T00:00:00"/>
    <n v="178.5"/>
  </r>
  <r>
    <s v="Wiktor"/>
    <s v="Budzis"/>
    <s v="Siedlce"/>
    <x v="177"/>
    <d v="2014-12-29T00:00:00"/>
    <n v="295.39999999999998"/>
  </r>
  <r>
    <s v="Justyna"/>
    <s v="Laska"/>
    <s v="Lublin"/>
    <x v="177"/>
    <d v="2014-12-30T00:00:00"/>
    <n v="588.70000000000005"/>
  </r>
  <r>
    <s v="Marzena"/>
    <s v="Grab"/>
    <s v="Kalisz"/>
    <x v="178"/>
    <d v="2014-12-30T00:00:00"/>
    <n v="601"/>
  </r>
  <r>
    <s v="Karolina"/>
    <s v="Janes"/>
    <s v="Katowice"/>
    <x v="178"/>
    <d v="2014-12-29T00:00:00"/>
    <n v="494.7"/>
  </r>
  <r>
    <s v="Anna"/>
    <s v="Kaliska"/>
    <s v="Bydgoszcz"/>
    <x v="178"/>
    <d v="2014-12-29T00:00:00"/>
    <n v="513.4"/>
  </r>
  <r>
    <s v="Zuzanna"/>
    <s v="Piotrkowska"/>
    <s v="Katowice"/>
    <x v="178"/>
    <d v="2014-12-29T00:00:00"/>
    <n v="494.7"/>
  </r>
  <r>
    <s v="Piotr"/>
    <s v="Roman"/>
    <s v="Kalisz"/>
    <x v="178"/>
    <d v="2014-12-29T00:00:00"/>
    <n v="442"/>
  </r>
  <r>
    <s v="Adam"/>
    <s v="Wradoch"/>
    <s v="Zgierz"/>
    <x v="178"/>
    <d v="2014-12-30T00:00:00"/>
    <n v="331.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Karolina"/>
    <s v="Arska"/>
    <x v="0"/>
    <d v="2014-01-02T00:00:00"/>
    <d v="2014-01-03T00:00:00"/>
    <n v="891"/>
    <n v="2"/>
    <n v="54"/>
    <n v="945"/>
  </r>
  <r>
    <s v="Justyna"/>
    <s v="Kolska"/>
    <x v="1"/>
    <d v="2014-01-02T00:00:00"/>
    <d v="2014-01-03T00:00:00"/>
    <n v="295.39999999999998"/>
    <n v="2"/>
    <n v="54"/>
    <n v="349.4"/>
  </r>
  <r>
    <s v="Dorota"/>
    <s v="Morska"/>
    <x v="2"/>
    <d v="2014-01-02T00:00:00"/>
    <d v="2014-01-03T00:00:00"/>
    <n v="302.5"/>
    <n v="2"/>
    <n v="54"/>
    <n v="356.5"/>
  </r>
  <r>
    <s v="Piotr"/>
    <s v="Roman"/>
    <x v="3"/>
    <d v="2014-01-02T00:00:00"/>
    <d v="2014-01-02T00:00:00"/>
    <n v="501.5"/>
    <n v="1"/>
    <n v="30"/>
    <n v="531.5"/>
  </r>
  <r>
    <s v="Justyna"/>
    <s v="Tracz"/>
    <x v="4"/>
    <d v="2014-01-02T00:00:00"/>
    <d v="2014-01-03T00:00:00"/>
    <n v="654.4"/>
    <n v="2"/>
    <n v="54"/>
    <n v="708.4"/>
  </r>
  <r>
    <s v="Kamil"/>
    <s v="Zabrzeski"/>
    <x v="0"/>
    <d v="2014-01-02T00:00:00"/>
    <d v="2014-01-03T00:00:00"/>
    <n v="891"/>
    <n v="2"/>
    <n v="54"/>
    <n v="945"/>
  </r>
  <r>
    <s v="Patrycja"/>
    <s v="Andrycz"/>
    <x v="5"/>
    <d v="2014-01-03T00:00:00"/>
    <d v="2014-01-04T00:00:00"/>
    <n v="439.7"/>
    <n v="2"/>
    <n v="54"/>
    <n v="493.7"/>
  </r>
  <r>
    <s v="Jerzy"/>
    <s v="Granica"/>
    <x v="6"/>
    <d v="2014-01-03T00:00:00"/>
    <d v="2014-01-06T00:00:00"/>
    <n v="826"/>
    <n v="4"/>
    <n v="102"/>
    <n v="928"/>
  </r>
  <r>
    <s v="Marzena"/>
    <s v="Gras"/>
    <x v="7"/>
    <d v="2014-01-03T00:00:00"/>
    <d v="2014-01-04T00:00:00"/>
    <n v="331.5"/>
    <n v="2"/>
    <n v="54"/>
    <n v="385.5"/>
  </r>
  <r>
    <s v="Sebastian"/>
    <s v="Halik"/>
    <x v="5"/>
    <d v="2014-01-03T00:00:00"/>
    <d v="2014-01-04T00:00:00"/>
    <n v="439.7"/>
    <n v="2"/>
    <n v="54"/>
    <n v="493.7"/>
  </r>
  <r>
    <s v="Andrzej"/>
    <s v="Klajn"/>
    <x v="7"/>
    <d v="2014-01-03T00:00:00"/>
    <d v="2014-01-05T00:00:00"/>
    <n v="450.5"/>
    <n v="3"/>
    <n v="78"/>
    <n v="528.5"/>
  </r>
  <r>
    <s v="Jerzy"/>
    <s v="Misiek"/>
    <x v="2"/>
    <d v="2014-01-03T00:00:00"/>
    <d v="2014-01-03T00:00:00"/>
    <n v="178.5"/>
    <n v="1"/>
    <n v="30"/>
    <n v="208.5"/>
  </r>
  <r>
    <s v="January"/>
    <s v="Pluta"/>
    <x v="8"/>
    <d v="2014-01-03T00:00:00"/>
    <d v="2014-01-04T00:00:00"/>
    <n v="407.8"/>
    <n v="2"/>
    <n v="54"/>
    <n v="461.8"/>
  </r>
  <r>
    <s v="Gustaw"/>
    <s v="Poznanski"/>
    <x v="6"/>
    <d v="2014-01-03T00:00:00"/>
    <d v="2014-01-03T00:00:00"/>
    <n v="442"/>
    <n v="1"/>
    <n v="30"/>
    <n v="472"/>
  </r>
  <r>
    <s v="Karolina"/>
    <s v="Arska"/>
    <x v="5"/>
    <d v="2014-01-04T00:00:00"/>
    <d v="2014-01-05T00:00:00"/>
    <n v="439.7"/>
    <n v="2"/>
    <n v="54"/>
    <n v="493.7"/>
  </r>
  <r>
    <s v="Andrzej"/>
    <s v="Kolarski"/>
    <x v="7"/>
    <d v="2014-01-04T00:00:00"/>
    <d v="2014-01-05T00:00:00"/>
    <n v="331.5"/>
    <n v="2"/>
    <n v="54"/>
    <n v="385.5"/>
  </r>
  <r>
    <s v="Marta"/>
    <s v="Nowowiejska"/>
    <x v="4"/>
    <d v="2014-01-04T00:00:00"/>
    <d v="2014-01-04T00:00:00"/>
    <n v="513.4"/>
    <n v="1"/>
    <n v="30"/>
    <n v="543.4"/>
  </r>
  <r>
    <s v="Piotr"/>
    <s v="Armowicz"/>
    <x v="3"/>
    <d v="2014-01-05T00:00:00"/>
    <d v="2014-01-05T00:00:00"/>
    <n v="501.5"/>
    <n v="1"/>
    <n v="30"/>
    <n v="531.5"/>
  </r>
  <r>
    <s v="Karolina"/>
    <s v="Podkalicka"/>
    <x v="6"/>
    <d v="2014-01-05T00:00:00"/>
    <d v="2014-01-05T00:00:00"/>
    <n v="442"/>
    <n v="1"/>
    <n v="30"/>
    <n v="472"/>
  </r>
  <r>
    <s v="Piotr"/>
    <s v="Bojarun"/>
    <x v="9"/>
    <d v="2014-01-06T00:00:00"/>
    <d v="2014-01-06T00:00:00"/>
    <n v="363.8"/>
    <n v="1"/>
    <n v="30"/>
    <n v="393.8"/>
  </r>
  <r>
    <s v="Bonifacy"/>
    <s v="Barczewski"/>
    <x v="1"/>
    <d v="2014-01-07T00:00:00"/>
    <d v="2014-01-07T00:00:00"/>
    <n v="156.4"/>
    <n v="1"/>
    <n v="30"/>
    <n v="186.4"/>
  </r>
  <r>
    <s v="Olivia"/>
    <s v="Gabor"/>
    <x v="8"/>
    <d v="2014-01-07T00:00:00"/>
    <d v="2014-01-07T00:00:00"/>
    <n v="278.8"/>
    <n v="1"/>
    <n v="30"/>
    <n v="308.8"/>
  </r>
  <r>
    <s v="Andrzej"/>
    <s v="Kolarski"/>
    <x v="2"/>
    <d v="2014-01-07T00:00:00"/>
    <d v="2014-01-07T00:00:00"/>
    <n v="178.5"/>
    <n v="1"/>
    <n v="30"/>
    <n v="208.5"/>
  </r>
  <r>
    <s v="Jerzy"/>
    <s v="Misiek"/>
    <x v="7"/>
    <d v="2014-01-07T00:00:00"/>
    <d v="2014-01-07T00:00:00"/>
    <n v="212.5"/>
    <n v="1"/>
    <n v="30"/>
    <n v="242.5"/>
  </r>
  <r>
    <s v="Lidia"/>
    <s v="Opolska"/>
    <x v="5"/>
    <d v="2014-01-07T00:00:00"/>
    <d v="2014-01-07T00:00:00"/>
    <n v="290.7"/>
    <n v="1"/>
    <n v="30"/>
    <n v="320.7"/>
  </r>
  <r>
    <s v="Paulina"/>
    <s v="Basala"/>
    <x v="4"/>
    <d v="2014-01-08T00:00:00"/>
    <d v="2014-01-08T00:00:00"/>
    <n v="513.4"/>
    <n v="1"/>
    <n v="30"/>
    <n v="543.4"/>
  </r>
  <r>
    <s v="Karolina"/>
    <s v="Janes"/>
    <x v="4"/>
    <d v="2014-01-08T00:00:00"/>
    <d v="2014-01-08T00:00:00"/>
    <n v="513.4"/>
    <n v="1"/>
    <n v="30"/>
    <n v="543.4"/>
  </r>
  <r>
    <s v="Amelia"/>
    <s v="Wojtecka"/>
    <x v="10"/>
    <d v="2014-01-08T00:00:00"/>
    <d v="2014-01-08T00:00:00"/>
    <n v="442"/>
    <n v="1"/>
    <n v="30"/>
    <n v="472"/>
  </r>
  <r>
    <s v="Marzena"/>
    <s v="Grab"/>
    <x v="1"/>
    <d v="2014-01-09T00:00:00"/>
    <d v="2014-01-13T00:00:00"/>
    <n v="712.4"/>
    <n v="5"/>
    <n v="126"/>
    <n v="838.4"/>
  </r>
  <r>
    <s v="Amadeusz"/>
    <s v="Helski"/>
    <x v="3"/>
    <d v="2014-01-09T00:00:00"/>
    <d v="2014-01-12T00:00:00"/>
    <n v="1116.5"/>
    <n v="4"/>
    <n v="102"/>
    <n v="1218.5"/>
  </r>
  <r>
    <s v="Piotr"/>
    <s v="Rajczakowski"/>
    <x v="1"/>
    <d v="2014-01-09T00:00:00"/>
    <d v="2014-01-10T00:00:00"/>
    <n v="295.39999999999998"/>
    <n v="2"/>
    <n v="54"/>
    <n v="349.4"/>
  </r>
  <r>
    <s v="Karol"/>
    <s v="Witkiewicz"/>
    <x v="11"/>
    <d v="2014-01-09T00:00:00"/>
    <d v="2014-01-10T00:00:00"/>
    <n v="485.7"/>
    <n v="2"/>
    <n v="54"/>
    <n v="539.70000000000005"/>
  </r>
  <r>
    <s v="Jerzy"/>
    <s v="Dusznicki"/>
    <x v="8"/>
    <d v="2014-01-10T00:00:00"/>
    <d v="2014-01-10T00:00:00"/>
    <n v="278.8"/>
    <n v="1"/>
    <n v="30"/>
    <n v="308.8"/>
  </r>
  <r>
    <s v="Jerzy"/>
    <s v="Jurajski"/>
    <x v="10"/>
    <d v="2014-01-10T00:00:00"/>
    <d v="2014-01-10T00:00:00"/>
    <n v="442"/>
    <n v="1"/>
    <n v="30"/>
    <n v="472"/>
  </r>
  <r>
    <s v="Justyna"/>
    <s v="Krynicka"/>
    <x v="0"/>
    <d v="2014-01-10T00:00:00"/>
    <d v="2014-01-10T00:00:00"/>
    <n v="680"/>
    <n v="1"/>
    <n v="30"/>
    <n v="710"/>
  </r>
  <r>
    <s v="Lidia"/>
    <s v="Opolska"/>
    <x v="9"/>
    <d v="2014-01-10T00:00:00"/>
    <d v="2014-01-10T00:00:00"/>
    <n v="363.8"/>
    <n v="1"/>
    <n v="30"/>
    <n v="393.8"/>
  </r>
  <r>
    <s v="Patrycja"/>
    <s v="Andrycz"/>
    <x v="10"/>
    <d v="2014-01-12T00:00:00"/>
    <d v="2014-01-12T00:00:00"/>
    <n v="442"/>
    <n v="1"/>
    <n v="30"/>
    <n v="472"/>
  </r>
  <r>
    <s v="Piotr"/>
    <s v="Bojarun"/>
    <x v="2"/>
    <d v="2014-01-13T00:00:00"/>
    <d v="2014-01-16T00:00:00"/>
    <n v="550.5"/>
    <n v="4"/>
    <n v="102"/>
    <n v="652.5"/>
  </r>
  <r>
    <s v="Marek"/>
    <s v="Holski"/>
    <x v="6"/>
    <d v="2014-01-13T00:00:00"/>
    <d v="2014-01-13T00:00:00"/>
    <n v="442"/>
    <n v="1"/>
    <n v="30"/>
    <n v="472"/>
  </r>
  <r>
    <s v="Jerzy"/>
    <s v="Jurajski"/>
    <x v="12"/>
    <d v="2014-01-13T00:00:00"/>
    <d v="2014-01-13T00:00:00"/>
    <n v="494.7"/>
    <n v="1"/>
    <n v="30"/>
    <n v="524.70000000000005"/>
  </r>
  <r>
    <s v="Wojciech"/>
    <s v="Krokus"/>
    <x v="6"/>
    <d v="2014-01-13T00:00:00"/>
    <d v="2014-01-14T00:00:00"/>
    <n v="570"/>
    <n v="2"/>
    <n v="54"/>
    <n v="624"/>
  </r>
  <r>
    <s v="Ewelia"/>
    <s v="Prus"/>
    <x v="9"/>
    <d v="2014-01-13T00:00:00"/>
    <d v="2014-01-14T00:00:00"/>
    <n v="526.79999999999995"/>
    <n v="2"/>
    <n v="54"/>
    <n v="580.79999999999995"/>
  </r>
  <r>
    <s v="Sebastian"/>
    <s v="Puchacz"/>
    <x v="8"/>
    <d v="2014-01-13T00:00:00"/>
    <d v="2014-01-13T00:00:00"/>
    <n v="278.8"/>
    <n v="1"/>
    <n v="30"/>
    <n v="308.8"/>
  </r>
  <r>
    <s v="Patrycja"/>
    <s v="Andrycz"/>
    <x v="8"/>
    <d v="2014-01-14T00:00:00"/>
    <d v="2014-01-17T00:00:00"/>
    <n v="665.8"/>
    <n v="4"/>
    <n v="102"/>
    <n v="767.8"/>
  </r>
  <r>
    <s v="Sebastian"/>
    <s v="Argonski"/>
    <x v="6"/>
    <d v="2014-01-14T00:00:00"/>
    <d v="2014-01-16T00:00:00"/>
    <n v="698"/>
    <n v="3"/>
    <n v="78"/>
    <n v="776"/>
  </r>
  <r>
    <s v="Bonifacy"/>
    <s v="Barczewski"/>
    <x v="12"/>
    <d v="2014-01-14T00:00:00"/>
    <d v="2014-01-14T00:00:00"/>
    <n v="494.7"/>
    <n v="1"/>
    <n v="30"/>
    <n v="524.70000000000005"/>
  </r>
  <r>
    <s v="Eustachy"/>
    <s v="Bydgoski"/>
    <x v="6"/>
    <d v="2014-01-14T00:00:00"/>
    <d v="2014-01-18T00:00:00"/>
    <n v="954"/>
    <n v="5"/>
    <n v="126"/>
    <n v="1080"/>
  </r>
  <r>
    <s v="Paulina"/>
    <s v="Chorzowska"/>
    <x v="0"/>
    <d v="2014-01-14T00:00:00"/>
    <d v="2014-01-14T00:00:00"/>
    <n v="680"/>
    <n v="1"/>
    <n v="30"/>
    <n v="710"/>
  </r>
  <r>
    <s v="Kornel"/>
    <s v="Czerski"/>
    <x v="12"/>
    <d v="2014-01-14T00:00:00"/>
    <d v="2014-01-18T00:00:00"/>
    <n v="1290.7"/>
    <n v="5"/>
    <n v="126"/>
    <n v="1416.7"/>
  </r>
  <r>
    <s v="Edwina"/>
    <s v="Elawa"/>
    <x v="5"/>
    <d v="2014-01-14T00:00:00"/>
    <d v="2014-01-16T00:00:00"/>
    <n v="588.70000000000005"/>
    <n v="3"/>
    <n v="78"/>
    <n v="666.7"/>
  </r>
  <r>
    <s v="Sebastian"/>
    <s v="Halik"/>
    <x v="7"/>
    <d v="2014-01-14T00:00:00"/>
    <d v="2014-01-16T00:00:00"/>
    <n v="450.5"/>
    <n v="3"/>
    <n v="78"/>
    <n v="528.5"/>
  </r>
  <r>
    <s v="Karolina"/>
    <s v="Janes"/>
    <x v="7"/>
    <d v="2014-01-14T00:00:00"/>
    <d v="2014-01-18T00:00:00"/>
    <n v="688.5"/>
    <n v="5"/>
    <n v="126"/>
    <n v="814.5"/>
  </r>
  <r>
    <s v="Adam"/>
    <s v="Markowski"/>
    <x v="12"/>
    <d v="2014-01-14T00:00:00"/>
    <d v="2014-01-15T00:00:00"/>
    <n v="693.7"/>
    <n v="2"/>
    <n v="54"/>
    <n v="747.7"/>
  </r>
  <r>
    <s v="Ewelia"/>
    <s v="Nyska"/>
    <x v="7"/>
    <d v="2014-01-14T00:00:00"/>
    <d v="2014-01-14T00:00:00"/>
    <n v="212.5"/>
    <n v="1"/>
    <n v="30"/>
    <n v="242.5"/>
  </r>
  <r>
    <s v="Narcyz"/>
    <s v="Polanicki"/>
    <x v="0"/>
    <d v="2014-01-14T00:00:00"/>
    <d v="2014-01-15T00:00:00"/>
    <n v="891"/>
    <n v="2"/>
    <n v="54"/>
    <n v="945"/>
  </r>
  <r>
    <s v="Gustaw"/>
    <s v="Poznanski"/>
    <x v="8"/>
    <d v="2014-01-14T00:00:00"/>
    <d v="2014-01-15T00:00:00"/>
    <n v="407.8"/>
    <n v="2"/>
    <n v="54"/>
    <n v="461.8"/>
  </r>
  <r>
    <s v="Piotr"/>
    <s v="Rajczakowski"/>
    <x v="4"/>
    <d v="2014-01-14T00:00:00"/>
    <d v="2014-01-14T00:00:00"/>
    <n v="513.4"/>
    <n v="1"/>
    <n v="30"/>
    <n v="543.4"/>
  </r>
  <r>
    <s v="Jan"/>
    <s v="Rzymski"/>
    <x v="10"/>
    <d v="2014-01-14T00:00:00"/>
    <d v="2014-01-16T00:00:00"/>
    <n v="760"/>
    <n v="3"/>
    <n v="78"/>
    <n v="838"/>
  </r>
  <r>
    <s v="Zofia"/>
    <s v="Seredycka"/>
    <x v="9"/>
    <d v="2014-01-14T00:00:00"/>
    <d v="2014-01-15T00:00:00"/>
    <n v="526.79999999999995"/>
    <n v="2"/>
    <n v="54"/>
    <n v="580.79999999999995"/>
  </r>
  <r>
    <s v="Dorota"/>
    <s v="Sosnowiecka"/>
    <x v="0"/>
    <d v="2014-01-14T00:00:00"/>
    <d v="2014-01-17T00:00:00"/>
    <n v="1313"/>
    <n v="4"/>
    <n v="102"/>
    <n v="1415"/>
  </r>
  <r>
    <s v="Piotr"/>
    <s v="Sworacz"/>
    <x v="11"/>
    <d v="2014-01-14T00:00:00"/>
    <d v="2014-01-17T00:00:00"/>
    <n v="841.7"/>
    <n v="4"/>
    <n v="102"/>
    <n v="943.7"/>
  </r>
  <r>
    <s v="Karol"/>
    <s v="Witkiewicz"/>
    <x v="8"/>
    <d v="2014-01-14T00:00:00"/>
    <d v="2014-01-18T00:00:00"/>
    <n v="794.8"/>
    <n v="5"/>
    <n v="126"/>
    <n v="920.8"/>
  </r>
  <r>
    <s v="Amelia"/>
    <s v="Wojtecka"/>
    <x v="9"/>
    <d v="2014-01-14T00:00:00"/>
    <d v="2014-01-17T00:00:00"/>
    <n v="852.8"/>
    <n v="4"/>
    <n v="102"/>
    <n v="954.8"/>
  </r>
  <r>
    <s v="Olivia"/>
    <s v="Gabor"/>
    <x v="10"/>
    <d v="2014-01-15T00:00:00"/>
    <d v="2014-01-17T00:00:00"/>
    <n v="760"/>
    <n v="3"/>
    <n v="78"/>
    <n v="838"/>
  </r>
  <r>
    <s v="Marzena"/>
    <s v="Grab"/>
    <x v="3"/>
    <d v="2014-01-15T00:00:00"/>
    <d v="2014-01-18T00:00:00"/>
    <n v="1116.5"/>
    <n v="4"/>
    <n v="102"/>
    <n v="1218.5"/>
  </r>
  <r>
    <s v="Marzena"/>
    <s v="Gras"/>
    <x v="1"/>
    <d v="2014-01-15T00:00:00"/>
    <d v="2014-01-18T00:00:00"/>
    <n v="573.4"/>
    <n v="4"/>
    <n v="102"/>
    <n v="675.4"/>
  </r>
  <r>
    <s v="Sebastian"/>
    <s v="Halik"/>
    <x v="10"/>
    <d v="2014-01-15T00:00:00"/>
    <d v="2014-01-17T00:00:00"/>
    <n v="760"/>
    <n v="3"/>
    <n v="78"/>
    <n v="838"/>
  </r>
  <r>
    <s v="Janusz"/>
    <s v="Jurkicz"/>
    <x v="0"/>
    <d v="2014-01-15T00:00:00"/>
    <d v="2014-01-17T00:00:00"/>
    <n v="1102"/>
    <n v="3"/>
    <n v="78"/>
    <n v="1180"/>
  </r>
  <r>
    <s v="Justyna"/>
    <s v="Krynicka"/>
    <x v="4"/>
    <d v="2014-01-15T00:00:00"/>
    <d v="2014-01-18T00:00:00"/>
    <n v="936.4"/>
    <n v="4"/>
    <n v="102"/>
    <n v="1038.4000000000001"/>
  </r>
  <r>
    <s v="Ewa"/>
    <s v="Kwiska"/>
    <x v="11"/>
    <d v="2014-01-15T00:00:00"/>
    <d v="2014-01-19T00:00:00"/>
    <n v="1019.7"/>
    <n v="5"/>
    <n v="126"/>
    <n v="1145.7"/>
  </r>
  <r>
    <s v="Michalina"/>
    <s v="Lamda"/>
    <x v="12"/>
    <d v="2014-01-15T00:00:00"/>
    <d v="2014-01-18T00:00:00"/>
    <n v="1091.7"/>
    <n v="4"/>
    <n v="102"/>
    <n v="1193.7"/>
  </r>
  <r>
    <s v="Justyna"/>
    <s v="Laska"/>
    <x v="9"/>
    <d v="2014-01-15T00:00:00"/>
    <d v="2014-01-19T00:00:00"/>
    <n v="1015.8"/>
    <n v="5"/>
    <n v="126"/>
    <n v="1141.8"/>
  </r>
  <r>
    <s v="Wojciech"/>
    <s v="Magierowcz"/>
    <x v="9"/>
    <d v="2014-01-15T00:00:00"/>
    <d v="2014-01-16T00:00:00"/>
    <n v="526.79999999999995"/>
    <n v="2"/>
    <n v="54"/>
    <n v="580.79999999999995"/>
  </r>
  <r>
    <s v="Piotr"/>
    <s v="Malski"/>
    <x v="2"/>
    <d v="2014-01-15T00:00:00"/>
    <d v="2014-01-16T00:00:00"/>
    <n v="302.5"/>
    <n v="2"/>
    <n v="54"/>
    <n v="356.5"/>
  </r>
  <r>
    <s v="Zofia"/>
    <s v="Maselska"/>
    <x v="9"/>
    <d v="2014-01-15T00:00:00"/>
    <d v="2014-01-15T00:00:00"/>
    <n v="363.8"/>
    <n v="1"/>
    <n v="30"/>
    <n v="393.8"/>
  </r>
  <r>
    <s v="Zofia"/>
    <s v="Maselska"/>
    <x v="2"/>
    <d v="2014-01-15T00:00:00"/>
    <d v="2014-01-15T00:00:00"/>
    <n v="178.5"/>
    <n v="1"/>
    <n v="30"/>
    <n v="208.5"/>
  </r>
  <r>
    <s v="Marta"/>
    <s v="Nowowiejska"/>
    <x v="6"/>
    <d v="2014-01-15T00:00:00"/>
    <d v="2014-01-16T00:00:00"/>
    <n v="570"/>
    <n v="2"/>
    <n v="54"/>
    <n v="624"/>
  </r>
  <r>
    <s v="Kazimiera"/>
    <s v="Parczewska"/>
    <x v="11"/>
    <d v="2014-01-15T00:00:00"/>
    <d v="2014-01-16T00:00:00"/>
    <n v="485.7"/>
    <n v="2"/>
    <n v="54"/>
    <n v="539.70000000000005"/>
  </r>
  <r>
    <s v="Katarzyna"/>
    <s v="Piotrowska"/>
    <x v="2"/>
    <d v="2014-01-15T00:00:00"/>
    <d v="2014-01-16T00:00:00"/>
    <n v="302.5"/>
    <n v="2"/>
    <n v="54"/>
    <n v="356.5"/>
  </r>
  <r>
    <s v="Karolina"/>
    <s v="Podkalicka"/>
    <x v="11"/>
    <d v="2014-01-15T00:00:00"/>
    <d v="2014-01-17T00:00:00"/>
    <n v="663.7"/>
    <n v="3"/>
    <n v="78"/>
    <n v="741.7"/>
  </r>
  <r>
    <s v="Grzegorz"/>
    <s v="Podolski"/>
    <x v="11"/>
    <d v="2014-01-15T00:00:00"/>
    <d v="2014-01-17T00:00:00"/>
    <n v="663.7"/>
    <n v="3"/>
    <n v="78"/>
    <n v="741.7"/>
  </r>
  <r>
    <s v="Tomasz"/>
    <s v="Rzepka"/>
    <x v="1"/>
    <d v="2014-01-15T00:00:00"/>
    <d v="2014-01-19T00:00:00"/>
    <n v="712.4"/>
    <n v="5"/>
    <n v="126"/>
    <n v="838.4"/>
  </r>
  <r>
    <s v="Anna"/>
    <s v="Sobecka"/>
    <x v="2"/>
    <d v="2014-01-15T00:00:00"/>
    <d v="2014-01-16T00:00:00"/>
    <n v="302.5"/>
    <n v="2"/>
    <n v="54"/>
    <n v="356.5"/>
  </r>
  <r>
    <s v="Marek"/>
    <s v="Trzeski"/>
    <x v="0"/>
    <d v="2014-01-15T00:00:00"/>
    <d v="2014-01-16T00:00:00"/>
    <n v="891"/>
    <n v="2"/>
    <n v="54"/>
    <n v="945"/>
  </r>
  <r>
    <s v="Paulina"/>
    <s v="Watrach"/>
    <x v="0"/>
    <d v="2014-01-15T00:00:00"/>
    <d v="2014-01-18T00:00:00"/>
    <n v="1313"/>
    <n v="4"/>
    <n v="102"/>
    <n v="1415"/>
  </r>
  <r>
    <s v="Paulina"/>
    <s v="Chorzowska"/>
    <x v="6"/>
    <d v="2014-01-17T00:00:00"/>
    <d v="2014-01-17T00:00:00"/>
    <n v="442"/>
    <n v="1"/>
    <n v="30"/>
    <n v="472"/>
  </r>
  <r>
    <s v="Malwina"/>
    <s v="Papkin"/>
    <x v="6"/>
    <d v="2014-01-17T00:00:00"/>
    <d v="2014-01-17T00:00:00"/>
    <n v="442"/>
    <n v="1"/>
    <n v="30"/>
    <n v="472"/>
  </r>
  <r>
    <s v="Sebastian"/>
    <s v="Puchacz"/>
    <x v="1"/>
    <d v="2014-01-17T00:00:00"/>
    <d v="2014-01-17T00:00:00"/>
    <n v="156.4"/>
    <n v="1"/>
    <n v="30"/>
    <n v="186.4"/>
  </r>
  <r>
    <s v="Justyna"/>
    <s v="Tracz"/>
    <x v="1"/>
    <d v="2014-01-17T00:00:00"/>
    <d v="2014-01-17T00:00:00"/>
    <n v="156.4"/>
    <n v="1"/>
    <n v="30"/>
    <n v="186.4"/>
  </r>
  <r>
    <s v="Adam"/>
    <s v="Markowski"/>
    <x v="3"/>
    <d v="2014-01-18T00:00:00"/>
    <d v="2014-01-18T00:00:00"/>
    <n v="501.5"/>
    <n v="1"/>
    <n v="30"/>
    <n v="531.5"/>
  </r>
  <r>
    <s v="Ewelia"/>
    <s v="Nyska"/>
    <x v="2"/>
    <d v="2014-01-18T00:00:00"/>
    <d v="2014-01-19T00:00:00"/>
    <n v="302.5"/>
    <n v="2"/>
    <n v="54"/>
    <n v="356.5"/>
  </r>
  <r>
    <s v="Zofia"/>
    <s v="Seredycka"/>
    <x v="0"/>
    <d v="2014-01-18T00:00:00"/>
    <d v="2014-01-18T00:00:00"/>
    <n v="680"/>
    <n v="1"/>
    <n v="30"/>
    <n v="710"/>
  </r>
  <r>
    <s v="Bonifacy"/>
    <s v="Barczewski"/>
    <x v="4"/>
    <d v="2014-01-19T00:00:00"/>
    <d v="2014-01-19T00:00:00"/>
    <n v="513.4"/>
    <n v="1"/>
    <n v="30"/>
    <n v="543.4"/>
  </r>
  <r>
    <s v="Grzegorz"/>
    <s v="Podolski"/>
    <x v="3"/>
    <d v="2014-01-19T00:00:00"/>
    <d v="2014-01-19T00:00:00"/>
    <n v="501.5"/>
    <n v="1"/>
    <n v="30"/>
    <n v="531.5"/>
  </r>
  <r>
    <s v="Karolina"/>
    <s v="Janes"/>
    <x v="12"/>
    <d v="2014-01-21T00:00:00"/>
    <d v="2014-01-23T00:00:00"/>
    <n v="892.7"/>
    <n v="3"/>
    <n v="78"/>
    <n v="970.7"/>
  </r>
  <r>
    <s v="Ewa"/>
    <s v="Kwiska"/>
    <x v="6"/>
    <d v="2014-01-21T00:00:00"/>
    <d v="2014-01-24T00:00:00"/>
    <n v="826"/>
    <n v="4"/>
    <n v="102"/>
    <n v="928"/>
  </r>
  <r>
    <s v="Adam"/>
    <s v="Markowski"/>
    <x v="12"/>
    <d v="2014-01-21T00:00:00"/>
    <d v="2014-01-23T00:00:00"/>
    <n v="892.7"/>
    <n v="3"/>
    <n v="78"/>
    <n v="970.7"/>
  </r>
  <r>
    <s v="Paulina"/>
    <s v="Maskor"/>
    <x v="4"/>
    <d v="2014-01-21T00:00:00"/>
    <d v="2014-01-23T00:00:00"/>
    <n v="795.4"/>
    <n v="3"/>
    <n v="78"/>
    <n v="873.4"/>
  </r>
  <r>
    <s v="Ewelia"/>
    <s v="Prus"/>
    <x v="0"/>
    <d v="2014-01-21T00:00:00"/>
    <d v="2014-01-25T00:00:00"/>
    <n v="1524"/>
    <n v="5"/>
    <n v="126"/>
    <n v="1650"/>
  </r>
  <r>
    <s v="Sebastian"/>
    <s v="Puchacz"/>
    <x v="9"/>
    <d v="2014-01-21T00:00:00"/>
    <d v="2014-01-24T00:00:00"/>
    <n v="852.8"/>
    <n v="4"/>
    <n v="102"/>
    <n v="954.8"/>
  </r>
  <r>
    <s v="Dominika"/>
    <s v="Bodera"/>
    <x v="3"/>
    <d v="2014-01-22T00:00:00"/>
    <d v="2014-01-22T00:00:00"/>
    <n v="501.5"/>
    <n v="1"/>
    <n v="30"/>
    <n v="531.5"/>
  </r>
  <r>
    <s v="Zofia"/>
    <s v="Budzianowska"/>
    <x v="10"/>
    <d v="2014-01-22T00:00:00"/>
    <d v="2014-01-22T00:00:00"/>
    <n v="442"/>
    <n v="1"/>
    <n v="30"/>
    <n v="472"/>
  </r>
  <r>
    <s v="Kornel"/>
    <s v="Henrykowski"/>
    <x v="0"/>
    <d v="2014-01-22T00:00:00"/>
    <d v="2014-01-24T00:00:00"/>
    <n v="1102"/>
    <n v="3"/>
    <n v="78"/>
    <n v="1180"/>
  </r>
  <r>
    <s v="Kacper"/>
    <s v="Krajewski"/>
    <x v="2"/>
    <d v="2014-01-22T00:00:00"/>
    <d v="2014-01-24T00:00:00"/>
    <n v="426.5"/>
    <n v="3"/>
    <n v="78"/>
    <n v="504.5"/>
  </r>
  <r>
    <s v="Janina"/>
    <s v="Bolanowska"/>
    <x v="4"/>
    <d v="2014-01-23T00:00:00"/>
    <d v="2014-01-24T00:00:00"/>
    <n v="654.4"/>
    <n v="2"/>
    <n v="54"/>
    <n v="708.4"/>
  </r>
  <r>
    <s v="Jerzy"/>
    <s v="Granica"/>
    <x v="1"/>
    <d v="2014-01-23T00:00:00"/>
    <d v="2014-01-24T00:00:00"/>
    <n v="295.39999999999998"/>
    <n v="2"/>
    <n v="54"/>
    <n v="349.4"/>
  </r>
  <r>
    <s v="Jerzy"/>
    <s v="Jurajski"/>
    <x v="11"/>
    <d v="2014-01-23T00:00:00"/>
    <d v="2014-01-24T00:00:00"/>
    <n v="485.7"/>
    <n v="2"/>
    <n v="54"/>
    <n v="539.70000000000005"/>
  </r>
  <r>
    <s v="Ewa"/>
    <s v="Fidyk"/>
    <x v="12"/>
    <d v="2014-01-24T00:00:00"/>
    <d v="2014-01-24T00:00:00"/>
    <n v="494.7"/>
    <n v="1"/>
    <n v="30"/>
    <n v="524.70000000000005"/>
  </r>
  <r>
    <s v="Wiktor"/>
    <s v="Wroblewski"/>
    <x v="8"/>
    <d v="2014-01-24T00:00:00"/>
    <d v="2014-01-24T00:00:00"/>
    <n v="278.8"/>
    <n v="1"/>
    <n v="30"/>
    <n v="308.8"/>
  </r>
  <r>
    <s v="Zofia"/>
    <s v="Seredycka"/>
    <x v="9"/>
    <d v="2014-01-25T00:00:00"/>
    <d v="2014-01-25T00:00:00"/>
    <n v="363.8"/>
    <n v="1"/>
    <n v="30"/>
    <n v="393.8"/>
  </r>
  <r>
    <s v="Karolina"/>
    <s v="Arska"/>
    <x v="11"/>
    <d v="2014-01-26T00:00:00"/>
    <d v="2014-01-30T00:00:00"/>
    <n v="1019.7"/>
    <n v="5"/>
    <n v="126"/>
    <n v="1145.7"/>
  </r>
  <r>
    <s v="Eustachy"/>
    <s v="Bydgoski"/>
    <x v="4"/>
    <d v="2014-01-26T00:00:00"/>
    <d v="2014-01-30T00:00:00"/>
    <n v="1077.4000000000001"/>
    <n v="5"/>
    <n v="126"/>
    <n v="1203.4000000000001"/>
  </r>
  <r>
    <s v="Paulina"/>
    <s v="Dok"/>
    <x v="3"/>
    <d v="2014-01-26T00:00:00"/>
    <d v="2014-01-28T00:00:00"/>
    <n v="911.5"/>
    <n v="3"/>
    <n v="78"/>
    <n v="989.5"/>
  </r>
  <r>
    <s v="Zuzanna"/>
    <s v="Kowalska"/>
    <x v="9"/>
    <d v="2014-01-26T00:00:00"/>
    <d v="2014-01-28T00:00:00"/>
    <n v="689.8"/>
    <n v="3"/>
    <n v="78"/>
    <n v="767.8"/>
  </r>
  <r>
    <s v="Zofia"/>
    <s v="Maselska"/>
    <x v="3"/>
    <d v="2014-01-26T00:00:00"/>
    <d v="2014-01-30T00:00:00"/>
    <n v="1321.5"/>
    <n v="5"/>
    <n v="126"/>
    <n v="1447.5"/>
  </r>
  <r>
    <s v="Lidia"/>
    <s v="Opolska"/>
    <x v="10"/>
    <d v="2014-01-26T00:00:00"/>
    <d v="2014-01-30T00:00:00"/>
    <n v="1078"/>
    <n v="5"/>
    <n v="126"/>
    <n v="1204"/>
  </r>
  <r>
    <s v="Malwina"/>
    <s v="Papkin"/>
    <x v="5"/>
    <d v="2014-01-26T00:00:00"/>
    <d v="2014-01-29T00:00:00"/>
    <n v="737.7"/>
    <n v="4"/>
    <n v="102"/>
    <n v="839.7"/>
  </r>
  <r>
    <s v="Narcyz"/>
    <s v="Polanicki"/>
    <x v="12"/>
    <d v="2014-01-26T00:00:00"/>
    <d v="2014-01-27T00:00:00"/>
    <n v="693.7"/>
    <n v="2"/>
    <n v="54"/>
    <n v="747.7"/>
  </r>
  <r>
    <s v="Dorota"/>
    <s v="Sosnowiecka"/>
    <x v="1"/>
    <d v="2014-01-26T00:00:00"/>
    <d v="2014-01-28T00:00:00"/>
    <n v="434.4"/>
    <n v="3"/>
    <n v="78"/>
    <n v="512.4"/>
  </r>
  <r>
    <s v="Piotr"/>
    <s v="Sworacz"/>
    <x v="1"/>
    <d v="2014-01-26T00:00:00"/>
    <d v="2014-01-29T00:00:00"/>
    <n v="573.4"/>
    <n v="4"/>
    <n v="102"/>
    <n v="675.4"/>
  </r>
  <r>
    <s v="Adam"/>
    <s v="Wradoch"/>
    <x v="6"/>
    <d v="2014-01-26T00:00:00"/>
    <d v="2014-01-30T00:00:00"/>
    <n v="954"/>
    <n v="5"/>
    <n v="126"/>
    <n v="1080"/>
  </r>
  <r>
    <s v="Kamil"/>
    <s v="Zabrzeski"/>
    <x v="8"/>
    <d v="2014-01-26T00:00:00"/>
    <d v="2014-01-27T00:00:00"/>
    <n v="407.8"/>
    <n v="2"/>
    <n v="54"/>
    <n v="461.8"/>
  </r>
  <r>
    <s v="Paulina"/>
    <s v="Chorzowska"/>
    <x v="3"/>
    <d v="2014-01-27T00:00:00"/>
    <d v="2014-01-27T00:00:00"/>
    <n v="501.5"/>
    <n v="1"/>
    <n v="30"/>
    <n v="531.5"/>
  </r>
  <r>
    <s v="Sebastian"/>
    <s v="Puchacz"/>
    <x v="12"/>
    <d v="2014-01-27T00:00:00"/>
    <d v="2014-01-29T00:00:00"/>
    <n v="892.7"/>
    <n v="3"/>
    <n v="78"/>
    <n v="970.7"/>
  </r>
  <r>
    <s v="Zofia"/>
    <s v="Seredycka"/>
    <x v="0"/>
    <d v="2014-01-27T00:00:00"/>
    <d v="2014-01-27T00:00:00"/>
    <n v="680"/>
    <n v="1"/>
    <n v="30"/>
    <n v="710"/>
  </r>
  <r>
    <s v="Rozalia"/>
    <s v="Siedlecka"/>
    <x v="4"/>
    <d v="2014-01-27T00:00:00"/>
    <d v="2014-01-29T00:00:00"/>
    <n v="795.4"/>
    <n v="3"/>
    <n v="78"/>
    <n v="873.4"/>
  </r>
  <r>
    <s v="Wiktor"/>
    <s v="Wroblewski"/>
    <x v="4"/>
    <d v="2014-01-27T00:00:00"/>
    <d v="2014-01-29T00:00:00"/>
    <n v="795.4"/>
    <n v="3"/>
    <n v="78"/>
    <n v="873.4"/>
  </r>
  <r>
    <s v="Ewa"/>
    <s v="Fidyk"/>
    <x v="9"/>
    <d v="2014-01-28T00:00:00"/>
    <d v="2014-01-28T00:00:00"/>
    <n v="363.8"/>
    <n v="1"/>
    <n v="30"/>
    <n v="393.8"/>
  </r>
  <r>
    <s v="Jan"/>
    <s v="Rzymski"/>
    <x v="3"/>
    <d v="2014-01-28T00:00:00"/>
    <d v="2014-01-30T00:00:00"/>
    <n v="911.5"/>
    <n v="3"/>
    <n v="78"/>
    <n v="989.5"/>
  </r>
  <r>
    <s v="Amelia"/>
    <s v="Wojtecka"/>
    <x v="8"/>
    <d v="2014-01-28T00:00:00"/>
    <d v="2014-01-30T00:00:00"/>
    <n v="536.79999999999995"/>
    <n v="3"/>
    <n v="78"/>
    <n v="614.79999999999995"/>
  </r>
  <r>
    <s v="Karolina"/>
    <s v="Arska"/>
    <x v="10"/>
    <d v="2014-02-02T00:00:00"/>
    <d v="2014-02-04T00:00:00"/>
    <n v="760"/>
    <n v="3"/>
    <n v="78"/>
    <n v="838"/>
  </r>
  <r>
    <s v="Karolina"/>
    <s v="Bizuta"/>
    <x v="3"/>
    <d v="2014-02-02T00:00:00"/>
    <d v="2014-02-03T00:00:00"/>
    <n v="706.5"/>
    <n v="2"/>
    <n v="54"/>
    <n v="760.5"/>
  </r>
  <r>
    <s v="Zofia"/>
    <s v="Budzianowska"/>
    <x v="12"/>
    <d v="2014-02-02T00:00:00"/>
    <d v="2014-02-05T00:00:00"/>
    <n v="1091.7"/>
    <n v="4"/>
    <n v="102"/>
    <n v="1193.7"/>
  </r>
  <r>
    <s v="Janina"/>
    <s v="Bolanowska"/>
    <x v="6"/>
    <d v="2014-02-03T00:00:00"/>
    <d v="2014-02-06T00:00:00"/>
    <n v="826"/>
    <n v="4"/>
    <n v="102"/>
    <n v="928"/>
  </r>
  <r>
    <s v="Anna"/>
    <s v="Kaliska"/>
    <x v="11"/>
    <d v="2014-02-03T00:00:00"/>
    <d v="2014-02-03T00:00:00"/>
    <n v="307.7"/>
    <n v="1"/>
    <n v="30"/>
    <n v="337.7"/>
  </r>
  <r>
    <s v="Marta"/>
    <s v="Nowowiejska"/>
    <x v="9"/>
    <d v="2014-02-03T00:00:00"/>
    <d v="2014-02-03T00:00:00"/>
    <n v="363.8"/>
    <n v="1"/>
    <n v="30"/>
    <n v="393.8"/>
  </r>
  <r>
    <s v="Kazimiera"/>
    <s v="Parczewska"/>
    <x v="4"/>
    <d v="2014-02-03T00:00:00"/>
    <d v="2014-02-05T00:00:00"/>
    <n v="795.4"/>
    <n v="3"/>
    <n v="78"/>
    <n v="873.4"/>
  </r>
  <r>
    <s v="Sebastian"/>
    <s v="Argonski"/>
    <x v="6"/>
    <d v="2014-02-07T00:00:00"/>
    <d v="2014-02-11T00:00:00"/>
    <n v="954"/>
    <n v="5"/>
    <n v="126"/>
    <n v="1080"/>
  </r>
  <r>
    <s v="Karolina"/>
    <s v="Arska"/>
    <x v="8"/>
    <d v="2014-02-07T00:00:00"/>
    <d v="2014-02-11T00:00:00"/>
    <n v="794.8"/>
    <n v="5"/>
    <n v="126"/>
    <n v="920.8"/>
  </r>
  <r>
    <s v="Andrzej"/>
    <s v="Barcz"/>
    <x v="4"/>
    <d v="2014-02-07T00:00:00"/>
    <d v="2014-02-10T00:00:00"/>
    <n v="936.4"/>
    <n v="4"/>
    <n v="102"/>
    <n v="1038.4000000000001"/>
  </r>
  <r>
    <s v="Karolina"/>
    <s v="Bizuta"/>
    <x v="12"/>
    <d v="2014-02-07T00:00:00"/>
    <d v="2014-02-09T00:00:00"/>
    <n v="892.7"/>
    <n v="3"/>
    <n v="78"/>
    <n v="970.7"/>
  </r>
  <r>
    <s v="Dominika"/>
    <s v="Bodera"/>
    <x v="11"/>
    <d v="2014-02-07T00:00:00"/>
    <d v="2014-02-08T00:00:00"/>
    <n v="485.7"/>
    <n v="2"/>
    <n v="54"/>
    <n v="539.70000000000005"/>
  </r>
  <r>
    <s v="Piotr"/>
    <s v="Bojarun"/>
    <x v="4"/>
    <d v="2014-02-07T00:00:00"/>
    <d v="2014-02-10T00:00:00"/>
    <n v="936.4"/>
    <n v="4"/>
    <n v="102"/>
    <n v="1038.4000000000001"/>
  </r>
  <r>
    <s v="Wiktor"/>
    <s v="Czekan"/>
    <x v="6"/>
    <d v="2014-02-07T00:00:00"/>
    <d v="2014-02-11T00:00:00"/>
    <n v="954"/>
    <n v="5"/>
    <n v="126"/>
    <n v="1080"/>
  </r>
  <r>
    <s v="Karolina"/>
    <s v="Janes"/>
    <x v="4"/>
    <d v="2014-02-07T00:00:00"/>
    <d v="2014-02-10T00:00:00"/>
    <n v="936.4"/>
    <n v="4"/>
    <n v="102"/>
    <n v="1038.4000000000001"/>
  </r>
  <r>
    <s v="Anna"/>
    <s v="Kaliska"/>
    <x v="10"/>
    <d v="2014-02-07T00:00:00"/>
    <d v="2014-02-07T00:00:00"/>
    <n v="442"/>
    <n v="1"/>
    <n v="30"/>
    <n v="472"/>
  </r>
  <r>
    <s v="Kacper"/>
    <s v="Krajewski"/>
    <x v="8"/>
    <d v="2014-02-07T00:00:00"/>
    <d v="2014-02-09T00:00:00"/>
    <n v="536.79999999999995"/>
    <n v="3"/>
    <n v="78"/>
    <n v="614.79999999999995"/>
  </r>
  <r>
    <s v="Wojciech"/>
    <s v="Krokus"/>
    <x v="7"/>
    <d v="2014-02-07T00:00:00"/>
    <d v="2014-02-07T00:00:00"/>
    <n v="212.5"/>
    <n v="1"/>
    <n v="30"/>
    <n v="242.5"/>
  </r>
  <r>
    <s v="Michalina"/>
    <s v="Lamda"/>
    <x v="10"/>
    <d v="2014-02-07T00:00:00"/>
    <d v="2014-02-09T00:00:00"/>
    <n v="760"/>
    <n v="3"/>
    <n v="78"/>
    <n v="838"/>
  </r>
  <r>
    <s v="Bogumi"/>
    <s v="Lubelski"/>
    <x v="6"/>
    <d v="2014-02-07T00:00:00"/>
    <d v="2014-02-08T00:00:00"/>
    <n v="570"/>
    <n v="2"/>
    <n v="54"/>
    <n v="624"/>
  </r>
  <r>
    <s v="Wojciech"/>
    <s v="Magierowcz"/>
    <x v="9"/>
    <d v="2014-02-07T00:00:00"/>
    <d v="2014-02-09T00:00:00"/>
    <n v="689.8"/>
    <n v="3"/>
    <n v="78"/>
    <n v="767.8"/>
  </r>
  <r>
    <s v="Zofia"/>
    <s v="Maselska"/>
    <x v="11"/>
    <d v="2014-02-07T00:00:00"/>
    <d v="2014-02-11T00:00:00"/>
    <n v="1019.7"/>
    <n v="5"/>
    <n v="126"/>
    <n v="1145.7"/>
  </r>
  <r>
    <s v="Zyta"/>
    <s v="Mazurkiewicz"/>
    <x v="0"/>
    <d v="2014-02-07T00:00:00"/>
    <d v="2014-02-08T00:00:00"/>
    <n v="891"/>
    <n v="2"/>
    <n v="54"/>
    <n v="945"/>
  </r>
  <r>
    <s v="Maria"/>
    <s v="Ozimek"/>
    <x v="1"/>
    <d v="2014-02-07T00:00:00"/>
    <d v="2014-02-08T00:00:00"/>
    <n v="295.39999999999998"/>
    <n v="2"/>
    <n v="54"/>
    <n v="349.4"/>
  </r>
  <r>
    <s v="Malwina"/>
    <s v="Papkin"/>
    <x v="0"/>
    <d v="2014-02-07T00:00:00"/>
    <d v="2014-02-08T00:00:00"/>
    <n v="891"/>
    <n v="2"/>
    <n v="54"/>
    <n v="945"/>
  </r>
  <r>
    <s v="Zuzanna"/>
    <s v="Piotrkowska"/>
    <x v="7"/>
    <d v="2014-02-07T00:00:00"/>
    <d v="2014-02-11T00:00:00"/>
    <n v="688.5"/>
    <n v="5"/>
    <n v="126"/>
    <n v="814.5"/>
  </r>
  <r>
    <s v="Grzegorz"/>
    <s v="Podolski"/>
    <x v="11"/>
    <d v="2014-02-07T00:00:00"/>
    <d v="2014-02-09T00:00:00"/>
    <n v="663.7"/>
    <n v="3"/>
    <n v="78"/>
    <n v="741.7"/>
  </r>
  <r>
    <s v="Piotr"/>
    <s v="Roman"/>
    <x v="7"/>
    <d v="2014-02-07T00:00:00"/>
    <d v="2014-02-10T00:00:00"/>
    <n v="569.5"/>
    <n v="4"/>
    <n v="102"/>
    <n v="671.5"/>
  </r>
  <r>
    <s v="Paulina"/>
    <s v="Basala"/>
    <x v="6"/>
    <d v="2014-02-10T00:00:00"/>
    <d v="2014-02-10T00:00:00"/>
    <n v="442"/>
    <n v="1"/>
    <n v="30"/>
    <n v="472"/>
  </r>
  <r>
    <s v="Andrzej"/>
    <s v="Kolarski"/>
    <x v="4"/>
    <d v="2014-02-10T00:00:00"/>
    <d v="2014-02-10T00:00:00"/>
    <n v="513.4"/>
    <n v="1"/>
    <n v="30"/>
    <n v="543.4"/>
  </r>
  <r>
    <s v="Kazimiera"/>
    <s v="Parczewska"/>
    <x v="7"/>
    <d v="2014-02-10T00:00:00"/>
    <d v="2014-02-11T00:00:00"/>
    <n v="331.5"/>
    <n v="2"/>
    <n v="54"/>
    <n v="385.5"/>
  </r>
  <r>
    <s v="Paulina"/>
    <s v="Chorzowska"/>
    <x v="4"/>
    <d v="2014-02-12T00:00:00"/>
    <d v="2014-02-12T00:00:00"/>
    <n v="513.4"/>
    <n v="1"/>
    <n v="30"/>
    <n v="543.4"/>
  </r>
  <r>
    <s v="Adam"/>
    <s v="Falski"/>
    <x v="7"/>
    <d v="2014-02-14T00:00:00"/>
    <d v="2014-02-16T00:00:00"/>
    <n v="450.5"/>
    <n v="3"/>
    <n v="78"/>
    <n v="528.5"/>
  </r>
  <r>
    <s v="Ewa"/>
    <s v="Kwiska"/>
    <x v="4"/>
    <d v="2014-02-14T00:00:00"/>
    <d v="2014-02-16T00:00:00"/>
    <n v="795.4"/>
    <n v="3"/>
    <n v="78"/>
    <n v="873.4"/>
  </r>
  <r>
    <s v="Teresa"/>
    <s v="Moskiewska"/>
    <x v="7"/>
    <d v="2014-02-14T00:00:00"/>
    <d v="2014-02-14T00:00:00"/>
    <n v="212.5"/>
    <n v="1"/>
    <n v="30"/>
    <n v="242.5"/>
  </r>
  <r>
    <s v="Lidia"/>
    <s v="Opolska"/>
    <x v="12"/>
    <d v="2014-02-14T00:00:00"/>
    <d v="2014-02-16T00:00:00"/>
    <n v="892.7"/>
    <n v="3"/>
    <n v="78"/>
    <n v="970.7"/>
  </r>
  <r>
    <s v="Sebastian"/>
    <s v="Puchacz"/>
    <x v="11"/>
    <d v="2014-02-14T00:00:00"/>
    <d v="2014-02-18T00:00:00"/>
    <n v="1019.7"/>
    <n v="5"/>
    <n v="126"/>
    <n v="1145.7"/>
  </r>
  <r>
    <s v="Tomasz"/>
    <s v="Rzepka"/>
    <x v="1"/>
    <d v="2014-02-14T00:00:00"/>
    <d v="2014-02-17T00:00:00"/>
    <n v="573.4"/>
    <n v="4"/>
    <n v="102"/>
    <n v="675.4"/>
  </r>
  <r>
    <s v="Katarzyna"/>
    <s v="Piotrowska"/>
    <x v="8"/>
    <d v="2014-02-15T00:00:00"/>
    <d v="2014-02-17T00:00:00"/>
    <n v="536.79999999999995"/>
    <n v="3"/>
    <n v="78"/>
    <n v="614.79999999999995"/>
  </r>
  <r>
    <s v="Karol"/>
    <s v="Witkiewicz"/>
    <x v="3"/>
    <d v="2014-02-15T00:00:00"/>
    <d v="2014-02-16T00:00:00"/>
    <n v="706.5"/>
    <n v="2"/>
    <n v="54"/>
    <n v="760.5"/>
  </r>
  <r>
    <s v="Patrycja"/>
    <s v="Andrycz"/>
    <x v="12"/>
    <d v="2014-02-19T00:00:00"/>
    <d v="2014-02-23T00:00:00"/>
    <n v="1290.7"/>
    <n v="5"/>
    <n v="126"/>
    <n v="1416.7"/>
  </r>
  <r>
    <s v="Anna"/>
    <s v="Augustowska"/>
    <x v="7"/>
    <d v="2014-02-19T00:00:00"/>
    <d v="2014-02-23T00:00:00"/>
    <n v="688.5"/>
    <n v="5"/>
    <n v="126"/>
    <n v="814.5"/>
  </r>
  <r>
    <s v="Wiktor"/>
    <s v="Budzis"/>
    <x v="6"/>
    <d v="2014-02-19T00:00:00"/>
    <d v="2014-02-20T00:00:00"/>
    <n v="570"/>
    <n v="2"/>
    <n v="54"/>
    <n v="624"/>
  </r>
  <r>
    <s v="Jerzy"/>
    <s v="Dusznicki"/>
    <x v="3"/>
    <d v="2014-02-19T00:00:00"/>
    <d v="2014-02-22T00:00:00"/>
    <n v="1116.5"/>
    <n v="4"/>
    <n v="102"/>
    <n v="1218.5"/>
  </r>
  <r>
    <s v="Olivia"/>
    <s v="Gabor"/>
    <x v="0"/>
    <d v="2014-02-19T00:00:00"/>
    <d v="2014-02-20T00:00:00"/>
    <n v="891"/>
    <n v="2"/>
    <n v="54"/>
    <n v="945"/>
  </r>
  <r>
    <s v="Marek"/>
    <s v="Holski"/>
    <x v="8"/>
    <d v="2014-02-19T00:00:00"/>
    <d v="2014-02-22T00:00:00"/>
    <n v="665.8"/>
    <n v="4"/>
    <n v="102"/>
    <n v="767.8"/>
  </r>
  <r>
    <s v="Andrzej"/>
    <s v="Kolarski"/>
    <x v="1"/>
    <d v="2014-02-19T00:00:00"/>
    <d v="2014-02-21T00:00:00"/>
    <n v="434.4"/>
    <n v="3"/>
    <n v="78"/>
    <n v="512.4"/>
  </r>
  <r>
    <s v="Justyna"/>
    <s v="Kolska"/>
    <x v="5"/>
    <d v="2014-02-19T00:00:00"/>
    <d v="2014-02-21T00:00:00"/>
    <n v="588.70000000000005"/>
    <n v="3"/>
    <n v="78"/>
    <n v="666.7"/>
  </r>
  <r>
    <s v="Piotr"/>
    <s v="Malski"/>
    <x v="11"/>
    <d v="2014-02-19T00:00:00"/>
    <d v="2014-02-22T00:00:00"/>
    <n v="841.7"/>
    <n v="4"/>
    <n v="102"/>
    <n v="943.7"/>
  </r>
  <r>
    <s v="Wojciech"/>
    <s v="Mazowiecki"/>
    <x v="4"/>
    <d v="2014-02-19T00:00:00"/>
    <d v="2014-02-20T00:00:00"/>
    <n v="654.4"/>
    <n v="2"/>
    <n v="54"/>
    <n v="708.4"/>
  </r>
  <r>
    <s v="Teresa"/>
    <s v="Moskiewska"/>
    <x v="3"/>
    <d v="2014-02-19T00:00:00"/>
    <d v="2014-02-20T00:00:00"/>
    <n v="706.5"/>
    <n v="2"/>
    <n v="54"/>
    <n v="760.5"/>
  </r>
  <r>
    <s v="Irma"/>
    <s v="Opoczna"/>
    <x v="3"/>
    <d v="2014-02-19T00:00:00"/>
    <d v="2014-02-23T00:00:00"/>
    <n v="1321.5"/>
    <n v="5"/>
    <n v="126"/>
    <n v="1447.5"/>
  </r>
  <r>
    <s v="Krystyna"/>
    <s v="Pleszewska"/>
    <x v="5"/>
    <d v="2014-02-19T00:00:00"/>
    <d v="2014-02-23T00:00:00"/>
    <n v="886.7"/>
    <n v="5"/>
    <n v="126"/>
    <n v="1012.7"/>
  </r>
  <r>
    <s v="Rozalia"/>
    <s v="Siedlecka"/>
    <x v="7"/>
    <d v="2014-02-19T00:00:00"/>
    <d v="2014-02-20T00:00:00"/>
    <n v="331.5"/>
    <n v="2"/>
    <n v="54"/>
    <n v="385.5"/>
  </r>
  <r>
    <s v="Dorota"/>
    <s v="Sosnowiecka"/>
    <x v="0"/>
    <d v="2014-02-19T00:00:00"/>
    <d v="2014-02-20T00:00:00"/>
    <n v="891"/>
    <n v="2"/>
    <n v="54"/>
    <n v="945"/>
  </r>
  <r>
    <s v="Dorota"/>
    <s v="Sosnowiecka"/>
    <x v="1"/>
    <d v="2014-02-19T00:00:00"/>
    <d v="2014-02-20T00:00:00"/>
    <n v="295.39999999999998"/>
    <n v="2"/>
    <n v="54"/>
    <n v="349.4"/>
  </r>
  <r>
    <s v="Piotr"/>
    <s v="Sworacz"/>
    <x v="6"/>
    <d v="2014-02-19T00:00:00"/>
    <d v="2014-02-22T00:00:00"/>
    <n v="826"/>
    <n v="4"/>
    <n v="102"/>
    <n v="928"/>
  </r>
  <r>
    <s v="Justyna"/>
    <s v="Tracz"/>
    <x v="6"/>
    <d v="2014-02-19T00:00:00"/>
    <d v="2014-02-21T00:00:00"/>
    <n v="698"/>
    <n v="3"/>
    <n v="78"/>
    <n v="776"/>
  </r>
  <r>
    <s v="Karol"/>
    <s v="Witkiewicz"/>
    <x v="9"/>
    <d v="2014-02-19T00:00:00"/>
    <d v="2014-02-19T00:00:00"/>
    <n v="363.8"/>
    <n v="1"/>
    <n v="30"/>
    <n v="393.8"/>
  </r>
  <r>
    <s v="Adam"/>
    <s v="Wradoch"/>
    <x v="8"/>
    <d v="2014-02-19T00:00:00"/>
    <d v="2014-02-21T00:00:00"/>
    <n v="536.79999999999995"/>
    <n v="3"/>
    <n v="78"/>
    <n v="614.79999999999995"/>
  </r>
  <r>
    <s v="Wiktor"/>
    <s v="Budzis"/>
    <x v="0"/>
    <d v="2014-02-22T00:00:00"/>
    <d v="2014-02-22T00:00:00"/>
    <n v="680"/>
    <n v="1"/>
    <n v="30"/>
    <n v="710"/>
  </r>
  <r>
    <s v="Jerzy"/>
    <s v="Jurajski"/>
    <x v="6"/>
    <d v="2014-02-26T00:00:00"/>
    <d v="2014-03-02T00:00:00"/>
    <n v="954"/>
    <n v="5"/>
    <n v="126"/>
    <n v="1080"/>
  </r>
  <r>
    <s v="Wojciech"/>
    <s v="Mazowiecki"/>
    <x v="4"/>
    <d v="2014-02-26T00:00:00"/>
    <d v="2014-02-28T00:00:00"/>
    <n v="795.4"/>
    <n v="3"/>
    <n v="78"/>
    <n v="873.4"/>
  </r>
  <r>
    <s v="Irma"/>
    <s v="Opoczna"/>
    <x v="2"/>
    <d v="2014-02-26T00:00:00"/>
    <d v="2014-03-01T00:00:00"/>
    <n v="550.5"/>
    <n v="4"/>
    <n v="102"/>
    <n v="652.5"/>
  </r>
  <r>
    <s v="Rozalia"/>
    <s v="Parad"/>
    <x v="5"/>
    <d v="2014-02-26T00:00:00"/>
    <d v="2014-02-27T00:00:00"/>
    <n v="439.7"/>
    <n v="2"/>
    <n v="54"/>
    <n v="493.7"/>
  </r>
  <r>
    <s v="Piotr"/>
    <s v="Roman"/>
    <x v="3"/>
    <d v="2014-02-26T00:00:00"/>
    <d v="2014-02-27T00:00:00"/>
    <n v="706.5"/>
    <n v="2"/>
    <n v="54"/>
    <n v="760.5"/>
  </r>
  <r>
    <s v="Jan"/>
    <s v="Suwski"/>
    <x v="11"/>
    <d v="2014-02-26T00:00:00"/>
    <d v="2014-02-27T00:00:00"/>
    <n v="485.7"/>
    <n v="2"/>
    <n v="54"/>
    <n v="539.70000000000005"/>
  </r>
  <r>
    <s v="Wiktor"/>
    <s v="Budzis"/>
    <x v="8"/>
    <d v="2014-02-28T00:00:00"/>
    <d v="2014-02-28T00:00:00"/>
    <n v="278.8"/>
    <n v="1"/>
    <n v="30"/>
    <n v="308.8"/>
  </r>
  <r>
    <s v="Piotr"/>
    <s v="Armowicz"/>
    <x v="12"/>
    <d v="2014-03-03T00:00:00"/>
    <d v="2014-03-04T00:00:00"/>
    <n v="693.7"/>
    <n v="2"/>
    <n v="54"/>
    <n v="747.7"/>
  </r>
  <r>
    <s v="Paulina"/>
    <s v="Basala"/>
    <x v="12"/>
    <d v="2014-03-03T00:00:00"/>
    <d v="2014-03-03T00:00:00"/>
    <n v="494.7"/>
    <n v="1"/>
    <n v="30"/>
    <n v="524.70000000000005"/>
  </r>
  <r>
    <s v="Ewa"/>
    <s v="Fidyk"/>
    <x v="3"/>
    <d v="2014-03-03T00:00:00"/>
    <d v="2014-03-05T00:00:00"/>
    <n v="911.5"/>
    <n v="3"/>
    <n v="78"/>
    <n v="989.5"/>
  </r>
  <r>
    <s v="Marzena"/>
    <s v="Gras"/>
    <x v="1"/>
    <d v="2014-03-03T00:00:00"/>
    <d v="2014-03-04T00:00:00"/>
    <n v="295.39999999999998"/>
    <n v="2"/>
    <n v="54"/>
    <n v="349.4"/>
  </r>
  <r>
    <s v="Wojciech"/>
    <s v="Magierowcz"/>
    <x v="1"/>
    <d v="2014-03-03T00:00:00"/>
    <d v="2014-03-07T00:00:00"/>
    <n v="712.4"/>
    <n v="5"/>
    <n v="126"/>
    <n v="838.4"/>
  </r>
  <r>
    <s v="Paulina"/>
    <s v="Maskor"/>
    <x v="7"/>
    <d v="2014-03-03T00:00:00"/>
    <d v="2014-03-05T00:00:00"/>
    <n v="450.5"/>
    <n v="3"/>
    <n v="78"/>
    <n v="528.5"/>
  </r>
  <r>
    <s v="Wojciech"/>
    <s v="Mazowiecki"/>
    <x v="2"/>
    <d v="2014-03-03T00:00:00"/>
    <d v="2014-03-06T00:00:00"/>
    <n v="550.5"/>
    <n v="4"/>
    <n v="102"/>
    <n v="652.5"/>
  </r>
  <r>
    <s v="Ewelia"/>
    <s v="Nyska"/>
    <x v="6"/>
    <d v="2014-03-03T00:00:00"/>
    <d v="2014-03-04T00:00:00"/>
    <n v="570"/>
    <n v="2"/>
    <n v="54"/>
    <n v="624"/>
  </r>
  <r>
    <s v="Rozalia"/>
    <s v="Parad"/>
    <x v="6"/>
    <d v="2014-03-03T00:00:00"/>
    <d v="2014-03-05T00:00:00"/>
    <n v="698"/>
    <n v="3"/>
    <n v="78"/>
    <n v="776"/>
  </r>
  <r>
    <s v="Grzegorz"/>
    <s v="Podolski"/>
    <x v="1"/>
    <d v="2014-03-03T00:00:00"/>
    <d v="2014-03-03T00:00:00"/>
    <n v="156.4"/>
    <n v="1"/>
    <n v="30"/>
    <n v="186.4"/>
  </r>
  <r>
    <s v="Narcyz"/>
    <s v="Polanicki"/>
    <x v="0"/>
    <d v="2014-03-03T00:00:00"/>
    <d v="2014-03-07T00:00:00"/>
    <n v="1524"/>
    <n v="5"/>
    <n v="126"/>
    <n v="1650"/>
  </r>
  <r>
    <s v="Kamil"/>
    <s v="Pomorski"/>
    <x v="9"/>
    <d v="2014-03-03T00:00:00"/>
    <d v="2014-03-07T00:00:00"/>
    <n v="1015.8"/>
    <n v="5"/>
    <n v="126"/>
    <n v="1141.8"/>
  </r>
  <r>
    <s v="Rozalia"/>
    <s v="Siedlecka"/>
    <x v="3"/>
    <d v="2014-03-03T00:00:00"/>
    <d v="2014-03-05T00:00:00"/>
    <n v="911.5"/>
    <n v="3"/>
    <n v="78"/>
    <n v="989.5"/>
  </r>
  <r>
    <s v="Karol"/>
    <s v="Witkiewicz"/>
    <x v="9"/>
    <d v="2014-03-03T00:00:00"/>
    <d v="2014-03-07T00:00:00"/>
    <n v="1015.8"/>
    <n v="5"/>
    <n v="126"/>
    <n v="1141.8"/>
  </r>
  <r>
    <s v="Adam"/>
    <s v="Wradoch"/>
    <x v="8"/>
    <d v="2014-03-03T00:00:00"/>
    <d v="2014-03-03T00:00:00"/>
    <n v="278.8"/>
    <n v="1"/>
    <n v="30"/>
    <n v="308.8"/>
  </r>
  <r>
    <s v="Kamil"/>
    <s v="Zabrzeski"/>
    <x v="2"/>
    <d v="2014-03-03T00:00:00"/>
    <d v="2014-03-06T00:00:00"/>
    <n v="550.5"/>
    <n v="4"/>
    <n v="102"/>
    <n v="652.5"/>
  </r>
  <r>
    <s v="Marta"/>
    <s v="Nowowiejska"/>
    <x v="12"/>
    <d v="2014-03-06T00:00:00"/>
    <d v="2014-03-06T00:00:00"/>
    <n v="494.7"/>
    <n v="1"/>
    <n v="30"/>
    <n v="524.70000000000005"/>
  </r>
  <r>
    <s v="Grzegorz"/>
    <s v="Podolski"/>
    <x v="7"/>
    <d v="2014-03-06T00:00:00"/>
    <d v="2014-03-06T00:00:00"/>
    <n v="212.5"/>
    <n v="1"/>
    <n v="30"/>
    <n v="242.5"/>
  </r>
  <r>
    <s v="Adam"/>
    <s v="Wradoch"/>
    <x v="5"/>
    <d v="2014-03-07T00:00:00"/>
    <d v="2014-03-07T00:00:00"/>
    <n v="290.7"/>
    <n v="1"/>
    <n v="30"/>
    <n v="320.7"/>
  </r>
  <r>
    <s v="Amelia"/>
    <s v="Calika"/>
    <x v="6"/>
    <d v="2014-03-09T00:00:00"/>
    <d v="2014-03-12T00:00:00"/>
    <n v="826"/>
    <n v="4"/>
    <n v="102"/>
    <n v="928"/>
  </r>
  <r>
    <s v="Wiktor"/>
    <s v="Budzis"/>
    <x v="5"/>
    <d v="2014-03-10T00:00:00"/>
    <d v="2014-03-10T00:00:00"/>
    <n v="290.7"/>
    <n v="1"/>
    <n v="30"/>
    <n v="320.7"/>
  </r>
  <r>
    <s v="Ewa"/>
    <s v="Fidyk"/>
    <x v="7"/>
    <d v="2014-03-10T00:00:00"/>
    <d v="2014-03-12T00:00:00"/>
    <n v="450.5"/>
    <n v="3"/>
    <n v="78"/>
    <n v="528.5"/>
  </r>
  <r>
    <s v="Justyna"/>
    <s v="Kolska"/>
    <x v="11"/>
    <d v="2014-03-10T00:00:00"/>
    <d v="2014-03-13T00:00:00"/>
    <n v="841.7"/>
    <n v="4"/>
    <n v="102"/>
    <n v="943.7"/>
  </r>
  <r>
    <s v="Albert"/>
    <s v="Marakasz"/>
    <x v="2"/>
    <d v="2014-03-10T00:00:00"/>
    <d v="2014-03-12T00:00:00"/>
    <n v="426.5"/>
    <n v="3"/>
    <n v="78"/>
    <n v="504.5"/>
  </r>
  <r>
    <s v="Zofia"/>
    <s v="Seredycka"/>
    <x v="1"/>
    <d v="2014-03-10T00:00:00"/>
    <d v="2014-03-12T00:00:00"/>
    <n v="434.4"/>
    <n v="3"/>
    <n v="78"/>
    <n v="512.4"/>
  </r>
  <r>
    <s v="Paulina"/>
    <s v="Maskor"/>
    <x v="9"/>
    <d v="2014-03-11T00:00:00"/>
    <d v="2014-03-11T00:00:00"/>
    <n v="363.8"/>
    <n v="1"/>
    <n v="30"/>
    <n v="393.8"/>
  </r>
  <r>
    <s v="Rozalia"/>
    <s v="Siedlecka"/>
    <x v="6"/>
    <d v="2014-03-11T00:00:00"/>
    <d v="2014-03-13T00:00:00"/>
    <n v="698"/>
    <n v="3"/>
    <n v="78"/>
    <n v="776"/>
  </r>
  <r>
    <s v="Rozalia"/>
    <s v="Parad"/>
    <x v="11"/>
    <d v="2014-03-12T00:00:00"/>
    <d v="2014-03-12T00:00:00"/>
    <n v="307.7"/>
    <n v="1"/>
    <n v="30"/>
    <n v="337.7"/>
  </r>
  <r>
    <s v="Andrzej"/>
    <s v="Barcz"/>
    <x v="7"/>
    <d v="2014-03-15T00:00:00"/>
    <d v="2014-03-17T00:00:00"/>
    <n v="450.5"/>
    <n v="3"/>
    <n v="78"/>
    <n v="528.5"/>
  </r>
  <r>
    <s v="Karolina"/>
    <s v="Bizuta"/>
    <x v="4"/>
    <d v="2014-03-15T00:00:00"/>
    <d v="2014-03-19T00:00:00"/>
    <n v="1077.4000000000001"/>
    <n v="5"/>
    <n v="126"/>
    <n v="1203.4000000000001"/>
  </r>
  <r>
    <s v="Piotr"/>
    <s v="Bojarun"/>
    <x v="8"/>
    <d v="2014-03-15T00:00:00"/>
    <d v="2014-03-16T00:00:00"/>
    <n v="407.8"/>
    <n v="2"/>
    <n v="54"/>
    <n v="461.8"/>
  </r>
  <r>
    <s v="Janina"/>
    <s v="Bolanowska"/>
    <x v="9"/>
    <d v="2014-03-15T00:00:00"/>
    <d v="2014-03-18T00:00:00"/>
    <n v="852.8"/>
    <n v="4"/>
    <n v="102"/>
    <n v="954.8"/>
  </r>
  <r>
    <s v="Wiktor"/>
    <s v="Budzis"/>
    <x v="6"/>
    <d v="2014-03-15T00:00:00"/>
    <d v="2014-03-17T00:00:00"/>
    <n v="698"/>
    <n v="3"/>
    <n v="78"/>
    <n v="776"/>
  </r>
  <r>
    <s v="Wiktor"/>
    <s v="Czekan"/>
    <x v="0"/>
    <d v="2014-03-15T00:00:00"/>
    <d v="2014-03-18T00:00:00"/>
    <n v="1313"/>
    <n v="4"/>
    <n v="102"/>
    <n v="1415"/>
  </r>
  <r>
    <s v="Marzena"/>
    <s v="Grab"/>
    <x v="12"/>
    <d v="2014-03-15T00:00:00"/>
    <d v="2014-03-18T00:00:00"/>
    <n v="1091.7"/>
    <n v="4"/>
    <n v="102"/>
    <n v="1193.7"/>
  </r>
  <r>
    <s v="Jerzy"/>
    <s v="Jurajski"/>
    <x v="8"/>
    <d v="2014-03-15T00:00:00"/>
    <d v="2014-03-16T00:00:00"/>
    <n v="407.8"/>
    <n v="2"/>
    <n v="54"/>
    <n v="461.8"/>
  </r>
  <r>
    <s v="Andrzej"/>
    <s v="Kolarski"/>
    <x v="12"/>
    <d v="2014-03-15T00:00:00"/>
    <d v="2014-03-19T00:00:00"/>
    <n v="1290.7"/>
    <n v="5"/>
    <n v="126"/>
    <n v="1416.7"/>
  </r>
  <r>
    <s v="Justyna"/>
    <s v="Laska"/>
    <x v="6"/>
    <d v="2014-03-15T00:00:00"/>
    <d v="2014-03-19T00:00:00"/>
    <n v="954"/>
    <n v="5"/>
    <n v="126"/>
    <n v="1080"/>
  </r>
  <r>
    <s v="Wojciech"/>
    <s v="Magierowcz"/>
    <x v="4"/>
    <d v="2014-03-15T00:00:00"/>
    <d v="2014-03-16T00:00:00"/>
    <n v="654.4"/>
    <n v="2"/>
    <n v="54"/>
    <n v="708.4"/>
  </r>
  <r>
    <s v="Wojciech"/>
    <s v="Mazowiecki"/>
    <x v="6"/>
    <d v="2014-03-15T00:00:00"/>
    <d v="2014-03-15T00:00:00"/>
    <n v="442"/>
    <n v="1"/>
    <n v="30"/>
    <n v="472"/>
  </r>
  <r>
    <s v="Daria"/>
    <s v="Paryska"/>
    <x v="0"/>
    <d v="2014-03-15T00:00:00"/>
    <d v="2014-03-17T00:00:00"/>
    <n v="1102"/>
    <n v="3"/>
    <n v="78"/>
    <n v="1180"/>
  </r>
  <r>
    <s v="Karolina"/>
    <s v="Podkalicka"/>
    <x v="3"/>
    <d v="2014-03-15T00:00:00"/>
    <d v="2014-03-17T00:00:00"/>
    <n v="911.5"/>
    <n v="3"/>
    <n v="78"/>
    <n v="989.5"/>
  </r>
  <r>
    <s v="Piotr"/>
    <s v="Sworacz"/>
    <x v="3"/>
    <d v="2014-03-15T00:00:00"/>
    <d v="2014-03-19T00:00:00"/>
    <n v="1321.5"/>
    <n v="5"/>
    <n v="126"/>
    <n v="1447.5"/>
  </r>
  <r>
    <s v="Justyna"/>
    <s v="Tracz"/>
    <x v="12"/>
    <d v="2014-03-15T00:00:00"/>
    <d v="2014-03-18T00:00:00"/>
    <n v="1091.7"/>
    <n v="4"/>
    <n v="102"/>
    <n v="1193.7"/>
  </r>
  <r>
    <s v="Kornel"/>
    <s v="Henrykowski"/>
    <x v="9"/>
    <d v="2014-03-17T00:00:00"/>
    <d v="2014-03-19T00:00:00"/>
    <n v="689.8"/>
    <n v="3"/>
    <n v="78"/>
    <n v="767.8"/>
  </r>
  <r>
    <s v="Gustaw"/>
    <s v="Poznanski"/>
    <x v="9"/>
    <d v="2014-03-17T00:00:00"/>
    <d v="2014-03-18T00:00:00"/>
    <n v="526.79999999999995"/>
    <n v="2"/>
    <n v="54"/>
    <n v="580.79999999999995"/>
  </r>
  <r>
    <s v="Piotr"/>
    <s v="Rajczakowski"/>
    <x v="11"/>
    <d v="2014-03-17T00:00:00"/>
    <d v="2014-03-18T00:00:00"/>
    <n v="485.7"/>
    <n v="2"/>
    <n v="54"/>
    <n v="539.70000000000005"/>
  </r>
  <r>
    <s v="Amelia"/>
    <s v="Wojtecka"/>
    <x v="0"/>
    <d v="2014-03-17T00:00:00"/>
    <d v="2014-03-17T00:00:00"/>
    <n v="680"/>
    <n v="1"/>
    <n v="30"/>
    <n v="710"/>
  </r>
  <r>
    <s v="Amadeusz"/>
    <s v="Helski"/>
    <x v="12"/>
    <d v="2014-03-18T00:00:00"/>
    <d v="2014-03-18T00:00:00"/>
    <n v="494.7"/>
    <n v="1"/>
    <n v="30"/>
    <n v="524.70000000000005"/>
  </r>
  <r>
    <s v="Kacper"/>
    <s v="Krajewski"/>
    <x v="2"/>
    <d v="2014-03-18T00:00:00"/>
    <d v="2014-03-18T00:00:00"/>
    <n v="178.5"/>
    <n v="1"/>
    <n v="30"/>
    <n v="208.5"/>
  </r>
  <r>
    <s v="Dorota"/>
    <s v="Morska"/>
    <x v="7"/>
    <d v="2014-03-18T00:00:00"/>
    <d v="2014-03-19T00:00:00"/>
    <n v="331.5"/>
    <n v="2"/>
    <n v="54"/>
    <n v="385.5"/>
  </r>
  <r>
    <s v="Wiktor"/>
    <s v="Czekan"/>
    <x v="12"/>
    <d v="2014-03-21T00:00:00"/>
    <d v="2014-03-25T00:00:00"/>
    <n v="1290.7"/>
    <n v="5"/>
    <n v="126"/>
    <n v="1416.7"/>
  </r>
  <r>
    <s v="Paulina"/>
    <s v="Dok"/>
    <x v="5"/>
    <d v="2014-03-21T00:00:00"/>
    <d v="2014-03-23T00:00:00"/>
    <n v="588.70000000000005"/>
    <n v="3"/>
    <n v="78"/>
    <n v="666.7"/>
  </r>
  <r>
    <s v="Jerzy"/>
    <s v="Dusznicki"/>
    <x v="12"/>
    <d v="2014-03-21T00:00:00"/>
    <d v="2014-03-25T00:00:00"/>
    <n v="1290.7"/>
    <n v="5"/>
    <n v="126"/>
    <n v="1416.7"/>
  </r>
  <r>
    <s v="Marek"/>
    <s v="Holski"/>
    <x v="1"/>
    <d v="2014-03-21T00:00:00"/>
    <d v="2014-03-22T00:00:00"/>
    <n v="295.39999999999998"/>
    <n v="2"/>
    <n v="54"/>
    <n v="349.4"/>
  </r>
  <r>
    <s v="Justyna"/>
    <s v="Krynicka"/>
    <x v="11"/>
    <d v="2014-03-21T00:00:00"/>
    <d v="2014-03-23T00:00:00"/>
    <n v="663.7"/>
    <n v="3"/>
    <n v="78"/>
    <n v="741.7"/>
  </r>
  <r>
    <s v="Tomasz"/>
    <s v="Rzepka"/>
    <x v="10"/>
    <d v="2014-03-21T00:00:00"/>
    <d v="2014-03-22T00:00:00"/>
    <n v="601"/>
    <n v="2"/>
    <n v="54"/>
    <n v="655"/>
  </r>
  <r>
    <s v="Karolina"/>
    <s v="Janes"/>
    <x v="1"/>
    <d v="2014-03-27T00:00:00"/>
    <d v="2014-03-28T00:00:00"/>
    <n v="295.39999999999998"/>
    <n v="2"/>
    <n v="54"/>
    <n v="349.4"/>
  </r>
  <r>
    <s v="Andrzej"/>
    <s v="Klajn"/>
    <x v="12"/>
    <d v="2014-03-27T00:00:00"/>
    <d v="2014-03-31T00:00:00"/>
    <n v="1290.7"/>
    <n v="5"/>
    <n v="126"/>
    <n v="1416.7"/>
  </r>
  <r>
    <s v="Zuzanna"/>
    <s v="Kowalska"/>
    <x v="8"/>
    <d v="2014-03-27T00:00:00"/>
    <d v="2014-03-31T00:00:00"/>
    <n v="794.8"/>
    <n v="5"/>
    <n v="126"/>
    <n v="920.8"/>
  </r>
  <r>
    <s v="Zofia"/>
    <s v="Seredycka"/>
    <x v="4"/>
    <d v="2014-03-27T00:00:00"/>
    <d v="2014-03-28T00:00:00"/>
    <n v="654.4"/>
    <n v="2"/>
    <n v="54"/>
    <n v="708.4"/>
  </r>
  <r>
    <s v="Rozalia"/>
    <s v="Siedlecka"/>
    <x v="12"/>
    <d v="2014-03-27T00:00:00"/>
    <d v="2014-03-28T00:00:00"/>
    <n v="693.7"/>
    <n v="2"/>
    <n v="54"/>
    <n v="747.7"/>
  </r>
  <r>
    <s v="Justyna"/>
    <s v="Tracz"/>
    <x v="1"/>
    <d v="2014-03-27T00:00:00"/>
    <d v="2014-03-30T00:00:00"/>
    <n v="573.4"/>
    <n v="4"/>
    <n v="102"/>
    <n v="675.4"/>
  </r>
  <r>
    <s v="Anna"/>
    <s v="Kaliska"/>
    <x v="8"/>
    <d v="2014-04-02T00:00:00"/>
    <d v="2014-04-04T00:00:00"/>
    <n v="536.79999999999995"/>
    <n v="3"/>
    <n v="78"/>
    <n v="614.79999999999995"/>
  </r>
  <r>
    <s v="Justyna"/>
    <s v="Laska"/>
    <x v="9"/>
    <d v="2014-04-02T00:00:00"/>
    <d v="2014-04-06T00:00:00"/>
    <n v="1015.8"/>
    <n v="5"/>
    <n v="126"/>
    <n v="1141.8"/>
  </r>
  <r>
    <s v="Bogumi"/>
    <s v="Lubelski"/>
    <x v="6"/>
    <d v="2014-04-02T00:00:00"/>
    <d v="2014-04-05T00:00:00"/>
    <n v="826"/>
    <n v="4"/>
    <n v="102"/>
    <n v="928"/>
  </r>
  <r>
    <s v="Maria"/>
    <s v="Ozimek"/>
    <x v="3"/>
    <d v="2014-04-02T00:00:00"/>
    <d v="2014-04-06T00:00:00"/>
    <n v="1321.5"/>
    <n v="5"/>
    <n v="126"/>
    <n v="1447.5"/>
  </r>
  <r>
    <s v="Daria"/>
    <s v="Paryska"/>
    <x v="12"/>
    <d v="2014-04-02T00:00:00"/>
    <d v="2014-04-04T00:00:00"/>
    <n v="892.7"/>
    <n v="3"/>
    <n v="78"/>
    <n v="970.7"/>
  </r>
  <r>
    <s v="Jan"/>
    <s v="Suwski"/>
    <x v="1"/>
    <d v="2014-04-02T00:00:00"/>
    <d v="2014-04-03T00:00:00"/>
    <n v="295.39999999999998"/>
    <n v="2"/>
    <n v="54"/>
    <n v="349.4"/>
  </r>
  <r>
    <s v="Rozalia"/>
    <s v="Parad"/>
    <x v="8"/>
    <d v="2014-04-03T00:00:00"/>
    <d v="2014-04-07T00:00:00"/>
    <n v="794.8"/>
    <n v="5"/>
    <n v="126"/>
    <n v="920.8"/>
  </r>
  <r>
    <s v="Bonifacy"/>
    <s v="Barczewski"/>
    <x v="1"/>
    <d v="2014-04-08T00:00:00"/>
    <d v="2014-04-11T00:00:00"/>
    <n v="573.4"/>
    <n v="4"/>
    <n v="102"/>
    <n v="675.4"/>
  </r>
  <r>
    <s v="Piotr"/>
    <s v="Bojarun"/>
    <x v="10"/>
    <d v="2014-04-08T00:00:00"/>
    <d v="2014-04-10T00:00:00"/>
    <n v="760"/>
    <n v="3"/>
    <n v="78"/>
    <n v="838"/>
  </r>
  <r>
    <s v="Amadeusz"/>
    <s v="Helski"/>
    <x v="2"/>
    <d v="2014-04-08T00:00:00"/>
    <d v="2014-04-12T00:00:00"/>
    <n v="674.5"/>
    <n v="5"/>
    <n v="126"/>
    <n v="800.5"/>
  </r>
  <r>
    <s v="Dorota"/>
    <s v="Morska"/>
    <x v="2"/>
    <d v="2014-04-08T00:00:00"/>
    <d v="2014-04-11T00:00:00"/>
    <n v="550.5"/>
    <n v="4"/>
    <n v="102"/>
    <n v="652.5"/>
  </r>
  <r>
    <s v="Maria"/>
    <s v="Ozimek"/>
    <x v="12"/>
    <d v="2014-04-08T00:00:00"/>
    <d v="2014-04-11T00:00:00"/>
    <n v="1091.7"/>
    <n v="4"/>
    <n v="102"/>
    <n v="1193.7"/>
  </r>
  <r>
    <s v="January"/>
    <s v="Pluta"/>
    <x v="3"/>
    <d v="2014-04-08T00:00:00"/>
    <d v="2014-04-12T00:00:00"/>
    <n v="1321.5"/>
    <n v="5"/>
    <n v="126"/>
    <n v="1447.5"/>
  </r>
  <r>
    <s v="Sebastian"/>
    <s v="Argonski"/>
    <x v="12"/>
    <d v="2014-04-14T00:00:00"/>
    <d v="2014-04-18T00:00:00"/>
    <n v="1290.7"/>
    <n v="5"/>
    <n v="126"/>
    <n v="1416.7"/>
  </r>
  <r>
    <s v="Jerzy"/>
    <s v="Dusznicki"/>
    <x v="0"/>
    <d v="2014-04-14T00:00:00"/>
    <d v="2014-04-16T00:00:00"/>
    <n v="1102"/>
    <n v="3"/>
    <n v="78"/>
    <n v="1180"/>
  </r>
  <r>
    <s v="Andrzej"/>
    <s v="Kolarski"/>
    <x v="0"/>
    <d v="2014-04-14T00:00:00"/>
    <d v="2014-04-15T00:00:00"/>
    <n v="891"/>
    <n v="2"/>
    <n v="54"/>
    <n v="945"/>
  </r>
  <r>
    <s v="Paulina"/>
    <s v="Maskor"/>
    <x v="0"/>
    <d v="2014-04-14T00:00:00"/>
    <d v="2014-04-17T00:00:00"/>
    <n v="1313"/>
    <n v="4"/>
    <n v="102"/>
    <n v="1415"/>
  </r>
  <r>
    <s v="Grzegorz"/>
    <s v="Podolski"/>
    <x v="3"/>
    <d v="2014-04-14T00:00:00"/>
    <d v="2014-04-15T00:00:00"/>
    <n v="706.5"/>
    <n v="2"/>
    <n v="54"/>
    <n v="760.5"/>
  </r>
  <r>
    <s v="Wiktor"/>
    <s v="Wroblewski"/>
    <x v="3"/>
    <d v="2014-04-14T00:00:00"/>
    <d v="2014-04-16T00:00:00"/>
    <n v="911.5"/>
    <n v="3"/>
    <n v="78"/>
    <n v="989.5"/>
  </r>
  <r>
    <s v="Justyna"/>
    <s v="Laska"/>
    <x v="4"/>
    <d v="2014-04-18T00:00:00"/>
    <d v="2014-04-18T00:00:00"/>
    <n v="513.4"/>
    <n v="1"/>
    <n v="30"/>
    <n v="543.4"/>
  </r>
  <r>
    <s v="Dominika"/>
    <s v="Bodera"/>
    <x v="12"/>
    <d v="2014-04-20T00:00:00"/>
    <d v="2014-04-22T00:00:00"/>
    <n v="892.7"/>
    <n v="3"/>
    <n v="78"/>
    <n v="970.7"/>
  </r>
  <r>
    <s v="Piotr"/>
    <s v="Malski"/>
    <x v="9"/>
    <d v="2014-04-20T00:00:00"/>
    <d v="2014-04-21T00:00:00"/>
    <n v="526.79999999999995"/>
    <n v="2"/>
    <n v="54"/>
    <n v="580.79999999999995"/>
  </r>
  <r>
    <s v="Justyna"/>
    <s v="Laska"/>
    <x v="10"/>
    <d v="2014-04-23T00:00:00"/>
    <d v="2014-04-24T00:00:00"/>
    <n v="601"/>
    <n v="2"/>
    <n v="54"/>
    <n v="655"/>
  </r>
  <r>
    <s v="Ewelia"/>
    <s v="Prus"/>
    <x v="9"/>
    <d v="2014-04-23T00:00:00"/>
    <d v="2014-04-24T00:00:00"/>
    <n v="526.79999999999995"/>
    <n v="2"/>
    <n v="54"/>
    <n v="580.79999999999995"/>
  </r>
  <r>
    <s v="Wiktor"/>
    <s v="Wroblewski"/>
    <x v="8"/>
    <d v="2014-04-24T00:00:00"/>
    <d v="2014-04-24T00:00:00"/>
    <n v="278.8"/>
    <n v="1"/>
    <n v="30"/>
    <n v="308.8"/>
  </r>
  <r>
    <s v="Marzena"/>
    <s v="Grab"/>
    <x v="8"/>
    <d v="2014-04-26T00:00:00"/>
    <d v="2014-04-30T00:00:00"/>
    <n v="794.8"/>
    <n v="5"/>
    <n v="126"/>
    <n v="920.8"/>
  </r>
  <r>
    <s v="Jerzy"/>
    <s v="Granica"/>
    <x v="10"/>
    <d v="2014-04-26T00:00:00"/>
    <d v="2014-04-29T00:00:00"/>
    <n v="919"/>
    <n v="4"/>
    <n v="102"/>
    <n v="1021"/>
  </r>
  <r>
    <s v="Marcin"/>
    <s v="Jarskarski"/>
    <x v="1"/>
    <d v="2014-04-26T00:00:00"/>
    <d v="2014-04-27T00:00:00"/>
    <n v="295.39999999999998"/>
    <n v="2"/>
    <n v="54"/>
    <n v="349.4"/>
  </r>
  <r>
    <s v="Jerzy"/>
    <s v="Misiek"/>
    <x v="9"/>
    <d v="2014-04-26T00:00:00"/>
    <d v="2014-04-27T00:00:00"/>
    <n v="526.79999999999995"/>
    <n v="2"/>
    <n v="54"/>
    <n v="580.79999999999995"/>
  </r>
  <r>
    <s v="Tomasz"/>
    <s v="Rzepka"/>
    <x v="4"/>
    <d v="2014-04-26T00:00:00"/>
    <d v="2014-04-29T00:00:00"/>
    <n v="936.4"/>
    <n v="4"/>
    <n v="102"/>
    <n v="1038.4000000000001"/>
  </r>
  <r>
    <s v="Jan"/>
    <s v="Rzymski"/>
    <x v="1"/>
    <d v="2014-04-26T00:00:00"/>
    <d v="2014-04-26T00:00:00"/>
    <n v="156.4"/>
    <n v="1"/>
    <n v="30"/>
    <n v="186.4"/>
  </r>
  <r>
    <s v="Karolina"/>
    <s v="Bizuta"/>
    <x v="3"/>
    <d v="2014-04-28T00:00:00"/>
    <d v="2014-04-29T00:00:00"/>
    <n v="706.5"/>
    <n v="2"/>
    <n v="54"/>
    <n v="760.5"/>
  </r>
  <r>
    <s v="Marzena"/>
    <s v="Gras"/>
    <x v="4"/>
    <d v="2014-05-02T00:00:00"/>
    <d v="2014-05-06T00:00:00"/>
    <n v="1077.4000000000001"/>
    <n v="5"/>
    <n v="126"/>
    <n v="1203.4000000000001"/>
  </r>
  <r>
    <s v="Sebastian"/>
    <s v="Halik"/>
    <x v="2"/>
    <d v="2014-05-02T00:00:00"/>
    <d v="2014-05-04T00:00:00"/>
    <n v="426.5"/>
    <n v="3"/>
    <n v="78"/>
    <n v="504.5"/>
  </r>
  <r>
    <s v="Janusz"/>
    <s v="Jurkicz"/>
    <x v="3"/>
    <d v="2014-05-02T00:00:00"/>
    <d v="2014-05-03T00:00:00"/>
    <n v="706.5"/>
    <n v="2"/>
    <n v="54"/>
    <n v="760.5"/>
  </r>
  <r>
    <s v="Patrycja"/>
    <s v="Andrycz"/>
    <x v="4"/>
    <d v="2014-05-05T00:00:00"/>
    <d v="2014-05-06T00:00:00"/>
    <n v="654.4"/>
    <n v="2"/>
    <n v="54"/>
    <n v="708.4"/>
  </r>
  <r>
    <s v="Piotr"/>
    <s v="Armowicz"/>
    <x v="5"/>
    <d v="2014-05-05T00:00:00"/>
    <d v="2014-05-05T00:00:00"/>
    <n v="290.7"/>
    <n v="1"/>
    <n v="30"/>
    <n v="320.7"/>
  </r>
  <r>
    <s v="Daria"/>
    <s v="Paryska"/>
    <x v="6"/>
    <d v="2014-05-06T00:00:00"/>
    <d v="2014-05-07T00:00:00"/>
    <n v="570"/>
    <n v="2"/>
    <n v="54"/>
    <n v="624"/>
  </r>
  <r>
    <s v="Kornel"/>
    <s v="Czerski"/>
    <x v="3"/>
    <d v="2014-05-08T00:00:00"/>
    <d v="2014-05-11T00:00:00"/>
    <n v="1116.5"/>
    <n v="4"/>
    <n v="102"/>
    <n v="1218.5"/>
  </r>
  <r>
    <s v="Edwina"/>
    <s v="Elawa"/>
    <x v="0"/>
    <d v="2014-05-08T00:00:00"/>
    <d v="2014-05-10T00:00:00"/>
    <n v="1102"/>
    <n v="3"/>
    <n v="78"/>
    <n v="1180"/>
  </r>
  <r>
    <s v="Ewa"/>
    <s v="Fidyk"/>
    <x v="2"/>
    <d v="2014-05-08T00:00:00"/>
    <d v="2014-05-09T00:00:00"/>
    <n v="302.5"/>
    <n v="2"/>
    <n v="54"/>
    <n v="356.5"/>
  </r>
  <r>
    <s v="Wojciech"/>
    <s v="Krokus"/>
    <x v="1"/>
    <d v="2014-05-08T00:00:00"/>
    <d v="2014-05-11T00:00:00"/>
    <n v="573.4"/>
    <n v="4"/>
    <n v="102"/>
    <n v="675.4"/>
  </r>
  <r>
    <s v="January"/>
    <s v="Pluta"/>
    <x v="4"/>
    <d v="2014-05-08T00:00:00"/>
    <d v="2014-05-11T00:00:00"/>
    <n v="936.4"/>
    <n v="4"/>
    <n v="102"/>
    <n v="1038.4000000000001"/>
  </r>
  <r>
    <s v="Ewelia"/>
    <s v="Prus"/>
    <x v="11"/>
    <d v="2014-05-08T00:00:00"/>
    <d v="2014-05-12T00:00:00"/>
    <n v="1019.7"/>
    <n v="5"/>
    <n v="126"/>
    <n v="1145.7"/>
  </r>
  <r>
    <s v="Dominika"/>
    <s v="Bodera"/>
    <x v="1"/>
    <d v="2014-05-14T00:00:00"/>
    <d v="2014-05-17T00:00:00"/>
    <n v="573.4"/>
    <n v="4"/>
    <n v="102"/>
    <n v="675.4"/>
  </r>
  <r>
    <s v="Piotr"/>
    <s v="Bojarun"/>
    <x v="5"/>
    <d v="2014-05-14T00:00:00"/>
    <d v="2014-05-18T00:00:00"/>
    <n v="886.7"/>
    <n v="5"/>
    <n v="126"/>
    <n v="1012.7"/>
  </r>
  <r>
    <s v="Jerzy"/>
    <s v="Dusznicki"/>
    <x v="4"/>
    <d v="2014-05-14T00:00:00"/>
    <d v="2014-05-18T00:00:00"/>
    <n v="1077.4000000000001"/>
    <n v="5"/>
    <n v="126"/>
    <n v="1203.4000000000001"/>
  </r>
  <r>
    <s v="Marzena"/>
    <s v="Grab"/>
    <x v="5"/>
    <d v="2014-05-14T00:00:00"/>
    <d v="2014-05-15T00:00:00"/>
    <n v="439.7"/>
    <n v="2"/>
    <n v="54"/>
    <n v="493.7"/>
  </r>
  <r>
    <s v="Sebastian"/>
    <s v="Halik"/>
    <x v="5"/>
    <d v="2014-05-14T00:00:00"/>
    <d v="2014-05-16T00:00:00"/>
    <n v="588.70000000000005"/>
    <n v="3"/>
    <n v="78"/>
    <n v="666.7"/>
  </r>
  <r>
    <s v="Rozalia"/>
    <s v="Parad"/>
    <x v="8"/>
    <d v="2014-05-14T00:00:00"/>
    <d v="2014-05-15T00:00:00"/>
    <n v="407.8"/>
    <n v="2"/>
    <n v="54"/>
    <n v="461.8"/>
  </r>
  <r>
    <s v="Sebastian"/>
    <s v="Puchacz"/>
    <x v="5"/>
    <d v="2014-05-14T00:00:00"/>
    <d v="2014-05-16T00:00:00"/>
    <n v="588.70000000000005"/>
    <n v="3"/>
    <n v="78"/>
    <n v="666.7"/>
  </r>
  <r>
    <s v="Andrzej"/>
    <s v="Kolarski"/>
    <x v="12"/>
    <d v="2014-05-20T00:00:00"/>
    <d v="2014-05-21T00:00:00"/>
    <n v="693.7"/>
    <n v="2"/>
    <n v="54"/>
    <n v="747.7"/>
  </r>
  <r>
    <s v="Piotr"/>
    <s v="Malski"/>
    <x v="2"/>
    <d v="2014-05-20T00:00:00"/>
    <d v="2014-05-24T00:00:00"/>
    <n v="674.5"/>
    <n v="5"/>
    <n v="126"/>
    <n v="800.5"/>
  </r>
  <r>
    <s v="Teresa"/>
    <s v="Moskiewska"/>
    <x v="7"/>
    <d v="2014-05-20T00:00:00"/>
    <d v="2014-05-23T00:00:00"/>
    <n v="569.5"/>
    <n v="4"/>
    <n v="102"/>
    <n v="671.5"/>
  </r>
  <r>
    <s v="Daria"/>
    <s v="Paryska"/>
    <x v="6"/>
    <d v="2014-05-20T00:00:00"/>
    <d v="2014-05-23T00:00:00"/>
    <n v="826"/>
    <n v="4"/>
    <n v="102"/>
    <n v="928"/>
  </r>
  <r>
    <s v="Krystyna"/>
    <s v="Pleszewska"/>
    <x v="5"/>
    <d v="2014-05-20T00:00:00"/>
    <d v="2014-05-24T00:00:00"/>
    <n v="886.7"/>
    <n v="5"/>
    <n v="126"/>
    <n v="1012.7"/>
  </r>
  <r>
    <s v="Jan"/>
    <s v="Rzymski"/>
    <x v="11"/>
    <d v="2014-05-20T00:00:00"/>
    <d v="2014-05-23T00:00:00"/>
    <n v="841.7"/>
    <n v="4"/>
    <n v="102"/>
    <n v="943.7"/>
  </r>
  <r>
    <s v="Piotr"/>
    <s v="Armowicz"/>
    <x v="12"/>
    <d v="2014-05-26T00:00:00"/>
    <d v="2014-05-28T00:00:00"/>
    <n v="892.7"/>
    <n v="3"/>
    <n v="78"/>
    <n v="970.7"/>
  </r>
  <r>
    <s v="Wiktor"/>
    <s v="Budzis"/>
    <x v="11"/>
    <d v="2014-05-26T00:00:00"/>
    <d v="2014-05-30T00:00:00"/>
    <n v="1019.7"/>
    <n v="5"/>
    <n v="126"/>
    <n v="1145.7"/>
  </r>
  <r>
    <s v="Eustachy"/>
    <s v="Bydgoski"/>
    <x v="1"/>
    <d v="2014-05-26T00:00:00"/>
    <d v="2014-05-28T00:00:00"/>
    <n v="434.4"/>
    <n v="3"/>
    <n v="78"/>
    <n v="512.4"/>
  </r>
  <r>
    <s v="Amelia"/>
    <s v="Calika"/>
    <x v="10"/>
    <d v="2014-05-26T00:00:00"/>
    <d v="2014-05-29T00:00:00"/>
    <n v="919"/>
    <n v="4"/>
    <n v="102"/>
    <n v="1021"/>
  </r>
  <r>
    <s v="Jerzy"/>
    <s v="Granica"/>
    <x v="10"/>
    <d v="2014-05-26T00:00:00"/>
    <d v="2014-05-29T00:00:00"/>
    <n v="919"/>
    <n v="4"/>
    <n v="102"/>
    <n v="1021"/>
  </r>
  <r>
    <s v="January"/>
    <s v="Pluta"/>
    <x v="10"/>
    <d v="2014-05-26T00:00:00"/>
    <d v="2014-05-28T00:00:00"/>
    <n v="760"/>
    <n v="3"/>
    <n v="78"/>
    <n v="838"/>
  </r>
  <r>
    <s v="Piotr"/>
    <s v="Armowicz"/>
    <x v="4"/>
    <d v="2014-06-01T00:00:00"/>
    <d v="2014-06-04T00:00:00"/>
    <n v="936.4"/>
    <n v="4"/>
    <n v="102"/>
    <n v="1038.4000000000001"/>
  </r>
  <r>
    <s v="Anna"/>
    <s v="Augustowska"/>
    <x v="5"/>
    <d v="2014-06-01T00:00:00"/>
    <d v="2014-06-04T00:00:00"/>
    <n v="737.7"/>
    <n v="4"/>
    <n v="102"/>
    <n v="839.7"/>
  </r>
  <r>
    <s v="Zofia"/>
    <s v="Budzianowska"/>
    <x v="5"/>
    <d v="2014-06-01T00:00:00"/>
    <d v="2014-06-05T00:00:00"/>
    <n v="886.7"/>
    <n v="5"/>
    <n v="126"/>
    <n v="1012.7"/>
  </r>
  <r>
    <s v="Jerzy"/>
    <s v="Dusznicki"/>
    <x v="7"/>
    <d v="2014-06-01T00:00:00"/>
    <d v="2014-06-03T00:00:00"/>
    <n v="450.5"/>
    <n v="3"/>
    <n v="78"/>
    <n v="528.5"/>
  </r>
  <r>
    <s v="Edwina"/>
    <s v="Elawa"/>
    <x v="4"/>
    <d v="2014-06-01T00:00:00"/>
    <d v="2014-06-04T00:00:00"/>
    <n v="936.4"/>
    <n v="4"/>
    <n v="102"/>
    <n v="1038.4000000000001"/>
  </r>
  <r>
    <s v="Zuzanna"/>
    <s v="Piotrkowska"/>
    <x v="5"/>
    <d v="2014-06-01T00:00:00"/>
    <d v="2014-06-03T00:00:00"/>
    <n v="588.70000000000005"/>
    <n v="3"/>
    <n v="78"/>
    <n v="666.7"/>
  </r>
  <r>
    <s v="Piotr"/>
    <s v="Sworacz"/>
    <x v="10"/>
    <d v="2014-06-01T00:00:00"/>
    <d v="2014-06-03T00:00:00"/>
    <n v="760"/>
    <n v="3"/>
    <n v="78"/>
    <n v="838"/>
  </r>
  <r>
    <s v="Marzena"/>
    <s v="Grab"/>
    <x v="7"/>
    <d v="2014-06-02T00:00:00"/>
    <d v="2014-06-02T00:00:00"/>
    <n v="212.5"/>
    <n v="1"/>
    <n v="30"/>
    <n v="242.5"/>
  </r>
  <r>
    <s v="Jerzy"/>
    <s v="Granica"/>
    <x v="8"/>
    <d v="2014-06-02T00:00:00"/>
    <d v="2014-06-02T00:00:00"/>
    <n v="278.8"/>
    <n v="1"/>
    <n v="30"/>
    <n v="308.8"/>
  </r>
  <r>
    <s v="Piotr"/>
    <s v="Rajczakowski"/>
    <x v="5"/>
    <d v="2014-06-02T00:00:00"/>
    <d v="2014-06-04T00:00:00"/>
    <n v="588.70000000000005"/>
    <n v="3"/>
    <n v="78"/>
    <n v="666.7"/>
  </r>
  <r>
    <s v="Jan"/>
    <s v="Rzymski"/>
    <x v="8"/>
    <d v="2014-06-02T00:00:00"/>
    <d v="2014-06-02T00:00:00"/>
    <n v="278.8"/>
    <n v="1"/>
    <n v="30"/>
    <n v="308.8"/>
  </r>
  <r>
    <s v="Natalia"/>
    <s v="Idar"/>
    <x v="2"/>
    <d v="2014-06-03T00:00:00"/>
    <d v="2014-06-03T00:00:00"/>
    <n v="178.5"/>
    <n v="1"/>
    <n v="30"/>
    <n v="208.5"/>
  </r>
  <r>
    <s v="Sebastian"/>
    <s v="Puchacz"/>
    <x v="3"/>
    <d v="2014-06-03T00:00:00"/>
    <d v="2014-06-04T00:00:00"/>
    <n v="706.5"/>
    <n v="2"/>
    <n v="54"/>
    <n v="760.5"/>
  </r>
  <r>
    <s v="Ewa"/>
    <s v="Fidyk"/>
    <x v="7"/>
    <d v="2014-06-04T00:00:00"/>
    <d v="2014-06-05T00:00:00"/>
    <n v="331.5"/>
    <n v="2"/>
    <n v="54"/>
    <n v="385.5"/>
  </r>
  <r>
    <s v="Albert"/>
    <s v="Marakasz"/>
    <x v="6"/>
    <d v="2014-06-04T00:00:00"/>
    <d v="2014-06-05T00:00:00"/>
    <n v="570"/>
    <n v="2"/>
    <n v="54"/>
    <n v="624"/>
  </r>
  <r>
    <s v="Jan"/>
    <s v="Rzymski"/>
    <x v="3"/>
    <d v="2014-06-04T00:00:00"/>
    <d v="2014-06-05T00:00:00"/>
    <n v="706.5"/>
    <n v="2"/>
    <n v="54"/>
    <n v="760.5"/>
  </r>
  <r>
    <s v="Jerzy"/>
    <s v="Dusznicki"/>
    <x v="3"/>
    <d v="2014-06-05T00:00:00"/>
    <d v="2014-06-05T00:00:00"/>
    <n v="501.5"/>
    <n v="1"/>
    <n v="30"/>
    <n v="531.5"/>
  </r>
  <r>
    <s v="Patrycja"/>
    <s v="Andrycz"/>
    <x v="1"/>
    <d v="2014-06-07T00:00:00"/>
    <d v="2014-06-07T00:00:00"/>
    <n v="156.4"/>
    <n v="1"/>
    <n v="30"/>
    <n v="186.4"/>
  </r>
  <r>
    <s v="Zofia"/>
    <s v="Budzianowska"/>
    <x v="11"/>
    <d v="2014-06-07T00:00:00"/>
    <d v="2014-06-09T00:00:00"/>
    <n v="663.7"/>
    <n v="3"/>
    <n v="78"/>
    <n v="741.7"/>
  </r>
  <r>
    <s v="Adam"/>
    <s v="Falski"/>
    <x v="12"/>
    <d v="2014-06-07T00:00:00"/>
    <d v="2014-06-11T00:00:00"/>
    <n v="1290.7"/>
    <n v="5"/>
    <n v="126"/>
    <n v="1416.7"/>
  </r>
  <r>
    <s v="Dorota"/>
    <s v="Morska"/>
    <x v="1"/>
    <d v="2014-06-07T00:00:00"/>
    <d v="2014-06-11T00:00:00"/>
    <n v="712.4"/>
    <n v="5"/>
    <n v="126"/>
    <n v="838.4"/>
  </r>
  <r>
    <s v="Jan"/>
    <s v="Suwski"/>
    <x v="4"/>
    <d v="2014-06-07T00:00:00"/>
    <d v="2014-06-09T00:00:00"/>
    <n v="795.4"/>
    <n v="3"/>
    <n v="78"/>
    <n v="873.4"/>
  </r>
  <r>
    <s v="January"/>
    <s v="Pluta"/>
    <x v="11"/>
    <d v="2014-06-09T00:00:00"/>
    <d v="2014-06-10T00:00:00"/>
    <n v="485.7"/>
    <n v="2"/>
    <n v="54"/>
    <n v="539.70000000000005"/>
  </r>
  <r>
    <s v="Paulina"/>
    <s v="Basala"/>
    <x v="11"/>
    <d v="2014-06-13T00:00:00"/>
    <d v="2014-06-15T00:00:00"/>
    <n v="663.7"/>
    <n v="3"/>
    <n v="78"/>
    <n v="741.7"/>
  </r>
  <r>
    <s v="Wiktor"/>
    <s v="Budzis"/>
    <x v="10"/>
    <d v="2014-06-13T00:00:00"/>
    <d v="2014-06-17T00:00:00"/>
    <n v="1078"/>
    <n v="5"/>
    <n v="126"/>
    <n v="1204"/>
  </r>
  <r>
    <s v="Patrycja"/>
    <s v="Czarnoleska"/>
    <x v="12"/>
    <d v="2014-06-13T00:00:00"/>
    <d v="2014-06-13T00:00:00"/>
    <n v="494.7"/>
    <n v="1"/>
    <n v="30"/>
    <n v="524.70000000000005"/>
  </r>
  <r>
    <s v="Edwina"/>
    <s v="Elawa"/>
    <x v="8"/>
    <d v="2014-06-13T00:00:00"/>
    <d v="2014-06-17T00:00:00"/>
    <n v="794.8"/>
    <n v="5"/>
    <n v="126"/>
    <n v="920.8"/>
  </r>
  <r>
    <s v="Karolina"/>
    <s v="Janes"/>
    <x v="12"/>
    <d v="2014-06-13T00:00:00"/>
    <d v="2014-06-16T00:00:00"/>
    <n v="1091.7"/>
    <n v="4"/>
    <n v="102"/>
    <n v="1193.7"/>
  </r>
  <r>
    <s v="Andrzej"/>
    <s v="Kolarski"/>
    <x v="12"/>
    <d v="2014-06-13T00:00:00"/>
    <d v="2014-06-16T00:00:00"/>
    <n v="1091.7"/>
    <n v="4"/>
    <n v="102"/>
    <n v="1193.7"/>
  </r>
  <r>
    <s v="Zuzanna"/>
    <s v="Kowalska"/>
    <x v="8"/>
    <d v="2014-06-13T00:00:00"/>
    <d v="2014-06-17T00:00:00"/>
    <n v="794.8"/>
    <n v="5"/>
    <n v="126"/>
    <n v="920.8"/>
  </r>
  <r>
    <s v="Justyna"/>
    <s v="Krynicka"/>
    <x v="12"/>
    <d v="2014-06-13T00:00:00"/>
    <d v="2014-06-14T00:00:00"/>
    <n v="693.7"/>
    <n v="2"/>
    <n v="54"/>
    <n v="747.7"/>
  </r>
  <r>
    <s v="Ewa"/>
    <s v="Kwiska"/>
    <x v="12"/>
    <d v="2014-06-13T00:00:00"/>
    <d v="2014-06-15T00:00:00"/>
    <n v="892.7"/>
    <n v="3"/>
    <n v="78"/>
    <n v="970.7"/>
  </r>
  <r>
    <s v="Zyta"/>
    <s v="Mazurkiewicz"/>
    <x v="9"/>
    <d v="2014-06-13T00:00:00"/>
    <d v="2014-06-16T00:00:00"/>
    <n v="852.8"/>
    <n v="4"/>
    <n v="102"/>
    <n v="954.8"/>
  </r>
  <r>
    <s v="Teresa"/>
    <s v="Moskiewska"/>
    <x v="12"/>
    <d v="2014-06-13T00:00:00"/>
    <d v="2014-06-13T00:00:00"/>
    <n v="494.7"/>
    <n v="1"/>
    <n v="30"/>
    <n v="524.70000000000005"/>
  </r>
  <r>
    <s v="Ewelia"/>
    <s v="Nyska"/>
    <x v="6"/>
    <d v="2014-06-13T00:00:00"/>
    <d v="2014-06-13T00:00:00"/>
    <n v="442"/>
    <n v="1"/>
    <n v="30"/>
    <n v="472"/>
  </r>
  <r>
    <s v="Rozalia"/>
    <s v="Parad"/>
    <x v="11"/>
    <d v="2014-06-13T00:00:00"/>
    <d v="2014-06-15T00:00:00"/>
    <n v="663.7"/>
    <n v="3"/>
    <n v="78"/>
    <n v="741.7"/>
  </r>
  <r>
    <s v="Krystyna"/>
    <s v="Pleszewska"/>
    <x v="0"/>
    <d v="2014-06-13T00:00:00"/>
    <d v="2014-06-16T00:00:00"/>
    <n v="1313"/>
    <n v="4"/>
    <n v="102"/>
    <n v="1415"/>
  </r>
  <r>
    <s v="Anna"/>
    <s v="Sobecka"/>
    <x v="3"/>
    <d v="2014-06-13T00:00:00"/>
    <d v="2014-06-15T00:00:00"/>
    <n v="911.5"/>
    <n v="3"/>
    <n v="78"/>
    <n v="989.5"/>
  </r>
  <r>
    <s v="Albert"/>
    <s v="Marakasz"/>
    <x v="10"/>
    <d v="2014-06-16T00:00:00"/>
    <d v="2014-06-17T00:00:00"/>
    <n v="601"/>
    <n v="2"/>
    <n v="54"/>
    <n v="655"/>
  </r>
  <r>
    <s v="Ewelia"/>
    <s v="Prus"/>
    <x v="6"/>
    <d v="2014-06-16T00:00:00"/>
    <d v="2014-06-16T00:00:00"/>
    <n v="442"/>
    <n v="1"/>
    <n v="30"/>
    <n v="472"/>
  </r>
  <r>
    <s v="Kacper"/>
    <s v="Krajewski"/>
    <x v="7"/>
    <d v="2014-06-19T00:00:00"/>
    <d v="2014-06-22T00:00:00"/>
    <n v="569.5"/>
    <n v="4"/>
    <n v="102"/>
    <n v="671.5"/>
  </r>
  <r>
    <s v="Zyta"/>
    <s v="Mazurkiewicz"/>
    <x v="5"/>
    <d v="2014-06-19T00:00:00"/>
    <d v="2014-06-20T00:00:00"/>
    <n v="439.7"/>
    <n v="2"/>
    <n v="54"/>
    <n v="493.7"/>
  </r>
  <r>
    <s v="Ewelia"/>
    <s v="Nyska"/>
    <x v="11"/>
    <d v="2014-06-19T00:00:00"/>
    <d v="2014-06-22T00:00:00"/>
    <n v="841.7"/>
    <n v="4"/>
    <n v="102"/>
    <n v="943.7"/>
  </r>
  <r>
    <s v="Katarzyna"/>
    <s v="Piotrowska"/>
    <x v="4"/>
    <d v="2014-06-19T00:00:00"/>
    <d v="2014-06-21T00:00:00"/>
    <n v="795.4"/>
    <n v="3"/>
    <n v="78"/>
    <n v="873.4"/>
  </r>
  <r>
    <s v="Kamil"/>
    <s v="Pomorski"/>
    <x v="12"/>
    <d v="2014-06-19T00:00:00"/>
    <d v="2014-06-23T00:00:00"/>
    <n v="1290.7"/>
    <n v="5"/>
    <n v="126"/>
    <n v="1416.7"/>
  </r>
  <r>
    <s v="Kamil"/>
    <s v="Zabrzeski"/>
    <x v="6"/>
    <d v="2014-06-19T00:00:00"/>
    <d v="2014-06-21T00:00:00"/>
    <n v="698"/>
    <n v="3"/>
    <n v="78"/>
    <n v="776"/>
  </r>
  <r>
    <s v="Bonifacy"/>
    <s v="Barczewski"/>
    <x v="5"/>
    <d v="2014-06-25T00:00:00"/>
    <d v="2014-06-26T00:00:00"/>
    <n v="439.7"/>
    <n v="2"/>
    <n v="54"/>
    <n v="493.7"/>
  </r>
  <r>
    <s v="Paulina"/>
    <s v="Dok"/>
    <x v="12"/>
    <d v="2014-06-25T00:00:00"/>
    <d v="2014-06-25T00:00:00"/>
    <n v="494.7"/>
    <n v="1"/>
    <n v="30"/>
    <n v="524.70000000000005"/>
  </r>
  <r>
    <s v="Paulina"/>
    <s v="Dok"/>
    <x v="3"/>
    <d v="2014-06-25T00:00:00"/>
    <d v="2014-06-27T00:00:00"/>
    <n v="911.5"/>
    <n v="3"/>
    <n v="78"/>
    <n v="989.5"/>
  </r>
  <r>
    <s v="Olivia"/>
    <s v="Gabor"/>
    <x v="0"/>
    <d v="2014-06-25T00:00:00"/>
    <d v="2014-06-26T00:00:00"/>
    <n v="891"/>
    <n v="2"/>
    <n v="54"/>
    <n v="945"/>
  </r>
  <r>
    <s v="Amadeusz"/>
    <s v="Helski"/>
    <x v="8"/>
    <d v="2014-06-25T00:00:00"/>
    <d v="2014-06-28T00:00:00"/>
    <n v="665.8"/>
    <n v="4"/>
    <n v="102"/>
    <n v="767.8"/>
  </r>
  <r>
    <s v="Kacper"/>
    <s v="Krajewski"/>
    <x v="4"/>
    <d v="2014-06-25T00:00:00"/>
    <d v="2014-06-27T00:00:00"/>
    <n v="795.4"/>
    <n v="3"/>
    <n v="78"/>
    <n v="873.4"/>
  </r>
  <r>
    <s v="Justyna"/>
    <s v="Laska"/>
    <x v="4"/>
    <d v="2014-06-25T00:00:00"/>
    <d v="2014-06-26T00:00:00"/>
    <n v="654.4"/>
    <n v="2"/>
    <n v="54"/>
    <n v="708.4"/>
  </r>
  <r>
    <s v="Irma"/>
    <s v="Opoczna"/>
    <x v="5"/>
    <d v="2014-06-25T00:00:00"/>
    <d v="2014-06-28T00:00:00"/>
    <n v="737.7"/>
    <n v="4"/>
    <n v="102"/>
    <n v="839.7"/>
  </r>
  <r>
    <s v="Lidia"/>
    <s v="Opolska"/>
    <x v="5"/>
    <d v="2014-06-25T00:00:00"/>
    <d v="2014-06-29T00:00:00"/>
    <n v="886.7"/>
    <n v="5"/>
    <n v="126"/>
    <n v="1012.7"/>
  </r>
  <r>
    <s v="Krystyna"/>
    <s v="Pleszewska"/>
    <x v="1"/>
    <d v="2014-06-25T00:00:00"/>
    <d v="2014-06-26T00:00:00"/>
    <n v="295.39999999999998"/>
    <n v="2"/>
    <n v="54"/>
    <n v="349.4"/>
  </r>
  <r>
    <s v="Karolina"/>
    <s v="Podkalicka"/>
    <x v="9"/>
    <d v="2014-06-25T00:00:00"/>
    <d v="2014-06-27T00:00:00"/>
    <n v="689.8"/>
    <n v="3"/>
    <n v="78"/>
    <n v="767.8"/>
  </r>
  <r>
    <s v="Sebastian"/>
    <s v="Puchacz"/>
    <x v="0"/>
    <d v="2014-06-25T00:00:00"/>
    <d v="2014-06-29T00:00:00"/>
    <n v="1524"/>
    <n v="5"/>
    <n v="126"/>
    <n v="1650"/>
  </r>
  <r>
    <s v="Piotr"/>
    <s v="Roman"/>
    <x v="1"/>
    <d v="2014-06-25T00:00:00"/>
    <d v="2014-06-26T00:00:00"/>
    <n v="295.39999999999998"/>
    <n v="2"/>
    <n v="54"/>
    <n v="349.4"/>
  </r>
  <r>
    <s v="Tomasz"/>
    <s v="Rzepka"/>
    <x v="10"/>
    <d v="2014-06-25T00:00:00"/>
    <d v="2014-06-27T00:00:00"/>
    <n v="760"/>
    <n v="3"/>
    <n v="78"/>
    <n v="838"/>
  </r>
  <r>
    <s v="Anna"/>
    <s v="Sobecka"/>
    <x v="4"/>
    <d v="2014-06-25T00:00:00"/>
    <d v="2014-06-27T00:00:00"/>
    <n v="795.4"/>
    <n v="3"/>
    <n v="78"/>
    <n v="873.4"/>
  </r>
  <r>
    <s v="Adam"/>
    <s v="Wradoch"/>
    <x v="2"/>
    <d v="2014-06-25T00:00:00"/>
    <d v="2014-06-26T00:00:00"/>
    <n v="302.5"/>
    <n v="2"/>
    <n v="54"/>
    <n v="356.5"/>
  </r>
  <r>
    <s v="Justyna"/>
    <s v="Laska"/>
    <x v="9"/>
    <d v="2014-06-28T00:00:00"/>
    <d v="2014-06-28T00:00:00"/>
    <n v="363.8"/>
    <n v="1"/>
    <n v="30"/>
    <n v="393.8"/>
  </r>
  <r>
    <s v="Piotr"/>
    <s v="Bojarun"/>
    <x v="12"/>
    <d v="2014-07-01T00:00:00"/>
    <d v="2014-07-05T00:00:00"/>
    <n v="1290.7"/>
    <n v="5"/>
    <n v="126"/>
    <n v="1416.7"/>
  </r>
  <r>
    <s v="Andrzej"/>
    <s v="Kolarski"/>
    <x v="4"/>
    <d v="2014-07-01T00:00:00"/>
    <d v="2014-07-05T00:00:00"/>
    <n v="1077.4000000000001"/>
    <n v="5"/>
    <n v="126"/>
    <n v="1203.4000000000001"/>
  </r>
  <r>
    <s v="Michalina"/>
    <s v="Lamda"/>
    <x v="11"/>
    <d v="2014-07-01T00:00:00"/>
    <d v="2014-07-03T00:00:00"/>
    <n v="663.7"/>
    <n v="3"/>
    <n v="78"/>
    <n v="741.7"/>
  </r>
  <r>
    <s v="Bogumi"/>
    <s v="Lubelski"/>
    <x v="2"/>
    <d v="2014-07-01T00:00:00"/>
    <d v="2014-07-05T00:00:00"/>
    <n v="674.5"/>
    <n v="5"/>
    <n v="126"/>
    <n v="800.5"/>
  </r>
  <r>
    <s v="Teresa"/>
    <s v="Moskiewska"/>
    <x v="3"/>
    <d v="2014-07-01T00:00:00"/>
    <d v="2014-07-03T00:00:00"/>
    <n v="911.5"/>
    <n v="3"/>
    <n v="78"/>
    <n v="989.5"/>
  </r>
  <r>
    <s v="Ewelia"/>
    <s v="Prus"/>
    <x v="2"/>
    <d v="2014-07-01T00:00:00"/>
    <d v="2014-07-04T00:00:00"/>
    <n v="550.5"/>
    <n v="4"/>
    <n v="102"/>
    <n v="652.5"/>
  </r>
  <r>
    <s v="Anna"/>
    <s v="Augustowska"/>
    <x v="12"/>
    <d v="2014-07-07T00:00:00"/>
    <d v="2014-07-09T00:00:00"/>
    <n v="892.7"/>
    <n v="3"/>
    <n v="78"/>
    <n v="970.7"/>
  </r>
  <r>
    <s v="Wiktor"/>
    <s v="Czekan"/>
    <x v="6"/>
    <d v="2014-07-07T00:00:00"/>
    <d v="2014-07-09T00:00:00"/>
    <n v="698"/>
    <n v="3"/>
    <n v="78"/>
    <n v="776"/>
  </r>
  <r>
    <s v="Jerzy"/>
    <s v="Dusznicki"/>
    <x v="5"/>
    <d v="2014-07-07T00:00:00"/>
    <d v="2014-07-10T00:00:00"/>
    <n v="737.7"/>
    <n v="4"/>
    <n v="102"/>
    <n v="839.7"/>
  </r>
  <r>
    <s v="Jerzy"/>
    <s v="Granica"/>
    <x v="8"/>
    <d v="2014-07-07T00:00:00"/>
    <d v="2014-07-08T00:00:00"/>
    <n v="407.8"/>
    <n v="2"/>
    <n v="54"/>
    <n v="461.8"/>
  </r>
  <r>
    <s v="Amadeusz"/>
    <s v="Helski"/>
    <x v="10"/>
    <d v="2014-07-07T00:00:00"/>
    <d v="2014-07-10T00:00:00"/>
    <n v="919"/>
    <n v="4"/>
    <n v="102"/>
    <n v="1021"/>
  </r>
  <r>
    <s v="Marcin"/>
    <s v="Jarskarski"/>
    <x v="5"/>
    <d v="2014-07-07T00:00:00"/>
    <d v="2014-07-08T00:00:00"/>
    <n v="439.7"/>
    <n v="2"/>
    <n v="54"/>
    <n v="493.7"/>
  </r>
  <r>
    <s v="Andrzej"/>
    <s v="Kolarski"/>
    <x v="4"/>
    <d v="2014-07-07T00:00:00"/>
    <d v="2014-07-09T00:00:00"/>
    <n v="795.4"/>
    <n v="3"/>
    <n v="78"/>
    <n v="873.4"/>
  </r>
  <r>
    <s v="Bogumi"/>
    <s v="Lubelski"/>
    <x v="2"/>
    <d v="2014-07-07T00:00:00"/>
    <d v="2014-07-08T00:00:00"/>
    <n v="302.5"/>
    <n v="2"/>
    <n v="54"/>
    <n v="356.5"/>
  </r>
  <r>
    <s v="Albert"/>
    <s v="Marakasz"/>
    <x v="9"/>
    <d v="2014-07-07T00:00:00"/>
    <d v="2014-07-07T00:00:00"/>
    <n v="363.8"/>
    <n v="1"/>
    <n v="30"/>
    <n v="393.8"/>
  </r>
  <r>
    <s v="Lidia"/>
    <s v="Opolska"/>
    <x v="8"/>
    <d v="2014-07-07T00:00:00"/>
    <d v="2014-07-11T00:00:00"/>
    <n v="794.8"/>
    <n v="5"/>
    <n v="126"/>
    <n v="920.8"/>
  </r>
  <r>
    <s v="Maria"/>
    <s v="Ozimek"/>
    <x v="8"/>
    <d v="2014-07-07T00:00:00"/>
    <d v="2014-07-11T00:00:00"/>
    <n v="794.8"/>
    <n v="5"/>
    <n v="126"/>
    <n v="920.8"/>
  </r>
  <r>
    <s v="Narcyz"/>
    <s v="Polanicki"/>
    <x v="1"/>
    <d v="2014-07-07T00:00:00"/>
    <d v="2014-07-08T00:00:00"/>
    <n v="295.39999999999998"/>
    <n v="2"/>
    <n v="54"/>
    <n v="349.4"/>
  </r>
  <r>
    <s v="Gustaw"/>
    <s v="Poznanski"/>
    <x v="3"/>
    <d v="2014-07-07T00:00:00"/>
    <d v="2014-07-08T00:00:00"/>
    <n v="706.5"/>
    <n v="2"/>
    <n v="54"/>
    <n v="760.5"/>
  </r>
  <r>
    <s v="Piotr"/>
    <s v="Rajczakowski"/>
    <x v="11"/>
    <d v="2014-07-07T00:00:00"/>
    <d v="2014-07-08T00:00:00"/>
    <n v="485.7"/>
    <n v="2"/>
    <n v="54"/>
    <n v="539.70000000000005"/>
  </r>
  <r>
    <s v="Jan"/>
    <s v="Rzymski"/>
    <x v="11"/>
    <d v="2014-07-07T00:00:00"/>
    <d v="2014-07-10T00:00:00"/>
    <n v="841.7"/>
    <n v="4"/>
    <n v="102"/>
    <n v="943.7"/>
  </r>
  <r>
    <s v="Albert"/>
    <s v="Marakasz"/>
    <x v="10"/>
    <d v="2014-07-10T00:00:00"/>
    <d v="2014-07-10T00:00:00"/>
    <n v="442"/>
    <n v="1"/>
    <n v="30"/>
    <n v="472"/>
  </r>
  <r>
    <s v="Wiktor"/>
    <s v="Czekan"/>
    <x v="2"/>
    <d v="2014-07-11T00:00:00"/>
    <d v="2014-07-11T00:00:00"/>
    <n v="178.5"/>
    <n v="1"/>
    <n v="30"/>
    <n v="208.5"/>
  </r>
  <r>
    <s v="Sebastian"/>
    <s v="Argonski"/>
    <x v="9"/>
    <d v="2014-07-13T00:00:00"/>
    <d v="2014-07-16T00:00:00"/>
    <n v="852.8"/>
    <n v="4"/>
    <n v="102"/>
    <n v="954.8"/>
  </r>
  <r>
    <s v="Marek"/>
    <s v="Trzeski"/>
    <x v="12"/>
    <d v="2014-07-13T00:00:00"/>
    <d v="2014-07-17T00:00:00"/>
    <n v="1290.7"/>
    <n v="5"/>
    <n v="126"/>
    <n v="1416.7"/>
  </r>
  <r>
    <s v="Piotr"/>
    <s v="Rajczakowski"/>
    <x v="3"/>
    <d v="2014-07-14T00:00:00"/>
    <d v="2014-07-14T00:00:00"/>
    <n v="501.5"/>
    <n v="1"/>
    <n v="30"/>
    <n v="531.5"/>
  </r>
  <r>
    <s v="Patrycja"/>
    <s v="Czarnoleska"/>
    <x v="11"/>
    <d v="2014-07-15T00:00:00"/>
    <d v="2014-07-15T00:00:00"/>
    <n v="307.7"/>
    <n v="1"/>
    <n v="30"/>
    <n v="337.7"/>
  </r>
  <r>
    <s v="Marcin"/>
    <s v="Jarskarski"/>
    <x v="1"/>
    <d v="2014-07-15T00:00:00"/>
    <d v="2014-07-16T00:00:00"/>
    <n v="295.39999999999998"/>
    <n v="2"/>
    <n v="54"/>
    <n v="349.4"/>
  </r>
  <r>
    <s v="Wojciech"/>
    <s v="Magierowcz"/>
    <x v="4"/>
    <d v="2014-07-15T00:00:00"/>
    <d v="2014-07-15T00:00:00"/>
    <n v="513.4"/>
    <n v="1"/>
    <n v="30"/>
    <n v="543.4"/>
  </r>
  <r>
    <s v="Paulina"/>
    <s v="Chorzowska"/>
    <x v="6"/>
    <d v="2014-07-17T00:00:00"/>
    <d v="2014-07-17T00:00:00"/>
    <n v="442"/>
    <n v="1"/>
    <n v="30"/>
    <n v="472"/>
  </r>
  <r>
    <s v="Janina"/>
    <s v="Bolanowska"/>
    <x v="8"/>
    <d v="2014-07-19T00:00:00"/>
    <d v="2014-07-23T00:00:00"/>
    <n v="794.8"/>
    <n v="5"/>
    <n v="126"/>
    <n v="920.8"/>
  </r>
  <r>
    <s v="Janina"/>
    <s v="Bolanowska"/>
    <x v="2"/>
    <d v="2014-07-19T00:00:00"/>
    <d v="2014-07-22T00:00:00"/>
    <n v="550.5"/>
    <n v="4"/>
    <n v="102"/>
    <n v="652.5"/>
  </r>
  <r>
    <s v="Zofia"/>
    <s v="Budzianowska"/>
    <x v="9"/>
    <d v="2014-07-19T00:00:00"/>
    <d v="2014-07-20T00:00:00"/>
    <n v="526.79999999999995"/>
    <n v="2"/>
    <n v="54"/>
    <n v="580.79999999999995"/>
  </r>
  <r>
    <s v="Patrycja"/>
    <s v="Czarnoleska"/>
    <x v="7"/>
    <d v="2014-07-19T00:00:00"/>
    <d v="2014-07-23T00:00:00"/>
    <n v="688.5"/>
    <n v="5"/>
    <n v="126"/>
    <n v="814.5"/>
  </r>
  <r>
    <s v="Paulina"/>
    <s v="Dok"/>
    <x v="4"/>
    <d v="2014-07-19T00:00:00"/>
    <d v="2014-07-20T00:00:00"/>
    <n v="654.4"/>
    <n v="2"/>
    <n v="54"/>
    <n v="708.4"/>
  </r>
  <r>
    <s v="Jerzy"/>
    <s v="Dusznicki"/>
    <x v="11"/>
    <d v="2014-07-19T00:00:00"/>
    <d v="2014-07-20T00:00:00"/>
    <n v="485.7"/>
    <n v="2"/>
    <n v="54"/>
    <n v="539.70000000000005"/>
  </r>
  <r>
    <s v="Edwina"/>
    <s v="Elawa"/>
    <x v="1"/>
    <d v="2014-07-19T00:00:00"/>
    <d v="2014-07-20T00:00:00"/>
    <n v="295.39999999999998"/>
    <n v="2"/>
    <n v="54"/>
    <n v="349.4"/>
  </r>
  <r>
    <s v="Adam"/>
    <s v="Falski"/>
    <x v="5"/>
    <d v="2014-07-19T00:00:00"/>
    <d v="2014-07-23T00:00:00"/>
    <n v="886.7"/>
    <n v="5"/>
    <n v="126"/>
    <n v="1012.7"/>
  </r>
  <r>
    <s v="Justyna"/>
    <s v="Laska"/>
    <x v="5"/>
    <d v="2014-07-19T00:00:00"/>
    <d v="2014-07-20T00:00:00"/>
    <n v="439.7"/>
    <n v="2"/>
    <n v="54"/>
    <n v="493.7"/>
  </r>
  <r>
    <s v="Marta"/>
    <s v="Nowowiejska"/>
    <x v="5"/>
    <d v="2014-07-19T00:00:00"/>
    <d v="2014-07-21T00:00:00"/>
    <n v="588.70000000000005"/>
    <n v="3"/>
    <n v="78"/>
    <n v="666.7"/>
  </r>
  <r>
    <s v="Irma"/>
    <s v="Opoczna"/>
    <x v="4"/>
    <d v="2014-07-19T00:00:00"/>
    <d v="2014-07-21T00:00:00"/>
    <n v="795.4"/>
    <n v="3"/>
    <n v="78"/>
    <n v="873.4"/>
  </r>
  <r>
    <s v="Piotr"/>
    <s v="Rajczakowski"/>
    <x v="1"/>
    <d v="2014-07-19T00:00:00"/>
    <d v="2014-07-19T00:00:00"/>
    <n v="156.4"/>
    <n v="1"/>
    <n v="30"/>
    <n v="186.4"/>
  </r>
  <r>
    <s v="Wiktor"/>
    <s v="Wroblewski"/>
    <x v="4"/>
    <d v="2014-07-19T00:00:00"/>
    <d v="2014-07-23T00:00:00"/>
    <n v="1077.4000000000001"/>
    <n v="5"/>
    <n v="126"/>
    <n v="1203.4000000000001"/>
  </r>
  <r>
    <s v="Marcin"/>
    <s v="Jarskarski"/>
    <x v="0"/>
    <d v="2014-07-21T00:00:00"/>
    <d v="2014-07-21T00:00:00"/>
    <n v="680"/>
    <n v="1"/>
    <n v="30"/>
    <n v="710"/>
  </r>
  <r>
    <s v="Katarzyna"/>
    <s v="Piotrowska"/>
    <x v="12"/>
    <d v="2014-07-21T00:00:00"/>
    <d v="2014-07-23T00:00:00"/>
    <n v="892.7"/>
    <n v="3"/>
    <n v="78"/>
    <n v="970.7"/>
  </r>
  <r>
    <s v="Rozalia"/>
    <s v="Siedlecka"/>
    <x v="11"/>
    <d v="2014-07-21T00:00:00"/>
    <d v="2014-07-21T00:00:00"/>
    <n v="307.7"/>
    <n v="1"/>
    <n v="30"/>
    <n v="337.7"/>
  </r>
  <r>
    <s v="Anna"/>
    <s v="Augustowska"/>
    <x v="5"/>
    <d v="2014-07-25T00:00:00"/>
    <d v="2014-07-28T00:00:00"/>
    <n v="737.7"/>
    <n v="4"/>
    <n v="102"/>
    <n v="839.7"/>
  </r>
  <r>
    <s v="Dominika"/>
    <s v="Bodera"/>
    <x v="3"/>
    <d v="2014-07-25T00:00:00"/>
    <d v="2014-07-27T00:00:00"/>
    <n v="911.5"/>
    <n v="3"/>
    <n v="78"/>
    <n v="989.5"/>
  </r>
  <r>
    <s v="Kornel"/>
    <s v="Czerski"/>
    <x v="7"/>
    <d v="2014-07-25T00:00:00"/>
    <d v="2014-07-29T00:00:00"/>
    <n v="688.5"/>
    <n v="5"/>
    <n v="126"/>
    <n v="814.5"/>
  </r>
  <r>
    <s v="Marzena"/>
    <s v="Grab"/>
    <x v="7"/>
    <d v="2014-07-25T00:00:00"/>
    <d v="2014-07-29T00:00:00"/>
    <n v="688.5"/>
    <n v="5"/>
    <n v="126"/>
    <n v="814.5"/>
  </r>
  <r>
    <s v="Paulina"/>
    <s v="Maskor"/>
    <x v="1"/>
    <d v="2014-07-25T00:00:00"/>
    <d v="2014-07-29T00:00:00"/>
    <n v="712.4"/>
    <n v="5"/>
    <n v="126"/>
    <n v="838.4"/>
  </r>
  <r>
    <s v="Grzegorz"/>
    <s v="Podolski"/>
    <x v="3"/>
    <d v="2014-07-25T00:00:00"/>
    <d v="2014-07-26T00:00:00"/>
    <n v="706.5"/>
    <n v="2"/>
    <n v="54"/>
    <n v="760.5"/>
  </r>
  <r>
    <s v="Piotr"/>
    <s v="Armowicz"/>
    <x v="8"/>
    <d v="2014-07-31T00:00:00"/>
    <d v="2014-08-04T00:00:00"/>
    <n v="794.8"/>
    <n v="5"/>
    <n v="126"/>
    <n v="920.8"/>
  </r>
  <r>
    <s v="Piotr"/>
    <s v="Bojarun"/>
    <x v="12"/>
    <d v="2014-07-31T00:00:00"/>
    <d v="2014-08-03T00:00:00"/>
    <n v="1091.7"/>
    <n v="4"/>
    <n v="102"/>
    <n v="1193.7"/>
  </r>
  <r>
    <s v="Zofia"/>
    <s v="Budzianowska"/>
    <x v="12"/>
    <d v="2014-07-31T00:00:00"/>
    <d v="2014-08-02T00:00:00"/>
    <n v="892.7"/>
    <n v="3"/>
    <n v="78"/>
    <n v="970.7"/>
  </r>
  <r>
    <s v="Kornel"/>
    <s v="Czerski"/>
    <x v="6"/>
    <d v="2014-07-31T00:00:00"/>
    <d v="2014-08-01T00:00:00"/>
    <n v="570"/>
    <n v="2"/>
    <n v="54"/>
    <n v="624"/>
  </r>
  <r>
    <s v="Karolina"/>
    <s v="Janes"/>
    <x v="5"/>
    <d v="2014-07-31T00:00:00"/>
    <d v="2014-08-03T00:00:00"/>
    <n v="737.7"/>
    <n v="4"/>
    <n v="102"/>
    <n v="839.7"/>
  </r>
  <r>
    <s v="Andrzej"/>
    <s v="Kolarski"/>
    <x v="7"/>
    <d v="2014-07-31T00:00:00"/>
    <d v="2014-08-04T00:00:00"/>
    <n v="688.5"/>
    <n v="5"/>
    <n v="126"/>
    <n v="814.5"/>
  </r>
  <r>
    <s v="Michalina"/>
    <s v="Lamda"/>
    <x v="8"/>
    <d v="2014-07-31T00:00:00"/>
    <d v="2014-08-02T00:00:00"/>
    <n v="536.79999999999995"/>
    <n v="3"/>
    <n v="78"/>
    <n v="614.79999999999995"/>
  </r>
  <r>
    <s v="Albert"/>
    <s v="Marakasz"/>
    <x v="9"/>
    <d v="2014-07-31T00:00:00"/>
    <d v="2014-08-01T00:00:00"/>
    <n v="526.79999999999995"/>
    <n v="2"/>
    <n v="54"/>
    <n v="580.79999999999995"/>
  </r>
  <r>
    <s v="Kazimiera"/>
    <s v="Parczewska"/>
    <x v="0"/>
    <d v="2014-07-31T00:00:00"/>
    <d v="2014-08-04T00:00:00"/>
    <n v="1524"/>
    <n v="5"/>
    <n v="126"/>
    <n v="1650"/>
  </r>
  <r>
    <s v="Daria"/>
    <s v="Paryska"/>
    <x v="3"/>
    <d v="2014-07-31T00:00:00"/>
    <d v="2014-08-03T00:00:00"/>
    <n v="1116.5"/>
    <n v="4"/>
    <n v="102"/>
    <n v="1218.5"/>
  </r>
  <r>
    <s v="Zuzanna"/>
    <s v="Piotrkowska"/>
    <x v="1"/>
    <d v="2014-07-31T00:00:00"/>
    <d v="2014-08-01T00:00:00"/>
    <n v="295.39999999999998"/>
    <n v="2"/>
    <n v="54"/>
    <n v="349.4"/>
  </r>
  <r>
    <s v="Grzegorz"/>
    <s v="Podolski"/>
    <x v="12"/>
    <d v="2014-07-31T00:00:00"/>
    <d v="2014-08-01T00:00:00"/>
    <n v="693.7"/>
    <n v="2"/>
    <n v="54"/>
    <n v="747.7"/>
  </r>
  <r>
    <s v="Sebastian"/>
    <s v="Puchacz"/>
    <x v="10"/>
    <d v="2014-07-31T00:00:00"/>
    <d v="2014-08-01T00:00:00"/>
    <n v="601"/>
    <n v="2"/>
    <n v="54"/>
    <n v="655"/>
  </r>
  <r>
    <s v="Piotr"/>
    <s v="Roman"/>
    <x v="0"/>
    <d v="2014-07-31T00:00:00"/>
    <d v="2014-08-03T00:00:00"/>
    <n v="1313"/>
    <n v="4"/>
    <n v="102"/>
    <n v="1415"/>
  </r>
  <r>
    <s v="Tomasz"/>
    <s v="Rzepka"/>
    <x v="8"/>
    <d v="2014-07-31T00:00:00"/>
    <d v="2014-08-01T00:00:00"/>
    <n v="407.8"/>
    <n v="2"/>
    <n v="54"/>
    <n v="461.8"/>
  </r>
  <r>
    <s v="Jan"/>
    <s v="Rzymski"/>
    <x v="11"/>
    <d v="2014-07-31T00:00:00"/>
    <d v="2014-08-03T00:00:00"/>
    <n v="841.7"/>
    <n v="4"/>
    <n v="102"/>
    <n v="943.7"/>
  </r>
  <r>
    <s v="Zofia"/>
    <s v="Seredycka"/>
    <x v="6"/>
    <d v="2014-07-31T00:00:00"/>
    <d v="2014-08-04T00:00:00"/>
    <n v="954"/>
    <n v="5"/>
    <n v="126"/>
    <n v="1080"/>
  </r>
  <r>
    <s v="Piotr"/>
    <s v="Sworacz"/>
    <x v="7"/>
    <d v="2014-07-31T00:00:00"/>
    <d v="2014-08-02T00:00:00"/>
    <n v="450.5"/>
    <n v="3"/>
    <n v="78"/>
    <n v="528.5"/>
  </r>
  <r>
    <s v="Paulina"/>
    <s v="Basala"/>
    <x v="8"/>
    <d v="2014-08-06T00:00:00"/>
    <d v="2014-08-07T00:00:00"/>
    <n v="407.8"/>
    <n v="2"/>
    <n v="54"/>
    <n v="461.8"/>
  </r>
  <r>
    <s v="Bogumi"/>
    <s v="Lubelski"/>
    <x v="3"/>
    <d v="2014-08-06T00:00:00"/>
    <d v="2014-08-07T00:00:00"/>
    <n v="706.5"/>
    <n v="2"/>
    <n v="54"/>
    <n v="760.5"/>
  </r>
  <r>
    <s v="Jerzy"/>
    <s v="Misiek"/>
    <x v="6"/>
    <d v="2014-08-06T00:00:00"/>
    <d v="2014-08-10T00:00:00"/>
    <n v="954"/>
    <n v="5"/>
    <n v="126"/>
    <n v="1080"/>
  </r>
  <r>
    <s v="Piotr"/>
    <s v="Rajczakowski"/>
    <x v="7"/>
    <d v="2014-08-06T00:00:00"/>
    <d v="2014-08-10T00:00:00"/>
    <n v="688.5"/>
    <n v="5"/>
    <n v="126"/>
    <n v="814.5"/>
  </r>
  <r>
    <s v="Zofia"/>
    <s v="Seredycka"/>
    <x v="9"/>
    <d v="2014-08-06T00:00:00"/>
    <d v="2014-08-09T00:00:00"/>
    <n v="852.8"/>
    <n v="4"/>
    <n v="102"/>
    <n v="954.8"/>
  </r>
  <r>
    <s v="Bogumi"/>
    <s v="Lubelski"/>
    <x v="11"/>
    <d v="2014-08-09T00:00:00"/>
    <d v="2014-08-09T00:00:00"/>
    <n v="307.7"/>
    <n v="1"/>
    <n v="30"/>
    <n v="337.7"/>
  </r>
  <r>
    <s v="Patrycja"/>
    <s v="Andrycz"/>
    <x v="0"/>
    <d v="2014-08-12T00:00:00"/>
    <d v="2014-08-16T00:00:00"/>
    <n v="1524"/>
    <n v="5"/>
    <n v="126"/>
    <n v="1650"/>
  </r>
  <r>
    <s v="Anna"/>
    <s v="Augustowska"/>
    <x v="9"/>
    <d v="2014-08-12T00:00:00"/>
    <d v="2014-08-13T00:00:00"/>
    <n v="526.79999999999995"/>
    <n v="2"/>
    <n v="54"/>
    <n v="580.79999999999995"/>
  </r>
  <r>
    <s v="Zofia"/>
    <s v="Budzianowska"/>
    <x v="5"/>
    <d v="2014-08-12T00:00:00"/>
    <d v="2014-08-14T00:00:00"/>
    <n v="588.70000000000005"/>
    <n v="3"/>
    <n v="78"/>
    <n v="666.7"/>
  </r>
  <r>
    <s v="Eustachy"/>
    <s v="Bydgoski"/>
    <x v="5"/>
    <d v="2014-08-12T00:00:00"/>
    <d v="2014-08-12T00:00:00"/>
    <n v="290.7"/>
    <n v="1"/>
    <n v="30"/>
    <n v="320.7"/>
  </r>
  <r>
    <s v="Edwina"/>
    <s v="Elawa"/>
    <x v="11"/>
    <d v="2014-08-12T00:00:00"/>
    <d v="2014-08-14T00:00:00"/>
    <n v="663.7"/>
    <n v="3"/>
    <n v="78"/>
    <n v="741.7"/>
  </r>
  <r>
    <s v="Marzena"/>
    <s v="Grab"/>
    <x v="8"/>
    <d v="2014-08-12T00:00:00"/>
    <d v="2014-08-14T00:00:00"/>
    <n v="536.79999999999995"/>
    <n v="3"/>
    <n v="78"/>
    <n v="614.79999999999995"/>
  </r>
  <r>
    <s v="Justyna"/>
    <s v="Kolska"/>
    <x v="9"/>
    <d v="2014-08-12T00:00:00"/>
    <d v="2014-08-13T00:00:00"/>
    <n v="526.79999999999995"/>
    <n v="2"/>
    <n v="54"/>
    <n v="580.79999999999995"/>
  </r>
  <r>
    <s v="Wojciech"/>
    <s v="Krokus"/>
    <x v="0"/>
    <d v="2014-08-12T00:00:00"/>
    <d v="2014-08-13T00:00:00"/>
    <n v="891"/>
    <n v="2"/>
    <n v="54"/>
    <n v="945"/>
  </r>
  <r>
    <s v="Wojciech"/>
    <s v="Magierowcz"/>
    <x v="3"/>
    <d v="2014-08-12T00:00:00"/>
    <d v="2014-08-16T00:00:00"/>
    <n v="1321.5"/>
    <n v="5"/>
    <n v="126"/>
    <n v="1447.5"/>
  </r>
  <r>
    <s v="Adam"/>
    <s v="Markowski"/>
    <x v="12"/>
    <d v="2014-08-12T00:00:00"/>
    <d v="2014-08-12T00:00:00"/>
    <n v="494.7"/>
    <n v="1"/>
    <n v="30"/>
    <n v="524.70000000000005"/>
  </r>
  <r>
    <s v="Zyta"/>
    <s v="Mazurkiewicz"/>
    <x v="7"/>
    <d v="2014-08-12T00:00:00"/>
    <d v="2014-08-16T00:00:00"/>
    <n v="688.5"/>
    <n v="5"/>
    <n v="126"/>
    <n v="814.5"/>
  </r>
  <r>
    <s v="Jerzy"/>
    <s v="Misiek"/>
    <x v="12"/>
    <d v="2014-08-12T00:00:00"/>
    <d v="2014-08-12T00:00:00"/>
    <n v="494.7"/>
    <n v="1"/>
    <n v="30"/>
    <n v="524.70000000000005"/>
  </r>
  <r>
    <s v="Malwina"/>
    <s v="Papkin"/>
    <x v="9"/>
    <d v="2014-08-12T00:00:00"/>
    <d v="2014-08-14T00:00:00"/>
    <n v="689.8"/>
    <n v="3"/>
    <n v="78"/>
    <n v="767.8"/>
  </r>
  <r>
    <s v="Jan"/>
    <s v="Rzymski"/>
    <x v="2"/>
    <d v="2014-08-12T00:00:00"/>
    <d v="2014-08-16T00:00:00"/>
    <n v="674.5"/>
    <n v="5"/>
    <n v="126"/>
    <n v="800.5"/>
  </r>
  <r>
    <s v="Zofia"/>
    <s v="Seredycka"/>
    <x v="11"/>
    <d v="2014-08-12T00:00:00"/>
    <d v="2014-08-14T00:00:00"/>
    <n v="663.7"/>
    <n v="3"/>
    <n v="78"/>
    <n v="741.7"/>
  </r>
  <r>
    <s v="Marek"/>
    <s v="Trzeski"/>
    <x v="10"/>
    <d v="2014-08-12T00:00:00"/>
    <d v="2014-08-14T00:00:00"/>
    <n v="760"/>
    <n v="3"/>
    <n v="78"/>
    <n v="838"/>
  </r>
  <r>
    <s v="Kamil"/>
    <s v="Zabrzeski"/>
    <x v="9"/>
    <d v="2014-08-12T00:00:00"/>
    <d v="2014-08-16T00:00:00"/>
    <n v="1015.8"/>
    <n v="5"/>
    <n v="126"/>
    <n v="1141.8"/>
  </r>
  <r>
    <s v="Jerzy"/>
    <s v="Misiek"/>
    <x v="9"/>
    <d v="2014-08-14T00:00:00"/>
    <d v="2014-08-14T00:00:00"/>
    <n v="363.8"/>
    <n v="1"/>
    <n v="30"/>
    <n v="393.8"/>
  </r>
  <r>
    <s v="Zofia"/>
    <s v="Budzianowska"/>
    <x v="0"/>
    <d v="2014-08-18T00:00:00"/>
    <d v="2014-08-20T00:00:00"/>
    <n v="1102"/>
    <n v="3"/>
    <n v="78"/>
    <n v="1180"/>
  </r>
  <r>
    <s v="Paulina"/>
    <s v="Dok"/>
    <x v="5"/>
    <d v="2014-08-18T00:00:00"/>
    <d v="2014-08-22T00:00:00"/>
    <n v="886.7"/>
    <n v="5"/>
    <n v="126"/>
    <n v="1012.7"/>
  </r>
  <r>
    <s v="Marek"/>
    <s v="Holski"/>
    <x v="1"/>
    <d v="2014-08-18T00:00:00"/>
    <d v="2014-08-19T00:00:00"/>
    <n v="295.39999999999998"/>
    <n v="2"/>
    <n v="54"/>
    <n v="349.4"/>
  </r>
  <r>
    <s v="Adam"/>
    <s v="Markowski"/>
    <x v="0"/>
    <d v="2014-08-18T00:00:00"/>
    <d v="2014-08-19T00:00:00"/>
    <n v="891"/>
    <n v="2"/>
    <n v="54"/>
    <n v="945"/>
  </r>
  <r>
    <s v="Irma"/>
    <s v="Opoczna"/>
    <x v="9"/>
    <d v="2014-08-18T00:00:00"/>
    <d v="2014-08-20T00:00:00"/>
    <n v="689.8"/>
    <n v="3"/>
    <n v="78"/>
    <n v="767.8"/>
  </r>
  <r>
    <s v="Tomasz"/>
    <s v="Rzepka"/>
    <x v="3"/>
    <d v="2014-08-18T00:00:00"/>
    <d v="2014-08-20T00:00:00"/>
    <n v="911.5"/>
    <n v="3"/>
    <n v="78"/>
    <n v="989.5"/>
  </r>
  <r>
    <s v="Piotr"/>
    <s v="Armowicz"/>
    <x v="7"/>
    <d v="2014-08-24T00:00:00"/>
    <d v="2014-08-26T00:00:00"/>
    <n v="450.5"/>
    <n v="3"/>
    <n v="78"/>
    <n v="528.5"/>
  </r>
  <r>
    <s v="Karolina"/>
    <s v="Arska"/>
    <x v="0"/>
    <d v="2014-08-24T00:00:00"/>
    <d v="2014-08-28T00:00:00"/>
    <n v="1524"/>
    <n v="5"/>
    <n v="126"/>
    <n v="1650"/>
  </r>
  <r>
    <s v="Andrzej"/>
    <s v="Barcz"/>
    <x v="3"/>
    <d v="2014-08-24T00:00:00"/>
    <d v="2014-08-25T00:00:00"/>
    <n v="706.5"/>
    <n v="2"/>
    <n v="54"/>
    <n v="760.5"/>
  </r>
  <r>
    <s v="Wiktor"/>
    <s v="Budzis"/>
    <x v="4"/>
    <d v="2014-08-24T00:00:00"/>
    <d v="2014-08-28T00:00:00"/>
    <n v="1077.4000000000001"/>
    <n v="5"/>
    <n v="126"/>
    <n v="1203.4000000000001"/>
  </r>
  <r>
    <s v="Janusz"/>
    <s v="Jurkicz"/>
    <x v="0"/>
    <d v="2014-08-24T00:00:00"/>
    <d v="2014-08-25T00:00:00"/>
    <n v="891"/>
    <n v="2"/>
    <n v="54"/>
    <n v="945"/>
  </r>
  <r>
    <s v="Kacper"/>
    <s v="Krajewski"/>
    <x v="3"/>
    <d v="2014-08-24T00:00:00"/>
    <d v="2014-08-27T00:00:00"/>
    <n v="1116.5"/>
    <n v="4"/>
    <n v="102"/>
    <n v="1218.5"/>
  </r>
  <r>
    <s v="Justyna"/>
    <s v="Laska"/>
    <x v="7"/>
    <d v="2014-08-24T00:00:00"/>
    <d v="2014-08-28T00:00:00"/>
    <n v="688.5"/>
    <n v="5"/>
    <n v="126"/>
    <n v="814.5"/>
  </r>
  <r>
    <s v="Irma"/>
    <s v="Opoczna"/>
    <x v="3"/>
    <d v="2014-08-24T00:00:00"/>
    <d v="2014-08-27T00:00:00"/>
    <n v="1116.5"/>
    <n v="4"/>
    <n v="102"/>
    <n v="1218.5"/>
  </r>
  <r>
    <s v="Zuzanna"/>
    <s v="Piotrkowska"/>
    <x v="5"/>
    <d v="2014-08-24T00:00:00"/>
    <d v="2014-08-28T00:00:00"/>
    <n v="886.7"/>
    <n v="5"/>
    <n v="126"/>
    <n v="1012.7"/>
  </r>
  <r>
    <s v="Tomasz"/>
    <s v="Rzepka"/>
    <x v="12"/>
    <d v="2014-08-24T00:00:00"/>
    <d v="2014-08-26T00:00:00"/>
    <n v="892.7"/>
    <n v="3"/>
    <n v="78"/>
    <n v="970.7"/>
  </r>
  <r>
    <s v="Adam"/>
    <s v="Wradoch"/>
    <x v="2"/>
    <d v="2014-08-24T00:00:00"/>
    <d v="2014-08-28T00:00:00"/>
    <n v="674.5"/>
    <n v="5"/>
    <n v="126"/>
    <n v="800.5"/>
  </r>
  <r>
    <s v="Olivia"/>
    <s v="Gabor"/>
    <x v="0"/>
    <d v="2014-08-25T00:00:00"/>
    <d v="2014-08-26T00:00:00"/>
    <n v="891"/>
    <n v="2"/>
    <n v="54"/>
    <n v="945"/>
  </r>
  <r>
    <s v="Kazimiera"/>
    <s v="Parczewska"/>
    <x v="4"/>
    <d v="2014-08-25T00:00:00"/>
    <d v="2014-08-26T00:00:00"/>
    <n v="654.4"/>
    <n v="2"/>
    <n v="54"/>
    <n v="708.4"/>
  </r>
  <r>
    <s v="Kamil"/>
    <s v="Pomorski"/>
    <x v="10"/>
    <d v="2014-08-25T00:00:00"/>
    <d v="2014-08-27T00:00:00"/>
    <n v="760"/>
    <n v="3"/>
    <n v="78"/>
    <n v="838"/>
  </r>
  <r>
    <s v="Piotr"/>
    <s v="Roman"/>
    <x v="8"/>
    <d v="2014-08-25T00:00:00"/>
    <d v="2014-08-26T00:00:00"/>
    <n v="407.8"/>
    <n v="2"/>
    <n v="54"/>
    <n v="461.8"/>
  </r>
  <r>
    <s v="Kamil"/>
    <s v="Zabrzeski"/>
    <x v="4"/>
    <d v="2014-08-25T00:00:00"/>
    <d v="2014-08-26T00:00:00"/>
    <n v="654.4"/>
    <n v="2"/>
    <n v="54"/>
    <n v="708.4"/>
  </r>
  <r>
    <s v="Jerzy"/>
    <s v="Granica"/>
    <x v="8"/>
    <d v="2014-08-26T00:00:00"/>
    <d v="2014-08-27T00:00:00"/>
    <n v="407.8"/>
    <n v="2"/>
    <n v="54"/>
    <n v="461.8"/>
  </r>
  <r>
    <s v="Zofia"/>
    <s v="Maselska"/>
    <x v="12"/>
    <d v="2014-08-27T00:00:00"/>
    <d v="2014-08-27T00:00:00"/>
    <n v="494.7"/>
    <n v="1"/>
    <n v="30"/>
    <n v="524.70000000000005"/>
  </r>
  <r>
    <s v="Eustachy"/>
    <s v="Bydgoski"/>
    <x v="9"/>
    <d v="2014-08-30T00:00:00"/>
    <d v="2014-09-02T00:00:00"/>
    <n v="852.8"/>
    <n v="4"/>
    <n v="102"/>
    <n v="954.8"/>
  </r>
  <r>
    <s v="Olivia"/>
    <s v="Gabor"/>
    <x v="12"/>
    <d v="2014-08-30T00:00:00"/>
    <d v="2014-08-31T00:00:00"/>
    <n v="693.7"/>
    <n v="2"/>
    <n v="54"/>
    <n v="747.7"/>
  </r>
  <r>
    <s v="Jerzy"/>
    <s v="Granica"/>
    <x v="1"/>
    <d v="2014-08-30T00:00:00"/>
    <d v="2014-09-01T00:00:00"/>
    <n v="434.4"/>
    <n v="3"/>
    <n v="78"/>
    <n v="512.4"/>
  </r>
  <r>
    <s v="Kornel"/>
    <s v="Henrykowski"/>
    <x v="11"/>
    <d v="2014-08-30T00:00:00"/>
    <d v="2014-08-31T00:00:00"/>
    <n v="485.7"/>
    <n v="2"/>
    <n v="54"/>
    <n v="539.70000000000005"/>
  </r>
  <r>
    <s v="Zuzanna"/>
    <s v="Piotrkowska"/>
    <x v="0"/>
    <d v="2014-08-30T00:00:00"/>
    <d v="2014-08-31T00:00:00"/>
    <n v="891"/>
    <n v="2"/>
    <n v="54"/>
    <n v="945"/>
  </r>
  <r>
    <s v="Karol"/>
    <s v="Witkiewicz"/>
    <x v="3"/>
    <d v="2014-08-30T00:00:00"/>
    <d v="2014-09-03T00:00:00"/>
    <n v="1321.5"/>
    <n v="5"/>
    <n v="126"/>
    <n v="1447.5"/>
  </r>
  <r>
    <s v="Katarzyna"/>
    <s v="Piotrowska"/>
    <x v="2"/>
    <d v="2014-09-03T00:00:00"/>
    <d v="2014-09-06T00:00:00"/>
    <n v="550.5"/>
    <n v="4"/>
    <n v="102"/>
    <n v="652.5"/>
  </r>
  <r>
    <s v="Sebastian"/>
    <s v="Argonski"/>
    <x v="5"/>
    <d v="2014-09-04T00:00:00"/>
    <d v="2014-09-05T00:00:00"/>
    <n v="439.7"/>
    <n v="2"/>
    <n v="54"/>
    <n v="493.7"/>
  </r>
  <r>
    <s v="Karolina"/>
    <s v="Arska"/>
    <x v="7"/>
    <d v="2014-09-04T00:00:00"/>
    <d v="2014-09-07T00:00:00"/>
    <n v="569.5"/>
    <n v="4"/>
    <n v="102"/>
    <n v="671.5"/>
  </r>
  <r>
    <s v="Dominika"/>
    <s v="Bodera"/>
    <x v="2"/>
    <d v="2014-09-04T00:00:00"/>
    <d v="2014-09-07T00:00:00"/>
    <n v="550.5"/>
    <n v="4"/>
    <n v="102"/>
    <n v="652.5"/>
  </r>
  <r>
    <s v="Zofia"/>
    <s v="Budzianowska"/>
    <x v="5"/>
    <d v="2014-09-04T00:00:00"/>
    <d v="2014-09-05T00:00:00"/>
    <n v="439.7"/>
    <n v="2"/>
    <n v="54"/>
    <n v="493.7"/>
  </r>
  <r>
    <s v="Patrycja"/>
    <s v="Czarnoleska"/>
    <x v="5"/>
    <d v="2014-09-04T00:00:00"/>
    <d v="2014-09-04T00:00:00"/>
    <n v="290.7"/>
    <n v="1"/>
    <n v="30"/>
    <n v="320.7"/>
  </r>
  <r>
    <s v="Edwina"/>
    <s v="Elawa"/>
    <x v="4"/>
    <d v="2014-09-04T00:00:00"/>
    <d v="2014-09-08T00:00:00"/>
    <n v="1077.4000000000001"/>
    <n v="5"/>
    <n v="126"/>
    <n v="1203.4000000000001"/>
  </r>
  <r>
    <s v="Kornel"/>
    <s v="Henrykowski"/>
    <x v="2"/>
    <d v="2014-09-04T00:00:00"/>
    <d v="2014-09-06T00:00:00"/>
    <n v="426.5"/>
    <n v="3"/>
    <n v="78"/>
    <n v="504.5"/>
  </r>
  <r>
    <s v="Andrzej"/>
    <s v="Klajn"/>
    <x v="6"/>
    <d v="2014-09-04T00:00:00"/>
    <d v="2014-09-05T00:00:00"/>
    <n v="570"/>
    <n v="2"/>
    <n v="54"/>
    <n v="624"/>
  </r>
  <r>
    <s v="Justyna"/>
    <s v="Krynicka"/>
    <x v="5"/>
    <d v="2014-09-04T00:00:00"/>
    <d v="2014-09-04T00:00:00"/>
    <n v="290.7"/>
    <n v="1"/>
    <n v="30"/>
    <n v="320.7"/>
  </r>
  <r>
    <s v="Bogumi"/>
    <s v="Lubelski"/>
    <x v="4"/>
    <d v="2014-09-04T00:00:00"/>
    <d v="2014-09-05T00:00:00"/>
    <n v="654.4"/>
    <n v="2"/>
    <n v="54"/>
    <n v="708.4"/>
  </r>
  <r>
    <s v="Ewelia"/>
    <s v="Nyska"/>
    <x v="11"/>
    <d v="2014-09-04T00:00:00"/>
    <d v="2014-09-08T00:00:00"/>
    <n v="1019.7"/>
    <n v="5"/>
    <n v="126"/>
    <n v="1145.7"/>
  </r>
  <r>
    <s v="Malwina"/>
    <s v="Papkin"/>
    <x v="1"/>
    <d v="2014-09-04T00:00:00"/>
    <d v="2014-09-07T00:00:00"/>
    <n v="573.4"/>
    <n v="4"/>
    <n v="102"/>
    <n v="675.4"/>
  </r>
  <r>
    <s v="January"/>
    <s v="Pluta"/>
    <x v="3"/>
    <d v="2014-09-04T00:00:00"/>
    <d v="2014-09-07T00:00:00"/>
    <n v="1116.5"/>
    <n v="4"/>
    <n v="102"/>
    <n v="1218.5"/>
  </r>
  <r>
    <s v="Ewelia"/>
    <s v="Prus"/>
    <x v="1"/>
    <d v="2014-09-04T00:00:00"/>
    <d v="2014-09-06T00:00:00"/>
    <n v="434.4"/>
    <n v="3"/>
    <n v="78"/>
    <n v="512.4"/>
  </r>
  <r>
    <s v="Jan"/>
    <s v="Rzymski"/>
    <x v="8"/>
    <d v="2014-09-04T00:00:00"/>
    <d v="2014-09-05T00:00:00"/>
    <n v="407.8"/>
    <n v="2"/>
    <n v="54"/>
    <n v="461.8"/>
  </r>
  <r>
    <s v="Dorota"/>
    <s v="Sosnowiecka"/>
    <x v="11"/>
    <d v="2014-09-04T00:00:00"/>
    <d v="2014-09-07T00:00:00"/>
    <n v="841.7"/>
    <n v="4"/>
    <n v="102"/>
    <n v="943.7"/>
  </r>
  <r>
    <s v="Paulina"/>
    <s v="Watrach"/>
    <x v="7"/>
    <d v="2014-09-04T00:00:00"/>
    <d v="2014-09-04T00:00:00"/>
    <n v="212.5"/>
    <n v="1"/>
    <n v="30"/>
    <n v="242.5"/>
  </r>
  <r>
    <s v="Piotr"/>
    <s v="Bojarun"/>
    <x v="5"/>
    <d v="2014-09-05T00:00:00"/>
    <d v="2014-09-07T00:00:00"/>
    <n v="588.70000000000005"/>
    <n v="3"/>
    <n v="78"/>
    <n v="666.7"/>
  </r>
  <r>
    <s v="Jerzy"/>
    <s v="Granica"/>
    <x v="3"/>
    <d v="2014-09-05T00:00:00"/>
    <d v="2014-09-05T00:00:00"/>
    <n v="501.5"/>
    <n v="1"/>
    <n v="30"/>
    <n v="531.5"/>
  </r>
  <r>
    <s v="Marek"/>
    <s v="Holski"/>
    <x v="2"/>
    <d v="2014-09-05T00:00:00"/>
    <d v="2014-09-06T00:00:00"/>
    <n v="302.5"/>
    <n v="2"/>
    <n v="54"/>
    <n v="356.5"/>
  </r>
  <r>
    <s v="Anna"/>
    <s v="Kaliska"/>
    <x v="6"/>
    <d v="2014-09-05T00:00:00"/>
    <d v="2014-09-05T00:00:00"/>
    <n v="442"/>
    <n v="1"/>
    <n v="30"/>
    <n v="472"/>
  </r>
  <r>
    <s v="Zuzanna"/>
    <s v="Kowalska"/>
    <x v="4"/>
    <d v="2014-09-05T00:00:00"/>
    <d v="2014-09-08T00:00:00"/>
    <n v="936.4"/>
    <n v="4"/>
    <n v="102"/>
    <n v="1038.4000000000001"/>
  </r>
  <r>
    <s v="Ewa"/>
    <s v="Kwiska"/>
    <x v="4"/>
    <d v="2014-09-05T00:00:00"/>
    <d v="2014-09-05T00:00:00"/>
    <n v="513.4"/>
    <n v="1"/>
    <n v="30"/>
    <n v="543.4"/>
  </r>
  <r>
    <s v="Michalina"/>
    <s v="Lamda"/>
    <x v="1"/>
    <d v="2014-09-05T00:00:00"/>
    <d v="2014-09-06T00:00:00"/>
    <n v="295.39999999999998"/>
    <n v="2"/>
    <n v="54"/>
    <n v="349.4"/>
  </r>
  <r>
    <s v="Bogumi"/>
    <s v="Lubelski"/>
    <x v="7"/>
    <d v="2014-09-05T00:00:00"/>
    <d v="2014-09-09T00:00:00"/>
    <n v="688.5"/>
    <n v="5"/>
    <n v="126"/>
    <n v="814.5"/>
  </r>
  <r>
    <s v="Zofia"/>
    <s v="Maselska"/>
    <x v="3"/>
    <d v="2014-09-05T00:00:00"/>
    <d v="2014-09-08T00:00:00"/>
    <n v="1116.5"/>
    <n v="4"/>
    <n v="102"/>
    <n v="1218.5"/>
  </r>
  <r>
    <s v="Zofia"/>
    <s v="Seredycka"/>
    <x v="2"/>
    <d v="2014-09-05T00:00:00"/>
    <d v="2014-09-07T00:00:00"/>
    <n v="426.5"/>
    <n v="3"/>
    <n v="78"/>
    <n v="504.5"/>
  </r>
  <r>
    <s v="Rozalia"/>
    <s v="Siedlecka"/>
    <x v="6"/>
    <d v="2014-09-05T00:00:00"/>
    <d v="2014-09-07T00:00:00"/>
    <n v="698"/>
    <n v="3"/>
    <n v="78"/>
    <n v="776"/>
  </r>
  <r>
    <s v="Anna"/>
    <s v="Sobecka"/>
    <x v="7"/>
    <d v="2014-09-05T00:00:00"/>
    <d v="2014-09-06T00:00:00"/>
    <n v="331.5"/>
    <n v="2"/>
    <n v="54"/>
    <n v="385.5"/>
  </r>
  <r>
    <s v="Karol"/>
    <s v="Witkiewicz"/>
    <x v="8"/>
    <d v="2014-09-05T00:00:00"/>
    <d v="2014-09-07T00:00:00"/>
    <n v="536.79999999999995"/>
    <n v="3"/>
    <n v="78"/>
    <n v="614.79999999999995"/>
  </r>
  <r>
    <s v="Adam"/>
    <s v="Wradoch"/>
    <x v="12"/>
    <d v="2014-09-05T00:00:00"/>
    <d v="2014-09-06T00:00:00"/>
    <n v="693.7"/>
    <n v="2"/>
    <n v="54"/>
    <n v="747.7"/>
  </r>
  <r>
    <s v="Zofia"/>
    <s v="Budzianowska"/>
    <x v="3"/>
    <d v="2014-09-07T00:00:00"/>
    <d v="2014-09-07T00:00:00"/>
    <n v="501.5"/>
    <n v="1"/>
    <n v="30"/>
    <n v="531.5"/>
  </r>
  <r>
    <s v="Paulina"/>
    <s v="Basala"/>
    <x v="4"/>
    <d v="2014-09-08T00:00:00"/>
    <d v="2014-09-08T00:00:00"/>
    <n v="513.4"/>
    <n v="1"/>
    <n v="30"/>
    <n v="543.4"/>
  </r>
  <r>
    <s v="Patrycja"/>
    <s v="Czarnoleska"/>
    <x v="6"/>
    <d v="2014-09-08T00:00:00"/>
    <d v="2014-09-08T00:00:00"/>
    <n v="442"/>
    <n v="1"/>
    <n v="30"/>
    <n v="472"/>
  </r>
  <r>
    <s v="Justyna"/>
    <s v="Krynicka"/>
    <x v="8"/>
    <d v="2014-09-08T00:00:00"/>
    <d v="2014-09-08T00:00:00"/>
    <n v="278.8"/>
    <n v="1"/>
    <n v="30"/>
    <n v="308.8"/>
  </r>
  <r>
    <s v="Paulina"/>
    <s v="Watrach"/>
    <x v="5"/>
    <d v="2014-09-08T00:00:00"/>
    <d v="2014-09-08T00:00:00"/>
    <n v="290.7"/>
    <n v="1"/>
    <n v="30"/>
    <n v="320.7"/>
  </r>
  <r>
    <s v="Ewa"/>
    <s v="Fidyk"/>
    <x v="8"/>
    <d v="2014-09-11T00:00:00"/>
    <d v="2014-09-14T00:00:00"/>
    <n v="665.8"/>
    <n v="4"/>
    <n v="102"/>
    <n v="767.8"/>
  </r>
  <r>
    <s v="Anna"/>
    <s v="Kaliska"/>
    <x v="0"/>
    <d v="2014-09-11T00:00:00"/>
    <d v="2014-09-14T00:00:00"/>
    <n v="1313"/>
    <n v="4"/>
    <n v="102"/>
    <n v="1415"/>
  </r>
  <r>
    <s v="Katarzyna"/>
    <s v="Piotrowska"/>
    <x v="0"/>
    <d v="2014-09-11T00:00:00"/>
    <d v="2014-09-12T00:00:00"/>
    <n v="891"/>
    <n v="2"/>
    <n v="54"/>
    <n v="945"/>
  </r>
  <r>
    <s v="Rozalia"/>
    <s v="Siedlecka"/>
    <x v="9"/>
    <d v="2014-09-11T00:00:00"/>
    <d v="2014-09-13T00:00:00"/>
    <n v="689.8"/>
    <n v="3"/>
    <n v="78"/>
    <n v="767.8"/>
  </r>
  <r>
    <s v="Dorota"/>
    <s v="Sosnowiecka"/>
    <x v="9"/>
    <d v="2014-09-11T00:00:00"/>
    <d v="2014-09-12T00:00:00"/>
    <n v="526.79999999999995"/>
    <n v="2"/>
    <n v="54"/>
    <n v="580.79999999999995"/>
  </r>
  <r>
    <s v="Amelia"/>
    <s v="Wojtecka"/>
    <x v="1"/>
    <d v="2014-09-11T00:00:00"/>
    <d v="2014-09-14T00:00:00"/>
    <n v="573.4"/>
    <n v="4"/>
    <n v="102"/>
    <n v="675.4"/>
  </r>
  <r>
    <s v="Karolina"/>
    <s v="Arska"/>
    <x v="8"/>
    <d v="2014-09-15T00:00:00"/>
    <d v="2014-09-15T00:00:00"/>
    <n v="278.8"/>
    <n v="1"/>
    <n v="30"/>
    <n v="308.8"/>
  </r>
  <r>
    <s v="Paulina"/>
    <s v="Watrach"/>
    <x v="3"/>
    <d v="2014-09-15T00:00:00"/>
    <d v="2014-09-16T00:00:00"/>
    <n v="706.5"/>
    <n v="2"/>
    <n v="54"/>
    <n v="760.5"/>
  </r>
  <r>
    <s v="Patrycja"/>
    <s v="Andrycz"/>
    <x v="5"/>
    <d v="2014-09-16T00:00:00"/>
    <d v="2014-09-19T00:00:00"/>
    <n v="737.7"/>
    <n v="4"/>
    <n v="102"/>
    <n v="839.7"/>
  </r>
  <r>
    <s v="Patrycja"/>
    <s v="Andrycz"/>
    <x v="6"/>
    <d v="2014-09-16T00:00:00"/>
    <d v="2014-09-18T00:00:00"/>
    <n v="698"/>
    <n v="3"/>
    <n v="78"/>
    <n v="776"/>
  </r>
  <r>
    <s v="Sebastian"/>
    <s v="Argonski"/>
    <x v="3"/>
    <d v="2014-09-16T00:00:00"/>
    <d v="2014-09-17T00:00:00"/>
    <n v="706.5"/>
    <n v="2"/>
    <n v="54"/>
    <n v="760.5"/>
  </r>
  <r>
    <s v="Karolina"/>
    <s v="Bizuta"/>
    <x v="8"/>
    <d v="2014-09-16T00:00:00"/>
    <d v="2014-09-18T00:00:00"/>
    <n v="536.79999999999995"/>
    <n v="3"/>
    <n v="78"/>
    <n v="614.79999999999995"/>
  </r>
  <r>
    <s v="Dominika"/>
    <s v="Bodera"/>
    <x v="1"/>
    <d v="2014-09-16T00:00:00"/>
    <d v="2014-09-20T00:00:00"/>
    <n v="712.4"/>
    <n v="5"/>
    <n v="126"/>
    <n v="838.4"/>
  </r>
  <r>
    <s v="Amelia"/>
    <s v="Calika"/>
    <x v="4"/>
    <d v="2014-09-16T00:00:00"/>
    <d v="2014-09-19T00:00:00"/>
    <n v="936.4"/>
    <n v="4"/>
    <n v="102"/>
    <n v="1038.4000000000001"/>
  </r>
  <r>
    <s v="Amelia"/>
    <s v="Calika"/>
    <x v="0"/>
    <d v="2014-09-16T00:00:00"/>
    <d v="2014-09-20T00:00:00"/>
    <n v="1524"/>
    <n v="5"/>
    <n v="126"/>
    <n v="1650"/>
  </r>
  <r>
    <s v="Patrycja"/>
    <s v="Czarnoleska"/>
    <x v="4"/>
    <d v="2014-09-16T00:00:00"/>
    <d v="2014-09-18T00:00:00"/>
    <n v="795.4"/>
    <n v="3"/>
    <n v="78"/>
    <n v="873.4"/>
  </r>
  <r>
    <s v="Olivia"/>
    <s v="Gabor"/>
    <x v="3"/>
    <d v="2014-09-16T00:00:00"/>
    <d v="2014-09-19T00:00:00"/>
    <n v="1116.5"/>
    <n v="4"/>
    <n v="102"/>
    <n v="1218.5"/>
  </r>
  <r>
    <s v="Anna"/>
    <s v="Kaliska"/>
    <x v="12"/>
    <d v="2014-09-16T00:00:00"/>
    <d v="2014-09-17T00:00:00"/>
    <n v="693.7"/>
    <n v="2"/>
    <n v="54"/>
    <n v="747.7"/>
  </r>
  <r>
    <s v="Andrzej"/>
    <s v="Klajn"/>
    <x v="12"/>
    <d v="2014-09-16T00:00:00"/>
    <d v="2014-09-18T00:00:00"/>
    <n v="892.7"/>
    <n v="3"/>
    <n v="78"/>
    <n v="970.7"/>
  </r>
  <r>
    <s v="Andrzej"/>
    <s v="Kolarski"/>
    <x v="3"/>
    <d v="2014-09-16T00:00:00"/>
    <d v="2014-09-16T00:00:00"/>
    <n v="501.5"/>
    <n v="1"/>
    <n v="30"/>
    <n v="531.5"/>
  </r>
  <r>
    <s v="Zofia"/>
    <s v="Maselska"/>
    <x v="6"/>
    <d v="2014-09-16T00:00:00"/>
    <d v="2014-09-17T00:00:00"/>
    <n v="570"/>
    <n v="2"/>
    <n v="54"/>
    <n v="624"/>
  </r>
  <r>
    <s v="Jerzy"/>
    <s v="Misiek"/>
    <x v="8"/>
    <d v="2014-09-16T00:00:00"/>
    <d v="2014-09-19T00:00:00"/>
    <n v="665.8"/>
    <n v="4"/>
    <n v="102"/>
    <n v="767.8"/>
  </r>
  <r>
    <s v="Malwina"/>
    <s v="Papkin"/>
    <x v="7"/>
    <d v="2014-09-16T00:00:00"/>
    <d v="2014-09-17T00:00:00"/>
    <n v="331.5"/>
    <n v="2"/>
    <n v="54"/>
    <n v="385.5"/>
  </r>
  <r>
    <s v="Karolina"/>
    <s v="Podkalicka"/>
    <x v="7"/>
    <d v="2014-09-16T00:00:00"/>
    <d v="2014-09-19T00:00:00"/>
    <n v="569.5"/>
    <n v="4"/>
    <n v="102"/>
    <n v="671.5"/>
  </r>
  <r>
    <s v="Piotr"/>
    <s v="Roman"/>
    <x v="5"/>
    <d v="2014-09-16T00:00:00"/>
    <d v="2014-09-20T00:00:00"/>
    <n v="886.7"/>
    <n v="5"/>
    <n v="126"/>
    <n v="1012.7"/>
  </r>
  <r>
    <s v="Jan"/>
    <s v="Rzymski"/>
    <x v="0"/>
    <d v="2014-09-16T00:00:00"/>
    <d v="2014-09-18T00:00:00"/>
    <n v="1102"/>
    <n v="3"/>
    <n v="78"/>
    <n v="1180"/>
  </r>
  <r>
    <s v="Rozalia"/>
    <s v="Siedlecka"/>
    <x v="12"/>
    <d v="2014-09-16T00:00:00"/>
    <d v="2014-09-18T00:00:00"/>
    <n v="892.7"/>
    <n v="3"/>
    <n v="78"/>
    <n v="970.7"/>
  </r>
  <r>
    <s v="Karolina"/>
    <s v="Bizuta"/>
    <x v="5"/>
    <d v="2014-09-17T00:00:00"/>
    <d v="2014-09-20T00:00:00"/>
    <n v="737.7"/>
    <n v="4"/>
    <n v="102"/>
    <n v="839.7"/>
  </r>
  <r>
    <s v="Adam"/>
    <s v="Falski"/>
    <x v="7"/>
    <d v="2014-09-17T00:00:00"/>
    <d v="2014-09-18T00:00:00"/>
    <n v="331.5"/>
    <n v="2"/>
    <n v="54"/>
    <n v="385.5"/>
  </r>
  <r>
    <s v="Ewa"/>
    <s v="Fidyk"/>
    <x v="6"/>
    <d v="2014-09-17T00:00:00"/>
    <d v="2014-09-18T00:00:00"/>
    <n v="570"/>
    <n v="2"/>
    <n v="54"/>
    <n v="624"/>
  </r>
  <r>
    <s v="Olivia"/>
    <s v="Gabor"/>
    <x v="12"/>
    <d v="2014-09-17T00:00:00"/>
    <d v="2014-09-20T00:00:00"/>
    <n v="1091.7"/>
    <n v="4"/>
    <n v="102"/>
    <n v="1193.7"/>
  </r>
  <r>
    <s v="Kornel"/>
    <s v="Henrykowski"/>
    <x v="11"/>
    <d v="2014-09-17T00:00:00"/>
    <d v="2014-09-18T00:00:00"/>
    <n v="485.7"/>
    <n v="2"/>
    <n v="54"/>
    <n v="539.70000000000005"/>
  </r>
  <r>
    <s v="Ewa"/>
    <s v="Kwiska"/>
    <x v="1"/>
    <d v="2014-09-17T00:00:00"/>
    <d v="2014-09-21T00:00:00"/>
    <n v="712.4"/>
    <n v="5"/>
    <n v="126"/>
    <n v="838.4"/>
  </r>
  <r>
    <s v="Michalina"/>
    <s v="Lamda"/>
    <x v="6"/>
    <d v="2014-09-17T00:00:00"/>
    <d v="2014-09-20T00:00:00"/>
    <n v="826"/>
    <n v="4"/>
    <n v="102"/>
    <n v="928"/>
  </r>
  <r>
    <s v="Wojciech"/>
    <s v="Mazowiecki"/>
    <x v="3"/>
    <d v="2014-09-17T00:00:00"/>
    <d v="2014-09-18T00:00:00"/>
    <n v="706.5"/>
    <n v="2"/>
    <n v="54"/>
    <n v="760.5"/>
  </r>
  <r>
    <s v="Teresa"/>
    <s v="Moskiewska"/>
    <x v="2"/>
    <d v="2014-09-17T00:00:00"/>
    <d v="2014-09-20T00:00:00"/>
    <n v="550.5"/>
    <n v="4"/>
    <n v="102"/>
    <n v="652.5"/>
  </r>
  <r>
    <s v="Malwina"/>
    <s v="Papkin"/>
    <x v="9"/>
    <d v="2014-09-17T00:00:00"/>
    <d v="2014-09-18T00:00:00"/>
    <n v="526.79999999999995"/>
    <n v="2"/>
    <n v="54"/>
    <n v="580.79999999999995"/>
  </r>
  <r>
    <s v="Grzegorz"/>
    <s v="Podolski"/>
    <x v="7"/>
    <d v="2014-09-17T00:00:00"/>
    <d v="2014-09-20T00:00:00"/>
    <n v="569.5"/>
    <n v="4"/>
    <n v="102"/>
    <n v="671.5"/>
  </r>
  <r>
    <s v="Ewelia"/>
    <s v="Prus"/>
    <x v="9"/>
    <d v="2014-09-17T00:00:00"/>
    <d v="2014-09-21T00:00:00"/>
    <n v="1015.8"/>
    <n v="5"/>
    <n v="126"/>
    <n v="1141.8"/>
  </r>
  <r>
    <s v="Tomasz"/>
    <s v="Rzepka"/>
    <x v="0"/>
    <d v="2014-09-17T00:00:00"/>
    <d v="2014-09-19T00:00:00"/>
    <n v="1102"/>
    <n v="3"/>
    <n v="78"/>
    <n v="1180"/>
  </r>
  <r>
    <s v="Marek"/>
    <s v="Trzeski"/>
    <x v="6"/>
    <d v="2014-09-17T00:00:00"/>
    <d v="2014-09-20T00:00:00"/>
    <n v="826"/>
    <n v="4"/>
    <n v="102"/>
    <n v="928"/>
  </r>
  <r>
    <s v="Kamil"/>
    <s v="Zabrzeski"/>
    <x v="1"/>
    <d v="2014-09-17T00:00:00"/>
    <d v="2014-09-19T00:00:00"/>
    <n v="434.4"/>
    <n v="3"/>
    <n v="78"/>
    <n v="512.4"/>
  </r>
  <r>
    <s v="Andrzej"/>
    <s v="Kolarski"/>
    <x v="1"/>
    <d v="2014-09-18T00:00:00"/>
    <d v="2014-09-20T00:00:00"/>
    <n v="434.4"/>
    <n v="3"/>
    <n v="78"/>
    <n v="512.4"/>
  </r>
  <r>
    <s v="Dorota"/>
    <s v="Morska"/>
    <x v="0"/>
    <d v="2014-09-19T00:00:00"/>
    <d v="2014-09-19T00:00:00"/>
    <n v="680"/>
    <n v="1"/>
    <n v="30"/>
    <n v="710"/>
  </r>
  <r>
    <s v="Kornel"/>
    <s v="Henrykowski"/>
    <x v="3"/>
    <d v="2014-09-20T00:00:00"/>
    <d v="2014-09-20T00:00:00"/>
    <n v="501.5"/>
    <n v="1"/>
    <n v="30"/>
    <n v="531.5"/>
  </r>
  <r>
    <s v="Piotr"/>
    <s v="Armowicz"/>
    <x v="8"/>
    <d v="2014-09-22T00:00:00"/>
    <d v="2014-09-22T00:00:00"/>
    <n v="278.8"/>
    <n v="1"/>
    <n v="30"/>
    <n v="308.8"/>
  </r>
  <r>
    <s v="Patrycja"/>
    <s v="Andrycz"/>
    <x v="10"/>
    <d v="2014-09-23T00:00:00"/>
    <d v="2014-09-27T00:00:00"/>
    <n v="1078"/>
    <n v="5"/>
    <n v="126"/>
    <n v="1204"/>
  </r>
  <r>
    <s v="Zofia"/>
    <s v="Budzianowska"/>
    <x v="5"/>
    <d v="2014-09-23T00:00:00"/>
    <d v="2014-09-27T00:00:00"/>
    <n v="886.7"/>
    <n v="5"/>
    <n v="126"/>
    <n v="1012.7"/>
  </r>
  <r>
    <s v="Lidia"/>
    <s v="Opolska"/>
    <x v="4"/>
    <d v="2014-09-23T00:00:00"/>
    <d v="2014-09-23T00:00:00"/>
    <n v="513.4"/>
    <n v="1"/>
    <n v="30"/>
    <n v="543.4"/>
  </r>
  <r>
    <s v="Kazimiera"/>
    <s v="Parczewska"/>
    <x v="3"/>
    <d v="2014-09-23T00:00:00"/>
    <d v="2014-09-25T00:00:00"/>
    <n v="911.5"/>
    <n v="3"/>
    <n v="78"/>
    <n v="989.5"/>
  </r>
  <r>
    <s v="Justyna"/>
    <s v="Tracz"/>
    <x v="4"/>
    <d v="2014-09-23T00:00:00"/>
    <d v="2014-09-26T00:00:00"/>
    <n v="936.4"/>
    <n v="4"/>
    <n v="102"/>
    <n v="1038.4000000000001"/>
  </r>
  <r>
    <s v="Kamil"/>
    <s v="Zabrzeski"/>
    <x v="3"/>
    <d v="2014-09-23T00:00:00"/>
    <d v="2014-09-23T00:00:00"/>
    <n v="501.5"/>
    <n v="1"/>
    <n v="30"/>
    <n v="531.5"/>
  </r>
  <r>
    <s v="Piotr"/>
    <s v="Roman"/>
    <x v="0"/>
    <d v="2014-09-24T00:00:00"/>
    <d v="2014-09-26T00:00:00"/>
    <n v="1102"/>
    <n v="3"/>
    <n v="78"/>
    <n v="1180"/>
  </r>
  <r>
    <s v="Lidia"/>
    <s v="Opolska"/>
    <x v="5"/>
    <d v="2014-09-26T00:00:00"/>
    <d v="2014-09-26T00:00:00"/>
    <n v="290.7"/>
    <n v="1"/>
    <n v="30"/>
    <n v="320.7"/>
  </r>
  <r>
    <s v="Bonifacy"/>
    <s v="Barczewski"/>
    <x v="2"/>
    <d v="2014-09-28T00:00:00"/>
    <d v="2014-09-28T00:00:00"/>
    <n v="178.5"/>
    <n v="1"/>
    <n v="30"/>
    <n v="208.5"/>
  </r>
  <r>
    <s v="Karolina"/>
    <s v="Bizuta"/>
    <x v="0"/>
    <d v="2014-09-28T00:00:00"/>
    <d v="2014-09-30T00:00:00"/>
    <n v="1102"/>
    <n v="3"/>
    <n v="78"/>
    <n v="1180"/>
  </r>
  <r>
    <s v="Amelia"/>
    <s v="Calika"/>
    <x v="5"/>
    <d v="2014-09-28T00:00:00"/>
    <d v="2014-10-02T00:00:00"/>
    <n v="886.7"/>
    <n v="5"/>
    <n v="126"/>
    <n v="1012.7"/>
  </r>
  <r>
    <s v="Wiktor"/>
    <s v="Czekan"/>
    <x v="3"/>
    <d v="2014-09-28T00:00:00"/>
    <d v="2014-10-02T00:00:00"/>
    <n v="1321.5"/>
    <n v="5"/>
    <n v="126"/>
    <n v="1447.5"/>
  </r>
  <r>
    <s v="Kornel"/>
    <s v="Czerski"/>
    <x v="0"/>
    <d v="2014-09-28T00:00:00"/>
    <d v="2014-09-29T00:00:00"/>
    <n v="891"/>
    <n v="2"/>
    <n v="54"/>
    <n v="945"/>
  </r>
  <r>
    <s v="Edwina"/>
    <s v="Elawa"/>
    <x v="7"/>
    <d v="2014-09-28T00:00:00"/>
    <d v="2014-09-29T00:00:00"/>
    <n v="331.5"/>
    <n v="2"/>
    <n v="54"/>
    <n v="385.5"/>
  </r>
  <r>
    <s v="Kornel"/>
    <s v="Henrykowski"/>
    <x v="7"/>
    <d v="2014-09-28T00:00:00"/>
    <d v="2014-09-30T00:00:00"/>
    <n v="450.5"/>
    <n v="3"/>
    <n v="78"/>
    <n v="528.5"/>
  </r>
  <r>
    <s v="Zuzanna"/>
    <s v="Kowalska"/>
    <x v="8"/>
    <d v="2014-09-28T00:00:00"/>
    <d v="2014-09-29T00:00:00"/>
    <n v="407.8"/>
    <n v="2"/>
    <n v="54"/>
    <n v="461.8"/>
  </r>
  <r>
    <s v="Justyna"/>
    <s v="Tracz"/>
    <x v="11"/>
    <d v="2014-09-28T00:00:00"/>
    <d v="2014-10-01T00:00:00"/>
    <n v="841.7"/>
    <n v="4"/>
    <n v="102"/>
    <n v="943.7"/>
  </r>
  <r>
    <s v="Paulina"/>
    <s v="Watrach"/>
    <x v="7"/>
    <d v="2014-09-28T00:00:00"/>
    <d v="2014-09-30T00:00:00"/>
    <n v="450.5"/>
    <n v="3"/>
    <n v="78"/>
    <n v="528.5"/>
  </r>
  <r>
    <s v="Patrycja"/>
    <s v="Andrycz"/>
    <x v="5"/>
    <d v="2014-09-29T00:00:00"/>
    <d v="2014-10-03T00:00:00"/>
    <n v="886.7"/>
    <n v="5"/>
    <n v="126"/>
    <n v="1012.7"/>
  </r>
  <r>
    <s v="Piotr"/>
    <s v="Armowicz"/>
    <x v="6"/>
    <d v="2014-09-29T00:00:00"/>
    <d v="2014-10-01T00:00:00"/>
    <n v="698"/>
    <n v="3"/>
    <n v="78"/>
    <n v="776"/>
  </r>
  <r>
    <s v="Karolina"/>
    <s v="Arska"/>
    <x v="4"/>
    <d v="2014-09-29T00:00:00"/>
    <d v="2014-10-01T00:00:00"/>
    <n v="795.4"/>
    <n v="3"/>
    <n v="78"/>
    <n v="873.4"/>
  </r>
  <r>
    <s v="Patrycja"/>
    <s v="Czarnoleska"/>
    <x v="1"/>
    <d v="2014-09-29T00:00:00"/>
    <d v="2014-10-03T00:00:00"/>
    <n v="712.4"/>
    <n v="5"/>
    <n v="126"/>
    <n v="838.4"/>
  </r>
  <r>
    <s v="Jerzy"/>
    <s v="Dusznicki"/>
    <x v="11"/>
    <d v="2014-09-29T00:00:00"/>
    <d v="2014-09-30T00:00:00"/>
    <n v="485.7"/>
    <n v="2"/>
    <n v="54"/>
    <n v="539.70000000000005"/>
  </r>
  <r>
    <s v="Amadeusz"/>
    <s v="Helski"/>
    <x v="9"/>
    <d v="2014-09-29T00:00:00"/>
    <d v="2014-10-01T00:00:00"/>
    <n v="689.8"/>
    <n v="3"/>
    <n v="78"/>
    <n v="767.8"/>
  </r>
  <r>
    <s v="Natalia"/>
    <s v="Idar"/>
    <x v="8"/>
    <d v="2014-09-29T00:00:00"/>
    <d v="2014-10-01T00:00:00"/>
    <n v="536.79999999999995"/>
    <n v="3"/>
    <n v="78"/>
    <n v="614.79999999999995"/>
  </r>
  <r>
    <s v="Kacper"/>
    <s v="Krajewski"/>
    <x v="9"/>
    <d v="2014-09-29T00:00:00"/>
    <d v="2014-10-01T00:00:00"/>
    <n v="689.8"/>
    <n v="3"/>
    <n v="78"/>
    <n v="767.8"/>
  </r>
  <r>
    <s v="Justyna"/>
    <s v="Laska"/>
    <x v="8"/>
    <d v="2014-09-29T00:00:00"/>
    <d v="2014-09-29T00:00:00"/>
    <n v="278.8"/>
    <n v="1"/>
    <n v="30"/>
    <n v="308.8"/>
  </r>
  <r>
    <s v="Adam"/>
    <s v="Markowski"/>
    <x v="5"/>
    <d v="2014-09-29T00:00:00"/>
    <d v="2014-09-30T00:00:00"/>
    <n v="439.7"/>
    <n v="2"/>
    <n v="54"/>
    <n v="493.7"/>
  </r>
  <r>
    <s v="Dorota"/>
    <s v="Morska"/>
    <x v="3"/>
    <d v="2014-09-29T00:00:00"/>
    <d v="2014-09-30T00:00:00"/>
    <n v="706.5"/>
    <n v="2"/>
    <n v="54"/>
    <n v="760.5"/>
  </r>
  <r>
    <s v="Marta"/>
    <s v="Nowowiejska"/>
    <x v="5"/>
    <d v="2014-09-29T00:00:00"/>
    <d v="2014-10-01T00:00:00"/>
    <n v="588.70000000000005"/>
    <n v="3"/>
    <n v="78"/>
    <n v="666.7"/>
  </r>
  <r>
    <s v="Daria"/>
    <s v="Paryska"/>
    <x v="9"/>
    <d v="2014-09-29T00:00:00"/>
    <d v="2014-10-03T00:00:00"/>
    <n v="1015.8"/>
    <n v="5"/>
    <n v="126"/>
    <n v="1141.8"/>
  </r>
  <r>
    <s v="Zuzanna"/>
    <s v="Piotrkowska"/>
    <x v="6"/>
    <d v="2014-09-29T00:00:00"/>
    <d v="2014-10-01T00:00:00"/>
    <n v="698"/>
    <n v="3"/>
    <n v="78"/>
    <n v="776"/>
  </r>
  <r>
    <s v="Grzegorz"/>
    <s v="Podolski"/>
    <x v="9"/>
    <d v="2014-09-29T00:00:00"/>
    <d v="2014-10-02T00:00:00"/>
    <n v="852.8"/>
    <n v="4"/>
    <n v="102"/>
    <n v="954.8"/>
  </r>
  <r>
    <s v="Kamil"/>
    <s v="Pomorski"/>
    <x v="7"/>
    <d v="2014-09-29T00:00:00"/>
    <d v="2014-10-02T00:00:00"/>
    <n v="569.5"/>
    <n v="4"/>
    <n v="102"/>
    <n v="671.5"/>
  </r>
  <r>
    <s v="Piotr"/>
    <s v="Rajczakowski"/>
    <x v="6"/>
    <d v="2014-09-29T00:00:00"/>
    <d v="2014-09-30T00:00:00"/>
    <n v="570"/>
    <n v="2"/>
    <n v="54"/>
    <n v="624"/>
  </r>
  <r>
    <s v="Jan"/>
    <s v="Rzymski"/>
    <x v="11"/>
    <d v="2014-09-29T00:00:00"/>
    <d v="2014-10-03T00:00:00"/>
    <n v="1019.7"/>
    <n v="5"/>
    <n v="126"/>
    <n v="1145.7"/>
  </r>
  <r>
    <s v="Wiktor"/>
    <s v="Wroblewski"/>
    <x v="10"/>
    <d v="2014-09-29T00:00:00"/>
    <d v="2014-09-29T00:00:00"/>
    <n v="442"/>
    <n v="1"/>
    <n v="30"/>
    <n v="472"/>
  </r>
  <r>
    <s v="Olivia"/>
    <s v="Gabor"/>
    <x v="7"/>
    <d v="2014-09-30T00:00:00"/>
    <d v="2014-09-30T00:00:00"/>
    <n v="212.5"/>
    <n v="1"/>
    <n v="30"/>
    <n v="242.5"/>
  </r>
  <r>
    <s v="Kornel"/>
    <s v="Czerski"/>
    <x v="6"/>
    <d v="2014-10-01T00:00:00"/>
    <d v="2014-10-01T00:00:00"/>
    <n v="442"/>
    <n v="1"/>
    <n v="30"/>
    <n v="472"/>
  </r>
  <r>
    <s v="Edwina"/>
    <s v="Elawa"/>
    <x v="10"/>
    <d v="2014-10-01T00:00:00"/>
    <d v="2014-10-01T00:00:00"/>
    <n v="442"/>
    <n v="1"/>
    <n v="30"/>
    <n v="472"/>
  </r>
  <r>
    <s v="Bogumi"/>
    <s v="Lubelski"/>
    <x v="11"/>
    <d v="2014-10-02T00:00:00"/>
    <d v="2014-10-02T00:00:00"/>
    <n v="307.7"/>
    <n v="1"/>
    <n v="30"/>
    <n v="337.7"/>
  </r>
  <r>
    <s v="Tomasz"/>
    <s v="Rzepka"/>
    <x v="5"/>
    <d v="2014-10-02T00:00:00"/>
    <d v="2014-10-03T00:00:00"/>
    <n v="439.7"/>
    <n v="2"/>
    <n v="54"/>
    <n v="493.7"/>
  </r>
  <r>
    <s v="Kornel"/>
    <s v="Henrykowski"/>
    <x v="1"/>
    <d v="2014-10-03T00:00:00"/>
    <d v="2014-10-03T00:00:00"/>
    <n v="156.4"/>
    <n v="1"/>
    <n v="30"/>
    <n v="186.4"/>
  </r>
  <r>
    <s v="Justyna"/>
    <s v="Laska"/>
    <x v="5"/>
    <d v="2014-10-03T00:00:00"/>
    <d v="2014-10-03T00:00:00"/>
    <n v="290.7"/>
    <n v="1"/>
    <n v="30"/>
    <n v="320.7"/>
  </r>
  <r>
    <s v="Wiktor"/>
    <s v="Wroblewski"/>
    <x v="5"/>
    <d v="2014-10-03T00:00:00"/>
    <d v="2014-10-03T00:00:00"/>
    <n v="290.7"/>
    <n v="1"/>
    <n v="30"/>
    <n v="320.7"/>
  </r>
  <r>
    <s v="Malwina"/>
    <s v="Papkin"/>
    <x v="7"/>
    <d v="2014-10-05T00:00:00"/>
    <d v="2014-10-06T00:00:00"/>
    <n v="331.5"/>
    <n v="2"/>
    <n v="54"/>
    <n v="385.5"/>
  </r>
  <r>
    <s v="Rozalia"/>
    <s v="Siedlecka"/>
    <x v="0"/>
    <d v="2014-10-05T00:00:00"/>
    <d v="2014-10-06T00:00:00"/>
    <n v="891"/>
    <n v="2"/>
    <n v="54"/>
    <n v="945"/>
  </r>
  <r>
    <s v="Anna"/>
    <s v="Sobecka"/>
    <x v="11"/>
    <d v="2014-10-05T00:00:00"/>
    <d v="2014-10-09T00:00:00"/>
    <n v="1019.7"/>
    <n v="5"/>
    <n v="126"/>
    <n v="1145.7"/>
  </r>
  <r>
    <s v="Sebastian"/>
    <s v="Halik"/>
    <x v="6"/>
    <d v="2014-10-06T00:00:00"/>
    <d v="2014-10-06T00:00:00"/>
    <n v="442"/>
    <n v="1"/>
    <n v="30"/>
    <n v="472"/>
  </r>
  <r>
    <s v="Zyta"/>
    <s v="Mazurkiewicz"/>
    <x v="11"/>
    <d v="2014-10-06T00:00:00"/>
    <d v="2014-10-07T00:00:00"/>
    <n v="485.7"/>
    <n v="2"/>
    <n v="54"/>
    <n v="539.70000000000005"/>
  </r>
  <r>
    <s v="Ewelia"/>
    <s v="Nyska"/>
    <x v="10"/>
    <d v="2014-10-06T00:00:00"/>
    <d v="2014-10-13T00:00:00"/>
    <n v="1555"/>
    <n v="8"/>
    <n v="198"/>
    <n v="1753"/>
  </r>
  <r>
    <s v="Kazimiera"/>
    <s v="Parczewska"/>
    <x v="8"/>
    <d v="2014-10-06T00:00:00"/>
    <d v="2014-10-08T00:00:00"/>
    <n v="536.79999999999995"/>
    <n v="3"/>
    <n v="78"/>
    <n v="614.79999999999995"/>
  </r>
  <r>
    <s v="Amelia"/>
    <s v="Wojtecka"/>
    <x v="4"/>
    <d v="2014-10-06T00:00:00"/>
    <d v="2014-10-07T00:00:00"/>
    <n v="654.4"/>
    <n v="2"/>
    <n v="54"/>
    <n v="708.4"/>
  </r>
  <r>
    <s v="Kornel"/>
    <s v="Czerski"/>
    <x v="12"/>
    <d v="2014-10-10T00:00:00"/>
    <d v="2014-10-12T00:00:00"/>
    <n v="892.7"/>
    <n v="3"/>
    <n v="78"/>
    <n v="970.7"/>
  </r>
  <r>
    <s v="Edwina"/>
    <s v="Elawa"/>
    <x v="5"/>
    <d v="2014-10-10T00:00:00"/>
    <d v="2014-10-13T00:00:00"/>
    <n v="737.7"/>
    <n v="4"/>
    <n v="102"/>
    <n v="839.7"/>
  </r>
  <r>
    <s v="Olivia"/>
    <s v="Gabor"/>
    <x v="6"/>
    <d v="2014-10-10T00:00:00"/>
    <d v="2014-10-10T00:00:00"/>
    <n v="442"/>
    <n v="1"/>
    <n v="30"/>
    <n v="472"/>
  </r>
  <r>
    <s v="Natalia"/>
    <s v="Idar"/>
    <x v="10"/>
    <d v="2014-10-10T00:00:00"/>
    <d v="2014-10-14T00:00:00"/>
    <n v="1078"/>
    <n v="5"/>
    <n v="126"/>
    <n v="1204"/>
  </r>
  <r>
    <s v="Marcin"/>
    <s v="Jarskarski"/>
    <x v="3"/>
    <d v="2014-10-10T00:00:00"/>
    <d v="2014-10-10T00:00:00"/>
    <n v="501.5"/>
    <n v="1"/>
    <n v="30"/>
    <n v="531.5"/>
  </r>
  <r>
    <s v="Anna"/>
    <s v="Kaliska"/>
    <x v="1"/>
    <d v="2014-10-10T00:00:00"/>
    <d v="2014-10-10T00:00:00"/>
    <n v="156.4"/>
    <n v="1"/>
    <n v="30"/>
    <n v="186.4"/>
  </r>
  <r>
    <s v="Andrzej"/>
    <s v="Klajn"/>
    <x v="3"/>
    <d v="2014-10-10T00:00:00"/>
    <d v="2014-10-10T00:00:00"/>
    <n v="501.5"/>
    <n v="1"/>
    <n v="30"/>
    <n v="531.5"/>
  </r>
  <r>
    <s v="Andrzej"/>
    <s v="Kolarski"/>
    <x v="1"/>
    <d v="2014-10-10T00:00:00"/>
    <d v="2014-10-13T00:00:00"/>
    <n v="573.4"/>
    <n v="4"/>
    <n v="102"/>
    <n v="675.4"/>
  </r>
  <r>
    <s v="Wojciech"/>
    <s v="Magierowcz"/>
    <x v="12"/>
    <d v="2014-10-10T00:00:00"/>
    <d v="2014-10-14T00:00:00"/>
    <n v="1290.7"/>
    <n v="5"/>
    <n v="126"/>
    <n v="1416.7"/>
  </r>
  <r>
    <s v="Zofia"/>
    <s v="Maselska"/>
    <x v="3"/>
    <d v="2014-10-10T00:00:00"/>
    <d v="2014-10-11T00:00:00"/>
    <n v="706.5"/>
    <n v="2"/>
    <n v="54"/>
    <n v="760.5"/>
  </r>
  <r>
    <s v="Paulina"/>
    <s v="Maskor"/>
    <x v="6"/>
    <d v="2014-10-10T00:00:00"/>
    <d v="2014-10-13T00:00:00"/>
    <n v="826"/>
    <n v="4"/>
    <n v="102"/>
    <n v="928"/>
  </r>
  <r>
    <s v="Dorota"/>
    <s v="Morska"/>
    <x v="10"/>
    <d v="2014-10-10T00:00:00"/>
    <d v="2014-10-11T00:00:00"/>
    <n v="601"/>
    <n v="2"/>
    <n v="54"/>
    <n v="655"/>
  </r>
  <r>
    <s v="Piotr"/>
    <s v="Roman"/>
    <x v="8"/>
    <d v="2014-10-10T00:00:00"/>
    <d v="2014-10-14T00:00:00"/>
    <n v="794.8"/>
    <n v="5"/>
    <n v="126"/>
    <n v="920.8"/>
  </r>
  <r>
    <s v="Marek"/>
    <s v="Trzeski"/>
    <x v="7"/>
    <d v="2014-10-10T00:00:00"/>
    <d v="2014-10-11T00:00:00"/>
    <n v="331.5"/>
    <n v="2"/>
    <n v="54"/>
    <n v="385.5"/>
  </r>
  <r>
    <s v="Paulina"/>
    <s v="Watrach"/>
    <x v="3"/>
    <d v="2014-10-10T00:00:00"/>
    <d v="2014-10-11T00:00:00"/>
    <n v="706.5"/>
    <n v="2"/>
    <n v="54"/>
    <n v="760.5"/>
  </r>
  <r>
    <s v="Andrzej"/>
    <s v="Barcz"/>
    <x v="2"/>
    <d v="2014-10-11T00:00:00"/>
    <d v="2014-10-15T00:00:00"/>
    <n v="674.5"/>
    <n v="5"/>
    <n v="126"/>
    <n v="800.5"/>
  </r>
  <r>
    <s v="Zofia"/>
    <s v="Budzianowska"/>
    <x v="9"/>
    <d v="2014-10-11T00:00:00"/>
    <d v="2014-10-13T00:00:00"/>
    <n v="689.8"/>
    <n v="3"/>
    <n v="78"/>
    <n v="767.8"/>
  </r>
  <r>
    <s v="Wiktor"/>
    <s v="Czekan"/>
    <x v="7"/>
    <d v="2014-10-11T00:00:00"/>
    <d v="2014-10-12T00:00:00"/>
    <n v="331.5"/>
    <n v="2"/>
    <n v="54"/>
    <n v="385.5"/>
  </r>
  <r>
    <s v="Justyna"/>
    <s v="Krynicka"/>
    <x v="2"/>
    <d v="2014-10-11T00:00:00"/>
    <d v="2014-10-13T00:00:00"/>
    <n v="426.5"/>
    <n v="3"/>
    <n v="78"/>
    <n v="504.5"/>
  </r>
  <r>
    <s v="Ewa"/>
    <s v="Kwiska"/>
    <x v="3"/>
    <d v="2014-10-11T00:00:00"/>
    <d v="2014-10-14T00:00:00"/>
    <n v="1116.5"/>
    <n v="4"/>
    <n v="102"/>
    <n v="1218.5"/>
  </r>
  <r>
    <s v="Rozalia"/>
    <s v="Siedlecka"/>
    <x v="4"/>
    <d v="2014-10-11T00:00:00"/>
    <d v="2014-10-15T00:00:00"/>
    <n v="1077.4000000000001"/>
    <n v="5"/>
    <n v="126"/>
    <n v="1203.4000000000001"/>
  </r>
  <r>
    <s v="Piotr"/>
    <s v="Sworacz"/>
    <x v="10"/>
    <d v="2014-10-11T00:00:00"/>
    <d v="2014-10-13T00:00:00"/>
    <n v="760"/>
    <n v="3"/>
    <n v="78"/>
    <n v="838"/>
  </r>
  <r>
    <s v="Justyna"/>
    <s v="Tracz"/>
    <x v="5"/>
    <d v="2014-10-11T00:00:00"/>
    <d v="2014-10-14T00:00:00"/>
    <n v="737.7"/>
    <n v="4"/>
    <n v="102"/>
    <n v="839.7"/>
  </r>
  <r>
    <s v="Justyna"/>
    <s v="Tracz"/>
    <x v="6"/>
    <d v="2014-10-11T00:00:00"/>
    <d v="2014-10-12T00:00:00"/>
    <n v="570"/>
    <n v="2"/>
    <n v="54"/>
    <n v="624"/>
  </r>
  <r>
    <s v="Paulina"/>
    <s v="Watrach"/>
    <x v="10"/>
    <d v="2014-10-11T00:00:00"/>
    <d v="2014-10-14T00:00:00"/>
    <n v="919"/>
    <n v="4"/>
    <n v="102"/>
    <n v="1021"/>
  </r>
  <r>
    <s v="Adam"/>
    <s v="Wradoch"/>
    <x v="10"/>
    <d v="2014-10-11T00:00:00"/>
    <d v="2014-10-15T00:00:00"/>
    <n v="1078"/>
    <n v="5"/>
    <n v="126"/>
    <n v="1204"/>
  </r>
  <r>
    <s v="Karolina"/>
    <s v="Bizuta"/>
    <x v="11"/>
    <d v="2014-10-13T00:00:00"/>
    <d v="2014-10-13T00:00:00"/>
    <n v="307.7"/>
    <n v="1"/>
    <n v="30"/>
    <n v="337.7"/>
  </r>
  <r>
    <s v="Marcin"/>
    <s v="Jarskarski"/>
    <x v="4"/>
    <d v="2014-10-13T00:00:00"/>
    <d v="2014-10-13T00:00:00"/>
    <n v="513.4"/>
    <n v="1"/>
    <n v="30"/>
    <n v="543.4"/>
  </r>
  <r>
    <s v="Andrzej"/>
    <s v="Klajn"/>
    <x v="12"/>
    <d v="2014-10-13T00:00:00"/>
    <d v="2014-10-13T00:00:00"/>
    <n v="494.7"/>
    <n v="1"/>
    <n v="30"/>
    <n v="524.70000000000005"/>
  </r>
  <r>
    <s v="Tomasz"/>
    <s v="Rzepka"/>
    <x v="4"/>
    <d v="2014-10-13T00:00:00"/>
    <d v="2014-10-13T00:00:00"/>
    <n v="513.4"/>
    <n v="1"/>
    <n v="30"/>
    <n v="543.4"/>
  </r>
  <r>
    <s v="Marek"/>
    <s v="Trzeski"/>
    <x v="12"/>
    <d v="2014-10-13T00:00:00"/>
    <d v="2014-10-13T00:00:00"/>
    <n v="494.7"/>
    <n v="1"/>
    <n v="30"/>
    <n v="524.70000000000005"/>
  </r>
  <r>
    <s v="Olivia"/>
    <s v="Gabor"/>
    <x v="3"/>
    <d v="2014-10-14T00:00:00"/>
    <d v="2014-10-14T00:00:00"/>
    <n v="501.5"/>
    <n v="1"/>
    <n v="30"/>
    <n v="531.5"/>
  </r>
  <r>
    <s v="Dorota"/>
    <s v="Morska"/>
    <x v="1"/>
    <d v="2014-10-15T00:00:00"/>
    <d v="2014-10-15T00:00:00"/>
    <n v="156.4"/>
    <n v="1"/>
    <n v="30"/>
    <n v="186.4"/>
  </r>
  <r>
    <s v="Marek"/>
    <s v="Trzeski"/>
    <x v="7"/>
    <d v="2014-10-15T00:00:00"/>
    <d v="2014-10-15T00:00:00"/>
    <n v="212.5"/>
    <n v="1"/>
    <n v="30"/>
    <n v="242.5"/>
  </r>
  <r>
    <s v="Tomasz"/>
    <s v="Rzepka"/>
    <x v="5"/>
    <d v="2014-10-16T00:00:00"/>
    <d v="2014-10-16T00:00:00"/>
    <n v="290.7"/>
    <n v="1"/>
    <n v="30"/>
    <n v="320.7"/>
  </r>
  <r>
    <s v="Patrycja"/>
    <s v="Czarnoleska"/>
    <x v="5"/>
    <d v="2014-10-17T00:00:00"/>
    <d v="2014-10-18T00:00:00"/>
    <n v="439.7"/>
    <n v="2"/>
    <n v="54"/>
    <n v="493.7"/>
  </r>
  <r>
    <s v="Andrzej"/>
    <s v="Klajn"/>
    <x v="10"/>
    <d v="2014-10-17T00:00:00"/>
    <d v="2014-10-20T00:00:00"/>
    <n v="919"/>
    <n v="4"/>
    <n v="102"/>
    <n v="1021"/>
  </r>
  <r>
    <s v="Justyna"/>
    <s v="Laska"/>
    <x v="5"/>
    <d v="2014-10-17T00:00:00"/>
    <d v="2014-10-20T00:00:00"/>
    <n v="737.7"/>
    <n v="4"/>
    <n v="102"/>
    <n v="839.7"/>
  </r>
  <r>
    <s v="Anna"/>
    <s v="Sobecka"/>
    <x v="7"/>
    <d v="2014-10-17T00:00:00"/>
    <d v="2014-10-18T00:00:00"/>
    <n v="331.5"/>
    <n v="2"/>
    <n v="54"/>
    <n v="385.5"/>
  </r>
  <r>
    <s v="Dorota"/>
    <s v="Sosnowiecka"/>
    <x v="0"/>
    <d v="2014-10-17T00:00:00"/>
    <d v="2014-10-18T00:00:00"/>
    <n v="891"/>
    <n v="2"/>
    <n v="54"/>
    <n v="945"/>
  </r>
  <r>
    <s v="Justyna"/>
    <s v="Tracz"/>
    <x v="8"/>
    <d v="2014-10-17T00:00:00"/>
    <d v="2014-10-20T00:00:00"/>
    <n v="665.8"/>
    <n v="4"/>
    <n v="102"/>
    <n v="767.8"/>
  </r>
  <r>
    <s v="Dorota"/>
    <s v="Morska"/>
    <x v="7"/>
    <d v="2014-10-18T00:00:00"/>
    <d v="2014-10-18T00:00:00"/>
    <n v="212.5"/>
    <n v="1"/>
    <n v="30"/>
    <n v="242.5"/>
  </r>
  <r>
    <s v="Dominika"/>
    <s v="Bodera"/>
    <x v="10"/>
    <d v="2014-10-22T00:00:00"/>
    <d v="2014-10-25T00:00:00"/>
    <n v="919"/>
    <n v="4"/>
    <n v="102"/>
    <n v="1021"/>
  </r>
  <r>
    <s v="Zofia"/>
    <s v="Budzianowska"/>
    <x v="12"/>
    <d v="2014-10-22T00:00:00"/>
    <d v="2014-10-23T00:00:00"/>
    <n v="693.7"/>
    <n v="2"/>
    <n v="54"/>
    <n v="747.7"/>
  </r>
  <r>
    <s v="Paulina"/>
    <s v="Chorzowska"/>
    <x v="11"/>
    <d v="2014-10-22T00:00:00"/>
    <d v="2014-10-22T00:00:00"/>
    <n v="307.7"/>
    <n v="1"/>
    <n v="30"/>
    <n v="337.7"/>
  </r>
  <r>
    <s v="Patrycja"/>
    <s v="Czarnoleska"/>
    <x v="11"/>
    <d v="2014-10-22T00:00:00"/>
    <d v="2014-10-23T00:00:00"/>
    <n v="485.7"/>
    <n v="2"/>
    <n v="54"/>
    <n v="539.70000000000005"/>
  </r>
  <r>
    <s v="Wiktor"/>
    <s v="Czekan"/>
    <x v="5"/>
    <d v="2014-10-22T00:00:00"/>
    <d v="2014-10-25T00:00:00"/>
    <n v="737.7"/>
    <n v="4"/>
    <n v="102"/>
    <n v="839.7"/>
  </r>
  <r>
    <s v="Adam"/>
    <s v="Falski"/>
    <x v="0"/>
    <d v="2014-10-22T00:00:00"/>
    <d v="2014-10-23T00:00:00"/>
    <n v="891"/>
    <n v="2"/>
    <n v="54"/>
    <n v="945"/>
  </r>
  <r>
    <s v="Olivia"/>
    <s v="Gabor"/>
    <x v="9"/>
    <d v="2014-10-22T00:00:00"/>
    <d v="2014-10-24T00:00:00"/>
    <n v="689.8"/>
    <n v="3"/>
    <n v="78"/>
    <n v="767.8"/>
  </r>
  <r>
    <s v="Kornel"/>
    <s v="Henrykowski"/>
    <x v="12"/>
    <d v="2014-10-22T00:00:00"/>
    <d v="2014-10-22T00:00:00"/>
    <n v="494.7"/>
    <n v="1"/>
    <n v="30"/>
    <n v="524.70000000000005"/>
  </r>
  <r>
    <s v="Natalia"/>
    <s v="Idar"/>
    <x v="6"/>
    <d v="2014-10-22T00:00:00"/>
    <d v="2014-10-22T00:00:00"/>
    <n v="442"/>
    <n v="1"/>
    <n v="30"/>
    <n v="472"/>
  </r>
  <r>
    <s v="Justyna"/>
    <s v="Kolska"/>
    <x v="10"/>
    <d v="2014-10-22T00:00:00"/>
    <d v="2014-10-25T00:00:00"/>
    <n v="919"/>
    <n v="4"/>
    <n v="102"/>
    <n v="1021"/>
  </r>
  <r>
    <s v="Wojciech"/>
    <s v="Krokus"/>
    <x v="10"/>
    <d v="2014-10-22T00:00:00"/>
    <d v="2014-10-26T00:00:00"/>
    <n v="1078"/>
    <n v="5"/>
    <n v="126"/>
    <n v="1204"/>
  </r>
  <r>
    <s v="Paulina"/>
    <s v="Maskor"/>
    <x v="8"/>
    <d v="2014-10-22T00:00:00"/>
    <d v="2014-10-22T00:00:00"/>
    <n v="278.8"/>
    <n v="1"/>
    <n v="30"/>
    <n v="308.8"/>
  </r>
  <r>
    <s v="Dorota"/>
    <s v="Morska"/>
    <x v="8"/>
    <d v="2014-10-22T00:00:00"/>
    <d v="2014-10-24T00:00:00"/>
    <n v="536.79999999999995"/>
    <n v="3"/>
    <n v="78"/>
    <n v="614.79999999999995"/>
  </r>
  <r>
    <s v="Maria"/>
    <s v="Ozimek"/>
    <x v="7"/>
    <d v="2014-10-22T00:00:00"/>
    <d v="2014-10-25T00:00:00"/>
    <n v="569.5"/>
    <n v="4"/>
    <n v="102"/>
    <n v="671.5"/>
  </r>
  <r>
    <s v="Narcyz"/>
    <s v="Polanicki"/>
    <x v="10"/>
    <d v="2014-10-22T00:00:00"/>
    <d v="2014-10-24T00:00:00"/>
    <n v="760"/>
    <n v="3"/>
    <n v="78"/>
    <n v="838"/>
  </r>
  <r>
    <s v="Jan"/>
    <s v="Suwski"/>
    <x v="2"/>
    <d v="2014-10-22T00:00:00"/>
    <d v="2014-10-26T00:00:00"/>
    <n v="674.5"/>
    <n v="5"/>
    <n v="126"/>
    <n v="800.5"/>
  </r>
  <r>
    <s v="Justyna"/>
    <s v="Tracz"/>
    <x v="8"/>
    <d v="2014-10-22T00:00:00"/>
    <d v="2014-10-22T00:00:00"/>
    <n v="278.8"/>
    <n v="1"/>
    <n v="30"/>
    <n v="308.8"/>
  </r>
  <r>
    <s v="Amelia"/>
    <s v="Wojtecka"/>
    <x v="7"/>
    <d v="2014-10-22T00:00:00"/>
    <d v="2014-10-23T00:00:00"/>
    <n v="331.5"/>
    <n v="2"/>
    <n v="54"/>
    <n v="385.5"/>
  </r>
  <r>
    <s v="Kamil"/>
    <s v="Zabrzeski"/>
    <x v="9"/>
    <d v="2014-10-22T00:00:00"/>
    <d v="2014-10-26T00:00:00"/>
    <n v="1015.8"/>
    <n v="5"/>
    <n v="126"/>
    <n v="1141.8"/>
  </r>
  <r>
    <s v="Patrycja"/>
    <s v="Andrycz"/>
    <x v="12"/>
    <d v="2014-10-23T00:00:00"/>
    <d v="2014-10-25T00:00:00"/>
    <n v="892.7"/>
    <n v="3"/>
    <n v="78"/>
    <n v="970.7"/>
  </r>
  <r>
    <s v="Sebastian"/>
    <s v="Argonski"/>
    <x v="10"/>
    <d v="2014-10-23T00:00:00"/>
    <d v="2014-10-26T00:00:00"/>
    <n v="919"/>
    <n v="4"/>
    <n v="102"/>
    <n v="1021"/>
  </r>
  <r>
    <s v="Adam"/>
    <s v="Falski"/>
    <x v="6"/>
    <d v="2014-10-23T00:00:00"/>
    <d v="2014-10-24T00:00:00"/>
    <n v="570"/>
    <n v="2"/>
    <n v="54"/>
    <n v="624"/>
  </r>
  <r>
    <s v="Jerzy"/>
    <s v="Granica"/>
    <x v="1"/>
    <d v="2014-10-23T00:00:00"/>
    <d v="2014-10-24T00:00:00"/>
    <n v="295.39999999999998"/>
    <n v="2"/>
    <n v="54"/>
    <n v="349.4"/>
  </r>
  <r>
    <s v="Sebastian"/>
    <s v="Halik"/>
    <x v="0"/>
    <d v="2014-10-23T00:00:00"/>
    <d v="2014-10-24T00:00:00"/>
    <n v="891"/>
    <n v="2"/>
    <n v="54"/>
    <n v="945"/>
  </r>
  <r>
    <s v="Marcin"/>
    <s v="Jarskarski"/>
    <x v="6"/>
    <d v="2014-10-23T00:00:00"/>
    <d v="2014-10-24T00:00:00"/>
    <n v="570"/>
    <n v="2"/>
    <n v="54"/>
    <n v="624"/>
  </r>
  <r>
    <s v="Anna"/>
    <s v="Kaliska"/>
    <x v="5"/>
    <d v="2014-10-23T00:00:00"/>
    <d v="2014-10-23T00:00:00"/>
    <n v="290.7"/>
    <n v="1"/>
    <n v="30"/>
    <n v="320.7"/>
  </r>
  <r>
    <s v="Wojciech"/>
    <s v="Krokus"/>
    <x v="3"/>
    <d v="2014-10-23T00:00:00"/>
    <d v="2014-10-24T00:00:00"/>
    <n v="706.5"/>
    <n v="2"/>
    <n v="54"/>
    <n v="760.5"/>
  </r>
  <r>
    <s v="Malwina"/>
    <s v="Papkin"/>
    <x v="3"/>
    <d v="2014-10-23T00:00:00"/>
    <d v="2014-10-25T00:00:00"/>
    <n v="911.5"/>
    <n v="3"/>
    <n v="78"/>
    <n v="989.5"/>
  </r>
  <r>
    <s v="Kazimiera"/>
    <s v="Parczewska"/>
    <x v="11"/>
    <d v="2014-10-23T00:00:00"/>
    <d v="2014-10-26T00:00:00"/>
    <n v="841.7"/>
    <n v="4"/>
    <n v="102"/>
    <n v="943.7"/>
  </r>
  <r>
    <s v="Gustaw"/>
    <s v="Poznanski"/>
    <x v="0"/>
    <d v="2014-10-23T00:00:00"/>
    <d v="2014-10-25T00:00:00"/>
    <n v="1102"/>
    <n v="3"/>
    <n v="78"/>
    <n v="1180"/>
  </r>
  <r>
    <s v="Dorota"/>
    <s v="Sosnowiecka"/>
    <x v="0"/>
    <d v="2014-10-23T00:00:00"/>
    <d v="2014-10-23T00:00:00"/>
    <n v="680"/>
    <n v="1"/>
    <n v="30"/>
    <n v="710"/>
  </r>
  <r>
    <s v="Natalia"/>
    <s v="Idar"/>
    <x v="11"/>
    <d v="2014-10-24T00:00:00"/>
    <d v="2014-10-24T00:00:00"/>
    <n v="307.7"/>
    <n v="1"/>
    <n v="30"/>
    <n v="337.7"/>
  </r>
  <r>
    <s v="Justyna"/>
    <s v="Tracz"/>
    <x v="5"/>
    <d v="2014-10-24T00:00:00"/>
    <d v="2014-10-24T00:00:00"/>
    <n v="290.7"/>
    <n v="1"/>
    <n v="30"/>
    <n v="320.7"/>
  </r>
  <r>
    <s v="Kornel"/>
    <s v="Henrykowski"/>
    <x v="11"/>
    <d v="2014-10-25T00:00:00"/>
    <d v="2014-10-25T00:00:00"/>
    <n v="307.7"/>
    <n v="1"/>
    <n v="30"/>
    <n v="337.7"/>
  </r>
  <r>
    <s v="Paulina"/>
    <s v="Maskor"/>
    <x v="8"/>
    <d v="2014-10-25T00:00:00"/>
    <d v="2014-10-25T00:00:00"/>
    <n v="278.8"/>
    <n v="1"/>
    <n v="30"/>
    <n v="308.8"/>
  </r>
  <r>
    <s v="Dorota"/>
    <s v="Sosnowiecka"/>
    <x v="6"/>
    <d v="2014-10-25T00:00:00"/>
    <d v="2014-10-26T00:00:00"/>
    <n v="570"/>
    <n v="2"/>
    <n v="54"/>
    <n v="624"/>
  </r>
  <r>
    <s v="Sebastian"/>
    <s v="Halik"/>
    <x v="4"/>
    <d v="2014-10-26T00:00:00"/>
    <d v="2014-10-26T00:00:00"/>
    <n v="513.4"/>
    <n v="1"/>
    <n v="30"/>
    <n v="543.4"/>
  </r>
  <r>
    <s v="Natalia"/>
    <s v="Idar"/>
    <x v="11"/>
    <d v="2014-10-27T00:00:00"/>
    <d v="2014-10-27T00:00:00"/>
    <n v="307.7"/>
    <n v="1"/>
    <n v="30"/>
    <n v="337.7"/>
  </r>
  <r>
    <s v="Paulina"/>
    <s v="Basala"/>
    <x v="2"/>
    <d v="2014-10-28T00:00:00"/>
    <d v="2014-10-30T00:00:00"/>
    <n v="426.5"/>
    <n v="3"/>
    <n v="78"/>
    <n v="504.5"/>
  </r>
  <r>
    <s v="Kornel"/>
    <s v="Czerski"/>
    <x v="8"/>
    <d v="2014-10-29T00:00:00"/>
    <d v="2014-10-30T00:00:00"/>
    <n v="407.8"/>
    <n v="2"/>
    <n v="54"/>
    <n v="461.8"/>
  </r>
  <r>
    <s v="Sebastian"/>
    <s v="Halik"/>
    <x v="4"/>
    <d v="2014-10-29T00:00:00"/>
    <d v="2014-10-29T00:00:00"/>
    <n v="513.4"/>
    <n v="1"/>
    <n v="30"/>
    <n v="543.4"/>
  </r>
  <r>
    <s v="Grzegorz"/>
    <s v="Podolski"/>
    <x v="1"/>
    <d v="2014-10-29T00:00:00"/>
    <d v="2014-10-30T00:00:00"/>
    <n v="295.39999999999998"/>
    <n v="2"/>
    <n v="54"/>
    <n v="349.4"/>
  </r>
  <r>
    <s v="Tomasz"/>
    <s v="Rzepka"/>
    <x v="5"/>
    <d v="2014-10-29T00:00:00"/>
    <d v="2014-10-30T00:00:00"/>
    <n v="439.7"/>
    <n v="2"/>
    <n v="54"/>
    <n v="493.7"/>
  </r>
  <r>
    <s v="Jan"/>
    <s v="Rzymski"/>
    <x v="5"/>
    <d v="2014-10-29T00:00:00"/>
    <d v="2014-11-02T00:00:00"/>
    <n v="886.7"/>
    <n v="5"/>
    <n v="126"/>
    <n v="1012.7"/>
  </r>
  <r>
    <s v="Dorota"/>
    <s v="Sosnowiecka"/>
    <x v="6"/>
    <d v="2014-10-29T00:00:00"/>
    <d v="2014-10-31T00:00:00"/>
    <n v="698"/>
    <n v="3"/>
    <n v="78"/>
    <n v="776"/>
  </r>
  <r>
    <s v="Kamil"/>
    <s v="Zabrzeski"/>
    <x v="11"/>
    <d v="2014-10-29T00:00:00"/>
    <d v="2014-10-29T00:00:00"/>
    <n v="307.7"/>
    <n v="1"/>
    <n v="30"/>
    <n v="337.7"/>
  </r>
  <r>
    <s v="Zofia"/>
    <s v="Budzianowska"/>
    <x v="1"/>
    <d v="2014-11-03T00:00:00"/>
    <d v="2014-11-04T00:00:00"/>
    <n v="295.39999999999998"/>
    <n v="2"/>
    <n v="54"/>
    <n v="349.4"/>
  </r>
  <r>
    <s v="Paulina"/>
    <s v="Chorzowska"/>
    <x v="3"/>
    <d v="2014-11-03T00:00:00"/>
    <d v="2014-11-03T00:00:00"/>
    <n v="501.5"/>
    <n v="1"/>
    <n v="30"/>
    <n v="531.5"/>
  </r>
  <r>
    <s v="Wiktor"/>
    <s v="Czekan"/>
    <x v="8"/>
    <d v="2014-11-03T00:00:00"/>
    <d v="2014-11-06T00:00:00"/>
    <n v="665.8"/>
    <n v="4"/>
    <n v="102"/>
    <n v="767.8"/>
  </r>
  <r>
    <s v="Anna"/>
    <s v="Kaliska"/>
    <x v="9"/>
    <d v="2014-11-03T00:00:00"/>
    <d v="2014-11-07T00:00:00"/>
    <n v="1015.8"/>
    <n v="5"/>
    <n v="126"/>
    <n v="1141.8"/>
  </r>
  <r>
    <s v="Justyna"/>
    <s v="Kolska"/>
    <x v="5"/>
    <d v="2014-11-03T00:00:00"/>
    <d v="2014-11-04T00:00:00"/>
    <n v="439.7"/>
    <n v="2"/>
    <n v="54"/>
    <n v="493.7"/>
  </r>
  <r>
    <s v="Justyna"/>
    <s v="Krynicka"/>
    <x v="9"/>
    <d v="2014-11-03T00:00:00"/>
    <d v="2014-11-03T00:00:00"/>
    <n v="363.8"/>
    <n v="1"/>
    <n v="30"/>
    <n v="393.8"/>
  </r>
  <r>
    <s v="Michalina"/>
    <s v="Lamda"/>
    <x v="10"/>
    <d v="2014-11-03T00:00:00"/>
    <d v="2014-11-04T00:00:00"/>
    <n v="601"/>
    <n v="2"/>
    <n v="54"/>
    <n v="655"/>
  </r>
  <r>
    <s v="Bogumi"/>
    <s v="Lubelski"/>
    <x v="10"/>
    <d v="2014-11-03T00:00:00"/>
    <d v="2014-11-04T00:00:00"/>
    <n v="601"/>
    <n v="2"/>
    <n v="54"/>
    <n v="655"/>
  </r>
  <r>
    <s v="Albert"/>
    <s v="Marakasz"/>
    <x v="12"/>
    <d v="2014-11-03T00:00:00"/>
    <d v="2014-11-03T00:00:00"/>
    <n v="494.7"/>
    <n v="1"/>
    <n v="30"/>
    <n v="524.70000000000005"/>
  </r>
  <r>
    <s v="Paulina"/>
    <s v="Maskor"/>
    <x v="5"/>
    <d v="2014-11-03T00:00:00"/>
    <d v="2014-11-07T00:00:00"/>
    <n v="886.7"/>
    <n v="5"/>
    <n v="126"/>
    <n v="1012.7"/>
  </r>
  <r>
    <s v="Teresa"/>
    <s v="Moskiewska"/>
    <x v="12"/>
    <d v="2014-11-03T00:00:00"/>
    <d v="2014-11-03T00:00:00"/>
    <n v="494.7"/>
    <n v="1"/>
    <n v="30"/>
    <n v="524.70000000000005"/>
  </r>
  <r>
    <s v="Ewelia"/>
    <s v="Nyska"/>
    <x v="8"/>
    <d v="2014-11-03T00:00:00"/>
    <d v="2014-11-03T00:00:00"/>
    <n v="278.8"/>
    <n v="1"/>
    <n v="30"/>
    <n v="308.8"/>
  </r>
  <r>
    <s v="Maria"/>
    <s v="Ozimek"/>
    <x v="6"/>
    <d v="2014-11-03T00:00:00"/>
    <d v="2014-11-04T00:00:00"/>
    <n v="570"/>
    <n v="2"/>
    <n v="54"/>
    <n v="624"/>
  </r>
  <r>
    <s v="Daria"/>
    <s v="Paryska"/>
    <x v="5"/>
    <d v="2014-11-03T00:00:00"/>
    <d v="2014-11-04T00:00:00"/>
    <n v="439.7"/>
    <n v="2"/>
    <n v="54"/>
    <n v="493.7"/>
  </r>
  <r>
    <s v="Kamil"/>
    <s v="Pomorski"/>
    <x v="7"/>
    <d v="2014-11-03T00:00:00"/>
    <d v="2014-11-04T00:00:00"/>
    <n v="331.5"/>
    <n v="2"/>
    <n v="54"/>
    <n v="385.5"/>
  </r>
  <r>
    <s v="Gustaw"/>
    <s v="Poznanski"/>
    <x v="1"/>
    <d v="2014-11-03T00:00:00"/>
    <d v="2014-11-07T00:00:00"/>
    <n v="712.4"/>
    <n v="5"/>
    <n v="126"/>
    <n v="838.4"/>
  </r>
  <r>
    <s v="Tomasz"/>
    <s v="Rzepka"/>
    <x v="1"/>
    <d v="2014-11-03T00:00:00"/>
    <d v="2014-11-04T00:00:00"/>
    <n v="295.39999999999998"/>
    <n v="2"/>
    <n v="54"/>
    <n v="349.4"/>
  </r>
  <r>
    <s v="Karol"/>
    <s v="Witkiewicz"/>
    <x v="1"/>
    <d v="2014-11-03T00:00:00"/>
    <d v="2014-11-07T00:00:00"/>
    <n v="712.4"/>
    <n v="5"/>
    <n v="126"/>
    <n v="838.4"/>
  </r>
  <r>
    <s v="Ewelina"/>
    <s v="Adamska"/>
    <x v="12"/>
    <d v="2014-11-04T00:00:00"/>
    <d v="2014-11-06T00:00:00"/>
    <n v="892.7"/>
    <n v="3"/>
    <n v="78"/>
    <n v="970.7"/>
  </r>
  <r>
    <s v="Karolina"/>
    <s v="Arska"/>
    <x v="2"/>
    <d v="2014-11-04T00:00:00"/>
    <d v="2014-11-06T00:00:00"/>
    <n v="426.5"/>
    <n v="3"/>
    <n v="78"/>
    <n v="504.5"/>
  </r>
  <r>
    <s v="Bonifacy"/>
    <s v="Barczewski"/>
    <x v="0"/>
    <d v="2014-11-04T00:00:00"/>
    <d v="2014-11-06T00:00:00"/>
    <n v="1102"/>
    <n v="3"/>
    <n v="78"/>
    <n v="1180"/>
  </r>
  <r>
    <s v="Patrycja"/>
    <s v="Czarnoleska"/>
    <x v="3"/>
    <d v="2014-11-04T00:00:00"/>
    <d v="2014-11-06T00:00:00"/>
    <n v="911.5"/>
    <n v="3"/>
    <n v="78"/>
    <n v="989.5"/>
  </r>
  <r>
    <s v="Marzena"/>
    <s v="Gras"/>
    <x v="9"/>
    <d v="2014-11-04T00:00:00"/>
    <d v="2014-11-05T00:00:00"/>
    <n v="526.79999999999995"/>
    <n v="2"/>
    <n v="54"/>
    <n v="580.79999999999995"/>
  </r>
  <r>
    <s v="Andrzej"/>
    <s v="Klajn"/>
    <x v="2"/>
    <d v="2014-11-04T00:00:00"/>
    <d v="2014-11-08T00:00:00"/>
    <n v="674.5"/>
    <n v="5"/>
    <n v="126"/>
    <n v="800.5"/>
  </r>
  <r>
    <s v="Wojciech"/>
    <s v="Krokus"/>
    <x v="9"/>
    <d v="2014-11-04T00:00:00"/>
    <d v="2014-11-07T00:00:00"/>
    <n v="852.8"/>
    <n v="4"/>
    <n v="102"/>
    <n v="954.8"/>
  </r>
  <r>
    <s v="Jerzy"/>
    <s v="Misiek"/>
    <x v="12"/>
    <d v="2014-11-04T00:00:00"/>
    <d v="2014-11-08T00:00:00"/>
    <n v="1290.7"/>
    <n v="5"/>
    <n v="126"/>
    <n v="1416.7"/>
  </r>
  <r>
    <s v="Dorota"/>
    <s v="Morska"/>
    <x v="3"/>
    <d v="2014-11-04T00:00:00"/>
    <d v="2014-11-05T00:00:00"/>
    <n v="706.5"/>
    <n v="2"/>
    <n v="54"/>
    <n v="760.5"/>
  </r>
  <r>
    <s v="Irma"/>
    <s v="Opoczna"/>
    <x v="3"/>
    <d v="2014-11-04T00:00:00"/>
    <d v="2014-11-05T00:00:00"/>
    <n v="706.5"/>
    <n v="2"/>
    <n v="54"/>
    <n v="760.5"/>
  </r>
  <r>
    <s v="Zuzanna"/>
    <s v="Piotrkowska"/>
    <x v="3"/>
    <d v="2014-11-04T00:00:00"/>
    <d v="2014-11-04T00:00:00"/>
    <n v="501.5"/>
    <n v="1"/>
    <n v="30"/>
    <n v="531.5"/>
  </r>
  <r>
    <s v="Grzegorz"/>
    <s v="Podolski"/>
    <x v="11"/>
    <d v="2014-11-04T00:00:00"/>
    <d v="2014-11-05T00:00:00"/>
    <n v="485.7"/>
    <n v="2"/>
    <n v="54"/>
    <n v="539.70000000000005"/>
  </r>
  <r>
    <s v="Sebastian"/>
    <s v="Puchacz"/>
    <x v="9"/>
    <d v="2014-11-04T00:00:00"/>
    <d v="2014-11-05T00:00:00"/>
    <n v="526.79999999999995"/>
    <n v="2"/>
    <n v="54"/>
    <n v="580.79999999999995"/>
  </r>
  <r>
    <s v="Piotr"/>
    <s v="Sworacz"/>
    <x v="11"/>
    <d v="2014-11-04T00:00:00"/>
    <d v="2014-11-07T00:00:00"/>
    <n v="841.7"/>
    <n v="4"/>
    <n v="102"/>
    <n v="943.7"/>
  </r>
  <r>
    <s v="Daria"/>
    <s v="Paryska"/>
    <x v="10"/>
    <d v="2014-11-06T00:00:00"/>
    <d v="2014-11-06T00:00:00"/>
    <n v="442"/>
    <n v="1"/>
    <n v="30"/>
    <n v="472"/>
  </r>
  <r>
    <s v="Zuzanna"/>
    <s v="Piotrkowska"/>
    <x v="12"/>
    <d v="2014-11-06T00:00:00"/>
    <d v="2014-11-08T00:00:00"/>
    <n v="892.7"/>
    <n v="3"/>
    <n v="78"/>
    <n v="970.7"/>
  </r>
  <r>
    <s v="Justyna"/>
    <s v="Krynicka"/>
    <x v="7"/>
    <d v="2014-11-07T00:00:00"/>
    <d v="2014-11-08T00:00:00"/>
    <n v="331.5"/>
    <n v="2"/>
    <n v="54"/>
    <n v="385.5"/>
  </r>
  <r>
    <s v="Albert"/>
    <s v="Marakasz"/>
    <x v="11"/>
    <d v="2014-11-07T00:00:00"/>
    <d v="2014-11-07T00:00:00"/>
    <n v="307.7"/>
    <n v="1"/>
    <n v="30"/>
    <n v="337.7"/>
  </r>
  <r>
    <s v="Teresa"/>
    <s v="Moskiewska"/>
    <x v="8"/>
    <d v="2014-11-07T00:00:00"/>
    <d v="2014-11-07T00:00:00"/>
    <n v="278.8"/>
    <n v="1"/>
    <n v="30"/>
    <n v="308.8"/>
  </r>
  <r>
    <s v="Ewelia"/>
    <s v="Nyska"/>
    <x v="6"/>
    <d v="2014-11-07T00:00:00"/>
    <d v="2014-11-07T00:00:00"/>
    <n v="442"/>
    <n v="1"/>
    <n v="30"/>
    <n v="472"/>
  </r>
  <r>
    <s v="Tomasz"/>
    <s v="Rzepka"/>
    <x v="10"/>
    <d v="2014-11-07T00:00:00"/>
    <d v="2014-11-07T00:00:00"/>
    <n v="442"/>
    <n v="1"/>
    <n v="30"/>
    <n v="472"/>
  </r>
  <r>
    <s v="Dominika"/>
    <s v="Bodera"/>
    <x v="0"/>
    <d v="2014-11-10T00:00:00"/>
    <d v="2014-11-13T00:00:00"/>
    <n v="1313"/>
    <n v="4"/>
    <n v="102"/>
    <n v="1415"/>
  </r>
  <r>
    <s v="Zuzanna"/>
    <s v="Piotrkowska"/>
    <x v="8"/>
    <d v="2014-11-13T00:00:00"/>
    <d v="2014-11-14T00:00:00"/>
    <n v="407.8"/>
    <n v="2"/>
    <n v="54"/>
    <n v="461.8"/>
  </r>
  <r>
    <s v="Gustaw"/>
    <s v="Poznanski"/>
    <x v="5"/>
    <d v="2014-11-14T00:00:00"/>
    <d v="2014-11-14T00:00:00"/>
    <n v="290.7"/>
    <n v="1"/>
    <n v="30"/>
    <n v="320.7"/>
  </r>
  <r>
    <s v="Janina"/>
    <s v="Bolanowska"/>
    <x v="0"/>
    <d v="2014-11-15T00:00:00"/>
    <d v="2014-11-15T00:00:00"/>
    <n v="680"/>
    <n v="1"/>
    <n v="30"/>
    <n v="710"/>
  </r>
  <r>
    <s v="Edwina"/>
    <s v="Elawa"/>
    <x v="0"/>
    <d v="2014-11-15T00:00:00"/>
    <d v="2014-11-19T00:00:00"/>
    <n v="1524"/>
    <n v="5"/>
    <n v="126"/>
    <n v="1650"/>
  </r>
  <r>
    <s v="Karolina"/>
    <s v="Janes"/>
    <x v="2"/>
    <d v="2014-11-15T00:00:00"/>
    <d v="2014-11-15T00:00:00"/>
    <n v="178.5"/>
    <n v="1"/>
    <n v="30"/>
    <n v="208.5"/>
  </r>
  <r>
    <s v="Zuzanna"/>
    <s v="Kowalska"/>
    <x v="6"/>
    <d v="2014-11-15T00:00:00"/>
    <d v="2014-11-17T00:00:00"/>
    <n v="698"/>
    <n v="3"/>
    <n v="78"/>
    <n v="776"/>
  </r>
  <r>
    <s v="Justyna"/>
    <s v="Krynicka"/>
    <x v="10"/>
    <d v="2014-11-15T00:00:00"/>
    <d v="2014-11-15T00:00:00"/>
    <n v="442"/>
    <n v="1"/>
    <n v="30"/>
    <n v="472"/>
  </r>
  <r>
    <s v="Wojciech"/>
    <s v="Magierowcz"/>
    <x v="7"/>
    <d v="2014-11-15T00:00:00"/>
    <d v="2014-11-19T00:00:00"/>
    <n v="688.5"/>
    <n v="5"/>
    <n v="126"/>
    <n v="814.5"/>
  </r>
  <r>
    <s v="Piotr"/>
    <s v="Malski"/>
    <x v="11"/>
    <d v="2014-11-15T00:00:00"/>
    <d v="2014-11-18T00:00:00"/>
    <n v="841.7"/>
    <n v="4"/>
    <n v="102"/>
    <n v="943.7"/>
  </r>
  <r>
    <s v="Zofia"/>
    <s v="Maselska"/>
    <x v="6"/>
    <d v="2014-11-15T00:00:00"/>
    <d v="2014-11-15T00:00:00"/>
    <n v="442"/>
    <n v="1"/>
    <n v="30"/>
    <n v="472"/>
  </r>
  <r>
    <s v="Paulina"/>
    <s v="Maskor"/>
    <x v="3"/>
    <d v="2014-11-15T00:00:00"/>
    <d v="2014-11-18T00:00:00"/>
    <n v="1116.5"/>
    <n v="4"/>
    <n v="102"/>
    <n v="1218.5"/>
  </r>
  <r>
    <s v="Kazimiera"/>
    <s v="Parczewska"/>
    <x v="6"/>
    <d v="2014-11-15T00:00:00"/>
    <d v="2014-11-15T00:00:00"/>
    <n v="442"/>
    <n v="1"/>
    <n v="30"/>
    <n v="472"/>
  </r>
  <r>
    <s v="Daria"/>
    <s v="Paryska"/>
    <x v="9"/>
    <d v="2014-11-15T00:00:00"/>
    <d v="2014-11-16T00:00:00"/>
    <n v="526.79999999999995"/>
    <n v="2"/>
    <n v="54"/>
    <n v="580.79999999999995"/>
  </r>
  <r>
    <s v="January"/>
    <s v="Pluta"/>
    <x v="4"/>
    <d v="2014-11-15T00:00:00"/>
    <d v="2014-11-18T00:00:00"/>
    <n v="936.4"/>
    <n v="4"/>
    <n v="102"/>
    <n v="1038.4000000000001"/>
  </r>
  <r>
    <s v="Grzegorz"/>
    <s v="Podolski"/>
    <x v="8"/>
    <d v="2014-11-15T00:00:00"/>
    <d v="2014-11-16T00:00:00"/>
    <n v="407.8"/>
    <n v="2"/>
    <n v="54"/>
    <n v="461.8"/>
  </r>
  <r>
    <s v="Sebastian"/>
    <s v="Puchacz"/>
    <x v="4"/>
    <d v="2014-11-15T00:00:00"/>
    <d v="2014-11-19T00:00:00"/>
    <n v="1077.4000000000001"/>
    <n v="5"/>
    <n v="126"/>
    <n v="1203.4000000000001"/>
  </r>
  <r>
    <s v="Piotr"/>
    <s v="Sworacz"/>
    <x v="8"/>
    <d v="2014-11-15T00:00:00"/>
    <d v="2014-11-16T00:00:00"/>
    <n v="407.8"/>
    <n v="2"/>
    <n v="54"/>
    <n v="461.8"/>
  </r>
  <r>
    <s v="Dominika"/>
    <s v="Bodera"/>
    <x v="7"/>
    <d v="2014-11-16T00:00:00"/>
    <d v="2014-11-17T00:00:00"/>
    <n v="331.5"/>
    <n v="2"/>
    <n v="54"/>
    <n v="385.5"/>
  </r>
  <r>
    <s v="Wiktor"/>
    <s v="Budzis"/>
    <x v="8"/>
    <d v="2014-11-16T00:00:00"/>
    <d v="2014-11-17T00:00:00"/>
    <n v="407.8"/>
    <n v="2"/>
    <n v="54"/>
    <n v="461.8"/>
  </r>
  <r>
    <s v="Paulina"/>
    <s v="Chorzowska"/>
    <x v="11"/>
    <d v="2014-11-16T00:00:00"/>
    <d v="2014-11-17T00:00:00"/>
    <n v="485.7"/>
    <n v="2"/>
    <n v="54"/>
    <n v="539.70000000000005"/>
  </r>
  <r>
    <s v="Patrycja"/>
    <s v="Czarnoleska"/>
    <x v="12"/>
    <d v="2014-11-16T00:00:00"/>
    <d v="2014-11-20T00:00:00"/>
    <n v="1290.7"/>
    <n v="5"/>
    <n v="126"/>
    <n v="1416.7"/>
  </r>
  <r>
    <s v="Justyna"/>
    <s v="Kolska"/>
    <x v="7"/>
    <d v="2014-11-16T00:00:00"/>
    <d v="2014-11-18T00:00:00"/>
    <n v="450.5"/>
    <n v="3"/>
    <n v="78"/>
    <n v="528.5"/>
  </r>
  <r>
    <s v="Justyna"/>
    <s v="Laska"/>
    <x v="3"/>
    <d v="2014-11-16T00:00:00"/>
    <d v="2014-11-18T00:00:00"/>
    <n v="911.5"/>
    <n v="3"/>
    <n v="78"/>
    <n v="989.5"/>
  </r>
  <r>
    <s v="Irma"/>
    <s v="Opoczna"/>
    <x v="10"/>
    <d v="2014-11-16T00:00:00"/>
    <d v="2014-11-19T00:00:00"/>
    <n v="919"/>
    <n v="4"/>
    <n v="102"/>
    <n v="1021"/>
  </r>
  <r>
    <s v="Krystyna"/>
    <s v="Pleszewska"/>
    <x v="4"/>
    <d v="2014-11-16T00:00:00"/>
    <d v="2014-11-17T00:00:00"/>
    <n v="654.4"/>
    <n v="2"/>
    <n v="54"/>
    <n v="708.4"/>
  </r>
  <r>
    <s v="Justyna"/>
    <s v="Tracz"/>
    <x v="9"/>
    <d v="2014-11-16T00:00:00"/>
    <d v="2014-11-17T00:00:00"/>
    <n v="526.79999999999995"/>
    <n v="2"/>
    <n v="54"/>
    <n v="580.79999999999995"/>
  </r>
  <r>
    <s v="Anna"/>
    <s v="Kaliska"/>
    <x v="11"/>
    <d v="2014-11-17T00:00:00"/>
    <d v="2014-11-17T00:00:00"/>
    <n v="307.7"/>
    <n v="1"/>
    <n v="30"/>
    <n v="337.7"/>
  </r>
  <r>
    <s v="Albert"/>
    <s v="Marakasz"/>
    <x v="8"/>
    <d v="2014-11-17T00:00:00"/>
    <d v="2014-11-17T00:00:00"/>
    <n v="278.8"/>
    <n v="1"/>
    <n v="30"/>
    <n v="308.8"/>
  </r>
  <r>
    <s v="Tomasz"/>
    <s v="Rzepka"/>
    <x v="0"/>
    <d v="2014-11-17T00:00:00"/>
    <d v="2014-11-19T00:00:00"/>
    <n v="1102"/>
    <n v="3"/>
    <n v="78"/>
    <n v="1180"/>
  </r>
  <r>
    <s v="Zofia"/>
    <s v="Seredycka"/>
    <x v="1"/>
    <d v="2014-11-17T00:00:00"/>
    <d v="2014-11-19T00:00:00"/>
    <n v="434.4"/>
    <n v="3"/>
    <n v="78"/>
    <n v="512.4"/>
  </r>
  <r>
    <s v="Marek"/>
    <s v="Trzeski"/>
    <x v="0"/>
    <d v="2014-11-17T00:00:00"/>
    <d v="2014-11-17T00:00:00"/>
    <n v="680"/>
    <n v="1"/>
    <n v="30"/>
    <n v="710"/>
  </r>
  <r>
    <s v="Janina"/>
    <s v="Bolanowska"/>
    <x v="6"/>
    <d v="2014-11-18T00:00:00"/>
    <d v="2014-11-18T00:00:00"/>
    <n v="442"/>
    <n v="1"/>
    <n v="30"/>
    <n v="472"/>
  </r>
  <r>
    <s v="Marzena"/>
    <s v="Grab"/>
    <x v="11"/>
    <d v="2014-11-18T00:00:00"/>
    <d v="2014-11-18T00:00:00"/>
    <n v="307.7"/>
    <n v="1"/>
    <n v="30"/>
    <n v="337.7"/>
  </r>
  <r>
    <s v="Justyna"/>
    <s v="Krynicka"/>
    <x v="6"/>
    <d v="2014-11-18T00:00:00"/>
    <d v="2014-11-18T00:00:00"/>
    <n v="442"/>
    <n v="1"/>
    <n v="30"/>
    <n v="472"/>
  </r>
  <r>
    <s v="Kornel"/>
    <s v="Henrykowski"/>
    <x v="12"/>
    <d v="2014-11-19T00:00:00"/>
    <d v="2014-11-19T00:00:00"/>
    <n v="494.7"/>
    <n v="1"/>
    <n v="30"/>
    <n v="524.70000000000005"/>
  </r>
  <r>
    <s v="Marcin"/>
    <s v="Jarskarski"/>
    <x v="1"/>
    <d v="2014-11-19T00:00:00"/>
    <d v="2014-11-19T00:00:00"/>
    <n v="156.4"/>
    <n v="1"/>
    <n v="30"/>
    <n v="186.4"/>
  </r>
  <r>
    <s v="Zuzanna"/>
    <s v="Kowalska"/>
    <x v="6"/>
    <d v="2014-11-19T00:00:00"/>
    <d v="2014-11-19T00:00:00"/>
    <n v="442"/>
    <n v="1"/>
    <n v="30"/>
    <n v="472"/>
  </r>
  <r>
    <s v="Albert"/>
    <s v="Marakasz"/>
    <x v="3"/>
    <d v="2014-11-19T00:00:00"/>
    <d v="2014-11-19T00:00:00"/>
    <n v="501.5"/>
    <n v="1"/>
    <n v="30"/>
    <n v="531.5"/>
  </r>
  <r>
    <s v="Amadeusz"/>
    <s v="Helski"/>
    <x v="4"/>
    <d v="2014-11-20T00:00:00"/>
    <d v="2014-11-21T00:00:00"/>
    <n v="654.4"/>
    <n v="2"/>
    <n v="54"/>
    <n v="708.4"/>
  </r>
  <r>
    <s v="Karolina"/>
    <s v="Janes"/>
    <x v="10"/>
    <d v="2014-11-20T00:00:00"/>
    <d v="2014-11-20T00:00:00"/>
    <n v="442"/>
    <n v="1"/>
    <n v="30"/>
    <n v="472"/>
  </r>
  <r>
    <s v="Piotr"/>
    <s v="Sworacz"/>
    <x v="7"/>
    <d v="2014-11-20T00:00:00"/>
    <d v="2014-11-20T00:00:00"/>
    <n v="212.5"/>
    <n v="1"/>
    <n v="30"/>
    <n v="242.5"/>
  </r>
  <r>
    <s v="Paulina"/>
    <s v="Basala"/>
    <x v="6"/>
    <d v="2014-11-21T00:00:00"/>
    <d v="2014-11-22T00:00:00"/>
    <n v="570"/>
    <n v="2"/>
    <n v="54"/>
    <n v="624"/>
  </r>
  <r>
    <s v="Wiktor"/>
    <s v="Budzis"/>
    <x v="8"/>
    <d v="2014-11-21T00:00:00"/>
    <d v="2014-11-22T00:00:00"/>
    <n v="407.8"/>
    <n v="2"/>
    <n v="54"/>
    <n v="461.8"/>
  </r>
  <r>
    <s v="Jerzy"/>
    <s v="Dusznicki"/>
    <x v="7"/>
    <d v="2014-11-22T00:00:00"/>
    <d v="2014-11-26T00:00:00"/>
    <n v="688.5"/>
    <n v="5"/>
    <n v="126"/>
    <n v="814.5"/>
  </r>
  <r>
    <s v="Justyna"/>
    <s v="Laska"/>
    <x v="1"/>
    <d v="2014-11-22T00:00:00"/>
    <d v="2014-11-22T00:00:00"/>
    <n v="156.4"/>
    <n v="1"/>
    <n v="30"/>
    <n v="186.4"/>
  </r>
  <r>
    <s v="Bogumi"/>
    <s v="Lubelski"/>
    <x v="12"/>
    <d v="2014-11-22T00:00:00"/>
    <d v="2014-11-23T00:00:00"/>
    <n v="693.7"/>
    <n v="2"/>
    <n v="54"/>
    <n v="747.7"/>
  </r>
  <r>
    <s v="Albert"/>
    <s v="Marakasz"/>
    <x v="12"/>
    <d v="2014-11-22T00:00:00"/>
    <d v="2014-11-22T00:00:00"/>
    <n v="494.7"/>
    <n v="1"/>
    <n v="30"/>
    <n v="524.70000000000005"/>
  </r>
  <r>
    <s v="Krystyna"/>
    <s v="Pleszewska"/>
    <x v="3"/>
    <d v="2014-11-22T00:00:00"/>
    <d v="2014-11-25T00:00:00"/>
    <n v="1116.5"/>
    <n v="4"/>
    <n v="102"/>
    <n v="1218.5"/>
  </r>
  <r>
    <s v="Narcyz"/>
    <s v="Polanicki"/>
    <x v="0"/>
    <d v="2014-11-22T00:00:00"/>
    <d v="2014-11-23T00:00:00"/>
    <n v="891"/>
    <n v="2"/>
    <n v="54"/>
    <n v="945"/>
  </r>
  <r>
    <s v="Anna"/>
    <s v="Sobecka"/>
    <x v="5"/>
    <d v="2014-11-22T00:00:00"/>
    <d v="2014-11-25T00:00:00"/>
    <n v="737.7"/>
    <n v="4"/>
    <n v="102"/>
    <n v="839.7"/>
  </r>
  <r>
    <s v="Anna"/>
    <s v="Augustowska"/>
    <x v="4"/>
    <d v="2014-11-23T00:00:00"/>
    <d v="2014-11-23T00:00:00"/>
    <n v="513.4"/>
    <n v="1"/>
    <n v="30"/>
    <n v="543.4"/>
  </r>
  <r>
    <s v="Amadeusz"/>
    <s v="Helski"/>
    <x v="0"/>
    <d v="2014-11-24T00:00:00"/>
    <d v="2014-11-25T00:00:00"/>
    <n v="891"/>
    <n v="2"/>
    <n v="54"/>
    <n v="945"/>
  </r>
  <r>
    <s v="Malwina"/>
    <s v="Papkin"/>
    <x v="2"/>
    <d v="2014-11-24T00:00:00"/>
    <d v="2014-11-24T00:00:00"/>
    <n v="178.5"/>
    <n v="1"/>
    <n v="30"/>
    <n v="208.5"/>
  </r>
  <r>
    <s v="Marzena"/>
    <s v="Grab"/>
    <x v="0"/>
    <d v="2014-11-25T00:00:00"/>
    <d v="2014-11-25T00:00:00"/>
    <n v="680"/>
    <n v="1"/>
    <n v="30"/>
    <n v="710"/>
  </r>
  <r>
    <s v="Albert"/>
    <s v="Marakasz"/>
    <x v="2"/>
    <d v="2014-11-25T00:00:00"/>
    <d v="2014-11-25T00:00:00"/>
    <n v="178.5"/>
    <n v="1"/>
    <n v="30"/>
    <n v="208.5"/>
  </r>
  <r>
    <s v="Dorota"/>
    <s v="Sosnowiecka"/>
    <x v="4"/>
    <d v="2014-11-25T00:00:00"/>
    <d v="2014-11-25T00:00:00"/>
    <n v="513.4"/>
    <n v="1"/>
    <n v="30"/>
    <n v="543.4"/>
  </r>
  <r>
    <s v="Sebastian"/>
    <s v="Argonski"/>
    <x v="1"/>
    <d v="2014-11-27T00:00:00"/>
    <d v="2014-11-30T00:00:00"/>
    <n v="573.4"/>
    <n v="4"/>
    <n v="102"/>
    <n v="675.4"/>
  </r>
  <r>
    <s v="Kornel"/>
    <s v="Henrykowski"/>
    <x v="3"/>
    <d v="2014-11-27T00:00:00"/>
    <d v="2014-11-27T00:00:00"/>
    <n v="501.5"/>
    <n v="1"/>
    <n v="30"/>
    <n v="531.5"/>
  </r>
  <r>
    <s v="Marek"/>
    <s v="Holski"/>
    <x v="2"/>
    <d v="2014-11-27T00:00:00"/>
    <d v="2014-12-01T00:00:00"/>
    <n v="674.5"/>
    <n v="5"/>
    <n v="126"/>
    <n v="800.5"/>
  </r>
  <r>
    <s v="Jerzy"/>
    <s v="Jurajski"/>
    <x v="10"/>
    <d v="2014-11-27T00:00:00"/>
    <d v="2014-12-01T00:00:00"/>
    <n v="1078"/>
    <n v="5"/>
    <n v="126"/>
    <n v="1204"/>
  </r>
  <r>
    <s v="Andrzej"/>
    <s v="Klajn"/>
    <x v="10"/>
    <d v="2014-11-27T00:00:00"/>
    <d v="2014-11-27T00:00:00"/>
    <n v="442"/>
    <n v="1"/>
    <n v="30"/>
    <n v="472"/>
  </r>
  <r>
    <s v="Zuzanna"/>
    <s v="Kowalska"/>
    <x v="9"/>
    <d v="2014-11-27T00:00:00"/>
    <d v="2014-11-28T00:00:00"/>
    <n v="526.79999999999995"/>
    <n v="2"/>
    <n v="54"/>
    <n v="580.79999999999995"/>
  </r>
  <r>
    <s v="Wojciech"/>
    <s v="Krokus"/>
    <x v="10"/>
    <d v="2014-11-27T00:00:00"/>
    <d v="2014-11-27T00:00:00"/>
    <n v="442"/>
    <n v="1"/>
    <n v="30"/>
    <n v="472"/>
  </r>
  <r>
    <s v="Albert"/>
    <s v="Marakasz"/>
    <x v="3"/>
    <d v="2014-11-27T00:00:00"/>
    <d v="2014-11-30T00:00:00"/>
    <n v="1116.5"/>
    <n v="4"/>
    <n v="102"/>
    <n v="1218.5"/>
  </r>
  <r>
    <s v="Paulina"/>
    <s v="Maskor"/>
    <x v="12"/>
    <d v="2014-11-27T00:00:00"/>
    <d v="2014-12-01T00:00:00"/>
    <n v="1290.7"/>
    <n v="5"/>
    <n v="126"/>
    <n v="1416.7"/>
  </r>
  <r>
    <s v="Jerzy"/>
    <s v="Misiek"/>
    <x v="12"/>
    <d v="2014-11-27T00:00:00"/>
    <d v="2014-11-29T00:00:00"/>
    <n v="892.7"/>
    <n v="3"/>
    <n v="78"/>
    <n v="970.7"/>
  </r>
  <r>
    <s v="Teresa"/>
    <s v="Moskiewska"/>
    <x v="9"/>
    <d v="2014-11-27T00:00:00"/>
    <d v="2014-11-27T00:00:00"/>
    <n v="363.8"/>
    <n v="1"/>
    <n v="30"/>
    <n v="393.8"/>
  </r>
  <r>
    <s v="Maria"/>
    <s v="Ozimek"/>
    <x v="5"/>
    <d v="2014-11-27T00:00:00"/>
    <d v="2014-11-27T00:00:00"/>
    <n v="290.7"/>
    <n v="1"/>
    <n v="30"/>
    <n v="320.7"/>
  </r>
  <r>
    <s v="Katarzyna"/>
    <s v="Piotrowska"/>
    <x v="9"/>
    <d v="2014-11-27T00:00:00"/>
    <d v="2014-11-28T00:00:00"/>
    <n v="526.79999999999995"/>
    <n v="2"/>
    <n v="54"/>
    <n v="580.79999999999995"/>
  </r>
  <r>
    <s v="Zofia"/>
    <s v="Seredycka"/>
    <x v="7"/>
    <d v="2014-11-27T00:00:00"/>
    <d v="2014-11-27T00:00:00"/>
    <n v="212.5"/>
    <n v="1"/>
    <n v="30"/>
    <n v="242.5"/>
  </r>
  <r>
    <s v="Anna"/>
    <s v="Sobecka"/>
    <x v="10"/>
    <d v="2014-11-27T00:00:00"/>
    <d v="2014-11-28T00:00:00"/>
    <n v="601"/>
    <n v="2"/>
    <n v="54"/>
    <n v="655"/>
  </r>
  <r>
    <s v="Dorota"/>
    <s v="Sosnowiecka"/>
    <x v="4"/>
    <d v="2014-11-27T00:00:00"/>
    <d v="2014-11-27T00:00:00"/>
    <n v="513.4"/>
    <n v="1"/>
    <n v="30"/>
    <n v="543.4"/>
  </r>
  <r>
    <s v="Paulina"/>
    <s v="Watrach"/>
    <x v="12"/>
    <d v="2014-11-27T00:00:00"/>
    <d v="2014-11-28T00:00:00"/>
    <n v="693.7"/>
    <n v="2"/>
    <n v="54"/>
    <n v="747.7"/>
  </r>
  <r>
    <s v="Kamil"/>
    <s v="Zabrzeski"/>
    <x v="2"/>
    <d v="2014-11-27T00:00:00"/>
    <d v="2014-11-29T00:00:00"/>
    <n v="426.5"/>
    <n v="3"/>
    <n v="78"/>
    <n v="504.5"/>
  </r>
  <r>
    <s v="Paulina"/>
    <s v="Chorzowska"/>
    <x v="4"/>
    <d v="2014-11-28T00:00:00"/>
    <d v="2014-12-01T00:00:00"/>
    <n v="936.4"/>
    <n v="4"/>
    <n v="102"/>
    <n v="1038.4000000000001"/>
  </r>
  <r>
    <s v="Patrycja"/>
    <s v="Czarnoleska"/>
    <x v="12"/>
    <d v="2014-11-28T00:00:00"/>
    <d v="2014-11-30T00:00:00"/>
    <n v="892.7"/>
    <n v="3"/>
    <n v="78"/>
    <n v="970.7"/>
  </r>
  <r>
    <s v="Wiktor"/>
    <s v="Czekan"/>
    <x v="0"/>
    <d v="2014-11-28T00:00:00"/>
    <d v="2014-11-30T00:00:00"/>
    <n v="1102"/>
    <n v="3"/>
    <n v="78"/>
    <n v="1180"/>
  </r>
  <r>
    <s v="Edwina"/>
    <s v="Elawa"/>
    <x v="6"/>
    <d v="2014-11-28T00:00:00"/>
    <d v="2014-11-30T00:00:00"/>
    <n v="698"/>
    <n v="3"/>
    <n v="78"/>
    <n v="776"/>
  </r>
  <r>
    <s v="Adam"/>
    <s v="Falski"/>
    <x v="12"/>
    <d v="2014-11-28T00:00:00"/>
    <d v="2014-11-29T00:00:00"/>
    <n v="693.7"/>
    <n v="2"/>
    <n v="54"/>
    <n v="747.7"/>
  </r>
  <r>
    <s v="Olivia"/>
    <s v="Gabor"/>
    <x v="3"/>
    <d v="2014-11-28T00:00:00"/>
    <d v="2014-11-28T00:00:00"/>
    <n v="501.5"/>
    <n v="1"/>
    <n v="30"/>
    <n v="531.5"/>
  </r>
  <r>
    <s v="Jerzy"/>
    <s v="Granica"/>
    <x v="11"/>
    <d v="2014-11-28T00:00:00"/>
    <d v="2014-11-28T00:00:00"/>
    <n v="307.7"/>
    <n v="1"/>
    <n v="30"/>
    <n v="337.7"/>
  </r>
  <r>
    <s v="Marzena"/>
    <s v="Gras"/>
    <x v="11"/>
    <d v="2014-11-28T00:00:00"/>
    <d v="2014-11-29T00:00:00"/>
    <n v="485.7"/>
    <n v="2"/>
    <n v="54"/>
    <n v="539.70000000000005"/>
  </r>
  <r>
    <s v="Marcin"/>
    <s v="Jarskarski"/>
    <x v="10"/>
    <d v="2014-11-28T00:00:00"/>
    <d v="2014-12-02T00:00:00"/>
    <n v="1078"/>
    <n v="5"/>
    <n v="126"/>
    <n v="1204"/>
  </r>
  <r>
    <s v="Anna"/>
    <s v="Kaliska"/>
    <x v="9"/>
    <d v="2014-11-28T00:00:00"/>
    <d v="2014-11-28T00:00:00"/>
    <n v="363.8"/>
    <n v="1"/>
    <n v="30"/>
    <n v="393.8"/>
  </r>
  <r>
    <s v="Kacper"/>
    <s v="Krajewski"/>
    <x v="4"/>
    <d v="2014-11-28T00:00:00"/>
    <d v="2014-11-28T00:00:00"/>
    <n v="513.4"/>
    <n v="1"/>
    <n v="30"/>
    <n v="543.4"/>
  </r>
  <r>
    <s v="Justyna"/>
    <s v="Krynicka"/>
    <x v="8"/>
    <d v="2014-11-28T00:00:00"/>
    <d v="2014-11-29T00:00:00"/>
    <n v="407.8"/>
    <n v="2"/>
    <n v="54"/>
    <n v="461.8"/>
  </r>
  <r>
    <s v="Ewa"/>
    <s v="Kwiska"/>
    <x v="12"/>
    <d v="2014-11-28T00:00:00"/>
    <d v="2014-12-01T00:00:00"/>
    <n v="1091.7"/>
    <n v="4"/>
    <n v="102"/>
    <n v="1193.7"/>
  </r>
  <r>
    <s v="Zyta"/>
    <s v="Mazurkiewicz"/>
    <x v="2"/>
    <d v="2014-11-28T00:00:00"/>
    <d v="2014-12-02T00:00:00"/>
    <n v="674.5"/>
    <n v="5"/>
    <n v="126"/>
    <n v="800.5"/>
  </r>
  <r>
    <s v="Irma"/>
    <s v="Opoczna"/>
    <x v="0"/>
    <d v="2014-11-28T00:00:00"/>
    <d v="2014-12-02T00:00:00"/>
    <n v="1524"/>
    <n v="5"/>
    <n v="126"/>
    <n v="1650"/>
  </r>
  <r>
    <s v="Rozalia"/>
    <s v="Parad"/>
    <x v="7"/>
    <d v="2014-11-28T00:00:00"/>
    <d v="2014-12-02T00:00:00"/>
    <n v="688.5"/>
    <n v="5"/>
    <n v="126"/>
    <n v="814.5"/>
  </r>
  <r>
    <s v="Krystyna"/>
    <s v="Pleszewska"/>
    <x v="5"/>
    <d v="2014-11-28T00:00:00"/>
    <d v="2014-11-29T00:00:00"/>
    <n v="439.7"/>
    <n v="2"/>
    <n v="54"/>
    <n v="493.7"/>
  </r>
  <r>
    <s v="Sebastian"/>
    <s v="Puchacz"/>
    <x v="12"/>
    <d v="2014-11-28T00:00:00"/>
    <d v="2014-11-29T00:00:00"/>
    <n v="693.7"/>
    <n v="2"/>
    <n v="54"/>
    <n v="747.7"/>
  </r>
  <r>
    <s v="Amelia"/>
    <s v="Wojtecka"/>
    <x v="0"/>
    <d v="2014-11-28T00:00:00"/>
    <d v="2014-12-01T00:00:00"/>
    <n v="1313"/>
    <n v="4"/>
    <n v="102"/>
    <n v="1415"/>
  </r>
  <r>
    <s v="Adam"/>
    <s v="Wradoch"/>
    <x v="0"/>
    <d v="2014-11-28T00:00:00"/>
    <d v="2014-11-29T00:00:00"/>
    <n v="891"/>
    <n v="2"/>
    <n v="54"/>
    <n v="945"/>
  </r>
  <r>
    <s v="Natalia"/>
    <s v="Idar"/>
    <x v="5"/>
    <d v="2014-11-29T00:00:00"/>
    <d v="2014-11-30T00:00:00"/>
    <n v="439.7"/>
    <n v="2"/>
    <n v="54"/>
    <n v="493.7"/>
  </r>
  <r>
    <s v="Anna"/>
    <s v="Kaliska"/>
    <x v="0"/>
    <d v="2014-12-01T00:00:00"/>
    <d v="2014-12-01T00:00:00"/>
    <n v="680"/>
    <n v="1"/>
    <n v="30"/>
    <n v="710"/>
  </r>
  <r>
    <s v="Andrzej"/>
    <s v="Klajn"/>
    <x v="10"/>
    <d v="2014-12-01T00:00:00"/>
    <d v="2014-12-01T00:00:00"/>
    <n v="442"/>
    <n v="1"/>
    <n v="30"/>
    <n v="472"/>
  </r>
  <r>
    <s v="Kacper"/>
    <s v="Krajewski"/>
    <x v="2"/>
    <d v="2014-12-01T00:00:00"/>
    <d v="2014-12-02T00:00:00"/>
    <n v="302.5"/>
    <n v="2"/>
    <n v="54"/>
    <n v="356.5"/>
  </r>
  <r>
    <s v="Wojciech"/>
    <s v="Krokus"/>
    <x v="4"/>
    <d v="2014-12-01T00:00:00"/>
    <d v="2014-12-01T00:00:00"/>
    <n v="513.4"/>
    <n v="1"/>
    <n v="30"/>
    <n v="543.4"/>
  </r>
  <r>
    <s v="Teresa"/>
    <s v="Moskiewska"/>
    <x v="10"/>
    <d v="2014-12-01T00:00:00"/>
    <d v="2014-12-01T00:00:00"/>
    <n v="442"/>
    <n v="1"/>
    <n v="30"/>
    <n v="472"/>
  </r>
  <r>
    <s v="Maria"/>
    <s v="Ozimek"/>
    <x v="12"/>
    <d v="2014-12-01T00:00:00"/>
    <d v="2014-12-01T00:00:00"/>
    <n v="494.7"/>
    <n v="1"/>
    <n v="30"/>
    <n v="524.70000000000005"/>
  </r>
  <r>
    <s v="Zofia"/>
    <s v="Seredycka"/>
    <x v="4"/>
    <d v="2014-12-01T00:00:00"/>
    <d v="2014-12-01T00:00:00"/>
    <n v="513.4"/>
    <n v="1"/>
    <n v="30"/>
    <n v="543.4"/>
  </r>
  <r>
    <s v="Wiktor"/>
    <s v="Budzis"/>
    <x v="10"/>
    <d v="2014-12-02T00:00:00"/>
    <d v="2014-12-02T00:00:00"/>
    <n v="442"/>
    <n v="1"/>
    <n v="30"/>
    <n v="472"/>
  </r>
  <r>
    <s v="Patrycja"/>
    <s v="Czarnoleska"/>
    <x v="7"/>
    <d v="2014-12-02T00:00:00"/>
    <d v="2014-12-03T00:00:00"/>
    <n v="331.5"/>
    <n v="2"/>
    <n v="54"/>
    <n v="385.5"/>
  </r>
  <r>
    <s v="Paulina"/>
    <s v="Dok"/>
    <x v="9"/>
    <d v="2014-12-02T00:00:00"/>
    <d v="2014-12-04T00:00:00"/>
    <n v="689.8"/>
    <n v="3"/>
    <n v="78"/>
    <n v="767.8"/>
  </r>
  <r>
    <s v="Olivia"/>
    <s v="Gabor"/>
    <x v="8"/>
    <d v="2014-12-02T00:00:00"/>
    <d v="2014-12-02T00:00:00"/>
    <n v="278.8"/>
    <n v="1"/>
    <n v="30"/>
    <n v="308.8"/>
  </r>
  <r>
    <s v="Krystyna"/>
    <s v="Pleszewska"/>
    <x v="1"/>
    <d v="2014-12-02T00:00:00"/>
    <d v="2014-12-02T00:00:00"/>
    <n v="156.4"/>
    <n v="1"/>
    <n v="30"/>
    <n v="186.4"/>
  </r>
  <r>
    <s v="Anna"/>
    <s v="Sobecka"/>
    <x v="5"/>
    <d v="2014-12-02T00:00:00"/>
    <d v="2014-12-02T00:00:00"/>
    <n v="290.7"/>
    <n v="1"/>
    <n v="30"/>
    <n v="320.7"/>
  </r>
  <r>
    <s v="Natalia"/>
    <s v="Idar"/>
    <x v="8"/>
    <d v="2014-12-03T00:00:00"/>
    <d v="2014-12-03T00:00:00"/>
    <n v="278.8"/>
    <n v="1"/>
    <n v="30"/>
    <n v="308.8"/>
  </r>
  <r>
    <s v="Paulina"/>
    <s v="Chorzowska"/>
    <x v="4"/>
    <d v="2014-12-04T00:00:00"/>
    <d v="2014-12-04T00:00:00"/>
    <n v="513.4"/>
    <n v="1"/>
    <n v="30"/>
    <n v="543.4"/>
  </r>
  <r>
    <s v="Ewa"/>
    <s v="Fidyk"/>
    <x v="5"/>
    <d v="2014-12-04T00:00:00"/>
    <d v="2014-12-05T00:00:00"/>
    <n v="439.7"/>
    <n v="2"/>
    <n v="54"/>
    <n v="493.7"/>
  </r>
  <r>
    <s v="Janusz"/>
    <s v="Jurkicz"/>
    <x v="2"/>
    <d v="2014-12-04T00:00:00"/>
    <d v="2014-12-05T00:00:00"/>
    <n v="302.5"/>
    <n v="2"/>
    <n v="54"/>
    <n v="356.5"/>
  </r>
  <r>
    <s v="Wojciech"/>
    <s v="Mazowiecki"/>
    <x v="1"/>
    <d v="2014-12-04T00:00:00"/>
    <d v="2014-12-05T00:00:00"/>
    <n v="295.39999999999998"/>
    <n v="2"/>
    <n v="54"/>
    <n v="349.4"/>
  </r>
  <r>
    <s v="Katarzyna"/>
    <s v="Piotrowska"/>
    <x v="5"/>
    <d v="2014-12-04T00:00:00"/>
    <d v="2014-12-08T00:00:00"/>
    <n v="886.7"/>
    <n v="5"/>
    <n v="126"/>
    <n v="1012.7"/>
  </r>
  <r>
    <s v="Kamil"/>
    <s v="Pomorski"/>
    <x v="12"/>
    <d v="2014-12-04T00:00:00"/>
    <d v="2014-12-08T00:00:00"/>
    <n v="1290.7"/>
    <n v="5"/>
    <n v="126"/>
    <n v="1416.7"/>
  </r>
  <r>
    <s v="Piotr"/>
    <s v="Roman"/>
    <x v="8"/>
    <d v="2014-12-04T00:00:00"/>
    <d v="2014-12-06T00:00:00"/>
    <n v="536.79999999999995"/>
    <n v="3"/>
    <n v="78"/>
    <n v="614.79999999999995"/>
  </r>
  <r>
    <s v="Sebastian"/>
    <s v="Argonski"/>
    <x v="5"/>
    <d v="2014-12-09T00:00:00"/>
    <d v="2014-12-10T00:00:00"/>
    <n v="439.7"/>
    <n v="2"/>
    <n v="54"/>
    <n v="493.7"/>
  </r>
  <r>
    <s v="Andrzej"/>
    <s v="Barcz"/>
    <x v="8"/>
    <d v="2014-12-09T00:00:00"/>
    <d v="2014-12-09T00:00:00"/>
    <n v="278.8"/>
    <n v="1"/>
    <n v="30"/>
    <n v="308.8"/>
  </r>
  <r>
    <s v="Bonifacy"/>
    <s v="Barczewski"/>
    <x v="5"/>
    <d v="2014-12-09T00:00:00"/>
    <d v="2014-12-12T00:00:00"/>
    <n v="737.7"/>
    <n v="4"/>
    <n v="102"/>
    <n v="839.7"/>
  </r>
  <r>
    <s v="Karolina"/>
    <s v="Bizuta"/>
    <x v="7"/>
    <d v="2014-12-09T00:00:00"/>
    <d v="2014-12-10T00:00:00"/>
    <n v="331.5"/>
    <n v="2"/>
    <n v="54"/>
    <n v="385.5"/>
  </r>
  <r>
    <s v="Dominika"/>
    <s v="Bodera"/>
    <x v="10"/>
    <d v="2014-12-09T00:00:00"/>
    <d v="2014-12-09T00:00:00"/>
    <n v="442"/>
    <n v="1"/>
    <n v="30"/>
    <n v="472"/>
  </r>
  <r>
    <s v="Zofia"/>
    <s v="Budzianowska"/>
    <x v="12"/>
    <d v="2014-12-09T00:00:00"/>
    <d v="2014-12-09T00:00:00"/>
    <n v="494.7"/>
    <n v="1"/>
    <n v="30"/>
    <n v="524.70000000000005"/>
  </r>
  <r>
    <s v="Sebastian"/>
    <s v="Halik"/>
    <x v="0"/>
    <d v="2014-12-09T00:00:00"/>
    <d v="2014-12-11T00:00:00"/>
    <n v="1102"/>
    <n v="3"/>
    <n v="78"/>
    <n v="1180"/>
  </r>
  <r>
    <s v="Amadeusz"/>
    <s v="Helski"/>
    <x v="7"/>
    <d v="2014-12-09T00:00:00"/>
    <d v="2014-12-13T00:00:00"/>
    <n v="688.5"/>
    <n v="5"/>
    <n v="126"/>
    <n v="814.5"/>
  </r>
  <r>
    <s v="Natalia"/>
    <s v="Idar"/>
    <x v="6"/>
    <d v="2014-12-09T00:00:00"/>
    <d v="2014-12-10T00:00:00"/>
    <n v="570"/>
    <n v="2"/>
    <n v="54"/>
    <n v="624"/>
  </r>
  <r>
    <s v="Marcin"/>
    <s v="Jarskarski"/>
    <x v="10"/>
    <d v="2014-12-09T00:00:00"/>
    <d v="2014-12-11T00:00:00"/>
    <n v="760"/>
    <n v="3"/>
    <n v="78"/>
    <n v="838"/>
  </r>
  <r>
    <s v="Andrzej"/>
    <s v="Klajn"/>
    <x v="0"/>
    <d v="2014-12-09T00:00:00"/>
    <d v="2014-12-10T00:00:00"/>
    <n v="891"/>
    <n v="2"/>
    <n v="54"/>
    <n v="945"/>
  </r>
  <r>
    <s v="Justyna"/>
    <s v="Kolska"/>
    <x v="12"/>
    <d v="2014-12-09T00:00:00"/>
    <d v="2014-12-11T00:00:00"/>
    <n v="892.7"/>
    <n v="3"/>
    <n v="78"/>
    <n v="970.7"/>
  </r>
  <r>
    <s v="Wojciech"/>
    <s v="Krokus"/>
    <x v="1"/>
    <d v="2014-12-09T00:00:00"/>
    <d v="2014-12-12T00:00:00"/>
    <n v="573.4"/>
    <n v="4"/>
    <n v="102"/>
    <n v="675.4"/>
  </r>
  <r>
    <s v="Michalina"/>
    <s v="Lamda"/>
    <x v="7"/>
    <d v="2014-12-09T00:00:00"/>
    <d v="2014-12-12T00:00:00"/>
    <n v="569.5"/>
    <n v="4"/>
    <n v="102"/>
    <n v="671.5"/>
  </r>
  <r>
    <s v="Adam"/>
    <s v="Markowski"/>
    <x v="2"/>
    <d v="2014-12-09T00:00:00"/>
    <d v="2014-12-13T00:00:00"/>
    <n v="674.5"/>
    <n v="5"/>
    <n v="126"/>
    <n v="800.5"/>
  </r>
  <r>
    <s v="Kazimiera"/>
    <s v="Parczewska"/>
    <x v="4"/>
    <d v="2014-12-09T00:00:00"/>
    <d v="2014-12-10T00:00:00"/>
    <n v="654.4"/>
    <n v="2"/>
    <n v="54"/>
    <n v="708.4"/>
  </r>
  <r>
    <s v="Zuzanna"/>
    <s v="Piotrkowska"/>
    <x v="0"/>
    <d v="2014-12-09T00:00:00"/>
    <d v="2014-12-10T00:00:00"/>
    <n v="891"/>
    <n v="2"/>
    <n v="54"/>
    <n v="945"/>
  </r>
  <r>
    <s v="Grzegorz"/>
    <s v="Podolski"/>
    <x v="10"/>
    <d v="2014-12-09T00:00:00"/>
    <d v="2014-12-11T00:00:00"/>
    <n v="760"/>
    <n v="3"/>
    <n v="78"/>
    <n v="838"/>
  </r>
  <r>
    <s v="Zofia"/>
    <s v="Seredycka"/>
    <x v="11"/>
    <d v="2014-12-09T00:00:00"/>
    <d v="2014-12-13T00:00:00"/>
    <n v="1019.7"/>
    <n v="5"/>
    <n v="126"/>
    <n v="1145.7"/>
  </r>
  <r>
    <s v="Marek"/>
    <s v="Trzeski"/>
    <x v="9"/>
    <d v="2014-12-09T00:00:00"/>
    <d v="2014-12-10T00:00:00"/>
    <n v="526.79999999999995"/>
    <n v="2"/>
    <n v="54"/>
    <n v="580.79999999999995"/>
  </r>
  <r>
    <s v="Adam"/>
    <s v="Wradoch"/>
    <x v="9"/>
    <d v="2014-12-09T00:00:00"/>
    <d v="2014-12-10T00:00:00"/>
    <n v="526.79999999999995"/>
    <n v="2"/>
    <n v="54"/>
    <n v="580.79999999999995"/>
  </r>
  <r>
    <s v="Piotr"/>
    <s v="Armowicz"/>
    <x v="3"/>
    <d v="2014-12-10T00:00:00"/>
    <d v="2014-12-11T00:00:00"/>
    <n v="706.5"/>
    <n v="2"/>
    <n v="54"/>
    <n v="760.5"/>
  </r>
  <r>
    <s v="Karolina"/>
    <s v="Arska"/>
    <x v="7"/>
    <d v="2014-12-10T00:00:00"/>
    <d v="2014-12-11T00:00:00"/>
    <n v="331.5"/>
    <n v="2"/>
    <n v="54"/>
    <n v="385.5"/>
  </r>
  <r>
    <s v="Janina"/>
    <s v="Bolanowska"/>
    <x v="2"/>
    <d v="2014-12-10T00:00:00"/>
    <d v="2014-12-13T00:00:00"/>
    <n v="550.5"/>
    <n v="4"/>
    <n v="102"/>
    <n v="652.5"/>
  </r>
  <r>
    <s v="Kornel"/>
    <s v="Czerski"/>
    <x v="3"/>
    <d v="2014-12-10T00:00:00"/>
    <d v="2014-12-13T00:00:00"/>
    <n v="1116.5"/>
    <n v="4"/>
    <n v="102"/>
    <n v="1218.5"/>
  </r>
  <r>
    <s v="Jerzy"/>
    <s v="Dusznicki"/>
    <x v="5"/>
    <d v="2014-12-10T00:00:00"/>
    <d v="2014-12-11T00:00:00"/>
    <n v="439.7"/>
    <n v="2"/>
    <n v="54"/>
    <n v="493.7"/>
  </r>
  <r>
    <s v="Marzena"/>
    <s v="Grab"/>
    <x v="10"/>
    <d v="2014-12-10T00:00:00"/>
    <d v="2014-12-10T00:00:00"/>
    <n v="442"/>
    <n v="1"/>
    <n v="30"/>
    <n v="472"/>
  </r>
  <r>
    <s v="Marzena"/>
    <s v="Gras"/>
    <x v="3"/>
    <d v="2014-12-10T00:00:00"/>
    <d v="2014-12-12T00:00:00"/>
    <n v="911.5"/>
    <n v="3"/>
    <n v="78"/>
    <n v="989.5"/>
  </r>
  <r>
    <s v="Kornel"/>
    <s v="Henrykowski"/>
    <x v="9"/>
    <d v="2014-12-10T00:00:00"/>
    <d v="2014-12-14T00:00:00"/>
    <n v="1015.8"/>
    <n v="5"/>
    <n v="126"/>
    <n v="1141.8"/>
  </r>
  <r>
    <s v="Marek"/>
    <s v="Holski"/>
    <x v="7"/>
    <d v="2014-12-10T00:00:00"/>
    <d v="2014-12-11T00:00:00"/>
    <n v="331.5"/>
    <n v="2"/>
    <n v="54"/>
    <n v="385.5"/>
  </r>
  <r>
    <s v="Karolina"/>
    <s v="Janes"/>
    <x v="6"/>
    <d v="2014-12-10T00:00:00"/>
    <d v="2014-12-14T00:00:00"/>
    <n v="954"/>
    <n v="5"/>
    <n v="126"/>
    <n v="1080"/>
  </r>
  <r>
    <s v="Justyna"/>
    <s v="Krynicka"/>
    <x v="0"/>
    <d v="2014-12-10T00:00:00"/>
    <d v="2014-12-12T00:00:00"/>
    <n v="1102"/>
    <n v="3"/>
    <n v="78"/>
    <n v="1180"/>
  </r>
  <r>
    <s v="Zofia"/>
    <s v="Maselska"/>
    <x v="11"/>
    <d v="2014-12-10T00:00:00"/>
    <d v="2014-12-11T00:00:00"/>
    <n v="485.7"/>
    <n v="2"/>
    <n v="54"/>
    <n v="539.70000000000005"/>
  </r>
  <r>
    <s v="Paulina"/>
    <s v="Maskor"/>
    <x v="8"/>
    <d v="2014-12-10T00:00:00"/>
    <d v="2014-12-13T00:00:00"/>
    <n v="665.8"/>
    <n v="4"/>
    <n v="102"/>
    <n v="767.8"/>
  </r>
  <r>
    <s v="Zyta"/>
    <s v="Mazurkiewicz"/>
    <x v="5"/>
    <d v="2014-12-10T00:00:00"/>
    <d v="2014-12-12T00:00:00"/>
    <n v="588.70000000000005"/>
    <n v="3"/>
    <n v="78"/>
    <n v="666.7"/>
  </r>
  <r>
    <s v="Jerzy"/>
    <s v="Misiek"/>
    <x v="12"/>
    <d v="2014-12-10T00:00:00"/>
    <d v="2014-12-13T00:00:00"/>
    <n v="1091.7"/>
    <n v="4"/>
    <n v="102"/>
    <n v="1193.7"/>
  </r>
  <r>
    <s v="Dorota"/>
    <s v="Morska"/>
    <x v="9"/>
    <d v="2014-12-10T00:00:00"/>
    <d v="2014-12-14T00:00:00"/>
    <n v="1015.8"/>
    <n v="5"/>
    <n v="126"/>
    <n v="1141.8"/>
  </r>
  <r>
    <s v="Ewelia"/>
    <s v="Nyska"/>
    <x v="4"/>
    <d v="2014-12-10T00:00:00"/>
    <d v="2014-12-11T00:00:00"/>
    <n v="654.4"/>
    <n v="2"/>
    <n v="54"/>
    <n v="708.4"/>
  </r>
  <r>
    <s v="Daria"/>
    <s v="Paryska"/>
    <x v="8"/>
    <d v="2014-12-10T00:00:00"/>
    <d v="2014-12-11T00:00:00"/>
    <n v="407.8"/>
    <n v="2"/>
    <n v="54"/>
    <n v="461.8"/>
  </r>
  <r>
    <s v="Karolina"/>
    <s v="Podkalicka"/>
    <x v="1"/>
    <d v="2014-12-10T00:00:00"/>
    <d v="2014-12-10T00:00:00"/>
    <n v="156.4"/>
    <n v="1"/>
    <n v="30"/>
    <n v="186.4"/>
  </r>
  <r>
    <s v="Kamil"/>
    <s v="Pomorski"/>
    <x v="2"/>
    <d v="2014-12-10T00:00:00"/>
    <d v="2014-12-13T00:00:00"/>
    <n v="550.5"/>
    <n v="4"/>
    <n v="102"/>
    <n v="652.5"/>
  </r>
  <r>
    <s v="Piotr"/>
    <s v="Roman"/>
    <x v="0"/>
    <d v="2014-12-10T00:00:00"/>
    <d v="2014-12-14T00:00:00"/>
    <n v="1524"/>
    <n v="5"/>
    <n v="126"/>
    <n v="1650"/>
  </r>
  <r>
    <s v="Kamil"/>
    <s v="Zabrzeski"/>
    <x v="8"/>
    <d v="2014-12-10T00:00:00"/>
    <d v="2014-12-11T00:00:00"/>
    <n v="407.8"/>
    <n v="2"/>
    <n v="54"/>
    <n v="461.8"/>
  </r>
  <r>
    <s v="Anna"/>
    <s v="Kaliska"/>
    <x v="3"/>
    <d v="2014-12-11T00:00:00"/>
    <d v="2014-12-12T00:00:00"/>
    <n v="706.5"/>
    <n v="2"/>
    <n v="54"/>
    <n v="760.5"/>
  </r>
  <r>
    <s v="Andrzej"/>
    <s v="Klajn"/>
    <x v="5"/>
    <d v="2014-12-11T00:00:00"/>
    <d v="2014-12-11T00:00:00"/>
    <n v="290.7"/>
    <n v="1"/>
    <n v="30"/>
    <n v="320.7"/>
  </r>
  <r>
    <s v="Andrzej"/>
    <s v="Barcz"/>
    <x v="6"/>
    <d v="2014-12-12T00:00:00"/>
    <d v="2014-12-12T00:00:00"/>
    <n v="442"/>
    <n v="1"/>
    <n v="30"/>
    <n v="472"/>
  </r>
  <r>
    <s v="Karolina"/>
    <s v="Bizuta"/>
    <x v="10"/>
    <d v="2014-12-12T00:00:00"/>
    <d v="2014-12-12T00:00:00"/>
    <n v="442"/>
    <n v="1"/>
    <n v="30"/>
    <n v="472"/>
  </r>
  <r>
    <s v="Dominika"/>
    <s v="Bodera"/>
    <x v="8"/>
    <d v="2014-12-12T00:00:00"/>
    <d v="2014-12-12T00:00:00"/>
    <n v="278.8"/>
    <n v="1"/>
    <n v="30"/>
    <n v="308.8"/>
  </r>
  <r>
    <s v="Zofia"/>
    <s v="Budzianowska"/>
    <x v="8"/>
    <d v="2014-12-12T00:00:00"/>
    <d v="2014-12-12T00:00:00"/>
    <n v="278.8"/>
    <n v="1"/>
    <n v="30"/>
    <n v="308.8"/>
  </r>
  <r>
    <s v="Adam"/>
    <s v="Falski"/>
    <x v="2"/>
    <d v="2014-12-12T00:00:00"/>
    <d v="2014-12-12T00:00:00"/>
    <n v="178.5"/>
    <n v="1"/>
    <n v="30"/>
    <n v="208.5"/>
  </r>
  <r>
    <s v="Malwina"/>
    <s v="Papkin"/>
    <x v="1"/>
    <d v="2014-12-12T00:00:00"/>
    <d v="2014-12-15T00:00:00"/>
    <n v="573.4"/>
    <n v="4"/>
    <n v="102"/>
    <n v="675.4"/>
  </r>
  <r>
    <s v="Zuzanna"/>
    <s v="Piotrkowska"/>
    <x v="11"/>
    <d v="2014-12-12T00:00:00"/>
    <d v="2014-12-12T00:00:00"/>
    <n v="307.7"/>
    <n v="1"/>
    <n v="30"/>
    <n v="337.7"/>
  </r>
  <r>
    <s v="Tomasz"/>
    <s v="Rzepka"/>
    <x v="11"/>
    <d v="2014-12-12T00:00:00"/>
    <d v="2014-12-12T00:00:00"/>
    <n v="307.7"/>
    <n v="1"/>
    <n v="30"/>
    <n v="337.7"/>
  </r>
  <r>
    <s v="Jan"/>
    <s v="Suwski"/>
    <x v="11"/>
    <d v="2014-12-12T00:00:00"/>
    <d v="2014-12-16T00:00:00"/>
    <n v="1019.7"/>
    <n v="5"/>
    <n v="126"/>
    <n v="1145.7"/>
  </r>
  <r>
    <s v="Andrzej"/>
    <s v="Klajn"/>
    <x v="3"/>
    <d v="2014-12-13T00:00:00"/>
    <d v="2014-12-13T00:00:00"/>
    <n v="501.5"/>
    <n v="1"/>
    <n v="30"/>
    <n v="531.5"/>
  </r>
  <r>
    <s v="Karolina"/>
    <s v="Podkalicka"/>
    <x v="3"/>
    <d v="2014-12-13T00:00:00"/>
    <d v="2014-12-13T00:00:00"/>
    <n v="501.5"/>
    <n v="1"/>
    <n v="30"/>
    <n v="531.5"/>
  </r>
  <r>
    <s v="Anna"/>
    <s v="Augustowska"/>
    <x v="7"/>
    <d v="2014-12-14T00:00:00"/>
    <d v="2014-12-14T00:00:00"/>
    <n v="212.5"/>
    <n v="1"/>
    <n v="30"/>
    <n v="242.5"/>
  </r>
  <r>
    <s v="Sebastian"/>
    <s v="Halik"/>
    <x v="3"/>
    <d v="2014-12-14T00:00:00"/>
    <d v="2014-12-14T00:00:00"/>
    <n v="501.5"/>
    <n v="1"/>
    <n v="30"/>
    <n v="531.5"/>
  </r>
  <r>
    <s v="Natalia"/>
    <s v="Idar"/>
    <x v="1"/>
    <d v="2014-12-15T00:00:00"/>
    <d v="2014-12-15T00:00:00"/>
    <n v="156.4"/>
    <n v="1"/>
    <n v="30"/>
    <n v="186.4"/>
  </r>
  <r>
    <s v="Adam"/>
    <s v="Markowski"/>
    <x v="7"/>
    <d v="2014-12-15T00:00:00"/>
    <d v="2014-12-15T00:00:00"/>
    <n v="212.5"/>
    <n v="1"/>
    <n v="30"/>
    <n v="242.5"/>
  </r>
  <r>
    <s v="Wojciech"/>
    <s v="Mazowiecki"/>
    <x v="1"/>
    <d v="2014-12-15T00:00:00"/>
    <d v="2014-12-15T00:00:00"/>
    <n v="156.4"/>
    <n v="1"/>
    <n v="30"/>
    <n v="186.4"/>
  </r>
  <r>
    <s v="Andrzej"/>
    <s v="Barcz"/>
    <x v="0"/>
    <d v="2014-12-16T00:00:00"/>
    <d v="2014-12-17T00:00:00"/>
    <n v="891"/>
    <n v="2"/>
    <n v="54"/>
    <n v="945"/>
  </r>
  <r>
    <s v="Patrycja"/>
    <s v="Czarnoleska"/>
    <x v="9"/>
    <d v="2014-12-16T00:00:00"/>
    <d v="2014-12-19T00:00:00"/>
    <n v="852.8"/>
    <n v="4"/>
    <n v="102"/>
    <n v="954.8"/>
  </r>
  <r>
    <s v="Olivia"/>
    <s v="Gabor"/>
    <x v="3"/>
    <d v="2014-12-16T00:00:00"/>
    <d v="2014-12-17T00:00:00"/>
    <n v="706.5"/>
    <n v="2"/>
    <n v="54"/>
    <n v="760.5"/>
  </r>
  <r>
    <s v="Kazimiera"/>
    <s v="Parczewska"/>
    <x v="10"/>
    <d v="2014-12-16T00:00:00"/>
    <d v="2014-12-16T00:00:00"/>
    <n v="442"/>
    <n v="1"/>
    <n v="30"/>
    <n v="472"/>
  </r>
  <r>
    <s v="Katarzyna"/>
    <s v="Piotrowska"/>
    <x v="8"/>
    <d v="2014-12-16T00:00:00"/>
    <d v="2014-12-16T00:00:00"/>
    <n v="278.8"/>
    <n v="1"/>
    <n v="30"/>
    <n v="308.8"/>
  </r>
  <r>
    <s v="Piotr"/>
    <s v="Rajczakowski"/>
    <x v="1"/>
    <d v="2014-12-16T00:00:00"/>
    <d v="2014-12-17T00:00:00"/>
    <n v="295.39999999999998"/>
    <n v="2"/>
    <n v="54"/>
    <n v="349.4"/>
  </r>
  <r>
    <s v="Anna"/>
    <s v="Augustowska"/>
    <x v="9"/>
    <d v="2014-12-17T00:00:00"/>
    <d v="2014-12-17T00:00:00"/>
    <n v="363.8"/>
    <n v="1"/>
    <n v="30"/>
    <n v="393.8"/>
  </r>
  <r>
    <s v="Paulina"/>
    <s v="Maskor"/>
    <x v="3"/>
    <d v="2014-12-17T00:00:00"/>
    <d v="2014-12-17T00:00:00"/>
    <n v="501.5"/>
    <n v="1"/>
    <n v="30"/>
    <n v="531.5"/>
  </r>
  <r>
    <s v="Karolina"/>
    <s v="Podkalicka"/>
    <x v="4"/>
    <d v="2014-12-17T00:00:00"/>
    <d v="2014-12-17T00:00:00"/>
    <n v="513.4"/>
    <n v="1"/>
    <n v="30"/>
    <n v="543.4"/>
  </r>
  <r>
    <s v="Jerzy"/>
    <s v="Dusznicki"/>
    <x v="9"/>
    <d v="2014-12-18T00:00:00"/>
    <d v="2014-12-18T00:00:00"/>
    <n v="363.8"/>
    <n v="1"/>
    <n v="30"/>
    <n v="393.8"/>
  </r>
  <r>
    <s v="Kacper"/>
    <s v="Krajewski"/>
    <x v="9"/>
    <d v="2014-12-18T00:00:00"/>
    <d v="2014-12-18T00:00:00"/>
    <n v="363.8"/>
    <n v="1"/>
    <n v="30"/>
    <n v="393.8"/>
  </r>
  <r>
    <s v="Zuzanna"/>
    <s v="Piotrkowska"/>
    <x v="5"/>
    <d v="2014-12-18T00:00:00"/>
    <d v="2014-12-18T00:00:00"/>
    <n v="290.7"/>
    <n v="1"/>
    <n v="30"/>
    <n v="320.7"/>
  </r>
  <r>
    <s v="Piotr"/>
    <s v="Roman"/>
    <x v="7"/>
    <d v="2014-12-18T00:00:00"/>
    <d v="2014-12-19T00:00:00"/>
    <n v="331.5"/>
    <n v="2"/>
    <n v="54"/>
    <n v="385.5"/>
  </r>
  <r>
    <s v="Kamil"/>
    <s v="Zabrzeski"/>
    <x v="12"/>
    <d v="2014-12-18T00:00:00"/>
    <d v="2014-12-18T00:00:00"/>
    <n v="494.7"/>
    <n v="1"/>
    <n v="30"/>
    <n v="524.70000000000005"/>
  </r>
  <r>
    <s v="Jerzy"/>
    <s v="Misiek"/>
    <x v="1"/>
    <d v="2014-12-19T00:00:00"/>
    <d v="2014-12-19T00:00:00"/>
    <n v="156.4"/>
    <n v="1"/>
    <n v="30"/>
    <n v="186.4"/>
  </r>
  <r>
    <s v="Teresa"/>
    <s v="Moskiewska"/>
    <x v="12"/>
    <d v="2014-12-19T00:00:00"/>
    <d v="2014-12-19T00:00:00"/>
    <n v="494.7"/>
    <n v="1"/>
    <n v="30"/>
    <n v="524.70000000000005"/>
  </r>
  <r>
    <s v="Karolina"/>
    <s v="Arska"/>
    <x v="11"/>
    <d v="2014-12-20T00:00:00"/>
    <d v="2014-12-20T00:00:00"/>
    <n v="307.7"/>
    <n v="1"/>
    <n v="30"/>
    <n v="337.7"/>
  </r>
  <r>
    <s v="Piotr"/>
    <s v="Rajczakowski"/>
    <x v="0"/>
    <d v="2014-12-20T00:00:00"/>
    <d v="2014-12-20T00:00:00"/>
    <n v="680"/>
    <n v="1"/>
    <n v="30"/>
    <n v="710"/>
  </r>
  <r>
    <s v="Dominika"/>
    <s v="Bodera"/>
    <x v="6"/>
    <d v="2014-12-21T00:00:00"/>
    <d v="2014-12-21T00:00:00"/>
    <n v="442"/>
    <n v="1"/>
    <n v="30"/>
    <n v="472"/>
  </r>
  <r>
    <s v="Piotr"/>
    <s v="Bojarun"/>
    <x v="4"/>
    <d v="2014-12-21T00:00:00"/>
    <d v="2014-12-21T00:00:00"/>
    <n v="513.4"/>
    <n v="1"/>
    <n v="30"/>
    <n v="543.4"/>
  </r>
  <r>
    <s v="Amelia"/>
    <s v="Calika"/>
    <x v="0"/>
    <d v="2014-12-21T00:00:00"/>
    <d v="2014-12-21T00:00:00"/>
    <n v="680"/>
    <n v="1"/>
    <n v="30"/>
    <n v="710"/>
  </r>
  <r>
    <s v="Patrycja"/>
    <s v="Czarnoleska"/>
    <x v="3"/>
    <d v="2014-12-21T00:00:00"/>
    <d v="2014-12-21T00:00:00"/>
    <n v="501.5"/>
    <n v="1"/>
    <n v="30"/>
    <n v="531.5"/>
  </r>
  <r>
    <s v="Olivia"/>
    <s v="Gabor"/>
    <x v="5"/>
    <d v="2014-12-21T00:00:00"/>
    <d v="2014-12-21T00:00:00"/>
    <n v="290.7"/>
    <n v="1"/>
    <n v="30"/>
    <n v="320.7"/>
  </r>
  <r>
    <s v="Karolina"/>
    <s v="Janes"/>
    <x v="10"/>
    <d v="2014-12-21T00:00:00"/>
    <d v="2014-12-22T00:00:00"/>
    <n v="601"/>
    <n v="2"/>
    <n v="54"/>
    <n v="655"/>
  </r>
  <r>
    <s v="Bogumi"/>
    <s v="Lubelski"/>
    <x v="6"/>
    <d v="2014-12-21T00:00:00"/>
    <d v="2014-12-22T00:00:00"/>
    <n v="570"/>
    <n v="2"/>
    <n v="54"/>
    <n v="624"/>
  </r>
  <r>
    <s v="Paulina"/>
    <s v="Watrach"/>
    <x v="7"/>
    <d v="2014-12-21T00:00:00"/>
    <d v="2014-12-22T00:00:00"/>
    <n v="331.5"/>
    <n v="2"/>
    <n v="54"/>
    <n v="385.5"/>
  </r>
  <r>
    <s v="Anna"/>
    <s v="Augustowska"/>
    <x v="3"/>
    <d v="2014-12-22T00:00:00"/>
    <d v="2014-12-22T00:00:00"/>
    <n v="501.5"/>
    <n v="1"/>
    <n v="30"/>
    <n v="531.5"/>
  </r>
  <r>
    <s v="Eustachy"/>
    <s v="Bydgoski"/>
    <x v="9"/>
    <d v="2014-12-22T00:00:00"/>
    <d v="2014-12-22T00:00:00"/>
    <n v="363.8"/>
    <n v="1"/>
    <n v="30"/>
    <n v="393.8"/>
  </r>
  <r>
    <s v="Marcin"/>
    <s v="Jarskarski"/>
    <x v="11"/>
    <d v="2014-12-22T00:00:00"/>
    <d v="2014-12-23T00:00:00"/>
    <n v="485.7"/>
    <n v="2"/>
    <n v="54"/>
    <n v="539.70000000000005"/>
  </r>
  <r>
    <s v="Janusz"/>
    <s v="Jurkicz"/>
    <x v="5"/>
    <d v="2014-12-22T00:00:00"/>
    <d v="2014-12-22T00:00:00"/>
    <n v="290.7"/>
    <n v="1"/>
    <n v="30"/>
    <n v="320.7"/>
  </r>
  <r>
    <s v="Anna"/>
    <s v="Kaliska"/>
    <x v="1"/>
    <d v="2014-12-22T00:00:00"/>
    <d v="2014-12-23T00:00:00"/>
    <n v="295.39999999999998"/>
    <n v="2"/>
    <n v="54"/>
    <n v="349.4"/>
  </r>
  <r>
    <s v="Michalina"/>
    <s v="Lamda"/>
    <x v="1"/>
    <d v="2014-12-22T00:00:00"/>
    <d v="2014-12-22T00:00:00"/>
    <n v="156.4"/>
    <n v="1"/>
    <n v="30"/>
    <n v="186.4"/>
  </r>
  <r>
    <s v="Albert"/>
    <s v="Marakasz"/>
    <x v="3"/>
    <d v="2014-12-22T00:00:00"/>
    <d v="2014-12-22T00:00:00"/>
    <n v="501.5"/>
    <n v="1"/>
    <n v="30"/>
    <n v="531.5"/>
  </r>
  <r>
    <s v="Zofia"/>
    <s v="Maselska"/>
    <x v="7"/>
    <d v="2014-12-22T00:00:00"/>
    <d v="2014-12-22T00:00:00"/>
    <n v="212.5"/>
    <n v="1"/>
    <n v="30"/>
    <n v="242.5"/>
  </r>
  <r>
    <s v="Zuzanna"/>
    <s v="Piotrkowska"/>
    <x v="3"/>
    <d v="2014-12-22T00:00:00"/>
    <d v="2014-12-23T00:00:00"/>
    <n v="706.5"/>
    <n v="2"/>
    <n v="54"/>
    <n v="760.5"/>
  </r>
  <r>
    <s v="Zuzanna"/>
    <s v="Piotrkowska"/>
    <x v="6"/>
    <d v="2014-12-22T00:00:00"/>
    <d v="2014-12-22T00:00:00"/>
    <n v="442"/>
    <n v="1"/>
    <n v="30"/>
    <n v="472"/>
  </r>
  <r>
    <s v="Katarzyna"/>
    <s v="Piotrowska"/>
    <x v="7"/>
    <d v="2014-12-22T00:00:00"/>
    <d v="2014-12-23T00:00:00"/>
    <n v="331.5"/>
    <n v="2"/>
    <n v="54"/>
    <n v="385.5"/>
  </r>
  <r>
    <s v="Zofia"/>
    <s v="Seredycka"/>
    <x v="8"/>
    <d v="2014-12-22T00:00:00"/>
    <d v="2014-12-22T00:00:00"/>
    <n v="278.8"/>
    <n v="1"/>
    <n v="30"/>
    <n v="308.8"/>
  </r>
  <r>
    <s v="Dorota"/>
    <s v="Sosnowiecka"/>
    <x v="4"/>
    <d v="2014-12-22T00:00:00"/>
    <d v="2014-12-23T00:00:00"/>
    <n v="654.4"/>
    <n v="2"/>
    <n v="54"/>
    <n v="708.4"/>
  </r>
  <r>
    <s v="Wiktor"/>
    <s v="Wroblewski"/>
    <x v="2"/>
    <d v="2014-12-22T00:00:00"/>
    <d v="2014-12-22T00:00:00"/>
    <n v="178.5"/>
    <n v="1"/>
    <n v="30"/>
    <n v="208.5"/>
  </r>
  <r>
    <s v="Wiktor"/>
    <s v="Budzis"/>
    <x v="1"/>
    <d v="2014-12-28T00:00:00"/>
    <d v="2014-12-29T00:00:00"/>
    <n v="295.39999999999998"/>
    <n v="2"/>
    <n v="54"/>
    <n v="349.4"/>
  </r>
  <r>
    <s v="Justyna"/>
    <s v="Laska"/>
    <x v="5"/>
    <d v="2014-12-28T00:00:00"/>
    <d v="2014-12-30T00:00:00"/>
    <n v="588.70000000000005"/>
    <n v="3"/>
    <n v="78"/>
    <n v="666.7"/>
  </r>
  <r>
    <s v="Marzena"/>
    <s v="Grab"/>
    <x v="10"/>
    <d v="2014-12-29T00:00:00"/>
    <d v="2014-12-30T00:00:00"/>
    <n v="601"/>
    <n v="2"/>
    <n v="54"/>
    <n v="655"/>
  </r>
  <r>
    <s v="Karolina"/>
    <s v="Janes"/>
    <x v="12"/>
    <d v="2014-12-29T00:00:00"/>
    <d v="2014-12-29T00:00:00"/>
    <n v="494.7"/>
    <n v="1"/>
    <n v="30"/>
    <n v="524.70000000000005"/>
  </r>
  <r>
    <s v="Anna"/>
    <s v="Kaliska"/>
    <x v="4"/>
    <d v="2014-12-29T00:00:00"/>
    <d v="2014-12-29T00:00:00"/>
    <n v="513.4"/>
    <n v="1"/>
    <n v="30"/>
    <n v="543.4"/>
  </r>
  <r>
    <s v="Zuzanna"/>
    <s v="Piotrkowska"/>
    <x v="12"/>
    <d v="2014-12-29T00:00:00"/>
    <d v="2014-12-29T00:00:00"/>
    <n v="494.7"/>
    <n v="1"/>
    <n v="30"/>
    <n v="524.70000000000005"/>
  </r>
  <r>
    <s v="Piotr"/>
    <s v="Roman"/>
    <x v="10"/>
    <d v="2014-12-29T00:00:00"/>
    <d v="2014-12-29T00:00:00"/>
    <n v="442"/>
    <n v="1"/>
    <n v="30"/>
    <n v="472"/>
  </r>
  <r>
    <s v="Adam"/>
    <s v="Wradoch"/>
    <x v="7"/>
    <d v="2014-12-29T00:00:00"/>
    <d v="2014-12-30T00:00:00"/>
    <n v="331.5"/>
    <n v="2"/>
    <n v="54"/>
    <n v="385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D2FD7B-3A96-496D-AEF5-A6110E64DF5F}" name="Tabela przestawna1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2:I203" firstHeaderRow="1" firstDataRow="1" firstDataCol="1"/>
  <pivotFields count="6">
    <pivotField axis="axisRow" showAll="0">
      <items count="57">
        <item x="26"/>
        <item x="51"/>
        <item x="18"/>
        <item x="17"/>
        <item x="9"/>
        <item x="37"/>
        <item x="45"/>
        <item x="13"/>
        <item x="52"/>
        <item x="39"/>
        <item x="2"/>
        <item x="25"/>
        <item x="23"/>
        <item x="31"/>
        <item x="22"/>
        <item x="55"/>
        <item x="35"/>
        <item x="11"/>
        <item x="49"/>
        <item x="28"/>
        <item x="41"/>
        <item x="10"/>
        <item x="30"/>
        <item x="6"/>
        <item x="1"/>
        <item x="40"/>
        <item x="4"/>
        <item x="19"/>
        <item x="0"/>
        <item x="34"/>
        <item x="33"/>
        <item x="24"/>
        <item x="50"/>
        <item x="15"/>
        <item x="38"/>
        <item x="53"/>
        <item x="20"/>
        <item x="47"/>
        <item x="12"/>
        <item x="7"/>
        <item x="32"/>
        <item x="27"/>
        <item x="54"/>
        <item x="14"/>
        <item x="5"/>
        <item x="16"/>
        <item x="3"/>
        <item x="44"/>
        <item x="8"/>
        <item x="48"/>
        <item x="36"/>
        <item x="42"/>
        <item x="21"/>
        <item x="29"/>
        <item x="43"/>
        <item x="46"/>
        <item t="default"/>
      </items>
    </pivotField>
    <pivotField axis="axisRow" showAll="0">
      <items count="101">
        <item x="99"/>
        <item x="6"/>
        <item x="36"/>
        <item x="16"/>
        <item x="0"/>
        <item x="85"/>
        <item x="77"/>
        <item x="19"/>
        <item x="22"/>
        <item x="75"/>
        <item x="64"/>
        <item x="18"/>
        <item x="68"/>
        <item x="65"/>
        <item x="86"/>
        <item x="37"/>
        <item x="93"/>
        <item x="38"/>
        <item x="98"/>
        <item x="78"/>
        <item x="39"/>
        <item x="71"/>
        <item x="29"/>
        <item x="40"/>
        <item x="83"/>
        <item x="69"/>
        <item x="20"/>
        <item x="25"/>
        <item x="7"/>
        <item x="8"/>
        <item x="9"/>
        <item x="26"/>
        <item x="66"/>
        <item x="32"/>
        <item x="97"/>
        <item x="23"/>
        <item x="96"/>
        <item x="30"/>
        <item x="48"/>
        <item x="76"/>
        <item x="10"/>
        <item x="14"/>
        <item x="1"/>
        <item x="72"/>
        <item x="67"/>
        <item x="33"/>
        <item x="31"/>
        <item x="49"/>
        <item x="50"/>
        <item x="51"/>
        <item x="79"/>
        <item x="52"/>
        <item x="53"/>
        <item x="94"/>
        <item x="41"/>
        <item x="54"/>
        <item x="63"/>
        <item x="87"/>
        <item x="80"/>
        <item x="11"/>
        <item x="2"/>
        <item x="84"/>
        <item x="15"/>
        <item x="42"/>
        <item x="88"/>
        <item x="21"/>
        <item x="81"/>
        <item x="62"/>
        <item x="90"/>
        <item x="55"/>
        <item x="95"/>
        <item x="82"/>
        <item x="56"/>
        <item x="89"/>
        <item x="12"/>
        <item x="17"/>
        <item x="57"/>
        <item x="43"/>
        <item x="92"/>
        <item x="13"/>
        <item x="34"/>
        <item x="35"/>
        <item x="27"/>
        <item x="3"/>
        <item x="58"/>
        <item x="44"/>
        <item x="45"/>
        <item x="74"/>
        <item x="59"/>
        <item x="46"/>
        <item x="91"/>
        <item x="47"/>
        <item x="4"/>
        <item x="60"/>
        <item x="61"/>
        <item x="28"/>
        <item x="24"/>
        <item x="73"/>
        <item x="70"/>
        <item x="5"/>
        <item t="default"/>
      </items>
    </pivotField>
    <pivotField showAll="0">
      <items count="14">
        <item x="4"/>
        <item x="10"/>
        <item x="12"/>
        <item x="11"/>
        <item x="3"/>
        <item x="8"/>
        <item x="5"/>
        <item x="0"/>
        <item x="6"/>
        <item x="9"/>
        <item x="2"/>
        <item x="1"/>
        <item x="7"/>
        <item t="default"/>
      </items>
    </pivotField>
    <pivotField dataField="1" numFmtId="14" showAll="0"/>
    <pivotField numFmtId="14" showAll="0"/>
    <pivotField showAll="0"/>
  </pivotFields>
  <rowFields count="2">
    <field x="1"/>
    <field x="0"/>
  </rowFields>
  <rowItems count="201">
    <i>
      <x/>
    </i>
    <i r="1">
      <x v="15"/>
    </i>
    <i>
      <x v="1"/>
    </i>
    <i r="1">
      <x v="44"/>
    </i>
    <i>
      <x v="2"/>
    </i>
    <i r="1">
      <x v="48"/>
    </i>
    <i>
      <x v="3"/>
    </i>
    <i r="1">
      <x v="46"/>
    </i>
    <i>
      <x v="4"/>
    </i>
    <i r="1">
      <x v="28"/>
    </i>
    <i>
      <x v="5"/>
    </i>
    <i r="1">
      <x v="5"/>
    </i>
    <i>
      <x v="6"/>
    </i>
    <i r="1">
      <x v="4"/>
    </i>
    <i>
      <x v="7"/>
    </i>
    <i r="1">
      <x v="7"/>
    </i>
    <i>
      <x v="8"/>
    </i>
    <i r="1">
      <x v="45"/>
    </i>
    <i>
      <x v="9"/>
    </i>
    <i r="1">
      <x v="28"/>
    </i>
    <i>
      <x v="10"/>
    </i>
    <i r="1">
      <x v="9"/>
    </i>
    <i>
      <x v="11"/>
    </i>
    <i r="1">
      <x v="46"/>
    </i>
    <i>
      <x v="12"/>
    </i>
    <i r="1">
      <x v="20"/>
    </i>
    <i>
      <x v="13"/>
    </i>
    <i r="1">
      <x v="53"/>
    </i>
    <i>
      <x v="14"/>
    </i>
    <i r="1">
      <x v="51"/>
    </i>
    <i>
      <x v="15"/>
    </i>
    <i r="1">
      <x v="12"/>
    </i>
    <i>
      <x v="16"/>
    </i>
    <i r="1">
      <x v="3"/>
    </i>
    <i>
      <x v="17"/>
    </i>
    <i r="1">
      <x v="45"/>
    </i>
    <i>
      <x v="18"/>
    </i>
    <i r="1">
      <x v="44"/>
    </i>
    <i>
      <x v="19"/>
    </i>
    <i r="1">
      <x v="51"/>
    </i>
    <i>
      <x v="20"/>
    </i>
    <i r="1">
      <x v="31"/>
    </i>
    <i>
      <x v="21"/>
    </i>
    <i r="1">
      <x v="45"/>
    </i>
    <i>
      <x v="22"/>
    </i>
    <i r="1">
      <x v="23"/>
    </i>
    <i>
      <x v="23"/>
    </i>
    <i r="1">
      <x v="11"/>
    </i>
    <i>
      <x v="24"/>
    </i>
    <i r="1">
      <x/>
    </i>
    <i>
      <x v="25"/>
    </i>
    <i r="1">
      <x v="13"/>
    </i>
    <i>
      <x v="26"/>
    </i>
    <i r="1">
      <x v="43"/>
    </i>
    <i>
      <x v="27"/>
    </i>
    <i r="1">
      <x v="39"/>
    </i>
    <i>
      <x v="28"/>
    </i>
    <i r="1">
      <x v="23"/>
    </i>
    <i>
      <x v="29"/>
    </i>
    <i r="1">
      <x v="39"/>
    </i>
    <i>
      <x v="30"/>
    </i>
    <i r="1">
      <x v="48"/>
    </i>
    <i>
      <x v="31"/>
    </i>
    <i r="1">
      <x v="2"/>
    </i>
    <i>
      <x v="32"/>
    </i>
    <i r="1">
      <x v="31"/>
    </i>
    <i>
      <x v="33"/>
    </i>
    <i r="1">
      <x v="36"/>
    </i>
    <i>
      <x v="34"/>
    </i>
    <i r="1">
      <x v="42"/>
    </i>
    <i>
      <x v="35"/>
    </i>
    <i r="1">
      <x v="28"/>
    </i>
    <i>
      <x v="36"/>
    </i>
    <i r="1">
      <x v="35"/>
    </i>
    <i>
      <x v="37"/>
    </i>
    <i r="1">
      <x v="23"/>
    </i>
    <i>
      <x v="38"/>
    </i>
    <i r="1">
      <x v="22"/>
    </i>
    <i>
      <x v="39"/>
    </i>
    <i r="1">
      <x v="5"/>
    </i>
    <i>
      <x v="40"/>
    </i>
    <i r="1">
      <x v="4"/>
    </i>
    <i>
      <x v="41"/>
    </i>
    <i r="1">
      <x v="4"/>
    </i>
    <i>
      <x v="42"/>
    </i>
    <i r="1">
      <x v="24"/>
    </i>
    <i>
      <x v="43"/>
    </i>
    <i r="1">
      <x v="54"/>
    </i>
    <i>
      <x v="44"/>
    </i>
    <i r="1">
      <x v="25"/>
    </i>
    <i>
      <x v="45"/>
    </i>
    <i r="1">
      <x v="52"/>
    </i>
    <i>
      <x v="46"/>
    </i>
    <i r="1">
      <x v="24"/>
    </i>
    <i>
      <x v="47"/>
    </i>
    <i r="1">
      <x v="13"/>
    </i>
    <i>
      <x v="48"/>
    </i>
    <i r="1">
      <x v="40"/>
    </i>
    <i>
      <x v="49"/>
    </i>
    <i r="1">
      <x v="24"/>
    </i>
    <i>
      <x v="50"/>
    </i>
    <i r="1">
      <x v="6"/>
    </i>
    <i>
      <x v="51"/>
    </i>
    <i r="1">
      <x v="52"/>
    </i>
    <i>
      <x v="52"/>
    </i>
    <i r="1">
      <x v="46"/>
    </i>
    <i>
      <x v="53"/>
    </i>
    <i r="1">
      <x v="1"/>
    </i>
    <i>
      <x v="54"/>
    </i>
    <i r="1">
      <x/>
    </i>
    <i>
      <x v="55"/>
    </i>
    <i r="1">
      <x v="53"/>
    </i>
    <i>
      <x v="56"/>
    </i>
    <i r="1">
      <x v="45"/>
    </i>
    <i>
      <x v="57"/>
    </i>
    <i r="1">
      <x v="52"/>
    </i>
    <i>
      <x v="58"/>
    </i>
    <i r="1">
      <x v="55"/>
    </i>
    <i>
      <x v="59"/>
    </i>
    <i r="1">
      <x v="23"/>
    </i>
    <i>
      <x v="60"/>
    </i>
    <i r="1">
      <x v="10"/>
    </i>
    <i>
      <x v="61"/>
    </i>
    <i r="1">
      <x v="49"/>
    </i>
    <i>
      <x v="62"/>
    </i>
    <i r="1">
      <x v="38"/>
    </i>
    <i>
      <x v="63"/>
    </i>
    <i r="1">
      <x v="14"/>
    </i>
    <i>
      <x v="64"/>
    </i>
    <i r="1">
      <x v="18"/>
    </i>
    <i>
      <x v="65"/>
    </i>
    <i r="1">
      <x v="33"/>
    </i>
    <i>
      <x v="66"/>
    </i>
    <i r="1">
      <x v="37"/>
    </i>
    <i>
      <x v="67"/>
    </i>
    <i r="1">
      <x v="34"/>
    </i>
    <i>
      <x v="68"/>
    </i>
    <i r="1">
      <x v="47"/>
    </i>
    <i>
      <x v="69"/>
    </i>
    <i r="1">
      <x v="30"/>
    </i>
    <i>
      <x v="70"/>
    </i>
    <i r="1">
      <x v="8"/>
    </i>
    <i>
      <x v="71"/>
    </i>
    <i r="1">
      <x v="54"/>
    </i>
    <i>
      <x v="72"/>
    </i>
    <i r="1">
      <x v="29"/>
    </i>
    <i>
      <x v="73"/>
    </i>
    <i r="1">
      <x v="32"/>
    </i>
    <i>
      <x v="74"/>
    </i>
    <i r="1">
      <x v="21"/>
    </i>
    <i>
      <x v="75"/>
    </i>
    <i r="1">
      <x v="28"/>
    </i>
    <i>
      <x v="76"/>
    </i>
    <i r="1">
      <x v="16"/>
    </i>
    <i>
      <x v="77"/>
    </i>
    <i r="1">
      <x v="41"/>
    </i>
    <i>
      <x v="78"/>
    </i>
    <i r="1">
      <x v="26"/>
    </i>
    <i>
      <x v="79"/>
    </i>
    <i r="1">
      <x v="17"/>
    </i>
    <i>
      <x v="80"/>
    </i>
    <i r="1">
      <x v="14"/>
    </i>
    <i>
      <x v="81"/>
    </i>
    <i r="1">
      <x v="48"/>
    </i>
    <i>
      <x v="82"/>
    </i>
    <i r="1">
      <x v="46"/>
    </i>
    <i>
      <x v="83"/>
    </i>
    <i r="1">
      <x v="46"/>
    </i>
    <i>
      <x v="84"/>
    </i>
    <i r="1">
      <x v="50"/>
    </i>
    <i>
      <x v="85"/>
    </i>
    <i r="1">
      <x v="19"/>
    </i>
    <i>
      <x v="86"/>
    </i>
    <i r="1">
      <x v="53"/>
    </i>
    <i>
      <x v="87"/>
    </i>
    <i r="1">
      <x v="47"/>
    </i>
    <i>
      <x v="88"/>
    </i>
    <i r="1">
      <x v="5"/>
    </i>
    <i>
      <x v="89"/>
    </i>
    <i r="1">
      <x v="10"/>
    </i>
    <i>
      <x v="90"/>
    </i>
    <i r="1">
      <x v="19"/>
    </i>
    <i>
      <x v="91"/>
    </i>
    <i r="1">
      <x v="46"/>
    </i>
    <i>
      <x v="92"/>
    </i>
    <i r="1">
      <x v="24"/>
    </i>
    <i>
      <x v="93"/>
    </i>
    <i r="1">
      <x v="36"/>
    </i>
    <i>
      <x v="94"/>
    </i>
    <i r="1">
      <x v="45"/>
    </i>
    <i>
      <x v="95"/>
    </i>
    <i r="1">
      <x v="27"/>
    </i>
    <i>
      <x v="96"/>
    </i>
    <i r="1">
      <x v="3"/>
    </i>
    <i>
      <x v="97"/>
    </i>
    <i r="1">
      <x/>
    </i>
    <i>
      <x v="98"/>
    </i>
    <i r="1">
      <x v="51"/>
    </i>
    <i>
      <x v="99"/>
    </i>
    <i r="1">
      <x v="26"/>
    </i>
    <i t="grand">
      <x/>
    </i>
  </rowItems>
  <colItems count="1">
    <i/>
  </colItems>
  <dataFields count="1">
    <dataField name="Liczba z D_wyj" fld="3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49ACD6-A0DD-43B7-8B42-C9175937017E}" name="Tabela przestawna2" cacheId="1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2:J9" firstHeaderRow="1" firstDataRow="1" firstDataCol="1"/>
  <pivotFields count="7">
    <pivotField showAll="0"/>
    <pivotField axis="axisRow" showAll="0" measureFilter="1">
      <items count="101">
        <item x="99"/>
        <item x="6"/>
        <item x="36"/>
        <item x="16"/>
        <item x="0"/>
        <item x="85"/>
        <item x="77"/>
        <item x="19"/>
        <item x="22"/>
        <item x="75"/>
        <item x="64"/>
        <item x="18"/>
        <item x="68"/>
        <item x="65"/>
        <item x="86"/>
        <item x="37"/>
        <item x="93"/>
        <item x="38"/>
        <item x="98"/>
        <item x="78"/>
        <item x="39"/>
        <item x="71"/>
        <item x="29"/>
        <item x="40"/>
        <item x="83"/>
        <item x="69"/>
        <item x="20"/>
        <item x="25"/>
        <item x="7"/>
        <item x="8"/>
        <item x="9"/>
        <item x="26"/>
        <item x="66"/>
        <item x="32"/>
        <item x="97"/>
        <item x="23"/>
        <item x="96"/>
        <item x="30"/>
        <item x="48"/>
        <item x="76"/>
        <item x="10"/>
        <item x="14"/>
        <item x="1"/>
        <item x="72"/>
        <item x="67"/>
        <item x="33"/>
        <item x="31"/>
        <item x="49"/>
        <item x="50"/>
        <item x="51"/>
        <item x="79"/>
        <item x="52"/>
        <item x="53"/>
        <item x="94"/>
        <item x="41"/>
        <item x="54"/>
        <item x="63"/>
        <item x="87"/>
        <item x="80"/>
        <item x="11"/>
        <item x="2"/>
        <item x="84"/>
        <item x="15"/>
        <item x="42"/>
        <item x="88"/>
        <item x="21"/>
        <item x="81"/>
        <item x="62"/>
        <item x="90"/>
        <item x="55"/>
        <item x="95"/>
        <item x="82"/>
        <item x="56"/>
        <item x="89"/>
        <item x="12"/>
        <item x="17"/>
        <item x="57"/>
        <item x="43"/>
        <item x="92"/>
        <item x="13"/>
        <item x="34"/>
        <item x="35"/>
        <item x="27"/>
        <item x="3"/>
        <item x="58"/>
        <item x="44"/>
        <item x="45"/>
        <item x="74"/>
        <item x="59"/>
        <item x="46"/>
        <item x="91"/>
        <item x="47"/>
        <item x="4"/>
        <item x="60"/>
        <item x="61"/>
        <item x="28"/>
        <item x="24"/>
        <item x="73"/>
        <item x="70"/>
        <item x="5"/>
        <item t="default"/>
      </items>
    </pivotField>
    <pivotField showAll="0"/>
    <pivotField numFmtId="14" showAll="0"/>
    <pivotField numFmtId="14" showAll="0"/>
    <pivotField showAll="0"/>
    <pivotField dataField="1" showAll="0"/>
  </pivotFields>
  <rowFields count="1">
    <field x="1"/>
  </rowFields>
  <rowItems count="7">
    <i>
      <x v="13"/>
    </i>
    <i>
      <x v="41"/>
    </i>
    <i>
      <x v="49"/>
    </i>
    <i>
      <x v="56"/>
    </i>
    <i>
      <x v="84"/>
    </i>
    <i>
      <x v="85"/>
    </i>
    <i t="grand">
      <x/>
    </i>
  </rowItems>
  <colItems count="1">
    <i/>
  </colItems>
  <dataFields count="1">
    <dataField name="Suma z Ilość Dni" fld="6" baseField="0" baseItem="0"/>
  </dataFields>
  <pivotTableStyleInfo name="PivotStyleLight16" showRowHeaders="1" showColHeaders="1" showRowStripes="0" showColStripes="0" showLastColumn="1"/>
  <filters count="1">
    <filter fld="1" type="valueGreaterThan" evalOrder="-1" id="2" iMeasureFld="0">
      <autoFilter ref="A1">
        <filterColumn colId="0">
          <customFilters>
            <customFilter operator="greaterThan" val="4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E2B18-366B-4F54-8CAE-42C7EF987E35}" name="Tabela przestawna5" cacheId="2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J2:K16" firstHeaderRow="1" firstDataRow="1" firstDataCol="1"/>
  <pivotFields count="9">
    <pivotField showAll="0"/>
    <pivotField showAll="0"/>
    <pivotField axis="axisRow" showAll="0" sortType="ascending">
      <items count="14">
        <item x="4"/>
        <item x="10"/>
        <item x="12"/>
        <item x="11"/>
        <item x="3"/>
        <item x="8"/>
        <item x="5"/>
        <item x="0"/>
        <item x="6"/>
        <item x="9"/>
        <item x="2"/>
        <item x="1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numFmtId="14" showAll="0"/>
    <pivotField showAll="0"/>
    <pivotField showAll="0"/>
    <pivotField showAll="0"/>
    <pivotField dataField="1" showAll="0"/>
  </pivotFields>
  <rowFields count="1">
    <field x="2"/>
  </rowFields>
  <rowItems count="14">
    <i>
      <x v="10"/>
    </i>
    <i>
      <x v="11"/>
    </i>
    <i>
      <x v="12"/>
    </i>
    <i>
      <x v="5"/>
    </i>
    <i>
      <x v="3"/>
    </i>
    <i>
      <x v="9"/>
    </i>
    <i>
      <x v="1"/>
    </i>
    <i>
      <x v="6"/>
    </i>
    <i>
      <x v="8"/>
    </i>
    <i>
      <x/>
    </i>
    <i>
      <x v="4"/>
    </i>
    <i>
      <x v="2"/>
    </i>
    <i>
      <x v="7"/>
    </i>
    <i t="grand">
      <x/>
    </i>
  </rowItems>
  <colItems count="1">
    <i/>
  </colItems>
  <dataFields count="1">
    <dataField name="Suma z Koszt delegacji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3BCA0-B4A3-4D29-B229-57A18F1E12CC}" name="Tabela przestawna4" cacheId="2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>
  <location ref="H2:I15" firstHeaderRow="1" firstDataRow="1" firstDataCol="1"/>
  <pivotFields count="8">
    <pivotField showAll="0"/>
    <pivotField dataField="1" showAll="0"/>
    <pivotField showAll="0"/>
    <pivotField numFmtId="14" showAll="0">
      <items count="1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umFmtId="14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Liczba z Nazwisko" fld="1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ADB4E-16A9-49E1-9AC7-6797AB705A94}">
  <dimension ref="A1:F1001"/>
  <sheetViews>
    <sheetView zoomScale="190" zoomScaleNormal="190" workbookViewId="0"/>
  </sheetViews>
  <sheetFormatPr defaultRowHeight="15" x14ac:dyDescent="0.25"/>
  <cols>
    <col min="1" max="1" width="10.140625" bestFit="1" customWidth="1"/>
    <col min="2" max="2" width="13.7109375" bestFit="1" customWidth="1"/>
    <col min="3" max="3" width="9.85546875" bestFit="1" customWidth="1"/>
    <col min="4" max="5" width="10.5703125" bestFit="1" customWidth="1"/>
    <col min="6" max="6" width="12.140625" bestFit="1" customWidth="1"/>
  </cols>
  <sheetData>
    <row r="1" spans="1:6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x14ac:dyDescent="0.25">
      <c r="A2" s="6" t="s">
        <v>6</v>
      </c>
      <c r="B2" s="7" t="s">
        <v>7</v>
      </c>
      <c r="C2" s="7" t="s">
        <v>8</v>
      </c>
      <c r="D2" s="8">
        <v>41641</v>
      </c>
      <c r="E2" s="8">
        <v>41642</v>
      </c>
      <c r="F2" s="9">
        <v>891</v>
      </c>
    </row>
    <row r="3" spans="1:6" x14ac:dyDescent="0.25">
      <c r="A3" s="10" t="s">
        <v>9</v>
      </c>
      <c r="B3" s="11" t="s">
        <v>10</v>
      </c>
      <c r="C3" s="11" t="s">
        <v>11</v>
      </c>
      <c r="D3" s="12">
        <v>41641</v>
      </c>
      <c r="E3" s="12">
        <v>41642</v>
      </c>
      <c r="F3" s="13">
        <v>295.39999999999998</v>
      </c>
    </row>
    <row r="4" spans="1:6" x14ac:dyDescent="0.25">
      <c r="A4" s="6" t="s">
        <v>12</v>
      </c>
      <c r="B4" s="7" t="s">
        <v>13</v>
      </c>
      <c r="C4" s="7" t="s">
        <v>14</v>
      </c>
      <c r="D4" s="8">
        <v>41641</v>
      </c>
      <c r="E4" s="8">
        <v>41642</v>
      </c>
      <c r="F4" s="9">
        <v>302.5</v>
      </c>
    </row>
    <row r="5" spans="1:6" x14ac:dyDescent="0.25">
      <c r="A5" s="10" t="s">
        <v>15</v>
      </c>
      <c r="B5" s="11" t="s">
        <v>16</v>
      </c>
      <c r="C5" s="11" t="s">
        <v>17</v>
      </c>
      <c r="D5" s="12">
        <v>41641</v>
      </c>
      <c r="E5" s="12">
        <v>41641</v>
      </c>
      <c r="F5" s="13">
        <v>501.5</v>
      </c>
    </row>
    <row r="6" spans="1:6" x14ac:dyDescent="0.25">
      <c r="A6" s="6" t="s">
        <v>9</v>
      </c>
      <c r="B6" s="7" t="s">
        <v>18</v>
      </c>
      <c r="C6" s="7" t="s">
        <v>19</v>
      </c>
      <c r="D6" s="8">
        <v>41641</v>
      </c>
      <c r="E6" s="8">
        <v>41642</v>
      </c>
      <c r="F6" s="9">
        <v>654.4</v>
      </c>
    </row>
    <row r="7" spans="1:6" x14ac:dyDescent="0.25">
      <c r="A7" s="10" t="s">
        <v>20</v>
      </c>
      <c r="B7" s="11" t="s">
        <v>21</v>
      </c>
      <c r="C7" s="11" t="s">
        <v>8</v>
      </c>
      <c r="D7" s="12">
        <v>41641</v>
      </c>
      <c r="E7" s="12">
        <v>41642</v>
      </c>
      <c r="F7" s="13">
        <v>891</v>
      </c>
    </row>
    <row r="8" spans="1:6" x14ac:dyDescent="0.25">
      <c r="A8" s="6" t="s">
        <v>22</v>
      </c>
      <c r="B8" s="7" t="s">
        <v>23</v>
      </c>
      <c r="C8" s="7" t="s">
        <v>24</v>
      </c>
      <c r="D8" s="8">
        <v>41642</v>
      </c>
      <c r="E8" s="8">
        <v>41643</v>
      </c>
      <c r="F8" s="9">
        <v>439.7</v>
      </c>
    </row>
    <row r="9" spans="1:6" x14ac:dyDescent="0.25">
      <c r="A9" s="10" t="s">
        <v>25</v>
      </c>
      <c r="B9" s="11" t="s">
        <v>26</v>
      </c>
      <c r="C9" s="11" t="s">
        <v>27</v>
      </c>
      <c r="D9" s="12">
        <v>41642</v>
      </c>
      <c r="E9" s="12">
        <v>41645</v>
      </c>
      <c r="F9" s="13">
        <v>826</v>
      </c>
    </row>
    <row r="10" spans="1:6" x14ac:dyDescent="0.25">
      <c r="A10" s="6" t="s">
        <v>28</v>
      </c>
      <c r="B10" s="7" t="s">
        <v>29</v>
      </c>
      <c r="C10" s="7" t="s">
        <v>30</v>
      </c>
      <c r="D10" s="8">
        <v>41642</v>
      </c>
      <c r="E10" s="8">
        <v>41643</v>
      </c>
      <c r="F10" s="9">
        <v>331.5</v>
      </c>
    </row>
    <row r="11" spans="1:6" x14ac:dyDescent="0.25">
      <c r="A11" s="10" t="s">
        <v>31</v>
      </c>
      <c r="B11" s="11" t="s">
        <v>32</v>
      </c>
      <c r="C11" s="11" t="s">
        <v>24</v>
      </c>
      <c r="D11" s="12">
        <v>41642</v>
      </c>
      <c r="E11" s="12">
        <v>41643</v>
      </c>
      <c r="F11" s="13">
        <v>439.7</v>
      </c>
    </row>
    <row r="12" spans="1:6" x14ac:dyDescent="0.25">
      <c r="A12" s="6" t="s">
        <v>33</v>
      </c>
      <c r="B12" s="7" t="s">
        <v>34</v>
      </c>
      <c r="C12" s="7" t="s">
        <v>30</v>
      </c>
      <c r="D12" s="8">
        <v>41642</v>
      </c>
      <c r="E12" s="8">
        <v>41644</v>
      </c>
      <c r="F12" s="9">
        <v>450.5</v>
      </c>
    </row>
    <row r="13" spans="1:6" x14ac:dyDescent="0.25">
      <c r="A13" s="10" t="s">
        <v>25</v>
      </c>
      <c r="B13" s="11" t="s">
        <v>35</v>
      </c>
      <c r="C13" s="11" t="s">
        <v>14</v>
      </c>
      <c r="D13" s="12">
        <v>41642</v>
      </c>
      <c r="E13" s="12">
        <v>41642</v>
      </c>
      <c r="F13" s="13">
        <v>178.5</v>
      </c>
    </row>
    <row r="14" spans="1:6" x14ac:dyDescent="0.25">
      <c r="A14" s="6" t="s">
        <v>36</v>
      </c>
      <c r="B14" s="7" t="s">
        <v>37</v>
      </c>
      <c r="C14" s="7" t="s">
        <v>38</v>
      </c>
      <c r="D14" s="8">
        <v>41642</v>
      </c>
      <c r="E14" s="8">
        <v>41643</v>
      </c>
      <c r="F14" s="9">
        <v>407.8</v>
      </c>
    </row>
    <row r="15" spans="1:6" x14ac:dyDescent="0.25">
      <c r="A15" s="10" t="s">
        <v>39</v>
      </c>
      <c r="B15" s="11" t="s">
        <v>40</v>
      </c>
      <c r="C15" s="11" t="s">
        <v>27</v>
      </c>
      <c r="D15" s="12">
        <v>41642</v>
      </c>
      <c r="E15" s="12">
        <v>41642</v>
      </c>
      <c r="F15" s="13">
        <v>442</v>
      </c>
    </row>
    <row r="16" spans="1:6" x14ac:dyDescent="0.25">
      <c r="A16" s="6" t="s">
        <v>6</v>
      </c>
      <c r="B16" s="7" t="s">
        <v>7</v>
      </c>
      <c r="C16" s="7" t="s">
        <v>24</v>
      </c>
      <c r="D16" s="8">
        <v>41643</v>
      </c>
      <c r="E16" s="8">
        <v>41644</v>
      </c>
      <c r="F16" s="9">
        <v>439.7</v>
      </c>
    </row>
    <row r="17" spans="1:6" x14ac:dyDescent="0.25">
      <c r="A17" s="10" t="s">
        <v>33</v>
      </c>
      <c r="B17" s="11" t="s">
        <v>41</v>
      </c>
      <c r="C17" s="11" t="s">
        <v>30</v>
      </c>
      <c r="D17" s="12">
        <v>41643</v>
      </c>
      <c r="E17" s="12">
        <v>41644</v>
      </c>
      <c r="F17" s="13">
        <v>331.5</v>
      </c>
    </row>
    <row r="18" spans="1:6" x14ac:dyDescent="0.25">
      <c r="A18" s="6" t="s">
        <v>42</v>
      </c>
      <c r="B18" s="7" t="s">
        <v>43</v>
      </c>
      <c r="C18" s="7" t="s">
        <v>19</v>
      </c>
      <c r="D18" s="8">
        <v>41643</v>
      </c>
      <c r="E18" s="8">
        <v>41643</v>
      </c>
      <c r="F18" s="9">
        <v>513.4</v>
      </c>
    </row>
    <row r="19" spans="1:6" x14ac:dyDescent="0.25">
      <c r="A19" s="10" t="s">
        <v>15</v>
      </c>
      <c r="B19" s="11" t="s">
        <v>44</v>
      </c>
      <c r="C19" s="11" t="s">
        <v>17</v>
      </c>
      <c r="D19" s="12">
        <v>41644</v>
      </c>
      <c r="E19" s="12">
        <v>41644</v>
      </c>
      <c r="F19" s="13">
        <v>501.5</v>
      </c>
    </row>
    <row r="20" spans="1:6" x14ac:dyDescent="0.25">
      <c r="A20" s="6" t="s">
        <v>6</v>
      </c>
      <c r="B20" s="7" t="s">
        <v>45</v>
      </c>
      <c r="C20" s="7" t="s">
        <v>27</v>
      </c>
      <c r="D20" s="8">
        <v>41644</v>
      </c>
      <c r="E20" s="8">
        <v>41644</v>
      </c>
      <c r="F20" s="9">
        <v>442</v>
      </c>
    </row>
    <row r="21" spans="1:6" x14ac:dyDescent="0.25">
      <c r="A21" s="10" t="s">
        <v>15</v>
      </c>
      <c r="B21" s="11" t="s">
        <v>46</v>
      </c>
      <c r="C21" s="11" t="s">
        <v>47</v>
      </c>
      <c r="D21" s="12">
        <v>41645</v>
      </c>
      <c r="E21" s="12">
        <v>41645</v>
      </c>
      <c r="F21" s="13">
        <v>363.8</v>
      </c>
    </row>
    <row r="22" spans="1:6" x14ac:dyDescent="0.25">
      <c r="A22" s="6" t="s">
        <v>48</v>
      </c>
      <c r="B22" s="7" t="s">
        <v>49</v>
      </c>
      <c r="C22" s="7" t="s">
        <v>11</v>
      </c>
      <c r="D22" s="8">
        <v>41646</v>
      </c>
      <c r="E22" s="8">
        <v>41646</v>
      </c>
      <c r="F22" s="9">
        <v>156.4</v>
      </c>
    </row>
    <row r="23" spans="1:6" x14ac:dyDescent="0.25">
      <c r="A23" s="10" t="s">
        <v>50</v>
      </c>
      <c r="B23" s="11" t="s">
        <v>51</v>
      </c>
      <c r="C23" s="11" t="s">
        <v>38</v>
      </c>
      <c r="D23" s="12">
        <v>41646</v>
      </c>
      <c r="E23" s="12">
        <v>41646</v>
      </c>
      <c r="F23" s="13">
        <v>278.8</v>
      </c>
    </row>
    <row r="24" spans="1:6" x14ac:dyDescent="0.25">
      <c r="A24" s="6" t="s">
        <v>33</v>
      </c>
      <c r="B24" s="7" t="s">
        <v>41</v>
      </c>
      <c r="C24" s="7" t="s">
        <v>14</v>
      </c>
      <c r="D24" s="8">
        <v>41646</v>
      </c>
      <c r="E24" s="8">
        <v>41646</v>
      </c>
      <c r="F24" s="9">
        <v>178.5</v>
      </c>
    </row>
    <row r="25" spans="1:6" x14ac:dyDescent="0.25">
      <c r="A25" s="10" t="s">
        <v>25</v>
      </c>
      <c r="B25" s="11" t="s">
        <v>35</v>
      </c>
      <c r="C25" s="11" t="s">
        <v>30</v>
      </c>
      <c r="D25" s="12">
        <v>41646</v>
      </c>
      <c r="E25" s="12">
        <v>41646</v>
      </c>
      <c r="F25" s="13">
        <v>212.5</v>
      </c>
    </row>
    <row r="26" spans="1:6" x14ac:dyDescent="0.25">
      <c r="A26" s="6" t="s">
        <v>52</v>
      </c>
      <c r="B26" s="7" t="s">
        <v>53</v>
      </c>
      <c r="C26" s="7" t="s">
        <v>24</v>
      </c>
      <c r="D26" s="8">
        <v>41646</v>
      </c>
      <c r="E26" s="8">
        <v>41646</v>
      </c>
      <c r="F26" s="9">
        <v>290.7</v>
      </c>
    </row>
    <row r="27" spans="1:6" x14ac:dyDescent="0.25">
      <c r="A27" s="10" t="s">
        <v>54</v>
      </c>
      <c r="B27" s="11" t="s">
        <v>55</v>
      </c>
      <c r="C27" s="11" t="s">
        <v>19</v>
      </c>
      <c r="D27" s="12">
        <v>41647</v>
      </c>
      <c r="E27" s="12">
        <v>41647</v>
      </c>
      <c r="F27" s="13">
        <v>513.4</v>
      </c>
    </row>
    <row r="28" spans="1:6" x14ac:dyDescent="0.25">
      <c r="A28" s="6" t="s">
        <v>6</v>
      </c>
      <c r="B28" s="7" t="s">
        <v>56</v>
      </c>
      <c r="C28" s="7" t="s">
        <v>19</v>
      </c>
      <c r="D28" s="8">
        <v>41647</v>
      </c>
      <c r="E28" s="8">
        <v>41647</v>
      </c>
      <c r="F28" s="9">
        <v>513.4</v>
      </c>
    </row>
    <row r="29" spans="1:6" x14ac:dyDescent="0.25">
      <c r="A29" s="10" t="s">
        <v>57</v>
      </c>
      <c r="B29" s="11" t="s">
        <v>58</v>
      </c>
      <c r="C29" s="11" t="s">
        <v>59</v>
      </c>
      <c r="D29" s="12">
        <v>41647</v>
      </c>
      <c r="E29" s="12">
        <v>41647</v>
      </c>
      <c r="F29" s="13">
        <v>442</v>
      </c>
    </row>
    <row r="30" spans="1:6" x14ac:dyDescent="0.25">
      <c r="A30" s="6" t="s">
        <v>28</v>
      </c>
      <c r="B30" s="7" t="s">
        <v>60</v>
      </c>
      <c r="C30" s="7" t="s">
        <v>11</v>
      </c>
      <c r="D30" s="8">
        <v>41648</v>
      </c>
      <c r="E30" s="8">
        <v>41652</v>
      </c>
      <c r="F30" s="9">
        <v>712.4</v>
      </c>
    </row>
    <row r="31" spans="1:6" x14ac:dyDescent="0.25">
      <c r="A31" s="10" t="s">
        <v>61</v>
      </c>
      <c r="B31" s="11" t="s">
        <v>62</v>
      </c>
      <c r="C31" s="11" t="s">
        <v>17</v>
      </c>
      <c r="D31" s="12">
        <v>41648</v>
      </c>
      <c r="E31" s="12">
        <v>41651</v>
      </c>
      <c r="F31" s="13">
        <v>1116.5</v>
      </c>
    </row>
    <row r="32" spans="1:6" x14ac:dyDescent="0.25">
      <c r="A32" s="6" t="s">
        <v>15</v>
      </c>
      <c r="B32" s="7" t="s">
        <v>63</v>
      </c>
      <c r="C32" s="7" t="s">
        <v>11</v>
      </c>
      <c r="D32" s="8">
        <v>41648</v>
      </c>
      <c r="E32" s="8">
        <v>41649</v>
      </c>
      <c r="F32" s="9">
        <v>295.39999999999998</v>
      </c>
    </row>
    <row r="33" spans="1:6" x14ac:dyDescent="0.25">
      <c r="A33" s="10" t="s">
        <v>64</v>
      </c>
      <c r="B33" s="11" t="s">
        <v>65</v>
      </c>
      <c r="C33" s="11" t="s">
        <v>66</v>
      </c>
      <c r="D33" s="12">
        <v>41648</v>
      </c>
      <c r="E33" s="12">
        <v>41649</v>
      </c>
      <c r="F33" s="13">
        <v>485.7</v>
      </c>
    </row>
    <row r="34" spans="1:6" x14ac:dyDescent="0.25">
      <c r="A34" s="6" t="s">
        <v>25</v>
      </c>
      <c r="B34" s="7" t="s">
        <v>67</v>
      </c>
      <c r="C34" s="7" t="s">
        <v>38</v>
      </c>
      <c r="D34" s="8">
        <v>41649</v>
      </c>
      <c r="E34" s="8">
        <v>41649</v>
      </c>
      <c r="F34" s="9">
        <v>278.8</v>
      </c>
    </row>
    <row r="35" spans="1:6" x14ac:dyDescent="0.25">
      <c r="A35" s="10" t="s">
        <v>25</v>
      </c>
      <c r="B35" s="11" t="s">
        <v>68</v>
      </c>
      <c r="C35" s="11" t="s">
        <v>59</v>
      </c>
      <c r="D35" s="12">
        <v>41649</v>
      </c>
      <c r="E35" s="12">
        <v>41649</v>
      </c>
      <c r="F35" s="13">
        <v>442</v>
      </c>
    </row>
    <row r="36" spans="1:6" x14ac:dyDescent="0.25">
      <c r="A36" s="6" t="s">
        <v>9</v>
      </c>
      <c r="B36" s="7" t="s">
        <v>69</v>
      </c>
      <c r="C36" s="7" t="s">
        <v>8</v>
      </c>
      <c r="D36" s="8">
        <v>41649</v>
      </c>
      <c r="E36" s="8">
        <v>41649</v>
      </c>
      <c r="F36" s="9">
        <v>680</v>
      </c>
    </row>
    <row r="37" spans="1:6" x14ac:dyDescent="0.25">
      <c r="A37" s="10" t="s">
        <v>52</v>
      </c>
      <c r="B37" s="11" t="s">
        <v>53</v>
      </c>
      <c r="C37" s="11" t="s">
        <v>47</v>
      </c>
      <c r="D37" s="12">
        <v>41649</v>
      </c>
      <c r="E37" s="12">
        <v>41649</v>
      </c>
      <c r="F37" s="13">
        <v>363.8</v>
      </c>
    </row>
    <row r="38" spans="1:6" x14ac:dyDescent="0.25">
      <c r="A38" s="6" t="s">
        <v>22</v>
      </c>
      <c r="B38" s="7" t="s">
        <v>23</v>
      </c>
      <c r="C38" s="7" t="s">
        <v>59</v>
      </c>
      <c r="D38" s="8">
        <v>41651</v>
      </c>
      <c r="E38" s="8">
        <v>41651</v>
      </c>
      <c r="F38" s="9">
        <v>442</v>
      </c>
    </row>
    <row r="39" spans="1:6" x14ac:dyDescent="0.25">
      <c r="A39" s="10" t="s">
        <v>15</v>
      </c>
      <c r="B39" s="11" t="s">
        <v>46</v>
      </c>
      <c r="C39" s="11" t="s">
        <v>14</v>
      </c>
      <c r="D39" s="12">
        <v>41652</v>
      </c>
      <c r="E39" s="12">
        <v>41655</v>
      </c>
      <c r="F39" s="13">
        <v>550.5</v>
      </c>
    </row>
    <row r="40" spans="1:6" x14ac:dyDescent="0.25">
      <c r="A40" s="6" t="s">
        <v>70</v>
      </c>
      <c r="B40" s="7" t="s">
        <v>71</v>
      </c>
      <c r="C40" s="7" t="s">
        <v>27</v>
      </c>
      <c r="D40" s="8">
        <v>41652</v>
      </c>
      <c r="E40" s="8">
        <v>41652</v>
      </c>
      <c r="F40" s="9">
        <v>442</v>
      </c>
    </row>
    <row r="41" spans="1:6" x14ac:dyDescent="0.25">
      <c r="A41" s="10" t="s">
        <v>25</v>
      </c>
      <c r="B41" s="11" t="s">
        <v>68</v>
      </c>
      <c r="C41" s="11" t="s">
        <v>72</v>
      </c>
      <c r="D41" s="12">
        <v>41652</v>
      </c>
      <c r="E41" s="12">
        <v>41652</v>
      </c>
      <c r="F41" s="13">
        <v>494.7</v>
      </c>
    </row>
    <row r="42" spans="1:6" x14ac:dyDescent="0.25">
      <c r="A42" s="6" t="s">
        <v>73</v>
      </c>
      <c r="B42" s="7" t="s">
        <v>74</v>
      </c>
      <c r="C42" s="7" t="s">
        <v>27</v>
      </c>
      <c r="D42" s="8">
        <v>41652</v>
      </c>
      <c r="E42" s="8">
        <v>41653</v>
      </c>
      <c r="F42" s="9">
        <v>570</v>
      </c>
    </row>
    <row r="43" spans="1:6" x14ac:dyDescent="0.25">
      <c r="A43" s="10" t="s">
        <v>75</v>
      </c>
      <c r="B43" s="11" t="s">
        <v>76</v>
      </c>
      <c r="C43" s="11" t="s">
        <v>47</v>
      </c>
      <c r="D43" s="12">
        <v>41652</v>
      </c>
      <c r="E43" s="12">
        <v>41653</v>
      </c>
      <c r="F43" s="13">
        <v>526.79999999999995</v>
      </c>
    </row>
    <row r="44" spans="1:6" x14ac:dyDescent="0.25">
      <c r="A44" s="6" t="s">
        <v>31</v>
      </c>
      <c r="B44" s="7" t="s">
        <v>77</v>
      </c>
      <c r="C44" s="7" t="s">
        <v>38</v>
      </c>
      <c r="D44" s="8">
        <v>41652</v>
      </c>
      <c r="E44" s="8">
        <v>41652</v>
      </c>
      <c r="F44" s="9">
        <v>278.8</v>
      </c>
    </row>
    <row r="45" spans="1:6" x14ac:dyDescent="0.25">
      <c r="A45" s="10" t="s">
        <v>22</v>
      </c>
      <c r="B45" s="11" t="s">
        <v>23</v>
      </c>
      <c r="C45" s="11" t="s">
        <v>38</v>
      </c>
      <c r="D45" s="12">
        <v>41653</v>
      </c>
      <c r="E45" s="12">
        <v>41656</v>
      </c>
      <c r="F45" s="13">
        <v>665.8</v>
      </c>
    </row>
    <row r="46" spans="1:6" x14ac:dyDescent="0.25">
      <c r="A46" s="6" t="s">
        <v>31</v>
      </c>
      <c r="B46" s="7" t="s">
        <v>78</v>
      </c>
      <c r="C46" s="7" t="s">
        <v>27</v>
      </c>
      <c r="D46" s="8">
        <v>41653</v>
      </c>
      <c r="E46" s="8">
        <v>41655</v>
      </c>
      <c r="F46" s="9">
        <v>698</v>
      </c>
    </row>
    <row r="47" spans="1:6" x14ac:dyDescent="0.25">
      <c r="A47" s="10" t="s">
        <v>48</v>
      </c>
      <c r="B47" s="11" t="s">
        <v>49</v>
      </c>
      <c r="C47" s="11" t="s">
        <v>72</v>
      </c>
      <c r="D47" s="12">
        <v>41653</v>
      </c>
      <c r="E47" s="12">
        <v>41653</v>
      </c>
      <c r="F47" s="13">
        <v>494.7</v>
      </c>
    </row>
    <row r="48" spans="1:6" x14ac:dyDescent="0.25">
      <c r="A48" s="6" t="s">
        <v>79</v>
      </c>
      <c r="B48" s="7" t="s">
        <v>80</v>
      </c>
      <c r="C48" s="7" t="s">
        <v>27</v>
      </c>
      <c r="D48" s="8">
        <v>41653</v>
      </c>
      <c r="E48" s="8">
        <v>41657</v>
      </c>
      <c r="F48" s="9">
        <v>954</v>
      </c>
    </row>
    <row r="49" spans="1:6" x14ac:dyDescent="0.25">
      <c r="A49" s="10" t="s">
        <v>54</v>
      </c>
      <c r="B49" s="11" t="s">
        <v>81</v>
      </c>
      <c r="C49" s="11" t="s">
        <v>8</v>
      </c>
      <c r="D49" s="12">
        <v>41653</v>
      </c>
      <c r="E49" s="12">
        <v>41653</v>
      </c>
      <c r="F49" s="13">
        <v>680</v>
      </c>
    </row>
    <row r="50" spans="1:6" x14ac:dyDescent="0.25">
      <c r="A50" s="6" t="s">
        <v>82</v>
      </c>
      <c r="B50" s="7" t="s">
        <v>83</v>
      </c>
      <c r="C50" s="7" t="s">
        <v>72</v>
      </c>
      <c r="D50" s="8">
        <v>41653</v>
      </c>
      <c r="E50" s="8">
        <v>41657</v>
      </c>
      <c r="F50" s="9">
        <v>1290.7</v>
      </c>
    </row>
    <row r="51" spans="1:6" x14ac:dyDescent="0.25">
      <c r="A51" s="10" t="s">
        <v>84</v>
      </c>
      <c r="B51" s="11" t="s">
        <v>85</v>
      </c>
      <c r="C51" s="11" t="s">
        <v>24</v>
      </c>
      <c r="D51" s="12">
        <v>41653</v>
      </c>
      <c r="E51" s="12">
        <v>41655</v>
      </c>
      <c r="F51" s="13">
        <v>588.70000000000005</v>
      </c>
    </row>
    <row r="52" spans="1:6" x14ac:dyDescent="0.25">
      <c r="A52" s="6" t="s">
        <v>31</v>
      </c>
      <c r="B52" s="7" t="s">
        <v>32</v>
      </c>
      <c r="C52" s="7" t="s">
        <v>30</v>
      </c>
      <c r="D52" s="8">
        <v>41653</v>
      </c>
      <c r="E52" s="8">
        <v>41655</v>
      </c>
      <c r="F52" s="9">
        <v>450.5</v>
      </c>
    </row>
    <row r="53" spans="1:6" x14ac:dyDescent="0.25">
      <c r="A53" s="10" t="s">
        <v>6</v>
      </c>
      <c r="B53" s="11" t="s">
        <v>56</v>
      </c>
      <c r="C53" s="11" t="s">
        <v>30</v>
      </c>
      <c r="D53" s="12">
        <v>41653</v>
      </c>
      <c r="E53" s="12">
        <v>41657</v>
      </c>
      <c r="F53" s="13">
        <v>688.5</v>
      </c>
    </row>
    <row r="54" spans="1:6" x14ac:dyDescent="0.25">
      <c r="A54" s="6" t="s">
        <v>86</v>
      </c>
      <c r="B54" s="7" t="s">
        <v>87</v>
      </c>
      <c r="C54" s="7" t="s">
        <v>72</v>
      </c>
      <c r="D54" s="8">
        <v>41653</v>
      </c>
      <c r="E54" s="8">
        <v>41654</v>
      </c>
      <c r="F54" s="9">
        <v>693.7</v>
      </c>
    </row>
    <row r="55" spans="1:6" x14ac:dyDescent="0.25">
      <c r="A55" s="10" t="s">
        <v>75</v>
      </c>
      <c r="B55" s="11" t="s">
        <v>88</v>
      </c>
      <c r="C55" s="11" t="s">
        <v>30</v>
      </c>
      <c r="D55" s="12">
        <v>41653</v>
      </c>
      <c r="E55" s="12">
        <v>41653</v>
      </c>
      <c r="F55" s="13">
        <v>212.5</v>
      </c>
    </row>
    <row r="56" spans="1:6" x14ac:dyDescent="0.25">
      <c r="A56" s="6" t="s">
        <v>89</v>
      </c>
      <c r="B56" s="7" t="s">
        <v>90</v>
      </c>
      <c r="C56" s="7" t="s">
        <v>8</v>
      </c>
      <c r="D56" s="8">
        <v>41653</v>
      </c>
      <c r="E56" s="8">
        <v>41654</v>
      </c>
      <c r="F56" s="9">
        <v>891</v>
      </c>
    </row>
    <row r="57" spans="1:6" x14ac:dyDescent="0.25">
      <c r="A57" s="10" t="s">
        <v>39</v>
      </c>
      <c r="B57" s="11" t="s">
        <v>40</v>
      </c>
      <c r="C57" s="11" t="s">
        <v>38</v>
      </c>
      <c r="D57" s="12">
        <v>41653</v>
      </c>
      <c r="E57" s="12">
        <v>41654</v>
      </c>
      <c r="F57" s="13">
        <v>407.8</v>
      </c>
    </row>
    <row r="58" spans="1:6" x14ac:dyDescent="0.25">
      <c r="A58" s="6" t="s">
        <v>15</v>
      </c>
      <c r="B58" s="7" t="s">
        <v>63</v>
      </c>
      <c r="C58" s="7" t="s">
        <v>19</v>
      </c>
      <c r="D58" s="8">
        <v>41653</v>
      </c>
      <c r="E58" s="8">
        <v>41653</v>
      </c>
      <c r="F58" s="9">
        <v>513.4</v>
      </c>
    </row>
    <row r="59" spans="1:6" x14ac:dyDescent="0.25">
      <c r="A59" s="10" t="s">
        <v>91</v>
      </c>
      <c r="B59" s="11" t="s">
        <v>92</v>
      </c>
      <c r="C59" s="11" t="s">
        <v>59</v>
      </c>
      <c r="D59" s="12">
        <v>41653</v>
      </c>
      <c r="E59" s="12">
        <v>41655</v>
      </c>
      <c r="F59" s="13">
        <v>760</v>
      </c>
    </row>
    <row r="60" spans="1:6" x14ac:dyDescent="0.25">
      <c r="A60" s="6" t="s">
        <v>93</v>
      </c>
      <c r="B60" s="7" t="s">
        <v>94</v>
      </c>
      <c r="C60" s="7" t="s">
        <v>47</v>
      </c>
      <c r="D60" s="8">
        <v>41653</v>
      </c>
      <c r="E60" s="8">
        <v>41654</v>
      </c>
      <c r="F60" s="9">
        <v>526.79999999999995</v>
      </c>
    </row>
    <row r="61" spans="1:6" x14ac:dyDescent="0.25">
      <c r="A61" s="10" t="s">
        <v>12</v>
      </c>
      <c r="B61" s="11" t="s">
        <v>95</v>
      </c>
      <c r="C61" s="11" t="s">
        <v>8</v>
      </c>
      <c r="D61" s="12">
        <v>41653</v>
      </c>
      <c r="E61" s="12">
        <v>41656</v>
      </c>
      <c r="F61" s="13">
        <v>1313</v>
      </c>
    </row>
    <row r="62" spans="1:6" x14ac:dyDescent="0.25">
      <c r="A62" s="6" t="s">
        <v>15</v>
      </c>
      <c r="B62" s="7" t="s">
        <v>96</v>
      </c>
      <c r="C62" s="7" t="s">
        <v>66</v>
      </c>
      <c r="D62" s="8">
        <v>41653</v>
      </c>
      <c r="E62" s="8">
        <v>41656</v>
      </c>
      <c r="F62" s="9">
        <v>841.7</v>
      </c>
    </row>
    <row r="63" spans="1:6" x14ac:dyDescent="0.25">
      <c r="A63" s="10" t="s">
        <v>64</v>
      </c>
      <c r="B63" s="11" t="s">
        <v>65</v>
      </c>
      <c r="C63" s="11" t="s">
        <v>38</v>
      </c>
      <c r="D63" s="12">
        <v>41653</v>
      </c>
      <c r="E63" s="12">
        <v>41657</v>
      </c>
      <c r="F63" s="13">
        <v>794.8</v>
      </c>
    </row>
    <row r="64" spans="1:6" x14ac:dyDescent="0.25">
      <c r="A64" s="6" t="s">
        <v>57</v>
      </c>
      <c r="B64" s="7" t="s">
        <v>58</v>
      </c>
      <c r="C64" s="7" t="s">
        <v>47</v>
      </c>
      <c r="D64" s="8">
        <v>41653</v>
      </c>
      <c r="E64" s="8">
        <v>41656</v>
      </c>
      <c r="F64" s="9">
        <v>852.8</v>
      </c>
    </row>
    <row r="65" spans="1:6" x14ac:dyDescent="0.25">
      <c r="A65" s="10" t="s">
        <v>50</v>
      </c>
      <c r="B65" s="11" t="s">
        <v>51</v>
      </c>
      <c r="C65" s="11" t="s">
        <v>59</v>
      </c>
      <c r="D65" s="12">
        <v>41654</v>
      </c>
      <c r="E65" s="12">
        <v>41656</v>
      </c>
      <c r="F65" s="13">
        <v>760</v>
      </c>
    </row>
    <row r="66" spans="1:6" x14ac:dyDescent="0.25">
      <c r="A66" s="6" t="s">
        <v>28</v>
      </c>
      <c r="B66" s="7" t="s">
        <v>60</v>
      </c>
      <c r="C66" s="7" t="s">
        <v>17</v>
      </c>
      <c r="D66" s="8">
        <v>41654</v>
      </c>
      <c r="E66" s="8">
        <v>41657</v>
      </c>
      <c r="F66" s="9">
        <v>1116.5</v>
      </c>
    </row>
    <row r="67" spans="1:6" x14ac:dyDescent="0.25">
      <c r="A67" s="10" t="s">
        <v>28</v>
      </c>
      <c r="B67" s="11" t="s">
        <v>29</v>
      </c>
      <c r="C67" s="11" t="s">
        <v>11</v>
      </c>
      <c r="D67" s="12">
        <v>41654</v>
      </c>
      <c r="E67" s="12">
        <v>41657</v>
      </c>
      <c r="F67" s="13">
        <v>573.4</v>
      </c>
    </row>
    <row r="68" spans="1:6" x14ac:dyDescent="0.25">
      <c r="A68" s="6" t="s">
        <v>31</v>
      </c>
      <c r="B68" s="7" t="s">
        <v>32</v>
      </c>
      <c r="C68" s="7" t="s">
        <v>59</v>
      </c>
      <c r="D68" s="8">
        <v>41654</v>
      </c>
      <c r="E68" s="8">
        <v>41656</v>
      </c>
      <c r="F68" s="9">
        <v>760</v>
      </c>
    </row>
    <row r="69" spans="1:6" x14ac:dyDescent="0.25">
      <c r="A69" s="10" t="s">
        <v>97</v>
      </c>
      <c r="B69" s="11" t="s">
        <v>98</v>
      </c>
      <c r="C69" s="11" t="s">
        <v>8</v>
      </c>
      <c r="D69" s="12">
        <v>41654</v>
      </c>
      <c r="E69" s="12">
        <v>41656</v>
      </c>
      <c r="F69" s="13">
        <v>1102</v>
      </c>
    </row>
    <row r="70" spans="1:6" x14ac:dyDescent="0.25">
      <c r="A70" s="6" t="s">
        <v>9</v>
      </c>
      <c r="B70" s="7" t="s">
        <v>69</v>
      </c>
      <c r="C70" s="7" t="s">
        <v>19</v>
      </c>
      <c r="D70" s="8">
        <v>41654</v>
      </c>
      <c r="E70" s="8">
        <v>41657</v>
      </c>
      <c r="F70" s="9">
        <v>936.4</v>
      </c>
    </row>
    <row r="71" spans="1:6" x14ac:dyDescent="0.25">
      <c r="A71" s="10" t="s">
        <v>99</v>
      </c>
      <c r="B71" s="11" t="s">
        <v>100</v>
      </c>
      <c r="C71" s="11" t="s">
        <v>66</v>
      </c>
      <c r="D71" s="12">
        <v>41654</v>
      </c>
      <c r="E71" s="12">
        <v>41658</v>
      </c>
      <c r="F71" s="13">
        <v>1019.7</v>
      </c>
    </row>
    <row r="72" spans="1:6" x14ac:dyDescent="0.25">
      <c r="A72" s="6" t="s">
        <v>101</v>
      </c>
      <c r="B72" s="7" t="s">
        <v>102</v>
      </c>
      <c r="C72" s="7" t="s">
        <v>72</v>
      </c>
      <c r="D72" s="8">
        <v>41654</v>
      </c>
      <c r="E72" s="8">
        <v>41657</v>
      </c>
      <c r="F72" s="9">
        <v>1091.7</v>
      </c>
    </row>
    <row r="73" spans="1:6" x14ac:dyDescent="0.25">
      <c r="A73" s="10" t="s">
        <v>9</v>
      </c>
      <c r="B73" s="11" t="s">
        <v>103</v>
      </c>
      <c r="C73" s="11" t="s">
        <v>47</v>
      </c>
      <c r="D73" s="12">
        <v>41654</v>
      </c>
      <c r="E73" s="12">
        <v>41658</v>
      </c>
      <c r="F73" s="13">
        <v>1015.8</v>
      </c>
    </row>
    <row r="74" spans="1:6" x14ac:dyDescent="0.25">
      <c r="A74" s="6" t="s">
        <v>73</v>
      </c>
      <c r="B74" s="7" t="s">
        <v>104</v>
      </c>
      <c r="C74" s="7" t="s">
        <v>47</v>
      </c>
      <c r="D74" s="8">
        <v>41654</v>
      </c>
      <c r="E74" s="8">
        <v>41655</v>
      </c>
      <c r="F74" s="9">
        <v>526.79999999999995</v>
      </c>
    </row>
    <row r="75" spans="1:6" x14ac:dyDescent="0.25">
      <c r="A75" s="10" t="s">
        <v>15</v>
      </c>
      <c r="B75" s="11" t="s">
        <v>105</v>
      </c>
      <c r="C75" s="11" t="s">
        <v>14</v>
      </c>
      <c r="D75" s="12">
        <v>41654</v>
      </c>
      <c r="E75" s="12">
        <v>41655</v>
      </c>
      <c r="F75" s="13">
        <v>302.5</v>
      </c>
    </row>
    <row r="76" spans="1:6" x14ac:dyDescent="0.25">
      <c r="A76" s="6" t="s">
        <v>93</v>
      </c>
      <c r="B76" s="7" t="s">
        <v>106</v>
      </c>
      <c r="C76" s="7" t="s">
        <v>47</v>
      </c>
      <c r="D76" s="8">
        <v>41654</v>
      </c>
      <c r="E76" s="8">
        <v>41654</v>
      </c>
      <c r="F76" s="9">
        <v>363.8</v>
      </c>
    </row>
    <row r="77" spans="1:6" x14ac:dyDescent="0.25">
      <c r="A77" s="10" t="s">
        <v>93</v>
      </c>
      <c r="B77" s="11" t="s">
        <v>106</v>
      </c>
      <c r="C77" s="11" t="s">
        <v>14</v>
      </c>
      <c r="D77" s="12">
        <v>41654</v>
      </c>
      <c r="E77" s="12">
        <v>41654</v>
      </c>
      <c r="F77" s="13">
        <v>178.5</v>
      </c>
    </row>
    <row r="78" spans="1:6" x14ac:dyDescent="0.25">
      <c r="A78" s="6" t="s">
        <v>42</v>
      </c>
      <c r="B78" s="7" t="s">
        <v>43</v>
      </c>
      <c r="C78" s="7" t="s">
        <v>27</v>
      </c>
      <c r="D78" s="8">
        <v>41654</v>
      </c>
      <c r="E78" s="8">
        <v>41655</v>
      </c>
      <c r="F78" s="9">
        <v>570</v>
      </c>
    </row>
    <row r="79" spans="1:6" x14ac:dyDescent="0.25">
      <c r="A79" s="10" t="s">
        <v>107</v>
      </c>
      <c r="B79" s="11" t="s">
        <v>108</v>
      </c>
      <c r="C79" s="11" t="s">
        <v>66</v>
      </c>
      <c r="D79" s="12">
        <v>41654</v>
      </c>
      <c r="E79" s="12">
        <v>41655</v>
      </c>
      <c r="F79" s="13">
        <v>485.7</v>
      </c>
    </row>
    <row r="80" spans="1:6" x14ac:dyDescent="0.25">
      <c r="A80" s="6" t="s">
        <v>109</v>
      </c>
      <c r="B80" s="7" t="s">
        <v>110</v>
      </c>
      <c r="C80" s="7" t="s">
        <v>14</v>
      </c>
      <c r="D80" s="8">
        <v>41654</v>
      </c>
      <c r="E80" s="8">
        <v>41655</v>
      </c>
      <c r="F80" s="9">
        <v>302.5</v>
      </c>
    </row>
    <row r="81" spans="1:6" x14ac:dyDescent="0.25">
      <c r="A81" s="10" t="s">
        <v>6</v>
      </c>
      <c r="B81" s="11" t="s">
        <v>45</v>
      </c>
      <c r="C81" s="11" t="s">
        <v>66</v>
      </c>
      <c r="D81" s="12">
        <v>41654</v>
      </c>
      <c r="E81" s="12">
        <v>41656</v>
      </c>
      <c r="F81" s="13">
        <v>663.7</v>
      </c>
    </row>
    <row r="82" spans="1:6" x14ac:dyDescent="0.25">
      <c r="A82" s="6" t="s">
        <v>111</v>
      </c>
      <c r="B82" s="7" t="s">
        <v>112</v>
      </c>
      <c r="C82" s="7" t="s">
        <v>66</v>
      </c>
      <c r="D82" s="8">
        <v>41654</v>
      </c>
      <c r="E82" s="8">
        <v>41656</v>
      </c>
      <c r="F82" s="9">
        <v>663.7</v>
      </c>
    </row>
    <row r="83" spans="1:6" x14ac:dyDescent="0.25">
      <c r="A83" s="10" t="s">
        <v>113</v>
      </c>
      <c r="B83" s="11" t="s">
        <v>114</v>
      </c>
      <c r="C83" s="11" t="s">
        <v>11</v>
      </c>
      <c r="D83" s="12">
        <v>41654</v>
      </c>
      <c r="E83" s="12">
        <v>41658</v>
      </c>
      <c r="F83" s="13">
        <v>712.4</v>
      </c>
    </row>
    <row r="84" spans="1:6" x14ac:dyDescent="0.25">
      <c r="A84" s="6" t="s">
        <v>115</v>
      </c>
      <c r="B84" s="7" t="s">
        <v>116</v>
      </c>
      <c r="C84" s="7" t="s">
        <v>14</v>
      </c>
      <c r="D84" s="8">
        <v>41654</v>
      </c>
      <c r="E84" s="8">
        <v>41655</v>
      </c>
      <c r="F84" s="9">
        <v>302.5</v>
      </c>
    </row>
    <row r="85" spans="1:6" x14ac:dyDescent="0.25">
      <c r="A85" s="10" t="s">
        <v>70</v>
      </c>
      <c r="B85" s="11" t="s">
        <v>117</v>
      </c>
      <c r="C85" s="11" t="s">
        <v>8</v>
      </c>
      <c r="D85" s="12">
        <v>41654</v>
      </c>
      <c r="E85" s="12">
        <v>41655</v>
      </c>
      <c r="F85" s="13">
        <v>891</v>
      </c>
    </row>
    <row r="86" spans="1:6" x14ac:dyDescent="0.25">
      <c r="A86" s="6" t="s">
        <v>54</v>
      </c>
      <c r="B86" s="7" t="s">
        <v>118</v>
      </c>
      <c r="C86" s="7" t="s">
        <v>8</v>
      </c>
      <c r="D86" s="8">
        <v>41654</v>
      </c>
      <c r="E86" s="8">
        <v>41657</v>
      </c>
      <c r="F86" s="9">
        <v>1313</v>
      </c>
    </row>
    <row r="87" spans="1:6" x14ac:dyDescent="0.25">
      <c r="A87" s="10" t="s">
        <v>54</v>
      </c>
      <c r="B87" s="11" t="s">
        <v>81</v>
      </c>
      <c r="C87" s="11" t="s">
        <v>27</v>
      </c>
      <c r="D87" s="12">
        <v>41656</v>
      </c>
      <c r="E87" s="12">
        <v>41656</v>
      </c>
      <c r="F87" s="13">
        <v>442</v>
      </c>
    </row>
    <row r="88" spans="1:6" x14ac:dyDescent="0.25">
      <c r="A88" s="6" t="s">
        <v>119</v>
      </c>
      <c r="B88" s="7" t="s">
        <v>120</v>
      </c>
      <c r="C88" s="7" t="s">
        <v>27</v>
      </c>
      <c r="D88" s="8">
        <v>41656</v>
      </c>
      <c r="E88" s="8">
        <v>41656</v>
      </c>
      <c r="F88" s="9">
        <v>442</v>
      </c>
    </row>
    <row r="89" spans="1:6" x14ac:dyDescent="0.25">
      <c r="A89" s="10" t="s">
        <v>31</v>
      </c>
      <c r="B89" s="11" t="s">
        <v>77</v>
      </c>
      <c r="C89" s="11" t="s">
        <v>11</v>
      </c>
      <c r="D89" s="12">
        <v>41656</v>
      </c>
      <c r="E89" s="12">
        <v>41656</v>
      </c>
      <c r="F89" s="13">
        <v>156.4</v>
      </c>
    </row>
    <row r="90" spans="1:6" x14ac:dyDescent="0.25">
      <c r="A90" s="6" t="s">
        <v>9</v>
      </c>
      <c r="B90" s="7" t="s">
        <v>18</v>
      </c>
      <c r="C90" s="7" t="s">
        <v>11</v>
      </c>
      <c r="D90" s="8">
        <v>41656</v>
      </c>
      <c r="E90" s="8">
        <v>41656</v>
      </c>
      <c r="F90" s="9">
        <v>156.4</v>
      </c>
    </row>
    <row r="91" spans="1:6" x14ac:dyDescent="0.25">
      <c r="A91" s="10" t="s">
        <v>86</v>
      </c>
      <c r="B91" s="11" t="s">
        <v>87</v>
      </c>
      <c r="C91" s="11" t="s">
        <v>17</v>
      </c>
      <c r="D91" s="12">
        <v>41657</v>
      </c>
      <c r="E91" s="12">
        <v>41657</v>
      </c>
      <c r="F91" s="13">
        <v>501.5</v>
      </c>
    </row>
    <row r="92" spans="1:6" x14ac:dyDescent="0.25">
      <c r="A92" s="6" t="s">
        <v>75</v>
      </c>
      <c r="B92" s="7" t="s">
        <v>88</v>
      </c>
      <c r="C92" s="7" t="s">
        <v>14</v>
      </c>
      <c r="D92" s="8">
        <v>41657</v>
      </c>
      <c r="E92" s="8">
        <v>41658</v>
      </c>
      <c r="F92" s="9">
        <v>302.5</v>
      </c>
    </row>
    <row r="93" spans="1:6" x14ac:dyDescent="0.25">
      <c r="A93" s="10" t="s">
        <v>93</v>
      </c>
      <c r="B93" s="11" t="s">
        <v>94</v>
      </c>
      <c r="C93" s="11" t="s">
        <v>8</v>
      </c>
      <c r="D93" s="12">
        <v>41657</v>
      </c>
      <c r="E93" s="12">
        <v>41657</v>
      </c>
      <c r="F93" s="13">
        <v>680</v>
      </c>
    </row>
    <row r="94" spans="1:6" x14ac:dyDescent="0.25">
      <c r="A94" s="6" t="s">
        <v>48</v>
      </c>
      <c r="B94" s="7" t="s">
        <v>49</v>
      </c>
      <c r="C94" s="7" t="s">
        <v>19</v>
      </c>
      <c r="D94" s="8">
        <v>41658</v>
      </c>
      <c r="E94" s="8">
        <v>41658</v>
      </c>
      <c r="F94" s="9">
        <v>513.4</v>
      </c>
    </row>
    <row r="95" spans="1:6" x14ac:dyDescent="0.25">
      <c r="A95" s="10" t="s">
        <v>111</v>
      </c>
      <c r="B95" s="11" t="s">
        <v>112</v>
      </c>
      <c r="C95" s="11" t="s">
        <v>17</v>
      </c>
      <c r="D95" s="12">
        <v>41658</v>
      </c>
      <c r="E95" s="12">
        <v>41658</v>
      </c>
      <c r="F95" s="13">
        <v>501.5</v>
      </c>
    </row>
    <row r="96" spans="1:6" x14ac:dyDescent="0.25">
      <c r="A96" s="6" t="s">
        <v>6</v>
      </c>
      <c r="B96" s="7" t="s">
        <v>56</v>
      </c>
      <c r="C96" s="7" t="s">
        <v>72</v>
      </c>
      <c r="D96" s="8">
        <v>41660</v>
      </c>
      <c r="E96" s="8">
        <v>41662</v>
      </c>
      <c r="F96" s="9">
        <v>892.7</v>
      </c>
    </row>
    <row r="97" spans="1:6" x14ac:dyDescent="0.25">
      <c r="A97" s="10" t="s">
        <v>99</v>
      </c>
      <c r="B97" s="11" t="s">
        <v>100</v>
      </c>
      <c r="C97" s="11" t="s">
        <v>27</v>
      </c>
      <c r="D97" s="12">
        <v>41660</v>
      </c>
      <c r="E97" s="12">
        <v>41663</v>
      </c>
      <c r="F97" s="13">
        <v>826</v>
      </c>
    </row>
    <row r="98" spans="1:6" x14ac:dyDescent="0.25">
      <c r="A98" s="6" t="s">
        <v>86</v>
      </c>
      <c r="B98" s="7" t="s">
        <v>87</v>
      </c>
      <c r="C98" s="7" t="s">
        <v>72</v>
      </c>
      <c r="D98" s="8">
        <v>41660</v>
      </c>
      <c r="E98" s="8">
        <v>41662</v>
      </c>
      <c r="F98" s="9">
        <v>892.7</v>
      </c>
    </row>
    <row r="99" spans="1:6" x14ac:dyDescent="0.25">
      <c r="A99" s="10" t="s">
        <v>54</v>
      </c>
      <c r="B99" s="11" t="s">
        <v>121</v>
      </c>
      <c r="C99" s="11" t="s">
        <v>19</v>
      </c>
      <c r="D99" s="12">
        <v>41660</v>
      </c>
      <c r="E99" s="12">
        <v>41662</v>
      </c>
      <c r="F99" s="13">
        <v>795.4</v>
      </c>
    </row>
    <row r="100" spans="1:6" x14ac:dyDescent="0.25">
      <c r="A100" s="6" t="s">
        <v>75</v>
      </c>
      <c r="B100" s="7" t="s">
        <v>76</v>
      </c>
      <c r="C100" s="7" t="s">
        <v>8</v>
      </c>
      <c r="D100" s="8">
        <v>41660</v>
      </c>
      <c r="E100" s="8">
        <v>41664</v>
      </c>
      <c r="F100" s="9">
        <v>1524</v>
      </c>
    </row>
    <row r="101" spans="1:6" x14ac:dyDescent="0.25">
      <c r="A101" s="10" t="s">
        <v>31</v>
      </c>
      <c r="B101" s="11" t="s">
        <v>77</v>
      </c>
      <c r="C101" s="11" t="s">
        <v>47</v>
      </c>
      <c r="D101" s="12">
        <v>41660</v>
      </c>
      <c r="E101" s="12">
        <v>41663</v>
      </c>
      <c r="F101" s="13">
        <v>852.8</v>
      </c>
    </row>
    <row r="102" spans="1:6" x14ac:dyDescent="0.25">
      <c r="A102" s="6" t="s">
        <v>122</v>
      </c>
      <c r="B102" s="7" t="s">
        <v>123</v>
      </c>
      <c r="C102" s="7" t="s">
        <v>17</v>
      </c>
      <c r="D102" s="8">
        <v>41661</v>
      </c>
      <c r="E102" s="8">
        <v>41661</v>
      </c>
      <c r="F102" s="9">
        <v>501.5</v>
      </c>
    </row>
    <row r="103" spans="1:6" x14ac:dyDescent="0.25">
      <c r="A103" s="10" t="s">
        <v>93</v>
      </c>
      <c r="B103" s="11" t="s">
        <v>124</v>
      </c>
      <c r="C103" s="11" t="s">
        <v>59</v>
      </c>
      <c r="D103" s="12">
        <v>41661</v>
      </c>
      <c r="E103" s="12">
        <v>41661</v>
      </c>
      <c r="F103" s="13">
        <v>442</v>
      </c>
    </row>
    <row r="104" spans="1:6" x14ac:dyDescent="0.25">
      <c r="A104" s="6" t="s">
        <v>82</v>
      </c>
      <c r="B104" s="7" t="s">
        <v>125</v>
      </c>
      <c r="C104" s="7" t="s">
        <v>8</v>
      </c>
      <c r="D104" s="8">
        <v>41661</v>
      </c>
      <c r="E104" s="8">
        <v>41663</v>
      </c>
      <c r="F104" s="9">
        <v>1102</v>
      </c>
    </row>
    <row r="105" spans="1:6" x14ac:dyDescent="0.25">
      <c r="A105" s="10" t="s">
        <v>126</v>
      </c>
      <c r="B105" s="11" t="s">
        <v>127</v>
      </c>
      <c r="C105" s="11" t="s">
        <v>14</v>
      </c>
      <c r="D105" s="12">
        <v>41661</v>
      </c>
      <c r="E105" s="12">
        <v>41663</v>
      </c>
      <c r="F105" s="13">
        <v>426.5</v>
      </c>
    </row>
    <row r="106" spans="1:6" x14ac:dyDescent="0.25">
      <c r="A106" s="6" t="s">
        <v>128</v>
      </c>
      <c r="B106" s="7" t="s">
        <v>129</v>
      </c>
      <c r="C106" s="7" t="s">
        <v>19</v>
      </c>
      <c r="D106" s="8">
        <v>41662</v>
      </c>
      <c r="E106" s="8">
        <v>41663</v>
      </c>
      <c r="F106" s="9">
        <v>654.4</v>
      </c>
    </row>
    <row r="107" spans="1:6" x14ac:dyDescent="0.25">
      <c r="A107" s="10" t="s">
        <v>25</v>
      </c>
      <c r="B107" s="11" t="s">
        <v>26</v>
      </c>
      <c r="C107" s="11" t="s">
        <v>11</v>
      </c>
      <c r="D107" s="12">
        <v>41662</v>
      </c>
      <c r="E107" s="12">
        <v>41663</v>
      </c>
      <c r="F107" s="13">
        <v>295.39999999999998</v>
      </c>
    </row>
    <row r="108" spans="1:6" x14ac:dyDescent="0.25">
      <c r="A108" s="6" t="s">
        <v>25</v>
      </c>
      <c r="B108" s="7" t="s">
        <v>68</v>
      </c>
      <c r="C108" s="7" t="s">
        <v>66</v>
      </c>
      <c r="D108" s="8">
        <v>41662</v>
      </c>
      <c r="E108" s="8">
        <v>41663</v>
      </c>
      <c r="F108" s="9">
        <v>485.7</v>
      </c>
    </row>
    <row r="109" spans="1:6" x14ac:dyDescent="0.25">
      <c r="A109" s="10" t="s">
        <v>99</v>
      </c>
      <c r="B109" s="11" t="s">
        <v>130</v>
      </c>
      <c r="C109" s="11" t="s">
        <v>72</v>
      </c>
      <c r="D109" s="12">
        <v>41663</v>
      </c>
      <c r="E109" s="12">
        <v>41663</v>
      </c>
      <c r="F109" s="13">
        <v>494.7</v>
      </c>
    </row>
    <row r="110" spans="1:6" x14ac:dyDescent="0.25">
      <c r="A110" s="6" t="s">
        <v>131</v>
      </c>
      <c r="B110" s="7" t="s">
        <v>132</v>
      </c>
      <c r="C110" s="7" t="s">
        <v>38</v>
      </c>
      <c r="D110" s="8">
        <v>41663</v>
      </c>
      <c r="E110" s="8">
        <v>41663</v>
      </c>
      <c r="F110" s="9">
        <v>278.8</v>
      </c>
    </row>
    <row r="111" spans="1:6" x14ac:dyDescent="0.25">
      <c r="A111" s="10" t="s">
        <v>93</v>
      </c>
      <c r="B111" s="11" t="s">
        <v>94</v>
      </c>
      <c r="C111" s="11" t="s">
        <v>47</v>
      </c>
      <c r="D111" s="12">
        <v>41664</v>
      </c>
      <c r="E111" s="12">
        <v>41664</v>
      </c>
      <c r="F111" s="13">
        <v>363.8</v>
      </c>
    </row>
    <row r="112" spans="1:6" x14ac:dyDescent="0.25">
      <c r="A112" s="6" t="s">
        <v>6</v>
      </c>
      <c r="B112" s="7" t="s">
        <v>7</v>
      </c>
      <c r="C112" s="7" t="s">
        <v>66</v>
      </c>
      <c r="D112" s="8">
        <v>41665</v>
      </c>
      <c r="E112" s="8">
        <v>41669</v>
      </c>
      <c r="F112" s="9">
        <v>1019.7</v>
      </c>
    </row>
    <row r="113" spans="1:6" x14ac:dyDescent="0.25">
      <c r="A113" s="10" t="s">
        <v>79</v>
      </c>
      <c r="B113" s="11" t="s">
        <v>80</v>
      </c>
      <c r="C113" s="11" t="s">
        <v>19</v>
      </c>
      <c r="D113" s="12">
        <v>41665</v>
      </c>
      <c r="E113" s="12">
        <v>41669</v>
      </c>
      <c r="F113" s="13">
        <v>1077.4000000000001</v>
      </c>
    </row>
    <row r="114" spans="1:6" x14ac:dyDescent="0.25">
      <c r="A114" s="6" t="s">
        <v>54</v>
      </c>
      <c r="B114" s="7" t="s">
        <v>133</v>
      </c>
      <c r="C114" s="7" t="s">
        <v>17</v>
      </c>
      <c r="D114" s="8">
        <v>41665</v>
      </c>
      <c r="E114" s="8">
        <v>41667</v>
      </c>
      <c r="F114" s="9">
        <v>911.5</v>
      </c>
    </row>
    <row r="115" spans="1:6" x14ac:dyDescent="0.25">
      <c r="A115" s="10" t="s">
        <v>134</v>
      </c>
      <c r="B115" s="11" t="s">
        <v>135</v>
      </c>
      <c r="C115" s="11" t="s">
        <v>47</v>
      </c>
      <c r="D115" s="12">
        <v>41665</v>
      </c>
      <c r="E115" s="12">
        <v>41667</v>
      </c>
      <c r="F115" s="13">
        <v>689.8</v>
      </c>
    </row>
    <row r="116" spans="1:6" x14ac:dyDescent="0.25">
      <c r="A116" s="6" t="s">
        <v>93</v>
      </c>
      <c r="B116" s="7" t="s">
        <v>106</v>
      </c>
      <c r="C116" s="7" t="s">
        <v>17</v>
      </c>
      <c r="D116" s="8">
        <v>41665</v>
      </c>
      <c r="E116" s="8">
        <v>41669</v>
      </c>
      <c r="F116" s="9">
        <v>1321.5</v>
      </c>
    </row>
    <row r="117" spans="1:6" x14ac:dyDescent="0.25">
      <c r="A117" s="10" t="s">
        <v>52</v>
      </c>
      <c r="B117" s="11" t="s">
        <v>53</v>
      </c>
      <c r="C117" s="11" t="s">
        <v>59</v>
      </c>
      <c r="D117" s="12">
        <v>41665</v>
      </c>
      <c r="E117" s="12">
        <v>41669</v>
      </c>
      <c r="F117" s="13">
        <v>1078</v>
      </c>
    </row>
    <row r="118" spans="1:6" x14ac:dyDescent="0.25">
      <c r="A118" s="6" t="s">
        <v>119</v>
      </c>
      <c r="B118" s="7" t="s">
        <v>120</v>
      </c>
      <c r="C118" s="7" t="s">
        <v>24</v>
      </c>
      <c r="D118" s="8">
        <v>41665</v>
      </c>
      <c r="E118" s="8">
        <v>41668</v>
      </c>
      <c r="F118" s="9">
        <v>737.7</v>
      </c>
    </row>
    <row r="119" spans="1:6" x14ac:dyDescent="0.25">
      <c r="A119" s="10" t="s">
        <v>89</v>
      </c>
      <c r="B119" s="11" t="s">
        <v>90</v>
      </c>
      <c r="C119" s="11" t="s">
        <v>72</v>
      </c>
      <c r="D119" s="12">
        <v>41665</v>
      </c>
      <c r="E119" s="12">
        <v>41666</v>
      </c>
      <c r="F119" s="13">
        <v>693.7</v>
      </c>
    </row>
    <row r="120" spans="1:6" x14ac:dyDescent="0.25">
      <c r="A120" s="6" t="s">
        <v>12</v>
      </c>
      <c r="B120" s="7" t="s">
        <v>95</v>
      </c>
      <c r="C120" s="7" t="s">
        <v>11</v>
      </c>
      <c r="D120" s="8">
        <v>41665</v>
      </c>
      <c r="E120" s="8">
        <v>41667</v>
      </c>
      <c r="F120" s="9">
        <v>434.4</v>
      </c>
    </row>
    <row r="121" spans="1:6" x14ac:dyDescent="0.25">
      <c r="A121" s="10" t="s">
        <v>15</v>
      </c>
      <c r="B121" s="11" t="s">
        <v>96</v>
      </c>
      <c r="C121" s="11" t="s">
        <v>11</v>
      </c>
      <c r="D121" s="12">
        <v>41665</v>
      </c>
      <c r="E121" s="12">
        <v>41668</v>
      </c>
      <c r="F121" s="13">
        <v>573.4</v>
      </c>
    </row>
    <row r="122" spans="1:6" x14ac:dyDescent="0.25">
      <c r="A122" s="6" t="s">
        <v>86</v>
      </c>
      <c r="B122" s="7" t="s">
        <v>136</v>
      </c>
      <c r="C122" s="7" t="s">
        <v>27</v>
      </c>
      <c r="D122" s="8">
        <v>41665</v>
      </c>
      <c r="E122" s="8">
        <v>41669</v>
      </c>
      <c r="F122" s="9">
        <v>954</v>
      </c>
    </row>
    <row r="123" spans="1:6" x14ac:dyDescent="0.25">
      <c r="A123" s="10" t="s">
        <v>20</v>
      </c>
      <c r="B123" s="11" t="s">
        <v>21</v>
      </c>
      <c r="C123" s="11" t="s">
        <v>38</v>
      </c>
      <c r="D123" s="12">
        <v>41665</v>
      </c>
      <c r="E123" s="12">
        <v>41666</v>
      </c>
      <c r="F123" s="13">
        <v>407.8</v>
      </c>
    </row>
    <row r="124" spans="1:6" x14ac:dyDescent="0.25">
      <c r="A124" s="6" t="s">
        <v>54</v>
      </c>
      <c r="B124" s="7" t="s">
        <v>81</v>
      </c>
      <c r="C124" s="7" t="s">
        <v>17</v>
      </c>
      <c r="D124" s="8">
        <v>41666</v>
      </c>
      <c r="E124" s="8">
        <v>41666</v>
      </c>
      <c r="F124" s="9">
        <v>501.5</v>
      </c>
    </row>
    <row r="125" spans="1:6" x14ac:dyDescent="0.25">
      <c r="A125" s="10" t="s">
        <v>31</v>
      </c>
      <c r="B125" s="11" t="s">
        <v>77</v>
      </c>
      <c r="C125" s="11" t="s">
        <v>72</v>
      </c>
      <c r="D125" s="12">
        <v>41666</v>
      </c>
      <c r="E125" s="12">
        <v>41668</v>
      </c>
      <c r="F125" s="13">
        <v>892.7</v>
      </c>
    </row>
    <row r="126" spans="1:6" x14ac:dyDescent="0.25">
      <c r="A126" s="6" t="s">
        <v>93</v>
      </c>
      <c r="B126" s="7" t="s">
        <v>94</v>
      </c>
      <c r="C126" s="7" t="s">
        <v>8</v>
      </c>
      <c r="D126" s="8">
        <v>41666</v>
      </c>
      <c r="E126" s="8">
        <v>41666</v>
      </c>
      <c r="F126" s="9">
        <v>680</v>
      </c>
    </row>
    <row r="127" spans="1:6" x14ac:dyDescent="0.25">
      <c r="A127" s="10" t="s">
        <v>137</v>
      </c>
      <c r="B127" s="11" t="s">
        <v>138</v>
      </c>
      <c r="C127" s="11" t="s">
        <v>19</v>
      </c>
      <c r="D127" s="12">
        <v>41666</v>
      </c>
      <c r="E127" s="12">
        <v>41668</v>
      </c>
      <c r="F127" s="13">
        <v>795.4</v>
      </c>
    </row>
    <row r="128" spans="1:6" x14ac:dyDescent="0.25">
      <c r="A128" s="6" t="s">
        <v>131</v>
      </c>
      <c r="B128" s="7" t="s">
        <v>132</v>
      </c>
      <c r="C128" s="7" t="s">
        <v>19</v>
      </c>
      <c r="D128" s="8">
        <v>41666</v>
      </c>
      <c r="E128" s="8">
        <v>41668</v>
      </c>
      <c r="F128" s="9">
        <v>795.4</v>
      </c>
    </row>
    <row r="129" spans="1:6" x14ac:dyDescent="0.25">
      <c r="A129" s="10" t="s">
        <v>99</v>
      </c>
      <c r="B129" s="11" t="s">
        <v>130</v>
      </c>
      <c r="C129" s="11" t="s">
        <v>47</v>
      </c>
      <c r="D129" s="12">
        <v>41667</v>
      </c>
      <c r="E129" s="12">
        <v>41667</v>
      </c>
      <c r="F129" s="13">
        <v>363.8</v>
      </c>
    </row>
    <row r="130" spans="1:6" x14ac:dyDescent="0.25">
      <c r="A130" s="6" t="s">
        <v>91</v>
      </c>
      <c r="B130" s="7" t="s">
        <v>92</v>
      </c>
      <c r="C130" s="7" t="s">
        <v>17</v>
      </c>
      <c r="D130" s="8">
        <v>41667</v>
      </c>
      <c r="E130" s="8">
        <v>41669</v>
      </c>
      <c r="F130" s="9">
        <v>911.5</v>
      </c>
    </row>
    <row r="131" spans="1:6" x14ac:dyDescent="0.25">
      <c r="A131" s="10" t="s">
        <v>57</v>
      </c>
      <c r="B131" s="11" t="s">
        <v>58</v>
      </c>
      <c r="C131" s="11" t="s">
        <v>38</v>
      </c>
      <c r="D131" s="12">
        <v>41667</v>
      </c>
      <c r="E131" s="12">
        <v>41669</v>
      </c>
      <c r="F131" s="13">
        <v>536.79999999999995</v>
      </c>
    </row>
    <row r="132" spans="1:6" x14ac:dyDescent="0.25">
      <c r="A132" s="6" t="s">
        <v>6</v>
      </c>
      <c r="B132" s="7" t="s">
        <v>7</v>
      </c>
      <c r="C132" s="7" t="s">
        <v>59</v>
      </c>
      <c r="D132" s="8">
        <v>41672</v>
      </c>
      <c r="E132" s="8">
        <v>41674</v>
      </c>
      <c r="F132" s="9">
        <v>760</v>
      </c>
    </row>
    <row r="133" spans="1:6" x14ac:dyDescent="0.25">
      <c r="A133" s="10" t="s">
        <v>6</v>
      </c>
      <c r="B133" s="11" t="s">
        <v>139</v>
      </c>
      <c r="C133" s="11" t="s">
        <v>17</v>
      </c>
      <c r="D133" s="12">
        <v>41672</v>
      </c>
      <c r="E133" s="12">
        <v>41673</v>
      </c>
      <c r="F133" s="13">
        <v>706.5</v>
      </c>
    </row>
    <row r="134" spans="1:6" x14ac:dyDescent="0.25">
      <c r="A134" s="6" t="s">
        <v>93</v>
      </c>
      <c r="B134" s="7" t="s">
        <v>124</v>
      </c>
      <c r="C134" s="7" t="s">
        <v>72</v>
      </c>
      <c r="D134" s="8">
        <v>41672</v>
      </c>
      <c r="E134" s="8">
        <v>41675</v>
      </c>
      <c r="F134" s="9">
        <v>1091.7</v>
      </c>
    </row>
    <row r="135" spans="1:6" x14ac:dyDescent="0.25">
      <c r="A135" s="10" t="s">
        <v>128</v>
      </c>
      <c r="B135" s="11" t="s">
        <v>129</v>
      </c>
      <c r="C135" s="11" t="s">
        <v>27</v>
      </c>
      <c r="D135" s="12">
        <v>41673</v>
      </c>
      <c r="E135" s="12">
        <v>41676</v>
      </c>
      <c r="F135" s="13">
        <v>826</v>
      </c>
    </row>
    <row r="136" spans="1:6" x14ac:dyDescent="0.25">
      <c r="A136" s="6" t="s">
        <v>115</v>
      </c>
      <c r="B136" s="7" t="s">
        <v>140</v>
      </c>
      <c r="C136" s="7" t="s">
        <v>66</v>
      </c>
      <c r="D136" s="8">
        <v>41673</v>
      </c>
      <c r="E136" s="8">
        <v>41673</v>
      </c>
      <c r="F136" s="9">
        <v>307.7</v>
      </c>
    </row>
    <row r="137" spans="1:6" x14ac:dyDescent="0.25">
      <c r="A137" s="10" t="s">
        <v>42</v>
      </c>
      <c r="B137" s="11" t="s">
        <v>43</v>
      </c>
      <c r="C137" s="11" t="s">
        <v>47</v>
      </c>
      <c r="D137" s="12">
        <v>41673</v>
      </c>
      <c r="E137" s="12">
        <v>41673</v>
      </c>
      <c r="F137" s="13">
        <v>363.8</v>
      </c>
    </row>
    <row r="138" spans="1:6" x14ac:dyDescent="0.25">
      <c r="A138" s="6" t="s">
        <v>107</v>
      </c>
      <c r="B138" s="7" t="s">
        <v>108</v>
      </c>
      <c r="C138" s="7" t="s">
        <v>19</v>
      </c>
      <c r="D138" s="8">
        <v>41673</v>
      </c>
      <c r="E138" s="8">
        <v>41675</v>
      </c>
      <c r="F138" s="9">
        <v>795.4</v>
      </c>
    </row>
    <row r="139" spans="1:6" x14ac:dyDescent="0.25">
      <c r="A139" s="10" t="s">
        <v>31</v>
      </c>
      <c r="B139" s="11" t="s">
        <v>78</v>
      </c>
      <c r="C139" s="11" t="s">
        <v>27</v>
      </c>
      <c r="D139" s="12">
        <v>41677</v>
      </c>
      <c r="E139" s="12">
        <v>41681</v>
      </c>
      <c r="F139" s="13">
        <v>954</v>
      </c>
    </row>
    <row r="140" spans="1:6" x14ac:dyDescent="0.25">
      <c r="A140" s="6" t="s">
        <v>6</v>
      </c>
      <c r="B140" s="7" t="s">
        <v>7</v>
      </c>
      <c r="C140" s="7" t="s">
        <v>38</v>
      </c>
      <c r="D140" s="8">
        <v>41677</v>
      </c>
      <c r="E140" s="8">
        <v>41681</v>
      </c>
      <c r="F140" s="9">
        <v>794.8</v>
      </c>
    </row>
    <row r="141" spans="1:6" x14ac:dyDescent="0.25">
      <c r="A141" s="10" t="s">
        <v>33</v>
      </c>
      <c r="B141" s="11" t="s">
        <v>141</v>
      </c>
      <c r="C141" s="11" t="s">
        <v>19</v>
      </c>
      <c r="D141" s="12">
        <v>41677</v>
      </c>
      <c r="E141" s="12">
        <v>41680</v>
      </c>
      <c r="F141" s="13">
        <v>936.4</v>
      </c>
    </row>
    <row r="142" spans="1:6" x14ac:dyDescent="0.25">
      <c r="A142" s="6" t="s">
        <v>6</v>
      </c>
      <c r="B142" s="7" t="s">
        <v>139</v>
      </c>
      <c r="C142" s="7" t="s">
        <v>72</v>
      </c>
      <c r="D142" s="8">
        <v>41677</v>
      </c>
      <c r="E142" s="8">
        <v>41679</v>
      </c>
      <c r="F142" s="9">
        <v>892.7</v>
      </c>
    </row>
    <row r="143" spans="1:6" x14ac:dyDescent="0.25">
      <c r="A143" s="10" t="s">
        <v>122</v>
      </c>
      <c r="B143" s="11" t="s">
        <v>123</v>
      </c>
      <c r="C143" s="11" t="s">
        <v>66</v>
      </c>
      <c r="D143" s="12">
        <v>41677</v>
      </c>
      <c r="E143" s="12">
        <v>41678</v>
      </c>
      <c r="F143" s="13">
        <v>485.7</v>
      </c>
    </row>
    <row r="144" spans="1:6" x14ac:dyDescent="0.25">
      <c r="A144" s="6" t="s">
        <v>15</v>
      </c>
      <c r="B144" s="7" t="s">
        <v>46</v>
      </c>
      <c r="C144" s="7" t="s">
        <v>19</v>
      </c>
      <c r="D144" s="8">
        <v>41677</v>
      </c>
      <c r="E144" s="8">
        <v>41680</v>
      </c>
      <c r="F144" s="9">
        <v>936.4</v>
      </c>
    </row>
    <row r="145" spans="1:6" x14ac:dyDescent="0.25">
      <c r="A145" s="10" t="s">
        <v>131</v>
      </c>
      <c r="B145" s="11" t="s">
        <v>142</v>
      </c>
      <c r="C145" s="11" t="s">
        <v>27</v>
      </c>
      <c r="D145" s="12">
        <v>41677</v>
      </c>
      <c r="E145" s="12">
        <v>41681</v>
      </c>
      <c r="F145" s="13">
        <v>954</v>
      </c>
    </row>
    <row r="146" spans="1:6" x14ac:dyDescent="0.25">
      <c r="A146" s="6" t="s">
        <v>6</v>
      </c>
      <c r="B146" s="7" t="s">
        <v>56</v>
      </c>
      <c r="C146" s="7" t="s">
        <v>19</v>
      </c>
      <c r="D146" s="8">
        <v>41677</v>
      </c>
      <c r="E146" s="8">
        <v>41680</v>
      </c>
      <c r="F146" s="9">
        <v>936.4</v>
      </c>
    </row>
    <row r="147" spans="1:6" x14ac:dyDescent="0.25">
      <c r="A147" s="10" t="s">
        <v>115</v>
      </c>
      <c r="B147" s="11" t="s">
        <v>140</v>
      </c>
      <c r="C147" s="11" t="s">
        <v>59</v>
      </c>
      <c r="D147" s="12">
        <v>41677</v>
      </c>
      <c r="E147" s="12">
        <v>41677</v>
      </c>
      <c r="F147" s="13">
        <v>442</v>
      </c>
    </row>
    <row r="148" spans="1:6" x14ac:dyDescent="0.25">
      <c r="A148" s="6" t="s">
        <v>126</v>
      </c>
      <c r="B148" s="7" t="s">
        <v>127</v>
      </c>
      <c r="C148" s="7" t="s">
        <v>38</v>
      </c>
      <c r="D148" s="8">
        <v>41677</v>
      </c>
      <c r="E148" s="8">
        <v>41679</v>
      </c>
      <c r="F148" s="9">
        <v>536.79999999999995</v>
      </c>
    </row>
    <row r="149" spans="1:6" x14ac:dyDescent="0.25">
      <c r="A149" s="10" t="s">
        <v>73</v>
      </c>
      <c r="B149" s="11" t="s">
        <v>74</v>
      </c>
      <c r="C149" s="11" t="s">
        <v>30</v>
      </c>
      <c r="D149" s="12">
        <v>41677</v>
      </c>
      <c r="E149" s="12">
        <v>41677</v>
      </c>
      <c r="F149" s="13">
        <v>212.5</v>
      </c>
    </row>
    <row r="150" spans="1:6" x14ac:dyDescent="0.25">
      <c r="A150" s="6" t="s">
        <v>101</v>
      </c>
      <c r="B150" s="7" t="s">
        <v>102</v>
      </c>
      <c r="C150" s="7" t="s">
        <v>59</v>
      </c>
      <c r="D150" s="8">
        <v>41677</v>
      </c>
      <c r="E150" s="8">
        <v>41679</v>
      </c>
      <c r="F150" s="9">
        <v>760</v>
      </c>
    </row>
    <row r="151" spans="1:6" x14ac:dyDescent="0.25">
      <c r="A151" s="10" t="s">
        <v>143</v>
      </c>
      <c r="B151" s="11" t="s">
        <v>144</v>
      </c>
      <c r="C151" s="11" t="s">
        <v>27</v>
      </c>
      <c r="D151" s="12">
        <v>41677</v>
      </c>
      <c r="E151" s="12">
        <v>41678</v>
      </c>
      <c r="F151" s="13">
        <v>570</v>
      </c>
    </row>
    <row r="152" spans="1:6" x14ac:dyDescent="0.25">
      <c r="A152" s="6" t="s">
        <v>73</v>
      </c>
      <c r="B152" s="7" t="s">
        <v>104</v>
      </c>
      <c r="C152" s="7" t="s">
        <v>47</v>
      </c>
      <c r="D152" s="8">
        <v>41677</v>
      </c>
      <c r="E152" s="8">
        <v>41679</v>
      </c>
      <c r="F152" s="9">
        <v>689.8</v>
      </c>
    </row>
    <row r="153" spans="1:6" x14ac:dyDescent="0.25">
      <c r="A153" s="10" t="s">
        <v>93</v>
      </c>
      <c r="B153" s="11" t="s">
        <v>106</v>
      </c>
      <c r="C153" s="11" t="s">
        <v>66</v>
      </c>
      <c r="D153" s="12">
        <v>41677</v>
      </c>
      <c r="E153" s="12">
        <v>41681</v>
      </c>
      <c r="F153" s="13">
        <v>1019.7</v>
      </c>
    </row>
    <row r="154" spans="1:6" x14ac:dyDescent="0.25">
      <c r="A154" s="6" t="s">
        <v>145</v>
      </c>
      <c r="B154" s="7" t="s">
        <v>146</v>
      </c>
      <c r="C154" s="7" t="s">
        <v>8</v>
      </c>
      <c r="D154" s="8">
        <v>41677</v>
      </c>
      <c r="E154" s="8">
        <v>41678</v>
      </c>
      <c r="F154" s="9">
        <v>891</v>
      </c>
    </row>
    <row r="155" spans="1:6" x14ac:dyDescent="0.25">
      <c r="A155" s="10" t="s">
        <v>147</v>
      </c>
      <c r="B155" s="11" t="s">
        <v>148</v>
      </c>
      <c r="C155" s="11" t="s">
        <v>11</v>
      </c>
      <c r="D155" s="12">
        <v>41677</v>
      </c>
      <c r="E155" s="12">
        <v>41678</v>
      </c>
      <c r="F155" s="13">
        <v>295.39999999999998</v>
      </c>
    </row>
    <row r="156" spans="1:6" x14ac:dyDescent="0.25">
      <c r="A156" s="6" t="s">
        <v>119</v>
      </c>
      <c r="B156" s="7" t="s">
        <v>120</v>
      </c>
      <c r="C156" s="7" t="s">
        <v>8</v>
      </c>
      <c r="D156" s="8">
        <v>41677</v>
      </c>
      <c r="E156" s="8">
        <v>41678</v>
      </c>
      <c r="F156" s="9">
        <v>891</v>
      </c>
    </row>
    <row r="157" spans="1:6" x14ac:dyDescent="0.25">
      <c r="A157" s="10" t="s">
        <v>134</v>
      </c>
      <c r="B157" s="11" t="s">
        <v>149</v>
      </c>
      <c r="C157" s="11" t="s">
        <v>30</v>
      </c>
      <c r="D157" s="12">
        <v>41677</v>
      </c>
      <c r="E157" s="12">
        <v>41681</v>
      </c>
      <c r="F157" s="13">
        <v>688.5</v>
      </c>
    </row>
    <row r="158" spans="1:6" x14ac:dyDescent="0.25">
      <c r="A158" s="6" t="s">
        <v>111</v>
      </c>
      <c r="B158" s="7" t="s">
        <v>112</v>
      </c>
      <c r="C158" s="7" t="s">
        <v>66</v>
      </c>
      <c r="D158" s="8">
        <v>41677</v>
      </c>
      <c r="E158" s="8">
        <v>41679</v>
      </c>
      <c r="F158" s="9">
        <v>663.7</v>
      </c>
    </row>
    <row r="159" spans="1:6" x14ac:dyDescent="0.25">
      <c r="A159" s="10" t="s">
        <v>15</v>
      </c>
      <c r="B159" s="11" t="s">
        <v>16</v>
      </c>
      <c r="C159" s="11" t="s">
        <v>30</v>
      </c>
      <c r="D159" s="12">
        <v>41677</v>
      </c>
      <c r="E159" s="12">
        <v>41680</v>
      </c>
      <c r="F159" s="13">
        <v>569.5</v>
      </c>
    </row>
    <row r="160" spans="1:6" x14ac:dyDescent="0.25">
      <c r="A160" s="6" t="s">
        <v>54</v>
      </c>
      <c r="B160" s="7" t="s">
        <v>55</v>
      </c>
      <c r="C160" s="7" t="s">
        <v>27</v>
      </c>
      <c r="D160" s="8">
        <v>41680</v>
      </c>
      <c r="E160" s="8">
        <v>41680</v>
      </c>
      <c r="F160" s="9">
        <v>442</v>
      </c>
    </row>
    <row r="161" spans="1:6" x14ac:dyDescent="0.25">
      <c r="A161" s="10" t="s">
        <v>33</v>
      </c>
      <c r="B161" s="11" t="s">
        <v>41</v>
      </c>
      <c r="C161" s="11" t="s">
        <v>19</v>
      </c>
      <c r="D161" s="12">
        <v>41680</v>
      </c>
      <c r="E161" s="12">
        <v>41680</v>
      </c>
      <c r="F161" s="13">
        <v>513.4</v>
      </c>
    </row>
    <row r="162" spans="1:6" x14ac:dyDescent="0.25">
      <c r="A162" s="6" t="s">
        <v>107</v>
      </c>
      <c r="B162" s="7" t="s">
        <v>108</v>
      </c>
      <c r="C162" s="7" t="s">
        <v>30</v>
      </c>
      <c r="D162" s="8">
        <v>41680</v>
      </c>
      <c r="E162" s="8">
        <v>41681</v>
      </c>
      <c r="F162" s="9">
        <v>331.5</v>
      </c>
    </row>
    <row r="163" spans="1:6" x14ac:dyDescent="0.25">
      <c r="A163" s="10" t="s">
        <v>54</v>
      </c>
      <c r="B163" s="11" t="s">
        <v>81</v>
      </c>
      <c r="C163" s="11" t="s">
        <v>19</v>
      </c>
      <c r="D163" s="12">
        <v>41682</v>
      </c>
      <c r="E163" s="12">
        <v>41682</v>
      </c>
      <c r="F163" s="13">
        <v>513.4</v>
      </c>
    </row>
    <row r="164" spans="1:6" x14ac:dyDescent="0.25">
      <c r="A164" s="6" t="s">
        <v>86</v>
      </c>
      <c r="B164" s="7" t="s">
        <v>150</v>
      </c>
      <c r="C164" s="7" t="s">
        <v>30</v>
      </c>
      <c r="D164" s="8">
        <v>41684</v>
      </c>
      <c r="E164" s="8">
        <v>41686</v>
      </c>
      <c r="F164" s="9">
        <v>450.5</v>
      </c>
    </row>
    <row r="165" spans="1:6" x14ac:dyDescent="0.25">
      <c r="A165" s="10" t="s">
        <v>99</v>
      </c>
      <c r="B165" s="11" t="s">
        <v>100</v>
      </c>
      <c r="C165" s="11" t="s">
        <v>19</v>
      </c>
      <c r="D165" s="12">
        <v>41684</v>
      </c>
      <c r="E165" s="12">
        <v>41686</v>
      </c>
      <c r="F165" s="13">
        <v>795.4</v>
      </c>
    </row>
    <row r="166" spans="1:6" x14ac:dyDescent="0.25">
      <c r="A166" s="6" t="s">
        <v>151</v>
      </c>
      <c r="B166" s="7" t="s">
        <v>152</v>
      </c>
      <c r="C166" s="7" t="s">
        <v>30</v>
      </c>
      <c r="D166" s="8">
        <v>41684</v>
      </c>
      <c r="E166" s="8">
        <v>41684</v>
      </c>
      <c r="F166" s="9">
        <v>212.5</v>
      </c>
    </row>
    <row r="167" spans="1:6" x14ac:dyDescent="0.25">
      <c r="A167" s="10" t="s">
        <v>52</v>
      </c>
      <c r="B167" s="11" t="s">
        <v>53</v>
      </c>
      <c r="C167" s="11" t="s">
        <v>72</v>
      </c>
      <c r="D167" s="12">
        <v>41684</v>
      </c>
      <c r="E167" s="12">
        <v>41686</v>
      </c>
      <c r="F167" s="13">
        <v>892.7</v>
      </c>
    </row>
    <row r="168" spans="1:6" x14ac:dyDescent="0.25">
      <c r="A168" s="6" t="s">
        <v>31</v>
      </c>
      <c r="B168" s="7" t="s">
        <v>77</v>
      </c>
      <c r="C168" s="7" t="s">
        <v>66</v>
      </c>
      <c r="D168" s="8">
        <v>41684</v>
      </c>
      <c r="E168" s="8">
        <v>41688</v>
      </c>
      <c r="F168" s="9">
        <v>1019.7</v>
      </c>
    </row>
    <row r="169" spans="1:6" x14ac:dyDescent="0.25">
      <c r="A169" s="10" t="s">
        <v>113</v>
      </c>
      <c r="B169" s="11" t="s">
        <v>114</v>
      </c>
      <c r="C169" s="11" t="s">
        <v>11</v>
      </c>
      <c r="D169" s="12">
        <v>41684</v>
      </c>
      <c r="E169" s="12">
        <v>41687</v>
      </c>
      <c r="F169" s="13">
        <v>573.4</v>
      </c>
    </row>
    <row r="170" spans="1:6" x14ac:dyDescent="0.25">
      <c r="A170" s="6" t="s">
        <v>109</v>
      </c>
      <c r="B170" s="7" t="s">
        <v>110</v>
      </c>
      <c r="C170" s="7" t="s">
        <v>38</v>
      </c>
      <c r="D170" s="8">
        <v>41685</v>
      </c>
      <c r="E170" s="8">
        <v>41687</v>
      </c>
      <c r="F170" s="9">
        <v>536.79999999999995</v>
      </c>
    </row>
    <row r="171" spans="1:6" x14ac:dyDescent="0.25">
      <c r="A171" s="10" t="s">
        <v>64</v>
      </c>
      <c r="B171" s="11" t="s">
        <v>65</v>
      </c>
      <c r="C171" s="11" t="s">
        <v>17</v>
      </c>
      <c r="D171" s="12">
        <v>41685</v>
      </c>
      <c r="E171" s="12">
        <v>41686</v>
      </c>
      <c r="F171" s="13">
        <v>706.5</v>
      </c>
    </row>
    <row r="172" spans="1:6" x14ac:dyDescent="0.25">
      <c r="A172" s="6" t="s">
        <v>22</v>
      </c>
      <c r="B172" s="7" t="s">
        <v>23</v>
      </c>
      <c r="C172" s="7" t="s">
        <v>72</v>
      </c>
      <c r="D172" s="8">
        <v>41689</v>
      </c>
      <c r="E172" s="8">
        <v>41693</v>
      </c>
      <c r="F172" s="9">
        <v>1290.7</v>
      </c>
    </row>
    <row r="173" spans="1:6" x14ac:dyDescent="0.25">
      <c r="A173" s="10" t="s">
        <v>115</v>
      </c>
      <c r="B173" s="11" t="s">
        <v>153</v>
      </c>
      <c r="C173" s="11" t="s">
        <v>30</v>
      </c>
      <c r="D173" s="12">
        <v>41689</v>
      </c>
      <c r="E173" s="12">
        <v>41693</v>
      </c>
      <c r="F173" s="13">
        <v>688.5</v>
      </c>
    </row>
    <row r="174" spans="1:6" x14ac:dyDescent="0.25">
      <c r="A174" s="6" t="s">
        <v>131</v>
      </c>
      <c r="B174" s="7" t="s">
        <v>154</v>
      </c>
      <c r="C174" s="7" t="s">
        <v>27</v>
      </c>
      <c r="D174" s="8">
        <v>41689</v>
      </c>
      <c r="E174" s="8">
        <v>41690</v>
      </c>
      <c r="F174" s="9">
        <v>570</v>
      </c>
    </row>
    <row r="175" spans="1:6" x14ac:dyDescent="0.25">
      <c r="A175" s="10" t="s">
        <v>25</v>
      </c>
      <c r="B175" s="11" t="s">
        <v>67</v>
      </c>
      <c r="C175" s="11" t="s">
        <v>17</v>
      </c>
      <c r="D175" s="12">
        <v>41689</v>
      </c>
      <c r="E175" s="12">
        <v>41692</v>
      </c>
      <c r="F175" s="13">
        <v>1116.5</v>
      </c>
    </row>
    <row r="176" spans="1:6" x14ac:dyDescent="0.25">
      <c r="A176" s="6" t="s">
        <v>50</v>
      </c>
      <c r="B176" s="7" t="s">
        <v>51</v>
      </c>
      <c r="C176" s="7" t="s">
        <v>8</v>
      </c>
      <c r="D176" s="8">
        <v>41689</v>
      </c>
      <c r="E176" s="8">
        <v>41690</v>
      </c>
      <c r="F176" s="9">
        <v>891</v>
      </c>
    </row>
    <row r="177" spans="1:6" x14ac:dyDescent="0.25">
      <c r="A177" s="10" t="s">
        <v>70</v>
      </c>
      <c r="B177" s="11" t="s">
        <v>71</v>
      </c>
      <c r="C177" s="11" t="s">
        <v>38</v>
      </c>
      <c r="D177" s="12">
        <v>41689</v>
      </c>
      <c r="E177" s="12">
        <v>41692</v>
      </c>
      <c r="F177" s="13">
        <v>665.8</v>
      </c>
    </row>
    <row r="178" spans="1:6" x14ac:dyDescent="0.25">
      <c r="A178" s="6" t="s">
        <v>33</v>
      </c>
      <c r="B178" s="7" t="s">
        <v>41</v>
      </c>
      <c r="C178" s="7" t="s">
        <v>11</v>
      </c>
      <c r="D178" s="8">
        <v>41689</v>
      </c>
      <c r="E178" s="8">
        <v>41691</v>
      </c>
      <c r="F178" s="9">
        <v>434.4</v>
      </c>
    </row>
    <row r="179" spans="1:6" x14ac:dyDescent="0.25">
      <c r="A179" s="10" t="s">
        <v>9</v>
      </c>
      <c r="B179" s="11" t="s">
        <v>10</v>
      </c>
      <c r="C179" s="11" t="s">
        <v>24</v>
      </c>
      <c r="D179" s="12">
        <v>41689</v>
      </c>
      <c r="E179" s="12">
        <v>41691</v>
      </c>
      <c r="F179" s="13">
        <v>588.70000000000005</v>
      </c>
    </row>
    <row r="180" spans="1:6" x14ac:dyDescent="0.25">
      <c r="A180" s="6" t="s">
        <v>15</v>
      </c>
      <c r="B180" s="7" t="s">
        <v>105</v>
      </c>
      <c r="C180" s="7" t="s">
        <v>66</v>
      </c>
      <c r="D180" s="8">
        <v>41689</v>
      </c>
      <c r="E180" s="8">
        <v>41692</v>
      </c>
      <c r="F180" s="9">
        <v>841.7</v>
      </c>
    </row>
    <row r="181" spans="1:6" x14ac:dyDescent="0.25">
      <c r="A181" s="10" t="s">
        <v>73</v>
      </c>
      <c r="B181" s="11" t="s">
        <v>155</v>
      </c>
      <c r="C181" s="11" t="s">
        <v>19</v>
      </c>
      <c r="D181" s="12">
        <v>41689</v>
      </c>
      <c r="E181" s="12">
        <v>41690</v>
      </c>
      <c r="F181" s="13">
        <v>654.4</v>
      </c>
    </row>
    <row r="182" spans="1:6" x14ac:dyDescent="0.25">
      <c r="A182" s="6" t="s">
        <v>151</v>
      </c>
      <c r="B182" s="7" t="s">
        <v>152</v>
      </c>
      <c r="C182" s="7" t="s">
        <v>17</v>
      </c>
      <c r="D182" s="8">
        <v>41689</v>
      </c>
      <c r="E182" s="8">
        <v>41690</v>
      </c>
      <c r="F182" s="9">
        <v>706.5</v>
      </c>
    </row>
    <row r="183" spans="1:6" x14ac:dyDescent="0.25">
      <c r="A183" s="10" t="s">
        <v>156</v>
      </c>
      <c r="B183" s="11" t="s">
        <v>157</v>
      </c>
      <c r="C183" s="11" t="s">
        <v>17</v>
      </c>
      <c r="D183" s="12">
        <v>41689</v>
      </c>
      <c r="E183" s="12">
        <v>41693</v>
      </c>
      <c r="F183" s="13">
        <v>1321.5</v>
      </c>
    </row>
    <row r="184" spans="1:6" x14ac:dyDescent="0.25">
      <c r="A184" s="6" t="s">
        <v>158</v>
      </c>
      <c r="B184" s="7" t="s">
        <v>159</v>
      </c>
      <c r="C184" s="7" t="s">
        <v>24</v>
      </c>
      <c r="D184" s="8">
        <v>41689</v>
      </c>
      <c r="E184" s="8">
        <v>41693</v>
      </c>
      <c r="F184" s="9">
        <v>886.7</v>
      </c>
    </row>
    <row r="185" spans="1:6" x14ac:dyDescent="0.25">
      <c r="A185" s="10" t="s">
        <v>137</v>
      </c>
      <c r="B185" s="11" t="s">
        <v>138</v>
      </c>
      <c r="C185" s="11" t="s">
        <v>30</v>
      </c>
      <c r="D185" s="12">
        <v>41689</v>
      </c>
      <c r="E185" s="12">
        <v>41690</v>
      </c>
      <c r="F185" s="13">
        <v>331.5</v>
      </c>
    </row>
    <row r="186" spans="1:6" x14ac:dyDescent="0.25">
      <c r="A186" s="6" t="s">
        <v>12</v>
      </c>
      <c r="B186" s="7" t="s">
        <v>95</v>
      </c>
      <c r="C186" s="7" t="s">
        <v>8</v>
      </c>
      <c r="D186" s="8">
        <v>41689</v>
      </c>
      <c r="E186" s="8">
        <v>41690</v>
      </c>
      <c r="F186" s="9">
        <v>891</v>
      </c>
    </row>
    <row r="187" spans="1:6" x14ac:dyDescent="0.25">
      <c r="A187" s="10" t="s">
        <v>12</v>
      </c>
      <c r="B187" s="11" t="s">
        <v>95</v>
      </c>
      <c r="C187" s="11" t="s">
        <v>11</v>
      </c>
      <c r="D187" s="12">
        <v>41689</v>
      </c>
      <c r="E187" s="12">
        <v>41690</v>
      </c>
      <c r="F187" s="13">
        <v>295.39999999999998</v>
      </c>
    </row>
    <row r="188" spans="1:6" x14ac:dyDescent="0.25">
      <c r="A188" s="6" t="s">
        <v>15</v>
      </c>
      <c r="B188" s="7" t="s">
        <v>96</v>
      </c>
      <c r="C188" s="7" t="s">
        <v>27</v>
      </c>
      <c r="D188" s="8">
        <v>41689</v>
      </c>
      <c r="E188" s="8">
        <v>41692</v>
      </c>
      <c r="F188" s="9">
        <v>826</v>
      </c>
    </row>
    <row r="189" spans="1:6" x14ac:dyDescent="0.25">
      <c r="A189" s="10" t="s">
        <v>9</v>
      </c>
      <c r="B189" s="11" t="s">
        <v>18</v>
      </c>
      <c r="C189" s="11" t="s">
        <v>27</v>
      </c>
      <c r="D189" s="12">
        <v>41689</v>
      </c>
      <c r="E189" s="12">
        <v>41691</v>
      </c>
      <c r="F189" s="13">
        <v>698</v>
      </c>
    </row>
    <row r="190" spans="1:6" x14ac:dyDescent="0.25">
      <c r="A190" s="6" t="s">
        <v>64</v>
      </c>
      <c r="B190" s="7" t="s">
        <v>65</v>
      </c>
      <c r="C190" s="7" t="s">
        <v>47</v>
      </c>
      <c r="D190" s="8">
        <v>41689</v>
      </c>
      <c r="E190" s="8">
        <v>41689</v>
      </c>
      <c r="F190" s="9">
        <v>363.8</v>
      </c>
    </row>
    <row r="191" spans="1:6" x14ac:dyDescent="0.25">
      <c r="A191" s="10" t="s">
        <v>86</v>
      </c>
      <c r="B191" s="11" t="s">
        <v>136</v>
      </c>
      <c r="C191" s="11" t="s">
        <v>38</v>
      </c>
      <c r="D191" s="12">
        <v>41689</v>
      </c>
      <c r="E191" s="12">
        <v>41691</v>
      </c>
      <c r="F191" s="13">
        <v>536.79999999999995</v>
      </c>
    </row>
    <row r="192" spans="1:6" x14ac:dyDescent="0.25">
      <c r="A192" s="6" t="s">
        <v>131</v>
      </c>
      <c r="B192" s="7" t="s">
        <v>154</v>
      </c>
      <c r="C192" s="7" t="s">
        <v>8</v>
      </c>
      <c r="D192" s="8">
        <v>41692</v>
      </c>
      <c r="E192" s="8">
        <v>41692</v>
      </c>
      <c r="F192" s="9">
        <v>680</v>
      </c>
    </row>
    <row r="193" spans="1:6" x14ac:dyDescent="0.25">
      <c r="A193" s="10" t="s">
        <v>25</v>
      </c>
      <c r="B193" s="11" t="s">
        <v>68</v>
      </c>
      <c r="C193" s="11" t="s">
        <v>27</v>
      </c>
      <c r="D193" s="12">
        <v>41696</v>
      </c>
      <c r="E193" s="12">
        <v>41700</v>
      </c>
      <c r="F193" s="13">
        <v>954</v>
      </c>
    </row>
    <row r="194" spans="1:6" x14ac:dyDescent="0.25">
      <c r="A194" s="6" t="s">
        <v>73</v>
      </c>
      <c r="B194" s="7" t="s">
        <v>155</v>
      </c>
      <c r="C194" s="7" t="s">
        <v>19</v>
      </c>
      <c r="D194" s="8">
        <v>41696</v>
      </c>
      <c r="E194" s="8">
        <v>41698</v>
      </c>
      <c r="F194" s="9">
        <v>795.4</v>
      </c>
    </row>
    <row r="195" spans="1:6" x14ac:dyDescent="0.25">
      <c r="A195" s="10" t="s">
        <v>156</v>
      </c>
      <c r="B195" s="11" t="s">
        <v>157</v>
      </c>
      <c r="C195" s="11" t="s">
        <v>14</v>
      </c>
      <c r="D195" s="12">
        <v>41696</v>
      </c>
      <c r="E195" s="12">
        <v>41699</v>
      </c>
      <c r="F195" s="13">
        <v>550.5</v>
      </c>
    </row>
    <row r="196" spans="1:6" x14ac:dyDescent="0.25">
      <c r="A196" s="6" t="s">
        <v>137</v>
      </c>
      <c r="B196" s="7" t="s">
        <v>160</v>
      </c>
      <c r="C196" s="7" t="s">
        <v>24</v>
      </c>
      <c r="D196" s="8">
        <v>41696</v>
      </c>
      <c r="E196" s="8">
        <v>41697</v>
      </c>
      <c r="F196" s="9">
        <v>439.7</v>
      </c>
    </row>
    <row r="197" spans="1:6" x14ac:dyDescent="0.25">
      <c r="A197" s="10" t="s">
        <v>15</v>
      </c>
      <c r="B197" s="11" t="s">
        <v>16</v>
      </c>
      <c r="C197" s="11" t="s">
        <v>17</v>
      </c>
      <c r="D197" s="12">
        <v>41696</v>
      </c>
      <c r="E197" s="12">
        <v>41697</v>
      </c>
      <c r="F197" s="13">
        <v>706.5</v>
      </c>
    </row>
    <row r="198" spans="1:6" x14ac:dyDescent="0.25">
      <c r="A198" s="6" t="s">
        <v>91</v>
      </c>
      <c r="B198" s="7" t="s">
        <v>161</v>
      </c>
      <c r="C198" s="7" t="s">
        <v>66</v>
      </c>
      <c r="D198" s="8">
        <v>41696</v>
      </c>
      <c r="E198" s="8">
        <v>41697</v>
      </c>
      <c r="F198" s="9">
        <v>485.7</v>
      </c>
    </row>
    <row r="199" spans="1:6" x14ac:dyDescent="0.25">
      <c r="A199" s="10" t="s">
        <v>131</v>
      </c>
      <c r="B199" s="11" t="s">
        <v>154</v>
      </c>
      <c r="C199" s="11" t="s">
        <v>38</v>
      </c>
      <c r="D199" s="12">
        <v>41698</v>
      </c>
      <c r="E199" s="12">
        <v>41698</v>
      </c>
      <c r="F199" s="13">
        <v>278.8</v>
      </c>
    </row>
    <row r="200" spans="1:6" x14ac:dyDescent="0.25">
      <c r="A200" s="6" t="s">
        <v>15</v>
      </c>
      <c r="B200" s="7" t="s">
        <v>44</v>
      </c>
      <c r="C200" s="7" t="s">
        <v>72</v>
      </c>
      <c r="D200" s="8">
        <v>41701</v>
      </c>
      <c r="E200" s="8">
        <v>41702</v>
      </c>
      <c r="F200" s="9">
        <v>693.7</v>
      </c>
    </row>
    <row r="201" spans="1:6" x14ac:dyDescent="0.25">
      <c r="A201" s="10" t="s">
        <v>54</v>
      </c>
      <c r="B201" s="11" t="s">
        <v>55</v>
      </c>
      <c r="C201" s="11" t="s">
        <v>72</v>
      </c>
      <c r="D201" s="12">
        <v>41701</v>
      </c>
      <c r="E201" s="12">
        <v>41701</v>
      </c>
      <c r="F201" s="13">
        <v>494.7</v>
      </c>
    </row>
    <row r="202" spans="1:6" x14ac:dyDescent="0.25">
      <c r="A202" s="6" t="s">
        <v>99</v>
      </c>
      <c r="B202" s="7" t="s">
        <v>130</v>
      </c>
      <c r="C202" s="7" t="s">
        <v>17</v>
      </c>
      <c r="D202" s="8">
        <v>41701</v>
      </c>
      <c r="E202" s="8">
        <v>41703</v>
      </c>
      <c r="F202" s="9">
        <v>911.5</v>
      </c>
    </row>
    <row r="203" spans="1:6" x14ac:dyDescent="0.25">
      <c r="A203" s="10" t="s">
        <v>28</v>
      </c>
      <c r="B203" s="11" t="s">
        <v>29</v>
      </c>
      <c r="C203" s="11" t="s">
        <v>11</v>
      </c>
      <c r="D203" s="12">
        <v>41701</v>
      </c>
      <c r="E203" s="12">
        <v>41702</v>
      </c>
      <c r="F203" s="13">
        <v>295.39999999999998</v>
      </c>
    </row>
    <row r="204" spans="1:6" x14ac:dyDescent="0.25">
      <c r="A204" s="6" t="s">
        <v>73</v>
      </c>
      <c r="B204" s="7" t="s">
        <v>104</v>
      </c>
      <c r="C204" s="7" t="s">
        <v>11</v>
      </c>
      <c r="D204" s="8">
        <v>41701</v>
      </c>
      <c r="E204" s="8">
        <v>41705</v>
      </c>
      <c r="F204" s="9">
        <v>712.4</v>
      </c>
    </row>
    <row r="205" spans="1:6" x14ac:dyDescent="0.25">
      <c r="A205" s="10" t="s">
        <v>54</v>
      </c>
      <c r="B205" s="11" t="s">
        <v>121</v>
      </c>
      <c r="C205" s="11" t="s">
        <v>30</v>
      </c>
      <c r="D205" s="12">
        <v>41701</v>
      </c>
      <c r="E205" s="12">
        <v>41703</v>
      </c>
      <c r="F205" s="13">
        <v>450.5</v>
      </c>
    </row>
    <row r="206" spans="1:6" x14ac:dyDescent="0.25">
      <c r="A206" s="6" t="s">
        <v>73</v>
      </c>
      <c r="B206" s="7" t="s">
        <v>155</v>
      </c>
      <c r="C206" s="7" t="s">
        <v>14</v>
      </c>
      <c r="D206" s="8">
        <v>41701</v>
      </c>
      <c r="E206" s="8">
        <v>41704</v>
      </c>
      <c r="F206" s="9">
        <v>550.5</v>
      </c>
    </row>
    <row r="207" spans="1:6" x14ac:dyDescent="0.25">
      <c r="A207" s="10" t="s">
        <v>75</v>
      </c>
      <c r="B207" s="11" t="s">
        <v>88</v>
      </c>
      <c r="C207" s="11" t="s">
        <v>27</v>
      </c>
      <c r="D207" s="12">
        <v>41701</v>
      </c>
      <c r="E207" s="12">
        <v>41702</v>
      </c>
      <c r="F207" s="13">
        <v>570</v>
      </c>
    </row>
    <row r="208" spans="1:6" x14ac:dyDescent="0.25">
      <c r="A208" s="6" t="s">
        <v>137</v>
      </c>
      <c r="B208" s="7" t="s">
        <v>160</v>
      </c>
      <c r="C208" s="7" t="s">
        <v>27</v>
      </c>
      <c r="D208" s="8">
        <v>41701</v>
      </c>
      <c r="E208" s="8">
        <v>41703</v>
      </c>
      <c r="F208" s="9">
        <v>698</v>
      </c>
    </row>
    <row r="209" spans="1:6" x14ac:dyDescent="0.25">
      <c r="A209" s="10" t="s">
        <v>111</v>
      </c>
      <c r="B209" s="11" t="s">
        <v>112</v>
      </c>
      <c r="C209" s="11" t="s">
        <v>11</v>
      </c>
      <c r="D209" s="12">
        <v>41701</v>
      </c>
      <c r="E209" s="12">
        <v>41701</v>
      </c>
      <c r="F209" s="13">
        <v>156.4</v>
      </c>
    </row>
    <row r="210" spans="1:6" x14ac:dyDescent="0.25">
      <c r="A210" s="6" t="s">
        <v>89</v>
      </c>
      <c r="B210" s="7" t="s">
        <v>90</v>
      </c>
      <c r="C210" s="7" t="s">
        <v>8</v>
      </c>
      <c r="D210" s="8">
        <v>41701</v>
      </c>
      <c r="E210" s="8">
        <v>41705</v>
      </c>
      <c r="F210" s="9">
        <v>1524</v>
      </c>
    </row>
    <row r="211" spans="1:6" x14ac:dyDescent="0.25">
      <c r="A211" s="10" t="s">
        <v>20</v>
      </c>
      <c r="B211" s="11" t="s">
        <v>162</v>
      </c>
      <c r="C211" s="11" t="s">
        <v>47</v>
      </c>
      <c r="D211" s="12">
        <v>41701</v>
      </c>
      <c r="E211" s="12">
        <v>41705</v>
      </c>
      <c r="F211" s="13">
        <v>1015.8</v>
      </c>
    </row>
    <row r="212" spans="1:6" x14ac:dyDescent="0.25">
      <c r="A212" s="6" t="s">
        <v>137</v>
      </c>
      <c r="B212" s="7" t="s">
        <v>138</v>
      </c>
      <c r="C212" s="7" t="s">
        <v>17</v>
      </c>
      <c r="D212" s="8">
        <v>41701</v>
      </c>
      <c r="E212" s="8">
        <v>41703</v>
      </c>
      <c r="F212" s="9">
        <v>911.5</v>
      </c>
    </row>
    <row r="213" spans="1:6" x14ac:dyDescent="0.25">
      <c r="A213" s="10" t="s">
        <v>64</v>
      </c>
      <c r="B213" s="11" t="s">
        <v>65</v>
      </c>
      <c r="C213" s="11" t="s">
        <v>47</v>
      </c>
      <c r="D213" s="12">
        <v>41701</v>
      </c>
      <c r="E213" s="12">
        <v>41705</v>
      </c>
      <c r="F213" s="13">
        <v>1015.8</v>
      </c>
    </row>
    <row r="214" spans="1:6" x14ac:dyDescent="0.25">
      <c r="A214" s="6" t="s">
        <v>86</v>
      </c>
      <c r="B214" s="7" t="s">
        <v>136</v>
      </c>
      <c r="C214" s="7" t="s">
        <v>38</v>
      </c>
      <c r="D214" s="8">
        <v>41701</v>
      </c>
      <c r="E214" s="8">
        <v>41701</v>
      </c>
      <c r="F214" s="9">
        <v>278.8</v>
      </c>
    </row>
    <row r="215" spans="1:6" x14ac:dyDescent="0.25">
      <c r="A215" s="10" t="s">
        <v>20</v>
      </c>
      <c r="B215" s="11" t="s">
        <v>21</v>
      </c>
      <c r="C215" s="11" t="s">
        <v>14</v>
      </c>
      <c r="D215" s="12">
        <v>41701</v>
      </c>
      <c r="E215" s="12">
        <v>41704</v>
      </c>
      <c r="F215" s="13">
        <v>550.5</v>
      </c>
    </row>
    <row r="216" spans="1:6" x14ac:dyDescent="0.25">
      <c r="A216" s="6" t="s">
        <v>42</v>
      </c>
      <c r="B216" s="7" t="s">
        <v>43</v>
      </c>
      <c r="C216" s="7" t="s">
        <v>72</v>
      </c>
      <c r="D216" s="8">
        <v>41704</v>
      </c>
      <c r="E216" s="8">
        <v>41704</v>
      </c>
      <c r="F216" s="9">
        <v>494.7</v>
      </c>
    </row>
    <row r="217" spans="1:6" x14ac:dyDescent="0.25">
      <c r="A217" s="10" t="s">
        <v>111</v>
      </c>
      <c r="B217" s="11" t="s">
        <v>112</v>
      </c>
      <c r="C217" s="11" t="s">
        <v>30</v>
      </c>
      <c r="D217" s="12">
        <v>41704</v>
      </c>
      <c r="E217" s="12">
        <v>41704</v>
      </c>
      <c r="F217" s="13">
        <v>212.5</v>
      </c>
    </row>
    <row r="218" spans="1:6" x14ac:dyDescent="0.25">
      <c r="A218" s="6" t="s">
        <v>86</v>
      </c>
      <c r="B218" s="7" t="s">
        <v>136</v>
      </c>
      <c r="C218" s="7" t="s">
        <v>24</v>
      </c>
      <c r="D218" s="8">
        <v>41705</v>
      </c>
      <c r="E218" s="8">
        <v>41705</v>
      </c>
      <c r="F218" s="9">
        <v>290.7</v>
      </c>
    </row>
    <row r="219" spans="1:6" x14ac:dyDescent="0.25">
      <c r="A219" s="10" t="s">
        <v>57</v>
      </c>
      <c r="B219" s="11" t="s">
        <v>163</v>
      </c>
      <c r="C219" s="11" t="s">
        <v>27</v>
      </c>
      <c r="D219" s="12">
        <v>41707</v>
      </c>
      <c r="E219" s="12">
        <v>41710</v>
      </c>
      <c r="F219" s="13">
        <v>826</v>
      </c>
    </row>
    <row r="220" spans="1:6" x14ac:dyDescent="0.25">
      <c r="A220" s="6" t="s">
        <v>131</v>
      </c>
      <c r="B220" s="7" t="s">
        <v>154</v>
      </c>
      <c r="C220" s="7" t="s">
        <v>24</v>
      </c>
      <c r="D220" s="8">
        <v>41708</v>
      </c>
      <c r="E220" s="8">
        <v>41708</v>
      </c>
      <c r="F220" s="9">
        <v>290.7</v>
      </c>
    </row>
    <row r="221" spans="1:6" x14ac:dyDescent="0.25">
      <c r="A221" s="10" t="s">
        <v>99</v>
      </c>
      <c r="B221" s="11" t="s">
        <v>130</v>
      </c>
      <c r="C221" s="11" t="s">
        <v>30</v>
      </c>
      <c r="D221" s="12">
        <v>41708</v>
      </c>
      <c r="E221" s="12">
        <v>41710</v>
      </c>
      <c r="F221" s="13">
        <v>450.5</v>
      </c>
    </row>
    <row r="222" spans="1:6" x14ac:dyDescent="0.25">
      <c r="A222" s="6" t="s">
        <v>9</v>
      </c>
      <c r="B222" s="7" t="s">
        <v>10</v>
      </c>
      <c r="C222" s="7" t="s">
        <v>66</v>
      </c>
      <c r="D222" s="8">
        <v>41708</v>
      </c>
      <c r="E222" s="8">
        <v>41711</v>
      </c>
      <c r="F222" s="9">
        <v>841.7</v>
      </c>
    </row>
    <row r="223" spans="1:6" x14ac:dyDescent="0.25">
      <c r="A223" s="10" t="s">
        <v>164</v>
      </c>
      <c r="B223" s="11" t="s">
        <v>165</v>
      </c>
      <c r="C223" s="11" t="s">
        <v>14</v>
      </c>
      <c r="D223" s="12">
        <v>41708</v>
      </c>
      <c r="E223" s="12">
        <v>41710</v>
      </c>
      <c r="F223" s="13">
        <v>426.5</v>
      </c>
    </row>
    <row r="224" spans="1:6" x14ac:dyDescent="0.25">
      <c r="A224" s="6" t="s">
        <v>93</v>
      </c>
      <c r="B224" s="7" t="s">
        <v>94</v>
      </c>
      <c r="C224" s="7" t="s">
        <v>11</v>
      </c>
      <c r="D224" s="8">
        <v>41708</v>
      </c>
      <c r="E224" s="8">
        <v>41710</v>
      </c>
      <c r="F224" s="9">
        <v>434.4</v>
      </c>
    </row>
    <row r="225" spans="1:6" x14ac:dyDescent="0.25">
      <c r="A225" s="10" t="s">
        <v>54</v>
      </c>
      <c r="B225" s="11" t="s">
        <v>121</v>
      </c>
      <c r="C225" s="11" t="s">
        <v>47</v>
      </c>
      <c r="D225" s="12">
        <v>41709</v>
      </c>
      <c r="E225" s="12">
        <v>41709</v>
      </c>
      <c r="F225" s="13">
        <v>363.8</v>
      </c>
    </row>
    <row r="226" spans="1:6" x14ac:dyDescent="0.25">
      <c r="A226" s="6" t="s">
        <v>137</v>
      </c>
      <c r="B226" s="7" t="s">
        <v>138</v>
      </c>
      <c r="C226" s="7" t="s">
        <v>27</v>
      </c>
      <c r="D226" s="8">
        <v>41709</v>
      </c>
      <c r="E226" s="8">
        <v>41711</v>
      </c>
      <c r="F226" s="9">
        <v>698</v>
      </c>
    </row>
    <row r="227" spans="1:6" x14ac:dyDescent="0.25">
      <c r="A227" s="10" t="s">
        <v>137</v>
      </c>
      <c r="B227" s="11" t="s">
        <v>160</v>
      </c>
      <c r="C227" s="11" t="s">
        <v>66</v>
      </c>
      <c r="D227" s="12">
        <v>41710</v>
      </c>
      <c r="E227" s="12">
        <v>41710</v>
      </c>
      <c r="F227" s="13">
        <v>307.7</v>
      </c>
    </row>
    <row r="228" spans="1:6" x14ac:dyDescent="0.25">
      <c r="A228" s="6" t="s">
        <v>33</v>
      </c>
      <c r="B228" s="7" t="s">
        <v>141</v>
      </c>
      <c r="C228" s="7" t="s">
        <v>30</v>
      </c>
      <c r="D228" s="8">
        <v>41713</v>
      </c>
      <c r="E228" s="8">
        <v>41715</v>
      </c>
      <c r="F228" s="9">
        <v>450.5</v>
      </c>
    </row>
    <row r="229" spans="1:6" x14ac:dyDescent="0.25">
      <c r="A229" s="10" t="s">
        <v>6</v>
      </c>
      <c r="B229" s="11" t="s">
        <v>139</v>
      </c>
      <c r="C229" s="11" t="s">
        <v>19</v>
      </c>
      <c r="D229" s="12">
        <v>41713</v>
      </c>
      <c r="E229" s="12">
        <v>41717</v>
      </c>
      <c r="F229" s="13">
        <v>1077.4000000000001</v>
      </c>
    </row>
    <row r="230" spans="1:6" x14ac:dyDescent="0.25">
      <c r="A230" s="6" t="s">
        <v>15</v>
      </c>
      <c r="B230" s="7" t="s">
        <v>46</v>
      </c>
      <c r="C230" s="7" t="s">
        <v>38</v>
      </c>
      <c r="D230" s="8">
        <v>41713</v>
      </c>
      <c r="E230" s="8">
        <v>41714</v>
      </c>
      <c r="F230" s="9">
        <v>407.8</v>
      </c>
    </row>
    <row r="231" spans="1:6" x14ac:dyDescent="0.25">
      <c r="A231" s="10" t="s">
        <v>128</v>
      </c>
      <c r="B231" s="11" t="s">
        <v>129</v>
      </c>
      <c r="C231" s="11" t="s">
        <v>47</v>
      </c>
      <c r="D231" s="12">
        <v>41713</v>
      </c>
      <c r="E231" s="12">
        <v>41716</v>
      </c>
      <c r="F231" s="13">
        <v>852.8</v>
      </c>
    </row>
    <row r="232" spans="1:6" x14ac:dyDescent="0.25">
      <c r="A232" s="6" t="s">
        <v>131</v>
      </c>
      <c r="B232" s="7" t="s">
        <v>154</v>
      </c>
      <c r="C232" s="7" t="s">
        <v>27</v>
      </c>
      <c r="D232" s="8">
        <v>41713</v>
      </c>
      <c r="E232" s="8">
        <v>41715</v>
      </c>
      <c r="F232" s="9">
        <v>698</v>
      </c>
    </row>
    <row r="233" spans="1:6" x14ac:dyDescent="0.25">
      <c r="A233" s="10" t="s">
        <v>131</v>
      </c>
      <c r="B233" s="11" t="s">
        <v>142</v>
      </c>
      <c r="C233" s="11" t="s">
        <v>8</v>
      </c>
      <c r="D233" s="12">
        <v>41713</v>
      </c>
      <c r="E233" s="12">
        <v>41716</v>
      </c>
      <c r="F233" s="13">
        <v>1313</v>
      </c>
    </row>
    <row r="234" spans="1:6" x14ac:dyDescent="0.25">
      <c r="A234" s="6" t="s">
        <v>28</v>
      </c>
      <c r="B234" s="7" t="s">
        <v>60</v>
      </c>
      <c r="C234" s="7" t="s">
        <v>72</v>
      </c>
      <c r="D234" s="8">
        <v>41713</v>
      </c>
      <c r="E234" s="8">
        <v>41716</v>
      </c>
      <c r="F234" s="9">
        <v>1091.7</v>
      </c>
    </row>
    <row r="235" spans="1:6" x14ac:dyDescent="0.25">
      <c r="A235" s="10" t="s">
        <v>25</v>
      </c>
      <c r="B235" s="11" t="s">
        <v>68</v>
      </c>
      <c r="C235" s="11" t="s">
        <v>38</v>
      </c>
      <c r="D235" s="12">
        <v>41713</v>
      </c>
      <c r="E235" s="12">
        <v>41714</v>
      </c>
      <c r="F235" s="13">
        <v>407.8</v>
      </c>
    </row>
    <row r="236" spans="1:6" x14ac:dyDescent="0.25">
      <c r="A236" s="6" t="s">
        <v>33</v>
      </c>
      <c r="B236" s="7" t="s">
        <v>41</v>
      </c>
      <c r="C236" s="7" t="s">
        <v>72</v>
      </c>
      <c r="D236" s="8">
        <v>41713</v>
      </c>
      <c r="E236" s="8">
        <v>41717</v>
      </c>
      <c r="F236" s="9">
        <v>1290.7</v>
      </c>
    </row>
    <row r="237" spans="1:6" x14ac:dyDescent="0.25">
      <c r="A237" s="10" t="s">
        <v>9</v>
      </c>
      <c r="B237" s="11" t="s">
        <v>103</v>
      </c>
      <c r="C237" s="11" t="s">
        <v>27</v>
      </c>
      <c r="D237" s="12">
        <v>41713</v>
      </c>
      <c r="E237" s="12">
        <v>41717</v>
      </c>
      <c r="F237" s="13">
        <v>954</v>
      </c>
    </row>
    <row r="238" spans="1:6" x14ac:dyDescent="0.25">
      <c r="A238" s="6" t="s">
        <v>73</v>
      </c>
      <c r="B238" s="7" t="s">
        <v>104</v>
      </c>
      <c r="C238" s="7" t="s">
        <v>19</v>
      </c>
      <c r="D238" s="8">
        <v>41713</v>
      </c>
      <c r="E238" s="8">
        <v>41714</v>
      </c>
      <c r="F238" s="9">
        <v>654.4</v>
      </c>
    </row>
    <row r="239" spans="1:6" x14ac:dyDescent="0.25">
      <c r="A239" s="10" t="s">
        <v>73</v>
      </c>
      <c r="B239" s="11" t="s">
        <v>155</v>
      </c>
      <c r="C239" s="11" t="s">
        <v>27</v>
      </c>
      <c r="D239" s="12">
        <v>41713</v>
      </c>
      <c r="E239" s="12">
        <v>41713</v>
      </c>
      <c r="F239" s="13">
        <v>442</v>
      </c>
    </row>
    <row r="240" spans="1:6" x14ac:dyDescent="0.25">
      <c r="A240" s="6" t="s">
        <v>166</v>
      </c>
      <c r="B240" s="7" t="s">
        <v>167</v>
      </c>
      <c r="C240" s="7" t="s">
        <v>8</v>
      </c>
      <c r="D240" s="8">
        <v>41713</v>
      </c>
      <c r="E240" s="8">
        <v>41715</v>
      </c>
      <c r="F240" s="9">
        <v>1102</v>
      </c>
    </row>
    <row r="241" spans="1:6" x14ac:dyDescent="0.25">
      <c r="A241" s="10" t="s">
        <v>6</v>
      </c>
      <c r="B241" s="11" t="s">
        <v>45</v>
      </c>
      <c r="C241" s="11" t="s">
        <v>17</v>
      </c>
      <c r="D241" s="12">
        <v>41713</v>
      </c>
      <c r="E241" s="12">
        <v>41715</v>
      </c>
      <c r="F241" s="13">
        <v>911.5</v>
      </c>
    </row>
    <row r="242" spans="1:6" x14ac:dyDescent="0.25">
      <c r="A242" s="6" t="s">
        <v>15</v>
      </c>
      <c r="B242" s="7" t="s">
        <v>96</v>
      </c>
      <c r="C242" s="7" t="s">
        <v>17</v>
      </c>
      <c r="D242" s="8">
        <v>41713</v>
      </c>
      <c r="E242" s="8">
        <v>41717</v>
      </c>
      <c r="F242" s="9">
        <v>1321.5</v>
      </c>
    </row>
    <row r="243" spans="1:6" x14ac:dyDescent="0.25">
      <c r="A243" s="10" t="s">
        <v>9</v>
      </c>
      <c r="B243" s="11" t="s">
        <v>18</v>
      </c>
      <c r="C243" s="11" t="s">
        <v>72</v>
      </c>
      <c r="D243" s="12">
        <v>41713</v>
      </c>
      <c r="E243" s="12">
        <v>41716</v>
      </c>
      <c r="F243" s="13">
        <v>1091.7</v>
      </c>
    </row>
    <row r="244" spans="1:6" x14ac:dyDescent="0.25">
      <c r="A244" s="6" t="s">
        <v>82</v>
      </c>
      <c r="B244" s="7" t="s">
        <v>125</v>
      </c>
      <c r="C244" s="7" t="s">
        <v>47</v>
      </c>
      <c r="D244" s="8">
        <v>41715</v>
      </c>
      <c r="E244" s="8">
        <v>41717</v>
      </c>
      <c r="F244" s="9">
        <v>689.8</v>
      </c>
    </row>
    <row r="245" spans="1:6" x14ac:dyDescent="0.25">
      <c r="A245" s="10" t="s">
        <v>39</v>
      </c>
      <c r="B245" s="11" t="s">
        <v>40</v>
      </c>
      <c r="C245" s="11" t="s">
        <v>47</v>
      </c>
      <c r="D245" s="12">
        <v>41715</v>
      </c>
      <c r="E245" s="12">
        <v>41716</v>
      </c>
      <c r="F245" s="13">
        <v>526.79999999999995</v>
      </c>
    </row>
    <row r="246" spans="1:6" x14ac:dyDescent="0.25">
      <c r="A246" s="6" t="s">
        <v>15</v>
      </c>
      <c r="B246" s="7" t="s">
        <v>63</v>
      </c>
      <c r="C246" s="7" t="s">
        <v>66</v>
      </c>
      <c r="D246" s="8">
        <v>41715</v>
      </c>
      <c r="E246" s="8">
        <v>41716</v>
      </c>
      <c r="F246" s="9">
        <v>485.7</v>
      </c>
    </row>
    <row r="247" spans="1:6" x14ac:dyDescent="0.25">
      <c r="A247" s="10" t="s">
        <v>57</v>
      </c>
      <c r="B247" s="11" t="s">
        <v>58</v>
      </c>
      <c r="C247" s="11" t="s">
        <v>8</v>
      </c>
      <c r="D247" s="12">
        <v>41715</v>
      </c>
      <c r="E247" s="12">
        <v>41715</v>
      </c>
      <c r="F247" s="13">
        <v>680</v>
      </c>
    </row>
    <row r="248" spans="1:6" x14ac:dyDescent="0.25">
      <c r="A248" s="6" t="s">
        <v>61</v>
      </c>
      <c r="B248" s="7" t="s">
        <v>62</v>
      </c>
      <c r="C248" s="7" t="s">
        <v>72</v>
      </c>
      <c r="D248" s="8">
        <v>41716</v>
      </c>
      <c r="E248" s="8">
        <v>41716</v>
      </c>
      <c r="F248" s="9">
        <v>494.7</v>
      </c>
    </row>
    <row r="249" spans="1:6" x14ac:dyDescent="0.25">
      <c r="A249" s="10" t="s">
        <v>126</v>
      </c>
      <c r="B249" s="11" t="s">
        <v>127</v>
      </c>
      <c r="C249" s="11" t="s">
        <v>14</v>
      </c>
      <c r="D249" s="12">
        <v>41716</v>
      </c>
      <c r="E249" s="12">
        <v>41716</v>
      </c>
      <c r="F249" s="13">
        <v>178.5</v>
      </c>
    </row>
    <row r="250" spans="1:6" x14ac:dyDescent="0.25">
      <c r="A250" s="6" t="s">
        <v>12</v>
      </c>
      <c r="B250" s="7" t="s">
        <v>13</v>
      </c>
      <c r="C250" s="7" t="s">
        <v>30</v>
      </c>
      <c r="D250" s="8">
        <v>41716</v>
      </c>
      <c r="E250" s="8">
        <v>41717</v>
      </c>
      <c r="F250" s="9">
        <v>331.5</v>
      </c>
    </row>
    <row r="251" spans="1:6" x14ac:dyDescent="0.25">
      <c r="A251" s="10" t="s">
        <v>131</v>
      </c>
      <c r="B251" s="11" t="s">
        <v>142</v>
      </c>
      <c r="C251" s="11" t="s">
        <v>72</v>
      </c>
      <c r="D251" s="12">
        <v>41719</v>
      </c>
      <c r="E251" s="12">
        <v>41723</v>
      </c>
      <c r="F251" s="13">
        <v>1290.7</v>
      </c>
    </row>
    <row r="252" spans="1:6" x14ac:dyDescent="0.25">
      <c r="A252" s="6" t="s">
        <v>54</v>
      </c>
      <c r="B252" s="7" t="s">
        <v>133</v>
      </c>
      <c r="C252" s="7" t="s">
        <v>24</v>
      </c>
      <c r="D252" s="8">
        <v>41719</v>
      </c>
      <c r="E252" s="8">
        <v>41721</v>
      </c>
      <c r="F252" s="9">
        <v>588.70000000000005</v>
      </c>
    </row>
    <row r="253" spans="1:6" x14ac:dyDescent="0.25">
      <c r="A253" s="10" t="s">
        <v>25</v>
      </c>
      <c r="B253" s="11" t="s">
        <v>67</v>
      </c>
      <c r="C253" s="11" t="s">
        <v>72</v>
      </c>
      <c r="D253" s="12">
        <v>41719</v>
      </c>
      <c r="E253" s="12">
        <v>41723</v>
      </c>
      <c r="F253" s="13">
        <v>1290.7</v>
      </c>
    </row>
    <row r="254" spans="1:6" x14ac:dyDescent="0.25">
      <c r="A254" s="6" t="s">
        <v>70</v>
      </c>
      <c r="B254" s="7" t="s">
        <v>71</v>
      </c>
      <c r="C254" s="7" t="s">
        <v>11</v>
      </c>
      <c r="D254" s="8">
        <v>41719</v>
      </c>
      <c r="E254" s="8">
        <v>41720</v>
      </c>
      <c r="F254" s="9">
        <v>295.39999999999998</v>
      </c>
    </row>
    <row r="255" spans="1:6" x14ac:dyDescent="0.25">
      <c r="A255" s="10" t="s">
        <v>9</v>
      </c>
      <c r="B255" s="11" t="s">
        <v>69</v>
      </c>
      <c r="C255" s="11" t="s">
        <v>66</v>
      </c>
      <c r="D255" s="12">
        <v>41719</v>
      </c>
      <c r="E255" s="12">
        <v>41721</v>
      </c>
      <c r="F255" s="13">
        <v>663.7</v>
      </c>
    </row>
    <row r="256" spans="1:6" x14ac:dyDescent="0.25">
      <c r="A256" s="6" t="s">
        <v>113</v>
      </c>
      <c r="B256" s="7" t="s">
        <v>114</v>
      </c>
      <c r="C256" s="7" t="s">
        <v>59</v>
      </c>
      <c r="D256" s="8">
        <v>41719</v>
      </c>
      <c r="E256" s="8">
        <v>41720</v>
      </c>
      <c r="F256" s="9">
        <v>601</v>
      </c>
    </row>
    <row r="257" spans="1:6" x14ac:dyDescent="0.25">
      <c r="A257" s="10" t="s">
        <v>6</v>
      </c>
      <c r="B257" s="11" t="s">
        <v>56</v>
      </c>
      <c r="C257" s="11" t="s">
        <v>11</v>
      </c>
      <c r="D257" s="12">
        <v>41725</v>
      </c>
      <c r="E257" s="12">
        <v>41726</v>
      </c>
      <c r="F257" s="13">
        <v>295.39999999999998</v>
      </c>
    </row>
    <row r="258" spans="1:6" x14ac:dyDescent="0.25">
      <c r="A258" s="6" t="s">
        <v>33</v>
      </c>
      <c r="B258" s="7" t="s">
        <v>34</v>
      </c>
      <c r="C258" s="7" t="s">
        <v>72</v>
      </c>
      <c r="D258" s="8">
        <v>41725</v>
      </c>
      <c r="E258" s="8">
        <v>41729</v>
      </c>
      <c r="F258" s="9">
        <v>1290.7</v>
      </c>
    </row>
    <row r="259" spans="1:6" x14ac:dyDescent="0.25">
      <c r="A259" s="10" t="s">
        <v>134</v>
      </c>
      <c r="B259" s="11" t="s">
        <v>135</v>
      </c>
      <c r="C259" s="11" t="s">
        <v>38</v>
      </c>
      <c r="D259" s="12">
        <v>41725</v>
      </c>
      <c r="E259" s="12">
        <v>41729</v>
      </c>
      <c r="F259" s="13">
        <v>794.8</v>
      </c>
    </row>
    <row r="260" spans="1:6" x14ac:dyDescent="0.25">
      <c r="A260" s="6" t="s">
        <v>93</v>
      </c>
      <c r="B260" s="7" t="s">
        <v>94</v>
      </c>
      <c r="C260" s="7" t="s">
        <v>19</v>
      </c>
      <c r="D260" s="8">
        <v>41725</v>
      </c>
      <c r="E260" s="8">
        <v>41726</v>
      </c>
      <c r="F260" s="9">
        <v>654.4</v>
      </c>
    </row>
    <row r="261" spans="1:6" x14ac:dyDescent="0.25">
      <c r="A261" s="10" t="s">
        <v>137</v>
      </c>
      <c r="B261" s="11" t="s">
        <v>138</v>
      </c>
      <c r="C261" s="11" t="s">
        <v>72</v>
      </c>
      <c r="D261" s="12">
        <v>41725</v>
      </c>
      <c r="E261" s="12">
        <v>41726</v>
      </c>
      <c r="F261" s="13">
        <v>693.7</v>
      </c>
    </row>
    <row r="262" spans="1:6" x14ac:dyDescent="0.25">
      <c r="A262" s="6" t="s">
        <v>9</v>
      </c>
      <c r="B262" s="7" t="s">
        <v>18</v>
      </c>
      <c r="C262" s="7" t="s">
        <v>11</v>
      </c>
      <c r="D262" s="8">
        <v>41725</v>
      </c>
      <c r="E262" s="8">
        <v>41728</v>
      </c>
      <c r="F262" s="9">
        <v>573.4</v>
      </c>
    </row>
    <row r="263" spans="1:6" x14ac:dyDescent="0.25">
      <c r="A263" s="10" t="s">
        <v>115</v>
      </c>
      <c r="B263" s="11" t="s">
        <v>140</v>
      </c>
      <c r="C263" s="11" t="s">
        <v>38</v>
      </c>
      <c r="D263" s="12">
        <v>41731</v>
      </c>
      <c r="E263" s="12">
        <v>41733</v>
      </c>
      <c r="F263" s="13">
        <v>536.79999999999995</v>
      </c>
    </row>
    <row r="264" spans="1:6" x14ac:dyDescent="0.25">
      <c r="A264" s="6" t="s">
        <v>9</v>
      </c>
      <c r="B264" s="7" t="s">
        <v>103</v>
      </c>
      <c r="C264" s="7" t="s">
        <v>47</v>
      </c>
      <c r="D264" s="8">
        <v>41731</v>
      </c>
      <c r="E264" s="8">
        <v>41735</v>
      </c>
      <c r="F264" s="9">
        <v>1015.8</v>
      </c>
    </row>
    <row r="265" spans="1:6" x14ac:dyDescent="0.25">
      <c r="A265" s="10" t="s">
        <v>143</v>
      </c>
      <c r="B265" s="11" t="s">
        <v>144</v>
      </c>
      <c r="C265" s="11" t="s">
        <v>27</v>
      </c>
      <c r="D265" s="12">
        <v>41731</v>
      </c>
      <c r="E265" s="12">
        <v>41734</v>
      </c>
      <c r="F265" s="13">
        <v>826</v>
      </c>
    </row>
    <row r="266" spans="1:6" x14ac:dyDescent="0.25">
      <c r="A266" s="6" t="s">
        <v>147</v>
      </c>
      <c r="B266" s="7" t="s">
        <v>148</v>
      </c>
      <c r="C266" s="7" t="s">
        <v>17</v>
      </c>
      <c r="D266" s="8">
        <v>41731</v>
      </c>
      <c r="E266" s="8">
        <v>41735</v>
      </c>
      <c r="F266" s="9">
        <v>1321.5</v>
      </c>
    </row>
    <row r="267" spans="1:6" x14ac:dyDescent="0.25">
      <c r="A267" s="10" t="s">
        <v>166</v>
      </c>
      <c r="B267" s="11" t="s">
        <v>167</v>
      </c>
      <c r="C267" s="11" t="s">
        <v>72</v>
      </c>
      <c r="D267" s="12">
        <v>41731</v>
      </c>
      <c r="E267" s="12">
        <v>41733</v>
      </c>
      <c r="F267" s="13">
        <v>892.7</v>
      </c>
    </row>
    <row r="268" spans="1:6" x14ac:dyDescent="0.25">
      <c r="A268" s="6" t="s">
        <v>91</v>
      </c>
      <c r="B268" s="7" t="s">
        <v>161</v>
      </c>
      <c r="C268" s="7" t="s">
        <v>11</v>
      </c>
      <c r="D268" s="8">
        <v>41731</v>
      </c>
      <c r="E268" s="8">
        <v>41732</v>
      </c>
      <c r="F268" s="9">
        <v>295.39999999999998</v>
      </c>
    </row>
    <row r="269" spans="1:6" x14ac:dyDescent="0.25">
      <c r="A269" s="10" t="s">
        <v>137</v>
      </c>
      <c r="B269" s="11" t="s">
        <v>160</v>
      </c>
      <c r="C269" s="11" t="s">
        <v>38</v>
      </c>
      <c r="D269" s="12">
        <v>41732</v>
      </c>
      <c r="E269" s="12">
        <v>41736</v>
      </c>
      <c r="F269" s="13">
        <v>794.8</v>
      </c>
    </row>
    <row r="270" spans="1:6" x14ac:dyDescent="0.25">
      <c r="A270" s="6" t="s">
        <v>48</v>
      </c>
      <c r="B270" s="7" t="s">
        <v>49</v>
      </c>
      <c r="C270" s="7" t="s">
        <v>11</v>
      </c>
      <c r="D270" s="8">
        <v>41737</v>
      </c>
      <c r="E270" s="8">
        <v>41740</v>
      </c>
      <c r="F270" s="9">
        <v>573.4</v>
      </c>
    </row>
    <row r="271" spans="1:6" x14ac:dyDescent="0.25">
      <c r="A271" s="10" t="s">
        <v>15</v>
      </c>
      <c r="B271" s="11" t="s">
        <v>46</v>
      </c>
      <c r="C271" s="11" t="s">
        <v>59</v>
      </c>
      <c r="D271" s="12">
        <v>41737</v>
      </c>
      <c r="E271" s="12">
        <v>41739</v>
      </c>
      <c r="F271" s="13">
        <v>760</v>
      </c>
    </row>
    <row r="272" spans="1:6" x14ac:dyDescent="0.25">
      <c r="A272" s="6" t="s">
        <v>61</v>
      </c>
      <c r="B272" s="7" t="s">
        <v>62</v>
      </c>
      <c r="C272" s="7" t="s">
        <v>14</v>
      </c>
      <c r="D272" s="8">
        <v>41737</v>
      </c>
      <c r="E272" s="8">
        <v>41741</v>
      </c>
      <c r="F272" s="9">
        <v>674.5</v>
      </c>
    </row>
    <row r="273" spans="1:6" x14ac:dyDescent="0.25">
      <c r="A273" s="10" t="s">
        <v>12</v>
      </c>
      <c r="B273" s="11" t="s">
        <v>13</v>
      </c>
      <c r="C273" s="11" t="s">
        <v>14</v>
      </c>
      <c r="D273" s="12">
        <v>41737</v>
      </c>
      <c r="E273" s="12">
        <v>41740</v>
      </c>
      <c r="F273" s="13">
        <v>550.5</v>
      </c>
    </row>
    <row r="274" spans="1:6" x14ac:dyDescent="0.25">
      <c r="A274" s="6" t="s">
        <v>147</v>
      </c>
      <c r="B274" s="7" t="s">
        <v>148</v>
      </c>
      <c r="C274" s="7" t="s">
        <v>72</v>
      </c>
      <c r="D274" s="8">
        <v>41737</v>
      </c>
      <c r="E274" s="8">
        <v>41740</v>
      </c>
      <c r="F274" s="9">
        <v>1091.7</v>
      </c>
    </row>
    <row r="275" spans="1:6" x14ac:dyDescent="0.25">
      <c r="A275" s="10" t="s">
        <v>36</v>
      </c>
      <c r="B275" s="11" t="s">
        <v>37</v>
      </c>
      <c r="C275" s="11" t="s">
        <v>17</v>
      </c>
      <c r="D275" s="12">
        <v>41737</v>
      </c>
      <c r="E275" s="12">
        <v>41741</v>
      </c>
      <c r="F275" s="13">
        <v>1321.5</v>
      </c>
    </row>
    <row r="276" spans="1:6" x14ac:dyDescent="0.25">
      <c r="A276" s="6" t="s">
        <v>31</v>
      </c>
      <c r="B276" s="7" t="s">
        <v>78</v>
      </c>
      <c r="C276" s="7" t="s">
        <v>72</v>
      </c>
      <c r="D276" s="8">
        <v>41743</v>
      </c>
      <c r="E276" s="8">
        <v>41747</v>
      </c>
      <c r="F276" s="9">
        <v>1290.7</v>
      </c>
    </row>
    <row r="277" spans="1:6" x14ac:dyDescent="0.25">
      <c r="A277" s="10" t="s">
        <v>25</v>
      </c>
      <c r="B277" s="11" t="s">
        <v>67</v>
      </c>
      <c r="C277" s="11" t="s">
        <v>8</v>
      </c>
      <c r="D277" s="12">
        <v>41743</v>
      </c>
      <c r="E277" s="12">
        <v>41745</v>
      </c>
      <c r="F277" s="13">
        <v>1102</v>
      </c>
    </row>
    <row r="278" spans="1:6" x14ac:dyDescent="0.25">
      <c r="A278" s="6" t="s">
        <v>33</v>
      </c>
      <c r="B278" s="7" t="s">
        <v>41</v>
      </c>
      <c r="C278" s="7" t="s">
        <v>8</v>
      </c>
      <c r="D278" s="8">
        <v>41743</v>
      </c>
      <c r="E278" s="8">
        <v>41744</v>
      </c>
      <c r="F278" s="9">
        <v>891</v>
      </c>
    </row>
    <row r="279" spans="1:6" x14ac:dyDescent="0.25">
      <c r="A279" s="10" t="s">
        <v>54</v>
      </c>
      <c r="B279" s="11" t="s">
        <v>121</v>
      </c>
      <c r="C279" s="11" t="s">
        <v>8</v>
      </c>
      <c r="D279" s="12">
        <v>41743</v>
      </c>
      <c r="E279" s="12">
        <v>41746</v>
      </c>
      <c r="F279" s="13">
        <v>1313</v>
      </c>
    </row>
    <row r="280" spans="1:6" x14ac:dyDescent="0.25">
      <c r="A280" s="6" t="s">
        <v>111</v>
      </c>
      <c r="B280" s="7" t="s">
        <v>112</v>
      </c>
      <c r="C280" s="7" t="s">
        <v>17</v>
      </c>
      <c r="D280" s="8">
        <v>41743</v>
      </c>
      <c r="E280" s="8">
        <v>41744</v>
      </c>
      <c r="F280" s="9">
        <v>706.5</v>
      </c>
    </row>
    <row r="281" spans="1:6" x14ac:dyDescent="0.25">
      <c r="A281" s="10" t="s">
        <v>131</v>
      </c>
      <c r="B281" s="11" t="s">
        <v>132</v>
      </c>
      <c r="C281" s="11" t="s">
        <v>17</v>
      </c>
      <c r="D281" s="12">
        <v>41743</v>
      </c>
      <c r="E281" s="12">
        <v>41745</v>
      </c>
      <c r="F281" s="13">
        <v>911.5</v>
      </c>
    </row>
    <row r="282" spans="1:6" x14ac:dyDescent="0.25">
      <c r="A282" s="6" t="s">
        <v>9</v>
      </c>
      <c r="B282" s="7" t="s">
        <v>103</v>
      </c>
      <c r="C282" s="7" t="s">
        <v>19</v>
      </c>
      <c r="D282" s="8">
        <v>41747</v>
      </c>
      <c r="E282" s="8">
        <v>41747</v>
      </c>
      <c r="F282" s="9">
        <v>513.4</v>
      </c>
    </row>
    <row r="283" spans="1:6" x14ac:dyDescent="0.25">
      <c r="A283" s="10" t="s">
        <v>122</v>
      </c>
      <c r="B283" s="11" t="s">
        <v>123</v>
      </c>
      <c r="C283" s="11" t="s">
        <v>72</v>
      </c>
      <c r="D283" s="12">
        <v>41749</v>
      </c>
      <c r="E283" s="12">
        <v>41751</v>
      </c>
      <c r="F283" s="13">
        <v>892.7</v>
      </c>
    </row>
    <row r="284" spans="1:6" x14ac:dyDescent="0.25">
      <c r="A284" s="6" t="s">
        <v>15</v>
      </c>
      <c r="B284" s="7" t="s">
        <v>105</v>
      </c>
      <c r="C284" s="7" t="s">
        <v>47</v>
      </c>
      <c r="D284" s="8">
        <v>41749</v>
      </c>
      <c r="E284" s="8">
        <v>41750</v>
      </c>
      <c r="F284" s="9">
        <v>526.79999999999995</v>
      </c>
    </row>
    <row r="285" spans="1:6" x14ac:dyDescent="0.25">
      <c r="A285" s="10" t="s">
        <v>9</v>
      </c>
      <c r="B285" s="11" t="s">
        <v>103</v>
      </c>
      <c r="C285" s="11" t="s">
        <v>59</v>
      </c>
      <c r="D285" s="12">
        <v>41752</v>
      </c>
      <c r="E285" s="12">
        <v>41753</v>
      </c>
      <c r="F285" s="13">
        <v>601</v>
      </c>
    </row>
    <row r="286" spans="1:6" x14ac:dyDescent="0.25">
      <c r="A286" s="6" t="s">
        <v>75</v>
      </c>
      <c r="B286" s="7" t="s">
        <v>76</v>
      </c>
      <c r="C286" s="7" t="s">
        <v>47</v>
      </c>
      <c r="D286" s="8">
        <v>41752</v>
      </c>
      <c r="E286" s="8">
        <v>41753</v>
      </c>
      <c r="F286" s="9">
        <v>526.79999999999995</v>
      </c>
    </row>
    <row r="287" spans="1:6" x14ac:dyDescent="0.25">
      <c r="A287" s="10" t="s">
        <v>131</v>
      </c>
      <c r="B287" s="11" t="s">
        <v>132</v>
      </c>
      <c r="C287" s="11" t="s">
        <v>38</v>
      </c>
      <c r="D287" s="12">
        <v>41753</v>
      </c>
      <c r="E287" s="12">
        <v>41753</v>
      </c>
      <c r="F287" s="13">
        <v>278.8</v>
      </c>
    </row>
    <row r="288" spans="1:6" x14ac:dyDescent="0.25">
      <c r="A288" s="6" t="s">
        <v>28</v>
      </c>
      <c r="B288" s="7" t="s">
        <v>60</v>
      </c>
      <c r="C288" s="7" t="s">
        <v>38</v>
      </c>
      <c r="D288" s="8">
        <v>41755</v>
      </c>
      <c r="E288" s="8">
        <v>41759</v>
      </c>
      <c r="F288" s="9">
        <v>794.8</v>
      </c>
    </row>
    <row r="289" spans="1:6" x14ac:dyDescent="0.25">
      <c r="A289" s="10" t="s">
        <v>25</v>
      </c>
      <c r="B289" s="11" t="s">
        <v>26</v>
      </c>
      <c r="C289" s="11" t="s">
        <v>59</v>
      </c>
      <c r="D289" s="12">
        <v>41755</v>
      </c>
      <c r="E289" s="12">
        <v>41758</v>
      </c>
      <c r="F289" s="13">
        <v>919</v>
      </c>
    </row>
    <row r="290" spans="1:6" x14ac:dyDescent="0.25">
      <c r="A290" s="6" t="s">
        <v>168</v>
      </c>
      <c r="B290" s="7" t="s">
        <v>169</v>
      </c>
      <c r="C290" s="7" t="s">
        <v>11</v>
      </c>
      <c r="D290" s="8">
        <v>41755</v>
      </c>
      <c r="E290" s="8">
        <v>41756</v>
      </c>
      <c r="F290" s="9">
        <v>295.39999999999998</v>
      </c>
    </row>
    <row r="291" spans="1:6" x14ac:dyDescent="0.25">
      <c r="A291" s="10" t="s">
        <v>25</v>
      </c>
      <c r="B291" s="11" t="s">
        <v>35</v>
      </c>
      <c r="C291" s="11" t="s">
        <v>47</v>
      </c>
      <c r="D291" s="12">
        <v>41755</v>
      </c>
      <c r="E291" s="12">
        <v>41756</v>
      </c>
      <c r="F291" s="13">
        <v>526.79999999999995</v>
      </c>
    </row>
    <row r="292" spans="1:6" x14ac:dyDescent="0.25">
      <c r="A292" s="6" t="s">
        <v>113</v>
      </c>
      <c r="B292" s="7" t="s">
        <v>114</v>
      </c>
      <c r="C292" s="7" t="s">
        <v>19</v>
      </c>
      <c r="D292" s="8">
        <v>41755</v>
      </c>
      <c r="E292" s="8">
        <v>41758</v>
      </c>
      <c r="F292" s="9">
        <v>936.4</v>
      </c>
    </row>
    <row r="293" spans="1:6" x14ac:dyDescent="0.25">
      <c r="A293" s="10" t="s">
        <v>91</v>
      </c>
      <c r="B293" s="11" t="s">
        <v>92</v>
      </c>
      <c r="C293" s="11" t="s">
        <v>11</v>
      </c>
      <c r="D293" s="12">
        <v>41755</v>
      </c>
      <c r="E293" s="12">
        <v>41755</v>
      </c>
      <c r="F293" s="13">
        <v>156.4</v>
      </c>
    </row>
    <row r="294" spans="1:6" x14ac:dyDescent="0.25">
      <c r="A294" s="6" t="s">
        <v>6</v>
      </c>
      <c r="B294" s="7" t="s">
        <v>139</v>
      </c>
      <c r="C294" s="7" t="s">
        <v>17</v>
      </c>
      <c r="D294" s="8">
        <v>41757</v>
      </c>
      <c r="E294" s="8">
        <v>41758</v>
      </c>
      <c r="F294" s="9">
        <v>706.5</v>
      </c>
    </row>
    <row r="295" spans="1:6" x14ac:dyDescent="0.25">
      <c r="A295" s="10" t="s">
        <v>28</v>
      </c>
      <c r="B295" s="11" t="s">
        <v>29</v>
      </c>
      <c r="C295" s="11" t="s">
        <v>19</v>
      </c>
      <c r="D295" s="12">
        <v>41761</v>
      </c>
      <c r="E295" s="12">
        <v>41765</v>
      </c>
      <c r="F295" s="13">
        <v>1077.4000000000001</v>
      </c>
    </row>
    <row r="296" spans="1:6" x14ac:dyDescent="0.25">
      <c r="A296" s="6" t="s">
        <v>31</v>
      </c>
      <c r="B296" s="7" t="s">
        <v>32</v>
      </c>
      <c r="C296" s="7" t="s">
        <v>14</v>
      </c>
      <c r="D296" s="8">
        <v>41761</v>
      </c>
      <c r="E296" s="8">
        <v>41763</v>
      </c>
      <c r="F296" s="9">
        <v>426.5</v>
      </c>
    </row>
    <row r="297" spans="1:6" x14ac:dyDescent="0.25">
      <c r="A297" s="10" t="s">
        <v>97</v>
      </c>
      <c r="B297" s="11" t="s">
        <v>98</v>
      </c>
      <c r="C297" s="11" t="s">
        <v>17</v>
      </c>
      <c r="D297" s="12">
        <v>41761</v>
      </c>
      <c r="E297" s="12">
        <v>41762</v>
      </c>
      <c r="F297" s="13">
        <v>706.5</v>
      </c>
    </row>
    <row r="298" spans="1:6" x14ac:dyDescent="0.25">
      <c r="A298" s="6" t="s">
        <v>22</v>
      </c>
      <c r="B298" s="7" t="s">
        <v>23</v>
      </c>
      <c r="C298" s="7" t="s">
        <v>19</v>
      </c>
      <c r="D298" s="8">
        <v>41764</v>
      </c>
      <c r="E298" s="8">
        <v>41765</v>
      </c>
      <c r="F298" s="9">
        <v>654.4</v>
      </c>
    </row>
    <row r="299" spans="1:6" x14ac:dyDescent="0.25">
      <c r="A299" s="10" t="s">
        <v>15</v>
      </c>
      <c r="B299" s="11" t="s">
        <v>44</v>
      </c>
      <c r="C299" s="11" t="s">
        <v>24</v>
      </c>
      <c r="D299" s="12">
        <v>41764</v>
      </c>
      <c r="E299" s="12">
        <v>41764</v>
      </c>
      <c r="F299" s="13">
        <v>290.7</v>
      </c>
    </row>
    <row r="300" spans="1:6" x14ac:dyDescent="0.25">
      <c r="A300" s="6" t="s">
        <v>166</v>
      </c>
      <c r="B300" s="7" t="s">
        <v>167</v>
      </c>
      <c r="C300" s="7" t="s">
        <v>27</v>
      </c>
      <c r="D300" s="8">
        <v>41765</v>
      </c>
      <c r="E300" s="8">
        <v>41766</v>
      </c>
      <c r="F300" s="9">
        <v>570</v>
      </c>
    </row>
    <row r="301" spans="1:6" x14ac:dyDescent="0.25">
      <c r="A301" s="10" t="s">
        <v>82</v>
      </c>
      <c r="B301" s="11" t="s">
        <v>83</v>
      </c>
      <c r="C301" s="11" t="s">
        <v>17</v>
      </c>
      <c r="D301" s="12">
        <v>41767</v>
      </c>
      <c r="E301" s="12">
        <v>41770</v>
      </c>
      <c r="F301" s="13">
        <v>1116.5</v>
      </c>
    </row>
    <row r="302" spans="1:6" x14ac:dyDescent="0.25">
      <c r="A302" s="6" t="s">
        <v>84</v>
      </c>
      <c r="B302" s="7" t="s">
        <v>85</v>
      </c>
      <c r="C302" s="7" t="s">
        <v>8</v>
      </c>
      <c r="D302" s="8">
        <v>41767</v>
      </c>
      <c r="E302" s="8">
        <v>41769</v>
      </c>
      <c r="F302" s="9">
        <v>1102</v>
      </c>
    </row>
    <row r="303" spans="1:6" x14ac:dyDescent="0.25">
      <c r="A303" s="10" t="s">
        <v>99</v>
      </c>
      <c r="B303" s="11" t="s">
        <v>130</v>
      </c>
      <c r="C303" s="11" t="s">
        <v>14</v>
      </c>
      <c r="D303" s="12">
        <v>41767</v>
      </c>
      <c r="E303" s="12">
        <v>41768</v>
      </c>
      <c r="F303" s="13">
        <v>302.5</v>
      </c>
    </row>
    <row r="304" spans="1:6" x14ac:dyDescent="0.25">
      <c r="A304" s="6" t="s">
        <v>73</v>
      </c>
      <c r="B304" s="7" t="s">
        <v>74</v>
      </c>
      <c r="C304" s="7" t="s">
        <v>11</v>
      </c>
      <c r="D304" s="8">
        <v>41767</v>
      </c>
      <c r="E304" s="8">
        <v>41770</v>
      </c>
      <c r="F304" s="9">
        <v>573.4</v>
      </c>
    </row>
    <row r="305" spans="1:6" x14ac:dyDescent="0.25">
      <c r="A305" s="10" t="s">
        <v>36</v>
      </c>
      <c r="B305" s="11" t="s">
        <v>37</v>
      </c>
      <c r="C305" s="11" t="s">
        <v>19</v>
      </c>
      <c r="D305" s="12">
        <v>41767</v>
      </c>
      <c r="E305" s="12">
        <v>41770</v>
      </c>
      <c r="F305" s="13">
        <v>936.4</v>
      </c>
    </row>
    <row r="306" spans="1:6" x14ac:dyDescent="0.25">
      <c r="A306" s="6" t="s">
        <v>75</v>
      </c>
      <c r="B306" s="7" t="s">
        <v>76</v>
      </c>
      <c r="C306" s="7" t="s">
        <v>66</v>
      </c>
      <c r="D306" s="8">
        <v>41767</v>
      </c>
      <c r="E306" s="8">
        <v>41771</v>
      </c>
      <c r="F306" s="9">
        <v>1019.7</v>
      </c>
    </row>
    <row r="307" spans="1:6" x14ac:dyDescent="0.25">
      <c r="A307" s="10" t="s">
        <v>122</v>
      </c>
      <c r="B307" s="11" t="s">
        <v>123</v>
      </c>
      <c r="C307" s="11" t="s">
        <v>11</v>
      </c>
      <c r="D307" s="12">
        <v>41773</v>
      </c>
      <c r="E307" s="12">
        <v>41776</v>
      </c>
      <c r="F307" s="13">
        <v>573.4</v>
      </c>
    </row>
    <row r="308" spans="1:6" x14ac:dyDescent="0.25">
      <c r="A308" s="6" t="s">
        <v>15</v>
      </c>
      <c r="B308" s="7" t="s">
        <v>46</v>
      </c>
      <c r="C308" s="7" t="s">
        <v>24</v>
      </c>
      <c r="D308" s="8">
        <v>41773</v>
      </c>
      <c r="E308" s="8">
        <v>41777</v>
      </c>
      <c r="F308" s="9">
        <v>886.7</v>
      </c>
    </row>
    <row r="309" spans="1:6" x14ac:dyDescent="0.25">
      <c r="A309" s="10" t="s">
        <v>25</v>
      </c>
      <c r="B309" s="11" t="s">
        <v>67</v>
      </c>
      <c r="C309" s="11" t="s">
        <v>19</v>
      </c>
      <c r="D309" s="12">
        <v>41773</v>
      </c>
      <c r="E309" s="12">
        <v>41777</v>
      </c>
      <c r="F309" s="13">
        <v>1077.4000000000001</v>
      </c>
    </row>
    <row r="310" spans="1:6" x14ac:dyDescent="0.25">
      <c r="A310" s="6" t="s">
        <v>28</v>
      </c>
      <c r="B310" s="7" t="s">
        <v>60</v>
      </c>
      <c r="C310" s="7" t="s">
        <v>24</v>
      </c>
      <c r="D310" s="8">
        <v>41773</v>
      </c>
      <c r="E310" s="8">
        <v>41774</v>
      </c>
      <c r="F310" s="9">
        <v>439.7</v>
      </c>
    </row>
    <row r="311" spans="1:6" x14ac:dyDescent="0.25">
      <c r="A311" s="10" t="s">
        <v>31</v>
      </c>
      <c r="B311" s="11" t="s">
        <v>32</v>
      </c>
      <c r="C311" s="11" t="s">
        <v>24</v>
      </c>
      <c r="D311" s="12">
        <v>41773</v>
      </c>
      <c r="E311" s="12">
        <v>41775</v>
      </c>
      <c r="F311" s="13">
        <v>588.70000000000005</v>
      </c>
    </row>
    <row r="312" spans="1:6" x14ac:dyDescent="0.25">
      <c r="A312" s="6" t="s">
        <v>137</v>
      </c>
      <c r="B312" s="7" t="s">
        <v>160</v>
      </c>
      <c r="C312" s="7" t="s">
        <v>38</v>
      </c>
      <c r="D312" s="8">
        <v>41773</v>
      </c>
      <c r="E312" s="8">
        <v>41774</v>
      </c>
      <c r="F312" s="9">
        <v>407.8</v>
      </c>
    </row>
    <row r="313" spans="1:6" x14ac:dyDescent="0.25">
      <c r="A313" s="10" t="s">
        <v>31</v>
      </c>
      <c r="B313" s="11" t="s">
        <v>77</v>
      </c>
      <c r="C313" s="11" t="s">
        <v>24</v>
      </c>
      <c r="D313" s="12">
        <v>41773</v>
      </c>
      <c r="E313" s="12">
        <v>41775</v>
      </c>
      <c r="F313" s="13">
        <v>588.70000000000005</v>
      </c>
    </row>
    <row r="314" spans="1:6" x14ac:dyDescent="0.25">
      <c r="A314" s="6" t="s">
        <v>33</v>
      </c>
      <c r="B314" s="7" t="s">
        <v>41</v>
      </c>
      <c r="C314" s="7" t="s">
        <v>72</v>
      </c>
      <c r="D314" s="8">
        <v>41779</v>
      </c>
      <c r="E314" s="8">
        <v>41780</v>
      </c>
      <c r="F314" s="9">
        <v>693.7</v>
      </c>
    </row>
    <row r="315" spans="1:6" x14ac:dyDescent="0.25">
      <c r="A315" s="10" t="s">
        <v>15</v>
      </c>
      <c r="B315" s="11" t="s">
        <v>105</v>
      </c>
      <c r="C315" s="11" t="s">
        <v>14</v>
      </c>
      <c r="D315" s="12">
        <v>41779</v>
      </c>
      <c r="E315" s="12">
        <v>41783</v>
      </c>
      <c r="F315" s="13">
        <v>674.5</v>
      </c>
    </row>
    <row r="316" spans="1:6" x14ac:dyDescent="0.25">
      <c r="A316" s="6" t="s">
        <v>151</v>
      </c>
      <c r="B316" s="7" t="s">
        <v>152</v>
      </c>
      <c r="C316" s="7" t="s">
        <v>30</v>
      </c>
      <c r="D316" s="8">
        <v>41779</v>
      </c>
      <c r="E316" s="8">
        <v>41782</v>
      </c>
      <c r="F316" s="9">
        <v>569.5</v>
      </c>
    </row>
    <row r="317" spans="1:6" x14ac:dyDescent="0.25">
      <c r="A317" s="10" t="s">
        <v>166</v>
      </c>
      <c r="B317" s="11" t="s">
        <v>167</v>
      </c>
      <c r="C317" s="11" t="s">
        <v>27</v>
      </c>
      <c r="D317" s="12">
        <v>41779</v>
      </c>
      <c r="E317" s="12">
        <v>41782</v>
      </c>
      <c r="F317" s="13">
        <v>826</v>
      </c>
    </row>
    <row r="318" spans="1:6" x14ac:dyDescent="0.25">
      <c r="A318" s="6" t="s">
        <v>158</v>
      </c>
      <c r="B318" s="7" t="s">
        <v>159</v>
      </c>
      <c r="C318" s="7" t="s">
        <v>24</v>
      </c>
      <c r="D318" s="8">
        <v>41779</v>
      </c>
      <c r="E318" s="8">
        <v>41783</v>
      </c>
      <c r="F318" s="9">
        <v>886.7</v>
      </c>
    </row>
    <row r="319" spans="1:6" x14ac:dyDescent="0.25">
      <c r="A319" s="10" t="s">
        <v>91</v>
      </c>
      <c r="B319" s="11" t="s">
        <v>92</v>
      </c>
      <c r="C319" s="11" t="s">
        <v>66</v>
      </c>
      <c r="D319" s="12">
        <v>41779</v>
      </c>
      <c r="E319" s="12">
        <v>41782</v>
      </c>
      <c r="F319" s="13">
        <v>841.7</v>
      </c>
    </row>
    <row r="320" spans="1:6" x14ac:dyDescent="0.25">
      <c r="A320" s="6" t="s">
        <v>15</v>
      </c>
      <c r="B320" s="7" t="s">
        <v>44</v>
      </c>
      <c r="C320" s="7" t="s">
        <v>72</v>
      </c>
      <c r="D320" s="8">
        <v>41785</v>
      </c>
      <c r="E320" s="8">
        <v>41787</v>
      </c>
      <c r="F320" s="9">
        <v>892.7</v>
      </c>
    </row>
    <row r="321" spans="1:6" x14ac:dyDescent="0.25">
      <c r="A321" s="10" t="s">
        <v>131</v>
      </c>
      <c r="B321" s="11" t="s">
        <v>154</v>
      </c>
      <c r="C321" s="11" t="s">
        <v>66</v>
      </c>
      <c r="D321" s="12">
        <v>41785</v>
      </c>
      <c r="E321" s="12">
        <v>41789</v>
      </c>
      <c r="F321" s="13">
        <v>1019.7</v>
      </c>
    </row>
    <row r="322" spans="1:6" x14ac:dyDescent="0.25">
      <c r="A322" s="6" t="s">
        <v>79</v>
      </c>
      <c r="B322" s="7" t="s">
        <v>80</v>
      </c>
      <c r="C322" s="7" t="s">
        <v>11</v>
      </c>
      <c r="D322" s="8">
        <v>41785</v>
      </c>
      <c r="E322" s="8">
        <v>41787</v>
      </c>
      <c r="F322" s="9">
        <v>434.4</v>
      </c>
    </row>
    <row r="323" spans="1:6" x14ac:dyDescent="0.25">
      <c r="A323" s="10" t="s">
        <v>57</v>
      </c>
      <c r="B323" s="11" t="s">
        <v>163</v>
      </c>
      <c r="C323" s="11" t="s">
        <v>59</v>
      </c>
      <c r="D323" s="12">
        <v>41785</v>
      </c>
      <c r="E323" s="12">
        <v>41788</v>
      </c>
      <c r="F323" s="13">
        <v>919</v>
      </c>
    </row>
    <row r="324" spans="1:6" x14ac:dyDescent="0.25">
      <c r="A324" s="6" t="s">
        <v>25</v>
      </c>
      <c r="B324" s="7" t="s">
        <v>26</v>
      </c>
      <c r="C324" s="7" t="s">
        <v>59</v>
      </c>
      <c r="D324" s="8">
        <v>41785</v>
      </c>
      <c r="E324" s="8">
        <v>41788</v>
      </c>
      <c r="F324" s="9">
        <v>919</v>
      </c>
    </row>
    <row r="325" spans="1:6" x14ac:dyDescent="0.25">
      <c r="A325" s="10" t="s">
        <v>36</v>
      </c>
      <c r="B325" s="11" t="s">
        <v>37</v>
      </c>
      <c r="C325" s="11" t="s">
        <v>59</v>
      </c>
      <c r="D325" s="12">
        <v>41785</v>
      </c>
      <c r="E325" s="12">
        <v>41787</v>
      </c>
      <c r="F325" s="13">
        <v>760</v>
      </c>
    </row>
    <row r="326" spans="1:6" x14ac:dyDescent="0.25">
      <c r="A326" s="6" t="s">
        <v>15</v>
      </c>
      <c r="B326" s="7" t="s">
        <v>44</v>
      </c>
      <c r="C326" s="7" t="s">
        <v>19</v>
      </c>
      <c r="D326" s="8">
        <v>41791</v>
      </c>
      <c r="E326" s="8">
        <v>41794</v>
      </c>
      <c r="F326" s="9">
        <v>936.4</v>
      </c>
    </row>
    <row r="327" spans="1:6" x14ac:dyDescent="0.25">
      <c r="A327" s="10" t="s">
        <v>115</v>
      </c>
      <c r="B327" s="11" t="s">
        <v>153</v>
      </c>
      <c r="C327" s="11" t="s">
        <v>24</v>
      </c>
      <c r="D327" s="12">
        <v>41791</v>
      </c>
      <c r="E327" s="12">
        <v>41794</v>
      </c>
      <c r="F327" s="13">
        <v>737.7</v>
      </c>
    </row>
    <row r="328" spans="1:6" x14ac:dyDescent="0.25">
      <c r="A328" s="6" t="s">
        <v>93</v>
      </c>
      <c r="B328" s="7" t="s">
        <v>124</v>
      </c>
      <c r="C328" s="7" t="s">
        <v>24</v>
      </c>
      <c r="D328" s="8">
        <v>41791</v>
      </c>
      <c r="E328" s="8">
        <v>41795</v>
      </c>
      <c r="F328" s="9">
        <v>886.7</v>
      </c>
    </row>
    <row r="329" spans="1:6" x14ac:dyDescent="0.25">
      <c r="A329" s="10" t="s">
        <v>25</v>
      </c>
      <c r="B329" s="11" t="s">
        <v>67</v>
      </c>
      <c r="C329" s="11" t="s">
        <v>30</v>
      </c>
      <c r="D329" s="12">
        <v>41791</v>
      </c>
      <c r="E329" s="12">
        <v>41793</v>
      </c>
      <c r="F329" s="13">
        <v>450.5</v>
      </c>
    </row>
    <row r="330" spans="1:6" x14ac:dyDescent="0.25">
      <c r="A330" s="6" t="s">
        <v>84</v>
      </c>
      <c r="B330" s="7" t="s">
        <v>85</v>
      </c>
      <c r="C330" s="7" t="s">
        <v>19</v>
      </c>
      <c r="D330" s="8">
        <v>41791</v>
      </c>
      <c r="E330" s="8">
        <v>41794</v>
      </c>
      <c r="F330" s="9">
        <v>936.4</v>
      </c>
    </row>
    <row r="331" spans="1:6" x14ac:dyDescent="0.25">
      <c r="A331" s="10" t="s">
        <v>134</v>
      </c>
      <c r="B331" s="11" t="s">
        <v>149</v>
      </c>
      <c r="C331" s="11" t="s">
        <v>24</v>
      </c>
      <c r="D331" s="12">
        <v>41791</v>
      </c>
      <c r="E331" s="12">
        <v>41793</v>
      </c>
      <c r="F331" s="13">
        <v>588.70000000000005</v>
      </c>
    </row>
    <row r="332" spans="1:6" x14ac:dyDescent="0.25">
      <c r="A332" s="6" t="s">
        <v>15</v>
      </c>
      <c r="B332" s="7" t="s">
        <v>96</v>
      </c>
      <c r="C332" s="7" t="s">
        <v>59</v>
      </c>
      <c r="D332" s="8">
        <v>41791</v>
      </c>
      <c r="E332" s="8">
        <v>41793</v>
      </c>
      <c r="F332" s="9">
        <v>760</v>
      </c>
    </row>
    <row r="333" spans="1:6" x14ac:dyDescent="0.25">
      <c r="A333" s="10" t="s">
        <v>28</v>
      </c>
      <c r="B333" s="11" t="s">
        <v>60</v>
      </c>
      <c r="C333" s="11" t="s">
        <v>30</v>
      </c>
      <c r="D333" s="12">
        <v>41792</v>
      </c>
      <c r="E333" s="12">
        <v>41792</v>
      </c>
      <c r="F333" s="13">
        <v>212.5</v>
      </c>
    </row>
    <row r="334" spans="1:6" x14ac:dyDescent="0.25">
      <c r="A334" s="6" t="s">
        <v>25</v>
      </c>
      <c r="B334" s="7" t="s">
        <v>26</v>
      </c>
      <c r="C334" s="7" t="s">
        <v>38</v>
      </c>
      <c r="D334" s="8">
        <v>41792</v>
      </c>
      <c r="E334" s="8">
        <v>41792</v>
      </c>
      <c r="F334" s="9">
        <v>278.8</v>
      </c>
    </row>
    <row r="335" spans="1:6" x14ac:dyDescent="0.25">
      <c r="A335" s="10" t="s">
        <v>15</v>
      </c>
      <c r="B335" s="11" t="s">
        <v>63</v>
      </c>
      <c r="C335" s="11" t="s">
        <v>24</v>
      </c>
      <c r="D335" s="12">
        <v>41792</v>
      </c>
      <c r="E335" s="12">
        <v>41794</v>
      </c>
      <c r="F335" s="13">
        <v>588.70000000000005</v>
      </c>
    </row>
    <row r="336" spans="1:6" x14ac:dyDescent="0.25">
      <c r="A336" s="6" t="s">
        <v>91</v>
      </c>
      <c r="B336" s="7" t="s">
        <v>92</v>
      </c>
      <c r="C336" s="7" t="s">
        <v>38</v>
      </c>
      <c r="D336" s="8">
        <v>41792</v>
      </c>
      <c r="E336" s="8">
        <v>41792</v>
      </c>
      <c r="F336" s="9">
        <v>278.8</v>
      </c>
    </row>
    <row r="337" spans="1:6" x14ac:dyDescent="0.25">
      <c r="A337" s="10" t="s">
        <v>170</v>
      </c>
      <c r="B337" s="11" t="s">
        <v>171</v>
      </c>
      <c r="C337" s="11" t="s">
        <v>14</v>
      </c>
      <c r="D337" s="12">
        <v>41793</v>
      </c>
      <c r="E337" s="12">
        <v>41793</v>
      </c>
      <c r="F337" s="13">
        <v>178.5</v>
      </c>
    </row>
    <row r="338" spans="1:6" x14ac:dyDescent="0.25">
      <c r="A338" s="6" t="s">
        <v>31</v>
      </c>
      <c r="B338" s="7" t="s">
        <v>77</v>
      </c>
      <c r="C338" s="7" t="s">
        <v>17</v>
      </c>
      <c r="D338" s="8">
        <v>41793</v>
      </c>
      <c r="E338" s="8">
        <v>41794</v>
      </c>
      <c r="F338" s="9">
        <v>706.5</v>
      </c>
    </row>
    <row r="339" spans="1:6" x14ac:dyDescent="0.25">
      <c r="A339" s="10" t="s">
        <v>99</v>
      </c>
      <c r="B339" s="11" t="s">
        <v>130</v>
      </c>
      <c r="C339" s="11" t="s">
        <v>30</v>
      </c>
      <c r="D339" s="12">
        <v>41794</v>
      </c>
      <c r="E339" s="12">
        <v>41795</v>
      </c>
      <c r="F339" s="13">
        <v>331.5</v>
      </c>
    </row>
    <row r="340" spans="1:6" x14ac:dyDescent="0.25">
      <c r="A340" s="6" t="s">
        <v>164</v>
      </c>
      <c r="B340" s="7" t="s">
        <v>165</v>
      </c>
      <c r="C340" s="7" t="s">
        <v>27</v>
      </c>
      <c r="D340" s="8">
        <v>41794</v>
      </c>
      <c r="E340" s="8">
        <v>41795</v>
      </c>
      <c r="F340" s="9">
        <v>570</v>
      </c>
    </row>
    <row r="341" spans="1:6" x14ac:dyDescent="0.25">
      <c r="A341" s="10" t="s">
        <v>91</v>
      </c>
      <c r="B341" s="11" t="s">
        <v>92</v>
      </c>
      <c r="C341" s="11" t="s">
        <v>17</v>
      </c>
      <c r="D341" s="12">
        <v>41794</v>
      </c>
      <c r="E341" s="12">
        <v>41795</v>
      </c>
      <c r="F341" s="13">
        <v>706.5</v>
      </c>
    </row>
    <row r="342" spans="1:6" x14ac:dyDescent="0.25">
      <c r="A342" s="6" t="s">
        <v>25</v>
      </c>
      <c r="B342" s="7" t="s">
        <v>67</v>
      </c>
      <c r="C342" s="7" t="s">
        <v>17</v>
      </c>
      <c r="D342" s="8">
        <v>41795</v>
      </c>
      <c r="E342" s="8">
        <v>41795</v>
      </c>
      <c r="F342" s="9">
        <v>501.5</v>
      </c>
    </row>
    <row r="343" spans="1:6" x14ac:dyDescent="0.25">
      <c r="A343" s="10" t="s">
        <v>22</v>
      </c>
      <c r="B343" s="11" t="s">
        <v>23</v>
      </c>
      <c r="C343" s="11" t="s">
        <v>11</v>
      </c>
      <c r="D343" s="12">
        <v>41797</v>
      </c>
      <c r="E343" s="12">
        <v>41797</v>
      </c>
      <c r="F343" s="13">
        <v>156.4</v>
      </c>
    </row>
    <row r="344" spans="1:6" x14ac:dyDescent="0.25">
      <c r="A344" s="6" t="s">
        <v>93</v>
      </c>
      <c r="B344" s="7" t="s">
        <v>124</v>
      </c>
      <c r="C344" s="7" t="s">
        <v>66</v>
      </c>
      <c r="D344" s="8">
        <v>41797</v>
      </c>
      <c r="E344" s="8">
        <v>41799</v>
      </c>
      <c r="F344" s="9">
        <v>663.7</v>
      </c>
    </row>
    <row r="345" spans="1:6" x14ac:dyDescent="0.25">
      <c r="A345" s="10" t="s">
        <v>86</v>
      </c>
      <c r="B345" s="11" t="s">
        <v>150</v>
      </c>
      <c r="C345" s="11" t="s">
        <v>72</v>
      </c>
      <c r="D345" s="12">
        <v>41797</v>
      </c>
      <c r="E345" s="12">
        <v>41801</v>
      </c>
      <c r="F345" s="13">
        <v>1290.7</v>
      </c>
    </row>
    <row r="346" spans="1:6" x14ac:dyDescent="0.25">
      <c r="A346" s="6" t="s">
        <v>12</v>
      </c>
      <c r="B346" s="7" t="s">
        <v>13</v>
      </c>
      <c r="C346" s="7" t="s">
        <v>11</v>
      </c>
      <c r="D346" s="8">
        <v>41797</v>
      </c>
      <c r="E346" s="8">
        <v>41801</v>
      </c>
      <c r="F346" s="9">
        <v>712.4</v>
      </c>
    </row>
    <row r="347" spans="1:6" x14ac:dyDescent="0.25">
      <c r="A347" s="10" t="s">
        <v>91</v>
      </c>
      <c r="B347" s="11" t="s">
        <v>161</v>
      </c>
      <c r="C347" s="11" t="s">
        <v>19</v>
      </c>
      <c r="D347" s="12">
        <v>41797</v>
      </c>
      <c r="E347" s="12">
        <v>41799</v>
      </c>
      <c r="F347" s="13">
        <v>795.4</v>
      </c>
    </row>
    <row r="348" spans="1:6" x14ac:dyDescent="0.25">
      <c r="A348" s="6" t="s">
        <v>36</v>
      </c>
      <c r="B348" s="7" t="s">
        <v>37</v>
      </c>
      <c r="C348" s="7" t="s">
        <v>66</v>
      </c>
      <c r="D348" s="8">
        <v>41799</v>
      </c>
      <c r="E348" s="8">
        <v>41800</v>
      </c>
      <c r="F348" s="9">
        <v>485.7</v>
      </c>
    </row>
    <row r="349" spans="1:6" x14ac:dyDescent="0.25">
      <c r="A349" s="10" t="s">
        <v>54</v>
      </c>
      <c r="B349" s="11" t="s">
        <v>55</v>
      </c>
      <c r="C349" s="11" t="s">
        <v>66</v>
      </c>
      <c r="D349" s="12">
        <v>41803</v>
      </c>
      <c r="E349" s="12">
        <v>41805</v>
      </c>
      <c r="F349" s="13">
        <v>663.7</v>
      </c>
    </row>
    <row r="350" spans="1:6" x14ac:dyDescent="0.25">
      <c r="A350" s="6" t="s">
        <v>131</v>
      </c>
      <c r="B350" s="7" t="s">
        <v>154</v>
      </c>
      <c r="C350" s="7" t="s">
        <v>59</v>
      </c>
      <c r="D350" s="8">
        <v>41803</v>
      </c>
      <c r="E350" s="8">
        <v>41807</v>
      </c>
      <c r="F350" s="9">
        <v>1078</v>
      </c>
    </row>
    <row r="351" spans="1:6" x14ac:dyDescent="0.25">
      <c r="A351" s="10" t="s">
        <v>22</v>
      </c>
      <c r="B351" s="11" t="s">
        <v>172</v>
      </c>
      <c r="C351" s="11" t="s">
        <v>72</v>
      </c>
      <c r="D351" s="12">
        <v>41803</v>
      </c>
      <c r="E351" s="12">
        <v>41803</v>
      </c>
      <c r="F351" s="13">
        <v>494.7</v>
      </c>
    </row>
    <row r="352" spans="1:6" x14ac:dyDescent="0.25">
      <c r="A352" s="6" t="s">
        <v>84</v>
      </c>
      <c r="B352" s="7" t="s">
        <v>85</v>
      </c>
      <c r="C352" s="7" t="s">
        <v>38</v>
      </c>
      <c r="D352" s="8">
        <v>41803</v>
      </c>
      <c r="E352" s="8">
        <v>41807</v>
      </c>
      <c r="F352" s="9">
        <v>794.8</v>
      </c>
    </row>
    <row r="353" spans="1:6" x14ac:dyDescent="0.25">
      <c r="A353" s="10" t="s">
        <v>6</v>
      </c>
      <c r="B353" s="11" t="s">
        <v>56</v>
      </c>
      <c r="C353" s="11" t="s">
        <v>72</v>
      </c>
      <c r="D353" s="12">
        <v>41803</v>
      </c>
      <c r="E353" s="12">
        <v>41806</v>
      </c>
      <c r="F353" s="13">
        <v>1091.7</v>
      </c>
    </row>
    <row r="354" spans="1:6" x14ac:dyDescent="0.25">
      <c r="A354" s="6" t="s">
        <v>33</v>
      </c>
      <c r="B354" s="7" t="s">
        <v>41</v>
      </c>
      <c r="C354" s="7" t="s">
        <v>72</v>
      </c>
      <c r="D354" s="8">
        <v>41803</v>
      </c>
      <c r="E354" s="8">
        <v>41806</v>
      </c>
      <c r="F354" s="9">
        <v>1091.7</v>
      </c>
    </row>
    <row r="355" spans="1:6" x14ac:dyDescent="0.25">
      <c r="A355" s="10" t="s">
        <v>134</v>
      </c>
      <c r="B355" s="11" t="s">
        <v>135</v>
      </c>
      <c r="C355" s="11" t="s">
        <v>38</v>
      </c>
      <c r="D355" s="12">
        <v>41803</v>
      </c>
      <c r="E355" s="12">
        <v>41807</v>
      </c>
      <c r="F355" s="13">
        <v>794.8</v>
      </c>
    </row>
    <row r="356" spans="1:6" x14ac:dyDescent="0.25">
      <c r="A356" s="6" t="s">
        <v>9</v>
      </c>
      <c r="B356" s="7" t="s">
        <v>69</v>
      </c>
      <c r="C356" s="7" t="s">
        <v>72</v>
      </c>
      <c r="D356" s="8">
        <v>41803</v>
      </c>
      <c r="E356" s="8">
        <v>41804</v>
      </c>
      <c r="F356" s="9">
        <v>693.7</v>
      </c>
    </row>
    <row r="357" spans="1:6" x14ac:dyDescent="0.25">
      <c r="A357" s="10" t="s">
        <v>99</v>
      </c>
      <c r="B357" s="11" t="s">
        <v>100</v>
      </c>
      <c r="C357" s="11" t="s">
        <v>72</v>
      </c>
      <c r="D357" s="12">
        <v>41803</v>
      </c>
      <c r="E357" s="12">
        <v>41805</v>
      </c>
      <c r="F357" s="13">
        <v>892.7</v>
      </c>
    </row>
    <row r="358" spans="1:6" x14ac:dyDescent="0.25">
      <c r="A358" s="6" t="s">
        <v>145</v>
      </c>
      <c r="B358" s="7" t="s">
        <v>146</v>
      </c>
      <c r="C358" s="7" t="s">
        <v>47</v>
      </c>
      <c r="D358" s="8">
        <v>41803</v>
      </c>
      <c r="E358" s="8">
        <v>41806</v>
      </c>
      <c r="F358" s="9">
        <v>852.8</v>
      </c>
    </row>
    <row r="359" spans="1:6" x14ac:dyDescent="0.25">
      <c r="A359" s="10" t="s">
        <v>151</v>
      </c>
      <c r="B359" s="11" t="s">
        <v>152</v>
      </c>
      <c r="C359" s="11" t="s">
        <v>72</v>
      </c>
      <c r="D359" s="12">
        <v>41803</v>
      </c>
      <c r="E359" s="12">
        <v>41803</v>
      </c>
      <c r="F359" s="13">
        <v>494.7</v>
      </c>
    </row>
    <row r="360" spans="1:6" x14ac:dyDescent="0.25">
      <c r="A360" s="6" t="s">
        <v>75</v>
      </c>
      <c r="B360" s="7" t="s">
        <v>88</v>
      </c>
      <c r="C360" s="7" t="s">
        <v>27</v>
      </c>
      <c r="D360" s="8">
        <v>41803</v>
      </c>
      <c r="E360" s="8">
        <v>41803</v>
      </c>
      <c r="F360" s="9">
        <v>442</v>
      </c>
    </row>
    <row r="361" spans="1:6" x14ac:dyDescent="0.25">
      <c r="A361" s="10" t="s">
        <v>137</v>
      </c>
      <c r="B361" s="11" t="s">
        <v>160</v>
      </c>
      <c r="C361" s="11" t="s">
        <v>66</v>
      </c>
      <c r="D361" s="12">
        <v>41803</v>
      </c>
      <c r="E361" s="12">
        <v>41805</v>
      </c>
      <c r="F361" s="13">
        <v>663.7</v>
      </c>
    </row>
    <row r="362" spans="1:6" x14ac:dyDescent="0.25">
      <c r="A362" s="6" t="s">
        <v>158</v>
      </c>
      <c r="B362" s="7" t="s">
        <v>159</v>
      </c>
      <c r="C362" s="7" t="s">
        <v>8</v>
      </c>
      <c r="D362" s="8">
        <v>41803</v>
      </c>
      <c r="E362" s="8">
        <v>41806</v>
      </c>
      <c r="F362" s="9">
        <v>1313</v>
      </c>
    </row>
    <row r="363" spans="1:6" x14ac:dyDescent="0.25">
      <c r="A363" s="10" t="s">
        <v>115</v>
      </c>
      <c r="B363" s="11" t="s">
        <v>116</v>
      </c>
      <c r="C363" s="11" t="s">
        <v>17</v>
      </c>
      <c r="D363" s="12">
        <v>41803</v>
      </c>
      <c r="E363" s="12">
        <v>41805</v>
      </c>
      <c r="F363" s="13">
        <v>911.5</v>
      </c>
    </row>
    <row r="364" spans="1:6" x14ac:dyDescent="0.25">
      <c r="A364" s="6" t="s">
        <v>164</v>
      </c>
      <c r="B364" s="7" t="s">
        <v>165</v>
      </c>
      <c r="C364" s="7" t="s">
        <v>59</v>
      </c>
      <c r="D364" s="8">
        <v>41806</v>
      </c>
      <c r="E364" s="8">
        <v>41807</v>
      </c>
      <c r="F364" s="9">
        <v>601</v>
      </c>
    </row>
    <row r="365" spans="1:6" x14ac:dyDescent="0.25">
      <c r="A365" s="10" t="s">
        <v>75</v>
      </c>
      <c r="B365" s="11" t="s">
        <v>76</v>
      </c>
      <c r="C365" s="11" t="s">
        <v>27</v>
      </c>
      <c r="D365" s="12">
        <v>41806</v>
      </c>
      <c r="E365" s="12">
        <v>41806</v>
      </c>
      <c r="F365" s="13">
        <v>442</v>
      </c>
    </row>
    <row r="366" spans="1:6" x14ac:dyDescent="0.25">
      <c r="A366" s="6" t="s">
        <v>126</v>
      </c>
      <c r="B366" s="7" t="s">
        <v>127</v>
      </c>
      <c r="C366" s="7" t="s">
        <v>30</v>
      </c>
      <c r="D366" s="8">
        <v>41809</v>
      </c>
      <c r="E366" s="8">
        <v>41812</v>
      </c>
      <c r="F366" s="9">
        <v>569.5</v>
      </c>
    </row>
    <row r="367" spans="1:6" x14ac:dyDescent="0.25">
      <c r="A367" s="10" t="s">
        <v>145</v>
      </c>
      <c r="B367" s="11" t="s">
        <v>146</v>
      </c>
      <c r="C367" s="11" t="s">
        <v>24</v>
      </c>
      <c r="D367" s="12">
        <v>41809</v>
      </c>
      <c r="E367" s="12">
        <v>41810</v>
      </c>
      <c r="F367" s="13">
        <v>439.7</v>
      </c>
    </row>
    <row r="368" spans="1:6" x14ac:dyDescent="0.25">
      <c r="A368" s="6" t="s">
        <v>75</v>
      </c>
      <c r="B368" s="7" t="s">
        <v>88</v>
      </c>
      <c r="C368" s="7" t="s">
        <v>66</v>
      </c>
      <c r="D368" s="8">
        <v>41809</v>
      </c>
      <c r="E368" s="8">
        <v>41812</v>
      </c>
      <c r="F368" s="9">
        <v>841.7</v>
      </c>
    </row>
    <row r="369" spans="1:6" x14ac:dyDescent="0.25">
      <c r="A369" s="10" t="s">
        <v>109</v>
      </c>
      <c r="B369" s="11" t="s">
        <v>110</v>
      </c>
      <c r="C369" s="11" t="s">
        <v>19</v>
      </c>
      <c r="D369" s="12">
        <v>41809</v>
      </c>
      <c r="E369" s="12">
        <v>41811</v>
      </c>
      <c r="F369" s="13">
        <v>795.4</v>
      </c>
    </row>
    <row r="370" spans="1:6" x14ac:dyDescent="0.25">
      <c r="A370" s="6" t="s">
        <v>20</v>
      </c>
      <c r="B370" s="7" t="s">
        <v>162</v>
      </c>
      <c r="C370" s="7" t="s">
        <v>72</v>
      </c>
      <c r="D370" s="8">
        <v>41809</v>
      </c>
      <c r="E370" s="8">
        <v>41813</v>
      </c>
      <c r="F370" s="9">
        <v>1290.7</v>
      </c>
    </row>
    <row r="371" spans="1:6" x14ac:dyDescent="0.25">
      <c r="A371" s="10" t="s">
        <v>20</v>
      </c>
      <c r="B371" s="11" t="s">
        <v>21</v>
      </c>
      <c r="C371" s="11" t="s">
        <v>27</v>
      </c>
      <c r="D371" s="12">
        <v>41809</v>
      </c>
      <c r="E371" s="12">
        <v>41811</v>
      </c>
      <c r="F371" s="13">
        <v>698</v>
      </c>
    </row>
    <row r="372" spans="1:6" x14ac:dyDescent="0.25">
      <c r="A372" s="6" t="s">
        <v>48</v>
      </c>
      <c r="B372" s="7" t="s">
        <v>49</v>
      </c>
      <c r="C372" s="7" t="s">
        <v>24</v>
      </c>
      <c r="D372" s="8">
        <v>41815</v>
      </c>
      <c r="E372" s="8">
        <v>41816</v>
      </c>
      <c r="F372" s="9">
        <v>439.7</v>
      </c>
    </row>
    <row r="373" spans="1:6" x14ac:dyDescent="0.25">
      <c r="A373" s="10" t="s">
        <v>54</v>
      </c>
      <c r="B373" s="11" t="s">
        <v>133</v>
      </c>
      <c r="C373" s="11" t="s">
        <v>72</v>
      </c>
      <c r="D373" s="12">
        <v>41815</v>
      </c>
      <c r="E373" s="12">
        <v>41815</v>
      </c>
      <c r="F373" s="13">
        <v>494.7</v>
      </c>
    </row>
    <row r="374" spans="1:6" x14ac:dyDescent="0.25">
      <c r="A374" s="6" t="s">
        <v>54</v>
      </c>
      <c r="B374" s="7" t="s">
        <v>133</v>
      </c>
      <c r="C374" s="7" t="s">
        <v>17</v>
      </c>
      <c r="D374" s="8">
        <v>41815</v>
      </c>
      <c r="E374" s="8">
        <v>41817</v>
      </c>
      <c r="F374" s="9">
        <v>911.5</v>
      </c>
    </row>
    <row r="375" spans="1:6" x14ac:dyDescent="0.25">
      <c r="A375" s="10" t="s">
        <v>50</v>
      </c>
      <c r="B375" s="11" t="s">
        <v>51</v>
      </c>
      <c r="C375" s="11" t="s">
        <v>8</v>
      </c>
      <c r="D375" s="12">
        <v>41815</v>
      </c>
      <c r="E375" s="12">
        <v>41816</v>
      </c>
      <c r="F375" s="13">
        <v>891</v>
      </c>
    </row>
    <row r="376" spans="1:6" x14ac:dyDescent="0.25">
      <c r="A376" s="6" t="s">
        <v>61</v>
      </c>
      <c r="B376" s="7" t="s">
        <v>62</v>
      </c>
      <c r="C376" s="7" t="s">
        <v>38</v>
      </c>
      <c r="D376" s="8">
        <v>41815</v>
      </c>
      <c r="E376" s="8">
        <v>41818</v>
      </c>
      <c r="F376" s="9">
        <v>665.8</v>
      </c>
    </row>
    <row r="377" spans="1:6" x14ac:dyDescent="0.25">
      <c r="A377" s="10" t="s">
        <v>126</v>
      </c>
      <c r="B377" s="11" t="s">
        <v>127</v>
      </c>
      <c r="C377" s="11" t="s">
        <v>19</v>
      </c>
      <c r="D377" s="12">
        <v>41815</v>
      </c>
      <c r="E377" s="12">
        <v>41817</v>
      </c>
      <c r="F377" s="13">
        <v>795.4</v>
      </c>
    </row>
    <row r="378" spans="1:6" x14ac:dyDescent="0.25">
      <c r="A378" s="6" t="s">
        <v>9</v>
      </c>
      <c r="B378" s="7" t="s">
        <v>103</v>
      </c>
      <c r="C378" s="7" t="s">
        <v>19</v>
      </c>
      <c r="D378" s="8">
        <v>41815</v>
      </c>
      <c r="E378" s="8">
        <v>41816</v>
      </c>
      <c r="F378" s="9">
        <v>654.4</v>
      </c>
    </row>
    <row r="379" spans="1:6" x14ac:dyDescent="0.25">
      <c r="A379" s="10" t="s">
        <v>156</v>
      </c>
      <c r="B379" s="11" t="s">
        <v>157</v>
      </c>
      <c r="C379" s="11" t="s">
        <v>24</v>
      </c>
      <c r="D379" s="12">
        <v>41815</v>
      </c>
      <c r="E379" s="12">
        <v>41818</v>
      </c>
      <c r="F379" s="13">
        <v>737.7</v>
      </c>
    </row>
    <row r="380" spans="1:6" x14ac:dyDescent="0.25">
      <c r="A380" s="6" t="s">
        <v>52</v>
      </c>
      <c r="B380" s="7" t="s">
        <v>53</v>
      </c>
      <c r="C380" s="7" t="s">
        <v>24</v>
      </c>
      <c r="D380" s="8">
        <v>41815</v>
      </c>
      <c r="E380" s="8">
        <v>41819</v>
      </c>
      <c r="F380" s="9">
        <v>886.7</v>
      </c>
    </row>
    <row r="381" spans="1:6" x14ac:dyDescent="0.25">
      <c r="A381" s="10" t="s">
        <v>158</v>
      </c>
      <c r="B381" s="11" t="s">
        <v>159</v>
      </c>
      <c r="C381" s="11" t="s">
        <v>11</v>
      </c>
      <c r="D381" s="12">
        <v>41815</v>
      </c>
      <c r="E381" s="12">
        <v>41816</v>
      </c>
      <c r="F381" s="13">
        <v>295.39999999999998</v>
      </c>
    </row>
    <row r="382" spans="1:6" x14ac:dyDescent="0.25">
      <c r="A382" s="6" t="s">
        <v>6</v>
      </c>
      <c r="B382" s="7" t="s">
        <v>45</v>
      </c>
      <c r="C382" s="7" t="s">
        <v>47</v>
      </c>
      <c r="D382" s="8">
        <v>41815</v>
      </c>
      <c r="E382" s="8">
        <v>41817</v>
      </c>
      <c r="F382" s="9">
        <v>689.8</v>
      </c>
    </row>
    <row r="383" spans="1:6" x14ac:dyDescent="0.25">
      <c r="A383" s="10" t="s">
        <v>31</v>
      </c>
      <c r="B383" s="11" t="s">
        <v>77</v>
      </c>
      <c r="C383" s="11" t="s">
        <v>8</v>
      </c>
      <c r="D383" s="12">
        <v>41815</v>
      </c>
      <c r="E383" s="12">
        <v>41819</v>
      </c>
      <c r="F383" s="13">
        <v>1524</v>
      </c>
    </row>
    <row r="384" spans="1:6" x14ac:dyDescent="0.25">
      <c r="A384" s="6" t="s">
        <v>15</v>
      </c>
      <c r="B384" s="7" t="s">
        <v>16</v>
      </c>
      <c r="C384" s="7" t="s">
        <v>11</v>
      </c>
      <c r="D384" s="8">
        <v>41815</v>
      </c>
      <c r="E384" s="8">
        <v>41816</v>
      </c>
      <c r="F384" s="9">
        <v>295.39999999999998</v>
      </c>
    </row>
    <row r="385" spans="1:6" x14ac:dyDescent="0.25">
      <c r="A385" s="10" t="s">
        <v>113</v>
      </c>
      <c r="B385" s="11" t="s">
        <v>114</v>
      </c>
      <c r="C385" s="11" t="s">
        <v>59</v>
      </c>
      <c r="D385" s="12">
        <v>41815</v>
      </c>
      <c r="E385" s="12">
        <v>41817</v>
      </c>
      <c r="F385" s="13">
        <v>760</v>
      </c>
    </row>
    <row r="386" spans="1:6" x14ac:dyDescent="0.25">
      <c r="A386" s="6" t="s">
        <v>115</v>
      </c>
      <c r="B386" s="7" t="s">
        <v>116</v>
      </c>
      <c r="C386" s="7" t="s">
        <v>19</v>
      </c>
      <c r="D386" s="8">
        <v>41815</v>
      </c>
      <c r="E386" s="8">
        <v>41817</v>
      </c>
      <c r="F386" s="9">
        <v>795.4</v>
      </c>
    </row>
    <row r="387" spans="1:6" x14ac:dyDescent="0.25">
      <c r="A387" s="10" t="s">
        <v>86</v>
      </c>
      <c r="B387" s="11" t="s">
        <v>136</v>
      </c>
      <c r="C387" s="11" t="s">
        <v>14</v>
      </c>
      <c r="D387" s="12">
        <v>41815</v>
      </c>
      <c r="E387" s="12">
        <v>41816</v>
      </c>
      <c r="F387" s="13">
        <v>302.5</v>
      </c>
    </row>
    <row r="388" spans="1:6" x14ac:dyDescent="0.25">
      <c r="A388" s="6" t="s">
        <v>9</v>
      </c>
      <c r="B388" s="7" t="s">
        <v>103</v>
      </c>
      <c r="C388" s="7" t="s">
        <v>47</v>
      </c>
      <c r="D388" s="8">
        <v>41818</v>
      </c>
      <c r="E388" s="8">
        <v>41818</v>
      </c>
      <c r="F388" s="9">
        <v>363.8</v>
      </c>
    </row>
    <row r="389" spans="1:6" x14ac:dyDescent="0.25">
      <c r="A389" s="10" t="s">
        <v>15</v>
      </c>
      <c r="B389" s="11" t="s">
        <v>46</v>
      </c>
      <c r="C389" s="11" t="s">
        <v>72</v>
      </c>
      <c r="D389" s="12">
        <v>41821</v>
      </c>
      <c r="E389" s="12">
        <v>41825</v>
      </c>
      <c r="F389" s="13">
        <v>1290.7</v>
      </c>
    </row>
    <row r="390" spans="1:6" x14ac:dyDescent="0.25">
      <c r="A390" s="6" t="s">
        <v>33</v>
      </c>
      <c r="B390" s="7" t="s">
        <v>41</v>
      </c>
      <c r="C390" s="7" t="s">
        <v>19</v>
      </c>
      <c r="D390" s="8">
        <v>41821</v>
      </c>
      <c r="E390" s="8">
        <v>41825</v>
      </c>
      <c r="F390" s="9">
        <v>1077.4000000000001</v>
      </c>
    </row>
    <row r="391" spans="1:6" x14ac:dyDescent="0.25">
      <c r="A391" s="10" t="s">
        <v>101</v>
      </c>
      <c r="B391" s="11" t="s">
        <v>102</v>
      </c>
      <c r="C391" s="11" t="s">
        <v>66</v>
      </c>
      <c r="D391" s="12">
        <v>41821</v>
      </c>
      <c r="E391" s="12">
        <v>41823</v>
      </c>
      <c r="F391" s="13">
        <v>663.7</v>
      </c>
    </row>
    <row r="392" spans="1:6" x14ac:dyDescent="0.25">
      <c r="A392" s="6" t="s">
        <v>143</v>
      </c>
      <c r="B392" s="7" t="s">
        <v>144</v>
      </c>
      <c r="C392" s="7" t="s">
        <v>14</v>
      </c>
      <c r="D392" s="8">
        <v>41821</v>
      </c>
      <c r="E392" s="8">
        <v>41825</v>
      </c>
      <c r="F392" s="9">
        <v>674.5</v>
      </c>
    </row>
    <row r="393" spans="1:6" x14ac:dyDescent="0.25">
      <c r="A393" s="10" t="s">
        <v>151</v>
      </c>
      <c r="B393" s="11" t="s">
        <v>152</v>
      </c>
      <c r="C393" s="11" t="s">
        <v>17</v>
      </c>
      <c r="D393" s="12">
        <v>41821</v>
      </c>
      <c r="E393" s="12">
        <v>41823</v>
      </c>
      <c r="F393" s="13">
        <v>911.5</v>
      </c>
    </row>
    <row r="394" spans="1:6" x14ac:dyDescent="0.25">
      <c r="A394" s="6" t="s">
        <v>75</v>
      </c>
      <c r="B394" s="7" t="s">
        <v>76</v>
      </c>
      <c r="C394" s="7" t="s">
        <v>14</v>
      </c>
      <c r="D394" s="8">
        <v>41821</v>
      </c>
      <c r="E394" s="8">
        <v>41824</v>
      </c>
      <c r="F394" s="9">
        <v>550.5</v>
      </c>
    </row>
    <row r="395" spans="1:6" x14ac:dyDescent="0.25">
      <c r="A395" s="10" t="s">
        <v>115</v>
      </c>
      <c r="B395" s="11" t="s">
        <v>153</v>
      </c>
      <c r="C395" s="11" t="s">
        <v>72</v>
      </c>
      <c r="D395" s="12">
        <v>41827</v>
      </c>
      <c r="E395" s="12">
        <v>41829</v>
      </c>
      <c r="F395" s="13">
        <v>892.7</v>
      </c>
    </row>
    <row r="396" spans="1:6" x14ac:dyDescent="0.25">
      <c r="A396" s="6" t="s">
        <v>131</v>
      </c>
      <c r="B396" s="7" t="s">
        <v>142</v>
      </c>
      <c r="C396" s="7" t="s">
        <v>27</v>
      </c>
      <c r="D396" s="8">
        <v>41827</v>
      </c>
      <c r="E396" s="8">
        <v>41829</v>
      </c>
      <c r="F396" s="9">
        <v>698</v>
      </c>
    </row>
    <row r="397" spans="1:6" x14ac:dyDescent="0.25">
      <c r="A397" s="10" t="s">
        <v>25</v>
      </c>
      <c r="B397" s="11" t="s">
        <v>67</v>
      </c>
      <c r="C397" s="11" t="s">
        <v>24</v>
      </c>
      <c r="D397" s="12">
        <v>41827</v>
      </c>
      <c r="E397" s="12">
        <v>41830</v>
      </c>
      <c r="F397" s="13">
        <v>737.7</v>
      </c>
    </row>
    <row r="398" spans="1:6" x14ac:dyDescent="0.25">
      <c r="A398" s="6" t="s">
        <v>25</v>
      </c>
      <c r="B398" s="7" t="s">
        <v>26</v>
      </c>
      <c r="C398" s="7" t="s">
        <v>38</v>
      </c>
      <c r="D398" s="8">
        <v>41827</v>
      </c>
      <c r="E398" s="8">
        <v>41828</v>
      </c>
      <c r="F398" s="9">
        <v>407.8</v>
      </c>
    </row>
    <row r="399" spans="1:6" x14ac:dyDescent="0.25">
      <c r="A399" s="10" t="s">
        <v>61</v>
      </c>
      <c r="B399" s="11" t="s">
        <v>62</v>
      </c>
      <c r="C399" s="11" t="s">
        <v>59</v>
      </c>
      <c r="D399" s="12">
        <v>41827</v>
      </c>
      <c r="E399" s="12">
        <v>41830</v>
      </c>
      <c r="F399" s="13">
        <v>919</v>
      </c>
    </row>
    <row r="400" spans="1:6" x14ac:dyDescent="0.25">
      <c r="A400" s="6" t="s">
        <v>168</v>
      </c>
      <c r="B400" s="7" t="s">
        <v>169</v>
      </c>
      <c r="C400" s="7" t="s">
        <v>24</v>
      </c>
      <c r="D400" s="8">
        <v>41827</v>
      </c>
      <c r="E400" s="8">
        <v>41828</v>
      </c>
      <c r="F400" s="9">
        <v>439.7</v>
      </c>
    </row>
    <row r="401" spans="1:6" x14ac:dyDescent="0.25">
      <c r="A401" s="10" t="s">
        <v>33</v>
      </c>
      <c r="B401" s="11" t="s">
        <v>41</v>
      </c>
      <c r="C401" s="11" t="s">
        <v>19</v>
      </c>
      <c r="D401" s="12">
        <v>41827</v>
      </c>
      <c r="E401" s="12">
        <v>41829</v>
      </c>
      <c r="F401" s="13">
        <v>795.4</v>
      </c>
    </row>
    <row r="402" spans="1:6" x14ac:dyDescent="0.25">
      <c r="A402" s="6" t="s">
        <v>143</v>
      </c>
      <c r="B402" s="7" t="s">
        <v>144</v>
      </c>
      <c r="C402" s="7" t="s">
        <v>14</v>
      </c>
      <c r="D402" s="8">
        <v>41827</v>
      </c>
      <c r="E402" s="8">
        <v>41828</v>
      </c>
      <c r="F402" s="9">
        <v>302.5</v>
      </c>
    </row>
    <row r="403" spans="1:6" x14ac:dyDescent="0.25">
      <c r="A403" s="10" t="s">
        <v>164</v>
      </c>
      <c r="B403" s="11" t="s">
        <v>165</v>
      </c>
      <c r="C403" s="11" t="s">
        <v>47</v>
      </c>
      <c r="D403" s="12">
        <v>41827</v>
      </c>
      <c r="E403" s="12">
        <v>41827</v>
      </c>
      <c r="F403" s="13">
        <v>363.8</v>
      </c>
    </row>
    <row r="404" spans="1:6" x14ac:dyDescent="0.25">
      <c r="A404" s="6" t="s">
        <v>52</v>
      </c>
      <c r="B404" s="7" t="s">
        <v>53</v>
      </c>
      <c r="C404" s="7" t="s">
        <v>38</v>
      </c>
      <c r="D404" s="8">
        <v>41827</v>
      </c>
      <c r="E404" s="8">
        <v>41831</v>
      </c>
      <c r="F404" s="9">
        <v>794.8</v>
      </c>
    </row>
    <row r="405" spans="1:6" x14ac:dyDescent="0.25">
      <c r="A405" s="10" t="s">
        <v>147</v>
      </c>
      <c r="B405" s="11" t="s">
        <v>148</v>
      </c>
      <c r="C405" s="11" t="s">
        <v>38</v>
      </c>
      <c r="D405" s="12">
        <v>41827</v>
      </c>
      <c r="E405" s="12">
        <v>41831</v>
      </c>
      <c r="F405" s="13">
        <v>794.8</v>
      </c>
    </row>
    <row r="406" spans="1:6" x14ac:dyDescent="0.25">
      <c r="A406" s="6" t="s">
        <v>89</v>
      </c>
      <c r="B406" s="7" t="s">
        <v>90</v>
      </c>
      <c r="C406" s="7" t="s">
        <v>11</v>
      </c>
      <c r="D406" s="8">
        <v>41827</v>
      </c>
      <c r="E406" s="8">
        <v>41828</v>
      </c>
      <c r="F406" s="9">
        <v>295.39999999999998</v>
      </c>
    </row>
    <row r="407" spans="1:6" x14ac:dyDescent="0.25">
      <c r="A407" s="10" t="s">
        <v>39</v>
      </c>
      <c r="B407" s="11" t="s">
        <v>40</v>
      </c>
      <c r="C407" s="11" t="s">
        <v>17</v>
      </c>
      <c r="D407" s="12">
        <v>41827</v>
      </c>
      <c r="E407" s="12">
        <v>41828</v>
      </c>
      <c r="F407" s="13">
        <v>706.5</v>
      </c>
    </row>
    <row r="408" spans="1:6" x14ac:dyDescent="0.25">
      <c r="A408" s="6" t="s">
        <v>15</v>
      </c>
      <c r="B408" s="7" t="s">
        <v>63</v>
      </c>
      <c r="C408" s="7" t="s">
        <v>66</v>
      </c>
      <c r="D408" s="8">
        <v>41827</v>
      </c>
      <c r="E408" s="8">
        <v>41828</v>
      </c>
      <c r="F408" s="9">
        <v>485.7</v>
      </c>
    </row>
    <row r="409" spans="1:6" x14ac:dyDescent="0.25">
      <c r="A409" s="10" t="s">
        <v>91</v>
      </c>
      <c r="B409" s="11" t="s">
        <v>92</v>
      </c>
      <c r="C409" s="11" t="s">
        <v>66</v>
      </c>
      <c r="D409" s="12">
        <v>41827</v>
      </c>
      <c r="E409" s="12">
        <v>41830</v>
      </c>
      <c r="F409" s="13">
        <v>841.7</v>
      </c>
    </row>
    <row r="410" spans="1:6" x14ac:dyDescent="0.25">
      <c r="A410" s="6" t="s">
        <v>164</v>
      </c>
      <c r="B410" s="7" t="s">
        <v>165</v>
      </c>
      <c r="C410" s="7" t="s">
        <v>59</v>
      </c>
      <c r="D410" s="8">
        <v>41830</v>
      </c>
      <c r="E410" s="8">
        <v>41830</v>
      </c>
      <c r="F410" s="9">
        <v>442</v>
      </c>
    </row>
    <row r="411" spans="1:6" x14ac:dyDescent="0.25">
      <c r="A411" s="10" t="s">
        <v>131</v>
      </c>
      <c r="B411" s="11" t="s">
        <v>142</v>
      </c>
      <c r="C411" s="11" t="s">
        <v>14</v>
      </c>
      <c r="D411" s="12">
        <v>41831</v>
      </c>
      <c r="E411" s="12">
        <v>41831</v>
      </c>
      <c r="F411" s="13">
        <v>178.5</v>
      </c>
    </row>
    <row r="412" spans="1:6" x14ac:dyDescent="0.25">
      <c r="A412" s="6" t="s">
        <v>31</v>
      </c>
      <c r="B412" s="7" t="s">
        <v>78</v>
      </c>
      <c r="C412" s="7" t="s">
        <v>47</v>
      </c>
      <c r="D412" s="8">
        <v>41833</v>
      </c>
      <c r="E412" s="8">
        <v>41836</v>
      </c>
      <c r="F412" s="9">
        <v>852.8</v>
      </c>
    </row>
    <row r="413" spans="1:6" x14ac:dyDescent="0.25">
      <c r="A413" s="10" t="s">
        <v>70</v>
      </c>
      <c r="B413" s="11" t="s">
        <v>117</v>
      </c>
      <c r="C413" s="11" t="s">
        <v>72</v>
      </c>
      <c r="D413" s="12">
        <v>41833</v>
      </c>
      <c r="E413" s="12">
        <v>41837</v>
      </c>
      <c r="F413" s="13">
        <v>1290.7</v>
      </c>
    </row>
    <row r="414" spans="1:6" x14ac:dyDescent="0.25">
      <c r="A414" s="6" t="s">
        <v>15</v>
      </c>
      <c r="B414" s="7" t="s">
        <v>63</v>
      </c>
      <c r="C414" s="7" t="s">
        <v>17</v>
      </c>
      <c r="D414" s="8">
        <v>41834</v>
      </c>
      <c r="E414" s="8">
        <v>41834</v>
      </c>
      <c r="F414" s="9">
        <v>501.5</v>
      </c>
    </row>
    <row r="415" spans="1:6" x14ac:dyDescent="0.25">
      <c r="A415" s="10" t="s">
        <v>22</v>
      </c>
      <c r="B415" s="11" t="s">
        <v>172</v>
      </c>
      <c r="C415" s="11" t="s">
        <v>66</v>
      </c>
      <c r="D415" s="12">
        <v>41835</v>
      </c>
      <c r="E415" s="12">
        <v>41835</v>
      </c>
      <c r="F415" s="13">
        <v>307.7</v>
      </c>
    </row>
    <row r="416" spans="1:6" x14ac:dyDescent="0.25">
      <c r="A416" s="6" t="s">
        <v>168</v>
      </c>
      <c r="B416" s="7" t="s">
        <v>169</v>
      </c>
      <c r="C416" s="7" t="s">
        <v>11</v>
      </c>
      <c r="D416" s="8">
        <v>41835</v>
      </c>
      <c r="E416" s="8">
        <v>41836</v>
      </c>
      <c r="F416" s="9">
        <v>295.39999999999998</v>
      </c>
    </row>
    <row r="417" spans="1:6" x14ac:dyDescent="0.25">
      <c r="A417" s="10" t="s">
        <v>73</v>
      </c>
      <c r="B417" s="11" t="s">
        <v>104</v>
      </c>
      <c r="C417" s="11" t="s">
        <v>19</v>
      </c>
      <c r="D417" s="12">
        <v>41835</v>
      </c>
      <c r="E417" s="12">
        <v>41835</v>
      </c>
      <c r="F417" s="13">
        <v>513.4</v>
      </c>
    </row>
    <row r="418" spans="1:6" x14ac:dyDescent="0.25">
      <c r="A418" s="6" t="s">
        <v>54</v>
      </c>
      <c r="B418" s="7" t="s">
        <v>81</v>
      </c>
      <c r="C418" s="7" t="s">
        <v>27</v>
      </c>
      <c r="D418" s="8">
        <v>41837</v>
      </c>
      <c r="E418" s="8">
        <v>41837</v>
      </c>
      <c r="F418" s="9">
        <v>442</v>
      </c>
    </row>
    <row r="419" spans="1:6" x14ac:dyDescent="0.25">
      <c r="A419" s="10" t="s">
        <v>128</v>
      </c>
      <c r="B419" s="11" t="s">
        <v>129</v>
      </c>
      <c r="C419" s="11" t="s">
        <v>38</v>
      </c>
      <c r="D419" s="12">
        <v>41839</v>
      </c>
      <c r="E419" s="12">
        <v>41843</v>
      </c>
      <c r="F419" s="13">
        <v>794.8</v>
      </c>
    </row>
    <row r="420" spans="1:6" x14ac:dyDescent="0.25">
      <c r="A420" s="6" t="s">
        <v>128</v>
      </c>
      <c r="B420" s="7" t="s">
        <v>129</v>
      </c>
      <c r="C420" s="7" t="s">
        <v>14</v>
      </c>
      <c r="D420" s="8">
        <v>41839</v>
      </c>
      <c r="E420" s="8">
        <v>41842</v>
      </c>
      <c r="F420" s="9">
        <v>550.5</v>
      </c>
    </row>
    <row r="421" spans="1:6" x14ac:dyDescent="0.25">
      <c r="A421" s="10" t="s">
        <v>93</v>
      </c>
      <c r="B421" s="11" t="s">
        <v>124</v>
      </c>
      <c r="C421" s="11" t="s">
        <v>47</v>
      </c>
      <c r="D421" s="12">
        <v>41839</v>
      </c>
      <c r="E421" s="12">
        <v>41840</v>
      </c>
      <c r="F421" s="13">
        <v>526.79999999999995</v>
      </c>
    </row>
    <row r="422" spans="1:6" x14ac:dyDescent="0.25">
      <c r="A422" s="6" t="s">
        <v>22</v>
      </c>
      <c r="B422" s="7" t="s">
        <v>172</v>
      </c>
      <c r="C422" s="7" t="s">
        <v>30</v>
      </c>
      <c r="D422" s="8">
        <v>41839</v>
      </c>
      <c r="E422" s="8">
        <v>41843</v>
      </c>
      <c r="F422" s="9">
        <v>688.5</v>
      </c>
    </row>
    <row r="423" spans="1:6" x14ac:dyDescent="0.25">
      <c r="A423" s="10" t="s">
        <v>54</v>
      </c>
      <c r="B423" s="11" t="s">
        <v>133</v>
      </c>
      <c r="C423" s="11" t="s">
        <v>19</v>
      </c>
      <c r="D423" s="12">
        <v>41839</v>
      </c>
      <c r="E423" s="12">
        <v>41840</v>
      </c>
      <c r="F423" s="13">
        <v>654.4</v>
      </c>
    </row>
    <row r="424" spans="1:6" x14ac:dyDescent="0.25">
      <c r="A424" s="6" t="s">
        <v>25</v>
      </c>
      <c r="B424" s="7" t="s">
        <v>67</v>
      </c>
      <c r="C424" s="7" t="s">
        <v>66</v>
      </c>
      <c r="D424" s="8">
        <v>41839</v>
      </c>
      <c r="E424" s="8">
        <v>41840</v>
      </c>
      <c r="F424" s="9">
        <v>485.7</v>
      </c>
    </row>
    <row r="425" spans="1:6" x14ac:dyDescent="0.25">
      <c r="A425" s="10" t="s">
        <v>84</v>
      </c>
      <c r="B425" s="11" t="s">
        <v>85</v>
      </c>
      <c r="C425" s="11" t="s">
        <v>11</v>
      </c>
      <c r="D425" s="12">
        <v>41839</v>
      </c>
      <c r="E425" s="12">
        <v>41840</v>
      </c>
      <c r="F425" s="13">
        <v>295.39999999999998</v>
      </c>
    </row>
    <row r="426" spans="1:6" x14ac:dyDescent="0.25">
      <c r="A426" s="6" t="s">
        <v>86</v>
      </c>
      <c r="B426" s="7" t="s">
        <v>150</v>
      </c>
      <c r="C426" s="7" t="s">
        <v>24</v>
      </c>
      <c r="D426" s="8">
        <v>41839</v>
      </c>
      <c r="E426" s="8">
        <v>41843</v>
      </c>
      <c r="F426" s="9">
        <v>886.7</v>
      </c>
    </row>
    <row r="427" spans="1:6" x14ac:dyDescent="0.25">
      <c r="A427" s="10" t="s">
        <v>9</v>
      </c>
      <c r="B427" s="11" t="s">
        <v>103</v>
      </c>
      <c r="C427" s="11" t="s">
        <v>24</v>
      </c>
      <c r="D427" s="12">
        <v>41839</v>
      </c>
      <c r="E427" s="12">
        <v>41840</v>
      </c>
      <c r="F427" s="13">
        <v>439.7</v>
      </c>
    </row>
    <row r="428" spans="1:6" x14ac:dyDescent="0.25">
      <c r="A428" s="6" t="s">
        <v>42</v>
      </c>
      <c r="B428" s="7" t="s">
        <v>43</v>
      </c>
      <c r="C428" s="7" t="s">
        <v>24</v>
      </c>
      <c r="D428" s="8">
        <v>41839</v>
      </c>
      <c r="E428" s="8">
        <v>41841</v>
      </c>
      <c r="F428" s="9">
        <v>588.70000000000005</v>
      </c>
    </row>
    <row r="429" spans="1:6" x14ac:dyDescent="0.25">
      <c r="A429" s="10" t="s">
        <v>156</v>
      </c>
      <c r="B429" s="11" t="s">
        <v>157</v>
      </c>
      <c r="C429" s="11" t="s">
        <v>19</v>
      </c>
      <c r="D429" s="12">
        <v>41839</v>
      </c>
      <c r="E429" s="12">
        <v>41841</v>
      </c>
      <c r="F429" s="13">
        <v>795.4</v>
      </c>
    </row>
    <row r="430" spans="1:6" x14ac:dyDescent="0.25">
      <c r="A430" s="6" t="s">
        <v>15</v>
      </c>
      <c r="B430" s="7" t="s">
        <v>63</v>
      </c>
      <c r="C430" s="7" t="s">
        <v>11</v>
      </c>
      <c r="D430" s="8">
        <v>41839</v>
      </c>
      <c r="E430" s="8">
        <v>41839</v>
      </c>
      <c r="F430" s="9">
        <v>156.4</v>
      </c>
    </row>
    <row r="431" spans="1:6" x14ac:dyDescent="0.25">
      <c r="A431" s="10" t="s">
        <v>131</v>
      </c>
      <c r="B431" s="11" t="s">
        <v>132</v>
      </c>
      <c r="C431" s="11" t="s">
        <v>19</v>
      </c>
      <c r="D431" s="12">
        <v>41839</v>
      </c>
      <c r="E431" s="12">
        <v>41843</v>
      </c>
      <c r="F431" s="13">
        <v>1077.4000000000001</v>
      </c>
    </row>
    <row r="432" spans="1:6" x14ac:dyDescent="0.25">
      <c r="A432" s="6" t="s">
        <v>168</v>
      </c>
      <c r="B432" s="7" t="s">
        <v>169</v>
      </c>
      <c r="C432" s="7" t="s">
        <v>8</v>
      </c>
      <c r="D432" s="8">
        <v>41841</v>
      </c>
      <c r="E432" s="8">
        <v>41841</v>
      </c>
      <c r="F432" s="9">
        <v>680</v>
      </c>
    </row>
    <row r="433" spans="1:6" x14ac:dyDescent="0.25">
      <c r="A433" s="10" t="s">
        <v>109</v>
      </c>
      <c r="B433" s="11" t="s">
        <v>110</v>
      </c>
      <c r="C433" s="11" t="s">
        <v>72</v>
      </c>
      <c r="D433" s="12">
        <v>41841</v>
      </c>
      <c r="E433" s="12">
        <v>41843</v>
      </c>
      <c r="F433" s="13">
        <v>892.7</v>
      </c>
    </row>
    <row r="434" spans="1:6" x14ac:dyDescent="0.25">
      <c r="A434" s="6" t="s">
        <v>137</v>
      </c>
      <c r="B434" s="7" t="s">
        <v>138</v>
      </c>
      <c r="C434" s="7" t="s">
        <v>66</v>
      </c>
      <c r="D434" s="8">
        <v>41841</v>
      </c>
      <c r="E434" s="8">
        <v>41841</v>
      </c>
      <c r="F434" s="9">
        <v>307.7</v>
      </c>
    </row>
    <row r="435" spans="1:6" x14ac:dyDescent="0.25">
      <c r="A435" s="10" t="s">
        <v>115</v>
      </c>
      <c r="B435" s="11" t="s">
        <v>153</v>
      </c>
      <c r="C435" s="11" t="s">
        <v>24</v>
      </c>
      <c r="D435" s="12">
        <v>41845</v>
      </c>
      <c r="E435" s="12">
        <v>41848</v>
      </c>
      <c r="F435" s="13">
        <v>737.7</v>
      </c>
    </row>
    <row r="436" spans="1:6" x14ac:dyDescent="0.25">
      <c r="A436" s="6" t="s">
        <v>122</v>
      </c>
      <c r="B436" s="7" t="s">
        <v>123</v>
      </c>
      <c r="C436" s="7" t="s">
        <v>17</v>
      </c>
      <c r="D436" s="8">
        <v>41845</v>
      </c>
      <c r="E436" s="8">
        <v>41847</v>
      </c>
      <c r="F436" s="9">
        <v>911.5</v>
      </c>
    </row>
    <row r="437" spans="1:6" x14ac:dyDescent="0.25">
      <c r="A437" s="10" t="s">
        <v>82</v>
      </c>
      <c r="B437" s="11" t="s">
        <v>83</v>
      </c>
      <c r="C437" s="11" t="s">
        <v>30</v>
      </c>
      <c r="D437" s="12">
        <v>41845</v>
      </c>
      <c r="E437" s="12">
        <v>41849</v>
      </c>
      <c r="F437" s="13">
        <v>688.5</v>
      </c>
    </row>
    <row r="438" spans="1:6" x14ac:dyDescent="0.25">
      <c r="A438" s="6" t="s">
        <v>28</v>
      </c>
      <c r="B438" s="7" t="s">
        <v>60</v>
      </c>
      <c r="C438" s="7" t="s">
        <v>30</v>
      </c>
      <c r="D438" s="8">
        <v>41845</v>
      </c>
      <c r="E438" s="8">
        <v>41849</v>
      </c>
      <c r="F438" s="9">
        <v>688.5</v>
      </c>
    </row>
    <row r="439" spans="1:6" x14ac:dyDescent="0.25">
      <c r="A439" s="10" t="s">
        <v>54</v>
      </c>
      <c r="B439" s="11" t="s">
        <v>121</v>
      </c>
      <c r="C439" s="11" t="s">
        <v>11</v>
      </c>
      <c r="D439" s="12">
        <v>41845</v>
      </c>
      <c r="E439" s="12">
        <v>41849</v>
      </c>
      <c r="F439" s="13">
        <v>712.4</v>
      </c>
    </row>
    <row r="440" spans="1:6" x14ac:dyDescent="0.25">
      <c r="A440" s="6" t="s">
        <v>111</v>
      </c>
      <c r="B440" s="7" t="s">
        <v>112</v>
      </c>
      <c r="C440" s="7" t="s">
        <v>17</v>
      </c>
      <c r="D440" s="8">
        <v>41845</v>
      </c>
      <c r="E440" s="8">
        <v>41846</v>
      </c>
      <c r="F440" s="9">
        <v>706.5</v>
      </c>
    </row>
    <row r="441" spans="1:6" x14ac:dyDescent="0.25">
      <c r="A441" s="10" t="s">
        <v>15</v>
      </c>
      <c r="B441" s="11" t="s">
        <v>44</v>
      </c>
      <c r="C441" s="11" t="s">
        <v>38</v>
      </c>
      <c r="D441" s="12">
        <v>41851</v>
      </c>
      <c r="E441" s="12">
        <v>41855</v>
      </c>
      <c r="F441" s="13">
        <v>794.8</v>
      </c>
    </row>
    <row r="442" spans="1:6" x14ac:dyDescent="0.25">
      <c r="A442" s="6" t="s">
        <v>15</v>
      </c>
      <c r="B442" s="7" t="s">
        <v>46</v>
      </c>
      <c r="C442" s="7" t="s">
        <v>72</v>
      </c>
      <c r="D442" s="8">
        <v>41851</v>
      </c>
      <c r="E442" s="8">
        <v>41854</v>
      </c>
      <c r="F442" s="9">
        <v>1091.7</v>
      </c>
    </row>
    <row r="443" spans="1:6" x14ac:dyDescent="0.25">
      <c r="A443" s="10" t="s">
        <v>93</v>
      </c>
      <c r="B443" s="11" t="s">
        <v>124</v>
      </c>
      <c r="C443" s="11" t="s">
        <v>72</v>
      </c>
      <c r="D443" s="12">
        <v>41851</v>
      </c>
      <c r="E443" s="12">
        <v>41853</v>
      </c>
      <c r="F443" s="13">
        <v>892.7</v>
      </c>
    </row>
    <row r="444" spans="1:6" x14ac:dyDescent="0.25">
      <c r="A444" s="6" t="s">
        <v>82</v>
      </c>
      <c r="B444" s="7" t="s">
        <v>83</v>
      </c>
      <c r="C444" s="7" t="s">
        <v>27</v>
      </c>
      <c r="D444" s="8">
        <v>41851</v>
      </c>
      <c r="E444" s="8">
        <v>41852</v>
      </c>
      <c r="F444" s="9">
        <v>570</v>
      </c>
    </row>
    <row r="445" spans="1:6" x14ac:dyDescent="0.25">
      <c r="A445" s="10" t="s">
        <v>6</v>
      </c>
      <c r="B445" s="11" t="s">
        <v>56</v>
      </c>
      <c r="C445" s="11" t="s">
        <v>24</v>
      </c>
      <c r="D445" s="12">
        <v>41851</v>
      </c>
      <c r="E445" s="12">
        <v>41854</v>
      </c>
      <c r="F445" s="13">
        <v>737.7</v>
      </c>
    </row>
    <row r="446" spans="1:6" x14ac:dyDescent="0.25">
      <c r="A446" s="6" t="s">
        <v>33</v>
      </c>
      <c r="B446" s="7" t="s">
        <v>41</v>
      </c>
      <c r="C446" s="7" t="s">
        <v>30</v>
      </c>
      <c r="D446" s="8">
        <v>41851</v>
      </c>
      <c r="E446" s="8">
        <v>41855</v>
      </c>
      <c r="F446" s="9">
        <v>688.5</v>
      </c>
    </row>
    <row r="447" spans="1:6" x14ac:dyDescent="0.25">
      <c r="A447" s="10" t="s">
        <v>101</v>
      </c>
      <c r="B447" s="11" t="s">
        <v>102</v>
      </c>
      <c r="C447" s="11" t="s">
        <v>38</v>
      </c>
      <c r="D447" s="12">
        <v>41851</v>
      </c>
      <c r="E447" s="12">
        <v>41853</v>
      </c>
      <c r="F447" s="13">
        <v>536.79999999999995</v>
      </c>
    </row>
    <row r="448" spans="1:6" x14ac:dyDescent="0.25">
      <c r="A448" s="6" t="s">
        <v>164</v>
      </c>
      <c r="B448" s="7" t="s">
        <v>165</v>
      </c>
      <c r="C448" s="7" t="s">
        <v>47</v>
      </c>
      <c r="D448" s="8">
        <v>41851</v>
      </c>
      <c r="E448" s="8">
        <v>41852</v>
      </c>
      <c r="F448" s="9">
        <v>526.79999999999995</v>
      </c>
    </row>
    <row r="449" spans="1:6" x14ac:dyDescent="0.25">
      <c r="A449" s="10" t="s">
        <v>107</v>
      </c>
      <c r="B449" s="11" t="s">
        <v>108</v>
      </c>
      <c r="C449" s="11" t="s">
        <v>8</v>
      </c>
      <c r="D449" s="12">
        <v>41851</v>
      </c>
      <c r="E449" s="12">
        <v>41855</v>
      </c>
      <c r="F449" s="13">
        <v>1524</v>
      </c>
    </row>
    <row r="450" spans="1:6" x14ac:dyDescent="0.25">
      <c r="A450" s="6" t="s">
        <v>166</v>
      </c>
      <c r="B450" s="7" t="s">
        <v>167</v>
      </c>
      <c r="C450" s="7" t="s">
        <v>17</v>
      </c>
      <c r="D450" s="8">
        <v>41851</v>
      </c>
      <c r="E450" s="8">
        <v>41854</v>
      </c>
      <c r="F450" s="9">
        <v>1116.5</v>
      </c>
    </row>
    <row r="451" spans="1:6" x14ac:dyDescent="0.25">
      <c r="A451" s="10" t="s">
        <v>134</v>
      </c>
      <c r="B451" s="11" t="s">
        <v>149</v>
      </c>
      <c r="C451" s="11" t="s">
        <v>11</v>
      </c>
      <c r="D451" s="12">
        <v>41851</v>
      </c>
      <c r="E451" s="12">
        <v>41852</v>
      </c>
      <c r="F451" s="13">
        <v>295.39999999999998</v>
      </c>
    </row>
    <row r="452" spans="1:6" x14ac:dyDescent="0.25">
      <c r="A452" s="6" t="s">
        <v>111</v>
      </c>
      <c r="B452" s="7" t="s">
        <v>112</v>
      </c>
      <c r="C452" s="7" t="s">
        <v>72</v>
      </c>
      <c r="D452" s="8">
        <v>41851</v>
      </c>
      <c r="E452" s="8">
        <v>41852</v>
      </c>
      <c r="F452" s="9">
        <v>693.7</v>
      </c>
    </row>
    <row r="453" spans="1:6" x14ac:dyDescent="0.25">
      <c r="A453" s="10" t="s">
        <v>31</v>
      </c>
      <c r="B453" s="11" t="s">
        <v>77</v>
      </c>
      <c r="C453" s="11" t="s">
        <v>59</v>
      </c>
      <c r="D453" s="12">
        <v>41851</v>
      </c>
      <c r="E453" s="12">
        <v>41852</v>
      </c>
      <c r="F453" s="13">
        <v>601</v>
      </c>
    </row>
    <row r="454" spans="1:6" x14ac:dyDescent="0.25">
      <c r="A454" s="6" t="s">
        <v>15</v>
      </c>
      <c r="B454" s="7" t="s">
        <v>16</v>
      </c>
      <c r="C454" s="7" t="s">
        <v>8</v>
      </c>
      <c r="D454" s="8">
        <v>41851</v>
      </c>
      <c r="E454" s="8">
        <v>41854</v>
      </c>
      <c r="F454" s="9">
        <v>1313</v>
      </c>
    </row>
    <row r="455" spans="1:6" x14ac:dyDescent="0.25">
      <c r="A455" s="10" t="s">
        <v>113</v>
      </c>
      <c r="B455" s="11" t="s">
        <v>114</v>
      </c>
      <c r="C455" s="11" t="s">
        <v>38</v>
      </c>
      <c r="D455" s="12">
        <v>41851</v>
      </c>
      <c r="E455" s="12">
        <v>41852</v>
      </c>
      <c r="F455" s="13">
        <v>407.8</v>
      </c>
    </row>
    <row r="456" spans="1:6" x14ac:dyDescent="0.25">
      <c r="A456" s="6" t="s">
        <v>91</v>
      </c>
      <c r="B456" s="7" t="s">
        <v>92</v>
      </c>
      <c r="C456" s="7" t="s">
        <v>66</v>
      </c>
      <c r="D456" s="8">
        <v>41851</v>
      </c>
      <c r="E456" s="8">
        <v>41854</v>
      </c>
      <c r="F456" s="9">
        <v>841.7</v>
      </c>
    </row>
    <row r="457" spans="1:6" x14ac:dyDescent="0.25">
      <c r="A457" s="10" t="s">
        <v>93</v>
      </c>
      <c r="B457" s="11" t="s">
        <v>94</v>
      </c>
      <c r="C457" s="11" t="s">
        <v>27</v>
      </c>
      <c r="D457" s="12">
        <v>41851</v>
      </c>
      <c r="E457" s="12">
        <v>41855</v>
      </c>
      <c r="F457" s="13">
        <v>954</v>
      </c>
    </row>
    <row r="458" spans="1:6" x14ac:dyDescent="0.25">
      <c r="A458" s="6" t="s">
        <v>15</v>
      </c>
      <c r="B458" s="7" t="s">
        <v>96</v>
      </c>
      <c r="C458" s="7" t="s">
        <v>30</v>
      </c>
      <c r="D458" s="8">
        <v>41851</v>
      </c>
      <c r="E458" s="8">
        <v>41853</v>
      </c>
      <c r="F458" s="9">
        <v>450.5</v>
      </c>
    </row>
    <row r="459" spans="1:6" x14ac:dyDescent="0.25">
      <c r="A459" s="10" t="s">
        <v>54</v>
      </c>
      <c r="B459" s="11" t="s">
        <v>55</v>
      </c>
      <c r="C459" s="11" t="s">
        <v>38</v>
      </c>
      <c r="D459" s="12">
        <v>41857</v>
      </c>
      <c r="E459" s="12">
        <v>41858</v>
      </c>
      <c r="F459" s="13">
        <v>407.8</v>
      </c>
    </row>
    <row r="460" spans="1:6" x14ac:dyDescent="0.25">
      <c r="A460" s="6" t="s">
        <v>143</v>
      </c>
      <c r="B460" s="7" t="s">
        <v>144</v>
      </c>
      <c r="C460" s="7" t="s">
        <v>17</v>
      </c>
      <c r="D460" s="8">
        <v>41857</v>
      </c>
      <c r="E460" s="8">
        <v>41858</v>
      </c>
      <c r="F460" s="9">
        <v>706.5</v>
      </c>
    </row>
    <row r="461" spans="1:6" x14ac:dyDescent="0.25">
      <c r="A461" s="10" t="s">
        <v>25</v>
      </c>
      <c r="B461" s="11" t="s">
        <v>35</v>
      </c>
      <c r="C461" s="11" t="s">
        <v>27</v>
      </c>
      <c r="D461" s="12">
        <v>41857</v>
      </c>
      <c r="E461" s="12">
        <v>41861</v>
      </c>
      <c r="F461" s="13">
        <v>954</v>
      </c>
    </row>
    <row r="462" spans="1:6" x14ac:dyDescent="0.25">
      <c r="A462" s="6" t="s">
        <v>15</v>
      </c>
      <c r="B462" s="7" t="s">
        <v>63</v>
      </c>
      <c r="C462" s="7" t="s">
        <v>30</v>
      </c>
      <c r="D462" s="8">
        <v>41857</v>
      </c>
      <c r="E462" s="8">
        <v>41861</v>
      </c>
      <c r="F462" s="9">
        <v>688.5</v>
      </c>
    </row>
    <row r="463" spans="1:6" x14ac:dyDescent="0.25">
      <c r="A463" s="10" t="s">
        <v>93</v>
      </c>
      <c r="B463" s="11" t="s">
        <v>94</v>
      </c>
      <c r="C463" s="11" t="s">
        <v>47</v>
      </c>
      <c r="D463" s="12">
        <v>41857</v>
      </c>
      <c r="E463" s="12">
        <v>41860</v>
      </c>
      <c r="F463" s="13">
        <v>852.8</v>
      </c>
    </row>
    <row r="464" spans="1:6" x14ac:dyDescent="0.25">
      <c r="A464" s="6" t="s">
        <v>143</v>
      </c>
      <c r="B464" s="7" t="s">
        <v>144</v>
      </c>
      <c r="C464" s="7" t="s">
        <v>66</v>
      </c>
      <c r="D464" s="8">
        <v>41860</v>
      </c>
      <c r="E464" s="8">
        <v>41860</v>
      </c>
      <c r="F464" s="9">
        <v>307.7</v>
      </c>
    </row>
    <row r="465" spans="1:6" x14ac:dyDescent="0.25">
      <c r="A465" s="10" t="s">
        <v>22</v>
      </c>
      <c r="B465" s="11" t="s">
        <v>23</v>
      </c>
      <c r="C465" s="11" t="s">
        <v>8</v>
      </c>
      <c r="D465" s="12">
        <v>41863</v>
      </c>
      <c r="E465" s="12">
        <v>41867</v>
      </c>
      <c r="F465" s="13">
        <v>1524</v>
      </c>
    </row>
    <row r="466" spans="1:6" x14ac:dyDescent="0.25">
      <c r="A466" s="6" t="s">
        <v>115</v>
      </c>
      <c r="B466" s="7" t="s">
        <v>153</v>
      </c>
      <c r="C466" s="7" t="s">
        <v>47</v>
      </c>
      <c r="D466" s="8">
        <v>41863</v>
      </c>
      <c r="E466" s="8">
        <v>41864</v>
      </c>
      <c r="F466" s="9">
        <v>526.79999999999995</v>
      </c>
    </row>
    <row r="467" spans="1:6" x14ac:dyDescent="0.25">
      <c r="A467" s="10" t="s">
        <v>93</v>
      </c>
      <c r="B467" s="11" t="s">
        <v>124</v>
      </c>
      <c r="C467" s="11" t="s">
        <v>24</v>
      </c>
      <c r="D467" s="12">
        <v>41863</v>
      </c>
      <c r="E467" s="12">
        <v>41865</v>
      </c>
      <c r="F467" s="13">
        <v>588.70000000000005</v>
      </c>
    </row>
    <row r="468" spans="1:6" x14ac:dyDescent="0.25">
      <c r="A468" s="6" t="s">
        <v>79</v>
      </c>
      <c r="B468" s="7" t="s">
        <v>80</v>
      </c>
      <c r="C468" s="7" t="s">
        <v>24</v>
      </c>
      <c r="D468" s="8">
        <v>41863</v>
      </c>
      <c r="E468" s="8">
        <v>41863</v>
      </c>
      <c r="F468" s="9">
        <v>290.7</v>
      </c>
    </row>
    <row r="469" spans="1:6" x14ac:dyDescent="0.25">
      <c r="A469" s="10" t="s">
        <v>84</v>
      </c>
      <c r="B469" s="11" t="s">
        <v>85</v>
      </c>
      <c r="C469" s="11" t="s">
        <v>66</v>
      </c>
      <c r="D469" s="12">
        <v>41863</v>
      </c>
      <c r="E469" s="12">
        <v>41865</v>
      </c>
      <c r="F469" s="13">
        <v>663.7</v>
      </c>
    </row>
    <row r="470" spans="1:6" x14ac:dyDescent="0.25">
      <c r="A470" s="6" t="s">
        <v>28</v>
      </c>
      <c r="B470" s="7" t="s">
        <v>60</v>
      </c>
      <c r="C470" s="7" t="s">
        <v>38</v>
      </c>
      <c r="D470" s="8">
        <v>41863</v>
      </c>
      <c r="E470" s="8">
        <v>41865</v>
      </c>
      <c r="F470" s="9">
        <v>536.79999999999995</v>
      </c>
    </row>
    <row r="471" spans="1:6" x14ac:dyDescent="0.25">
      <c r="A471" s="10" t="s">
        <v>9</v>
      </c>
      <c r="B471" s="11" t="s">
        <v>10</v>
      </c>
      <c r="C471" s="11" t="s">
        <v>47</v>
      </c>
      <c r="D471" s="12">
        <v>41863</v>
      </c>
      <c r="E471" s="12">
        <v>41864</v>
      </c>
      <c r="F471" s="13">
        <v>526.79999999999995</v>
      </c>
    </row>
    <row r="472" spans="1:6" x14ac:dyDescent="0.25">
      <c r="A472" s="6" t="s">
        <v>73</v>
      </c>
      <c r="B472" s="7" t="s">
        <v>74</v>
      </c>
      <c r="C472" s="7" t="s">
        <v>8</v>
      </c>
      <c r="D472" s="8">
        <v>41863</v>
      </c>
      <c r="E472" s="8">
        <v>41864</v>
      </c>
      <c r="F472" s="9">
        <v>891</v>
      </c>
    </row>
    <row r="473" spans="1:6" x14ac:dyDescent="0.25">
      <c r="A473" s="10" t="s">
        <v>73</v>
      </c>
      <c r="B473" s="11" t="s">
        <v>104</v>
      </c>
      <c r="C473" s="11" t="s">
        <v>17</v>
      </c>
      <c r="D473" s="12">
        <v>41863</v>
      </c>
      <c r="E473" s="12">
        <v>41867</v>
      </c>
      <c r="F473" s="13">
        <v>1321.5</v>
      </c>
    </row>
    <row r="474" spans="1:6" x14ac:dyDescent="0.25">
      <c r="A474" s="6" t="s">
        <v>86</v>
      </c>
      <c r="B474" s="7" t="s">
        <v>87</v>
      </c>
      <c r="C474" s="7" t="s">
        <v>72</v>
      </c>
      <c r="D474" s="8">
        <v>41863</v>
      </c>
      <c r="E474" s="8">
        <v>41863</v>
      </c>
      <c r="F474" s="9">
        <v>494.7</v>
      </c>
    </row>
    <row r="475" spans="1:6" x14ac:dyDescent="0.25">
      <c r="A475" s="10" t="s">
        <v>145</v>
      </c>
      <c r="B475" s="11" t="s">
        <v>146</v>
      </c>
      <c r="C475" s="11" t="s">
        <v>30</v>
      </c>
      <c r="D475" s="12">
        <v>41863</v>
      </c>
      <c r="E475" s="12">
        <v>41867</v>
      </c>
      <c r="F475" s="13">
        <v>688.5</v>
      </c>
    </row>
    <row r="476" spans="1:6" x14ac:dyDescent="0.25">
      <c r="A476" s="6" t="s">
        <v>25</v>
      </c>
      <c r="B476" s="7" t="s">
        <v>35</v>
      </c>
      <c r="C476" s="7" t="s">
        <v>72</v>
      </c>
      <c r="D476" s="8">
        <v>41863</v>
      </c>
      <c r="E476" s="8">
        <v>41863</v>
      </c>
      <c r="F476" s="9">
        <v>494.7</v>
      </c>
    </row>
    <row r="477" spans="1:6" x14ac:dyDescent="0.25">
      <c r="A477" s="10" t="s">
        <v>119</v>
      </c>
      <c r="B477" s="11" t="s">
        <v>120</v>
      </c>
      <c r="C477" s="11" t="s">
        <v>47</v>
      </c>
      <c r="D477" s="12">
        <v>41863</v>
      </c>
      <c r="E477" s="12">
        <v>41865</v>
      </c>
      <c r="F477" s="13">
        <v>689.8</v>
      </c>
    </row>
    <row r="478" spans="1:6" x14ac:dyDescent="0.25">
      <c r="A478" s="6" t="s">
        <v>91</v>
      </c>
      <c r="B478" s="7" t="s">
        <v>92</v>
      </c>
      <c r="C478" s="7" t="s">
        <v>14</v>
      </c>
      <c r="D478" s="8">
        <v>41863</v>
      </c>
      <c r="E478" s="8">
        <v>41867</v>
      </c>
      <c r="F478" s="9">
        <v>674.5</v>
      </c>
    </row>
    <row r="479" spans="1:6" x14ac:dyDescent="0.25">
      <c r="A479" s="10" t="s">
        <v>93</v>
      </c>
      <c r="B479" s="11" t="s">
        <v>94</v>
      </c>
      <c r="C479" s="11" t="s">
        <v>66</v>
      </c>
      <c r="D479" s="12">
        <v>41863</v>
      </c>
      <c r="E479" s="12">
        <v>41865</v>
      </c>
      <c r="F479" s="13">
        <v>663.7</v>
      </c>
    </row>
    <row r="480" spans="1:6" x14ac:dyDescent="0.25">
      <c r="A480" s="6" t="s">
        <v>70</v>
      </c>
      <c r="B480" s="7" t="s">
        <v>117</v>
      </c>
      <c r="C480" s="7" t="s">
        <v>59</v>
      </c>
      <c r="D480" s="8">
        <v>41863</v>
      </c>
      <c r="E480" s="8">
        <v>41865</v>
      </c>
      <c r="F480" s="9">
        <v>760</v>
      </c>
    </row>
    <row r="481" spans="1:6" x14ac:dyDescent="0.25">
      <c r="A481" s="10" t="s">
        <v>20</v>
      </c>
      <c r="B481" s="11" t="s">
        <v>21</v>
      </c>
      <c r="C481" s="11" t="s">
        <v>47</v>
      </c>
      <c r="D481" s="12">
        <v>41863</v>
      </c>
      <c r="E481" s="12">
        <v>41867</v>
      </c>
      <c r="F481" s="13">
        <v>1015.8</v>
      </c>
    </row>
    <row r="482" spans="1:6" x14ac:dyDescent="0.25">
      <c r="A482" s="6" t="s">
        <v>25</v>
      </c>
      <c r="B482" s="7" t="s">
        <v>35</v>
      </c>
      <c r="C482" s="7" t="s">
        <v>47</v>
      </c>
      <c r="D482" s="8">
        <v>41865</v>
      </c>
      <c r="E482" s="8">
        <v>41865</v>
      </c>
      <c r="F482" s="9">
        <v>363.8</v>
      </c>
    </row>
    <row r="483" spans="1:6" x14ac:dyDescent="0.25">
      <c r="A483" s="10" t="s">
        <v>93</v>
      </c>
      <c r="B483" s="11" t="s">
        <v>124</v>
      </c>
      <c r="C483" s="11" t="s">
        <v>8</v>
      </c>
      <c r="D483" s="12">
        <v>41869</v>
      </c>
      <c r="E483" s="12">
        <v>41871</v>
      </c>
      <c r="F483" s="13">
        <v>1102</v>
      </c>
    </row>
    <row r="484" spans="1:6" x14ac:dyDescent="0.25">
      <c r="A484" s="6" t="s">
        <v>54</v>
      </c>
      <c r="B484" s="7" t="s">
        <v>133</v>
      </c>
      <c r="C484" s="7" t="s">
        <v>24</v>
      </c>
      <c r="D484" s="8">
        <v>41869</v>
      </c>
      <c r="E484" s="8">
        <v>41873</v>
      </c>
      <c r="F484" s="9">
        <v>886.7</v>
      </c>
    </row>
    <row r="485" spans="1:6" x14ac:dyDescent="0.25">
      <c r="A485" s="10" t="s">
        <v>70</v>
      </c>
      <c r="B485" s="11" t="s">
        <v>71</v>
      </c>
      <c r="C485" s="11" t="s">
        <v>11</v>
      </c>
      <c r="D485" s="12">
        <v>41869</v>
      </c>
      <c r="E485" s="12">
        <v>41870</v>
      </c>
      <c r="F485" s="13">
        <v>295.39999999999998</v>
      </c>
    </row>
    <row r="486" spans="1:6" x14ac:dyDescent="0.25">
      <c r="A486" s="6" t="s">
        <v>86</v>
      </c>
      <c r="B486" s="7" t="s">
        <v>87</v>
      </c>
      <c r="C486" s="7" t="s">
        <v>8</v>
      </c>
      <c r="D486" s="8">
        <v>41869</v>
      </c>
      <c r="E486" s="8">
        <v>41870</v>
      </c>
      <c r="F486" s="9">
        <v>891</v>
      </c>
    </row>
    <row r="487" spans="1:6" x14ac:dyDescent="0.25">
      <c r="A487" s="10" t="s">
        <v>156</v>
      </c>
      <c r="B487" s="11" t="s">
        <v>157</v>
      </c>
      <c r="C487" s="11" t="s">
        <v>47</v>
      </c>
      <c r="D487" s="12">
        <v>41869</v>
      </c>
      <c r="E487" s="12">
        <v>41871</v>
      </c>
      <c r="F487" s="13">
        <v>689.8</v>
      </c>
    </row>
    <row r="488" spans="1:6" x14ac:dyDescent="0.25">
      <c r="A488" s="6" t="s">
        <v>113</v>
      </c>
      <c r="B488" s="7" t="s">
        <v>114</v>
      </c>
      <c r="C488" s="7" t="s">
        <v>17</v>
      </c>
      <c r="D488" s="8">
        <v>41869</v>
      </c>
      <c r="E488" s="8">
        <v>41871</v>
      </c>
      <c r="F488" s="9">
        <v>911.5</v>
      </c>
    </row>
    <row r="489" spans="1:6" x14ac:dyDescent="0.25">
      <c r="A489" s="10" t="s">
        <v>15</v>
      </c>
      <c r="B489" s="11" t="s">
        <v>44</v>
      </c>
      <c r="C489" s="11" t="s">
        <v>30</v>
      </c>
      <c r="D489" s="12">
        <v>41875</v>
      </c>
      <c r="E489" s="12">
        <v>41877</v>
      </c>
      <c r="F489" s="13">
        <v>450.5</v>
      </c>
    </row>
    <row r="490" spans="1:6" x14ac:dyDescent="0.25">
      <c r="A490" s="6" t="s">
        <v>6</v>
      </c>
      <c r="B490" s="7" t="s">
        <v>7</v>
      </c>
      <c r="C490" s="7" t="s">
        <v>8</v>
      </c>
      <c r="D490" s="8">
        <v>41875</v>
      </c>
      <c r="E490" s="8">
        <v>41879</v>
      </c>
      <c r="F490" s="9">
        <v>1524</v>
      </c>
    </row>
    <row r="491" spans="1:6" x14ac:dyDescent="0.25">
      <c r="A491" s="10" t="s">
        <v>33</v>
      </c>
      <c r="B491" s="11" t="s">
        <v>141</v>
      </c>
      <c r="C491" s="11" t="s">
        <v>17</v>
      </c>
      <c r="D491" s="12">
        <v>41875</v>
      </c>
      <c r="E491" s="12">
        <v>41876</v>
      </c>
      <c r="F491" s="13">
        <v>706.5</v>
      </c>
    </row>
    <row r="492" spans="1:6" x14ac:dyDescent="0.25">
      <c r="A492" s="6" t="s">
        <v>131</v>
      </c>
      <c r="B492" s="7" t="s">
        <v>154</v>
      </c>
      <c r="C492" s="7" t="s">
        <v>19</v>
      </c>
      <c r="D492" s="8">
        <v>41875</v>
      </c>
      <c r="E492" s="8">
        <v>41879</v>
      </c>
      <c r="F492" s="9">
        <v>1077.4000000000001</v>
      </c>
    </row>
    <row r="493" spans="1:6" x14ac:dyDescent="0.25">
      <c r="A493" s="10" t="s">
        <v>97</v>
      </c>
      <c r="B493" s="11" t="s">
        <v>98</v>
      </c>
      <c r="C493" s="11" t="s">
        <v>8</v>
      </c>
      <c r="D493" s="12">
        <v>41875</v>
      </c>
      <c r="E493" s="12">
        <v>41876</v>
      </c>
      <c r="F493" s="13">
        <v>891</v>
      </c>
    </row>
    <row r="494" spans="1:6" x14ac:dyDescent="0.25">
      <c r="A494" s="6" t="s">
        <v>126</v>
      </c>
      <c r="B494" s="7" t="s">
        <v>127</v>
      </c>
      <c r="C494" s="7" t="s">
        <v>17</v>
      </c>
      <c r="D494" s="8">
        <v>41875</v>
      </c>
      <c r="E494" s="8">
        <v>41878</v>
      </c>
      <c r="F494" s="9">
        <v>1116.5</v>
      </c>
    </row>
    <row r="495" spans="1:6" x14ac:dyDescent="0.25">
      <c r="A495" s="10" t="s">
        <v>9</v>
      </c>
      <c r="B495" s="11" t="s">
        <v>103</v>
      </c>
      <c r="C495" s="11" t="s">
        <v>30</v>
      </c>
      <c r="D495" s="12">
        <v>41875</v>
      </c>
      <c r="E495" s="12">
        <v>41879</v>
      </c>
      <c r="F495" s="13">
        <v>688.5</v>
      </c>
    </row>
    <row r="496" spans="1:6" x14ac:dyDescent="0.25">
      <c r="A496" s="6" t="s">
        <v>156</v>
      </c>
      <c r="B496" s="7" t="s">
        <v>157</v>
      </c>
      <c r="C496" s="7" t="s">
        <v>17</v>
      </c>
      <c r="D496" s="8">
        <v>41875</v>
      </c>
      <c r="E496" s="8">
        <v>41878</v>
      </c>
      <c r="F496" s="9">
        <v>1116.5</v>
      </c>
    </row>
    <row r="497" spans="1:6" x14ac:dyDescent="0.25">
      <c r="A497" s="10" t="s">
        <v>134</v>
      </c>
      <c r="B497" s="11" t="s">
        <v>149</v>
      </c>
      <c r="C497" s="11" t="s">
        <v>24</v>
      </c>
      <c r="D497" s="12">
        <v>41875</v>
      </c>
      <c r="E497" s="12">
        <v>41879</v>
      </c>
      <c r="F497" s="13">
        <v>886.7</v>
      </c>
    </row>
    <row r="498" spans="1:6" x14ac:dyDescent="0.25">
      <c r="A498" s="6" t="s">
        <v>113</v>
      </c>
      <c r="B498" s="7" t="s">
        <v>114</v>
      </c>
      <c r="C498" s="7" t="s">
        <v>72</v>
      </c>
      <c r="D498" s="8">
        <v>41875</v>
      </c>
      <c r="E498" s="8">
        <v>41877</v>
      </c>
      <c r="F498" s="9">
        <v>892.7</v>
      </c>
    </row>
    <row r="499" spans="1:6" x14ac:dyDescent="0.25">
      <c r="A499" s="10" t="s">
        <v>86</v>
      </c>
      <c r="B499" s="11" t="s">
        <v>136</v>
      </c>
      <c r="C499" s="11" t="s">
        <v>14</v>
      </c>
      <c r="D499" s="12">
        <v>41875</v>
      </c>
      <c r="E499" s="12">
        <v>41879</v>
      </c>
      <c r="F499" s="13">
        <v>674.5</v>
      </c>
    </row>
    <row r="500" spans="1:6" x14ac:dyDescent="0.25">
      <c r="A500" s="6" t="s">
        <v>50</v>
      </c>
      <c r="B500" s="7" t="s">
        <v>51</v>
      </c>
      <c r="C500" s="7" t="s">
        <v>8</v>
      </c>
      <c r="D500" s="8">
        <v>41876</v>
      </c>
      <c r="E500" s="8">
        <v>41877</v>
      </c>
      <c r="F500" s="9">
        <v>891</v>
      </c>
    </row>
    <row r="501" spans="1:6" x14ac:dyDescent="0.25">
      <c r="A501" s="10" t="s">
        <v>107</v>
      </c>
      <c r="B501" s="11" t="s">
        <v>108</v>
      </c>
      <c r="C501" s="11" t="s">
        <v>19</v>
      </c>
      <c r="D501" s="12">
        <v>41876</v>
      </c>
      <c r="E501" s="12">
        <v>41877</v>
      </c>
      <c r="F501" s="13">
        <v>654.4</v>
      </c>
    </row>
    <row r="502" spans="1:6" x14ac:dyDescent="0.25">
      <c r="A502" s="6" t="s">
        <v>20</v>
      </c>
      <c r="B502" s="7" t="s">
        <v>162</v>
      </c>
      <c r="C502" s="7" t="s">
        <v>59</v>
      </c>
      <c r="D502" s="8">
        <v>41876</v>
      </c>
      <c r="E502" s="8">
        <v>41878</v>
      </c>
      <c r="F502" s="9">
        <v>760</v>
      </c>
    </row>
    <row r="503" spans="1:6" x14ac:dyDescent="0.25">
      <c r="A503" s="10" t="s">
        <v>15</v>
      </c>
      <c r="B503" s="11" t="s">
        <v>16</v>
      </c>
      <c r="C503" s="11" t="s">
        <v>38</v>
      </c>
      <c r="D503" s="12">
        <v>41876</v>
      </c>
      <c r="E503" s="12">
        <v>41877</v>
      </c>
      <c r="F503" s="13">
        <v>407.8</v>
      </c>
    </row>
    <row r="504" spans="1:6" x14ac:dyDescent="0.25">
      <c r="A504" s="6" t="s">
        <v>20</v>
      </c>
      <c r="B504" s="7" t="s">
        <v>21</v>
      </c>
      <c r="C504" s="7" t="s">
        <v>19</v>
      </c>
      <c r="D504" s="8">
        <v>41876</v>
      </c>
      <c r="E504" s="8">
        <v>41877</v>
      </c>
      <c r="F504" s="9">
        <v>654.4</v>
      </c>
    </row>
    <row r="505" spans="1:6" x14ac:dyDescent="0.25">
      <c r="A505" s="10" t="s">
        <v>25</v>
      </c>
      <c r="B505" s="11" t="s">
        <v>26</v>
      </c>
      <c r="C505" s="11" t="s">
        <v>38</v>
      </c>
      <c r="D505" s="12">
        <v>41877</v>
      </c>
      <c r="E505" s="12">
        <v>41878</v>
      </c>
      <c r="F505" s="13">
        <v>407.8</v>
      </c>
    </row>
    <row r="506" spans="1:6" x14ac:dyDescent="0.25">
      <c r="A506" s="6" t="s">
        <v>93</v>
      </c>
      <c r="B506" s="7" t="s">
        <v>106</v>
      </c>
      <c r="C506" s="7" t="s">
        <v>72</v>
      </c>
      <c r="D506" s="8">
        <v>41878</v>
      </c>
      <c r="E506" s="8">
        <v>41878</v>
      </c>
      <c r="F506" s="9">
        <v>494.7</v>
      </c>
    </row>
    <row r="507" spans="1:6" x14ac:dyDescent="0.25">
      <c r="A507" s="10" t="s">
        <v>79</v>
      </c>
      <c r="B507" s="11" t="s">
        <v>80</v>
      </c>
      <c r="C507" s="11" t="s">
        <v>47</v>
      </c>
      <c r="D507" s="12">
        <v>41881</v>
      </c>
      <c r="E507" s="12">
        <v>41884</v>
      </c>
      <c r="F507" s="13">
        <v>852.8</v>
      </c>
    </row>
    <row r="508" spans="1:6" x14ac:dyDescent="0.25">
      <c r="A508" s="6" t="s">
        <v>50</v>
      </c>
      <c r="B508" s="7" t="s">
        <v>51</v>
      </c>
      <c r="C508" s="7" t="s">
        <v>72</v>
      </c>
      <c r="D508" s="8">
        <v>41881</v>
      </c>
      <c r="E508" s="8">
        <v>41882</v>
      </c>
      <c r="F508" s="9">
        <v>693.7</v>
      </c>
    </row>
    <row r="509" spans="1:6" x14ac:dyDescent="0.25">
      <c r="A509" s="10" t="s">
        <v>25</v>
      </c>
      <c r="B509" s="11" t="s">
        <v>26</v>
      </c>
      <c r="C509" s="11" t="s">
        <v>11</v>
      </c>
      <c r="D509" s="12">
        <v>41881</v>
      </c>
      <c r="E509" s="12">
        <v>41883</v>
      </c>
      <c r="F509" s="13">
        <v>434.4</v>
      </c>
    </row>
    <row r="510" spans="1:6" x14ac:dyDescent="0.25">
      <c r="A510" s="6" t="s">
        <v>82</v>
      </c>
      <c r="B510" s="7" t="s">
        <v>125</v>
      </c>
      <c r="C510" s="7" t="s">
        <v>66</v>
      </c>
      <c r="D510" s="8">
        <v>41881</v>
      </c>
      <c r="E510" s="8">
        <v>41882</v>
      </c>
      <c r="F510" s="9">
        <v>485.7</v>
      </c>
    </row>
    <row r="511" spans="1:6" x14ac:dyDescent="0.25">
      <c r="A511" s="10" t="s">
        <v>134</v>
      </c>
      <c r="B511" s="11" t="s">
        <v>149</v>
      </c>
      <c r="C511" s="11" t="s">
        <v>8</v>
      </c>
      <c r="D511" s="12">
        <v>41881</v>
      </c>
      <c r="E511" s="12">
        <v>41882</v>
      </c>
      <c r="F511" s="13">
        <v>891</v>
      </c>
    </row>
    <row r="512" spans="1:6" x14ac:dyDescent="0.25">
      <c r="A512" s="6" t="s">
        <v>64</v>
      </c>
      <c r="B512" s="7" t="s">
        <v>65</v>
      </c>
      <c r="C512" s="7" t="s">
        <v>17</v>
      </c>
      <c r="D512" s="8">
        <v>41881</v>
      </c>
      <c r="E512" s="8">
        <v>41885</v>
      </c>
      <c r="F512" s="9">
        <v>1321.5</v>
      </c>
    </row>
    <row r="513" spans="1:6" x14ac:dyDescent="0.25">
      <c r="A513" s="10" t="s">
        <v>109</v>
      </c>
      <c r="B513" s="11" t="s">
        <v>110</v>
      </c>
      <c r="C513" s="11" t="s">
        <v>14</v>
      </c>
      <c r="D513" s="12">
        <v>41885</v>
      </c>
      <c r="E513" s="12">
        <v>41888</v>
      </c>
      <c r="F513" s="13">
        <v>550.5</v>
      </c>
    </row>
    <row r="514" spans="1:6" x14ac:dyDescent="0.25">
      <c r="A514" s="6" t="s">
        <v>31</v>
      </c>
      <c r="B514" s="7" t="s">
        <v>78</v>
      </c>
      <c r="C514" s="7" t="s">
        <v>24</v>
      </c>
      <c r="D514" s="8">
        <v>41886</v>
      </c>
      <c r="E514" s="8">
        <v>41887</v>
      </c>
      <c r="F514" s="9">
        <v>439.7</v>
      </c>
    </row>
    <row r="515" spans="1:6" x14ac:dyDescent="0.25">
      <c r="A515" s="10" t="s">
        <v>6</v>
      </c>
      <c r="B515" s="11" t="s">
        <v>7</v>
      </c>
      <c r="C515" s="11" t="s">
        <v>30</v>
      </c>
      <c r="D515" s="12">
        <v>41886</v>
      </c>
      <c r="E515" s="12">
        <v>41889</v>
      </c>
      <c r="F515" s="13">
        <v>569.5</v>
      </c>
    </row>
    <row r="516" spans="1:6" x14ac:dyDescent="0.25">
      <c r="A516" s="6" t="s">
        <v>122</v>
      </c>
      <c r="B516" s="7" t="s">
        <v>123</v>
      </c>
      <c r="C516" s="7" t="s">
        <v>14</v>
      </c>
      <c r="D516" s="8">
        <v>41886</v>
      </c>
      <c r="E516" s="8">
        <v>41889</v>
      </c>
      <c r="F516" s="9">
        <v>550.5</v>
      </c>
    </row>
    <row r="517" spans="1:6" x14ac:dyDescent="0.25">
      <c r="A517" s="10" t="s">
        <v>93</v>
      </c>
      <c r="B517" s="11" t="s">
        <v>124</v>
      </c>
      <c r="C517" s="11" t="s">
        <v>24</v>
      </c>
      <c r="D517" s="12">
        <v>41886</v>
      </c>
      <c r="E517" s="12">
        <v>41887</v>
      </c>
      <c r="F517" s="13">
        <v>439.7</v>
      </c>
    </row>
    <row r="518" spans="1:6" x14ac:dyDescent="0.25">
      <c r="A518" s="6" t="s">
        <v>22</v>
      </c>
      <c r="B518" s="7" t="s">
        <v>172</v>
      </c>
      <c r="C518" s="7" t="s">
        <v>24</v>
      </c>
      <c r="D518" s="8">
        <v>41886</v>
      </c>
      <c r="E518" s="8">
        <v>41886</v>
      </c>
      <c r="F518" s="9">
        <v>290.7</v>
      </c>
    </row>
    <row r="519" spans="1:6" x14ac:dyDescent="0.25">
      <c r="A519" s="10" t="s">
        <v>84</v>
      </c>
      <c r="B519" s="11" t="s">
        <v>85</v>
      </c>
      <c r="C519" s="11" t="s">
        <v>19</v>
      </c>
      <c r="D519" s="12">
        <v>41886</v>
      </c>
      <c r="E519" s="12">
        <v>41890</v>
      </c>
      <c r="F519" s="13">
        <v>1077.4000000000001</v>
      </c>
    </row>
    <row r="520" spans="1:6" x14ac:dyDescent="0.25">
      <c r="A520" s="6" t="s">
        <v>82</v>
      </c>
      <c r="B520" s="7" t="s">
        <v>125</v>
      </c>
      <c r="C520" s="7" t="s">
        <v>14</v>
      </c>
      <c r="D520" s="8">
        <v>41886</v>
      </c>
      <c r="E520" s="8">
        <v>41888</v>
      </c>
      <c r="F520" s="9">
        <v>426.5</v>
      </c>
    </row>
    <row r="521" spans="1:6" x14ac:dyDescent="0.25">
      <c r="A521" s="10" t="s">
        <v>33</v>
      </c>
      <c r="B521" s="11" t="s">
        <v>34</v>
      </c>
      <c r="C521" s="11" t="s">
        <v>27</v>
      </c>
      <c r="D521" s="12">
        <v>41886</v>
      </c>
      <c r="E521" s="12">
        <v>41887</v>
      </c>
      <c r="F521" s="13">
        <v>570</v>
      </c>
    </row>
    <row r="522" spans="1:6" x14ac:dyDescent="0.25">
      <c r="A522" s="6" t="s">
        <v>9</v>
      </c>
      <c r="B522" s="7" t="s">
        <v>69</v>
      </c>
      <c r="C522" s="7" t="s">
        <v>24</v>
      </c>
      <c r="D522" s="8">
        <v>41886</v>
      </c>
      <c r="E522" s="8">
        <v>41886</v>
      </c>
      <c r="F522" s="9">
        <v>290.7</v>
      </c>
    </row>
    <row r="523" spans="1:6" x14ac:dyDescent="0.25">
      <c r="A523" s="10" t="s">
        <v>143</v>
      </c>
      <c r="B523" s="11" t="s">
        <v>144</v>
      </c>
      <c r="C523" s="11" t="s">
        <v>19</v>
      </c>
      <c r="D523" s="12">
        <v>41886</v>
      </c>
      <c r="E523" s="12">
        <v>41887</v>
      </c>
      <c r="F523" s="13">
        <v>654.4</v>
      </c>
    </row>
    <row r="524" spans="1:6" x14ac:dyDescent="0.25">
      <c r="A524" s="6" t="s">
        <v>75</v>
      </c>
      <c r="B524" s="7" t="s">
        <v>88</v>
      </c>
      <c r="C524" s="7" t="s">
        <v>66</v>
      </c>
      <c r="D524" s="8">
        <v>41886</v>
      </c>
      <c r="E524" s="8">
        <v>41890</v>
      </c>
      <c r="F524" s="9">
        <v>1019.7</v>
      </c>
    </row>
    <row r="525" spans="1:6" x14ac:dyDescent="0.25">
      <c r="A525" s="10" t="s">
        <v>119</v>
      </c>
      <c r="B525" s="11" t="s">
        <v>120</v>
      </c>
      <c r="C525" s="11" t="s">
        <v>11</v>
      </c>
      <c r="D525" s="12">
        <v>41886</v>
      </c>
      <c r="E525" s="12">
        <v>41889</v>
      </c>
      <c r="F525" s="13">
        <v>573.4</v>
      </c>
    </row>
    <row r="526" spans="1:6" x14ac:dyDescent="0.25">
      <c r="A526" s="6" t="s">
        <v>36</v>
      </c>
      <c r="B526" s="7" t="s">
        <v>37</v>
      </c>
      <c r="C526" s="7" t="s">
        <v>17</v>
      </c>
      <c r="D526" s="8">
        <v>41886</v>
      </c>
      <c r="E526" s="8">
        <v>41889</v>
      </c>
      <c r="F526" s="9">
        <v>1116.5</v>
      </c>
    </row>
    <row r="527" spans="1:6" x14ac:dyDescent="0.25">
      <c r="A527" s="10" t="s">
        <v>75</v>
      </c>
      <c r="B527" s="11" t="s">
        <v>76</v>
      </c>
      <c r="C527" s="11" t="s">
        <v>11</v>
      </c>
      <c r="D527" s="12">
        <v>41886</v>
      </c>
      <c r="E527" s="12">
        <v>41888</v>
      </c>
      <c r="F527" s="13">
        <v>434.4</v>
      </c>
    </row>
    <row r="528" spans="1:6" x14ac:dyDescent="0.25">
      <c r="A528" s="6" t="s">
        <v>91</v>
      </c>
      <c r="B528" s="7" t="s">
        <v>92</v>
      </c>
      <c r="C528" s="7" t="s">
        <v>38</v>
      </c>
      <c r="D528" s="8">
        <v>41886</v>
      </c>
      <c r="E528" s="8">
        <v>41887</v>
      </c>
      <c r="F528" s="9">
        <v>407.8</v>
      </c>
    </row>
    <row r="529" spans="1:6" x14ac:dyDescent="0.25">
      <c r="A529" s="10" t="s">
        <v>12</v>
      </c>
      <c r="B529" s="11" t="s">
        <v>95</v>
      </c>
      <c r="C529" s="11" t="s">
        <v>66</v>
      </c>
      <c r="D529" s="12">
        <v>41886</v>
      </c>
      <c r="E529" s="12">
        <v>41889</v>
      </c>
      <c r="F529" s="13">
        <v>841.7</v>
      </c>
    </row>
    <row r="530" spans="1:6" x14ac:dyDescent="0.25">
      <c r="A530" s="6" t="s">
        <v>54</v>
      </c>
      <c r="B530" s="7" t="s">
        <v>118</v>
      </c>
      <c r="C530" s="7" t="s">
        <v>30</v>
      </c>
      <c r="D530" s="8">
        <v>41886</v>
      </c>
      <c r="E530" s="8">
        <v>41886</v>
      </c>
      <c r="F530" s="9">
        <v>212.5</v>
      </c>
    </row>
    <row r="531" spans="1:6" x14ac:dyDescent="0.25">
      <c r="A531" s="10" t="s">
        <v>15</v>
      </c>
      <c r="B531" s="11" t="s">
        <v>46</v>
      </c>
      <c r="C531" s="11" t="s">
        <v>24</v>
      </c>
      <c r="D531" s="12">
        <v>41887</v>
      </c>
      <c r="E531" s="12">
        <v>41889</v>
      </c>
      <c r="F531" s="13">
        <v>588.70000000000005</v>
      </c>
    </row>
    <row r="532" spans="1:6" x14ac:dyDescent="0.25">
      <c r="A532" s="6" t="s">
        <v>25</v>
      </c>
      <c r="B532" s="7" t="s">
        <v>26</v>
      </c>
      <c r="C532" s="7" t="s">
        <v>17</v>
      </c>
      <c r="D532" s="8">
        <v>41887</v>
      </c>
      <c r="E532" s="8">
        <v>41887</v>
      </c>
      <c r="F532" s="9">
        <v>501.5</v>
      </c>
    </row>
    <row r="533" spans="1:6" x14ac:dyDescent="0.25">
      <c r="A533" s="10" t="s">
        <v>70</v>
      </c>
      <c r="B533" s="11" t="s">
        <v>71</v>
      </c>
      <c r="C533" s="11" t="s">
        <v>14</v>
      </c>
      <c r="D533" s="12">
        <v>41887</v>
      </c>
      <c r="E533" s="12">
        <v>41888</v>
      </c>
      <c r="F533" s="13">
        <v>302.5</v>
      </c>
    </row>
    <row r="534" spans="1:6" x14ac:dyDescent="0.25">
      <c r="A534" s="6" t="s">
        <v>115</v>
      </c>
      <c r="B534" s="7" t="s">
        <v>140</v>
      </c>
      <c r="C534" s="7" t="s">
        <v>27</v>
      </c>
      <c r="D534" s="8">
        <v>41887</v>
      </c>
      <c r="E534" s="8">
        <v>41887</v>
      </c>
      <c r="F534" s="9">
        <v>442</v>
      </c>
    </row>
    <row r="535" spans="1:6" x14ac:dyDescent="0.25">
      <c r="A535" s="10" t="s">
        <v>134</v>
      </c>
      <c r="B535" s="11" t="s">
        <v>135</v>
      </c>
      <c r="C535" s="11" t="s">
        <v>19</v>
      </c>
      <c r="D535" s="12">
        <v>41887</v>
      </c>
      <c r="E535" s="12">
        <v>41890</v>
      </c>
      <c r="F535" s="13">
        <v>936.4</v>
      </c>
    </row>
    <row r="536" spans="1:6" x14ac:dyDescent="0.25">
      <c r="A536" s="6" t="s">
        <v>99</v>
      </c>
      <c r="B536" s="7" t="s">
        <v>100</v>
      </c>
      <c r="C536" s="7" t="s">
        <v>19</v>
      </c>
      <c r="D536" s="8">
        <v>41887</v>
      </c>
      <c r="E536" s="8">
        <v>41887</v>
      </c>
      <c r="F536" s="9">
        <v>513.4</v>
      </c>
    </row>
    <row r="537" spans="1:6" x14ac:dyDescent="0.25">
      <c r="A537" s="10" t="s">
        <v>101</v>
      </c>
      <c r="B537" s="11" t="s">
        <v>102</v>
      </c>
      <c r="C537" s="11" t="s">
        <v>11</v>
      </c>
      <c r="D537" s="12">
        <v>41887</v>
      </c>
      <c r="E537" s="12">
        <v>41888</v>
      </c>
      <c r="F537" s="13">
        <v>295.39999999999998</v>
      </c>
    </row>
    <row r="538" spans="1:6" x14ac:dyDescent="0.25">
      <c r="A538" s="6" t="s">
        <v>143</v>
      </c>
      <c r="B538" s="7" t="s">
        <v>144</v>
      </c>
      <c r="C538" s="7" t="s">
        <v>30</v>
      </c>
      <c r="D538" s="8">
        <v>41887</v>
      </c>
      <c r="E538" s="8">
        <v>41891</v>
      </c>
      <c r="F538" s="9">
        <v>688.5</v>
      </c>
    </row>
    <row r="539" spans="1:6" x14ac:dyDescent="0.25">
      <c r="A539" s="10" t="s">
        <v>93</v>
      </c>
      <c r="B539" s="11" t="s">
        <v>106</v>
      </c>
      <c r="C539" s="11" t="s">
        <v>17</v>
      </c>
      <c r="D539" s="12">
        <v>41887</v>
      </c>
      <c r="E539" s="12">
        <v>41890</v>
      </c>
      <c r="F539" s="13">
        <v>1116.5</v>
      </c>
    </row>
    <row r="540" spans="1:6" x14ac:dyDescent="0.25">
      <c r="A540" s="6" t="s">
        <v>93</v>
      </c>
      <c r="B540" s="7" t="s">
        <v>94</v>
      </c>
      <c r="C540" s="7" t="s">
        <v>14</v>
      </c>
      <c r="D540" s="8">
        <v>41887</v>
      </c>
      <c r="E540" s="8">
        <v>41889</v>
      </c>
      <c r="F540" s="9">
        <v>426.5</v>
      </c>
    </row>
    <row r="541" spans="1:6" x14ac:dyDescent="0.25">
      <c r="A541" s="10" t="s">
        <v>137</v>
      </c>
      <c r="B541" s="11" t="s">
        <v>138</v>
      </c>
      <c r="C541" s="11" t="s">
        <v>27</v>
      </c>
      <c r="D541" s="12">
        <v>41887</v>
      </c>
      <c r="E541" s="12">
        <v>41889</v>
      </c>
      <c r="F541" s="13">
        <v>698</v>
      </c>
    </row>
    <row r="542" spans="1:6" x14ac:dyDescent="0.25">
      <c r="A542" s="6" t="s">
        <v>115</v>
      </c>
      <c r="B542" s="7" t="s">
        <v>116</v>
      </c>
      <c r="C542" s="7" t="s">
        <v>30</v>
      </c>
      <c r="D542" s="8">
        <v>41887</v>
      </c>
      <c r="E542" s="8">
        <v>41888</v>
      </c>
      <c r="F542" s="9">
        <v>331.5</v>
      </c>
    </row>
    <row r="543" spans="1:6" x14ac:dyDescent="0.25">
      <c r="A543" s="10" t="s">
        <v>64</v>
      </c>
      <c r="B543" s="11" t="s">
        <v>65</v>
      </c>
      <c r="C543" s="11" t="s">
        <v>38</v>
      </c>
      <c r="D543" s="12">
        <v>41887</v>
      </c>
      <c r="E543" s="12">
        <v>41889</v>
      </c>
      <c r="F543" s="13">
        <v>536.79999999999995</v>
      </c>
    </row>
    <row r="544" spans="1:6" x14ac:dyDescent="0.25">
      <c r="A544" s="6" t="s">
        <v>86</v>
      </c>
      <c r="B544" s="7" t="s">
        <v>136</v>
      </c>
      <c r="C544" s="7" t="s">
        <v>72</v>
      </c>
      <c r="D544" s="8">
        <v>41887</v>
      </c>
      <c r="E544" s="8">
        <v>41888</v>
      </c>
      <c r="F544" s="9">
        <v>693.7</v>
      </c>
    </row>
    <row r="545" spans="1:6" x14ac:dyDescent="0.25">
      <c r="A545" s="10" t="s">
        <v>93</v>
      </c>
      <c r="B545" s="11" t="s">
        <v>124</v>
      </c>
      <c r="C545" s="11" t="s">
        <v>17</v>
      </c>
      <c r="D545" s="12">
        <v>41889</v>
      </c>
      <c r="E545" s="12">
        <v>41889</v>
      </c>
      <c r="F545" s="13">
        <v>501.5</v>
      </c>
    </row>
    <row r="546" spans="1:6" x14ac:dyDescent="0.25">
      <c r="A546" s="6" t="s">
        <v>54</v>
      </c>
      <c r="B546" s="7" t="s">
        <v>55</v>
      </c>
      <c r="C546" s="7" t="s">
        <v>19</v>
      </c>
      <c r="D546" s="8">
        <v>41890</v>
      </c>
      <c r="E546" s="8">
        <v>41890</v>
      </c>
      <c r="F546" s="9">
        <v>513.4</v>
      </c>
    </row>
    <row r="547" spans="1:6" x14ac:dyDescent="0.25">
      <c r="A547" s="10" t="s">
        <v>22</v>
      </c>
      <c r="B547" s="11" t="s">
        <v>172</v>
      </c>
      <c r="C547" s="11" t="s">
        <v>27</v>
      </c>
      <c r="D547" s="12">
        <v>41890</v>
      </c>
      <c r="E547" s="12">
        <v>41890</v>
      </c>
      <c r="F547" s="13">
        <v>442</v>
      </c>
    </row>
    <row r="548" spans="1:6" x14ac:dyDescent="0.25">
      <c r="A548" s="6" t="s">
        <v>9</v>
      </c>
      <c r="B548" s="7" t="s">
        <v>69</v>
      </c>
      <c r="C548" s="7" t="s">
        <v>38</v>
      </c>
      <c r="D548" s="8">
        <v>41890</v>
      </c>
      <c r="E548" s="8">
        <v>41890</v>
      </c>
      <c r="F548" s="9">
        <v>278.8</v>
      </c>
    </row>
    <row r="549" spans="1:6" x14ac:dyDescent="0.25">
      <c r="A549" s="10" t="s">
        <v>54</v>
      </c>
      <c r="B549" s="11" t="s">
        <v>118</v>
      </c>
      <c r="C549" s="11" t="s">
        <v>24</v>
      </c>
      <c r="D549" s="12">
        <v>41890</v>
      </c>
      <c r="E549" s="12">
        <v>41890</v>
      </c>
      <c r="F549" s="13">
        <v>290.7</v>
      </c>
    </row>
    <row r="550" spans="1:6" x14ac:dyDescent="0.25">
      <c r="A550" s="6" t="s">
        <v>99</v>
      </c>
      <c r="B550" s="7" t="s">
        <v>130</v>
      </c>
      <c r="C550" s="7" t="s">
        <v>38</v>
      </c>
      <c r="D550" s="8">
        <v>41893</v>
      </c>
      <c r="E550" s="8">
        <v>41896</v>
      </c>
      <c r="F550" s="9">
        <v>665.8</v>
      </c>
    </row>
    <row r="551" spans="1:6" x14ac:dyDescent="0.25">
      <c r="A551" s="10" t="s">
        <v>115</v>
      </c>
      <c r="B551" s="11" t="s">
        <v>140</v>
      </c>
      <c r="C551" s="11" t="s">
        <v>8</v>
      </c>
      <c r="D551" s="12">
        <v>41893</v>
      </c>
      <c r="E551" s="12">
        <v>41896</v>
      </c>
      <c r="F551" s="13">
        <v>1313</v>
      </c>
    </row>
    <row r="552" spans="1:6" x14ac:dyDescent="0.25">
      <c r="A552" s="6" t="s">
        <v>109</v>
      </c>
      <c r="B552" s="7" t="s">
        <v>110</v>
      </c>
      <c r="C552" s="7" t="s">
        <v>8</v>
      </c>
      <c r="D552" s="8">
        <v>41893</v>
      </c>
      <c r="E552" s="8">
        <v>41894</v>
      </c>
      <c r="F552" s="9">
        <v>891</v>
      </c>
    </row>
    <row r="553" spans="1:6" x14ac:dyDescent="0.25">
      <c r="A553" s="10" t="s">
        <v>137</v>
      </c>
      <c r="B553" s="11" t="s">
        <v>138</v>
      </c>
      <c r="C553" s="11" t="s">
        <v>47</v>
      </c>
      <c r="D553" s="12">
        <v>41893</v>
      </c>
      <c r="E553" s="12">
        <v>41895</v>
      </c>
      <c r="F553" s="13">
        <v>689.8</v>
      </c>
    </row>
    <row r="554" spans="1:6" x14ac:dyDescent="0.25">
      <c r="A554" s="6" t="s">
        <v>12</v>
      </c>
      <c r="B554" s="7" t="s">
        <v>95</v>
      </c>
      <c r="C554" s="7" t="s">
        <v>47</v>
      </c>
      <c r="D554" s="8">
        <v>41893</v>
      </c>
      <c r="E554" s="8">
        <v>41894</v>
      </c>
      <c r="F554" s="9">
        <v>526.79999999999995</v>
      </c>
    </row>
    <row r="555" spans="1:6" x14ac:dyDescent="0.25">
      <c r="A555" s="10" t="s">
        <v>57</v>
      </c>
      <c r="B555" s="11" t="s">
        <v>58</v>
      </c>
      <c r="C555" s="11" t="s">
        <v>11</v>
      </c>
      <c r="D555" s="12">
        <v>41893</v>
      </c>
      <c r="E555" s="12">
        <v>41896</v>
      </c>
      <c r="F555" s="13">
        <v>573.4</v>
      </c>
    </row>
    <row r="556" spans="1:6" x14ac:dyDescent="0.25">
      <c r="A556" s="6" t="s">
        <v>6</v>
      </c>
      <c r="B556" s="7" t="s">
        <v>7</v>
      </c>
      <c r="C556" s="7" t="s">
        <v>38</v>
      </c>
      <c r="D556" s="8">
        <v>41897</v>
      </c>
      <c r="E556" s="8">
        <v>41897</v>
      </c>
      <c r="F556" s="9">
        <v>278.8</v>
      </c>
    </row>
    <row r="557" spans="1:6" x14ac:dyDescent="0.25">
      <c r="A557" s="10" t="s">
        <v>54</v>
      </c>
      <c r="B557" s="11" t="s">
        <v>118</v>
      </c>
      <c r="C557" s="11" t="s">
        <v>17</v>
      </c>
      <c r="D557" s="12">
        <v>41897</v>
      </c>
      <c r="E557" s="12">
        <v>41898</v>
      </c>
      <c r="F557" s="13">
        <v>706.5</v>
      </c>
    </row>
    <row r="558" spans="1:6" x14ac:dyDescent="0.25">
      <c r="A558" s="6" t="s">
        <v>22</v>
      </c>
      <c r="B558" s="7" t="s">
        <v>23</v>
      </c>
      <c r="C558" s="7" t="s">
        <v>24</v>
      </c>
      <c r="D558" s="8">
        <v>41898</v>
      </c>
      <c r="E558" s="8">
        <v>41901</v>
      </c>
      <c r="F558" s="9">
        <v>737.7</v>
      </c>
    </row>
    <row r="559" spans="1:6" x14ac:dyDescent="0.25">
      <c r="A559" s="10" t="s">
        <v>22</v>
      </c>
      <c r="B559" s="11" t="s">
        <v>23</v>
      </c>
      <c r="C559" s="11" t="s">
        <v>27</v>
      </c>
      <c r="D559" s="12">
        <v>41898</v>
      </c>
      <c r="E559" s="12">
        <v>41900</v>
      </c>
      <c r="F559" s="13">
        <v>698</v>
      </c>
    </row>
    <row r="560" spans="1:6" x14ac:dyDescent="0.25">
      <c r="A560" s="6" t="s">
        <v>31</v>
      </c>
      <c r="B560" s="7" t="s">
        <v>78</v>
      </c>
      <c r="C560" s="7" t="s">
        <v>17</v>
      </c>
      <c r="D560" s="8">
        <v>41898</v>
      </c>
      <c r="E560" s="8">
        <v>41899</v>
      </c>
      <c r="F560" s="9">
        <v>706.5</v>
      </c>
    </row>
    <row r="561" spans="1:6" x14ac:dyDescent="0.25">
      <c r="A561" s="10" t="s">
        <v>6</v>
      </c>
      <c r="B561" s="11" t="s">
        <v>139</v>
      </c>
      <c r="C561" s="11" t="s">
        <v>38</v>
      </c>
      <c r="D561" s="12">
        <v>41898</v>
      </c>
      <c r="E561" s="12">
        <v>41900</v>
      </c>
      <c r="F561" s="13">
        <v>536.79999999999995</v>
      </c>
    </row>
    <row r="562" spans="1:6" x14ac:dyDescent="0.25">
      <c r="A562" s="6" t="s">
        <v>122</v>
      </c>
      <c r="B562" s="7" t="s">
        <v>123</v>
      </c>
      <c r="C562" s="7" t="s">
        <v>11</v>
      </c>
      <c r="D562" s="8">
        <v>41898</v>
      </c>
      <c r="E562" s="8">
        <v>41902</v>
      </c>
      <c r="F562" s="9">
        <v>712.4</v>
      </c>
    </row>
    <row r="563" spans="1:6" x14ac:dyDescent="0.25">
      <c r="A563" s="10" t="s">
        <v>57</v>
      </c>
      <c r="B563" s="11" t="s">
        <v>163</v>
      </c>
      <c r="C563" s="11" t="s">
        <v>19</v>
      </c>
      <c r="D563" s="12">
        <v>41898</v>
      </c>
      <c r="E563" s="12">
        <v>41901</v>
      </c>
      <c r="F563" s="13">
        <v>936.4</v>
      </c>
    </row>
    <row r="564" spans="1:6" x14ac:dyDescent="0.25">
      <c r="A564" s="6" t="s">
        <v>57</v>
      </c>
      <c r="B564" s="7" t="s">
        <v>163</v>
      </c>
      <c r="C564" s="7" t="s">
        <v>8</v>
      </c>
      <c r="D564" s="8">
        <v>41898</v>
      </c>
      <c r="E564" s="8">
        <v>41902</v>
      </c>
      <c r="F564" s="9">
        <v>1524</v>
      </c>
    </row>
    <row r="565" spans="1:6" x14ac:dyDescent="0.25">
      <c r="A565" s="10" t="s">
        <v>22</v>
      </c>
      <c r="B565" s="11" t="s">
        <v>172</v>
      </c>
      <c r="C565" s="11" t="s">
        <v>19</v>
      </c>
      <c r="D565" s="12">
        <v>41898</v>
      </c>
      <c r="E565" s="12">
        <v>41900</v>
      </c>
      <c r="F565" s="13">
        <v>795.4</v>
      </c>
    </row>
    <row r="566" spans="1:6" x14ac:dyDescent="0.25">
      <c r="A566" s="6" t="s">
        <v>50</v>
      </c>
      <c r="B566" s="7" t="s">
        <v>51</v>
      </c>
      <c r="C566" s="7" t="s">
        <v>17</v>
      </c>
      <c r="D566" s="8">
        <v>41898</v>
      </c>
      <c r="E566" s="8">
        <v>41901</v>
      </c>
      <c r="F566" s="9">
        <v>1116.5</v>
      </c>
    </row>
    <row r="567" spans="1:6" x14ac:dyDescent="0.25">
      <c r="A567" s="10" t="s">
        <v>115</v>
      </c>
      <c r="B567" s="11" t="s">
        <v>140</v>
      </c>
      <c r="C567" s="11" t="s">
        <v>72</v>
      </c>
      <c r="D567" s="12">
        <v>41898</v>
      </c>
      <c r="E567" s="12">
        <v>41899</v>
      </c>
      <c r="F567" s="13">
        <v>693.7</v>
      </c>
    </row>
    <row r="568" spans="1:6" x14ac:dyDescent="0.25">
      <c r="A568" s="6" t="s">
        <v>33</v>
      </c>
      <c r="B568" s="7" t="s">
        <v>34</v>
      </c>
      <c r="C568" s="7" t="s">
        <v>72</v>
      </c>
      <c r="D568" s="8">
        <v>41898</v>
      </c>
      <c r="E568" s="8">
        <v>41900</v>
      </c>
      <c r="F568" s="9">
        <v>892.7</v>
      </c>
    </row>
    <row r="569" spans="1:6" x14ac:dyDescent="0.25">
      <c r="A569" s="10" t="s">
        <v>33</v>
      </c>
      <c r="B569" s="11" t="s">
        <v>41</v>
      </c>
      <c r="C569" s="11" t="s">
        <v>17</v>
      </c>
      <c r="D569" s="12">
        <v>41898</v>
      </c>
      <c r="E569" s="12">
        <v>41898</v>
      </c>
      <c r="F569" s="13">
        <v>501.5</v>
      </c>
    </row>
    <row r="570" spans="1:6" x14ac:dyDescent="0.25">
      <c r="A570" s="6" t="s">
        <v>93</v>
      </c>
      <c r="B570" s="7" t="s">
        <v>106</v>
      </c>
      <c r="C570" s="7" t="s">
        <v>27</v>
      </c>
      <c r="D570" s="8">
        <v>41898</v>
      </c>
      <c r="E570" s="8">
        <v>41899</v>
      </c>
      <c r="F570" s="9">
        <v>570</v>
      </c>
    </row>
    <row r="571" spans="1:6" x14ac:dyDescent="0.25">
      <c r="A571" s="10" t="s">
        <v>25</v>
      </c>
      <c r="B571" s="11" t="s">
        <v>35</v>
      </c>
      <c r="C571" s="11" t="s">
        <v>38</v>
      </c>
      <c r="D571" s="12">
        <v>41898</v>
      </c>
      <c r="E571" s="12">
        <v>41901</v>
      </c>
      <c r="F571" s="13">
        <v>665.8</v>
      </c>
    </row>
    <row r="572" spans="1:6" x14ac:dyDescent="0.25">
      <c r="A572" s="6" t="s">
        <v>119</v>
      </c>
      <c r="B572" s="7" t="s">
        <v>120</v>
      </c>
      <c r="C572" s="7" t="s">
        <v>30</v>
      </c>
      <c r="D572" s="8">
        <v>41898</v>
      </c>
      <c r="E572" s="8">
        <v>41899</v>
      </c>
      <c r="F572" s="9">
        <v>331.5</v>
      </c>
    </row>
    <row r="573" spans="1:6" x14ac:dyDescent="0.25">
      <c r="A573" s="10" t="s">
        <v>6</v>
      </c>
      <c r="B573" s="11" t="s">
        <v>45</v>
      </c>
      <c r="C573" s="11" t="s">
        <v>30</v>
      </c>
      <c r="D573" s="12">
        <v>41898</v>
      </c>
      <c r="E573" s="12">
        <v>41901</v>
      </c>
      <c r="F573" s="13">
        <v>569.5</v>
      </c>
    </row>
    <row r="574" spans="1:6" x14ac:dyDescent="0.25">
      <c r="A574" s="6" t="s">
        <v>15</v>
      </c>
      <c r="B574" s="7" t="s">
        <v>16</v>
      </c>
      <c r="C574" s="7" t="s">
        <v>24</v>
      </c>
      <c r="D574" s="8">
        <v>41898</v>
      </c>
      <c r="E574" s="8">
        <v>41902</v>
      </c>
      <c r="F574" s="9">
        <v>886.7</v>
      </c>
    </row>
    <row r="575" spans="1:6" x14ac:dyDescent="0.25">
      <c r="A575" s="10" t="s">
        <v>91</v>
      </c>
      <c r="B575" s="11" t="s">
        <v>92</v>
      </c>
      <c r="C575" s="11" t="s">
        <v>8</v>
      </c>
      <c r="D575" s="12">
        <v>41898</v>
      </c>
      <c r="E575" s="12">
        <v>41900</v>
      </c>
      <c r="F575" s="13">
        <v>1102</v>
      </c>
    </row>
    <row r="576" spans="1:6" x14ac:dyDescent="0.25">
      <c r="A576" s="6" t="s">
        <v>137</v>
      </c>
      <c r="B576" s="7" t="s">
        <v>138</v>
      </c>
      <c r="C576" s="7" t="s">
        <v>72</v>
      </c>
      <c r="D576" s="8">
        <v>41898</v>
      </c>
      <c r="E576" s="8">
        <v>41900</v>
      </c>
      <c r="F576" s="9">
        <v>892.7</v>
      </c>
    </row>
    <row r="577" spans="1:6" x14ac:dyDescent="0.25">
      <c r="A577" s="10" t="s">
        <v>6</v>
      </c>
      <c r="B577" s="11" t="s">
        <v>139</v>
      </c>
      <c r="C577" s="11" t="s">
        <v>24</v>
      </c>
      <c r="D577" s="12">
        <v>41899</v>
      </c>
      <c r="E577" s="12">
        <v>41902</v>
      </c>
      <c r="F577" s="13">
        <v>737.7</v>
      </c>
    </row>
    <row r="578" spans="1:6" x14ac:dyDescent="0.25">
      <c r="A578" s="6" t="s">
        <v>86</v>
      </c>
      <c r="B578" s="7" t="s">
        <v>150</v>
      </c>
      <c r="C578" s="7" t="s">
        <v>30</v>
      </c>
      <c r="D578" s="8">
        <v>41899</v>
      </c>
      <c r="E578" s="8">
        <v>41900</v>
      </c>
      <c r="F578" s="9">
        <v>331.5</v>
      </c>
    </row>
    <row r="579" spans="1:6" x14ac:dyDescent="0.25">
      <c r="A579" s="10" t="s">
        <v>99</v>
      </c>
      <c r="B579" s="11" t="s">
        <v>130</v>
      </c>
      <c r="C579" s="11" t="s">
        <v>27</v>
      </c>
      <c r="D579" s="12">
        <v>41899</v>
      </c>
      <c r="E579" s="12">
        <v>41900</v>
      </c>
      <c r="F579" s="13">
        <v>570</v>
      </c>
    </row>
    <row r="580" spans="1:6" x14ac:dyDescent="0.25">
      <c r="A580" s="6" t="s">
        <v>50</v>
      </c>
      <c r="B580" s="7" t="s">
        <v>51</v>
      </c>
      <c r="C580" s="7" t="s">
        <v>72</v>
      </c>
      <c r="D580" s="8">
        <v>41899</v>
      </c>
      <c r="E580" s="8">
        <v>41902</v>
      </c>
      <c r="F580" s="9">
        <v>1091.7</v>
      </c>
    </row>
    <row r="581" spans="1:6" x14ac:dyDescent="0.25">
      <c r="A581" s="10" t="s">
        <v>82</v>
      </c>
      <c r="B581" s="11" t="s">
        <v>125</v>
      </c>
      <c r="C581" s="11" t="s">
        <v>66</v>
      </c>
      <c r="D581" s="12">
        <v>41899</v>
      </c>
      <c r="E581" s="12">
        <v>41900</v>
      </c>
      <c r="F581" s="13">
        <v>485.7</v>
      </c>
    </row>
    <row r="582" spans="1:6" x14ac:dyDescent="0.25">
      <c r="A582" s="6" t="s">
        <v>99</v>
      </c>
      <c r="B582" s="7" t="s">
        <v>100</v>
      </c>
      <c r="C582" s="7" t="s">
        <v>11</v>
      </c>
      <c r="D582" s="8">
        <v>41899</v>
      </c>
      <c r="E582" s="8">
        <v>41903</v>
      </c>
      <c r="F582" s="9">
        <v>712.4</v>
      </c>
    </row>
    <row r="583" spans="1:6" x14ac:dyDescent="0.25">
      <c r="A583" s="10" t="s">
        <v>101</v>
      </c>
      <c r="B583" s="11" t="s">
        <v>102</v>
      </c>
      <c r="C583" s="11" t="s">
        <v>27</v>
      </c>
      <c r="D583" s="12">
        <v>41899</v>
      </c>
      <c r="E583" s="12">
        <v>41902</v>
      </c>
      <c r="F583" s="13">
        <v>826</v>
      </c>
    </row>
    <row r="584" spans="1:6" x14ac:dyDescent="0.25">
      <c r="A584" s="6" t="s">
        <v>73</v>
      </c>
      <c r="B584" s="7" t="s">
        <v>155</v>
      </c>
      <c r="C584" s="7" t="s">
        <v>17</v>
      </c>
      <c r="D584" s="8">
        <v>41899</v>
      </c>
      <c r="E584" s="8">
        <v>41900</v>
      </c>
      <c r="F584" s="9">
        <v>706.5</v>
      </c>
    </row>
    <row r="585" spans="1:6" x14ac:dyDescent="0.25">
      <c r="A585" s="10" t="s">
        <v>151</v>
      </c>
      <c r="B585" s="11" t="s">
        <v>152</v>
      </c>
      <c r="C585" s="11" t="s">
        <v>14</v>
      </c>
      <c r="D585" s="12">
        <v>41899</v>
      </c>
      <c r="E585" s="12">
        <v>41902</v>
      </c>
      <c r="F585" s="13">
        <v>550.5</v>
      </c>
    </row>
    <row r="586" spans="1:6" x14ac:dyDescent="0.25">
      <c r="A586" s="6" t="s">
        <v>119</v>
      </c>
      <c r="B586" s="7" t="s">
        <v>120</v>
      </c>
      <c r="C586" s="7" t="s">
        <v>47</v>
      </c>
      <c r="D586" s="8">
        <v>41899</v>
      </c>
      <c r="E586" s="8">
        <v>41900</v>
      </c>
      <c r="F586" s="9">
        <v>526.79999999999995</v>
      </c>
    </row>
    <row r="587" spans="1:6" x14ac:dyDescent="0.25">
      <c r="A587" s="10" t="s">
        <v>111</v>
      </c>
      <c r="B587" s="11" t="s">
        <v>112</v>
      </c>
      <c r="C587" s="11" t="s">
        <v>30</v>
      </c>
      <c r="D587" s="12">
        <v>41899</v>
      </c>
      <c r="E587" s="12">
        <v>41902</v>
      </c>
      <c r="F587" s="13">
        <v>569.5</v>
      </c>
    </row>
    <row r="588" spans="1:6" x14ac:dyDescent="0.25">
      <c r="A588" s="6" t="s">
        <v>75</v>
      </c>
      <c r="B588" s="7" t="s">
        <v>76</v>
      </c>
      <c r="C588" s="7" t="s">
        <v>47</v>
      </c>
      <c r="D588" s="8">
        <v>41899</v>
      </c>
      <c r="E588" s="8">
        <v>41903</v>
      </c>
      <c r="F588" s="9">
        <v>1015.8</v>
      </c>
    </row>
    <row r="589" spans="1:6" x14ac:dyDescent="0.25">
      <c r="A589" s="10" t="s">
        <v>113</v>
      </c>
      <c r="B589" s="11" t="s">
        <v>114</v>
      </c>
      <c r="C589" s="11" t="s">
        <v>8</v>
      </c>
      <c r="D589" s="12">
        <v>41899</v>
      </c>
      <c r="E589" s="12">
        <v>41901</v>
      </c>
      <c r="F589" s="13">
        <v>1102</v>
      </c>
    </row>
    <row r="590" spans="1:6" x14ac:dyDescent="0.25">
      <c r="A590" s="6" t="s">
        <v>70</v>
      </c>
      <c r="B590" s="7" t="s">
        <v>117</v>
      </c>
      <c r="C590" s="7" t="s">
        <v>27</v>
      </c>
      <c r="D590" s="8">
        <v>41899</v>
      </c>
      <c r="E590" s="8">
        <v>41902</v>
      </c>
      <c r="F590" s="9">
        <v>826</v>
      </c>
    </row>
    <row r="591" spans="1:6" x14ac:dyDescent="0.25">
      <c r="A591" s="10" t="s">
        <v>20</v>
      </c>
      <c r="B591" s="11" t="s">
        <v>21</v>
      </c>
      <c r="C591" s="11" t="s">
        <v>11</v>
      </c>
      <c r="D591" s="12">
        <v>41899</v>
      </c>
      <c r="E591" s="12">
        <v>41901</v>
      </c>
      <c r="F591" s="13">
        <v>434.4</v>
      </c>
    </row>
    <row r="592" spans="1:6" x14ac:dyDescent="0.25">
      <c r="A592" s="6" t="s">
        <v>33</v>
      </c>
      <c r="B592" s="7" t="s">
        <v>41</v>
      </c>
      <c r="C592" s="7" t="s">
        <v>11</v>
      </c>
      <c r="D592" s="8">
        <v>41900</v>
      </c>
      <c r="E592" s="8">
        <v>41902</v>
      </c>
      <c r="F592" s="9">
        <v>434.4</v>
      </c>
    </row>
    <row r="593" spans="1:6" x14ac:dyDescent="0.25">
      <c r="A593" s="10" t="s">
        <v>12</v>
      </c>
      <c r="B593" s="11" t="s">
        <v>13</v>
      </c>
      <c r="C593" s="11" t="s">
        <v>8</v>
      </c>
      <c r="D593" s="12">
        <v>41901</v>
      </c>
      <c r="E593" s="12">
        <v>41901</v>
      </c>
      <c r="F593" s="13">
        <v>680</v>
      </c>
    </row>
    <row r="594" spans="1:6" x14ac:dyDescent="0.25">
      <c r="A594" s="6" t="s">
        <v>82</v>
      </c>
      <c r="B594" s="7" t="s">
        <v>125</v>
      </c>
      <c r="C594" s="7" t="s">
        <v>17</v>
      </c>
      <c r="D594" s="8">
        <v>41902</v>
      </c>
      <c r="E594" s="8">
        <v>41902</v>
      </c>
      <c r="F594" s="9">
        <v>501.5</v>
      </c>
    </row>
    <row r="595" spans="1:6" x14ac:dyDescent="0.25">
      <c r="A595" s="10" t="s">
        <v>15</v>
      </c>
      <c r="B595" s="11" t="s">
        <v>44</v>
      </c>
      <c r="C595" s="11" t="s">
        <v>38</v>
      </c>
      <c r="D595" s="12">
        <v>41904</v>
      </c>
      <c r="E595" s="12">
        <v>41904</v>
      </c>
      <c r="F595" s="13">
        <v>278.8</v>
      </c>
    </row>
    <row r="596" spans="1:6" x14ac:dyDescent="0.25">
      <c r="A596" s="6" t="s">
        <v>22</v>
      </c>
      <c r="B596" s="7" t="s">
        <v>23</v>
      </c>
      <c r="C596" s="7" t="s">
        <v>59</v>
      </c>
      <c r="D596" s="8">
        <v>41905</v>
      </c>
      <c r="E596" s="8">
        <v>41909</v>
      </c>
      <c r="F596" s="9">
        <v>1078</v>
      </c>
    </row>
    <row r="597" spans="1:6" x14ac:dyDescent="0.25">
      <c r="A597" s="10" t="s">
        <v>93</v>
      </c>
      <c r="B597" s="11" t="s">
        <v>124</v>
      </c>
      <c r="C597" s="11" t="s">
        <v>24</v>
      </c>
      <c r="D597" s="12">
        <v>41905</v>
      </c>
      <c r="E597" s="12">
        <v>41909</v>
      </c>
      <c r="F597" s="13">
        <v>886.7</v>
      </c>
    </row>
    <row r="598" spans="1:6" x14ac:dyDescent="0.25">
      <c r="A598" s="6" t="s">
        <v>52</v>
      </c>
      <c r="B598" s="7" t="s">
        <v>53</v>
      </c>
      <c r="C598" s="7" t="s">
        <v>19</v>
      </c>
      <c r="D598" s="8">
        <v>41905</v>
      </c>
      <c r="E598" s="8">
        <v>41905</v>
      </c>
      <c r="F598" s="9">
        <v>513.4</v>
      </c>
    </row>
    <row r="599" spans="1:6" x14ac:dyDescent="0.25">
      <c r="A599" s="10" t="s">
        <v>107</v>
      </c>
      <c r="B599" s="11" t="s">
        <v>108</v>
      </c>
      <c r="C599" s="11" t="s">
        <v>17</v>
      </c>
      <c r="D599" s="12">
        <v>41905</v>
      </c>
      <c r="E599" s="12">
        <v>41907</v>
      </c>
      <c r="F599" s="13">
        <v>911.5</v>
      </c>
    </row>
    <row r="600" spans="1:6" x14ac:dyDescent="0.25">
      <c r="A600" s="6" t="s">
        <v>9</v>
      </c>
      <c r="B600" s="7" t="s">
        <v>18</v>
      </c>
      <c r="C600" s="7" t="s">
        <v>19</v>
      </c>
      <c r="D600" s="8">
        <v>41905</v>
      </c>
      <c r="E600" s="8">
        <v>41908</v>
      </c>
      <c r="F600" s="9">
        <v>936.4</v>
      </c>
    </row>
    <row r="601" spans="1:6" x14ac:dyDescent="0.25">
      <c r="A601" s="10" t="s">
        <v>20</v>
      </c>
      <c r="B601" s="11" t="s">
        <v>21</v>
      </c>
      <c r="C601" s="11" t="s">
        <v>17</v>
      </c>
      <c r="D601" s="12">
        <v>41905</v>
      </c>
      <c r="E601" s="12">
        <v>41905</v>
      </c>
      <c r="F601" s="13">
        <v>501.5</v>
      </c>
    </row>
    <row r="602" spans="1:6" x14ac:dyDescent="0.25">
      <c r="A602" s="6" t="s">
        <v>15</v>
      </c>
      <c r="B602" s="7" t="s">
        <v>16</v>
      </c>
      <c r="C602" s="7" t="s">
        <v>8</v>
      </c>
      <c r="D602" s="8">
        <v>41906</v>
      </c>
      <c r="E602" s="8">
        <v>41908</v>
      </c>
      <c r="F602" s="9">
        <v>1102</v>
      </c>
    </row>
    <row r="603" spans="1:6" x14ac:dyDescent="0.25">
      <c r="A603" s="10" t="s">
        <v>52</v>
      </c>
      <c r="B603" s="11" t="s">
        <v>53</v>
      </c>
      <c r="C603" s="11" t="s">
        <v>24</v>
      </c>
      <c r="D603" s="12">
        <v>41908</v>
      </c>
      <c r="E603" s="12">
        <v>41908</v>
      </c>
      <c r="F603" s="13">
        <v>290.7</v>
      </c>
    </row>
    <row r="604" spans="1:6" x14ac:dyDescent="0.25">
      <c r="A604" s="6" t="s">
        <v>48</v>
      </c>
      <c r="B604" s="7" t="s">
        <v>49</v>
      </c>
      <c r="C604" s="7" t="s">
        <v>14</v>
      </c>
      <c r="D604" s="8">
        <v>41910</v>
      </c>
      <c r="E604" s="8">
        <v>41910</v>
      </c>
      <c r="F604" s="9">
        <v>178.5</v>
      </c>
    </row>
    <row r="605" spans="1:6" x14ac:dyDescent="0.25">
      <c r="A605" s="10" t="s">
        <v>6</v>
      </c>
      <c r="B605" s="11" t="s">
        <v>139</v>
      </c>
      <c r="C605" s="11" t="s">
        <v>8</v>
      </c>
      <c r="D605" s="12">
        <v>41910</v>
      </c>
      <c r="E605" s="12">
        <v>41912</v>
      </c>
      <c r="F605" s="13">
        <v>1102</v>
      </c>
    </row>
    <row r="606" spans="1:6" x14ac:dyDescent="0.25">
      <c r="A606" s="6" t="s">
        <v>57</v>
      </c>
      <c r="B606" s="7" t="s">
        <v>163</v>
      </c>
      <c r="C606" s="7" t="s">
        <v>24</v>
      </c>
      <c r="D606" s="8">
        <v>41910</v>
      </c>
      <c r="E606" s="8">
        <v>41914</v>
      </c>
      <c r="F606" s="9">
        <v>886.7</v>
      </c>
    </row>
    <row r="607" spans="1:6" x14ac:dyDescent="0.25">
      <c r="A607" s="10" t="s">
        <v>131</v>
      </c>
      <c r="B607" s="11" t="s">
        <v>142</v>
      </c>
      <c r="C607" s="11" t="s">
        <v>17</v>
      </c>
      <c r="D607" s="12">
        <v>41910</v>
      </c>
      <c r="E607" s="12">
        <v>41914</v>
      </c>
      <c r="F607" s="13">
        <v>1321.5</v>
      </c>
    </row>
    <row r="608" spans="1:6" x14ac:dyDescent="0.25">
      <c r="A608" s="6" t="s">
        <v>82</v>
      </c>
      <c r="B608" s="7" t="s">
        <v>83</v>
      </c>
      <c r="C608" s="7" t="s">
        <v>8</v>
      </c>
      <c r="D608" s="8">
        <v>41910</v>
      </c>
      <c r="E608" s="8">
        <v>41911</v>
      </c>
      <c r="F608" s="9">
        <v>891</v>
      </c>
    </row>
    <row r="609" spans="1:6" x14ac:dyDescent="0.25">
      <c r="A609" s="10" t="s">
        <v>84</v>
      </c>
      <c r="B609" s="11" t="s">
        <v>85</v>
      </c>
      <c r="C609" s="11" t="s">
        <v>30</v>
      </c>
      <c r="D609" s="12">
        <v>41910</v>
      </c>
      <c r="E609" s="12">
        <v>41911</v>
      </c>
      <c r="F609" s="13">
        <v>331.5</v>
      </c>
    </row>
    <row r="610" spans="1:6" x14ac:dyDescent="0.25">
      <c r="A610" s="6" t="s">
        <v>82</v>
      </c>
      <c r="B610" s="7" t="s">
        <v>125</v>
      </c>
      <c r="C610" s="7" t="s">
        <v>30</v>
      </c>
      <c r="D610" s="8">
        <v>41910</v>
      </c>
      <c r="E610" s="8">
        <v>41912</v>
      </c>
      <c r="F610" s="9">
        <v>450.5</v>
      </c>
    </row>
    <row r="611" spans="1:6" x14ac:dyDescent="0.25">
      <c r="A611" s="10" t="s">
        <v>134</v>
      </c>
      <c r="B611" s="11" t="s">
        <v>135</v>
      </c>
      <c r="C611" s="11" t="s">
        <v>38</v>
      </c>
      <c r="D611" s="12">
        <v>41910</v>
      </c>
      <c r="E611" s="12">
        <v>41911</v>
      </c>
      <c r="F611" s="13">
        <v>407.8</v>
      </c>
    </row>
    <row r="612" spans="1:6" x14ac:dyDescent="0.25">
      <c r="A612" s="6" t="s">
        <v>9</v>
      </c>
      <c r="B612" s="7" t="s">
        <v>18</v>
      </c>
      <c r="C612" s="7" t="s">
        <v>66</v>
      </c>
      <c r="D612" s="8">
        <v>41910</v>
      </c>
      <c r="E612" s="8">
        <v>41913</v>
      </c>
      <c r="F612" s="9">
        <v>841.7</v>
      </c>
    </row>
    <row r="613" spans="1:6" x14ac:dyDescent="0.25">
      <c r="A613" s="10" t="s">
        <v>54</v>
      </c>
      <c r="B613" s="11" t="s">
        <v>118</v>
      </c>
      <c r="C613" s="11" t="s">
        <v>30</v>
      </c>
      <c r="D613" s="12">
        <v>41910</v>
      </c>
      <c r="E613" s="12">
        <v>41912</v>
      </c>
      <c r="F613" s="13">
        <v>450.5</v>
      </c>
    </row>
    <row r="614" spans="1:6" x14ac:dyDescent="0.25">
      <c r="A614" s="6" t="s">
        <v>22</v>
      </c>
      <c r="B614" s="7" t="s">
        <v>23</v>
      </c>
      <c r="C614" s="7" t="s">
        <v>24</v>
      </c>
      <c r="D614" s="8">
        <v>41911</v>
      </c>
      <c r="E614" s="8">
        <v>41915</v>
      </c>
      <c r="F614" s="9">
        <v>886.7</v>
      </c>
    </row>
    <row r="615" spans="1:6" x14ac:dyDescent="0.25">
      <c r="A615" s="10" t="s">
        <v>15</v>
      </c>
      <c r="B615" s="11" t="s">
        <v>44</v>
      </c>
      <c r="C615" s="11" t="s">
        <v>27</v>
      </c>
      <c r="D615" s="12">
        <v>41911</v>
      </c>
      <c r="E615" s="12">
        <v>41913</v>
      </c>
      <c r="F615" s="13">
        <v>698</v>
      </c>
    </row>
    <row r="616" spans="1:6" x14ac:dyDescent="0.25">
      <c r="A616" s="6" t="s">
        <v>6</v>
      </c>
      <c r="B616" s="7" t="s">
        <v>7</v>
      </c>
      <c r="C616" s="7" t="s">
        <v>19</v>
      </c>
      <c r="D616" s="8">
        <v>41911</v>
      </c>
      <c r="E616" s="8">
        <v>41913</v>
      </c>
      <c r="F616" s="9">
        <v>795.4</v>
      </c>
    </row>
    <row r="617" spans="1:6" x14ac:dyDescent="0.25">
      <c r="A617" s="10" t="s">
        <v>22</v>
      </c>
      <c r="B617" s="11" t="s">
        <v>172</v>
      </c>
      <c r="C617" s="11" t="s">
        <v>11</v>
      </c>
      <c r="D617" s="12">
        <v>41911</v>
      </c>
      <c r="E617" s="12">
        <v>41915</v>
      </c>
      <c r="F617" s="13">
        <v>712.4</v>
      </c>
    </row>
    <row r="618" spans="1:6" x14ac:dyDescent="0.25">
      <c r="A618" s="6" t="s">
        <v>25</v>
      </c>
      <c r="B618" s="7" t="s">
        <v>67</v>
      </c>
      <c r="C618" s="7" t="s">
        <v>66</v>
      </c>
      <c r="D618" s="8">
        <v>41911</v>
      </c>
      <c r="E618" s="8">
        <v>41912</v>
      </c>
      <c r="F618" s="9">
        <v>485.7</v>
      </c>
    </row>
    <row r="619" spans="1:6" x14ac:dyDescent="0.25">
      <c r="A619" s="10" t="s">
        <v>61</v>
      </c>
      <c r="B619" s="11" t="s">
        <v>62</v>
      </c>
      <c r="C619" s="11" t="s">
        <v>47</v>
      </c>
      <c r="D619" s="12">
        <v>41911</v>
      </c>
      <c r="E619" s="12">
        <v>41913</v>
      </c>
      <c r="F619" s="13">
        <v>689.8</v>
      </c>
    </row>
    <row r="620" spans="1:6" x14ac:dyDescent="0.25">
      <c r="A620" s="6" t="s">
        <v>170</v>
      </c>
      <c r="B620" s="7" t="s">
        <v>171</v>
      </c>
      <c r="C620" s="7" t="s">
        <v>38</v>
      </c>
      <c r="D620" s="8">
        <v>41911</v>
      </c>
      <c r="E620" s="8">
        <v>41913</v>
      </c>
      <c r="F620" s="9">
        <v>536.79999999999995</v>
      </c>
    </row>
    <row r="621" spans="1:6" x14ac:dyDescent="0.25">
      <c r="A621" s="10" t="s">
        <v>126</v>
      </c>
      <c r="B621" s="11" t="s">
        <v>127</v>
      </c>
      <c r="C621" s="11" t="s">
        <v>47</v>
      </c>
      <c r="D621" s="12">
        <v>41911</v>
      </c>
      <c r="E621" s="12">
        <v>41913</v>
      </c>
      <c r="F621" s="13">
        <v>689.8</v>
      </c>
    </row>
    <row r="622" spans="1:6" x14ac:dyDescent="0.25">
      <c r="A622" s="6" t="s">
        <v>9</v>
      </c>
      <c r="B622" s="7" t="s">
        <v>103</v>
      </c>
      <c r="C622" s="7" t="s">
        <v>38</v>
      </c>
      <c r="D622" s="8">
        <v>41911</v>
      </c>
      <c r="E622" s="8">
        <v>41911</v>
      </c>
      <c r="F622" s="9">
        <v>278.8</v>
      </c>
    </row>
    <row r="623" spans="1:6" x14ac:dyDescent="0.25">
      <c r="A623" s="10" t="s">
        <v>86</v>
      </c>
      <c r="B623" s="11" t="s">
        <v>87</v>
      </c>
      <c r="C623" s="11" t="s">
        <v>24</v>
      </c>
      <c r="D623" s="12">
        <v>41911</v>
      </c>
      <c r="E623" s="12">
        <v>41912</v>
      </c>
      <c r="F623" s="13">
        <v>439.7</v>
      </c>
    </row>
    <row r="624" spans="1:6" x14ac:dyDescent="0.25">
      <c r="A624" s="6" t="s">
        <v>12</v>
      </c>
      <c r="B624" s="7" t="s">
        <v>13</v>
      </c>
      <c r="C624" s="7" t="s">
        <v>17</v>
      </c>
      <c r="D624" s="8">
        <v>41911</v>
      </c>
      <c r="E624" s="8">
        <v>41912</v>
      </c>
      <c r="F624" s="9">
        <v>706.5</v>
      </c>
    </row>
    <row r="625" spans="1:6" x14ac:dyDescent="0.25">
      <c r="A625" s="10" t="s">
        <v>42</v>
      </c>
      <c r="B625" s="11" t="s">
        <v>43</v>
      </c>
      <c r="C625" s="11" t="s">
        <v>24</v>
      </c>
      <c r="D625" s="12">
        <v>41911</v>
      </c>
      <c r="E625" s="12">
        <v>41913</v>
      </c>
      <c r="F625" s="13">
        <v>588.70000000000005</v>
      </c>
    </row>
    <row r="626" spans="1:6" x14ac:dyDescent="0.25">
      <c r="A626" s="6" t="s">
        <v>166</v>
      </c>
      <c r="B626" s="7" t="s">
        <v>167</v>
      </c>
      <c r="C626" s="7" t="s">
        <v>47</v>
      </c>
      <c r="D626" s="8">
        <v>41911</v>
      </c>
      <c r="E626" s="8">
        <v>41915</v>
      </c>
      <c r="F626" s="9">
        <v>1015.8</v>
      </c>
    </row>
    <row r="627" spans="1:6" x14ac:dyDescent="0.25">
      <c r="A627" s="10" t="s">
        <v>134</v>
      </c>
      <c r="B627" s="11" t="s">
        <v>149</v>
      </c>
      <c r="C627" s="11" t="s">
        <v>27</v>
      </c>
      <c r="D627" s="12">
        <v>41911</v>
      </c>
      <c r="E627" s="12">
        <v>41913</v>
      </c>
      <c r="F627" s="13">
        <v>698</v>
      </c>
    </row>
    <row r="628" spans="1:6" x14ac:dyDescent="0.25">
      <c r="A628" s="6" t="s">
        <v>111</v>
      </c>
      <c r="B628" s="7" t="s">
        <v>112</v>
      </c>
      <c r="C628" s="7" t="s">
        <v>47</v>
      </c>
      <c r="D628" s="8">
        <v>41911</v>
      </c>
      <c r="E628" s="8">
        <v>41914</v>
      </c>
      <c r="F628" s="9">
        <v>852.8</v>
      </c>
    </row>
    <row r="629" spans="1:6" x14ac:dyDescent="0.25">
      <c r="A629" s="10" t="s">
        <v>20</v>
      </c>
      <c r="B629" s="11" t="s">
        <v>162</v>
      </c>
      <c r="C629" s="11" t="s">
        <v>30</v>
      </c>
      <c r="D629" s="12">
        <v>41911</v>
      </c>
      <c r="E629" s="12">
        <v>41914</v>
      </c>
      <c r="F629" s="13">
        <v>569.5</v>
      </c>
    </row>
    <row r="630" spans="1:6" x14ac:dyDescent="0.25">
      <c r="A630" s="6" t="s">
        <v>15</v>
      </c>
      <c r="B630" s="7" t="s">
        <v>63</v>
      </c>
      <c r="C630" s="7" t="s">
        <v>27</v>
      </c>
      <c r="D630" s="8">
        <v>41911</v>
      </c>
      <c r="E630" s="8">
        <v>41912</v>
      </c>
      <c r="F630" s="9">
        <v>570</v>
      </c>
    </row>
    <row r="631" spans="1:6" x14ac:dyDescent="0.25">
      <c r="A631" s="10" t="s">
        <v>91</v>
      </c>
      <c r="B631" s="11" t="s">
        <v>92</v>
      </c>
      <c r="C631" s="11" t="s">
        <v>66</v>
      </c>
      <c r="D631" s="12">
        <v>41911</v>
      </c>
      <c r="E631" s="12">
        <v>41915</v>
      </c>
      <c r="F631" s="13">
        <v>1019.7</v>
      </c>
    </row>
    <row r="632" spans="1:6" x14ac:dyDescent="0.25">
      <c r="A632" s="6" t="s">
        <v>131</v>
      </c>
      <c r="B632" s="7" t="s">
        <v>132</v>
      </c>
      <c r="C632" s="7" t="s">
        <v>59</v>
      </c>
      <c r="D632" s="8">
        <v>41911</v>
      </c>
      <c r="E632" s="8">
        <v>41911</v>
      </c>
      <c r="F632" s="9">
        <v>442</v>
      </c>
    </row>
    <row r="633" spans="1:6" x14ac:dyDescent="0.25">
      <c r="A633" s="10" t="s">
        <v>50</v>
      </c>
      <c r="B633" s="11" t="s">
        <v>51</v>
      </c>
      <c r="C633" s="11" t="s">
        <v>30</v>
      </c>
      <c r="D633" s="12">
        <v>41912</v>
      </c>
      <c r="E633" s="12">
        <v>41912</v>
      </c>
      <c r="F633" s="13">
        <v>212.5</v>
      </c>
    </row>
    <row r="634" spans="1:6" x14ac:dyDescent="0.25">
      <c r="A634" s="6" t="s">
        <v>82</v>
      </c>
      <c r="B634" s="7" t="s">
        <v>83</v>
      </c>
      <c r="C634" s="7" t="s">
        <v>27</v>
      </c>
      <c r="D634" s="8">
        <v>41913</v>
      </c>
      <c r="E634" s="8">
        <v>41913</v>
      </c>
      <c r="F634" s="9">
        <v>442</v>
      </c>
    </row>
    <row r="635" spans="1:6" x14ac:dyDescent="0.25">
      <c r="A635" s="10" t="s">
        <v>84</v>
      </c>
      <c r="B635" s="11" t="s">
        <v>85</v>
      </c>
      <c r="C635" s="11" t="s">
        <v>59</v>
      </c>
      <c r="D635" s="12">
        <v>41913</v>
      </c>
      <c r="E635" s="12">
        <v>41913</v>
      </c>
      <c r="F635" s="13">
        <v>442</v>
      </c>
    </row>
    <row r="636" spans="1:6" x14ac:dyDescent="0.25">
      <c r="A636" s="6" t="s">
        <v>143</v>
      </c>
      <c r="B636" s="7" t="s">
        <v>144</v>
      </c>
      <c r="C636" s="7" t="s">
        <v>66</v>
      </c>
      <c r="D636" s="8">
        <v>41914</v>
      </c>
      <c r="E636" s="8">
        <v>41914</v>
      </c>
      <c r="F636" s="9">
        <v>307.7</v>
      </c>
    </row>
    <row r="637" spans="1:6" x14ac:dyDescent="0.25">
      <c r="A637" s="10" t="s">
        <v>113</v>
      </c>
      <c r="B637" s="11" t="s">
        <v>114</v>
      </c>
      <c r="C637" s="11" t="s">
        <v>24</v>
      </c>
      <c r="D637" s="12">
        <v>41914</v>
      </c>
      <c r="E637" s="12">
        <v>41915</v>
      </c>
      <c r="F637" s="13">
        <v>439.7</v>
      </c>
    </row>
    <row r="638" spans="1:6" x14ac:dyDescent="0.25">
      <c r="A638" s="6" t="s">
        <v>82</v>
      </c>
      <c r="B638" s="7" t="s">
        <v>125</v>
      </c>
      <c r="C638" s="7" t="s">
        <v>11</v>
      </c>
      <c r="D638" s="8">
        <v>41915</v>
      </c>
      <c r="E638" s="8">
        <v>41915</v>
      </c>
      <c r="F638" s="9">
        <v>156.4</v>
      </c>
    </row>
    <row r="639" spans="1:6" x14ac:dyDescent="0.25">
      <c r="A639" s="10" t="s">
        <v>9</v>
      </c>
      <c r="B639" s="11" t="s">
        <v>103</v>
      </c>
      <c r="C639" s="11" t="s">
        <v>24</v>
      </c>
      <c r="D639" s="12">
        <v>41915</v>
      </c>
      <c r="E639" s="12">
        <v>41915</v>
      </c>
      <c r="F639" s="13">
        <v>290.7</v>
      </c>
    </row>
    <row r="640" spans="1:6" x14ac:dyDescent="0.25">
      <c r="A640" s="6" t="s">
        <v>131</v>
      </c>
      <c r="B640" s="7" t="s">
        <v>132</v>
      </c>
      <c r="C640" s="7" t="s">
        <v>24</v>
      </c>
      <c r="D640" s="8">
        <v>41915</v>
      </c>
      <c r="E640" s="8">
        <v>41915</v>
      </c>
      <c r="F640" s="9">
        <v>290.7</v>
      </c>
    </row>
    <row r="641" spans="1:6" x14ac:dyDescent="0.25">
      <c r="A641" s="10" t="s">
        <v>119</v>
      </c>
      <c r="B641" s="11" t="s">
        <v>120</v>
      </c>
      <c r="C641" s="11" t="s">
        <v>30</v>
      </c>
      <c r="D641" s="12">
        <v>41917</v>
      </c>
      <c r="E641" s="12">
        <v>41918</v>
      </c>
      <c r="F641" s="13">
        <v>331.5</v>
      </c>
    </row>
    <row r="642" spans="1:6" x14ac:dyDescent="0.25">
      <c r="A642" s="6" t="s">
        <v>137</v>
      </c>
      <c r="B642" s="7" t="s">
        <v>138</v>
      </c>
      <c r="C642" s="7" t="s">
        <v>8</v>
      </c>
      <c r="D642" s="8">
        <v>41917</v>
      </c>
      <c r="E642" s="8">
        <v>41918</v>
      </c>
      <c r="F642" s="9">
        <v>891</v>
      </c>
    </row>
    <row r="643" spans="1:6" x14ac:dyDescent="0.25">
      <c r="A643" s="10" t="s">
        <v>115</v>
      </c>
      <c r="B643" s="11" t="s">
        <v>116</v>
      </c>
      <c r="C643" s="11" t="s">
        <v>66</v>
      </c>
      <c r="D643" s="12">
        <v>41917</v>
      </c>
      <c r="E643" s="12">
        <v>41921</v>
      </c>
      <c r="F643" s="13">
        <v>1019.7</v>
      </c>
    </row>
    <row r="644" spans="1:6" x14ac:dyDescent="0.25">
      <c r="A644" s="6" t="s">
        <v>31</v>
      </c>
      <c r="B644" s="7" t="s">
        <v>32</v>
      </c>
      <c r="C644" s="7" t="s">
        <v>27</v>
      </c>
      <c r="D644" s="8">
        <v>41918</v>
      </c>
      <c r="E644" s="8">
        <v>41918</v>
      </c>
      <c r="F644" s="9">
        <v>442</v>
      </c>
    </row>
    <row r="645" spans="1:6" x14ac:dyDescent="0.25">
      <c r="A645" s="10" t="s">
        <v>145</v>
      </c>
      <c r="B645" s="11" t="s">
        <v>146</v>
      </c>
      <c r="C645" s="11" t="s">
        <v>66</v>
      </c>
      <c r="D645" s="12">
        <v>41918</v>
      </c>
      <c r="E645" s="12">
        <v>41919</v>
      </c>
      <c r="F645" s="13">
        <v>485.7</v>
      </c>
    </row>
    <row r="646" spans="1:6" x14ac:dyDescent="0.25">
      <c r="A646" s="6" t="s">
        <v>75</v>
      </c>
      <c r="B646" s="7" t="s">
        <v>88</v>
      </c>
      <c r="C646" s="7" t="s">
        <v>59</v>
      </c>
      <c r="D646" s="8">
        <v>41918</v>
      </c>
      <c r="E646" s="8">
        <v>41925</v>
      </c>
      <c r="F646" s="9">
        <v>1555</v>
      </c>
    </row>
    <row r="647" spans="1:6" x14ac:dyDescent="0.25">
      <c r="A647" s="10" t="s">
        <v>107</v>
      </c>
      <c r="B647" s="11" t="s">
        <v>108</v>
      </c>
      <c r="C647" s="11" t="s">
        <v>38</v>
      </c>
      <c r="D647" s="12">
        <v>41918</v>
      </c>
      <c r="E647" s="12">
        <v>41920</v>
      </c>
      <c r="F647" s="13">
        <v>536.79999999999995</v>
      </c>
    </row>
    <row r="648" spans="1:6" x14ac:dyDescent="0.25">
      <c r="A648" s="6" t="s">
        <v>57</v>
      </c>
      <c r="B648" s="7" t="s">
        <v>58</v>
      </c>
      <c r="C648" s="7" t="s">
        <v>19</v>
      </c>
      <c r="D648" s="8">
        <v>41918</v>
      </c>
      <c r="E648" s="8">
        <v>41919</v>
      </c>
      <c r="F648" s="9">
        <v>654.4</v>
      </c>
    </row>
    <row r="649" spans="1:6" x14ac:dyDescent="0.25">
      <c r="A649" s="10" t="s">
        <v>82</v>
      </c>
      <c r="B649" s="11" t="s">
        <v>83</v>
      </c>
      <c r="C649" s="11" t="s">
        <v>72</v>
      </c>
      <c r="D649" s="12">
        <v>41922</v>
      </c>
      <c r="E649" s="12">
        <v>41924</v>
      </c>
      <c r="F649" s="13">
        <v>892.7</v>
      </c>
    </row>
    <row r="650" spans="1:6" x14ac:dyDescent="0.25">
      <c r="A650" s="6" t="s">
        <v>84</v>
      </c>
      <c r="B650" s="7" t="s">
        <v>85</v>
      </c>
      <c r="C650" s="7" t="s">
        <v>24</v>
      </c>
      <c r="D650" s="8">
        <v>41922</v>
      </c>
      <c r="E650" s="8">
        <v>41925</v>
      </c>
      <c r="F650" s="9">
        <v>737.7</v>
      </c>
    </row>
    <row r="651" spans="1:6" x14ac:dyDescent="0.25">
      <c r="A651" s="10" t="s">
        <v>50</v>
      </c>
      <c r="B651" s="11" t="s">
        <v>51</v>
      </c>
      <c r="C651" s="11" t="s">
        <v>27</v>
      </c>
      <c r="D651" s="12">
        <v>41922</v>
      </c>
      <c r="E651" s="12">
        <v>41922</v>
      </c>
      <c r="F651" s="13">
        <v>442</v>
      </c>
    </row>
    <row r="652" spans="1:6" x14ac:dyDescent="0.25">
      <c r="A652" s="6" t="s">
        <v>170</v>
      </c>
      <c r="B652" s="7" t="s">
        <v>171</v>
      </c>
      <c r="C652" s="7" t="s">
        <v>59</v>
      </c>
      <c r="D652" s="8">
        <v>41922</v>
      </c>
      <c r="E652" s="8">
        <v>41926</v>
      </c>
      <c r="F652" s="9">
        <v>1078</v>
      </c>
    </row>
    <row r="653" spans="1:6" x14ac:dyDescent="0.25">
      <c r="A653" s="10" t="s">
        <v>168</v>
      </c>
      <c r="B653" s="11" t="s">
        <v>169</v>
      </c>
      <c r="C653" s="11" t="s">
        <v>17</v>
      </c>
      <c r="D653" s="12">
        <v>41922</v>
      </c>
      <c r="E653" s="12">
        <v>41922</v>
      </c>
      <c r="F653" s="13">
        <v>501.5</v>
      </c>
    </row>
    <row r="654" spans="1:6" x14ac:dyDescent="0.25">
      <c r="A654" s="6" t="s">
        <v>115</v>
      </c>
      <c r="B654" s="7" t="s">
        <v>140</v>
      </c>
      <c r="C654" s="7" t="s">
        <v>11</v>
      </c>
      <c r="D654" s="8">
        <v>41922</v>
      </c>
      <c r="E654" s="8">
        <v>41922</v>
      </c>
      <c r="F654" s="9">
        <v>156.4</v>
      </c>
    </row>
    <row r="655" spans="1:6" x14ac:dyDescent="0.25">
      <c r="A655" s="10" t="s">
        <v>33</v>
      </c>
      <c r="B655" s="11" t="s">
        <v>34</v>
      </c>
      <c r="C655" s="11" t="s">
        <v>17</v>
      </c>
      <c r="D655" s="12">
        <v>41922</v>
      </c>
      <c r="E655" s="12">
        <v>41922</v>
      </c>
      <c r="F655" s="13">
        <v>501.5</v>
      </c>
    </row>
    <row r="656" spans="1:6" x14ac:dyDescent="0.25">
      <c r="A656" s="6" t="s">
        <v>33</v>
      </c>
      <c r="B656" s="7" t="s">
        <v>41</v>
      </c>
      <c r="C656" s="7" t="s">
        <v>11</v>
      </c>
      <c r="D656" s="8">
        <v>41922</v>
      </c>
      <c r="E656" s="8">
        <v>41925</v>
      </c>
      <c r="F656" s="9">
        <v>573.4</v>
      </c>
    </row>
    <row r="657" spans="1:6" x14ac:dyDescent="0.25">
      <c r="A657" s="10" t="s">
        <v>73</v>
      </c>
      <c r="B657" s="11" t="s">
        <v>104</v>
      </c>
      <c r="C657" s="11" t="s">
        <v>72</v>
      </c>
      <c r="D657" s="12">
        <v>41922</v>
      </c>
      <c r="E657" s="12">
        <v>41926</v>
      </c>
      <c r="F657" s="13">
        <v>1290.7</v>
      </c>
    </row>
    <row r="658" spans="1:6" x14ac:dyDescent="0.25">
      <c r="A658" s="6" t="s">
        <v>93</v>
      </c>
      <c r="B658" s="7" t="s">
        <v>106</v>
      </c>
      <c r="C658" s="7" t="s">
        <v>17</v>
      </c>
      <c r="D658" s="8">
        <v>41922</v>
      </c>
      <c r="E658" s="8">
        <v>41923</v>
      </c>
      <c r="F658" s="9">
        <v>706.5</v>
      </c>
    </row>
    <row r="659" spans="1:6" x14ac:dyDescent="0.25">
      <c r="A659" s="10" t="s">
        <v>54</v>
      </c>
      <c r="B659" s="11" t="s">
        <v>121</v>
      </c>
      <c r="C659" s="11" t="s">
        <v>27</v>
      </c>
      <c r="D659" s="12">
        <v>41922</v>
      </c>
      <c r="E659" s="12">
        <v>41925</v>
      </c>
      <c r="F659" s="13">
        <v>826</v>
      </c>
    </row>
    <row r="660" spans="1:6" x14ac:dyDescent="0.25">
      <c r="A660" s="6" t="s">
        <v>12</v>
      </c>
      <c r="B660" s="7" t="s">
        <v>13</v>
      </c>
      <c r="C660" s="7" t="s">
        <v>59</v>
      </c>
      <c r="D660" s="8">
        <v>41922</v>
      </c>
      <c r="E660" s="8">
        <v>41923</v>
      </c>
      <c r="F660" s="9">
        <v>601</v>
      </c>
    </row>
    <row r="661" spans="1:6" x14ac:dyDescent="0.25">
      <c r="A661" s="10" t="s">
        <v>15</v>
      </c>
      <c r="B661" s="11" t="s">
        <v>16</v>
      </c>
      <c r="C661" s="11" t="s">
        <v>38</v>
      </c>
      <c r="D661" s="12">
        <v>41922</v>
      </c>
      <c r="E661" s="12">
        <v>41926</v>
      </c>
      <c r="F661" s="13">
        <v>794.8</v>
      </c>
    </row>
    <row r="662" spans="1:6" x14ac:dyDescent="0.25">
      <c r="A662" s="6" t="s">
        <v>70</v>
      </c>
      <c r="B662" s="7" t="s">
        <v>117</v>
      </c>
      <c r="C662" s="7" t="s">
        <v>30</v>
      </c>
      <c r="D662" s="8">
        <v>41922</v>
      </c>
      <c r="E662" s="8">
        <v>41923</v>
      </c>
      <c r="F662" s="9">
        <v>331.5</v>
      </c>
    </row>
    <row r="663" spans="1:6" x14ac:dyDescent="0.25">
      <c r="A663" s="10" t="s">
        <v>54</v>
      </c>
      <c r="B663" s="11" t="s">
        <v>118</v>
      </c>
      <c r="C663" s="11" t="s">
        <v>17</v>
      </c>
      <c r="D663" s="12">
        <v>41922</v>
      </c>
      <c r="E663" s="12">
        <v>41923</v>
      </c>
      <c r="F663" s="13">
        <v>706.5</v>
      </c>
    </row>
    <row r="664" spans="1:6" x14ac:dyDescent="0.25">
      <c r="A664" s="6" t="s">
        <v>33</v>
      </c>
      <c r="B664" s="7" t="s">
        <v>141</v>
      </c>
      <c r="C664" s="7" t="s">
        <v>14</v>
      </c>
      <c r="D664" s="8">
        <v>41923</v>
      </c>
      <c r="E664" s="8">
        <v>41927</v>
      </c>
      <c r="F664" s="9">
        <v>674.5</v>
      </c>
    </row>
    <row r="665" spans="1:6" x14ac:dyDescent="0.25">
      <c r="A665" s="10" t="s">
        <v>93</v>
      </c>
      <c r="B665" s="11" t="s">
        <v>124</v>
      </c>
      <c r="C665" s="11" t="s">
        <v>47</v>
      </c>
      <c r="D665" s="12">
        <v>41923</v>
      </c>
      <c r="E665" s="12">
        <v>41925</v>
      </c>
      <c r="F665" s="13">
        <v>689.8</v>
      </c>
    </row>
    <row r="666" spans="1:6" x14ac:dyDescent="0.25">
      <c r="A666" s="6" t="s">
        <v>131</v>
      </c>
      <c r="B666" s="7" t="s">
        <v>142</v>
      </c>
      <c r="C666" s="7" t="s">
        <v>30</v>
      </c>
      <c r="D666" s="8">
        <v>41923</v>
      </c>
      <c r="E666" s="8">
        <v>41924</v>
      </c>
      <c r="F666" s="9">
        <v>331.5</v>
      </c>
    </row>
    <row r="667" spans="1:6" x14ac:dyDescent="0.25">
      <c r="A667" s="10" t="s">
        <v>9</v>
      </c>
      <c r="B667" s="11" t="s">
        <v>69</v>
      </c>
      <c r="C667" s="11" t="s">
        <v>14</v>
      </c>
      <c r="D667" s="12">
        <v>41923</v>
      </c>
      <c r="E667" s="12">
        <v>41925</v>
      </c>
      <c r="F667" s="13">
        <v>426.5</v>
      </c>
    </row>
    <row r="668" spans="1:6" x14ac:dyDescent="0.25">
      <c r="A668" s="6" t="s">
        <v>99</v>
      </c>
      <c r="B668" s="7" t="s">
        <v>100</v>
      </c>
      <c r="C668" s="7" t="s">
        <v>17</v>
      </c>
      <c r="D668" s="8">
        <v>41923</v>
      </c>
      <c r="E668" s="8">
        <v>41926</v>
      </c>
      <c r="F668" s="9">
        <v>1116.5</v>
      </c>
    </row>
    <row r="669" spans="1:6" x14ac:dyDescent="0.25">
      <c r="A669" s="10" t="s">
        <v>137</v>
      </c>
      <c r="B669" s="11" t="s">
        <v>138</v>
      </c>
      <c r="C669" s="11" t="s">
        <v>19</v>
      </c>
      <c r="D669" s="12">
        <v>41923</v>
      </c>
      <c r="E669" s="12">
        <v>41927</v>
      </c>
      <c r="F669" s="13">
        <v>1077.4000000000001</v>
      </c>
    </row>
    <row r="670" spans="1:6" x14ac:dyDescent="0.25">
      <c r="A670" s="6" t="s">
        <v>15</v>
      </c>
      <c r="B670" s="7" t="s">
        <v>96</v>
      </c>
      <c r="C670" s="7" t="s">
        <v>59</v>
      </c>
      <c r="D670" s="8">
        <v>41923</v>
      </c>
      <c r="E670" s="8">
        <v>41925</v>
      </c>
      <c r="F670" s="9">
        <v>760</v>
      </c>
    </row>
    <row r="671" spans="1:6" x14ac:dyDescent="0.25">
      <c r="A671" s="10" t="s">
        <v>9</v>
      </c>
      <c r="B671" s="11" t="s">
        <v>18</v>
      </c>
      <c r="C671" s="11" t="s">
        <v>24</v>
      </c>
      <c r="D671" s="12">
        <v>41923</v>
      </c>
      <c r="E671" s="12">
        <v>41926</v>
      </c>
      <c r="F671" s="13">
        <v>737.7</v>
      </c>
    </row>
    <row r="672" spans="1:6" x14ac:dyDescent="0.25">
      <c r="A672" s="6" t="s">
        <v>9</v>
      </c>
      <c r="B672" s="7" t="s">
        <v>18</v>
      </c>
      <c r="C672" s="7" t="s">
        <v>27</v>
      </c>
      <c r="D672" s="8">
        <v>41923</v>
      </c>
      <c r="E672" s="8">
        <v>41924</v>
      </c>
      <c r="F672" s="9">
        <v>570</v>
      </c>
    </row>
    <row r="673" spans="1:6" x14ac:dyDescent="0.25">
      <c r="A673" s="10" t="s">
        <v>54</v>
      </c>
      <c r="B673" s="11" t="s">
        <v>118</v>
      </c>
      <c r="C673" s="11" t="s">
        <v>59</v>
      </c>
      <c r="D673" s="12">
        <v>41923</v>
      </c>
      <c r="E673" s="12">
        <v>41926</v>
      </c>
      <c r="F673" s="13">
        <v>919</v>
      </c>
    </row>
    <row r="674" spans="1:6" x14ac:dyDescent="0.25">
      <c r="A674" s="6" t="s">
        <v>86</v>
      </c>
      <c r="B674" s="7" t="s">
        <v>136</v>
      </c>
      <c r="C674" s="7" t="s">
        <v>59</v>
      </c>
      <c r="D674" s="8">
        <v>41923</v>
      </c>
      <c r="E674" s="8">
        <v>41927</v>
      </c>
      <c r="F674" s="9">
        <v>1078</v>
      </c>
    </row>
    <row r="675" spans="1:6" x14ac:dyDescent="0.25">
      <c r="A675" s="10" t="s">
        <v>6</v>
      </c>
      <c r="B675" s="11" t="s">
        <v>139</v>
      </c>
      <c r="C675" s="11" t="s">
        <v>66</v>
      </c>
      <c r="D675" s="12">
        <v>41925</v>
      </c>
      <c r="E675" s="12">
        <v>41925</v>
      </c>
      <c r="F675" s="13">
        <v>307.7</v>
      </c>
    </row>
    <row r="676" spans="1:6" x14ac:dyDescent="0.25">
      <c r="A676" s="6" t="s">
        <v>168</v>
      </c>
      <c r="B676" s="7" t="s">
        <v>169</v>
      </c>
      <c r="C676" s="7" t="s">
        <v>19</v>
      </c>
      <c r="D676" s="8">
        <v>41925</v>
      </c>
      <c r="E676" s="8">
        <v>41925</v>
      </c>
      <c r="F676" s="9">
        <v>513.4</v>
      </c>
    </row>
    <row r="677" spans="1:6" x14ac:dyDescent="0.25">
      <c r="A677" s="10" t="s">
        <v>33</v>
      </c>
      <c r="B677" s="11" t="s">
        <v>34</v>
      </c>
      <c r="C677" s="11" t="s">
        <v>72</v>
      </c>
      <c r="D677" s="12">
        <v>41925</v>
      </c>
      <c r="E677" s="12">
        <v>41925</v>
      </c>
      <c r="F677" s="13">
        <v>494.7</v>
      </c>
    </row>
    <row r="678" spans="1:6" x14ac:dyDescent="0.25">
      <c r="A678" s="6" t="s">
        <v>113</v>
      </c>
      <c r="B678" s="7" t="s">
        <v>114</v>
      </c>
      <c r="C678" s="7" t="s">
        <v>19</v>
      </c>
      <c r="D678" s="8">
        <v>41925</v>
      </c>
      <c r="E678" s="8">
        <v>41925</v>
      </c>
      <c r="F678" s="9">
        <v>513.4</v>
      </c>
    </row>
    <row r="679" spans="1:6" x14ac:dyDescent="0.25">
      <c r="A679" s="10" t="s">
        <v>70</v>
      </c>
      <c r="B679" s="11" t="s">
        <v>117</v>
      </c>
      <c r="C679" s="11" t="s">
        <v>72</v>
      </c>
      <c r="D679" s="12">
        <v>41925</v>
      </c>
      <c r="E679" s="12">
        <v>41925</v>
      </c>
      <c r="F679" s="13">
        <v>494.7</v>
      </c>
    </row>
    <row r="680" spans="1:6" x14ac:dyDescent="0.25">
      <c r="A680" s="6" t="s">
        <v>50</v>
      </c>
      <c r="B680" s="7" t="s">
        <v>51</v>
      </c>
      <c r="C680" s="7" t="s">
        <v>17</v>
      </c>
      <c r="D680" s="8">
        <v>41926</v>
      </c>
      <c r="E680" s="8">
        <v>41926</v>
      </c>
      <c r="F680" s="9">
        <v>501.5</v>
      </c>
    </row>
    <row r="681" spans="1:6" x14ac:dyDescent="0.25">
      <c r="A681" s="10" t="s">
        <v>12</v>
      </c>
      <c r="B681" s="11" t="s">
        <v>13</v>
      </c>
      <c r="C681" s="11" t="s">
        <v>11</v>
      </c>
      <c r="D681" s="12">
        <v>41927</v>
      </c>
      <c r="E681" s="12">
        <v>41927</v>
      </c>
      <c r="F681" s="13">
        <v>156.4</v>
      </c>
    </row>
    <row r="682" spans="1:6" x14ac:dyDescent="0.25">
      <c r="A682" s="6" t="s">
        <v>70</v>
      </c>
      <c r="B682" s="7" t="s">
        <v>117</v>
      </c>
      <c r="C682" s="7" t="s">
        <v>30</v>
      </c>
      <c r="D682" s="8">
        <v>41927</v>
      </c>
      <c r="E682" s="8">
        <v>41927</v>
      </c>
      <c r="F682" s="9">
        <v>212.5</v>
      </c>
    </row>
    <row r="683" spans="1:6" x14ac:dyDescent="0.25">
      <c r="A683" s="10" t="s">
        <v>113</v>
      </c>
      <c r="B683" s="11" t="s">
        <v>114</v>
      </c>
      <c r="C683" s="11" t="s">
        <v>24</v>
      </c>
      <c r="D683" s="12">
        <v>41928</v>
      </c>
      <c r="E683" s="12">
        <v>41928</v>
      </c>
      <c r="F683" s="13">
        <v>290.7</v>
      </c>
    </row>
    <row r="684" spans="1:6" x14ac:dyDescent="0.25">
      <c r="A684" s="6" t="s">
        <v>22</v>
      </c>
      <c r="B684" s="7" t="s">
        <v>172</v>
      </c>
      <c r="C684" s="7" t="s">
        <v>24</v>
      </c>
      <c r="D684" s="8">
        <v>41929</v>
      </c>
      <c r="E684" s="8">
        <v>41930</v>
      </c>
      <c r="F684" s="9">
        <v>439.7</v>
      </c>
    </row>
    <row r="685" spans="1:6" x14ac:dyDescent="0.25">
      <c r="A685" s="10" t="s">
        <v>33</v>
      </c>
      <c r="B685" s="11" t="s">
        <v>34</v>
      </c>
      <c r="C685" s="11" t="s">
        <v>59</v>
      </c>
      <c r="D685" s="12">
        <v>41929</v>
      </c>
      <c r="E685" s="12">
        <v>41932</v>
      </c>
      <c r="F685" s="13">
        <v>919</v>
      </c>
    </row>
    <row r="686" spans="1:6" x14ac:dyDescent="0.25">
      <c r="A686" s="6" t="s">
        <v>9</v>
      </c>
      <c r="B686" s="7" t="s">
        <v>103</v>
      </c>
      <c r="C686" s="7" t="s">
        <v>24</v>
      </c>
      <c r="D686" s="8">
        <v>41929</v>
      </c>
      <c r="E686" s="8">
        <v>41932</v>
      </c>
      <c r="F686" s="9">
        <v>737.7</v>
      </c>
    </row>
    <row r="687" spans="1:6" x14ac:dyDescent="0.25">
      <c r="A687" s="10" t="s">
        <v>115</v>
      </c>
      <c r="B687" s="11" t="s">
        <v>116</v>
      </c>
      <c r="C687" s="11" t="s">
        <v>30</v>
      </c>
      <c r="D687" s="12">
        <v>41929</v>
      </c>
      <c r="E687" s="12">
        <v>41930</v>
      </c>
      <c r="F687" s="13">
        <v>331.5</v>
      </c>
    </row>
    <row r="688" spans="1:6" x14ac:dyDescent="0.25">
      <c r="A688" s="6" t="s">
        <v>12</v>
      </c>
      <c r="B688" s="7" t="s">
        <v>95</v>
      </c>
      <c r="C688" s="7" t="s">
        <v>8</v>
      </c>
      <c r="D688" s="8">
        <v>41929</v>
      </c>
      <c r="E688" s="8">
        <v>41930</v>
      </c>
      <c r="F688" s="9">
        <v>891</v>
      </c>
    </row>
    <row r="689" spans="1:6" x14ac:dyDescent="0.25">
      <c r="A689" s="10" t="s">
        <v>9</v>
      </c>
      <c r="B689" s="11" t="s">
        <v>18</v>
      </c>
      <c r="C689" s="11" t="s">
        <v>38</v>
      </c>
      <c r="D689" s="12">
        <v>41929</v>
      </c>
      <c r="E689" s="12">
        <v>41932</v>
      </c>
      <c r="F689" s="13">
        <v>665.8</v>
      </c>
    </row>
    <row r="690" spans="1:6" x14ac:dyDescent="0.25">
      <c r="A690" s="6" t="s">
        <v>12</v>
      </c>
      <c r="B690" s="7" t="s">
        <v>13</v>
      </c>
      <c r="C690" s="7" t="s">
        <v>30</v>
      </c>
      <c r="D690" s="8">
        <v>41930</v>
      </c>
      <c r="E690" s="8">
        <v>41930</v>
      </c>
      <c r="F690" s="9">
        <v>212.5</v>
      </c>
    </row>
    <row r="691" spans="1:6" x14ac:dyDescent="0.25">
      <c r="A691" s="10" t="s">
        <v>122</v>
      </c>
      <c r="B691" s="11" t="s">
        <v>123</v>
      </c>
      <c r="C691" s="11" t="s">
        <v>59</v>
      </c>
      <c r="D691" s="12">
        <v>41934</v>
      </c>
      <c r="E691" s="12">
        <v>41937</v>
      </c>
      <c r="F691" s="13">
        <v>919</v>
      </c>
    </row>
    <row r="692" spans="1:6" x14ac:dyDescent="0.25">
      <c r="A692" s="6" t="s">
        <v>93</v>
      </c>
      <c r="B692" s="7" t="s">
        <v>124</v>
      </c>
      <c r="C692" s="7" t="s">
        <v>72</v>
      </c>
      <c r="D692" s="8">
        <v>41934</v>
      </c>
      <c r="E692" s="8">
        <v>41935</v>
      </c>
      <c r="F692" s="9">
        <v>693.7</v>
      </c>
    </row>
    <row r="693" spans="1:6" x14ac:dyDescent="0.25">
      <c r="A693" s="10" t="s">
        <v>54</v>
      </c>
      <c r="B693" s="11" t="s">
        <v>81</v>
      </c>
      <c r="C693" s="11" t="s">
        <v>66</v>
      </c>
      <c r="D693" s="12">
        <v>41934</v>
      </c>
      <c r="E693" s="12">
        <v>41934</v>
      </c>
      <c r="F693" s="13">
        <v>307.7</v>
      </c>
    </row>
    <row r="694" spans="1:6" x14ac:dyDescent="0.25">
      <c r="A694" s="6" t="s">
        <v>22</v>
      </c>
      <c r="B694" s="7" t="s">
        <v>172</v>
      </c>
      <c r="C694" s="7" t="s">
        <v>66</v>
      </c>
      <c r="D694" s="8">
        <v>41934</v>
      </c>
      <c r="E694" s="8">
        <v>41935</v>
      </c>
      <c r="F694" s="9">
        <v>485.7</v>
      </c>
    </row>
    <row r="695" spans="1:6" x14ac:dyDescent="0.25">
      <c r="A695" s="10" t="s">
        <v>131</v>
      </c>
      <c r="B695" s="11" t="s">
        <v>142</v>
      </c>
      <c r="C695" s="11" t="s">
        <v>24</v>
      </c>
      <c r="D695" s="12">
        <v>41934</v>
      </c>
      <c r="E695" s="12">
        <v>41937</v>
      </c>
      <c r="F695" s="13">
        <v>737.7</v>
      </c>
    </row>
    <row r="696" spans="1:6" x14ac:dyDescent="0.25">
      <c r="A696" s="6" t="s">
        <v>86</v>
      </c>
      <c r="B696" s="7" t="s">
        <v>150</v>
      </c>
      <c r="C696" s="7" t="s">
        <v>8</v>
      </c>
      <c r="D696" s="8">
        <v>41934</v>
      </c>
      <c r="E696" s="8">
        <v>41935</v>
      </c>
      <c r="F696" s="9">
        <v>891</v>
      </c>
    </row>
    <row r="697" spans="1:6" x14ac:dyDescent="0.25">
      <c r="A697" s="10" t="s">
        <v>50</v>
      </c>
      <c r="B697" s="11" t="s">
        <v>51</v>
      </c>
      <c r="C697" s="11" t="s">
        <v>47</v>
      </c>
      <c r="D697" s="12">
        <v>41934</v>
      </c>
      <c r="E697" s="12">
        <v>41936</v>
      </c>
      <c r="F697" s="13">
        <v>689.8</v>
      </c>
    </row>
    <row r="698" spans="1:6" x14ac:dyDescent="0.25">
      <c r="A698" s="6" t="s">
        <v>82</v>
      </c>
      <c r="B698" s="7" t="s">
        <v>125</v>
      </c>
      <c r="C698" s="7" t="s">
        <v>72</v>
      </c>
      <c r="D698" s="8">
        <v>41934</v>
      </c>
      <c r="E698" s="8">
        <v>41934</v>
      </c>
      <c r="F698" s="9">
        <v>494.7</v>
      </c>
    </row>
    <row r="699" spans="1:6" x14ac:dyDescent="0.25">
      <c r="A699" s="10" t="s">
        <v>170</v>
      </c>
      <c r="B699" s="11" t="s">
        <v>171</v>
      </c>
      <c r="C699" s="11" t="s">
        <v>27</v>
      </c>
      <c r="D699" s="12">
        <v>41934</v>
      </c>
      <c r="E699" s="12">
        <v>41934</v>
      </c>
      <c r="F699" s="13">
        <v>442</v>
      </c>
    </row>
    <row r="700" spans="1:6" x14ac:dyDescent="0.25">
      <c r="A700" s="6" t="s">
        <v>9</v>
      </c>
      <c r="B700" s="7" t="s">
        <v>10</v>
      </c>
      <c r="C700" s="7" t="s">
        <v>59</v>
      </c>
      <c r="D700" s="8">
        <v>41934</v>
      </c>
      <c r="E700" s="8">
        <v>41937</v>
      </c>
      <c r="F700" s="9">
        <v>919</v>
      </c>
    </row>
    <row r="701" spans="1:6" x14ac:dyDescent="0.25">
      <c r="A701" s="10" t="s">
        <v>73</v>
      </c>
      <c r="B701" s="11" t="s">
        <v>74</v>
      </c>
      <c r="C701" s="11" t="s">
        <v>59</v>
      </c>
      <c r="D701" s="12">
        <v>41934</v>
      </c>
      <c r="E701" s="12">
        <v>41938</v>
      </c>
      <c r="F701" s="13">
        <v>1078</v>
      </c>
    </row>
    <row r="702" spans="1:6" x14ac:dyDescent="0.25">
      <c r="A702" s="6" t="s">
        <v>54</v>
      </c>
      <c r="B702" s="7" t="s">
        <v>121</v>
      </c>
      <c r="C702" s="7" t="s">
        <v>38</v>
      </c>
      <c r="D702" s="8">
        <v>41934</v>
      </c>
      <c r="E702" s="8">
        <v>41934</v>
      </c>
      <c r="F702" s="9">
        <v>278.8</v>
      </c>
    </row>
    <row r="703" spans="1:6" x14ac:dyDescent="0.25">
      <c r="A703" s="10" t="s">
        <v>12</v>
      </c>
      <c r="B703" s="11" t="s">
        <v>13</v>
      </c>
      <c r="C703" s="11" t="s">
        <v>38</v>
      </c>
      <c r="D703" s="12">
        <v>41934</v>
      </c>
      <c r="E703" s="12">
        <v>41936</v>
      </c>
      <c r="F703" s="13">
        <v>536.79999999999995</v>
      </c>
    </row>
    <row r="704" spans="1:6" x14ac:dyDescent="0.25">
      <c r="A704" s="6" t="s">
        <v>147</v>
      </c>
      <c r="B704" s="7" t="s">
        <v>148</v>
      </c>
      <c r="C704" s="7" t="s">
        <v>30</v>
      </c>
      <c r="D704" s="8">
        <v>41934</v>
      </c>
      <c r="E704" s="8">
        <v>41937</v>
      </c>
      <c r="F704" s="9">
        <v>569.5</v>
      </c>
    </row>
    <row r="705" spans="1:6" x14ac:dyDescent="0.25">
      <c r="A705" s="10" t="s">
        <v>89</v>
      </c>
      <c r="B705" s="11" t="s">
        <v>90</v>
      </c>
      <c r="C705" s="11" t="s">
        <v>59</v>
      </c>
      <c r="D705" s="12">
        <v>41934</v>
      </c>
      <c r="E705" s="12">
        <v>41936</v>
      </c>
      <c r="F705" s="13">
        <v>760</v>
      </c>
    </row>
    <row r="706" spans="1:6" x14ac:dyDescent="0.25">
      <c r="A706" s="6" t="s">
        <v>91</v>
      </c>
      <c r="B706" s="7" t="s">
        <v>161</v>
      </c>
      <c r="C706" s="7" t="s">
        <v>14</v>
      </c>
      <c r="D706" s="8">
        <v>41934</v>
      </c>
      <c r="E706" s="8">
        <v>41938</v>
      </c>
      <c r="F706" s="9">
        <v>674.5</v>
      </c>
    </row>
    <row r="707" spans="1:6" x14ac:dyDescent="0.25">
      <c r="A707" s="10" t="s">
        <v>9</v>
      </c>
      <c r="B707" s="11" t="s">
        <v>18</v>
      </c>
      <c r="C707" s="11" t="s">
        <v>38</v>
      </c>
      <c r="D707" s="12">
        <v>41934</v>
      </c>
      <c r="E707" s="12">
        <v>41934</v>
      </c>
      <c r="F707" s="13">
        <v>278.8</v>
      </c>
    </row>
    <row r="708" spans="1:6" x14ac:dyDescent="0.25">
      <c r="A708" s="6" t="s">
        <v>57</v>
      </c>
      <c r="B708" s="7" t="s">
        <v>58</v>
      </c>
      <c r="C708" s="7" t="s">
        <v>30</v>
      </c>
      <c r="D708" s="8">
        <v>41934</v>
      </c>
      <c r="E708" s="8">
        <v>41935</v>
      </c>
      <c r="F708" s="9">
        <v>331.5</v>
      </c>
    </row>
    <row r="709" spans="1:6" x14ac:dyDescent="0.25">
      <c r="A709" s="10" t="s">
        <v>20</v>
      </c>
      <c r="B709" s="11" t="s">
        <v>21</v>
      </c>
      <c r="C709" s="11" t="s">
        <v>47</v>
      </c>
      <c r="D709" s="12">
        <v>41934</v>
      </c>
      <c r="E709" s="12">
        <v>41938</v>
      </c>
      <c r="F709" s="13">
        <v>1015.8</v>
      </c>
    </row>
    <row r="710" spans="1:6" x14ac:dyDescent="0.25">
      <c r="A710" s="6" t="s">
        <v>22</v>
      </c>
      <c r="B710" s="7" t="s">
        <v>23</v>
      </c>
      <c r="C710" s="7" t="s">
        <v>72</v>
      </c>
      <c r="D710" s="8">
        <v>41935</v>
      </c>
      <c r="E710" s="8">
        <v>41937</v>
      </c>
      <c r="F710" s="9">
        <v>892.7</v>
      </c>
    </row>
    <row r="711" spans="1:6" x14ac:dyDescent="0.25">
      <c r="A711" s="10" t="s">
        <v>31</v>
      </c>
      <c r="B711" s="11" t="s">
        <v>78</v>
      </c>
      <c r="C711" s="11" t="s">
        <v>59</v>
      </c>
      <c r="D711" s="12">
        <v>41935</v>
      </c>
      <c r="E711" s="12">
        <v>41938</v>
      </c>
      <c r="F711" s="13">
        <v>919</v>
      </c>
    </row>
    <row r="712" spans="1:6" x14ac:dyDescent="0.25">
      <c r="A712" s="6" t="s">
        <v>86</v>
      </c>
      <c r="B712" s="7" t="s">
        <v>150</v>
      </c>
      <c r="C712" s="7" t="s">
        <v>27</v>
      </c>
      <c r="D712" s="8">
        <v>41935</v>
      </c>
      <c r="E712" s="8">
        <v>41936</v>
      </c>
      <c r="F712" s="9">
        <v>570</v>
      </c>
    </row>
    <row r="713" spans="1:6" x14ac:dyDescent="0.25">
      <c r="A713" s="10" t="s">
        <v>25</v>
      </c>
      <c r="B713" s="11" t="s">
        <v>26</v>
      </c>
      <c r="C713" s="11" t="s">
        <v>11</v>
      </c>
      <c r="D713" s="12">
        <v>41935</v>
      </c>
      <c r="E713" s="12">
        <v>41936</v>
      </c>
      <c r="F713" s="13">
        <v>295.39999999999998</v>
      </c>
    </row>
    <row r="714" spans="1:6" x14ac:dyDescent="0.25">
      <c r="A714" s="6" t="s">
        <v>31</v>
      </c>
      <c r="B714" s="7" t="s">
        <v>32</v>
      </c>
      <c r="C714" s="7" t="s">
        <v>8</v>
      </c>
      <c r="D714" s="8">
        <v>41935</v>
      </c>
      <c r="E714" s="8">
        <v>41936</v>
      </c>
      <c r="F714" s="9">
        <v>891</v>
      </c>
    </row>
    <row r="715" spans="1:6" x14ac:dyDescent="0.25">
      <c r="A715" s="10" t="s">
        <v>168</v>
      </c>
      <c r="B715" s="11" t="s">
        <v>169</v>
      </c>
      <c r="C715" s="11" t="s">
        <v>27</v>
      </c>
      <c r="D715" s="12">
        <v>41935</v>
      </c>
      <c r="E715" s="12">
        <v>41936</v>
      </c>
      <c r="F715" s="13">
        <v>570</v>
      </c>
    </row>
    <row r="716" spans="1:6" x14ac:dyDescent="0.25">
      <c r="A716" s="6" t="s">
        <v>115</v>
      </c>
      <c r="B716" s="7" t="s">
        <v>140</v>
      </c>
      <c r="C716" s="7" t="s">
        <v>24</v>
      </c>
      <c r="D716" s="8">
        <v>41935</v>
      </c>
      <c r="E716" s="8">
        <v>41935</v>
      </c>
      <c r="F716" s="9">
        <v>290.7</v>
      </c>
    </row>
    <row r="717" spans="1:6" x14ac:dyDescent="0.25">
      <c r="A717" s="10" t="s">
        <v>73</v>
      </c>
      <c r="B717" s="11" t="s">
        <v>74</v>
      </c>
      <c r="C717" s="11" t="s">
        <v>17</v>
      </c>
      <c r="D717" s="12">
        <v>41935</v>
      </c>
      <c r="E717" s="12">
        <v>41936</v>
      </c>
      <c r="F717" s="13">
        <v>706.5</v>
      </c>
    </row>
    <row r="718" spans="1:6" x14ac:dyDescent="0.25">
      <c r="A718" s="6" t="s">
        <v>119</v>
      </c>
      <c r="B718" s="7" t="s">
        <v>120</v>
      </c>
      <c r="C718" s="7" t="s">
        <v>17</v>
      </c>
      <c r="D718" s="8">
        <v>41935</v>
      </c>
      <c r="E718" s="8">
        <v>41937</v>
      </c>
      <c r="F718" s="9">
        <v>911.5</v>
      </c>
    </row>
    <row r="719" spans="1:6" x14ac:dyDescent="0.25">
      <c r="A719" s="10" t="s">
        <v>107</v>
      </c>
      <c r="B719" s="11" t="s">
        <v>108</v>
      </c>
      <c r="C719" s="11" t="s">
        <v>66</v>
      </c>
      <c r="D719" s="12">
        <v>41935</v>
      </c>
      <c r="E719" s="12">
        <v>41938</v>
      </c>
      <c r="F719" s="13">
        <v>841.7</v>
      </c>
    </row>
    <row r="720" spans="1:6" x14ac:dyDescent="0.25">
      <c r="A720" s="6" t="s">
        <v>39</v>
      </c>
      <c r="B720" s="7" t="s">
        <v>40</v>
      </c>
      <c r="C720" s="7" t="s">
        <v>8</v>
      </c>
      <c r="D720" s="8">
        <v>41935</v>
      </c>
      <c r="E720" s="8">
        <v>41937</v>
      </c>
      <c r="F720" s="9">
        <v>1102</v>
      </c>
    </row>
    <row r="721" spans="1:6" x14ac:dyDescent="0.25">
      <c r="A721" s="10" t="s">
        <v>12</v>
      </c>
      <c r="B721" s="11" t="s">
        <v>95</v>
      </c>
      <c r="C721" s="11" t="s">
        <v>8</v>
      </c>
      <c r="D721" s="12">
        <v>41935</v>
      </c>
      <c r="E721" s="12">
        <v>41935</v>
      </c>
      <c r="F721" s="13">
        <v>680</v>
      </c>
    </row>
    <row r="722" spans="1:6" x14ac:dyDescent="0.25">
      <c r="A722" s="6" t="s">
        <v>170</v>
      </c>
      <c r="B722" s="7" t="s">
        <v>171</v>
      </c>
      <c r="C722" s="7" t="s">
        <v>66</v>
      </c>
      <c r="D722" s="8">
        <v>41936</v>
      </c>
      <c r="E722" s="8">
        <v>41936</v>
      </c>
      <c r="F722" s="9">
        <v>307.7</v>
      </c>
    </row>
    <row r="723" spans="1:6" x14ac:dyDescent="0.25">
      <c r="A723" s="10" t="s">
        <v>9</v>
      </c>
      <c r="B723" s="11" t="s">
        <v>18</v>
      </c>
      <c r="C723" s="11" t="s">
        <v>24</v>
      </c>
      <c r="D723" s="12">
        <v>41936</v>
      </c>
      <c r="E723" s="12">
        <v>41936</v>
      </c>
      <c r="F723" s="13">
        <v>290.7</v>
      </c>
    </row>
    <row r="724" spans="1:6" x14ac:dyDescent="0.25">
      <c r="A724" s="6" t="s">
        <v>82</v>
      </c>
      <c r="B724" s="7" t="s">
        <v>125</v>
      </c>
      <c r="C724" s="7" t="s">
        <v>66</v>
      </c>
      <c r="D724" s="8">
        <v>41937</v>
      </c>
      <c r="E724" s="8">
        <v>41937</v>
      </c>
      <c r="F724" s="9">
        <v>307.7</v>
      </c>
    </row>
    <row r="725" spans="1:6" x14ac:dyDescent="0.25">
      <c r="A725" s="10" t="s">
        <v>54</v>
      </c>
      <c r="B725" s="11" t="s">
        <v>121</v>
      </c>
      <c r="C725" s="11" t="s">
        <v>38</v>
      </c>
      <c r="D725" s="12">
        <v>41937</v>
      </c>
      <c r="E725" s="12">
        <v>41937</v>
      </c>
      <c r="F725" s="13">
        <v>278.8</v>
      </c>
    </row>
    <row r="726" spans="1:6" x14ac:dyDescent="0.25">
      <c r="A726" s="6" t="s">
        <v>12</v>
      </c>
      <c r="B726" s="7" t="s">
        <v>95</v>
      </c>
      <c r="C726" s="7" t="s">
        <v>27</v>
      </c>
      <c r="D726" s="8">
        <v>41937</v>
      </c>
      <c r="E726" s="8">
        <v>41938</v>
      </c>
      <c r="F726" s="9">
        <v>570</v>
      </c>
    </row>
    <row r="727" spans="1:6" x14ac:dyDescent="0.25">
      <c r="A727" s="10" t="s">
        <v>31</v>
      </c>
      <c r="B727" s="11" t="s">
        <v>32</v>
      </c>
      <c r="C727" s="11" t="s">
        <v>19</v>
      </c>
      <c r="D727" s="12">
        <v>41938</v>
      </c>
      <c r="E727" s="12">
        <v>41938</v>
      </c>
      <c r="F727" s="13">
        <v>513.4</v>
      </c>
    </row>
    <row r="728" spans="1:6" x14ac:dyDescent="0.25">
      <c r="A728" s="6" t="s">
        <v>170</v>
      </c>
      <c r="B728" s="7" t="s">
        <v>171</v>
      </c>
      <c r="C728" s="7" t="s">
        <v>66</v>
      </c>
      <c r="D728" s="8">
        <v>41939</v>
      </c>
      <c r="E728" s="8">
        <v>41939</v>
      </c>
      <c r="F728" s="9">
        <v>307.7</v>
      </c>
    </row>
    <row r="729" spans="1:6" x14ac:dyDescent="0.25">
      <c r="A729" s="10" t="s">
        <v>54</v>
      </c>
      <c r="B729" s="11" t="s">
        <v>55</v>
      </c>
      <c r="C729" s="11" t="s">
        <v>14</v>
      </c>
      <c r="D729" s="12">
        <v>41940</v>
      </c>
      <c r="E729" s="12">
        <v>41942</v>
      </c>
      <c r="F729" s="13">
        <v>426.5</v>
      </c>
    </row>
    <row r="730" spans="1:6" x14ac:dyDescent="0.25">
      <c r="A730" s="6" t="s">
        <v>82</v>
      </c>
      <c r="B730" s="7" t="s">
        <v>83</v>
      </c>
      <c r="C730" s="7" t="s">
        <v>38</v>
      </c>
      <c r="D730" s="8">
        <v>41941</v>
      </c>
      <c r="E730" s="8">
        <v>41942</v>
      </c>
      <c r="F730" s="9">
        <v>407.8</v>
      </c>
    </row>
    <row r="731" spans="1:6" x14ac:dyDescent="0.25">
      <c r="A731" s="10" t="s">
        <v>31</v>
      </c>
      <c r="B731" s="11" t="s">
        <v>32</v>
      </c>
      <c r="C731" s="11" t="s">
        <v>19</v>
      </c>
      <c r="D731" s="12">
        <v>41941</v>
      </c>
      <c r="E731" s="12">
        <v>41941</v>
      </c>
      <c r="F731" s="13">
        <v>513.4</v>
      </c>
    </row>
    <row r="732" spans="1:6" x14ac:dyDescent="0.25">
      <c r="A732" s="6" t="s">
        <v>111</v>
      </c>
      <c r="B732" s="7" t="s">
        <v>112</v>
      </c>
      <c r="C732" s="7" t="s">
        <v>11</v>
      </c>
      <c r="D732" s="8">
        <v>41941</v>
      </c>
      <c r="E732" s="8">
        <v>41942</v>
      </c>
      <c r="F732" s="9">
        <v>295.39999999999998</v>
      </c>
    </row>
    <row r="733" spans="1:6" x14ac:dyDescent="0.25">
      <c r="A733" s="10" t="s">
        <v>113</v>
      </c>
      <c r="B733" s="11" t="s">
        <v>114</v>
      </c>
      <c r="C733" s="11" t="s">
        <v>24</v>
      </c>
      <c r="D733" s="12">
        <v>41941</v>
      </c>
      <c r="E733" s="12">
        <v>41942</v>
      </c>
      <c r="F733" s="13">
        <v>439.7</v>
      </c>
    </row>
    <row r="734" spans="1:6" x14ac:dyDescent="0.25">
      <c r="A734" s="6" t="s">
        <v>91</v>
      </c>
      <c r="B734" s="7" t="s">
        <v>92</v>
      </c>
      <c r="C734" s="7" t="s">
        <v>24</v>
      </c>
      <c r="D734" s="8">
        <v>41941</v>
      </c>
      <c r="E734" s="8">
        <v>41945</v>
      </c>
      <c r="F734" s="9">
        <v>886.7</v>
      </c>
    </row>
    <row r="735" spans="1:6" x14ac:dyDescent="0.25">
      <c r="A735" s="10" t="s">
        <v>12</v>
      </c>
      <c r="B735" s="11" t="s">
        <v>95</v>
      </c>
      <c r="C735" s="11" t="s">
        <v>27</v>
      </c>
      <c r="D735" s="12">
        <v>41941</v>
      </c>
      <c r="E735" s="12">
        <v>41943</v>
      </c>
      <c r="F735" s="13">
        <v>698</v>
      </c>
    </row>
    <row r="736" spans="1:6" x14ac:dyDescent="0.25">
      <c r="A736" s="6" t="s">
        <v>20</v>
      </c>
      <c r="B736" s="7" t="s">
        <v>21</v>
      </c>
      <c r="C736" s="7" t="s">
        <v>66</v>
      </c>
      <c r="D736" s="8">
        <v>41941</v>
      </c>
      <c r="E736" s="8">
        <v>41941</v>
      </c>
      <c r="F736" s="9">
        <v>307.7</v>
      </c>
    </row>
    <row r="737" spans="1:6" x14ac:dyDescent="0.25">
      <c r="A737" s="10" t="s">
        <v>93</v>
      </c>
      <c r="B737" s="11" t="s">
        <v>124</v>
      </c>
      <c r="C737" s="11" t="s">
        <v>11</v>
      </c>
      <c r="D737" s="12">
        <v>41946</v>
      </c>
      <c r="E737" s="12">
        <v>41947</v>
      </c>
      <c r="F737" s="13">
        <v>295.39999999999998</v>
      </c>
    </row>
    <row r="738" spans="1:6" x14ac:dyDescent="0.25">
      <c r="A738" s="6" t="s">
        <v>54</v>
      </c>
      <c r="B738" s="7" t="s">
        <v>81</v>
      </c>
      <c r="C738" s="7" t="s">
        <v>17</v>
      </c>
      <c r="D738" s="8">
        <v>41946</v>
      </c>
      <c r="E738" s="8">
        <v>41946</v>
      </c>
      <c r="F738" s="9">
        <v>501.5</v>
      </c>
    </row>
    <row r="739" spans="1:6" x14ac:dyDescent="0.25">
      <c r="A739" s="10" t="s">
        <v>131</v>
      </c>
      <c r="B739" s="11" t="s">
        <v>142</v>
      </c>
      <c r="C739" s="11" t="s">
        <v>38</v>
      </c>
      <c r="D739" s="12">
        <v>41946</v>
      </c>
      <c r="E739" s="12">
        <v>41949</v>
      </c>
      <c r="F739" s="13">
        <v>665.8</v>
      </c>
    </row>
    <row r="740" spans="1:6" x14ac:dyDescent="0.25">
      <c r="A740" s="6" t="s">
        <v>115</v>
      </c>
      <c r="B740" s="7" t="s">
        <v>140</v>
      </c>
      <c r="C740" s="7" t="s">
        <v>47</v>
      </c>
      <c r="D740" s="8">
        <v>41946</v>
      </c>
      <c r="E740" s="8">
        <v>41950</v>
      </c>
      <c r="F740" s="9">
        <v>1015.8</v>
      </c>
    </row>
    <row r="741" spans="1:6" x14ac:dyDescent="0.25">
      <c r="A741" s="10" t="s">
        <v>9</v>
      </c>
      <c r="B741" s="11" t="s">
        <v>10</v>
      </c>
      <c r="C741" s="11" t="s">
        <v>24</v>
      </c>
      <c r="D741" s="12">
        <v>41946</v>
      </c>
      <c r="E741" s="12">
        <v>41947</v>
      </c>
      <c r="F741" s="13">
        <v>439.7</v>
      </c>
    </row>
    <row r="742" spans="1:6" x14ac:dyDescent="0.25">
      <c r="A742" s="6" t="s">
        <v>9</v>
      </c>
      <c r="B742" s="7" t="s">
        <v>69</v>
      </c>
      <c r="C742" s="7" t="s">
        <v>47</v>
      </c>
      <c r="D742" s="8">
        <v>41946</v>
      </c>
      <c r="E742" s="8">
        <v>41946</v>
      </c>
      <c r="F742" s="9">
        <v>363.8</v>
      </c>
    </row>
    <row r="743" spans="1:6" x14ac:dyDescent="0.25">
      <c r="A743" s="10" t="s">
        <v>101</v>
      </c>
      <c r="B743" s="11" t="s">
        <v>102</v>
      </c>
      <c r="C743" s="11" t="s">
        <v>59</v>
      </c>
      <c r="D743" s="12">
        <v>41946</v>
      </c>
      <c r="E743" s="12">
        <v>41947</v>
      </c>
      <c r="F743" s="13">
        <v>601</v>
      </c>
    </row>
    <row r="744" spans="1:6" x14ac:dyDescent="0.25">
      <c r="A744" s="6" t="s">
        <v>143</v>
      </c>
      <c r="B744" s="7" t="s">
        <v>144</v>
      </c>
      <c r="C744" s="7" t="s">
        <v>59</v>
      </c>
      <c r="D744" s="8">
        <v>41946</v>
      </c>
      <c r="E744" s="8">
        <v>41947</v>
      </c>
      <c r="F744" s="9">
        <v>601</v>
      </c>
    </row>
    <row r="745" spans="1:6" x14ac:dyDescent="0.25">
      <c r="A745" s="10" t="s">
        <v>164</v>
      </c>
      <c r="B745" s="11" t="s">
        <v>165</v>
      </c>
      <c r="C745" s="11" t="s">
        <v>72</v>
      </c>
      <c r="D745" s="12">
        <v>41946</v>
      </c>
      <c r="E745" s="12">
        <v>41946</v>
      </c>
      <c r="F745" s="13">
        <v>494.7</v>
      </c>
    </row>
    <row r="746" spans="1:6" x14ac:dyDescent="0.25">
      <c r="A746" s="6" t="s">
        <v>54</v>
      </c>
      <c r="B746" s="7" t="s">
        <v>121</v>
      </c>
      <c r="C746" s="7" t="s">
        <v>24</v>
      </c>
      <c r="D746" s="8">
        <v>41946</v>
      </c>
      <c r="E746" s="8">
        <v>41950</v>
      </c>
      <c r="F746" s="9">
        <v>886.7</v>
      </c>
    </row>
    <row r="747" spans="1:6" x14ac:dyDescent="0.25">
      <c r="A747" s="10" t="s">
        <v>151</v>
      </c>
      <c r="B747" s="11" t="s">
        <v>152</v>
      </c>
      <c r="C747" s="11" t="s">
        <v>72</v>
      </c>
      <c r="D747" s="12">
        <v>41946</v>
      </c>
      <c r="E747" s="12">
        <v>41946</v>
      </c>
      <c r="F747" s="13">
        <v>494.7</v>
      </c>
    </row>
    <row r="748" spans="1:6" x14ac:dyDescent="0.25">
      <c r="A748" s="6" t="s">
        <v>75</v>
      </c>
      <c r="B748" s="7" t="s">
        <v>88</v>
      </c>
      <c r="C748" s="7" t="s">
        <v>38</v>
      </c>
      <c r="D748" s="8">
        <v>41946</v>
      </c>
      <c r="E748" s="8">
        <v>41946</v>
      </c>
      <c r="F748" s="9">
        <v>278.8</v>
      </c>
    </row>
    <row r="749" spans="1:6" x14ac:dyDescent="0.25">
      <c r="A749" s="10" t="s">
        <v>147</v>
      </c>
      <c r="B749" s="11" t="s">
        <v>148</v>
      </c>
      <c r="C749" s="11" t="s">
        <v>27</v>
      </c>
      <c r="D749" s="12">
        <v>41946</v>
      </c>
      <c r="E749" s="12">
        <v>41947</v>
      </c>
      <c r="F749" s="13">
        <v>570</v>
      </c>
    </row>
    <row r="750" spans="1:6" x14ac:dyDescent="0.25">
      <c r="A750" s="6" t="s">
        <v>166</v>
      </c>
      <c r="B750" s="7" t="s">
        <v>167</v>
      </c>
      <c r="C750" s="7" t="s">
        <v>24</v>
      </c>
      <c r="D750" s="8">
        <v>41946</v>
      </c>
      <c r="E750" s="8">
        <v>41947</v>
      </c>
      <c r="F750" s="9">
        <v>439.7</v>
      </c>
    </row>
    <row r="751" spans="1:6" x14ac:dyDescent="0.25">
      <c r="A751" s="10" t="s">
        <v>20</v>
      </c>
      <c r="B751" s="11" t="s">
        <v>162</v>
      </c>
      <c r="C751" s="11" t="s">
        <v>30</v>
      </c>
      <c r="D751" s="12">
        <v>41946</v>
      </c>
      <c r="E751" s="12">
        <v>41947</v>
      </c>
      <c r="F751" s="13">
        <v>331.5</v>
      </c>
    </row>
    <row r="752" spans="1:6" x14ac:dyDescent="0.25">
      <c r="A752" s="6" t="s">
        <v>39</v>
      </c>
      <c r="B752" s="7" t="s">
        <v>40</v>
      </c>
      <c r="C752" s="7" t="s">
        <v>11</v>
      </c>
      <c r="D752" s="8">
        <v>41946</v>
      </c>
      <c r="E752" s="8">
        <v>41950</v>
      </c>
      <c r="F752" s="9">
        <v>712.4</v>
      </c>
    </row>
    <row r="753" spans="1:6" x14ac:dyDescent="0.25">
      <c r="A753" s="10" t="s">
        <v>113</v>
      </c>
      <c r="B753" s="11" t="s">
        <v>114</v>
      </c>
      <c r="C753" s="11" t="s">
        <v>11</v>
      </c>
      <c r="D753" s="12">
        <v>41946</v>
      </c>
      <c r="E753" s="12">
        <v>41947</v>
      </c>
      <c r="F753" s="13">
        <v>295.39999999999998</v>
      </c>
    </row>
    <row r="754" spans="1:6" x14ac:dyDescent="0.25">
      <c r="A754" s="6" t="s">
        <v>64</v>
      </c>
      <c r="B754" s="7" t="s">
        <v>65</v>
      </c>
      <c r="C754" s="7" t="s">
        <v>11</v>
      </c>
      <c r="D754" s="8">
        <v>41946</v>
      </c>
      <c r="E754" s="8">
        <v>41950</v>
      </c>
      <c r="F754" s="9">
        <v>712.4</v>
      </c>
    </row>
    <row r="755" spans="1:6" x14ac:dyDescent="0.25">
      <c r="A755" s="10" t="s">
        <v>173</v>
      </c>
      <c r="B755" s="11" t="s">
        <v>174</v>
      </c>
      <c r="C755" s="11" t="s">
        <v>72</v>
      </c>
      <c r="D755" s="12">
        <v>41947</v>
      </c>
      <c r="E755" s="12">
        <v>41949</v>
      </c>
      <c r="F755" s="13">
        <v>892.7</v>
      </c>
    </row>
    <row r="756" spans="1:6" x14ac:dyDescent="0.25">
      <c r="A756" s="6" t="s">
        <v>6</v>
      </c>
      <c r="B756" s="7" t="s">
        <v>7</v>
      </c>
      <c r="C756" s="7" t="s">
        <v>14</v>
      </c>
      <c r="D756" s="8">
        <v>41947</v>
      </c>
      <c r="E756" s="8">
        <v>41949</v>
      </c>
      <c r="F756" s="9">
        <v>426.5</v>
      </c>
    </row>
    <row r="757" spans="1:6" x14ac:dyDescent="0.25">
      <c r="A757" s="10" t="s">
        <v>48</v>
      </c>
      <c r="B757" s="11" t="s">
        <v>49</v>
      </c>
      <c r="C757" s="11" t="s">
        <v>8</v>
      </c>
      <c r="D757" s="12">
        <v>41947</v>
      </c>
      <c r="E757" s="12">
        <v>41949</v>
      </c>
      <c r="F757" s="13">
        <v>1102</v>
      </c>
    </row>
    <row r="758" spans="1:6" x14ac:dyDescent="0.25">
      <c r="A758" s="6" t="s">
        <v>22</v>
      </c>
      <c r="B758" s="7" t="s">
        <v>172</v>
      </c>
      <c r="C758" s="7" t="s">
        <v>17</v>
      </c>
      <c r="D758" s="8">
        <v>41947</v>
      </c>
      <c r="E758" s="8">
        <v>41949</v>
      </c>
      <c r="F758" s="9">
        <v>911.5</v>
      </c>
    </row>
    <row r="759" spans="1:6" x14ac:dyDescent="0.25">
      <c r="A759" s="10" t="s">
        <v>28</v>
      </c>
      <c r="B759" s="11" t="s">
        <v>29</v>
      </c>
      <c r="C759" s="11" t="s">
        <v>47</v>
      </c>
      <c r="D759" s="12">
        <v>41947</v>
      </c>
      <c r="E759" s="12">
        <v>41948</v>
      </c>
      <c r="F759" s="13">
        <v>526.79999999999995</v>
      </c>
    </row>
    <row r="760" spans="1:6" x14ac:dyDescent="0.25">
      <c r="A760" s="6" t="s">
        <v>33</v>
      </c>
      <c r="B760" s="7" t="s">
        <v>34</v>
      </c>
      <c r="C760" s="7" t="s">
        <v>14</v>
      </c>
      <c r="D760" s="8">
        <v>41947</v>
      </c>
      <c r="E760" s="8">
        <v>41951</v>
      </c>
      <c r="F760" s="9">
        <v>674.5</v>
      </c>
    </row>
    <row r="761" spans="1:6" x14ac:dyDescent="0.25">
      <c r="A761" s="10" t="s">
        <v>73</v>
      </c>
      <c r="B761" s="11" t="s">
        <v>74</v>
      </c>
      <c r="C761" s="11" t="s">
        <v>47</v>
      </c>
      <c r="D761" s="12">
        <v>41947</v>
      </c>
      <c r="E761" s="12">
        <v>41950</v>
      </c>
      <c r="F761" s="13">
        <v>852.8</v>
      </c>
    </row>
    <row r="762" spans="1:6" x14ac:dyDescent="0.25">
      <c r="A762" s="6" t="s">
        <v>25</v>
      </c>
      <c r="B762" s="7" t="s">
        <v>35</v>
      </c>
      <c r="C762" s="7" t="s">
        <v>72</v>
      </c>
      <c r="D762" s="8">
        <v>41947</v>
      </c>
      <c r="E762" s="8">
        <v>41951</v>
      </c>
      <c r="F762" s="9">
        <v>1290.7</v>
      </c>
    </row>
    <row r="763" spans="1:6" x14ac:dyDescent="0.25">
      <c r="A763" s="10" t="s">
        <v>12</v>
      </c>
      <c r="B763" s="11" t="s">
        <v>13</v>
      </c>
      <c r="C763" s="11" t="s">
        <v>17</v>
      </c>
      <c r="D763" s="12">
        <v>41947</v>
      </c>
      <c r="E763" s="12">
        <v>41948</v>
      </c>
      <c r="F763" s="13">
        <v>706.5</v>
      </c>
    </row>
    <row r="764" spans="1:6" x14ac:dyDescent="0.25">
      <c r="A764" s="6" t="s">
        <v>156</v>
      </c>
      <c r="B764" s="7" t="s">
        <v>157</v>
      </c>
      <c r="C764" s="7" t="s">
        <v>17</v>
      </c>
      <c r="D764" s="8">
        <v>41947</v>
      </c>
      <c r="E764" s="8">
        <v>41948</v>
      </c>
      <c r="F764" s="9">
        <v>706.5</v>
      </c>
    </row>
    <row r="765" spans="1:6" x14ac:dyDescent="0.25">
      <c r="A765" s="10" t="s">
        <v>134</v>
      </c>
      <c r="B765" s="11" t="s">
        <v>149</v>
      </c>
      <c r="C765" s="11" t="s">
        <v>17</v>
      </c>
      <c r="D765" s="12">
        <v>41947</v>
      </c>
      <c r="E765" s="12">
        <v>41947</v>
      </c>
      <c r="F765" s="13">
        <v>501.5</v>
      </c>
    </row>
    <row r="766" spans="1:6" x14ac:dyDescent="0.25">
      <c r="A766" s="6" t="s">
        <v>111</v>
      </c>
      <c r="B766" s="7" t="s">
        <v>112</v>
      </c>
      <c r="C766" s="7" t="s">
        <v>66</v>
      </c>
      <c r="D766" s="8">
        <v>41947</v>
      </c>
      <c r="E766" s="8">
        <v>41948</v>
      </c>
      <c r="F766" s="9">
        <v>485.7</v>
      </c>
    </row>
    <row r="767" spans="1:6" x14ac:dyDescent="0.25">
      <c r="A767" s="10" t="s">
        <v>31</v>
      </c>
      <c r="B767" s="11" t="s">
        <v>77</v>
      </c>
      <c r="C767" s="11" t="s">
        <v>47</v>
      </c>
      <c r="D767" s="12">
        <v>41947</v>
      </c>
      <c r="E767" s="12">
        <v>41948</v>
      </c>
      <c r="F767" s="13">
        <v>526.79999999999995</v>
      </c>
    </row>
    <row r="768" spans="1:6" x14ac:dyDescent="0.25">
      <c r="A768" s="6" t="s">
        <v>15</v>
      </c>
      <c r="B768" s="7" t="s">
        <v>96</v>
      </c>
      <c r="C768" s="7" t="s">
        <v>66</v>
      </c>
      <c r="D768" s="8">
        <v>41947</v>
      </c>
      <c r="E768" s="8">
        <v>41950</v>
      </c>
      <c r="F768" s="9">
        <v>841.7</v>
      </c>
    </row>
    <row r="769" spans="1:6" x14ac:dyDescent="0.25">
      <c r="A769" s="10" t="s">
        <v>166</v>
      </c>
      <c r="B769" s="11" t="s">
        <v>167</v>
      </c>
      <c r="C769" s="11" t="s">
        <v>59</v>
      </c>
      <c r="D769" s="12">
        <v>41949</v>
      </c>
      <c r="E769" s="12">
        <v>41949</v>
      </c>
      <c r="F769" s="13">
        <v>442</v>
      </c>
    </row>
    <row r="770" spans="1:6" x14ac:dyDescent="0.25">
      <c r="A770" s="6" t="s">
        <v>134</v>
      </c>
      <c r="B770" s="7" t="s">
        <v>149</v>
      </c>
      <c r="C770" s="7" t="s">
        <v>72</v>
      </c>
      <c r="D770" s="8">
        <v>41949</v>
      </c>
      <c r="E770" s="8">
        <v>41951</v>
      </c>
      <c r="F770" s="9">
        <v>892.7</v>
      </c>
    </row>
    <row r="771" spans="1:6" x14ac:dyDescent="0.25">
      <c r="A771" s="10" t="s">
        <v>9</v>
      </c>
      <c r="B771" s="11" t="s">
        <v>69</v>
      </c>
      <c r="C771" s="11" t="s">
        <v>30</v>
      </c>
      <c r="D771" s="12">
        <v>41950</v>
      </c>
      <c r="E771" s="12">
        <v>41951</v>
      </c>
      <c r="F771" s="13">
        <v>331.5</v>
      </c>
    </row>
    <row r="772" spans="1:6" x14ac:dyDescent="0.25">
      <c r="A772" s="6" t="s">
        <v>164</v>
      </c>
      <c r="B772" s="7" t="s">
        <v>165</v>
      </c>
      <c r="C772" s="7" t="s">
        <v>66</v>
      </c>
      <c r="D772" s="8">
        <v>41950</v>
      </c>
      <c r="E772" s="8">
        <v>41950</v>
      </c>
      <c r="F772" s="9">
        <v>307.7</v>
      </c>
    </row>
    <row r="773" spans="1:6" x14ac:dyDescent="0.25">
      <c r="A773" s="10" t="s">
        <v>151</v>
      </c>
      <c r="B773" s="11" t="s">
        <v>152</v>
      </c>
      <c r="C773" s="11" t="s">
        <v>38</v>
      </c>
      <c r="D773" s="12">
        <v>41950</v>
      </c>
      <c r="E773" s="12">
        <v>41950</v>
      </c>
      <c r="F773" s="13">
        <v>278.8</v>
      </c>
    </row>
    <row r="774" spans="1:6" x14ac:dyDescent="0.25">
      <c r="A774" s="6" t="s">
        <v>75</v>
      </c>
      <c r="B774" s="7" t="s">
        <v>88</v>
      </c>
      <c r="C774" s="7" t="s">
        <v>27</v>
      </c>
      <c r="D774" s="8">
        <v>41950</v>
      </c>
      <c r="E774" s="8">
        <v>41950</v>
      </c>
      <c r="F774" s="9">
        <v>442</v>
      </c>
    </row>
    <row r="775" spans="1:6" x14ac:dyDescent="0.25">
      <c r="A775" s="10" t="s">
        <v>113</v>
      </c>
      <c r="B775" s="11" t="s">
        <v>114</v>
      </c>
      <c r="C775" s="11" t="s">
        <v>59</v>
      </c>
      <c r="D775" s="12">
        <v>41950</v>
      </c>
      <c r="E775" s="12">
        <v>41950</v>
      </c>
      <c r="F775" s="13">
        <v>442</v>
      </c>
    </row>
    <row r="776" spans="1:6" x14ac:dyDescent="0.25">
      <c r="A776" s="6" t="s">
        <v>122</v>
      </c>
      <c r="B776" s="7" t="s">
        <v>123</v>
      </c>
      <c r="C776" s="7" t="s">
        <v>8</v>
      </c>
      <c r="D776" s="8">
        <v>41953</v>
      </c>
      <c r="E776" s="8">
        <v>41956</v>
      </c>
      <c r="F776" s="9">
        <v>1313</v>
      </c>
    </row>
    <row r="777" spans="1:6" x14ac:dyDescent="0.25">
      <c r="A777" s="10" t="s">
        <v>134</v>
      </c>
      <c r="B777" s="11" t="s">
        <v>149</v>
      </c>
      <c r="C777" s="11" t="s">
        <v>38</v>
      </c>
      <c r="D777" s="12">
        <v>41956</v>
      </c>
      <c r="E777" s="12">
        <v>41957</v>
      </c>
      <c r="F777" s="13">
        <v>407.8</v>
      </c>
    </row>
    <row r="778" spans="1:6" x14ac:dyDescent="0.25">
      <c r="A778" s="6" t="s">
        <v>39</v>
      </c>
      <c r="B778" s="7" t="s">
        <v>40</v>
      </c>
      <c r="C778" s="7" t="s">
        <v>24</v>
      </c>
      <c r="D778" s="8">
        <v>41957</v>
      </c>
      <c r="E778" s="8">
        <v>41957</v>
      </c>
      <c r="F778" s="9">
        <v>290.7</v>
      </c>
    </row>
    <row r="779" spans="1:6" x14ac:dyDescent="0.25">
      <c r="A779" s="10" t="s">
        <v>128</v>
      </c>
      <c r="B779" s="11" t="s">
        <v>129</v>
      </c>
      <c r="C779" s="11" t="s">
        <v>8</v>
      </c>
      <c r="D779" s="12">
        <v>41958</v>
      </c>
      <c r="E779" s="12">
        <v>41958</v>
      </c>
      <c r="F779" s="13">
        <v>680</v>
      </c>
    </row>
    <row r="780" spans="1:6" x14ac:dyDescent="0.25">
      <c r="A780" s="6" t="s">
        <v>84</v>
      </c>
      <c r="B780" s="7" t="s">
        <v>85</v>
      </c>
      <c r="C780" s="7" t="s">
        <v>8</v>
      </c>
      <c r="D780" s="8">
        <v>41958</v>
      </c>
      <c r="E780" s="8">
        <v>41962</v>
      </c>
      <c r="F780" s="9">
        <v>1524</v>
      </c>
    </row>
    <row r="781" spans="1:6" x14ac:dyDescent="0.25">
      <c r="A781" s="10" t="s">
        <v>6</v>
      </c>
      <c r="B781" s="11" t="s">
        <v>56</v>
      </c>
      <c r="C781" s="11" t="s">
        <v>14</v>
      </c>
      <c r="D781" s="12">
        <v>41958</v>
      </c>
      <c r="E781" s="12">
        <v>41958</v>
      </c>
      <c r="F781" s="13">
        <v>178.5</v>
      </c>
    </row>
    <row r="782" spans="1:6" x14ac:dyDescent="0.25">
      <c r="A782" s="6" t="s">
        <v>134</v>
      </c>
      <c r="B782" s="7" t="s">
        <v>135</v>
      </c>
      <c r="C782" s="7" t="s">
        <v>27</v>
      </c>
      <c r="D782" s="8">
        <v>41958</v>
      </c>
      <c r="E782" s="8">
        <v>41960</v>
      </c>
      <c r="F782" s="9">
        <v>698</v>
      </c>
    </row>
    <row r="783" spans="1:6" x14ac:dyDescent="0.25">
      <c r="A783" s="10" t="s">
        <v>9</v>
      </c>
      <c r="B783" s="11" t="s">
        <v>69</v>
      </c>
      <c r="C783" s="11" t="s">
        <v>59</v>
      </c>
      <c r="D783" s="12">
        <v>41958</v>
      </c>
      <c r="E783" s="12">
        <v>41958</v>
      </c>
      <c r="F783" s="13">
        <v>442</v>
      </c>
    </row>
    <row r="784" spans="1:6" x14ac:dyDescent="0.25">
      <c r="A784" s="6" t="s">
        <v>73</v>
      </c>
      <c r="B784" s="7" t="s">
        <v>104</v>
      </c>
      <c r="C784" s="7" t="s">
        <v>30</v>
      </c>
      <c r="D784" s="8">
        <v>41958</v>
      </c>
      <c r="E784" s="8">
        <v>41962</v>
      </c>
      <c r="F784" s="9">
        <v>688.5</v>
      </c>
    </row>
    <row r="785" spans="1:6" x14ac:dyDescent="0.25">
      <c r="A785" s="10" t="s">
        <v>15</v>
      </c>
      <c r="B785" s="11" t="s">
        <v>105</v>
      </c>
      <c r="C785" s="11" t="s">
        <v>66</v>
      </c>
      <c r="D785" s="12">
        <v>41958</v>
      </c>
      <c r="E785" s="12">
        <v>41961</v>
      </c>
      <c r="F785" s="13">
        <v>841.7</v>
      </c>
    </row>
    <row r="786" spans="1:6" x14ac:dyDescent="0.25">
      <c r="A786" s="6" t="s">
        <v>93</v>
      </c>
      <c r="B786" s="7" t="s">
        <v>106</v>
      </c>
      <c r="C786" s="7" t="s">
        <v>27</v>
      </c>
      <c r="D786" s="8">
        <v>41958</v>
      </c>
      <c r="E786" s="8">
        <v>41958</v>
      </c>
      <c r="F786" s="9">
        <v>442</v>
      </c>
    </row>
    <row r="787" spans="1:6" x14ac:dyDescent="0.25">
      <c r="A787" s="10" t="s">
        <v>54</v>
      </c>
      <c r="B787" s="11" t="s">
        <v>121</v>
      </c>
      <c r="C787" s="11" t="s">
        <v>17</v>
      </c>
      <c r="D787" s="12">
        <v>41958</v>
      </c>
      <c r="E787" s="12">
        <v>41961</v>
      </c>
      <c r="F787" s="13">
        <v>1116.5</v>
      </c>
    </row>
    <row r="788" spans="1:6" x14ac:dyDescent="0.25">
      <c r="A788" s="6" t="s">
        <v>107</v>
      </c>
      <c r="B788" s="7" t="s">
        <v>108</v>
      </c>
      <c r="C788" s="7" t="s">
        <v>27</v>
      </c>
      <c r="D788" s="8">
        <v>41958</v>
      </c>
      <c r="E788" s="8">
        <v>41958</v>
      </c>
      <c r="F788" s="9">
        <v>442</v>
      </c>
    </row>
    <row r="789" spans="1:6" x14ac:dyDescent="0.25">
      <c r="A789" s="10" t="s">
        <v>166</v>
      </c>
      <c r="B789" s="11" t="s">
        <v>167</v>
      </c>
      <c r="C789" s="11" t="s">
        <v>47</v>
      </c>
      <c r="D789" s="12">
        <v>41958</v>
      </c>
      <c r="E789" s="12">
        <v>41959</v>
      </c>
      <c r="F789" s="13">
        <v>526.79999999999995</v>
      </c>
    </row>
    <row r="790" spans="1:6" x14ac:dyDescent="0.25">
      <c r="A790" s="6" t="s">
        <v>36</v>
      </c>
      <c r="B790" s="7" t="s">
        <v>37</v>
      </c>
      <c r="C790" s="7" t="s">
        <v>19</v>
      </c>
      <c r="D790" s="8">
        <v>41958</v>
      </c>
      <c r="E790" s="8">
        <v>41961</v>
      </c>
      <c r="F790" s="9">
        <v>936.4</v>
      </c>
    </row>
    <row r="791" spans="1:6" x14ac:dyDescent="0.25">
      <c r="A791" s="10" t="s">
        <v>111</v>
      </c>
      <c r="B791" s="11" t="s">
        <v>112</v>
      </c>
      <c r="C791" s="11" t="s">
        <v>38</v>
      </c>
      <c r="D791" s="12">
        <v>41958</v>
      </c>
      <c r="E791" s="12">
        <v>41959</v>
      </c>
      <c r="F791" s="13">
        <v>407.8</v>
      </c>
    </row>
    <row r="792" spans="1:6" x14ac:dyDescent="0.25">
      <c r="A792" s="6" t="s">
        <v>31</v>
      </c>
      <c r="B792" s="7" t="s">
        <v>77</v>
      </c>
      <c r="C792" s="7" t="s">
        <v>19</v>
      </c>
      <c r="D792" s="8">
        <v>41958</v>
      </c>
      <c r="E792" s="8">
        <v>41962</v>
      </c>
      <c r="F792" s="9">
        <v>1077.4000000000001</v>
      </c>
    </row>
    <row r="793" spans="1:6" x14ac:dyDescent="0.25">
      <c r="A793" s="10" t="s">
        <v>15</v>
      </c>
      <c r="B793" s="11" t="s">
        <v>96</v>
      </c>
      <c r="C793" s="11" t="s">
        <v>38</v>
      </c>
      <c r="D793" s="12">
        <v>41958</v>
      </c>
      <c r="E793" s="12">
        <v>41959</v>
      </c>
      <c r="F793" s="13">
        <v>407.8</v>
      </c>
    </row>
    <row r="794" spans="1:6" x14ac:dyDescent="0.25">
      <c r="A794" s="6" t="s">
        <v>122</v>
      </c>
      <c r="B794" s="7" t="s">
        <v>123</v>
      </c>
      <c r="C794" s="7" t="s">
        <v>30</v>
      </c>
      <c r="D794" s="8">
        <v>41959</v>
      </c>
      <c r="E794" s="8">
        <v>41960</v>
      </c>
      <c r="F794" s="9">
        <v>331.5</v>
      </c>
    </row>
    <row r="795" spans="1:6" x14ac:dyDescent="0.25">
      <c r="A795" s="10" t="s">
        <v>131</v>
      </c>
      <c r="B795" s="11" t="s">
        <v>154</v>
      </c>
      <c r="C795" s="11" t="s">
        <v>38</v>
      </c>
      <c r="D795" s="12">
        <v>41959</v>
      </c>
      <c r="E795" s="12">
        <v>41960</v>
      </c>
      <c r="F795" s="13">
        <v>407.8</v>
      </c>
    </row>
    <row r="796" spans="1:6" x14ac:dyDescent="0.25">
      <c r="A796" s="6" t="s">
        <v>54</v>
      </c>
      <c r="B796" s="7" t="s">
        <v>81</v>
      </c>
      <c r="C796" s="7" t="s">
        <v>66</v>
      </c>
      <c r="D796" s="8">
        <v>41959</v>
      </c>
      <c r="E796" s="8">
        <v>41960</v>
      </c>
      <c r="F796" s="9">
        <v>485.7</v>
      </c>
    </row>
    <row r="797" spans="1:6" x14ac:dyDescent="0.25">
      <c r="A797" s="10" t="s">
        <v>22</v>
      </c>
      <c r="B797" s="11" t="s">
        <v>172</v>
      </c>
      <c r="C797" s="11" t="s">
        <v>72</v>
      </c>
      <c r="D797" s="12">
        <v>41959</v>
      </c>
      <c r="E797" s="12">
        <v>41963</v>
      </c>
      <c r="F797" s="13">
        <v>1290.7</v>
      </c>
    </row>
    <row r="798" spans="1:6" x14ac:dyDescent="0.25">
      <c r="A798" s="6" t="s">
        <v>9</v>
      </c>
      <c r="B798" s="7" t="s">
        <v>10</v>
      </c>
      <c r="C798" s="7" t="s">
        <v>30</v>
      </c>
      <c r="D798" s="8">
        <v>41959</v>
      </c>
      <c r="E798" s="8">
        <v>41961</v>
      </c>
      <c r="F798" s="9">
        <v>450.5</v>
      </c>
    </row>
    <row r="799" spans="1:6" x14ac:dyDescent="0.25">
      <c r="A799" s="10" t="s">
        <v>9</v>
      </c>
      <c r="B799" s="11" t="s">
        <v>103</v>
      </c>
      <c r="C799" s="11" t="s">
        <v>17</v>
      </c>
      <c r="D799" s="12">
        <v>41959</v>
      </c>
      <c r="E799" s="12">
        <v>41961</v>
      </c>
      <c r="F799" s="13">
        <v>911.5</v>
      </c>
    </row>
    <row r="800" spans="1:6" x14ac:dyDescent="0.25">
      <c r="A800" s="6" t="s">
        <v>156</v>
      </c>
      <c r="B800" s="7" t="s">
        <v>157</v>
      </c>
      <c r="C800" s="7" t="s">
        <v>59</v>
      </c>
      <c r="D800" s="8">
        <v>41959</v>
      </c>
      <c r="E800" s="8">
        <v>41962</v>
      </c>
      <c r="F800" s="9">
        <v>919</v>
      </c>
    </row>
    <row r="801" spans="1:6" x14ac:dyDescent="0.25">
      <c r="A801" s="10" t="s">
        <v>158</v>
      </c>
      <c r="B801" s="11" t="s">
        <v>159</v>
      </c>
      <c r="C801" s="11" t="s">
        <v>19</v>
      </c>
      <c r="D801" s="12">
        <v>41959</v>
      </c>
      <c r="E801" s="12">
        <v>41960</v>
      </c>
      <c r="F801" s="13">
        <v>654.4</v>
      </c>
    </row>
    <row r="802" spans="1:6" x14ac:dyDescent="0.25">
      <c r="A802" s="6" t="s">
        <v>9</v>
      </c>
      <c r="B802" s="7" t="s">
        <v>18</v>
      </c>
      <c r="C802" s="7" t="s">
        <v>47</v>
      </c>
      <c r="D802" s="8">
        <v>41959</v>
      </c>
      <c r="E802" s="8">
        <v>41960</v>
      </c>
      <c r="F802" s="9">
        <v>526.79999999999995</v>
      </c>
    </row>
    <row r="803" spans="1:6" x14ac:dyDescent="0.25">
      <c r="A803" s="10" t="s">
        <v>115</v>
      </c>
      <c r="B803" s="11" t="s">
        <v>140</v>
      </c>
      <c r="C803" s="11" t="s">
        <v>66</v>
      </c>
      <c r="D803" s="12">
        <v>41960</v>
      </c>
      <c r="E803" s="12">
        <v>41960</v>
      </c>
      <c r="F803" s="13">
        <v>307.7</v>
      </c>
    </row>
    <row r="804" spans="1:6" x14ac:dyDescent="0.25">
      <c r="A804" s="6" t="s">
        <v>164</v>
      </c>
      <c r="B804" s="7" t="s">
        <v>165</v>
      </c>
      <c r="C804" s="7" t="s">
        <v>38</v>
      </c>
      <c r="D804" s="8">
        <v>41960</v>
      </c>
      <c r="E804" s="8">
        <v>41960</v>
      </c>
      <c r="F804" s="9">
        <v>278.8</v>
      </c>
    </row>
    <row r="805" spans="1:6" x14ac:dyDescent="0.25">
      <c r="A805" s="10" t="s">
        <v>113</v>
      </c>
      <c r="B805" s="11" t="s">
        <v>114</v>
      </c>
      <c r="C805" s="11" t="s">
        <v>8</v>
      </c>
      <c r="D805" s="12">
        <v>41960</v>
      </c>
      <c r="E805" s="12">
        <v>41962</v>
      </c>
      <c r="F805" s="13">
        <v>1102</v>
      </c>
    </row>
    <row r="806" spans="1:6" x14ac:dyDescent="0.25">
      <c r="A806" s="6" t="s">
        <v>93</v>
      </c>
      <c r="B806" s="7" t="s">
        <v>94</v>
      </c>
      <c r="C806" s="7" t="s">
        <v>11</v>
      </c>
      <c r="D806" s="8">
        <v>41960</v>
      </c>
      <c r="E806" s="8">
        <v>41962</v>
      </c>
      <c r="F806" s="9">
        <v>434.4</v>
      </c>
    </row>
    <row r="807" spans="1:6" x14ac:dyDescent="0.25">
      <c r="A807" s="10" t="s">
        <v>70</v>
      </c>
      <c r="B807" s="11" t="s">
        <v>117</v>
      </c>
      <c r="C807" s="11" t="s">
        <v>8</v>
      </c>
      <c r="D807" s="12">
        <v>41960</v>
      </c>
      <c r="E807" s="12">
        <v>41960</v>
      </c>
      <c r="F807" s="13">
        <v>680</v>
      </c>
    </row>
    <row r="808" spans="1:6" x14ac:dyDescent="0.25">
      <c r="A808" s="6" t="s">
        <v>128</v>
      </c>
      <c r="B808" s="7" t="s">
        <v>129</v>
      </c>
      <c r="C808" s="7" t="s">
        <v>27</v>
      </c>
      <c r="D808" s="8">
        <v>41961</v>
      </c>
      <c r="E808" s="8">
        <v>41961</v>
      </c>
      <c r="F808" s="9">
        <v>442</v>
      </c>
    </row>
    <row r="809" spans="1:6" x14ac:dyDescent="0.25">
      <c r="A809" s="10" t="s">
        <v>28</v>
      </c>
      <c r="B809" s="11" t="s">
        <v>60</v>
      </c>
      <c r="C809" s="11" t="s">
        <v>66</v>
      </c>
      <c r="D809" s="12">
        <v>41961</v>
      </c>
      <c r="E809" s="12">
        <v>41961</v>
      </c>
      <c r="F809" s="13">
        <v>307.7</v>
      </c>
    </row>
    <row r="810" spans="1:6" x14ac:dyDescent="0.25">
      <c r="A810" s="6" t="s">
        <v>9</v>
      </c>
      <c r="B810" s="7" t="s">
        <v>69</v>
      </c>
      <c r="C810" s="7" t="s">
        <v>27</v>
      </c>
      <c r="D810" s="8">
        <v>41961</v>
      </c>
      <c r="E810" s="8">
        <v>41961</v>
      </c>
      <c r="F810" s="9">
        <v>442</v>
      </c>
    </row>
    <row r="811" spans="1:6" x14ac:dyDescent="0.25">
      <c r="A811" s="10" t="s">
        <v>82</v>
      </c>
      <c r="B811" s="11" t="s">
        <v>125</v>
      </c>
      <c r="C811" s="11" t="s">
        <v>72</v>
      </c>
      <c r="D811" s="12">
        <v>41962</v>
      </c>
      <c r="E811" s="12">
        <v>41962</v>
      </c>
      <c r="F811" s="13">
        <v>494.7</v>
      </c>
    </row>
    <row r="812" spans="1:6" x14ac:dyDescent="0.25">
      <c r="A812" s="6" t="s">
        <v>168</v>
      </c>
      <c r="B812" s="7" t="s">
        <v>169</v>
      </c>
      <c r="C812" s="7" t="s">
        <v>11</v>
      </c>
      <c r="D812" s="8">
        <v>41962</v>
      </c>
      <c r="E812" s="8">
        <v>41962</v>
      </c>
      <c r="F812" s="9">
        <v>156.4</v>
      </c>
    </row>
    <row r="813" spans="1:6" x14ac:dyDescent="0.25">
      <c r="A813" s="10" t="s">
        <v>134</v>
      </c>
      <c r="B813" s="11" t="s">
        <v>135</v>
      </c>
      <c r="C813" s="11" t="s">
        <v>27</v>
      </c>
      <c r="D813" s="12">
        <v>41962</v>
      </c>
      <c r="E813" s="12">
        <v>41962</v>
      </c>
      <c r="F813" s="13">
        <v>442</v>
      </c>
    </row>
    <row r="814" spans="1:6" x14ac:dyDescent="0.25">
      <c r="A814" s="6" t="s">
        <v>164</v>
      </c>
      <c r="B814" s="7" t="s">
        <v>165</v>
      </c>
      <c r="C814" s="7" t="s">
        <v>17</v>
      </c>
      <c r="D814" s="8">
        <v>41962</v>
      </c>
      <c r="E814" s="8">
        <v>41962</v>
      </c>
      <c r="F814" s="9">
        <v>501.5</v>
      </c>
    </row>
    <row r="815" spans="1:6" x14ac:dyDescent="0.25">
      <c r="A815" s="10" t="s">
        <v>61</v>
      </c>
      <c r="B815" s="11" t="s">
        <v>62</v>
      </c>
      <c r="C815" s="11" t="s">
        <v>19</v>
      </c>
      <c r="D815" s="12">
        <v>41963</v>
      </c>
      <c r="E815" s="12">
        <v>41964</v>
      </c>
      <c r="F815" s="13">
        <v>654.4</v>
      </c>
    </row>
    <row r="816" spans="1:6" x14ac:dyDescent="0.25">
      <c r="A816" s="6" t="s">
        <v>6</v>
      </c>
      <c r="B816" s="7" t="s">
        <v>56</v>
      </c>
      <c r="C816" s="7" t="s">
        <v>59</v>
      </c>
      <c r="D816" s="8">
        <v>41963</v>
      </c>
      <c r="E816" s="8">
        <v>41963</v>
      </c>
      <c r="F816" s="9">
        <v>442</v>
      </c>
    </row>
    <row r="817" spans="1:6" x14ac:dyDescent="0.25">
      <c r="A817" s="10" t="s">
        <v>15</v>
      </c>
      <c r="B817" s="11" t="s">
        <v>96</v>
      </c>
      <c r="C817" s="11" t="s">
        <v>30</v>
      </c>
      <c r="D817" s="12">
        <v>41963</v>
      </c>
      <c r="E817" s="12">
        <v>41963</v>
      </c>
      <c r="F817" s="13">
        <v>212.5</v>
      </c>
    </row>
    <row r="818" spans="1:6" x14ac:dyDescent="0.25">
      <c r="A818" s="6" t="s">
        <v>54</v>
      </c>
      <c r="B818" s="7" t="s">
        <v>55</v>
      </c>
      <c r="C818" s="7" t="s">
        <v>27</v>
      </c>
      <c r="D818" s="8">
        <v>41964</v>
      </c>
      <c r="E818" s="8">
        <v>41965</v>
      </c>
      <c r="F818" s="9">
        <v>570</v>
      </c>
    </row>
    <row r="819" spans="1:6" x14ac:dyDescent="0.25">
      <c r="A819" s="10" t="s">
        <v>131</v>
      </c>
      <c r="B819" s="11" t="s">
        <v>154</v>
      </c>
      <c r="C819" s="11" t="s">
        <v>38</v>
      </c>
      <c r="D819" s="12">
        <v>41964</v>
      </c>
      <c r="E819" s="12">
        <v>41965</v>
      </c>
      <c r="F819" s="13">
        <v>407.8</v>
      </c>
    </row>
    <row r="820" spans="1:6" x14ac:dyDescent="0.25">
      <c r="A820" s="6" t="s">
        <v>25</v>
      </c>
      <c r="B820" s="7" t="s">
        <v>67</v>
      </c>
      <c r="C820" s="7" t="s">
        <v>30</v>
      </c>
      <c r="D820" s="8">
        <v>41965</v>
      </c>
      <c r="E820" s="8">
        <v>41969</v>
      </c>
      <c r="F820" s="9">
        <v>688.5</v>
      </c>
    </row>
    <row r="821" spans="1:6" x14ac:dyDescent="0.25">
      <c r="A821" s="10" t="s">
        <v>9</v>
      </c>
      <c r="B821" s="11" t="s">
        <v>103</v>
      </c>
      <c r="C821" s="11" t="s">
        <v>11</v>
      </c>
      <c r="D821" s="12">
        <v>41965</v>
      </c>
      <c r="E821" s="12">
        <v>41965</v>
      </c>
      <c r="F821" s="13">
        <v>156.4</v>
      </c>
    </row>
    <row r="822" spans="1:6" x14ac:dyDescent="0.25">
      <c r="A822" s="6" t="s">
        <v>143</v>
      </c>
      <c r="B822" s="7" t="s">
        <v>144</v>
      </c>
      <c r="C822" s="7" t="s">
        <v>72</v>
      </c>
      <c r="D822" s="8">
        <v>41965</v>
      </c>
      <c r="E822" s="8">
        <v>41966</v>
      </c>
      <c r="F822" s="9">
        <v>693.7</v>
      </c>
    </row>
    <row r="823" spans="1:6" x14ac:dyDescent="0.25">
      <c r="A823" s="10" t="s">
        <v>164</v>
      </c>
      <c r="B823" s="11" t="s">
        <v>165</v>
      </c>
      <c r="C823" s="11" t="s">
        <v>72</v>
      </c>
      <c r="D823" s="12">
        <v>41965</v>
      </c>
      <c r="E823" s="12">
        <v>41965</v>
      </c>
      <c r="F823" s="13">
        <v>494.7</v>
      </c>
    </row>
    <row r="824" spans="1:6" x14ac:dyDescent="0.25">
      <c r="A824" s="6" t="s">
        <v>158</v>
      </c>
      <c r="B824" s="7" t="s">
        <v>159</v>
      </c>
      <c r="C824" s="7" t="s">
        <v>17</v>
      </c>
      <c r="D824" s="8">
        <v>41965</v>
      </c>
      <c r="E824" s="8">
        <v>41968</v>
      </c>
      <c r="F824" s="9">
        <v>1116.5</v>
      </c>
    </row>
    <row r="825" spans="1:6" x14ac:dyDescent="0.25">
      <c r="A825" s="10" t="s">
        <v>89</v>
      </c>
      <c r="B825" s="11" t="s">
        <v>90</v>
      </c>
      <c r="C825" s="11" t="s">
        <v>8</v>
      </c>
      <c r="D825" s="12">
        <v>41965</v>
      </c>
      <c r="E825" s="12">
        <v>41966</v>
      </c>
      <c r="F825" s="13">
        <v>891</v>
      </c>
    </row>
    <row r="826" spans="1:6" x14ac:dyDescent="0.25">
      <c r="A826" s="6" t="s">
        <v>115</v>
      </c>
      <c r="B826" s="7" t="s">
        <v>116</v>
      </c>
      <c r="C826" s="7" t="s">
        <v>24</v>
      </c>
      <c r="D826" s="8">
        <v>41965</v>
      </c>
      <c r="E826" s="8">
        <v>41968</v>
      </c>
      <c r="F826" s="9">
        <v>737.7</v>
      </c>
    </row>
    <row r="827" spans="1:6" x14ac:dyDescent="0.25">
      <c r="A827" s="10" t="s">
        <v>115</v>
      </c>
      <c r="B827" s="11" t="s">
        <v>153</v>
      </c>
      <c r="C827" s="11" t="s">
        <v>19</v>
      </c>
      <c r="D827" s="12">
        <v>41966</v>
      </c>
      <c r="E827" s="12">
        <v>41966</v>
      </c>
      <c r="F827" s="13">
        <v>513.4</v>
      </c>
    </row>
    <row r="828" spans="1:6" x14ac:dyDescent="0.25">
      <c r="A828" s="6" t="s">
        <v>61</v>
      </c>
      <c r="B828" s="7" t="s">
        <v>62</v>
      </c>
      <c r="C828" s="7" t="s">
        <v>8</v>
      </c>
      <c r="D828" s="8">
        <v>41967</v>
      </c>
      <c r="E828" s="8">
        <v>41968</v>
      </c>
      <c r="F828" s="9">
        <v>891</v>
      </c>
    </row>
    <row r="829" spans="1:6" x14ac:dyDescent="0.25">
      <c r="A829" s="10" t="s">
        <v>119</v>
      </c>
      <c r="B829" s="11" t="s">
        <v>120</v>
      </c>
      <c r="C829" s="11" t="s">
        <v>14</v>
      </c>
      <c r="D829" s="12">
        <v>41967</v>
      </c>
      <c r="E829" s="12">
        <v>41967</v>
      </c>
      <c r="F829" s="13">
        <v>178.5</v>
      </c>
    </row>
    <row r="830" spans="1:6" x14ac:dyDescent="0.25">
      <c r="A830" s="6" t="s">
        <v>28</v>
      </c>
      <c r="B830" s="7" t="s">
        <v>60</v>
      </c>
      <c r="C830" s="7" t="s">
        <v>8</v>
      </c>
      <c r="D830" s="8">
        <v>41968</v>
      </c>
      <c r="E830" s="8">
        <v>41968</v>
      </c>
      <c r="F830" s="9">
        <v>680</v>
      </c>
    </row>
    <row r="831" spans="1:6" x14ac:dyDescent="0.25">
      <c r="A831" s="10" t="s">
        <v>164</v>
      </c>
      <c r="B831" s="11" t="s">
        <v>165</v>
      </c>
      <c r="C831" s="11" t="s">
        <v>14</v>
      </c>
      <c r="D831" s="12">
        <v>41968</v>
      </c>
      <c r="E831" s="12">
        <v>41968</v>
      </c>
      <c r="F831" s="13">
        <v>178.5</v>
      </c>
    </row>
    <row r="832" spans="1:6" x14ac:dyDescent="0.25">
      <c r="A832" s="6" t="s">
        <v>12</v>
      </c>
      <c r="B832" s="7" t="s">
        <v>95</v>
      </c>
      <c r="C832" s="7" t="s">
        <v>19</v>
      </c>
      <c r="D832" s="8">
        <v>41968</v>
      </c>
      <c r="E832" s="8">
        <v>41968</v>
      </c>
      <c r="F832" s="9">
        <v>513.4</v>
      </c>
    </row>
    <row r="833" spans="1:6" x14ac:dyDescent="0.25">
      <c r="A833" s="10" t="s">
        <v>31</v>
      </c>
      <c r="B833" s="11" t="s">
        <v>78</v>
      </c>
      <c r="C833" s="11" t="s">
        <v>11</v>
      </c>
      <c r="D833" s="12">
        <v>41970</v>
      </c>
      <c r="E833" s="12">
        <v>41973</v>
      </c>
      <c r="F833" s="13">
        <v>573.4</v>
      </c>
    </row>
    <row r="834" spans="1:6" x14ac:dyDescent="0.25">
      <c r="A834" s="6" t="s">
        <v>82</v>
      </c>
      <c r="B834" s="7" t="s">
        <v>125</v>
      </c>
      <c r="C834" s="7" t="s">
        <v>17</v>
      </c>
      <c r="D834" s="8">
        <v>41970</v>
      </c>
      <c r="E834" s="8">
        <v>41970</v>
      </c>
      <c r="F834" s="9">
        <v>501.5</v>
      </c>
    </row>
    <row r="835" spans="1:6" x14ac:dyDescent="0.25">
      <c r="A835" s="10" t="s">
        <v>70</v>
      </c>
      <c r="B835" s="11" t="s">
        <v>71</v>
      </c>
      <c r="C835" s="11" t="s">
        <v>14</v>
      </c>
      <c r="D835" s="12">
        <v>41970</v>
      </c>
      <c r="E835" s="12">
        <v>41974</v>
      </c>
      <c r="F835" s="13">
        <v>674.5</v>
      </c>
    </row>
    <row r="836" spans="1:6" x14ac:dyDescent="0.25">
      <c r="A836" s="6" t="s">
        <v>25</v>
      </c>
      <c r="B836" s="7" t="s">
        <v>68</v>
      </c>
      <c r="C836" s="7" t="s">
        <v>59</v>
      </c>
      <c r="D836" s="8">
        <v>41970</v>
      </c>
      <c r="E836" s="8">
        <v>41974</v>
      </c>
      <c r="F836" s="9">
        <v>1078</v>
      </c>
    </row>
    <row r="837" spans="1:6" x14ac:dyDescent="0.25">
      <c r="A837" s="10" t="s">
        <v>33</v>
      </c>
      <c r="B837" s="11" t="s">
        <v>34</v>
      </c>
      <c r="C837" s="11" t="s">
        <v>59</v>
      </c>
      <c r="D837" s="12">
        <v>41970</v>
      </c>
      <c r="E837" s="12">
        <v>41970</v>
      </c>
      <c r="F837" s="13">
        <v>442</v>
      </c>
    </row>
    <row r="838" spans="1:6" x14ac:dyDescent="0.25">
      <c r="A838" s="6" t="s">
        <v>134</v>
      </c>
      <c r="B838" s="7" t="s">
        <v>135</v>
      </c>
      <c r="C838" s="7" t="s">
        <v>47</v>
      </c>
      <c r="D838" s="8">
        <v>41970</v>
      </c>
      <c r="E838" s="8">
        <v>41971</v>
      </c>
      <c r="F838" s="9">
        <v>526.79999999999995</v>
      </c>
    </row>
    <row r="839" spans="1:6" x14ac:dyDescent="0.25">
      <c r="A839" s="10" t="s">
        <v>73</v>
      </c>
      <c r="B839" s="11" t="s">
        <v>74</v>
      </c>
      <c r="C839" s="11" t="s">
        <v>59</v>
      </c>
      <c r="D839" s="12">
        <v>41970</v>
      </c>
      <c r="E839" s="12">
        <v>41970</v>
      </c>
      <c r="F839" s="13">
        <v>442</v>
      </c>
    </row>
    <row r="840" spans="1:6" x14ac:dyDescent="0.25">
      <c r="A840" s="6" t="s">
        <v>164</v>
      </c>
      <c r="B840" s="7" t="s">
        <v>165</v>
      </c>
      <c r="C840" s="7" t="s">
        <v>17</v>
      </c>
      <c r="D840" s="8">
        <v>41970</v>
      </c>
      <c r="E840" s="8">
        <v>41973</v>
      </c>
      <c r="F840" s="9">
        <v>1116.5</v>
      </c>
    </row>
    <row r="841" spans="1:6" x14ac:dyDescent="0.25">
      <c r="A841" s="10" t="s">
        <v>54</v>
      </c>
      <c r="B841" s="11" t="s">
        <v>121</v>
      </c>
      <c r="C841" s="11" t="s">
        <v>72</v>
      </c>
      <c r="D841" s="12">
        <v>41970</v>
      </c>
      <c r="E841" s="12">
        <v>41974</v>
      </c>
      <c r="F841" s="13">
        <v>1290.7</v>
      </c>
    </row>
    <row r="842" spans="1:6" x14ac:dyDescent="0.25">
      <c r="A842" s="6" t="s">
        <v>25</v>
      </c>
      <c r="B842" s="7" t="s">
        <v>35</v>
      </c>
      <c r="C842" s="7" t="s">
        <v>72</v>
      </c>
      <c r="D842" s="8">
        <v>41970</v>
      </c>
      <c r="E842" s="8">
        <v>41972</v>
      </c>
      <c r="F842" s="9">
        <v>892.7</v>
      </c>
    </row>
    <row r="843" spans="1:6" x14ac:dyDescent="0.25">
      <c r="A843" s="10" t="s">
        <v>151</v>
      </c>
      <c r="B843" s="11" t="s">
        <v>152</v>
      </c>
      <c r="C843" s="11" t="s">
        <v>47</v>
      </c>
      <c r="D843" s="12">
        <v>41970</v>
      </c>
      <c r="E843" s="12">
        <v>41970</v>
      </c>
      <c r="F843" s="13">
        <v>363.8</v>
      </c>
    </row>
    <row r="844" spans="1:6" x14ac:dyDescent="0.25">
      <c r="A844" s="6" t="s">
        <v>147</v>
      </c>
      <c r="B844" s="7" t="s">
        <v>148</v>
      </c>
      <c r="C844" s="7" t="s">
        <v>24</v>
      </c>
      <c r="D844" s="8">
        <v>41970</v>
      </c>
      <c r="E844" s="8">
        <v>41970</v>
      </c>
      <c r="F844" s="9">
        <v>290.7</v>
      </c>
    </row>
    <row r="845" spans="1:6" x14ac:dyDescent="0.25">
      <c r="A845" s="10" t="s">
        <v>109</v>
      </c>
      <c r="B845" s="11" t="s">
        <v>110</v>
      </c>
      <c r="C845" s="11" t="s">
        <v>47</v>
      </c>
      <c r="D845" s="12">
        <v>41970</v>
      </c>
      <c r="E845" s="12">
        <v>41971</v>
      </c>
      <c r="F845" s="13">
        <v>526.79999999999995</v>
      </c>
    </row>
    <row r="846" spans="1:6" x14ac:dyDescent="0.25">
      <c r="A846" s="6" t="s">
        <v>93</v>
      </c>
      <c r="B846" s="7" t="s">
        <v>94</v>
      </c>
      <c r="C846" s="7" t="s">
        <v>30</v>
      </c>
      <c r="D846" s="8">
        <v>41970</v>
      </c>
      <c r="E846" s="8">
        <v>41970</v>
      </c>
      <c r="F846" s="9">
        <v>212.5</v>
      </c>
    </row>
    <row r="847" spans="1:6" x14ac:dyDescent="0.25">
      <c r="A847" s="10" t="s">
        <v>115</v>
      </c>
      <c r="B847" s="11" t="s">
        <v>116</v>
      </c>
      <c r="C847" s="11" t="s">
        <v>59</v>
      </c>
      <c r="D847" s="12">
        <v>41970</v>
      </c>
      <c r="E847" s="12">
        <v>41971</v>
      </c>
      <c r="F847" s="13">
        <v>601</v>
      </c>
    </row>
    <row r="848" spans="1:6" x14ac:dyDescent="0.25">
      <c r="A848" s="6" t="s">
        <v>12</v>
      </c>
      <c r="B848" s="7" t="s">
        <v>95</v>
      </c>
      <c r="C848" s="7" t="s">
        <v>19</v>
      </c>
      <c r="D848" s="8">
        <v>41970</v>
      </c>
      <c r="E848" s="8">
        <v>41970</v>
      </c>
      <c r="F848" s="9">
        <v>513.4</v>
      </c>
    </row>
    <row r="849" spans="1:6" x14ac:dyDescent="0.25">
      <c r="A849" s="10" t="s">
        <v>54</v>
      </c>
      <c r="B849" s="11" t="s">
        <v>118</v>
      </c>
      <c r="C849" s="11" t="s">
        <v>72</v>
      </c>
      <c r="D849" s="12">
        <v>41970</v>
      </c>
      <c r="E849" s="12">
        <v>41971</v>
      </c>
      <c r="F849" s="13">
        <v>693.7</v>
      </c>
    </row>
    <row r="850" spans="1:6" x14ac:dyDescent="0.25">
      <c r="A850" s="6" t="s">
        <v>20</v>
      </c>
      <c r="B850" s="7" t="s">
        <v>21</v>
      </c>
      <c r="C850" s="7" t="s">
        <v>14</v>
      </c>
      <c r="D850" s="8">
        <v>41970</v>
      </c>
      <c r="E850" s="8">
        <v>41972</v>
      </c>
      <c r="F850" s="9">
        <v>426.5</v>
      </c>
    </row>
    <row r="851" spans="1:6" x14ac:dyDescent="0.25">
      <c r="A851" s="10" t="s">
        <v>54</v>
      </c>
      <c r="B851" s="11" t="s">
        <v>81</v>
      </c>
      <c r="C851" s="11" t="s">
        <v>19</v>
      </c>
      <c r="D851" s="12">
        <v>41971</v>
      </c>
      <c r="E851" s="12">
        <v>41974</v>
      </c>
      <c r="F851" s="13">
        <v>936.4</v>
      </c>
    </row>
    <row r="852" spans="1:6" x14ac:dyDescent="0.25">
      <c r="A852" s="6" t="s">
        <v>22</v>
      </c>
      <c r="B852" s="7" t="s">
        <v>172</v>
      </c>
      <c r="C852" s="7" t="s">
        <v>72</v>
      </c>
      <c r="D852" s="8">
        <v>41971</v>
      </c>
      <c r="E852" s="8">
        <v>41973</v>
      </c>
      <c r="F852" s="9">
        <v>892.7</v>
      </c>
    </row>
    <row r="853" spans="1:6" x14ac:dyDescent="0.25">
      <c r="A853" s="10" t="s">
        <v>131</v>
      </c>
      <c r="B853" s="11" t="s">
        <v>142</v>
      </c>
      <c r="C853" s="11" t="s">
        <v>8</v>
      </c>
      <c r="D853" s="12">
        <v>41971</v>
      </c>
      <c r="E853" s="12">
        <v>41973</v>
      </c>
      <c r="F853" s="13">
        <v>1102</v>
      </c>
    </row>
    <row r="854" spans="1:6" x14ac:dyDescent="0.25">
      <c r="A854" s="6" t="s">
        <v>84</v>
      </c>
      <c r="B854" s="7" t="s">
        <v>85</v>
      </c>
      <c r="C854" s="7" t="s">
        <v>27</v>
      </c>
      <c r="D854" s="8">
        <v>41971</v>
      </c>
      <c r="E854" s="8">
        <v>41973</v>
      </c>
      <c r="F854" s="9">
        <v>698</v>
      </c>
    </row>
    <row r="855" spans="1:6" x14ac:dyDescent="0.25">
      <c r="A855" s="10" t="s">
        <v>86</v>
      </c>
      <c r="B855" s="11" t="s">
        <v>150</v>
      </c>
      <c r="C855" s="11" t="s">
        <v>72</v>
      </c>
      <c r="D855" s="12">
        <v>41971</v>
      </c>
      <c r="E855" s="12">
        <v>41972</v>
      </c>
      <c r="F855" s="13">
        <v>693.7</v>
      </c>
    </row>
    <row r="856" spans="1:6" x14ac:dyDescent="0.25">
      <c r="A856" s="6" t="s">
        <v>50</v>
      </c>
      <c r="B856" s="7" t="s">
        <v>51</v>
      </c>
      <c r="C856" s="7" t="s">
        <v>17</v>
      </c>
      <c r="D856" s="8">
        <v>41971</v>
      </c>
      <c r="E856" s="8">
        <v>41971</v>
      </c>
      <c r="F856" s="9">
        <v>501.5</v>
      </c>
    </row>
    <row r="857" spans="1:6" x14ac:dyDescent="0.25">
      <c r="A857" s="10" t="s">
        <v>25</v>
      </c>
      <c r="B857" s="11" t="s">
        <v>26</v>
      </c>
      <c r="C857" s="11" t="s">
        <v>66</v>
      </c>
      <c r="D857" s="12">
        <v>41971</v>
      </c>
      <c r="E857" s="12">
        <v>41971</v>
      </c>
      <c r="F857" s="13">
        <v>307.7</v>
      </c>
    </row>
    <row r="858" spans="1:6" x14ac:dyDescent="0.25">
      <c r="A858" s="6" t="s">
        <v>28</v>
      </c>
      <c r="B858" s="7" t="s">
        <v>29</v>
      </c>
      <c r="C858" s="7" t="s">
        <v>66</v>
      </c>
      <c r="D858" s="8">
        <v>41971</v>
      </c>
      <c r="E858" s="8">
        <v>41972</v>
      </c>
      <c r="F858" s="9">
        <v>485.7</v>
      </c>
    </row>
    <row r="859" spans="1:6" x14ac:dyDescent="0.25">
      <c r="A859" s="10" t="s">
        <v>168</v>
      </c>
      <c r="B859" s="11" t="s">
        <v>169</v>
      </c>
      <c r="C859" s="11" t="s">
        <v>59</v>
      </c>
      <c r="D859" s="12">
        <v>41971</v>
      </c>
      <c r="E859" s="12">
        <v>41975</v>
      </c>
      <c r="F859" s="13">
        <v>1078</v>
      </c>
    </row>
    <row r="860" spans="1:6" x14ac:dyDescent="0.25">
      <c r="A860" s="6" t="s">
        <v>115</v>
      </c>
      <c r="B860" s="7" t="s">
        <v>140</v>
      </c>
      <c r="C860" s="7" t="s">
        <v>47</v>
      </c>
      <c r="D860" s="8">
        <v>41971</v>
      </c>
      <c r="E860" s="8">
        <v>41971</v>
      </c>
      <c r="F860" s="9">
        <v>363.8</v>
      </c>
    </row>
    <row r="861" spans="1:6" x14ac:dyDescent="0.25">
      <c r="A861" s="10" t="s">
        <v>126</v>
      </c>
      <c r="B861" s="11" t="s">
        <v>127</v>
      </c>
      <c r="C861" s="11" t="s">
        <v>19</v>
      </c>
      <c r="D861" s="12">
        <v>41971</v>
      </c>
      <c r="E861" s="12">
        <v>41971</v>
      </c>
      <c r="F861" s="13">
        <v>513.4</v>
      </c>
    </row>
    <row r="862" spans="1:6" x14ac:dyDescent="0.25">
      <c r="A862" s="6" t="s">
        <v>9</v>
      </c>
      <c r="B862" s="7" t="s">
        <v>69</v>
      </c>
      <c r="C862" s="7" t="s">
        <v>38</v>
      </c>
      <c r="D862" s="8">
        <v>41971</v>
      </c>
      <c r="E862" s="8">
        <v>41972</v>
      </c>
      <c r="F862" s="9">
        <v>407.8</v>
      </c>
    </row>
    <row r="863" spans="1:6" x14ac:dyDescent="0.25">
      <c r="A863" s="10" t="s">
        <v>99</v>
      </c>
      <c r="B863" s="11" t="s">
        <v>100</v>
      </c>
      <c r="C863" s="11" t="s">
        <v>72</v>
      </c>
      <c r="D863" s="12">
        <v>41971</v>
      </c>
      <c r="E863" s="12">
        <v>41974</v>
      </c>
      <c r="F863" s="13">
        <v>1091.7</v>
      </c>
    </row>
    <row r="864" spans="1:6" x14ac:dyDescent="0.25">
      <c r="A864" s="6" t="s">
        <v>145</v>
      </c>
      <c r="B864" s="7" t="s">
        <v>146</v>
      </c>
      <c r="C864" s="7" t="s">
        <v>14</v>
      </c>
      <c r="D864" s="8">
        <v>41971</v>
      </c>
      <c r="E864" s="8">
        <v>41975</v>
      </c>
      <c r="F864" s="9">
        <v>674.5</v>
      </c>
    </row>
    <row r="865" spans="1:6" x14ac:dyDescent="0.25">
      <c r="A865" s="10" t="s">
        <v>156</v>
      </c>
      <c r="B865" s="11" t="s">
        <v>157</v>
      </c>
      <c r="C865" s="11" t="s">
        <v>8</v>
      </c>
      <c r="D865" s="12">
        <v>41971</v>
      </c>
      <c r="E865" s="12">
        <v>41975</v>
      </c>
      <c r="F865" s="13">
        <v>1524</v>
      </c>
    </row>
    <row r="866" spans="1:6" x14ac:dyDescent="0.25">
      <c r="A866" s="6" t="s">
        <v>137</v>
      </c>
      <c r="B866" s="7" t="s">
        <v>160</v>
      </c>
      <c r="C866" s="7" t="s">
        <v>30</v>
      </c>
      <c r="D866" s="8">
        <v>41971</v>
      </c>
      <c r="E866" s="8">
        <v>41975</v>
      </c>
      <c r="F866" s="9">
        <v>688.5</v>
      </c>
    </row>
    <row r="867" spans="1:6" x14ac:dyDescent="0.25">
      <c r="A867" s="10" t="s">
        <v>158</v>
      </c>
      <c r="B867" s="11" t="s">
        <v>159</v>
      </c>
      <c r="C867" s="11" t="s">
        <v>24</v>
      </c>
      <c r="D867" s="12">
        <v>41971</v>
      </c>
      <c r="E867" s="12">
        <v>41972</v>
      </c>
      <c r="F867" s="13">
        <v>439.7</v>
      </c>
    </row>
    <row r="868" spans="1:6" x14ac:dyDescent="0.25">
      <c r="A868" s="6" t="s">
        <v>31</v>
      </c>
      <c r="B868" s="7" t="s">
        <v>77</v>
      </c>
      <c r="C868" s="7" t="s">
        <v>72</v>
      </c>
      <c r="D868" s="8">
        <v>41971</v>
      </c>
      <c r="E868" s="8">
        <v>41972</v>
      </c>
      <c r="F868" s="9">
        <v>693.7</v>
      </c>
    </row>
    <row r="869" spans="1:6" x14ac:dyDescent="0.25">
      <c r="A869" s="10" t="s">
        <v>57</v>
      </c>
      <c r="B869" s="11" t="s">
        <v>58</v>
      </c>
      <c r="C869" s="11" t="s">
        <v>8</v>
      </c>
      <c r="D869" s="12">
        <v>41971</v>
      </c>
      <c r="E869" s="12">
        <v>41974</v>
      </c>
      <c r="F869" s="13">
        <v>1313</v>
      </c>
    </row>
    <row r="870" spans="1:6" x14ac:dyDescent="0.25">
      <c r="A870" s="6" t="s">
        <v>86</v>
      </c>
      <c r="B870" s="7" t="s">
        <v>136</v>
      </c>
      <c r="C870" s="7" t="s">
        <v>8</v>
      </c>
      <c r="D870" s="8">
        <v>41971</v>
      </c>
      <c r="E870" s="8">
        <v>41972</v>
      </c>
      <c r="F870" s="9">
        <v>891</v>
      </c>
    </row>
    <row r="871" spans="1:6" x14ac:dyDescent="0.25">
      <c r="A871" s="10" t="s">
        <v>170</v>
      </c>
      <c r="B871" s="11" t="s">
        <v>171</v>
      </c>
      <c r="C871" s="11" t="s">
        <v>24</v>
      </c>
      <c r="D871" s="12">
        <v>41972</v>
      </c>
      <c r="E871" s="12">
        <v>41973</v>
      </c>
      <c r="F871" s="13">
        <v>439.7</v>
      </c>
    </row>
    <row r="872" spans="1:6" x14ac:dyDescent="0.25">
      <c r="A872" s="6" t="s">
        <v>115</v>
      </c>
      <c r="B872" s="7" t="s">
        <v>140</v>
      </c>
      <c r="C872" s="7" t="s">
        <v>8</v>
      </c>
      <c r="D872" s="8">
        <v>41974</v>
      </c>
      <c r="E872" s="8">
        <v>41974</v>
      </c>
      <c r="F872" s="9">
        <v>680</v>
      </c>
    </row>
    <row r="873" spans="1:6" x14ac:dyDescent="0.25">
      <c r="A873" s="10" t="s">
        <v>33</v>
      </c>
      <c r="B873" s="11" t="s">
        <v>34</v>
      </c>
      <c r="C873" s="11" t="s">
        <v>59</v>
      </c>
      <c r="D873" s="12">
        <v>41974</v>
      </c>
      <c r="E873" s="12">
        <v>41974</v>
      </c>
      <c r="F873" s="13">
        <v>442</v>
      </c>
    </row>
    <row r="874" spans="1:6" x14ac:dyDescent="0.25">
      <c r="A874" s="6" t="s">
        <v>126</v>
      </c>
      <c r="B874" s="7" t="s">
        <v>127</v>
      </c>
      <c r="C874" s="7" t="s">
        <v>14</v>
      </c>
      <c r="D874" s="8">
        <v>41974</v>
      </c>
      <c r="E874" s="8">
        <v>41975</v>
      </c>
      <c r="F874" s="9">
        <v>302.5</v>
      </c>
    </row>
    <row r="875" spans="1:6" x14ac:dyDescent="0.25">
      <c r="A875" s="10" t="s">
        <v>73</v>
      </c>
      <c r="B875" s="11" t="s">
        <v>74</v>
      </c>
      <c r="C875" s="11" t="s">
        <v>19</v>
      </c>
      <c r="D875" s="12">
        <v>41974</v>
      </c>
      <c r="E875" s="12">
        <v>41974</v>
      </c>
      <c r="F875" s="13">
        <v>513.4</v>
      </c>
    </row>
    <row r="876" spans="1:6" x14ac:dyDescent="0.25">
      <c r="A876" s="6" t="s">
        <v>151</v>
      </c>
      <c r="B876" s="7" t="s">
        <v>152</v>
      </c>
      <c r="C876" s="7" t="s">
        <v>59</v>
      </c>
      <c r="D876" s="8">
        <v>41974</v>
      </c>
      <c r="E876" s="8">
        <v>41974</v>
      </c>
      <c r="F876" s="9">
        <v>442</v>
      </c>
    </row>
    <row r="877" spans="1:6" x14ac:dyDescent="0.25">
      <c r="A877" s="10" t="s">
        <v>147</v>
      </c>
      <c r="B877" s="11" t="s">
        <v>148</v>
      </c>
      <c r="C877" s="11" t="s">
        <v>72</v>
      </c>
      <c r="D877" s="12">
        <v>41974</v>
      </c>
      <c r="E877" s="12">
        <v>41974</v>
      </c>
      <c r="F877" s="13">
        <v>494.7</v>
      </c>
    </row>
    <row r="878" spans="1:6" x14ac:dyDescent="0.25">
      <c r="A878" s="6" t="s">
        <v>93</v>
      </c>
      <c r="B878" s="7" t="s">
        <v>94</v>
      </c>
      <c r="C878" s="7" t="s">
        <v>19</v>
      </c>
      <c r="D878" s="8">
        <v>41974</v>
      </c>
      <c r="E878" s="8">
        <v>41974</v>
      </c>
      <c r="F878" s="9">
        <v>513.4</v>
      </c>
    </row>
    <row r="879" spans="1:6" x14ac:dyDescent="0.25">
      <c r="A879" s="10" t="s">
        <v>131</v>
      </c>
      <c r="B879" s="11" t="s">
        <v>154</v>
      </c>
      <c r="C879" s="11" t="s">
        <v>59</v>
      </c>
      <c r="D879" s="12">
        <v>41975</v>
      </c>
      <c r="E879" s="12">
        <v>41975</v>
      </c>
      <c r="F879" s="13">
        <v>442</v>
      </c>
    </row>
    <row r="880" spans="1:6" x14ac:dyDescent="0.25">
      <c r="A880" s="6" t="s">
        <v>22</v>
      </c>
      <c r="B880" s="7" t="s">
        <v>172</v>
      </c>
      <c r="C880" s="7" t="s">
        <v>30</v>
      </c>
      <c r="D880" s="8">
        <v>41975</v>
      </c>
      <c r="E880" s="8">
        <v>41976</v>
      </c>
      <c r="F880" s="9">
        <v>331.5</v>
      </c>
    </row>
    <row r="881" spans="1:6" x14ac:dyDescent="0.25">
      <c r="A881" s="10" t="s">
        <v>54</v>
      </c>
      <c r="B881" s="11" t="s">
        <v>133</v>
      </c>
      <c r="C881" s="11" t="s">
        <v>47</v>
      </c>
      <c r="D881" s="12">
        <v>41975</v>
      </c>
      <c r="E881" s="12">
        <v>41977</v>
      </c>
      <c r="F881" s="13">
        <v>689.8</v>
      </c>
    </row>
    <row r="882" spans="1:6" x14ac:dyDescent="0.25">
      <c r="A882" s="6" t="s">
        <v>50</v>
      </c>
      <c r="B882" s="7" t="s">
        <v>51</v>
      </c>
      <c r="C882" s="7" t="s">
        <v>38</v>
      </c>
      <c r="D882" s="8">
        <v>41975</v>
      </c>
      <c r="E882" s="8">
        <v>41975</v>
      </c>
      <c r="F882" s="9">
        <v>278.8</v>
      </c>
    </row>
    <row r="883" spans="1:6" x14ac:dyDescent="0.25">
      <c r="A883" s="10" t="s">
        <v>158</v>
      </c>
      <c r="B883" s="11" t="s">
        <v>159</v>
      </c>
      <c r="C883" s="11" t="s">
        <v>11</v>
      </c>
      <c r="D883" s="12">
        <v>41975</v>
      </c>
      <c r="E883" s="12">
        <v>41975</v>
      </c>
      <c r="F883" s="13">
        <v>156.4</v>
      </c>
    </row>
    <row r="884" spans="1:6" x14ac:dyDescent="0.25">
      <c r="A884" s="6" t="s">
        <v>115</v>
      </c>
      <c r="B884" s="7" t="s">
        <v>116</v>
      </c>
      <c r="C884" s="7" t="s">
        <v>24</v>
      </c>
      <c r="D884" s="8">
        <v>41975</v>
      </c>
      <c r="E884" s="8">
        <v>41975</v>
      </c>
      <c r="F884" s="9">
        <v>290.7</v>
      </c>
    </row>
    <row r="885" spans="1:6" x14ac:dyDescent="0.25">
      <c r="A885" s="10" t="s">
        <v>170</v>
      </c>
      <c r="B885" s="11" t="s">
        <v>171</v>
      </c>
      <c r="C885" s="11" t="s">
        <v>38</v>
      </c>
      <c r="D885" s="12">
        <v>41976</v>
      </c>
      <c r="E885" s="12">
        <v>41976</v>
      </c>
      <c r="F885" s="13">
        <v>278.8</v>
      </c>
    </row>
    <row r="886" spans="1:6" x14ac:dyDescent="0.25">
      <c r="A886" s="6" t="s">
        <v>54</v>
      </c>
      <c r="B886" s="7" t="s">
        <v>81</v>
      </c>
      <c r="C886" s="7" t="s">
        <v>19</v>
      </c>
      <c r="D886" s="8">
        <v>41977</v>
      </c>
      <c r="E886" s="8">
        <v>41977</v>
      </c>
      <c r="F886" s="9">
        <v>513.4</v>
      </c>
    </row>
    <row r="887" spans="1:6" x14ac:dyDescent="0.25">
      <c r="A887" s="10" t="s">
        <v>99</v>
      </c>
      <c r="B887" s="11" t="s">
        <v>130</v>
      </c>
      <c r="C887" s="11" t="s">
        <v>24</v>
      </c>
      <c r="D887" s="12">
        <v>41977</v>
      </c>
      <c r="E887" s="12">
        <v>41978</v>
      </c>
      <c r="F887" s="13">
        <v>439.7</v>
      </c>
    </row>
    <row r="888" spans="1:6" x14ac:dyDescent="0.25">
      <c r="A888" s="6" t="s">
        <v>97</v>
      </c>
      <c r="B888" s="7" t="s">
        <v>98</v>
      </c>
      <c r="C888" s="7" t="s">
        <v>14</v>
      </c>
      <c r="D888" s="8">
        <v>41977</v>
      </c>
      <c r="E888" s="8">
        <v>41978</v>
      </c>
      <c r="F888" s="9">
        <v>302.5</v>
      </c>
    </row>
    <row r="889" spans="1:6" x14ac:dyDescent="0.25">
      <c r="A889" s="10" t="s">
        <v>73</v>
      </c>
      <c r="B889" s="11" t="s">
        <v>155</v>
      </c>
      <c r="C889" s="11" t="s">
        <v>11</v>
      </c>
      <c r="D889" s="12">
        <v>41977</v>
      </c>
      <c r="E889" s="12">
        <v>41978</v>
      </c>
      <c r="F889" s="13">
        <v>295.39999999999998</v>
      </c>
    </row>
    <row r="890" spans="1:6" x14ac:dyDescent="0.25">
      <c r="A890" s="6" t="s">
        <v>109</v>
      </c>
      <c r="B890" s="7" t="s">
        <v>110</v>
      </c>
      <c r="C890" s="7" t="s">
        <v>24</v>
      </c>
      <c r="D890" s="8">
        <v>41977</v>
      </c>
      <c r="E890" s="8">
        <v>41981</v>
      </c>
      <c r="F890" s="9">
        <v>886.7</v>
      </c>
    </row>
    <row r="891" spans="1:6" x14ac:dyDescent="0.25">
      <c r="A891" s="10" t="s">
        <v>20</v>
      </c>
      <c r="B891" s="11" t="s">
        <v>162</v>
      </c>
      <c r="C891" s="11" t="s">
        <v>72</v>
      </c>
      <c r="D891" s="12">
        <v>41977</v>
      </c>
      <c r="E891" s="12">
        <v>41981</v>
      </c>
      <c r="F891" s="13">
        <v>1290.7</v>
      </c>
    </row>
    <row r="892" spans="1:6" x14ac:dyDescent="0.25">
      <c r="A892" s="6" t="s">
        <v>15</v>
      </c>
      <c r="B892" s="7" t="s">
        <v>16</v>
      </c>
      <c r="C892" s="7" t="s">
        <v>38</v>
      </c>
      <c r="D892" s="8">
        <v>41977</v>
      </c>
      <c r="E892" s="8">
        <v>41979</v>
      </c>
      <c r="F892" s="9">
        <v>536.79999999999995</v>
      </c>
    </row>
    <row r="893" spans="1:6" x14ac:dyDescent="0.25">
      <c r="A893" s="10" t="s">
        <v>31</v>
      </c>
      <c r="B893" s="11" t="s">
        <v>78</v>
      </c>
      <c r="C893" s="11" t="s">
        <v>24</v>
      </c>
      <c r="D893" s="12">
        <v>41982</v>
      </c>
      <c r="E893" s="12">
        <v>41983</v>
      </c>
      <c r="F893" s="13">
        <v>439.7</v>
      </c>
    </row>
    <row r="894" spans="1:6" x14ac:dyDescent="0.25">
      <c r="A894" s="6" t="s">
        <v>33</v>
      </c>
      <c r="B894" s="7" t="s">
        <v>141</v>
      </c>
      <c r="C894" s="7" t="s">
        <v>38</v>
      </c>
      <c r="D894" s="8">
        <v>41982</v>
      </c>
      <c r="E894" s="8">
        <v>41982</v>
      </c>
      <c r="F894" s="9">
        <v>278.8</v>
      </c>
    </row>
    <row r="895" spans="1:6" x14ac:dyDescent="0.25">
      <c r="A895" s="10" t="s">
        <v>48</v>
      </c>
      <c r="B895" s="11" t="s">
        <v>49</v>
      </c>
      <c r="C895" s="11" t="s">
        <v>24</v>
      </c>
      <c r="D895" s="12">
        <v>41982</v>
      </c>
      <c r="E895" s="12">
        <v>41985</v>
      </c>
      <c r="F895" s="13">
        <v>737.7</v>
      </c>
    </row>
    <row r="896" spans="1:6" x14ac:dyDescent="0.25">
      <c r="A896" s="6" t="s">
        <v>6</v>
      </c>
      <c r="B896" s="7" t="s">
        <v>139</v>
      </c>
      <c r="C896" s="7" t="s">
        <v>30</v>
      </c>
      <c r="D896" s="8">
        <v>41982</v>
      </c>
      <c r="E896" s="8">
        <v>41983</v>
      </c>
      <c r="F896" s="9">
        <v>331.5</v>
      </c>
    </row>
    <row r="897" spans="1:6" x14ac:dyDescent="0.25">
      <c r="A897" s="10" t="s">
        <v>122</v>
      </c>
      <c r="B897" s="11" t="s">
        <v>123</v>
      </c>
      <c r="C897" s="11" t="s">
        <v>59</v>
      </c>
      <c r="D897" s="12">
        <v>41982</v>
      </c>
      <c r="E897" s="12">
        <v>41982</v>
      </c>
      <c r="F897" s="13">
        <v>442</v>
      </c>
    </row>
    <row r="898" spans="1:6" x14ac:dyDescent="0.25">
      <c r="A898" s="6" t="s">
        <v>93</v>
      </c>
      <c r="B898" s="7" t="s">
        <v>124</v>
      </c>
      <c r="C898" s="7" t="s">
        <v>72</v>
      </c>
      <c r="D898" s="8">
        <v>41982</v>
      </c>
      <c r="E898" s="8">
        <v>41982</v>
      </c>
      <c r="F898" s="9">
        <v>494.7</v>
      </c>
    </row>
    <row r="899" spans="1:6" x14ac:dyDescent="0.25">
      <c r="A899" s="10" t="s">
        <v>31</v>
      </c>
      <c r="B899" s="11" t="s">
        <v>32</v>
      </c>
      <c r="C899" s="11" t="s">
        <v>8</v>
      </c>
      <c r="D899" s="12">
        <v>41982</v>
      </c>
      <c r="E899" s="12">
        <v>41984</v>
      </c>
      <c r="F899" s="13">
        <v>1102</v>
      </c>
    </row>
    <row r="900" spans="1:6" x14ac:dyDescent="0.25">
      <c r="A900" s="6" t="s">
        <v>61</v>
      </c>
      <c r="B900" s="7" t="s">
        <v>62</v>
      </c>
      <c r="C900" s="7" t="s">
        <v>30</v>
      </c>
      <c r="D900" s="8">
        <v>41982</v>
      </c>
      <c r="E900" s="8">
        <v>41986</v>
      </c>
      <c r="F900" s="9">
        <v>688.5</v>
      </c>
    </row>
    <row r="901" spans="1:6" x14ac:dyDescent="0.25">
      <c r="A901" s="10" t="s">
        <v>170</v>
      </c>
      <c r="B901" s="11" t="s">
        <v>171</v>
      </c>
      <c r="C901" s="11" t="s">
        <v>27</v>
      </c>
      <c r="D901" s="12">
        <v>41982</v>
      </c>
      <c r="E901" s="12">
        <v>41983</v>
      </c>
      <c r="F901" s="13">
        <v>570</v>
      </c>
    </row>
    <row r="902" spans="1:6" x14ac:dyDescent="0.25">
      <c r="A902" s="6" t="s">
        <v>168</v>
      </c>
      <c r="B902" s="7" t="s">
        <v>169</v>
      </c>
      <c r="C902" s="7" t="s">
        <v>59</v>
      </c>
      <c r="D902" s="8">
        <v>41982</v>
      </c>
      <c r="E902" s="8">
        <v>41984</v>
      </c>
      <c r="F902" s="9">
        <v>760</v>
      </c>
    </row>
    <row r="903" spans="1:6" x14ac:dyDescent="0.25">
      <c r="A903" s="10" t="s">
        <v>33</v>
      </c>
      <c r="B903" s="11" t="s">
        <v>34</v>
      </c>
      <c r="C903" s="11" t="s">
        <v>8</v>
      </c>
      <c r="D903" s="12">
        <v>41982</v>
      </c>
      <c r="E903" s="12">
        <v>41983</v>
      </c>
      <c r="F903" s="13">
        <v>891</v>
      </c>
    </row>
    <row r="904" spans="1:6" x14ac:dyDescent="0.25">
      <c r="A904" s="6" t="s">
        <v>9</v>
      </c>
      <c r="B904" s="7" t="s">
        <v>10</v>
      </c>
      <c r="C904" s="7" t="s">
        <v>72</v>
      </c>
      <c r="D904" s="8">
        <v>41982</v>
      </c>
      <c r="E904" s="8">
        <v>41984</v>
      </c>
      <c r="F904" s="9">
        <v>892.7</v>
      </c>
    </row>
    <row r="905" spans="1:6" x14ac:dyDescent="0.25">
      <c r="A905" s="10" t="s">
        <v>73</v>
      </c>
      <c r="B905" s="11" t="s">
        <v>74</v>
      </c>
      <c r="C905" s="11" t="s">
        <v>11</v>
      </c>
      <c r="D905" s="12">
        <v>41982</v>
      </c>
      <c r="E905" s="12">
        <v>41985</v>
      </c>
      <c r="F905" s="13">
        <v>573.4</v>
      </c>
    </row>
    <row r="906" spans="1:6" x14ac:dyDescent="0.25">
      <c r="A906" s="6" t="s">
        <v>101</v>
      </c>
      <c r="B906" s="7" t="s">
        <v>102</v>
      </c>
      <c r="C906" s="7" t="s">
        <v>30</v>
      </c>
      <c r="D906" s="8">
        <v>41982</v>
      </c>
      <c r="E906" s="8">
        <v>41985</v>
      </c>
      <c r="F906" s="9">
        <v>569.5</v>
      </c>
    </row>
    <row r="907" spans="1:6" x14ac:dyDescent="0.25">
      <c r="A907" s="10" t="s">
        <v>86</v>
      </c>
      <c r="B907" s="11" t="s">
        <v>87</v>
      </c>
      <c r="C907" s="11" t="s">
        <v>14</v>
      </c>
      <c r="D907" s="12">
        <v>41982</v>
      </c>
      <c r="E907" s="12">
        <v>41986</v>
      </c>
      <c r="F907" s="13">
        <v>674.5</v>
      </c>
    </row>
    <row r="908" spans="1:6" x14ac:dyDescent="0.25">
      <c r="A908" s="6" t="s">
        <v>107</v>
      </c>
      <c r="B908" s="7" t="s">
        <v>108</v>
      </c>
      <c r="C908" s="7" t="s">
        <v>19</v>
      </c>
      <c r="D908" s="8">
        <v>41982</v>
      </c>
      <c r="E908" s="8">
        <v>41983</v>
      </c>
      <c r="F908" s="9">
        <v>654.4</v>
      </c>
    </row>
    <row r="909" spans="1:6" x14ac:dyDescent="0.25">
      <c r="A909" s="10" t="s">
        <v>134</v>
      </c>
      <c r="B909" s="11" t="s">
        <v>149</v>
      </c>
      <c r="C909" s="11" t="s">
        <v>8</v>
      </c>
      <c r="D909" s="12">
        <v>41982</v>
      </c>
      <c r="E909" s="12">
        <v>41983</v>
      </c>
      <c r="F909" s="13">
        <v>891</v>
      </c>
    </row>
    <row r="910" spans="1:6" x14ac:dyDescent="0.25">
      <c r="A910" s="6" t="s">
        <v>111</v>
      </c>
      <c r="B910" s="7" t="s">
        <v>112</v>
      </c>
      <c r="C910" s="7" t="s">
        <v>59</v>
      </c>
      <c r="D910" s="8">
        <v>41982</v>
      </c>
      <c r="E910" s="8">
        <v>41984</v>
      </c>
      <c r="F910" s="9">
        <v>760</v>
      </c>
    </row>
    <row r="911" spans="1:6" x14ac:dyDescent="0.25">
      <c r="A911" s="10" t="s">
        <v>93</v>
      </c>
      <c r="B911" s="11" t="s">
        <v>94</v>
      </c>
      <c r="C911" s="11" t="s">
        <v>66</v>
      </c>
      <c r="D911" s="12">
        <v>41982</v>
      </c>
      <c r="E911" s="12">
        <v>41986</v>
      </c>
      <c r="F911" s="13">
        <v>1019.7</v>
      </c>
    </row>
    <row r="912" spans="1:6" x14ac:dyDescent="0.25">
      <c r="A912" s="6" t="s">
        <v>70</v>
      </c>
      <c r="B912" s="7" t="s">
        <v>117</v>
      </c>
      <c r="C912" s="7" t="s">
        <v>47</v>
      </c>
      <c r="D912" s="8">
        <v>41982</v>
      </c>
      <c r="E912" s="8">
        <v>41983</v>
      </c>
      <c r="F912" s="9">
        <v>526.79999999999995</v>
      </c>
    </row>
    <row r="913" spans="1:6" x14ac:dyDescent="0.25">
      <c r="A913" s="10" t="s">
        <v>86</v>
      </c>
      <c r="B913" s="11" t="s">
        <v>136</v>
      </c>
      <c r="C913" s="11" t="s">
        <v>47</v>
      </c>
      <c r="D913" s="12">
        <v>41982</v>
      </c>
      <c r="E913" s="12">
        <v>41983</v>
      </c>
      <c r="F913" s="13">
        <v>526.79999999999995</v>
      </c>
    </row>
    <row r="914" spans="1:6" x14ac:dyDescent="0.25">
      <c r="A914" s="6" t="s">
        <v>15</v>
      </c>
      <c r="B914" s="7" t="s">
        <v>44</v>
      </c>
      <c r="C914" s="7" t="s">
        <v>17</v>
      </c>
      <c r="D914" s="8">
        <v>41983</v>
      </c>
      <c r="E914" s="8">
        <v>41984</v>
      </c>
      <c r="F914" s="9">
        <v>706.5</v>
      </c>
    </row>
    <row r="915" spans="1:6" x14ac:dyDescent="0.25">
      <c r="A915" s="10" t="s">
        <v>6</v>
      </c>
      <c r="B915" s="11" t="s">
        <v>7</v>
      </c>
      <c r="C915" s="11" t="s">
        <v>30</v>
      </c>
      <c r="D915" s="12">
        <v>41983</v>
      </c>
      <c r="E915" s="12">
        <v>41984</v>
      </c>
      <c r="F915" s="13">
        <v>331.5</v>
      </c>
    </row>
    <row r="916" spans="1:6" x14ac:dyDescent="0.25">
      <c r="A916" s="6" t="s">
        <v>128</v>
      </c>
      <c r="B916" s="7" t="s">
        <v>129</v>
      </c>
      <c r="C916" s="7" t="s">
        <v>14</v>
      </c>
      <c r="D916" s="8">
        <v>41983</v>
      </c>
      <c r="E916" s="8">
        <v>41986</v>
      </c>
      <c r="F916" s="9">
        <v>550.5</v>
      </c>
    </row>
    <row r="917" spans="1:6" x14ac:dyDescent="0.25">
      <c r="A917" s="10" t="s">
        <v>82</v>
      </c>
      <c r="B917" s="11" t="s">
        <v>83</v>
      </c>
      <c r="C917" s="11" t="s">
        <v>17</v>
      </c>
      <c r="D917" s="12">
        <v>41983</v>
      </c>
      <c r="E917" s="12">
        <v>41986</v>
      </c>
      <c r="F917" s="13">
        <v>1116.5</v>
      </c>
    </row>
    <row r="918" spans="1:6" x14ac:dyDescent="0.25">
      <c r="A918" s="6" t="s">
        <v>25</v>
      </c>
      <c r="B918" s="7" t="s">
        <v>67</v>
      </c>
      <c r="C918" s="7" t="s">
        <v>24</v>
      </c>
      <c r="D918" s="8">
        <v>41983</v>
      </c>
      <c r="E918" s="8">
        <v>41984</v>
      </c>
      <c r="F918" s="9">
        <v>439.7</v>
      </c>
    </row>
    <row r="919" spans="1:6" x14ac:dyDescent="0.25">
      <c r="A919" s="10" t="s">
        <v>28</v>
      </c>
      <c r="B919" s="11" t="s">
        <v>60</v>
      </c>
      <c r="C919" s="11" t="s">
        <v>59</v>
      </c>
      <c r="D919" s="12">
        <v>41983</v>
      </c>
      <c r="E919" s="12">
        <v>41983</v>
      </c>
      <c r="F919" s="13">
        <v>442</v>
      </c>
    </row>
    <row r="920" spans="1:6" x14ac:dyDescent="0.25">
      <c r="A920" s="6" t="s">
        <v>28</v>
      </c>
      <c r="B920" s="7" t="s">
        <v>29</v>
      </c>
      <c r="C920" s="7" t="s">
        <v>17</v>
      </c>
      <c r="D920" s="8">
        <v>41983</v>
      </c>
      <c r="E920" s="8">
        <v>41985</v>
      </c>
      <c r="F920" s="9">
        <v>911.5</v>
      </c>
    </row>
    <row r="921" spans="1:6" x14ac:dyDescent="0.25">
      <c r="A921" s="10" t="s">
        <v>82</v>
      </c>
      <c r="B921" s="11" t="s">
        <v>125</v>
      </c>
      <c r="C921" s="11" t="s">
        <v>47</v>
      </c>
      <c r="D921" s="12">
        <v>41983</v>
      </c>
      <c r="E921" s="12">
        <v>41987</v>
      </c>
      <c r="F921" s="13">
        <v>1015.8</v>
      </c>
    </row>
    <row r="922" spans="1:6" x14ac:dyDescent="0.25">
      <c r="A922" s="6" t="s">
        <v>70</v>
      </c>
      <c r="B922" s="7" t="s">
        <v>71</v>
      </c>
      <c r="C922" s="7" t="s">
        <v>30</v>
      </c>
      <c r="D922" s="8">
        <v>41983</v>
      </c>
      <c r="E922" s="8">
        <v>41984</v>
      </c>
      <c r="F922" s="9">
        <v>331.5</v>
      </c>
    </row>
    <row r="923" spans="1:6" x14ac:dyDescent="0.25">
      <c r="A923" s="10" t="s">
        <v>6</v>
      </c>
      <c r="B923" s="11" t="s">
        <v>56</v>
      </c>
      <c r="C923" s="11" t="s">
        <v>27</v>
      </c>
      <c r="D923" s="12">
        <v>41983</v>
      </c>
      <c r="E923" s="12">
        <v>41987</v>
      </c>
      <c r="F923" s="13">
        <v>954</v>
      </c>
    </row>
    <row r="924" spans="1:6" x14ac:dyDescent="0.25">
      <c r="A924" s="6" t="s">
        <v>9</v>
      </c>
      <c r="B924" s="7" t="s">
        <v>69</v>
      </c>
      <c r="C924" s="7" t="s">
        <v>8</v>
      </c>
      <c r="D924" s="8">
        <v>41983</v>
      </c>
      <c r="E924" s="8">
        <v>41985</v>
      </c>
      <c r="F924" s="9">
        <v>1102</v>
      </c>
    </row>
    <row r="925" spans="1:6" x14ac:dyDescent="0.25">
      <c r="A925" s="10" t="s">
        <v>93</v>
      </c>
      <c r="B925" s="11" t="s">
        <v>106</v>
      </c>
      <c r="C925" s="11" t="s">
        <v>66</v>
      </c>
      <c r="D925" s="12">
        <v>41983</v>
      </c>
      <c r="E925" s="12">
        <v>41984</v>
      </c>
      <c r="F925" s="13">
        <v>485.7</v>
      </c>
    </row>
    <row r="926" spans="1:6" x14ac:dyDescent="0.25">
      <c r="A926" s="6" t="s">
        <v>54</v>
      </c>
      <c r="B926" s="7" t="s">
        <v>121</v>
      </c>
      <c r="C926" s="7" t="s">
        <v>38</v>
      </c>
      <c r="D926" s="8">
        <v>41983</v>
      </c>
      <c r="E926" s="8">
        <v>41986</v>
      </c>
      <c r="F926" s="9">
        <v>665.8</v>
      </c>
    </row>
    <row r="927" spans="1:6" x14ac:dyDescent="0.25">
      <c r="A927" s="10" t="s">
        <v>145</v>
      </c>
      <c r="B927" s="11" t="s">
        <v>146</v>
      </c>
      <c r="C927" s="11" t="s">
        <v>24</v>
      </c>
      <c r="D927" s="12">
        <v>41983</v>
      </c>
      <c r="E927" s="12">
        <v>41985</v>
      </c>
      <c r="F927" s="13">
        <v>588.70000000000005</v>
      </c>
    </row>
    <row r="928" spans="1:6" x14ac:dyDescent="0.25">
      <c r="A928" s="6" t="s">
        <v>25</v>
      </c>
      <c r="B928" s="7" t="s">
        <v>35</v>
      </c>
      <c r="C928" s="7" t="s">
        <v>72</v>
      </c>
      <c r="D928" s="8">
        <v>41983</v>
      </c>
      <c r="E928" s="8">
        <v>41986</v>
      </c>
      <c r="F928" s="9">
        <v>1091.7</v>
      </c>
    </row>
    <row r="929" spans="1:6" x14ac:dyDescent="0.25">
      <c r="A929" s="10" t="s">
        <v>12</v>
      </c>
      <c r="B929" s="11" t="s">
        <v>13</v>
      </c>
      <c r="C929" s="11" t="s">
        <v>47</v>
      </c>
      <c r="D929" s="12">
        <v>41983</v>
      </c>
      <c r="E929" s="12">
        <v>41987</v>
      </c>
      <c r="F929" s="13">
        <v>1015.8</v>
      </c>
    </row>
    <row r="930" spans="1:6" x14ac:dyDescent="0.25">
      <c r="A930" s="6" t="s">
        <v>75</v>
      </c>
      <c r="B930" s="7" t="s">
        <v>88</v>
      </c>
      <c r="C930" s="7" t="s">
        <v>19</v>
      </c>
      <c r="D930" s="8">
        <v>41983</v>
      </c>
      <c r="E930" s="8">
        <v>41984</v>
      </c>
      <c r="F930" s="9">
        <v>654.4</v>
      </c>
    </row>
    <row r="931" spans="1:6" x14ac:dyDescent="0.25">
      <c r="A931" s="10" t="s">
        <v>166</v>
      </c>
      <c r="B931" s="11" t="s">
        <v>167</v>
      </c>
      <c r="C931" s="11" t="s">
        <v>38</v>
      </c>
      <c r="D931" s="12">
        <v>41983</v>
      </c>
      <c r="E931" s="12">
        <v>41984</v>
      </c>
      <c r="F931" s="13">
        <v>407.8</v>
      </c>
    </row>
    <row r="932" spans="1:6" x14ac:dyDescent="0.25">
      <c r="A932" s="6" t="s">
        <v>6</v>
      </c>
      <c r="B932" s="7" t="s">
        <v>45</v>
      </c>
      <c r="C932" s="7" t="s">
        <v>11</v>
      </c>
      <c r="D932" s="8">
        <v>41983</v>
      </c>
      <c r="E932" s="8">
        <v>41983</v>
      </c>
      <c r="F932" s="9">
        <v>156.4</v>
      </c>
    </row>
    <row r="933" spans="1:6" x14ac:dyDescent="0.25">
      <c r="A933" s="10" t="s">
        <v>20</v>
      </c>
      <c r="B933" s="11" t="s">
        <v>162</v>
      </c>
      <c r="C933" s="11" t="s">
        <v>14</v>
      </c>
      <c r="D933" s="12">
        <v>41983</v>
      </c>
      <c r="E933" s="12">
        <v>41986</v>
      </c>
      <c r="F933" s="13">
        <v>550.5</v>
      </c>
    </row>
    <row r="934" spans="1:6" x14ac:dyDescent="0.25">
      <c r="A934" s="6" t="s">
        <v>15</v>
      </c>
      <c r="B934" s="7" t="s">
        <v>16</v>
      </c>
      <c r="C934" s="7" t="s">
        <v>8</v>
      </c>
      <c r="D934" s="8">
        <v>41983</v>
      </c>
      <c r="E934" s="8">
        <v>41987</v>
      </c>
      <c r="F934" s="9">
        <v>1524</v>
      </c>
    </row>
    <row r="935" spans="1:6" x14ac:dyDescent="0.25">
      <c r="A935" s="10" t="s">
        <v>20</v>
      </c>
      <c r="B935" s="11" t="s">
        <v>21</v>
      </c>
      <c r="C935" s="11" t="s">
        <v>38</v>
      </c>
      <c r="D935" s="12">
        <v>41983</v>
      </c>
      <c r="E935" s="12">
        <v>41984</v>
      </c>
      <c r="F935" s="13">
        <v>407.8</v>
      </c>
    </row>
    <row r="936" spans="1:6" x14ac:dyDescent="0.25">
      <c r="A936" s="6" t="s">
        <v>115</v>
      </c>
      <c r="B936" s="7" t="s">
        <v>140</v>
      </c>
      <c r="C936" s="7" t="s">
        <v>17</v>
      </c>
      <c r="D936" s="8">
        <v>41984</v>
      </c>
      <c r="E936" s="8">
        <v>41985</v>
      </c>
      <c r="F936" s="9">
        <v>706.5</v>
      </c>
    </row>
    <row r="937" spans="1:6" x14ac:dyDescent="0.25">
      <c r="A937" s="10" t="s">
        <v>33</v>
      </c>
      <c r="B937" s="11" t="s">
        <v>34</v>
      </c>
      <c r="C937" s="11" t="s">
        <v>24</v>
      </c>
      <c r="D937" s="12">
        <v>41984</v>
      </c>
      <c r="E937" s="12">
        <v>41984</v>
      </c>
      <c r="F937" s="13">
        <v>290.7</v>
      </c>
    </row>
    <row r="938" spans="1:6" x14ac:dyDescent="0.25">
      <c r="A938" s="6" t="s">
        <v>33</v>
      </c>
      <c r="B938" s="7" t="s">
        <v>141</v>
      </c>
      <c r="C938" s="7" t="s">
        <v>27</v>
      </c>
      <c r="D938" s="8">
        <v>41985</v>
      </c>
      <c r="E938" s="8">
        <v>41985</v>
      </c>
      <c r="F938" s="9">
        <v>442</v>
      </c>
    </row>
    <row r="939" spans="1:6" x14ac:dyDescent="0.25">
      <c r="A939" s="10" t="s">
        <v>6</v>
      </c>
      <c r="B939" s="11" t="s">
        <v>139</v>
      </c>
      <c r="C939" s="11" t="s">
        <v>59</v>
      </c>
      <c r="D939" s="12">
        <v>41985</v>
      </c>
      <c r="E939" s="12">
        <v>41985</v>
      </c>
      <c r="F939" s="13">
        <v>442</v>
      </c>
    </row>
    <row r="940" spans="1:6" x14ac:dyDescent="0.25">
      <c r="A940" s="6" t="s">
        <v>122</v>
      </c>
      <c r="B940" s="7" t="s">
        <v>123</v>
      </c>
      <c r="C940" s="7" t="s">
        <v>38</v>
      </c>
      <c r="D940" s="8">
        <v>41985</v>
      </c>
      <c r="E940" s="8">
        <v>41985</v>
      </c>
      <c r="F940" s="9">
        <v>278.8</v>
      </c>
    </row>
    <row r="941" spans="1:6" x14ac:dyDescent="0.25">
      <c r="A941" s="10" t="s">
        <v>93</v>
      </c>
      <c r="B941" s="11" t="s">
        <v>124</v>
      </c>
      <c r="C941" s="11" t="s">
        <v>38</v>
      </c>
      <c r="D941" s="12">
        <v>41985</v>
      </c>
      <c r="E941" s="12">
        <v>41985</v>
      </c>
      <c r="F941" s="13">
        <v>278.8</v>
      </c>
    </row>
    <row r="942" spans="1:6" x14ac:dyDescent="0.25">
      <c r="A942" s="6" t="s">
        <v>86</v>
      </c>
      <c r="B942" s="7" t="s">
        <v>150</v>
      </c>
      <c r="C942" s="7" t="s">
        <v>14</v>
      </c>
      <c r="D942" s="8">
        <v>41985</v>
      </c>
      <c r="E942" s="8">
        <v>41985</v>
      </c>
      <c r="F942" s="9">
        <v>178.5</v>
      </c>
    </row>
    <row r="943" spans="1:6" x14ac:dyDescent="0.25">
      <c r="A943" s="10" t="s">
        <v>119</v>
      </c>
      <c r="B943" s="11" t="s">
        <v>120</v>
      </c>
      <c r="C943" s="11" t="s">
        <v>11</v>
      </c>
      <c r="D943" s="12">
        <v>41985</v>
      </c>
      <c r="E943" s="12">
        <v>41988</v>
      </c>
      <c r="F943" s="13">
        <v>573.4</v>
      </c>
    </row>
    <row r="944" spans="1:6" x14ac:dyDescent="0.25">
      <c r="A944" s="6" t="s">
        <v>134</v>
      </c>
      <c r="B944" s="7" t="s">
        <v>149</v>
      </c>
      <c r="C944" s="7" t="s">
        <v>66</v>
      </c>
      <c r="D944" s="8">
        <v>41985</v>
      </c>
      <c r="E944" s="8">
        <v>41985</v>
      </c>
      <c r="F944" s="9">
        <v>307.7</v>
      </c>
    </row>
    <row r="945" spans="1:6" x14ac:dyDescent="0.25">
      <c r="A945" s="10" t="s">
        <v>113</v>
      </c>
      <c r="B945" s="11" t="s">
        <v>114</v>
      </c>
      <c r="C945" s="11" t="s">
        <v>66</v>
      </c>
      <c r="D945" s="12">
        <v>41985</v>
      </c>
      <c r="E945" s="12">
        <v>41985</v>
      </c>
      <c r="F945" s="13">
        <v>307.7</v>
      </c>
    </row>
    <row r="946" spans="1:6" x14ac:dyDescent="0.25">
      <c r="A946" s="6" t="s">
        <v>91</v>
      </c>
      <c r="B946" s="7" t="s">
        <v>161</v>
      </c>
      <c r="C946" s="7" t="s">
        <v>66</v>
      </c>
      <c r="D946" s="8">
        <v>41985</v>
      </c>
      <c r="E946" s="8">
        <v>41989</v>
      </c>
      <c r="F946" s="9">
        <v>1019.7</v>
      </c>
    </row>
    <row r="947" spans="1:6" x14ac:dyDescent="0.25">
      <c r="A947" s="10" t="s">
        <v>33</v>
      </c>
      <c r="B947" s="11" t="s">
        <v>34</v>
      </c>
      <c r="C947" s="11" t="s">
        <v>17</v>
      </c>
      <c r="D947" s="12">
        <v>41986</v>
      </c>
      <c r="E947" s="12">
        <v>41986</v>
      </c>
      <c r="F947" s="13">
        <v>501.5</v>
      </c>
    </row>
    <row r="948" spans="1:6" x14ac:dyDescent="0.25">
      <c r="A948" s="6" t="s">
        <v>6</v>
      </c>
      <c r="B948" s="7" t="s">
        <v>45</v>
      </c>
      <c r="C948" s="7" t="s">
        <v>17</v>
      </c>
      <c r="D948" s="8">
        <v>41986</v>
      </c>
      <c r="E948" s="8">
        <v>41986</v>
      </c>
      <c r="F948" s="9">
        <v>501.5</v>
      </c>
    </row>
    <row r="949" spans="1:6" x14ac:dyDescent="0.25">
      <c r="A949" s="10" t="s">
        <v>115</v>
      </c>
      <c r="B949" s="11" t="s">
        <v>153</v>
      </c>
      <c r="C949" s="11" t="s">
        <v>30</v>
      </c>
      <c r="D949" s="12">
        <v>41987</v>
      </c>
      <c r="E949" s="12">
        <v>41987</v>
      </c>
      <c r="F949" s="13">
        <v>212.5</v>
      </c>
    </row>
    <row r="950" spans="1:6" x14ac:dyDescent="0.25">
      <c r="A950" s="6" t="s">
        <v>31</v>
      </c>
      <c r="B950" s="7" t="s">
        <v>32</v>
      </c>
      <c r="C950" s="7" t="s">
        <v>17</v>
      </c>
      <c r="D950" s="8">
        <v>41987</v>
      </c>
      <c r="E950" s="8">
        <v>41987</v>
      </c>
      <c r="F950" s="9">
        <v>501.5</v>
      </c>
    </row>
    <row r="951" spans="1:6" x14ac:dyDescent="0.25">
      <c r="A951" s="10" t="s">
        <v>170</v>
      </c>
      <c r="B951" s="11" t="s">
        <v>171</v>
      </c>
      <c r="C951" s="11" t="s">
        <v>11</v>
      </c>
      <c r="D951" s="12">
        <v>41988</v>
      </c>
      <c r="E951" s="12">
        <v>41988</v>
      </c>
      <c r="F951" s="13">
        <v>156.4</v>
      </c>
    </row>
    <row r="952" spans="1:6" x14ac:dyDescent="0.25">
      <c r="A952" s="6" t="s">
        <v>86</v>
      </c>
      <c r="B952" s="7" t="s">
        <v>87</v>
      </c>
      <c r="C952" s="7" t="s">
        <v>30</v>
      </c>
      <c r="D952" s="8">
        <v>41988</v>
      </c>
      <c r="E952" s="8">
        <v>41988</v>
      </c>
      <c r="F952" s="9">
        <v>212.5</v>
      </c>
    </row>
    <row r="953" spans="1:6" x14ac:dyDescent="0.25">
      <c r="A953" s="10" t="s">
        <v>73</v>
      </c>
      <c r="B953" s="11" t="s">
        <v>155</v>
      </c>
      <c r="C953" s="11" t="s">
        <v>11</v>
      </c>
      <c r="D953" s="12">
        <v>41988</v>
      </c>
      <c r="E953" s="12">
        <v>41988</v>
      </c>
      <c r="F953" s="13">
        <v>156.4</v>
      </c>
    </row>
    <row r="954" spans="1:6" x14ac:dyDescent="0.25">
      <c r="A954" s="6" t="s">
        <v>33</v>
      </c>
      <c r="B954" s="7" t="s">
        <v>141</v>
      </c>
      <c r="C954" s="7" t="s">
        <v>8</v>
      </c>
      <c r="D954" s="8">
        <v>41989</v>
      </c>
      <c r="E954" s="8">
        <v>41990</v>
      </c>
      <c r="F954" s="9">
        <v>891</v>
      </c>
    </row>
    <row r="955" spans="1:6" x14ac:dyDescent="0.25">
      <c r="A955" s="10" t="s">
        <v>22</v>
      </c>
      <c r="B955" s="11" t="s">
        <v>172</v>
      </c>
      <c r="C955" s="11" t="s">
        <v>47</v>
      </c>
      <c r="D955" s="12">
        <v>41989</v>
      </c>
      <c r="E955" s="12">
        <v>41992</v>
      </c>
      <c r="F955" s="13">
        <v>852.8</v>
      </c>
    </row>
    <row r="956" spans="1:6" x14ac:dyDescent="0.25">
      <c r="A956" s="6" t="s">
        <v>50</v>
      </c>
      <c r="B956" s="7" t="s">
        <v>51</v>
      </c>
      <c r="C956" s="7" t="s">
        <v>17</v>
      </c>
      <c r="D956" s="8">
        <v>41989</v>
      </c>
      <c r="E956" s="8">
        <v>41990</v>
      </c>
      <c r="F956" s="9">
        <v>706.5</v>
      </c>
    </row>
    <row r="957" spans="1:6" x14ac:dyDescent="0.25">
      <c r="A957" s="10" t="s">
        <v>107</v>
      </c>
      <c r="B957" s="11" t="s">
        <v>108</v>
      </c>
      <c r="C957" s="11" t="s">
        <v>59</v>
      </c>
      <c r="D957" s="12">
        <v>41989</v>
      </c>
      <c r="E957" s="12">
        <v>41989</v>
      </c>
      <c r="F957" s="13">
        <v>442</v>
      </c>
    </row>
    <row r="958" spans="1:6" x14ac:dyDescent="0.25">
      <c r="A958" s="6" t="s">
        <v>109</v>
      </c>
      <c r="B958" s="7" t="s">
        <v>110</v>
      </c>
      <c r="C958" s="7" t="s">
        <v>38</v>
      </c>
      <c r="D958" s="8">
        <v>41989</v>
      </c>
      <c r="E958" s="8">
        <v>41989</v>
      </c>
      <c r="F958" s="9">
        <v>278.8</v>
      </c>
    </row>
    <row r="959" spans="1:6" x14ac:dyDescent="0.25">
      <c r="A959" s="10" t="s">
        <v>15</v>
      </c>
      <c r="B959" s="11" t="s">
        <v>63</v>
      </c>
      <c r="C959" s="11" t="s">
        <v>11</v>
      </c>
      <c r="D959" s="12">
        <v>41989</v>
      </c>
      <c r="E959" s="12">
        <v>41990</v>
      </c>
      <c r="F959" s="13">
        <v>295.39999999999998</v>
      </c>
    </row>
    <row r="960" spans="1:6" x14ac:dyDescent="0.25">
      <c r="A960" s="6" t="s">
        <v>115</v>
      </c>
      <c r="B960" s="7" t="s">
        <v>153</v>
      </c>
      <c r="C960" s="7" t="s">
        <v>47</v>
      </c>
      <c r="D960" s="8">
        <v>41990</v>
      </c>
      <c r="E960" s="8">
        <v>41990</v>
      </c>
      <c r="F960" s="9">
        <v>363.8</v>
      </c>
    </row>
    <row r="961" spans="1:6" x14ac:dyDescent="0.25">
      <c r="A961" s="10" t="s">
        <v>54</v>
      </c>
      <c r="B961" s="11" t="s">
        <v>121</v>
      </c>
      <c r="C961" s="11" t="s">
        <v>17</v>
      </c>
      <c r="D961" s="12">
        <v>41990</v>
      </c>
      <c r="E961" s="12">
        <v>41990</v>
      </c>
      <c r="F961" s="13">
        <v>501.5</v>
      </c>
    </row>
    <row r="962" spans="1:6" x14ac:dyDescent="0.25">
      <c r="A962" s="6" t="s">
        <v>6</v>
      </c>
      <c r="B962" s="7" t="s">
        <v>45</v>
      </c>
      <c r="C962" s="7" t="s">
        <v>19</v>
      </c>
      <c r="D962" s="8">
        <v>41990</v>
      </c>
      <c r="E962" s="8">
        <v>41990</v>
      </c>
      <c r="F962" s="9">
        <v>513.4</v>
      </c>
    </row>
    <row r="963" spans="1:6" x14ac:dyDescent="0.25">
      <c r="A963" s="10" t="s">
        <v>25</v>
      </c>
      <c r="B963" s="11" t="s">
        <v>67</v>
      </c>
      <c r="C963" s="11" t="s">
        <v>47</v>
      </c>
      <c r="D963" s="12">
        <v>41991</v>
      </c>
      <c r="E963" s="12">
        <v>41991</v>
      </c>
      <c r="F963" s="13">
        <v>363.8</v>
      </c>
    </row>
    <row r="964" spans="1:6" x14ac:dyDescent="0.25">
      <c r="A964" s="6" t="s">
        <v>126</v>
      </c>
      <c r="B964" s="7" t="s">
        <v>127</v>
      </c>
      <c r="C964" s="7" t="s">
        <v>47</v>
      </c>
      <c r="D964" s="8">
        <v>41991</v>
      </c>
      <c r="E964" s="8">
        <v>41991</v>
      </c>
      <c r="F964" s="9">
        <v>363.8</v>
      </c>
    </row>
    <row r="965" spans="1:6" x14ac:dyDescent="0.25">
      <c r="A965" s="10" t="s">
        <v>134</v>
      </c>
      <c r="B965" s="11" t="s">
        <v>149</v>
      </c>
      <c r="C965" s="11" t="s">
        <v>24</v>
      </c>
      <c r="D965" s="12">
        <v>41991</v>
      </c>
      <c r="E965" s="12">
        <v>41991</v>
      </c>
      <c r="F965" s="13">
        <v>290.7</v>
      </c>
    </row>
    <row r="966" spans="1:6" x14ac:dyDescent="0.25">
      <c r="A966" s="6" t="s">
        <v>15</v>
      </c>
      <c r="B966" s="7" t="s">
        <v>16</v>
      </c>
      <c r="C966" s="7" t="s">
        <v>30</v>
      </c>
      <c r="D966" s="8">
        <v>41991</v>
      </c>
      <c r="E966" s="8">
        <v>41992</v>
      </c>
      <c r="F966" s="9">
        <v>331.5</v>
      </c>
    </row>
    <row r="967" spans="1:6" x14ac:dyDescent="0.25">
      <c r="A967" s="10" t="s">
        <v>20</v>
      </c>
      <c r="B967" s="11" t="s">
        <v>21</v>
      </c>
      <c r="C967" s="11" t="s">
        <v>72</v>
      </c>
      <c r="D967" s="12">
        <v>41991</v>
      </c>
      <c r="E967" s="12">
        <v>41991</v>
      </c>
      <c r="F967" s="13">
        <v>494.7</v>
      </c>
    </row>
    <row r="968" spans="1:6" x14ac:dyDescent="0.25">
      <c r="A968" s="6" t="s">
        <v>25</v>
      </c>
      <c r="B968" s="7" t="s">
        <v>35</v>
      </c>
      <c r="C968" s="7" t="s">
        <v>11</v>
      </c>
      <c r="D968" s="8">
        <v>41992</v>
      </c>
      <c r="E968" s="8">
        <v>41992</v>
      </c>
      <c r="F968" s="9">
        <v>156.4</v>
      </c>
    </row>
    <row r="969" spans="1:6" x14ac:dyDescent="0.25">
      <c r="A969" s="10" t="s">
        <v>151</v>
      </c>
      <c r="B969" s="11" t="s">
        <v>152</v>
      </c>
      <c r="C969" s="11" t="s">
        <v>72</v>
      </c>
      <c r="D969" s="12">
        <v>41992</v>
      </c>
      <c r="E969" s="12">
        <v>41992</v>
      </c>
      <c r="F969" s="13">
        <v>494.7</v>
      </c>
    </row>
    <row r="970" spans="1:6" x14ac:dyDescent="0.25">
      <c r="A970" s="6" t="s">
        <v>6</v>
      </c>
      <c r="B970" s="7" t="s">
        <v>7</v>
      </c>
      <c r="C970" s="7" t="s">
        <v>66</v>
      </c>
      <c r="D970" s="8">
        <v>41993</v>
      </c>
      <c r="E970" s="8">
        <v>41993</v>
      </c>
      <c r="F970" s="9">
        <v>307.7</v>
      </c>
    </row>
    <row r="971" spans="1:6" x14ac:dyDescent="0.25">
      <c r="A971" s="10" t="s">
        <v>15</v>
      </c>
      <c r="B971" s="11" t="s">
        <v>63</v>
      </c>
      <c r="C971" s="11" t="s">
        <v>8</v>
      </c>
      <c r="D971" s="12">
        <v>41993</v>
      </c>
      <c r="E971" s="12">
        <v>41993</v>
      </c>
      <c r="F971" s="13">
        <v>680</v>
      </c>
    </row>
    <row r="972" spans="1:6" x14ac:dyDescent="0.25">
      <c r="A972" s="6" t="s">
        <v>122</v>
      </c>
      <c r="B972" s="7" t="s">
        <v>123</v>
      </c>
      <c r="C972" s="7" t="s">
        <v>27</v>
      </c>
      <c r="D972" s="8">
        <v>41994</v>
      </c>
      <c r="E972" s="8">
        <v>41994</v>
      </c>
      <c r="F972" s="9">
        <v>442</v>
      </c>
    </row>
    <row r="973" spans="1:6" x14ac:dyDescent="0.25">
      <c r="A973" s="10" t="s">
        <v>15</v>
      </c>
      <c r="B973" s="11" t="s">
        <v>46</v>
      </c>
      <c r="C973" s="11" t="s">
        <v>19</v>
      </c>
      <c r="D973" s="12">
        <v>41994</v>
      </c>
      <c r="E973" s="12">
        <v>41994</v>
      </c>
      <c r="F973" s="13">
        <v>513.4</v>
      </c>
    </row>
    <row r="974" spans="1:6" x14ac:dyDescent="0.25">
      <c r="A974" s="6" t="s">
        <v>57</v>
      </c>
      <c r="B974" s="7" t="s">
        <v>163</v>
      </c>
      <c r="C974" s="7" t="s">
        <v>8</v>
      </c>
      <c r="D974" s="8">
        <v>41994</v>
      </c>
      <c r="E974" s="8">
        <v>41994</v>
      </c>
      <c r="F974" s="9">
        <v>680</v>
      </c>
    </row>
    <row r="975" spans="1:6" x14ac:dyDescent="0.25">
      <c r="A975" s="10" t="s">
        <v>22</v>
      </c>
      <c r="B975" s="11" t="s">
        <v>172</v>
      </c>
      <c r="C975" s="11" t="s">
        <v>17</v>
      </c>
      <c r="D975" s="12">
        <v>41994</v>
      </c>
      <c r="E975" s="12">
        <v>41994</v>
      </c>
      <c r="F975" s="13">
        <v>501.5</v>
      </c>
    </row>
    <row r="976" spans="1:6" x14ac:dyDescent="0.25">
      <c r="A976" s="6" t="s">
        <v>50</v>
      </c>
      <c r="B976" s="7" t="s">
        <v>51</v>
      </c>
      <c r="C976" s="7" t="s">
        <v>24</v>
      </c>
      <c r="D976" s="8">
        <v>41994</v>
      </c>
      <c r="E976" s="8">
        <v>41994</v>
      </c>
      <c r="F976" s="9">
        <v>290.7</v>
      </c>
    </row>
    <row r="977" spans="1:6" x14ac:dyDescent="0.25">
      <c r="A977" s="10" t="s">
        <v>6</v>
      </c>
      <c r="B977" s="11" t="s">
        <v>56</v>
      </c>
      <c r="C977" s="11" t="s">
        <v>59</v>
      </c>
      <c r="D977" s="12">
        <v>41994</v>
      </c>
      <c r="E977" s="12">
        <v>41995</v>
      </c>
      <c r="F977" s="13">
        <v>601</v>
      </c>
    </row>
    <row r="978" spans="1:6" x14ac:dyDescent="0.25">
      <c r="A978" s="6" t="s">
        <v>143</v>
      </c>
      <c r="B978" s="7" t="s">
        <v>144</v>
      </c>
      <c r="C978" s="7" t="s">
        <v>27</v>
      </c>
      <c r="D978" s="8">
        <v>41994</v>
      </c>
      <c r="E978" s="8">
        <v>41995</v>
      </c>
      <c r="F978" s="9">
        <v>570</v>
      </c>
    </row>
    <row r="979" spans="1:6" x14ac:dyDescent="0.25">
      <c r="A979" s="10" t="s">
        <v>54</v>
      </c>
      <c r="B979" s="11" t="s">
        <v>118</v>
      </c>
      <c r="C979" s="11" t="s">
        <v>30</v>
      </c>
      <c r="D979" s="12">
        <v>41994</v>
      </c>
      <c r="E979" s="12">
        <v>41995</v>
      </c>
      <c r="F979" s="13">
        <v>331.5</v>
      </c>
    </row>
    <row r="980" spans="1:6" x14ac:dyDescent="0.25">
      <c r="A980" s="6" t="s">
        <v>115</v>
      </c>
      <c r="B980" s="7" t="s">
        <v>153</v>
      </c>
      <c r="C980" s="7" t="s">
        <v>17</v>
      </c>
      <c r="D980" s="8">
        <v>41995</v>
      </c>
      <c r="E980" s="8">
        <v>41995</v>
      </c>
      <c r="F980" s="9">
        <v>501.5</v>
      </c>
    </row>
    <row r="981" spans="1:6" x14ac:dyDescent="0.25">
      <c r="A981" s="10" t="s">
        <v>79</v>
      </c>
      <c r="B981" s="11" t="s">
        <v>80</v>
      </c>
      <c r="C981" s="11" t="s">
        <v>47</v>
      </c>
      <c r="D981" s="12">
        <v>41995</v>
      </c>
      <c r="E981" s="12">
        <v>41995</v>
      </c>
      <c r="F981" s="13">
        <v>363.8</v>
      </c>
    </row>
    <row r="982" spans="1:6" x14ac:dyDescent="0.25">
      <c r="A982" s="6" t="s">
        <v>168</v>
      </c>
      <c r="B982" s="7" t="s">
        <v>169</v>
      </c>
      <c r="C982" s="7" t="s">
        <v>66</v>
      </c>
      <c r="D982" s="8">
        <v>41995</v>
      </c>
      <c r="E982" s="8">
        <v>41996</v>
      </c>
      <c r="F982" s="9">
        <v>485.7</v>
      </c>
    </row>
    <row r="983" spans="1:6" x14ac:dyDescent="0.25">
      <c r="A983" s="10" t="s">
        <v>97</v>
      </c>
      <c r="B983" s="11" t="s">
        <v>98</v>
      </c>
      <c r="C983" s="11" t="s">
        <v>24</v>
      </c>
      <c r="D983" s="12">
        <v>41995</v>
      </c>
      <c r="E983" s="12">
        <v>41995</v>
      </c>
      <c r="F983" s="13">
        <v>290.7</v>
      </c>
    </row>
    <row r="984" spans="1:6" x14ac:dyDescent="0.25">
      <c r="A984" s="6" t="s">
        <v>115</v>
      </c>
      <c r="B984" s="7" t="s">
        <v>140</v>
      </c>
      <c r="C984" s="7" t="s">
        <v>11</v>
      </c>
      <c r="D984" s="8">
        <v>41995</v>
      </c>
      <c r="E984" s="8">
        <v>41996</v>
      </c>
      <c r="F984" s="9">
        <v>295.39999999999998</v>
      </c>
    </row>
    <row r="985" spans="1:6" x14ac:dyDescent="0.25">
      <c r="A985" s="10" t="s">
        <v>101</v>
      </c>
      <c r="B985" s="11" t="s">
        <v>102</v>
      </c>
      <c r="C985" s="11" t="s">
        <v>11</v>
      </c>
      <c r="D985" s="12">
        <v>41995</v>
      </c>
      <c r="E985" s="12">
        <v>41995</v>
      </c>
      <c r="F985" s="13">
        <v>156.4</v>
      </c>
    </row>
    <row r="986" spans="1:6" x14ac:dyDescent="0.25">
      <c r="A986" s="6" t="s">
        <v>164</v>
      </c>
      <c r="B986" s="7" t="s">
        <v>165</v>
      </c>
      <c r="C986" s="7" t="s">
        <v>17</v>
      </c>
      <c r="D986" s="8">
        <v>41995</v>
      </c>
      <c r="E986" s="8">
        <v>41995</v>
      </c>
      <c r="F986" s="9">
        <v>501.5</v>
      </c>
    </row>
    <row r="987" spans="1:6" x14ac:dyDescent="0.25">
      <c r="A987" s="10" t="s">
        <v>93</v>
      </c>
      <c r="B987" s="11" t="s">
        <v>106</v>
      </c>
      <c r="C987" s="11" t="s">
        <v>30</v>
      </c>
      <c r="D987" s="12">
        <v>41995</v>
      </c>
      <c r="E987" s="12">
        <v>41995</v>
      </c>
      <c r="F987" s="13">
        <v>212.5</v>
      </c>
    </row>
    <row r="988" spans="1:6" x14ac:dyDescent="0.25">
      <c r="A988" s="6" t="s">
        <v>134</v>
      </c>
      <c r="B988" s="7" t="s">
        <v>149</v>
      </c>
      <c r="C988" s="7" t="s">
        <v>17</v>
      </c>
      <c r="D988" s="8">
        <v>41995</v>
      </c>
      <c r="E988" s="8">
        <v>41996</v>
      </c>
      <c r="F988" s="9">
        <v>706.5</v>
      </c>
    </row>
    <row r="989" spans="1:6" x14ac:dyDescent="0.25">
      <c r="A989" s="10" t="s">
        <v>134</v>
      </c>
      <c r="B989" s="11" t="s">
        <v>149</v>
      </c>
      <c r="C989" s="11" t="s">
        <v>27</v>
      </c>
      <c r="D989" s="12">
        <v>41995</v>
      </c>
      <c r="E989" s="12">
        <v>41995</v>
      </c>
      <c r="F989" s="13">
        <v>442</v>
      </c>
    </row>
    <row r="990" spans="1:6" x14ac:dyDescent="0.25">
      <c r="A990" s="6" t="s">
        <v>109</v>
      </c>
      <c r="B990" s="7" t="s">
        <v>110</v>
      </c>
      <c r="C990" s="7" t="s">
        <v>30</v>
      </c>
      <c r="D990" s="8">
        <v>41995</v>
      </c>
      <c r="E990" s="8">
        <v>41996</v>
      </c>
      <c r="F990" s="9">
        <v>331.5</v>
      </c>
    </row>
    <row r="991" spans="1:6" x14ac:dyDescent="0.25">
      <c r="A991" s="10" t="s">
        <v>93</v>
      </c>
      <c r="B991" s="11" t="s">
        <v>94</v>
      </c>
      <c r="C991" s="11" t="s">
        <v>38</v>
      </c>
      <c r="D991" s="12">
        <v>41995</v>
      </c>
      <c r="E991" s="12">
        <v>41995</v>
      </c>
      <c r="F991" s="13">
        <v>278.8</v>
      </c>
    </row>
    <row r="992" spans="1:6" x14ac:dyDescent="0.25">
      <c r="A992" s="6" t="s">
        <v>12</v>
      </c>
      <c r="B992" s="7" t="s">
        <v>95</v>
      </c>
      <c r="C992" s="7" t="s">
        <v>19</v>
      </c>
      <c r="D992" s="8">
        <v>41995</v>
      </c>
      <c r="E992" s="8">
        <v>41996</v>
      </c>
      <c r="F992" s="9">
        <v>654.4</v>
      </c>
    </row>
    <row r="993" spans="1:6" x14ac:dyDescent="0.25">
      <c r="A993" s="10" t="s">
        <v>131</v>
      </c>
      <c r="B993" s="11" t="s">
        <v>132</v>
      </c>
      <c r="C993" s="11" t="s">
        <v>14</v>
      </c>
      <c r="D993" s="12">
        <v>41995</v>
      </c>
      <c r="E993" s="12">
        <v>41995</v>
      </c>
      <c r="F993" s="13">
        <v>178.5</v>
      </c>
    </row>
    <row r="994" spans="1:6" x14ac:dyDescent="0.25">
      <c r="A994" s="6" t="s">
        <v>131</v>
      </c>
      <c r="B994" s="7" t="s">
        <v>154</v>
      </c>
      <c r="C994" s="7" t="s">
        <v>11</v>
      </c>
      <c r="D994" s="8">
        <v>42001</v>
      </c>
      <c r="E994" s="8">
        <v>42002</v>
      </c>
      <c r="F994" s="9">
        <v>295.39999999999998</v>
      </c>
    </row>
    <row r="995" spans="1:6" x14ac:dyDescent="0.25">
      <c r="A995" s="10" t="s">
        <v>9</v>
      </c>
      <c r="B995" s="11" t="s">
        <v>103</v>
      </c>
      <c r="C995" s="11" t="s">
        <v>24</v>
      </c>
      <c r="D995" s="12">
        <v>42001</v>
      </c>
      <c r="E995" s="12">
        <v>42003</v>
      </c>
      <c r="F995" s="13">
        <v>588.70000000000005</v>
      </c>
    </row>
    <row r="996" spans="1:6" x14ac:dyDescent="0.25">
      <c r="A996" s="6" t="s">
        <v>28</v>
      </c>
      <c r="B996" s="7" t="s">
        <v>60</v>
      </c>
      <c r="C996" s="7" t="s">
        <v>59</v>
      </c>
      <c r="D996" s="8">
        <v>42002</v>
      </c>
      <c r="E996" s="8">
        <v>42003</v>
      </c>
      <c r="F996" s="9">
        <v>601</v>
      </c>
    </row>
    <row r="997" spans="1:6" x14ac:dyDescent="0.25">
      <c r="A997" s="10" t="s">
        <v>6</v>
      </c>
      <c r="B997" s="11" t="s">
        <v>56</v>
      </c>
      <c r="C997" s="11" t="s">
        <v>72</v>
      </c>
      <c r="D997" s="12">
        <v>42002</v>
      </c>
      <c r="E997" s="12">
        <v>42002</v>
      </c>
      <c r="F997" s="13">
        <v>494.7</v>
      </c>
    </row>
    <row r="998" spans="1:6" x14ac:dyDescent="0.25">
      <c r="A998" s="6" t="s">
        <v>115</v>
      </c>
      <c r="B998" s="7" t="s">
        <v>140</v>
      </c>
      <c r="C998" s="7" t="s">
        <v>19</v>
      </c>
      <c r="D998" s="8">
        <v>42002</v>
      </c>
      <c r="E998" s="8">
        <v>42002</v>
      </c>
      <c r="F998" s="9">
        <v>513.4</v>
      </c>
    </row>
    <row r="999" spans="1:6" x14ac:dyDescent="0.25">
      <c r="A999" s="10" t="s">
        <v>134</v>
      </c>
      <c r="B999" s="11" t="s">
        <v>149</v>
      </c>
      <c r="C999" s="11" t="s">
        <v>72</v>
      </c>
      <c r="D999" s="12">
        <v>42002</v>
      </c>
      <c r="E999" s="12">
        <v>42002</v>
      </c>
      <c r="F999" s="13">
        <v>494.7</v>
      </c>
    </row>
    <row r="1000" spans="1:6" x14ac:dyDescent="0.25">
      <c r="A1000" s="6" t="s">
        <v>15</v>
      </c>
      <c r="B1000" s="7" t="s">
        <v>16</v>
      </c>
      <c r="C1000" s="7" t="s">
        <v>59</v>
      </c>
      <c r="D1000" s="8">
        <v>42002</v>
      </c>
      <c r="E1000" s="8">
        <v>42002</v>
      </c>
      <c r="F1000" s="9">
        <v>442</v>
      </c>
    </row>
    <row r="1001" spans="1:6" x14ac:dyDescent="0.25">
      <c r="A1001" s="14" t="s">
        <v>86</v>
      </c>
      <c r="B1001" s="15" t="s">
        <v>136</v>
      </c>
      <c r="C1001" s="15" t="s">
        <v>30</v>
      </c>
      <c r="D1001" s="16">
        <v>42002</v>
      </c>
      <c r="E1001" s="16">
        <v>42003</v>
      </c>
      <c r="F1001" s="2">
        <v>331.5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9386-97BF-4168-A844-B5CDC7DFD769}">
  <dimension ref="A1:K1001"/>
  <sheetViews>
    <sheetView zoomScale="190" zoomScaleNormal="190" workbookViewId="0">
      <selection activeCell="K4" sqref="K4"/>
    </sheetView>
  </sheetViews>
  <sheetFormatPr defaultRowHeight="15" x14ac:dyDescent="0.25"/>
  <cols>
    <col min="1" max="1" width="10.140625" bestFit="1" customWidth="1"/>
    <col min="2" max="2" width="13.7109375" bestFit="1" customWidth="1"/>
    <col min="3" max="3" width="9.85546875" bestFit="1" customWidth="1"/>
    <col min="4" max="5" width="10.5703125" bestFit="1" customWidth="1"/>
    <col min="6" max="6" width="12.140625" bestFit="1" customWidth="1"/>
    <col min="8" max="8" width="17.7109375" bestFit="1" customWidth="1"/>
    <col min="9" max="9" width="13.5703125" bestFit="1" customWidth="1"/>
  </cols>
  <sheetData>
    <row r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11" x14ac:dyDescent="0.25">
      <c r="A2" s="6" t="s">
        <v>6</v>
      </c>
      <c r="B2" s="7" t="s">
        <v>7</v>
      </c>
      <c r="C2" s="7" t="s">
        <v>8</v>
      </c>
      <c r="D2" s="8">
        <v>41641</v>
      </c>
      <c r="E2" s="8">
        <v>41642</v>
      </c>
      <c r="F2" s="9">
        <v>891</v>
      </c>
      <c r="H2" s="17" t="s">
        <v>175</v>
      </c>
      <c r="I2" t="s">
        <v>177</v>
      </c>
    </row>
    <row r="3" spans="1:11" x14ac:dyDescent="0.25">
      <c r="A3" s="10" t="s">
        <v>9</v>
      </c>
      <c r="B3" s="11" t="s">
        <v>10</v>
      </c>
      <c r="C3" s="11" t="s">
        <v>11</v>
      </c>
      <c r="D3" s="12">
        <v>41641</v>
      </c>
      <c r="E3" s="12">
        <v>41642</v>
      </c>
      <c r="F3" s="13">
        <v>295.39999999999998</v>
      </c>
      <c r="H3" s="18" t="s">
        <v>174</v>
      </c>
      <c r="I3" s="1">
        <v>1</v>
      </c>
      <c r="K3" t="s">
        <v>178</v>
      </c>
    </row>
    <row r="4" spans="1:11" x14ac:dyDescent="0.25">
      <c r="A4" s="6" t="s">
        <v>12</v>
      </c>
      <c r="B4" s="7" t="s">
        <v>13</v>
      </c>
      <c r="C4" s="7" t="s">
        <v>14</v>
      </c>
      <c r="D4" s="8">
        <v>41641</v>
      </c>
      <c r="E4" s="8">
        <v>41642</v>
      </c>
      <c r="F4" s="9">
        <v>302.5</v>
      </c>
      <c r="H4" s="19" t="s">
        <v>173</v>
      </c>
      <c r="I4" s="1">
        <v>1</v>
      </c>
    </row>
    <row r="5" spans="1:11" x14ac:dyDescent="0.25">
      <c r="A5" s="10" t="s">
        <v>15</v>
      </c>
      <c r="B5" s="11" t="s">
        <v>16</v>
      </c>
      <c r="C5" s="11" t="s">
        <v>17</v>
      </c>
      <c r="D5" s="12">
        <v>41641</v>
      </c>
      <c r="E5" s="12">
        <v>41641</v>
      </c>
      <c r="F5" s="13">
        <v>501.5</v>
      </c>
      <c r="H5" s="18" t="s">
        <v>23</v>
      </c>
      <c r="I5" s="1">
        <v>12</v>
      </c>
    </row>
    <row r="6" spans="1:11" x14ac:dyDescent="0.25">
      <c r="A6" s="6" t="s">
        <v>9</v>
      </c>
      <c r="B6" s="7" t="s">
        <v>18</v>
      </c>
      <c r="C6" s="7" t="s">
        <v>19</v>
      </c>
      <c r="D6" s="8">
        <v>41641</v>
      </c>
      <c r="E6" s="8">
        <v>41642</v>
      </c>
      <c r="F6" s="9">
        <v>654.4</v>
      </c>
      <c r="H6" s="19" t="s">
        <v>22</v>
      </c>
      <c r="I6" s="1">
        <v>12</v>
      </c>
    </row>
    <row r="7" spans="1:11" x14ac:dyDescent="0.25">
      <c r="A7" s="10" t="s">
        <v>20</v>
      </c>
      <c r="B7" s="11" t="s">
        <v>21</v>
      </c>
      <c r="C7" s="11" t="s">
        <v>8</v>
      </c>
      <c r="D7" s="12">
        <v>41641</v>
      </c>
      <c r="E7" s="12">
        <v>41642</v>
      </c>
      <c r="F7" s="13">
        <v>891</v>
      </c>
      <c r="H7" s="18" t="s">
        <v>78</v>
      </c>
      <c r="I7" s="1">
        <v>9</v>
      </c>
    </row>
    <row r="8" spans="1:11" x14ac:dyDescent="0.25">
      <c r="A8" s="6" t="s">
        <v>22</v>
      </c>
      <c r="B8" s="7" t="s">
        <v>23</v>
      </c>
      <c r="C8" s="7" t="s">
        <v>24</v>
      </c>
      <c r="D8" s="8">
        <v>41642</v>
      </c>
      <c r="E8" s="8">
        <v>41643</v>
      </c>
      <c r="F8" s="9">
        <v>439.7</v>
      </c>
      <c r="H8" s="19" t="s">
        <v>31</v>
      </c>
      <c r="I8" s="1">
        <v>9</v>
      </c>
    </row>
    <row r="9" spans="1:11" x14ac:dyDescent="0.25">
      <c r="A9" s="10" t="s">
        <v>25</v>
      </c>
      <c r="B9" s="11" t="s">
        <v>26</v>
      </c>
      <c r="C9" s="11" t="s">
        <v>27</v>
      </c>
      <c r="D9" s="12">
        <v>41642</v>
      </c>
      <c r="E9" s="12">
        <v>41645</v>
      </c>
      <c r="F9" s="13">
        <v>826</v>
      </c>
      <c r="H9" s="18" t="s">
        <v>44</v>
      </c>
      <c r="I9" s="1">
        <v>10</v>
      </c>
    </row>
    <row r="10" spans="1:11" x14ac:dyDescent="0.25">
      <c r="A10" s="6" t="s">
        <v>28</v>
      </c>
      <c r="B10" s="7" t="s">
        <v>29</v>
      </c>
      <c r="C10" s="7" t="s">
        <v>30</v>
      </c>
      <c r="D10" s="8">
        <v>41642</v>
      </c>
      <c r="E10" s="8">
        <v>41643</v>
      </c>
      <c r="F10" s="9">
        <v>331.5</v>
      </c>
      <c r="H10" s="19" t="s">
        <v>15</v>
      </c>
      <c r="I10" s="1">
        <v>10</v>
      </c>
    </row>
    <row r="11" spans="1:11" x14ac:dyDescent="0.25">
      <c r="A11" s="10" t="s">
        <v>31</v>
      </c>
      <c r="B11" s="11" t="s">
        <v>32</v>
      </c>
      <c r="C11" s="11" t="s">
        <v>24</v>
      </c>
      <c r="D11" s="12">
        <v>41642</v>
      </c>
      <c r="E11" s="12">
        <v>41643</v>
      </c>
      <c r="F11" s="13">
        <v>439.7</v>
      </c>
      <c r="H11" s="18" t="s">
        <v>7</v>
      </c>
      <c r="I11" s="1">
        <v>12</v>
      </c>
    </row>
    <row r="12" spans="1:11" x14ac:dyDescent="0.25">
      <c r="A12" s="6" t="s">
        <v>33</v>
      </c>
      <c r="B12" s="7" t="s">
        <v>34</v>
      </c>
      <c r="C12" s="7" t="s">
        <v>30</v>
      </c>
      <c r="D12" s="8">
        <v>41642</v>
      </c>
      <c r="E12" s="8">
        <v>41644</v>
      </c>
      <c r="F12" s="9">
        <v>450.5</v>
      </c>
      <c r="H12" s="19" t="s">
        <v>6</v>
      </c>
      <c r="I12" s="1">
        <v>12</v>
      </c>
    </row>
    <row r="13" spans="1:11" x14ac:dyDescent="0.25">
      <c r="A13" s="10" t="s">
        <v>25</v>
      </c>
      <c r="B13" s="11" t="s">
        <v>35</v>
      </c>
      <c r="C13" s="11" t="s">
        <v>14</v>
      </c>
      <c r="D13" s="12">
        <v>41642</v>
      </c>
      <c r="E13" s="12">
        <v>41642</v>
      </c>
      <c r="F13" s="13">
        <v>178.5</v>
      </c>
      <c r="H13" s="18" t="s">
        <v>153</v>
      </c>
      <c r="I13" s="1">
        <v>9</v>
      </c>
    </row>
    <row r="14" spans="1:11" x14ac:dyDescent="0.25">
      <c r="A14" s="6" t="s">
        <v>36</v>
      </c>
      <c r="B14" s="7" t="s">
        <v>37</v>
      </c>
      <c r="C14" s="7" t="s">
        <v>38</v>
      </c>
      <c r="D14" s="8">
        <v>41642</v>
      </c>
      <c r="E14" s="8">
        <v>41643</v>
      </c>
      <c r="F14" s="9">
        <v>407.8</v>
      </c>
      <c r="H14" s="19" t="s">
        <v>115</v>
      </c>
      <c r="I14" s="1">
        <v>9</v>
      </c>
    </row>
    <row r="15" spans="1:11" x14ac:dyDescent="0.25">
      <c r="A15" s="10" t="s">
        <v>39</v>
      </c>
      <c r="B15" s="11" t="s">
        <v>40</v>
      </c>
      <c r="C15" s="11" t="s">
        <v>27</v>
      </c>
      <c r="D15" s="12">
        <v>41642</v>
      </c>
      <c r="E15" s="12">
        <v>41642</v>
      </c>
      <c r="F15" s="13">
        <v>442</v>
      </c>
      <c r="H15" s="18" t="s">
        <v>141</v>
      </c>
      <c r="I15" s="1">
        <v>7</v>
      </c>
    </row>
    <row r="16" spans="1:11" x14ac:dyDescent="0.25">
      <c r="A16" s="6" t="s">
        <v>6</v>
      </c>
      <c r="B16" s="7" t="s">
        <v>7</v>
      </c>
      <c r="C16" s="7" t="s">
        <v>24</v>
      </c>
      <c r="D16" s="8">
        <v>41643</v>
      </c>
      <c r="E16" s="8">
        <v>41644</v>
      </c>
      <c r="F16" s="9">
        <v>439.7</v>
      </c>
      <c r="H16" s="19" t="s">
        <v>33</v>
      </c>
      <c r="I16" s="1">
        <v>7</v>
      </c>
    </row>
    <row r="17" spans="1:9" x14ac:dyDescent="0.25">
      <c r="A17" s="10" t="s">
        <v>33</v>
      </c>
      <c r="B17" s="11" t="s">
        <v>41</v>
      </c>
      <c r="C17" s="11" t="s">
        <v>30</v>
      </c>
      <c r="D17" s="12">
        <v>41643</v>
      </c>
      <c r="E17" s="12">
        <v>41644</v>
      </c>
      <c r="F17" s="13">
        <v>331.5</v>
      </c>
      <c r="H17" s="18" t="s">
        <v>49</v>
      </c>
      <c r="I17" s="1">
        <v>8</v>
      </c>
    </row>
    <row r="18" spans="1:9" x14ac:dyDescent="0.25">
      <c r="A18" s="6" t="s">
        <v>42</v>
      </c>
      <c r="B18" s="7" t="s">
        <v>43</v>
      </c>
      <c r="C18" s="7" t="s">
        <v>19</v>
      </c>
      <c r="D18" s="8">
        <v>41643</v>
      </c>
      <c r="E18" s="8">
        <v>41643</v>
      </c>
      <c r="F18" s="9">
        <v>513.4</v>
      </c>
      <c r="H18" s="19" t="s">
        <v>48</v>
      </c>
      <c r="I18" s="1">
        <v>8</v>
      </c>
    </row>
    <row r="19" spans="1:9" x14ac:dyDescent="0.25">
      <c r="A19" s="10" t="s">
        <v>15</v>
      </c>
      <c r="B19" s="11" t="s">
        <v>44</v>
      </c>
      <c r="C19" s="11" t="s">
        <v>17</v>
      </c>
      <c r="D19" s="12">
        <v>41644</v>
      </c>
      <c r="E19" s="12">
        <v>41644</v>
      </c>
      <c r="F19" s="13">
        <v>501.5</v>
      </c>
      <c r="H19" s="18" t="s">
        <v>55</v>
      </c>
      <c r="I19" s="1">
        <v>8</v>
      </c>
    </row>
    <row r="20" spans="1:9" x14ac:dyDescent="0.25">
      <c r="A20" s="6" t="s">
        <v>6</v>
      </c>
      <c r="B20" s="7" t="s">
        <v>45</v>
      </c>
      <c r="C20" s="7" t="s">
        <v>27</v>
      </c>
      <c r="D20" s="8">
        <v>41644</v>
      </c>
      <c r="E20" s="8">
        <v>41644</v>
      </c>
      <c r="F20" s="9">
        <v>442</v>
      </c>
      <c r="H20" s="19" t="s">
        <v>54</v>
      </c>
      <c r="I20" s="1">
        <v>8</v>
      </c>
    </row>
    <row r="21" spans="1:9" x14ac:dyDescent="0.25">
      <c r="A21" s="10" t="s">
        <v>15</v>
      </c>
      <c r="B21" s="11" t="s">
        <v>46</v>
      </c>
      <c r="C21" s="11" t="s">
        <v>47</v>
      </c>
      <c r="D21" s="12">
        <v>41645</v>
      </c>
      <c r="E21" s="12">
        <v>41645</v>
      </c>
      <c r="F21" s="13">
        <v>363.8</v>
      </c>
      <c r="H21" s="18" t="s">
        <v>139</v>
      </c>
      <c r="I21" s="1">
        <v>10</v>
      </c>
    </row>
    <row r="22" spans="1:9" x14ac:dyDescent="0.25">
      <c r="A22" s="6" t="s">
        <v>48</v>
      </c>
      <c r="B22" s="7" t="s">
        <v>49</v>
      </c>
      <c r="C22" s="7" t="s">
        <v>11</v>
      </c>
      <c r="D22" s="8">
        <v>41646</v>
      </c>
      <c r="E22" s="8">
        <v>41646</v>
      </c>
      <c r="F22" s="9">
        <v>156.4</v>
      </c>
      <c r="H22" s="19" t="s">
        <v>6</v>
      </c>
      <c r="I22" s="1">
        <v>10</v>
      </c>
    </row>
    <row r="23" spans="1:9" x14ac:dyDescent="0.25">
      <c r="A23" s="10" t="s">
        <v>50</v>
      </c>
      <c r="B23" s="11" t="s">
        <v>51</v>
      </c>
      <c r="C23" s="11" t="s">
        <v>38</v>
      </c>
      <c r="D23" s="12">
        <v>41646</v>
      </c>
      <c r="E23" s="12">
        <v>41646</v>
      </c>
      <c r="F23" s="13">
        <v>278.8</v>
      </c>
      <c r="H23" s="18" t="s">
        <v>123</v>
      </c>
      <c r="I23" s="1">
        <v>13</v>
      </c>
    </row>
    <row r="24" spans="1:9" x14ac:dyDescent="0.25">
      <c r="A24" s="6" t="s">
        <v>33</v>
      </c>
      <c r="B24" s="7" t="s">
        <v>41</v>
      </c>
      <c r="C24" s="7" t="s">
        <v>14</v>
      </c>
      <c r="D24" s="8">
        <v>41646</v>
      </c>
      <c r="E24" s="8">
        <v>41646</v>
      </c>
      <c r="F24" s="9">
        <v>178.5</v>
      </c>
      <c r="H24" s="19" t="s">
        <v>122</v>
      </c>
      <c r="I24" s="1">
        <v>13</v>
      </c>
    </row>
    <row r="25" spans="1:9" x14ac:dyDescent="0.25">
      <c r="A25" s="10" t="s">
        <v>25</v>
      </c>
      <c r="B25" s="11" t="s">
        <v>35</v>
      </c>
      <c r="C25" s="11" t="s">
        <v>30</v>
      </c>
      <c r="D25" s="12">
        <v>41646</v>
      </c>
      <c r="E25" s="12">
        <v>41646</v>
      </c>
      <c r="F25" s="13">
        <v>212.5</v>
      </c>
      <c r="H25" s="18" t="s">
        <v>46</v>
      </c>
      <c r="I25" s="1">
        <v>10</v>
      </c>
    </row>
    <row r="26" spans="1:9" x14ac:dyDescent="0.25">
      <c r="A26" s="6" t="s">
        <v>52</v>
      </c>
      <c r="B26" s="7" t="s">
        <v>53</v>
      </c>
      <c r="C26" s="7" t="s">
        <v>24</v>
      </c>
      <c r="D26" s="8">
        <v>41646</v>
      </c>
      <c r="E26" s="8">
        <v>41646</v>
      </c>
      <c r="F26" s="9">
        <v>290.7</v>
      </c>
      <c r="H26" s="19" t="s">
        <v>15</v>
      </c>
      <c r="I26" s="1">
        <v>10</v>
      </c>
    </row>
    <row r="27" spans="1:9" x14ac:dyDescent="0.25">
      <c r="A27" s="10" t="s">
        <v>54</v>
      </c>
      <c r="B27" s="11" t="s">
        <v>55</v>
      </c>
      <c r="C27" s="11" t="s">
        <v>19</v>
      </c>
      <c r="D27" s="12">
        <v>41647</v>
      </c>
      <c r="E27" s="12">
        <v>41647</v>
      </c>
      <c r="F27" s="13">
        <v>513.4</v>
      </c>
      <c r="H27" s="18" t="s">
        <v>129</v>
      </c>
      <c r="I27" s="1">
        <v>8</v>
      </c>
    </row>
    <row r="28" spans="1:9" x14ac:dyDescent="0.25">
      <c r="A28" s="6" t="s">
        <v>6</v>
      </c>
      <c r="B28" s="7" t="s">
        <v>56</v>
      </c>
      <c r="C28" s="7" t="s">
        <v>19</v>
      </c>
      <c r="D28" s="8">
        <v>41647</v>
      </c>
      <c r="E28" s="8">
        <v>41647</v>
      </c>
      <c r="F28" s="9">
        <v>513.4</v>
      </c>
      <c r="H28" s="19" t="s">
        <v>128</v>
      </c>
      <c r="I28" s="1">
        <v>8</v>
      </c>
    </row>
    <row r="29" spans="1:9" x14ac:dyDescent="0.25">
      <c r="A29" s="10" t="s">
        <v>57</v>
      </c>
      <c r="B29" s="11" t="s">
        <v>58</v>
      </c>
      <c r="C29" s="11" t="s">
        <v>59</v>
      </c>
      <c r="D29" s="12">
        <v>41647</v>
      </c>
      <c r="E29" s="12">
        <v>41647</v>
      </c>
      <c r="F29" s="13">
        <v>442</v>
      </c>
      <c r="H29" s="18" t="s">
        <v>124</v>
      </c>
      <c r="I29" s="1">
        <v>16</v>
      </c>
    </row>
    <row r="30" spans="1:9" x14ac:dyDescent="0.25">
      <c r="A30" s="6" t="s">
        <v>28</v>
      </c>
      <c r="B30" s="7" t="s">
        <v>60</v>
      </c>
      <c r="C30" s="7" t="s">
        <v>11</v>
      </c>
      <c r="D30" s="8">
        <v>41648</v>
      </c>
      <c r="E30" s="8">
        <v>41652</v>
      </c>
      <c r="F30" s="9">
        <v>712.4</v>
      </c>
      <c r="H30" s="19" t="s">
        <v>93</v>
      </c>
      <c r="I30" s="1">
        <v>16</v>
      </c>
    </row>
    <row r="31" spans="1:9" x14ac:dyDescent="0.25">
      <c r="A31" s="10" t="s">
        <v>61</v>
      </c>
      <c r="B31" s="11" t="s">
        <v>62</v>
      </c>
      <c r="C31" s="11" t="s">
        <v>17</v>
      </c>
      <c r="D31" s="12">
        <v>41648</v>
      </c>
      <c r="E31" s="12">
        <v>41651</v>
      </c>
      <c r="F31" s="13">
        <v>1116.5</v>
      </c>
      <c r="H31" s="18" t="s">
        <v>154</v>
      </c>
      <c r="I31" s="1">
        <v>12</v>
      </c>
    </row>
    <row r="32" spans="1:9" x14ac:dyDescent="0.25">
      <c r="A32" s="6" t="s">
        <v>15</v>
      </c>
      <c r="B32" s="7" t="s">
        <v>63</v>
      </c>
      <c r="C32" s="7" t="s">
        <v>11</v>
      </c>
      <c r="D32" s="8">
        <v>41648</v>
      </c>
      <c r="E32" s="8">
        <v>41649</v>
      </c>
      <c r="F32" s="9">
        <v>295.39999999999998</v>
      </c>
      <c r="H32" s="19" t="s">
        <v>131</v>
      </c>
      <c r="I32" s="1">
        <v>12</v>
      </c>
    </row>
    <row r="33" spans="1:9" x14ac:dyDescent="0.25">
      <c r="A33" s="10" t="s">
        <v>64</v>
      </c>
      <c r="B33" s="11" t="s">
        <v>65</v>
      </c>
      <c r="C33" s="11" t="s">
        <v>66</v>
      </c>
      <c r="D33" s="12">
        <v>41648</v>
      </c>
      <c r="E33" s="12">
        <v>41649</v>
      </c>
      <c r="F33" s="13">
        <v>485.7</v>
      </c>
      <c r="H33" s="18" t="s">
        <v>80</v>
      </c>
      <c r="I33" s="1">
        <v>6</v>
      </c>
    </row>
    <row r="34" spans="1:9" x14ac:dyDescent="0.25">
      <c r="A34" s="6" t="s">
        <v>25</v>
      </c>
      <c r="B34" s="7" t="s">
        <v>67</v>
      </c>
      <c r="C34" s="7" t="s">
        <v>38</v>
      </c>
      <c r="D34" s="8">
        <v>41649</v>
      </c>
      <c r="E34" s="8">
        <v>41649</v>
      </c>
      <c r="F34" s="9">
        <v>278.8</v>
      </c>
      <c r="H34" s="19" t="s">
        <v>79</v>
      </c>
      <c r="I34" s="1">
        <v>6</v>
      </c>
    </row>
    <row r="35" spans="1:9" x14ac:dyDescent="0.25">
      <c r="A35" s="10" t="s">
        <v>25</v>
      </c>
      <c r="B35" s="11" t="s">
        <v>68</v>
      </c>
      <c r="C35" s="11" t="s">
        <v>59</v>
      </c>
      <c r="D35" s="12">
        <v>41649</v>
      </c>
      <c r="E35" s="12">
        <v>41649</v>
      </c>
      <c r="F35" s="13">
        <v>442</v>
      </c>
      <c r="H35" s="18" t="s">
        <v>163</v>
      </c>
      <c r="I35" s="1">
        <v>6</v>
      </c>
    </row>
    <row r="36" spans="1:9" x14ac:dyDescent="0.25">
      <c r="A36" s="6" t="s">
        <v>9</v>
      </c>
      <c r="B36" s="7" t="s">
        <v>69</v>
      </c>
      <c r="C36" s="7" t="s">
        <v>8</v>
      </c>
      <c r="D36" s="8">
        <v>41649</v>
      </c>
      <c r="E36" s="8">
        <v>41649</v>
      </c>
      <c r="F36" s="9">
        <v>680</v>
      </c>
      <c r="H36" s="19" t="s">
        <v>57</v>
      </c>
      <c r="I36" s="1">
        <v>6</v>
      </c>
    </row>
    <row r="37" spans="1:9" x14ac:dyDescent="0.25">
      <c r="A37" s="10" t="s">
        <v>52</v>
      </c>
      <c r="B37" s="11" t="s">
        <v>53</v>
      </c>
      <c r="C37" s="11" t="s">
        <v>47</v>
      </c>
      <c r="D37" s="12">
        <v>41649</v>
      </c>
      <c r="E37" s="12">
        <v>41649</v>
      </c>
      <c r="F37" s="13">
        <v>363.8</v>
      </c>
      <c r="H37" s="18" t="s">
        <v>81</v>
      </c>
      <c r="I37" s="1">
        <v>10</v>
      </c>
    </row>
    <row r="38" spans="1:9" x14ac:dyDescent="0.25">
      <c r="A38" s="6" t="s">
        <v>22</v>
      </c>
      <c r="B38" s="7" t="s">
        <v>23</v>
      </c>
      <c r="C38" s="7" t="s">
        <v>59</v>
      </c>
      <c r="D38" s="8">
        <v>41651</v>
      </c>
      <c r="E38" s="8">
        <v>41651</v>
      </c>
      <c r="F38" s="9">
        <v>442</v>
      </c>
      <c r="H38" s="19" t="s">
        <v>54</v>
      </c>
      <c r="I38" s="1">
        <v>10</v>
      </c>
    </row>
    <row r="39" spans="1:9" x14ac:dyDescent="0.25">
      <c r="A39" s="10" t="s">
        <v>15</v>
      </c>
      <c r="B39" s="11" t="s">
        <v>46</v>
      </c>
      <c r="C39" s="11" t="s">
        <v>14</v>
      </c>
      <c r="D39" s="12">
        <v>41652</v>
      </c>
      <c r="E39" s="12">
        <v>41655</v>
      </c>
      <c r="F39" s="13">
        <v>550.5</v>
      </c>
      <c r="H39" s="18" t="s">
        <v>172</v>
      </c>
      <c r="I39" s="1">
        <v>15</v>
      </c>
    </row>
    <row r="40" spans="1:9" x14ac:dyDescent="0.25">
      <c r="A40" s="6" t="s">
        <v>70</v>
      </c>
      <c r="B40" s="7" t="s">
        <v>71</v>
      </c>
      <c r="C40" s="7" t="s">
        <v>27</v>
      </c>
      <c r="D40" s="8">
        <v>41652</v>
      </c>
      <c r="E40" s="8">
        <v>41652</v>
      </c>
      <c r="F40" s="9">
        <v>442</v>
      </c>
      <c r="H40" s="19" t="s">
        <v>22</v>
      </c>
      <c r="I40" s="1">
        <v>15</v>
      </c>
    </row>
    <row r="41" spans="1:9" x14ac:dyDescent="0.25">
      <c r="A41" s="10" t="s">
        <v>25</v>
      </c>
      <c r="B41" s="11" t="s">
        <v>68</v>
      </c>
      <c r="C41" s="11" t="s">
        <v>72</v>
      </c>
      <c r="D41" s="12">
        <v>41652</v>
      </c>
      <c r="E41" s="12">
        <v>41652</v>
      </c>
      <c r="F41" s="13">
        <v>494.7</v>
      </c>
      <c r="H41" s="18" t="s">
        <v>142</v>
      </c>
      <c r="I41" s="1">
        <v>10</v>
      </c>
    </row>
    <row r="42" spans="1:9" x14ac:dyDescent="0.25">
      <c r="A42" s="6" t="s">
        <v>73</v>
      </c>
      <c r="B42" s="7" t="s">
        <v>74</v>
      </c>
      <c r="C42" s="7" t="s">
        <v>27</v>
      </c>
      <c r="D42" s="8">
        <v>41652</v>
      </c>
      <c r="E42" s="8">
        <v>41653</v>
      </c>
      <c r="F42" s="9">
        <v>570</v>
      </c>
      <c r="H42" s="19" t="s">
        <v>131</v>
      </c>
      <c r="I42" s="1">
        <v>10</v>
      </c>
    </row>
    <row r="43" spans="1:9" x14ac:dyDescent="0.25">
      <c r="A43" s="10" t="s">
        <v>75</v>
      </c>
      <c r="B43" s="11" t="s">
        <v>76</v>
      </c>
      <c r="C43" s="11" t="s">
        <v>47</v>
      </c>
      <c r="D43" s="12">
        <v>41652</v>
      </c>
      <c r="E43" s="12">
        <v>41653</v>
      </c>
      <c r="F43" s="13">
        <v>526.79999999999995</v>
      </c>
      <c r="H43" s="18" t="s">
        <v>83</v>
      </c>
      <c r="I43" s="1">
        <v>9</v>
      </c>
    </row>
    <row r="44" spans="1:9" x14ac:dyDescent="0.25">
      <c r="A44" s="6" t="s">
        <v>31</v>
      </c>
      <c r="B44" s="7" t="s">
        <v>77</v>
      </c>
      <c r="C44" s="7" t="s">
        <v>38</v>
      </c>
      <c r="D44" s="8">
        <v>41652</v>
      </c>
      <c r="E44" s="8">
        <v>41652</v>
      </c>
      <c r="F44" s="9">
        <v>278.8</v>
      </c>
      <c r="H44" s="19" t="s">
        <v>82</v>
      </c>
      <c r="I44" s="1">
        <v>9</v>
      </c>
    </row>
    <row r="45" spans="1:9" x14ac:dyDescent="0.25">
      <c r="A45" s="10" t="s">
        <v>22</v>
      </c>
      <c r="B45" s="11" t="s">
        <v>23</v>
      </c>
      <c r="C45" s="11" t="s">
        <v>38</v>
      </c>
      <c r="D45" s="12">
        <v>41653</v>
      </c>
      <c r="E45" s="12">
        <v>41656</v>
      </c>
      <c r="F45" s="13">
        <v>665.8</v>
      </c>
      <c r="H45" s="18" t="s">
        <v>133</v>
      </c>
      <c r="I45" s="1">
        <v>7</v>
      </c>
    </row>
    <row r="46" spans="1:9" x14ac:dyDescent="0.25">
      <c r="A46" s="6" t="s">
        <v>31</v>
      </c>
      <c r="B46" s="7" t="s">
        <v>78</v>
      </c>
      <c r="C46" s="7" t="s">
        <v>27</v>
      </c>
      <c r="D46" s="8">
        <v>41653</v>
      </c>
      <c r="E46" s="8">
        <v>41655</v>
      </c>
      <c r="F46" s="9">
        <v>698</v>
      </c>
      <c r="H46" s="19" t="s">
        <v>54</v>
      </c>
      <c r="I46" s="1">
        <v>7</v>
      </c>
    </row>
    <row r="47" spans="1:9" x14ac:dyDescent="0.25">
      <c r="A47" s="10" t="s">
        <v>48</v>
      </c>
      <c r="B47" s="11" t="s">
        <v>49</v>
      </c>
      <c r="C47" s="11" t="s">
        <v>72</v>
      </c>
      <c r="D47" s="12">
        <v>41653</v>
      </c>
      <c r="E47" s="12">
        <v>41653</v>
      </c>
      <c r="F47" s="13">
        <v>494.7</v>
      </c>
      <c r="H47" s="18" t="s">
        <v>67</v>
      </c>
      <c r="I47" s="1">
        <v>13</v>
      </c>
    </row>
    <row r="48" spans="1:9" x14ac:dyDescent="0.25">
      <c r="A48" s="6" t="s">
        <v>79</v>
      </c>
      <c r="B48" s="7" t="s">
        <v>80</v>
      </c>
      <c r="C48" s="7" t="s">
        <v>27</v>
      </c>
      <c r="D48" s="8">
        <v>41653</v>
      </c>
      <c r="E48" s="8">
        <v>41657</v>
      </c>
      <c r="F48" s="9">
        <v>954</v>
      </c>
      <c r="H48" s="19" t="s">
        <v>25</v>
      </c>
      <c r="I48" s="1">
        <v>13</v>
      </c>
    </row>
    <row r="49" spans="1:9" x14ac:dyDescent="0.25">
      <c r="A49" s="10" t="s">
        <v>54</v>
      </c>
      <c r="B49" s="11" t="s">
        <v>81</v>
      </c>
      <c r="C49" s="11" t="s">
        <v>8</v>
      </c>
      <c r="D49" s="12">
        <v>41653</v>
      </c>
      <c r="E49" s="12">
        <v>41653</v>
      </c>
      <c r="F49" s="13">
        <v>680</v>
      </c>
      <c r="H49" s="18" t="s">
        <v>85</v>
      </c>
      <c r="I49" s="1">
        <v>12</v>
      </c>
    </row>
    <row r="50" spans="1:9" x14ac:dyDescent="0.25">
      <c r="A50" s="6" t="s">
        <v>82</v>
      </c>
      <c r="B50" s="7" t="s">
        <v>83</v>
      </c>
      <c r="C50" s="7" t="s">
        <v>72</v>
      </c>
      <c r="D50" s="8">
        <v>41653</v>
      </c>
      <c r="E50" s="8">
        <v>41657</v>
      </c>
      <c r="F50" s="9">
        <v>1290.7</v>
      </c>
      <c r="H50" s="19" t="s">
        <v>84</v>
      </c>
      <c r="I50" s="1">
        <v>12</v>
      </c>
    </row>
    <row r="51" spans="1:9" x14ac:dyDescent="0.25">
      <c r="A51" s="10" t="s">
        <v>84</v>
      </c>
      <c r="B51" s="11" t="s">
        <v>85</v>
      </c>
      <c r="C51" s="11" t="s">
        <v>24</v>
      </c>
      <c r="D51" s="12">
        <v>41653</v>
      </c>
      <c r="E51" s="12">
        <v>41655</v>
      </c>
      <c r="F51" s="13">
        <v>588.70000000000005</v>
      </c>
      <c r="H51" s="18" t="s">
        <v>150</v>
      </c>
      <c r="I51" s="1">
        <v>8</v>
      </c>
    </row>
    <row r="52" spans="1:9" x14ac:dyDescent="0.25">
      <c r="A52" s="6" t="s">
        <v>31</v>
      </c>
      <c r="B52" s="7" t="s">
        <v>32</v>
      </c>
      <c r="C52" s="7" t="s">
        <v>30</v>
      </c>
      <c r="D52" s="8">
        <v>41653</v>
      </c>
      <c r="E52" s="8">
        <v>41655</v>
      </c>
      <c r="F52" s="9">
        <v>450.5</v>
      </c>
      <c r="H52" s="19" t="s">
        <v>86</v>
      </c>
      <c r="I52" s="1">
        <v>8</v>
      </c>
    </row>
    <row r="53" spans="1:9" x14ac:dyDescent="0.25">
      <c r="A53" s="10" t="s">
        <v>6</v>
      </c>
      <c r="B53" s="11" t="s">
        <v>56</v>
      </c>
      <c r="C53" s="11" t="s">
        <v>30</v>
      </c>
      <c r="D53" s="12">
        <v>41653</v>
      </c>
      <c r="E53" s="12">
        <v>41657</v>
      </c>
      <c r="F53" s="13">
        <v>688.5</v>
      </c>
      <c r="H53" s="18" t="s">
        <v>130</v>
      </c>
      <c r="I53" s="1">
        <v>9</v>
      </c>
    </row>
    <row r="54" spans="1:9" x14ac:dyDescent="0.25">
      <c r="A54" s="6" t="s">
        <v>86</v>
      </c>
      <c r="B54" s="7" t="s">
        <v>87</v>
      </c>
      <c r="C54" s="7" t="s">
        <v>72</v>
      </c>
      <c r="D54" s="8">
        <v>41653</v>
      </c>
      <c r="E54" s="8">
        <v>41654</v>
      </c>
      <c r="F54" s="9">
        <v>693.7</v>
      </c>
      <c r="H54" s="19" t="s">
        <v>99</v>
      </c>
      <c r="I54" s="1">
        <v>9</v>
      </c>
    </row>
    <row r="55" spans="1:9" x14ac:dyDescent="0.25">
      <c r="A55" s="10" t="s">
        <v>75</v>
      </c>
      <c r="B55" s="11" t="s">
        <v>88</v>
      </c>
      <c r="C55" s="11" t="s">
        <v>30</v>
      </c>
      <c r="D55" s="12">
        <v>41653</v>
      </c>
      <c r="E55" s="12">
        <v>41653</v>
      </c>
      <c r="F55" s="13">
        <v>212.5</v>
      </c>
      <c r="H55" s="18" t="s">
        <v>51</v>
      </c>
      <c r="I55" s="1">
        <v>16</v>
      </c>
    </row>
    <row r="56" spans="1:9" x14ac:dyDescent="0.25">
      <c r="A56" s="6" t="s">
        <v>89</v>
      </c>
      <c r="B56" s="7" t="s">
        <v>90</v>
      </c>
      <c r="C56" s="7" t="s">
        <v>8</v>
      </c>
      <c r="D56" s="8">
        <v>41653</v>
      </c>
      <c r="E56" s="8">
        <v>41654</v>
      </c>
      <c r="F56" s="9">
        <v>891</v>
      </c>
      <c r="H56" s="19" t="s">
        <v>50</v>
      </c>
      <c r="I56" s="1">
        <v>16</v>
      </c>
    </row>
    <row r="57" spans="1:9" x14ac:dyDescent="0.25">
      <c r="A57" s="10" t="s">
        <v>39</v>
      </c>
      <c r="B57" s="11" t="s">
        <v>40</v>
      </c>
      <c r="C57" s="11" t="s">
        <v>38</v>
      </c>
      <c r="D57" s="12">
        <v>41653</v>
      </c>
      <c r="E57" s="12">
        <v>41654</v>
      </c>
      <c r="F57" s="13">
        <v>407.8</v>
      </c>
      <c r="H57" s="18" t="s">
        <v>60</v>
      </c>
      <c r="I57" s="1">
        <v>12</v>
      </c>
    </row>
    <row r="58" spans="1:9" x14ac:dyDescent="0.25">
      <c r="A58" s="6" t="s">
        <v>15</v>
      </c>
      <c r="B58" s="7" t="s">
        <v>63</v>
      </c>
      <c r="C58" s="7" t="s">
        <v>19</v>
      </c>
      <c r="D58" s="8">
        <v>41653</v>
      </c>
      <c r="E58" s="8">
        <v>41653</v>
      </c>
      <c r="F58" s="9">
        <v>513.4</v>
      </c>
      <c r="H58" s="19" t="s">
        <v>28</v>
      </c>
      <c r="I58" s="1">
        <v>12</v>
      </c>
    </row>
    <row r="59" spans="1:9" x14ac:dyDescent="0.25">
      <c r="A59" s="10" t="s">
        <v>91</v>
      </c>
      <c r="B59" s="11" t="s">
        <v>92</v>
      </c>
      <c r="C59" s="11" t="s">
        <v>59</v>
      </c>
      <c r="D59" s="12">
        <v>41653</v>
      </c>
      <c r="E59" s="12">
        <v>41655</v>
      </c>
      <c r="F59" s="13">
        <v>760</v>
      </c>
      <c r="H59" s="18" t="s">
        <v>26</v>
      </c>
      <c r="I59" s="1">
        <v>11</v>
      </c>
    </row>
    <row r="60" spans="1:9" x14ac:dyDescent="0.25">
      <c r="A60" s="6" t="s">
        <v>93</v>
      </c>
      <c r="B60" s="7" t="s">
        <v>94</v>
      </c>
      <c r="C60" s="7" t="s">
        <v>47</v>
      </c>
      <c r="D60" s="8">
        <v>41653</v>
      </c>
      <c r="E60" s="8">
        <v>41654</v>
      </c>
      <c r="F60" s="9">
        <v>526.79999999999995</v>
      </c>
      <c r="H60" s="19" t="s">
        <v>25</v>
      </c>
      <c r="I60" s="1">
        <v>11</v>
      </c>
    </row>
    <row r="61" spans="1:9" x14ac:dyDescent="0.25">
      <c r="A61" s="10" t="s">
        <v>12</v>
      </c>
      <c r="B61" s="11" t="s">
        <v>95</v>
      </c>
      <c r="C61" s="11" t="s">
        <v>8</v>
      </c>
      <c r="D61" s="12">
        <v>41653</v>
      </c>
      <c r="E61" s="12">
        <v>41656</v>
      </c>
      <c r="F61" s="13">
        <v>1313</v>
      </c>
      <c r="H61" s="18" t="s">
        <v>29</v>
      </c>
      <c r="I61" s="1">
        <v>7</v>
      </c>
    </row>
    <row r="62" spans="1:9" x14ac:dyDescent="0.25">
      <c r="A62" s="6" t="s">
        <v>15</v>
      </c>
      <c r="B62" s="7" t="s">
        <v>96</v>
      </c>
      <c r="C62" s="7" t="s">
        <v>66</v>
      </c>
      <c r="D62" s="8">
        <v>41653</v>
      </c>
      <c r="E62" s="8">
        <v>41656</v>
      </c>
      <c r="F62" s="9">
        <v>841.7</v>
      </c>
      <c r="H62" s="19" t="s">
        <v>28</v>
      </c>
      <c r="I62" s="1">
        <v>7</v>
      </c>
    </row>
    <row r="63" spans="1:9" x14ac:dyDescent="0.25">
      <c r="A63" s="10" t="s">
        <v>64</v>
      </c>
      <c r="B63" s="11" t="s">
        <v>65</v>
      </c>
      <c r="C63" s="11" t="s">
        <v>38</v>
      </c>
      <c r="D63" s="12">
        <v>41653</v>
      </c>
      <c r="E63" s="12">
        <v>41657</v>
      </c>
      <c r="F63" s="13">
        <v>794.8</v>
      </c>
      <c r="H63" s="18" t="s">
        <v>32</v>
      </c>
      <c r="I63" s="1">
        <v>11</v>
      </c>
    </row>
    <row r="64" spans="1:9" x14ac:dyDescent="0.25">
      <c r="A64" s="6" t="s">
        <v>57</v>
      </c>
      <c r="B64" s="7" t="s">
        <v>58</v>
      </c>
      <c r="C64" s="7" t="s">
        <v>47</v>
      </c>
      <c r="D64" s="8">
        <v>41653</v>
      </c>
      <c r="E64" s="8">
        <v>41656</v>
      </c>
      <c r="F64" s="9">
        <v>852.8</v>
      </c>
      <c r="H64" s="19" t="s">
        <v>31</v>
      </c>
      <c r="I64" s="1">
        <v>11</v>
      </c>
    </row>
    <row r="65" spans="1:9" x14ac:dyDescent="0.25">
      <c r="A65" s="10" t="s">
        <v>50</v>
      </c>
      <c r="B65" s="11" t="s">
        <v>51</v>
      </c>
      <c r="C65" s="11" t="s">
        <v>59</v>
      </c>
      <c r="D65" s="12">
        <v>41654</v>
      </c>
      <c r="E65" s="12">
        <v>41656</v>
      </c>
      <c r="F65" s="13">
        <v>760</v>
      </c>
      <c r="H65" s="18" t="s">
        <v>62</v>
      </c>
      <c r="I65" s="1">
        <v>9</v>
      </c>
    </row>
    <row r="66" spans="1:9" x14ac:dyDescent="0.25">
      <c r="A66" s="6" t="s">
        <v>28</v>
      </c>
      <c r="B66" s="7" t="s">
        <v>60</v>
      </c>
      <c r="C66" s="7" t="s">
        <v>17</v>
      </c>
      <c r="D66" s="8">
        <v>41654</v>
      </c>
      <c r="E66" s="8">
        <v>41657</v>
      </c>
      <c r="F66" s="9">
        <v>1116.5</v>
      </c>
      <c r="H66" s="19" t="s">
        <v>61</v>
      </c>
      <c r="I66" s="1">
        <v>9</v>
      </c>
    </row>
    <row r="67" spans="1:9" x14ac:dyDescent="0.25">
      <c r="A67" s="10" t="s">
        <v>28</v>
      </c>
      <c r="B67" s="11" t="s">
        <v>29</v>
      </c>
      <c r="C67" s="11" t="s">
        <v>11</v>
      </c>
      <c r="D67" s="12">
        <v>41654</v>
      </c>
      <c r="E67" s="12">
        <v>41657</v>
      </c>
      <c r="F67" s="13">
        <v>573.4</v>
      </c>
      <c r="H67" s="18" t="s">
        <v>125</v>
      </c>
      <c r="I67" s="1">
        <v>13</v>
      </c>
    </row>
    <row r="68" spans="1:9" x14ac:dyDescent="0.25">
      <c r="A68" s="6" t="s">
        <v>31</v>
      </c>
      <c r="B68" s="7" t="s">
        <v>32</v>
      </c>
      <c r="C68" s="7" t="s">
        <v>59</v>
      </c>
      <c r="D68" s="8">
        <v>41654</v>
      </c>
      <c r="E68" s="8">
        <v>41656</v>
      </c>
      <c r="F68" s="9">
        <v>760</v>
      </c>
      <c r="H68" s="19" t="s">
        <v>82</v>
      </c>
      <c r="I68" s="1">
        <v>13</v>
      </c>
    </row>
    <row r="69" spans="1:9" x14ac:dyDescent="0.25">
      <c r="A69" s="10" t="s">
        <v>97</v>
      </c>
      <c r="B69" s="11" t="s">
        <v>98</v>
      </c>
      <c r="C69" s="11" t="s">
        <v>8</v>
      </c>
      <c r="D69" s="12">
        <v>41654</v>
      </c>
      <c r="E69" s="12">
        <v>41656</v>
      </c>
      <c r="F69" s="13">
        <v>1102</v>
      </c>
      <c r="H69" s="18" t="s">
        <v>71</v>
      </c>
      <c r="I69" s="1">
        <v>7</v>
      </c>
    </row>
    <row r="70" spans="1:9" x14ac:dyDescent="0.25">
      <c r="A70" s="6" t="s">
        <v>9</v>
      </c>
      <c r="B70" s="7" t="s">
        <v>69</v>
      </c>
      <c r="C70" s="7" t="s">
        <v>19</v>
      </c>
      <c r="D70" s="8">
        <v>41654</v>
      </c>
      <c r="E70" s="8">
        <v>41657</v>
      </c>
      <c r="F70" s="9">
        <v>936.4</v>
      </c>
      <c r="H70" s="19" t="s">
        <v>70</v>
      </c>
      <c r="I70" s="1">
        <v>7</v>
      </c>
    </row>
    <row r="71" spans="1:9" x14ac:dyDescent="0.25">
      <c r="A71" s="10" t="s">
        <v>99</v>
      </c>
      <c r="B71" s="11" t="s">
        <v>100</v>
      </c>
      <c r="C71" s="11" t="s">
        <v>66</v>
      </c>
      <c r="D71" s="12">
        <v>41654</v>
      </c>
      <c r="E71" s="12">
        <v>41658</v>
      </c>
      <c r="F71" s="13">
        <v>1019.7</v>
      </c>
      <c r="H71" s="18" t="s">
        <v>171</v>
      </c>
      <c r="I71" s="1">
        <v>10</v>
      </c>
    </row>
    <row r="72" spans="1:9" x14ac:dyDescent="0.25">
      <c r="A72" s="6" t="s">
        <v>101</v>
      </c>
      <c r="B72" s="7" t="s">
        <v>102</v>
      </c>
      <c r="C72" s="7" t="s">
        <v>72</v>
      </c>
      <c r="D72" s="8">
        <v>41654</v>
      </c>
      <c r="E72" s="8">
        <v>41657</v>
      </c>
      <c r="F72" s="9">
        <v>1091.7</v>
      </c>
      <c r="H72" s="19" t="s">
        <v>170</v>
      </c>
      <c r="I72" s="1">
        <v>10</v>
      </c>
    </row>
    <row r="73" spans="1:9" x14ac:dyDescent="0.25">
      <c r="A73" s="10" t="s">
        <v>9</v>
      </c>
      <c r="B73" s="11" t="s">
        <v>103</v>
      </c>
      <c r="C73" s="11" t="s">
        <v>47</v>
      </c>
      <c r="D73" s="12">
        <v>41654</v>
      </c>
      <c r="E73" s="12">
        <v>41658</v>
      </c>
      <c r="F73" s="13">
        <v>1015.8</v>
      </c>
      <c r="H73" s="18" t="s">
        <v>56</v>
      </c>
      <c r="I73" s="1">
        <v>12</v>
      </c>
    </row>
    <row r="74" spans="1:9" x14ac:dyDescent="0.25">
      <c r="A74" s="6" t="s">
        <v>73</v>
      </c>
      <c r="B74" s="7" t="s">
        <v>104</v>
      </c>
      <c r="C74" s="7" t="s">
        <v>47</v>
      </c>
      <c r="D74" s="8">
        <v>41654</v>
      </c>
      <c r="E74" s="8">
        <v>41655</v>
      </c>
      <c r="F74" s="9">
        <v>526.79999999999995</v>
      </c>
      <c r="H74" s="19" t="s">
        <v>6</v>
      </c>
      <c r="I74" s="1">
        <v>12</v>
      </c>
    </row>
    <row r="75" spans="1:9" x14ac:dyDescent="0.25">
      <c r="A75" s="10" t="s">
        <v>15</v>
      </c>
      <c r="B75" s="11" t="s">
        <v>105</v>
      </c>
      <c r="C75" s="11" t="s">
        <v>14</v>
      </c>
      <c r="D75" s="12">
        <v>41654</v>
      </c>
      <c r="E75" s="12">
        <v>41655</v>
      </c>
      <c r="F75" s="13">
        <v>302.5</v>
      </c>
      <c r="H75" s="18" t="s">
        <v>169</v>
      </c>
      <c r="I75" s="1">
        <v>11</v>
      </c>
    </row>
    <row r="76" spans="1:9" x14ac:dyDescent="0.25">
      <c r="A76" s="6" t="s">
        <v>93</v>
      </c>
      <c r="B76" s="7" t="s">
        <v>106</v>
      </c>
      <c r="C76" s="7" t="s">
        <v>47</v>
      </c>
      <c r="D76" s="8">
        <v>41654</v>
      </c>
      <c r="E76" s="8">
        <v>41654</v>
      </c>
      <c r="F76" s="9">
        <v>363.8</v>
      </c>
      <c r="H76" s="19" t="s">
        <v>168</v>
      </c>
      <c r="I76" s="1">
        <v>11</v>
      </c>
    </row>
    <row r="77" spans="1:9" x14ac:dyDescent="0.25">
      <c r="A77" s="10" t="s">
        <v>93</v>
      </c>
      <c r="B77" s="11" t="s">
        <v>106</v>
      </c>
      <c r="C77" s="11" t="s">
        <v>14</v>
      </c>
      <c r="D77" s="12">
        <v>41654</v>
      </c>
      <c r="E77" s="12">
        <v>41654</v>
      </c>
      <c r="F77" s="13">
        <v>178.5</v>
      </c>
      <c r="H77" s="18" t="s">
        <v>68</v>
      </c>
      <c r="I77" s="1">
        <v>6</v>
      </c>
    </row>
    <row r="78" spans="1:9" x14ac:dyDescent="0.25">
      <c r="A78" s="6" t="s">
        <v>42</v>
      </c>
      <c r="B78" s="7" t="s">
        <v>43</v>
      </c>
      <c r="C78" s="7" t="s">
        <v>27</v>
      </c>
      <c r="D78" s="8">
        <v>41654</v>
      </c>
      <c r="E78" s="8">
        <v>41655</v>
      </c>
      <c r="F78" s="9">
        <v>570</v>
      </c>
      <c r="H78" s="19" t="s">
        <v>25</v>
      </c>
      <c r="I78" s="1">
        <v>6</v>
      </c>
    </row>
    <row r="79" spans="1:9" x14ac:dyDescent="0.25">
      <c r="A79" s="10" t="s">
        <v>107</v>
      </c>
      <c r="B79" s="11" t="s">
        <v>108</v>
      </c>
      <c r="C79" s="11" t="s">
        <v>66</v>
      </c>
      <c r="D79" s="12">
        <v>41654</v>
      </c>
      <c r="E79" s="12">
        <v>41655</v>
      </c>
      <c r="F79" s="13">
        <v>485.7</v>
      </c>
      <c r="H79" s="18" t="s">
        <v>98</v>
      </c>
      <c r="I79" s="1">
        <v>5</v>
      </c>
    </row>
    <row r="80" spans="1:9" x14ac:dyDescent="0.25">
      <c r="A80" s="6" t="s">
        <v>109</v>
      </c>
      <c r="B80" s="7" t="s">
        <v>110</v>
      </c>
      <c r="C80" s="7" t="s">
        <v>14</v>
      </c>
      <c r="D80" s="8">
        <v>41654</v>
      </c>
      <c r="E80" s="8">
        <v>41655</v>
      </c>
      <c r="F80" s="9">
        <v>302.5</v>
      </c>
      <c r="H80" s="19" t="s">
        <v>97</v>
      </c>
      <c r="I80" s="1">
        <v>5</v>
      </c>
    </row>
    <row r="81" spans="1:9" x14ac:dyDescent="0.25">
      <c r="A81" s="10" t="s">
        <v>6</v>
      </c>
      <c r="B81" s="11" t="s">
        <v>45</v>
      </c>
      <c r="C81" s="11" t="s">
        <v>66</v>
      </c>
      <c r="D81" s="12">
        <v>41654</v>
      </c>
      <c r="E81" s="12">
        <v>41656</v>
      </c>
      <c r="F81" s="13">
        <v>663.7</v>
      </c>
      <c r="H81" s="18" t="s">
        <v>140</v>
      </c>
      <c r="I81" s="1">
        <v>15</v>
      </c>
    </row>
    <row r="82" spans="1:9" x14ac:dyDescent="0.25">
      <c r="A82" s="6" t="s">
        <v>111</v>
      </c>
      <c r="B82" s="7" t="s">
        <v>112</v>
      </c>
      <c r="C82" s="7" t="s">
        <v>66</v>
      </c>
      <c r="D82" s="8">
        <v>41654</v>
      </c>
      <c r="E82" s="8">
        <v>41656</v>
      </c>
      <c r="F82" s="9">
        <v>663.7</v>
      </c>
      <c r="H82" s="19" t="s">
        <v>115</v>
      </c>
      <c r="I82" s="1">
        <v>15</v>
      </c>
    </row>
    <row r="83" spans="1:9" x14ac:dyDescent="0.25">
      <c r="A83" s="10" t="s">
        <v>113</v>
      </c>
      <c r="B83" s="11" t="s">
        <v>114</v>
      </c>
      <c r="C83" s="11" t="s">
        <v>11</v>
      </c>
      <c r="D83" s="12">
        <v>41654</v>
      </c>
      <c r="E83" s="12">
        <v>41658</v>
      </c>
      <c r="F83" s="13">
        <v>712.4</v>
      </c>
      <c r="H83" s="18" t="s">
        <v>34</v>
      </c>
      <c r="I83" s="1">
        <v>13</v>
      </c>
    </row>
    <row r="84" spans="1:9" x14ac:dyDescent="0.25">
      <c r="A84" s="6" t="s">
        <v>115</v>
      </c>
      <c r="B84" s="7" t="s">
        <v>116</v>
      </c>
      <c r="C84" s="7" t="s">
        <v>14</v>
      </c>
      <c r="D84" s="8">
        <v>41654</v>
      </c>
      <c r="E84" s="8">
        <v>41655</v>
      </c>
      <c r="F84" s="9">
        <v>302.5</v>
      </c>
      <c r="H84" s="19" t="s">
        <v>33</v>
      </c>
      <c r="I84" s="1">
        <v>13</v>
      </c>
    </row>
    <row r="85" spans="1:9" x14ac:dyDescent="0.25">
      <c r="A85" s="10" t="s">
        <v>70</v>
      </c>
      <c r="B85" s="11" t="s">
        <v>117</v>
      </c>
      <c r="C85" s="11" t="s">
        <v>8</v>
      </c>
      <c r="D85" s="12">
        <v>41654</v>
      </c>
      <c r="E85" s="12">
        <v>41655</v>
      </c>
      <c r="F85" s="13">
        <v>891</v>
      </c>
      <c r="H85" s="18" t="s">
        <v>41</v>
      </c>
      <c r="I85" s="1">
        <v>14</v>
      </c>
    </row>
    <row r="86" spans="1:9" x14ac:dyDescent="0.25">
      <c r="A86" s="6" t="s">
        <v>54</v>
      </c>
      <c r="B86" s="7" t="s">
        <v>118</v>
      </c>
      <c r="C86" s="7" t="s">
        <v>8</v>
      </c>
      <c r="D86" s="8">
        <v>41654</v>
      </c>
      <c r="E86" s="8">
        <v>41657</v>
      </c>
      <c r="F86" s="9">
        <v>1313</v>
      </c>
      <c r="H86" s="19" t="s">
        <v>33</v>
      </c>
      <c r="I86" s="1">
        <v>14</v>
      </c>
    </row>
    <row r="87" spans="1:9" x14ac:dyDescent="0.25">
      <c r="A87" s="10" t="s">
        <v>54</v>
      </c>
      <c r="B87" s="11" t="s">
        <v>81</v>
      </c>
      <c r="C87" s="11" t="s">
        <v>27</v>
      </c>
      <c r="D87" s="12">
        <v>41656</v>
      </c>
      <c r="E87" s="12">
        <v>41656</v>
      </c>
      <c r="F87" s="13">
        <v>442</v>
      </c>
      <c r="H87" s="18" t="s">
        <v>10</v>
      </c>
      <c r="I87" s="1">
        <v>8</v>
      </c>
    </row>
    <row r="88" spans="1:9" x14ac:dyDescent="0.25">
      <c r="A88" s="6" t="s">
        <v>119</v>
      </c>
      <c r="B88" s="7" t="s">
        <v>120</v>
      </c>
      <c r="C88" s="7" t="s">
        <v>27</v>
      </c>
      <c r="D88" s="8">
        <v>41656</v>
      </c>
      <c r="E88" s="8">
        <v>41656</v>
      </c>
      <c r="F88" s="9">
        <v>442</v>
      </c>
      <c r="H88" s="19" t="s">
        <v>9</v>
      </c>
      <c r="I88" s="1">
        <v>8</v>
      </c>
    </row>
    <row r="89" spans="1:9" x14ac:dyDescent="0.25">
      <c r="A89" s="10" t="s">
        <v>31</v>
      </c>
      <c r="B89" s="11" t="s">
        <v>77</v>
      </c>
      <c r="C89" s="11" t="s">
        <v>11</v>
      </c>
      <c r="D89" s="12">
        <v>41656</v>
      </c>
      <c r="E89" s="12">
        <v>41656</v>
      </c>
      <c r="F89" s="13">
        <v>156.4</v>
      </c>
      <c r="H89" s="18" t="s">
        <v>135</v>
      </c>
      <c r="I89" s="1">
        <v>8</v>
      </c>
    </row>
    <row r="90" spans="1:9" x14ac:dyDescent="0.25">
      <c r="A90" s="6" t="s">
        <v>9</v>
      </c>
      <c r="B90" s="7" t="s">
        <v>18</v>
      </c>
      <c r="C90" s="7" t="s">
        <v>11</v>
      </c>
      <c r="D90" s="8">
        <v>41656</v>
      </c>
      <c r="E90" s="8">
        <v>41656</v>
      </c>
      <c r="F90" s="9">
        <v>156.4</v>
      </c>
      <c r="H90" s="19" t="s">
        <v>134</v>
      </c>
      <c r="I90" s="1">
        <v>8</v>
      </c>
    </row>
    <row r="91" spans="1:9" x14ac:dyDescent="0.25">
      <c r="A91" s="10" t="s">
        <v>86</v>
      </c>
      <c r="B91" s="11" t="s">
        <v>87</v>
      </c>
      <c r="C91" s="11" t="s">
        <v>17</v>
      </c>
      <c r="D91" s="12">
        <v>41657</v>
      </c>
      <c r="E91" s="12">
        <v>41657</v>
      </c>
      <c r="F91" s="13">
        <v>501.5</v>
      </c>
      <c r="H91" s="18" t="s">
        <v>127</v>
      </c>
      <c r="I91" s="1">
        <v>10</v>
      </c>
    </row>
    <row r="92" spans="1:9" x14ac:dyDescent="0.25">
      <c r="A92" s="6" t="s">
        <v>75</v>
      </c>
      <c r="B92" s="7" t="s">
        <v>88</v>
      </c>
      <c r="C92" s="7" t="s">
        <v>14</v>
      </c>
      <c r="D92" s="8">
        <v>41657</v>
      </c>
      <c r="E92" s="8">
        <v>41658</v>
      </c>
      <c r="F92" s="9">
        <v>302.5</v>
      </c>
      <c r="H92" s="19" t="s">
        <v>126</v>
      </c>
      <c r="I92" s="1">
        <v>10</v>
      </c>
    </row>
    <row r="93" spans="1:9" x14ac:dyDescent="0.25">
      <c r="A93" s="10" t="s">
        <v>93</v>
      </c>
      <c r="B93" s="11" t="s">
        <v>94</v>
      </c>
      <c r="C93" s="11" t="s">
        <v>8</v>
      </c>
      <c r="D93" s="12">
        <v>41657</v>
      </c>
      <c r="E93" s="12">
        <v>41657</v>
      </c>
      <c r="F93" s="13">
        <v>680</v>
      </c>
      <c r="H93" s="18" t="s">
        <v>74</v>
      </c>
      <c r="I93" s="1">
        <v>10</v>
      </c>
    </row>
    <row r="94" spans="1:9" x14ac:dyDescent="0.25">
      <c r="A94" s="6" t="s">
        <v>48</v>
      </c>
      <c r="B94" s="7" t="s">
        <v>49</v>
      </c>
      <c r="C94" s="7" t="s">
        <v>19</v>
      </c>
      <c r="D94" s="8">
        <v>41658</v>
      </c>
      <c r="E94" s="8">
        <v>41658</v>
      </c>
      <c r="F94" s="9">
        <v>513.4</v>
      </c>
      <c r="H94" s="19" t="s">
        <v>73</v>
      </c>
      <c r="I94" s="1">
        <v>10</v>
      </c>
    </row>
    <row r="95" spans="1:9" x14ac:dyDescent="0.25">
      <c r="A95" s="10" t="s">
        <v>111</v>
      </c>
      <c r="B95" s="11" t="s">
        <v>112</v>
      </c>
      <c r="C95" s="11" t="s">
        <v>17</v>
      </c>
      <c r="D95" s="12">
        <v>41658</v>
      </c>
      <c r="E95" s="12">
        <v>41658</v>
      </c>
      <c r="F95" s="13">
        <v>501.5</v>
      </c>
      <c r="H95" s="18" t="s">
        <v>69</v>
      </c>
      <c r="I95" s="1">
        <v>13</v>
      </c>
    </row>
    <row r="96" spans="1:9" x14ac:dyDescent="0.25">
      <c r="A96" s="6" t="s">
        <v>6</v>
      </c>
      <c r="B96" s="7" t="s">
        <v>56</v>
      </c>
      <c r="C96" s="7" t="s">
        <v>72</v>
      </c>
      <c r="D96" s="8">
        <v>41660</v>
      </c>
      <c r="E96" s="8">
        <v>41662</v>
      </c>
      <c r="F96" s="9">
        <v>892.7</v>
      </c>
      <c r="H96" s="19" t="s">
        <v>9</v>
      </c>
      <c r="I96" s="1">
        <v>13</v>
      </c>
    </row>
    <row r="97" spans="1:9" x14ac:dyDescent="0.25">
      <c r="A97" s="10" t="s">
        <v>99</v>
      </c>
      <c r="B97" s="11" t="s">
        <v>100</v>
      </c>
      <c r="C97" s="11" t="s">
        <v>27</v>
      </c>
      <c r="D97" s="12">
        <v>41660</v>
      </c>
      <c r="E97" s="12">
        <v>41663</v>
      </c>
      <c r="F97" s="13">
        <v>826</v>
      </c>
      <c r="H97" s="18" t="s">
        <v>100</v>
      </c>
      <c r="I97" s="1">
        <v>8</v>
      </c>
    </row>
    <row r="98" spans="1:9" x14ac:dyDescent="0.25">
      <c r="A98" s="6" t="s">
        <v>86</v>
      </c>
      <c r="B98" s="7" t="s">
        <v>87</v>
      </c>
      <c r="C98" s="7" t="s">
        <v>72</v>
      </c>
      <c r="D98" s="8">
        <v>41660</v>
      </c>
      <c r="E98" s="8">
        <v>41662</v>
      </c>
      <c r="F98" s="9">
        <v>892.7</v>
      </c>
      <c r="H98" s="19" t="s">
        <v>99</v>
      </c>
      <c r="I98" s="1">
        <v>8</v>
      </c>
    </row>
    <row r="99" spans="1:9" x14ac:dyDescent="0.25">
      <c r="A99" s="10" t="s">
        <v>54</v>
      </c>
      <c r="B99" s="11" t="s">
        <v>121</v>
      </c>
      <c r="C99" s="11" t="s">
        <v>19</v>
      </c>
      <c r="D99" s="12">
        <v>41660</v>
      </c>
      <c r="E99" s="12">
        <v>41662</v>
      </c>
      <c r="F99" s="13">
        <v>795.4</v>
      </c>
      <c r="H99" s="18" t="s">
        <v>102</v>
      </c>
      <c r="I99" s="1">
        <v>9</v>
      </c>
    </row>
    <row r="100" spans="1:9" x14ac:dyDescent="0.25">
      <c r="A100" s="6" t="s">
        <v>75</v>
      </c>
      <c r="B100" s="7" t="s">
        <v>76</v>
      </c>
      <c r="C100" s="7" t="s">
        <v>8</v>
      </c>
      <c r="D100" s="8">
        <v>41660</v>
      </c>
      <c r="E100" s="8">
        <v>41664</v>
      </c>
      <c r="F100" s="9">
        <v>1524</v>
      </c>
      <c r="H100" s="19" t="s">
        <v>101</v>
      </c>
      <c r="I100" s="1">
        <v>9</v>
      </c>
    </row>
    <row r="101" spans="1:9" x14ac:dyDescent="0.25">
      <c r="A101" s="10" t="s">
        <v>31</v>
      </c>
      <c r="B101" s="11" t="s">
        <v>77</v>
      </c>
      <c r="C101" s="11" t="s">
        <v>47</v>
      </c>
      <c r="D101" s="12">
        <v>41660</v>
      </c>
      <c r="E101" s="12">
        <v>41663</v>
      </c>
      <c r="F101" s="13">
        <v>852.8</v>
      </c>
      <c r="H101" s="18" t="s">
        <v>103</v>
      </c>
      <c r="I101" s="1">
        <v>15</v>
      </c>
    </row>
    <row r="102" spans="1:9" x14ac:dyDescent="0.25">
      <c r="A102" s="6" t="s">
        <v>122</v>
      </c>
      <c r="B102" s="7" t="s">
        <v>123</v>
      </c>
      <c r="C102" s="7" t="s">
        <v>17</v>
      </c>
      <c r="D102" s="8">
        <v>41661</v>
      </c>
      <c r="E102" s="8">
        <v>41661</v>
      </c>
      <c r="F102" s="9">
        <v>501.5</v>
      </c>
      <c r="H102" s="19" t="s">
        <v>9</v>
      </c>
      <c r="I102" s="1">
        <v>15</v>
      </c>
    </row>
    <row r="103" spans="1:9" x14ac:dyDescent="0.25">
      <c r="A103" s="10" t="s">
        <v>93</v>
      </c>
      <c r="B103" s="11" t="s">
        <v>124</v>
      </c>
      <c r="C103" s="11" t="s">
        <v>59</v>
      </c>
      <c r="D103" s="12">
        <v>41661</v>
      </c>
      <c r="E103" s="12">
        <v>41661</v>
      </c>
      <c r="F103" s="13">
        <v>442</v>
      </c>
      <c r="H103" s="18" t="s">
        <v>144</v>
      </c>
      <c r="I103" s="1">
        <v>12</v>
      </c>
    </row>
    <row r="104" spans="1:9" x14ac:dyDescent="0.25">
      <c r="A104" s="6" t="s">
        <v>82</v>
      </c>
      <c r="B104" s="7" t="s">
        <v>125</v>
      </c>
      <c r="C104" s="7" t="s">
        <v>8</v>
      </c>
      <c r="D104" s="8">
        <v>41661</v>
      </c>
      <c r="E104" s="8">
        <v>41663</v>
      </c>
      <c r="F104" s="9">
        <v>1102</v>
      </c>
      <c r="H104" s="19" t="s">
        <v>143</v>
      </c>
      <c r="I104" s="1">
        <v>12</v>
      </c>
    </row>
    <row r="105" spans="1:9" x14ac:dyDescent="0.25">
      <c r="A105" s="10" t="s">
        <v>126</v>
      </c>
      <c r="B105" s="11" t="s">
        <v>127</v>
      </c>
      <c r="C105" s="11" t="s">
        <v>14</v>
      </c>
      <c r="D105" s="12">
        <v>41661</v>
      </c>
      <c r="E105" s="12">
        <v>41663</v>
      </c>
      <c r="F105" s="13">
        <v>426.5</v>
      </c>
      <c r="H105" s="18" t="s">
        <v>104</v>
      </c>
      <c r="I105" s="1">
        <v>8</v>
      </c>
    </row>
    <row r="106" spans="1:9" x14ac:dyDescent="0.25">
      <c r="A106" s="6" t="s">
        <v>128</v>
      </c>
      <c r="B106" s="7" t="s">
        <v>129</v>
      </c>
      <c r="C106" s="7" t="s">
        <v>19</v>
      </c>
      <c r="D106" s="8">
        <v>41662</v>
      </c>
      <c r="E106" s="8">
        <v>41663</v>
      </c>
      <c r="F106" s="9">
        <v>654.4</v>
      </c>
      <c r="H106" s="19" t="s">
        <v>73</v>
      </c>
      <c r="I106" s="1">
        <v>8</v>
      </c>
    </row>
    <row r="107" spans="1:9" x14ac:dyDescent="0.25">
      <c r="A107" s="10" t="s">
        <v>25</v>
      </c>
      <c r="B107" s="11" t="s">
        <v>26</v>
      </c>
      <c r="C107" s="11" t="s">
        <v>11</v>
      </c>
      <c r="D107" s="12">
        <v>41662</v>
      </c>
      <c r="E107" s="12">
        <v>41663</v>
      </c>
      <c r="F107" s="13">
        <v>295.39999999999998</v>
      </c>
      <c r="H107" s="18" t="s">
        <v>105</v>
      </c>
      <c r="I107" s="1">
        <v>5</v>
      </c>
    </row>
    <row r="108" spans="1:9" x14ac:dyDescent="0.25">
      <c r="A108" s="6" t="s">
        <v>25</v>
      </c>
      <c r="B108" s="7" t="s">
        <v>68</v>
      </c>
      <c r="C108" s="7" t="s">
        <v>66</v>
      </c>
      <c r="D108" s="8">
        <v>41662</v>
      </c>
      <c r="E108" s="8">
        <v>41663</v>
      </c>
      <c r="F108" s="9">
        <v>485.7</v>
      </c>
      <c r="H108" s="19" t="s">
        <v>15</v>
      </c>
      <c r="I108" s="1">
        <v>5</v>
      </c>
    </row>
    <row r="109" spans="1:9" x14ac:dyDescent="0.25">
      <c r="A109" s="10" t="s">
        <v>99</v>
      </c>
      <c r="B109" s="11" t="s">
        <v>130</v>
      </c>
      <c r="C109" s="11" t="s">
        <v>72</v>
      </c>
      <c r="D109" s="12">
        <v>41663</v>
      </c>
      <c r="E109" s="12">
        <v>41663</v>
      </c>
      <c r="F109" s="13">
        <v>494.7</v>
      </c>
      <c r="H109" s="18" t="s">
        <v>165</v>
      </c>
      <c r="I109" s="1">
        <v>14</v>
      </c>
    </row>
    <row r="110" spans="1:9" x14ac:dyDescent="0.25">
      <c r="A110" s="6" t="s">
        <v>131</v>
      </c>
      <c r="B110" s="7" t="s">
        <v>132</v>
      </c>
      <c r="C110" s="7" t="s">
        <v>38</v>
      </c>
      <c r="D110" s="8">
        <v>41663</v>
      </c>
      <c r="E110" s="8">
        <v>41663</v>
      </c>
      <c r="F110" s="9">
        <v>278.8</v>
      </c>
      <c r="H110" s="19" t="s">
        <v>164</v>
      </c>
      <c r="I110" s="1">
        <v>14</v>
      </c>
    </row>
    <row r="111" spans="1:9" x14ac:dyDescent="0.25">
      <c r="A111" s="10" t="s">
        <v>93</v>
      </c>
      <c r="B111" s="11" t="s">
        <v>94</v>
      </c>
      <c r="C111" s="11" t="s">
        <v>47</v>
      </c>
      <c r="D111" s="12">
        <v>41664</v>
      </c>
      <c r="E111" s="12">
        <v>41664</v>
      </c>
      <c r="F111" s="13">
        <v>363.8</v>
      </c>
      <c r="H111" s="18" t="s">
        <v>87</v>
      </c>
      <c r="I111" s="1">
        <v>8</v>
      </c>
    </row>
    <row r="112" spans="1:9" x14ac:dyDescent="0.25">
      <c r="A112" s="6" t="s">
        <v>6</v>
      </c>
      <c r="B112" s="7" t="s">
        <v>7</v>
      </c>
      <c r="C112" s="7" t="s">
        <v>66</v>
      </c>
      <c r="D112" s="8">
        <v>41665</v>
      </c>
      <c r="E112" s="8">
        <v>41669</v>
      </c>
      <c r="F112" s="9">
        <v>1019.7</v>
      </c>
      <c r="H112" s="19" t="s">
        <v>86</v>
      </c>
      <c r="I112" s="1">
        <v>8</v>
      </c>
    </row>
    <row r="113" spans="1:9" x14ac:dyDescent="0.25">
      <c r="A113" s="10" t="s">
        <v>79</v>
      </c>
      <c r="B113" s="11" t="s">
        <v>80</v>
      </c>
      <c r="C113" s="11" t="s">
        <v>19</v>
      </c>
      <c r="D113" s="12">
        <v>41665</v>
      </c>
      <c r="E113" s="12">
        <v>41669</v>
      </c>
      <c r="F113" s="13">
        <v>1077.4000000000001</v>
      </c>
      <c r="H113" s="18" t="s">
        <v>106</v>
      </c>
      <c r="I113" s="1">
        <v>11</v>
      </c>
    </row>
    <row r="114" spans="1:9" x14ac:dyDescent="0.25">
      <c r="A114" s="6" t="s">
        <v>54</v>
      </c>
      <c r="B114" s="7" t="s">
        <v>133</v>
      </c>
      <c r="C114" s="7" t="s">
        <v>17</v>
      </c>
      <c r="D114" s="8">
        <v>41665</v>
      </c>
      <c r="E114" s="8">
        <v>41667</v>
      </c>
      <c r="F114" s="9">
        <v>911.5</v>
      </c>
      <c r="H114" s="19" t="s">
        <v>93</v>
      </c>
      <c r="I114" s="1">
        <v>11</v>
      </c>
    </row>
    <row r="115" spans="1:9" x14ac:dyDescent="0.25">
      <c r="A115" s="10" t="s">
        <v>134</v>
      </c>
      <c r="B115" s="11" t="s">
        <v>135</v>
      </c>
      <c r="C115" s="11" t="s">
        <v>47</v>
      </c>
      <c r="D115" s="12">
        <v>41665</v>
      </c>
      <c r="E115" s="12">
        <v>41667</v>
      </c>
      <c r="F115" s="13">
        <v>689.8</v>
      </c>
      <c r="H115" s="18" t="s">
        <v>121</v>
      </c>
      <c r="I115" s="1">
        <v>13</v>
      </c>
    </row>
    <row r="116" spans="1:9" x14ac:dyDescent="0.25">
      <c r="A116" s="6" t="s">
        <v>93</v>
      </c>
      <c r="B116" s="7" t="s">
        <v>106</v>
      </c>
      <c r="C116" s="7" t="s">
        <v>17</v>
      </c>
      <c r="D116" s="8">
        <v>41665</v>
      </c>
      <c r="E116" s="8">
        <v>41669</v>
      </c>
      <c r="F116" s="9">
        <v>1321.5</v>
      </c>
      <c r="H116" s="19" t="s">
        <v>54</v>
      </c>
      <c r="I116" s="1">
        <v>13</v>
      </c>
    </row>
    <row r="117" spans="1:9" x14ac:dyDescent="0.25">
      <c r="A117" s="10" t="s">
        <v>52</v>
      </c>
      <c r="B117" s="11" t="s">
        <v>53</v>
      </c>
      <c r="C117" s="11" t="s">
        <v>59</v>
      </c>
      <c r="D117" s="12">
        <v>41665</v>
      </c>
      <c r="E117" s="12">
        <v>41669</v>
      </c>
      <c r="F117" s="13">
        <v>1078</v>
      </c>
      <c r="H117" s="18" t="s">
        <v>155</v>
      </c>
      <c r="I117" s="1">
        <v>7</v>
      </c>
    </row>
    <row r="118" spans="1:9" x14ac:dyDescent="0.25">
      <c r="A118" s="6" t="s">
        <v>119</v>
      </c>
      <c r="B118" s="7" t="s">
        <v>120</v>
      </c>
      <c r="C118" s="7" t="s">
        <v>24</v>
      </c>
      <c r="D118" s="8">
        <v>41665</v>
      </c>
      <c r="E118" s="8">
        <v>41668</v>
      </c>
      <c r="F118" s="9">
        <v>737.7</v>
      </c>
      <c r="H118" s="19" t="s">
        <v>73</v>
      </c>
      <c r="I118" s="1">
        <v>7</v>
      </c>
    </row>
    <row r="119" spans="1:9" x14ac:dyDescent="0.25">
      <c r="A119" s="10" t="s">
        <v>89</v>
      </c>
      <c r="B119" s="11" t="s">
        <v>90</v>
      </c>
      <c r="C119" s="11" t="s">
        <v>72</v>
      </c>
      <c r="D119" s="12">
        <v>41665</v>
      </c>
      <c r="E119" s="12">
        <v>41666</v>
      </c>
      <c r="F119" s="13">
        <v>693.7</v>
      </c>
      <c r="H119" s="18" t="s">
        <v>146</v>
      </c>
      <c r="I119" s="1">
        <v>7</v>
      </c>
    </row>
    <row r="120" spans="1:9" x14ac:dyDescent="0.25">
      <c r="A120" s="6" t="s">
        <v>12</v>
      </c>
      <c r="B120" s="7" t="s">
        <v>95</v>
      </c>
      <c r="C120" s="7" t="s">
        <v>11</v>
      </c>
      <c r="D120" s="8">
        <v>41665</v>
      </c>
      <c r="E120" s="8">
        <v>41667</v>
      </c>
      <c r="F120" s="9">
        <v>434.4</v>
      </c>
      <c r="H120" s="19" t="s">
        <v>145</v>
      </c>
      <c r="I120" s="1">
        <v>7</v>
      </c>
    </row>
    <row r="121" spans="1:9" x14ac:dyDescent="0.25">
      <c r="A121" s="10" t="s">
        <v>15</v>
      </c>
      <c r="B121" s="11" t="s">
        <v>96</v>
      </c>
      <c r="C121" s="11" t="s">
        <v>11</v>
      </c>
      <c r="D121" s="12">
        <v>41665</v>
      </c>
      <c r="E121" s="12">
        <v>41668</v>
      </c>
      <c r="F121" s="13">
        <v>573.4</v>
      </c>
      <c r="H121" s="18" t="s">
        <v>35</v>
      </c>
      <c r="I121" s="1">
        <v>11</v>
      </c>
    </row>
    <row r="122" spans="1:9" x14ac:dyDescent="0.25">
      <c r="A122" s="6" t="s">
        <v>86</v>
      </c>
      <c r="B122" s="7" t="s">
        <v>136</v>
      </c>
      <c r="C122" s="7" t="s">
        <v>27</v>
      </c>
      <c r="D122" s="8">
        <v>41665</v>
      </c>
      <c r="E122" s="8">
        <v>41669</v>
      </c>
      <c r="F122" s="9">
        <v>954</v>
      </c>
      <c r="H122" s="19" t="s">
        <v>25</v>
      </c>
      <c r="I122" s="1">
        <v>11</v>
      </c>
    </row>
    <row r="123" spans="1:9" x14ac:dyDescent="0.25">
      <c r="A123" s="10" t="s">
        <v>20</v>
      </c>
      <c r="B123" s="11" t="s">
        <v>21</v>
      </c>
      <c r="C123" s="11" t="s">
        <v>38</v>
      </c>
      <c r="D123" s="12">
        <v>41665</v>
      </c>
      <c r="E123" s="12">
        <v>41666</v>
      </c>
      <c r="F123" s="13">
        <v>407.8</v>
      </c>
      <c r="H123" s="18" t="s">
        <v>13</v>
      </c>
      <c r="I123" s="1">
        <v>12</v>
      </c>
    </row>
    <row r="124" spans="1:9" x14ac:dyDescent="0.25">
      <c r="A124" s="6" t="s">
        <v>54</v>
      </c>
      <c r="B124" s="7" t="s">
        <v>81</v>
      </c>
      <c r="C124" s="7" t="s">
        <v>17</v>
      </c>
      <c r="D124" s="8">
        <v>41666</v>
      </c>
      <c r="E124" s="8">
        <v>41666</v>
      </c>
      <c r="F124" s="9">
        <v>501.5</v>
      </c>
      <c r="H124" s="19" t="s">
        <v>12</v>
      </c>
      <c r="I124" s="1">
        <v>12</v>
      </c>
    </row>
    <row r="125" spans="1:9" x14ac:dyDescent="0.25">
      <c r="A125" s="10" t="s">
        <v>31</v>
      </c>
      <c r="B125" s="11" t="s">
        <v>77</v>
      </c>
      <c r="C125" s="11" t="s">
        <v>72</v>
      </c>
      <c r="D125" s="12">
        <v>41666</v>
      </c>
      <c r="E125" s="12">
        <v>41668</v>
      </c>
      <c r="F125" s="13">
        <v>892.7</v>
      </c>
      <c r="H125" s="18" t="s">
        <v>152</v>
      </c>
      <c r="I125" s="1">
        <v>11</v>
      </c>
    </row>
    <row r="126" spans="1:9" x14ac:dyDescent="0.25">
      <c r="A126" s="6" t="s">
        <v>93</v>
      </c>
      <c r="B126" s="7" t="s">
        <v>94</v>
      </c>
      <c r="C126" s="7" t="s">
        <v>8</v>
      </c>
      <c r="D126" s="8">
        <v>41666</v>
      </c>
      <c r="E126" s="8">
        <v>41666</v>
      </c>
      <c r="F126" s="9">
        <v>680</v>
      </c>
      <c r="H126" s="19" t="s">
        <v>151</v>
      </c>
      <c r="I126" s="1">
        <v>11</v>
      </c>
    </row>
    <row r="127" spans="1:9" x14ac:dyDescent="0.25">
      <c r="A127" s="10" t="s">
        <v>137</v>
      </c>
      <c r="B127" s="11" t="s">
        <v>138</v>
      </c>
      <c r="C127" s="11" t="s">
        <v>19</v>
      </c>
      <c r="D127" s="12">
        <v>41666</v>
      </c>
      <c r="E127" s="12">
        <v>41668</v>
      </c>
      <c r="F127" s="13">
        <v>795.4</v>
      </c>
      <c r="H127" s="18" t="s">
        <v>43</v>
      </c>
      <c r="I127" s="1">
        <v>6</v>
      </c>
    </row>
    <row r="128" spans="1:9" x14ac:dyDescent="0.25">
      <c r="A128" s="6" t="s">
        <v>131</v>
      </c>
      <c r="B128" s="7" t="s">
        <v>132</v>
      </c>
      <c r="C128" s="7" t="s">
        <v>19</v>
      </c>
      <c r="D128" s="8">
        <v>41666</v>
      </c>
      <c r="E128" s="8">
        <v>41668</v>
      </c>
      <c r="F128" s="9">
        <v>795.4</v>
      </c>
      <c r="H128" s="19" t="s">
        <v>42</v>
      </c>
      <c r="I128" s="1">
        <v>6</v>
      </c>
    </row>
    <row r="129" spans="1:9" x14ac:dyDescent="0.25">
      <c r="A129" s="10" t="s">
        <v>99</v>
      </c>
      <c r="B129" s="11" t="s">
        <v>130</v>
      </c>
      <c r="C129" s="11" t="s">
        <v>47</v>
      </c>
      <c r="D129" s="12">
        <v>41667</v>
      </c>
      <c r="E129" s="12">
        <v>41667</v>
      </c>
      <c r="F129" s="13">
        <v>363.8</v>
      </c>
      <c r="H129" s="18" t="s">
        <v>88</v>
      </c>
      <c r="I129" s="1">
        <v>10</v>
      </c>
    </row>
    <row r="130" spans="1:9" x14ac:dyDescent="0.25">
      <c r="A130" s="6" t="s">
        <v>91</v>
      </c>
      <c r="B130" s="7" t="s">
        <v>92</v>
      </c>
      <c r="C130" s="7" t="s">
        <v>17</v>
      </c>
      <c r="D130" s="8">
        <v>41667</v>
      </c>
      <c r="E130" s="8">
        <v>41669</v>
      </c>
      <c r="F130" s="9">
        <v>911.5</v>
      </c>
      <c r="H130" s="19" t="s">
        <v>75</v>
      </c>
      <c r="I130" s="1">
        <v>10</v>
      </c>
    </row>
    <row r="131" spans="1:9" x14ac:dyDescent="0.25">
      <c r="A131" s="10" t="s">
        <v>57</v>
      </c>
      <c r="B131" s="11" t="s">
        <v>58</v>
      </c>
      <c r="C131" s="11" t="s">
        <v>38</v>
      </c>
      <c r="D131" s="12">
        <v>41667</v>
      </c>
      <c r="E131" s="12">
        <v>41669</v>
      </c>
      <c r="F131" s="13">
        <v>536.79999999999995</v>
      </c>
      <c r="H131" s="18" t="s">
        <v>157</v>
      </c>
      <c r="I131" s="1">
        <v>9</v>
      </c>
    </row>
    <row r="132" spans="1:9" x14ac:dyDescent="0.25">
      <c r="A132" s="6" t="s">
        <v>6</v>
      </c>
      <c r="B132" s="7" t="s">
        <v>7</v>
      </c>
      <c r="C132" s="7" t="s">
        <v>59</v>
      </c>
      <c r="D132" s="8">
        <v>41672</v>
      </c>
      <c r="E132" s="8">
        <v>41674</v>
      </c>
      <c r="F132" s="9">
        <v>760</v>
      </c>
      <c r="H132" s="19" t="s">
        <v>156</v>
      </c>
      <c r="I132" s="1">
        <v>9</v>
      </c>
    </row>
    <row r="133" spans="1:9" x14ac:dyDescent="0.25">
      <c r="A133" s="10" t="s">
        <v>6</v>
      </c>
      <c r="B133" s="11" t="s">
        <v>139</v>
      </c>
      <c r="C133" s="11" t="s">
        <v>17</v>
      </c>
      <c r="D133" s="12">
        <v>41672</v>
      </c>
      <c r="E133" s="12">
        <v>41673</v>
      </c>
      <c r="F133" s="13">
        <v>706.5</v>
      </c>
      <c r="H133" s="18" t="s">
        <v>53</v>
      </c>
      <c r="I133" s="1">
        <v>8</v>
      </c>
    </row>
    <row r="134" spans="1:9" x14ac:dyDescent="0.25">
      <c r="A134" s="6" t="s">
        <v>93</v>
      </c>
      <c r="B134" s="7" t="s">
        <v>124</v>
      </c>
      <c r="C134" s="7" t="s">
        <v>72</v>
      </c>
      <c r="D134" s="8">
        <v>41672</v>
      </c>
      <c r="E134" s="8">
        <v>41675</v>
      </c>
      <c r="F134" s="9">
        <v>1091.7</v>
      </c>
      <c r="H134" s="19" t="s">
        <v>52</v>
      </c>
      <c r="I134" s="1">
        <v>8</v>
      </c>
    </row>
    <row r="135" spans="1:9" x14ac:dyDescent="0.25">
      <c r="A135" s="10" t="s">
        <v>128</v>
      </c>
      <c r="B135" s="11" t="s">
        <v>129</v>
      </c>
      <c r="C135" s="11" t="s">
        <v>27</v>
      </c>
      <c r="D135" s="12">
        <v>41673</v>
      </c>
      <c r="E135" s="12">
        <v>41676</v>
      </c>
      <c r="F135" s="13">
        <v>826</v>
      </c>
      <c r="H135" s="18" t="s">
        <v>148</v>
      </c>
      <c r="I135" s="1">
        <v>8</v>
      </c>
    </row>
    <row r="136" spans="1:9" x14ac:dyDescent="0.25">
      <c r="A136" s="6" t="s">
        <v>115</v>
      </c>
      <c r="B136" s="7" t="s">
        <v>140</v>
      </c>
      <c r="C136" s="7" t="s">
        <v>66</v>
      </c>
      <c r="D136" s="8">
        <v>41673</v>
      </c>
      <c r="E136" s="8">
        <v>41673</v>
      </c>
      <c r="F136" s="9">
        <v>307.7</v>
      </c>
      <c r="H136" s="19" t="s">
        <v>147</v>
      </c>
      <c r="I136" s="1">
        <v>8</v>
      </c>
    </row>
    <row r="137" spans="1:9" x14ac:dyDescent="0.25">
      <c r="A137" s="10" t="s">
        <v>42</v>
      </c>
      <c r="B137" s="11" t="s">
        <v>43</v>
      </c>
      <c r="C137" s="11" t="s">
        <v>47</v>
      </c>
      <c r="D137" s="12">
        <v>41673</v>
      </c>
      <c r="E137" s="12">
        <v>41673</v>
      </c>
      <c r="F137" s="13">
        <v>363.8</v>
      </c>
      <c r="H137" s="18" t="s">
        <v>120</v>
      </c>
      <c r="I137" s="1">
        <v>11</v>
      </c>
    </row>
    <row r="138" spans="1:9" x14ac:dyDescent="0.25">
      <c r="A138" s="6" t="s">
        <v>107</v>
      </c>
      <c r="B138" s="7" t="s">
        <v>108</v>
      </c>
      <c r="C138" s="7" t="s">
        <v>19</v>
      </c>
      <c r="D138" s="8">
        <v>41673</v>
      </c>
      <c r="E138" s="8">
        <v>41675</v>
      </c>
      <c r="F138" s="9">
        <v>795.4</v>
      </c>
      <c r="H138" s="19" t="s">
        <v>119</v>
      </c>
      <c r="I138" s="1">
        <v>11</v>
      </c>
    </row>
    <row r="139" spans="1:9" x14ac:dyDescent="0.25">
      <c r="A139" s="10" t="s">
        <v>31</v>
      </c>
      <c r="B139" s="11" t="s">
        <v>78</v>
      </c>
      <c r="C139" s="11" t="s">
        <v>27</v>
      </c>
      <c r="D139" s="12">
        <v>41677</v>
      </c>
      <c r="E139" s="12">
        <v>41681</v>
      </c>
      <c r="F139" s="13">
        <v>954</v>
      </c>
      <c r="H139" s="18" t="s">
        <v>160</v>
      </c>
      <c r="I139" s="1">
        <v>7</v>
      </c>
    </row>
    <row r="140" spans="1:9" x14ac:dyDescent="0.25">
      <c r="A140" s="6" t="s">
        <v>6</v>
      </c>
      <c r="B140" s="7" t="s">
        <v>7</v>
      </c>
      <c r="C140" s="7" t="s">
        <v>38</v>
      </c>
      <c r="D140" s="8">
        <v>41677</v>
      </c>
      <c r="E140" s="8">
        <v>41681</v>
      </c>
      <c r="F140" s="9">
        <v>794.8</v>
      </c>
      <c r="H140" s="19" t="s">
        <v>137</v>
      </c>
      <c r="I140" s="1">
        <v>7</v>
      </c>
    </row>
    <row r="141" spans="1:9" x14ac:dyDescent="0.25">
      <c r="A141" s="10" t="s">
        <v>33</v>
      </c>
      <c r="B141" s="11" t="s">
        <v>141</v>
      </c>
      <c r="C141" s="11" t="s">
        <v>19</v>
      </c>
      <c r="D141" s="12">
        <v>41677</v>
      </c>
      <c r="E141" s="12">
        <v>41680</v>
      </c>
      <c r="F141" s="13">
        <v>936.4</v>
      </c>
      <c r="H141" s="18" t="s">
        <v>108</v>
      </c>
      <c r="I141" s="1">
        <v>11</v>
      </c>
    </row>
    <row r="142" spans="1:9" x14ac:dyDescent="0.25">
      <c r="A142" s="6" t="s">
        <v>6</v>
      </c>
      <c r="B142" s="7" t="s">
        <v>139</v>
      </c>
      <c r="C142" s="7" t="s">
        <v>72</v>
      </c>
      <c r="D142" s="8">
        <v>41677</v>
      </c>
      <c r="E142" s="8">
        <v>41679</v>
      </c>
      <c r="F142" s="9">
        <v>892.7</v>
      </c>
      <c r="H142" s="19" t="s">
        <v>107</v>
      </c>
      <c r="I142" s="1">
        <v>11</v>
      </c>
    </row>
    <row r="143" spans="1:9" x14ac:dyDescent="0.25">
      <c r="A143" s="10" t="s">
        <v>122</v>
      </c>
      <c r="B143" s="11" t="s">
        <v>123</v>
      </c>
      <c r="C143" s="11" t="s">
        <v>66</v>
      </c>
      <c r="D143" s="12">
        <v>41677</v>
      </c>
      <c r="E143" s="12">
        <v>41678</v>
      </c>
      <c r="F143" s="13">
        <v>485.7</v>
      </c>
      <c r="H143" s="18" t="s">
        <v>167</v>
      </c>
      <c r="I143" s="1">
        <v>10</v>
      </c>
    </row>
    <row r="144" spans="1:9" x14ac:dyDescent="0.25">
      <c r="A144" s="6" t="s">
        <v>15</v>
      </c>
      <c r="B144" s="7" t="s">
        <v>46</v>
      </c>
      <c r="C144" s="7" t="s">
        <v>19</v>
      </c>
      <c r="D144" s="8">
        <v>41677</v>
      </c>
      <c r="E144" s="8">
        <v>41680</v>
      </c>
      <c r="F144" s="9">
        <v>936.4</v>
      </c>
      <c r="H144" s="19" t="s">
        <v>166</v>
      </c>
      <c r="I144" s="1">
        <v>10</v>
      </c>
    </row>
    <row r="145" spans="1:9" x14ac:dyDescent="0.25">
      <c r="A145" s="10" t="s">
        <v>131</v>
      </c>
      <c r="B145" s="11" t="s">
        <v>142</v>
      </c>
      <c r="C145" s="11" t="s">
        <v>27</v>
      </c>
      <c r="D145" s="12">
        <v>41677</v>
      </c>
      <c r="E145" s="12">
        <v>41681</v>
      </c>
      <c r="F145" s="13">
        <v>954</v>
      </c>
      <c r="H145" s="18" t="s">
        <v>149</v>
      </c>
      <c r="I145" s="1">
        <v>15</v>
      </c>
    </row>
    <row r="146" spans="1:9" x14ac:dyDescent="0.25">
      <c r="A146" s="6" t="s">
        <v>6</v>
      </c>
      <c r="B146" s="7" t="s">
        <v>56</v>
      </c>
      <c r="C146" s="7" t="s">
        <v>19</v>
      </c>
      <c r="D146" s="8">
        <v>41677</v>
      </c>
      <c r="E146" s="8">
        <v>41680</v>
      </c>
      <c r="F146" s="9">
        <v>936.4</v>
      </c>
      <c r="H146" s="19" t="s">
        <v>134</v>
      </c>
      <c r="I146" s="1">
        <v>15</v>
      </c>
    </row>
    <row r="147" spans="1:9" x14ac:dyDescent="0.25">
      <c r="A147" s="10" t="s">
        <v>115</v>
      </c>
      <c r="B147" s="11" t="s">
        <v>140</v>
      </c>
      <c r="C147" s="11" t="s">
        <v>59</v>
      </c>
      <c r="D147" s="12">
        <v>41677</v>
      </c>
      <c r="E147" s="12">
        <v>41677</v>
      </c>
      <c r="F147" s="13">
        <v>442</v>
      </c>
      <c r="H147" s="18" t="s">
        <v>110</v>
      </c>
      <c r="I147" s="1">
        <v>10</v>
      </c>
    </row>
    <row r="148" spans="1:9" x14ac:dyDescent="0.25">
      <c r="A148" s="6" t="s">
        <v>126</v>
      </c>
      <c r="B148" s="7" t="s">
        <v>127</v>
      </c>
      <c r="C148" s="7" t="s">
        <v>38</v>
      </c>
      <c r="D148" s="8">
        <v>41677</v>
      </c>
      <c r="E148" s="8">
        <v>41679</v>
      </c>
      <c r="F148" s="9">
        <v>536.79999999999995</v>
      </c>
      <c r="H148" s="19" t="s">
        <v>109</v>
      </c>
      <c r="I148" s="1">
        <v>10</v>
      </c>
    </row>
    <row r="149" spans="1:9" x14ac:dyDescent="0.25">
      <c r="A149" s="10" t="s">
        <v>73</v>
      </c>
      <c r="B149" s="11" t="s">
        <v>74</v>
      </c>
      <c r="C149" s="11" t="s">
        <v>30</v>
      </c>
      <c r="D149" s="12">
        <v>41677</v>
      </c>
      <c r="E149" s="12">
        <v>41677</v>
      </c>
      <c r="F149" s="13">
        <v>212.5</v>
      </c>
      <c r="H149" s="18" t="s">
        <v>159</v>
      </c>
      <c r="I149" s="1">
        <v>8</v>
      </c>
    </row>
    <row r="150" spans="1:9" x14ac:dyDescent="0.25">
      <c r="A150" s="6" t="s">
        <v>101</v>
      </c>
      <c r="B150" s="7" t="s">
        <v>102</v>
      </c>
      <c r="C150" s="7" t="s">
        <v>59</v>
      </c>
      <c r="D150" s="8">
        <v>41677</v>
      </c>
      <c r="E150" s="8">
        <v>41679</v>
      </c>
      <c r="F150" s="9">
        <v>760</v>
      </c>
      <c r="H150" s="19" t="s">
        <v>158</v>
      </c>
      <c r="I150" s="1">
        <v>8</v>
      </c>
    </row>
    <row r="151" spans="1:9" x14ac:dyDescent="0.25">
      <c r="A151" s="10" t="s">
        <v>143</v>
      </c>
      <c r="B151" s="11" t="s">
        <v>144</v>
      </c>
      <c r="C151" s="11" t="s">
        <v>27</v>
      </c>
      <c r="D151" s="12">
        <v>41677</v>
      </c>
      <c r="E151" s="12">
        <v>41678</v>
      </c>
      <c r="F151" s="13">
        <v>570</v>
      </c>
      <c r="H151" s="18" t="s">
        <v>37</v>
      </c>
      <c r="I151" s="1">
        <v>7</v>
      </c>
    </row>
    <row r="152" spans="1:9" x14ac:dyDescent="0.25">
      <c r="A152" s="6" t="s">
        <v>73</v>
      </c>
      <c r="B152" s="7" t="s">
        <v>104</v>
      </c>
      <c r="C152" s="7" t="s">
        <v>47</v>
      </c>
      <c r="D152" s="8">
        <v>41677</v>
      </c>
      <c r="E152" s="8">
        <v>41679</v>
      </c>
      <c r="F152" s="9">
        <v>689.8</v>
      </c>
      <c r="H152" s="19" t="s">
        <v>36</v>
      </c>
      <c r="I152" s="1">
        <v>7</v>
      </c>
    </row>
    <row r="153" spans="1:9" x14ac:dyDescent="0.25">
      <c r="A153" s="10" t="s">
        <v>93</v>
      </c>
      <c r="B153" s="11" t="s">
        <v>106</v>
      </c>
      <c r="C153" s="11" t="s">
        <v>66</v>
      </c>
      <c r="D153" s="12">
        <v>41677</v>
      </c>
      <c r="E153" s="12">
        <v>41681</v>
      </c>
      <c r="F153" s="13">
        <v>1019.7</v>
      </c>
      <c r="H153" s="18" t="s">
        <v>45</v>
      </c>
      <c r="I153" s="1">
        <v>8</v>
      </c>
    </row>
    <row r="154" spans="1:9" x14ac:dyDescent="0.25">
      <c r="A154" s="6" t="s">
        <v>145</v>
      </c>
      <c r="B154" s="7" t="s">
        <v>146</v>
      </c>
      <c r="C154" s="7" t="s">
        <v>8</v>
      </c>
      <c r="D154" s="8">
        <v>41677</v>
      </c>
      <c r="E154" s="8">
        <v>41678</v>
      </c>
      <c r="F154" s="9">
        <v>891</v>
      </c>
      <c r="H154" s="19" t="s">
        <v>6</v>
      </c>
      <c r="I154" s="1">
        <v>8</v>
      </c>
    </row>
    <row r="155" spans="1:9" x14ac:dyDescent="0.25">
      <c r="A155" s="10" t="s">
        <v>147</v>
      </c>
      <c r="B155" s="11" t="s">
        <v>148</v>
      </c>
      <c r="C155" s="11" t="s">
        <v>11</v>
      </c>
      <c r="D155" s="12">
        <v>41677</v>
      </c>
      <c r="E155" s="12">
        <v>41678</v>
      </c>
      <c r="F155" s="13">
        <v>295.39999999999998</v>
      </c>
      <c r="H155" s="18" t="s">
        <v>112</v>
      </c>
      <c r="I155" s="1">
        <v>14</v>
      </c>
    </row>
    <row r="156" spans="1:9" x14ac:dyDescent="0.25">
      <c r="A156" s="6" t="s">
        <v>119</v>
      </c>
      <c r="B156" s="7" t="s">
        <v>120</v>
      </c>
      <c r="C156" s="7" t="s">
        <v>8</v>
      </c>
      <c r="D156" s="8">
        <v>41677</v>
      </c>
      <c r="E156" s="8">
        <v>41678</v>
      </c>
      <c r="F156" s="9">
        <v>891</v>
      </c>
      <c r="H156" s="19" t="s">
        <v>111</v>
      </c>
      <c r="I156" s="1">
        <v>14</v>
      </c>
    </row>
    <row r="157" spans="1:9" x14ac:dyDescent="0.25">
      <c r="A157" s="10" t="s">
        <v>134</v>
      </c>
      <c r="B157" s="11" t="s">
        <v>149</v>
      </c>
      <c r="C157" s="11" t="s">
        <v>30</v>
      </c>
      <c r="D157" s="12">
        <v>41677</v>
      </c>
      <c r="E157" s="12">
        <v>41681</v>
      </c>
      <c r="F157" s="13">
        <v>688.5</v>
      </c>
      <c r="H157" s="18" t="s">
        <v>90</v>
      </c>
      <c r="I157" s="1">
        <v>6</v>
      </c>
    </row>
    <row r="158" spans="1:9" x14ac:dyDescent="0.25">
      <c r="A158" s="6" t="s">
        <v>111</v>
      </c>
      <c r="B158" s="7" t="s">
        <v>112</v>
      </c>
      <c r="C158" s="7" t="s">
        <v>66</v>
      </c>
      <c r="D158" s="8">
        <v>41677</v>
      </c>
      <c r="E158" s="8">
        <v>41679</v>
      </c>
      <c r="F158" s="9">
        <v>663.7</v>
      </c>
      <c r="H158" s="19" t="s">
        <v>89</v>
      </c>
      <c r="I158" s="1">
        <v>6</v>
      </c>
    </row>
    <row r="159" spans="1:9" x14ac:dyDescent="0.25">
      <c r="A159" s="10" t="s">
        <v>15</v>
      </c>
      <c r="B159" s="11" t="s">
        <v>16</v>
      </c>
      <c r="C159" s="11" t="s">
        <v>30</v>
      </c>
      <c r="D159" s="12">
        <v>41677</v>
      </c>
      <c r="E159" s="12">
        <v>41680</v>
      </c>
      <c r="F159" s="13">
        <v>569.5</v>
      </c>
      <c r="H159" s="18" t="s">
        <v>162</v>
      </c>
      <c r="I159" s="1">
        <v>7</v>
      </c>
    </row>
    <row r="160" spans="1:9" x14ac:dyDescent="0.25">
      <c r="A160" s="6" t="s">
        <v>54</v>
      </c>
      <c r="B160" s="7" t="s">
        <v>55</v>
      </c>
      <c r="C160" s="7" t="s">
        <v>27</v>
      </c>
      <c r="D160" s="8">
        <v>41680</v>
      </c>
      <c r="E160" s="8">
        <v>41680</v>
      </c>
      <c r="F160" s="9">
        <v>442</v>
      </c>
      <c r="H160" s="19" t="s">
        <v>20</v>
      </c>
      <c r="I160" s="1">
        <v>7</v>
      </c>
    </row>
    <row r="161" spans="1:9" x14ac:dyDescent="0.25">
      <c r="A161" s="10" t="s">
        <v>33</v>
      </c>
      <c r="B161" s="11" t="s">
        <v>41</v>
      </c>
      <c r="C161" s="11" t="s">
        <v>19</v>
      </c>
      <c r="D161" s="12">
        <v>41680</v>
      </c>
      <c r="E161" s="12">
        <v>41680</v>
      </c>
      <c r="F161" s="13">
        <v>513.4</v>
      </c>
      <c r="H161" s="18" t="s">
        <v>40</v>
      </c>
      <c r="I161" s="1">
        <v>7</v>
      </c>
    </row>
    <row r="162" spans="1:9" x14ac:dyDescent="0.25">
      <c r="A162" s="6" t="s">
        <v>107</v>
      </c>
      <c r="B162" s="7" t="s">
        <v>108</v>
      </c>
      <c r="C162" s="7" t="s">
        <v>30</v>
      </c>
      <c r="D162" s="8">
        <v>41680</v>
      </c>
      <c r="E162" s="8">
        <v>41681</v>
      </c>
      <c r="F162" s="9">
        <v>331.5</v>
      </c>
      <c r="H162" s="19" t="s">
        <v>39</v>
      </c>
      <c r="I162" s="1">
        <v>7</v>
      </c>
    </row>
    <row r="163" spans="1:9" x14ac:dyDescent="0.25">
      <c r="A163" s="10" t="s">
        <v>54</v>
      </c>
      <c r="B163" s="11" t="s">
        <v>81</v>
      </c>
      <c r="C163" s="11" t="s">
        <v>19</v>
      </c>
      <c r="D163" s="12">
        <v>41682</v>
      </c>
      <c r="E163" s="12">
        <v>41682</v>
      </c>
      <c r="F163" s="13">
        <v>513.4</v>
      </c>
      <c r="H163" s="18" t="s">
        <v>76</v>
      </c>
      <c r="I163" s="1">
        <v>8</v>
      </c>
    </row>
    <row r="164" spans="1:9" x14ac:dyDescent="0.25">
      <c r="A164" s="6" t="s">
        <v>86</v>
      </c>
      <c r="B164" s="7" t="s">
        <v>150</v>
      </c>
      <c r="C164" s="7" t="s">
        <v>30</v>
      </c>
      <c r="D164" s="8">
        <v>41684</v>
      </c>
      <c r="E164" s="8">
        <v>41686</v>
      </c>
      <c r="F164" s="9">
        <v>450.5</v>
      </c>
      <c r="H164" s="19" t="s">
        <v>75</v>
      </c>
      <c r="I164" s="1">
        <v>8</v>
      </c>
    </row>
    <row r="165" spans="1:9" x14ac:dyDescent="0.25">
      <c r="A165" s="10" t="s">
        <v>99</v>
      </c>
      <c r="B165" s="11" t="s">
        <v>100</v>
      </c>
      <c r="C165" s="11" t="s">
        <v>19</v>
      </c>
      <c r="D165" s="12">
        <v>41684</v>
      </c>
      <c r="E165" s="12">
        <v>41686</v>
      </c>
      <c r="F165" s="13">
        <v>795.4</v>
      </c>
      <c r="H165" s="18" t="s">
        <v>77</v>
      </c>
      <c r="I165" s="1">
        <v>12</v>
      </c>
    </row>
    <row r="166" spans="1:9" x14ac:dyDescent="0.25">
      <c r="A166" s="6" t="s">
        <v>151</v>
      </c>
      <c r="B166" s="7" t="s">
        <v>152</v>
      </c>
      <c r="C166" s="7" t="s">
        <v>30</v>
      </c>
      <c r="D166" s="8">
        <v>41684</v>
      </c>
      <c r="E166" s="8">
        <v>41684</v>
      </c>
      <c r="F166" s="9">
        <v>212.5</v>
      </c>
      <c r="H166" s="19" t="s">
        <v>31</v>
      </c>
      <c r="I166" s="1">
        <v>12</v>
      </c>
    </row>
    <row r="167" spans="1:9" x14ac:dyDescent="0.25">
      <c r="A167" s="10" t="s">
        <v>52</v>
      </c>
      <c r="B167" s="11" t="s">
        <v>53</v>
      </c>
      <c r="C167" s="11" t="s">
        <v>72</v>
      </c>
      <c r="D167" s="12">
        <v>41684</v>
      </c>
      <c r="E167" s="12">
        <v>41686</v>
      </c>
      <c r="F167" s="13">
        <v>892.7</v>
      </c>
      <c r="H167" s="18" t="s">
        <v>63</v>
      </c>
      <c r="I167" s="1">
        <v>11</v>
      </c>
    </row>
    <row r="168" spans="1:9" x14ac:dyDescent="0.25">
      <c r="A168" s="6" t="s">
        <v>31</v>
      </c>
      <c r="B168" s="7" t="s">
        <v>77</v>
      </c>
      <c r="C168" s="7" t="s">
        <v>66</v>
      </c>
      <c r="D168" s="8">
        <v>41684</v>
      </c>
      <c r="E168" s="8">
        <v>41688</v>
      </c>
      <c r="F168" s="9">
        <v>1019.7</v>
      </c>
      <c r="H168" s="19" t="s">
        <v>15</v>
      </c>
      <c r="I168" s="1">
        <v>11</v>
      </c>
    </row>
    <row r="169" spans="1:9" x14ac:dyDescent="0.25">
      <c r="A169" s="10" t="s">
        <v>113</v>
      </c>
      <c r="B169" s="11" t="s">
        <v>114</v>
      </c>
      <c r="C169" s="11" t="s">
        <v>11</v>
      </c>
      <c r="D169" s="12">
        <v>41684</v>
      </c>
      <c r="E169" s="12">
        <v>41687</v>
      </c>
      <c r="F169" s="13">
        <v>573.4</v>
      </c>
      <c r="H169" s="18" t="s">
        <v>16</v>
      </c>
      <c r="I169" s="1">
        <v>13</v>
      </c>
    </row>
    <row r="170" spans="1:9" x14ac:dyDescent="0.25">
      <c r="A170" s="6" t="s">
        <v>109</v>
      </c>
      <c r="B170" s="7" t="s">
        <v>110</v>
      </c>
      <c r="C170" s="7" t="s">
        <v>38</v>
      </c>
      <c r="D170" s="8">
        <v>41685</v>
      </c>
      <c r="E170" s="8">
        <v>41687</v>
      </c>
      <c r="F170" s="9">
        <v>536.79999999999995</v>
      </c>
      <c r="H170" s="19" t="s">
        <v>15</v>
      </c>
      <c r="I170" s="1">
        <v>13</v>
      </c>
    </row>
    <row r="171" spans="1:9" x14ac:dyDescent="0.25">
      <c r="A171" s="10" t="s">
        <v>64</v>
      </c>
      <c r="B171" s="11" t="s">
        <v>65</v>
      </c>
      <c r="C171" s="11" t="s">
        <v>17</v>
      </c>
      <c r="D171" s="12">
        <v>41685</v>
      </c>
      <c r="E171" s="12">
        <v>41686</v>
      </c>
      <c r="F171" s="13">
        <v>706.5</v>
      </c>
      <c r="H171" s="18" t="s">
        <v>114</v>
      </c>
      <c r="I171" s="1">
        <v>17</v>
      </c>
    </row>
    <row r="172" spans="1:9" x14ac:dyDescent="0.25">
      <c r="A172" s="6" t="s">
        <v>22</v>
      </c>
      <c r="B172" s="7" t="s">
        <v>23</v>
      </c>
      <c r="C172" s="7" t="s">
        <v>72</v>
      </c>
      <c r="D172" s="8">
        <v>41689</v>
      </c>
      <c r="E172" s="8">
        <v>41693</v>
      </c>
      <c r="F172" s="9">
        <v>1290.7</v>
      </c>
      <c r="H172" s="19" t="s">
        <v>113</v>
      </c>
      <c r="I172" s="1">
        <v>17</v>
      </c>
    </row>
    <row r="173" spans="1:9" x14ac:dyDescent="0.25">
      <c r="A173" s="10" t="s">
        <v>115</v>
      </c>
      <c r="B173" s="11" t="s">
        <v>153</v>
      </c>
      <c r="C173" s="11" t="s">
        <v>30</v>
      </c>
      <c r="D173" s="12">
        <v>41689</v>
      </c>
      <c r="E173" s="12">
        <v>41693</v>
      </c>
      <c r="F173" s="13">
        <v>688.5</v>
      </c>
      <c r="H173" s="18" t="s">
        <v>92</v>
      </c>
      <c r="I173" s="1">
        <v>13</v>
      </c>
    </row>
    <row r="174" spans="1:9" x14ac:dyDescent="0.25">
      <c r="A174" s="6" t="s">
        <v>131</v>
      </c>
      <c r="B174" s="7" t="s">
        <v>154</v>
      </c>
      <c r="C174" s="7" t="s">
        <v>27</v>
      </c>
      <c r="D174" s="8">
        <v>41689</v>
      </c>
      <c r="E174" s="8">
        <v>41690</v>
      </c>
      <c r="F174" s="9">
        <v>570</v>
      </c>
      <c r="H174" s="19" t="s">
        <v>91</v>
      </c>
      <c r="I174" s="1">
        <v>13</v>
      </c>
    </row>
    <row r="175" spans="1:9" x14ac:dyDescent="0.25">
      <c r="A175" s="10" t="s">
        <v>25</v>
      </c>
      <c r="B175" s="11" t="s">
        <v>67</v>
      </c>
      <c r="C175" s="11" t="s">
        <v>17</v>
      </c>
      <c r="D175" s="12">
        <v>41689</v>
      </c>
      <c r="E175" s="12">
        <v>41692</v>
      </c>
      <c r="F175" s="13">
        <v>1116.5</v>
      </c>
      <c r="H175" s="18" t="s">
        <v>94</v>
      </c>
      <c r="I175" s="1">
        <v>15</v>
      </c>
    </row>
    <row r="176" spans="1:9" x14ac:dyDescent="0.25">
      <c r="A176" s="6" t="s">
        <v>50</v>
      </c>
      <c r="B176" s="7" t="s">
        <v>51</v>
      </c>
      <c r="C176" s="7" t="s">
        <v>8</v>
      </c>
      <c r="D176" s="8">
        <v>41689</v>
      </c>
      <c r="E176" s="8">
        <v>41690</v>
      </c>
      <c r="F176" s="9">
        <v>891</v>
      </c>
      <c r="H176" s="19" t="s">
        <v>93</v>
      </c>
      <c r="I176" s="1">
        <v>15</v>
      </c>
    </row>
    <row r="177" spans="1:9" x14ac:dyDescent="0.25">
      <c r="A177" s="10" t="s">
        <v>70</v>
      </c>
      <c r="B177" s="11" t="s">
        <v>71</v>
      </c>
      <c r="C177" s="11" t="s">
        <v>38</v>
      </c>
      <c r="D177" s="12">
        <v>41689</v>
      </c>
      <c r="E177" s="12">
        <v>41692</v>
      </c>
      <c r="F177" s="13">
        <v>665.8</v>
      </c>
      <c r="H177" s="18" t="s">
        <v>138</v>
      </c>
      <c r="I177" s="1">
        <v>11</v>
      </c>
    </row>
    <row r="178" spans="1:9" x14ac:dyDescent="0.25">
      <c r="A178" s="6" t="s">
        <v>33</v>
      </c>
      <c r="B178" s="7" t="s">
        <v>41</v>
      </c>
      <c r="C178" s="7" t="s">
        <v>11</v>
      </c>
      <c r="D178" s="8">
        <v>41689</v>
      </c>
      <c r="E178" s="8">
        <v>41691</v>
      </c>
      <c r="F178" s="9">
        <v>434.4</v>
      </c>
      <c r="H178" s="19" t="s">
        <v>137</v>
      </c>
      <c r="I178" s="1">
        <v>11</v>
      </c>
    </row>
    <row r="179" spans="1:9" x14ac:dyDescent="0.25">
      <c r="A179" s="10" t="s">
        <v>9</v>
      </c>
      <c r="B179" s="11" t="s">
        <v>10</v>
      </c>
      <c r="C179" s="11" t="s">
        <v>24</v>
      </c>
      <c r="D179" s="12">
        <v>41689</v>
      </c>
      <c r="E179" s="12">
        <v>41691</v>
      </c>
      <c r="F179" s="13">
        <v>588.70000000000005</v>
      </c>
      <c r="H179" s="18" t="s">
        <v>116</v>
      </c>
      <c r="I179" s="1">
        <v>9</v>
      </c>
    </row>
    <row r="180" spans="1:9" x14ac:dyDescent="0.25">
      <c r="A180" s="6" t="s">
        <v>15</v>
      </c>
      <c r="B180" s="7" t="s">
        <v>105</v>
      </c>
      <c r="C180" s="7" t="s">
        <v>66</v>
      </c>
      <c r="D180" s="8">
        <v>41689</v>
      </c>
      <c r="E180" s="8">
        <v>41692</v>
      </c>
      <c r="F180" s="9">
        <v>841.7</v>
      </c>
      <c r="H180" s="19" t="s">
        <v>115</v>
      </c>
      <c r="I180" s="1">
        <v>9</v>
      </c>
    </row>
    <row r="181" spans="1:9" x14ac:dyDescent="0.25">
      <c r="A181" s="10" t="s">
        <v>73</v>
      </c>
      <c r="B181" s="11" t="s">
        <v>155</v>
      </c>
      <c r="C181" s="11" t="s">
        <v>19</v>
      </c>
      <c r="D181" s="12">
        <v>41689</v>
      </c>
      <c r="E181" s="12">
        <v>41690</v>
      </c>
      <c r="F181" s="13">
        <v>654.4</v>
      </c>
      <c r="H181" s="18" t="s">
        <v>95</v>
      </c>
      <c r="I181" s="1">
        <v>13</v>
      </c>
    </row>
    <row r="182" spans="1:9" x14ac:dyDescent="0.25">
      <c r="A182" s="6" t="s">
        <v>151</v>
      </c>
      <c r="B182" s="7" t="s">
        <v>152</v>
      </c>
      <c r="C182" s="7" t="s">
        <v>17</v>
      </c>
      <c r="D182" s="8">
        <v>41689</v>
      </c>
      <c r="E182" s="8">
        <v>41690</v>
      </c>
      <c r="F182" s="9">
        <v>706.5</v>
      </c>
      <c r="H182" s="19" t="s">
        <v>12</v>
      </c>
      <c r="I182" s="1">
        <v>13</v>
      </c>
    </row>
    <row r="183" spans="1:9" x14ac:dyDescent="0.25">
      <c r="A183" s="10" t="s">
        <v>156</v>
      </c>
      <c r="B183" s="11" t="s">
        <v>157</v>
      </c>
      <c r="C183" s="11" t="s">
        <v>17</v>
      </c>
      <c r="D183" s="12">
        <v>41689</v>
      </c>
      <c r="E183" s="12">
        <v>41693</v>
      </c>
      <c r="F183" s="13">
        <v>1321.5</v>
      </c>
      <c r="H183" s="18" t="s">
        <v>161</v>
      </c>
      <c r="I183" s="1">
        <v>5</v>
      </c>
    </row>
    <row r="184" spans="1:9" x14ac:dyDescent="0.25">
      <c r="A184" s="6" t="s">
        <v>158</v>
      </c>
      <c r="B184" s="7" t="s">
        <v>159</v>
      </c>
      <c r="C184" s="7" t="s">
        <v>24</v>
      </c>
      <c r="D184" s="8">
        <v>41689</v>
      </c>
      <c r="E184" s="8">
        <v>41693</v>
      </c>
      <c r="F184" s="9">
        <v>886.7</v>
      </c>
      <c r="H184" s="19" t="s">
        <v>91</v>
      </c>
      <c r="I184" s="1">
        <v>5</v>
      </c>
    </row>
    <row r="185" spans="1:9" x14ac:dyDescent="0.25">
      <c r="A185" s="10" t="s">
        <v>137</v>
      </c>
      <c r="B185" s="11" t="s">
        <v>138</v>
      </c>
      <c r="C185" s="11" t="s">
        <v>30</v>
      </c>
      <c r="D185" s="12">
        <v>41689</v>
      </c>
      <c r="E185" s="12">
        <v>41690</v>
      </c>
      <c r="F185" s="13">
        <v>331.5</v>
      </c>
      <c r="H185" s="18" t="s">
        <v>96</v>
      </c>
      <c r="I185" s="1">
        <v>10</v>
      </c>
    </row>
    <row r="186" spans="1:9" x14ac:dyDescent="0.25">
      <c r="A186" s="6" t="s">
        <v>12</v>
      </c>
      <c r="B186" s="7" t="s">
        <v>95</v>
      </c>
      <c r="C186" s="7" t="s">
        <v>8</v>
      </c>
      <c r="D186" s="8">
        <v>41689</v>
      </c>
      <c r="E186" s="8">
        <v>41690</v>
      </c>
      <c r="F186" s="9">
        <v>891</v>
      </c>
      <c r="H186" s="19" t="s">
        <v>15</v>
      </c>
      <c r="I186" s="1">
        <v>10</v>
      </c>
    </row>
    <row r="187" spans="1:9" x14ac:dyDescent="0.25">
      <c r="A187" s="10" t="s">
        <v>12</v>
      </c>
      <c r="B187" s="11" t="s">
        <v>95</v>
      </c>
      <c r="C187" s="11" t="s">
        <v>11</v>
      </c>
      <c r="D187" s="12">
        <v>41689</v>
      </c>
      <c r="E187" s="12">
        <v>41690</v>
      </c>
      <c r="F187" s="13">
        <v>295.39999999999998</v>
      </c>
      <c r="H187" s="18" t="s">
        <v>18</v>
      </c>
      <c r="I187" s="1">
        <v>13</v>
      </c>
    </row>
    <row r="188" spans="1:9" x14ac:dyDescent="0.25">
      <c r="A188" s="6" t="s">
        <v>15</v>
      </c>
      <c r="B188" s="7" t="s">
        <v>96</v>
      </c>
      <c r="C188" s="7" t="s">
        <v>27</v>
      </c>
      <c r="D188" s="8">
        <v>41689</v>
      </c>
      <c r="E188" s="8">
        <v>41692</v>
      </c>
      <c r="F188" s="9">
        <v>826</v>
      </c>
      <c r="H188" s="19" t="s">
        <v>9</v>
      </c>
      <c r="I188" s="1">
        <v>13</v>
      </c>
    </row>
    <row r="189" spans="1:9" x14ac:dyDescent="0.25">
      <c r="A189" s="10" t="s">
        <v>9</v>
      </c>
      <c r="B189" s="11" t="s">
        <v>18</v>
      </c>
      <c r="C189" s="11" t="s">
        <v>27</v>
      </c>
      <c r="D189" s="12">
        <v>41689</v>
      </c>
      <c r="E189" s="12">
        <v>41691</v>
      </c>
      <c r="F189" s="13">
        <v>698</v>
      </c>
      <c r="H189" s="18" t="s">
        <v>117</v>
      </c>
      <c r="I189" s="1">
        <v>9</v>
      </c>
    </row>
    <row r="190" spans="1:9" x14ac:dyDescent="0.25">
      <c r="A190" s="6" t="s">
        <v>64</v>
      </c>
      <c r="B190" s="7" t="s">
        <v>65</v>
      </c>
      <c r="C190" s="7" t="s">
        <v>47</v>
      </c>
      <c r="D190" s="8">
        <v>41689</v>
      </c>
      <c r="E190" s="8">
        <v>41689</v>
      </c>
      <c r="F190" s="9">
        <v>363.8</v>
      </c>
      <c r="H190" s="19" t="s">
        <v>70</v>
      </c>
      <c r="I190" s="1">
        <v>9</v>
      </c>
    </row>
    <row r="191" spans="1:9" x14ac:dyDescent="0.25">
      <c r="A191" s="10" t="s">
        <v>86</v>
      </c>
      <c r="B191" s="11" t="s">
        <v>136</v>
      </c>
      <c r="C191" s="11" t="s">
        <v>38</v>
      </c>
      <c r="D191" s="12">
        <v>41689</v>
      </c>
      <c r="E191" s="12">
        <v>41691</v>
      </c>
      <c r="F191" s="13">
        <v>536.79999999999995</v>
      </c>
      <c r="H191" s="18" t="s">
        <v>118</v>
      </c>
      <c r="I191" s="1">
        <v>9</v>
      </c>
    </row>
    <row r="192" spans="1:9" x14ac:dyDescent="0.25">
      <c r="A192" s="6" t="s">
        <v>131</v>
      </c>
      <c r="B192" s="7" t="s">
        <v>154</v>
      </c>
      <c r="C192" s="7" t="s">
        <v>8</v>
      </c>
      <c r="D192" s="8">
        <v>41692</v>
      </c>
      <c r="E192" s="8">
        <v>41692</v>
      </c>
      <c r="F192" s="9">
        <v>680</v>
      </c>
      <c r="H192" s="19" t="s">
        <v>54</v>
      </c>
      <c r="I192" s="1">
        <v>9</v>
      </c>
    </row>
    <row r="193" spans="1:9" x14ac:dyDescent="0.25">
      <c r="A193" s="10" t="s">
        <v>25</v>
      </c>
      <c r="B193" s="11" t="s">
        <v>68</v>
      </c>
      <c r="C193" s="11" t="s">
        <v>27</v>
      </c>
      <c r="D193" s="12">
        <v>41696</v>
      </c>
      <c r="E193" s="12">
        <v>41700</v>
      </c>
      <c r="F193" s="13">
        <v>954</v>
      </c>
      <c r="H193" s="18" t="s">
        <v>65</v>
      </c>
      <c r="I193" s="1">
        <v>8</v>
      </c>
    </row>
    <row r="194" spans="1:9" x14ac:dyDescent="0.25">
      <c r="A194" s="6" t="s">
        <v>73</v>
      </c>
      <c r="B194" s="7" t="s">
        <v>155</v>
      </c>
      <c r="C194" s="7" t="s">
        <v>19</v>
      </c>
      <c r="D194" s="8">
        <v>41696</v>
      </c>
      <c r="E194" s="8">
        <v>41698</v>
      </c>
      <c r="F194" s="9">
        <v>795.4</v>
      </c>
      <c r="H194" s="19" t="s">
        <v>64</v>
      </c>
      <c r="I194" s="1">
        <v>8</v>
      </c>
    </row>
    <row r="195" spans="1:9" x14ac:dyDescent="0.25">
      <c r="A195" s="10" t="s">
        <v>156</v>
      </c>
      <c r="B195" s="11" t="s">
        <v>157</v>
      </c>
      <c r="C195" s="11" t="s">
        <v>14</v>
      </c>
      <c r="D195" s="12">
        <v>41696</v>
      </c>
      <c r="E195" s="12">
        <v>41699</v>
      </c>
      <c r="F195" s="13">
        <v>550.5</v>
      </c>
      <c r="H195" s="18" t="s">
        <v>58</v>
      </c>
      <c r="I195" s="1">
        <v>8</v>
      </c>
    </row>
    <row r="196" spans="1:9" x14ac:dyDescent="0.25">
      <c r="A196" s="6" t="s">
        <v>137</v>
      </c>
      <c r="B196" s="7" t="s">
        <v>160</v>
      </c>
      <c r="C196" s="7" t="s">
        <v>24</v>
      </c>
      <c r="D196" s="8">
        <v>41696</v>
      </c>
      <c r="E196" s="8">
        <v>41697</v>
      </c>
      <c r="F196" s="9">
        <v>439.7</v>
      </c>
      <c r="H196" s="19" t="s">
        <v>57</v>
      </c>
      <c r="I196" s="1">
        <v>8</v>
      </c>
    </row>
    <row r="197" spans="1:9" x14ac:dyDescent="0.25">
      <c r="A197" s="10" t="s">
        <v>15</v>
      </c>
      <c r="B197" s="11" t="s">
        <v>16</v>
      </c>
      <c r="C197" s="11" t="s">
        <v>17</v>
      </c>
      <c r="D197" s="12">
        <v>41696</v>
      </c>
      <c r="E197" s="12">
        <v>41697</v>
      </c>
      <c r="F197" s="13">
        <v>706.5</v>
      </c>
      <c r="H197" s="18" t="s">
        <v>136</v>
      </c>
      <c r="I197" s="1">
        <v>11</v>
      </c>
    </row>
    <row r="198" spans="1:9" x14ac:dyDescent="0.25">
      <c r="A198" s="6" t="s">
        <v>91</v>
      </c>
      <c r="B198" s="7" t="s">
        <v>161</v>
      </c>
      <c r="C198" s="7" t="s">
        <v>66</v>
      </c>
      <c r="D198" s="8">
        <v>41696</v>
      </c>
      <c r="E198" s="8">
        <v>41697</v>
      </c>
      <c r="F198" s="9">
        <v>485.7</v>
      </c>
      <c r="H198" s="19" t="s">
        <v>86</v>
      </c>
      <c r="I198" s="1">
        <v>11</v>
      </c>
    </row>
    <row r="199" spans="1:9" x14ac:dyDescent="0.25">
      <c r="A199" s="10" t="s">
        <v>131</v>
      </c>
      <c r="B199" s="11" t="s">
        <v>154</v>
      </c>
      <c r="C199" s="11" t="s">
        <v>38</v>
      </c>
      <c r="D199" s="12">
        <v>41698</v>
      </c>
      <c r="E199" s="12">
        <v>41698</v>
      </c>
      <c r="F199" s="13">
        <v>278.8</v>
      </c>
      <c r="H199" s="18" t="s">
        <v>132</v>
      </c>
      <c r="I199" s="1">
        <v>8</v>
      </c>
    </row>
    <row r="200" spans="1:9" x14ac:dyDescent="0.25">
      <c r="A200" s="6" t="s">
        <v>15</v>
      </c>
      <c r="B200" s="7" t="s">
        <v>44</v>
      </c>
      <c r="C200" s="7" t="s">
        <v>72</v>
      </c>
      <c r="D200" s="8">
        <v>41701</v>
      </c>
      <c r="E200" s="8">
        <v>41702</v>
      </c>
      <c r="F200" s="9">
        <v>693.7</v>
      </c>
      <c r="H200" s="19" t="s">
        <v>131</v>
      </c>
      <c r="I200" s="1">
        <v>8</v>
      </c>
    </row>
    <row r="201" spans="1:9" x14ac:dyDescent="0.25">
      <c r="A201" s="10" t="s">
        <v>54</v>
      </c>
      <c r="B201" s="11" t="s">
        <v>55</v>
      </c>
      <c r="C201" s="11" t="s">
        <v>72</v>
      </c>
      <c r="D201" s="12">
        <v>41701</v>
      </c>
      <c r="E201" s="12">
        <v>41701</v>
      </c>
      <c r="F201" s="13">
        <v>494.7</v>
      </c>
      <c r="H201" s="18" t="s">
        <v>21</v>
      </c>
      <c r="I201" s="1">
        <v>13</v>
      </c>
    </row>
    <row r="202" spans="1:9" x14ac:dyDescent="0.25">
      <c r="A202" s="6" t="s">
        <v>99</v>
      </c>
      <c r="B202" s="7" t="s">
        <v>130</v>
      </c>
      <c r="C202" s="7" t="s">
        <v>17</v>
      </c>
      <c r="D202" s="8">
        <v>41701</v>
      </c>
      <c r="E202" s="8">
        <v>41703</v>
      </c>
      <c r="F202" s="9">
        <v>911.5</v>
      </c>
      <c r="H202" s="19" t="s">
        <v>20</v>
      </c>
      <c r="I202" s="1">
        <v>13</v>
      </c>
    </row>
    <row r="203" spans="1:9" x14ac:dyDescent="0.25">
      <c r="A203" s="10" t="s">
        <v>28</v>
      </c>
      <c r="B203" s="11" t="s">
        <v>29</v>
      </c>
      <c r="C203" s="11" t="s">
        <v>11</v>
      </c>
      <c r="D203" s="12">
        <v>41701</v>
      </c>
      <c r="E203" s="12">
        <v>41702</v>
      </c>
      <c r="F203" s="13">
        <v>295.39999999999998</v>
      </c>
      <c r="H203" s="18" t="s">
        <v>176</v>
      </c>
      <c r="I203" s="1">
        <v>1000</v>
      </c>
    </row>
    <row r="204" spans="1:9" x14ac:dyDescent="0.25">
      <c r="A204" s="6" t="s">
        <v>73</v>
      </c>
      <c r="B204" s="7" t="s">
        <v>104</v>
      </c>
      <c r="C204" s="7" t="s">
        <v>11</v>
      </c>
      <c r="D204" s="8">
        <v>41701</v>
      </c>
      <c r="E204" s="8">
        <v>41705</v>
      </c>
      <c r="F204" s="9">
        <v>712.4</v>
      </c>
    </row>
    <row r="205" spans="1:9" x14ac:dyDescent="0.25">
      <c r="A205" s="10" t="s">
        <v>54</v>
      </c>
      <c r="B205" s="11" t="s">
        <v>121</v>
      </c>
      <c r="C205" s="11" t="s">
        <v>30</v>
      </c>
      <c r="D205" s="12">
        <v>41701</v>
      </c>
      <c r="E205" s="12">
        <v>41703</v>
      </c>
      <c r="F205" s="13">
        <v>450.5</v>
      </c>
    </row>
    <row r="206" spans="1:9" x14ac:dyDescent="0.25">
      <c r="A206" s="6" t="s">
        <v>73</v>
      </c>
      <c r="B206" s="7" t="s">
        <v>155</v>
      </c>
      <c r="C206" s="7" t="s">
        <v>14</v>
      </c>
      <c r="D206" s="8">
        <v>41701</v>
      </c>
      <c r="E206" s="8">
        <v>41704</v>
      </c>
      <c r="F206" s="9">
        <v>550.5</v>
      </c>
    </row>
    <row r="207" spans="1:9" x14ac:dyDescent="0.25">
      <c r="A207" s="10" t="s">
        <v>75</v>
      </c>
      <c r="B207" s="11" t="s">
        <v>88</v>
      </c>
      <c r="C207" s="11" t="s">
        <v>27</v>
      </c>
      <c r="D207" s="12">
        <v>41701</v>
      </c>
      <c r="E207" s="12">
        <v>41702</v>
      </c>
      <c r="F207" s="13">
        <v>570</v>
      </c>
    </row>
    <row r="208" spans="1:9" x14ac:dyDescent="0.25">
      <c r="A208" s="6" t="s">
        <v>137</v>
      </c>
      <c r="B208" s="7" t="s">
        <v>160</v>
      </c>
      <c r="C208" s="7" t="s">
        <v>27</v>
      </c>
      <c r="D208" s="8">
        <v>41701</v>
      </c>
      <c r="E208" s="8">
        <v>41703</v>
      </c>
      <c r="F208" s="9">
        <v>698</v>
      </c>
    </row>
    <row r="209" spans="1:6" x14ac:dyDescent="0.25">
      <c r="A209" s="10" t="s">
        <v>111</v>
      </c>
      <c r="B209" s="11" t="s">
        <v>112</v>
      </c>
      <c r="C209" s="11" t="s">
        <v>11</v>
      </c>
      <c r="D209" s="12">
        <v>41701</v>
      </c>
      <c r="E209" s="12">
        <v>41701</v>
      </c>
      <c r="F209" s="13">
        <v>156.4</v>
      </c>
    </row>
    <row r="210" spans="1:6" x14ac:dyDescent="0.25">
      <c r="A210" s="6" t="s">
        <v>89</v>
      </c>
      <c r="B210" s="7" t="s">
        <v>90</v>
      </c>
      <c r="C210" s="7" t="s">
        <v>8</v>
      </c>
      <c r="D210" s="8">
        <v>41701</v>
      </c>
      <c r="E210" s="8">
        <v>41705</v>
      </c>
      <c r="F210" s="9">
        <v>1524</v>
      </c>
    </row>
    <row r="211" spans="1:6" x14ac:dyDescent="0.25">
      <c r="A211" s="10" t="s">
        <v>20</v>
      </c>
      <c r="B211" s="11" t="s">
        <v>162</v>
      </c>
      <c r="C211" s="11" t="s">
        <v>47</v>
      </c>
      <c r="D211" s="12">
        <v>41701</v>
      </c>
      <c r="E211" s="12">
        <v>41705</v>
      </c>
      <c r="F211" s="13">
        <v>1015.8</v>
      </c>
    </row>
    <row r="212" spans="1:6" x14ac:dyDescent="0.25">
      <c r="A212" s="6" t="s">
        <v>137</v>
      </c>
      <c r="B212" s="7" t="s">
        <v>138</v>
      </c>
      <c r="C212" s="7" t="s">
        <v>17</v>
      </c>
      <c r="D212" s="8">
        <v>41701</v>
      </c>
      <c r="E212" s="8">
        <v>41703</v>
      </c>
      <c r="F212" s="9">
        <v>911.5</v>
      </c>
    </row>
    <row r="213" spans="1:6" x14ac:dyDescent="0.25">
      <c r="A213" s="10" t="s">
        <v>64</v>
      </c>
      <c r="B213" s="11" t="s">
        <v>65</v>
      </c>
      <c r="C213" s="11" t="s">
        <v>47</v>
      </c>
      <c r="D213" s="12">
        <v>41701</v>
      </c>
      <c r="E213" s="12">
        <v>41705</v>
      </c>
      <c r="F213" s="13">
        <v>1015.8</v>
      </c>
    </row>
    <row r="214" spans="1:6" x14ac:dyDescent="0.25">
      <c r="A214" s="6" t="s">
        <v>86</v>
      </c>
      <c r="B214" s="7" t="s">
        <v>136</v>
      </c>
      <c r="C214" s="7" t="s">
        <v>38</v>
      </c>
      <c r="D214" s="8">
        <v>41701</v>
      </c>
      <c r="E214" s="8">
        <v>41701</v>
      </c>
      <c r="F214" s="9">
        <v>278.8</v>
      </c>
    </row>
    <row r="215" spans="1:6" x14ac:dyDescent="0.25">
      <c r="A215" s="10" t="s">
        <v>20</v>
      </c>
      <c r="B215" s="11" t="s">
        <v>21</v>
      </c>
      <c r="C215" s="11" t="s">
        <v>14</v>
      </c>
      <c r="D215" s="12">
        <v>41701</v>
      </c>
      <c r="E215" s="12">
        <v>41704</v>
      </c>
      <c r="F215" s="13">
        <v>550.5</v>
      </c>
    </row>
    <row r="216" spans="1:6" x14ac:dyDescent="0.25">
      <c r="A216" s="6" t="s">
        <v>42</v>
      </c>
      <c r="B216" s="7" t="s">
        <v>43</v>
      </c>
      <c r="C216" s="7" t="s">
        <v>72</v>
      </c>
      <c r="D216" s="8">
        <v>41704</v>
      </c>
      <c r="E216" s="8">
        <v>41704</v>
      </c>
      <c r="F216" s="9">
        <v>494.7</v>
      </c>
    </row>
    <row r="217" spans="1:6" x14ac:dyDescent="0.25">
      <c r="A217" s="10" t="s">
        <v>111</v>
      </c>
      <c r="B217" s="11" t="s">
        <v>112</v>
      </c>
      <c r="C217" s="11" t="s">
        <v>30</v>
      </c>
      <c r="D217" s="12">
        <v>41704</v>
      </c>
      <c r="E217" s="12">
        <v>41704</v>
      </c>
      <c r="F217" s="13">
        <v>212.5</v>
      </c>
    </row>
    <row r="218" spans="1:6" x14ac:dyDescent="0.25">
      <c r="A218" s="6" t="s">
        <v>86</v>
      </c>
      <c r="B218" s="7" t="s">
        <v>136</v>
      </c>
      <c r="C218" s="7" t="s">
        <v>24</v>
      </c>
      <c r="D218" s="8">
        <v>41705</v>
      </c>
      <c r="E218" s="8">
        <v>41705</v>
      </c>
      <c r="F218" s="9">
        <v>290.7</v>
      </c>
    </row>
    <row r="219" spans="1:6" x14ac:dyDescent="0.25">
      <c r="A219" s="10" t="s">
        <v>57</v>
      </c>
      <c r="B219" s="11" t="s">
        <v>163</v>
      </c>
      <c r="C219" s="11" t="s">
        <v>27</v>
      </c>
      <c r="D219" s="12">
        <v>41707</v>
      </c>
      <c r="E219" s="12">
        <v>41710</v>
      </c>
      <c r="F219" s="13">
        <v>826</v>
      </c>
    </row>
    <row r="220" spans="1:6" x14ac:dyDescent="0.25">
      <c r="A220" s="6" t="s">
        <v>131</v>
      </c>
      <c r="B220" s="7" t="s">
        <v>154</v>
      </c>
      <c r="C220" s="7" t="s">
        <v>24</v>
      </c>
      <c r="D220" s="8">
        <v>41708</v>
      </c>
      <c r="E220" s="8">
        <v>41708</v>
      </c>
      <c r="F220" s="9">
        <v>290.7</v>
      </c>
    </row>
    <row r="221" spans="1:6" x14ac:dyDescent="0.25">
      <c r="A221" s="10" t="s">
        <v>99</v>
      </c>
      <c r="B221" s="11" t="s">
        <v>130</v>
      </c>
      <c r="C221" s="11" t="s">
        <v>30</v>
      </c>
      <c r="D221" s="12">
        <v>41708</v>
      </c>
      <c r="E221" s="12">
        <v>41710</v>
      </c>
      <c r="F221" s="13">
        <v>450.5</v>
      </c>
    </row>
    <row r="222" spans="1:6" x14ac:dyDescent="0.25">
      <c r="A222" s="6" t="s">
        <v>9</v>
      </c>
      <c r="B222" s="7" t="s">
        <v>10</v>
      </c>
      <c r="C222" s="7" t="s">
        <v>66</v>
      </c>
      <c r="D222" s="8">
        <v>41708</v>
      </c>
      <c r="E222" s="8">
        <v>41711</v>
      </c>
      <c r="F222" s="9">
        <v>841.7</v>
      </c>
    </row>
    <row r="223" spans="1:6" x14ac:dyDescent="0.25">
      <c r="A223" s="10" t="s">
        <v>164</v>
      </c>
      <c r="B223" s="11" t="s">
        <v>165</v>
      </c>
      <c r="C223" s="11" t="s">
        <v>14</v>
      </c>
      <c r="D223" s="12">
        <v>41708</v>
      </c>
      <c r="E223" s="12">
        <v>41710</v>
      </c>
      <c r="F223" s="13">
        <v>426.5</v>
      </c>
    </row>
    <row r="224" spans="1:6" x14ac:dyDescent="0.25">
      <c r="A224" s="6" t="s">
        <v>93</v>
      </c>
      <c r="B224" s="7" t="s">
        <v>94</v>
      </c>
      <c r="C224" s="7" t="s">
        <v>11</v>
      </c>
      <c r="D224" s="8">
        <v>41708</v>
      </c>
      <c r="E224" s="8">
        <v>41710</v>
      </c>
      <c r="F224" s="9">
        <v>434.4</v>
      </c>
    </row>
    <row r="225" spans="1:6" x14ac:dyDescent="0.25">
      <c r="A225" s="10" t="s">
        <v>54</v>
      </c>
      <c r="B225" s="11" t="s">
        <v>121</v>
      </c>
      <c r="C225" s="11" t="s">
        <v>47</v>
      </c>
      <c r="D225" s="12">
        <v>41709</v>
      </c>
      <c r="E225" s="12">
        <v>41709</v>
      </c>
      <c r="F225" s="13">
        <v>363.8</v>
      </c>
    </row>
    <row r="226" spans="1:6" x14ac:dyDescent="0.25">
      <c r="A226" s="6" t="s">
        <v>137</v>
      </c>
      <c r="B226" s="7" t="s">
        <v>138</v>
      </c>
      <c r="C226" s="7" t="s">
        <v>27</v>
      </c>
      <c r="D226" s="8">
        <v>41709</v>
      </c>
      <c r="E226" s="8">
        <v>41711</v>
      </c>
      <c r="F226" s="9">
        <v>698</v>
      </c>
    </row>
    <row r="227" spans="1:6" x14ac:dyDescent="0.25">
      <c r="A227" s="10" t="s">
        <v>137</v>
      </c>
      <c r="B227" s="11" t="s">
        <v>160</v>
      </c>
      <c r="C227" s="11" t="s">
        <v>66</v>
      </c>
      <c r="D227" s="12">
        <v>41710</v>
      </c>
      <c r="E227" s="12">
        <v>41710</v>
      </c>
      <c r="F227" s="13">
        <v>307.7</v>
      </c>
    </row>
    <row r="228" spans="1:6" x14ac:dyDescent="0.25">
      <c r="A228" s="6" t="s">
        <v>33</v>
      </c>
      <c r="B228" s="7" t="s">
        <v>141</v>
      </c>
      <c r="C228" s="7" t="s">
        <v>30</v>
      </c>
      <c r="D228" s="8">
        <v>41713</v>
      </c>
      <c r="E228" s="8">
        <v>41715</v>
      </c>
      <c r="F228" s="9">
        <v>450.5</v>
      </c>
    </row>
    <row r="229" spans="1:6" x14ac:dyDescent="0.25">
      <c r="A229" s="10" t="s">
        <v>6</v>
      </c>
      <c r="B229" s="11" t="s">
        <v>139</v>
      </c>
      <c r="C229" s="11" t="s">
        <v>19</v>
      </c>
      <c r="D229" s="12">
        <v>41713</v>
      </c>
      <c r="E229" s="12">
        <v>41717</v>
      </c>
      <c r="F229" s="13">
        <v>1077.4000000000001</v>
      </c>
    </row>
    <row r="230" spans="1:6" x14ac:dyDescent="0.25">
      <c r="A230" s="6" t="s">
        <v>15</v>
      </c>
      <c r="B230" s="7" t="s">
        <v>46</v>
      </c>
      <c r="C230" s="7" t="s">
        <v>38</v>
      </c>
      <c r="D230" s="8">
        <v>41713</v>
      </c>
      <c r="E230" s="8">
        <v>41714</v>
      </c>
      <c r="F230" s="9">
        <v>407.8</v>
      </c>
    </row>
    <row r="231" spans="1:6" x14ac:dyDescent="0.25">
      <c r="A231" s="10" t="s">
        <v>128</v>
      </c>
      <c r="B231" s="11" t="s">
        <v>129</v>
      </c>
      <c r="C231" s="11" t="s">
        <v>47</v>
      </c>
      <c r="D231" s="12">
        <v>41713</v>
      </c>
      <c r="E231" s="12">
        <v>41716</v>
      </c>
      <c r="F231" s="13">
        <v>852.8</v>
      </c>
    </row>
    <row r="232" spans="1:6" x14ac:dyDescent="0.25">
      <c r="A232" s="6" t="s">
        <v>131</v>
      </c>
      <c r="B232" s="7" t="s">
        <v>154</v>
      </c>
      <c r="C232" s="7" t="s">
        <v>27</v>
      </c>
      <c r="D232" s="8">
        <v>41713</v>
      </c>
      <c r="E232" s="8">
        <v>41715</v>
      </c>
      <c r="F232" s="9">
        <v>698</v>
      </c>
    </row>
    <row r="233" spans="1:6" x14ac:dyDescent="0.25">
      <c r="A233" s="10" t="s">
        <v>131</v>
      </c>
      <c r="B233" s="11" t="s">
        <v>142</v>
      </c>
      <c r="C233" s="11" t="s">
        <v>8</v>
      </c>
      <c r="D233" s="12">
        <v>41713</v>
      </c>
      <c r="E233" s="12">
        <v>41716</v>
      </c>
      <c r="F233" s="13">
        <v>1313</v>
      </c>
    </row>
    <row r="234" spans="1:6" x14ac:dyDescent="0.25">
      <c r="A234" s="6" t="s">
        <v>28</v>
      </c>
      <c r="B234" s="7" t="s">
        <v>60</v>
      </c>
      <c r="C234" s="7" t="s">
        <v>72</v>
      </c>
      <c r="D234" s="8">
        <v>41713</v>
      </c>
      <c r="E234" s="8">
        <v>41716</v>
      </c>
      <c r="F234" s="9">
        <v>1091.7</v>
      </c>
    </row>
    <row r="235" spans="1:6" x14ac:dyDescent="0.25">
      <c r="A235" s="10" t="s">
        <v>25</v>
      </c>
      <c r="B235" s="11" t="s">
        <v>68</v>
      </c>
      <c r="C235" s="11" t="s">
        <v>38</v>
      </c>
      <c r="D235" s="12">
        <v>41713</v>
      </c>
      <c r="E235" s="12">
        <v>41714</v>
      </c>
      <c r="F235" s="13">
        <v>407.8</v>
      </c>
    </row>
    <row r="236" spans="1:6" x14ac:dyDescent="0.25">
      <c r="A236" s="6" t="s">
        <v>33</v>
      </c>
      <c r="B236" s="7" t="s">
        <v>41</v>
      </c>
      <c r="C236" s="7" t="s">
        <v>72</v>
      </c>
      <c r="D236" s="8">
        <v>41713</v>
      </c>
      <c r="E236" s="8">
        <v>41717</v>
      </c>
      <c r="F236" s="9">
        <v>1290.7</v>
      </c>
    </row>
    <row r="237" spans="1:6" x14ac:dyDescent="0.25">
      <c r="A237" s="10" t="s">
        <v>9</v>
      </c>
      <c r="B237" s="11" t="s">
        <v>103</v>
      </c>
      <c r="C237" s="11" t="s">
        <v>27</v>
      </c>
      <c r="D237" s="12">
        <v>41713</v>
      </c>
      <c r="E237" s="12">
        <v>41717</v>
      </c>
      <c r="F237" s="13">
        <v>954</v>
      </c>
    </row>
    <row r="238" spans="1:6" x14ac:dyDescent="0.25">
      <c r="A238" s="6" t="s">
        <v>73</v>
      </c>
      <c r="B238" s="7" t="s">
        <v>104</v>
      </c>
      <c r="C238" s="7" t="s">
        <v>19</v>
      </c>
      <c r="D238" s="8">
        <v>41713</v>
      </c>
      <c r="E238" s="8">
        <v>41714</v>
      </c>
      <c r="F238" s="9">
        <v>654.4</v>
      </c>
    </row>
    <row r="239" spans="1:6" x14ac:dyDescent="0.25">
      <c r="A239" s="10" t="s">
        <v>73</v>
      </c>
      <c r="B239" s="11" t="s">
        <v>155</v>
      </c>
      <c r="C239" s="11" t="s">
        <v>27</v>
      </c>
      <c r="D239" s="12">
        <v>41713</v>
      </c>
      <c r="E239" s="12">
        <v>41713</v>
      </c>
      <c r="F239" s="13">
        <v>442</v>
      </c>
    </row>
    <row r="240" spans="1:6" x14ac:dyDescent="0.25">
      <c r="A240" s="6" t="s">
        <v>166</v>
      </c>
      <c r="B240" s="7" t="s">
        <v>167</v>
      </c>
      <c r="C240" s="7" t="s">
        <v>8</v>
      </c>
      <c r="D240" s="8">
        <v>41713</v>
      </c>
      <c r="E240" s="8">
        <v>41715</v>
      </c>
      <c r="F240" s="9">
        <v>1102</v>
      </c>
    </row>
    <row r="241" spans="1:6" x14ac:dyDescent="0.25">
      <c r="A241" s="10" t="s">
        <v>6</v>
      </c>
      <c r="B241" s="11" t="s">
        <v>45</v>
      </c>
      <c r="C241" s="11" t="s">
        <v>17</v>
      </c>
      <c r="D241" s="12">
        <v>41713</v>
      </c>
      <c r="E241" s="12">
        <v>41715</v>
      </c>
      <c r="F241" s="13">
        <v>911.5</v>
      </c>
    </row>
    <row r="242" spans="1:6" x14ac:dyDescent="0.25">
      <c r="A242" s="6" t="s">
        <v>15</v>
      </c>
      <c r="B242" s="7" t="s">
        <v>96</v>
      </c>
      <c r="C242" s="7" t="s">
        <v>17</v>
      </c>
      <c r="D242" s="8">
        <v>41713</v>
      </c>
      <c r="E242" s="8">
        <v>41717</v>
      </c>
      <c r="F242" s="9">
        <v>1321.5</v>
      </c>
    </row>
    <row r="243" spans="1:6" x14ac:dyDescent="0.25">
      <c r="A243" s="10" t="s">
        <v>9</v>
      </c>
      <c r="B243" s="11" t="s">
        <v>18</v>
      </c>
      <c r="C243" s="11" t="s">
        <v>72</v>
      </c>
      <c r="D243" s="12">
        <v>41713</v>
      </c>
      <c r="E243" s="12">
        <v>41716</v>
      </c>
      <c r="F243" s="13">
        <v>1091.7</v>
      </c>
    </row>
    <row r="244" spans="1:6" x14ac:dyDescent="0.25">
      <c r="A244" s="6" t="s">
        <v>82</v>
      </c>
      <c r="B244" s="7" t="s">
        <v>125</v>
      </c>
      <c r="C244" s="7" t="s">
        <v>47</v>
      </c>
      <c r="D244" s="8">
        <v>41715</v>
      </c>
      <c r="E244" s="8">
        <v>41717</v>
      </c>
      <c r="F244" s="9">
        <v>689.8</v>
      </c>
    </row>
    <row r="245" spans="1:6" x14ac:dyDescent="0.25">
      <c r="A245" s="10" t="s">
        <v>39</v>
      </c>
      <c r="B245" s="11" t="s">
        <v>40</v>
      </c>
      <c r="C245" s="11" t="s">
        <v>47</v>
      </c>
      <c r="D245" s="12">
        <v>41715</v>
      </c>
      <c r="E245" s="12">
        <v>41716</v>
      </c>
      <c r="F245" s="13">
        <v>526.79999999999995</v>
      </c>
    </row>
    <row r="246" spans="1:6" x14ac:dyDescent="0.25">
      <c r="A246" s="6" t="s">
        <v>15</v>
      </c>
      <c r="B246" s="7" t="s">
        <v>63</v>
      </c>
      <c r="C246" s="7" t="s">
        <v>66</v>
      </c>
      <c r="D246" s="8">
        <v>41715</v>
      </c>
      <c r="E246" s="8">
        <v>41716</v>
      </c>
      <c r="F246" s="9">
        <v>485.7</v>
      </c>
    </row>
    <row r="247" spans="1:6" x14ac:dyDescent="0.25">
      <c r="A247" s="10" t="s">
        <v>57</v>
      </c>
      <c r="B247" s="11" t="s">
        <v>58</v>
      </c>
      <c r="C247" s="11" t="s">
        <v>8</v>
      </c>
      <c r="D247" s="12">
        <v>41715</v>
      </c>
      <c r="E247" s="12">
        <v>41715</v>
      </c>
      <c r="F247" s="13">
        <v>680</v>
      </c>
    </row>
    <row r="248" spans="1:6" x14ac:dyDescent="0.25">
      <c r="A248" s="6" t="s">
        <v>61</v>
      </c>
      <c r="B248" s="7" t="s">
        <v>62</v>
      </c>
      <c r="C248" s="7" t="s">
        <v>72</v>
      </c>
      <c r="D248" s="8">
        <v>41716</v>
      </c>
      <c r="E248" s="8">
        <v>41716</v>
      </c>
      <c r="F248" s="9">
        <v>494.7</v>
      </c>
    </row>
    <row r="249" spans="1:6" x14ac:dyDescent="0.25">
      <c r="A249" s="10" t="s">
        <v>126</v>
      </c>
      <c r="B249" s="11" t="s">
        <v>127</v>
      </c>
      <c r="C249" s="11" t="s">
        <v>14</v>
      </c>
      <c r="D249" s="12">
        <v>41716</v>
      </c>
      <c r="E249" s="12">
        <v>41716</v>
      </c>
      <c r="F249" s="13">
        <v>178.5</v>
      </c>
    </row>
    <row r="250" spans="1:6" x14ac:dyDescent="0.25">
      <c r="A250" s="6" t="s">
        <v>12</v>
      </c>
      <c r="B250" s="7" t="s">
        <v>13</v>
      </c>
      <c r="C250" s="7" t="s">
        <v>30</v>
      </c>
      <c r="D250" s="8">
        <v>41716</v>
      </c>
      <c r="E250" s="8">
        <v>41717</v>
      </c>
      <c r="F250" s="9">
        <v>331.5</v>
      </c>
    </row>
    <row r="251" spans="1:6" x14ac:dyDescent="0.25">
      <c r="A251" s="10" t="s">
        <v>131</v>
      </c>
      <c r="B251" s="11" t="s">
        <v>142</v>
      </c>
      <c r="C251" s="11" t="s">
        <v>72</v>
      </c>
      <c r="D251" s="12">
        <v>41719</v>
      </c>
      <c r="E251" s="12">
        <v>41723</v>
      </c>
      <c r="F251" s="13">
        <v>1290.7</v>
      </c>
    </row>
    <row r="252" spans="1:6" x14ac:dyDescent="0.25">
      <c r="A252" s="6" t="s">
        <v>54</v>
      </c>
      <c r="B252" s="7" t="s">
        <v>133</v>
      </c>
      <c r="C252" s="7" t="s">
        <v>24</v>
      </c>
      <c r="D252" s="8">
        <v>41719</v>
      </c>
      <c r="E252" s="8">
        <v>41721</v>
      </c>
      <c r="F252" s="9">
        <v>588.70000000000005</v>
      </c>
    </row>
    <row r="253" spans="1:6" x14ac:dyDescent="0.25">
      <c r="A253" s="10" t="s">
        <v>25</v>
      </c>
      <c r="B253" s="11" t="s">
        <v>67</v>
      </c>
      <c r="C253" s="11" t="s">
        <v>72</v>
      </c>
      <c r="D253" s="12">
        <v>41719</v>
      </c>
      <c r="E253" s="12">
        <v>41723</v>
      </c>
      <c r="F253" s="13">
        <v>1290.7</v>
      </c>
    </row>
    <row r="254" spans="1:6" x14ac:dyDescent="0.25">
      <c r="A254" s="6" t="s">
        <v>70</v>
      </c>
      <c r="B254" s="7" t="s">
        <v>71</v>
      </c>
      <c r="C254" s="7" t="s">
        <v>11</v>
      </c>
      <c r="D254" s="8">
        <v>41719</v>
      </c>
      <c r="E254" s="8">
        <v>41720</v>
      </c>
      <c r="F254" s="9">
        <v>295.39999999999998</v>
      </c>
    </row>
    <row r="255" spans="1:6" x14ac:dyDescent="0.25">
      <c r="A255" s="10" t="s">
        <v>9</v>
      </c>
      <c r="B255" s="11" t="s">
        <v>69</v>
      </c>
      <c r="C255" s="11" t="s">
        <v>66</v>
      </c>
      <c r="D255" s="12">
        <v>41719</v>
      </c>
      <c r="E255" s="12">
        <v>41721</v>
      </c>
      <c r="F255" s="13">
        <v>663.7</v>
      </c>
    </row>
    <row r="256" spans="1:6" x14ac:dyDescent="0.25">
      <c r="A256" s="6" t="s">
        <v>113</v>
      </c>
      <c r="B256" s="7" t="s">
        <v>114</v>
      </c>
      <c r="C256" s="7" t="s">
        <v>59</v>
      </c>
      <c r="D256" s="8">
        <v>41719</v>
      </c>
      <c r="E256" s="8">
        <v>41720</v>
      </c>
      <c r="F256" s="9">
        <v>601</v>
      </c>
    </row>
    <row r="257" spans="1:6" x14ac:dyDescent="0.25">
      <c r="A257" s="10" t="s">
        <v>6</v>
      </c>
      <c r="B257" s="11" t="s">
        <v>56</v>
      </c>
      <c r="C257" s="11" t="s">
        <v>11</v>
      </c>
      <c r="D257" s="12">
        <v>41725</v>
      </c>
      <c r="E257" s="12">
        <v>41726</v>
      </c>
      <c r="F257" s="13">
        <v>295.39999999999998</v>
      </c>
    </row>
    <row r="258" spans="1:6" x14ac:dyDescent="0.25">
      <c r="A258" s="6" t="s">
        <v>33</v>
      </c>
      <c r="B258" s="7" t="s">
        <v>34</v>
      </c>
      <c r="C258" s="7" t="s">
        <v>72</v>
      </c>
      <c r="D258" s="8">
        <v>41725</v>
      </c>
      <c r="E258" s="8">
        <v>41729</v>
      </c>
      <c r="F258" s="9">
        <v>1290.7</v>
      </c>
    </row>
    <row r="259" spans="1:6" x14ac:dyDescent="0.25">
      <c r="A259" s="10" t="s">
        <v>134</v>
      </c>
      <c r="B259" s="11" t="s">
        <v>135</v>
      </c>
      <c r="C259" s="11" t="s">
        <v>38</v>
      </c>
      <c r="D259" s="12">
        <v>41725</v>
      </c>
      <c r="E259" s="12">
        <v>41729</v>
      </c>
      <c r="F259" s="13">
        <v>794.8</v>
      </c>
    </row>
    <row r="260" spans="1:6" x14ac:dyDescent="0.25">
      <c r="A260" s="6" t="s">
        <v>93</v>
      </c>
      <c r="B260" s="7" t="s">
        <v>94</v>
      </c>
      <c r="C260" s="7" t="s">
        <v>19</v>
      </c>
      <c r="D260" s="8">
        <v>41725</v>
      </c>
      <c r="E260" s="8">
        <v>41726</v>
      </c>
      <c r="F260" s="9">
        <v>654.4</v>
      </c>
    </row>
    <row r="261" spans="1:6" x14ac:dyDescent="0.25">
      <c r="A261" s="10" t="s">
        <v>137</v>
      </c>
      <c r="B261" s="11" t="s">
        <v>138</v>
      </c>
      <c r="C261" s="11" t="s">
        <v>72</v>
      </c>
      <c r="D261" s="12">
        <v>41725</v>
      </c>
      <c r="E261" s="12">
        <v>41726</v>
      </c>
      <c r="F261" s="13">
        <v>693.7</v>
      </c>
    </row>
    <row r="262" spans="1:6" x14ac:dyDescent="0.25">
      <c r="A262" s="6" t="s">
        <v>9</v>
      </c>
      <c r="B262" s="7" t="s">
        <v>18</v>
      </c>
      <c r="C262" s="7" t="s">
        <v>11</v>
      </c>
      <c r="D262" s="8">
        <v>41725</v>
      </c>
      <c r="E262" s="8">
        <v>41728</v>
      </c>
      <c r="F262" s="9">
        <v>573.4</v>
      </c>
    </row>
    <row r="263" spans="1:6" x14ac:dyDescent="0.25">
      <c r="A263" s="10" t="s">
        <v>115</v>
      </c>
      <c r="B263" s="11" t="s">
        <v>140</v>
      </c>
      <c r="C263" s="11" t="s">
        <v>38</v>
      </c>
      <c r="D263" s="12">
        <v>41731</v>
      </c>
      <c r="E263" s="12">
        <v>41733</v>
      </c>
      <c r="F263" s="13">
        <v>536.79999999999995</v>
      </c>
    </row>
    <row r="264" spans="1:6" x14ac:dyDescent="0.25">
      <c r="A264" s="6" t="s">
        <v>9</v>
      </c>
      <c r="B264" s="7" t="s">
        <v>103</v>
      </c>
      <c r="C264" s="7" t="s">
        <v>47</v>
      </c>
      <c r="D264" s="8">
        <v>41731</v>
      </c>
      <c r="E264" s="8">
        <v>41735</v>
      </c>
      <c r="F264" s="9">
        <v>1015.8</v>
      </c>
    </row>
    <row r="265" spans="1:6" x14ac:dyDescent="0.25">
      <c r="A265" s="10" t="s">
        <v>143</v>
      </c>
      <c r="B265" s="11" t="s">
        <v>144</v>
      </c>
      <c r="C265" s="11" t="s">
        <v>27</v>
      </c>
      <c r="D265" s="12">
        <v>41731</v>
      </c>
      <c r="E265" s="12">
        <v>41734</v>
      </c>
      <c r="F265" s="13">
        <v>826</v>
      </c>
    </row>
    <row r="266" spans="1:6" x14ac:dyDescent="0.25">
      <c r="A266" s="6" t="s">
        <v>147</v>
      </c>
      <c r="B266" s="7" t="s">
        <v>148</v>
      </c>
      <c r="C266" s="7" t="s">
        <v>17</v>
      </c>
      <c r="D266" s="8">
        <v>41731</v>
      </c>
      <c r="E266" s="8">
        <v>41735</v>
      </c>
      <c r="F266" s="9">
        <v>1321.5</v>
      </c>
    </row>
    <row r="267" spans="1:6" x14ac:dyDescent="0.25">
      <c r="A267" s="10" t="s">
        <v>166</v>
      </c>
      <c r="B267" s="11" t="s">
        <v>167</v>
      </c>
      <c r="C267" s="11" t="s">
        <v>72</v>
      </c>
      <c r="D267" s="12">
        <v>41731</v>
      </c>
      <c r="E267" s="12">
        <v>41733</v>
      </c>
      <c r="F267" s="13">
        <v>892.7</v>
      </c>
    </row>
    <row r="268" spans="1:6" x14ac:dyDescent="0.25">
      <c r="A268" s="6" t="s">
        <v>91</v>
      </c>
      <c r="B268" s="7" t="s">
        <v>161</v>
      </c>
      <c r="C268" s="7" t="s">
        <v>11</v>
      </c>
      <c r="D268" s="8">
        <v>41731</v>
      </c>
      <c r="E268" s="8">
        <v>41732</v>
      </c>
      <c r="F268" s="9">
        <v>295.39999999999998</v>
      </c>
    </row>
    <row r="269" spans="1:6" x14ac:dyDescent="0.25">
      <c r="A269" s="10" t="s">
        <v>137</v>
      </c>
      <c r="B269" s="11" t="s">
        <v>160</v>
      </c>
      <c r="C269" s="11" t="s">
        <v>38</v>
      </c>
      <c r="D269" s="12">
        <v>41732</v>
      </c>
      <c r="E269" s="12">
        <v>41736</v>
      </c>
      <c r="F269" s="13">
        <v>794.8</v>
      </c>
    </row>
    <row r="270" spans="1:6" x14ac:dyDescent="0.25">
      <c r="A270" s="6" t="s">
        <v>48</v>
      </c>
      <c r="B270" s="7" t="s">
        <v>49</v>
      </c>
      <c r="C270" s="7" t="s">
        <v>11</v>
      </c>
      <c r="D270" s="8">
        <v>41737</v>
      </c>
      <c r="E270" s="8">
        <v>41740</v>
      </c>
      <c r="F270" s="9">
        <v>573.4</v>
      </c>
    </row>
    <row r="271" spans="1:6" x14ac:dyDescent="0.25">
      <c r="A271" s="10" t="s">
        <v>15</v>
      </c>
      <c r="B271" s="11" t="s">
        <v>46</v>
      </c>
      <c r="C271" s="11" t="s">
        <v>59</v>
      </c>
      <c r="D271" s="12">
        <v>41737</v>
      </c>
      <c r="E271" s="12">
        <v>41739</v>
      </c>
      <c r="F271" s="13">
        <v>760</v>
      </c>
    </row>
    <row r="272" spans="1:6" x14ac:dyDescent="0.25">
      <c r="A272" s="6" t="s">
        <v>61</v>
      </c>
      <c r="B272" s="7" t="s">
        <v>62</v>
      </c>
      <c r="C272" s="7" t="s">
        <v>14</v>
      </c>
      <c r="D272" s="8">
        <v>41737</v>
      </c>
      <c r="E272" s="8">
        <v>41741</v>
      </c>
      <c r="F272" s="9">
        <v>674.5</v>
      </c>
    </row>
    <row r="273" spans="1:6" x14ac:dyDescent="0.25">
      <c r="A273" s="10" t="s">
        <v>12</v>
      </c>
      <c r="B273" s="11" t="s">
        <v>13</v>
      </c>
      <c r="C273" s="11" t="s">
        <v>14</v>
      </c>
      <c r="D273" s="12">
        <v>41737</v>
      </c>
      <c r="E273" s="12">
        <v>41740</v>
      </c>
      <c r="F273" s="13">
        <v>550.5</v>
      </c>
    </row>
    <row r="274" spans="1:6" x14ac:dyDescent="0.25">
      <c r="A274" s="6" t="s">
        <v>147</v>
      </c>
      <c r="B274" s="7" t="s">
        <v>148</v>
      </c>
      <c r="C274" s="7" t="s">
        <v>72</v>
      </c>
      <c r="D274" s="8">
        <v>41737</v>
      </c>
      <c r="E274" s="8">
        <v>41740</v>
      </c>
      <c r="F274" s="9">
        <v>1091.7</v>
      </c>
    </row>
    <row r="275" spans="1:6" x14ac:dyDescent="0.25">
      <c r="A275" s="10" t="s">
        <v>36</v>
      </c>
      <c r="B275" s="11" t="s">
        <v>37</v>
      </c>
      <c r="C275" s="11" t="s">
        <v>17</v>
      </c>
      <c r="D275" s="12">
        <v>41737</v>
      </c>
      <c r="E275" s="12">
        <v>41741</v>
      </c>
      <c r="F275" s="13">
        <v>1321.5</v>
      </c>
    </row>
    <row r="276" spans="1:6" x14ac:dyDescent="0.25">
      <c r="A276" s="6" t="s">
        <v>31</v>
      </c>
      <c r="B276" s="7" t="s">
        <v>78</v>
      </c>
      <c r="C276" s="7" t="s">
        <v>72</v>
      </c>
      <c r="D276" s="8">
        <v>41743</v>
      </c>
      <c r="E276" s="8">
        <v>41747</v>
      </c>
      <c r="F276" s="9">
        <v>1290.7</v>
      </c>
    </row>
    <row r="277" spans="1:6" x14ac:dyDescent="0.25">
      <c r="A277" s="10" t="s">
        <v>25</v>
      </c>
      <c r="B277" s="11" t="s">
        <v>67</v>
      </c>
      <c r="C277" s="11" t="s">
        <v>8</v>
      </c>
      <c r="D277" s="12">
        <v>41743</v>
      </c>
      <c r="E277" s="12">
        <v>41745</v>
      </c>
      <c r="F277" s="13">
        <v>1102</v>
      </c>
    </row>
    <row r="278" spans="1:6" x14ac:dyDescent="0.25">
      <c r="A278" s="6" t="s">
        <v>33</v>
      </c>
      <c r="B278" s="7" t="s">
        <v>41</v>
      </c>
      <c r="C278" s="7" t="s">
        <v>8</v>
      </c>
      <c r="D278" s="8">
        <v>41743</v>
      </c>
      <c r="E278" s="8">
        <v>41744</v>
      </c>
      <c r="F278" s="9">
        <v>891</v>
      </c>
    </row>
    <row r="279" spans="1:6" x14ac:dyDescent="0.25">
      <c r="A279" s="10" t="s">
        <v>54</v>
      </c>
      <c r="B279" s="11" t="s">
        <v>121</v>
      </c>
      <c r="C279" s="11" t="s">
        <v>8</v>
      </c>
      <c r="D279" s="12">
        <v>41743</v>
      </c>
      <c r="E279" s="12">
        <v>41746</v>
      </c>
      <c r="F279" s="13">
        <v>1313</v>
      </c>
    </row>
    <row r="280" spans="1:6" x14ac:dyDescent="0.25">
      <c r="A280" s="6" t="s">
        <v>111</v>
      </c>
      <c r="B280" s="7" t="s">
        <v>112</v>
      </c>
      <c r="C280" s="7" t="s">
        <v>17</v>
      </c>
      <c r="D280" s="8">
        <v>41743</v>
      </c>
      <c r="E280" s="8">
        <v>41744</v>
      </c>
      <c r="F280" s="9">
        <v>706.5</v>
      </c>
    </row>
    <row r="281" spans="1:6" x14ac:dyDescent="0.25">
      <c r="A281" s="10" t="s">
        <v>131</v>
      </c>
      <c r="B281" s="11" t="s">
        <v>132</v>
      </c>
      <c r="C281" s="11" t="s">
        <v>17</v>
      </c>
      <c r="D281" s="12">
        <v>41743</v>
      </c>
      <c r="E281" s="12">
        <v>41745</v>
      </c>
      <c r="F281" s="13">
        <v>911.5</v>
      </c>
    </row>
    <row r="282" spans="1:6" x14ac:dyDescent="0.25">
      <c r="A282" s="6" t="s">
        <v>9</v>
      </c>
      <c r="B282" s="7" t="s">
        <v>103</v>
      </c>
      <c r="C282" s="7" t="s">
        <v>19</v>
      </c>
      <c r="D282" s="8">
        <v>41747</v>
      </c>
      <c r="E282" s="8">
        <v>41747</v>
      </c>
      <c r="F282" s="9">
        <v>513.4</v>
      </c>
    </row>
    <row r="283" spans="1:6" x14ac:dyDescent="0.25">
      <c r="A283" s="10" t="s">
        <v>122</v>
      </c>
      <c r="B283" s="11" t="s">
        <v>123</v>
      </c>
      <c r="C283" s="11" t="s">
        <v>72</v>
      </c>
      <c r="D283" s="12">
        <v>41749</v>
      </c>
      <c r="E283" s="12">
        <v>41751</v>
      </c>
      <c r="F283" s="13">
        <v>892.7</v>
      </c>
    </row>
    <row r="284" spans="1:6" x14ac:dyDescent="0.25">
      <c r="A284" s="6" t="s">
        <v>15</v>
      </c>
      <c r="B284" s="7" t="s">
        <v>105</v>
      </c>
      <c r="C284" s="7" t="s">
        <v>47</v>
      </c>
      <c r="D284" s="8">
        <v>41749</v>
      </c>
      <c r="E284" s="8">
        <v>41750</v>
      </c>
      <c r="F284" s="9">
        <v>526.79999999999995</v>
      </c>
    </row>
    <row r="285" spans="1:6" x14ac:dyDescent="0.25">
      <c r="A285" s="10" t="s">
        <v>9</v>
      </c>
      <c r="B285" s="11" t="s">
        <v>103</v>
      </c>
      <c r="C285" s="11" t="s">
        <v>59</v>
      </c>
      <c r="D285" s="12">
        <v>41752</v>
      </c>
      <c r="E285" s="12">
        <v>41753</v>
      </c>
      <c r="F285" s="13">
        <v>601</v>
      </c>
    </row>
    <row r="286" spans="1:6" x14ac:dyDescent="0.25">
      <c r="A286" s="6" t="s">
        <v>75</v>
      </c>
      <c r="B286" s="7" t="s">
        <v>76</v>
      </c>
      <c r="C286" s="7" t="s">
        <v>47</v>
      </c>
      <c r="D286" s="8">
        <v>41752</v>
      </c>
      <c r="E286" s="8">
        <v>41753</v>
      </c>
      <c r="F286" s="9">
        <v>526.79999999999995</v>
      </c>
    </row>
    <row r="287" spans="1:6" x14ac:dyDescent="0.25">
      <c r="A287" s="10" t="s">
        <v>131</v>
      </c>
      <c r="B287" s="11" t="s">
        <v>132</v>
      </c>
      <c r="C287" s="11" t="s">
        <v>38</v>
      </c>
      <c r="D287" s="12">
        <v>41753</v>
      </c>
      <c r="E287" s="12">
        <v>41753</v>
      </c>
      <c r="F287" s="13">
        <v>278.8</v>
      </c>
    </row>
    <row r="288" spans="1:6" x14ac:dyDescent="0.25">
      <c r="A288" s="6" t="s">
        <v>28</v>
      </c>
      <c r="B288" s="7" t="s">
        <v>60</v>
      </c>
      <c r="C288" s="7" t="s">
        <v>38</v>
      </c>
      <c r="D288" s="8">
        <v>41755</v>
      </c>
      <c r="E288" s="8">
        <v>41759</v>
      </c>
      <c r="F288" s="9">
        <v>794.8</v>
      </c>
    </row>
    <row r="289" spans="1:6" x14ac:dyDescent="0.25">
      <c r="A289" s="10" t="s">
        <v>25</v>
      </c>
      <c r="B289" s="11" t="s">
        <v>26</v>
      </c>
      <c r="C289" s="11" t="s">
        <v>59</v>
      </c>
      <c r="D289" s="12">
        <v>41755</v>
      </c>
      <c r="E289" s="12">
        <v>41758</v>
      </c>
      <c r="F289" s="13">
        <v>919</v>
      </c>
    </row>
    <row r="290" spans="1:6" x14ac:dyDescent="0.25">
      <c r="A290" s="6" t="s">
        <v>168</v>
      </c>
      <c r="B290" s="7" t="s">
        <v>169</v>
      </c>
      <c r="C290" s="7" t="s">
        <v>11</v>
      </c>
      <c r="D290" s="8">
        <v>41755</v>
      </c>
      <c r="E290" s="8">
        <v>41756</v>
      </c>
      <c r="F290" s="9">
        <v>295.39999999999998</v>
      </c>
    </row>
    <row r="291" spans="1:6" x14ac:dyDescent="0.25">
      <c r="A291" s="10" t="s">
        <v>25</v>
      </c>
      <c r="B291" s="11" t="s">
        <v>35</v>
      </c>
      <c r="C291" s="11" t="s">
        <v>47</v>
      </c>
      <c r="D291" s="12">
        <v>41755</v>
      </c>
      <c r="E291" s="12">
        <v>41756</v>
      </c>
      <c r="F291" s="13">
        <v>526.79999999999995</v>
      </c>
    </row>
    <row r="292" spans="1:6" x14ac:dyDescent="0.25">
      <c r="A292" s="6" t="s">
        <v>113</v>
      </c>
      <c r="B292" s="7" t="s">
        <v>114</v>
      </c>
      <c r="C292" s="7" t="s">
        <v>19</v>
      </c>
      <c r="D292" s="8">
        <v>41755</v>
      </c>
      <c r="E292" s="8">
        <v>41758</v>
      </c>
      <c r="F292" s="9">
        <v>936.4</v>
      </c>
    </row>
    <row r="293" spans="1:6" x14ac:dyDescent="0.25">
      <c r="A293" s="10" t="s">
        <v>91</v>
      </c>
      <c r="B293" s="11" t="s">
        <v>92</v>
      </c>
      <c r="C293" s="11" t="s">
        <v>11</v>
      </c>
      <c r="D293" s="12">
        <v>41755</v>
      </c>
      <c r="E293" s="12">
        <v>41755</v>
      </c>
      <c r="F293" s="13">
        <v>156.4</v>
      </c>
    </row>
    <row r="294" spans="1:6" x14ac:dyDescent="0.25">
      <c r="A294" s="6" t="s">
        <v>6</v>
      </c>
      <c r="B294" s="7" t="s">
        <v>139</v>
      </c>
      <c r="C294" s="7" t="s">
        <v>17</v>
      </c>
      <c r="D294" s="8">
        <v>41757</v>
      </c>
      <c r="E294" s="8">
        <v>41758</v>
      </c>
      <c r="F294" s="9">
        <v>706.5</v>
      </c>
    </row>
    <row r="295" spans="1:6" x14ac:dyDescent="0.25">
      <c r="A295" s="10" t="s">
        <v>28</v>
      </c>
      <c r="B295" s="11" t="s">
        <v>29</v>
      </c>
      <c r="C295" s="11" t="s">
        <v>19</v>
      </c>
      <c r="D295" s="12">
        <v>41761</v>
      </c>
      <c r="E295" s="12">
        <v>41765</v>
      </c>
      <c r="F295" s="13">
        <v>1077.4000000000001</v>
      </c>
    </row>
    <row r="296" spans="1:6" x14ac:dyDescent="0.25">
      <c r="A296" s="6" t="s">
        <v>31</v>
      </c>
      <c r="B296" s="7" t="s">
        <v>32</v>
      </c>
      <c r="C296" s="7" t="s">
        <v>14</v>
      </c>
      <c r="D296" s="8">
        <v>41761</v>
      </c>
      <c r="E296" s="8">
        <v>41763</v>
      </c>
      <c r="F296" s="9">
        <v>426.5</v>
      </c>
    </row>
    <row r="297" spans="1:6" x14ac:dyDescent="0.25">
      <c r="A297" s="10" t="s">
        <v>97</v>
      </c>
      <c r="B297" s="11" t="s">
        <v>98</v>
      </c>
      <c r="C297" s="11" t="s">
        <v>17</v>
      </c>
      <c r="D297" s="12">
        <v>41761</v>
      </c>
      <c r="E297" s="12">
        <v>41762</v>
      </c>
      <c r="F297" s="13">
        <v>706.5</v>
      </c>
    </row>
    <row r="298" spans="1:6" x14ac:dyDescent="0.25">
      <c r="A298" s="6" t="s">
        <v>22</v>
      </c>
      <c r="B298" s="7" t="s">
        <v>23</v>
      </c>
      <c r="C298" s="7" t="s">
        <v>19</v>
      </c>
      <c r="D298" s="8">
        <v>41764</v>
      </c>
      <c r="E298" s="8">
        <v>41765</v>
      </c>
      <c r="F298" s="9">
        <v>654.4</v>
      </c>
    </row>
    <row r="299" spans="1:6" x14ac:dyDescent="0.25">
      <c r="A299" s="10" t="s">
        <v>15</v>
      </c>
      <c r="B299" s="11" t="s">
        <v>44</v>
      </c>
      <c r="C299" s="11" t="s">
        <v>24</v>
      </c>
      <c r="D299" s="12">
        <v>41764</v>
      </c>
      <c r="E299" s="12">
        <v>41764</v>
      </c>
      <c r="F299" s="13">
        <v>290.7</v>
      </c>
    </row>
    <row r="300" spans="1:6" x14ac:dyDescent="0.25">
      <c r="A300" s="6" t="s">
        <v>166</v>
      </c>
      <c r="B300" s="7" t="s">
        <v>167</v>
      </c>
      <c r="C300" s="7" t="s">
        <v>27</v>
      </c>
      <c r="D300" s="8">
        <v>41765</v>
      </c>
      <c r="E300" s="8">
        <v>41766</v>
      </c>
      <c r="F300" s="9">
        <v>570</v>
      </c>
    </row>
    <row r="301" spans="1:6" x14ac:dyDescent="0.25">
      <c r="A301" s="10" t="s">
        <v>82</v>
      </c>
      <c r="B301" s="11" t="s">
        <v>83</v>
      </c>
      <c r="C301" s="11" t="s">
        <v>17</v>
      </c>
      <c r="D301" s="12">
        <v>41767</v>
      </c>
      <c r="E301" s="12">
        <v>41770</v>
      </c>
      <c r="F301" s="13">
        <v>1116.5</v>
      </c>
    </row>
    <row r="302" spans="1:6" x14ac:dyDescent="0.25">
      <c r="A302" s="6" t="s">
        <v>84</v>
      </c>
      <c r="B302" s="7" t="s">
        <v>85</v>
      </c>
      <c r="C302" s="7" t="s">
        <v>8</v>
      </c>
      <c r="D302" s="8">
        <v>41767</v>
      </c>
      <c r="E302" s="8">
        <v>41769</v>
      </c>
      <c r="F302" s="9">
        <v>1102</v>
      </c>
    </row>
    <row r="303" spans="1:6" x14ac:dyDescent="0.25">
      <c r="A303" s="10" t="s">
        <v>99</v>
      </c>
      <c r="B303" s="11" t="s">
        <v>130</v>
      </c>
      <c r="C303" s="11" t="s">
        <v>14</v>
      </c>
      <c r="D303" s="12">
        <v>41767</v>
      </c>
      <c r="E303" s="12">
        <v>41768</v>
      </c>
      <c r="F303" s="13">
        <v>302.5</v>
      </c>
    </row>
    <row r="304" spans="1:6" x14ac:dyDescent="0.25">
      <c r="A304" s="6" t="s">
        <v>73</v>
      </c>
      <c r="B304" s="7" t="s">
        <v>74</v>
      </c>
      <c r="C304" s="7" t="s">
        <v>11</v>
      </c>
      <c r="D304" s="8">
        <v>41767</v>
      </c>
      <c r="E304" s="8">
        <v>41770</v>
      </c>
      <c r="F304" s="9">
        <v>573.4</v>
      </c>
    </row>
    <row r="305" spans="1:6" x14ac:dyDescent="0.25">
      <c r="A305" s="10" t="s">
        <v>36</v>
      </c>
      <c r="B305" s="11" t="s">
        <v>37</v>
      </c>
      <c r="C305" s="11" t="s">
        <v>19</v>
      </c>
      <c r="D305" s="12">
        <v>41767</v>
      </c>
      <c r="E305" s="12">
        <v>41770</v>
      </c>
      <c r="F305" s="13">
        <v>936.4</v>
      </c>
    </row>
    <row r="306" spans="1:6" x14ac:dyDescent="0.25">
      <c r="A306" s="6" t="s">
        <v>75</v>
      </c>
      <c r="B306" s="7" t="s">
        <v>76</v>
      </c>
      <c r="C306" s="7" t="s">
        <v>66</v>
      </c>
      <c r="D306" s="8">
        <v>41767</v>
      </c>
      <c r="E306" s="8">
        <v>41771</v>
      </c>
      <c r="F306" s="9">
        <v>1019.7</v>
      </c>
    </row>
    <row r="307" spans="1:6" x14ac:dyDescent="0.25">
      <c r="A307" s="10" t="s">
        <v>122</v>
      </c>
      <c r="B307" s="11" t="s">
        <v>123</v>
      </c>
      <c r="C307" s="11" t="s">
        <v>11</v>
      </c>
      <c r="D307" s="12">
        <v>41773</v>
      </c>
      <c r="E307" s="12">
        <v>41776</v>
      </c>
      <c r="F307" s="13">
        <v>573.4</v>
      </c>
    </row>
    <row r="308" spans="1:6" x14ac:dyDescent="0.25">
      <c r="A308" s="6" t="s">
        <v>15</v>
      </c>
      <c r="B308" s="7" t="s">
        <v>46</v>
      </c>
      <c r="C308" s="7" t="s">
        <v>24</v>
      </c>
      <c r="D308" s="8">
        <v>41773</v>
      </c>
      <c r="E308" s="8">
        <v>41777</v>
      </c>
      <c r="F308" s="9">
        <v>886.7</v>
      </c>
    </row>
    <row r="309" spans="1:6" x14ac:dyDescent="0.25">
      <c r="A309" s="10" t="s">
        <v>25</v>
      </c>
      <c r="B309" s="11" t="s">
        <v>67</v>
      </c>
      <c r="C309" s="11" t="s">
        <v>19</v>
      </c>
      <c r="D309" s="12">
        <v>41773</v>
      </c>
      <c r="E309" s="12">
        <v>41777</v>
      </c>
      <c r="F309" s="13">
        <v>1077.4000000000001</v>
      </c>
    </row>
    <row r="310" spans="1:6" x14ac:dyDescent="0.25">
      <c r="A310" s="6" t="s">
        <v>28</v>
      </c>
      <c r="B310" s="7" t="s">
        <v>60</v>
      </c>
      <c r="C310" s="7" t="s">
        <v>24</v>
      </c>
      <c r="D310" s="8">
        <v>41773</v>
      </c>
      <c r="E310" s="8">
        <v>41774</v>
      </c>
      <c r="F310" s="9">
        <v>439.7</v>
      </c>
    </row>
    <row r="311" spans="1:6" x14ac:dyDescent="0.25">
      <c r="A311" s="10" t="s">
        <v>31</v>
      </c>
      <c r="B311" s="11" t="s">
        <v>32</v>
      </c>
      <c r="C311" s="11" t="s">
        <v>24</v>
      </c>
      <c r="D311" s="12">
        <v>41773</v>
      </c>
      <c r="E311" s="12">
        <v>41775</v>
      </c>
      <c r="F311" s="13">
        <v>588.70000000000005</v>
      </c>
    </row>
    <row r="312" spans="1:6" x14ac:dyDescent="0.25">
      <c r="A312" s="6" t="s">
        <v>137</v>
      </c>
      <c r="B312" s="7" t="s">
        <v>160</v>
      </c>
      <c r="C312" s="7" t="s">
        <v>38</v>
      </c>
      <c r="D312" s="8">
        <v>41773</v>
      </c>
      <c r="E312" s="8">
        <v>41774</v>
      </c>
      <c r="F312" s="9">
        <v>407.8</v>
      </c>
    </row>
    <row r="313" spans="1:6" x14ac:dyDescent="0.25">
      <c r="A313" s="10" t="s">
        <v>31</v>
      </c>
      <c r="B313" s="11" t="s">
        <v>77</v>
      </c>
      <c r="C313" s="11" t="s">
        <v>24</v>
      </c>
      <c r="D313" s="12">
        <v>41773</v>
      </c>
      <c r="E313" s="12">
        <v>41775</v>
      </c>
      <c r="F313" s="13">
        <v>588.70000000000005</v>
      </c>
    </row>
    <row r="314" spans="1:6" x14ac:dyDescent="0.25">
      <c r="A314" s="6" t="s">
        <v>33</v>
      </c>
      <c r="B314" s="7" t="s">
        <v>41</v>
      </c>
      <c r="C314" s="7" t="s">
        <v>72</v>
      </c>
      <c r="D314" s="8">
        <v>41779</v>
      </c>
      <c r="E314" s="8">
        <v>41780</v>
      </c>
      <c r="F314" s="9">
        <v>693.7</v>
      </c>
    </row>
    <row r="315" spans="1:6" x14ac:dyDescent="0.25">
      <c r="A315" s="10" t="s">
        <v>15</v>
      </c>
      <c r="B315" s="11" t="s">
        <v>105</v>
      </c>
      <c r="C315" s="11" t="s">
        <v>14</v>
      </c>
      <c r="D315" s="12">
        <v>41779</v>
      </c>
      <c r="E315" s="12">
        <v>41783</v>
      </c>
      <c r="F315" s="13">
        <v>674.5</v>
      </c>
    </row>
    <row r="316" spans="1:6" x14ac:dyDescent="0.25">
      <c r="A316" s="6" t="s">
        <v>151</v>
      </c>
      <c r="B316" s="7" t="s">
        <v>152</v>
      </c>
      <c r="C316" s="7" t="s">
        <v>30</v>
      </c>
      <c r="D316" s="8">
        <v>41779</v>
      </c>
      <c r="E316" s="8">
        <v>41782</v>
      </c>
      <c r="F316" s="9">
        <v>569.5</v>
      </c>
    </row>
    <row r="317" spans="1:6" x14ac:dyDescent="0.25">
      <c r="A317" s="10" t="s">
        <v>166</v>
      </c>
      <c r="B317" s="11" t="s">
        <v>167</v>
      </c>
      <c r="C317" s="11" t="s">
        <v>27</v>
      </c>
      <c r="D317" s="12">
        <v>41779</v>
      </c>
      <c r="E317" s="12">
        <v>41782</v>
      </c>
      <c r="F317" s="13">
        <v>826</v>
      </c>
    </row>
    <row r="318" spans="1:6" x14ac:dyDescent="0.25">
      <c r="A318" s="6" t="s">
        <v>158</v>
      </c>
      <c r="B318" s="7" t="s">
        <v>159</v>
      </c>
      <c r="C318" s="7" t="s">
        <v>24</v>
      </c>
      <c r="D318" s="8">
        <v>41779</v>
      </c>
      <c r="E318" s="8">
        <v>41783</v>
      </c>
      <c r="F318" s="9">
        <v>886.7</v>
      </c>
    </row>
    <row r="319" spans="1:6" x14ac:dyDescent="0.25">
      <c r="A319" s="10" t="s">
        <v>91</v>
      </c>
      <c r="B319" s="11" t="s">
        <v>92</v>
      </c>
      <c r="C319" s="11" t="s">
        <v>66</v>
      </c>
      <c r="D319" s="12">
        <v>41779</v>
      </c>
      <c r="E319" s="12">
        <v>41782</v>
      </c>
      <c r="F319" s="13">
        <v>841.7</v>
      </c>
    </row>
    <row r="320" spans="1:6" x14ac:dyDescent="0.25">
      <c r="A320" s="6" t="s">
        <v>15</v>
      </c>
      <c r="B320" s="7" t="s">
        <v>44</v>
      </c>
      <c r="C320" s="7" t="s">
        <v>72</v>
      </c>
      <c r="D320" s="8">
        <v>41785</v>
      </c>
      <c r="E320" s="8">
        <v>41787</v>
      </c>
      <c r="F320" s="9">
        <v>892.7</v>
      </c>
    </row>
    <row r="321" spans="1:6" x14ac:dyDescent="0.25">
      <c r="A321" s="10" t="s">
        <v>131</v>
      </c>
      <c r="B321" s="11" t="s">
        <v>154</v>
      </c>
      <c r="C321" s="11" t="s">
        <v>66</v>
      </c>
      <c r="D321" s="12">
        <v>41785</v>
      </c>
      <c r="E321" s="12">
        <v>41789</v>
      </c>
      <c r="F321" s="13">
        <v>1019.7</v>
      </c>
    </row>
    <row r="322" spans="1:6" x14ac:dyDescent="0.25">
      <c r="A322" s="6" t="s">
        <v>79</v>
      </c>
      <c r="B322" s="7" t="s">
        <v>80</v>
      </c>
      <c r="C322" s="7" t="s">
        <v>11</v>
      </c>
      <c r="D322" s="8">
        <v>41785</v>
      </c>
      <c r="E322" s="8">
        <v>41787</v>
      </c>
      <c r="F322" s="9">
        <v>434.4</v>
      </c>
    </row>
    <row r="323" spans="1:6" x14ac:dyDescent="0.25">
      <c r="A323" s="10" t="s">
        <v>57</v>
      </c>
      <c r="B323" s="11" t="s">
        <v>163</v>
      </c>
      <c r="C323" s="11" t="s">
        <v>59</v>
      </c>
      <c r="D323" s="12">
        <v>41785</v>
      </c>
      <c r="E323" s="12">
        <v>41788</v>
      </c>
      <c r="F323" s="13">
        <v>919</v>
      </c>
    </row>
    <row r="324" spans="1:6" x14ac:dyDescent="0.25">
      <c r="A324" s="6" t="s">
        <v>25</v>
      </c>
      <c r="B324" s="7" t="s">
        <v>26</v>
      </c>
      <c r="C324" s="7" t="s">
        <v>59</v>
      </c>
      <c r="D324" s="8">
        <v>41785</v>
      </c>
      <c r="E324" s="8">
        <v>41788</v>
      </c>
      <c r="F324" s="9">
        <v>919</v>
      </c>
    </row>
    <row r="325" spans="1:6" x14ac:dyDescent="0.25">
      <c r="A325" s="10" t="s">
        <v>36</v>
      </c>
      <c r="B325" s="11" t="s">
        <v>37</v>
      </c>
      <c r="C325" s="11" t="s">
        <v>59</v>
      </c>
      <c r="D325" s="12">
        <v>41785</v>
      </c>
      <c r="E325" s="12">
        <v>41787</v>
      </c>
      <c r="F325" s="13">
        <v>760</v>
      </c>
    </row>
    <row r="326" spans="1:6" x14ac:dyDescent="0.25">
      <c r="A326" s="6" t="s">
        <v>15</v>
      </c>
      <c r="B326" s="7" t="s">
        <v>44</v>
      </c>
      <c r="C326" s="7" t="s">
        <v>19</v>
      </c>
      <c r="D326" s="8">
        <v>41791</v>
      </c>
      <c r="E326" s="8">
        <v>41794</v>
      </c>
      <c r="F326" s="9">
        <v>936.4</v>
      </c>
    </row>
    <row r="327" spans="1:6" x14ac:dyDescent="0.25">
      <c r="A327" s="10" t="s">
        <v>115</v>
      </c>
      <c r="B327" s="11" t="s">
        <v>153</v>
      </c>
      <c r="C327" s="11" t="s">
        <v>24</v>
      </c>
      <c r="D327" s="12">
        <v>41791</v>
      </c>
      <c r="E327" s="12">
        <v>41794</v>
      </c>
      <c r="F327" s="13">
        <v>737.7</v>
      </c>
    </row>
    <row r="328" spans="1:6" x14ac:dyDescent="0.25">
      <c r="A328" s="6" t="s">
        <v>93</v>
      </c>
      <c r="B328" s="7" t="s">
        <v>124</v>
      </c>
      <c r="C328" s="7" t="s">
        <v>24</v>
      </c>
      <c r="D328" s="8">
        <v>41791</v>
      </c>
      <c r="E328" s="8">
        <v>41795</v>
      </c>
      <c r="F328" s="9">
        <v>886.7</v>
      </c>
    </row>
    <row r="329" spans="1:6" x14ac:dyDescent="0.25">
      <c r="A329" s="10" t="s">
        <v>25</v>
      </c>
      <c r="B329" s="11" t="s">
        <v>67</v>
      </c>
      <c r="C329" s="11" t="s">
        <v>30</v>
      </c>
      <c r="D329" s="12">
        <v>41791</v>
      </c>
      <c r="E329" s="12">
        <v>41793</v>
      </c>
      <c r="F329" s="13">
        <v>450.5</v>
      </c>
    </row>
    <row r="330" spans="1:6" x14ac:dyDescent="0.25">
      <c r="A330" s="6" t="s">
        <v>84</v>
      </c>
      <c r="B330" s="7" t="s">
        <v>85</v>
      </c>
      <c r="C330" s="7" t="s">
        <v>19</v>
      </c>
      <c r="D330" s="8">
        <v>41791</v>
      </c>
      <c r="E330" s="8">
        <v>41794</v>
      </c>
      <c r="F330" s="9">
        <v>936.4</v>
      </c>
    </row>
    <row r="331" spans="1:6" x14ac:dyDescent="0.25">
      <c r="A331" s="10" t="s">
        <v>134</v>
      </c>
      <c r="B331" s="11" t="s">
        <v>149</v>
      </c>
      <c r="C331" s="11" t="s">
        <v>24</v>
      </c>
      <c r="D331" s="12">
        <v>41791</v>
      </c>
      <c r="E331" s="12">
        <v>41793</v>
      </c>
      <c r="F331" s="13">
        <v>588.70000000000005</v>
      </c>
    </row>
    <row r="332" spans="1:6" x14ac:dyDescent="0.25">
      <c r="A332" s="6" t="s">
        <v>15</v>
      </c>
      <c r="B332" s="7" t="s">
        <v>96</v>
      </c>
      <c r="C332" s="7" t="s">
        <v>59</v>
      </c>
      <c r="D332" s="8">
        <v>41791</v>
      </c>
      <c r="E332" s="8">
        <v>41793</v>
      </c>
      <c r="F332" s="9">
        <v>760</v>
      </c>
    </row>
    <row r="333" spans="1:6" x14ac:dyDescent="0.25">
      <c r="A333" s="10" t="s">
        <v>28</v>
      </c>
      <c r="B333" s="11" t="s">
        <v>60</v>
      </c>
      <c r="C333" s="11" t="s">
        <v>30</v>
      </c>
      <c r="D333" s="12">
        <v>41792</v>
      </c>
      <c r="E333" s="12">
        <v>41792</v>
      </c>
      <c r="F333" s="13">
        <v>212.5</v>
      </c>
    </row>
    <row r="334" spans="1:6" x14ac:dyDescent="0.25">
      <c r="A334" s="6" t="s">
        <v>25</v>
      </c>
      <c r="B334" s="7" t="s">
        <v>26</v>
      </c>
      <c r="C334" s="7" t="s">
        <v>38</v>
      </c>
      <c r="D334" s="8">
        <v>41792</v>
      </c>
      <c r="E334" s="8">
        <v>41792</v>
      </c>
      <c r="F334" s="9">
        <v>278.8</v>
      </c>
    </row>
    <row r="335" spans="1:6" x14ac:dyDescent="0.25">
      <c r="A335" s="10" t="s">
        <v>15</v>
      </c>
      <c r="B335" s="11" t="s">
        <v>63</v>
      </c>
      <c r="C335" s="11" t="s">
        <v>24</v>
      </c>
      <c r="D335" s="12">
        <v>41792</v>
      </c>
      <c r="E335" s="12">
        <v>41794</v>
      </c>
      <c r="F335" s="13">
        <v>588.70000000000005</v>
      </c>
    </row>
    <row r="336" spans="1:6" x14ac:dyDescent="0.25">
      <c r="A336" s="6" t="s">
        <v>91</v>
      </c>
      <c r="B336" s="7" t="s">
        <v>92</v>
      </c>
      <c r="C336" s="7" t="s">
        <v>38</v>
      </c>
      <c r="D336" s="8">
        <v>41792</v>
      </c>
      <c r="E336" s="8">
        <v>41792</v>
      </c>
      <c r="F336" s="9">
        <v>278.8</v>
      </c>
    </row>
    <row r="337" spans="1:6" x14ac:dyDescent="0.25">
      <c r="A337" s="10" t="s">
        <v>170</v>
      </c>
      <c r="B337" s="11" t="s">
        <v>171</v>
      </c>
      <c r="C337" s="11" t="s">
        <v>14</v>
      </c>
      <c r="D337" s="12">
        <v>41793</v>
      </c>
      <c r="E337" s="12">
        <v>41793</v>
      </c>
      <c r="F337" s="13">
        <v>178.5</v>
      </c>
    </row>
    <row r="338" spans="1:6" x14ac:dyDescent="0.25">
      <c r="A338" s="6" t="s">
        <v>31</v>
      </c>
      <c r="B338" s="7" t="s">
        <v>77</v>
      </c>
      <c r="C338" s="7" t="s">
        <v>17</v>
      </c>
      <c r="D338" s="8">
        <v>41793</v>
      </c>
      <c r="E338" s="8">
        <v>41794</v>
      </c>
      <c r="F338" s="9">
        <v>706.5</v>
      </c>
    </row>
    <row r="339" spans="1:6" x14ac:dyDescent="0.25">
      <c r="A339" s="10" t="s">
        <v>99</v>
      </c>
      <c r="B339" s="11" t="s">
        <v>130</v>
      </c>
      <c r="C339" s="11" t="s">
        <v>30</v>
      </c>
      <c r="D339" s="12">
        <v>41794</v>
      </c>
      <c r="E339" s="12">
        <v>41795</v>
      </c>
      <c r="F339" s="13">
        <v>331.5</v>
      </c>
    </row>
    <row r="340" spans="1:6" x14ac:dyDescent="0.25">
      <c r="A340" s="6" t="s">
        <v>164</v>
      </c>
      <c r="B340" s="7" t="s">
        <v>165</v>
      </c>
      <c r="C340" s="7" t="s">
        <v>27</v>
      </c>
      <c r="D340" s="8">
        <v>41794</v>
      </c>
      <c r="E340" s="8">
        <v>41795</v>
      </c>
      <c r="F340" s="9">
        <v>570</v>
      </c>
    </row>
    <row r="341" spans="1:6" x14ac:dyDescent="0.25">
      <c r="A341" s="10" t="s">
        <v>91</v>
      </c>
      <c r="B341" s="11" t="s">
        <v>92</v>
      </c>
      <c r="C341" s="11" t="s">
        <v>17</v>
      </c>
      <c r="D341" s="12">
        <v>41794</v>
      </c>
      <c r="E341" s="12">
        <v>41795</v>
      </c>
      <c r="F341" s="13">
        <v>706.5</v>
      </c>
    </row>
    <row r="342" spans="1:6" x14ac:dyDescent="0.25">
      <c r="A342" s="6" t="s">
        <v>25</v>
      </c>
      <c r="B342" s="7" t="s">
        <v>67</v>
      </c>
      <c r="C342" s="7" t="s">
        <v>17</v>
      </c>
      <c r="D342" s="8">
        <v>41795</v>
      </c>
      <c r="E342" s="8">
        <v>41795</v>
      </c>
      <c r="F342" s="9">
        <v>501.5</v>
      </c>
    </row>
    <row r="343" spans="1:6" x14ac:dyDescent="0.25">
      <c r="A343" s="10" t="s">
        <v>22</v>
      </c>
      <c r="B343" s="11" t="s">
        <v>23</v>
      </c>
      <c r="C343" s="11" t="s">
        <v>11</v>
      </c>
      <c r="D343" s="12">
        <v>41797</v>
      </c>
      <c r="E343" s="12">
        <v>41797</v>
      </c>
      <c r="F343" s="13">
        <v>156.4</v>
      </c>
    </row>
    <row r="344" spans="1:6" x14ac:dyDescent="0.25">
      <c r="A344" s="6" t="s">
        <v>93</v>
      </c>
      <c r="B344" s="7" t="s">
        <v>124</v>
      </c>
      <c r="C344" s="7" t="s">
        <v>66</v>
      </c>
      <c r="D344" s="8">
        <v>41797</v>
      </c>
      <c r="E344" s="8">
        <v>41799</v>
      </c>
      <c r="F344" s="9">
        <v>663.7</v>
      </c>
    </row>
    <row r="345" spans="1:6" x14ac:dyDescent="0.25">
      <c r="A345" s="10" t="s">
        <v>86</v>
      </c>
      <c r="B345" s="11" t="s">
        <v>150</v>
      </c>
      <c r="C345" s="11" t="s">
        <v>72</v>
      </c>
      <c r="D345" s="12">
        <v>41797</v>
      </c>
      <c r="E345" s="12">
        <v>41801</v>
      </c>
      <c r="F345" s="13">
        <v>1290.7</v>
      </c>
    </row>
    <row r="346" spans="1:6" x14ac:dyDescent="0.25">
      <c r="A346" s="6" t="s">
        <v>12</v>
      </c>
      <c r="B346" s="7" t="s">
        <v>13</v>
      </c>
      <c r="C346" s="7" t="s">
        <v>11</v>
      </c>
      <c r="D346" s="8">
        <v>41797</v>
      </c>
      <c r="E346" s="8">
        <v>41801</v>
      </c>
      <c r="F346" s="9">
        <v>712.4</v>
      </c>
    </row>
    <row r="347" spans="1:6" x14ac:dyDescent="0.25">
      <c r="A347" s="10" t="s">
        <v>91</v>
      </c>
      <c r="B347" s="11" t="s">
        <v>161</v>
      </c>
      <c r="C347" s="11" t="s">
        <v>19</v>
      </c>
      <c r="D347" s="12">
        <v>41797</v>
      </c>
      <c r="E347" s="12">
        <v>41799</v>
      </c>
      <c r="F347" s="13">
        <v>795.4</v>
      </c>
    </row>
    <row r="348" spans="1:6" x14ac:dyDescent="0.25">
      <c r="A348" s="6" t="s">
        <v>36</v>
      </c>
      <c r="B348" s="7" t="s">
        <v>37</v>
      </c>
      <c r="C348" s="7" t="s">
        <v>66</v>
      </c>
      <c r="D348" s="8">
        <v>41799</v>
      </c>
      <c r="E348" s="8">
        <v>41800</v>
      </c>
      <c r="F348" s="9">
        <v>485.7</v>
      </c>
    </row>
    <row r="349" spans="1:6" x14ac:dyDescent="0.25">
      <c r="A349" s="10" t="s">
        <v>54</v>
      </c>
      <c r="B349" s="11" t="s">
        <v>55</v>
      </c>
      <c r="C349" s="11" t="s">
        <v>66</v>
      </c>
      <c r="D349" s="12">
        <v>41803</v>
      </c>
      <c r="E349" s="12">
        <v>41805</v>
      </c>
      <c r="F349" s="13">
        <v>663.7</v>
      </c>
    </row>
    <row r="350" spans="1:6" x14ac:dyDescent="0.25">
      <c r="A350" s="6" t="s">
        <v>131</v>
      </c>
      <c r="B350" s="7" t="s">
        <v>154</v>
      </c>
      <c r="C350" s="7" t="s">
        <v>59</v>
      </c>
      <c r="D350" s="8">
        <v>41803</v>
      </c>
      <c r="E350" s="8">
        <v>41807</v>
      </c>
      <c r="F350" s="9">
        <v>1078</v>
      </c>
    </row>
    <row r="351" spans="1:6" x14ac:dyDescent="0.25">
      <c r="A351" s="10" t="s">
        <v>22</v>
      </c>
      <c r="B351" s="11" t="s">
        <v>172</v>
      </c>
      <c r="C351" s="11" t="s">
        <v>72</v>
      </c>
      <c r="D351" s="12">
        <v>41803</v>
      </c>
      <c r="E351" s="12">
        <v>41803</v>
      </c>
      <c r="F351" s="13">
        <v>494.7</v>
      </c>
    </row>
    <row r="352" spans="1:6" x14ac:dyDescent="0.25">
      <c r="A352" s="6" t="s">
        <v>84</v>
      </c>
      <c r="B352" s="7" t="s">
        <v>85</v>
      </c>
      <c r="C352" s="7" t="s">
        <v>38</v>
      </c>
      <c r="D352" s="8">
        <v>41803</v>
      </c>
      <c r="E352" s="8">
        <v>41807</v>
      </c>
      <c r="F352" s="9">
        <v>794.8</v>
      </c>
    </row>
    <row r="353" spans="1:6" x14ac:dyDescent="0.25">
      <c r="A353" s="10" t="s">
        <v>6</v>
      </c>
      <c r="B353" s="11" t="s">
        <v>56</v>
      </c>
      <c r="C353" s="11" t="s">
        <v>72</v>
      </c>
      <c r="D353" s="12">
        <v>41803</v>
      </c>
      <c r="E353" s="12">
        <v>41806</v>
      </c>
      <c r="F353" s="13">
        <v>1091.7</v>
      </c>
    </row>
    <row r="354" spans="1:6" x14ac:dyDescent="0.25">
      <c r="A354" s="6" t="s">
        <v>33</v>
      </c>
      <c r="B354" s="7" t="s">
        <v>41</v>
      </c>
      <c r="C354" s="7" t="s">
        <v>72</v>
      </c>
      <c r="D354" s="8">
        <v>41803</v>
      </c>
      <c r="E354" s="8">
        <v>41806</v>
      </c>
      <c r="F354" s="9">
        <v>1091.7</v>
      </c>
    </row>
    <row r="355" spans="1:6" x14ac:dyDescent="0.25">
      <c r="A355" s="10" t="s">
        <v>134</v>
      </c>
      <c r="B355" s="11" t="s">
        <v>135</v>
      </c>
      <c r="C355" s="11" t="s">
        <v>38</v>
      </c>
      <c r="D355" s="12">
        <v>41803</v>
      </c>
      <c r="E355" s="12">
        <v>41807</v>
      </c>
      <c r="F355" s="13">
        <v>794.8</v>
      </c>
    </row>
    <row r="356" spans="1:6" x14ac:dyDescent="0.25">
      <c r="A356" s="6" t="s">
        <v>9</v>
      </c>
      <c r="B356" s="7" t="s">
        <v>69</v>
      </c>
      <c r="C356" s="7" t="s">
        <v>72</v>
      </c>
      <c r="D356" s="8">
        <v>41803</v>
      </c>
      <c r="E356" s="8">
        <v>41804</v>
      </c>
      <c r="F356" s="9">
        <v>693.7</v>
      </c>
    </row>
    <row r="357" spans="1:6" x14ac:dyDescent="0.25">
      <c r="A357" s="10" t="s">
        <v>99</v>
      </c>
      <c r="B357" s="11" t="s">
        <v>100</v>
      </c>
      <c r="C357" s="11" t="s">
        <v>72</v>
      </c>
      <c r="D357" s="12">
        <v>41803</v>
      </c>
      <c r="E357" s="12">
        <v>41805</v>
      </c>
      <c r="F357" s="13">
        <v>892.7</v>
      </c>
    </row>
    <row r="358" spans="1:6" x14ac:dyDescent="0.25">
      <c r="A358" s="6" t="s">
        <v>145</v>
      </c>
      <c r="B358" s="7" t="s">
        <v>146</v>
      </c>
      <c r="C358" s="7" t="s">
        <v>47</v>
      </c>
      <c r="D358" s="8">
        <v>41803</v>
      </c>
      <c r="E358" s="8">
        <v>41806</v>
      </c>
      <c r="F358" s="9">
        <v>852.8</v>
      </c>
    </row>
    <row r="359" spans="1:6" x14ac:dyDescent="0.25">
      <c r="A359" s="10" t="s">
        <v>151</v>
      </c>
      <c r="B359" s="11" t="s">
        <v>152</v>
      </c>
      <c r="C359" s="11" t="s">
        <v>72</v>
      </c>
      <c r="D359" s="12">
        <v>41803</v>
      </c>
      <c r="E359" s="12">
        <v>41803</v>
      </c>
      <c r="F359" s="13">
        <v>494.7</v>
      </c>
    </row>
    <row r="360" spans="1:6" x14ac:dyDescent="0.25">
      <c r="A360" s="6" t="s">
        <v>75</v>
      </c>
      <c r="B360" s="7" t="s">
        <v>88</v>
      </c>
      <c r="C360" s="7" t="s">
        <v>27</v>
      </c>
      <c r="D360" s="8">
        <v>41803</v>
      </c>
      <c r="E360" s="8">
        <v>41803</v>
      </c>
      <c r="F360" s="9">
        <v>442</v>
      </c>
    </row>
    <row r="361" spans="1:6" x14ac:dyDescent="0.25">
      <c r="A361" s="10" t="s">
        <v>137</v>
      </c>
      <c r="B361" s="11" t="s">
        <v>160</v>
      </c>
      <c r="C361" s="11" t="s">
        <v>66</v>
      </c>
      <c r="D361" s="12">
        <v>41803</v>
      </c>
      <c r="E361" s="12">
        <v>41805</v>
      </c>
      <c r="F361" s="13">
        <v>663.7</v>
      </c>
    </row>
    <row r="362" spans="1:6" x14ac:dyDescent="0.25">
      <c r="A362" s="6" t="s">
        <v>158</v>
      </c>
      <c r="B362" s="7" t="s">
        <v>159</v>
      </c>
      <c r="C362" s="7" t="s">
        <v>8</v>
      </c>
      <c r="D362" s="8">
        <v>41803</v>
      </c>
      <c r="E362" s="8">
        <v>41806</v>
      </c>
      <c r="F362" s="9">
        <v>1313</v>
      </c>
    </row>
    <row r="363" spans="1:6" x14ac:dyDescent="0.25">
      <c r="A363" s="10" t="s">
        <v>115</v>
      </c>
      <c r="B363" s="11" t="s">
        <v>116</v>
      </c>
      <c r="C363" s="11" t="s">
        <v>17</v>
      </c>
      <c r="D363" s="12">
        <v>41803</v>
      </c>
      <c r="E363" s="12">
        <v>41805</v>
      </c>
      <c r="F363" s="13">
        <v>911.5</v>
      </c>
    </row>
    <row r="364" spans="1:6" x14ac:dyDescent="0.25">
      <c r="A364" s="6" t="s">
        <v>164</v>
      </c>
      <c r="B364" s="7" t="s">
        <v>165</v>
      </c>
      <c r="C364" s="7" t="s">
        <v>59</v>
      </c>
      <c r="D364" s="8">
        <v>41806</v>
      </c>
      <c r="E364" s="8">
        <v>41807</v>
      </c>
      <c r="F364" s="9">
        <v>601</v>
      </c>
    </row>
    <row r="365" spans="1:6" x14ac:dyDescent="0.25">
      <c r="A365" s="10" t="s">
        <v>75</v>
      </c>
      <c r="B365" s="11" t="s">
        <v>76</v>
      </c>
      <c r="C365" s="11" t="s">
        <v>27</v>
      </c>
      <c r="D365" s="12">
        <v>41806</v>
      </c>
      <c r="E365" s="12">
        <v>41806</v>
      </c>
      <c r="F365" s="13">
        <v>442</v>
      </c>
    </row>
    <row r="366" spans="1:6" x14ac:dyDescent="0.25">
      <c r="A366" s="6" t="s">
        <v>126</v>
      </c>
      <c r="B366" s="7" t="s">
        <v>127</v>
      </c>
      <c r="C366" s="7" t="s">
        <v>30</v>
      </c>
      <c r="D366" s="8">
        <v>41809</v>
      </c>
      <c r="E366" s="8">
        <v>41812</v>
      </c>
      <c r="F366" s="9">
        <v>569.5</v>
      </c>
    </row>
    <row r="367" spans="1:6" x14ac:dyDescent="0.25">
      <c r="A367" s="10" t="s">
        <v>145</v>
      </c>
      <c r="B367" s="11" t="s">
        <v>146</v>
      </c>
      <c r="C367" s="11" t="s">
        <v>24</v>
      </c>
      <c r="D367" s="12">
        <v>41809</v>
      </c>
      <c r="E367" s="12">
        <v>41810</v>
      </c>
      <c r="F367" s="13">
        <v>439.7</v>
      </c>
    </row>
    <row r="368" spans="1:6" x14ac:dyDescent="0.25">
      <c r="A368" s="6" t="s">
        <v>75</v>
      </c>
      <c r="B368" s="7" t="s">
        <v>88</v>
      </c>
      <c r="C368" s="7" t="s">
        <v>66</v>
      </c>
      <c r="D368" s="8">
        <v>41809</v>
      </c>
      <c r="E368" s="8">
        <v>41812</v>
      </c>
      <c r="F368" s="9">
        <v>841.7</v>
      </c>
    </row>
    <row r="369" spans="1:6" x14ac:dyDescent="0.25">
      <c r="A369" s="10" t="s">
        <v>109</v>
      </c>
      <c r="B369" s="11" t="s">
        <v>110</v>
      </c>
      <c r="C369" s="11" t="s">
        <v>19</v>
      </c>
      <c r="D369" s="12">
        <v>41809</v>
      </c>
      <c r="E369" s="12">
        <v>41811</v>
      </c>
      <c r="F369" s="13">
        <v>795.4</v>
      </c>
    </row>
    <row r="370" spans="1:6" x14ac:dyDescent="0.25">
      <c r="A370" s="6" t="s">
        <v>20</v>
      </c>
      <c r="B370" s="7" t="s">
        <v>162</v>
      </c>
      <c r="C370" s="7" t="s">
        <v>72</v>
      </c>
      <c r="D370" s="8">
        <v>41809</v>
      </c>
      <c r="E370" s="8">
        <v>41813</v>
      </c>
      <c r="F370" s="9">
        <v>1290.7</v>
      </c>
    </row>
    <row r="371" spans="1:6" x14ac:dyDescent="0.25">
      <c r="A371" s="10" t="s">
        <v>20</v>
      </c>
      <c r="B371" s="11" t="s">
        <v>21</v>
      </c>
      <c r="C371" s="11" t="s">
        <v>27</v>
      </c>
      <c r="D371" s="12">
        <v>41809</v>
      </c>
      <c r="E371" s="12">
        <v>41811</v>
      </c>
      <c r="F371" s="13">
        <v>698</v>
      </c>
    </row>
    <row r="372" spans="1:6" x14ac:dyDescent="0.25">
      <c r="A372" s="6" t="s">
        <v>48</v>
      </c>
      <c r="B372" s="7" t="s">
        <v>49</v>
      </c>
      <c r="C372" s="7" t="s">
        <v>24</v>
      </c>
      <c r="D372" s="8">
        <v>41815</v>
      </c>
      <c r="E372" s="8">
        <v>41816</v>
      </c>
      <c r="F372" s="9">
        <v>439.7</v>
      </c>
    </row>
    <row r="373" spans="1:6" x14ac:dyDescent="0.25">
      <c r="A373" s="10" t="s">
        <v>54</v>
      </c>
      <c r="B373" s="11" t="s">
        <v>133</v>
      </c>
      <c r="C373" s="11" t="s">
        <v>72</v>
      </c>
      <c r="D373" s="12">
        <v>41815</v>
      </c>
      <c r="E373" s="12">
        <v>41815</v>
      </c>
      <c r="F373" s="13">
        <v>494.7</v>
      </c>
    </row>
    <row r="374" spans="1:6" x14ac:dyDescent="0.25">
      <c r="A374" s="6" t="s">
        <v>54</v>
      </c>
      <c r="B374" s="7" t="s">
        <v>133</v>
      </c>
      <c r="C374" s="7" t="s">
        <v>17</v>
      </c>
      <c r="D374" s="8">
        <v>41815</v>
      </c>
      <c r="E374" s="8">
        <v>41817</v>
      </c>
      <c r="F374" s="9">
        <v>911.5</v>
      </c>
    </row>
    <row r="375" spans="1:6" x14ac:dyDescent="0.25">
      <c r="A375" s="10" t="s">
        <v>50</v>
      </c>
      <c r="B375" s="11" t="s">
        <v>51</v>
      </c>
      <c r="C375" s="11" t="s">
        <v>8</v>
      </c>
      <c r="D375" s="12">
        <v>41815</v>
      </c>
      <c r="E375" s="12">
        <v>41816</v>
      </c>
      <c r="F375" s="13">
        <v>891</v>
      </c>
    </row>
    <row r="376" spans="1:6" x14ac:dyDescent="0.25">
      <c r="A376" s="6" t="s">
        <v>61</v>
      </c>
      <c r="B376" s="7" t="s">
        <v>62</v>
      </c>
      <c r="C376" s="7" t="s">
        <v>38</v>
      </c>
      <c r="D376" s="8">
        <v>41815</v>
      </c>
      <c r="E376" s="8">
        <v>41818</v>
      </c>
      <c r="F376" s="9">
        <v>665.8</v>
      </c>
    </row>
    <row r="377" spans="1:6" x14ac:dyDescent="0.25">
      <c r="A377" s="10" t="s">
        <v>126</v>
      </c>
      <c r="B377" s="11" t="s">
        <v>127</v>
      </c>
      <c r="C377" s="11" t="s">
        <v>19</v>
      </c>
      <c r="D377" s="12">
        <v>41815</v>
      </c>
      <c r="E377" s="12">
        <v>41817</v>
      </c>
      <c r="F377" s="13">
        <v>795.4</v>
      </c>
    </row>
    <row r="378" spans="1:6" x14ac:dyDescent="0.25">
      <c r="A378" s="6" t="s">
        <v>9</v>
      </c>
      <c r="B378" s="7" t="s">
        <v>103</v>
      </c>
      <c r="C378" s="7" t="s">
        <v>19</v>
      </c>
      <c r="D378" s="8">
        <v>41815</v>
      </c>
      <c r="E378" s="8">
        <v>41816</v>
      </c>
      <c r="F378" s="9">
        <v>654.4</v>
      </c>
    </row>
    <row r="379" spans="1:6" x14ac:dyDescent="0.25">
      <c r="A379" s="10" t="s">
        <v>156</v>
      </c>
      <c r="B379" s="11" t="s">
        <v>157</v>
      </c>
      <c r="C379" s="11" t="s">
        <v>24</v>
      </c>
      <c r="D379" s="12">
        <v>41815</v>
      </c>
      <c r="E379" s="12">
        <v>41818</v>
      </c>
      <c r="F379" s="13">
        <v>737.7</v>
      </c>
    </row>
    <row r="380" spans="1:6" x14ac:dyDescent="0.25">
      <c r="A380" s="6" t="s">
        <v>52</v>
      </c>
      <c r="B380" s="7" t="s">
        <v>53</v>
      </c>
      <c r="C380" s="7" t="s">
        <v>24</v>
      </c>
      <c r="D380" s="8">
        <v>41815</v>
      </c>
      <c r="E380" s="8">
        <v>41819</v>
      </c>
      <c r="F380" s="9">
        <v>886.7</v>
      </c>
    </row>
    <row r="381" spans="1:6" x14ac:dyDescent="0.25">
      <c r="A381" s="10" t="s">
        <v>158</v>
      </c>
      <c r="B381" s="11" t="s">
        <v>159</v>
      </c>
      <c r="C381" s="11" t="s">
        <v>11</v>
      </c>
      <c r="D381" s="12">
        <v>41815</v>
      </c>
      <c r="E381" s="12">
        <v>41816</v>
      </c>
      <c r="F381" s="13">
        <v>295.39999999999998</v>
      </c>
    </row>
    <row r="382" spans="1:6" x14ac:dyDescent="0.25">
      <c r="A382" s="6" t="s">
        <v>6</v>
      </c>
      <c r="B382" s="7" t="s">
        <v>45</v>
      </c>
      <c r="C382" s="7" t="s">
        <v>47</v>
      </c>
      <c r="D382" s="8">
        <v>41815</v>
      </c>
      <c r="E382" s="8">
        <v>41817</v>
      </c>
      <c r="F382" s="9">
        <v>689.8</v>
      </c>
    </row>
    <row r="383" spans="1:6" x14ac:dyDescent="0.25">
      <c r="A383" s="10" t="s">
        <v>31</v>
      </c>
      <c r="B383" s="11" t="s">
        <v>77</v>
      </c>
      <c r="C383" s="11" t="s">
        <v>8</v>
      </c>
      <c r="D383" s="12">
        <v>41815</v>
      </c>
      <c r="E383" s="12">
        <v>41819</v>
      </c>
      <c r="F383" s="13">
        <v>1524</v>
      </c>
    </row>
    <row r="384" spans="1:6" x14ac:dyDescent="0.25">
      <c r="A384" s="6" t="s">
        <v>15</v>
      </c>
      <c r="B384" s="7" t="s">
        <v>16</v>
      </c>
      <c r="C384" s="7" t="s">
        <v>11</v>
      </c>
      <c r="D384" s="8">
        <v>41815</v>
      </c>
      <c r="E384" s="8">
        <v>41816</v>
      </c>
      <c r="F384" s="9">
        <v>295.39999999999998</v>
      </c>
    </row>
    <row r="385" spans="1:6" x14ac:dyDescent="0.25">
      <c r="A385" s="10" t="s">
        <v>113</v>
      </c>
      <c r="B385" s="11" t="s">
        <v>114</v>
      </c>
      <c r="C385" s="11" t="s">
        <v>59</v>
      </c>
      <c r="D385" s="12">
        <v>41815</v>
      </c>
      <c r="E385" s="12">
        <v>41817</v>
      </c>
      <c r="F385" s="13">
        <v>760</v>
      </c>
    </row>
    <row r="386" spans="1:6" x14ac:dyDescent="0.25">
      <c r="A386" s="6" t="s">
        <v>115</v>
      </c>
      <c r="B386" s="7" t="s">
        <v>116</v>
      </c>
      <c r="C386" s="7" t="s">
        <v>19</v>
      </c>
      <c r="D386" s="8">
        <v>41815</v>
      </c>
      <c r="E386" s="8">
        <v>41817</v>
      </c>
      <c r="F386" s="9">
        <v>795.4</v>
      </c>
    </row>
    <row r="387" spans="1:6" x14ac:dyDescent="0.25">
      <c r="A387" s="10" t="s">
        <v>86</v>
      </c>
      <c r="B387" s="11" t="s">
        <v>136</v>
      </c>
      <c r="C387" s="11" t="s">
        <v>14</v>
      </c>
      <c r="D387" s="12">
        <v>41815</v>
      </c>
      <c r="E387" s="12">
        <v>41816</v>
      </c>
      <c r="F387" s="13">
        <v>302.5</v>
      </c>
    </row>
    <row r="388" spans="1:6" x14ac:dyDescent="0.25">
      <c r="A388" s="6" t="s">
        <v>9</v>
      </c>
      <c r="B388" s="7" t="s">
        <v>103</v>
      </c>
      <c r="C388" s="7" t="s">
        <v>47</v>
      </c>
      <c r="D388" s="8">
        <v>41818</v>
      </c>
      <c r="E388" s="8">
        <v>41818</v>
      </c>
      <c r="F388" s="9">
        <v>363.8</v>
      </c>
    </row>
    <row r="389" spans="1:6" x14ac:dyDescent="0.25">
      <c r="A389" s="10" t="s">
        <v>15</v>
      </c>
      <c r="B389" s="11" t="s">
        <v>46</v>
      </c>
      <c r="C389" s="11" t="s">
        <v>72</v>
      </c>
      <c r="D389" s="12">
        <v>41821</v>
      </c>
      <c r="E389" s="12">
        <v>41825</v>
      </c>
      <c r="F389" s="13">
        <v>1290.7</v>
      </c>
    </row>
    <row r="390" spans="1:6" x14ac:dyDescent="0.25">
      <c r="A390" s="6" t="s">
        <v>33</v>
      </c>
      <c r="B390" s="7" t="s">
        <v>41</v>
      </c>
      <c r="C390" s="7" t="s">
        <v>19</v>
      </c>
      <c r="D390" s="8">
        <v>41821</v>
      </c>
      <c r="E390" s="8">
        <v>41825</v>
      </c>
      <c r="F390" s="9">
        <v>1077.4000000000001</v>
      </c>
    </row>
    <row r="391" spans="1:6" x14ac:dyDescent="0.25">
      <c r="A391" s="10" t="s">
        <v>101</v>
      </c>
      <c r="B391" s="11" t="s">
        <v>102</v>
      </c>
      <c r="C391" s="11" t="s">
        <v>66</v>
      </c>
      <c r="D391" s="12">
        <v>41821</v>
      </c>
      <c r="E391" s="12">
        <v>41823</v>
      </c>
      <c r="F391" s="13">
        <v>663.7</v>
      </c>
    </row>
    <row r="392" spans="1:6" x14ac:dyDescent="0.25">
      <c r="A392" s="6" t="s">
        <v>143</v>
      </c>
      <c r="B392" s="7" t="s">
        <v>144</v>
      </c>
      <c r="C392" s="7" t="s">
        <v>14</v>
      </c>
      <c r="D392" s="8">
        <v>41821</v>
      </c>
      <c r="E392" s="8">
        <v>41825</v>
      </c>
      <c r="F392" s="9">
        <v>674.5</v>
      </c>
    </row>
    <row r="393" spans="1:6" x14ac:dyDescent="0.25">
      <c r="A393" s="10" t="s">
        <v>151</v>
      </c>
      <c r="B393" s="11" t="s">
        <v>152</v>
      </c>
      <c r="C393" s="11" t="s">
        <v>17</v>
      </c>
      <c r="D393" s="12">
        <v>41821</v>
      </c>
      <c r="E393" s="12">
        <v>41823</v>
      </c>
      <c r="F393" s="13">
        <v>911.5</v>
      </c>
    </row>
    <row r="394" spans="1:6" x14ac:dyDescent="0.25">
      <c r="A394" s="6" t="s">
        <v>75</v>
      </c>
      <c r="B394" s="7" t="s">
        <v>76</v>
      </c>
      <c r="C394" s="7" t="s">
        <v>14</v>
      </c>
      <c r="D394" s="8">
        <v>41821</v>
      </c>
      <c r="E394" s="8">
        <v>41824</v>
      </c>
      <c r="F394" s="9">
        <v>550.5</v>
      </c>
    </row>
    <row r="395" spans="1:6" x14ac:dyDescent="0.25">
      <c r="A395" s="10" t="s">
        <v>115</v>
      </c>
      <c r="B395" s="11" t="s">
        <v>153</v>
      </c>
      <c r="C395" s="11" t="s">
        <v>72</v>
      </c>
      <c r="D395" s="12">
        <v>41827</v>
      </c>
      <c r="E395" s="12">
        <v>41829</v>
      </c>
      <c r="F395" s="13">
        <v>892.7</v>
      </c>
    </row>
    <row r="396" spans="1:6" x14ac:dyDescent="0.25">
      <c r="A396" s="6" t="s">
        <v>131</v>
      </c>
      <c r="B396" s="7" t="s">
        <v>142</v>
      </c>
      <c r="C396" s="7" t="s">
        <v>27</v>
      </c>
      <c r="D396" s="8">
        <v>41827</v>
      </c>
      <c r="E396" s="8">
        <v>41829</v>
      </c>
      <c r="F396" s="9">
        <v>698</v>
      </c>
    </row>
    <row r="397" spans="1:6" x14ac:dyDescent="0.25">
      <c r="A397" s="10" t="s">
        <v>25</v>
      </c>
      <c r="B397" s="11" t="s">
        <v>67</v>
      </c>
      <c r="C397" s="11" t="s">
        <v>24</v>
      </c>
      <c r="D397" s="12">
        <v>41827</v>
      </c>
      <c r="E397" s="12">
        <v>41830</v>
      </c>
      <c r="F397" s="13">
        <v>737.7</v>
      </c>
    </row>
    <row r="398" spans="1:6" x14ac:dyDescent="0.25">
      <c r="A398" s="6" t="s">
        <v>25</v>
      </c>
      <c r="B398" s="7" t="s">
        <v>26</v>
      </c>
      <c r="C398" s="7" t="s">
        <v>38</v>
      </c>
      <c r="D398" s="8">
        <v>41827</v>
      </c>
      <c r="E398" s="8">
        <v>41828</v>
      </c>
      <c r="F398" s="9">
        <v>407.8</v>
      </c>
    </row>
    <row r="399" spans="1:6" x14ac:dyDescent="0.25">
      <c r="A399" s="10" t="s">
        <v>61</v>
      </c>
      <c r="B399" s="11" t="s">
        <v>62</v>
      </c>
      <c r="C399" s="11" t="s">
        <v>59</v>
      </c>
      <c r="D399" s="12">
        <v>41827</v>
      </c>
      <c r="E399" s="12">
        <v>41830</v>
      </c>
      <c r="F399" s="13">
        <v>919</v>
      </c>
    </row>
    <row r="400" spans="1:6" x14ac:dyDescent="0.25">
      <c r="A400" s="6" t="s">
        <v>168</v>
      </c>
      <c r="B400" s="7" t="s">
        <v>169</v>
      </c>
      <c r="C400" s="7" t="s">
        <v>24</v>
      </c>
      <c r="D400" s="8">
        <v>41827</v>
      </c>
      <c r="E400" s="8">
        <v>41828</v>
      </c>
      <c r="F400" s="9">
        <v>439.7</v>
      </c>
    </row>
    <row r="401" spans="1:6" x14ac:dyDescent="0.25">
      <c r="A401" s="10" t="s">
        <v>33</v>
      </c>
      <c r="B401" s="11" t="s">
        <v>41</v>
      </c>
      <c r="C401" s="11" t="s">
        <v>19</v>
      </c>
      <c r="D401" s="12">
        <v>41827</v>
      </c>
      <c r="E401" s="12">
        <v>41829</v>
      </c>
      <c r="F401" s="13">
        <v>795.4</v>
      </c>
    </row>
    <row r="402" spans="1:6" x14ac:dyDescent="0.25">
      <c r="A402" s="6" t="s">
        <v>143</v>
      </c>
      <c r="B402" s="7" t="s">
        <v>144</v>
      </c>
      <c r="C402" s="7" t="s">
        <v>14</v>
      </c>
      <c r="D402" s="8">
        <v>41827</v>
      </c>
      <c r="E402" s="8">
        <v>41828</v>
      </c>
      <c r="F402" s="9">
        <v>302.5</v>
      </c>
    </row>
    <row r="403" spans="1:6" x14ac:dyDescent="0.25">
      <c r="A403" s="10" t="s">
        <v>164</v>
      </c>
      <c r="B403" s="11" t="s">
        <v>165</v>
      </c>
      <c r="C403" s="11" t="s">
        <v>47</v>
      </c>
      <c r="D403" s="12">
        <v>41827</v>
      </c>
      <c r="E403" s="12">
        <v>41827</v>
      </c>
      <c r="F403" s="13">
        <v>363.8</v>
      </c>
    </row>
    <row r="404" spans="1:6" x14ac:dyDescent="0.25">
      <c r="A404" s="6" t="s">
        <v>52</v>
      </c>
      <c r="B404" s="7" t="s">
        <v>53</v>
      </c>
      <c r="C404" s="7" t="s">
        <v>38</v>
      </c>
      <c r="D404" s="8">
        <v>41827</v>
      </c>
      <c r="E404" s="8">
        <v>41831</v>
      </c>
      <c r="F404" s="9">
        <v>794.8</v>
      </c>
    </row>
    <row r="405" spans="1:6" x14ac:dyDescent="0.25">
      <c r="A405" s="10" t="s">
        <v>147</v>
      </c>
      <c r="B405" s="11" t="s">
        <v>148</v>
      </c>
      <c r="C405" s="11" t="s">
        <v>38</v>
      </c>
      <c r="D405" s="12">
        <v>41827</v>
      </c>
      <c r="E405" s="12">
        <v>41831</v>
      </c>
      <c r="F405" s="13">
        <v>794.8</v>
      </c>
    </row>
    <row r="406" spans="1:6" x14ac:dyDescent="0.25">
      <c r="A406" s="6" t="s">
        <v>89</v>
      </c>
      <c r="B406" s="7" t="s">
        <v>90</v>
      </c>
      <c r="C406" s="7" t="s">
        <v>11</v>
      </c>
      <c r="D406" s="8">
        <v>41827</v>
      </c>
      <c r="E406" s="8">
        <v>41828</v>
      </c>
      <c r="F406" s="9">
        <v>295.39999999999998</v>
      </c>
    </row>
    <row r="407" spans="1:6" x14ac:dyDescent="0.25">
      <c r="A407" s="10" t="s">
        <v>39</v>
      </c>
      <c r="B407" s="11" t="s">
        <v>40</v>
      </c>
      <c r="C407" s="11" t="s">
        <v>17</v>
      </c>
      <c r="D407" s="12">
        <v>41827</v>
      </c>
      <c r="E407" s="12">
        <v>41828</v>
      </c>
      <c r="F407" s="13">
        <v>706.5</v>
      </c>
    </row>
    <row r="408" spans="1:6" x14ac:dyDescent="0.25">
      <c r="A408" s="6" t="s">
        <v>15</v>
      </c>
      <c r="B408" s="7" t="s">
        <v>63</v>
      </c>
      <c r="C408" s="7" t="s">
        <v>66</v>
      </c>
      <c r="D408" s="8">
        <v>41827</v>
      </c>
      <c r="E408" s="8">
        <v>41828</v>
      </c>
      <c r="F408" s="9">
        <v>485.7</v>
      </c>
    </row>
    <row r="409" spans="1:6" x14ac:dyDescent="0.25">
      <c r="A409" s="10" t="s">
        <v>91</v>
      </c>
      <c r="B409" s="11" t="s">
        <v>92</v>
      </c>
      <c r="C409" s="11" t="s">
        <v>66</v>
      </c>
      <c r="D409" s="12">
        <v>41827</v>
      </c>
      <c r="E409" s="12">
        <v>41830</v>
      </c>
      <c r="F409" s="13">
        <v>841.7</v>
      </c>
    </row>
    <row r="410" spans="1:6" x14ac:dyDescent="0.25">
      <c r="A410" s="6" t="s">
        <v>164</v>
      </c>
      <c r="B410" s="7" t="s">
        <v>165</v>
      </c>
      <c r="C410" s="7" t="s">
        <v>59</v>
      </c>
      <c r="D410" s="8">
        <v>41830</v>
      </c>
      <c r="E410" s="8">
        <v>41830</v>
      </c>
      <c r="F410" s="9">
        <v>442</v>
      </c>
    </row>
    <row r="411" spans="1:6" x14ac:dyDescent="0.25">
      <c r="A411" s="10" t="s">
        <v>131</v>
      </c>
      <c r="B411" s="11" t="s">
        <v>142</v>
      </c>
      <c r="C411" s="11" t="s">
        <v>14</v>
      </c>
      <c r="D411" s="12">
        <v>41831</v>
      </c>
      <c r="E411" s="12">
        <v>41831</v>
      </c>
      <c r="F411" s="13">
        <v>178.5</v>
      </c>
    </row>
    <row r="412" spans="1:6" x14ac:dyDescent="0.25">
      <c r="A412" s="6" t="s">
        <v>31</v>
      </c>
      <c r="B412" s="7" t="s">
        <v>78</v>
      </c>
      <c r="C412" s="7" t="s">
        <v>47</v>
      </c>
      <c r="D412" s="8">
        <v>41833</v>
      </c>
      <c r="E412" s="8">
        <v>41836</v>
      </c>
      <c r="F412" s="9">
        <v>852.8</v>
      </c>
    </row>
    <row r="413" spans="1:6" x14ac:dyDescent="0.25">
      <c r="A413" s="10" t="s">
        <v>70</v>
      </c>
      <c r="B413" s="11" t="s">
        <v>117</v>
      </c>
      <c r="C413" s="11" t="s">
        <v>72</v>
      </c>
      <c r="D413" s="12">
        <v>41833</v>
      </c>
      <c r="E413" s="12">
        <v>41837</v>
      </c>
      <c r="F413" s="13">
        <v>1290.7</v>
      </c>
    </row>
    <row r="414" spans="1:6" x14ac:dyDescent="0.25">
      <c r="A414" s="6" t="s">
        <v>15</v>
      </c>
      <c r="B414" s="7" t="s">
        <v>63</v>
      </c>
      <c r="C414" s="7" t="s">
        <v>17</v>
      </c>
      <c r="D414" s="8">
        <v>41834</v>
      </c>
      <c r="E414" s="8">
        <v>41834</v>
      </c>
      <c r="F414" s="9">
        <v>501.5</v>
      </c>
    </row>
    <row r="415" spans="1:6" x14ac:dyDescent="0.25">
      <c r="A415" s="10" t="s">
        <v>22</v>
      </c>
      <c r="B415" s="11" t="s">
        <v>172</v>
      </c>
      <c r="C415" s="11" t="s">
        <v>66</v>
      </c>
      <c r="D415" s="12">
        <v>41835</v>
      </c>
      <c r="E415" s="12">
        <v>41835</v>
      </c>
      <c r="F415" s="13">
        <v>307.7</v>
      </c>
    </row>
    <row r="416" spans="1:6" x14ac:dyDescent="0.25">
      <c r="A416" s="6" t="s">
        <v>168</v>
      </c>
      <c r="B416" s="7" t="s">
        <v>169</v>
      </c>
      <c r="C416" s="7" t="s">
        <v>11</v>
      </c>
      <c r="D416" s="8">
        <v>41835</v>
      </c>
      <c r="E416" s="8">
        <v>41836</v>
      </c>
      <c r="F416" s="9">
        <v>295.39999999999998</v>
      </c>
    </row>
    <row r="417" spans="1:6" x14ac:dyDescent="0.25">
      <c r="A417" s="10" t="s">
        <v>73</v>
      </c>
      <c r="B417" s="11" t="s">
        <v>104</v>
      </c>
      <c r="C417" s="11" t="s">
        <v>19</v>
      </c>
      <c r="D417" s="12">
        <v>41835</v>
      </c>
      <c r="E417" s="12">
        <v>41835</v>
      </c>
      <c r="F417" s="13">
        <v>513.4</v>
      </c>
    </row>
    <row r="418" spans="1:6" x14ac:dyDescent="0.25">
      <c r="A418" s="6" t="s">
        <v>54</v>
      </c>
      <c r="B418" s="7" t="s">
        <v>81</v>
      </c>
      <c r="C418" s="7" t="s">
        <v>27</v>
      </c>
      <c r="D418" s="8">
        <v>41837</v>
      </c>
      <c r="E418" s="8">
        <v>41837</v>
      </c>
      <c r="F418" s="9">
        <v>442</v>
      </c>
    </row>
    <row r="419" spans="1:6" x14ac:dyDescent="0.25">
      <c r="A419" s="10" t="s">
        <v>128</v>
      </c>
      <c r="B419" s="11" t="s">
        <v>129</v>
      </c>
      <c r="C419" s="11" t="s">
        <v>38</v>
      </c>
      <c r="D419" s="12">
        <v>41839</v>
      </c>
      <c r="E419" s="12">
        <v>41843</v>
      </c>
      <c r="F419" s="13">
        <v>794.8</v>
      </c>
    </row>
    <row r="420" spans="1:6" x14ac:dyDescent="0.25">
      <c r="A420" s="6" t="s">
        <v>128</v>
      </c>
      <c r="B420" s="7" t="s">
        <v>129</v>
      </c>
      <c r="C420" s="7" t="s">
        <v>14</v>
      </c>
      <c r="D420" s="8">
        <v>41839</v>
      </c>
      <c r="E420" s="8">
        <v>41842</v>
      </c>
      <c r="F420" s="9">
        <v>550.5</v>
      </c>
    </row>
    <row r="421" spans="1:6" x14ac:dyDescent="0.25">
      <c r="A421" s="10" t="s">
        <v>93</v>
      </c>
      <c r="B421" s="11" t="s">
        <v>124</v>
      </c>
      <c r="C421" s="11" t="s">
        <v>47</v>
      </c>
      <c r="D421" s="12">
        <v>41839</v>
      </c>
      <c r="E421" s="12">
        <v>41840</v>
      </c>
      <c r="F421" s="13">
        <v>526.79999999999995</v>
      </c>
    </row>
    <row r="422" spans="1:6" x14ac:dyDescent="0.25">
      <c r="A422" s="6" t="s">
        <v>22</v>
      </c>
      <c r="B422" s="7" t="s">
        <v>172</v>
      </c>
      <c r="C422" s="7" t="s">
        <v>30</v>
      </c>
      <c r="D422" s="8">
        <v>41839</v>
      </c>
      <c r="E422" s="8">
        <v>41843</v>
      </c>
      <c r="F422" s="9">
        <v>688.5</v>
      </c>
    </row>
    <row r="423" spans="1:6" x14ac:dyDescent="0.25">
      <c r="A423" s="10" t="s">
        <v>54</v>
      </c>
      <c r="B423" s="11" t="s">
        <v>133</v>
      </c>
      <c r="C423" s="11" t="s">
        <v>19</v>
      </c>
      <c r="D423" s="12">
        <v>41839</v>
      </c>
      <c r="E423" s="12">
        <v>41840</v>
      </c>
      <c r="F423" s="13">
        <v>654.4</v>
      </c>
    </row>
    <row r="424" spans="1:6" x14ac:dyDescent="0.25">
      <c r="A424" s="6" t="s">
        <v>25</v>
      </c>
      <c r="B424" s="7" t="s">
        <v>67</v>
      </c>
      <c r="C424" s="7" t="s">
        <v>66</v>
      </c>
      <c r="D424" s="8">
        <v>41839</v>
      </c>
      <c r="E424" s="8">
        <v>41840</v>
      </c>
      <c r="F424" s="9">
        <v>485.7</v>
      </c>
    </row>
    <row r="425" spans="1:6" x14ac:dyDescent="0.25">
      <c r="A425" s="10" t="s">
        <v>84</v>
      </c>
      <c r="B425" s="11" t="s">
        <v>85</v>
      </c>
      <c r="C425" s="11" t="s">
        <v>11</v>
      </c>
      <c r="D425" s="12">
        <v>41839</v>
      </c>
      <c r="E425" s="12">
        <v>41840</v>
      </c>
      <c r="F425" s="13">
        <v>295.39999999999998</v>
      </c>
    </row>
    <row r="426" spans="1:6" x14ac:dyDescent="0.25">
      <c r="A426" s="6" t="s">
        <v>86</v>
      </c>
      <c r="B426" s="7" t="s">
        <v>150</v>
      </c>
      <c r="C426" s="7" t="s">
        <v>24</v>
      </c>
      <c r="D426" s="8">
        <v>41839</v>
      </c>
      <c r="E426" s="8">
        <v>41843</v>
      </c>
      <c r="F426" s="9">
        <v>886.7</v>
      </c>
    </row>
    <row r="427" spans="1:6" x14ac:dyDescent="0.25">
      <c r="A427" s="10" t="s">
        <v>9</v>
      </c>
      <c r="B427" s="11" t="s">
        <v>103</v>
      </c>
      <c r="C427" s="11" t="s">
        <v>24</v>
      </c>
      <c r="D427" s="12">
        <v>41839</v>
      </c>
      <c r="E427" s="12">
        <v>41840</v>
      </c>
      <c r="F427" s="13">
        <v>439.7</v>
      </c>
    </row>
    <row r="428" spans="1:6" x14ac:dyDescent="0.25">
      <c r="A428" s="6" t="s">
        <v>42</v>
      </c>
      <c r="B428" s="7" t="s">
        <v>43</v>
      </c>
      <c r="C428" s="7" t="s">
        <v>24</v>
      </c>
      <c r="D428" s="8">
        <v>41839</v>
      </c>
      <c r="E428" s="8">
        <v>41841</v>
      </c>
      <c r="F428" s="9">
        <v>588.70000000000005</v>
      </c>
    </row>
    <row r="429" spans="1:6" x14ac:dyDescent="0.25">
      <c r="A429" s="10" t="s">
        <v>156</v>
      </c>
      <c r="B429" s="11" t="s">
        <v>157</v>
      </c>
      <c r="C429" s="11" t="s">
        <v>19</v>
      </c>
      <c r="D429" s="12">
        <v>41839</v>
      </c>
      <c r="E429" s="12">
        <v>41841</v>
      </c>
      <c r="F429" s="13">
        <v>795.4</v>
      </c>
    </row>
    <row r="430" spans="1:6" x14ac:dyDescent="0.25">
      <c r="A430" s="6" t="s">
        <v>15</v>
      </c>
      <c r="B430" s="7" t="s">
        <v>63</v>
      </c>
      <c r="C430" s="7" t="s">
        <v>11</v>
      </c>
      <c r="D430" s="8">
        <v>41839</v>
      </c>
      <c r="E430" s="8">
        <v>41839</v>
      </c>
      <c r="F430" s="9">
        <v>156.4</v>
      </c>
    </row>
    <row r="431" spans="1:6" x14ac:dyDescent="0.25">
      <c r="A431" s="10" t="s">
        <v>131</v>
      </c>
      <c r="B431" s="11" t="s">
        <v>132</v>
      </c>
      <c r="C431" s="11" t="s">
        <v>19</v>
      </c>
      <c r="D431" s="12">
        <v>41839</v>
      </c>
      <c r="E431" s="12">
        <v>41843</v>
      </c>
      <c r="F431" s="13">
        <v>1077.4000000000001</v>
      </c>
    </row>
    <row r="432" spans="1:6" x14ac:dyDescent="0.25">
      <c r="A432" s="6" t="s">
        <v>168</v>
      </c>
      <c r="B432" s="7" t="s">
        <v>169</v>
      </c>
      <c r="C432" s="7" t="s">
        <v>8</v>
      </c>
      <c r="D432" s="8">
        <v>41841</v>
      </c>
      <c r="E432" s="8">
        <v>41841</v>
      </c>
      <c r="F432" s="9">
        <v>680</v>
      </c>
    </row>
    <row r="433" spans="1:6" x14ac:dyDescent="0.25">
      <c r="A433" s="10" t="s">
        <v>109</v>
      </c>
      <c r="B433" s="11" t="s">
        <v>110</v>
      </c>
      <c r="C433" s="11" t="s">
        <v>72</v>
      </c>
      <c r="D433" s="12">
        <v>41841</v>
      </c>
      <c r="E433" s="12">
        <v>41843</v>
      </c>
      <c r="F433" s="13">
        <v>892.7</v>
      </c>
    </row>
    <row r="434" spans="1:6" x14ac:dyDescent="0.25">
      <c r="A434" s="6" t="s">
        <v>137</v>
      </c>
      <c r="B434" s="7" t="s">
        <v>138</v>
      </c>
      <c r="C434" s="7" t="s">
        <v>66</v>
      </c>
      <c r="D434" s="8">
        <v>41841</v>
      </c>
      <c r="E434" s="8">
        <v>41841</v>
      </c>
      <c r="F434" s="9">
        <v>307.7</v>
      </c>
    </row>
    <row r="435" spans="1:6" x14ac:dyDescent="0.25">
      <c r="A435" s="10" t="s">
        <v>115</v>
      </c>
      <c r="B435" s="11" t="s">
        <v>153</v>
      </c>
      <c r="C435" s="11" t="s">
        <v>24</v>
      </c>
      <c r="D435" s="12">
        <v>41845</v>
      </c>
      <c r="E435" s="12">
        <v>41848</v>
      </c>
      <c r="F435" s="13">
        <v>737.7</v>
      </c>
    </row>
    <row r="436" spans="1:6" x14ac:dyDescent="0.25">
      <c r="A436" s="6" t="s">
        <v>122</v>
      </c>
      <c r="B436" s="7" t="s">
        <v>123</v>
      </c>
      <c r="C436" s="7" t="s">
        <v>17</v>
      </c>
      <c r="D436" s="8">
        <v>41845</v>
      </c>
      <c r="E436" s="8">
        <v>41847</v>
      </c>
      <c r="F436" s="9">
        <v>911.5</v>
      </c>
    </row>
    <row r="437" spans="1:6" x14ac:dyDescent="0.25">
      <c r="A437" s="10" t="s">
        <v>82</v>
      </c>
      <c r="B437" s="11" t="s">
        <v>83</v>
      </c>
      <c r="C437" s="11" t="s">
        <v>30</v>
      </c>
      <c r="D437" s="12">
        <v>41845</v>
      </c>
      <c r="E437" s="12">
        <v>41849</v>
      </c>
      <c r="F437" s="13">
        <v>688.5</v>
      </c>
    </row>
    <row r="438" spans="1:6" x14ac:dyDescent="0.25">
      <c r="A438" s="6" t="s">
        <v>28</v>
      </c>
      <c r="B438" s="7" t="s">
        <v>60</v>
      </c>
      <c r="C438" s="7" t="s">
        <v>30</v>
      </c>
      <c r="D438" s="8">
        <v>41845</v>
      </c>
      <c r="E438" s="8">
        <v>41849</v>
      </c>
      <c r="F438" s="9">
        <v>688.5</v>
      </c>
    </row>
    <row r="439" spans="1:6" x14ac:dyDescent="0.25">
      <c r="A439" s="10" t="s">
        <v>54</v>
      </c>
      <c r="B439" s="11" t="s">
        <v>121</v>
      </c>
      <c r="C439" s="11" t="s">
        <v>11</v>
      </c>
      <c r="D439" s="12">
        <v>41845</v>
      </c>
      <c r="E439" s="12">
        <v>41849</v>
      </c>
      <c r="F439" s="13">
        <v>712.4</v>
      </c>
    </row>
    <row r="440" spans="1:6" x14ac:dyDescent="0.25">
      <c r="A440" s="6" t="s">
        <v>111</v>
      </c>
      <c r="B440" s="7" t="s">
        <v>112</v>
      </c>
      <c r="C440" s="7" t="s">
        <v>17</v>
      </c>
      <c r="D440" s="8">
        <v>41845</v>
      </c>
      <c r="E440" s="8">
        <v>41846</v>
      </c>
      <c r="F440" s="9">
        <v>706.5</v>
      </c>
    </row>
    <row r="441" spans="1:6" x14ac:dyDescent="0.25">
      <c r="A441" s="10" t="s">
        <v>15</v>
      </c>
      <c r="B441" s="11" t="s">
        <v>44</v>
      </c>
      <c r="C441" s="11" t="s">
        <v>38</v>
      </c>
      <c r="D441" s="12">
        <v>41851</v>
      </c>
      <c r="E441" s="12">
        <v>41855</v>
      </c>
      <c r="F441" s="13">
        <v>794.8</v>
      </c>
    </row>
    <row r="442" spans="1:6" x14ac:dyDescent="0.25">
      <c r="A442" s="6" t="s">
        <v>15</v>
      </c>
      <c r="B442" s="7" t="s">
        <v>46</v>
      </c>
      <c r="C442" s="7" t="s">
        <v>72</v>
      </c>
      <c r="D442" s="8">
        <v>41851</v>
      </c>
      <c r="E442" s="8">
        <v>41854</v>
      </c>
      <c r="F442" s="9">
        <v>1091.7</v>
      </c>
    </row>
    <row r="443" spans="1:6" x14ac:dyDescent="0.25">
      <c r="A443" s="10" t="s">
        <v>93</v>
      </c>
      <c r="B443" s="11" t="s">
        <v>124</v>
      </c>
      <c r="C443" s="11" t="s">
        <v>72</v>
      </c>
      <c r="D443" s="12">
        <v>41851</v>
      </c>
      <c r="E443" s="12">
        <v>41853</v>
      </c>
      <c r="F443" s="13">
        <v>892.7</v>
      </c>
    </row>
    <row r="444" spans="1:6" x14ac:dyDescent="0.25">
      <c r="A444" s="6" t="s">
        <v>82</v>
      </c>
      <c r="B444" s="7" t="s">
        <v>83</v>
      </c>
      <c r="C444" s="7" t="s">
        <v>27</v>
      </c>
      <c r="D444" s="8">
        <v>41851</v>
      </c>
      <c r="E444" s="8">
        <v>41852</v>
      </c>
      <c r="F444" s="9">
        <v>570</v>
      </c>
    </row>
    <row r="445" spans="1:6" x14ac:dyDescent="0.25">
      <c r="A445" s="10" t="s">
        <v>6</v>
      </c>
      <c r="B445" s="11" t="s">
        <v>56</v>
      </c>
      <c r="C445" s="11" t="s">
        <v>24</v>
      </c>
      <c r="D445" s="12">
        <v>41851</v>
      </c>
      <c r="E445" s="12">
        <v>41854</v>
      </c>
      <c r="F445" s="13">
        <v>737.7</v>
      </c>
    </row>
    <row r="446" spans="1:6" x14ac:dyDescent="0.25">
      <c r="A446" s="6" t="s">
        <v>33</v>
      </c>
      <c r="B446" s="7" t="s">
        <v>41</v>
      </c>
      <c r="C446" s="7" t="s">
        <v>30</v>
      </c>
      <c r="D446" s="8">
        <v>41851</v>
      </c>
      <c r="E446" s="8">
        <v>41855</v>
      </c>
      <c r="F446" s="9">
        <v>688.5</v>
      </c>
    </row>
    <row r="447" spans="1:6" x14ac:dyDescent="0.25">
      <c r="A447" s="10" t="s">
        <v>101</v>
      </c>
      <c r="B447" s="11" t="s">
        <v>102</v>
      </c>
      <c r="C447" s="11" t="s">
        <v>38</v>
      </c>
      <c r="D447" s="12">
        <v>41851</v>
      </c>
      <c r="E447" s="12">
        <v>41853</v>
      </c>
      <c r="F447" s="13">
        <v>536.79999999999995</v>
      </c>
    </row>
    <row r="448" spans="1:6" x14ac:dyDescent="0.25">
      <c r="A448" s="6" t="s">
        <v>164</v>
      </c>
      <c r="B448" s="7" t="s">
        <v>165</v>
      </c>
      <c r="C448" s="7" t="s">
        <v>47</v>
      </c>
      <c r="D448" s="8">
        <v>41851</v>
      </c>
      <c r="E448" s="8">
        <v>41852</v>
      </c>
      <c r="F448" s="9">
        <v>526.79999999999995</v>
      </c>
    </row>
    <row r="449" spans="1:6" x14ac:dyDescent="0.25">
      <c r="A449" s="10" t="s">
        <v>107</v>
      </c>
      <c r="B449" s="11" t="s">
        <v>108</v>
      </c>
      <c r="C449" s="11" t="s">
        <v>8</v>
      </c>
      <c r="D449" s="12">
        <v>41851</v>
      </c>
      <c r="E449" s="12">
        <v>41855</v>
      </c>
      <c r="F449" s="13">
        <v>1524</v>
      </c>
    </row>
    <row r="450" spans="1:6" x14ac:dyDescent="0.25">
      <c r="A450" s="6" t="s">
        <v>166</v>
      </c>
      <c r="B450" s="7" t="s">
        <v>167</v>
      </c>
      <c r="C450" s="7" t="s">
        <v>17</v>
      </c>
      <c r="D450" s="8">
        <v>41851</v>
      </c>
      <c r="E450" s="8">
        <v>41854</v>
      </c>
      <c r="F450" s="9">
        <v>1116.5</v>
      </c>
    </row>
    <row r="451" spans="1:6" x14ac:dyDescent="0.25">
      <c r="A451" s="10" t="s">
        <v>134</v>
      </c>
      <c r="B451" s="11" t="s">
        <v>149</v>
      </c>
      <c r="C451" s="11" t="s">
        <v>11</v>
      </c>
      <c r="D451" s="12">
        <v>41851</v>
      </c>
      <c r="E451" s="12">
        <v>41852</v>
      </c>
      <c r="F451" s="13">
        <v>295.39999999999998</v>
      </c>
    </row>
    <row r="452" spans="1:6" x14ac:dyDescent="0.25">
      <c r="A452" s="6" t="s">
        <v>111</v>
      </c>
      <c r="B452" s="7" t="s">
        <v>112</v>
      </c>
      <c r="C452" s="7" t="s">
        <v>72</v>
      </c>
      <c r="D452" s="8">
        <v>41851</v>
      </c>
      <c r="E452" s="8">
        <v>41852</v>
      </c>
      <c r="F452" s="9">
        <v>693.7</v>
      </c>
    </row>
    <row r="453" spans="1:6" x14ac:dyDescent="0.25">
      <c r="A453" s="10" t="s">
        <v>31</v>
      </c>
      <c r="B453" s="11" t="s">
        <v>77</v>
      </c>
      <c r="C453" s="11" t="s">
        <v>59</v>
      </c>
      <c r="D453" s="12">
        <v>41851</v>
      </c>
      <c r="E453" s="12">
        <v>41852</v>
      </c>
      <c r="F453" s="13">
        <v>601</v>
      </c>
    </row>
    <row r="454" spans="1:6" x14ac:dyDescent="0.25">
      <c r="A454" s="6" t="s">
        <v>15</v>
      </c>
      <c r="B454" s="7" t="s">
        <v>16</v>
      </c>
      <c r="C454" s="7" t="s">
        <v>8</v>
      </c>
      <c r="D454" s="8">
        <v>41851</v>
      </c>
      <c r="E454" s="8">
        <v>41854</v>
      </c>
      <c r="F454" s="9">
        <v>1313</v>
      </c>
    </row>
    <row r="455" spans="1:6" x14ac:dyDescent="0.25">
      <c r="A455" s="10" t="s">
        <v>113</v>
      </c>
      <c r="B455" s="11" t="s">
        <v>114</v>
      </c>
      <c r="C455" s="11" t="s">
        <v>38</v>
      </c>
      <c r="D455" s="12">
        <v>41851</v>
      </c>
      <c r="E455" s="12">
        <v>41852</v>
      </c>
      <c r="F455" s="13">
        <v>407.8</v>
      </c>
    </row>
    <row r="456" spans="1:6" x14ac:dyDescent="0.25">
      <c r="A456" s="6" t="s">
        <v>91</v>
      </c>
      <c r="B456" s="7" t="s">
        <v>92</v>
      </c>
      <c r="C456" s="7" t="s">
        <v>66</v>
      </c>
      <c r="D456" s="8">
        <v>41851</v>
      </c>
      <c r="E456" s="8">
        <v>41854</v>
      </c>
      <c r="F456" s="9">
        <v>841.7</v>
      </c>
    </row>
    <row r="457" spans="1:6" x14ac:dyDescent="0.25">
      <c r="A457" s="10" t="s">
        <v>93</v>
      </c>
      <c r="B457" s="11" t="s">
        <v>94</v>
      </c>
      <c r="C457" s="11" t="s">
        <v>27</v>
      </c>
      <c r="D457" s="12">
        <v>41851</v>
      </c>
      <c r="E457" s="12">
        <v>41855</v>
      </c>
      <c r="F457" s="13">
        <v>954</v>
      </c>
    </row>
    <row r="458" spans="1:6" x14ac:dyDescent="0.25">
      <c r="A458" s="6" t="s">
        <v>15</v>
      </c>
      <c r="B458" s="7" t="s">
        <v>96</v>
      </c>
      <c r="C458" s="7" t="s">
        <v>30</v>
      </c>
      <c r="D458" s="8">
        <v>41851</v>
      </c>
      <c r="E458" s="8">
        <v>41853</v>
      </c>
      <c r="F458" s="9">
        <v>450.5</v>
      </c>
    </row>
    <row r="459" spans="1:6" x14ac:dyDescent="0.25">
      <c r="A459" s="10" t="s">
        <v>54</v>
      </c>
      <c r="B459" s="11" t="s">
        <v>55</v>
      </c>
      <c r="C459" s="11" t="s">
        <v>38</v>
      </c>
      <c r="D459" s="12">
        <v>41857</v>
      </c>
      <c r="E459" s="12">
        <v>41858</v>
      </c>
      <c r="F459" s="13">
        <v>407.8</v>
      </c>
    </row>
    <row r="460" spans="1:6" x14ac:dyDescent="0.25">
      <c r="A460" s="6" t="s">
        <v>143</v>
      </c>
      <c r="B460" s="7" t="s">
        <v>144</v>
      </c>
      <c r="C460" s="7" t="s">
        <v>17</v>
      </c>
      <c r="D460" s="8">
        <v>41857</v>
      </c>
      <c r="E460" s="8">
        <v>41858</v>
      </c>
      <c r="F460" s="9">
        <v>706.5</v>
      </c>
    </row>
    <row r="461" spans="1:6" x14ac:dyDescent="0.25">
      <c r="A461" s="10" t="s">
        <v>25</v>
      </c>
      <c r="B461" s="11" t="s">
        <v>35</v>
      </c>
      <c r="C461" s="11" t="s">
        <v>27</v>
      </c>
      <c r="D461" s="12">
        <v>41857</v>
      </c>
      <c r="E461" s="12">
        <v>41861</v>
      </c>
      <c r="F461" s="13">
        <v>954</v>
      </c>
    </row>
    <row r="462" spans="1:6" x14ac:dyDescent="0.25">
      <c r="A462" s="6" t="s">
        <v>15</v>
      </c>
      <c r="B462" s="7" t="s">
        <v>63</v>
      </c>
      <c r="C462" s="7" t="s">
        <v>30</v>
      </c>
      <c r="D462" s="8">
        <v>41857</v>
      </c>
      <c r="E462" s="8">
        <v>41861</v>
      </c>
      <c r="F462" s="9">
        <v>688.5</v>
      </c>
    </row>
    <row r="463" spans="1:6" x14ac:dyDescent="0.25">
      <c r="A463" s="10" t="s">
        <v>93</v>
      </c>
      <c r="B463" s="11" t="s">
        <v>94</v>
      </c>
      <c r="C463" s="11" t="s">
        <v>47</v>
      </c>
      <c r="D463" s="12">
        <v>41857</v>
      </c>
      <c r="E463" s="12">
        <v>41860</v>
      </c>
      <c r="F463" s="13">
        <v>852.8</v>
      </c>
    </row>
    <row r="464" spans="1:6" x14ac:dyDescent="0.25">
      <c r="A464" s="6" t="s">
        <v>143</v>
      </c>
      <c r="B464" s="7" t="s">
        <v>144</v>
      </c>
      <c r="C464" s="7" t="s">
        <v>66</v>
      </c>
      <c r="D464" s="8">
        <v>41860</v>
      </c>
      <c r="E464" s="8">
        <v>41860</v>
      </c>
      <c r="F464" s="9">
        <v>307.7</v>
      </c>
    </row>
    <row r="465" spans="1:6" x14ac:dyDescent="0.25">
      <c r="A465" s="10" t="s">
        <v>22</v>
      </c>
      <c r="B465" s="11" t="s">
        <v>23</v>
      </c>
      <c r="C465" s="11" t="s">
        <v>8</v>
      </c>
      <c r="D465" s="12">
        <v>41863</v>
      </c>
      <c r="E465" s="12">
        <v>41867</v>
      </c>
      <c r="F465" s="13">
        <v>1524</v>
      </c>
    </row>
    <row r="466" spans="1:6" x14ac:dyDescent="0.25">
      <c r="A466" s="6" t="s">
        <v>115</v>
      </c>
      <c r="B466" s="7" t="s">
        <v>153</v>
      </c>
      <c r="C466" s="7" t="s">
        <v>47</v>
      </c>
      <c r="D466" s="8">
        <v>41863</v>
      </c>
      <c r="E466" s="8">
        <v>41864</v>
      </c>
      <c r="F466" s="9">
        <v>526.79999999999995</v>
      </c>
    </row>
    <row r="467" spans="1:6" x14ac:dyDescent="0.25">
      <c r="A467" s="10" t="s">
        <v>93</v>
      </c>
      <c r="B467" s="11" t="s">
        <v>124</v>
      </c>
      <c r="C467" s="11" t="s">
        <v>24</v>
      </c>
      <c r="D467" s="12">
        <v>41863</v>
      </c>
      <c r="E467" s="12">
        <v>41865</v>
      </c>
      <c r="F467" s="13">
        <v>588.70000000000005</v>
      </c>
    </row>
    <row r="468" spans="1:6" x14ac:dyDescent="0.25">
      <c r="A468" s="6" t="s">
        <v>79</v>
      </c>
      <c r="B468" s="7" t="s">
        <v>80</v>
      </c>
      <c r="C468" s="7" t="s">
        <v>24</v>
      </c>
      <c r="D468" s="8">
        <v>41863</v>
      </c>
      <c r="E468" s="8">
        <v>41863</v>
      </c>
      <c r="F468" s="9">
        <v>290.7</v>
      </c>
    </row>
    <row r="469" spans="1:6" x14ac:dyDescent="0.25">
      <c r="A469" s="10" t="s">
        <v>84</v>
      </c>
      <c r="B469" s="11" t="s">
        <v>85</v>
      </c>
      <c r="C469" s="11" t="s">
        <v>66</v>
      </c>
      <c r="D469" s="12">
        <v>41863</v>
      </c>
      <c r="E469" s="12">
        <v>41865</v>
      </c>
      <c r="F469" s="13">
        <v>663.7</v>
      </c>
    </row>
    <row r="470" spans="1:6" x14ac:dyDescent="0.25">
      <c r="A470" s="6" t="s">
        <v>28</v>
      </c>
      <c r="B470" s="7" t="s">
        <v>60</v>
      </c>
      <c r="C470" s="7" t="s">
        <v>38</v>
      </c>
      <c r="D470" s="8">
        <v>41863</v>
      </c>
      <c r="E470" s="8">
        <v>41865</v>
      </c>
      <c r="F470" s="9">
        <v>536.79999999999995</v>
      </c>
    </row>
    <row r="471" spans="1:6" x14ac:dyDescent="0.25">
      <c r="A471" s="10" t="s">
        <v>9</v>
      </c>
      <c r="B471" s="11" t="s">
        <v>10</v>
      </c>
      <c r="C471" s="11" t="s">
        <v>47</v>
      </c>
      <c r="D471" s="12">
        <v>41863</v>
      </c>
      <c r="E471" s="12">
        <v>41864</v>
      </c>
      <c r="F471" s="13">
        <v>526.79999999999995</v>
      </c>
    </row>
    <row r="472" spans="1:6" x14ac:dyDescent="0.25">
      <c r="A472" s="6" t="s">
        <v>73</v>
      </c>
      <c r="B472" s="7" t="s">
        <v>74</v>
      </c>
      <c r="C472" s="7" t="s">
        <v>8</v>
      </c>
      <c r="D472" s="8">
        <v>41863</v>
      </c>
      <c r="E472" s="8">
        <v>41864</v>
      </c>
      <c r="F472" s="9">
        <v>891</v>
      </c>
    </row>
    <row r="473" spans="1:6" x14ac:dyDescent="0.25">
      <c r="A473" s="10" t="s">
        <v>73</v>
      </c>
      <c r="B473" s="11" t="s">
        <v>104</v>
      </c>
      <c r="C473" s="11" t="s">
        <v>17</v>
      </c>
      <c r="D473" s="12">
        <v>41863</v>
      </c>
      <c r="E473" s="12">
        <v>41867</v>
      </c>
      <c r="F473" s="13">
        <v>1321.5</v>
      </c>
    </row>
    <row r="474" spans="1:6" x14ac:dyDescent="0.25">
      <c r="A474" s="6" t="s">
        <v>86</v>
      </c>
      <c r="B474" s="7" t="s">
        <v>87</v>
      </c>
      <c r="C474" s="7" t="s">
        <v>72</v>
      </c>
      <c r="D474" s="8">
        <v>41863</v>
      </c>
      <c r="E474" s="8">
        <v>41863</v>
      </c>
      <c r="F474" s="9">
        <v>494.7</v>
      </c>
    </row>
    <row r="475" spans="1:6" x14ac:dyDescent="0.25">
      <c r="A475" s="10" t="s">
        <v>145</v>
      </c>
      <c r="B475" s="11" t="s">
        <v>146</v>
      </c>
      <c r="C475" s="11" t="s">
        <v>30</v>
      </c>
      <c r="D475" s="12">
        <v>41863</v>
      </c>
      <c r="E475" s="12">
        <v>41867</v>
      </c>
      <c r="F475" s="13">
        <v>688.5</v>
      </c>
    </row>
    <row r="476" spans="1:6" x14ac:dyDescent="0.25">
      <c r="A476" s="6" t="s">
        <v>25</v>
      </c>
      <c r="B476" s="7" t="s">
        <v>35</v>
      </c>
      <c r="C476" s="7" t="s">
        <v>72</v>
      </c>
      <c r="D476" s="8">
        <v>41863</v>
      </c>
      <c r="E476" s="8">
        <v>41863</v>
      </c>
      <c r="F476" s="9">
        <v>494.7</v>
      </c>
    </row>
    <row r="477" spans="1:6" x14ac:dyDescent="0.25">
      <c r="A477" s="10" t="s">
        <v>119</v>
      </c>
      <c r="B477" s="11" t="s">
        <v>120</v>
      </c>
      <c r="C477" s="11" t="s">
        <v>47</v>
      </c>
      <c r="D477" s="12">
        <v>41863</v>
      </c>
      <c r="E477" s="12">
        <v>41865</v>
      </c>
      <c r="F477" s="13">
        <v>689.8</v>
      </c>
    </row>
    <row r="478" spans="1:6" x14ac:dyDescent="0.25">
      <c r="A478" s="6" t="s">
        <v>91</v>
      </c>
      <c r="B478" s="7" t="s">
        <v>92</v>
      </c>
      <c r="C478" s="7" t="s">
        <v>14</v>
      </c>
      <c r="D478" s="8">
        <v>41863</v>
      </c>
      <c r="E478" s="8">
        <v>41867</v>
      </c>
      <c r="F478" s="9">
        <v>674.5</v>
      </c>
    </row>
    <row r="479" spans="1:6" x14ac:dyDescent="0.25">
      <c r="A479" s="10" t="s">
        <v>93</v>
      </c>
      <c r="B479" s="11" t="s">
        <v>94</v>
      </c>
      <c r="C479" s="11" t="s">
        <v>66</v>
      </c>
      <c r="D479" s="12">
        <v>41863</v>
      </c>
      <c r="E479" s="12">
        <v>41865</v>
      </c>
      <c r="F479" s="13">
        <v>663.7</v>
      </c>
    </row>
    <row r="480" spans="1:6" x14ac:dyDescent="0.25">
      <c r="A480" s="6" t="s">
        <v>70</v>
      </c>
      <c r="B480" s="7" t="s">
        <v>117</v>
      </c>
      <c r="C480" s="7" t="s">
        <v>59</v>
      </c>
      <c r="D480" s="8">
        <v>41863</v>
      </c>
      <c r="E480" s="8">
        <v>41865</v>
      </c>
      <c r="F480" s="9">
        <v>760</v>
      </c>
    </row>
    <row r="481" spans="1:6" x14ac:dyDescent="0.25">
      <c r="A481" s="10" t="s">
        <v>20</v>
      </c>
      <c r="B481" s="11" t="s">
        <v>21</v>
      </c>
      <c r="C481" s="11" t="s">
        <v>47</v>
      </c>
      <c r="D481" s="12">
        <v>41863</v>
      </c>
      <c r="E481" s="12">
        <v>41867</v>
      </c>
      <c r="F481" s="13">
        <v>1015.8</v>
      </c>
    </row>
    <row r="482" spans="1:6" x14ac:dyDescent="0.25">
      <c r="A482" s="6" t="s">
        <v>25</v>
      </c>
      <c r="B482" s="7" t="s">
        <v>35</v>
      </c>
      <c r="C482" s="7" t="s">
        <v>47</v>
      </c>
      <c r="D482" s="8">
        <v>41865</v>
      </c>
      <c r="E482" s="8">
        <v>41865</v>
      </c>
      <c r="F482" s="9">
        <v>363.8</v>
      </c>
    </row>
    <row r="483" spans="1:6" x14ac:dyDescent="0.25">
      <c r="A483" s="10" t="s">
        <v>93</v>
      </c>
      <c r="B483" s="11" t="s">
        <v>124</v>
      </c>
      <c r="C483" s="11" t="s">
        <v>8</v>
      </c>
      <c r="D483" s="12">
        <v>41869</v>
      </c>
      <c r="E483" s="12">
        <v>41871</v>
      </c>
      <c r="F483" s="13">
        <v>1102</v>
      </c>
    </row>
    <row r="484" spans="1:6" x14ac:dyDescent="0.25">
      <c r="A484" s="6" t="s">
        <v>54</v>
      </c>
      <c r="B484" s="7" t="s">
        <v>133</v>
      </c>
      <c r="C484" s="7" t="s">
        <v>24</v>
      </c>
      <c r="D484" s="8">
        <v>41869</v>
      </c>
      <c r="E484" s="8">
        <v>41873</v>
      </c>
      <c r="F484" s="9">
        <v>886.7</v>
      </c>
    </row>
    <row r="485" spans="1:6" x14ac:dyDescent="0.25">
      <c r="A485" s="10" t="s">
        <v>70</v>
      </c>
      <c r="B485" s="11" t="s">
        <v>71</v>
      </c>
      <c r="C485" s="11" t="s">
        <v>11</v>
      </c>
      <c r="D485" s="12">
        <v>41869</v>
      </c>
      <c r="E485" s="12">
        <v>41870</v>
      </c>
      <c r="F485" s="13">
        <v>295.39999999999998</v>
      </c>
    </row>
    <row r="486" spans="1:6" x14ac:dyDescent="0.25">
      <c r="A486" s="6" t="s">
        <v>86</v>
      </c>
      <c r="B486" s="7" t="s">
        <v>87</v>
      </c>
      <c r="C486" s="7" t="s">
        <v>8</v>
      </c>
      <c r="D486" s="8">
        <v>41869</v>
      </c>
      <c r="E486" s="8">
        <v>41870</v>
      </c>
      <c r="F486" s="9">
        <v>891</v>
      </c>
    </row>
    <row r="487" spans="1:6" x14ac:dyDescent="0.25">
      <c r="A487" s="10" t="s">
        <v>156</v>
      </c>
      <c r="B487" s="11" t="s">
        <v>157</v>
      </c>
      <c r="C487" s="11" t="s">
        <v>47</v>
      </c>
      <c r="D487" s="12">
        <v>41869</v>
      </c>
      <c r="E487" s="12">
        <v>41871</v>
      </c>
      <c r="F487" s="13">
        <v>689.8</v>
      </c>
    </row>
    <row r="488" spans="1:6" x14ac:dyDescent="0.25">
      <c r="A488" s="6" t="s">
        <v>113</v>
      </c>
      <c r="B488" s="7" t="s">
        <v>114</v>
      </c>
      <c r="C488" s="7" t="s">
        <v>17</v>
      </c>
      <c r="D488" s="8">
        <v>41869</v>
      </c>
      <c r="E488" s="8">
        <v>41871</v>
      </c>
      <c r="F488" s="9">
        <v>911.5</v>
      </c>
    </row>
    <row r="489" spans="1:6" x14ac:dyDescent="0.25">
      <c r="A489" s="10" t="s">
        <v>15</v>
      </c>
      <c r="B489" s="11" t="s">
        <v>44</v>
      </c>
      <c r="C489" s="11" t="s">
        <v>30</v>
      </c>
      <c r="D489" s="12">
        <v>41875</v>
      </c>
      <c r="E489" s="12">
        <v>41877</v>
      </c>
      <c r="F489" s="13">
        <v>450.5</v>
      </c>
    </row>
    <row r="490" spans="1:6" x14ac:dyDescent="0.25">
      <c r="A490" s="6" t="s">
        <v>6</v>
      </c>
      <c r="B490" s="7" t="s">
        <v>7</v>
      </c>
      <c r="C490" s="7" t="s">
        <v>8</v>
      </c>
      <c r="D490" s="8">
        <v>41875</v>
      </c>
      <c r="E490" s="8">
        <v>41879</v>
      </c>
      <c r="F490" s="9">
        <v>1524</v>
      </c>
    </row>
    <row r="491" spans="1:6" x14ac:dyDescent="0.25">
      <c r="A491" s="10" t="s">
        <v>33</v>
      </c>
      <c r="B491" s="11" t="s">
        <v>141</v>
      </c>
      <c r="C491" s="11" t="s">
        <v>17</v>
      </c>
      <c r="D491" s="12">
        <v>41875</v>
      </c>
      <c r="E491" s="12">
        <v>41876</v>
      </c>
      <c r="F491" s="13">
        <v>706.5</v>
      </c>
    </row>
    <row r="492" spans="1:6" x14ac:dyDescent="0.25">
      <c r="A492" s="6" t="s">
        <v>131</v>
      </c>
      <c r="B492" s="7" t="s">
        <v>154</v>
      </c>
      <c r="C492" s="7" t="s">
        <v>19</v>
      </c>
      <c r="D492" s="8">
        <v>41875</v>
      </c>
      <c r="E492" s="8">
        <v>41879</v>
      </c>
      <c r="F492" s="9">
        <v>1077.4000000000001</v>
      </c>
    </row>
    <row r="493" spans="1:6" x14ac:dyDescent="0.25">
      <c r="A493" s="10" t="s">
        <v>97</v>
      </c>
      <c r="B493" s="11" t="s">
        <v>98</v>
      </c>
      <c r="C493" s="11" t="s">
        <v>8</v>
      </c>
      <c r="D493" s="12">
        <v>41875</v>
      </c>
      <c r="E493" s="12">
        <v>41876</v>
      </c>
      <c r="F493" s="13">
        <v>891</v>
      </c>
    </row>
    <row r="494" spans="1:6" x14ac:dyDescent="0.25">
      <c r="A494" s="6" t="s">
        <v>126</v>
      </c>
      <c r="B494" s="7" t="s">
        <v>127</v>
      </c>
      <c r="C494" s="7" t="s">
        <v>17</v>
      </c>
      <c r="D494" s="8">
        <v>41875</v>
      </c>
      <c r="E494" s="8">
        <v>41878</v>
      </c>
      <c r="F494" s="9">
        <v>1116.5</v>
      </c>
    </row>
    <row r="495" spans="1:6" x14ac:dyDescent="0.25">
      <c r="A495" s="10" t="s">
        <v>9</v>
      </c>
      <c r="B495" s="11" t="s">
        <v>103</v>
      </c>
      <c r="C495" s="11" t="s">
        <v>30</v>
      </c>
      <c r="D495" s="12">
        <v>41875</v>
      </c>
      <c r="E495" s="12">
        <v>41879</v>
      </c>
      <c r="F495" s="13">
        <v>688.5</v>
      </c>
    </row>
    <row r="496" spans="1:6" x14ac:dyDescent="0.25">
      <c r="A496" s="6" t="s">
        <v>156</v>
      </c>
      <c r="B496" s="7" t="s">
        <v>157</v>
      </c>
      <c r="C496" s="7" t="s">
        <v>17</v>
      </c>
      <c r="D496" s="8">
        <v>41875</v>
      </c>
      <c r="E496" s="8">
        <v>41878</v>
      </c>
      <c r="F496" s="9">
        <v>1116.5</v>
      </c>
    </row>
    <row r="497" spans="1:6" x14ac:dyDescent="0.25">
      <c r="A497" s="10" t="s">
        <v>134</v>
      </c>
      <c r="B497" s="11" t="s">
        <v>149</v>
      </c>
      <c r="C497" s="11" t="s">
        <v>24</v>
      </c>
      <c r="D497" s="12">
        <v>41875</v>
      </c>
      <c r="E497" s="12">
        <v>41879</v>
      </c>
      <c r="F497" s="13">
        <v>886.7</v>
      </c>
    </row>
    <row r="498" spans="1:6" x14ac:dyDescent="0.25">
      <c r="A498" s="6" t="s">
        <v>113</v>
      </c>
      <c r="B498" s="7" t="s">
        <v>114</v>
      </c>
      <c r="C498" s="7" t="s">
        <v>72</v>
      </c>
      <c r="D498" s="8">
        <v>41875</v>
      </c>
      <c r="E498" s="8">
        <v>41877</v>
      </c>
      <c r="F498" s="9">
        <v>892.7</v>
      </c>
    </row>
    <row r="499" spans="1:6" x14ac:dyDescent="0.25">
      <c r="A499" s="10" t="s">
        <v>86</v>
      </c>
      <c r="B499" s="11" t="s">
        <v>136</v>
      </c>
      <c r="C499" s="11" t="s">
        <v>14</v>
      </c>
      <c r="D499" s="12">
        <v>41875</v>
      </c>
      <c r="E499" s="12">
        <v>41879</v>
      </c>
      <c r="F499" s="13">
        <v>674.5</v>
      </c>
    </row>
    <row r="500" spans="1:6" x14ac:dyDescent="0.25">
      <c r="A500" s="6" t="s">
        <v>50</v>
      </c>
      <c r="B500" s="7" t="s">
        <v>51</v>
      </c>
      <c r="C500" s="7" t="s">
        <v>8</v>
      </c>
      <c r="D500" s="8">
        <v>41876</v>
      </c>
      <c r="E500" s="8">
        <v>41877</v>
      </c>
      <c r="F500" s="9">
        <v>891</v>
      </c>
    </row>
    <row r="501" spans="1:6" x14ac:dyDescent="0.25">
      <c r="A501" s="10" t="s">
        <v>107</v>
      </c>
      <c r="B501" s="11" t="s">
        <v>108</v>
      </c>
      <c r="C501" s="11" t="s">
        <v>19</v>
      </c>
      <c r="D501" s="12">
        <v>41876</v>
      </c>
      <c r="E501" s="12">
        <v>41877</v>
      </c>
      <c r="F501" s="13">
        <v>654.4</v>
      </c>
    </row>
    <row r="502" spans="1:6" x14ac:dyDescent="0.25">
      <c r="A502" s="6" t="s">
        <v>20</v>
      </c>
      <c r="B502" s="7" t="s">
        <v>162</v>
      </c>
      <c r="C502" s="7" t="s">
        <v>59</v>
      </c>
      <c r="D502" s="8">
        <v>41876</v>
      </c>
      <c r="E502" s="8">
        <v>41878</v>
      </c>
      <c r="F502" s="9">
        <v>760</v>
      </c>
    </row>
    <row r="503" spans="1:6" x14ac:dyDescent="0.25">
      <c r="A503" s="10" t="s">
        <v>15</v>
      </c>
      <c r="B503" s="11" t="s">
        <v>16</v>
      </c>
      <c r="C503" s="11" t="s">
        <v>38</v>
      </c>
      <c r="D503" s="12">
        <v>41876</v>
      </c>
      <c r="E503" s="12">
        <v>41877</v>
      </c>
      <c r="F503" s="13">
        <v>407.8</v>
      </c>
    </row>
    <row r="504" spans="1:6" x14ac:dyDescent="0.25">
      <c r="A504" s="6" t="s">
        <v>20</v>
      </c>
      <c r="B504" s="7" t="s">
        <v>21</v>
      </c>
      <c r="C504" s="7" t="s">
        <v>19</v>
      </c>
      <c r="D504" s="8">
        <v>41876</v>
      </c>
      <c r="E504" s="8">
        <v>41877</v>
      </c>
      <c r="F504" s="9">
        <v>654.4</v>
      </c>
    </row>
    <row r="505" spans="1:6" x14ac:dyDescent="0.25">
      <c r="A505" s="10" t="s">
        <v>25</v>
      </c>
      <c r="B505" s="11" t="s">
        <v>26</v>
      </c>
      <c r="C505" s="11" t="s">
        <v>38</v>
      </c>
      <c r="D505" s="12">
        <v>41877</v>
      </c>
      <c r="E505" s="12">
        <v>41878</v>
      </c>
      <c r="F505" s="13">
        <v>407.8</v>
      </c>
    </row>
    <row r="506" spans="1:6" x14ac:dyDescent="0.25">
      <c r="A506" s="6" t="s">
        <v>93</v>
      </c>
      <c r="B506" s="7" t="s">
        <v>106</v>
      </c>
      <c r="C506" s="7" t="s">
        <v>72</v>
      </c>
      <c r="D506" s="8">
        <v>41878</v>
      </c>
      <c r="E506" s="8">
        <v>41878</v>
      </c>
      <c r="F506" s="9">
        <v>494.7</v>
      </c>
    </row>
    <row r="507" spans="1:6" x14ac:dyDescent="0.25">
      <c r="A507" s="10" t="s">
        <v>79</v>
      </c>
      <c r="B507" s="11" t="s">
        <v>80</v>
      </c>
      <c r="C507" s="11" t="s">
        <v>47</v>
      </c>
      <c r="D507" s="12">
        <v>41881</v>
      </c>
      <c r="E507" s="12">
        <v>41884</v>
      </c>
      <c r="F507" s="13">
        <v>852.8</v>
      </c>
    </row>
    <row r="508" spans="1:6" x14ac:dyDescent="0.25">
      <c r="A508" s="6" t="s">
        <v>50</v>
      </c>
      <c r="B508" s="7" t="s">
        <v>51</v>
      </c>
      <c r="C508" s="7" t="s">
        <v>72</v>
      </c>
      <c r="D508" s="8">
        <v>41881</v>
      </c>
      <c r="E508" s="8">
        <v>41882</v>
      </c>
      <c r="F508" s="9">
        <v>693.7</v>
      </c>
    </row>
    <row r="509" spans="1:6" x14ac:dyDescent="0.25">
      <c r="A509" s="10" t="s">
        <v>25</v>
      </c>
      <c r="B509" s="11" t="s">
        <v>26</v>
      </c>
      <c r="C509" s="11" t="s">
        <v>11</v>
      </c>
      <c r="D509" s="12">
        <v>41881</v>
      </c>
      <c r="E509" s="12">
        <v>41883</v>
      </c>
      <c r="F509" s="13">
        <v>434.4</v>
      </c>
    </row>
    <row r="510" spans="1:6" x14ac:dyDescent="0.25">
      <c r="A510" s="6" t="s">
        <v>82</v>
      </c>
      <c r="B510" s="7" t="s">
        <v>125</v>
      </c>
      <c r="C510" s="7" t="s">
        <v>66</v>
      </c>
      <c r="D510" s="8">
        <v>41881</v>
      </c>
      <c r="E510" s="8">
        <v>41882</v>
      </c>
      <c r="F510" s="9">
        <v>485.7</v>
      </c>
    </row>
    <row r="511" spans="1:6" x14ac:dyDescent="0.25">
      <c r="A511" s="10" t="s">
        <v>134</v>
      </c>
      <c r="B511" s="11" t="s">
        <v>149</v>
      </c>
      <c r="C511" s="11" t="s">
        <v>8</v>
      </c>
      <c r="D511" s="12">
        <v>41881</v>
      </c>
      <c r="E511" s="12">
        <v>41882</v>
      </c>
      <c r="F511" s="13">
        <v>891</v>
      </c>
    </row>
    <row r="512" spans="1:6" x14ac:dyDescent="0.25">
      <c r="A512" s="6" t="s">
        <v>64</v>
      </c>
      <c r="B512" s="7" t="s">
        <v>65</v>
      </c>
      <c r="C512" s="7" t="s">
        <v>17</v>
      </c>
      <c r="D512" s="8">
        <v>41881</v>
      </c>
      <c r="E512" s="8">
        <v>41885</v>
      </c>
      <c r="F512" s="9">
        <v>1321.5</v>
      </c>
    </row>
    <row r="513" spans="1:6" x14ac:dyDescent="0.25">
      <c r="A513" s="10" t="s">
        <v>109</v>
      </c>
      <c r="B513" s="11" t="s">
        <v>110</v>
      </c>
      <c r="C513" s="11" t="s">
        <v>14</v>
      </c>
      <c r="D513" s="12">
        <v>41885</v>
      </c>
      <c r="E513" s="12">
        <v>41888</v>
      </c>
      <c r="F513" s="13">
        <v>550.5</v>
      </c>
    </row>
    <row r="514" spans="1:6" x14ac:dyDescent="0.25">
      <c r="A514" s="6" t="s">
        <v>31</v>
      </c>
      <c r="B514" s="7" t="s">
        <v>78</v>
      </c>
      <c r="C514" s="7" t="s">
        <v>24</v>
      </c>
      <c r="D514" s="8">
        <v>41886</v>
      </c>
      <c r="E514" s="8">
        <v>41887</v>
      </c>
      <c r="F514" s="9">
        <v>439.7</v>
      </c>
    </row>
    <row r="515" spans="1:6" x14ac:dyDescent="0.25">
      <c r="A515" s="10" t="s">
        <v>6</v>
      </c>
      <c r="B515" s="11" t="s">
        <v>7</v>
      </c>
      <c r="C515" s="11" t="s">
        <v>30</v>
      </c>
      <c r="D515" s="12">
        <v>41886</v>
      </c>
      <c r="E515" s="12">
        <v>41889</v>
      </c>
      <c r="F515" s="13">
        <v>569.5</v>
      </c>
    </row>
    <row r="516" spans="1:6" x14ac:dyDescent="0.25">
      <c r="A516" s="6" t="s">
        <v>122</v>
      </c>
      <c r="B516" s="7" t="s">
        <v>123</v>
      </c>
      <c r="C516" s="7" t="s">
        <v>14</v>
      </c>
      <c r="D516" s="8">
        <v>41886</v>
      </c>
      <c r="E516" s="8">
        <v>41889</v>
      </c>
      <c r="F516" s="9">
        <v>550.5</v>
      </c>
    </row>
    <row r="517" spans="1:6" x14ac:dyDescent="0.25">
      <c r="A517" s="10" t="s">
        <v>93</v>
      </c>
      <c r="B517" s="11" t="s">
        <v>124</v>
      </c>
      <c r="C517" s="11" t="s">
        <v>24</v>
      </c>
      <c r="D517" s="12">
        <v>41886</v>
      </c>
      <c r="E517" s="12">
        <v>41887</v>
      </c>
      <c r="F517" s="13">
        <v>439.7</v>
      </c>
    </row>
    <row r="518" spans="1:6" x14ac:dyDescent="0.25">
      <c r="A518" s="6" t="s">
        <v>22</v>
      </c>
      <c r="B518" s="7" t="s">
        <v>172</v>
      </c>
      <c r="C518" s="7" t="s">
        <v>24</v>
      </c>
      <c r="D518" s="8">
        <v>41886</v>
      </c>
      <c r="E518" s="8">
        <v>41886</v>
      </c>
      <c r="F518" s="9">
        <v>290.7</v>
      </c>
    </row>
    <row r="519" spans="1:6" x14ac:dyDescent="0.25">
      <c r="A519" s="10" t="s">
        <v>84</v>
      </c>
      <c r="B519" s="11" t="s">
        <v>85</v>
      </c>
      <c r="C519" s="11" t="s">
        <v>19</v>
      </c>
      <c r="D519" s="12">
        <v>41886</v>
      </c>
      <c r="E519" s="12">
        <v>41890</v>
      </c>
      <c r="F519" s="13">
        <v>1077.4000000000001</v>
      </c>
    </row>
    <row r="520" spans="1:6" x14ac:dyDescent="0.25">
      <c r="A520" s="6" t="s">
        <v>82</v>
      </c>
      <c r="B520" s="7" t="s">
        <v>125</v>
      </c>
      <c r="C520" s="7" t="s">
        <v>14</v>
      </c>
      <c r="D520" s="8">
        <v>41886</v>
      </c>
      <c r="E520" s="8">
        <v>41888</v>
      </c>
      <c r="F520" s="9">
        <v>426.5</v>
      </c>
    </row>
    <row r="521" spans="1:6" x14ac:dyDescent="0.25">
      <c r="A521" s="10" t="s">
        <v>33</v>
      </c>
      <c r="B521" s="11" t="s">
        <v>34</v>
      </c>
      <c r="C521" s="11" t="s">
        <v>27</v>
      </c>
      <c r="D521" s="12">
        <v>41886</v>
      </c>
      <c r="E521" s="12">
        <v>41887</v>
      </c>
      <c r="F521" s="13">
        <v>570</v>
      </c>
    </row>
    <row r="522" spans="1:6" x14ac:dyDescent="0.25">
      <c r="A522" s="6" t="s">
        <v>9</v>
      </c>
      <c r="B522" s="7" t="s">
        <v>69</v>
      </c>
      <c r="C522" s="7" t="s">
        <v>24</v>
      </c>
      <c r="D522" s="8">
        <v>41886</v>
      </c>
      <c r="E522" s="8">
        <v>41886</v>
      </c>
      <c r="F522" s="9">
        <v>290.7</v>
      </c>
    </row>
    <row r="523" spans="1:6" x14ac:dyDescent="0.25">
      <c r="A523" s="10" t="s">
        <v>143</v>
      </c>
      <c r="B523" s="11" t="s">
        <v>144</v>
      </c>
      <c r="C523" s="11" t="s">
        <v>19</v>
      </c>
      <c r="D523" s="12">
        <v>41886</v>
      </c>
      <c r="E523" s="12">
        <v>41887</v>
      </c>
      <c r="F523" s="13">
        <v>654.4</v>
      </c>
    </row>
    <row r="524" spans="1:6" x14ac:dyDescent="0.25">
      <c r="A524" s="6" t="s">
        <v>75</v>
      </c>
      <c r="B524" s="7" t="s">
        <v>88</v>
      </c>
      <c r="C524" s="7" t="s">
        <v>66</v>
      </c>
      <c r="D524" s="8">
        <v>41886</v>
      </c>
      <c r="E524" s="8">
        <v>41890</v>
      </c>
      <c r="F524" s="9">
        <v>1019.7</v>
      </c>
    </row>
    <row r="525" spans="1:6" x14ac:dyDescent="0.25">
      <c r="A525" s="10" t="s">
        <v>119</v>
      </c>
      <c r="B525" s="11" t="s">
        <v>120</v>
      </c>
      <c r="C525" s="11" t="s">
        <v>11</v>
      </c>
      <c r="D525" s="12">
        <v>41886</v>
      </c>
      <c r="E525" s="12">
        <v>41889</v>
      </c>
      <c r="F525" s="13">
        <v>573.4</v>
      </c>
    </row>
    <row r="526" spans="1:6" x14ac:dyDescent="0.25">
      <c r="A526" s="6" t="s">
        <v>36</v>
      </c>
      <c r="B526" s="7" t="s">
        <v>37</v>
      </c>
      <c r="C526" s="7" t="s">
        <v>17</v>
      </c>
      <c r="D526" s="8">
        <v>41886</v>
      </c>
      <c r="E526" s="8">
        <v>41889</v>
      </c>
      <c r="F526" s="9">
        <v>1116.5</v>
      </c>
    </row>
    <row r="527" spans="1:6" x14ac:dyDescent="0.25">
      <c r="A527" s="10" t="s">
        <v>75</v>
      </c>
      <c r="B527" s="11" t="s">
        <v>76</v>
      </c>
      <c r="C527" s="11" t="s">
        <v>11</v>
      </c>
      <c r="D527" s="12">
        <v>41886</v>
      </c>
      <c r="E527" s="12">
        <v>41888</v>
      </c>
      <c r="F527" s="13">
        <v>434.4</v>
      </c>
    </row>
    <row r="528" spans="1:6" x14ac:dyDescent="0.25">
      <c r="A528" s="6" t="s">
        <v>91</v>
      </c>
      <c r="B528" s="7" t="s">
        <v>92</v>
      </c>
      <c r="C528" s="7" t="s">
        <v>38</v>
      </c>
      <c r="D528" s="8">
        <v>41886</v>
      </c>
      <c r="E528" s="8">
        <v>41887</v>
      </c>
      <c r="F528" s="9">
        <v>407.8</v>
      </c>
    </row>
    <row r="529" spans="1:6" x14ac:dyDescent="0.25">
      <c r="A529" s="10" t="s">
        <v>12</v>
      </c>
      <c r="B529" s="11" t="s">
        <v>95</v>
      </c>
      <c r="C529" s="11" t="s">
        <v>66</v>
      </c>
      <c r="D529" s="12">
        <v>41886</v>
      </c>
      <c r="E529" s="12">
        <v>41889</v>
      </c>
      <c r="F529" s="13">
        <v>841.7</v>
      </c>
    </row>
    <row r="530" spans="1:6" x14ac:dyDescent="0.25">
      <c r="A530" s="6" t="s">
        <v>54</v>
      </c>
      <c r="B530" s="7" t="s">
        <v>118</v>
      </c>
      <c r="C530" s="7" t="s">
        <v>30</v>
      </c>
      <c r="D530" s="8">
        <v>41886</v>
      </c>
      <c r="E530" s="8">
        <v>41886</v>
      </c>
      <c r="F530" s="9">
        <v>212.5</v>
      </c>
    </row>
    <row r="531" spans="1:6" x14ac:dyDescent="0.25">
      <c r="A531" s="10" t="s">
        <v>15</v>
      </c>
      <c r="B531" s="11" t="s">
        <v>46</v>
      </c>
      <c r="C531" s="11" t="s">
        <v>24</v>
      </c>
      <c r="D531" s="12">
        <v>41887</v>
      </c>
      <c r="E531" s="12">
        <v>41889</v>
      </c>
      <c r="F531" s="13">
        <v>588.70000000000005</v>
      </c>
    </row>
    <row r="532" spans="1:6" x14ac:dyDescent="0.25">
      <c r="A532" s="6" t="s">
        <v>25</v>
      </c>
      <c r="B532" s="7" t="s">
        <v>26</v>
      </c>
      <c r="C532" s="7" t="s">
        <v>17</v>
      </c>
      <c r="D532" s="8">
        <v>41887</v>
      </c>
      <c r="E532" s="8">
        <v>41887</v>
      </c>
      <c r="F532" s="9">
        <v>501.5</v>
      </c>
    </row>
    <row r="533" spans="1:6" x14ac:dyDescent="0.25">
      <c r="A533" s="10" t="s">
        <v>70</v>
      </c>
      <c r="B533" s="11" t="s">
        <v>71</v>
      </c>
      <c r="C533" s="11" t="s">
        <v>14</v>
      </c>
      <c r="D533" s="12">
        <v>41887</v>
      </c>
      <c r="E533" s="12">
        <v>41888</v>
      </c>
      <c r="F533" s="13">
        <v>302.5</v>
      </c>
    </row>
    <row r="534" spans="1:6" x14ac:dyDescent="0.25">
      <c r="A534" s="6" t="s">
        <v>115</v>
      </c>
      <c r="B534" s="7" t="s">
        <v>140</v>
      </c>
      <c r="C534" s="7" t="s">
        <v>27</v>
      </c>
      <c r="D534" s="8">
        <v>41887</v>
      </c>
      <c r="E534" s="8">
        <v>41887</v>
      </c>
      <c r="F534" s="9">
        <v>442</v>
      </c>
    </row>
    <row r="535" spans="1:6" x14ac:dyDescent="0.25">
      <c r="A535" s="10" t="s">
        <v>134</v>
      </c>
      <c r="B535" s="11" t="s">
        <v>135</v>
      </c>
      <c r="C535" s="11" t="s">
        <v>19</v>
      </c>
      <c r="D535" s="12">
        <v>41887</v>
      </c>
      <c r="E535" s="12">
        <v>41890</v>
      </c>
      <c r="F535" s="13">
        <v>936.4</v>
      </c>
    </row>
    <row r="536" spans="1:6" x14ac:dyDescent="0.25">
      <c r="A536" s="6" t="s">
        <v>99</v>
      </c>
      <c r="B536" s="7" t="s">
        <v>100</v>
      </c>
      <c r="C536" s="7" t="s">
        <v>19</v>
      </c>
      <c r="D536" s="8">
        <v>41887</v>
      </c>
      <c r="E536" s="8">
        <v>41887</v>
      </c>
      <c r="F536" s="9">
        <v>513.4</v>
      </c>
    </row>
    <row r="537" spans="1:6" x14ac:dyDescent="0.25">
      <c r="A537" s="10" t="s">
        <v>101</v>
      </c>
      <c r="B537" s="11" t="s">
        <v>102</v>
      </c>
      <c r="C537" s="11" t="s">
        <v>11</v>
      </c>
      <c r="D537" s="12">
        <v>41887</v>
      </c>
      <c r="E537" s="12">
        <v>41888</v>
      </c>
      <c r="F537" s="13">
        <v>295.39999999999998</v>
      </c>
    </row>
    <row r="538" spans="1:6" x14ac:dyDescent="0.25">
      <c r="A538" s="6" t="s">
        <v>143</v>
      </c>
      <c r="B538" s="7" t="s">
        <v>144</v>
      </c>
      <c r="C538" s="7" t="s">
        <v>30</v>
      </c>
      <c r="D538" s="8">
        <v>41887</v>
      </c>
      <c r="E538" s="8">
        <v>41891</v>
      </c>
      <c r="F538" s="9">
        <v>688.5</v>
      </c>
    </row>
    <row r="539" spans="1:6" x14ac:dyDescent="0.25">
      <c r="A539" s="10" t="s">
        <v>93</v>
      </c>
      <c r="B539" s="11" t="s">
        <v>106</v>
      </c>
      <c r="C539" s="11" t="s">
        <v>17</v>
      </c>
      <c r="D539" s="12">
        <v>41887</v>
      </c>
      <c r="E539" s="12">
        <v>41890</v>
      </c>
      <c r="F539" s="13">
        <v>1116.5</v>
      </c>
    </row>
    <row r="540" spans="1:6" x14ac:dyDescent="0.25">
      <c r="A540" s="6" t="s">
        <v>93</v>
      </c>
      <c r="B540" s="7" t="s">
        <v>94</v>
      </c>
      <c r="C540" s="7" t="s">
        <v>14</v>
      </c>
      <c r="D540" s="8">
        <v>41887</v>
      </c>
      <c r="E540" s="8">
        <v>41889</v>
      </c>
      <c r="F540" s="9">
        <v>426.5</v>
      </c>
    </row>
    <row r="541" spans="1:6" x14ac:dyDescent="0.25">
      <c r="A541" s="10" t="s">
        <v>137</v>
      </c>
      <c r="B541" s="11" t="s">
        <v>138</v>
      </c>
      <c r="C541" s="11" t="s">
        <v>27</v>
      </c>
      <c r="D541" s="12">
        <v>41887</v>
      </c>
      <c r="E541" s="12">
        <v>41889</v>
      </c>
      <c r="F541" s="13">
        <v>698</v>
      </c>
    </row>
    <row r="542" spans="1:6" x14ac:dyDescent="0.25">
      <c r="A542" s="6" t="s">
        <v>115</v>
      </c>
      <c r="B542" s="7" t="s">
        <v>116</v>
      </c>
      <c r="C542" s="7" t="s">
        <v>30</v>
      </c>
      <c r="D542" s="8">
        <v>41887</v>
      </c>
      <c r="E542" s="8">
        <v>41888</v>
      </c>
      <c r="F542" s="9">
        <v>331.5</v>
      </c>
    </row>
    <row r="543" spans="1:6" x14ac:dyDescent="0.25">
      <c r="A543" s="10" t="s">
        <v>64</v>
      </c>
      <c r="B543" s="11" t="s">
        <v>65</v>
      </c>
      <c r="C543" s="11" t="s">
        <v>38</v>
      </c>
      <c r="D543" s="12">
        <v>41887</v>
      </c>
      <c r="E543" s="12">
        <v>41889</v>
      </c>
      <c r="F543" s="13">
        <v>536.79999999999995</v>
      </c>
    </row>
    <row r="544" spans="1:6" x14ac:dyDescent="0.25">
      <c r="A544" s="6" t="s">
        <v>86</v>
      </c>
      <c r="B544" s="7" t="s">
        <v>136</v>
      </c>
      <c r="C544" s="7" t="s">
        <v>72</v>
      </c>
      <c r="D544" s="8">
        <v>41887</v>
      </c>
      <c r="E544" s="8">
        <v>41888</v>
      </c>
      <c r="F544" s="9">
        <v>693.7</v>
      </c>
    </row>
    <row r="545" spans="1:6" x14ac:dyDescent="0.25">
      <c r="A545" s="10" t="s">
        <v>93</v>
      </c>
      <c r="B545" s="11" t="s">
        <v>124</v>
      </c>
      <c r="C545" s="11" t="s">
        <v>17</v>
      </c>
      <c r="D545" s="12">
        <v>41889</v>
      </c>
      <c r="E545" s="12">
        <v>41889</v>
      </c>
      <c r="F545" s="13">
        <v>501.5</v>
      </c>
    </row>
    <row r="546" spans="1:6" x14ac:dyDescent="0.25">
      <c r="A546" s="6" t="s">
        <v>54</v>
      </c>
      <c r="B546" s="7" t="s">
        <v>55</v>
      </c>
      <c r="C546" s="7" t="s">
        <v>19</v>
      </c>
      <c r="D546" s="8">
        <v>41890</v>
      </c>
      <c r="E546" s="8">
        <v>41890</v>
      </c>
      <c r="F546" s="9">
        <v>513.4</v>
      </c>
    </row>
    <row r="547" spans="1:6" x14ac:dyDescent="0.25">
      <c r="A547" s="10" t="s">
        <v>22</v>
      </c>
      <c r="B547" s="11" t="s">
        <v>172</v>
      </c>
      <c r="C547" s="11" t="s">
        <v>27</v>
      </c>
      <c r="D547" s="12">
        <v>41890</v>
      </c>
      <c r="E547" s="12">
        <v>41890</v>
      </c>
      <c r="F547" s="13">
        <v>442</v>
      </c>
    </row>
    <row r="548" spans="1:6" x14ac:dyDescent="0.25">
      <c r="A548" s="6" t="s">
        <v>9</v>
      </c>
      <c r="B548" s="7" t="s">
        <v>69</v>
      </c>
      <c r="C548" s="7" t="s">
        <v>38</v>
      </c>
      <c r="D548" s="8">
        <v>41890</v>
      </c>
      <c r="E548" s="8">
        <v>41890</v>
      </c>
      <c r="F548" s="9">
        <v>278.8</v>
      </c>
    </row>
    <row r="549" spans="1:6" x14ac:dyDescent="0.25">
      <c r="A549" s="10" t="s">
        <v>54</v>
      </c>
      <c r="B549" s="11" t="s">
        <v>118</v>
      </c>
      <c r="C549" s="11" t="s">
        <v>24</v>
      </c>
      <c r="D549" s="12">
        <v>41890</v>
      </c>
      <c r="E549" s="12">
        <v>41890</v>
      </c>
      <c r="F549" s="13">
        <v>290.7</v>
      </c>
    </row>
    <row r="550" spans="1:6" x14ac:dyDescent="0.25">
      <c r="A550" s="6" t="s">
        <v>99</v>
      </c>
      <c r="B550" s="7" t="s">
        <v>130</v>
      </c>
      <c r="C550" s="7" t="s">
        <v>38</v>
      </c>
      <c r="D550" s="8">
        <v>41893</v>
      </c>
      <c r="E550" s="8">
        <v>41896</v>
      </c>
      <c r="F550" s="9">
        <v>665.8</v>
      </c>
    </row>
    <row r="551" spans="1:6" x14ac:dyDescent="0.25">
      <c r="A551" s="10" t="s">
        <v>115</v>
      </c>
      <c r="B551" s="11" t="s">
        <v>140</v>
      </c>
      <c r="C551" s="11" t="s">
        <v>8</v>
      </c>
      <c r="D551" s="12">
        <v>41893</v>
      </c>
      <c r="E551" s="12">
        <v>41896</v>
      </c>
      <c r="F551" s="13">
        <v>1313</v>
      </c>
    </row>
    <row r="552" spans="1:6" x14ac:dyDescent="0.25">
      <c r="A552" s="6" t="s">
        <v>109</v>
      </c>
      <c r="B552" s="7" t="s">
        <v>110</v>
      </c>
      <c r="C552" s="7" t="s">
        <v>8</v>
      </c>
      <c r="D552" s="8">
        <v>41893</v>
      </c>
      <c r="E552" s="8">
        <v>41894</v>
      </c>
      <c r="F552" s="9">
        <v>891</v>
      </c>
    </row>
    <row r="553" spans="1:6" x14ac:dyDescent="0.25">
      <c r="A553" s="10" t="s">
        <v>137</v>
      </c>
      <c r="B553" s="11" t="s">
        <v>138</v>
      </c>
      <c r="C553" s="11" t="s">
        <v>47</v>
      </c>
      <c r="D553" s="12">
        <v>41893</v>
      </c>
      <c r="E553" s="12">
        <v>41895</v>
      </c>
      <c r="F553" s="13">
        <v>689.8</v>
      </c>
    </row>
    <row r="554" spans="1:6" x14ac:dyDescent="0.25">
      <c r="A554" s="6" t="s">
        <v>12</v>
      </c>
      <c r="B554" s="7" t="s">
        <v>95</v>
      </c>
      <c r="C554" s="7" t="s">
        <v>47</v>
      </c>
      <c r="D554" s="8">
        <v>41893</v>
      </c>
      <c r="E554" s="8">
        <v>41894</v>
      </c>
      <c r="F554" s="9">
        <v>526.79999999999995</v>
      </c>
    </row>
    <row r="555" spans="1:6" x14ac:dyDescent="0.25">
      <c r="A555" s="10" t="s">
        <v>57</v>
      </c>
      <c r="B555" s="11" t="s">
        <v>58</v>
      </c>
      <c r="C555" s="11" t="s">
        <v>11</v>
      </c>
      <c r="D555" s="12">
        <v>41893</v>
      </c>
      <c r="E555" s="12">
        <v>41896</v>
      </c>
      <c r="F555" s="13">
        <v>573.4</v>
      </c>
    </row>
    <row r="556" spans="1:6" x14ac:dyDescent="0.25">
      <c r="A556" s="6" t="s">
        <v>6</v>
      </c>
      <c r="B556" s="7" t="s">
        <v>7</v>
      </c>
      <c r="C556" s="7" t="s">
        <v>38</v>
      </c>
      <c r="D556" s="8">
        <v>41897</v>
      </c>
      <c r="E556" s="8">
        <v>41897</v>
      </c>
      <c r="F556" s="9">
        <v>278.8</v>
      </c>
    </row>
    <row r="557" spans="1:6" x14ac:dyDescent="0.25">
      <c r="A557" s="10" t="s">
        <v>54</v>
      </c>
      <c r="B557" s="11" t="s">
        <v>118</v>
      </c>
      <c r="C557" s="11" t="s">
        <v>17</v>
      </c>
      <c r="D557" s="12">
        <v>41897</v>
      </c>
      <c r="E557" s="12">
        <v>41898</v>
      </c>
      <c r="F557" s="13">
        <v>706.5</v>
      </c>
    </row>
    <row r="558" spans="1:6" x14ac:dyDescent="0.25">
      <c r="A558" s="6" t="s">
        <v>22</v>
      </c>
      <c r="B558" s="7" t="s">
        <v>23</v>
      </c>
      <c r="C558" s="7" t="s">
        <v>24</v>
      </c>
      <c r="D558" s="8">
        <v>41898</v>
      </c>
      <c r="E558" s="8">
        <v>41901</v>
      </c>
      <c r="F558" s="9">
        <v>737.7</v>
      </c>
    </row>
    <row r="559" spans="1:6" x14ac:dyDescent="0.25">
      <c r="A559" s="10" t="s">
        <v>22</v>
      </c>
      <c r="B559" s="11" t="s">
        <v>23</v>
      </c>
      <c r="C559" s="11" t="s">
        <v>27</v>
      </c>
      <c r="D559" s="12">
        <v>41898</v>
      </c>
      <c r="E559" s="12">
        <v>41900</v>
      </c>
      <c r="F559" s="13">
        <v>698</v>
      </c>
    </row>
    <row r="560" spans="1:6" x14ac:dyDescent="0.25">
      <c r="A560" s="6" t="s">
        <v>31</v>
      </c>
      <c r="B560" s="7" t="s">
        <v>78</v>
      </c>
      <c r="C560" s="7" t="s">
        <v>17</v>
      </c>
      <c r="D560" s="8">
        <v>41898</v>
      </c>
      <c r="E560" s="8">
        <v>41899</v>
      </c>
      <c r="F560" s="9">
        <v>706.5</v>
      </c>
    </row>
    <row r="561" spans="1:6" x14ac:dyDescent="0.25">
      <c r="A561" s="10" t="s">
        <v>6</v>
      </c>
      <c r="B561" s="11" t="s">
        <v>139</v>
      </c>
      <c r="C561" s="11" t="s">
        <v>38</v>
      </c>
      <c r="D561" s="12">
        <v>41898</v>
      </c>
      <c r="E561" s="12">
        <v>41900</v>
      </c>
      <c r="F561" s="13">
        <v>536.79999999999995</v>
      </c>
    </row>
    <row r="562" spans="1:6" x14ac:dyDescent="0.25">
      <c r="A562" s="6" t="s">
        <v>122</v>
      </c>
      <c r="B562" s="7" t="s">
        <v>123</v>
      </c>
      <c r="C562" s="7" t="s">
        <v>11</v>
      </c>
      <c r="D562" s="8">
        <v>41898</v>
      </c>
      <c r="E562" s="8">
        <v>41902</v>
      </c>
      <c r="F562" s="9">
        <v>712.4</v>
      </c>
    </row>
    <row r="563" spans="1:6" x14ac:dyDescent="0.25">
      <c r="A563" s="10" t="s">
        <v>57</v>
      </c>
      <c r="B563" s="11" t="s">
        <v>163</v>
      </c>
      <c r="C563" s="11" t="s">
        <v>19</v>
      </c>
      <c r="D563" s="12">
        <v>41898</v>
      </c>
      <c r="E563" s="12">
        <v>41901</v>
      </c>
      <c r="F563" s="13">
        <v>936.4</v>
      </c>
    </row>
    <row r="564" spans="1:6" x14ac:dyDescent="0.25">
      <c r="A564" s="6" t="s">
        <v>57</v>
      </c>
      <c r="B564" s="7" t="s">
        <v>163</v>
      </c>
      <c r="C564" s="7" t="s">
        <v>8</v>
      </c>
      <c r="D564" s="8">
        <v>41898</v>
      </c>
      <c r="E564" s="8">
        <v>41902</v>
      </c>
      <c r="F564" s="9">
        <v>1524</v>
      </c>
    </row>
    <row r="565" spans="1:6" x14ac:dyDescent="0.25">
      <c r="A565" s="10" t="s">
        <v>22</v>
      </c>
      <c r="B565" s="11" t="s">
        <v>172</v>
      </c>
      <c r="C565" s="11" t="s">
        <v>19</v>
      </c>
      <c r="D565" s="12">
        <v>41898</v>
      </c>
      <c r="E565" s="12">
        <v>41900</v>
      </c>
      <c r="F565" s="13">
        <v>795.4</v>
      </c>
    </row>
    <row r="566" spans="1:6" x14ac:dyDescent="0.25">
      <c r="A566" s="6" t="s">
        <v>50</v>
      </c>
      <c r="B566" s="7" t="s">
        <v>51</v>
      </c>
      <c r="C566" s="7" t="s">
        <v>17</v>
      </c>
      <c r="D566" s="8">
        <v>41898</v>
      </c>
      <c r="E566" s="8">
        <v>41901</v>
      </c>
      <c r="F566" s="9">
        <v>1116.5</v>
      </c>
    </row>
    <row r="567" spans="1:6" x14ac:dyDescent="0.25">
      <c r="A567" s="10" t="s">
        <v>115</v>
      </c>
      <c r="B567" s="11" t="s">
        <v>140</v>
      </c>
      <c r="C567" s="11" t="s">
        <v>72</v>
      </c>
      <c r="D567" s="12">
        <v>41898</v>
      </c>
      <c r="E567" s="12">
        <v>41899</v>
      </c>
      <c r="F567" s="13">
        <v>693.7</v>
      </c>
    </row>
    <row r="568" spans="1:6" x14ac:dyDescent="0.25">
      <c r="A568" s="6" t="s">
        <v>33</v>
      </c>
      <c r="B568" s="7" t="s">
        <v>34</v>
      </c>
      <c r="C568" s="7" t="s">
        <v>72</v>
      </c>
      <c r="D568" s="8">
        <v>41898</v>
      </c>
      <c r="E568" s="8">
        <v>41900</v>
      </c>
      <c r="F568" s="9">
        <v>892.7</v>
      </c>
    </row>
    <row r="569" spans="1:6" x14ac:dyDescent="0.25">
      <c r="A569" s="10" t="s">
        <v>33</v>
      </c>
      <c r="B569" s="11" t="s">
        <v>41</v>
      </c>
      <c r="C569" s="11" t="s">
        <v>17</v>
      </c>
      <c r="D569" s="12">
        <v>41898</v>
      </c>
      <c r="E569" s="12">
        <v>41898</v>
      </c>
      <c r="F569" s="13">
        <v>501.5</v>
      </c>
    </row>
    <row r="570" spans="1:6" x14ac:dyDescent="0.25">
      <c r="A570" s="6" t="s">
        <v>93</v>
      </c>
      <c r="B570" s="7" t="s">
        <v>106</v>
      </c>
      <c r="C570" s="7" t="s">
        <v>27</v>
      </c>
      <c r="D570" s="8">
        <v>41898</v>
      </c>
      <c r="E570" s="8">
        <v>41899</v>
      </c>
      <c r="F570" s="9">
        <v>570</v>
      </c>
    </row>
    <row r="571" spans="1:6" x14ac:dyDescent="0.25">
      <c r="A571" s="10" t="s">
        <v>25</v>
      </c>
      <c r="B571" s="11" t="s">
        <v>35</v>
      </c>
      <c r="C571" s="11" t="s">
        <v>38</v>
      </c>
      <c r="D571" s="12">
        <v>41898</v>
      </c>
      <c r="E571" s="12">
        <v>41901</v>
      </c>
      <c r="F571" s="13">
        <v>665.8</v>
      </c>
    </row>
    <row r="572" spans="1:6" x14ac:dyDescent="0.25">
      <c r="A572" s="6" t="s">
        <v>119</v>
      </c>
      <c r="B572" s="7" t="s">
        <v>120</v>
      </c>
      <c r="C572" s="7" t="s">
        <v>30</v>
      </c>
      <c r="D572" s="8">
        <v>41898</v>
      </c>
      <c r="E572" s="8">
        <v>41899</v>
      </c>
      <c r="F572" s="9">
        <v>331.5</v>
      </c>
    </row>
    <row r="573" spans="1:6" x14ac:dyDescent="0.25">
      <c r="A573" s="10" t="s">
        <v>6</v>
      </c>
      <c r="B573" s="11" t="s">
        <v>45</v>
      </c>
      <c r="C573" s="11" t="s">
        <v>30</v>
      </c>
      <c r="D573" s="12">
        <v>41898</v>
      </c>
      <c r="E573" s="12">
        <v>41901</v>
      </c>
      <c r="F573" s="13">
        <v>569.5</v>
      </c>
    </row>
    <row r="574" spans="1:6" x14ac:dyDescent="0.25">
      <c r="A574" s="6" t="s">
        <v>15</v>
      </c>
      <c r="B574" s="7" t="s">
        <v>16</v>
      </c>
      <c r="C574" s="7" t="s">
        <v>24</v>
      </c>
      <c r="D574" s="8">
        <v>41898</v>
      </c>
      <c r="E574" s="8">
        <v>41902</v>
      </c>
      <c r="F574" s="9">
        <v>886.7</v>
      </c>
    </row>
    <row r="575" spans="1:6" x14ac:dyDescent="0.25">
      <c r="A575" s="10" t="s">
        <v>91</v>
      </c>
      <c r="B575" s="11" t="s">
        <v>92</v>
      </c>
      <c r="C575" s="11" t="s">
        <v>8</v>
      </c>
      <c r="D575" s="12">
        <v>41898</v>
      </c>
      <c r="E575" s="12">
        <v>41900</v>
      </c>
      <c r="F575" s="13">
        <v>1102</v>
      </c>
    </row>
    <row r="576" spans="1:6" x14ac:dyDescent="0.25">
      <c r="A576" s="6" t="s">
        <v>137</v>
      </c>
      <c r="B576" s="7" t="s">
        <v>138</v>
      </c>
      <c r="C576" s="7" t="s">
        <v>72</v>
      </c>
      <c r="D576" s="8">
        <v>41898</v>
      </c>
      <c r="E576" s="8">
        <v>41900</v>
      </c>
      <c r="F576" s="9">
        <v>892.7</v>
      </c>
    </row>
    <row r="577" spans="1:6" x14ac:dyDescent="0.25">
      <c r="A577" s="10" t="s">
        <v>6</v>
      </c>
      <c r="B577" s="11" t="s">
        <v>139</v>
      </c>
      <c r="C577" s="11" t="s">
        <v>24</v>
      </c>
      <c r="D577" s="12">
        <v>41899</v>
      </c>
      <c r="E577" s="12">
        <v>41902</v>
      </c>
      <c r="F577" s="13">
        <v>737.7</v>
      </c>
    </row>
    <row r="578" spans="1:6" x14ac:dyDescent="0.25">
      <c r="A578" s="6" t="s">
        <v>86</v>
      </c>
      <c r="B578" s="7" t="s">
        <v>150</v>
      </c>
      <c r="C578" s="7" t="s">
        <v>30</v>
      </c>
      <c r="D578" s="8">
        <v>41899</v>
      </c>
      <c r="E578" s="8">
        <v>41900</v>
      </c>
      <c r="F578" s="9">
        <v>331.5</v>
      </c>
    </row>
    <row r="579" spans="1:6" x14ac:dyDescent="0.25">
      <c r="A579" s="10" t="s">
        <v>99</v>
      </c>
      <c r="B579" s="11" t="s">
        <v>130</v>
      </c>
      <c r="C579" s="11" t="s">
        <v>27</v>
      </c>
      <c r="D579" s="12">
        <v>41899</v>
      </c>
      <c r="E579" s="12">
        <v>41900</v>
      </c>
      <c r="F579" s="13">
        <v>570</v>
      </c>
    </row>
    <row r="580" spans="1:6" x14ac:dyDescent="0.25">
      <c r="A580" s="6" t="s">
        <v>50</v>
      </c>
      <c r="B580" s="7" t="s">
        <v>51</v>
      </c>
      <c r="C580" s="7" t="s">
        <v>72</v>
      </c>
      <c r="D580" s="8">
        <v>41899</v>
      </c>
      <c r="E580" s="8">
        <v>41902</v>
      </c>
      <c r="F580" s="9">
        <v>1091.7</v>
      </c>
    </row>
    <row r="581" spans="1:6" x14ac:dyDescent="0.25">
      <c r="A581" s="10" t="s">
        <v>82</v>
      </c>
      <c r="B581" s="11" t="s">
        <v>125</v>
      </c>
      <c r="C581" s="11" t="s">
        <v>66</v>
      </c>
      <c r="D581" s="12">
        <v>41899</v>
      </c>
      <c r="E581" s="12">
        <v>41900</v>
      </c>
      <c r="F581" s="13">
        <v>485.7</v>
      </c>
    </row>
    <row r="582" spans="1:6" x14ac:dyDescent="0.25">
      <c r="A582" s="6" t="s">
        <v>99</v>
      </c>
      <c r="B582" s="7" t="s">
        <v>100</v>
      </c>
      <c r="C582" s="7" t="s">
        <v>11</v>
      </c>
      <c r="D582" s="8">
        <v>41899</v>
      </c>
      <c r="E582" s="8">
        <v>41903</v>
      </c>
      <c r="F582" s="9">
        <v>712.4</v>
      </c>
    </row>
    <row r="583" spans="1:6" x14ac:dyDescent="0.25">
      <c r="A583" s="10" t="s">
        <v>101</v>
      </c>
      <c r="B583" s="11" t="s">
        <v>102</v>
      </c>
      <c r="C583" s="11" t="s">
        <v>27</v>
      </c>
      <c r="D583" s="12">
        <v>41899</v>
      </c>
      <c r="E583" s="12">
        <v>41902</v>
      </c>
      <c r="F583" s="13">
        <v>826</v>
      </c>
    </row>
    <row r="584" spans="1:6" x14ac:dyDescent="0.25">
      <c r="A584" s="6" t="s">
        <v>73</v>
      </c>
      <c r="B584" s="7" t="s">
        <v>155</v>
      </c>
      <c r="C584" s="7" t="s">
        <v>17</v>
      </c>
      <c r="D584" s="8">
        <v>41899</v>
      </c>
      <c r="E584" s="8">
        <v>41900</v>
      </c>
      <c r="F584" s="9">
        <v>706.5</v>
      </c>
    </row>
    <row r="585" spans="1:6" x14ac:dyDescent="0.25">
      <c r="A585" s="10" t="s">
        <v>151</v>
      </c>
      <c r="B585" s="11" t="s">
        <v>152</v>
      </c>
      <c r="C585" s="11" t="s">
        <v>14</v>
      </c>
      <c r="D585" s="12">
        <v>41899</v>
      </c>
      <c r="E585" s="12">
        <v>41902</v>
      </c>
      <c r="F585" s="13">
        <v>550.5</v>
      </c>
    </row>
    <row r="586" spans="1:6" x14ac:dyDescent="0.25">
      <c r="A586" s="6" t="s">
        <v>119</v>
      </c>
      <c r="B586" s="7" t="s">
        <v>120</v>
      </c>
      <c r="C586" s="7" t="s">
        <v>47</v>
      </c>
      <c r="D586" s="8">
        <v>41899</v>
      </c>
      <c r="E586" s="8">
        <v>41900</v>
      </c>
      <c r="F586" s="9">
        <v>526.79999999999995</v>
      </c>
    </row>
    <row r="587" spans="1:6" x14ac:dyDescent="0.25">
      <c r="A587" s="10" t="s">
        <v>111</v>
      </c>
      <c r="B587" s="11" t="s">
        <v>112</v>
      </c>
      <c r="C587" s="11" t="s">
        <v>30</v>
      </c>
      <c r="D587" s="12">
        <v>41899</v>
      </c>
      <c r="E587" s="12">
        <v>41902</v>
      </c>
      <c r="F587" s="13">
        <v>569.5</v>
      </c>
    </row>
    <row r="588" spans="1:6" x14ac:dyDescent="0.25">
      <c r="A588" s="6" t="s">
        <v>75</v>
      </c>
      <c r="B588" s="7" t="s">
        <v>76</v>
      </c>
      <c r="C588" s="7" t="s">
        <v>47</v>
      </c>
      <c r="D588" s="8">
        <v>41899</v>
      </c>
      <c r="E588" s="8">
        <v>41903</v>
      </c>
      <c r="F588" s="9">
        <v>1015.8</v>
      </c>
    </row>
    <row r="589" spans="1:6" x14ac:dyDescent="0.25">
      <c r="A589" s="10" t="s">
        <v>113</v>
      </c>
      <c r="B589" s="11" t="s">
        <v>114</v>
      </c>
      <c r="C589" s="11" t="s">
        <v>8</v>
      </c>
      <c r="D589" s="12">
        <v>41899</v>
      </c>
      <c r="E589" s="12">
        <v>41901</v>
      </c>
      <c r="F589" s="13">
        <v>1102</v>
      </c>
    </row>
    <row r="590" spans="1:6" x14ac:dyDescent="0.25">
      <c r="A590" s="6" t="s">
        <v>70</v>
      </c>
      <c r="B590" s="7" t="s">
        <v>117</v>
      </c>
      <c r="C590" s="7" t="s">
        <v>27</v>
      </c>
      <c r="D590" s="8">
        <v>41899</v>
      </c>
      <c r="E590" s="8">
        <v>41902</v>
      </c>
      <c r="F590" s="9">
        <v>826</v>
      </c>
    </row>
    <row r="591" spans="1:6" x14ac:dyDescent="0.25">
      <c r="A591" s="10" t="s">
        <v>20</v>
      </c>
      <c r="B591" s="11" t="s">
        <v>21</v>
      </c>
      <c r="C591" s="11" t="s">
        <v>11</v>
      </c>
      <c r="D591" s="12">
        <v>41899</v>
      </c>
      <c r="E591" s="12">
        <v>41901</v>
      </c>
      <c r="F591" s="13">
        <v>434.4</v>
      </c>
    </row>
    <row r="592" spans="1:6" x14ac:dyDescent="0.25">
      <c r="A592" s="6" t="s">
        <v>33</v>
      </c>
      <c r="B592" s="7" t="s">
        <v>41</v>
      </c>
      <c r="C592" s="7" t="s">
        <v>11</v>
      </c>
      <c r="D592" s="8">
        <v>41900</v>
      </c>
      <c r="E592" s="8">
        <v>41902</v>
      </c>
      <c r="F592" s="9">
        <v>434.4</v>
      </c>
    </row>
    <row r="593" spans="1:6" x14ac:dyDescent="0.25">
      <c r="A593" s="10" t="s">
        <v>12</v>
      </c>
      <c r="B593" s="11" t="s">
        <v>13</v>
      </c>
      <c r="C593" s="11" t="s">
        <v>8</v>
      </c>
      <c r="D593" s="12">
        <v>41901</v>
      </c>
      <c r="E593" s="12">
        <v>41901</v>
      </c>
      <c r="F593" s="13">
        <v>680</v>
      </c>
    </row>
    <row r="594" spans="1:6" x14ac:dyDescent="0.25">
      <c r="A594" s="6" t="s">
        <v>82</v>
      </c>
      <c r="B594" s="7" t="s">
        <v>125</v>
      </c>
      <c r="C594" s="7" t="s">
        <v>17</v>
      </c>
      <c r="D594" s="8">
        <v>41902</v>
      </c>
      <c r="E594" s="8">
        <v>41902</v>
      </c>
      <c r="F594" s="9">
        <v>501.5</v>
      </c>
    </row>
    <row r="595" spans="1:6" x14ac:dyDescent="0.25">
      <c r="A595" s="10" t="s">
        <v>15</v>
      </c>
      <c r="B595" s="11" t="s">
        <v>44</v>
      </c>
      <c r="C595" s="11" t="s">
        <v>38</v>
      </c>
      <c r="D595" s="12">
        <v>41904</v>
      </c>
      <c r="E595" s="12">
        <v>41904</v>
      </c>
      <c r="F595" s="13">
        <v>278.8</v>
      </c>
    </row>
    <row r="596" spans="1:6" x14ac:dyDescent="0.25">
      <c r="A596" s="6" t="s">
        <v>22</v>
      </c>
      <c r="B596" s="7" t="s">
        <v>23</v>
      </c>
      <c r="C596" s="7" t="s">
        <v>59</v>
      </c>
      <c r="D596" s="8">
        <v>41905</v>
      </c>
      <c r="E596" s="8">
        <v>41909</v>
      </c>
      <c r="F596" s="9">
        <v>1078</v>
      </c>
    </row>
    <row r="597" spans="1:6" x14ac:dyDescent="0.25">
      <c r="A597" s="10" t="s">
        <v>93</v>
      </c>
      <c r="B597" s="11" t="s">
        <v>124</v>
      </c>
      <c r="C597" s="11" t="s">
        <v>24</v>
      </c>
      <c r="D597" s="12">
        <v>41905</v>
      </c>
      <c r="E597" s="12">
        <v>41909</v>
      </c>
      <c r="F597" s="13">
        <v>886.7</v>
      </c>
    </row>
    <row r="598" spans="1:6" x14ac:dyDescent="0.25">
      <c r="A598" s="6" t="s">
        <v>52</v>
      </c>
      <c r="B598" s="7" t="s">
        <v>53</v>
      </c>
      <c r="C598" s="7" t="s">
        <v>19</v>
      </c>
      <c r="D598" s="8">
        <v>41905</v>
      </c>
      <c r="E598" s="8">
        <v>41905</v>
      </c>
      <c r="F598" s="9">
        <v>513.4</v>
      </c>
    </row>
    <row r="599" spans="1:6" x14ac:dyDescent="0.25">
      <c r="A599" s="10" t="s">
        <v>107</v>
      </c>
      <c r="B599" s="11" t="s">
        <v>108</v>
      </c>
      <c r="C599" s="11" t="s">
        <v>17</v>
      </c>
      <c r="D599" s="12">
        <v>41905</v>
      </c>
      <c r="E599" s="12">
        <v>41907</v>
      </c>
      <c r="F599" s="13">
        <v>911.5</v>
      </c>
    </row>
    <row r="600" spans="1:6" x14ac:dyDescent="0.25">
      <c r="A600" s="6" t="s">
        <v>9</v>
      </c>
      <c r="B600" s="7" t="s">
        <v>18</v>
      </c>
      <c r="C600" s="7" t="s">
        <v>19</v>
      </c>
      <c r="D600" s="8">
        <v>41905</v>
      </c>
      <c r="E600" s="8">
        <v>41908</v>
      </c>
      <c r="F600" s="9">
        <v>936.4</v>
      </c>
    </row>
    <row r="601" spans="1:6" x14ac:dyDescent="0.25">
      <c r="A601" s="10" t="s">
        <v>20</v>
      </c>
      <c r="B601" s="11" t="s">
        <v>21</v>
      </c>
      <c r="C601" s="11" t="s">
        <v>17</v>
      </c>
      <c r="D601" s="12">
        <v>41905</v>
      </c>
      <c r="E601" s="12">
        <v>41905</v>
      </c>
      <c r="F601" s="13">
        <v>501.5</v>
      </c>
    </row>
    <row r="602" spans="1:6" x14ac:dyDescent="0.25">
      <c r="A602" s="6" t="s">
        <v>15</v>
      </c>
      <c r="B602" s="7" t="s">
        <v>16</v>
      </c>
      <c r="C602" s="7" t="s">
        <v>8</v>
      </c>
      <c r="D602" s="8">
        <v>41906</v>
      </c>
      <c r="E602" s="8">
        <v>41908</v>
      </c>
      <c r="F602" s="9">
        <v>1102</v>
      </c>
    </row>
    <row r="603" spans="1:6" x14ac:dyDescent="0.25">
      <c r="A603" s="10" t="s">
        <v>52</v>
      </c>
      <c r="B603" s="11" t="s">
        <v>53</v>
      </c>
      <c r="C603" s="11" t="s">
        <v>24</v>
      </c>
      <c r="D603" s="12">
        <v>41908</v>
      </c>
      <c r="E603" s="12">
        <v>41908</v>
      </c>
      <c r="F603" s="13">
        <v>290.7</v>
      </c>
    </row>
    <row r="604" spans="1:6" x14ac:dyDescent="0.25">
      <c r="A604" s="6" t="s">
        <v>48</v>
      </c>
      <c r="B604" s="7" t="s">
        <v>49</v>
      </c>
      <c r="C604" s="7" t="s">
        <v>14</v>
      </c>
      <c r="D604" s="8">
        <v>41910</v>
      </c>
      <c r="E604" s="8">
        <v>41910</v>
      </c>
      <c r="F604" s="9">
        <v>178.5</v>
      </c>
    </row>
    <row r="605" spans="1:6" x14ac:dyDescent="0.25">
      <c r="A605" s="10" t="s">
        <v>6</v>
      </c>
      <c r="B605" s="11" t="s">
        <v>139</v>
      </c>
      <c r="C605" s="11" t="s">
        <v>8</v>
      </c>
      <c r="D605" s="12">
        <v>41910</v>
      </c>
      <c r="E605" s="12">
        <v>41912</v>
      </c>
      <c r="F605" s="13">
        <v>1102</v>
      </c>
    </row>
    <row r="606" spans="1:6" x14ac:dyDescent="0.25">
      <c r="A606" s="6" t="s">
        <v>57</v>
      </c>
      <c r="B606" s="7" t="s">
        <v>163</v>
      </c>
      <c r="C606" s="7" t="s">
        <v>24</v>
      </c>
      <c r="D606" s="8">
        <v>41910</v>
      </c>
      <c r="E606" s="8">
        <v>41914</v>
      </c>
      <c r="F606" s="9">
        <v>886.7</v>
      </c>
    </row>
    <row r="607" spans="1:6" x14ac:dyDescent="0.25">
      <c r="A607" s="10" t="s">
        <v>131</v>
      </c>
      <c r="B607" s="11" t="s">
        <v>142</v>
      </c>
      <c r="C607" s="11" t="s">
        <v>17</v>
      </c>
      <c r="D607" s="12">
        <v>41910</v>
      </c>
      <c r="E607" s="12">
        <v>41914</v>
      </c>
      <c r="F607" s="13">
        <v>1321.5</v>
      </c>
    </row>
    <row r="608" spans="1:6" x14ac:dyDescent="0.25">
      <c r="A608" s="6" t="s">
        <v>82</v>
      </c>
      <c r="B608" s="7" t="s">
        <v>83</v>
      </c>
      <c r="C608" s="7" t="s">
        <v>8</v>
      </c>
      <c r="D608" s="8">
        <v>41910</v>
      </c>
      <c r="E608" s="8">
        <v>41911</v>
      </c>
      <c r="F608" s="9">
        <v>891</v>
      </c>
    </row>
    <row r="609" spans="1:6" x14ac:dyDescent="0.25">
      <c r="A609" s="10" t="s">
        <v>84</v>
      </c>
      <c r="B609" s="11" t="s">
        <v>85</v>
      </c>
      <c r="C609" s="11" t="s">
        <v>30</v>
      </c>
      <c r="D609" s="12">
        <v>41910</v>
      </c>
      <c r="E609" s="12">
        <v>41911</v>
      </c>
      <c r="F609" s="13">
        <v>331.5</v>
      </c>
    </row>
    <row r="610" spans="1:6" x14ac:dyDescent="0.25">
      <c r="A610" s="6" t="s">
        <v>82</v>
      </c>
      <c r="B610" s="7" t="s">
        <v>125</v>
      </c>
      <c r="C610" s="7" t="s">
        <v>30</v>
      </c>
      <c r="D610" s="8">
        <v>41910</v>
      </c>
      <c r="E610" s="8">
        <v>41912</v>
      </c>
      <c r="F610" s="9">
        <v>450.5</v>
      </c>
    </row>
    <row r="611" spans="1:6" x14ac:dyDescent="0.25">
      <c r="A611" s="10" t="s">
        <v>134</v>
      </c>
      <c r="B611" s="11" t="s">
        <v>135</v>
      </c>
      <c r="C611" s="11" t="s">
        <v>38</v>
      </c>
      <c r="D611" s="12">
        <v>41910</v>
      </c>
      <c r="E611" s="12">
        <v>41911</v>
      </c>
      <c r="F611" s="13">
        <v>407.8</v>
      </c>
    </row>
    <row r="612" spans="1:6" x14ac:dyDescent="0.25">
      <c r="A612" s="6" t="s">
        <v>9</v>
      </c>
      <c r="B612" s="7" t="s">
        <v>18</v>
      </c>
      <c r="C612" s="7" t="s">
        <v>66</v>
      </c>
      <c r="D612" s="8">
        <v>41910</v>
      </c>
      <c r="E612" s="8">
        <v>41913</v>
      </c>
      <c r="F612" s="9">
        <v>841.7</v>
      </c>
    </row>
    <row r="613" spans="1:6" x14ac:dyDescent="0.25">
      <c r="A613" s="10" t="s">
        <v>54</v>
      </c>
      <c r="B613" s="11" t="s">
        <v>118</v>
      </c>
      <c r="C613" s="11" t="s">
        <v>30</v>
      </c>
      <c r="D613" s="12">
        <v>41910</v>
      </c>
      <c r="E613" s="12">
        <v>41912</v>
      </c>
      <c r="F613" s="13">
        <v>450.5</v>
      </c>
    </row>
    <row r="614" spans="1:6" x14ac:dyDescent="0.25">
      <c r="A614" s="6" t="s">
        <v>22</v>
      </c>
      <c r="B614" s="7" t="s">
        <v>23</v>
      </c>
      <c r="C614" s="7" t="s">
        <v>24</v>
      </c>
      <c r="D614" s="8">
        <v>41911</v>
      </c>
      <c r="E614" s="8">
        <v>41915</v>
      </c>
      <c r="F614" s="9">
        <v>886.7</v>
      </c>
    </row>
    <row r="615" spans="1:6" x14ac:dyDescent="0.25">
      <c r="A615" s="10" t="s">
        <v>15</v>
      </c>
      <c r="B615" s="11" t="s">
        <v>44</v>
      </c>
      <c r="C615" s="11" t="s">
        <v>27</v>
      </c>
      <c r="D615" s="12">
        <v>41911</v>
      </c>
      <c r="E615" s="12">
        <v>41913</v>
      </c>
      <c r="F615" s="13">
        <v>698</v>
      </c>
    </row>
    <row r="616" spans="1:6" x14ac:dyDescent="0.25">
      <c r="A616" s="6" t="s">
        <v>6</v>
      </c>
      <c r="B616" s="7" t="s">
        <v>7</v>
      </c>
      <c r="C616" s="7" t="s">
        <v>19</v>
      </c>
      <c r="D616" s="8">
        <v>41911</v>
      </c>
      <c r="E616" s="8">
        <v>41913</v>
      </c>
      <c r="F616" s="9">
        <v>795.4</v>
      </c>
    </row>
    <row r="617" spans="1:6" x14ac:dyDescent="0.25">
      <c r="A617" s="10" t="s">
        <v>22</v>
      </c>
      <c r="B617" s="11" t="s">
        <v>172</v>
      </c>
      <c r="C617" s="11" t="s">
        <v>11</v>
      </c>
      <c r="D617" s="12">
        <v>41911</v>
      </c>
      <c r="E617" s="12">
        <v>41915</v>
      </c>
      <c r="F617" s="13">
        <v>712.4</v>
      </c>
    </row>
    <row r="618" spans="1:6" x14ac:dyDescent="0.25">
      <c r="A618" s="6" t="s">
        <v>25</v>
      </c>
      <c r="B618" s="7" t="s">
        <v>67</v>
      </c>
      <c r="C618" s="7" t="s">
        <v>66</v>
      </c>
      <c r="D618" s="8">
        <v>41911</v>
      </c>
      <c r="E618" s="8">
        <v>41912</v>
      </c>
      <c r="F618" s="9">
        <v>485.7</v>
      </c>
    </row>
    <row r="619" spans="1:6" x14ac:dyDescent="0.25">
      <c r="A619" s="10" t="s">
        <v>61</v>
      </c>
      <c r="B619" s="11" t="s">
        <v>62</v>
      </c>
      <c r="C619" s="11" t="s">
        <v>47</v>
      </c>
      <c r="D619" s="12">
        <v>41911</v>
      </c>
      <c r="E619" s="12">
        <v>41913</v>
      </c>
      <c r="F619" s="13">
        <v>689.8</v>
      </c>
    </row>
    <row r="620" spans="1:6" x14ac:dyDescent="0.25">
      <c r="A620" s="6" t="s">
        <v>170</v>
      </c>
      <c r="B620" s="7" t="s">
        <v>171</v>
      </c>
      <c r="C620" s="7" t="s">
        <v>38</v>
      </c>
      <c r="D620" s="8">
        <v>41911</v>
      </c>
      <c r="E620" s="8">
        <v>41913</v>
      </c>
      <c r="F620" s="9">
        <v>536.79999999999995</v>
      </c>
    </row>
    <row r="621" spans="1:6" x14ac:dyDescent="0.25">
      <c r="A621" s="10" t="s">
        <v>126</v>
      </c>
      <c r="B621" s="11" t="s">
        <v>127</v>
      </c>
      <c r="C621" s="11" t="s">
        <v>47</v>
      </c>
      <c r="D621" s="12">
        <v>41911</v>
      </c>
      <c r="E621" s="12">
        <v>41913</v>
      </c>
      <c r="F621" s="13">
        <v>689.8</v>
      </c>
    </row>
    <row r="622" spans="1:6" x14ac:dyDescent="0.25">
      <c r="A622" s="6" t="s">
        <v>9</v>
      </c>
      <c r="B622" s="7" t="s">
        <v>103</v>
      </c>
      <c r="C622" s="7" t="s">
        <v>38</v>
      </c>
      <c r="D622" s="8">
        <v>41911</v>
      </c>
      <c r="E622" s="8">
        <v>41911</v>
      </c>
      <c r="F622" s="9">
        <v>278.8</v>
      </c>
    </row>
    <row r="623" spans="1:6" x14ac:dyDescent="0.25">
      <c r="A623" s="10" t="s">
        <v>86</v>
      </c>
      <c r="B623" s="11" t="s">
        <v>87</v>
      </c>
      <c r="C623" s="11" t="s">
        <v>24</v>
      </c>
      <c r="D623" s="12">
        <v>41911</v>
      </c>
      <c r="E623" s="12">
        <v>41912</v>
      </c>
      <c r="F623" s="13">
        <v>439.7</v>
      </c>
    </row>
    <row r="624" spans="1:6" x14ac:dyDescent="0.25">
      <c r="A624" s="6" t="s">
        <v>12</v>
      </c>
      <c r="B624" s="7" t="s">
        <v>13</v>
      </c>
      <c r="C624" s="7" t="s">
        <v>17</v>
      </c>
      <c r="D624" s="8">
        <v>41911</v>
      </c>
      <c r="E624" s="8">
        <v>41912</v>
      </c>
      <c r="F624" s="9">
        <v>706.5</v>
      </c>
    </row>
    <row r="625" spans="1:6" x14ac:dyDescent="0.25">
      <c r="A625" s="10" t="s">
        <v>42</v>
      </c>
      <c r="B625" s="11" t="s">
        <v>43</v>
      </c>
      <c r="C625" s="11" t="s">
        <v>24</v>
      </c>
      <c r="D625" s="12">
        <v>41911</v>
      </c>
      <c r="E625" s="12">
        <v>41913</v>
      </c>
      <c r="F625" s="13">
        <v>588.70000000000005</v>
      </c>
    </row>
    <row r="626" spans="1:6" x14ac:dyDescent="0.25">
      <c r="A626" s="6" t="s">
        <v>166</v>
      </c>
      <c r="B626" s="7" t="s">
        <v>167</v>
      </c>
      <c r="C626" s="7" t="s">
        <v>47</v>
      </c>
      <c r="D626" s="8">
        <v>41911</v>
      </c>
      <c r="E626" s="8">
        <v>41915</v>
      </c>
      <c r="F626" s="9">
        <v>1015.8</v>
      </c>
    </row>
    <row r="627" spans="1:6" x14ac:dyDescent="0.25">
      <c r="A627" s="10" t="s">
        <v>134</v>
      </c>
      <c r="B627" s="11" t="s">
        <v>149</v>
      </c>
      <c r="C627" s="11" t="s">
        <v>27</v>
      </c>
      <c r="D627" s="12">
        <v>41911</v>
      </c>
      <c r="E627" s="12">
        <v>41913</v>
      </c>
      <c r="F627" s="13">
        <v>698</v>
      </c>
    </row>
    <row r="628" spans="1:6" x14ac:dyDescent="0.25">
      <c r="A628" s="6" t="s">
        <v>111</v>
      </c>
      <c r="B628" s="7" t="s">
        <v>112</v>
      </c>
      <c r="C628" s="7" t="s">
        <v>47</v>
      </c>
      <c r="D628" s="8">
        <v>41911</v>
      </c>
      <c r="E628" s="8">
        <v>41914</v>
      </c>
      <c r="F628" s="9">
        <v>852.8</v>
      </c>
    </row>
    <row r="629" spans="1:6" x14ac:dyDescent="0.25">
      <c r="A629" s="10" t="s">
        <v>20</v>
      </c>
      <c r="B629" s="11" t="s">
        <v>162</v>
      </c>
      <c r="C629" s="11" t="s">
        <v>30</v>
      </c>
      <c r="D629" s="12">
        <v>41911</v>
      </c>
      <c r="E629" s="12">
        <v>41914</v>
      </c>
      <c r="F629" s="13">
        <v>569.5</v>
      </c>
    </row>
    <row r="630" spans="1:6" x14ac:dyDescent="0.25">
      <c r="A630" s="6" t="s">
        <v>15</v>
      </c>
      <c r="B630" s="7" t="s">
        <v>63</v>
      </c>
      <c r="C630" s="7" t="s">
        <v>27</v>
      </c>
      <c r="D630" s="8">
        <v>41911</v>
      </c>
      <c r="E630" s="8">
        <v>41912</v>
      </c>
      <c r="F630" s="9">
        <v>570</v>
      </c>
    </row>
    <row r="631" spans="1:6" x14ac:dyDescent="0.25">
      <c r="A631" s="10" t="s">
        <v>91</v>
      </c>
      <c r="B631" s="11" t="s">
        <v>92</v>
      </c>
      <c r="C631" s="11" t="s">
        <v>66</v>
      </c>
      <c r="D631" s="12">
        <v>41911</v>
      </c>
      <c r="E631" s="12">
        <v>41915</v>
      </c>
      <c r="F631" s="13">
        <v>1019.7</v>
      </c>
    </row>
    <row r="632" spans="1:6" x14ac:dyDescent="0.25">
      <c r="A632" s="6" t="s">
        <v>131</v>
      </c>
      <c r="B632" s="7" t="s">
        <v>132</v>
      </c>
      <c r="C632" s="7" t="s">
        <v>59</v>
      </c>
      <c r="D632" s="8">
        <v>41911</v>
      </c>
      <c r="E632" s="8">
        <v>41911</v>
      </c>
      <c r="F632" s="9">
        <v>442</v>
      </c>
    </row>
    <row r="633" spans="1:6" x14ac:dyDescent="0.25">
      <c r="A633" s="10" t="s">
        <v>50</v>
      </c>
      <c r="B633" s="11" t="s">
        <v>51</v>
      </c>
      <c r="C633" s="11" t="s">
        <v>30</v>
      </c>
      <c r="D633" s="12">
        <v>41912</v>
      </c>
      <c r="E633" s="12">
        <v>41912</v>
      </c>
      <c r="F633" s="13">
        <v>212.5</v>
      </c>
    </row>
    <row r="634" spans="1:6" x14ac:dyDescent="0.25">
      <c r="A634" s="6" t="s">
        <v>82</v>
      </c>
      <c r="B634" s="7" t="s">
        <v>83</v>
      </c>
      <c r="C634" s="7" t="s">
        <v>27</v>
      </c>
      <c r="D634" s="8">
        <v>41913</v>
      </c>
      <c r="E634" s="8">
        <v>41913</v>
      </c>
      <c r="F634" s="9">
        <v>442</v>
      </c>
    </row>
    <row r="635" spans="1:6" x14ac:dyDescent="0.25">
      <c r="A635" s="10" t="s">
        <v>84</v>
      </c>
      <c r="B635" s="11" t="s">
        <v>85</v>
      </c>
      <c r="C635" s="11" t="s">
        <v>59</v>
      </c>
      <c r="D635" s="12">
        <v>41913</v>
      </c>
      <c r="E635" s="12">
        <v>41913</v>
      </c>
      <c r="F635" s="13">
        <v>442</v>
      </c>
    </row>
    <row r="636" spans="1:6" x14ac:dyDescent="0.25">
      <c r="A636" s="6" t="s">
        <v>143</v>
      </c>
      <c r="B636" s="7" t="s">
        <v>144</v>
      </c>
      <c r="C636" s="7" t="s">
        <v>66</v>
      </c>
      <c r="D636" s="8">
        <v>41914</v>
      </c>
      <c r="E636" s="8">
        <v>41914</v>
      </c>
      <c r="F636" s="9">
        <v>307.7</v>
      </c>
    </row>
    <row r="637" spans="1:6" x14ac:dyDescent="0.25">
      <c r="A637" s="10" t="s">
        <v>113</v>
      </c>
      <c r="B637" s="11" t="s">
        <v>114</v>
      </c>
      <c r="C637" s="11" t="s">
        <v>24</v>
      </c>
      <c r="D637" s="12">
        <v>41914</v>
      </c>
      <c r="E637" s="12">
        <v>41915</v>
      </c>
      <c r="F637" s="13">
        <v>439.7</v>
      </c>
    </row>
    <row r="638" spans="1:6" x14ac:dyDescent="0.25">
      <c r="A638" s="6" t="s">
        <v>82</v>
      </c>
      <c r="B638" s="7" t="s">
        <v>125</v>
      </c>
      <c r="C638" s="7" t="s">
        <v>11</v>
      </c>
      <c r="D638" s="8">
        <v>41915</v>
      </c>
      <c r="E638" s="8">
        <v>41915</v>
      </c>
      <c r="F638" s="9">
        <v>156.4</v>
      </c>
    </row>
    <row r="639" spans="1:6" x14ac:dyDescent="0.25">
      <c r="A639" s="10" t="s">
        <v>9</v>
      </c>
      <c r="B639" s="11" t="s">
        <v>103</v>
      </c>
      <c r="C639" s="11" t="s">
        <v>24</v>
      </c>
      <c r="D639" s="12">
        <v>41915</v>
      </c>
      <c r="E639" s="12">
        <v>41915</v>
      </c>
      <c r="F639" s="13">
        <v>290.7</v>
      </c>
    </row>
    <row r="640" spans="1:6" x14ac:dyDescent="0.25">
      <c r="A640" s="6" t="s">
        <v>131</v>
      </c>
      <c r="B640" s="7" t="s">
        <v>132</v>
      </c>
      <c r="C640" s="7" t="s">
        <v>24</v>
      </c>
      <c r="D640" s="8">
        <v>41915</v>
      </c>
      <c r="E640" s="8">
        <v>41915</v>
      </c>
      <c r="F640" s="9">
        <v>290.7</v>
      </c>
    </row>
    <row r="641" spans="1:6" x14ac:dyDescent="0.25">
      <c r="A641" s="10" t="s">
        <v>119</v>
      </c>
      <c r="B641" s="11" t="s">
        <v>120</v>
      </c>
      <c r="C641" s="11" t="s">
        <v>30</v>
      </c>
      <c r="D641" s="12">
        <v>41917</v>
      </c>
      <c r="E641" s="12">
        <v>41918</v>
      </c>
      <c r="F641" s="13">
        <v>331.5</v>
      </c>
    </row>
    <row r="642" spans="1:6" x14ac:dyDescent="0.25">
      <c r="A642" s="6" t="s">
        <v>137</v>
      </c>
      <c r="B642" s="7" t="s">
        <v>138</v>
      </c>
      <c r="C642" s="7" t="s">
        <v>8</v>
      </c>
      <c r="D642" s="8">
        <v>41917</v>
      </c>
      <c r="E642" s="8">
        <v>41918</v>
      </c>
      <c r="F642" s="9">
        <v>891</v>
      </c>
    </row>
    <row r="643" spans="1:6" x14ac:dyDescent="0.25">
      <c r="A643" s="10" t="s">
        <v>115</v>
      </c>
      <c r="B643" s="11" t="s">
        <v>116</v>
      </c>
      <c r="C643" s="11" t="s">
        <v>66</v>
      </c>
      <c r="D643" s="12">
        <v>41917</v>
      </c>
      <c r="E643" s="12">
        <v>41921</v>
      </c>
      <c r="F643" s="13">
        <v>1019.7</v>
      </c>
    </row>
    <row r="644" spans="1:6" x14ac:dyDescent="0.25">
      <c r="A644" s="6" t="s">
        <v>31</v>
      </c>
      <c r="B644" s="7" t="s">
        <v>32</v>
      </c>
      <c r="C644" s="7" t="s">
        <v>27</v>
      </c>
      <c r="D644" s="8">
        <v>41918</v>
      </c>
      <c r="E644" s="8">
        <v>41918</v>
      </c>
      <c r="F644" s="9">
        <v>442</v>
      </c>
    </row>
    <row r="645" spans="1:6" x14ac:dyDescent="0.25">
      <c r="A645" s="10" t="s">
        <v>145</v>
      </c>
      <c r="B645" s="11" t="s">
        <v>146</v>
      </c>
      <c r="C645" s="11" t="s">
        <v>66</v>
      </c>
      <c r="D645" s="12">
        <v>41918</v>
      </c>
      <c r="E645" s="12">
        <v>41919</v>
      </c>
      <c r="F645" s="13">
        <v>485.7</v>
      </c>
    </row>
    <row r="646" spans="1:6" x14ac:dyDescent="0.25">
      <c r="A646" s="6" t="s">
        <v>75</v>
      </c>
      <c r="B646" s="7" t="s">
        <v>88</v>
      </c>
      <c r="C646" s="7" t="s">
        <v>59</v>
      </c>
      <c r="D646" s="8">
        <v>41918</v>
      </c>
      <c r="E646" s="8">
        <v>41925</v>
      </c>
      <c r="F646" s="9">
        <v>1555</v>
      </c>
    </row>
    <row r="647" spans="1:6" x14ac:dyDescent="0.25">
      <c r="A647" s="10" t="s">
        <v>107</v>
      </c>
      <c r="B647" s="11" t="s">
        <v>108</v>
      </c>
      <c r="C647" s="11" t="s">
        <v>38</v>
      </c>
      <c r="D647" s="12">
        <v>41918</v>
      </c>
      <c r="E647" s="12">
        <v>41920</v>
      </c>
      <c r="F647" s="13">
        <v>536.79999999999995</v>
      </c>
    </row>
    <row r="648" spans="1:6" x14ac:dyDescent="0.25">
      <c r="A648" s="6" t="s">
        <v>57</v>
      </c>
      <c r="B648" s="7" t="s">
        <v>58</v>
      </c>
      <c r="C648" s="7" t="s">
        <v>19</v>
      </c>
      <c r="D648" s="8">
        <v>41918</v>
      </c>
      <c r="E648" s="8">
        <v>41919</v>
      </c>
      <c r="F648" s="9">
        <v>654.4</v>
      </c>
    </row>
    <row r="649" spans="1:6" x14ac:dyDescent="0.25">
      <c r="A649" s="10" t="s">
        <v>82</v>
      </c>
      <c r="B649" s="11" t="s">
        <v>83</v>
      </c>
      <c r="C649" s="11" t="s">
        <v>72</v>
      </c>
      <c r="D649" s="12">
        <v>41922</v>
      </c>
      <c r="E649" s="12">
        <v>41924</v>
      </c>
      <c r="F649" s="13">
        <v>892.7</v>
      </c>
    </row>
    <row r="650" spans="1:6" x14ac:dyDescent="0.25">
      <c r="A650" s="6" t="s">
        <v>84</v>
      </c>
      <c r="B650" s="7" t="s">
        <v>85</v>
      </c>
      <c r="C650" s="7" t="s">
        <v>24</v>
      </c>
      <c r="D650" s="8">
        <v>41922</v>
      </c>
      <c r="E650" s="8">
        <v>41925</v>
      </c>
      <c r="F650" s="9">
        <v>737.7</v>
      </c>
    </row>
    <row r="651" spans="1:6" x14ac:dyDescent="0.25">
      <c r="A651" s="10" t="s">
        <v>50</v>
      </c>
      <c r="B651" s="11" t="s">
        <v>51</v>
      </c>
      <c r="C651" s="11" t="s">
        <v>27</v>
      </c>
      <c r="D651" s="12">
        <v>41922</v>
      </c>
      <c r="E651" s="12">
        <v>41922</v>
      </c>
      <c r="F651" s="13">
        <v>442</v>
      </c>
    </row>
    <row r="652" spans="1:6" x14ac:dyDescent="0.25">
      <c r="A652" s="6" t="s">
        <v>170</v>
      </c>
      <c r="B652" s="7" t="s">
        <v>171</v>
      </c>
      <c r="C652" s="7" t="s">
        <v>59</v>
      </c>
      <c r="D652" s="8">
        <v>41922</v>
      </c>
      <c r="E652" s="8">
        <v>41926</v>
      </c>
      <c r="F652" s="9">
        <v>1078</v>
      </c>
    </row>
    <row r="653" spans="1:6" x14ac:dyDescent="0.25">
      <c r="A653" s="10" t="s">
        <v>168</v>
      </c>
      <c r="B653" s="11" t="s">
        <v>169</v>
      </c>
      <c r="C653" s="11" t="s">
        <v>17</v>
      </c>
      <c r="D653" s="12">
        <v>41922</v>
      </c>
      <c r="E653" s="12">
        <v>41922</v>
      </c>
      <c r="F653" s="13">
        <v>501.5</v>
      </c>
    </row>
    <row r="654" spans="1:6" x14ac:dyDescent="0.25">
      <c r="A654" s="6" t="s">
        <v>115</v>
      </c>
      <c r="B654" s="7" t="s">
        <v>140</v>
      </c>
      <c r="C654" s="7" t="s">
        <v>11</v>
      </c>
      <c r="D654" s="8">
        <v>41922</v>
      </c>
      <c r="E654" s="8">
        <v>41922</v>
      </c>
      <c r="F654" s="9">
        <v>156.4</v>
      </c>
    </row>
    <row r="655" spans="1:6" x14ac:dyDescent="0.25">
      <c r="A655" s="10" t="s">
        <v>33</v>
      </c>
      <c r="B655" s="11" t="s">
        <v>34</v>
      </c>
      <c r="C655" s="11" t="s">
        <v>17</v>
      </c>
      <c r="D655" s="12">
        <v>41922</v>
      </c>
      <c r="E655" s="12">
        <v>41922</v>
      </c>
      <c r="F655" s="13">
        <v>501.5</v>
      </c>
    </row>
    <row r="656" spans="1:6" x14ac:dyDescent="0.25">
      <c r="A656" s="6" t="s">
        <v>33</v>
      </c>
      <c r="B656" s="7" t="s">
        <v>41</v>
      </c>
      <c r="C656" s="7" t="s">
        <v>11</v>
      </c>
      <c r="D656" s="8">
        <v>41922</v>
      </c>
      <c r="E656" s="8">
        <v>41925</v>
      </c>
      <c r="F656" s="9">
        <v>573.4</v>
      </c>
    </row>
    <row r="657" spans="1:6" x14ac:dyDescent="0.25">
      <c r="A657" s="10" t="s">
        <v>73</v>
      </c>
      <c r="B657" s="11" t="s">
        <v>104</v>
      </c>
      <c r="C657" s="11" t="s">
        <v>72</v>
      </c>
      <c r="D657" s="12">
        <v>41922</v>
      </c>
      <c r="E657" s="12">
        <v>41926</v>
      </c>
      <c r="F657" s="13">
        <v>1290.7</v>
      </c>
    </row>
    <row r="658" spans="1:6" x14ac:dyDescent="0.25">
      <c r="A658" s="6" t="s">
        <v>93</v>
      </c>
      <c r="B658" s="7" t="s">
        <v>106</v>
      </c>
      <c r="C658" s="7" t="s">
        <v>17</v>
      </c>
      <c r="D658" s="8">
        <v>41922</v>
      </c>
      <c r="E658" s="8">
        <v>41923</v>
      </c>
      <c r="F658" s="9">
        <v>706.5</v>
      </c>
    </row>
    <row r="659" spans="1:6" x14ac:dyDescent="0.25">
      <c r="A659" s="10" t="s">
        <v>54</v>
      </c>
      <c r="B659" s="11" t="s">
        <v>121</v>
      </c>
      <c r="C659" s="11" t="s">
        <v>27</v>
      </c>
      <c r="D659" s="12">
        <v>41922</v>
      </c>
      <c r="E659" s="12">
        <v>41925</v>
      </c>
      <c r="F659" s="13">
        <v>826</v>
      </c>
    </row>
    <row r="660" spans="1:6" x14ac:dyDescent="0.25">
      <c r="A660" s="6" t="s">
        <v>12</v>
      </c>
      <c r="B660" s="7" t="s">
        <v>13</v>
      </c>
      <c r="C660" s="7" t="s">
        <v>59</v>
      </c>
      <c r="D660" s="8">
        <v>41922</v>
      </c>
      <c r="E660" s="8">
        <v>41923</v>
      </c>
      <c r="F660" s="9">
        <v>601</v>
      </c>
    </row>
    <row r="661" spans="1:6" x14ac:dyDescent="0.25">
      <c r="A661" s="10" t="s">
        <v>15</v>
      </c>
      <c r="B661" s="11" t="s">
        <v>16</v>
      </c>
      <c r="C661" s="11" t="s">
        <v>38</v>
      </c>
      <c r="D661" s="12">
        <v>41922</v>
      </c>
      <c r="E661" s="12">
        <v>41926</v>
      </c>
      <c r="F661" s="13">
        <v>794.8</v>
      </c>
    </row>
    <row r="662" spans="1:6" x14ac:dyDescent="0.25">
      <c r="A662" s="6" t="s">
        <v>70</v>
      </c>
      <c r="B662" s="7" t="s">
        <v>117</v>
      </c>
      <c r="C662" s="7" t="s">
        <v>30</v>
      </c>
      <c r="D662" s="8">
        <v>41922</v>
      </c>
      <c r="E662" s="8">
        <v>41923</v>
      </c>
      <c r="F662" s="9">
        <v>331.5</v>
      </c>
    </row>
    <row r="663" spans="1:6" x14ac:dyDescent="0.25">
      <c r="A663" s="10" t="s">
        <v>54</v>
      </c>
      <c r="B663" s="11" t="s">
        <v>118</v>
      </c>
      <c r="C663" s="11" t="s">
        <v>17</v>
      </c>
      <c r="D663" s="12">
        <v>41922</v>
      </c>
      <c r="E663" s="12">
        <v>41923</v>
      </c>
      <c r="F663" s="13">
        <v>706.5</v>
      </c>
    </row>
    <row r="664" spans="1:6" x14ac:dyDescent="0.25">
      <c r="A664" s="6" t="s">
        <v>33</v>
      </c>
      <c r="B664" s="7" t="s">
        <v>141</v>
      </c>
      <c r="C664" s="7" t="s">
        <v>14</v>
      </c>
      <c r="D664" s="8">
        <v>41923</v>
      </c>
      <c r="E664" s="8">
        <v>41927</v>
      </c>
      <c r="F664" s="9">
        <v>674.5</v>
      </c>
    </row>
    <row r="665" spans="1:6" x14ac:dyDescent="0.25">
      <c r="A665" s="10" t="s">
        <v>93</v>
      </c>
      <c r="B665" s="11" t="s">
        <v>124</v>
      </c>
      <c r="C665" s="11" t="s">
        <v>47</v>
      </c>
      <c r="D665" s="12">
        <v>41923</v>
      </c>
      <c r="E665" s="12">
        <v>41925</v>
      </c>
      <c r="F665" s="13">
        <v>689.8</v>
      </c>
    </row>
    <row r="666" spans="1:6" x14ac:dyDescent="0.25">
      <c r="A666" s="6" t="s">
        <v>131</v>
      </c>
      <c r="B666" s="7" t="s">
        <v>142</v>
      </c>
      <c r="C666" s="7" t="s">
        <v>30</v>
      </c>
      <c r="D666" s="8">
        <v>41923</v>
      </c>
      <c r="E666" s="8">
        <v>41924</v>
      </c>
      <c r="F666" s="9">
        <v>331.5</v>
      </c>
    </row>
    <row r="667" spans="1:6" x14ac:dyDescent="0.25">
      <c r="A667" s="10" t="s">
        <v>9</v>
      </c>
      <c r="B667" s="11" t="s">
        <v>69</v>
      </c>
      <c r="C667" s="11" t="s">
        <v>14</v>
      </c>
      <c r="D667" s="12">
        <v>41923</v>
      </c>
      <c r="E667" s="12">
        <v>41925</v>
      </c>
      <c r="F667" s="13">
        <v>426.5</v>
      </c>
    </row>
    <row r="668" spans="1:6" x14ac:dyDescent="0.25">
      <c r="A668" s="6" t="s">
        <v>99</v>
      </c>
      <c r="B668" s="7" t="s">
        <v>100</v>
      </c>
      <c r="C668" s="7" t="s">
        <v>17</v>
      </c>
      <c r="D668" s="8">
        <v>41923</v>
      </c>
      <c r="E668" s="8">
        <v>41926</v>
      </c>
      <c r="F668" s="9">
        <v>1116.5</v>
      </c>
    </row>
    <row r="669" spans="1:6" x14ac:dyDescent="0.25">
      <c r="A669" s="10" t="s">
        <v>137</v>
      </c>
      <c r="B669" s="11" t="s">
        <v>138</v>
      </c>
      <c r="C669" s="11" t="s">
        <v>19</v>
      </c>
      <c r="D669" s="12">
        <v>41923</v>
      </c>
      <c r="E669" s="12">
        <v>41927</v>
      </c>
      <c r="F669" s="13">
        <v>1077.4000000000001</v>
      </c>
    </row>
    <row r="670" spans="1:6" x14ac:dyDescent="0.25">
      <c r="A670" s="6" t="s">
        <v>15</v>
      </c>
      <c r="B670" s="7" t="s">
        <v>96</v>
      </c>
      <c r="C670" s="7" t="s">
        <v>59</v>
      </c>
      <c r="D670" s="8">
        <v>41923</v>
      </c>
      <c r="E670" s="8">
        <v>41925</v>
      </c>
      <c r="F670" s="9">
        <v>760</v>
      </c>
    </row>
    <row r="671" spans="1:6" x14ac:dyDescent="0.25">
      <c r="A671" s="10" t="s">
        <v>9</v>
      </c>
      <c r="B671" s="11" t="s">
        <v>18</v>
      </c>
      <c r="C671" s="11" t="s">
        <v>24</v>
      </c>
      <c r="D671" s="12">
        <v>41923</v>
      </c>
      <c r="E671" s="12">
        <v>41926</v>
      </c>
      <c r="F671" s="13">
        <v>737.7</v>
      </c>
    </row>
    <row r="672" spans="1:6" x14ac:dyDescent="0.25">
      <c r="A672" s="6" t="s">
        <v>9</v>
      </c>
      <c r="B672" s="7" t="s">
        <v>18</v>
      </c>
      <c r="C672" s="7" t="s">
        <v>27</v>
      </c>
      <c r="D672" s="8">
        <v>41923</v>
      </c>
      <c r="E672" s="8">
        <v>41924</v>
      </c>
      <c r="F672" s="9">
        <v>570</v>
      </c>
    </row>
    <row r="673" spans="1:6" x14ac:dyDescent="0.25">
      <c r="A673" s="10" t="s">
        <v>54</v>
      </c>
      <c r="B673" s="11" t="s">
        <v>118</v>
      </c>
      <c r="C673" s="11" t="s">
        <v>59</v>
      </c>
      <c r="D673" s="12">
        <v>41923</v>
      </c>
      <c r="E673" s="12">
        <v>41926</v>
      </c>
      <c r="F673" s="13">
        <v>919</v>
      </c>
    </row>
    <row r="674" spans="1:6" x14ac:dyDescent="0.25">
      <c r="A674" s="6" t="s">
        <v>86</v>
      </c>
      <c r="B674" s="7" t="s">
        <v>136</v>
      </c>
      <c r="C674" s="7" t="s">
        <v>59</v>
      </c>
      <c r="D674" s="8">
        <v>41923</v>
      </c>
      <c r="E674" s="8">
        <v>41927</v>
      </c>
      <c r="F674" s="9">
        <v>1078</v>
      </c>
    </row>
    <row r="675" spans="1:6" x14ac:dyDescent="0.25">
      <c r="A675" s="10" t="s">
        <v>6</v>
      </c>
      <c r="B675" s="11" t="s">
        <v>139</v>
      </c>
      <c r="C675" s="11" t="s">
        <v>66</v>
      </c>
      <c r="D675" s="12">
        <v>41925</v>
      </c>
      <c r="E675" s="12">
        <v>41925</v>
      </c>
      <c r="F675" s="13">
        <v>307.7</v>
      </c>
    </row>
    <row r="676" spans="1:6" x14ac:dyDescent="0.25">
      <c r="A676" s="6" t="s">
        <v>168</v>
      </c>
      <c r="B676" s="7" t="s">
        <v>169</v>
      </c>
      <c r="C676" s="7" t="s">
        <v>19</v>
      </c>
      <c r="D676" s="8">
        <v>41925</v>
      </c>
      <c r="E676" s="8">
        <v>41925</v>
      </c>
      <c r="F676" s="9">
        <v>513.4</v>
      </c>
    </row>
    <row r="677" spans="1:6" x14ac:dyDescent="0.25">
      <c r="A677" s="10" t="s">
        <v>33</v>
      </c>
      <c r="B677" s="11" t="s">
        <v>34</v>
      </c>
      <c r="C677" s="11" t="s">
        <v>72</v>
      </c>
      <c r="D677" s="12">
        <v>41925</v>
      </c>
      <c r="E677" s="12">
        <v>41925</v>
      </c>
      <c r="F677" s="13">
        <v>494.7</v>
      </c>
    </row>
    <row r="678" spans="1:6" x14ac:dyDescent="0.25">
      <c r="A678" s="6" t="s">
        <v>113</v>
      </c>
      <c r="B678" s="7" t="s">
        <v>114</v>
      </c>
      <c r="C678" s="7" t="s">
        <v>19</v>
      </c>
      <c r="D678" s="8">
        <v>41925</v>
      </c>
      <c r="E678" s="8">
        <v>41925</v>
      </c>
      <c r="F678" s="9">
        <v>513.4</v>
      </c>
    </row>
    <row r="679" spans="1:6" x14ac:dyDescent="0.25">
      <c r="A679" s="10" t="s">
        <v>70</v>
      </c>
      <c r="B679" s="11" t="s">
        <v>117</v>
      </c>
      <c r="C679" s="11" t="s">
        <v>72</v>
      </c>
      <c r="D679" s="12">
        <v>41925</v>
      </c>
      <c r="E679" s="12">
        <v>41925</v>
      </c>
      <c r="F679" s="13">
        <v>494.7</v>
      </c>
    </row>
    <row r="680" spans="1:6" x14ac:dyDescent="0.25">
      <c r="A680" s="6" t="s">
        <v>50</v>
      </c>
      <c r="B680" s="7" t="s">
        <v>51</v>
      </c>
      <c r="C680" s="7" t="s">
        <v>17</v>
      </c>
      <c r="D680" s="8">
        <v>41926</v>
      </c>
      <c r="E680" s="8">
        <v>41926</v>
      </c>
      <c r="F680" s="9">
        <v>501.5</v>
      </c>
    </row>
    <row r="681" spans="1:6" x14ac:dyDescent="0.25">
      <c r="A681" s="10" t="s">
        <v>12</v>
      </c>
      <c r="B681" s="11" t="s">
        <v>13</v>
      </c>
      <c r="C681" s="11" t="s">
        <v>11</v>
      </c>
      <c r="D681" s="12">
        <v>41927</v>
      </c>
      <c r="E681" s="12">
        <v>41927</v>
      </c>
      <c r="F681" s="13">
        <v>156.4</v>
      </c>
    </row>
    <row r="682" spans="1:6" x14ac:dyDescent="0.25">
      <c r="A682" s="6" t="s">
        <v>70</v>
      </c>
      <c r="B682" s="7" t="s">
        <v>117</v>
      </c>
      <c r="C682" s="7" t="s">
        <v>30</v>
      </c>
      <c r="D682" s="8">
        <v>41927</v>
      </c>
      <c r="E682" s="8">
        <v>41927</v>
      </c>
      <c r="F682" s="9">
        <v>212.5</v>
      </c>
    </row>
    <row r="683" spans="1:6" x14ac:dyDescent="0.25">
      <c r="A683" s="10" t="s">
        <v>113</v>
      </c>
      <c r="B683" s="11" t="s">
        <v>114</v>
      </c>
      <c r="C683" s="11" t="s">
        <v>24</v>
      </c>
      <c r="D683" s="12">
        <v>41928</v>
      </c>
      <c r="E683" s="12">
        <v>41928</v>
      </c>
      <c r="F683" s="13">
        <v>290.7</v>
      </c>
    </row>
    <row r="684" spans="1:6" x14ac:dyDescent="0.25">
      <c r="A684" s="6" t="s">
        <v>22</v>
      </c>
      <c r="B684" s="7" t="s">
        <v>172</v>
      </c>
      <c r="C684" s="7" t="s">
        <v>24</v>
      </c>
      <c r="D684" s="8">
        <v>41929</v>
      </c>
      <c r="E684" s="8">
        <v>41930</v>
      </c>
      <c r="F684" s="9">
        <v>439.7</v>
      </c>
    </row>
    <row r="685" spans="1:6" x14ac:dyDescent="0.25">
      <c r="A685" s="10" t="s">
        <v>33</v>
      </c>
      <c r="B685" s="11" t="s">
        <v>34</v>
      </c>
      <c r="C685" s="11" t="s">
        <v>59</v>
      </c>
      <c r="D685" s="12">
        <v>41929</v>
      </c>
      <c r="E685" s="12">
        <v>41932</v>
      </c>
      <c r="F685" s="13">
        <v>919</v>
      </c>
    </row>
    <row r="686" spans="1:6" x14ac:dyDescent="0.25">
      <c r="A686" s="6" t="s">
        <v>9</v>
      </c>
      <c r="B686" s="7" t="s">
        <v>103</v>
      </c>
      <c r="C686" s="7" t="s">
        <v>24</v>
      </c>
      <c r="D686" s="8">
        <v>41929</v>
      </c>
      <c r="E686" s="8">
        <v>41932</v>
      </c>
      <c r="F686" s="9">
        <v>737.7</v>
      </c>
    </row>
    <row r="687" spans="1:6" x14ac:dyDescent="0.25">
      <c r="A687" s="10" t="s">
        <v>115</v>
      </c>
      <c r="B687" s="11" t="s">
        <v>116</v>
      </c>
      <c r="C687" s="11" t="s">
        <v>30</v>
      </c>
      <c r="D687" s="12">
        <v>41929</v>
      </c>
      <c r="E687" s="12">
        <v>41930</v>
      </c>
      <c r="F687" s="13">
        <v>331.5</v>
      </c>
    </row>
    <row r="688" spans="1:6" x14ac:dyDescent="0.25">
      <c r="A688" s="6" t="s">
        <v>12</v>
      </c>
      <c r="B688" s="7" t="s">
        <v>95</v>
      </c>
      <c r="C688" s="7" t="s">
        <v>8</v>
      </c>
      <c r="D688" s="8">
        <v>41929</v>
      </c>
      <c r="E688" s="8">
        <v>41930</v>
      </c>
      <c r="F688" s="9">
        <v>891</v>
      </c>
    </row>
    <row r="689" spans="1:6" x14ac:dyDescent="0.25">
      <c r="A689" s="10" t="s">
        <v>9</v>
      </c>
      <c r="B689" s="11" t="s">
        <v>18</v>
      </c>
      <c r="C689" s="11" t="s">
        <v>38</v>
      </c>
      <c r="D689" s="12">
        <v>41929</v>
      </c>
      <c r="E689" s="12">
        <v>41932</v>
      </c>
      <c r="F689" s="13">
        <v>665.8</v>
      </c>
    </row>
    <row r="690" spans="1:6" x14ac:dyDescent="0.25">
      <c r="A690" s="6" t="s">
        <v>12</v>
      </c>
      <c r="B690" s="7" t="s">
        <v>13</v>
      </c>
      <c r="C690" s="7" t="s">
        <v>30</v>
      </c>
      <c r="D690" s="8">
        <v>41930</v>
      </c>
      <c r="E690" s="8">
        <v>41930</v>
      </c>
      <c r="F690" s="9">
        <v>212.5</v>
      </c>
    </row>
    <row r="691" spans="1:6" x14ac:dyDescent="0.25">
      <c r="A691" s="10" t="s">
        <v>122</v>
      </c>
      <c r="B691" s="11" t="s">
        <v>123</v>
      </c>
      <c r="C691" s="11" t="s">
        <v>59</v>
      </c>
      <c r="D691" s="12">
        <v>41934</v>
      </c>
      <c r="E691" s="12">
        <v>41937</v>
      </c>
      <c r="F691" s="13">
        <v>919</v>
      </c>
    </row>
    <row r="692" spans="1:6" x14ac:dyDescent="0.25">
      <c r="A692" s="6" t="s">
        <v>93</v>
      </c>
      <c r="B692" s="7" t="s">
        <v>124</v>
      </c>
      <c r="C692" s="7" t="s">
        <v>72</v>
      </c>
      <c r="D692" s="8">
        <v>41934</v>
      </c>
      <c r="E692" s="8">
        <v>41935</v>
      </c>
      <c r="F692" s="9">
        <v>693.7</v>
      </c>
    </row>
    <row r="693" spans="1:6" x14ac:dyDescent="0.25">
      <c r="A693" s="10" t="s">
        <v>54</v>
      </c>
      <c r="B693" s="11" t="s">
        <v>81</v>
      </c>
      <c r="C693" s="11" t="s">
        <v>66</v>
      </c>
      <c r="D693" s="12">
        <v>41934</v>
      </c>
      <c r="E693" s="12">
        <v>41934</v>
      </c>
      <c r="F693" s="13">
        <v>307.7</v>
      </c>
    </row>
    <row r="694" spans="1:6" x14ac:dyDescent="0.25">
      <c r="A694" s="6" t="s">
        <v>22</v>
      </c>
      <c r="B694" s="7" t="s">
        <v>172</v>
      </c>
      <c r="C694" s="7" t="s">
        <v>66</v>
      </c>
      <c r="D694" s="8">
        <v>41934</v>
      </c>
      <c r="E694" s="8">
        <v>41935</v>
      </c>
      <c r="F694" s="9">
        <v>485.7</v>
      </c>
    </row>
    <row r="695" spans="1:6" x14ac:dyDescent="0.25">
      <c r="A695" s="10" t="s">
        <v>131</v>
      </c>
      <c r="B695" s="11" t="s">
        <v>142</v>
      </c>
      <c r="C695" s="11" t="s">
        <v>24</v>
      </c>
      <c r="D695" s="12">
        <v>41934</v>
      </c>
      <c r="E695" s="12">
        <v>41937</v>
      </c>
      <c r="F695" s="13">
        <v>737.7</v>
      </c>
    </row>
    <row r="696" spans="1:6" x14ac:dyDescent="0.25">
      <c r="A696" s="6" t="s">
        <v>86</v>
      </c>
      <c r="B696" s="7" t="s">
        <v>150</v>
      </c>
      <c r="C696" s="7" t="s">
        <v>8</v>
      </c>
      <c r="D696" s="8">
        <v>41934</v>
      </c>
      <c r="E696" s="8">
        <v>41935</v>
      </c>
      <c r="F696" s="9">
        <v>891</v>
      </c>
    </row>
    <row r="697" spans="1:6" x14ac:dyDescent="0.25">
      <c r="A697" s="10" t="s">
        <v>50</v>
      </c>
      <c r="B697" s="11" t="s">
        <v>51</v>
      </c>
      <c r="C697" s="11" t="s">
        <v>47</v>
      </c>
      <c r="D697" s="12">
        <v>41934</v>
      </c>
      <c r="E697" s="12">
        <v>41936</v>
      </c>
      <c r="F697" s="13">
        <v>689.8</v>
      </c>
    </row>
    <row r="698" spans="1:6" x14ac:dyDescent="0.25">
      <c r="A698" s="6" t="s">
        <v>82</v>
      </c>
      <c r="B698" s="7" t="s">
        <v>125</v>
      </c>
      <c r="C698" s="7" t="s">
        <v>72</v>
      </c>
      <c r="D698" s="8">
        <v>41934</v>
      </c>
      <c r="E698" s="8">
        <v>41934</v>
      </c>
      <c r="F698" s="9">
        <v>494.7</v>
      </c>
    </row>
    <row r="699" spans="1:6" x14ac:dyDescent="0.25">
      <c r="A699" s="10" t="s">
        <v>170</v>
      </c>
      <c r="B699" s="11" t="s">
        <v>171</v>
      </c>
      <c r="C699" s="11" t="s">
        <v>27</v>
      </c>
      <c r="D699" s="12">
        <v>41934</v>
      </c>
      <c r="E699" s="12">
        <v>41934</v>
      </c>
      <c r="F699" s="13">
        <v>442</v>
      </c>
    </row>
    <row r="700" spans="1:6" x14ac:dyDescent="0.25">
      <c r="A700" s="6" t="s">
        <v>9</v>
      </c>
      <c r="B700" s="7" t="s">
        <v>10</v>
      </c>
      <c r="C700" s="7" t="s">
        <v>59</v>
      </c>
      <c r="D700" s="8">
        <v>41934</v>
      </c>
      <c r="E700" s="8">
        <v>41937</v>
      </c>
      <c r="F700" s="9">
        <v>919</v>
      </c>
    </row>
    <row r="701" spans="1:6" x14ac:dyDescent="0.25">
      <c r="A701" s="10" t="s">
        <v>73</v>
      </c>
      <c r="B701" s="11" t="s">
        <v>74</v>
      </c>
      <c r="C701" s="11" t="s">
        <v>59</v>
      </c>
      <c r="D701" s="12">
        <v>41934</v>
      </c>
      <c r="E701" s="12">
        <v>41938</v>
      </c>
      <c r="F701" s="13">
        <v>1078</v>
      </c>
    </row>
    <row r="702" spans="1:6" x14ac:dyDescent="0.25">
      <c r="A702" s="6" t="s">
        <v>54</v>
      </c>
      <c r="B702" s="7" t="s">
        <v>121</v>
      </c>
      <c r="C702" s="7" t="s">
        <v>38</v>
      </c>
      <c r="D702" s="8">
        <v>41934</v>
      </c>
      <c r="E702" s="8">
        <v>41934</v>
      </c>
      <c r="F702" s="9">
        <v>278.8</v>
      </c>
    </row>
    <row r="703" spans="1:6" x14ac:dyDescent="0.25">
      <c r="A703" s="10" t="s">
        <v>12</v>
      </c>
      <c r="B703" s="11" t="s">
        <v>13</v>
      </c>
      <c r="C703" s="11" t="s">
        <v>38</v>
      </c>
      <c r="D703" s="12">
        <v>41934</v>
      </c>
      <c r="E703" s="12">
        <v>41936</v>
      </c>
      <c r="F703" s="13">
        <v>536.79999999999995</v>
      </c>
    </row>
    <row r="704" spans="1:6" x14ac:dyDescent="0.25">
      <c r="A704" s="6" t="s">
        <v>147</v>
      </c>
      <c r="B704" s="7" t="s">
        <v>148</v>
      </c>
      <c r="C704" s="7" t="s">
        <v>30</v>
      </c>
      <c r="D704" s="8">
        <v>41934</v>
      </c>
      <c r="E704" s="8">
        <v>41937</v>
      </c>
      <c r="F704" s="9">
        <v>569.5</v>
      </c>
    </row>
    <row r="705" spans="1:6" x14ac:dyDescent="0.25">
      <c r="A705" s="10" t="s">
        <v>89</v>
      </c>
      <c r="B705" s="11" t="s">
        <v>90</v>
      </c>
      <c r="C705" s="11" t="s">
        <v>59</v>
      </c>
      <c r="D705" s="12">
        <v>41934</v>
      </c>
      <c r="E705" s="12">
        <v>41936</v>
      </c>
      <c r="F705" s="13">
        <v>760</v>
      </c>
    </row>
    <row r="706" spans="1:6" x14ac:dyDescent="0.25">
      <c r="A706" s="6" t="s">
        <v>91</v>
      </c>
      <c r="B706" s="7" t="s">
        <v>161</v>
      </c>
      <c r="C706" s="7" t="s">
        <v>14</v>
      </c>
      <c r="D706" s="8">
        <v>41934</v>
      </c>
      <c r="E706" s="8">
        <v>41938</v>
      </c>
      <c r="F706" s="9">
        <v>674.5</v>
      </c>
    </row>
    <row r="707" spans="1:6" x14ac:dyDescent="0.25">
      <c r="A707" s="10" t="s">
        <v>9</v>
      </c>
      <c r="B707" s="11" t="s">
        <v>18</v>
      </c>
      <c r="C707" s="11" t="s">
        <v>38</v>
      </c>
      <c r="D707" s="12">
        <v>41934</v>
      </c>
      <c r="E707" s="12">
        <v>41934</v>
      </c>
      <c r="F707" s="13">
        <v>278.8</v>
      </c>
    </row>
    <row r="708" spans="1:6" x14ac:dyDescent="0.25">
      <c r="A708" s="6" t="s">
        <v>57</v>
      </c>
      <c r="B708" s="7" t="s">
        <v>58</v>
      </c>
      <c r="C708" s="7" t="s">
        <v>30</v>
      </c>
      <c r="D708" s="8">
        <v>41934</v>
      </c>
      <c r="E708" s="8">
        <v>41935</v>
      </c>
      <c r="F708" s="9">
        <v>331.5</v>
      </c>
    </row>
    <row r="709" spans="1:6" x14ac:dyDescent="0.25">
      <c r="A709" s="10" t="s">
        <v>20</v>
      </c>
      <c r="B709" s="11" t="s">
        <v>21</v>
      </c>
      <c r="C709" s="11" t="s">
        <v>47</v>
      </c>
      <c r="D709" s="12">
        <v>41934</v>
      </c>
      <c r="E709" s="12">
        <v>41938</v>
      </c>
      <c r="F709" s="13">
        <v>1015.8</v>
      </c>
    </row>
    <row r="710" spans="1:6" x14ac:dyDescent="0.25">
      <c r="A710" s="6" t="s">
        <v>22</v>
      </c>
      <c r="B710" s="7" t="s">
        <v>23</v>
      </c>
      <c r="C710" s="7" t="s">
        <v>72</v>
      </c>
      <c r="D710" s="8">
        <v>41935</v>
      </c>
      <c r="E710" s="8">
        <v>41937</v>
      </c>
      <c r="F710" s="9">
        <v>892.7</v>
      </c>
    </row>
    <row r="711" spans="1:6" x14ac:dyDescent="0.25">
      <c r="A711" s="10" t="s">
        <v>31</v>
      </c>
      <c r="B711" s="11" t="s">
        <v>78</v>
      </c>
      <c r="C711" s="11" t="s">
        <v>59</v>
      </c>
      <c r="D711" s="12">
        <v>41935</v>
      </c>
      <c r="E711" s="12">
        <v>41938</v>
      </c>
      <c r="F711" s="13">
        <v>919</v>
      </c>
    </row>
    <row r="712" spans="1:6" x14ac:dyDescent="0.25">
      <c r="A712" s="6" t="s">
        <v>86</v>
      </c>
      <c r="B712" s="7" t="s">
        <v>150</v>
      </c>
      <c r="C712" s="7" t="s">
        <v>27</v>
      </c>
      <c r="D712" s="8">
        <v>41935</v>
      </c>
      <c r="E712" s="8">
        <v>41936</v>
      </c>
      <c r="F712" s="9">
        <v>570</v>
      </c>
    </row>
    <row r="713" spans="1:6" x14ac:dyDescent="0.25">
      <c r="A713" s="10" t="s">
        <v>25</v>
      </c>
      <c r="B713" s="11" t="s">
        <v>26</v>
      </c>
      <c r="C713" s="11" t="s">
        <v>11</v>
      </c>
      <c r="D713" s="12">
        <v>41935</v>
      </c>
      <c r="E713" s="12">
        <v>41936</v>
      </c>
      <c r="F713" s="13">
        <v>295.39999999999998</v>
      </c>
    </row>
    <row r="714" spans="1:6" x14ac:dyDescent="0.25">
      <c r="A714" s="6" t="s">
        <v>31</v>
      </c>
      <c r="B714" s="7" t="s">
        <v>32</v>
      </c>
      <c r="C714" s="7" t="s">
        <v>8</v>
      </c>
      <c r="D714" s="8">
        <v>41935</v>
      </c>
      <c r="E714" s="8">
        <v>41936</v>
      </c>
      <c r="F714" s="9">
        <v>891</v>
      </c>
    </row>
    <row r="715" spans="1:6" x14ac:dyDescent="0.25">
      <c r="A715" s="10" t="s">
        <v>168</v>
      </c>
      <c r="B715" s="11" t="s">
        <v>169</v>
      </c>
      <c r="C715" s="11" t="s">
        <v>27</v>
      </c>
      <c r="D715" s="12">
        <v>41935</v>
      </c>
      <c r="E715" s="12">
        <v>41936</v>
      </c>
      <c r="F715" s="13">
        <v>570</v>
      </c>
    </row>
    <row r="716" spans="1:6" x14ac:dyDescent="0.25">
      <c r="A716" s="6" t="s">
        <v>115</v>
      </c>
      <c r="B716" s="7" t="s">
        <v>140</v>
      </c>
      <c r="C716" s="7" t="s">
        <v>24</v>
      </c>
      <c r="D716" s="8">
        <v>41935</v>
      </c>
      <c r="E716" s="8">
        <v>41935</v>
      </c>
      <c r="F716" s="9">
        <v>290.7</v>
      </c>
    </row>
    <row r="717" spans="1:6" x14ac:dyDescent="0.25">
      <c r="A717" s="10" t="s">
        <v>73</v>
      </c>
      <c r="B717" s="11" t="s">
        <v>74</v>
      </c>
      <c r="C717" s="11" t="s">
        <v>17</v>
      </c>
      <c r="D717" s="12">
        <v>41935</v>
      </c>
      <c r="E717" s="12">
        <v>41936</v>
      </c>
      <c r="F717" s="13">
        <v>706.5</v>
      </c>
    </row>
    <row r="718" spans="1:6" x14ac:dyDescent="0.25">
      <c r="A718" s="6" t="s">
        <v>119</v>
      </c>
      <c r="B718" s="7" t="s">
        <v>120</v>
      </c>
      <c r="C718" s="7" t="s">
        <v>17</v>
      </c>
      <c r="D718" s="8">
        <v>41935</v>
      </c>
      <c r="E718" s="8">
        <v>41937</v>
      </c>
      <c r="F718" s="9">
        <v>911.5</v>
      </c>
    </row>
    <row r="719" spans="1:6" x14ac:dyDescent="0.25">
      <c r="A719" s="10" t="s">
        <v>107</v>
      </c>
      <c r="B719" s="11" t="s">
        <v>108</v>
      </c>
      <c r="C719" s="11" t="s">
        <v>66</v>
      </c>
      <c r="D719" s="12">
        <v>41935</v>
      </c>
      <c r="E719" s="12">
        <v>41938</v>
      </c>
      <c r="F719" s="13">
        <v>841.7</v>
      </c>
    </row>
    <row r="720" spans="1:6" x14ac:dyDescent="0.25">
      <c r="A720" s="6" t="s">
        <v>39</v>
      </c>
      <c r="B720" s="7" t="s">
        <v>40</v>
      </c>
      <c r="C720" s="7" t="s">
        <v>8</v>
      </c>
      <c r="D720" s="8">
        <v>41935</v>
      </c>
      <c r="E720" s="8">
        <v>41937</v>
      </c>
      <c r="F720" s="9">
        <v>1102</v>
      </c>
    </row>
    <row r="721" spans="1:6" x14ac:dyDescent="0.25">
      <c r="A721" s="10" t="s">
        <v>12</v>
      </c>
      <c r="B721" s="11" t="s">
        <v>95</v>
      </c>
      <c r="C721" s="11" t="s">
        <v>8</v>
      </c>
      <c r="D721" s="12">
        <v>41935</v>
      </c>
      <c r="E721" s="12">
        <v>41935</v>
      </c>
      <c r="F721" s="13">
        <v>680</v>
      </c>
    </row>
    <row r="722" spans="1:6" x14ac:dyDescent="0.25">
      <c r="A722" s="6" t="s">
        <v>170</v>
      </c>
      <c r="B722" s="7" t="s">
        <v>171</v>
      </c>
      <c r="C722" s="7" t="s">
        <v>66</v>
      </c>
      <c r="D722" s="8">
        <v>41936</v>
      </c>
      <c r="E722" s="8">
        <v>41936</v>
      </c>
      <c r="F722" s="9">
        <v>307.7</v>
      </c>
    </row>
    <row r="723" spans="1:6" x14ac:dyDescent="0.25">
      <c r="A723" s="10" t="s">
        <v>9</v>
      </c>
      <c r="B723" s="11" t="s">
        <v>18</v>
      </c>
      <c r="C723" s="11" t="s">
        <v>24</v>
      </c>
      <c r="D723" s="12">
        <v>41936</v>
      </c>
      <c r="E723" s="12">
        <v>41936</v>
      </c>
      <c r="F723" s="13">
        <v>290.7</v>
      </c>
    </row>
    <row r="724" spans="1:6" x14ac:dyDescent="0.25">
      <c r="A724" s="6" t="s">
        <v>82</v>
      </c>
      <c r="B724" s="7" t="s">
        <v>125</v>
      </c>
      <c r="C724" s="7" t="s">
        <v>66</v>
      </c>
      <c r="D724" s="8">
        <v>41937</v>
      </c>
      <c r="E724" s="8">
        <v>41937</v>
      </c>
      <c r="F724" s="9">
        <v>307.7</v>
      </c>
    </row>
    <row r="725" spans="1:6" x14ac:dyDescent="0.25">
      <c r="A725" s="10" t="s">
        <v>54</v>
      </c>
      <c r="B725" s="11" t="s">
        <v>121</v>
      </c>
      <c r="C725" s="11" t="s">
        <v>38</v>
      </c>
      <c r="D725" s="12">
        <v>41937</v>
      </c>
      <c r="E725" s="12">
        <v>41937</v>
      </c>
      <c r="F725" s="13">
        <v>278.8</v>
      </c>
    </row>
    <row r="726" spans="1:6" x14ac:dyDescent="0.25">
      <c r="A726" s="6" t="s">
        <v>12</v>
      </c>
      <c r="B726" s="7" t="s">
        <v>95</v>
      </c>
      <c r="C726" s="7" t="s">
        <v>27</v>
      </c>
      <c r="D726" s="8">
        <v>41937</v>
      </c>
      <c r="E726" s="8">
        <v>41938</v>
      </c>
      <c r="F726" s="9">
        <v>570</v>
      </c>
    </row>
    <row r="727" spans="1:6" x14ac:dyDescent="0.25">
      <c r="A727" s="10" t="s">
        <v>31</v>
      </c>
      <c r="B727" s="11" t="s">
        <v>32</v>
      </c>
      <c r="C727" s="11" t="s">
        <v>19</v>
      </c>
      <c r="D727" s="12">
        <v>41938</v>
      </c>
      <c r="E727" s="12">
        <v>41938</v>
      </c>
      <c r="F727" s="13">
        <v>513.4</v>
      </c>
    </row>
    <row r="728" spans="1:6" x14ac:dyDescent="0.25">
      <c r="A728" s="6" t="s">
        <v>170</v>
      </c>
      <c r="B728" s="7" t="s">
        <v>171</v>
      </c>
      <c r="C728" s="7" t="s">
        <v>66</v>
      </c>
      <c r="D728" s="8">
        <v>41939</v>
      </c>
      <c r="E728" s="8">
        <v>41939</v>
      </c>
      <c r="F728" s="9">
        <v>307.7</v>
      </c>
    </row>
    <row r="729" spans="1:6" x14ac:dyDescent="0.25">
      <c r="A729" s="10" t="s">
        <v>54</v>
      </c>
      <c r="B729" s="11" t="s">
        <v>55</v>
      </c>
      <c r="C729" s="11" t="s">
        <v>14</v>
      </c>
      <c r="D729" s="12">
        <v>41940</v>
      </c>
      <c r="E729" s="12">
        <v>41942</v>
      </c>
      <c r="F729" s="13">
        <v>426.5</v>
      </c>
    </row>
    <row r="730" spans="1:6" x14ac:dyDescent="0.25">
      <c r="A730" s="6" t="s">
        <v>82</v>
      </c>
      <c r="B730" s="7" t="s">
        <v>83</v>
      </c>
      <c r="C730" s="7" t="s">
        <v>38</v>
      </c>
      <c r="D730" s="8">
        <v>41941</v>
      </c>
      <c r="E730" s="8">
        <v>41942</v>
      </c>
      <c r="F730" s="9">
        <v>407.8</v>
      </c>
    </row>
    <row r="731" spans="1:6" x14ac:dyDescent="0.25">
      <c r="A731" s="10" t="s">
        <v>31</v>
      </c>
      <c r="B731" s="11" t="s">
        <v>32</v>
      </c>
      <c r="C731" s="11" t="s">
        <v>19</v>
      </c>
      <c r="D731" s="12">
        <v>41941</v>
      </c>
      <c r="E731" s="12">
        <v>41941</v>
      </c>
      <c r="F731" s="13">
        <v>513.4</v>
      </c>
    </row>
    <row r="732" spans="1:6" x14ac:dyDescent="0.25">
      <c r="A732" s="6" t="s">
        <v>111</v>
      </c>
      <c r="B732" s="7" t="s">
        <v>112</v>
      </c>
      <c r="C732" s="7" t="s">
        <v>11</v>
      </c>
      <c r="D732" s="8">
        <v>41941</v>
      </c>
      <c r="E732" s="8">
        <v>41942</v>
      </c>
      <c r="F732" s="9">
        <v>295.39999999999998</v>
      </c>
    </row>
    <row r="733" spans="1:6" x14ac:dyDescent="0.25">
      <c r="A733" s="10" t="s">
        <v>113</v>
      </c>
      <c r="B733" s="11" t="s">
        <v>114</v>
      </c>
      <c r="C733" s="11" t="s">
        <v>24</v>
      </c>
      <c r="D733" s="12">
        <v>41941</v>
      </c>
      <c r="E733" s="12">
        <v>41942</v>
      </c>
      <c r="F733" s="13">
        <v>439.7</v>
      </c>
    </row>
    <row r="734" spans="1:6" x14ac:dyDescent="0.25">
      <c r="A734" s="6" t="s">
        <v>91</v>
      </c>
      <c r="B734" s="7" t="s">
        <v>92</v>
      </c>
      <c r="C734" s="7" t="s">
        <v>24</v>
      </c>
      <c r="D734" s="8">
        <v>41941</v>
      </c>
      <c r="E734" s="8">
        <v>41945</v>
      </c>
      <c r="F734" s="9">
        <v>886.7</v>
      </c>
    </row>
    <row r="735" spans="1:6" x14ac:dyDescent="0.25">
      <c r="A735" s="10" t="s">
        <v>12</v>
      </c>
      <c r="B735" s="11" t="s">
        <v>95</v>
      </c>
      <c r="C735" s="11" t="s">
        <v>27</v>
      </c>
      <c r="D735" s="12">
        <v>41941</v>
      </c>
      <c r="E735" s="12">
        <v>41943</v>
      </c>
      <c r="F735" s="13">
        <v>698</v>
      </c>
    </row>
    <row r="736" spans="1:6" x14ac:dyDescent="0.25">
      <c r="A736" s="6" t="s">
        <v>20</v>
      </c>
      <c r="B736" s="7" t="s">
        <v>21</v>
      </c>
      <c r="C736" s="7" t="s">
        <v>66</v>
      </c>
      <c r="D736" s="8">
        <v>41941</v>
      </c>
      <c r="E736" s="8">
        <v>41941</v>
      </c>
      <c r="F736" s="9">
        <v>307.7</v>
      </c>
    </row>
    <row r="737" spans="1:6" x14ac:dyDescent="0.25">
      <c r="A737" s="10" t="s">
        <v>93</v>
      </c>
      <c r="B737" s="11" t="s">
        <v>124</v>
      </c>
      <c r="C737" s="11" t="s">
        <v>11</v>
      </c>
      <c r="D737" s="12">
        <v>41946</v>
      </c>
      <c r="E737" s="12">
        <v>41947</v>
      </c>
      <c r="F737" s="13">
        <v>295.39999999999998</v>
      </c>
    </row>
    <row r="738" spans="1:6" x14ac:dyDescent="0.25">
      <c r="A738" s="6" t="s">
        <v>54</v>
      </c>
      <c r="B738" s="7" t="s">
        <v>81</v>
      </c>
      <c r="C738" s="7" t="s">
        <v>17</v>
      </c>
      <c r="D738" s="8">
        <v>41946</v>
      </c>
      <c r="E738" s="8">
        <v>41946</v>
      </c>
      <c r="F738" s="9">
        <v>501.5</v>
      </c>
    </row>
    <row r="739" spans="1:6" x14ac:dyDescent="0.25">
      <c r="A739" s="10" t="s">
        <v>131</v>
      </c>
      <c r="B739" s="11" t="s">
        <v>142</v>
      </c>
      <c r="C739" s="11" t="s">
        <v>38</v>
      </c>
      <c r="D739" s="12">
        <v>41946</v>
      </c>
      <c r="E739" s="12">
        <v>41949</v>
      </c>
      <c r="F739" s="13">
        <v>665.8</v>
      </c>
    </row>
    <row r="740" spans="1:6" x14ac:dyDescent="0.25">
      <c r="A740" s="6" t="s">
        <v>115</v>
      </c>
      <c r="B740" s="7" t="s">
        <v>140</v>
      </c>
      <c r="C740" s="7" t="s">
        <v>47</v>
      </c>
      <c r="D740" s="8">
        <v>41946</v>
      </c>
      <c r="E740" s="8">
        <v>41950</v>
      </c>
      <c r="F740" s="9">
        <v>1015.8</v>
      </c>
    </row>
    <row r="741" spans="1:6" x14ac:dyDescent="0.25">
      <c r="A741" s="10" t="s">
        <v>9</v>
      </c>
      <c r="B741" s="11" t="s">
        <v>10</v>
      </c>
      <c r="C741" s="11" t="s">
        <v>24</v>
      </c>
      <c r="D741" s="12">
        <v>41946</v>
      </c>
      <c r="E741" s="12">
        <v>41947</v>
      </c>
      <c r="F741" s="13">
        <v>439.7</v>
      </c>
    </row>
    <row r="742" spans="1:6" x14ac:dyDescent="0.25">
      <c r="A742" s="6" t="s">
        <v>9</v>
      </c>
      <c r="B742" s="7" t="s">
        <v>69</v>
      </c>
      <c r="C742" s="7" t="s">
        <v>47</v>
      </c>
      <c r="D742" s="8">
        <v>41946</v>
      </c>
      <c r="E742" s="8">
        <v>41946</v>
      </c>
      <c r="F742" s="9">
        <v>363.8</v>
      </c>
    </row>
    <row r="743" spans="1:6" x14ac:dyDescent="0.25">
      <c r="A743" s="10" t="s">
        <v>101</v>
      </c>
      <c r="B743" s="11" t="s">
        <v>102</v>
      </c>
      <c r="C743" s="11" t="s">
        <v>59</v>
      </c>
      <c r="D743" s="12">
        <v>41946</v>
      </c>
      <c r="E743" s="12">
        <v>41947</v>
      </c>
      <c r="F743" s="13">
        <v>601</v>
      </c>
    </row>
    <row r="744" spans="1:6" x14ac:dyDescent="0.25">
      <c r="A744" s="6" t="s">
        <v>143</v>
      </c>
      <c r="B744" s="7" t="s">
        <v>144</v>
      </c>
      <c r="C744" s="7" t="s">
        <v>59</v>
      </c>
      <c r="D744" s="8">
        <v>41946</v>
      </c>
      <c r="E744" s="8">
        <v>41947</v>
      </c>
      <c r="F744" s="9">
        <v>601</v>
      </c>
    </row>
    <row r="745" spans="1:6" x14ac:dyDescent="0.25">
      <c r="A745" s="10" t="s">
        <v>164</v>
      </c>
      <c r="B745" s="11" t="s">
        <v>165</v>
      </c>
      <c r="C745" s="11" t="s">
        <v>72</v>
      </c>
      <c r="D745" s="12">
        <v>41946</v>
      </c>
      <c r="E745" s="12">
        <v>41946</v>
      </c>
      <c r="F745" s="13">
        <v>494.7</v>
      </c>
    </row>
    <row r="746" spans="1:6" x14ac:dyDescent="0.25">
      <c r="A746" s="6" t="s">
        <v>54</v>
      </c>
      <c r="B746" s="7" t="s">
        <v>121</v>
      </c>
      <c r="C746" s="7" t="s">
        <v>24</v>
      </c>
      <c r="D746" s="8">
        <v>41946</v>
      </c>
      <c r="E746" s="8">
        <v>41950</v>
      </c>
      <c r="F746" s="9">
        <v>886.7</v>
      </c>
    </row>
    <row r="747" spans="1:6" x14ac:dyDescent="0.25">
      <c r="A747" s="10" t="s">
        <v>151</v>
      </c>
      <c r="B747" s="11" t="s">
        <v>152</v>
      </c>
      <c r="C747" s="11" t="s">
        <v>72</v>
      </c>
      <c r="D747" s="12">
        <v>41946</v>
      </c>
      <c r="E747" s="12">
        <v>41946</v>
      </c>
      <c r="F747" s="13">
        <v>494.7</v>
      </c>
    </row>
    <row r="748" spans="1:6" x14ac:dyDescent="0.25">
      <c r="A748" s="6" t="s">
        <v>75</v>
      </c>
      <c r="B748" s="7" t="s">
        <v>88</v>
      </c>
      <c r="C748" s="7" t="s">
        <v>38</v>
      </c>
      <c r="D748" s="8">
        <v>41946</v>
      </c>
      <c r="E748" s="8">
        <v>41946</v>
      </c>
      <c r="F748" s="9">
        <v>278.8</v>
      </c>
    </row>
    <row r="749" spans="1:6" x14ac:dyDescent="0.25">
      <c r="A749" s="10" t="s">
        <v>147</v>
      </c>
      <c r="B749" s="11" t="s">
        <v>148</v>
      </c>
      <c r="C749" s="11" t="s">
        <v>27</v>
      </c>
      <c r="D749" s="12">
        <v>41946</v>
      </c>
      <c r="E749" s="12">
        <v>41947</v>
      </c>
      <c r="F749" s="13">
        <v>570</v>
      </c>
    </row>
    <row r="750" spans="1:6" x14ac:dyDescent="0.25">
      <c r="A750" s="6" t="s">
        <v>166</v>
      </c>
      <c r="B750" s="7" t="s">
        <v>167</v>
      </c>
      <c r="C750" s="7" t="s">
        <v>24</v>
      </c>
      <c r="D750" s="8">
        <v>41946</v>
      </c>
      <c r="E750" s="8">
        <v>41947</v>
      </c>
      <c r="F750" s="9">
        <v>439.7</v>
      </c>
    </row>
    <row r="751" spans="1:6" x14ac:dyDescent="0.25">
      <c r="A751" s="10" t="s">
        <v>20</v>
      </c>
      <c r="B751" s="11" t="s">
        <v>162</v>
      </c>
      <c r="C751" s="11" t="s">
        <v>30</v>
      </c>
      <c r="D751" s="12">
        <v>41946</v>
      </c>
      <c r="E751" s="12">
        <v>41947</v>
      </c>
      <c r="F751" s="13">
        <v>331.5</v>
      </c>
    </row>
    <row r="752" spans="1:6" x14ac:dyDescent="0.25">
      <c r="A752" s="6" t="s">
        <v>39</v>
      </c>
      <c r="B752" s="7" t="s">
        <v>40</v>
      </c>
      <c r="C752" s="7" t="s">
        <v>11</v>
      </c>
      <c r="D752" s="8">
        <v>41946</v>
      </c>
      <c r="E752" s="8">
        <v>41950</v>
      </c>
      <c r="F752" s="9">
        <v>712.4</v>
      </c>
    </row>
    <row r="753" spans="1:6" x14ac:dyDescent="0.25">
      <c r="A753" s="10" t="s">
        <v>113</v>
      </c>
      <c r="B753" s="11" t="s">
        <v>114</v>
      </c>
      <c r="C753" s="11" t="s">
        <v>11</v>
      </c>
      <c r="D753" s="12">
        <v>41946</v>
      </c>
      <c r="E753" s="12">
        <v>41947</v>
      </c>
      <c r="F753" s="13">
        <v>295.39999999999998</v>
      </c>
    </row>
    <row r="754" spans="1:6" x14ac:dyDescent="0.25">
      <c r="A754" s="6" t="s">
        <v>64</v>
      </c>
      <c r="B754" s="7" t="s">
        <v>65</v>
      </c>
      <c r="C754" s="7" t="s">
        <v>11</v>
      </c>
      <c r="D754" s="8">
        <v>41946</v>
      </c>
      <c r="E754" s="8">
        <v>41950</v>
      </c>
      <c r="F754" s="9">
        <v>712.4</v>
      </c>
    </row>
    <row r="755" spans="1:6" x14ac:dyDescent="0.25">
      <c r="A755" s="10" t="s">
        <v>173</v>
      </c>
      <c r="B755" s="11" t="s">
        <v>174</v>
      </c>
      <c r="C755" s="11" t="s">
        <v>72</v>
      </c>
      <c r="D755" s="12">
        <v>41947</v>
      </c>
      <c r="E755" s="12">
        <v>41949</v>
      </c>
      <c r="F755" s="13">
        <v>892.7</v>
      </c>
    </row>
    <row r="756" spans="1:6" x14ac:dyDescent="0.25">
      <c r="A756" s="6" t="s">
        <v>6</v>
      </c>
      <c r="B756" s="7" t="s">
        <v>7</v>
      </c>
      <c r="C756" s="7" t="s">
        <v>14</v>
      </c>
      <c r="D756" s="8">
        <v>41947</v>
      </c>
      <c r="E756" s="8">
        <v>41949</v>
      </c>
      <c r="F756" s="9">
        <v>426.5</v>
      </c>
    </row>
    <row r="757" spans="1:6" x14ac:dyDescent="0.25">
      <c r="A757" s="10" t="s">
        <v>48</v>
      </c>
      <c r="B757" s="11" t="s">
        <v>49</v>
      </c>
      <c r="C757" s="11" t="s">
        <v>8</v>
      </c>
      <c r="D757" s="12">
        <v>41947</v>
      </c>
      <c r="E757" s="12">
        <v>41949</v>
      </c>
      <c r="F757" s="13">
        <v>1102</v>
      </c>
    </row>
    <row r="758" spans="1:6" x14ac:dyDescent="0.25">
      <c r="A758" s="6" t="s">
        <v>22</v>
      </c>
      <c r="B758" s="7" t="s">
        <v>172</v>
      </c>
      <c r="C758" s="7" t="s">
        <v>17</v>
      </c>
      <c r="D758" s="8">
        <v>41947</v>
      </c>
      <c r="E758" s="8">
        <v>41949</v>
      </c>
      <c r="F758" s="9">
        <v>911.5</v>
      </c>
    </row>
    <row r="759" spans="1:6" x14ac:dyDescent="0.25">
      <c r="A759" s="10" t="s">
        <v>28</v>
      </c>
      <c r="B759" s="11" t="s">
        <v>29</v>
      </c>
      <c r="C759" s="11" t="s">
        <v>47</v>
      </c>
      <c r="D759" s="12">
        <v>41947</v>
      </c>
      <c r="E759" s="12">
        <v>41948</v>
      </c>
      <c r="F759" s="13">
        <v>526.79999999999995</v>
      </c>
    </row>
    <row r="760" spans="1:6" x14ac:dyDescent="0.25">
      <c r="A760" s="6" t="s">
        <v>33</v>
      </c>
      <c r="B760" s="7" t="s">
        <v>34</v>
      </c>
      <c r="C760" s="7" t="s">
        <v>14</v>
      </c>
      <c r="D760" s="8">
        <v>41947</v>
      </c>
      <c r="E760" s="8">
        <v>41951</v>
      </c>
      <c r="F760" s="9">
        <v>674.5</v>
      </c>
    </row>
    <row r="761" spans="1:6" x14ac:dyDescent="0.25">
      <c r="A761" s="10" t="s">
        <v>73</v>
      </c>
      <c r="B761" s="11" t="s">
        <v>74</v>
      </c>
      <c r="C761" s="11" t="s">
        <v>47</v>
      </c>
      <c r="D761" s="12">
        <v>41947</v>
      </c>
      <c r="E761" s="12">
        <v>41950</v>
      </c>
      <c r="F761" s="13">
        <v>852.8</v>
      </c>
    </row>
    <row r="762" spans="1:6" x14ac:dyDescent="0.25">
      <c r="A762" s="6" t="s">
        <v>25</v>
      </c>
      <c r="B762" s="7" t="s">
        <v>35</v>
      </c>
      <c r="C762" s="7" t="s">
        <v>72</v>
      </c>
      <c r="D762" s="8">
        <v>41947</v>
      </c>
      <c r="E762" s="8">
        <v>41951</v>
      </c>
      <c r="F762" s="9">
        <v>1290.7</v>
      </c>
    </row>
    <row r="763" spans="1:6" x14ac:dyDescent="0.25">
      <c r="A763" s="10" t="s">
        <v>12</v>
      </c>
      <c r="B763" s="11" t="s">
        <v>13</v>
      </c>
      <c r="C763" s="11" t="s">
        <v>17</v>
      </c>
      <c r="D763" s="12">
        <v>41947</v>
      </c>
      <c r="E763" s="12">
        <v>41948</v>
      </c>
      <c r="F763" s="13">
        <v>706.5</v>
      </c>
    </row>
    <row r="764" spans="1:6" x14ac:dyDescent="0.25">
      <c r="A764" s="6" t="s">
        <v>156</v>
      </c>
      <c r="B764" s="7" t="s">
        <v>157</v>
      </c>
      <c r="C764" s="7" t="s">
        <v>17</v>
      </c>
      <c r="D764" s="8">
        <v>41947</v>
      </c>
      <c r="E764" s="8">
        <v>41948</v>
      </c>
      <c r="F764" s="9">
        <v>706.5</v>
      </c>
    </row>
    <row r="765" spans="1:6" x14ac:dyDescent="0.25">
      <c r="A765" s="10" t="s">
        <v>134</v>
      </c>
      <c r="B765" s="11" t="s">
        <v>149</v>
      </c>
      <c r="C765" s="11" t="s">
        <v>17</v>
      </c>
      <c r="D765" s="12">
        <v>41947</v>
      </c>
      <c r="E765" s="12">
        <v>41947</v>
      </c>
      <c r="F765" s="13">
        <v>501.5</v>
      </c>
    </row>
    <row r="766" spans="1:6" x14ac:dyDescent="0.25">
      <c r="A766" s="6" t="s">
        <v>111</v>
      </c>
      <c r="B766" s="7" t="s">
        <v>112</v>
      </c>
      <c r="C766" s="7" t="s">
        <v>66</v>
      </c>
      <c r="D766" s="8">
        <v>41947</v>
      </c>
      <c r="E766" s="8">
        <v>41948</v>
      </c>
      <c r="F766" s="9">
        <v>485.7</v>
      </c>
    </row>
    <row r="767" spans="1:6" x14ac:dyDescent="0.25">
      <c r="A767" s="10" t="s">
        <v>31</v>
      </c>
      <c r="B767" s="11" t="s">
        <v>77</v>
      </c>
      <c r="C767" s="11" t="s">
        <v>47</v>
      </c>
      <c r="D767" s="12">
        <v>41947</v>
      </c>
      <c r="E767" s="12">
        <v>41948</v>
      </c>
      <c r="F767" s="13">
        <v>526.79999999999995</v>
      </c>
    </row>
    <row r="768" spans="1:6" x14ac:dyDescent="0.25">
      <c r="A768" s="6" t="s">
        <v>15</v>
      </c>
      <c r="B768" s="7" t="s">
        <v>96</v>
      </c>
      <c r="C768" s="7" t="s">
        <v>66</v>
      </c>
      <c r="D768" s="8">
        <v>41947</v>
      </c>
      <c r="E768" s="8">
        <v>41950</v>
      </c>
      <c r="F768" s="9">
        <v>841.7</v>
      </c>
    </row>
    <row r="769" spans="1:6" x14ac:dyDescent="0.25">
      <c r="A769" s="10" t="s">
        <v>166</v>
      </c>
      <c r="B769" s="11" t="s">
        <v>167</v>
      </c>
      <c r="C769" s="11" t="s">
        <v>59</v>
      </c>
      <c r="D769" s="12">
        <v>41949</v>
      </c>
      <c r="E769" s="12">
        <v>41949</v>
      </c>
      <c r="F769" s="13">
        <v>442</v>
      </c>
    </row>
    <row r="770" spans="1:6" x14ac:dyDescent="0.25">
      <c r="A770" s="6" t="s">
        <v>134</v>
      </c>
      <c r="B770" s="7" t="s">
        <v>149</v>
      </c>
      <c r="C770" s="7" t="s">
        <v>72</v>
      </c>
      <c r="D770" s="8">
        <v>41949</v>
      </c>
      <c r="E770" s="8">
        <v>41951</v>
      </c>
      <c r="F770" s="9">
        <v>892.7</v>
      </c>
    </row>
    <row r="771" spans="1:6" x14ac:dyDescent="0.25">
      <c r="A771" s="10" t="s">
        <v>9</v>
      </c>
      <c r="B771" s="11" t="s">
        <v>69</v>
      </c>
      <c r="C771" s="11" t="s">
        <v>30</v>
      </c>
      <c r="D771" s="12">
        <v>41950</v>
      </c>
      <c r="E771" s="12">
        <v>41951</v>
      </c>
      <c r="F771" s="13">
        <v>331.5</v>
      </c>
    </row>
    <row r="772" spans="1:6" x14ac:dyDescent="0.25">
      <c r="A772" s="6" t="s">
        <v>164</v>
      </c>
      <c r="B772" s="7" t="s">
        <v>165</v>
      </c>
      <c r="C772" s="7" t="s">
        <v>66</v>
      </c>
      <c r="D772" s="8">
        <v>41950</v>
      </c>
      <c r="E772" s="8">
        <v>41950</v>
      </c>
      <c r="F772" s="9">
        <v>307.7</v>
      </c>
    </row>
    <row r="773" spans="1:6" x14ac:dyDescent="0.25">
      <c r="A773" s="10" t="s">
        <v>151</v>
      </c>
      <c r="B773" s="11" t="s">
        <v>152</v>
      </c>
      <c r="C773" s="11" t="s">
        <v>38</v>
      </c>
      <c r="D773" s="12">
        <v>41950</v>
      </c>
      <c r="E773" s="12">
        <v>41950</v>
      </c>
      <c r="F773" s="13">
        <v>278.8</v>
      </c>
    </row>
    <row r="774" spans="1:6" x14ac:dyDescent="0.25">
      <c r="A774" s="6" t="s">
        <v>75</v>
      </c>
      <c r="B774" s="7" t="s">
        <v>88</v>
      </c>
      <c r="C774" s="7" t="s">
        <v>27</v>
      </c>
      <c r="D774" s="8">
        <v>41950</v>
      </c>
      <c r="E774" s="8">
        <v>41950</v>
      </c>
      <c r="F774" s="9">
        <v>442</v>
      </c>
    </row>
    <row r="775" spans="1:6" x14ac:dyDescent="0.25">
      <c r="A775" s="10" t="s">
        <v>113</v>
      </c>
      <c r="B775" s="11" t="s">
        <v>114</v>
      </c>
      <c r="C775" s="11" t="s">
        <v>59</v>
      </c>
      <c r="D775" s="12">
        <v>41950</v>
      </c>
      <c r="E775" s="12">
        <v>41950</v>
      </c>
      <c r="F775" s="13">
        <v>442</v>
      </c>
    </row>
    <row r="776" spans="1:6" x14ac:dyDescent="0.25">
      <c r="A776" s="6" t="s">
        <v>122</v>
      </c>
      <c r="B776" s="7" t="s">
        <v>123</v>
      </c>
      <c r="C776" s="7" t="s">
        <v>8</v>
      </c>
      <c r="D776" s="8">
        <v>41953</v>
      </c>
      <c r="E776" s="8">
        <v>41956</v>
      </c>
      <c r="F776" s="9">
        <v>1313</v>
      </c>
    </row>
    <row r="777" spans="1:6" x14ac:dyDescent="0.25">
      <c r="A777" s="10" t="s">
        <v>134</v>
      </c>
      <c r="B777" s="11" t="s">
        <v>149</v>
      </c>
      <c r="C777" s="11" t="s">
        <v>38</v>
      </c>
      <c r="D777" s="12">
        <v>41956</v>
      </c>
      <c r="E777" s="12">
        <v>41957</v>
      </c>
      <c r="F777" s="13">
        <v>407.8</v>
      </c>
    </row>
    <row r="778" spans="1:6" x14ac:dyDescent="0.25">
      <c r="A778" s="6" t="s">
        <v>39</v>
      </c>
      <c r="B778" s="7" t="s">
        <v>40</v>
      </c>
      <c r="C778" s="7" t="s">
        <v>24</v>
      </c>
      <c r="D778" s="8">
        <v>41957</v>
      </c>
      <c r="E778" s="8">
        <v>41957</v>
      </c>
      <c r="F778" s="9">
        <v>290.7</v>
      </c>
    </row>
    <row r="779" spans="1:6" x14ac:dyDescent="0.25">
      <c r="A779" s="10" t="s">
        <v>128</v>
      </c>
      <c r="B779" s="11" t="s">
        <v>129</v>
      </c>
      <c r="C779" s="11" t="s">
        <v>8</v>
      </c>
      <c r="D779" s="12">
        <v>41958</v>
      </c>
      <c r="E779" s="12">
        <v>41958</v>
      </c>
      <c r="F779" s="13">
        <v>680</v>
      </c>
    </row>
    <row r="780" spans="1:6" x14ac:dyDescent="0.25">
      <c r="A780" s="6" t="s">
        <v>84</v>
      </c>
      <c r="B780" s="7" t="s">
        <v>85</v>
      </c>
      <c r="C780" s="7" t="s">
        <v>8</v>
      </c>
      <c r="D780" s="8">
        <v>41958</v>
      </c>
      <c r="E780" s="8">
        <v>41962</v>
      </c>
      <c r="F780" s="9">
        <v>1524</v>
      </c>
    </row>
    <row r="781" spans="1:6" x14ac:dyDescent="0.25">
      <c r="A781" s="10" t="s">
        <v>6</v>
      </c>
      <c r="B781" s="11" t="s">
        <v>56</v>
      </c>
      <c r="C781" s="11" t="s">
        <v>14</v>
      </c>
      <c r="D781" s="12">
        <v>41958</v>
      </c>
      <c r="E781" s="12">
        <v>41958</v>
      </c>
      <c r="F781" s="13">
        <v>178.5</v>
      </c>
    </row>
    <row r="782" spans="1:6" x14ac:dyDescent="0.25">
      <c r="A782" s="6" t="s">
        <v>134</v>
      </c>
      <c r="B782" s="7" t="s">
        <v>135</v>
      </c>
      <c r="C782" s="7" t="s">
        <v>27</v>
      </c>
      <c r="D782" s="8">
        <v>41958</v>
      </c>
      <c r="E782" s="8">
        <v>41960</v>
      </c>
      <c r="F782" s="9">
        <v>698</v>
      </c>
    </row>
    <row r="783" spans="1:6" x14ac:dyDescent="0.25">
      <c r="A783" s="10" t="s">
        <v>9</v>
      </c>
      <c r="B783" s="11" t="s">
        <v>69</v>
      </c>
      <c r="C783" s="11" t="s">
        <v>59</v>
      </c>
      <c r="D783" s="12">
        <v>41958</v>
      </c>
      <c r="E783" s="12">
        <v>41958</v>
      </c>
      <c r="F783" s="13">
        <v>442</v>
      </c>
    </row>
    <row r="784" spans="1:6" x14ac:dyDescent="0.25">
      <c r="A784" s="6" t="s">
        <v>73</v>
      </c>
      <c r="B784" s="7" t="s">
        <v>104</v>
      </c>
      <c r="C784" s="7" t="s">
        <v>30</v>
      </c>
      <c r="D784" s="8">
        <v>41958</v>
      </c>
      <c r="E784" s="8">
        <v>41962</v>
      </c>
      <c r="F784" s="9">
        <v>688.5</v>
      </c>
    </row>
    <row r="785" spans="1:6" x14ac:dyDescent="0.25">
      <c r="A785" s="10" t="s">
        <v>15</v>
      </c>
      <c r="B785" s="11" t="s">
        <v>105</v>
      </c>
      <c r="C785" s="11" t="s">
        <v>66</v>
      </c>
      <c r="D785" s="12">
        <v>41958</v>
      </c>
      <c r="E785" s="12">
        <v>41961</v>
      </c>
      <c r="F785" s="13">
        <v>841.7</v>
      </c>
    </row>
    <row r="786" spans="1:6" x14ac:dyDescent="0.25">
      <c r="A786" s="6" t="s">
        <v>93</v>
      </c>
      <c r="B786" s="7" t="s">
        <v>106</v>
      </c>
      <c r="C786" s="7" t="s">
        <v>27</v>
      </c>
      <c r="D786" s="8">
        <v>41958</v>
      </c>
      <c r="E786" s="8">
        <v>41958</v>
      </c>
      <c r="F786" s="9">
        <v>442</v>
      </c>
    </row>
    <row r="787" spans="1:6" x14ac:dyDescent="0.25">
      <c r="A787" s="10" t="s">
        <v>54</v>
      </c>
      <c r="B787" s="11" t="s">
        <v>121</v>
      </c>
      <c r="C787" s="11" t="s">
        <v>17</v>
      </c>
      <c r="D787" s="12">
        <v>41958</v>
      </c>
      <c r="E787" s="12">
        <v>41961</v>
      </c>
      <c r="F787" s="13">
        <v>1116.5</v>
      </c>
    </row>
    <row r="788" spans="1:6" x14ac:dyDescent="0.25">
      <c r="A788" s="6" t="s">
        <v>107</v>
      </c>
      <c r="B788" s="7" t="s">
        <v>108</v>
      </c>
      <c r="C788" s="7" t="s">
        <v>27</v>
      </c>
      <c r="D788" s="8">
        <v>41958</v>
      </c>
      <c r="E788" s="8">
        <v>41958</v>
      </c>
      <c r="F788" s="9">
        <v>442</v>
      </c>
    </row>
    <row r="789" spans="1:6" x14ac:dyDescent="0.25">
      <c r="A789" s="10" t="s">
        <v>166</v>
      </c>
      <c r="B789" s="11" t="s">
        <v>167</v>
      </c>
      <c r="C789" s="11" t="s">
        <v>47</v>
      </c>
      <c r="D789" s="12">
        <v>41958</v>
      </c>
      <c r="E789" s="12">
        <v>41959</v>
      </c>
      <c r="F789" s="13">
        <v>526.79999999999995</v>
      </c>
    </row>
    <row r="790" spans="1:6" x14ac:dyDescent="0.25">
      <c r="A790" s="6" t="s">
        <v>36</v>
      </c>
      <c r="B790" s="7" t="s">
        <v>37</v>
      </c>
      <c r="C790" s="7" t="s">
        <v>19</v>
      </c>
      <c r="D790" s="8">
        <v>41958</v>
      </c>
      <c r="E790" s="8">
        <v>41961</v>
      </c>
      <c r="F790" s="9">
        <v>936.4</v>
      </c>
    </row>
    <row r="791" spans="1:6" x14ac:dyDescent="0.25">
      <c r="A791" s="10" t="s">
        <v>111</v>
      </c>
      <c r="B791" s="11" t="s">
        <v>112</v>
      </c>
      <c r="C791" s="11" t="s">
        <v>38</v>
      </c>
      <c r="D791" s="12">
        <v>41958</v>
      </c>
      <c r="E791" s="12">
        <v>41959</v>
      </c>
      <c r="F791" s="13">
        <v>407.8</v>
      </c>
    </row>
    <row r="792" spans="1:6" x14ac:dyDescent="0.25">
      <c r="A792" s="6" t="s">
        <v>31</v>
      </c>
      <c r="B792" s="7" t="s">
        <v>77</v>
      </c>
      <c r="C792" s="7" t="s">
        <v>19</v>
      </c>
      <c r="D792" s="8">
        <v>41958</v>
      </c>
      <c r="E792" s="8">
        <v>41962</v>
      </c>
      <c r="F792" s="9">
        <v>1077.4000000000001</v>
      </c>
    </row>
    <row r="793" spans="1:6" x14ac:dyDescent="0.25">
      <c r="A793" s="10" t="s">
        <v>15</v>
      </c>
      <c r="B793" s="11" t="s">
        <v>96</v>
      </c>
      <c r="C793" s="11" t="s">
        <v>38</v>
      </c>
      <c r="D793" s="12">
        <v>41958</v>
      </c>
      <c r="E793" s="12">
        <v>41959</v>
      </c>
      <c r="F793" s="13">
        <v>407.8</v>
      </c>
    </row>
    <row r="794" spans="1:6" x14ac:dyDescent="0.25">
      <c r="A794" s="6" t="s">
        <v>122</v>
      </c>
      <c r="B794" s="7" t="s">
        <v>123</v>
      </c>
      <c r="C794" s="7" t="s">
        <v>30</v>
      </c>
      <c r="D794" s="8">
        <v>41959</v>
      </c>
      <c r="E794" s="8">
        <v>41960</v>
      </c>
      <c r="F794" s="9">
        <v>331.5</v>
      </c>
    </row>
    <row r="795" spans="1:6" x14ac:dyDescent="0.25">
      <c r="A795" s="10" t="s">
        <v>131</v>
      </c>
      <c r="B795" s="11" t="s">
        <v>154</v>
      </c>
      <c r="C795" s="11" t="s">
        <v>38</v>
      </c>
      <c r="D795" s="12">
        <v>41959</v>
      </c>
      <c r="E795" s="12">
        <v>41960</v>
      </c>
      <c r="F795" s="13">
        <v>407.8</v>
      </c>
    </row>
    <row r="796" spans="1:6" x14ac:dyDescent="0.25">
      <c r="A796" s="6" t="s">
        <v>54</v>
      </c>
      <c r="B796" s="7" t="s">
        <v>81</v>
      </c>
      <c r="C796" s="7" t="s">
        <v>66</v>
      </c>
      <c r="D796" s="8">
        <v>41959</v>
      </c>
      <c r="E796" s="8">
        <v>41960</v>
      </c>
      <c r="F796" s="9">
        <v>485.7</v>
      </c>
    </row>
    <row r="797" spans="1:6" x14ac:dyDescent="0.25">
      <c r="A797" s="10" t="s">
        <v>22</v>
      </c>
      <c r="B797" s="11" t="s">
        <v>172</v>
      </c>
      <c r="C797" s="11" t="s">
        <v>72</v>
      </c>
      <c r="D797" s="12">
        <v>41959</v>
      </c>
      <c r="E797" s="12">
        <v>41963</v>
      </c>
      <c r="F797" s="13">
        <v>1290.7</v>
      </c>
    </row>
    <row r="798" spans="1:6" x14ac:dyDescent="0.25">
      <c r="A798" s="6" t="s">
        <v>9</v>
      </c>
      <c r="B798" s="7" t="s">
        <v>10</v>
      </c>
      <c r="C798" s="7" t="s">
        <v>30</v>
      </c>
      <c r="D798" s="8">
        <v>41959</v>
      </c>
      <c r="E798" s="8">
        <v>41961</v>
      </c>
      <c r="F798" s="9">
        <v>450.5</v>
      </c>
    </row>
    <row r="799" spans="1:6" x14ac:dyDescent="0.25">
      <c r="A799" s="10" t="s">
        <v>9</v>
      </c>
      <c r="B799" s="11" t="s">
        <v>103</v>
      </c>
      <c r="C799" s="11" t="s">
        <v>17</v>
      </c>
      <c r="D799" s="12">
        <v>41959</v>
      </c>
      <c r="E799" s="12">
        <v>41961</v>
      </c>
      <c r="F799" s="13">
        <v>911.5</v>
      </c>
    </row>
    <row r="800" spans="1:6" x14ac:dyDescent="0.25">
      <c r="A800" s="6" t="s">
        <v>156</v>
      </c>
      <c r="B800" s="7" t="s">
        <v>157</v>
      </c>
      <c r="C800" s="7" t="s">
        <v>59</v>
      </c>
      <c r="D800" s="8">
        <v>41959</v>
      </c>
      <c r="E800" s="8">
        <v>41962</v>
      </c>
      <c r="F800" s="9">
        <v>919</v>
      </c>
    </row>
    <row r="801" spans="1:6" x14ac:dyDescent="0.25">
      <c r="A801" s="10" t="s">
        <v>158</v>
      </c>
      <c r="B801" s="11" t="s">
        <v>159</v>
      </c>
      <c r="C801" s="11" t="s">
        <v>19</v>
      </c>
      <c r="D801" s="12">
        <v>41959</v>
      </c>
      <c r="E801" s="12">
        <v>41960</v>
      </c>
      <c r="F801" s="13">
        <v>654.4</v>
      </c>
    </row>
    <row r="802" spans="1:6" x14ac:dyDescent="0.25">
      <c r="A802" s="6" t="s">
        <v>9</v>
      </c>
      <c r="B802" s="7" t="s">
        <v>18</v>
      </c>
      <c r="C802" s="7" t="s">
        <v>47</v>
      </c>
      <c r="D802" s="8">
        <v>41959</v>
      </c>
      <c r="E802" s="8">
        <v>41960</v>
      </c>
      <c r="F802" s="9">
        <v>526.79999999999995</v>
      </c>
    </row>
    <row r="803" spans="1:6" x14ac:dyDescent="0.25">
      <c r="A803" s="10" t="s">
        <v>115</v>
      </c>
      <c r="B803" s="11" t="s">
        <v>140</v>
      </c>
      <c r="C803" s="11" t="s">
        <v>66</v>
      </c>
      <c r="D803" s="12">
        <v>41960</v>
      </c>
      <c r="E803" s="12">
        <v>41960</v>
      </c>
      <c r="F803" s="13">
        <v>307.7</v>
      </c>
    </row>
    <row r="804" spans="1:6" x14ac:dyDescent="0.25">
      <c r="A804" s="6" t="s">
        <v>164</v>
      </c>
      <c r="B804" s="7" t="s">
        <v>165</v>
      </c>
      <c r="C804" s="7" t="s">
        <v>38</v>
      </c>
      <c r="D804" s="8">
        <v>41960</v>
      </c>
      <c r="E804" s="8">
        <v>41960</v>
      </c>
      <c r="F804" s="9">
        <v>278.8</v>
      </c>
    </row>
    <row r="805" spans="1:6" x14ac:dyDescent="0.25">
      <c r="A805" s="10" t="s">
        <v>113</v>
      </c>
      <c r="B805" s="11" t="s">
        <v>114</v>
      </c>
      <c r="C805" s="11" t="s">
        <v>8</v>
      </c>
      <c r="D805" s="12">
        <v>41960</v>
      </c>
      <c r="E805" s="12">
        <v>41962</v>
      </c>
      <c r="F805" s="13">
        <v>1102</v>
      </c>
    </row>
    <row r="806" spans="1:6" x14ac:dyDescent="0.25">
      <c r="A806" s="6" t="s">
        <v>93</v>
      </c>
      <c r="B806" s="7" t="s">
        <v>94</v>
      </c>
      <c r="C806" s="7" t="s">
        <v>11</v>
      </c>
      <c r="D806" s="8">
        <v>41960</v>
      </c>
      <c r="E806" s="8">
        <v>41962</v>
      </c>
      <c r="F806" s="9">
        <v>434.4</v>
      </c>
    </row>
    <row r="807" spans="1:6" x14ac:dyDescent="0.25">
      <c r="A807" s="10" t="s">
        <v>70</v>
      </c>
      <c r="B807" s="11" t="s">
        <v>117</v>
      </c>
      <c r="C807" s="11" t="s">
        <v>8</v>
      </c>
      <c r="D807" s="12">
        <v>41960</v>
      </c>
      <c r="E807" s="12">
        <v>41960</v>
      </c>
      <c r="F807" s="13">
        <v>680</v>
      </c>
    </row>
    <row r="808" spans="1:6" x14ac:dyDescent="0.25">
      <c r="A808" s="6" t="s">
        <v>128</v>
      </c>
      <c r="B808" s="7" t="s">
        <v>129</v>
      </c>
      <c r="C808" s="7" t="s">
        <v>27</v>
      </c>
      <c r="D808" s="8">
        <v>41961</v>
      </c>
      <c r="E808" s="8">
        <v>41961</v>
      </c>
      <c r="F808" s="9">
        <v>442</v>
      </c>
    </row>
    <row r="809" spans="1:6" x14ac:dyDescent="0.25">
      <c r="A809" s="10" t="s">
        <v>28</v>
      </c>
      <c r="B809" s="11" t="s">
        <v>60</v>
      </c>
      <c r="C809" s="11" t="s">
        <v>66</v>
      </c>
      <c r="D809" s="12">
        <v>41961</v>
      </c>
      <c r="E809" s="12">
        <v>41961</v>
      </c>
      <c r="F809" s="13">
        <v>307.7</v>
      </c>
    </row>
    <row r="810" spans="1:6" x14ac:dyDescent="0.25">
      <c r="A810" s="6" t="s">
        <v>9</v>
      </c>
      <c r="B810" s="7" t="s">
        <v>69</v>
      </c>
      <c r="C810" s="7" t="s">
        <v>27</v>
      </c>
      <c r="D810" s="8">
        <v>41961</v>
      </c>
      <c r="E810" s="8">
        <v>41961</v>
      </c>
      <c r="F810" s="9">
        <v>442</v>
      </c>
    </row>
    <row r="811" spans="1:6" x14ac:dyDescent="0.25">
      <c r="A811" s="10" t="s">
        <v>82</v>
      </c>
      <c r="B811" s="11" t="s">
        <v>125</v>
      </c>
      <c r="C811" s="11" t="s">
        <v>72</v>
      </c>
      <c r="D811" s="12">
        <v>41962</v>
      </c>
      <c r="E811" s="12">
        <v>41962</v>
      </c>
      <c r="F811" s="13">
        <v>494.7</v>
      </c>
    </row>
    <row r="812" spans="1:6" x14ac:dyDescent="0.25">
      <c r="A812" s="6" t="s">
        <v>168</v>
      </c>
      <c r="B812" s="7" t="s">
        <v>169</v>
      </c>
      <c r="C812" s="7" t="s">
        <v>11</v>
      </c>
      <c r="D812" s="8">
        <v>41962</v>
      </c>
      <c r="E812" s="8">
        <v>41962</v>
      </c>
      <c r="F812" s="9">
        <v>156.4</v>
      </c>
    </row>
    <row r="813" spans="1:6" x14ac:dyDescent="0.25">
      <c r="A813" s="10" t="s">
        <v>134</v>
      </c>
      <c r="B813" s="11" t="s">
        <v>135</v>
      </c>
      <c r="C813" s="11" t="s">
        <v>27</v>
      </c>
      <c r="D813" s="12">
        <v>41962</v>
      </c>
      <c r="E813" s="12">
        <v>41962</v>
      </c>
      <c r="F813" s="13">
        <v>442</v>
      </c>
    </row>
    <row r="814" spans="1:6" x14ac:dyDescent="0.25">
      <c r="A814" s="6" t="s">
        <v>164</v>
      </c>
      <c r="B814" s="7" t="s">
        <v>165</v>
      </c>
      <c r="C814" s="7" t="s">
        <v>17</v>
      </c>
      <c r="D814" s="8">
        <v>41962</v>
      </c>
      <c r="E814" s="8">
        <v>41962</v>
      </c>
      <c r="F814" s="9">
        <v>501.5</v>
      </c>
    </row>
    <row r="815" spans="1:6" x14ac:dyDescent="0.25">
      <c r="A815" s="10" t="s">
        <v>61</v>
      </c>
      <c r="B815" s="11" t="s">
        <v>62</v>
      </c>
      <c r="C815" s="11" t="s">
        <v>19</v>
      </c>
      <c r="D815" s="12">
        <v>41963</v>
      </c>
      <c r="E815" s="12">
        <v>41964</v>
      </c>
      <c r="F815" s="13">
        <v>654.4</v>
      </c>
    </row>
    <row r="816" spans="1:6" x14ac:dyDescent="0.25">
      <c r="A816" s="6" t="s">
        <v>6</v>
      </c>
      <c r="B816" s="7" t="s">
        <v>56</v>
      </c>
      <c r="C816" s="7" t="s">
        <v>59</v>
      </c>
      <c r="D816" s="8">
        <v>41963</v>
      </c>
      <c r="E816" s="8">
        <v>41963</v>
      </c>
      <c r="F816" s="9">
        <v>442</v>
      </c>
    </row>
    <row r="817" spans="1:6" x14ac:dyDescent="0.25">
      <c r="A817" s="10" t="s">
        <v>15</v>
      </c>
      <c r="B817" s="11" t="s">
        <v>96</v>
      </c>
      <c r="C817" s="11" t="s">
        <v>30</v>
      </c>
      <c r="D817" s="12">
        <v>41963</v>
      </c>
      <c r="E817" s="12">
        <v>41963</v>
      </c>
      <c r="F817" s="13">
        <v>212.5</v>
      </c>
    </row>
    <row r="818" spans="1:6" x14ac:dyDescent="0.25">
      <c r="A818" s="6" t="s">
        <v>54</v>
      </c>
      <c r="B818" s="7" t="s">
        <v>55</v>
      </c>
      <c r="C818" s="7" t="s">
        <v>27</v>
      </c>
      <c r="D818" s="8">
        <v>41964</v>
      </c>
      <c r="E818" s="8">
        <v>41965</v>
      </c>
      <c r="F818" s="9">
        <v>570</v>
      </c>
    </row>
    <row r="819" spans="1:6" x14ac:dyDescent="0.25">
      <c r="A819" s="10" t="s">
        <v>131</v>
      </c>
      <c r="B819" s="11" t="s">
        <v>154</v>
      </c>
      <c r="C819" s="11" t="s">
        <v>38</v>
      </c>
      <c r="D819" s="12">
        <v>41964</v>
      </c>
      <c r="E819" s="12">
        <v>41965</v>
      </c>
      <c r="F819" s="13">
        <v>407.8</v>
      </c>
    </row>
    <row r="820" spans="1:6" x14ac:dyDescent="0.25">
      <c r="A820" s="6" t="s">
        <v>25</v>
      </c>
      <c r="B820" s="7" t="s">
        <v>67</v>
      </c>
      <c r="C820" s="7" t="s">
        <v>30</v>
      </c>
      <c r="D820" s="8">
        <v>41965</v>
      </c>
      <c r="E820" s="8">
        <v>41969</v>
      </c>
      <c r="F820" s="9">
        <v>688.5</v>
      </c>
    </row>
    <row r="821" spans="1:6" x14ac:dyDescent="0.25">
      <c r="A821" s="10" t="s">
        <v>9</v>
      </c>
      <c r="B821" s="11" t="s">
        <v>103</v>
      </c>
      <c r="C821" s="11" t="s">
        <v>11</v>
      </c>
      <c r="D821" s="12">
        <v>41965</v>
      </c>
      <c r="E821" s="12">
        <v>41965</v>
      </c>
      <c r="F821" s="13">
        <v>156.4</v>
      </c>
    </row>
    <row r="822" spans="1:6" x14ac:dyDescent="0.25">
      <c r="A822" s="6" t="s">
        <v>143</v>
      </c>
      <c r="B822" s="7" t="s">
        <v>144</v>
      </c>
      <c r="C822" s="7" t="s">
        <v>72</v>
      </c>
      <c r="D822" s="8">
        <v>41965</v>
      </c>
      <c r="E822" s="8">
        <v>41966</v>
      </c>
      <c r="F822" s="9">
        <v>693.7</v>
      </c>
    </row>
    <row r="823" spans="1:6" x14ac:dyDescent="0.25">
      <c r="A823" s="10" t="s">
        <v>164</v>
      </c>
      <c r="B823" s="11" t="s">
        <v>165</v>
      </c>
      <c r="C823" s="11" t="s">
        <v>72</v>
      </c>
      <c r="D823" s="12">
        <v>41965</v>
      </c>
      <c r="E823" s="12">
        <v>41965</v>
      </c>
      <c r="F823" s="13">
        <v>494.7</v>
      </c>
    </row>
    <row r="824" spans="1:6" x14ac:dyDescent="0.25">
      <c r="A824" s="6" t="s">
        <v>158</v>
      </c>
      <c r="B824" s="7" t="s">
        <v>159</v>
      </c>
      <c r="C824" s="7" t="s">
        <v>17</v>
      </c>
      <c r="D824" s="8">
        <v>41965</v>
      </c>
      <c r="E824" s="8">
        <v>41968</v>
      </c>
      <c r="F824" s="9">
        <v>1116.5</v>
      </c>
    </row>
    <row r="825" spans="1:6" x14ac:dyDescent="0.25">
      <c r="A825" s="10" t="s">
        <v>89</v>
      </c>
      <c r="B825" s="11" t="s">
        <v>90</v>
      </c>
      <c r="C825" s="11" t="s">
        <v>8</v>
      </c>
      <c r="D825" s="12">
        <v>41965</v>
      </c>
      <c r="E825" s="12">
        <v>41966</v>
      </c>
      <c r="F825" s="13">
        <v>891</v>
      </c>
    </row>
    <row r="826" spans="1:6" x14ac:dyDescent="0.25">
      <c r="A826" s="6" t="s">
        <v>115</v>
      </c>
      <c r="B826" s="7" t="s">
        <v>116</v>
      </c>
      <c r="C826" s="7" t="s">
        <v>24</v>
      </c>
      <c r="D826" s="8">
        <v>41965</v>
      </c>
      <c r="E826" s="8">
        <v>41968</v>
      </c>
      <c r="F826" s="9">
        <v>737.7</v>
      </c>
    </row>
    <row r="827" spans="1:6" x14ac:dyDescent="0.25">
      <c r="A827" s="10" t="s">
        <v>115</v>
      </c>
      <c r="B827" s="11" t="s">
        <v>153</v>
      </c>
      <c r="C827" s="11" t="s">
        <v>19</v>
      </c>
      <c r="D827" s="12">
        <v>41966</v>
      </c>
      <c r="E827" s="12">
        <v>41966</v>
      </c>
      <c r="F827" s="13">
        <v>513.4</v>
      </c>
    </row>
    <row r="828" spans="1:6" x14ac:dyDescent="0.25">
      <c r="A828" s="6" t="s">
        <v>61</v>
      </c>
      <c r="B828" s="7" t="s">
        <v>62</v>
      </c>
      <c r="C828" s="7" t="s">
        <v>8</v>
      </c>
      <c r="D828" s="8">
        <v>41967</v>
      </c>
      <c r="E828" s="8">
        <v>41968</v>
      </c>
      <c r="F828" s="9">
        <v>891</v>
      </c>
    </row>
    <row r="829" spans="1:6" x14ac:dyDescent="0.25">
      <c r="A829" s="10" t="s">
        <v>119</v>
      </c>
      <c r="B829" s="11" t="s">
        <v>120</v>
      </c>
      <c r="C829" s="11" t="s">
        <v>14</v>
      </c>
      <c r="D829" s="12">
        <v>41967</v>
      </c>
      <c r="E829" s="12">
        <v>41967</v>
      </c>
      <c r="F829" s="13">
        <v>178.5</v>
      </c>
    </row>
    <row r="830" spans="1:6" x14ac:dyDescent="0.25">
      <c r="A830" s="6" t="s">
        <v>28</v>
      </c>
      <c r="B830" s="7" t="s">
        <v>60</v>
      </c>
      <c r="C830" s="7" t="s">
        <v>8</v>
      </c>
      <c r="D830" s="8">
        <v>41968</v>
      </c>
      <c r="E830" s="8">
        <v>41968</v>
      </c>
      <c r="F830" s="9">
        <v>680</v>
      </c>
    </row>
    <row r="831" spans="1:6" x14ac:dyDescent="0.25">
      <c r="A831" s="10" t="s">
        <v>164</v>
      </c>
      <c r="B831" s="11" t="s">
        <v>165</v>
      </c>
      <c r="C831" s="11" t="s">
        <v>14</v>
      </c>
      <c r="D831" s="12">
        <v>41968</v>
      </c>
      <c r="E831" s="12">
        <v>41968</v>
      </c>
      <c r="F831" s="13">
        <v>178.5</v>
      </c>
    </row>
    <row r="832" spans="1:6" x14ac:dyDescent="0.25">
      <c r="A832" s="6" t="s">
        <v>12</v>
      </c>
      <c r="B832" s="7" t="s">
        <v>95</v>
      </c>
      <c r="C832" s="7" t="s">
        <v>19</v>
      </c>
      <c r="D832" s="8">
        <v>41968</v>
      </c>
      <c r="E832" s="8">
        <v>41968</v>
      </c>
      <c r="F832" s="9">
        <v>513.4</v>
      </c>
    </row>
    <row r="833" spans="1:6" x14ac:dyDescent="0.25">
      <c r="A833" s="10" t="s">
        <v>31</v>
      </c>
      <c r="B833" s="11" t="s">
        <v>78</v>
      </c>
      <c r="C833" s="11" t="s">
        <v>11</v>
      </c>
      <c r="D833" s="12">
        <v>41970</v>
      </c>
      <c r="E833" s="12">
        <v>41973</v>
      </c>
      <c r="F833" s="13">
        <v>573.4</v>
      </c>
    </row>
    <row r="834" spans="1:6" x14ac:dyDescent="0.25">
      <c r="A834" s="6" t="s">
        <v>82</v>
      </c>
      <c r="B834" s="7" t="s">
        <v>125</v>
      </c>
      <c r="C834" s="7" t="s">
        <v>17</v>
      </c>
      <c r="D834" s="8">
        <v>41970</v>
      </c>
      <c r="E834" s="8">
        <v>41970</v>
      </c>
      <c r="F834" s="9">
        <v>501.5</v>
      </c>
    </row>
    <row r="835" spans="1:6" x14ac:dyDescent="0.25">
      <c r="A835" s="10" t="s">
        <v>70</v>
      </c>
      <c r="B835" s="11" t="s">
        <v>71</v>
      </c>
      <c r="C835" s="11" t="s">
        <v>14</v>
      </c>
      <c r="D835" s="12">
        <v>41970</v>
      </c>
      <c r="E835" s="12">
        <v>41974</v>
      </c>
      <c r="F835" s="13">
        <v>674.5</v>
      </c>
    </row>
    <row r="836" spans="1:6" x14ac:dyDescent="0.25">
      <c r="A836" s="6" t="s">
        <v>25</v>
      </c>
      <c r="B836" s="7" t="s">
        <v>68</v>
      </c>
      <c r="C836" s="7" t="s">
        <v>59</v>
      </c>
      <c r="D836" s="8">
        <v>41970</v>
      </c>
      <c r="E836" s="8">
        <v>41974</v>
      </c>
      <c r="F836" s="9">
        <v>1078</v>
      </c>
    </row>
    <row r="837" spans="1:6" x14ac:dyDescent="0.25">
      <c r="A837" s="10" t="s">
        <v>33</v>
      </c>
      <c r="B837" s="11" t="s">
        <v>34</v>
      </c>
      <c r="C837" s="11" t="s">
        <v>59</v>
      </c>
      <c r="D837" s="12">
        <v>41970</v>
      </c>
      <c r="E837" s="12">
        <v>41970</v>
      </c>
      <c r="F837" s="13">
        <v>442</v>
      </c>
    </row>
    <row r="838" spans="1:6" x14ac:dyDescent="0.25">
      <c r="A838" s="6" t="s">
        <v>134</v>
      </c>
      <c r="B838" s="7" t="s">
        <v>135</v>
      </c>
      <c r="C838" s="7" t="s">
        <v>47</v>
      </c>
      <c r="D838" s="8">
        <v>41970</v>
      </c>
      <c r="E838" s="8">
        <v>41971</v>
      </c>
      <c r="F838" s="9">
        <v>526.79999999999995</v>
      </c>
    </row>
    <row r="839" spans="1:6" x14ac:dyDescent="0.25">
      <c r="A839" s="10" t="s">
        <v>73</v>
      </c>
      <c r="B839" s="11" t="s">
        <v>74</v>
      </c>
      <c r="C839" s="11" t="s">
        <v>59</v>
      </c>
      <c r="D839" s="12">
        <v>41970</v>
      </c>
      <c r="E839" s="12">
        <v>41970</v>
      </c>
      <c r="F839" s="13">
        <v>442</v>
      </c>
    </row>
    <row r="840" spans="1:6" x14ac:dyDescent="0.25">
      <c r="A840" s="6" t="s">
        <v>164</v>
      </c>
      <c r="B840" s="7" t="s">
        <v>165</v>
      </c>
      <c r="C840" s="7" t="s">
        <v>17</v>
      </c>
      <c r="D840" s="8">
        <v>41970</v>
      </c>
      <c r="E840" s="8">
        <v>41973</v>
      </c>
      <c r="F840" s="9">
        <v>1116.5</v>
      </c>
    </row>
    <row r="841" spans="1:6" x14ac:dyDescent="0.25">
      <c r="A841" s="10" t="s">
        <v>54</v>
      </c>
      <c r="B841" s="11" t="s">
        <v>121</v>
      </c>
      <c r="C841" s="11" t="s">
        <v>72</v>
      </c>
      <c r="D841" s="12">
        <v>41970</v>
      </c>
      <c r="E841" s="12">
        <v>41974</v>
      </c>
      <c r="F841" s="13">
        <v>1290.7</v>
      </c>
    </row>
    <row r="842" spans="1:6" x14ac:dyDescent="0.25">
      <c r="A842" s="6" t="s">
        <v>25</v>
      </c>
      <c r="B842" s="7" t="s">
        <v>35</v>
      </c>
      <c r="C842" s="7" t="s">
        <v>72</v>
      </c>
      <c r="D842" s="8">
        <v>41970</v>
      </c>
      <c r="E842" s="8">
        <v>41972</v>
      </c>
      <c r="F842" s="9">
        <v>892.7</v>
      </c>
    </row>
    <row r="843" spans="1:6" x14ac:dyDescent="0.25">
      <c r="A843" s="10" t="s">
        <v>151</v>
      </c>
      <c r="B843" s="11" t="s">
        <v>152</v>
      </c>
      <c r="C843" s="11" t="s">
        <v>47</v>
      </c>
      <c r="D843" s="12">
        <v>41970</v>
      </c>
      <c r="E843" s="12">
        <v>41970</v>
      </c>
      <c r="F843" s="13">
        <v>363.8</v>
      </c>
    </row>
    <row r="844" spans="1:6" x14ac:dyDescent="0.25">
      <c r="A844" s="6" t="s">
        <v>147</v>
      </c>
      <c r="B844" s="7" t="s">
        <v>148</v>
      </c>
      <c r="C844" s="7" t="s">
        <v>24</v>
      </c>
      <c r="D844" s="8">
        <v>41970</v>
      </c>
      <c r="E844" s="8">
        <v>41970</v>
      </c>
      <c r="F844" s="9">
        <v>290.7</v>
      </c>
    </row>
    <row r="845" spans="1:6" x14ac:dyDescent="0.25">
      <c r="A845" s="10" t="s">
        <v>109</v>
      </c>
      <c r="B845" s="11" t="s">
        <v>110</v>
      </c>
      <c r="C845" s="11" t="s">
        <v>47</v>
      </c>
      <c r="D845" s="12">
        <v>41970</v>
      </c>
      <c r="E845" s="12">
        <v>41971</v>
      </c>
      <c r="F845" s="13">
        <v>526.79999999999995</v>
      </c>
    </row>
    <row r="846" spans="1:6" x14ac:dyDescent="0.25">
      <c r="A846" s="6" t="s">
        <v>93</v>
      </c>
      <c r="B846" s="7" t="s">
        <v>94</v>
      </c>
      <c r="C846" s="7" t="s">
        <v>30</v>
      </c>
      <c r="D846" s="8">
        <v>41970</v>
      </c>
      <c r="E846" s="8">
        <v>41970</v>
      </c>
      <c r="F846" s="9">
        <v>212.5</v>
      </c>
    </row>
    <row r="847" spans="1:6" x14ac:dyDescent="0.25">
      <c r="A847" s="10" t="s">
        <v>115</v>
      </c>
      <c r="B847" s="11" t="s">
        <v>116</v>
      </c>
      <c r="C847" s="11" t="s">
        <v>59</v>
      </c>
      <c r="D847" s="12">
        <v>41970</v>
      </c>
      <c r="E847" s="12">
        <v>41971</v>
      </c>
      <c r="F847" s="13">
        <v>601</v>
      </c>
    </row>
    <row r="848" spans="1:6" x14ac:dyDescent="0.25">
      <c r="A848" s="6" t="s">
        <v>12</v>
      </c>
      <c r="B848" s="7" t="s">
        <v>95</v>
      </c>
      <c r="C848" s="7" t="s">
        <v>19</v>
      </c>
      <c r="D848" s="8">
        <v>41970</v>
      </c>
      <c r="E848" s="8">
        <v>41970</v>
      </c>
      <c r="F848" s="9">
        <v>513.4</v>
      </c>
    </row>
    <row r="849" spans="1:6" x14ac:dyDescent="0.25">
      <c r="A849" s="10" t="s">
        <v>54</v>
      </c>
      <c r="B849" s="11" t="s">
        <v>118</v>
      </c>
      <c r="C849" s="11" t="s">
        <v>72</v>
      </c>
      <c r="D849" s="12">
        <v>41970</v>
      </c>
      <c r="E849" s="12">
        <v>41971</v>
      </c>
      <c r="F849" s="13">
        <v>693.7</v>
      </c>
    </row>
    <row r="850" spans="1:6" x14ac:dyDescent="0.25">
      <c r="A850" s="6" t="s">
        <v>20</v>
      </c>
      <c r="B850" s="7" t="s">
        <v>21</v>
      </c>
      <c r="C850" s="7" t="s">
        <v>14</v>
      </c>
      <c r="D850" s="8">
        <v>41970</v>
      </c>
      <c r="E850" s="8">
        <v>41972</v>
      </c>
      <c r="F850" s="9">
        <v>426.5</v>
      </c>
    </row>
    <row r="851" spans="1:6" x14ac:dyDescent="0.25">
      <c r="A851" s="10" t="s">
        <v>54</v>
      </c>
      <c r="B851" s="11" t="s">
        <v>81</v>
      </c>
      <c r="C851" s="11" t="s">
        <v>19</v>
      </c>
      <c r="D851" s="12">
        <v>41971</v>
      </c>
      <c r="E851" s="12">
        <v>41974</v>
      </c>
      <c r="F851" s="13">
        <v>936.4</v>
      </c>
    </row>
    <row r="852" spans="1:6" x14ac:dyDescent="0.25">
      <c r="A852" s="6" t="s">
        <v>22</v>
      </c>
      <c r="B852" s="7" t="s">
        <v>172</v>
      </c>
      <c r="C852" s="7" t="s">
        <v>72</v>
      </c>
      <c r="D852" s="8">
        <v>41971</v>
      </c>
      <c r="E852" s="8">
        <v>41973</v>
      </c>
      <c r="F852" s="9">
        <v>892.7</v>
      </c>
    </row>
    <row r="853" spans="1:6" x14ac:dyDescent="0.25">
      <c r="A853" s="10" t="s">
        <v>131</v>
      </c>
      <c r="B853" s="11" t="s">
        <v>142</v>
      </c>
      <c r="C853" s="11" t="s">
        <v>8</v>
      </c>
      <c r="D853" s="12">
        <v>41971</v>
      </c>
      <c r="E853" s="12">
        <v>41973</v>
      </c>
      <c r="F853" s="13">
        <v>1102</v>
      </c>
    </row>
    <row r="854" spans="1:6" x14ac:dyDescent="0.25">
      <c r="A854" s="6" t="s">
        <v>84</v>
      </c>
      <c r="B854" s="7" t="s">
        <v>85</v>
      </c>
      <c r="C854" s="7" t="s">
        <v>27</v>
      </c>
      <c r="D854" s="8">
        <v>41971</v>
      </c>
      <c r="E854" s="8">
        <v>41973</v>
      </c>
      <c r="F854" s="9">
        <v>698</v>
      </c>
    </row>
    <row r="855" spans="1:6" x14ac:dyDescent="0.25">
      <c r="A855" s="10" t="s">
        <v>86</v>
      </c>
      <c r="B855" s="11" t="s">
        <v>150</v>
      </c>
      <c r="C855" s="11" t="s">
        <v>72</v>
      </c>
      <c r="D855" s="12">
        <v>41971</v>
      </c>
      <c r="E855" s="12">
        <v>41972</v>
      </c>
      <c r="F855" s="13">
        <v>693.7</v>
      </c>
    </row>
    <row r="856" spans="1:6" x14ac:dyDescent="0.25">
      <c r="A856" s="6" t="s">
        <v>50</v>
      </c>
      <c r="B856" s="7" t="s">
        <v>51</v>
      </c>
      <c r="C856" s="7" t="s">
        <v>17</v>
      </c>
      <c r="D856" s="8">
        <v>41971</v>
      </c>
      <c r="E856" s="8">
        <v>41971</v>
      </c>
      <c r="F856" s="9">
        <v>501.5</v>
      </c>
    </row>
    <row r="857" spans="1:6" x14ac:dyDescent="0.25">
      <c r="A857" s="10" t="s">
        <v>25</v>
      </c>
      <c r="B857" s="11" t="s">
        <v>26</v>
      </c>
      <c r="C857" s="11" t="s">
        <v>66</v>
      </c>
      <c r="D857" s="12">
        <v>41971</v>
      </c>
      <c r="E857" s="12">
        <v>41971</v>
      </c>
      <c r="F857" s="13">
        <v>307.7</v>
      </c>
    </row>
    <row r="858" spans="1:6" x14ac:dyDescent="0.25">
      <c r="A858" s="6" t="s">
        <v>28</v>
      </c>
      <c r="B858" s="7" t="s">
        <v>29</v>
      </c>
      <c r="C858" s="7" t="s">
        <v>66</v>
      </c>
      <c r="D858" s="8">
        <v>41971</v>
      </c>
      <c r="E858" s="8">
        <v>41972</v>
      </c>
      <c r="F858" s="9">
        <v>485.7</v>
      </c>
    </row>
    <row r="859" spans="1:6" x14ac:dyDescent="0.25">
      <c r="A859" s="10" t="s">
        <v>168</v>
      </c>
      <c r="B859" s="11" t="s">
        <v>169</v>
      </c>
      <c r="C859" s="11" t="s">
        <v>59</v>
      </c>
      <c r="D859" s="12">
        <v>41971</v>
      </c>
      <c r="E859" s="12">
        <v>41975</v>
      </c>
      <c r="F859" s="13">
        <v>1078</v>
      </c>
    </row>
    <row r="860" spans="1:6" x14ac:dyDescent="0.25">
      <c r="A860" s="6" t="s">
        <v>115</v>
      </c>
      <c r="B860" s="7" t="s">
        <v>140</v>
      </c>
      <c r="C860" s="7" t="s">
        <v>47</v>
      </c>
      <c r="D860" s="8">
        <v>41971</v>
      </c>
      <c r="E860" s="8">
        <v>41971</v>
      </c>
      <c r="F860" s="9">
        <v>363.8</v>
      </c>
    </row>
    <row r="861" spans="1:6" x14ac:dyDescent="0.25">
      <c r="A861" s="10" t="s">
        <v>126</v>
      </c>
      <c r="B861" s="11" t="s">
        <v>127</v>
      </c>
      <c r="C861" s="11" t="s">
        <v>19</v>
      </c>
      <c r="D861" s="12">
        <v>41971</v>
      </c>
      <c r="E861" s="12">
        <v>41971</v>
      </c>
      <c r="F861" s="13">
        <v>513.4</v>
      </c>
    </row>
    <row r="862" spans="1:6" x14ac:dyDescent="0.25">
      <c r="A862" s="6" t="s">
        <v>9</v>
      </c>
      <c r="B862" s="7" t="s">
        <v>69</v>
      </c>
      <c r="C862" s="7" t="s">
        <v>38</v>
      </c>
      <c r="D862" s="8">
        <v>41971</v>
      </c>
      <c r="E862" s="8">
        <v>41972</v>
      </c>
      <c r="F862" s="9">
        <v>407.8</v>
      </c>
    </row>
    <row r="863" spans="1:6" x14ac:dyDescent="0.25">
      <c r="A863" s="10" t="s">
        <v>99</v>
      </c>
      <c r="B863" s="11" t="s">
        <v>100</v>
      </c>
      <c r="C863" s="11" t="s">
        <v>72</v>
      </c>
      <c r="D863" s="12">
        <v>41971</v>
      </c>
      <c r="E863" s="12">
        <v>41974</v>
      </c>
      <c r="F863" s="13">
        <v>1091.7</v>
      </c>
    </row>
    <row r="864" spans="1:6" x14ac:dyDescent="0.25">
      <c r="A864" s="6" t="s">
        <v>145</v>
      </c>
      <c r="B864" s="7" t="s">
        <v>146</v>
      </c>
      <c r="C864" s="7" t="s">
        <v>14</v>
      </c>
      <c r="D864" s="8">
        <v>41971</v>
      </c>
      <c r="E864" s="8">
        <v>41975</v>
      </c>
      <c r="F864" s="9">
        <v>674.5</v>
      </c>
    </row>
    <row r="865" spans="1:6" x14ac:dyDescent="0.25">
      <c r="A865" s="10" t="s">
        <v>156</v>
      </c>
      <c r="B865" s="11" t="s">
        <v>157</v>
      </c>
      <c r="C865" s="11" t="s">
        <v>8</v>
      </c>
      <c r="D865" s="12">
        <v>41971</v>
      </c>
      <c r="E865" s="12">
        <v>41975</v>
      </c>
      <c r="F865" s="13">
        <v>1524</v>
      </c>
    </row>
    <row r="866" spans="1:6" x14ac:dyDescent="0.25">
      <c r="A866" s="6" t="s">
        <v>137</v>
      </c>
      <c r="B866" s="7" t="s">
        <v>160</v>
      </c>
      <c r="C866" s="7" t="s">
        <v>30</v>
      </c>
      <c r="D866" s="8">
        <v>41971</v>
      </c>
      <c r="E866" s="8">
        <v>41975</v>
      </c>
      <c r="F866" s="9">
        <v>688.5</v>
      </c>
    </row>
    <row r="867" spans="1:6" x14ac:dyDescent="0.25">
      <c r="A867" s="10" t="s">
        <v>158</v>
      </c>
      <c r="B867" s="11" t="s">
        <v>159</v>
      </c>
      <c r="C867" s="11" t="s">
        <v>24</v>
      </c>
      <c r="D867" s="12">
        <v>41971</v>
      </c>
      <c r="E867" s="12">
        <v>41972</v>
      </c>
      <c r="F867" s="13">
        <v>439.7</v>
      </c>
    </row>
    <row r="868" spans="1:6" x14ac:dyDescent="0.25">
      <c r="A868" s="6" t="s">
        <v>31</v>
      </c>
      <c r="B868" s="7" t="s">
        <v>77</v>
      </c>
      <c r="C868" s="7" t="s">
        <v>72</v>
      </c>
      <c r="D868" s="8">
        <v>41971</v>
      </c>
      <c r="E868" s="8">
        <v>41972</v>
      </c>
      <c r="F868" s="9">
        <v>693.7</v>
      </c>
    </row>
    <row r="869" spans="1:6" x14ac:dyDescent="0.25">
      <c r="A869" s="10" t="s">
        <v>57</v>
      </c>
      <c r="B869" s="11" t="s">
        <v>58</v>
      </c>
      <c r="C869" s="11" t="s">
        <v>8</v>
      </c>
      <c r="D869" s="12">
        <v>41971</v>
      </c>
      <c r="E869" s="12">
        <v>41974</v>
      </c>
      <c r="F869" s="13">
        <v>1313</v>
      </c>
    </row>
    <row r="870" spans="1:6" x14ac:dyDescent="0.25">
      <c r="A870" s="6" t="s">
        <v>86</v>
      </c>
      <c r="B870" s="7" t="s">
        <v>136</v>
      </c>
      <c r="C870" s="7" t="s">
        <v>8</v>
      </c>
      <c r="D870" s="8">
        <v>41971</v>
      </c>
      <c r="E870" s="8">
        <v>41972</v>
      </c>
      <c r="F870" s="9">
        <v>891</v>
      </c>
    </row>
    <row r="871" spans="1:6" x14ac:dyDescent="0.25">
      <c r="A871" s="10" t="s">
        <v>170</v>
      </c>
      <c r="B871" s="11" t="s">
        <v>171</v>
      </c>
      <c r="C871" s="11" t="s">
        <v>24</v>
      </c>
      <c r="D871" s="12">
        <v>41972</v>
      </c>
      <c r="E871" s="12">
        <v>41973</v>
      </c>
      <c r="F871" s="13">
        <v>439.7</v>
      </c>
    </row>
    <row r="872" spans="1:6" x14ac:dyDescent="0.25">
      <c r="A872" s="6" t="s">
        <v>115</v>
      </c>
      <c r="B872" s="7" t="s">
        <v>140</v>
      </c>
      <c r="C872" s="7" t="s">
        <v>8</v>
      </c>
      <c r="D872" s="8">
        <v>41974</v>
      </c>
      <c r="E872" s="8">
        <v>41974</v>
      </c>
      <c r="F872" s="9">
        <v>680</v>
      </c>
    </row>
    <row r="873" spans="1:6" x14ac:dyDescent="0.25">
      <c r="A873" s="10" t="s">
        <v>33</v>
      </c>
      <c r="B873" s="11" t="s">
        <v>34</v>
      </c>
      <c r="C873" s="11" t="s">
        <v>59</v>
      </c>
      <c r="D873" s="12">
        <v>41974</v>
      </c>
      <c r="E873" s="12">
        <v>41974</v>
      </c>
      <c r="F873" s="13">
        <v>442</v>
      </c>
    </row>
    <row r="874" spans="1:6" x14ac:dyDescent="0.25">
      <c r="A874" s="6" t="s">
        <v>126</v>
      </c>
      <c r="B874" s="7" t="s">
        <v>127</v>
      </c>
      <c r="C874" s="7" t="s">
        <v>14</v>
      </c>
      <c r="D874" s="8">
        <v>41974</v>
      </c>
      <c r="E874" s="8">
        <v>41975</v>
      </c>
      <c r="F874" s="9">
        <v>302.5</v>
      </c>
    </row>
    <row r="875" spans="1:6" x14ac:dyDescent="0.25">
      <c r="A875" s="10" t="s">
        <v>73</v>
      </c>
      <c r="B875" s="11" t="s">
        <v>74</v>
      </c>
      <c r="C875" s="11" t="s">
        <v>19</v>
      </c>
      <c r="D875" s="12">
        <v>41974</v>
      </c>
      <c r="E875" s="12">
        <v>41974</v>
      </c>
      <c r="F875" s="13">
        <v>513.4</v>
      </c>
    </row>
    <row r="876" spans="1:6" x14ac:dyDescent="0.25">
      <c r="A876" s="6" t="s">
        <v>151</v>
      </c>
      <c r="B876" s="7" t="s">
        <v>152</v>
      </c>
      <c r="C876" s="7" t="s">
        <v>59</v>
      </c>
      <c r="D876" s="8">
        <v>41974</v>
      </c>
      <c r="E876" s="8">
        <v>41974</v>
      </c>
      <c r="F876" s="9">
        <v>442</v>
      </c>
    </row>
    <row r="877" spans="1:6" x14ac:dyDescent="0.25">
      <c r="A877" s="10" t="s">
        <v>147</v>
      </c>
      <c r="B877" s="11" t="s">
        <v>148</v>
      </c>
      <c r="C877" s="11" t="s">
        <v>72</v>
      </c>
      <c r="D877" s="12">
        <v>41974</v>
      </c>
      <c r="E877" s="12">
        <v>41974</v>
      </c>
      <c r="F877" s="13">
        <v>494.7</v>
      </c>
    </row>
    <row r="878" spans="1:6" x14ac:dyDescent="0.25">
      <c r="A878" s="6" t="s">
        <v>93</v>
      </c>
      <c r="B878" s="7" t="s">
        <v>94</v>
      </c>
      <c r="C878" s="7" t="s">
        <v>19</v>
      </c>
      <c r="D878" s="8">
        <v>41974</v>
      </c>
      <c r="E878" s="8">
        <v>41974</v>
      </c>
      <c r="F878" s="9">
        <v>513.4</v>
      </c>
    </row>
    <row r="879" spans="1:6" x14ac:dyDescent="0.25">
      <c r="A879" s="10" t="s">
        <v>131</v>
      </c>
      <c r="B879" s="11" t="s">
        <v>154</v>
      </c>
      <c r="C879" s="11" t="s">
        <v>59</v>
      </c>
      <c r="D879" s="12">
        <v>41975</v>
      </c>
      <c r="E879" s="12">
        <v>41975</v>
      </c>
      <c r="F879" s="13">
        <v>442</v>
      </c>
    </row>
    <row r="880" spans="1:6" x14ac:dyDescent="0.25">
      <c r="A880" s="6" t="s">
        <v>22</v>
      </c>
      <c r="B880" s="7" t="s">
        <v>172</v>
      </c>
      <c r="C880" s="7" t="s">
        <v>30</v>
      </c>
      <c r="D880" s="8">
        <v>41975</v>
      </c>
      <c r="E880" s="8">
        <v>41976</v>
      </c>
      <c r="F880" s="9">
        <v>331.5</v>
      </c>
    </row>
    <row r="881" spans="1:6" x14ac:dyDescent="0.25">
      <c r="A881" s="10" t="s">
        <v>54</v>
      </c>
      <c r="B881" s="11" t="s">
        <v>133</v>
      </c>
      <c r="C881" s="11" t="s">
        <v>47</v>
      </c>
      <c r="D881" s="12">
        <v>41975</v>
      </c>
      <c r="E881" s="12">
        <v>41977</v>
      </c>
      <c r="F881" s="13">
        <v>689.8</v>
      </c>
    </row>
    <row r="882" spans="1:6" x14ac:dyDescent="0.25">
      <c r="A882" s="6" t="s">
        <v>50</v>
      </c>
      <c r="B882" s="7" t="s">
        <v>51</v>
      </c>
      <c r="C882" s="7" t="s">
        <v>38</v>
      </c>
      <c r="D882" s="8">
        <v>41975</v>
      </c>
      <c r="E882" s="8">
        <v>41975</v>
      </c>
      <c r="F882" s="9">
        <v>278.8</v>
      </c>
    </row>
    <row r="883" spans="1:6" x14ac:dyDescent="0.25">
      <c r="A883" s="10" t="s">
        <v>158</v>
      </c>
      <c r="B883" s="11" t="s">
        <v>159</v>
      </c>
      <c r="C883" s="11" t="s">
        <v>11</v>
      </c>
      <c r="D883" s="12">
        <v>41975</v>
      </c>
      <c r="E883" s="12">
        <v>41975</v>
      </c>
      <c r="F883" s="13">
        <v>156.4</v>
      </c>
    </row>
    <row r="884" spans="1:6" x14ac:dyDescent="0.25">
      <c r="A884" s="6" t="s">
        <v>115</v>
      </c>
      <c r="B884" s="7" t="s">
        <v>116</v>
      </c>
      <c r="C884" s="7" t="s">
        <v>24</v>
      </c>
      <c r="D884" s="8">
        <v>41975</v>
      </c>
      <c r="E884" s="8">
        <v>41975</v>
      </c>
      <c r="F884" s="9">
        <v>290.7</v>
      </c>
    </row>
    <row r="885" spans="1:6" x14ac:dyDescent="0.25">
      <c r="A885" s="10" t="s">
        <v>170</v>
      </c>
      <c r="B885" s="11" t="s">
        <v>171</v>
      </c>
      <c r="C885" s="11" t="s">
        <v>38</v>
      </c>
      <c r="D885" s="12">
        <v>41976</v>
      </c>
      <c r="E885" s="12">
        <v>41976</v>
      </c>
      <c r="F885" s="13">
        <v>278.8</v>
      </c>
    </row>
    <row r="886" spans="1:6" x14ac:dyDescent="0.25">
      <c r="A886" s="6" t="s">
        <v>54</v>
      </c>
      <c r="B886" s="7" t="s">
        <v>81</v>
      </c>
      <c r="C886" s="7" t="s">
        <v>19</v>
      </c>
      <c r="D886" s="8">
        <v>41977</v>
      </c>
      <c r="E886" s="8">
        <v>41977</v>
      </c>
      <c r="F886" s="9">
        <v>513.4</v>
      </c>
    </row>
    <row r="887" spans="1:6" x14ac:dyDescent="0.25">
      <c r="A887" s="10" t="s">
        <v>99</v>
      </c>
      <c r="B887" s="11" t="s">
        <v>130</v>
      </c>
      <c r="C887" s="11" t="s">
        <v>24</v>
      </c>
      <c r="D887" s="12">
        <v>41977</v>
      </c>
      <c r="E887" s="12">
        <v>41978</v>
      </c>
      <c r="F887" s="13">
        <v>439.7</v>
      </c>
    </row>
    <row r="888" spans="1:6" x14ac:dyDescent="0.25">
      <c r="A888" s="6" t="s">
        <v>97</v>
      </c>
      <c r="B888" s="7" t="s">
        <v>98</v>
      </c>
      <c r="C888" s="7" t="s">
        <v>14</v>
      </c>
      <c r="D888" s="8">
        <v>41977</v>
      </c>
      <c r="E888" s="8">
        <v>41978</v>
      </c>
      <c r="F888" s="9">
        <v>302.5</v>
      </c>
    </row>
    <row r="889" spans="1:6" x14ac:dyDescent="0.25">
      <c r="A889" s="10" t="s">
        <v>73</v>
      </c>
      <c r="B889" s="11" t="s">
        <v>155</v>
      </c>
      <c r="C889" s="11" t="s">
        <v>11</v>
      </c>
      <c r="D889" s="12">
        <v>41977</v>
      </c>
      <c r="E889" s="12">
        <v>41978</v>
      </c>
      <c r="F889" s="13">
        <v>295.39999999999998</v>
      </c>
    </row>
    <row r="890" spans="1:6" x14ac:dyDescent="0.25">
      <c r="A890" s="6" t="s">
        <v>109</v>
      </c>
      <c r="B890" s="7" t="s">
        <v>110</v>
      </c>
      <c r="C890" s="7" t="s">
        <v>24</v>
      </c>
      <c r="D890" s="8">
        <v>41977</v>
      </c>
      <c r="E890" s="8">
        <v>41981</v>
      </c>
      <c r="F890" s="9">
        <v>886.7</v>
      </c>
    </row>
    <row r="891" spans="1:6" x14ac:dyDescent="0.25">
      <c r="A891" s="10" t="s">
        <v>20</v>
      </c>
      <c r="B891" s="11" t="s">
        <v>162</v>
      </c>
      <c r="C891" s="11" t="s">
        <v>72</v>
      </c>
      <c r="D891" s="12">
        <v>41977</v>
      </c>
      <c r="E891" s="12">
        <v>41981</v>
      </c>
      <c r="F891" s="13">
        <v>1290.7</v>
      </c>
    </row>
    <row r="892" spans="1:6" x14ac:dyDescent="0.25">
      <c r="A892" s="6" t="s">
        <v>15</v>
      </c>
      <c r="B892" s="7" t="s">
        <v>16</v>
      </c>
      <c r="C892" s="7" t="s">
        <v>38</v>
      </c>
      <c r="D892" s="8">
        <v>41977</v>
      </c>
      <c r="E892" s="8">
        <v>41979</v>
      </c>
      <c r="F892" s="9">
        <v>536.79999999999995</v>
      </c>
    </row>
    <row r="893" spans="1:6" x14ac:dyDescent="0.25">
      <c r="A893" s="10" t="s">
        <v>31</v>
      </c>
      <c r="B893" s="11" t="s">
        <v>78</v>
      </c>
      <c r="C893" s="11" t="s">
        <v>24</v>
      </c>
      <c r="D893" s="12">
        <v>41982</v>
      </c>
      <c r="E893" s="12">
        <v>41983</v>
      </c>
      <c r="F893" s="13">
        <v>439.7</v>
      </c>
    </row>
    <row r="894" spans="1:6" x14ac:dyDescent="0.25">
      <c r="A894" s="6" t="s">
        <v>33</v>
      </c>
      <c r="B894" s="7" t="s">
        <v>141</v>
      </c>
      <c r="C894" s="7" t="s">
        <v>38</v>
      </c>
      <c r="D894" s="8">
        <v>41982</v>
      </c>
      <c r="E894" s="8">
        <v>41982</v>
      </c>
      <c r="F894" s="9">
        <v>278.8</v>
      </c>
    </row>
    <row r="895" spans="1:6" x14ac:dyDescent="0.25">
      <c r="A895" s="10" t="s">
        <v>48</v>
      </c>
      <c r="B895" s="11" t="s">
        <v>49</v>
      </c>
      <c r="C895" s="11" t="s">
        <v>24</v>
      </c>
      <c r="D895" s="12">
        <v>41982</v>
      </c>
      <c r="E895" s="12">
        <v>41985</v>
      </c>
      <c r="F895" s="13">
        <v>737.7</v>
      </c>
    </row>
    <row r="896" spans="1:6" x14ac:dyDescent="0.25">
      <c r="A896" s="6" t="s">
        <v>6</v>
      </c>
      <c r="B896" s="7" t="s">
        <v>139</v>
      </c>
      <c r="C896" s="7" t="s">
        <v>30</v>
      </c>
      <c r="D896" s="8">
        <v>41982</v>
      </c>
      <c r="E896" s="8">
        <v>41983</v>
      </c>
      <c r="F896" s="9">
        <v>331.5</v>
      </c>
    </row>
    <row r="897" spans="1:6" x14ac:dyDescent="0.25">
      <c r="A897" s="10" t="s">
        <v>122</v>
      </c>
      <c r="B897" s="11" t="s">
        <v>123</v>
      </c>
      <c r="C897" s="11" t="s">
        <v>59</v>
      </c>
      <c r="D897" s="12">
        <v>41982</v>
      </c>
      <c r="E897" s="12">
        <v>41982</v>
      </c>
      <c r="F897" s="13">
        <v>442</v>
      </c>
    </row>
    <row r="898" spans="1:6" x14ac:dyDescent="0.25">
      <c r="A898" s="6" t="s">
        <v>93</v>
      </c>
      <c r="B898" s="7" t="s">
        <v>124</v>
      </c>
      <c r="C898" s="7" t="s">
        <v>72</v>
      </c>
      <c r="D898" s="8">
        <v>41982</v>
      </c>
      <c r="E898" s="8">
        <v>41982</v>
      </c>
      <c r="F898" s="9">
        <v>494.7</v>
      </c>
    </row>
    <row r="899" spans="1:6" x14ac:dyDescent="0.25">
      <c r="A899" s="10" t="s">
        <v>31</v>
      </c>
      <c r="B899" s="11" t="s">
        <v>32</v>
      </c>
      <c r="C899" s="11" t="s">
        <v>8</v>
      </c>
      <c r="D899" s="12">
        <v>41982</v>
      </c>
      <c r="E899" s="12">
        <v>41984</v>
      </c>
      <c r="F899" s="13">
        <v>1102</v>
      </c>
    </row>
    <row r="900" spans="1:6" x14ac:dyDescent="0.25">
      <c r="A900" s="6" t="s">
        <v>61</v>
      </c>
      <c r="B900" s="7" t="s">
        <v>62</v>
      </c>
      <c r="C900" s="7" t="s">
        <v>30</v>
      </c>
      <c r="D900" s="8">
        <v>41982</v>
      </c>
      <c r="E900" s="8">
        <v>41986</v>
      </c>
      <c r="F900" s="9">
        <v>688.5</v>
      </c>
    </row>
    <row r="901" spans="1:6" x14ac:dyDescent="0.25">
      <c r="A901" s="10" t="s">
        <v>170</v>
      </c>
      <c r="B901" s="11" t="s">
        <v>171</v>
      </c>
      <c r="C901" s="11" t="s">
        <v>27</v>
      </c>
      <c r="D901" s="12">
        <v>41982</v>
      </c>
      <c r="E901" s="12">
        <v>41983</v>
      </c>
      <c r="F901" s="13">
        <v>570</v>
      </c>
    </row>
    <row r="902" spans="1:6" x14ac:dyDescent="0.25">
      <c r="A902" s="6" t="s">
        <v>168</v>
      </c>
      <c r="B902" s="7" t="s">
        <v>169</v>
      </c>
      <c r="C902" s="7" t="s">
        <v>59</v>
      </c>
      <c r="D902" s="8">
        <v>41982</v>
      </c>
      <c r="E902" s="8">
        <v>41984</v>
      </c>
      <c r="F902" s="9">
        <v>760</v>
      </c>
    </row>
    <row r="903" spans="1:6" x14ac:dyDescent="0.25">
      <c r="A903" s="10" t="s">
        <v>33</v>
      </c>
      <c r="B903" s="11" t="s">
        <v>34</v>
      </c>
      <c r="C903" s="11" t="s">
        <v>8</v>
      </c>
      <c r="D903" s="12">
        <v>41982</v>
      </c>
      <c r="E903" s="12">
        <v>41983</v>
      </c>
      <c r="F903" s="13">
        <v>891</v>
      </c>
    </row>
    <row r="904" spans="1:6" x14ac:dyDescent="0.25">
      <c r="A904" s="6" t="s">
        <v>9</v>
      </c>
      <c r="B904" s="7" t="s">
        <v>10</v>
      </c>
      <c r="C904" s="7" t="s">
        <v>72</v>
      </c>
      <c r="D904" s="8">
        <v>41982</v>
      </c>
      <c r="E904" s="8">
        <v>41984</v>
      </c>
      <c r="F904" s="9">
        <v>892.7</v>
      </c>
    </row>
    <row r="905" spans="1:6" x14ac:dyDescent="0.25">
      <c r="A905" s="10" t="s">
        <v>73</v>
      </c>
      <c r="B905" s="11" t="s">
        <v>74</v>
      </c>
      <c r="C905" s="11" t="s">
        <v>11</v>
      </c>
      <c r="D905" s="12">
        <v>41982</v>
      </c>
      <c r="E905" s="12">
        <v>41985</v>
      </c>
      <c r="F905" s="13">
        <v>573.4</v>
      </c>
    </row>
    <row r="906" spans="1:6" x14ac:dyDescent="0.25">
      <c r="A906" s="6" t="s">
        <v>101</v>
      </c>
      <c r="B906" s="7" t="s">
        <v>102</v>
      </c>
      <c r="C906" s="7" t="s">
        <v>30</v>
      </c>
      <c r="D906" s="8">
        <v>41982</v>
      </c>
      <c r="E906" s="8">
        <v>41985</v>
      </c>
      <c r="F906" s="9">
        <v>569.5</v>
      </c>
    </row>
    <row r="907" spans="1:6" x14ac:dyDescent="0.25">
      <c r="A907" s="10" t="s">
        <v>86</v>
      </c>
      <c r="B907" s="11" t="s">
        <v>87</v>
      </c>
      <c r="C907" s="11" t="s">
        <v>14</v>
      </c>
      <c r="D907" s="12">
        <v>41982</v>
      </c>
      <c r="E907" s="12">
        <v>41986</v>
      </c>
      <c r="F907" s="13">
        <v>674.5</v>
      </c>
    </row>
    <row r="908" spans="1:6" x14ac:dyDescent="0.25">
      <c r="A908" s="6" t="s">
        <v>107</v>
      </c>
      <c r="B908" s="7" t="s">
        <v>108</v>
      </c>
      <c r="C908" s="7" t="s">
        <v>19</v>
      </c>
      <c r="D908" s="8">
        <v>41982</v>
      </c>
      <c r="E908" s="8">
        <v>41983</v>
      </c>
      <c r="F908" s="9">
        <v>654.4</v>
      </c>
    </row>
    <row r="909" spans="1:6" x14ac:dyDescent="0.25">
      <c r="A909" s="10" t="s">
        <v>134</v>
      </c>
      <c r="B909" s="11" t="s">
        <v>149</v>
      </c>
      <c r="C909" s="11" t="s">
        <v>8</v>
      </c>
      <c r="D909" s="12">
        <v>41982</v>
      </c>
      <c r="E909" s="12">
        <v>41983</v>
      </c>
      <c r="F909" s="13">
        <v>891</v>
      </c>
    </row>
    <row r="910" spans="1:6" x14ac:dyDescent="0.25">
      <c r="A910" s="6" t="s">
        <v>111</v>
      </c>
      <c r="B910" s="7" t="s">
        <v>112</v>
      </c>
      <c r="C910" s="7" t="s">
        <v>59</v>
      </c>
      <c r="D910" s="8">
        <v>41982</v>
      </c>
      <c r="E910" s="8">
        <v>41984</v>
      </c>
      <c r="F910" s="9">
        <v>760</v>
      </c>
    </row>
    <row r="911" spans="1:6" x14ac:dyDescent="0.25">
      <c r="A911" s="10" t="s">
        <v>93</v>
      </c>
      <c r="B911" s="11" t="s">
        <v>94</v>
      </c>
      <c r="C911" s="11" t="s">
        <v>66</v>
      </c>
      <c r="D911" s="12">
        <v>41982</v>
      </c>
      <c r="E911" s="12">
        <v>41986</v>
      </c>
      <c r="F911" s="13">
        <v>1019.7</v>
      </c>
    </row>
    <row r="912" spans="1:6" x14ac:dyDescent="0.25">
      <c r="A912" s="6" t="s">
        <v>70</v>
      </c>
      <c r="B912" s="7" t="s">
        <v>117</v>
      </c>
      <c r="C912" s="7" t="s">
        <v>47</v>
      </c>
      <c r="D912" s="8">
        <v>41982</v>
      </c>
      <c r="E912" s="8">
        <v>41983</v>
      </c>
      <c r="F912" s="9">
        <v>526.79999999999995</v>
      </c>
    </row>
    <row r="913" spans="1:6" x14ac:dyDescent="0.25">
      <c r="A913" s="10" t="s">
        <v>86</v>
      </c>
      <c r="B913" s="11" t="s">
        <v>136</v>
      </c>
      <c r="C913" s="11" t="s">
        <v>47</v>
      </c>
      <c r="D913" s="12">
        <v>41982</v>
      </c>
      <c r="E913" s="12">
        <v>41983</v>
      </c>
      <c r="F913" s="13">
        <v>526.79999999999995</v>
      </c>
    </row>
    <row r="914" spans="1:6" x14ac:dyDescent="0.25">
      <c r="A914" s="6" t="s">
        <v>15</v>
      </c>
      <c r="B914" s="7" t="s">
        <v>44</v>
      </c>
      <c r="C914" s="7" t="s">
        <v>17</v>
      </c>
      <c r="D914" s="8">
        <v>41983</v>
      </c>
      <c r="E914" s="8">
        <v>41984</v>
      </c>
      <c r="F914" s="9">
        <v>706.5</v>
      </c>
    </row>
    <row r="915" spans="1:6" x14ac:dyDescent="0.25">
      <c r="A915" s="10" t="s">
        <v>6</v>
      </c>
      <c r="B915" s="11" t="s">
        <v>7</v>
      </c>
      <c r="C915" s="11" t="s">
        <v>30</v>
      </c>
      <c r="D915" s="12">
        <v>41983</v>
      </c>
      <c r="E915" s="12">
        <v>41984</v>
      </c>
      <c r="F915" s="13">
        <v>331.5</v>
      </c>
    </row>
    <row r="916" spans="1:6" x14ac:dyDescent="0.25">
      <c r="A916" s="6" t="s">
        <v>128</v>
      </c>
      <c r="B916" s="7" t="s">
        <v>129</v>
      </c>
      <c r="C916" s="7" t="s">
        <v>14</v>
      </c>
      <c r="D916" s="8">
        <v>41983</v>
      </c>
      <c r="E916" s="8">
        <v>41986</v>
      </c>
      <c r="F916" s="9">
        <v>550.5</v>
      </c>
    </row>
    <row r="917" spans="1:6" x14ac:dyDescent="0.25">
      <c r="A917" s="10" t="s">
        <v>82</v>
      </c>
      <c r="B917" s="11" t="s">
        <v>83</v>
      </c>
      <c r="C917" s="11" t="s">
        <v>17</v>
      </c>
      <c r="D917" s="12">
        <v>41983</v>
      </c>
      <c r="E917" s="12">
        <v>41986</v>
      </c>
      <c r="F917" s="13">
        <v>1116.5</v>
      </c>
    </row>
    <row r="918" spans="1:6" x14ac:dyDescent="0.25">
      <c r="A918" s="6" t="s">
        <v>25</v>
      </c>
      <c r="B918" s="7" t="s">
        <v>67</v>
      </c>
      <c r="C918" s="7" t="s">
        <v>24</v>
      </c>
      <c r="D918" s="8">
        <v>41983</v>
      </c>
      <c r="E918" s="8">
        <v>41984</v>
      </c>
      <c r="F918" s="9">
        <v>439.7</v>
      </c>
    </row>
    <row r="919" spans="1:6" x14ac:dyDescent="0.25">
      <c r="A919" s="10" t="s">
        <v>28</v>
      </c>
      <c r="B919" s="11" t="s">
        <v>60</v>
      </c>
      <c r="C919" s="11" t="s">
        <v>59</v>
      </c>
      <c r="D919" s="12">
        <v>41983</v>
      </c>
      <c r="E919" s="12">
        <v>41983</v>
      </c>
      <c r="F919" s="13">
        <v>442</v>
      </c>
    </row>
    <row r="920" spans="1:6" x14ac:dyDescent="0.25">
      <c r="A920" s="6" t="s">
        <v>28</v>
      </c>
      <c r="B920" s="7" t="s">
        <v>29</v>
      </c>
      <c r="C920" s="7" t="s">
        <v>17</v>
      </c>
      <c r="D920" s="8">
        <v>41983</v>
      </c>
      <c r="E920" s="8">
        <v>41985</v>
      </c>
      <c r="F920" s="9">
        <v>911.5</v>
      </c>
    </row>
    <row r="921" spans="1:6" x14ac:dyDescent="0.25">
      <c r="A921" s="10" t="s">
        <v>82</v>
      </c>
      <c r="B921" s="11" t="s">
        <v>125</v>
      </c>
      <c r="C921" s="11" t="s">
        <v>47</v>
      </c>
      <c r="D921" s="12">
        <v>41983</v>
      </c>
      <c r="E921" s="12">
        <v>41987</v>
      </c>
      <c r="F921" s="13">
        <v>1015.8</v>
      </c>
    </row>
    <row r="922" spans="1:6" x14ac:dyDescent="0.25">
      <c r="A922" s="6" t="s">
        <v>70</v>
      </c>
      <c r="B922" s="7" t="s">
        <v>71</v>
      </c>
      <c r="C922" s="7" t="s">
        <v>30</v>
      </c>
      <c r="D922" s="8">
        <v>41983</v>
      </c>
      <c r="E922" s="8">
        <v>41984</v>
      </c>
      <c r="F922" s="9">
        <v>331.5</v>
      </c>
    </row>
    <row r="923" spans="1:6" x14ac:dyDescent="0.25">
      <c r="A923" s="10" t="s">
        <v>6</v>
      </c>
      <c r="B923" s="11" t="s">
        <v>56</v>
      </c>
      <c r="C923" s="11" t="s">
        <v>27</v>
      </c>
      <c r="D923" s="12">
        <v>41983</v>
      </c>
      <c r="E923" s="12">
        <v>41987</v>
      </c>
      <c r="F923" s="13">
        <v>954</v>
      </c>
    </row>
    <row r="924" spans="1:6" x14ac:dyDescent="0.25">
      <c r="A924" s="6" t="s">
        <v>9</v>
      </c>
      <c r="B924" s="7" t="s">
        <v>69</v>
      </c>
      <c r="C924" s="7" t="s">
        <v>8</v>
      </c>
      <c r="D924" s="8">
        <v>41983</v>
      </c>
      <c r="E924" s="8">
        <v>41985</v>
      </c>
      <c r="F924" s="9">
        <v>1102</v>
      </c>
    </row>
    <row r="925" spans="1:6" x14ac:dyDescent="0.25">
      <c r="A925" s="10" t="s">
        <v>93</v>
      </c>
      <c r="B925" s="11" t="s">
        <v>106</v>
      </c>
      <c r="C925" s="11" t="s">
        <v>66</v>
      </c>
      <c r="D925" s="12">
        <v>41983</v>
      </c>
      <c r="E925" s="12">
        <v>41984</v>
      </c>
      <c r="F925" s="13">
        <v>485.7</v>
      </c>
    </row>
    <row r="926" spans="1:6" x14ac:dyDescent="0.25">
      <c r="A926" s="6" t="s">
        <v>54</v>
      </c>
      <c r="B926" s="7" t="s">
        <v>121</v>
      </c>
      <c r="C926" s="7" t="s">
        <v>38</v>
      </c>
      <c r="D926" s="8">
        <v>41983</v>
      </c>
      <c r="E926" s="8">
        <v>41986</v>
      </c>
      <c r="F926" s="9">
        <v>665.8</v>
      </c>
    </row>
    <row r="927" spans="1:6" x14ac:dyDescent="0.25">
      <c r="A927" s="10" t="s">
        <v>145</v>
      </c>
      <c r="B927" s="11" t="s">
        <v>146</v>
      </c>
      <c r="C927" s="11" t="s">
        <v>24</v>
      </c>
      <c r="D927" s="12">
        <v>41983</v>
      </c>
      <c r="E927" s="12">
        <v>41985</v>
      </c>
      <c r="F927" s="13">
        <v>588.70000000000005</v>
      </c>
    </row>
    <row r="928" spans="1:6" x14ac:dyDescent="0.25">
      <c r="A928" s="6" t="s">
        <v>25</v>
      </c>
      <c r="B928" s="7" t="s">
        <v>35</v>
      </c>
      <c r="C928" s="7" t="s">
        <v>72</v>
      </c>
      <c r="D928" s="8">
        <v>41983</v>
      </c>
      <c r="E928" s="8">
        <v>41986</v>
      </c>
      <c r="F928" s="9">
        <v>1091.7</v>
      </c>
    </row>
    <row r="929" spans="1:6" x14ac:dyDescent="0.25">
      <c r="A929" s="10" t="s">
        <v>12</v>
      </c>
      <c r="B929" s="11" t="s">
        <v>13</v>
      </c>
      <c r="C929" s="11" t="s">
        <v>47</v>
      </c>
      <c r="D929" s="12">
        <v>41983</v>
      </c>
      <c r="E929" s="12">
        <v>41987</v>
      </c>
      <c r="F929" s="13">
        <v>1015.8</v>
      </c>
    </row>
    <row r="930" spans="1:6" x14ac:dyDescent="0.25">
      <c r="A930" s="6" t="s">
        <v>75</v>
      </c>
      <c r="B930" s="7" t="s">
        <v>88</v>
      </c>
      <c r="C930" s="7" t="s">
        <v>19</v>
      </c>
      <c r="D930" s="8">
        <v>41983</v>
      </c>
      <c r="E930" s="8">
        <v>41984</v>
      </c>
      <c r="F930" s="9">
        <v>654.4</v>
      </c>
    </row>
    <row r="931" spans="1:6" x14ac:dyDescent="0.25">
      <c r="A931" s="10" t="s">
        <v>166</v>
      </c>
      <c r="B931" s="11" t="s">
        <v>167</v>
      </c>
      <c r="C931" s="11" t="s">
        <v>38</v>
      </c>
      <c r="D931" s="12">
        <v>41983</v>
      </c>
      <c r="E931" s="12">
        <v>41984</v>
      </c>
      <c r="F931" s="13">
        <v>407.8</v>
      </c>
    </row>
    <row r="932" spans="1:6" x14ac:dyDescent="0.25">
      <c r="A932" s="6" t="s">
        <v>6</v>
      </c>
      <c r="B932" s="7" t="s">
        <v>45</v>
      </c>
      <c r="C932" s="7" t="s">
        <v>11</v>
      </c>
      <c r="D932" s="8">
        <v>41983</v>
      </c>
      <c r="E932" s="8">
        <v>41983</v>
      </c>
      <c r="F932" s="9">
        <v>156.4</v>
      </c>
    </row>
    <row r="933" spans="1:6" x14ac:dyDescent="0.25">
      <c r="A933" s="10" t="s">
        <v>20</v>
      </c>
      <c r="B933" s="11" t="s">
        <v>162</v>
      </c>
      <c r="C933" s="11" t="s">
        <v>14</v>
      </c>
      <c r="D933" s="12">
        <v>41983</v>
      </c>
      <c r="E933" s="12">
        <v>41986</v>
      </c>
      <c r="F933" s="13">
        <v>550.5</v>
      </c>
    </row>
    <row r="934" spans="1:6" x14ac:dyDescent="0.25">
      <c r="A934" s="6" t="s">
        <v>15</v>
      </c>
      <c r="B934" s="7" t="s">
        <v>16</v>
      </c>
      <c r="C934" s="7" t="s">
        <v>8</v>
      </c>
      <c r="D934" s="8">
        <v>41983</v>
      </c>
      <c r="E934" s="8">
        <v>41987</v>
      </c>
      <c r="F934" s="9">
        <v>1524</v>
      </c>
    </row>
    <row r="935" spans="1:6" x14ac:dyDescent="0.25">
      <c r="A935" s="10" t="s">
        <v>20</v>
      </c>
      <c r="B935" s="11" t="s">
        <v>21</v>
      </c>
      <c r="C935" s="11" t="s">
        <v>38</v>
      </c>
      <c r="D935" s="12">
        <v>41983</v>
      </c>
      <c r="E935" s="12">
        <v>41984</v>
      </c>
      <c r="F935" s="13">
        <v>407.8</v>
      </c>
    </row>
    <row r="936" spans="1:6" x14ac:dyDescent="0.25">
      <c r="A936" s="6" t="s">
        <v>115</v>
      </c>
      <c r="B936" s="7" t="s">
        <v>140</v>
      </c>
      <c r="C936" s="7" t="s">
        <v>17</v>
      </c>
      <c r="D936" s="8">
        <v>41984</v>
      </c>
      <c r="E936" s="8">
        <v>41985</v>
      </c>
      <c r="F936" s="9">
        <v>706.5</v>
      </c>
    </row>
    <row r="937" spans="1:6" x14ac:dyDescent="0.25">
      <c r="A937" s="10" t="s">
        <v>33</v>
      </c>
      <c r="B937" s="11" t="s">
        <v>34</v>
      </c>
      <c r="C937" s="11" t="s">
        <v>24</v>
      </c>
      <c r="D937" s="12">
        <v>41984</v>
      </c>
      <c r="E937" s="12">
        <v>41984</v>
      </c>
      <c r="F937" s="13">
        <v>290.7</v>
      </c>
    </row>
    <row r="938" spans="1:6" x14ac:dyDescent="0.25">
      <c r="A938" s="6" t="s">
        <v>33</v>
      </c>
      <c r="B938" s="7" t="s">
        <v>141</v>
      </c>
      <c r="C938" s="7" t="s">
        <v>27</v>
      </c>
      <c r="D938" s="8">
        <v>41985</v>
      </c>
      <c r="E938" s="8">
        <v>41985</v>
      </c>
      <c r="F938" s="9">
        <v>442</v>
      </c>
    </row>
    <row r="939" spans="1:6" x14ac:dyDescent="0.25">
      <c r="A939" s="10" t="s">
        <v>6</v>
      </c>
      <c r="B939" s="11" t="s">
        <v>139</v>
      </c>
      <c r="C939" s="11" t="s">
        <v>59</v>
      </c>
      <c r="D939" s="12">
        <v>41985</v>
      </c>
      <c r="E939" s="12">
        <v>41985</v>
      </c>
      <c r="F939" s="13">
        <v>442</v>
      </c>
    </row>
    <row r="940" spans="1:6" x14ac:dyDescent="0.25">
      <c r="A940" s="6" t="s">
        <v>122</v>
      </c>
      <c r="B940" s="7" t="s">
        <v>123</v>
      </c>
      <c r="C940" s="7" t="s">
        <v>38</v>
      </c>
      <c r="D940" s="8">
        <v>41985</v>
      </c>
      <c r="E940" s="8">
        <v>41985</v>
      </c>
      <c r="F940" s="9">
        <v>278.8</v>
      </c>
    </row>
    <row r="941" spans="1:6" x14ac:dyDescent="0.25">
      <c r="A941" s="10" t="s">
        <v>93</v>
      </c>
      <c r="B941" s="11" t="s">
        <v>124</v>
      </c>
      <c r="C941" s="11" t="s">
        <v>38</v>
      </c>
      <c r="D941" s="12">
        <v>41985</v>
      </c>
      <c r="E941" s="12">
        <v>41985</v>
      </c>
      <c r="F941" s="13">
        <v>278.8</v>
      </c>
    </row>
    <row r="942" spans="1:6" x14ac:dyDescent="0.25">
      <c r="A942" s="6" t="s">
        <v>86</v>
      </c>
      <c r="B942" s="7" t="s">
        <v>150</v>
      </c>
      <c r="C942" s="7" t="s">
        <v>14</v>
      </c>
      <c r="D942" s="8">
        <v>41985</v>
      </c>
      <c r="E942" s="8">
        <v>41985</v>
      </c>
      <c r="F942" s="9">
        <v>178.5</v>
      </c>
    </row>
    <row r="943" spans="1:6" x14ac:dyDescent="0.25">
      <c r="A943" s="10" t="s">
        <v>119</v>
      </c>
      <c r="B943" s="11" t="s">
        <v>120</v>
      </c>
      <c r="C943" s="11" t="s">
        <v>11</v>
      </c>
      <c r="D943" s="12">
        <v>41985</v>
      </c>
      <c r="E943" s="12">
        <v>41988</v>
      </c>
      <c r="F943" s="13">
        <v>573.4</v>
      </c>
    </row>
    <row r="944" spans="1:6" x14ac:dyDescent="0.25">
      <c r="A944" s="6" t="s">
        <v>134</v>
      </c>
      <c r="B944" s="7" t="s">
        <v>149</v>
      </c>
      <c r="C944" s="7" t="s">
        <v>66</v>
      </c>
      <c r="D944" s="8">
        <v>41985</v>
      </c>
      <c r="E944" s="8">
        <v>41985</v>
      </c>
      <c r="F944" s="9">
        <v>307.7</v>
      </c>
    </row>
    <row r="945" spans="1:6" x14ac:dyDescent="0.25">
      <c r="A945" s="10" t="s">
        <v>113</v>
      </c>
      <c r="B945" s="11" t="s">
        <v>114</v>
      </c>
      <c r="C945" s="11" t="s">
        <v>66</v>
      </c>
      <c r="D945" s="12">
        <v>41985</v>
      </c>
      <c r="E945" s="12">
        <v>41985</v>
      </c>
      <c r="F945" s="13">
        <v>307.7</v>
      </c>
    </row>
    <row r="946" spans="1:6" x14ac:dyDescent="0.25">
      <c r="A946" s="6" t="s">
        <v>91</v>
      </c>
      <c r="B946" s="7" t="s">
        <v>161</v>
      </c>
      <c r="C946" s="7" t="s">
        <v>66</v>
      </c>
      <c r="D946" s="8">
        <v>41985</v>
      </c>
      <c r="E946" s="8">
        <v>41989</v>
      </c>
      <c r="F946" s="9">
        <v>1019.7</v>
      </c>
    </row>
    <row r="947" spans="1:6" x14ac:dyDescent="0.25">
      <c r="A947" s="10" t="s">
        <v>33</v>
      </c>
      <c r="B947" s="11" t="s">
        <v>34</v>
      </c>
      <c r="C947" s="11" t="s">
        <v>17</v>
      </c>
      <c r="D947" s="12">
        <v>41986</v>
      </c>
      <c r="E947" s="12">
        <v>41986</v>
      </c>
      <c r="F947" s="13">
        <v>501.5</v>
      </c>
    </row>
    <row r="948" spans="1:6" x14ac:dyDescent="0.25">
      <c r="A948" s="6" t="s">
        <v>6</v>
      </c>
      <c r="B948" s="7" t="s">
        <v>45</v>
      </c>
      <c r="C948" s="7" t="s">
        <v>17</v>
      </c>
      <c r="D948" s="8">
        <v>41986</v>
      </c>
      <c r="E948" s="8">
        <v>41986</v>
      </c>
      <c r="F948" s="9">
        <v>501.5</v>
      </c>
    </row>
    <row r="949" spans="1:6" x14ac:dyDescent="0.25">
      <c r="A949" s="10" t="s">
        <v>115</v>
      </c>
      <c r="B949" s="11" t="s">
        <v>153</v>
      </c>
      <c r="C949" s="11" t="s">
        <v>30</v>
      </c>
      <c r="D949" s="12">
        <v>41987</v>
      </c>
      <c r="E949" s="12">
        <v>41987</v>
      </c>
      <c r="F949" s="13">
        <v>212.5</v>
      </c>
    </row>
    <row r="950" spans="1:6" x14ac:dyDescent="0.25">
      <c r="A950" s="6" t="s">
        <v>31</v>
      </c>
      <c r="B950" s="7" t="s">
        <v>32</v>
      </c>
      <c r="C950" s="7" t="s">
        <v>17</v>
      </c>
      <c r="D950" s="8">
        <v>41987</v>
      </c>
      <c r="E950" s="8">
        <v>41987</v>
      </c>
      <c r="F950" s="9">
        <v>501.5</v>
      </c>
    </row>
    <row r="951" spans="1:6" x14ac:dyDescent="0.25">
      <c r="A951" s="10" t="s">
        <v>170</v>
      </c>
      <c r="B951" s="11" t="s">
        <v>171</v>
      </c>
      <c r="C951" s="11" t="s">
        <v>11</v>
      </c>
      <c r="D951" s="12">
        <v>41988</v>
      </c>
      <c r="E951" s="12">
        <v>41988</v>
      </c>
      <c r="F951" s="13">
        <v>156.4</v>
      </c>
    </row>
    <row r="952" spans="1:6" x14ac:dyDescent="0.25">
      <c r="A952" s="6" t="s">
        <v>86</v>
      </c>
      <c r="B952" s="7" t="s">
        <v>87</v>
      </c>
      <c r="C952" s="7" t="s">
        <v>30</v>
      </c>
      <c r="D952" s="8">
        <v>41988</v>
      </c>
      <c r="E952" s="8">
        <v>41988</v>
      </c>
      <c r="F952" s="9">
        <v>212.5</v>
      </c>
    </row>
    <row r="953" spans="1:6" x14ac:dyDescent="0.25">
      <c r="A953" s="10" t="s">
        <v>73</v>
      </c>
      <c r="B953" s="11" t="s">
        <v>155</v>
      </c>
      <c r="C953" s="11" t="s">
        <v>11</v>
      </c>
      <c r="D953" s="12">
        <v>41988</v>
      </c>
      <c r="E953" s="12">
        <v>41988</v>
      </c>
      <c r="F953" s="13">
        <v>156.4</v>
      </c>
    </row>
    <row r="954" spans="1:6" x14ac:dyDescent="0.25">
      <c r="A954" s="6" t="s">
        <v>33</v>
      </c>
      <c r="B954" s="7" t="s">
        <v>141</v>
      </c>
      <c r="C954" s="7" t="s">
        <v>8</v>
      </c>
      <c r="D954" s="8">
        <v>41989</v>
      </c>
      <c r="E954" s="8">
        <v>41990</v>
      </c>
      <c r="F954" s="9">
        <v>891</v>
      </c>
    </row>
    <row r="955" spans="1:6" x14ac:dyDescent="0.25">
      <c r="A955" s="10" t="s">
        <v>22</v>
      </c>
      <c r="B955" s="11" t="s">
        <v>172</v>
      </c>
      <c r="C955" s="11" t="s">
        <v>47</v>
      </c>
      <c r="D955" s="12">
        <v>41989</v>
      </c>
      <c r="E955" s="12">
        <v>41992</v>
      </c>
      <c r="F955" s="13">
        <v>852.8</v>
      </c>
    </row>
    <row r="956" spans="1:6" x14ac:dyDescent="0.25">
      <c r="A956" s="6" t="s">
        <v>50</v>
      </c>
      <c r="B956" s="7" t="s">
        <v>51</v>
      </c>
      <c r="C956" s="7" t="s">
        <v>17</v>
      </c>
      <c r="D956" s="8">
        <v>41989</v>
      </c>
      <c r="E956" s="8">
        <v>41990</v>
      </c>
      <c r="F956" s="9">
        <v>706.5</v>
      </c>
    </row>
    <row r="957" spans="1:6" x14ac:dyDescent="0.25">
      <c r="A957" s="10" t="s">
        <v>107</v>
      </c>
      <c r="B957" s="11" t="s">
        <v>108</v>
      </c>
      <c r="C957" s="11" t="s">
        <v>59</v>
      </c>
      <c r="D957" s="12">
        <v>41989</v>
      </c>
      <c r="E957" s="12">
        <v>41989</v>
      </c>
      <c r="F957" s="13">
        <v>442</v>
      </c>
    </row>
    <row r="958" spans="1:6" x14ac:dyDescent="0.25">
      <c r="A958" s="6" t="s">
        <v>109</v>
      </c>
      <c r="B958" s="7" t="s">
        <v>110</v>
      </c>
      <c r="C958" s="7" t="s">
        <v>38</v>
      </c>
      <c r="D958" s="8">
        <v>41989</v>
      </c>
      <c r="E958" s="8">
        <v>41989</v>
      </c>
      <c r="F958" s="9">
        <v>278.8</v>
      </c>
    </row>
    <row r="959" spans="1:6" x14ac:dyDescent="0.25">
      <c r="A959" s="10" t="s">
        <v>15</v>
      </c>
      <c r="B959" s="11" t="s">
        <v>63</v>
      </c>
      <c r="C959" s="11" t="s">
        <v>11</v>
      </c>
      <c r="D959" s="12">
        <v>41989</v>
      </c>
      <c r="E959" s="12">
        <v>41990</v>
      </c>
      <c r="F959" s="13">
        <v>295.39999999999998</v>
      </c>
    </row>
    <row r="960" spans="1:6" x14ac:dyDescent="0.25">
      <c r="A960" s="6" t="s">
        <v>115</v>
      </c>
      <c r="B960" s="7" t="s">
        <v>153</v>
      </c>
      <c r="C960" s="7" t="s">
        <v>47</v>
      </c>
      <c r="D960" s="8">
        <v>41990</v>
      </c>
      <c r="E960" s="8">
        <v>41990</v>
      </c>
      <c r="F960" s="9">
        <v>363.8</v>
      </c>
    </row>
    <row r="961" spans="1:6" x14ac:dyDescent="0.25">
      <c r="A961" s="10" t="s">
        <v>54</v>
      </c>
      <c r="B961" s="11" t="s">
        <v>121</v>
      </c>
      <c r="C961" s="11" t="s">
        <v>17</v>
      </c>
      <c r="D961" s="12">
        <v>41990</v>
      </c>
      <c r="E961" s="12">
        <v>41990</v>
      </c>
      <c r="F961" s="13">
        <v>501.5</v>
      </c>
    </row>
    <row r="962" spans="1:6" x14ac:dyDescent="0.25">
      <c r="A962" s="6" t="s">
        <v>6</v>
      </c>
      <c r="B962" s="7" t="s">
        <v>45</v>
      </c>
      <c r="C962" s="7" t="s">
        <v>19</v>
      </c>
      <c r="D962" s="8">
        <v>41990</v>
      </c>
      <c r="E962" s="8">
        <v>41990</v>
      </c>
      <c r="F962" s="9">
        <v>513.4</v>
      </c>
    </row>
    <row r="963" spans="1:6" x14ac:dyDescent="0.25">
      <c r="A963" s="10" t="s">
        <v>25</v>
      </c>
      <c r="B963" s="11" t="s">
        <v>67</v>
      </c>
      <c r="C963" s="11" t="s">
        <v>47</v>
      </c>
      <c r="D963" s="12">
        <v>41991</v>
      </c>
      <c r="E963" s="12">
        <v>41991</v>
      </c>
      <c r="F963" s="13">
        <v>363.8</v>
      </c>
    </row>
    <row r="964" spans="1:6" x14ac:dyDescent="0.25">
      <c r="A964" s="6" t="s">
        <v>126</v>
      </c>
      <c r="B964" s="7" t="s">
        <v>127</v>
      </c>
      <c r="C964" s="7" t="s">
        <v>47</v>
      </c>
      <c r="D964" s="8">
        <v>41991</v>
      </c>
      <c r="E964" s="8">
        <v>41991</v>
      </c>
      <c r="F964" s="9">
        <v>363.8</v>
      </c>
    </row>
    <row r="965" spans="1:6" x14ac:dyDescent="0.25">
      <c r="A965" s="10" t="s">
        <v>134</v>
      </c>
      <c r="B965" s="11" t="s">
        <v>149</v>
      </c>
      <c r="C965" s="11" t="s">
        <v>24</v>
      </c>
      <c r="D965" s="12">
        <v>41991</v>
      </c>
      <c r="E965" s="12">
        <v>41991</v>
      </c>
      <c r="F965" s="13">
        <v>290.7</v>
      </c>
    </row>
    <row r="966" spans="1:6" x14ac:dyDescent="0.25">
      <c r="A966" s="6" t="s">
        <v>15</v>
      </c>
      <c r="B966" s="7" t="s">
        <v>16</v>
      </c>
      <c r="C966" s="7" t="s">
        <v>30</v>
      </c>
      <c r="D966" s="8">
        <v>41991</v>
      </c>
      <c r="E966" s="8">
        <v>41992</v>
      </c>
      <c r="F966" s="9">
        <v>331.5</v>
      </c>
    </row>
    <row r="967" spans="1:6" x14ac:dyDescent="0.25">
      <c r="A967" s="10" t="s">
        <v>20</v>
      </c>
      <c r="B967" s="11" t="s">
        <v>21</v>
      </c>
      <c r="C967" s="11" t="s">
        <v>72</v>
      </c>
      <c r="D967" s="12">
        <v>41991</v>
      </c>
      <c r="E967" s="12">
        <v>41991</v>
      </c>
      <c r="F967" s="13">
        <v>494.7</v>
      </c>
    </row>
    <row r="968" spans="1:6" x14ac:dyDescent="0.25">
      <c r="A968" s="6" t="s">
        <v>25</v>
      </c>
      <c r="B968" s="7" t="s">
        <v>35</v>
      </c>
      <c r="C968" s="7" t="s">
        <v>11</v>
      </c>
      <c r="D968" s="8">
        <v>41992</v>
      </c>
      <c r="E968" s="8">
        <v>41992</v>
      </c>
      <c r="F968" s="9">
        <v>156.4</v>
      </c>
    </row>
    <row r="969" spans="1:6" x14ac:dyDescent="0.25">
      <c r="A969" s="10" t="s">
        <v>151</v>
      </c>
      <c r="B969" s="11" t="s">
        <v>152</v>
      </c>
      <c r="C969" s="11" t="s">
        <v>72</v>
      </c>
      <c r="D969" s="12">
        <v>41992</v>
      </c>
      <c r="E969" s="12">
        <v>41992</v>
      </c>
      <c r="F969" s="13">
        <v>494.7</v>
      </c>
    </row>
    <row r="970" spans="1:6" x14ac:dyDescent="0.25">
      <c r="A970" s="6" t="s">
        <v>6</v>
      </c>
      <c r="B970" s="7" t="s">
        <v>7</v>
      </c>
      <c r="C970" s="7" t="s">
        <v>66</v>
      </c>
      <c r="D970" s="8">
        <v>41993</v>
      </c>
      <c r="E970" s="8">
        <v>41993</v>
      </c>
      <c r="F970" s="9">
        <v>307.7</v>
      </c>
    </row>
    <row r="971" spans="1:6" x14ac:dyDescent="0.25">
      <c r="A971" s="10" t="s">
        <v>15</v>
      </c>
      <c r="B971" s="11" t="s">
        <v>63</v>
      </c>
      <c r="C971" s="11" t="s">
        <v>8</v>
      </c>
      <c r="D971" s="12">
        <v>41993</v>
      </c>
      <c r="E971" s="12">
        <v>41993</v>
      </c>
      <c r="F971" s="13">
        <v>680</v>
      </c>
    </row>
    <row r="972" spans="1:6" x14ac:dyDescent="0.25">
      <c r="A972" s="6" t="s">
        <v>122</v>
      </c>
      <c r="B972" s="7" t="s">
        <v>123</v>
      </c>
      <c r="C972" s="7" t="s">
        <v>27</v>
      </c>
      <c r="D972" s="8">
        <v>41994</v>
      </c>
      <c r="E972" s="8">
        <v>41994</v>
      </c>
      <c r="F972" s="9">
        <v>442</v>
      </c>
    </row>
    <row r="973" spans="1:6" x14ac:dyDescent="0.25">
      <c r="A973" s="10" t="s">
        <v>15</v>
      </c>
      <c r="B973" s="11" t="s">
        <v>46</v>
      </c>
      <c r="C973" s="11" t="s">
        <v>19</v>
      </c>
      <c r="D973" s="12">
        <v>41994</v>
      </c>
      <c r="E973" s="12">
        <v>41994</v>
      </c>
      <c r="F973" s="13">
        <v>513.4</v>
      </c>
    </row>
    <row r="974" spans="1:6" x14ac:dyDescent="0.25">
      <c r="A974" s="6" t="s">
        <v>57</v>
      </c>
      <c r="B974" s="7" t="s">
        <v>163</v>
      </c>
      <c r="C974" s="7" t="s">
        <v>8</v>
      </c>
      <c r="D974" s="8">
        <v>41994</v>
      </c>
      <c r="E974" s="8">
        <v>41994</v>
      </c>
      <c r="F974" s="9">
        <v>680</v>
      </c>
    </row>
    <row r="975" spans="1:6" x14ac:dyDescent="0.25">
      <c r="A975" s="10" t="s">
        <v>22</v>
      </c>
      <c r="B975" s="11" t="s">
        <v>172</v>
      </c>
      <c r="C975" s="11" t="s">
        <v>17</v>
      </c>
      <c r="D975" s="12">
        <v>41994</v>
      </c>
      <c r="E975" s="12">
        <v>41994</v>
      </c>
      <c r="F975" s="13">
        <v>501.5</v>
      </c>
    </row>
    <row r="976" spans="1:6" x14ac:dyDescent="0.25">
      <c r="A976" s="6" t="s">
        <v>50</v>
      </c>
      <c r="B976" s="7" t="s">
        <v>51</v>
      </c>
      <c r="C976" s="7" t="s">
        <v>24</v>
      </c>
      <c r="D976" s="8">
        <v>41994</v>
      </c>
      <c r="E976" s="8">
        <v>41994</v>
      </c>
      <c r="F976" s="9">
        <v>290.7</v>
      </c>
    </row>
    <row r="977" spans="1:6" x14ac:dyDescent="0.25">
      <c r="A977" s="10" t="s">
        <v>6</v>
      </c>
      <c r="B977" s="11" t="s">
        <v>56</v>
      </c>
      <c r="C977" s="11" t="s">
        <v>59</v>
      </c>
      <c r="D977" s="12">
        <v>41994</v>
      </c>
      <c r="E977" s="12">
        <v>41995</v>
      </c>
      <c r="F977" s="13">
        <v>601</v>
      </c>
    </row>
    <row r="978" spans="1:6" x14ac:dyDescent="0.25">
      <c r="A978" s="6" t="s">
        <v>143</v>
      </c>
      <c r="B978" s="7" t="s">
        <v>144</v>
      </c>
      <c r="C978" s="7" t="s">
        <v>27</v>
      </c>
      <c r="D978" s="8">
        <v>41994</v>
      </c>
      <c r="E978" s="8">
        <v>41995</v>
      </c>
      <c r="F978" s="9">
        <v>570</v>
      </c>
    </row>
    <row r="979" spans="1:6" x14ac:dyDescent="0.25">
      <c r="A979" s="10" t="s">
        <v>54</v>
      </c>
      <c r="B979" s="11" t="s">
        <v>118</v>
      </c>
      <c r="C979" s="11" t="s">
        <v>30</v>
      </c>
      <c r="D979" s="12">
        <v>41994</v>
      </c>
      <c r="E979" s="12">
        <v>41995</v>
      </c>
      <c r="F979" s="13">
        <v>331.5</v>
      </c>
    </row>
    <row r="980" spans="1:6" x14ac:dyDescent="0.25">
      <c r="A980" s="6" t="s">
        <v>115</v>
      </c>
      <c r="B980" s="7" t="s">
        <v>153</v>
      </c>
      <c r="C980" s="7" t="s">
        <v>17</v>
      </c>
      <c r="D980" s="8">
        <v>41995</v>
      </c>
      <c r="E980" s="8">
        <v>41995</v>
      </c>
      <c r="F980" s="9">
        <v>501.5</v>
      </c>
    </row>
    <row r="981" spans="1:6" x14ac:dyDescent="0.25">
      <c r="A981" s="10" t="s">
        <v>79</v>
      </c>
      <c r="B981" s="11" t="s">
        <v>80</v>
      </c>
      <c r="C981" s="11" t="s">
        <v>47</v>
      </c>
      <c r="D981" s="12">
        <v>41995</v>
      </c>
      <c r="E981" s="12">
        <v>41995</v>
      </c>
      <c r="F981" s="13">
        <v>363.8</v>
      </c>
    </row>
    <row r="982" spans="1:6" x14ac:dyDescent="0.25">
      <c r="A982" s="6" t="s">
        <v>168</v>
      </c>
      <c r="B982" s="7" t="s">
        <v>169</v>
      </c>
      <c r="C982" s="7" t="s">
        <v>66</v>
      </c>
      <c r="D982" s="8">
        <v>41995</v>
      </c>
      <c r="E982" s="8">
        <v>41996</v>
      </c>
      <c r="F982" s="9">
        <v>485.7</v>
      </c>
    </row>
    <row r="983" spans="1:6" x14ac:dyDescent="0.25">
      <c r="A983" s="10" t="s">
        <v>97</v>
      </c>
      <c r="B983" s="11" t="s">
        <v>98</v>
      </c>
      <c r="C983" s="11" t="s">
        <v>24</v>
      </c>
      <c r="D983" s="12">
        <v>41995</v>
      </c>
      <c r="E983" s="12">
        <v>41995</v>
      </c>
      <c r="F983" s="13">
        <v>290.7</v>
      </c>
    </row>
    <row r="984" spans="1:6" x14ac:dyDescent="0.25">
      <c r="A984" s="6" t="s">
        <v>115</v>
      </c>
      <c r="B984" s="7" t="s">
        <v>140</v>
      </c>
      <c r="C984" s="7" t="s">
        <v>11</v>
      </c>
      <c r="D984" s="8">
        <v>41995</v>
      </c>
      <c r="E984" s="8">
        <v>41996</v>
      </c>
      <c r="F984" s="9">
        <v>295.39999999999998</v>
      </c>
    </row>
    <row r="985" spans="1:6" x14ac:dyDescent="0.25">
      <c r="A985" s="10" t="s">
        <v>101</v>
      </c>
      <c r="B985" s="11" t="s">
        <v>102</v>
      </c>
      <c r="C985" s="11" t="s">
        <v>11</v>
      </c>
      <c r="D985" s="12">
        <v>41995</v>
      </c>
      <c r="E985" s="12">
        <v>41995</v>
      </c>
      <c r="F985" s="13">
        <v>156.4</v>
      </c>
    </row>
    <row r="986" spans="1:6" x14ac:dyDescent="0.25">
      <c r="A986" s="6" t="s">
        <v>164</v>
      </c>
      <c r="B986" s="7" t="s">
        <v>165</v>
      </c>
      <c r="C986" s="7" t="s">
        <v>17</v>
      </c>
      <c r="D986" s="8">
        <v>41995</v>
      </c>
      <c r="E986" s="8">
        <v>41995</v>
      </c>
      <c r="F986" s="9">
        <v>501.5</v>
      </c>
    </row>
    <row r="987" spans="1:6" x14ac:dyDescent="0.25">
      <c r="A987" s="10" t="s">
        <v>93</v>
      </c>
      <c r="B987" s="11" t="s">
        <v>106</v>
      </c>
      <c r="C987" s="11" t="s">
        <v>30</v>
      </c>
      <c r="D987" s="12">
        <v>41995</v>
      </c>
      <c r="E987" s="12">
        <v>41995</v>
      </c>
      <c r="F987" s="13">
        <v>212.5</v>
      </c>
    </row>
    <row r="988" spans="1:6" x14ac:dyDescent="0.25">
      <c r="A988" s="6" t="s">
        <v>134</v>
      </c>
      <c r="B988" s="7" t="s">
        <v>149</v>
      </c>
      <c r="C988" s="7" t="s">
        <v>17</v>
      </c>
      <c r="D988" s="8">
        <v>41995</v>
      </c>
      <c r="E988" s="8">
        <v>41996</v>
      </c>
      <c r="F988" s="9">
        <v>706.5</v>
      </c>
    </row>
    <row r="989" spans="1:6" x14ac:dyDescent="0.25">
      <c r="A989" s="10" t="s">
        <v>134</v>
      </c>
      <c r="B989" s="11" t="s">
        <v>149</v>
      </c>
      <c r="C989" s="11" t="s">
        <v>27</v>
      </c>
      <c r="D989" s="12">
        <v>41995</v>
      </c>
      <c r="E989" s="12">
        <v>41995</v>
      </c>
      <c r="F989" s="13">
        <v>442</v>
      </c>
    </row>
    <row r="990" spans="1:6" x14ac:dyDescent="0.25">
      <c r="A990" s="6" t="s">
        <v>109</v>
      </c>
      <c r="B990" s="7" t="s">
        <v>110</v>
      </c>
      <c r="C990" s="7" t="s">
        <v>30</v>
      </c>
      <c r="D990" s="8">
        <v>41995</v>
      </c>
      <c r="E990" s="8">
        <v>41996</v>
      </c>
      <c r="F990" s="9">
        <v>331.5</v>
      </c>
    </row>
    <row r="991" spans="1:6" x14ac:dyDescent="0.25">
      <c r="A991" s="10" t="s">
        <v>93</v>
      </c>
      <c r="B991" s="11" t="s">
        <v>94</v>
      </c>
      <c r="C991" s="11" t="s">
        <v>38</v>
      </c>
      <c r="D991" s="12">
        <v>41995</v>
      </c>
      <c r="E991" s="12">
        <v>41995</v>
      </c>
      <c r="F991" s="13">
        <v>278.8</v>
      </c>
    </row>
    <row r="992" spans="1:6" x14ac:dyDescent="0.25">
      <c r="A992" s="6" t="s">
        <v>12</v>
      </c>
      <c r="B992" s="7" t="s">
        <v>95</v>
      </c>
      <c r="C992" s="7" t="s">
        <v>19</v>
      </c>
      <c r="D992" s="8">
        <v>41995</v>
      </c>
      <c r="E992" s="8">
        <v>41996</v>
      </c>
      <c r="F992" s="9">
        <v>654.4</v>
      </c>
    </row>
    <row r="993" spans="1:6" x14ac:dyDescent="0.25">
      <c r="A993" s="10" t="s">
        <v>131</v>
      </c>
      <c r="B993" s="11" t="s">
        <v>132</v>
      </c>
      <c r="C993" s="11" t="s">
        <v>14</v>
      </c>
      <c r="D993" s="12">
        <v>41995</v>
      </c>
      <c r="E993" s="12">
        <v>41995</v>
      </c>
      <c r="F993" s="13">
        <v>178.5</v>
      </c>
    </row>
    <row r="994" spans="1:6" x14ac:dyDescent="0.25">
      <c r="A994" s="6" t="s">
        <v>131</v>
      </c>
      <c r="B994" s="7" t="s">
        <v>154</v>
      </c>
      <c r="C994" s="7" t="s">
        <v>11</v>
      </c>
      <c r="D994" s="8">
        <v>42001</v>
      </c>
      <c r="E994" s="8">
        <v>42002</v>
      </c>
      <c r="F994" s="9">
        <v>295.39999999999998</v>
      </c>
    </row>
    <row r="995" spans="1:6" x14ac:dyDescent="0.25">
      <c r="A995" s="10" t="s">
        <v>9</v>
      </c>
      <c r="B995" s="11" t="s">
        <v>103</v>
      </c>
      <c r="C995" s="11" t="s">
        <v>24</v>
      </c>
      <c r="D995" s="12">
        <v>42001</v>
      </c>
      <c r="E995" s="12">
        <v>42003</v>
      </c>
      <c r="F995" s="13">
        <v>588.70000000000005</v>
      </c>
    </row>
    <row r="996" spans="1:6" x14ac:dyDescent="0.25">
      <c r="A996" s="6" t="s">
        <v>28</v>
      </c>
      <c r="B996" s="7" t="s">
        <v>60</v>
      </c>
      <c r="C996" s="7" t="s">
        <v>59</v>
      </c>
      <c r="D996" s="8">
        <v>42002</v>
      </c>
      <c r="E996" s="8">
        <v>42003</v>
      </c>
      <c r="F996" s="9">
        <v>601</v>
      </c>
    </row>
    <row r="997" spans="1:6" x14ac:dyDescent="0.25">
      <c r="A997" s="10" t="s">
        <v>6</v>
      </c>
      <c r="B997" s="11" t="s">
        <v>56</v>
      </c>
      <c r="C997" s="11" t="s">
        <v>72</v>
      </c>
      <c r="D997" s="12">
        <v>42002</v>
      </c>
      <c r="E997" s="12">
        <v>42002</v>
      </c>
      <c r="F997" s="13">
        <v>494.7</v>
      </c>
    </row>
    <row r="998" spans="1:6" x14ac:dyDescent="0.25">
      <c r="A998" s="6" t="s">
        <v>115</v>
      </c>
      <c r="B998" s="7" t="s">
        <v>140</v>
      </c>
      <c r="C998" s="7" t="s">
        <v>19</v>
      </c>
      <c r="D998" s="8">
        <v>42002</v>
      </c>
      <c r="E998" s="8">
        <v>42002</v>
      </c>
      <c r="F998" s="9">
        <v>513.4</v>
      </c>
    </row>
    <row r="999" spans="1:6" x14ac:dyDescent="0.25">
      <c r="A999" s="10" t="s">
        <v>134</v>
      </c>
      <c r="B999" s="11" t="s">
        <v>149</v>
      </c>
      <c r="C999" s="11" t="s">
        <v>72</v>
      </c>
      <c r="D999" s="12">
        <v>42002</v>
      </c>
      <c r="E999" s="12">
        <v>42002</v>
      </c>
      <c r="F999" s="13">
        <v>494.7</v>
      </c>
    </row>
    <row r="1000" spans="1:6" x14ac:dyDescent="0.25">
      <c r="A1000" s="6" t="s">
        <v>15</v>
      </c>
      <c r="B1000" s="7" t="s">
        <v>16</v>
      </c>
      <c r="C1000" s="7" t="s">
        <v>59</v>
      </c>
      <c r="D1000" s="8">
        <v>42002</v>
      </c>
      <c r="E1000" s="8">
        <v>42002</v>
      </c>
      <c r="F1000" s="9">
        <v>442</v>
      </c>
    </row>
    <row r="1001" spans="1:6" x14ac:dyDescent="0.25">
      <c r="A1001" s="14" t="s">
        <v>86</v>
      </c>
      <c r="B1001" s="15" t="s">
        <v>136</v>
      </c>
      <c r="C1001" s="15" t="s">
        <v>30</v>
      </c>
      <c r="D1001" s="16">
        <v>42002</v>
      </c>
      <c r="E1001" s="16">
        <v>42003</v>
      </c>
      <c r="F1001" s="2">
        <v>331.5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EC97-FFD1-4C52-9D65-59EA31664601}">
  <dimension ref="A1:J1001"/>
  <sheetViews>
    <sheetView zoomScale="190" zoomScaleNormal="190" workbookViewId="0">
      <selection activeCell="G1" sqref="G1:G1048576"/>
    </sheetView>
  </sheetViews>
  <sheetFormatPr defaultRowHeight="15" x14ac:dyDescent="0.25"/>
  <cols>
    <col min="1" max="1" width="10.140625" bestFit="1" customWidth="1"/>
    <col min="2" max="2" width="13.7109375" bestFit="1" customWidth="1"/>
    <col min="3" max="3" width="9.85546875" bestFit="1" customWidth="1"/>
    <col min="4" max="5" width="10.5703125" bestFit="1" customWidth="1"/>
    <col min="6" max="6" width="12.140625" bestFit="1" customWidth="1"/>
    <col min="9" max="9" width="17.7109375" bestFit="1" customWidth="1"/>
    <col min="10" max="10" width="15.140625" bestFit="1" customWidth="1"/>
  </cols>
  <sheetData>
    <row r="1" spans="1:10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20" t="s">
        <v>179</v>
      </c>
    </row>
    <row r="2" spans="1:10" x14ac:dyDescent="0.25">
      <c r="A2" s="6" t="s">
        <v>6</v>
      </c>
      <c r="B2" s="7" t="s">
        <v>7</v>
      </c>
      <c r="C2" s="7" t="s">
        <v>8</v>
      </c>
      <c r="D2" s="8">
        <v>41641</v>
      </c>
      <c r="E2" s="8">
        <v>41642</v>
      </c>
      <c r="F2" s="9">
        <v>891</v>
      </c>
      <c r="G2">
        <f>E2-D2 + 1</f>
        <v>2</v>
      </c>
      <c r="I2" s="17" t="s">
        <v>175</v>
      </c>
      <c r="J2" t="s">
        <v>180</v>
      </c>
    </row>
    <row r="3" spans="1:10" x14ac:dyDescent="0.25">
      <c r="A3" s="10" t="s">
        <v>9</v>
      </c>
      <c r="B3" s="11" t="s">
        <v>10</v>
      </c>
      <c r="C3" s="11" t="s">
        <v>11</v>
      </c>
      <c r="D3" s="12">
        <v>41641</v>
      </c>
      <c r="E3" s="12">
        <v>41642</v>
      </c>
      <c r="F3" s="13">
        <v>295.39999999999998</v>
      </c>
      <c r="G3">
        <f t="shared" ref="G3:G66" si="0">E3-D3 + 1</f>
        <v>2</v>
      </c>
      <c r="I3" s="18" t="s">
        <v>124</v>
      </c>
      <c r="J3" s="1">
        <v>41</v>
      </c>
    </row>
    <row r="4" spans="1:10" x14ac:dyDescent="0.25">
      <c r="A4" s="6" t="s">
        <v>12</v>
      </c>
      <c r="B4" s="7" t="s">
        <v>13</v>
      </c>
      <c r="C4" s="7" t="s">
        <v>14</v>
      </c>
      <c r="D4" s="8">
        <v>41641</v>
      </c>
      <c r="E4" s="8">
        <v>41642</v>
      </c>
      <c r="F4" s="9">
        <v>302.5</v>
      </c>
      <c r="G4">
        <f t="shared" si="0"/>
        <v>2</v>
      </c>
      <c r="I4" s="18" t="s">
        <v>41</v>
      </c>
      <c r="J4" s="1">
        <v>41</v>
      </c>
    </row>
    <row r="5" spans="1:10" x14ac:dyDescent="0.25">
      <c r="A5" s="10" t="s">
        <v>15</v>
      </c>
      <c r="B5" s="11" t="s">
        <v>16</v>
      </c>
      <c r="C5" s="11" t="s">
        <v>17</v>
      </c>
      <c r="D5" s="12">
        <v>41641</v>
      </c>
      <c r="E5" s="12">
        <v>41641</v>
      </c>
      <c r="F5" s="13">
        <v>501.5</v>
      </c>
      <c r="G5">
        <f t="shared" si="0"/>
        <v>1</v>
      </c>
      <c r="I5" s="18" t="s">
        <v>103</v>
      </c>
      <c r="J5" s="1">
        <v>41</v>
      </c>
    </row>
    <row r="6" spans="1:10" x14ac:dyDescent="0.25">
      <c r="A6" s="6" t="s">
        <v>9</v>
      </c>
      <c r="B6" s="7" t="s">
        <v>18</v>
      </c>
      <c r="C6" s="7" t="s">
        <v>19</v>
      </c>
      <c r="D6" s="8">
        <v>41641</v>
      </c>
      <c r="E6" s="8">
        <v>41642</v>
      </c>
      <c r="F6" s="9">
        <v>654.4</v>
      </c>
      <c r="G6">
        <f t="shared" si="0"/>
        <v>2</v>
      </c>
      <c r="I6" s="18" t="s">
        <v>121</v>
      </c>
      <c r="J6" s="1">
        <v>41</v>
      </c>
    </row>
    <row r="7" spans="1:10" x14ac:dyDescent="0.25">
      <c r="A7" s="10" t="s">
        <v>20</v>
      </c>
      <c r="B7" s="11" t="s">
        <v>21</v>
      </c>
      <c r="C7" s="11" t="s">
        <v>8</v>
      </c>
      <c r="D7" s="12">
        <v>41641</v>
      </c>
      <c r="E7" s="12">
        <v>41642</v>
      </c>
      <c r="F7" s="13">
        <v>891</v>
      </c>
      <c r="G7">
        <f t="shared" si="0"/>
        <v>2</v>
      </c>
      <c r="I7" s="18" t="s">
        <v>114</v>
      </c>
      <c r="J7" s="1">
        <v>42</v>
      </c>
    </row>
    <row r="8" spans="1:10" x14ac:dyDescent="0.25">
      <c r="A8" s="6" t="s">
        <v>22</v>
      </c>
      <c r="B8" s="7" t="s">
        <v>23</v>
      </c>
      <c r="C8" s="7" t="s">
        <v>24</v>
      </c>
      <c r="D8" s="8">
        <v>41642</v>
      </c>
      <c r="E8" s="8">
        <v>41643</v>
      </c>
      <c r="F8" s="9">
        <v>439.7</v>
      </c>
      <c r="G8">
        <f t="shared" si="0"/>
        <v>2</v>
      </c>
      <c r="I8" s="18" t="s">
        <v>92</v>
      </c>
      <c r="J8" s="1">
        <v>42</v>
      </c>
    </row>
    <row r="9" spans="1:10" x14ac:dyDescent="0.25">
      <c r="A9" s="10" t="s">
        <v>25</v>
      </c>
      <c r="B9" s="11" t="s">
        <v>26</v>
      </c>
      <c r="C9" s="11" t="s">
        <v>27</v>
      </c>
      <c r="D9" s="12">
        <v>41642</v>
      </c>
      <c r="E9" s="12">
        <v>41645</v>
      </c>
      <c r="F9" s="13">
        <v>826</v>
      </c>
      <c r="G9">
        <f t="shared" si="0"/>
        <v>4</v>
      </c>
      <c r="I9" s="18" t="s">
        <v>176</v>
      </c>
      <c r="J9" s="1">
        <v>248</v>
      </c>
    </row>
    <row r="10" spans="1:10" x14ac:dyDescent="0.25">
      <c r="A10" s="6" t="s">
        <v>28</v>
      </c>
      <c r="B10" s="7" t="s">
        <v>29</v>
      </c>
      <c r="C10" s="7" t="s">
        <v>30</v>
      </c>
      <c r="D10" s="8">
        <v>41642</v>
      </c>
      <c r="E10" s="8">
        <v>41643</v>
      </c>
      <c r="F10" s="9">
        <v>331.5</v>
      </c>
      <c r="G10">
        <f t="shared" si="0"/>
        <v>2</v>
      </c>
    </row>
    <row r="11" spans="1:10" x14ac:dyDescent="0.25">
      <c r="A11" s="10" t="s">
        <v>31</v>
      </c>
      <c r="B11" s="11" t="s">
        <v>32</v>
      </c>
      <c r="C11" s="11" t="s">
        <v>24</v>
      </c>
      <c r="D11" s="12">
        <v>41642</v>
      </c>
      <c r="E11" s="12">
        <v>41643</v>
      </c>
      <c r="F11" s="13">
        <v>439.7</v>
      </c>
      <c r="G11">
        <f t="shared" si="0"/>
        <v>2</v>
      </c>
    </row>
    <row r="12" spans="1:10" x14ac:dyDescent="0.25">
      <c r="A12" s="6" t="s">
        <v>33</v>
      </c>
      <c r="B12" s="7" t="s">
        <v>34</v>
      </c>
      <c r="C12" s="7" t="s">
        <v>30</v>
      </c>
      <c r="D12" s="8">
        <v>41642</v>
      </c>
      <c r="E12" s="8">
        <v>41644</v>
      </c>
      <c r="F12" s="9">
        <v>450.5</v>
      </c>
      <c r="G12">
        <f t="shared" si="0"/>
        <v>3</v>
      </c>
    </row>
    <row r="13" spans="1:10" x14ac:dyDescent="0.25">
      <c r="A13" s="10" t="s">
        <v>25</v>
      </c>
      <c r="B13" s="11" t="s">
        <v>35</v>
      </c>
      <c r="C13" s="11" t="s">
        <v>14</v>
      </c>
      <c r="D13" s="12">
        <v>41642</v>
      </c>
      <c r="E13" s="12">
        <v>41642</v>
      </c>
      <c r="F13" s="13">
        <v>178.5</v>
      </c>
      <c r="G13">
        <f t="shared" si="0"/>
        <v>1</v>
      </c>
    </row>
    <row r="14" spans="1:10" x14ac:dyDescent="0.25">
      <c r="A14" s="6" t="s">
        <v>36</v>
      </c>
      <c r="B14" s="7" t="s">
        <v>37</v>
      </c>
      <c r="C14" s="7" t="s">
        <v>38</v>
      </c>
      <c r="D14" s="8">
        <v>41642</v>
      </c>
      <c r="E14" s="8">
        <v>41643</v>
      </c>
      <c r="F14" s="9">
        <v>407.8</v>
      </c>
      <c r="G14">
        <f t="shared" si="0"/>
        <v>2</v>
      </c>
    </row>
    <row r="15" spans="1:10" x14ac:dyDescent="0.25">
      <c r="A15" s="10" t="s">
        <v>39</v>
      </c>
      <c r="B15" s="11" t="s">
        <v>40</v>
      </c>
      <c r="C15" s="11" t="s">
        <v>27</v>
      </c>
      <c r="D15" s="12">
        <v>41642</v>
      </c>
      <c r="E15" s="12">
        <v>41642</v>
      </c>
      <c r="F15" s="13">
        <v>442</v>
      </c>
      <c r="G15">
        <f t="shared" si="0"/>
        <v>1</v>
      </c>
    </row>
    <row r="16" spans="1:10" x14ac:dyDescent="0.25">
      <c r="A16" s="6" t="s">
        <v>6</v>
      </c>
      <c r="B16" s="7" t="s">
        <v>7</v>
      </c>
      <c r="C16" s="7" t="s">
        <v>24</v>
      </c>
      <c r="D16" s="8">
        <v>41643</v>
      </c>
      <c r="E16" s="8">
        <v>41644</v>
      </c>
      <c r="F16" s="9">
        <v>439.7</v>
      </c>
      <c r="G16">
        <f t="shared" si="0"/>
        <v>2</v>
      </c>
    </row>
    <row r="17" spans="1:7" x14ac:dyDescent="0.25">
      <c r="A17" s="10" t="s">
        <v>33</v>
      </c>
      <c r="B17" s="11" t="s">
        <v>41</v>
      </c>
      <c r="C17" s="11" t="s">
        <v>30</v>
      </c>
      <c r="D17" s="12">
        <v>41643</v>
      </c>
      <c r="E17" s="12">
        <v>41644</v>
      </c>
      <c r="F17" s="13">
        <v>331.5</v>
      </c>
      <c r="G17">
        <f t="shared" si="0"/>
        <v>2</v>
      </c>
    </row>
    <row r="18" spans="1:7" x14ac:dyDescent="0.25">
      <c r="A18" s="6" t="s">
        <v>42</v>
      </c>
      <c r="B18" s="7" t="s">
        <v>43</v>
      </c>
      <c r="C18" s="7" t="s">
        <v>19</v>
      </c>
      <c r="D18" s="8">
        <v>41643</v>
      </c>
      <c r="E18" s="8">
        <v>41643</v>
      </c>
      <c r="F18" s="9">
        <v>513.4</v>
      </c>
      <c r="G18">
        <f t="shared" si="0"/>
        <v>1</v>
      </c>
    </row>
    <row r="19" spans="1:7" x14ac:dyDescent="0.25">
      <c r="A19" s="10" t="s">
        <v>15</v>
      </c>
      <c r="B19" s="11" t="s">
        <v>44</v>
      </c>
      <c r="C19" s="11" t="s">
        <v>17</v>
      </c>
      <c r="D19" s="12">
        <v>41644</v>
      </c>
      <c r="E19" s="12">
        <v>41644</v>
      </c>
      <c r="F19" s="13">
        <v>501.5</v>
      </c>
      <c r="G19">
        <f t="shared" si="0"/>
        <v>1</v>
      </c>
    </row>
    <row r="20" spans="1:7" x14ac:dyDescent="0.25">
      <c r="A20" s="6" t="s">
        <v>6</v>
      </c>
      <c r="B20" s="7" t="s">
        <v>45</v>
      </c>
      <c r="C20" s="7" t="s">
        <v>27</v>
      </c>
      <c r="D20" s="8">
        <v>41644</v>
      </c>
      <c r="E20" s="8">
        <v>41644</v>
      </c>
      <c r="F20" s="9">
        <v>442</v>
      </c>
      <c r="G20">
        <f t="shared" si="0"/>
        <v>1</v>
      </c>
    </row>
    <row r="21" spans="1:7" x14ac:dyDescent="0.25">
      <c r="A21" s="10" t="s">
        <v>15</v>
      </c>
      <c r="B21" s="11" t="s">
        <v>46</v>
      </c>
      <c r="C21" s="11" t="s">
        <v>47</v>
      </c>
      <c r="D21" s="12">
        <v>41645</v>
      </c>
      <c r="E21" s="12">
        <v>41645</v>
      </c>
      <c r="F21" s="13">
        <v>363.8</v>
      </c>
      <c r="G21">
        <f t="shared" si="0"/>
        <v>1</v>
      </c>
    </row>
    <row r="22" spans="1:7" x14ac:dyDescent="0.25">
      <c r="A22" s="6" t="s">
        <v>48</v>
      </c>
      <c r="B22" s="7" t="s">
        <v>49</v>
      </c>
      <c r="C22" s="7" t="s">
        <v>11</v>
      </c>
      <c r="D22" s="8">
        <v>41646</v>
      </c>
      <c r="E22" s="8">
        <v>41646</v>
      </c>
      <c r="F22" s="9">
        <v>156.4</v>
      </c>
      <c r="G22">
        <f t="shared" si="0"/>
        <v>1</v>
      </c>
    </row>
    <row r="23" spans="1:7" x14ac:dyDescent="0.25">
      <c r="A23" s="10" t="s">
        <v>50</v>
      </c>
      <c r="B23" s="11" t="s">
        <v>51</v>
      </c>
      <c r="C23" s="11" t="s">
        <v>38</v>
      </c>
      <c r="D23" s="12">
        <v>41646</v>
      </c>
      <c r="E23" s="12">
        <v>41646</v>
      </c>
      <c r="F23" s="13">
        <v>278.8</v>
      </c>
      <c r="G23">
        <f t="shared" si="0"/>
        <v>1</v>
      </c>
    </row>
    <row r="24" spans="1:7" x14ac:dyDescent="0.25">
      <c r="A24" s="6" t="s">
        <v>33</v>
      </c>
      <c r="B24" s="7" t="s">
        <v>41</v>
      </c>
      <c r="C24" s="7" t="s">
        <v>14</v>
      </c>
      <c r="D24" s="8">
        <v>41646</v>
      </c>
      <c r="E24" s="8">
        <v>41646</v>
      </c>
      <c r="F24" s="9">
        <v>178.5</v>
      </c>
      <c r="G24">
        <f t="shared" si="0"/>
        <v>1</v>
      </c>
    </row>
    <row r="25" spans="1:7" x14ac:dyDescent="0.25">
      <c r="A25" s="10" t="s">
        <v>25</v>
      </c>
      <c r="B25" s="11" t="s">
        <v>35</v>
      </c>
      <c r="C25" s="11" t="s">
        <v>30</v>
      </c>
      <c r="D25" s="12">
        <v>41646</v>
      </c>
      <c r="E25" s="12">
        <v>41646</v>
      </c>
      <c r="F25" s="13">
        <v>212.5</v>
      </c>
      <c r="G25">
        <f t="shared" si="0"/>
        <v>1</v>
      </c>
    </row>
    <row r="26" spans="1:7" x14ac:dyDescent="0.25">
      <c r="A26" s="6" t="s">
        <v>52</v>
      </c>
      <c r="B26" s="7" t="s">
        <v>53</v>
      </c>
      <c r="C26" s="7" t="s">
        <v>24</v>
      </c>
      <c r="D26" s="8">
        <v>41646</v>
      </c>
      <c r="E26" s="8">
        <v>41646</v>
      </c>
      <c r="F26" s="9">
        <v>290.7</v>
      </c>
      <c r="G26">
        <f t="shared" si="0"/>
        <v>1</v>
      </c>
    </row>
    <row r="27" spans="1:7" x14ac:dyDescent="0.25">
      <c r="A27" s="10" t="s">
        <v>54</v>
      </c>
      <c r="B27" s="11" t="s">
        <v>55</v>
      </c>
      <c r="C27" s="11" t="s">
        <v>19</v>
      </c>
      <c r="D27" s="12">
        <v>41647</v>
      </c>
      <c r="E27" s="12">
        <v>41647</v>
      </c>
      <c r="F27" s="13">
        <v>513.4</v>
      </c>
      <c r="G27">
        <f t="shared" si="0"/>
        <v>1</v>
      </c>
    </row>
    <row r="28" spans="1:7" x14ac:dyDescent="0.25">
      <c r="A28" s="6" t="s">
        <v>6</v>
      </c>
      <c r="B28" s="7" t="s">
        <v>56</v>
      </c>
      <c r="C28" s="7" t="s">
        <v>19</v>
      </c>
      <c r="D28" s="8">
        <v>41647</v>
      </c>
      <c r="E28" s="8">
        <v>41647</v>
      </c>
      <c r="F28" s="9">
        <v>513.4</v>
      </c>
      <c r="G28">
        <f t="shared" si="0"/>
        <v>1</v>
      </c>
    </row>
    <row r="29" spans="1:7" x14ac:dyDescent="0.25">
      <c r="A29" s="10" t="s">
        <v>57</v>
      </c>
      <c r="B29" s="11" t="s">
        <v>58</v>
      </c>
      <c r="C29" s="11" t="s">
        <v>59</v>
      </c>
      <c r="D29" s="12">
        <v>41647</v>
      </c>
      <c r="E29" s="12">
        <v>41647</v>
      </c>
      <c r="F29" s="13">
        <v>442</v>
      </c>
      <c r="G29">
        <f t="shared" si="0"/>
        <v>1</v>
      </c>
    </row>
    <row r="30" spans="1:7" x14ac:dyDescent="0.25">
      <c r="A30" s="6" t="s">
        <v>28</v>
      </c>
      <c r="B30" s="7" t="s">
        <v>60</v>
      </c>
      <c r="C30" s="7" t="s">
        <v>11</v>
      </c>
      <c r="D30" s="8">
        <v>41648</v>
      </c>
      <c r="E30" s="8">
        <v>41652</v>
      </c>
      <c r="F30" s="9">
        <v>712.4</v>
      </c>
      <c r="G30">
        <f t="shared" si="0"/>
        <v>5</v>
      </c>
    </row>
    <row r="31" spans="1:7" x14ac:dyDescent="0.25">
      <c r="A31" s="10" t="s">
        <v>61</v>
      </c>
      <c r="B31" s="11" t="s">
        <v>62</v>
      </c>
      <c r="C31" s="11" t="s">
        <v>17</v>
      </c>
      <c r="D31" s="12">
        <v>41648</v>
      </c>
      <c r="E31" s="12">
        <v>41651</v>
      </c>
      <c r="F31" s="13">
        <v>1116.5</v>
      </c>
      <c r="G31">
        <f t="shared" si="0"/>
        <v>4</v>
      </c>
    </row>
    <row r="32" spans="1:7" x14ac:dyDescent="0.25">
      <c r="A32" s="6" t="s">
        <v>15</v>
      </c>
      <c r="B32" s="7" t="s">
        <v>63</v>
      </c>
      <c r="C32" s="7" t="s">
        <v>11</v>
      </c>
      <c r="D32" s="8">
        <v>41648</v>
      </c>
      <c r="E32" s="8">
        <v>41649</v>
      </c>
      <c r="F32" s="9">
        <v>295.39999999999998</v>
      </c>
      <c r="G32">
        <f t="shared" si="0"/>
        <v>2</v>
      </c>
    </row>
    <row r="33" spans="1:7" x14ac:dyDescent="0.25">
      <c r="A33" s="10" t="s">
        <v>64</v>
      </c>
      <c r="B33" s="11" t="s">
        <v>65</v>
      </c>
      <c r="C33" s="11" t="s">
        <v>66</v>
      </c>
      <c r="D33" s="12">
        <v>41648</v>
      </c>
      <c r="E33" s="12">
        <v>41649</v>
      </c>
      <c r="F33" s="13">
        <v>485.7</v>
      </c>
      <c r="G33">
        <f t="shared" si="0"/>
        <v>2</v>
      </c>
    </row>
    <row r="34" spans="1:7" x14ac:dyDescent="0.25">
      <c r="A34" s="6" t="s">
        <v>25</v>
      </c>
      <c r="B34" s="7" t="s">
        <v>67</v>
      </c>
      <c r="C34" s="7" t="s">
        <v>38</v>
      </c>
      <c r="D34" s="8">
        <v>41649</v>
      </c>
      <c r="E34" s="8">
        <v>41649</v>
      </c>
      <c r="F34" s="9">
        <v>278.8</v>
      </c>
      <c r="G34">
        <f t="shared" si="0"/>
        <v>1</v>
      </c>
    </row>
    <row r="35" spans="1:7" x14ac:dyDescent="0.25">
      <c r="A35" s="10" t="s">
        <v>25</v>
      </c>
      <c r="B35" s="11" t="s">
        <v>68</v>
      </c>
      <c r="C35" s="11" t="s">
        <v>59</v>
      </c>
      <c r="D35" s="12">
        <v>41649</v>
      </c>
      <c r="E35" s="12">
        <v>41649</v>
      </c>
      <c r="F35" s="13">
        <v>442</v>
      </c>
      <c r="G35">
        <f t="shared" si="0"/>
        <v>1</v>
      </c>
    </row>
    <row r="36" spans="1:7" x14ac:dyDescent="0.25">
      <c r="A36" s="6" t="s">
        <v>9</v>
      </c>
      <c r="B36" s="7" t="s">
        <v>69</v>
      </c>
      <c r="C36" s="7" t="s">
        <v>8</v>
      </c>
      <c r="D36" s="8">
        <v>41649</v>
      </c>
      <c r="E36" s="8">
        <v>41649</v>
      </c>
      <c r="F36" s="9">
        <v>680</v>
      </c>
      <c r="G36">
        <f t="shared" si="0"/>
        <v>1</v>
      </c>
    </row>
    <row r="37" spans="1:7" x14ac:dyDescent="0.25">
      <c r="A37" s="10" t="s">
        <v>52</v>
      </c>
      <c r="B37" s="11" t="s">
        <v>53</v>
      </c>
      <c r="C37" s="11" t="s">
        <v>47</v>
      </c>
      <c r="D37" s="12">
        <v>41649</v>
      </c>
      <c r="E37" s="12">
        <v>41649</v>
      </c>
      <c r="F37" s="13">
        <v>363.8</v>
      </c>
      <c r="G37">
        <f t="shared" si="0"/>
        <v>1</v>
      </c>
    </row>
    <row r="38" spans="1:7" x14ac:dyDescent="0.25">
      <c r="A38" s="6" t="s">
        <v>22</v>
      </c>
      <c r="B38" s="7" t="s">
        <v>23</v>
      </c>
      <c r="C38" s="7" t="s">
        <v>59</v>
      </c>
      <c r="D38" s="8">
        <v>41651</v>
      </c>
      <c r="E38" s="8">
        <v>41651</v>
      </c>
      <c r="F38" s="9">
        <v>442</v>
      </c>
      <c r="G38">
        <f t="shared" si="0"/>
        <v>1</v>
      </c>
    </row>
    <row r="39" spans="1:7" x14ac:dyDescent="0.25">
      <c r="A39" s="10" t="s">
        <v>15</v>
      </c>
      <c r="B39" s="11" t="s">
        <v>46</v>
      </c>
      <c r="C39" s="11" t="s">
        <v>14</v>
      </c>
      <c r="D39" s="12">
        <v>41652</v>
      </c>
      <c r="E39" s="12">
        <v>41655</v>
      </c>
      <c r="F39" s="13">
        <v>550.5</v>
      </c>
      <c r="G39">
        <f t="shared" si="0"/>
        <v>4</v>
      </c>
    </row>
    <row r="40" spans="1:7" x14ac:dyDescent="0.25">
      <c r="A40" s="6" t="s">
        <v>70</v>
      </c>
      <c r="B40" s="7" t="s">
        <v>71</v>
      </c>
      <c r="C40" s="7" t="s">
        <v>27</v>
      </c>
      <c r="D40" s="8">
        <v>41652</v>
      </c>
      <c r="E40" s="8">
        <v>41652</v>
      </c>
      <c r="F40" s="9">
        <v>442</v>
      </c>
      <c r="G40">
        <f t="shared" si="0"/>
        <v>1</v>
      </c>
    </row>
    <row r="41" spans="1:7" x14ac:dyDescent="0.25">
      <c r="A41" s="10" t="s">
        <v>25</v>
      </c>
      <c r="B41" s="11" t="s">
        <v>68</v>
      </c>
      <c r="C41" s="11" t="s">
        <v>72</v>
      </c>
      <c r="D41" s="12">
        <v>41652</v>
      </c>
      <c r="E41" s="12">
        <v>41652</v>
      </c>
      <c r="F41" s="13">
        <v>494.7</v>
      </c>
      <c r="G41">
        <f t="shared" si="0"/>
        <v>1</v>
      </c>
    </row>
    <row r="42" spans="1:7" x14ac:dyDescent="0.25">
      <c r="A42" s="6" t="s">
        <v>73</v>
      </c>
      <c r="B42" s="7" t="s">
        <v>74</v>
      </c>
      <c r="C42" s="7" t="s">
        <v>27</v>
      </c>
      <c r="D42" s="8">
        <v>41652</v>
      </c>
      <c r="E42" s="8">
        <v>41653</v>
      </c>
      <c r="F42" s="9">
        <v>570</v>
      </c>
      <c r="G42">
        <f t="shared" si="0"/>
        <v>2</v>
      </c>
    </row>
    <row r="43" spans="1:7" x14ac:dyDescent="0.25">
      <c r="A43" s="10" t="s">
        <v>75</v>
      </c>
      <c r="B43" s="11" t="s">
        <v>76</v>
      </c>
      <c r="C43" s="11" t="s">
        <v>47</v>
      </c>
      <c r="D43" s="12">
        <v>41652</v>
      </c>
      <c r="E43" s="12">
        <v>41653</v>
      </c>
      <c r="F43" s="13">
        <v>526.79999999999995</v>
      </c>
      <c r="G43">
        <f t="shared" si="0"/>
        <v>2</v>
      </c>
    </row>
    <row r="44" spans="1:7" x14ac:dyDescent="0.25">
      <c r="A44" s="6" t="s">
        <v>31</v>
      </c>
      <c r="B44" s="7" t="s">
        <v>77</v>
      </c>
      <c r="C44" s="7" t="s">
        <v>38</v>
      </c>
      <c r="D44" s="8">
        <v>41652</v>
      </c>
      <c r="E44" s="8">
        <v>41652</v>
      </c>
      <c r="F44" s="9">
        <v>278.8</v>
      </c>
      <c r="G44">
        <f t="shared" si="0"/>
        <v>1</v>
      </c>
    </row>
    <row r="45" spans="1:7" x14ac:dyDescent="0.25">
      <c r="A45" s="10" t="s">
        <v>22</v>
      </c>
      <c r="B45" s="11" t="s">
        <v>23</v>
      </c>
      <c r="C45" s="11" t="s">
        <v>38</v>
      </c>
      <c r="D45" s="12">
        <v>41653</v>
      </c>
      <c r="E45" s="12">
        <v>41656</v>
      </c>
      <c r="F45" s="13">
        <v>665.8</v>
      </c>
      <c r="G45">
        <f t="shared" si="0"/>
        <v>4</v>
      </c>
    </row>
    <row r="46" spans="1:7" x14ac:dyDescent="0.25">
      <c r="A46" s="6" t="s">
        <v>31</v>
      </c>
      <c r="B46" s="7" t="s">
        <v>78</v>
      </c>
      <c r="C46" s="7" t="s">
        <v>27</v>
      </c>
      <c r="D46" s="8">
        <v>41653</v>
      </c>
      <c r="E46" s="8">
        <v>41655</v>
      </c>
      <c r="F46" s="9">
        <v>698</v>
      </c>
      <c r="G46">
        <f t="shared" si="0"/>
        <v>3</v>
      </c>
    </row>
    <row r="47" spans="1:7" x14ac:dyDescent="0.25">
      <c r="A47" s="10" t="s">
        <v>48</v>
      </c>
      <c r="B47" s="11" t="s">
        <v>49</v>
      </c>
      <c r="C47" s="11" t="s">
        <v>72</v>
      </c>
      <c r="D47" s="12">
        <v>41653</v>
      </c>
      <c r="E47" s="12">
        <v>41653</v>
      </c>
      <c r="F47" s="13">
        <v>494.7</v>
      </c>
      <c r="G47">
        <f t="shared" si="0"/>
        <v>1</v>
      </c>
    </row>
    <row r="48" spans="1:7" x14ac:dyDescent="0.25">
      <c r="A48" s="6" t="s">
        <v>79</v>
      </c>
      <c r="B48" s="7" t="s">
        <v>80</v>
      </c>
      <c r="C48" s="7" t="s">
        <v>27</v>
      </c>
      <c r="D48" s="8">
        <v>41653</v>
      </c>
      <c r="E48" s="8">
        <v>41657</v>
      </c>
      <c r="F48" s="9">
        <v>954</v>
      </c>
      <c r="G48">
        <f t="shared" si="0"/>
        <v>5</v>
      </c>
    </row>
    <row r="49" spans="1:7" x14ac:dyDescent="0.25">
      <c r="A49" s="10" t="s">
        <v>54</v>
      </c>
      <c r="B49" s="11" t="s">
        <v>81</v>
      </c>
      <c r="C49" s="11" t="s">
        <v>8</v>
      </c>
      <c r="D49" s="12">
        <v>41653</v>
      </c>
      <c r="E49" s="12">
        <v>41653</v>
      </c>
      <c r="F49" s="13">
        <v>680</v>
      </c>
      <c r="G49">
        <f t="shared" si="0"/>
        <v>1</v>
      </c>
    </row>
    <row r="50" spans="1:7" x14ac:dyDescent="0.25">
      <c r="A50" s="6" t="s">
        <v>82</v>
      </c>
      <c r="B50" s="7" t="s">
        <v>83</v>
      </c>
      <c r="C50" s="7" t="s">
        <v>72</v>
      </c>
      <c r="D50" s="8">
        <v>41653</v>
      </c>
      <c r="E50" s="8">
        <v>41657</v>
      </c>
      <c r="F50" s="9">
        <v>1290.7</v>
      </c>
      <c r="G50">
        <f t="shared" si="0"/>
        <v>5</v>
      </c>
    </row>
    <row r="51" spans="1:7" x14ac:dyDescent="0.25">
      <c r="A51" s="10" t="s">
        <v>84</v>
      </c>
      <c r="B51" s="11" t="s">
        <v>85</v>
      </c>
      <c r="C51" s="11" t="s">
        <v>24</v>
      </c>
      <c r="D51" s="12">
        <v>41653</v>
      </c>
      <c r="E51" s="12">
        <v>41655</v>
      </c>
      <c r="F51" s="13">
        <v>588.70000000000005</v>
      </c>
      <c r="G51">
        <f t="shared" si="0"/>
        <v>3</v>
      </c>
    </row>
    <row r="52" spans="1:7" x14ac:dyDescent="0.25">
      <c r="A52" s="6" t="s">
        <v>31</v>
      </c>
      <c r="B52" s="7" t="s">
        <v>32</v>
      </c>
      <c r="C52" s="7" t="s">
        <v>30</v>
      </c>
      <c r="D52" s="8">
        <v>41653</v>
      </c>
      <c r="E52" s="8">
        <v>41655</v>
      </c>
      <c r="F52" s="9">
        <v>450.5</v>
      </c>
      <c r="G52">
        <f t="shared" si="0"/>
        <v>3</v>
      </c>
    </row>
    <row r="53" spans="1:7" x14ac:dyDescent="0.25">
      <c r="A53" s="10" t="s">
        <v>6</v>
      </c>
      <c r="B53" s="11" t="s">
        <v>56</v>
      </c>
      <c r="C53" s="11" t="s">
        <v>30</v>
      </c>
      <c r="D53" s="12">
        <v>41653</v>
      </c>
      <c r="E53" s="12">
        <v>41657</v>
      </c>
      <c r="F53" s="13">
        <v>688.5</v>
      </c>
      <c r="G53">
        <f t="shared" si="0"/>
        <v>5</v>
      </c>
    </row>
    <row r="54" spans="1:7" x14ac:dyDescent="0.25">
      <c r="A54" s="6" t="s">
        <v>86</v>
      </c>
      <c r="B54" s="7" t="s">
        <v>87</v>
      </c>
      <c r="C54" s="7" t="s">
        <v>72</v>
      </c>
      <c r="D54" s="8">
        <v>41653</v>
      </c>
      <c r="E54" s="8">
        <v>41654</v>
      </c>
      <c r="F54" s="9">
        <v>693.7</v>
      </c>
      <c r="G54">
        <f t="shared" si="0"/>
        <v>2</v>
      </c>
    </row>
    <row r="55" spans="1:7" x14ac:dyDescent="0.25">
      <c r="A55" s="10" t="s">
        <v>75</v>
      </c>
      <c r="B55" s="11" t="s">
        <v>88</v>
      </c>
      <c r="C55" s="11" t="s">
        <v>30</v>
      </c>
      <c r="D55" s="12">
        <v>41653</v>
      </c>
      <c r="E55" s="12">
        <v>41653</v>
      </c>
      <c r="F55" s="13">
        <v>212.5</v>
      </c>
      <c r="G55">
        <f t="shared" si="0"/>
        <v>1</v>
      </c>
    </row>
    <row r="56" spans="1:7" x14ac:dyDescent="0.25">
      <c r="A56" s="6" t="s">
        <v>89</v>
      </c>
      <c r="B56" s="7" t="s">
        <v>90</v>
      </c>
      <c r="C56" s="7" t="s">
        <v>8</v>
      </c>
      <c r="D56" s="8">
        <v>41653</v>
      </c>
      <c r="E56" s="8">
        <v>41654</v>
      </c>
      <c r="F56" s="9">
        <v>891</v>
      </c>
      <c r="G56">
        <f t="shared" si="0"/>
        <v>2</v>
      </c>
    </row>
    <row r="57" spans="1:7" x14ac:dyDescent="0.25">
      <c r="A57" s="10" t="s">
        <v>39</v>
      </c>
      <c r="B57" s="11" t="s">
        <v>40</v>
      </c>
      <c r="C57" s="11" t="s">
        <v>38</v>
      </c>
      <c r="D57" s="12">
        <v>41653</v>
      </c>
      <c r="E57" s="12">
        <v>41654</v>
      </c>
      <c r="F57" s="13">
        <v>407.8</v>
      </c>
      <c r="G57">
        <f t="shared" si="0"/>
        <v>2</v>
      </c>
    </row>
    <row r="58" spans="1:7" x14ac:dyDescent="0.25">
      <c r="A58" s="6" t="s">
        <v>15</v>
      </c>
      <c r="B58" s="7" t="s">
        <v>63</v>
      </c>
      <c r="C58" s="7" t="s">
        <v>19</v>
      </c>
      <c r="D58" s="8">
        <v>41653</v>
      </c>
      <c r="E58" s="8">
        <v>41653</v>
      </c>
      <c r="F58" s="9">
        <v>513.4</v>
      </c>
      <c r="G58">
        <f t="shared" si="0"/>
        <v>1</v>
      </c>
    </row>
    <row r="59" spans="1:7" x14ac:dyDescent="0.25">
      <c r="A59" s="10" t="s">
        <v>91</v>
      </c>
      <c r="B59" s="11" t="s">
        <v>92</v>
      </c>
      <c r="C59" s="11" t="s">
        <v>59</v>
      </c>
      <c r="D59" s="12">
        <v>41653</v>
      </c>
      <c r="E59" s="12">
        <v>41655</v>
      </c>
      <c r="F59" s="13">
        <v>760</v>
      </c>
      <c r="G59">
        <f t="shared" si="0"/>
        <v>3</v>
      </c>
    </row>
    <row r="60" spans="1:7" x14ac:dyDescent="0.25">
      <c r="A60" s="6" t="s">
        <v>93</v>
      </c>
      <c r="B60" s="7" t="s">
        <v>94</v>
      </c>
      <c r="C60" s="7" t="s">
        <v>47</v>
      </c>
      <c r="D60" s="8">
        <v>41653</v>
      </c>
      <c r="E60" s="8">
        <v>41654</v>
      </c>
      <c r="F60" s="9">
        <v>526.79999999999995</v>
      </c>
      <c r="G60">
        <f t="shared" si="0"/>
        <v>2</v>
      </c>
    </row>
    <row r="61" spans="1:7" x14ac:dyDescent="0.25">
      <c r="A61" s="10" t="s">
        <v>12</v>
      </c>
      <c r="B61" s="11" t="s">
        <v>95</v>
      </c>
      <c r="C61" s="11" t="s">
        <v>8</v>
      </c>
      <c r="D61" s="12">
        <v>41653</v>
      </c>
      <c r="E61" s="12">
        <v>41656</v>
      </c>
      <c r="F61" s="13">
        <v>1313</v>
      </c>
      <c r="G61">
        <f t="shared" si="0"/>
        <v>4</v>
      </c>
    </row>
    <row r="62" spans="1:7" x14ac:dyDescent="0.25">
      <c r="A62" s="6" t="s">
        <v>15</v>
      </c>
      <c r="B62" s="7" t="s">
        <v>96</v>
      </c>
      <c r="C62" s="7" t="s">
        <v>66</v>
      </c>
      <c r="D62" s="8">
        <v>41653</v>
      </c>
      <c r="E62" s="8">
        <v>41656</v>
      </c>
      <c r="F62" s="9">
        <v>841.7</v>
      </c>
      <c r="G62">
        <f t="shared" si="0"/>
        <v>4</v>
      </c>
    </row>
    <row r="63" spans="1:7" x14ac:dyDescent="0.25">
      <c r="A63" s="10" t="s">
        <v>64</v>
      </c>
      <c r="B63" s="11" t="s">
        <v>65</v>
      </c>
      <c r="C63" s="11" t="s">
        <v>38</v>
      </c>
      <c r="D63" s="12">
        <v>41653</v>
      </c>
      <c r="E63" s="12">
        <v>41657</v>
      </c>
      <c r="F63" s="13">
        <v>794.8</v>
      </c>
      <c r="G63">
        <f t="shared" si="0"/>
        <v>5</v>
      </c>
    </row>
    <row r="64" spans="1:7" x14ac:dyDescent="0.25">
      <c r="A64" s="6" t="s">
        <v>57</v>
      </c>
      <c r="B64" s="7" t="s">
        <v>58</v>
      </c>
      <c r="C64" s="7" t="s">
        <v>47</v>
      </c>
      <c r="D64" s="8">
        <v>41653</v>
      </c>
      <c r="E64" s="8">
        <v>41656</v>
      </c>
      <c r="F64" s="9">
        <v>852.8</v>
      </c>
      <c r="G64">
        <f t="shared" si="0"/>
        <v>4</v>
      </c>
    </row>
    <row r="65" spans="1:7" x14ac:dyDescent="0.25">
      <c r="A65" s="10" t="s">
        <v>50</v>
      </c>
      <c r="B65" s="11" t="s">
        <v>51</v>
      </c>
      <c r="C65" s="11" t="s">
        <v>59</v>
      </c>
      <c r="D65" s="12">
        <v>41654</v>
      </c>
      <c r="E65" s="12">
        <v>41656</v>
      </c>
      <c r="F65" s="13">
        <v>760</v>
      </c>
      <c r="G65">
        <f t="shared" si="0"/>
        <v>3</v>
      </c>
    </row>
    <row r="66" spans="1:7" x14ac:dyDescent="0.25">
      <c r="A66" s="6" t="s">
        <v>28</v>
      </c>
      <c r="B66" s="7" t="s">
        <v>60</v>
      </c>
      <c r="C66" s="7" t="s">
        <v>17</v>
      </c>
      <c r="D66" s="8">
        <v>41654</v>
      </c>
      <c r="E66" s="8">
        <v>41657</v>
      </c>
      <c r="F66" s="9">
        <v>1116.5</v>
      </c>
      <c r="G66">
        <f t="shared" si="0"/>
        <v>4</v>
      </c>
    </row>
    <row r="67" spans="1:7" x14ac:dyDescent="0.25">
      <c r="A67" s="10" t="s">
        <v>28</v>
      </c>
      <c r="B67" s="11" t="s">
        <v>29</v>
      </c>
      <c r="C67" s="11" t="s">
        <v>11</v>
      </c>
      <c r="D67" s="12">
        <v>41654</v>
      </c>
      <c r="E67" s="12">
        <v>41657</v>
      </c>
      <c r="F67" s="13">
        <v>573.4</v>
      </c>
      <c r="G67">
        <f t="shared" ref="G67:G130" si="1">E67-D67 + 1</f>
        <v>4</v>
      </c>
    </row>
    <row r="68" spans="1:7" x14ac:dyDescent="0.25">
      <c r="A68" s="6" t="s">
        <v>31</v>
      </c>
      <c r="B68" s="7" t="s">
        <v>32</v>
      </c>
      <c r="C68" s="7" t="s">
        <v>59</v>
      </c>
      <c r="D68" s="8">
        <v>41654</v>
      </c>
      <c r="E68" s="8">
        <v>41656</v>
      </c>
      <c r="F68" s="9">
        <v>760</v>
      </c>
      <c r="G68">
        <f t="shared" si="1"/>
        <v>3</v>
      </c>
    </row>
    <row r="69" spans="1:7" x14ac:dyDescent="0.25">
      <c r="A69" s="10" t="s">
        <v>97</v>
      </c>
      <c r="B69" s="11" t="s">
        <v>98</v>
      </c>
      <c r="C69" s="11" t="s">
        <v>8</v>
      </c>
      <c r="D69" s="12">
        <v>41654</v>
      </c>
      <c r="E69" s="12">
        <v>41656</v>
      </c>
      <c r="F69" s="13">
        <v>1102</v>
      </c>
      <c r="G69">
        <f t="shared" si="1"/>
        <v>3</v>
      </c>
    </row>
    <row r="70" spans="1:7" x14ac:dyDescent="0.25">
      <c r="A70" s="6" t="s">
        <v>9</v>
      </c>
      <c r="B70" s="7" t="s">
        <v>69</v>
      </c>
      <c r="C70" s="7" t="s">
        <v>19</v>
      </c>
      <c r="D70" s="8">
        <v>41654</v>
      </c>
      <c r="E70" s="8">
        <v>41657</v>
      </c>
      <c r="F70" s="9">
        <v>936.4</v>
      </c>
      <c r="G70">
        <f t="shared" si="1"/>
        <v>4</v>
      </c>
    </row>
    <row r="71" spans="1:7" x14ac:dyDescent="0.25">
      <c r="A71" s="10" t="s">
        <v>99</v>
      </c>
      <c r="B71" s="11" t="s">
        <v>100</v>
      </c>
      <c r="C71" s="11" t="s">
        <v>66</v>
      </c>
      <c r="D71" s="12">
        <v>41654</v>
      </c>
      <c r="E71" s="12">
        <v>41658</v>
      </c>
      <c r="F71" s="13">
        <v>1019.7</v>
      </c>
      <c r="G71">
        <f t="shared" si="1"/>
        <v>5</v>
      </c>
    </row>
    <row r="72" spans="1:7" x14ac:dyDescent="0.25">
      <c r="A72" s="6" t="s">
        <v>101</v>
      </c>
      <c r="B72" s="7" t="s">
        <v>102</v>
      </c>
      <c r="C72" s="7" t="s">
        <v>72</v>
      </c>
      <c r="D72" s="8">
        <v>41654</v>
      </c>
      <c r="E72" s="8">
        <v>41657</v>
      </c>
      <c r="F72" s="9">
        <v>1091.7</v>
      </c>
      <c r="G72">
        <f t="shared" si="1"/>
        <v>4</v>
      </c>
    </row>
    <row r="73" spans="1:7" x14ac:dyDescent="0.25">
      <c r="A73" s="10" t="s">
        <v>9</v>
      </c>
      <c r="B73" s="11" t="s">
        <v>103</v>
      </c>
      <c r="C73" s="11" t="s">
        <v>47</v>
      </c>
      <c r="D73" s="12">
        <v>41654</v>
      </c>
      <c r="E73" s="12">
        <v>41658</v>
      </c>
      <c r="F73" s="13">
        <v>1015.8</v>
      </c>
      <c r="G73">
        <f t="shared" si="1"/>
        <v>5</v>
      </c>
    </row>
    <row r="74" spans="1:7" x14ac:dyDescent="0.25">
      <c r="A74" s="6" t="s">
        <v>73</v>
      </c>
      <c r="B74" s="7" t="s">
        <v>104</v>
      </c>
      <c r="C74" s="7" t="s">
        <v>47</v>
      </c>
      <c r="D74" s="8">
        <v>41654</v>
      </c>
      <c r="E74" s="8">
        <v>41655</v>
      </c>
      <c r="F74" s="9">
        <v>526.79999999999995</v>
      </c>
      <c r="G74">
        <f t="shared" si="1"/>
        <v>2</v>
      </c>
    </row>
    <row r="75" spans="1:7" x14ac:dyDescent="0.25">
      <c r="A75" s="10" t="s">
        <v>15</v>
      </c>
      <c r="B75" s="11" t="s">
        <v>105</v>
      </c>
      <c r="C75" s="11" t="s">
        <v>14</v>
      </c>
      <c r="D75" s="12">
        <v>41654</v>
      </c>
      <c r="E75" s="12">
        <v>41655</v>
      </c>
      <c r="F75" s="13">
        <v>302.5</v>
      </c>
      <c r="G75">
        <f t="shared" si="1"/>
        <v>2</v>
      </c>
    </row>
    <row r="76" spans="1:7" x14ac:dyDescent="0.25">
      <c r="A76" s="6" t="s">
        <v>93</v>
      </c>
      <c r="B76" s="7" t="s">
        <v>106</v>
      </c>
      <c r="C76" s="7" t="s">
        <v>47</v>
      </c>
      <c r="D76" s="8">
        <v>41654</v>
      </c>
      <c r="E76" s="8">
        <v>41654</v>
      </c>
      <c r="F76" s="9">
        <v>363.8</v>
      </c>
      <c r="G76">
        <f t="shared" si="1"/>
        <v>1</v>
      </c>
    </row>
    <row r="77" spans="1:7" x14ac:dyDescent="0.25">
      <c r="A77" s="10" t="s">
        <v>93</v>
      </c>
      <c r="B77" s="11" t="s">
        <v>106</v>
      </c>
      <c r="C77" s="11" t="s">
        <v>14</v>
      </c>
      <c r="D77" s="12">
        <v>41654</v>
      </c>
      <c r="E77" s="12">
        <v>41654</v>
      </c>
      <c r="F77" s="13">
        <v>178.5</v>
      </c>
      <c r="G77">
        <f t="shared" si="1"/>
        <v>1</v>
      </c>
    </row>
    <row r="78" spans="1:7" x14ac:dyDescent="0.25">
      <c r="A78" s="6" t="s">
        <v>42</v>
      </c>
      <c r="B78" s="7" t="s">
        <v>43</v>
      </c>
      <c r="C78" s="7" t="s">
        <v>27</v>
      </c>
      <c r="D78" s="8">
        <v>41654</v>
      </c>
      <c r="E78" s="8">
        <v>41655</v>
      </c>
      <c r="F78" s="9">
        <v>570</v>
      </c>
      <c r="G78">
        <f t="shared" si="1"/>
        <v>2</v>
      </c>
    </row>
    <row r="79" spans="1:7" x14ac:dyDescent="0.25">
      <c r="A79" s="10" t="s">
        <v>107</v>
      </c>
      <c r="B79" s="11" t="s">
        <v>108</v>
      </c>
      <c r="C79" s="11" t="s">
        <v>66</v>
      </c>
      <c r="D79" s="12">
        <v>41654</v>
      </c>
      <c r="E79" s="12">
        <v>41655</v>
      </c>
      <c r="F79" s="13">
        <v>485.7</v>
      </c>
      <c r="G79">
        <f t="shared" si="1"/>
        <v>2</v>
      </c>
    </row>
    <row r="80" spans="1:7" x14ac:dyDescent="0.25">
      <c r="A80" s="6" t="s">
        <v>109</v>
      </c>
      <c r="B80" s="7" t="s">
        <v>110</v>
      </c>
      <c r="C80" s="7" t="s">
        <v>14</v>
      </c>
      <c r="D80" s="8">
        <v>41654</v>
      </c>
      <c r="E80" s="8">
        <v>41655</v>
      </c>
      <c r="F80" s="9">
        <v>302.5</v>
      </c>
      <c r="G80">
        <f t="shared" si="1"/>
        <v>2</v>
      </c>
    </row>
    <row r="81" spans="1:7" x14ac:dyDescent="0.25">
      <c r="A81" s="10" t="s">
        <v>6</v>
      </c>
      <c r="B81" s="11" t="s">
        <v>45</v>
      </c>
      <c r="C81" s="11" t="s">
        <v>66</v>
      </c>
      <c r="D81" s="12">
        <v>41654</v>
      </c>
      <c r="E81" s="12">
        <v>41656</v>
      </c>
      <c r="F81" s="13">
        <v>663.7</v>
      </c>
      <c r="G81">
        <f t="shared" si="1"/>
        <v>3</v>
      </c>
    </row>
    <row r="82" spans="1:7" x14ac:dyDescent="0.25">
      <c r="A82" s="6" t="s">
        <v>111</v>
      </c>
      <c r="B82" s="7" t="s">
        <v>112</v>
      </c>
      <c r="C82" s="7" t="s">
        <v>66</v>
      </c>
      <c r="D82" s="8">
        <v>41654</v>
      </c>
      <c r="E82" s="8">
        <v>41656</v>
      </c>
      <c r="F82" s="9">
        <v>663.7</v>
      </c>
      <c r="G82">
        <f t="shared" si="1"/>
        <v>3</v>
      </c>
    </row>
    <row r="83" spans="1:7" x14ac:dyDescent="0.25">
      <c r="A83" s="10" t="s">
        <v>113</v>
      </c>
      <c r="B83" s="11" t="s">
        <v>114</v>
      </c>
      <c r="C83" s="11" t="s">
        <v>11</v>
      </c>
      <c r="D83" s="12">
        <v>41654</v>
      </c>
      <c r="E83" s="12">
        <v>41658</v>
      </c>
      <c r="F83" s="13">
        <v>712.4</v>
      </c>
      <c r="G83">
        <f t="shared" si="1"/>
        <v>5</v>
      </c>
    </row>
    <row r="84" spans="1:7" x14ac:dyDescent="0.25">
      <c r="A84" s="6" t="s">
        <v>115</v>
      </c>
      <c r="B84" s="7" t="s">
        <v>116</v>
      </c>
      <c r="C84" s="7" t="s">
        <v>14</v>
      </c>
      <c r="D84" s="8">
        <v>41654</v>
      </c>
      <c r="E84" s="8">
        <v>41655</v>
      </c>
      <c r="F84" s="9">
        <v>302.5</v>
      </c>
      <c r="G84">
        <f t="shared" si="1"/>
        <v>2</v>
      </c>
    </row>
    <row r="85" spans="1:7" x14ac:dyDescent="0.25">
      <c r="A85" s="10" t="s">
        <v>70</v>
      </c>
      <c r="B85" s="11" t="s">
        <v>117</v>
      </c>
      <c r="C85" s="11" t="s">
        <v>8</v>
      </c>
      <c r="D85" s="12">
        <v>41654</v>
      </c>
      <c r="E85" s="12">
        <v>41655</v>
      </c>
      <c r="F85" s="13">
        <v>891</v>
      </c>
      <c r="G85">
        <f t="shared" si="1"/>
        <v>2</v>
      </c>
    </row>
    <row r="86" spans="1:7" x14ac:dyDescent="0.25">
      <c r="A86" s="6" t="s">
        <v>54</v>
      </c>
      <c r="B86" s="7" t="s">
        <v>118</v>
      </c>
      <c r="C86" s="7" t="s">
        <v>8</v>
      </c>
      <c r="D86" s="8">
        <v>41654</v>
      </c>
      <c r="E86" s="8">
        <v>41657</v>
      </c>
      <c r="F86" s="9">
        <v>1313</v>
      </c>
      <c r="G86">
        <f t="shared" si="1"/>
        <v>4</v>
      </c>
    </row>
    <row r="87" spans="1:7" x14ac:dyDescent="0.25">
      <c r="A87" s="10" t="s">
        <v>54</v>
      </c>
      <c r="B87" s="11" t="s">
        <v>81</v>
      </c>
      <c r="C87" s="11" t="s">
        <v>27</v>
      </c>
      <c r="D87" s="12">
        <v>41656</v>
      </c>
      <c r="E87" s="12">
        <v>41656</v>
      </c>
      <c r="F87" s="13">
        <v>442</v>
      </c>
      <c r="G87">
        <f t="shared" si="1"/>
        <v>1</v>
      </c>
    </row>
    <row r="88" spans="1:7" x14ac:dyDescent="0.25">
      <c r="A88" s="6" t="s">
        <v>119</v>
      </c>
      <c r="B88" s="7" t="s">
        <v>120</v>
      </c>
      <c r="C88" s="7" t="s">
        <v>27</v>
      </c>
      <c r="D88" s="8">
        <v>41656</v>
      </c>
      <c r="E88" s="8">
        <v>41656</v>
      </c>
      <c r="F88" s="9">
        <v>442</v>
      </c>
      <c r="G88">
        <f t="shared" si="1"/>
        <v>1</v>
      </c>
    </row>
    <row r="89" spans="1:7" x14ac:dyDescent="0.25">
      <c r="A89" s="10" t="s">
        <v>31</v>
      </c>
      <c r="B89" s="11" t="s">
        <v>77</v>
      </c>
      <c r="C89" s="11" t="s">
        <v>11</v>
      </c>
      <c r="D89" s="12">
        <v>41656</v>
      </c>
      <c r="E89" s="12">
        <v>41656</v>
      </c>
      <c r="F89" s="13">
        <v>156.4</v>
      </c>
      <c r="G89">
        <f t="shared" si="1"/>
        <v>1</v>
      </c>
    </row>
    <row r="90" spans="1:7" x14ac:dyDescent="0.25">
      <c r="A90" s="6" t="s">
        <v>9</v>
      </c>
      <c r="B90" s="7" t="s">
        <v>18</v>
      </c>
      <c r="C90" s="7" t="s">
        <v>11</v>
      </c>
      <c r="D90" s="8">
        <v>41656</v>
      </c>
      <c r="E90" s="8">
        <v>41656</v>
      </c>
      <c r="F90" s="9">
        <v>156.4</v>
      </c>
      <c r="G90">
        <f t="shared" si="1"/>
        <v>1</v>
      </c>
    </row>
    <row r="91" spans="1:7" x14ac:dyDescent="0.25">
      <c r="A91" s="10" t="s">
        <v>86</v>
      </c>
      <c r="B91" s="11" t="s">
        <v>87</v>
      </c>
      <c r="C91" s="11" t="s">
        <v>17</v>
      </c>
      <c r="D91" s="12">
        <v>41657</v>
      </c>
      <c r="E91" s="12">
        <v>41657</v>
      </c>
      <c r="F91" s="13">
        <v>501.5</v>
      </c>
      <c r="G91">
        <f t="shared" si="1"/>
        <v>1</v>
      </c>
    </row>
    <row r="92" spans="1:7" x14ac:dyDescent="0.25">
      <c r="A92" s="6" t="s">
        <v>75</v>
      </c>
      <c r="B92" s="7" t="s">
        <v>88</v>
      </c>
      <c r="C92" s="7" t="s">
        <v>14</v>
      </c>
      <c r="D92" s="8">
        <v>41657</v>
      </c>
      <c r="E92" s="8">
        <v>41658</v>
      </c>
      <c r="F92" s="9">
        <v>302.5</v>
      </c>
      <c r="G92">
        <f t="shared" si="1"/>
        <v>2</v>
      </c>
    </row>
    <row r="93" spans="1:7" x14ac:dyDescent="0.25">
      <c r="A93" s="10" t="s">
        <v>93</v>
      </c>
      <c r="B93" s="11" t="s">
        <v>94</v>
      </c>
      <c r="C93" s="11" t="s">
        <v>8</v>
      </c>
      <c r="D93" s="12">
        <v>41657</v>
      </c>
      <c r="E93" s="12">
        <v>41657</v>
      </c>
      <c r="F93" s="13">
        <v>680</v>
      </c>
      <c r="G93">
        <f t="shared" si="1"/>
        <v>1</v>
      </c>
    </row>
    <row r="94" spans="1:7" x14ac:dyDescent="0.25">
      <c r="A94" s="6" t="s">
        <v>48</v>
      </c>
      <c r="B94" s="7" t="s">
        <v>49</v>
      </c>
      <c r="C94" s="7" t="s">
        <v>19</v>
      </c>
      <c r="D94" s="8">
        <v>41658</v>
      </c>
      <c r="E94" s="8">
        <v>41658</v>
      </c>
      <c r="F94" s="9">
        <v>513.4</v>
      </c>
      <c r="G94">
        <f t="shared" si="1"/>
        <v>1</v>
      </c>
    </row>
    <row r="95" spans="1:7" x14ac:dyDescent="0.25">
      <c r="A95" s="10" t="s">
        <v>111</v>
      </c>
      <c r="B95" s="11" t="s">
        <v>112</v>
      </c>
      <c r="C95" s="11" t="s">
        <v>17</v>
      </c>
      <c r="D95" s="12">
        <v>41658</v>
      </c>
      <c r="E95" s="12">
        <v>41658</v>
      </c>
      <c r="F95" s="13">
        <v>501.5</v>
      </c>
      <c r="G95">
        <f t="shared" si="1"/>
        <v>1</v>
      </c>
    </row>
    <row r="96" spans="1:7" x14ac:dyDescent="0.25">
      <c r="A96" s="6" t="s">
        <v>6</v>
      </c>
      <c r="B96" s="7" t="s">
        <v>56</v>
      </c>
      <c r="C96" s="7" t="s">
        <v>72</v>
      </c>
      <c r="D96" s="8">
        <v>41660</v>
      </c>
      <c r="E96" s="8">
        <v>41662</v>
      </c>
      <c r="F96" s="9">
        <v>892.7</v>
      </c>
      <c r="G96">
        <f t="shared" si="1"/>
        <v>3</v>
      </c>
    </row>
    <row r="97" spans="1:7" x14ac:dyDescent="0.25">
      <c r="A97" s="10" t="s">
        <v>99</v>
      </c>
      <c r="B97" s="11" t="s">
        <v>100</v>
      </c>
      <c r="C97" s="11" t="s">
        <v>27</v>
      </c>
      <c r="D97" s="12">
        <v>41660</v>
      </c>
      <c r="E97" s="12">
        <v>41663</v>
      </c>
      <c r="F97" s="13">
        <v>826</v>
      </c>
      <c r="G97">
        <f t="shared" si="1"/>
        <v>4</v>
      </c>
    </row>
    <row r="98" spans="1:7" x14ac:dyDescent="0.25">
      <c r="A98" s="6" t="s">
        <v>86</v>
      </c>
      <c r="B98" s="7" t="s">
        <v>87</v>
      </c>
      <c r="C98" s="7" t="s">
        <v>72</v>
      </c>
      <c r="D98" s="8">
        <v>41660</v>
      </c>
      <c r="E98" s="8">
        <v>41662</v>
      </c>
      <c r="F98" s="9">
        <v>892.7</v>
      </c>
      <c r="G98">
        <f t="shared" si="1"/>
        <v>3</v>
      </c>
    </row>
    <row r="99" spans="1:7" x14ac:dyDescent="0.25">
      <c r="A99" s="10" t="s">
        <v>54</v>
      </c>
      <c r="B99" s="11" t="s">
        <v>121</v>
      </c>
      <c r="C99" s="11" t="s">
        <v>19</v>
      </c>
      <c r="D99" s="12">
        <v>41660</v>
      </c>
      <c r="E99" s="12">
        <v>41662</v>
      </c>
      <c r="F99" s="13">
        <v>795.4</v>
      </c>
      <c r="G99">
        <f t="shared" si="1"/>
        <v>3</v>
      </c>
    </row>
    <row r="100" spans="1:7" x14ac:dyDescent="0.25">
      <c r="A100" s="6" t="s">
        <v>75</v>
      </c>
      <c r="B100" s="7" t="s">
        <v>76</v>
      </c>
      <c r="C100" s="7" t="s">
        <v>8</v>
      </c>
      <c r="D100" s="8">
        <v>41660</v>
      </c>
      <c r="E100" s="8">
        <v>41664</v>
      </c>
      <c r="F100" s="9">
        <v>1524</v>
      </c>
      <c r="G100">
        <f t="shared" si="1"/>
        <v>5</v>
      </c>
    </row>
    <row r="101" spans="1:7" x14ac:dyDescent="0.25">
      <c r="A101" s="10" t="s">
        <v>31</v>
      </c>
      <c r="B101" s="11" t="s">
        <v>77</v>
      </c>
      <c r="C101" s="11" t="s">
        <v>47</v>
      </c>
      <c r="D101" s="12">
        <v>41660</v>
      </c>
      <c r="E101" s="12">
        <v>41663</v>
      </c>
      <c r="F101" s="13">
        <v>852.8</v>
      </c>
      <c r="G101">
        <f t="shared" si="1"/>
        <v>4</v>
      </c>
    </row>
    <row r="102" spans="1:7" x14ac:dyDescent="0.25">
      <c r="A102" s="6" t="s">
        <v>122</v>
      </c>
      <c r="B102" s="7" t="s">
        <v>123</v>
      </c>
      <c r="C102" s="7" t="s">
        <v>17</v>
      </c>
      <c r="D102" s="8">
        <v>41661</v>
      </c>
      <c r="E102" s="8">
        <v>41661</v>
      </c>
      <c r="F102" s="9">
        <v>501.5</v>
      </c>
      <c r="G102">
        <f t="shared" si="1"/>
        <v>1</v>
      </c>
    </row>
    <row r="103" spans="1:7" x14ac:dyDescent="0.25">
      <c r="A103" s="10" t="s">
        <v>93</v>
      </c>
      <c r="B103" s="11" t="s">
        <v>124</v>
      </c>
      <c r="C103" s="11" t="s">
        <v>59</v>
      </c>
      <c r="D103" s="12">
        <v>41661</v>
      </c>
      <c r="E103" s="12">
        <v>41661</v>
      </c>
      <c r="F103" s="13">
        <v>442</v>
      </c>
      <c r="G103">
        <f t="shared" si="1"/>
        <v>1</v>
      </c>
    </row>
    <row r="104" spans="1:7" x14ac:dyDescent="0.25">
      <c r="A104" s="6" t="s">
        <v>82</v>
      </c>
      <c r="B104" s="7" t="s">
        <v>125</v>
      </c>
      <c r="C104" s="7" t="s">
        <v>8</v>
      </c>
      <c r="D104" s="8">
        <v>41661</v>
      </c>
      <c r="E104" s="8">
        <v>41663</v>
      </c>
      <c r="F104" s="9">
        <v>1102</v>
      </c>
      <c r="G104">
        <f t="shared" si="1"/>
        <v>3</v>
      </c>
    </row>
    <row r="105" spans="1:7" x14ac:dyDescent="0.25">
      <c r="A105" s="10" t="s">
        <v>126</v>
      </c>
      <c r="B105" s="11" t="s">
        <v>127</v>
      </c>
      <c r="C105" s="11" t="s">
        <v>14</v>
      </c>
      <c r="D105" s="12">
        <v>41661</v>
      </c>
      <c r="E105" s="12">
        <v>41663</v>
      </c>
      <c r="F105" s="13">
        <v>426.5</v>
      </c>
      <c r="G105">
        <f t="shared" si="1"/>
        <v>3</v>
      </c>
    </row>
    <row r="106" spans="1:7" x14ac:dyDescent="0.25">
      <c r="A106" s="6" t="s">
        <v>128</v>
      </c>
      <c r="B106" s="7" t="s">
        <v>129</v>
      </c>
      <c r="C106" s="7" t="s">
        <v>19</v>
      </c>
      <c r="D106" s="8">
        <v>41662</v>
      </c>
      <c r="E106" s="8">
        <v>41663</v>
      </c>
      <c r="F106" s="9">
        <v>654.4</v>
      </c>
      <c r="G106">
        <f t="shared" si="1"/>
        <v>2</v>
      </c>
    </row>
    <row r="107" spans="1:7" x14ac:dyDescent="0.25">
      <c r="A107" s="10" t="s">
        <v>25</v>
      </c>
      <c r="B107" s="11" t="s">
        <v>26</v>
      </c>
      <c r="C107" s="11" t="s">
        <v>11</v>
      </c>
      <c r="D107" s="12">
        <v>41662</v>
      </c>
      <c r="E107" s="12">
        <v>41663</v>
      </c>
      <c r="F107" s="13">
        <v>295.39999999999998</v>
      </c>
      <c r="G107">
        <f t="shared" si="1"/>
        <v>2</v>
      </c>
    </row>
    <row r="108" spans="1:7" x14ac:dyDescent="0.25">
      <c r="A108" s="6" t="s">
        <v>25</v>
      </c>
      <c r="B108" s="7" t="s">
        <v>68</v>
      </c>
      <c r="C108" s="7" t="s">
        <v>66</v>
      </c>
      <c r="D108" s="8">
        <v>41662</v>
      </c>
      <c r="E108" s="8">
        <v>41663</v>
      </c>
      <c r="F108" s="9">
        <v>485.7</v>
      </c>
      <c r="G108">
        <f t="shared" si="1"/>
        <v>2</v>
      </c>
    </row>
    <row r="109" spans="1:7" x14ac:dyDescent="0.25">
      <c r="A109" s="10" t="s">
        <v>99</v>
      </c>
      <c r="B109" s="11" t="s">
        <v>130</v>
      </c>
      <c r="C109" s="11" t="s">
        <v>72</v>
      </c>
      <c r="D109" s="12">
        <v>41663</v>
      </c>
      <c r="E109" s="12">
        <v>41663</v>
      </c>
      <c r="F109" s="13">
        <v>494.7</v>
      </c>
      <c r="G109">
        <f t="shared" si="1"/>
        <v>1</v>
      </c>
    </row>
    <row r="110" spans="1:7" x14ac:dyDescent="0.25">
      <c r="A110" s="6" t="s">
        <v>131</v>
      </c>
      <c r="B110" s="7" t="s">
        <v>132</v>
      </c>
      <c r="C110" s="7" t="s">
        <v>38</v>
      </c>
      <c r="D110" s="8">
        <v>41663</v>
      </c>
      <c r="E110" s="8">
        <v>41663</v>
      </c>
      <c r="F110" s="9">
        <v>278.8</v>
      </c>
      <c r="G110">
        <f t="shared" si="1"/>
        <v>1</v>
      </c>
    </row>
    <row r="111" spans="1:7" x14ac:dyDescent="0.25">
      <c r="A111" s="10" t="s">
        <v>93</v>
      </c>
      <c r="B111" s="11" t="s">
        <v>94</v>
      </c>
      <c r="C111" s="11" t="s">
        <v>47</v>
      </c>
      <c r="D111" s="12">
        <v>41664</v>
      </c>
      <c r="E111" s="12">
        <v>41664</v>
      </c>
      <c r="F111" s="13">
        <v>363.8</v>
      </c>
      <c r="G111">
        <f t="shared" si="1"/>
        <v>1</v>
      </c>
    </row>
    <row r="112" spans="1:7" x14ac:dyDescent="0.25">
      <c r="A112" s="6" t="s">
        <v>6</v>
      </c>
      <c r="B112" s="7" t="s">
        <v>7</v>
      </c>
      <c r="C112" s="7" t="s">
        <v>66</v>
      </c>
      <c r="D112" s="8">
        <v>41665</v>
      </c>
      <c r="E112" s="8">
        <v>41669</v>
      </c>
      <c r="F112" s="9">
        <v>1019.7</v>
      </c>
      <c r="G112">
        <f t="shared" si="1"/>
        <v>5</v>
      </c>
    </row>
    <row r="113" spans="1:7" x14ac:dyDescent="0.25">
      <c r="A113" s="10" t="s">
        <v>79</v>
      </c>
      <c r="B113" s="11" t="s">
        <v>80</v>
      </c>
      <c r="C113" s="11" t="s">
        <v>19</v>
      </c>
      <c r="D113" s="12">
        <v>41665</v>
      </c>
      <c r="E113" s="12">
        <v>41669</v>
      </c>
      <c r="F113" s="13">
        <v>1077.4000000000001</v>
      </c>
      <c r="G113">
        <f t="shared" si="1"/>
        <v>5</v>
      </c>
    </row>
    <row r="114" spans="1:7" x14ac:dyDescent="0.25">
      <c r="A114" s="6" t="s">
        <v>54</v>
      </c>
      <c r="B114" s="7" t="s">
        <v>133</v>
      </c>
      <c r="C114" s="7" t="s">
        <v>17</v>
      </c>
      <c r="D114" s="8">
        <v>41665</v>
      </c>
      <c r="E114" s="8">
        <v>41667</v>
      </c>
      <c r="F114" s="9">
        <v>911.5</v>
      </c>
      <c r="G114">
        <f t="shared" si="1"/>
        <v>3</v>
      </c>
    </row>
    <row r="115" spans="1:7" x14ac:dyDescent="0.25">
      <c r="A115" s="10" t="s">
        <v>134</v>
      </c>
      <c r="B115" s="11" t="s">
        <v>135</v>
      </c>
      <c r="C115" s="11" t="s">
        <v>47</v>
      </c>
      <c r="D115" s="12">
        <v>41665</v>
      </c>
      <c r="E115" s="12">
        <v>41667</v>
      </c>
      <c r="F115" s="13">
        <v>689.8</v>
      </c>
      <c r="G115">
        <f t="shared" si="1"/>
        <v>3</v>
      </c>
    </row>
    <row r="116" spans="1:7" x14ac:dyDescent="0.25">
      <c r="A116" s="6" t="s">
        <v>93</v>
      </c>
      <c r="B116" s="7" t="s">
        <v>106</v>
      </c>
      <c r="C116" s="7" t="s">
        <v>17</v>
      </c>
      <c r="D116" s="8">
        <v>41665</v>
      </c>
      <c r="E116" s="8">
        <v>41669</v>
      </c>
      <c r="F116" s="9">
        <v>1321.5</v>
      </c>
      <c r="G116">
        <f t="shared" si="1"/>
        <v>5</v>
      </c>
    </row>
    <row r="117" spans="1:7" x14ac:dyDescent="0.25">
      <c r="A117" s="10" t="s">
        <v>52</v>
      </c>
      <c r="B117" s="11" t="s">
        <v>53</v>
      </c>
      <c r="C117" s="11" t="s">
        <v>59</v>
      </c>
      <c r="D117" s="12">
        <v>41665</v>
      </c>
      <c r="E117" s="12">
        <v>41669</v>
      </c>
      <c r="F117" s="13">
        <v>1078</v>
      </c>
      <c r="G117">
        <f t="shared" si="1"/>
        <v>5</v>
      </c>
    </row>
    <row r="118" spans="1:7" x14ac:dyDescent="0.25">
      <c r="A118" s="6" t="s">
        <v>119</v>
      </c>
      <c r="B118" s="7" t="s">
        <v>120</v>
      </c>
      <c r="C118" s="7" t="s">
        <v>24</v>
      </c>
      <c r="D118" s="8">
        <v>41665</v>
      </c>
      <c r="E118" s="8">
        <v>41668</v>
      </c>
      <c r="F118" s="9">
        <v>737.7</v>
      </c>
      <c r="G118">
        <f t="shared" si="1"/>
        <v>4</v>
      </c>
    </row>
    <row r="119" spans="1:7" x14ac:dyDescent="0.25">
      <c r="A119" s="10" t="s">
        <v>89</v>
      </c>
      <c r="B119" s="11" t="s">
        <v>90</v>
      </c>
      <c r="C119" s="11" t="s">
        <v>72</v>
      </c>
      <c r="D119" s="12">
        <v>41665</v>
      </c>
      <c r="E119" s="12">
        <v>41666</v>
      </c>
      <c r="F119" s="13">
        <v>693.7</v>
      </c>
      <c r="G119">
        <f t="shared" si="1"/>
        <v>2</v>
      </c>
    </row>
    <row r="120" spans="1:7" x14ac:dyDescent="0.25">
      <c r="A120" s="6" t="s">
        <v>12</v>
      </c>
      <c r="B120" s="7" t="s">
        <v>95</v>
      </c>
      <c r="C120" s="7" t="s">
        <v>11</v>
      </c>
      <c r="D120" s="8">
        <v>41665</v>
      </c>
      <c r="E120" s="8">
        <v>41667</v>
      </c>
      <c r="F120" s="9">
        <v>434.4</v>
      </c>
      <c r="G120">
        <f t="shared" si="1"/>
        <v>3</v>
      </c>
    </row>
    <row r="121" spans="1:7" x14ac:dyDescent="0.25">
      <c r="A121" s="10" t="s">
        <v>15</v>
      </c>
      <c r="B121" s="11" t="s">
        <v>96</v>
      </c>
      <c r="C121" s="11" t="s">
        <v>11</v>
      </c>
      <c r="D121" s="12">
        <v>41665</v>
      </c>
      <c r="E121" s="12">
        <v>41668</v>
      </c>
      <c r="F121" s="13">
        <v>573.4</v>
      </c>
      <c r="G121">
        <f t="shared" si="1"/>
        <v>4</v>
      </c>
    </row>
    <row r="122" spans="1:7" x14ac:dyDescent="0.25">
      <c r="A122" s="6" t="s">
        <v>86</v>
      </c>
      <c r="B122" s="7" t="s">
        <v>136</v>
      </c>
      <c r="C122" s="7" t="s">
        <v>27</v>
      </c>
      <c r="D122" s="8">
        <v>41665</v>
      </c>
      <c r="E122" s="8">
        <v>41669</v>
      </c>
      <c r="F122" s="9">
        <v>954</v>
      </c>
      <c r="G122">
        <f t="shared" si="1"/>
        <v>5</v>
      </c>
    </row>
    <row r="123" spans="1:7" x14ac:dyDescent="0.25">
      <c r="A123" s="10" t="s">
        <v>20</v>
      </c>
      <c r="B123" s="11" t="s">
        <v>21</v>
      </c>
      <c r="C123" s="11" t="s">
        <v>38</v>
      </c>
      <c r="D123" s="12">
        <v>41665</v>
      </c>
      <c r="E123" s="12">
        <v>41666</v>
      </c>
      <c r="F123" s="13">
        <v>407.8</v>
      </c>
      <c r="G123">
        <f t="shared" si="1"/>
        <v>2</v>
      </c>
    </row>
    <row r="124" spans="1:7" x14ac:dyDescent="0.25">
      <c r="A124" s="6" t="s">
        <v>54</v>
      </c>
      <c r="B124" s="7" t="s">
        <v>81</v>
      </c>
      <c r="C124" s="7" t="s">
        <v>17</v>
      </c>
      <c r="D124" s="8">
        <v>41666</v>
      </c>
      <c r="E124" s="8">
        <v>41666</v>
      </c>
      <c r="F124" s="9">
        <v>501.5</v>
      </c>
      <c r="G124">
        <f t="shared" si="1"/>
        <v>1</v>
      </c>
    </row>
    <row r="125" spans="1:7" x14ac:dyDescent="0.25">
      <c r="A125" s="10" t="s">
        <v>31</v>
      </c>
      <c r="B125" s="11" t="s">
        <v>77</v>
      </c>
      <c r="C125" s="11" t="s">
        <v>72</v>
      </c>
      <c r="D125" s="12">
        <v>41666</v>
      </c>
      <c r="E125" s="12">
        <v>41668</v>
      </c>
      <c r="F125" s="13">
        <v>892.7</v>
      </c>
      <c r="G125">
        <f t="shared" si="1"/>
        <v>3</v>
      </c>
    </row>
    <row r="126" spans="1:7" x14ac:dyDescent="0.25">
      <c r="A126" s="6" t="s">
        <v>93</v>
      </c>
      <c r="B126" s="7" t="s">
        <v>94</v>
      </c>
      <c r="C126" s="7" t="s">
        <v>8</v>
      </c>
      <c r="D126" s="8">
        <v>41666</v>
      </c>
      <c r="E126" s="8">
        <v>41666</v>
      </c>
      <c r="F126" s="9">
        <v>680</v>
      </c>
      <c r="G126">
        <f t="shared" si="1"/>
        <v>1</v>
      </c>
    </row>
    <row r="127" spans="1:7" x14ac:dyDescent="0.25">
      <c r="A127" s="10" t="s">
        <v>137</v>
      </c>
      <c r="B127" s="11" t="s">
        <v>138</v>
      </c>
      <c r="C127" s="11" t="s">
        <v>19</v>
      </c>
      <c r="D127" s="12">
        <v>41666</v>
      </c>
      <c r="E127" s="12">
        <v>41668</v>
      </c>
      <c r="F127" s="13">
        <v>795.4</v>
      </c>
      <c r="G127">
        <f t="shared" si="1"/>
        <v>3</v>
      </c>
    </row>
    <row r="128" spans="1:7" x14ac:dyDescent="0.25">
      <c r="A128" s="6" t="s">
        <v>131</v>
      </c>
      <c r="B128" s="7" t="s">
        <v>132</v>
      </c>
      <c r="C128" s="7" t="s">
        <v>19</v>
      </c>
      <c r="D128" s="8">
        <v>41666</v>
      </c>
      <c r="E128" s="8">
        <v>41668</v>
      </c>
      <c r="F128" s="9">
        <v>795.4</v>
      </c>
      <c r="G128">
        <f t="shared" si="1"/>
        <v>3</v>
      </c>
    </row>
    <row r="129" spans="1:7" x14ac:dyDescent="0.25">
      <c r="A129" s="10" t="s">
        <v>99</v>
      </c>
      <c r="B129" s="11" t="s">
        <v>130</v>
      </c>
      <c r="C129" s="11" t="s">
        <v>47</v>
      </c>
      <c r="D129" s="12">
        <v>41667</v>
      </c>
      <c r="E129" s="12">
        <v>41667</v>
      </c>
      <c r="F129" s="13">
        <v>363.8</v>
      </c>
      <c r="G129">
        <f t="shared" si="1"/>
        <v>1</v>
      </c>
    </row>
    <row r="130" spans="1:7" x14ac:dyDescent="0.25">
      <c r="A130" s="6" t="s">
        <v>91</v>
      </c>
      <c r="B130" s="7" t="s">
        <v>92</v>
      </c>
      <c r="C130" s="7" t="s">
        <v>17</v>
      </c>
      <c r="D130" s="8">
        <v>41667</v>
      </c>
      <c r="E130" s="8">
        <v>41669</v>
      </c>
      <c r="F130" s="9">
        <v>911.5</v>
      </c>
      <c r="G130">
        <f t="shared" si="1"/>
        <v>3</v>
      </c>
    </row>
    <row r="131" spans="1:7" x14ac:dyDescent="0.25">
      <c r="A131" s="10" t="s">
        <v>57</v>
      </c>
      <c r="B131" s="11" t="s">
        <v>58</v>
      </c>
      <c r="C131" s="11" t="s">
        <v>38</v>
      </c>
      <c r="D131" s="12">
        <v>41667</v>
      </c>
      <c r="E131" s="12">
        <v>41669</v>
      </c>
      <c r="F131" s="13">
        <v>536.79999999999995</v>
      </c>
      <c r="G131">
        <f t="shared" ref="G131:G194" si="2">E131-D131 + 1</f>
        <v>3</v>
      </c>
    </row>
    <row r="132" spans="1:7" x14ac:dyDescent="0.25">
      <c r="A132" s="6" t="s">
        <v>6</v>
      </c>
      <c r="B132" s="7" t="s">
        <v>7</v>
      </c>
      <c r="C132" s="7" t="s">
        <v>59</v>
      </c>
      <c r="D132" s="8">
        <v>41672</v>
      </c>
      <c r="E132" s="8">
        <v>41674</v>
      </c>
      <c r="F132" s="9">
        <v>760</v>
      </c>
      <c r="G132">
        <f t="shared" si="2"/>
        <v>3</v>
      </c>
    </row>
    <row r="133" spans="1:7" x14ac:dyDescent="0.25">
      <c r="A133" s="10" t="s">
        <v>6</v>
      </c>
      <c r="B133" s="11" t="s">
        <v>139</v>
      </c>
      <c r="C133" s="11" t="s">
        <v>17</v>
      </c>
      <c r="D133" s="12">
        <v>41672</v>
      </c>
      <c r="E133" s="12">
        <v>41673</v>
      </c>
      <c r="F133" s="13">
        <v>706.5</v>
      </c>
      <c r="G133">
        <f t="shared" si="2"/>
        <v>2</v>
      </c>
    </row>
    <row r="134" spans="1:7" x14ac:dyDescent="0.25">
      <c r="A134" s="6" t="s">
        <v>93</v>
      </c>
      <c r="B134" s="7" t="s">
        <v>124</v>
      </c>
      <c r="C134" s="7" t="s">
        <v>72</v>
      </c>
      <c r="D134" s="8">
        <v>41672</v>
      </c>
      <c r="E134" s="8">
        <v>41675</v>
      </c>
      <c r="F134" s="9">
        <v>1091.7</v>
      </c>
      <c r="G134">
        <f t="shared" si="2"/>
        <v>4</v>
      </c>
    </row>
    <row r="135" spans="1:7" x14ac:dyDescent="0.25">
      <c r="A135" s="10" t="s">
        <v>128</v>
      </c>
      <c r="B135" s="11" t="s">
        <v>129</v>
      </c>
      <c r="C135" s="11" t="s">
        <v>27</v>
      </c>
      <c r="D135" s="12">
        <v>41673</v>
      </c>
      <c r="E135" s="12">
        <v>41676</v>
      </c>
      <c r="F135" s="13">
        <v>826</v>
      </c>
      <c r="G135">
        <f t="shared" si="2"/>
        <v>4</v>
      </c>
    </row>
    <row r="136" spans="1:7" x14ac:dyDescent="0.25">
      <c r="A136" s="6" t="s">
        <v>115</v>
      </c>
      <c r="B136" s="7" t="s">
        <v>140</v>
      </c>
      <c r="C136" s="7" t="s">
        <v>66</v>
      </c>
      <c r="D136" s="8">
        <v>41673</v>
      </c>
      <c r="E136" s="8">
        <v>41673</v>
      </c>
      <c r="F136" s="9">
        <v>307.7</v>
      </c>
      <c r="G136">
        <f t="shared" si="2"/>
        <v>1</v>
      </c>
    </row>
    <row r="137" spans="1:7" x14ac:dyDescent="0.25">
      <c r="A137" s="10" t="s">
        <v>42</v>
      </c>
      <c r="B137" s="11" t="s">
        <v>43</v>
      </c>
      <c r="C137" s="11" t="s">
        <v>47</v>
      </c>
      <c r="D137" s="12">
        <v>41673</v>
      </c>
      <c r="E137" s="12">
        <v>41673</v>
      </c>
      <c r="F137" s="13">
        <v>363.8</v>
      </c>
      <c r="G137">
        <f t="shared" si="2"/>
        <v>1</v>
      </c>
    </row>
    <row r="138" spans="1:7" x14ac:dyDescent="0.25">
      <c r="A138" s="6" t="s">
        <v>107</v>
      </c>
      <c r="B138" s="7" t="s">
        <v>108</v>
      </c>
      <c r="C138" s="7" t="s">
        <v>19</v>
      </c>
      <c r="D138" s="8">
        <v>41673</v>
      </c>
      <c r="E138" s="8">
        <v>41675</v>
      </c>
      <c r="F138" s="9">
        <v>795.4</v>
      </c>
      <c r="G138">
        <f t="shared" si="2"/>
        <v>3</v>
      </c>
    </row>
    <row r="139" spans="1:7" x14ac:dyDescent="0.25">
      <c r="A139" s="10" t="s">
        <v>31</v>
      </c>
      <c r="B139" s="11" t="s">
        <v>78</v>
      </c>
      <c r="C139" s="11" t="s">
        <v>27</v>
      </c>
      <c r="D139" s="12">
        <v>41677</v>
      </c>
      <c r="E139" s="12">
        <v>41681</v>
      </c>
      <c r="F139" s="13">
        <v>954</v>
      </c>
      <c r="G139">
        <f t="shared" si="2"/>
        <v>5</v>
      </c>
    </row>
    <row r="140" spans="1:7" x14ac:dyDescent="0.25">
      <c r="A140" s="6" t="s">
        <v>6</v>
      </c>
      <c r="B140" s="7" t="s">
        <v>7</v>
      </c>
      <c r="C140" s="7" t="s">
        <v>38</v>
      </c>
      <c r="D140" s="8">
        <v>41677</v>
      </c>
      <c r="E140" s="8">
        <v>41681</v>
      </c>
      <c r="F140" s="9">
        <v>794.8</v>
      </c>
      <c r="G140">
        <f t="shared" si="2"/>
        <v>5</v>
      </c>
    </row>
    <row r="141" spans="1:7" x14ac:dyDescent="0.25">
      <c r="A141" s="10" t="s">
        <v>33</v>
      </c>
      <c r="B141" s="11" t="s">
        <v>141</v>
      </c>
      <c r="C141" s="11" t="s">
        <v>19</v>
      </c>
      <c r="D141" s="12">
        <v>41677</v>
      </c>
      <c r="E141" s="12">
        <v>41680</v>
      </c>
      <c r="F141" s="13">
        <v>936.4</v>
      </c>
      <c r="G141">
        <f t="shared" si="2"/>
        <v>4</v>
      </c>
    </row>
    <row r="142" spans="1:7" x14ac:dyDescent="0.25">
      <c r="A142" s="6" t="s">
        <v>6</v>
      </c>
      <c r="B142" s="7" t="s">
        <v>139</v>
      </c>
      <c r="C142" s="7" t="s">
        <v>72</v>
      </c>
      <c r="D142" s="8">
        <v>41677</v>
      </c>
      <c r="E142" s="8">
        <v>41679</v>
      </c>
      <c r="F142" s="9">
        <v>892.7</v>
      </c>
      <c r="G142">
        <f t="shared" si="2"/>
        <v>3</v>
      </c>
    </row>
    <row r="143" spans="1:7" x14ac:dyDescent="0.25">
      <c r="A143" s="10" t="s">
        <v>122</v>
      </c>
      <c r="B143" s="11" t="s">
        <v>123</v>
      </c>
      <c r="C143" s="11" t="s">
        <v>66</v>
      </c>
      <c r="D143" s="12">
        <v>41677</v>
      </c>
      <c r="E143" s="12">
        <v>41678</v>
      </c>
      <c r="F143" s="13">
        <v>485.7</v>
      </c>
      <c r="G143">
        <f t="shared" si="2"/>
        <v>2</v>
      </c>
    </row>
    <row r="144" spans="1:7" x14ac:dyDescent="0.25">
      <c r="A144" s="6" t="s">
        <v>15</v>
      </c>
      <c r="B144" s="7" t="s">
        <v>46</v>
      </c>
      <c r="C144" s="7" t="s">
        <v>19</v>
      </c>
      <c r="D144" s="8">
        <v>41677</v>
      </c>
      <c r="E144" s="8">
        <v>41680</v>
      </c>
      <c r="F144" s="9">
        <v>936.4</v>
      </c>
      <c r="G144">
        <f t="shared" si="2"/>
        <v>4</v>
      </c>
    </row>
    <row r="145" spans="1:7" x14ac:dyDescent="0.25">
      <c r="A145" s="10" t="s">
        <v>131</v>
      </c>
      <c r="B145" s="11" t="s">
        <v>142</v>
      </c>
      <c r="C145" s="11" t="s">
        <v>27</v>
      </c>
      <c r="D145" s="12">
        <v>41677</v>
      </c>
      <c r="E145" s="12">
        <v>41681</v>
      </c>
      <c r="F145" s="13">
        <v>954</v>
      </c>
      <c r="G145">
        <f t="shared" si="2"/>
        <v>5</v>
      </c>
    </row>
    <row r="146" spans="1:7" x14ac:dyDescent="0.25">
      <c r="A146" s="6" t="s">
        <v>6</v>
      </c>
      <c r="B146" s="7" t="s">
        <v>56</v>
      </c>
      <c r="C146" s="7" t="s">
        <v>19</v>
      </c>
      <c r="D146" s="8">
        <v>41677</v>
      </c>
      <c r="E146" s="8">
        <v>41680</v>
      </c>
      <c r="F146" s="9">
        <v>936.4</v>
      </c>
      <c r="G146">
        <f t="shared" si="2"/>
        <v>4</v>
      </c>
    </row>
    <row r="147" spans="1:7" x14ac:dyDescent="0.25">
      <c r="A147" s="10" t="s">
        <v>115</v>
      </c>
      <c r="B147" s="11" t="s">
        <v>140</v>
      </c>
      <c r="C147" s="11" t="s">
        <v>59</v>
      </c>
      <c r="D147" s="12">
        <v>41677</v>
      </c>
      <c r="E147" s="12">
        <v>41677</v>
      </c>
      <c r="F147" s="13">
        <v>442</v>
      </c>
      <c r="G147">
        <f t="shared" si="2"/>
        <v>1</v>
      </c>
    </row>
    <row r="148" spans="1:7" x14ac:dyDescent="0.25">
      <c r="A148" s="6" t="s">
        <v>126</v>
      </c>
      <c r="B148" s="7" t="s">
        <v>127</v>
      </c>
      <c r="C148" s="7" t="s">
        <v>38</v>
      </c>
      <c r="D148" s="8">
        <v>41677</v>
      </c>
      <c r="E148" s="8">
        <v>41679</v>
      </c>
      <c r="F148" s="9">
        <v>536.79999999999995</v>
      </c>
      <c r="G148">
        <f t="shared" si="2"/>
        <v>3</v>
      </c>
    </row>
    <row r="149" spans="1:7" x14ac:dyDescent="0.25">
      <c r="A149" s="10" t="s">
        <v>73</v>
      </c>
      <c r="B149" s="11" t="s">
        <v>74</v>
      </c>
      <c r="C149" s="11" t="s">
        <v>30</v>
      </c>
      <c r="D149" s="12">
        <v>41677</v>
      </c>
      <c r="E149" s="12">
        <v>41677</v>
      </c>
      <c r="F149" s="13">
        <v>212.5</v>
      </c>
      <c r="G149">
        <f t="shared" si="2"/>
        <v>1</v>
      </c>
    </row>
    <row r="150" spans="1:7" x14ac:dyDescent="0.25">
      <c r="A150" s="6" t="s">
        <v>101</v>
      </c>
      <c r="B150" s="7" t="s">
        <v>102</v>
      </c>
      <c r="C150" s="7" t="s">
        <v>59</v>
      </c>
      <c r="D150" s="8">
        <v>41677</v>
      </c>
      <c r="E150" s="8">
        <v>41679</v>
      </c>
      <c r="F150" s="9">
        <v>760</v>
      </c>
      <c r="G150">
        <f t="shared" si="2"/>
        <v>3</v>
      </c>
    </row>
    <row r="151" spans="1:7" x14ac:dyDescent="0.25">
      <c r="A151" s="10" t="s">
        <v>143</v>
      </c>
      <c r="B151" s="11" t="s">
        <v>144</v>
      </c>
      <c r="C151" s="11" t="s">
        <v>27</v>
      </c>
      <c r="D151" s="12">
        <v>41677</v>
      </c>
      <c r="E151" s="12">
        <v>41678</v>
      </c>
      <c r="F151" s="13">
        <v>570</v>
      </c>
      <c r="G151">
        <f t="shared" si="2"/>
        <v>2</v>
      </c>
    </row>
    <row r="152" spans="1:7" x14ac:dyDescent="0.25">
      <c r="A152" s="6" t="s">
        <v>73</v>
      </c>
      <c r="B152" s="7" t="s">
        <v>104</v>
      </c>
      <c r="C152" s="7" t="s">
        <v>47</v>
      </c>
      <c r="D152" s="8">
        <v>41677</v>
      </c>
      <c r="E152" s="8">
        <v>41679</v>
      </c>
      <c r="F152" s="9">
        <v>689.8</v>
      </c>
      <c r="G152">
        <f t="shared" si="2"/>
        <v>3</v>
      </c>
    </row>
    <row r="153" spans="1:7" x14ac:dyDescent="0.25">
      <c r="A153" s="10" t="s">
        <v>93</v>
      </c>
      <c r="B153" s="11" t="s">
        <v>106</v>
      </c>
      <c r="C153" s="11" t="s">
        <v>66</v>
      </c>
      <c r="D153" s="12">
        <v>41677</v>
      </c>
      <c r="E153" s="12">
        <v>41681</v>
      </c>
      <c r="F153" s="13">
        <v>1019.7</v>
      </c>
      <c r="G153">
        <f t="shared" si="2"/>
        <v>5</v>
      </c>
    </row>
    <row r="154" spans="1:7" x14ac:dyDescent="0.25">
      <c r="A154" s="6" t="s">
        <v>145</v>
      </c>
      <c r="B154" s="7" t="s">
        <v>146</v>
      </c>
      <c r="C154" s="7" t="s">
        <v>8</v>
      </c>
      <c r="D154" s="8">
        <v>41677</v>
      </c>
      <c r="E154" s="8">
        <v>41678</v>
      </c>
      <c r="F154" s="9">
        <v>891</v>
      </c>
      <c r="G154">
        <f t="shared" si="2"/>
        <v>2</v>
      </c>
    </row>
    <row r="155" spans="1:7" x14ac:dyDescent="0.25">
      <c r="A155" s="10" t="s">
        <v>147</v>
      </c>
      <c r="B155" s="11" t="s">
        <v>148</v>
      </c>
      <c r="C155" s="11" t="s">
        <v>11</v>
      </c>
      <c r="D155" s="12">
        <v>41677</v>
      </c>
      <c r="E155" s="12">
        <v>41678</v>
      </c>
      <c r="F155" s="13">
        <v>295.39999999999998</v>
      </c>
      <c r="G155">
        <f t="shared" si="2"/>
        <v>2</v>
      </c>
    </row>
    <row r="156" spans="1:7" x14ac:dyDescent="0.25">
      <c r="A156" s="6" t="s">
        <v>119</v>
      </c>
      <c r="B156" s="7" t="s">
        <v>120</v>
      </c>
      <c r="C156" s="7" t="s">
        <v>8</v>
      </c>
      <c r="D156" s="8">
        <v>41677</v>
      </c>
      <c r="E156" s="8">
        <v>41678</v>
      </c>
      <c r="F156" s="9">
        <v>891</v>
      </c>
      <c r="G156">
        <f t="shared" si="2"/>
        <v>2</v>
      </c>
    </row>
    <row r="157" spans="1:7" x14ac:dyDescent="0.25">
      <c r="A157" s="10" t="s">
        <v>134</v>
      </c>
      <c r="B157" s="11" t="s">
        <v>149</v>
      </c>
      <c r="C157" s="11" t="s">
        <v>30</v>
      </c>
      <c r="D157" s="12">
        <v>41677</v>
      </c>
      <c r="E157" s="12">
        <v>41681</v>
      </c>
      <c r="F157" s="13">
        <v>688.5</v>
      </c>
      <c r="G157">
        <f t="shared" si="2"/>
        <v>5</v>
      </c>
    </row>
    <row r="158" spans="1:7" x14ac:dyDescent="0.25">
      <c r="A158" s="6" t="s">
        <v>111</v>
      </c>
      <c r="B158" s="7" t="s">
        <v>112</v>
      </c>
      <c r="C158" s="7" t="s">
        <v>66</v>
      </c>
      <c r="D158" s="8">
        <v>41677</v>
      </c>
      <c r="E158" s="8">
        <v>41679</v>
      </c>
      <c r="F158" s="9">
        <v>663.7</v>
      </c>
      <c r="G158">
        <f t="shared" si="2"/>
        <v>3</v>
      </c>
    </row>
    <row r="159" spans="1:7" x14ac:dyDescent="0.25">
      <c r="A159" s="10" t="s">
        <v>15</v>
      </c>
      <c r="B159" s="11" t="s">
        <v>16</v>
      </c>
      <c r="C159" s="11" t="s">
        <v>30</v>
      </c>
      <c r="D159" s="12">
        <v>41677</v>
      </c>
      <c r="E159" s="12">
        <v>41680</v>
      </c>
      <c r="F159" s="13">
        <v>569.5</v>
      </c>
      <c r="G159">
        <f t="shared" si="2"/>
        <v>4</v>
      </c>
    </row>
    <row r="160" spans="1:7" x14ac:dyDescent="0.25">
      <c r="A160" s="6" t="s">
        <v>54</v>
      </c>
      <c r="B160" s="7" t="s">
        <v>55</v>
      </c>
      <c r="C160" s="7" t="s">
        <v>27</v>
      </c>
      <c r="D160" s="8">
        <v>41680</v>
      </c>
      <c r="E160" s="8">
        <v>41680</v>
      </c>
      <c r="F160" s="9">
        <v>442</v>
      </c>
      <c r="G160">
        <f t="shared" si="2"/>
        <v>1</v>
      </c>
    </row>
    <row r="161" spans="1:7" x14ac:dyDescent="0.25">
      <c r="A161" s="10" t="s">
        <v>33</v>
      </c>
      <c r="B161" s="11" t="s">
        <v>41</v>
      </c>
      <c r="C161" s="11" t="s">
        <v>19</v>
      </c>
      <c r="D161" s="12">
        <v>41680</v>
      </c>
      <c r="E161" s="12">
        <v>41680</v>
      </c>
      <c r="F161" s="13">
        <v>513.4</v>
      </c>
      <c r="G161">
        <f t="shared" si="2"/>
        <v>1</v>
      </c>
    </row>
    <row r="162" spans="1:7" x14ac:dyDescent="0.25">
      <c r="A162" s="6" t="s">
        <v>107</v>
      </c>
      <c r="B162" s="7" t="s">
        <v>108</v>
      </c>
      <c r="C162" s="7" t="s">
        <v>30</v>
      </c>
      <c r="D162" s="8">
        <v>41680</v>
      </c>
      <c r="E162" s="8">
        <v>41681</v>
      </c>
      <c r="F162" s="9">
        <v>331.5</v>
      </c>
      <c r="G162">
        <f t="shared" si="2"/>
        <v>2</v>
      </c>
    </row>
    <row r="163" spans="1:7" x14ac:dyDescent="0.25">
      <c r="A163" s="10" t="s">
        <v>54</v>
      </c>
      <c r="B163" s="11" t="s">
        <v>81</v>
      </c>
      <c r="C163" s="11" t="s">
        <v>19</v>
      </c>
      <c r="D163" s="12">
        <v>41682</v>
      </c>
      <c r="E163" s="12">
        <v>41682</v>
      </c>
      <c r="F163" s="13">
        <v>513.4</v>
      </c>
      <c r="G163">
        <f t="shared" si="2"/>
        <v>1</v>
      </c>
    </row>
    <row r="164" spans="1:7" x14ac:dyDescent="0.25">
      <c r="A164" s="6" t="s">
        <v>86</v>
      </c>
      <c r="B164" s="7" t="s">
        <v>150</v>
      </c>
      <c r="C164" s="7" t="s">
        <v>30</v>
      </c>
      <c r="D164" s="8">
        <v>41684</v>
      </c>
      <c r="E164" s="8">
        <v>41686</v>
      </c>
      <c r="F164" s="9">
        <v>450.5</v>
      </c>
      <c r="G164">
        <f t="shared" si="2"/>
        <v>3</v>
      </c>
    </row>
    <row r="165" spans="1:7" x14ac:dyDescent="0.25">
      <c r="A165" s="10" t="s">
        <v>99</v>
      </c>
      <c r="B165" s="11" t="s">
        <v>100</v>
      </c>
      <c r="C165" s="11" t="s">
        <v>19</v>
      </c>
      <c r="D165" s="12">
        <v>41684</v>
      </c>
      <c r="E165" s="12">
        <v>41686</v>
      </c>
      <c r="F165" s="13">
        <v>795.4</v>
      </c>
      <c r="G165">
        <f t="shared" si="2"/>
        <v>3</v>
      </c>
    </row>
    <row r="166" spans="1:7" x14ac:dyDescent="0.25">
      <c r="A166" s="6" t="s">
        <v>151</v>
      </c>
      <c r="B166" s="7" t="s">
        <v>152</v>
      </c>
      <c r="C166" s="7" t="s">
        <v>30</v>
      </c>
      <c r="D166" s="8">
        <v>41684</v>
      </c>
      <c r="E166" s="8">
        <v>41684</v>
      </c>
      <c r="F166" s="9">
        <v>212.5</v>
      </c>
      <c r="G166">
        <f t="shared" si="2"/>
        <v>1</v>
      </c>
    </row>
    <row r="167" spans="1:7" x14ac:dyDescent="0.25">
      <c r="A167" s="10" t="s">
        <v>52</v>
      </c>
      <c r="B167" s="11" t="s">
        <v>53</v>
      </c>
      <c r="C167" s="11" t="s">
        <v>72</v>
      </c>
      <c r="D167" s="12">
        <v>41684</v>
      </c>
      <c r="E167" s="12">
        <v>41686</v>
      </c>
      <c r="F167" s="13">
        <v>892.7</v>
      </c>
      <c r="G167">
        <f t="shared" si="2"/>
        <v>3</v>
      </c>
    </row>
    <row r="168" spans="1:7" x14ac:dyDescent="0.25">
      <c r="A168" s="6" t="s">
        <v>31</v>
      </c>
      <c r="B168" s="7" t="s">
        <v>77</v>
      </c>
      <c r="C168" s="7" t="s">
        <v>66</v>
      </c>
      <c r="D168" s="8">
        <v>41684</v>
      </c>
      <c r="E168" s="8">
        <v>41688</v>
      </c>
      <c r="F168" s="9">
        <v>1019.7</v>
      </c>
      <c r="G168">
        <f t="shared" si="2"/>
        <v>5</v>
      </c>
    </row>
    <row r="169" spans="1:7" x14ac:dyDescent="0.25">
      <c r="A169" s="10" t="s">
        <v>113</v>
      </c>
      <c r="B169" s="11" t="s">
        <v>114</v>
      </c>
      <c r="C169" s="11" t="s">
        <v>11</v>
      </c>
      <c r="D169" s="12">
        <v>41684</v>
      </c>
      <c r="E169" s="12">
        <v>41687</v>
      </c>
      <c r="F169" s="13">
        <v>573.4</v>
      </c>
      <c r="G169">
        <f t="shared" si="2"/>
        <v>4</v>
      </c>
    </row>
    <row r="170" spans="1:7" x14ac:dyDescent="0.25">
      <c r="A170" s="6" t="s">
        <v>109</v>
      </c>
      <c r="B170" s="7" t="s">
        <v>110</v>
      </c>
      <c r="C170" s="7" t="s">
        <v>38</v>
      </c>
      <c r="D170" s="8">
        <v>41685</v>
      </c>
      <c r="E170" s="8">
        <v>41687</v>
      </c>
      <c r="F170" s="9">
        <v>536.79999999999995</v>
      </c>
      <c r="G170">
        <f t="shared" si="2"/>
        <v>3</v>
      </c>
    </row>
    <row r="171" spans="1:7" x14ac:dyDescent="0.25">
      <c r="A171" s="10" t="s">
        <v>64</v>
      </c>
      <c r="B171" s="11" t="s">
        <v>65</v>
      </c>
      <c r="C171" s="11" t="s">
        <v>17</v>
      </c>
      <c r="D171" s="12">
        <v>41685</v>
      </c>
      <c r="E171" s="12">
        <v>41686</v>
      </c>
      <c r="F171" s="13">
        <v>706.5</v>
      </c>
      <c r="G171">
        <f t="shared" si="2"/>
        <v>2</v>
      </c>
    </row>
    <row r="172" spans="1:7" x14ac:dyDescent="0.25">
      <c r="A172" s="6" t="s">
        <v>22</v>
      </c>
      <c r="B172" s="7" t="s">
        <v>23</v>
      </c>
      <c r="C172" s="7" t="s">
        <v>72</v>
      </c>
      <c r="D172" s="8">
        <v>41689</v>
      </c>
      <c r="E172" s="8">
        <v>41693</v>
      </c>
      <c r="F172" s="9">
        <v>1290.7</v>
      </c>
      <c r="G172">
        <f t="shared" si="2"/>
        <v>5</v>
      </c>
    </row>
    <row r="173" spans="1:7" x14ac:dyDescent="0.25">
      <c r="A173" s="10" t="s">
        <v>115</v>
      </c>
      <c r="B173" s="11" t="s">
        <v>153</v>
      </c>
      <c r="C173" s="11" t="s">
        <v>30</v>
      </c>
      <c r="D173" s="12">
        <v>41689</v>
      </c>
      <c r="E173" s="12">
        <v>41693</v>
      </c>
      <c r="F173" s="13">
        <v>688.5</v>
      </c>
      <c r="G173">
        <f t="shared" si="2"/>
        <v>5</v>
      </c>
    </row>
    <row r="174" spans="1:7" x14ac:dyDescent="0.25">
      <c r="A174" s="6" t="s">
        <v>131</v>
      </c>
      <c r="B174" s="7" t="s">
        <v>154</v>
      </c>
      <c r="C174" s="7" t="s">
        <v>27</v>
      </c>
      <c r="D174" s="8">
        <v>41689</v>
      </c>
      <c r="E174" s="8">
        <v>41690</v>
      </c>
      <c r="F174" s="9">
        <v>570</v>
      </c>
      <c r="G174">
        <f t="shared" si="2"/>
        <v>2</v>
      </c>
    </row>
    <row r="175" spans="1:7" x14ac:dyDescent="0.25">
      <c r="A175" s="10" t="s">
        <v>25</v>
      </c>
      <c r="B175" s="11" t="s">
        <v>67</v>
      </c>
      <c r="C175" s="11" t="s">
        <v>17</v>
      </c>
      <c r="D175" s="12">
        <v>41689</v>
      </c>
      <c r="E175" s="12">
        <v>41692</v>
      </c>
      <c r="F175" s="13">
        <v>1116.5</v>
      </c>
      <c r="G175">
        <f t="shared" si="2"/>
        <v>4</v>
      </c>
    </row>
    <row r="176" spans="1:7" x14ac:dyDescent="0.25">
      <c r="A176" s="6" t="s">
        <v>50</v>
      </c>
      <c r="B176" s="7" t="s">
        <v>51</v>
      </c>
      <c r="C176" s="7" t="s">
        <v>8</v>
      </c>
      <c r="D176" s="8">
        <v>41689</v>
      </c>
      <c r="E176" s="8">
        <v>41690</v>
      </c>
      <c r="F176" s="9">
        <v>891</v>
      </c>
      <c r="G176">
        <f t="shared" si="2"/>
        <v>2</v>
      </c>
    </row>
    <row r="177" spans="1:7" x14ac:dyDescent="0.25">
      <c r="A177" s="10" t="s">
        <v>70</v>
      </c>
      <c r="B177" s="11" t="s">
        <v>71</v>
      </c>
      <c r="C177" s="11" t="s">
        <v>38</v>
      </c>
      <c r="D177" s="12">
        <v>41689</v>
      </c>
      <c r="E177" s="12">
        <v>41692</v>
      </c>
      <c r="F177" s="13">
        <v>665.8</v>
      </c>
      <c r="G177">
        <f t="shared" si="2"/>
        <v>4</v>
      </c>
    </row>
    <row r="178" spans="1:7" x14ac:dyDescent="0.25">
      <c r="A178" s="6" t="s">
        <v>33</v>
      </c>
      <c r="B178" s="7" t="s">
        <v>41</v>
      </c>
      <c r="C178" s="7" t="s">
        <v>11</v>
      </c>
      <c r="D178" s="8">
        <v>41689</v>
      </c>
      <c r="E178" s="8">
        <v>41691</v>
      </c>
      <c r="F178" s="9">
        <v>434.4</v>
      </c>
      <c r="G178">
        <f t="shared" si="2"/>
        <v>3</v>
      </c>
    </row>
    <row r="179" spans="1:7" x14ac:dyDescent="0.25">
      <c r="A179" s="10" t="s">
        <v>9</v>
      </c>
      <c r="B179" s="11" t="s">
        <v>10</v>
      </c>
      <c r="C179" s="11" t="s">
        <v>24</v>
      </c>
      <c r="D179" s="12">
        <v>41689</v>
      </c>
      <c r="E179" s="12">
        <v>41691</v>
      </c>
      <c r="F179" s="13">
        <v>588.70000000000005</v>
      </c>
      <c r="G179">
        <f t="shared" si="2"/>
        <v>3</v>
      </c>
    </row>
    <row r="180" spans="1:7" x14ac:dyDescent="0.25">
      <c r="A180" s="6" t="s">
        <v>15</v>
      </c>
      <c r="B180" s="7" t="s">
        <v>105</v>
      </c>
      <c r="C180" s="7" t="s">
        <v>66</v>
      </c>
      <c r="D180" s="8">
        <v>41689</v>
      </c>
      <c r="E180" s="8">
        <v>41692</v>
      </c>
      <c r="F180" s="9">
        <v>841.7</v>
      </c>
      <c r="G180">
        <f t="shared" si="2"/>
        <v>4</v>
      </c>
    </row>
    <row r="181" spans="1:7" x14ac:dyDescent="0.25">
      <c r="A181" s="10" t="s">
        <v>73</v>
      </c>
      <c r="B181" s="11" t="s">
        <v>155</v>
      </c>
      <c r="C181" s="11" t="s">
        <v>19</v>
      </c>
      <c r="D181" s="12">
        <v>41689</v>
      </c>
      <c r="E181" s="12">
        <v>41690</v>
      </c>
      <c r="F181" s="13">
        <v>654.4</v>
      </c>
      <c r="G181">
        <f t="shared" si="2"/>
        <v>2</v>
      </c>
    </row>
    <row r="182" spans="1:7" x14ac:dyDescent="0.25">
      <c r="A182" s="6" t="s">
        <v>151</v>
      </c>
      <c r="B182" s="7" t="s">
        <v>152</v>
      </c>
      <c r="C182" s="7" t="s">
        <v>17</v>
      </c>
      <c r="D182" s="8">
        <v>41689</v>
      </c>
      <c r="E182" s="8">
        <v>41690</v>
      </c>
      <c r="F182" s="9">
        <v>706.5</v>
      </c>
      <c r="G182">
        <f t="shared" si="2"/>
        <v>2</v>
      </c>
    </row>
    <row r="183" spans="1:7" x14ac:dyDescent="0.25">
      <c r="A183" s="10" t="s">
        <v>156</v>
      </c>
      <c r="B183" s="11" t="s">
        <v>157</v>
      </c>
      <c r="C183" s="11" t="s">
        <v>17</v>
      </c>
      <c r="D183" s="12">
        <v>41689</v>
      </c>
      <c r="E183" s="12">
        <v>41693</v>
      </c>
      <c r="F183" s="13">
        <v>1321.5</v>
      </c>
      <c r="G183">
        <f t="shared" si="2"/>
        <v>5</v>
      </c>
    </row>
    <row r="184" spans="1:7" x14ac:dyDescent="0.25">
      <c r="A184" s="6" t="s">
        <v>158</v>
      </c>
      <c r="B184" s="7" t="s">
        <v>159</v>
      </c>
      <c r="C184" s="7" t="s">
        <v>24</v>
      </c>
      <c r="D184" s="8">
        <v>41689</v>
      </c>
      <c r="E184" s="8">
        <v>41693</v>
      </c>
      <c r="F184" s="9">
        <v>886.7</v>
      </c>
      <c r="G184">
        <f t="shared" si="2"/>
        <v>5</v>
      </c>
    </row>
    <row r="185" spans="1:7" x14ac:dyDescent="0.25">
      <c r="A185" s="10" t="s">
        <v>137</v>
      </c>
      <c r="B185" s="11" t="s">
        <v>138</v>
      </c>
      <c r="C185" s="11" t="s">
        <v>30</v>
      </c>
      <c r="D185" s="12">
        <v>41689</v>
      </c>
      <c r="E185" s="12">
        <v>41690</v>
      </c>
      <c r="F185" s="13">
        <v>331.5</v>
      </c>
      <c r="G185">
        <f t="shared" si="2"/>
        <v>2</v>
      </c>
    </row>
    <row r="186" spans="1:7" x14ac:dyDescent="0.25">
      <c r="A186" s="6" t="s">
        <v>12</v>
      </c>
      <c r="B186" s="7" t="s">
        <v>95</v>
      </c>
      <c r="C186" s="7" t="s">
        <v>8</v>
      </c>
      <c r="D186" s="8">
        <v>41689</v>
      </c>
      <c r="E186" s="8">
        <v>41690</v>
      </c>
      <c r="F186" s="9">
        <v>891</v>
      </c>
      <c r="G186">
        <f t="shared" si="2"/>
        <v>2</v>
      </c>
    </row>
    <row r="187" spans="1:7" x14ac:dyDescent="0.25">
      <c r="A187" s="10" t="s">
        <v>12</v>
      </c>
      <c r="B187" s="11" t="s">
        <v>95</v>
      </c>
      <c r="C187" s="11" t="s">
        <v>11</v>
      </c>
      <c r="D187" s="12">
        <v>41689</v>
      </c>
      <c r="E187" s="12">
        <v>41690</v>
      </c>
      <c r="F187" s="13">
        <v>295.39999999999998</v>
      </c>
      <c r="G187">
        <f t="shared" si="2"/>
        <v>2</v>
      </c>
    </row>
    <row r="188" spans="1:7" x14ac:dyDescent="0.25">
      <c r="A188" s="6" t="s">
        <v>15</v>
      </c>
      <c r="B188" s="7" t="s">
        <v>96</v>
      </c>
      <c r="C188" s="7" t="s">
        <v>27</v>
      </c>
      <c r="D188" s="8">
        <v>41689</v>
      </c>
      <c r="E188" s="8">
        <v>41692</v>
      </c>
      <c r="F188" s="9">
        <v>826</v>
      </c>
      <c r="G188">
        <f t="shared" si="2"/>
        <v>4</v>
      </c>
    </row>
    <row r="189" spans="1:7" x14ac:dyDescent="0.25">
      <c r="A189" s="10" t="s">
        <v>9</v>
      </c>
      <c r="B189" s="11" t="s">
        <v>18</v>
      </c>
      <c r="C189" s="11" t="s">
        <v>27</v>
      </c>
      <c r="D189" s="12">
        <v>41689</v>
      </c>
      <c r="E189" s="12">
        <v>41691</v>
      </c>
      <c r="F189" s="13">
        <v>698</v>
      </c>
      <c r="G189">
        <f t="shared" si="2"/>
        <v>3</v>
      </c>
    </row>
    <row r="190" spans="1:7" x14ac:dyDescent="0.25">
      <c r="A190" s="6" t="s">
        <v>64</v>
      </c>
      <c r="B190" s="7" t="s">
        <v>65</v>
      </c>
      <c r="C190" s="7" t="s">
        <v>47</v>
      </c>
      <c r="D190" s="8">
        <v>41689</v>
      </c>
      <c r="E190" s="8">
        <v>41689</v>
      </c>
      <c r="F190" s="9">
        <v>363.8</v>
      </c>
      <c r="G190">
        <f t="shared" si="2"/>
        <v>1</v>
      </c>
    </row>
    <row r="191" spans="1:7" x14ac:dyDescent="0.25">
      <c r="A191" s="10" t="s">
        <v>86</v>
      </c>
      <c r="B191" s="11" t="s">
        <v>136</v>
      </c>
      <c r="C191" s="11" t="s">
        <v>38</v>
      </c>
      <c r="D191" s="12">
        <v>41689</v>
      </c>
      <c r="E191" s="12">
        <v>41691</v>
      </c>
      <c r="F191" s="13">
        <v>536.79999999999995</v>
      </c>
      <c r="G191">
        <f t="shared" si="2"/>
        <v>3</v>
      </c>
    </row>
    <row r="192" spans="1:7" x14ac:dyDescent="0.25">
      <c r="A192" s="6" t="s">
        <v>131</v>
      </c>
      <c r="B192" s="7" t="s">
        <v>154</v>
      </c>
      <c r="C192" s="7" t="s">
        <v>8</v>
      </c>
      <c r="D192" s="8">
        <v>41692</v>
      </c>
      <c r="E192" s="8">
        <v>41692</v>
      </c>
      <c r="F192" s="9">
        <v>680</v>
      </c>
      <c r="G192">
        <f t="shared" si="2"/>
        <v>1</v>
      </c>
    </row>
    <row r="193" spans="1:7" x14ac:dyDescent="0.25">
      <c r="A193" s="10" t="s">
        <v>25</v>
      </c>
      <c r="B193" s="11" t="s">
        <v>68</v>
      </c>
      <c r="C193" s="11" t="s">
        <v>27</v>
      </c>
      <c r="D193" s="12">
        <v>41696</v>
      </c>
      <c r="E193" s="12">
        <v>41700</v>
      </c>
      <c r="F193" s="13">
        <v>954</v>
      </c>
      <c r="G193">
        <f t="shared" si="2"/>
        <v>5</v>
      </c>
    </row>
    <row r="194" spans="1:7" x14ac:dyDescent="0.25">
      <c r="A194" s="6" t="s">
        <v>73</v>
      </c>
      <c r="B194" s="7" t="s">
        <v>155</v>
      </c>
      <c r="C194" s="7" t="s">
        <v>19</v>
      </c>
      <c r="D194" s="8">
        <v>41696</v>
      </c>
      <c r="E194" s="8">
        <v>41698</v>
      </c>
      <c r="F194" s="9">
        <v>795.4</v>
      </c>
      <c r="G194">
        <f t="shared" si="2"/>
        <v>3</v>
      </c>
    </row>
    <row r="195" spans="1:7" x14ac:dyDescent="0.25">
      <c r="A195" s="10" t="s">
        <v>156</v>
      </c>
      <c r="B195" s="11" t="s">
        <v>157</v>
      </c>
      <c r="C195" s="11" t="s">
        <v>14</v>
      </c>
      <c r="D195" s="12">
        <v>41696</v>
      </c>
      <c r="E195" s="12">
        <v>41699</v>
      </c>
      <c r="F195" s="13">
        <v>550.5</v>
      </c>
      <c r="G195">
        <f t="shared" ref="G195:G258" si="3">E195-D195 + 1</f>
        <v>4</v>
      </c>
    </row>
    <row r="196" spans="1:7" x14ac:dyDescent="0.25">
      <c r="A196" s="6" t="s">
        <v>137</v>
      </c>
      <c r="B196" s="7" t="s">
        <v>160</v>
      </c>
      <c r="C196" s="7" t="s">
        <v>24</v>
      </c>
      <c r="D196" s="8">
        <v>41696</v>
      </c>
      <c r="E196" s="8">
        <v>41697</v>
      </c>
      <c r="F196" s="9">
        <v>439.7</v>
      </c>
      <c r="G196">
        <f t="shared" si="3"/>
        <v>2</v>
      </c>
    </row>
    <row r="197" spans="1:7" x14ac:dyDescent="0.25">
      <c r="A197" s="10" t="s">
        <v>15</v>
      </c>
      <c r="B197" s="11" t="s">
        <v>16</v>
      </c>
      <c r="C197" s="11" t="s">
        <v>17</v>
      </c>
      <c r="D197" s="12">
        <v>41696</v>
      </c>
      <c r="E197" s="12">
        <v>41697</v>
      </c>
      <c r="F197" s="13">
        <v>706.5</v>
      </c>
      <c r="G197">
        <f t="shared" si="3"/>
        <v>2</v>
      </c>
    </row>
    <row r="198" spans="1:7" x14ac:dyDescent="0.25">
      <c r="A198" s="6" t="s">
        <v>91</v>
      </c>
      <c r="B198" s="7" t="s">
        <v>161</v>
      </c>
      <c r="C198" s="7" t="s">
        <v>66</v>
      </c>
      <c r="D198" s="8">
        <v>41696</v>
      </c>
      <c r="E198" s="8">
        <v>41697</v>
      </c>
      <c r="F198" s="9">
        <v>485.7</v>
      </c>
      <c r="G198">
        <f t="shared" si="3"/>
        <v>2</v>
      </c>
    </row>
    <row r="199" spans="1:7" x14ac:dyDescent="0.25">
      <c r="A199" s="10" t="s">
        <v>131</v>
      </c>
      <c r="B199" s="11" t="s">
        <v>154</v>
      </c>
      <c r="C199" s="11" t="s">
        <v>38</v>
      </c>
      <c r="D199" s="12">
        <v>41698</v>
      </c>
      <c r="E199" s="12">
        <v>41698</v>
      </c>
      <c r="F199" s="13">
        <v>278.8</v>
      </c>
      <c r="G199">
        <f t="shared" si="3"/>
        <v>1</v>
      </c>
    </row>
    <row r="200" spans="1:7" x14ac:dyDescent="0.25">
      <c r="A200" s="6" t="s">
        <v>15</v>
      </c>
      <c r="B200" s="7" t="s">
        <v>44</v>
      </c>
      <c r="C200" s="7" t="s">
        <v>72</v>
      </c>
      <c r="D200" s="8">
        <v>41701</v>
      </c>
      <c r="E200" s="8">
        <v>41702</v>
      </c>
      <c r="F200" s="9">
        <v>693.7</v>
      </c>
      <c r="G200">
        <f t="shared" si="3"/>
        <v>2</v>
      </c>
    </row>
    <row r="201" spans="1:7" x14ac:dyDescent="0.25">
      <c r="A201" s="10" t="s">
        <v>54</v>
      </c>
      <c r="B201" s="11" t="s">
        <v>55</v>
      </c>
      <c r="C201" s="11" t="s">
        <v>72</v>
      </c>
      <c r="D201" s="12">
        <v>41701</v>
      </c>
      <c r="E201" s="12">
        <v>41701</v>
      </c>
      <c r="F201" s="13">
        <v>494.7</v>
      </c>
      <c r="G201">
        <f t="shared" si="3"/>
        <v>1</v>
      </c>
    </row>
    <row r="202" spans="1:7" x14ac:dyDescent="0.25">
      <c r="A202" s="6" t="s">
        <v>99</v>
      </c>
      <c r="B202" s="7" t="s">
        <v>130</v>
      </c>
      <c r="C202" s="7" t="s">
        <v>17</v>
      </c>
      <c r="D202" s="8">
        <v>41701</v>
      </c>
      <c r="E202" s="8">
        <v>41703</v>
      </c>
      <c r="F202" s="9">
        <v>911.5</v>
      </c>
      <c r="G202">
        <f t="shared" si="3"/>
        <v>3</v>
      </c>
    </row>
    <row r="203" spans="1:7" x14ac:dyDescent="0.25">
      <c r="A203" s="10" t="s">
        <v>28</v>
      </c>
      <c r="B203" s="11" t="s">
        <v>29</v>
      </c>
      <c r="C203" s="11" t="s">
        <v>11</v>
      </c>
      <c r="D203" s="12">
        <v>41701</v>
      </c>
      <c r="E203" s="12">
        <v>41702</v>
      </c>
      <c r="F203" s="13">
        <v>295.39999999999998</v>
      </c>
      <c r="G203">
        <f t="shared" si="3"/>
        <v>2</v>
      </c>
    </row>
    <row r="204" spans="1:7" x14ac:dyDescent="0.25">
      <c r="A204" s="6" t="s">
        <v>73</v>
      </c>
      <c r="B204" s="7" t="s">
        <v>104</v>
      </c>
      <c r="C204" s="7" t="s">
        <v>11</v>
      </c>
      <c r="D204" s="8">
        <v>41701</v>
      </c>
      <c r="E204" s="8">
        <v>41705</v>
      </c>
      <c r="F204" s="9">
        <v>712.4</v>
      </c>
      <c r="G204">
        <f t="shared" si="3"/>
        <v>5</v>
      </c>
    </row>
    <row r="205" spans="1:7" x14ac:dyDescent="0.25">
      <c r="A205" s="10" t="s">
        <v>54</v>
      </c>
      <c r="B205" s="11" t="s">
        <v>121</v>
      </c>
      <c r="C205" s="11" t="s">
        <v>30</v>
      </c>
      <c r="D205" s="12">
        <v>41701</v>
      </c>
      <c r="E205" s="12">
        <v>41703</v>
      </c>
      <c r="F205" s="13">
        <v>450.5</v>
      </c>
      <c r="G205">
        <f t="shared" si="3"/>
        <v>3</v>
      </c>
    </row>
    <row r="206" spans="1:7" x14ac:dyDescent="0.25">
      <c r="A206" s="6" t="s">
        <v>73</v>
      </c>
      <c r="B206" s="7" t="s">
        <v>155</v>
      </c>
      <c r="C206" s="7" t="s">
        <v>14</v>
      </c>
      <c r="D206" s="8">
        <v>41701</v>
      </c>
      <c r="E206" s="8">
        <v>41704</v>
      </c>
      <c r="F206" s="9">
        <v>550.5</v>
      </c>
      <c r="G206">
        <f t="shared" si="3"/>
        <v>4</v>
      </c>
    </row>
    <row r="207" spans="1:7" x14ac:dyDescent="0.25">
      <c r="A207" s="10" t="s">
        <v>75</v>
      </c>
      <c r="B207" s="11" t="s">
        <v>88</v>
      </c>
      <c r="C207" s="11" t="s">
        <v>27</v>
      </c>
      <c r="D207" s="12">
        <v>41701</v>
      </c>
      <c r="E207" s="12">
        <v>41702</v>
      </c>
      <c r="F207" s="13">
        <v>570</v>
      </c>
      <c r="G207">
        <f t="shared" si="3"/>
        <v>2</v>
      </c>
    </row>
    <row r="208" spans="1:7" x14ac:dyDescent="0.25">
      <c r="A208" s="6" t="s">
        <v>137</v>
      </c>
      <c r="B208" s="7" t="s">
        <v>160</v>
      </c>
      <c r="C208" s="7" t="s">
        <v>27</v>
      </c>
      <c r="D208" s="8">
        <v>41701</v>
      </c>
      <c r="E208" s="8">
        <v>41703</v>
      </c>
      <c r="F208" s="9">
        <v>698</v>
      </c>
      <c r="G208">
        <f t="shared" si="3"/>
        <v>3</v>
      </c>
    </row>
    <row r="209" spans="1:7" x14ac:dyDescent="0.25">
      <c r="A209" s="10" t="s">
        <v>111</v>
      </c>
      <c r="B209" s="11" t="s">
        <v>112</v>
      </c>
      <c r="C209" s="11" t="s">
        <v>11</v>
      </c>
      <c r="D209" s="12">
        <v>41701</v>
      </c>
      <c r="E209" s="12">
        <v>41701</v>
      </c>
      <c r="F209" s="13">
        <v>156.4</v>
      </c>
      <c r="G209">
        <f t="shared" si="3"/>
        <v>1</v>
      </c>
    </row>
    <row r="210" spans="1:7" x14ac:dyDescent="0.25">
      <c r="A210" s="6" t="s">
        <v>89</v>
      </c>
      <c r="B210" s="7" t="s">
        <v>90</v>
      </c>
      <c r="C210" s="7" t="s">
        <v>8</v>
      </c>
      <c r="D210" s="8">
        <v>41701</v>
      </c>
      <c r="E210" s="8">
        <v>41705</v>
      </c>
      <c r="F210" s="9">
        <v>1524</v>
      </c>
      <c r="G210">
        <f t="shared" si="3"/>
        <v>5</v>
      </c>
    </row>
    <row r="211" spans="1:7" x14ac:dyDescent="0.25">
      <c r="A211" s="10" t="s">
        <v>20</v>
      </c>
      <c r="B211" s="11" t="s">
        <v>162</v>
      </c>
      <c r="C211" s="11" t="s">
        <v>47</v>
      </c>
      <c r="D211" s="12">
        <v>41701</v>
      </c>
      <c r="E211" s="12">
        <v>41705</v>
      </c>
      <c r="F211" s="13">
        <v>1015.8</v>
      </c>
      <c r="G211">
        <f t="shared" si="3"/>
        <v>5</v>
      </c>
    </row>
    <row r="212" spans="1:7" x14ac:dyDescent="0.25">
      <c r="A212" s="6" t="s">
        <v>137</v>
      </c>
      <c r="B212" s="7" t="s">
        <v>138</v>
      </c>
      <c r="C212" s="7" t="s">
        <v>17</v>
      </c>
      <c r="D212" s="8">
        <v>41701</v>
      </c>
      <c r="E212" s="8">
        <v>41703</v>
      </c>
      <c r="F212" s="9">
        <v>911.5</v>
      </c>
      <c r="G212">
        <f t="shared" si="3"/>
        <v>3</v>
      </c>
    </row>
    <row r="213" spans="1:7" x14ac:dyDescent="0.25">
      <c r="A213" s="10" t="s">
        <v>64</v>
      </c>
      <c r="B213" s="11" t="s">
        <v>65</v>
      </c>
      <c r="C213" s="11" t="s">
        <v>47</v>
      </c>
      <c r="D213" s="12">
        <v>41701</v>
      </c>
      <c r="E213" s="12">
        <v>41705</v>
      </c>
      <c r="F213" s="13">
        <v>1015.8</v>
      </c>
      <c r="G213">
        <f t="shared" si="3"/>
        <v>5</v>
      </c>
    </row>
    <row r="214" spans="1:7" x14ac:dyDescent="0.25">
      <c r="A214" s="6" t="s">
        <v>86</v>
      </c>
      <c r="B214" s="7" t="s">
        <v>136</v>
      </c>
      <c r="C214" s="7" t="s">
        <v>38</v>
      </c>
      <c r="D214" s="8">
        <v>41701</v>
      </c>
      <c r="E214" s="8">
        <v>41701</v>
      </c>
      <c r="F214" s="9">
        <v>278.8</v>
      </c>
      <c r="G214">
        <f t="shared" si="3"/>
        <v>1</v>
      </c>
    </row>
    <row r="215" spans="1:7" x14ac:dyDescent="0.25">
      <c r="A215" s="10" t="s">
        <v>20</v>
      </c>
      <c r="B215" s="11" t="s">
        <v>21</v>
      </c>
      <c r="C215" s="11" t="s">
        <v>14</v>
      </c>
      <c r="D215" s="12">
        <v>41701</v>
      </c>
      <c r="E215" s="12">
        <v>41704</v>
      </c>
      <c r="F215" s="13">
        <v>550.5</v>
      </c>
      <c r="G215">
        <f t="shared" si="3"/>
        <v>4</v>
      </c>
    </row>
    <row r="216" spans="1:7" x14ac:dyDescent="0.25">
      <c r="A216" s="6" t="s">
        <v>42</v>
      </c>
      <c r="B216" s="7" t="s">
        <v>43</v>
      </c>
      <c r="C216" s="7" t="s">
        <v>72</v>
      </c>
      <c r="D216" s="8">
        <v>41704</v>
      </c>
      <c r="E216" s="8">
        <v>41704</v>
      </c>
      <c r="F216" s="9">
        <v>494.7</v>
      </c>
      <c r="G216">
        <f t="shared" si="3"/>
        <v>1</v>
      </c>
    </row>
    <row r="217" spans="1:7" x14ac:dyDescent="0.25">
      <c r="A217" s="10" t="s">
        <v>111</v>
      </c>
      <c r="B217" s="11" t="s">
        <v>112</v>
      </c>
      <c r="C217" s="11" t="s">
        <v>30</v>
      </c>
      <c r="D217" s="12">
        <v>41704</v>
      </c>
      <c r="E217" s="12">
        <v>41704</v>
      </c>
      <c r="F217" s="13">
        <v>212.5</v>
      </c>
      <c r="G217">
        <f t="shared" si="3"/>
        <v>1</v>
      </c>
    </row>
    <row r="218" spans="1:7" x14ac:dyDescent="0.25">
      <c r="A218" s="6" t="s">
        <v>86</v>
      </c>
      <c r="B218" s="7" t="s">
        <v>136</v>
      </c>
      <c r="C218" s="7" t="s">
        <v>24</v>
      </c>
      <c r="D218" s="8">
        <v>41705</v>
      </c>
      <c r="E218" s="8">
        <v>41705</v>
      </c>
      <c r="F218" s="9">
        <v>290.7</v>
      </c>
      <c r="G218">
        <f t="shared" si="3"/>
        <v>1</v>
      </c>
    </row>
    <row r="219" spans="1:7" x14ac:dyDescent="0.25">
      <c r="A219" s="10" t="s">
        <v>57</v>
      </c>
      <c r="B219" s="11" t="s">
        <v>163</v>
      </c>
      <c r="C219" s="11" t="s">
        <v>27</v>
      </c>
      <c r="D219" s="12">
        <v>41707</v>
      </c>
      <c r="E219" s="12">
        <v>41710</v>
      </c>
      <c r="F219" s="13">
        <v>826</v>
      </c>
      <c r="G219">
        <f t="shared" si="3"/>
        <v>4</v>
      </c>
    </row>
    <row r="220" spans="1:7" x14ac:dyDescent="0.25">
      <c r="A220" s="6" t="s">
        <v>131</v>
      </c>
      <c r="B220" s="7" t="s">
        <v>154</v>
      </c>
      <c r="C220" s="7" t="s">
        <v>24</v>
      </c>
      <c r="D220" s="8">
        <v>41708</v>
      </c>
      <c r="E220" s="8">
        <v>41708</v>
      </c>
      <c r="F220" s="9">
        <v>290.7</v>
      </c>
      <c r="G220">
        <f t="shared" si="3"/>
        <v>1</v>
      </c>
    </row>
    <row r="221" spans="1:7" x14ac:dyDescent="0.25">
      <c r="A221" s="10" t="s">
        <v>99</v>
      </c>
      <c r="B221" s="11" t="s">
        <v>130</v>
      </c>
      <c r="C221" s="11" t="s">
        <v>30</v>
      </c>
      <c r="D221" s="12">
        <v>41708</v>
      </c>
      <c r="E221" s="12">
        <v>41710</v>
      </c>
      <c r="F221" s="13">
        <v>450.5</v>
      </c>
      <c r="G221">
        <f t="shared" si="3"/>
        <v>3</v>
      </c>
    </row>
    <row r="222" spans="1:7" x14ac:dyDescent="0.25">
      <c r="A222" s="6" t="s">
        <v>9</v>
      </c>
      <c r="B222" s="7" t="s">
        <v>10</v>
      </c>
      <c r="C222" s="7" t="s">
        <v>66</v>
      </c>
      <c r="D222" s="8">
        <v>41708</v>
      </c>
      <c r="E222" s="8">
        <v>41711</v>
      </c>
      <c r="F222" s="9">
        <v>841.7</v>
      </c>
      <c r="G222">
        <f t="shared" si="3"/>
        <v>4</v>
      </c>
    </row>
    <row r="223" spans="1:7" x14ac:dyDescent="0.25">
      <c r="A223" s="10" t="s">
        <v>164</v>
      </c>
      <c r="B223" s="11" t="s">
        <v>165</v>
      </c>
      <c r="C223" s="11" t="s">
        <v>14</v>
      </c>
      <c r="D223" s="12">
        <v>41708</v>
      </c>
      <c r="E223" s="12">
        <v>41710</v>
      </c>
      <c r="F223" s="13">
        <v>426.5</v>
      </c>
      <c r="G223">
        <f t="shared" si="3"/>
        <v>3</v>
      </c>
    </row>
    <row r="224" spans="1:7" x14ac:dyDescent="0.25">
      <c r="A224" s="6" t="s">
        <v>93</v>
      </c>
      <c r="B224" s="7" t="s">
        <v>94</v>
      </c>
      <c r="C224" s="7" t="s">
        <v>11</v>
      </c>
      <c r="D224" s="8">
        <v>41708</v>
      </c>
      <c r="E224" s="8">
        <v>41710</v>
      </c>
      <c r="F224" s="9">
        <v>434.4</v>
      </c>
      <c r="G224">
        <f t="shared" si="3"/>
        <v>3</v>
      </c>
    </row>
    <row r="225" spans="1:7" x14ac:dyDescent="0.25">
      <c r="A225" s="10" t="s">
        <v>54</v>
      </c>
      <c r="B225" s="11" t="s">
        <v>121</v>
      </c>
      <c r="C225" s="11" t="s">
        <v>47</v>
      </c>
      <c r="D225" s="12">
        <v>41709</v>
      </c>
      <c r="E225" s="12">
        <v>41709</v>
      </c>
      <c r="F225" s="13">
        <v>363.8</v>
      </c>
      <c r="G225">
        <f t="shared" si="3"/>
        <v>1</v>
      </c>
    </row>
    <row r="226" spans="1:7" x14ac:dyDescent="0.25">
      <c r="A226" s="6" t="s">
        <v>137</v>
      </c>
      <c r="B226" s="7" t="s">
        <v>138</v>
      </c>
      <c r="C226" s="7" t="s">
        <v>27</v>
      </c>
      <c r="D226" s="8">
        <v>41709</v>
      </c>
      <c r="E226" s="8">
        <v>41711</v>
      </c>
      <c r="F226" s="9">
        <v>698</v>
      </c>
      <c r="G226">
        <f t="shared" si="3"/>
        <v>3</v>
      </c>
    </row>
    <row r="227" spans="1:7" x14ac:dyDescent="0.25">
      <c r="A227" s="10" t="s">
        <v>137</v>
      </c>
      <c r="B227" s="11" t="s">
        <v>160</v>
      </c>
      <c r="C227" s="11" t="s">
        <v>66</v>
      </c>
      <c r="D227" s="12">
        <v>41710</v>
      </c>
      <c r="E227" s="12">
        <v>41710</v>
      </c>
      <c r="F227" s="13">
        <v>307.7</v>
      </c>
      <c r="G227">
        <f t="shared" si="3"/>
        <v>1</v>
      </c>
    </row>
    <row r="228" spans="1:7" x14ac:dyDescent="0.25">
      <c r="A228" s="6" t="s">
        <v>33</v>
      </c>
      <c r="B228" s="7" t="s">
        <v>141</v>
      </c>
      <c r="C228" s="7" t="s">
        <v>30</v>
      </c>
      <c r="D228" s="8">
        <v>41713</v>
      </c>
      <c r="E228" s="8">
        <v>41715</v>
      </c>
      <c r="F228" s="9">
        <v>450.5</v>
      </c>
      <c r="G228">
        <f t="shared" si="3"/>
        <v>3</v>
      </c>
    </row>
    <row r="229" spans="1:7" x14ac:dyDescent="0.25">
      <c r="A229" s="10" t="s">
        <v>6</v>
      </c>
      <c r="B229" s="11" t="s">
        <v>139</v>
      </c>
      <c r="C229" s="11" t="s">
        <v>19</v>
      </c>
      <c r="D229" s="12">
        <v>41713</v>
      </c>
      <c r="E229" s="12">
        <v>41717</v>
      </c>
      <c r="F229" s="13">
        <v>1077.4000000000001</v>
      </c>
      <c r="G229">
        <f t="shared" si="3"/>
        <v>5</v>
      </c>
    </row>
    <row r="230" spans="1:7" x14ac:dyDescent="0.25">
      <c r="A230" s="6" t="s">
        <v>15</v>
      </c>
      <c r="B230" s="7" t="s">
        <v>46</v>
      </c>
      <c r="C230" s="7" t="s">
        <v>38</v>
      </c>
      <c r="D230" s="8">
        <v>41713</v>
      </c>
      <c r="E230" s="8">
        <v>41714</v>
      </c>
      <c r="F230" s="9">
        <v>407.8</v>
      </c>
      <c r="G230">
        <f t="shared" si="3"/>
        <v>2</v>
      </c>
    </row>
    <row r="231" spans="1:7" x14ac:dyDescent="0.25">
      <c r="A231" s="10" t="s">
        <v>128</v>
      </c>
      <c r="B231" s="11" t="s">
        <v>129</v>
      </c>
      <c r="C231" s="11" t="s">
        <v>47</v>
      </c>
      <c r="D231" s="12">
        <v>41713</v>
      </c>
      <c r="E231" s="12">
        <v>41716</v>
      </c>
      <c r="F231" s="13">
        <v>852.8</v>
      </c>
      <c r="G231">
        <f t="shared" si="3"/>
        <v>4</v>
      </c>
    </row>
    <row r="232" spans="1:7" x14ac:dyDescent="0.25">
      <c r="A232" s="6" t="s">
        <v>131</v>
      </c>
      <c r="B232" s="7" t="s">
        <v>154</v>
      </c>
      <c r="C232" s="7" t="s">
        <v>27</v>
      </c>
      <c r="D232" s="8">
        <v>41713</v>
      </c>
      <c r="E232" s="8">
        <v>41715</v>
      </c>
      <c r="F232" s="9">
        <v>698</v>
      </c>
      <c r="G232">
        <f t="shared" si="3"/>
        <v>3</v>
      </c>
    </row>
    <row r="233" spans="1:7" x14ac:dyDescent="0.25">
      <c r="A233" s="10" t="s">
        <v>131</v>
      </c>
      <c r="B233" s="11" t="s">
        <v>142</v>
      </c>
      <c r="C233" s="11" t="s">
        <v>8</v>
      </c>
      <c r="D233" s="12">
        <v>41713</v>
      </c>
      <c r="E233" s="12">
        <v>41716</v>
      </c>
      <c r="F233" s="13">
        <v>1313</v>
      </c>
      <c r="G233">
        <f t="shared" si="3"/>
        <v>4</v>
      </c>
    </row>
    <row r="234" spans="1:7" x14ac:dyDescent="0.25">
      <c r="A234" s="6" t="s">
        <v>28</v>
      </c>
      <c r="B234" s="7" t="s">
        <v>60</v>
      </c>
      <c r="C234" s="7" t="s">
        <v>72</v>
      </c>
      <c r="D234" s="8">
        <v>41713</v>
      </c>
      <c r="E234" s="8">
        <v>41716</v>
      </c>
      <c r="F234" s="9">
        <v>1091.7</v>
      </c>
      <c r="G234">
        <f t="shared" si="3"/>
        <v>4</v>
      </c>
    </row>
    <row r="235" spans="1:7" x14ac:dyDescent="0.25">
      <c r="A235" s="10" t="s">
        <v>25</v>
      </c>
      <c r="B235" s="11" t="s">
        <v>68</v>
      </c>
      <c r="C235" s="11" t="s">
        <v>38</v>
      </c>
      <c r="D235" s="12">
        <v>41713</v>
      </c>
      <c r="E235" s="12">
        <v>41714</v>
      </c>
      <c r="F235" s="13">
        <v>407.8</v>
      </c>
      <c r="G235">
        <f t="shared" si="3"/>
        <v>2</v>
      </c>
    </row>
    <row r="236" spans="1:7" x14ac:dyDescent="0.25">
      <c r="A236" s="6" t="s">
        <v>33</v>
      </c>
      <c r="B236" s="7" t="s">
        <v>41</v>
      </c>
      <c r="C236" s="7" t="s">
        <v>72</v>
      </c>
      <c r="D236" s="8">
        <v>41713</v>
      </c>
      <c r="E236" s="8">
        <v>41717</v>
      </c>
      <c r="F236" s="9">
        <v>1290.7</v>
      </c>
      <c r="G236">
        <f t="shared" si="3"/>
        <v>5</v>
      </c>
    </row>
    <row r="237" spans="1:7" x14ac:dyDescent="0.25">
      <c r="A237" s="10" t="s">
        <v>9</v>
      </c>
      <c r="B237" s="11" t="s">
        <v>103</v>
      </c>
      <c r="C237" s="11" t="s">
        <v>27</v>
      </c>
      <c r="D237" s="12">
        <v>41713</v>
      </c>
      <c r="E237" s="12">
        <v>41717</v>
      </c>
      <c r="F237" s="13">
        <v>954</v>
      </c>
      <c r="G237">
        <f t="shared" si="3"/>
        <v>5</v>
      </c>
    </row>
    <row r="238" spans="1:7" x14ac:dyDescent="0.25">
      <c r="A238" s="6" t="s">
        <v>73</v>
      </c>
      <c r="B238" s="7" t="s">
        <v>104</v>
      </c>
      <c r="C238" s="7" t="s">
        <v>19</v>
      </c>
      <c r="D238" s="8">
        <v>41713</v>
      </c>
      <c r="E238" s="8">
        <v>41714</v>
      </c>
      <c r="F238" s="9">
        <v>654.4</v>
      </c>
      <c r="G238">
        <f t="shared" si="3"/>
        <v>2</v>
      </c>
    </row>
    <row r="239" spans="1:7" x14ac:dyDescent="0.25">
      <c r="A239" s="10" t="s">
        <v>73</v>
      </c>
      <c r="B239" s="11" t="s">
        <v>155</v>
      </c>
      <c r="C239" s="11" t="s">
        <v>27</v>
      </c>
      <c r="D239" s="12">
        <v>41713</v>
      </c>
      <c r="E239" s="12">
        <v>41713</v>
      </c>
      <c r="F239" s="13">
        <v>442</v>
      </c>
      <c r="G239">
        <f t="shared" si="3"/>
        <v>1</v>
      </c>
    </row>
    <row r="240" spans="1:7" x14ac:dyDescent="0.25">
      <c r="A240" s="6" t="s">
        <v>166</v>
      </c>
      <c r="B240" s="7" t="s">
        <v>167</v>
      </c>
      <c r="C240" s="7" t="s">
        <v>8</v>
      </c>
      <c r="D240" s="8">
        <v>41713</v>
      </c>
      <c r="E240" s="8">
        <v>41715</v>
      </c>
      <c r="F240" s="9">
        <v>1102</v>
      </c>
      <c r="G240">
        <f t="shared" si="3"/>
        <v>3</v>
      </c>
    </row>
    <row r="241" spans="1:7" x14ac:dyDescent="0.25">
      <c r="A241" s="10" t="s">
        <v>6</v>
      </c>
      <c r="B241" s="11" t="s">
        <v>45</v>
      </c>
      <c r="C241" s="11" t="s">
        <v>17</v>
      </c>
      <c r="D241" s="12">
        <v>41713</v>
      </c>
      <c r="E241" s="12">
        <v>41715</v>
      </c>
      <c r="F241" s="13">
        <v>911.5</v>
      </c>
      <c r="G241">
        <f t="shared" si="3"/>
        <v>3</v>
      </c>
    </row>
    <row r="242" spans="1:7" x14ac:dyDescent="0.25">
      <c r="A242" s="6" t="s">
        <v>15</v>
      </c>
      <c r="B242" s="7" t="s">
        <v>96</v>
      </c>
      <c r="C242" s="7" t="s">
        <v>17</v>
      </c>
      <c r="D242" s="8">
        <v>41713</v>
      </c>
      <c r="E242" s="8">
        <v>41717</v>
      </c>
      <c r="F242" s="9">
        <v>1321.5</v>
      </c>
      <c r="G242">
        <f t="shared" si="3"/>
        <v>5</v>
      </c>
    </row>
    <row r="243" spans="1:7" x14ac:dyDescent="0.25">
      <c r="A243" s="10" t="s">
        <v>9</v>
      </c>
      <c r="B243" s="11" t="s">
        <v>18</v>
      </c>
      <c r="C243" s="11" t="s">
        <v>72</v>
      </c>
      <c r="D243" s="12">
        <v>41713</v>
      </c>
      <c r="E243" s="12">
        <v>41716</v>
      </c>
      <c r="F243" s="13">
        <v>1091.7</v>
      </c>
      <c r="G243">
        <f t="shared" si="3"/>
        <v>4</v>
      </c>
    </row>
    <row r="244" spans="1:7" x14ac:dyDescent="0.25">
      <c r="A244" s="6" t="s">
        <v>82</v>
      </c>
      <c r="B244" s="7" t="s">
        <v>125</v>
      </c>
      <c r="C244" s="7" t="s">
        <v>47</v>
      </c>
      <c r="D244" s="8">
        <v>41715</v>
      </c>
      <c r="E244" s="8">
        <v>41717</v>
      </c>
      <c r="F244" s="9">
        <v>689.8</v>
      </c>
      <c r="G244">
        <f t="shared" si="3"/>
        <v>3</v>
      </c>
    </row>
    <row r="245" spans="1:7" x14ac:dyDescent="0.25">
      <c r="A245" s="10" t="s">
        <v>39</v>
      </c>
      <c r="B245" s="11" t="s">
        <v>40</v>
      </c>
      <c r="C245" s="11" t="s">
        <v>47</v>
      </c>
      <c r="D245" s="12">
        <v>41715</v>
      </c>
      <c r="E245" s="12">
        <v>41716</v>
      </c>
      <c r="F245" s="13">
        <v>526.79999999999995</v>
      </c>
      <c r="G245">
        <f t="shared" si="3"/>
        <v>2</v>
      </c>
    </row>
    <row r="246" spans="1:7" x14ac:dyDescent="0.25">
      <c r="A246" s="6" t="s">
        <v>15</v>
      </c>
      <c r="B246" s="7" t="s">
        <v>63</v>
      </c>
      <c r="C246" s="7" t="s">
        <v>66</v>
      </c>
      <c r="D246" s="8">
        <v>41715</v>
      </c>
      <c r="E246" s="8">
        <v>41716</v>
      </c>
      <c r="F246" s="9">
        <v>485.7</v>
      </c>
      <c r="G246">
        <f t="shared" si="3"/>
        <v>2</v>
      </c>
    </row>
    <row r="247" spans="1:7" x14ac:dyDescent="0.25">
      <c r="A247" s="10" t="s">
        <v>57</v>
      </c>
      <c r="B247" s="11" t="s">
        <v>58</v>
      </c>
      <c r="C247" s="11" t="s">
        <v>8</v>
      </c>
      <c r="D247" s="12">
        <v>41715</v>
      </c>
      <c r="E247" s="12">
        <v>41715</v>
      </c>
      <c r="F247" s="13">
        <v>680</v>
      </c>
      <c r="G247">
        <f t="shared" si="3"/>
        <v>1</v>
      </c>
    </row>
    <row r="248" spans="1:7" x14ac:dyDescent="0.25">
      <c r="A248" s="6" t="s">
        <v>61</v>
      </c>
      <c r="B248" s="7" t="s">
        <v>62</v>
      </c>
      <c r="C248" s="7" t="s">
        <v>72</v>
      </c>
      <c r="D248" s="8">
        <v>41716</v>
      </c>
      <c r="E248" s="8">
        <v>41716</v>
      </c>
      <c r="F248" s="9">
        <v>494.7</v>
      </c>
      <c r="G248">
        <f t="shared" si="3"/>
        <v>1</v>
      </c>
    </row>
    <row r="249" spans="1:7" x14ac:dyDescent="0.25">
      <c r="A249" s="10" t="s">
        <v>126</v>
      </c>
      <c r="B249" s="11" t="s">
        <v>127</v>
      </c>
      <c r="C249" s="11" t="s">
        <v>14</v>
      </c>
      <c r="D249" s="12">
        <v>41716</v>
      </c>
      <c r="E249" s="12">
        <v>41716</v>
      </c>
      <c r="F249" s="13">
        <v>178.5</v>
      </c>
      <c r="G249">
        <f t="shared" si="3"/>
        <v>1</v>
      </c>
    </row>
    <row r="250" spans="1:7" x14ac:dyDescent="0.25">
      <c r="A250" s="6" t="s">
        <v>12</v>
      </c>
      <c r="B250" s="7" t="s">
        <v>13</v>
      </c>
      <c r="C250" s="7" t="s">
        <v>30</v>
      </c>
      <c r="D250" s="8">
        <v>41716</v>
      </c>
      <c r="E250" s="8">
        <v>41717</v>
      </c>
      <c r="F250" s="9">
        <v>331.5</v>
      </c>
      <c r="G250">
        <f t="shared" si="3"/>
        <v>2</v>
      </c>
    </row>
    <row r="251" spans="1:7" x14ac:dyDescent="0.25">
      <c r="A251" s="10" t="s">
        <v>131</v>
      </c>
      <c r="B251" s="11" t="s">
        <v>142</v>
      </c>
      <c r="C251" s="11" t="s">
        <v>72</v>
      </c>
      <c r="D251" s="12">
        <v>41719</v>
      </c>
      <c r="E251" s="12">
        <v>41723</v>
      </c>
      <c r="F251" s="13">
        <v>1290.7</v>
      </c>
      <c r="G251">
        <f t="shared" si="3"/>
        <v>5</v>
      </c>
    </row>
    <row r="252" spans="1:7" x14ac:dyDescent="0.25">
      <c r="A252" s="6" t="s">
        <v>54</v>
      </c>
      <c r="B252" s="7" t="s">
        <v>133</v>
      </c>
      <c r="C252" s="7" t="s">
        <v>24</v>
      </c>
      <c r="D252" s="8">
        <v>41719</v>
      </c>
      <c r="E252" s="8">
        <v>41721</v>
      </c>
      <c r="F252" s="9">
        <v>588.70000000000005</v>
      </c>
      <c r="G252">
        <f t="shared" si="3"/>
        <v>3</v>
      </c>
    </row>
    <row r="253" spans="1:7" x14ac:dyDescent="0.25">
      <c r="A253" s="10" t="s">
        <v>25</v>
      </c>
      <c r="B253" s="11" t="s">
        <v>67</v>
      </c>
      <c r="C253" s="11" t="s">
        <v>72</v>
      </c>
      <c r="D253" s="12">
        <v>41719</v>
      </c>
      <c r="E253" s="12">
        <v>41723</v>
      </c>
      <c r="F253" s="13">
        <v>1290.7</v>
      </c>
      <c r="G253">
        <f t="shared" si="3"/>
        <v>5</v>
      </c>
    </row>
    <row r="254" spans="1:7" x14ac:dyDescent="0.25">
      <c r="A254" s="6" t="s">
        <v>70</v>
      </c>
      <c r="B254" s="7" t="s">
        <v>71</v>
      </c>
      <c r="C254" s="7" t="s">
        <v>11</v>
      </c>
      <c r="D254" s="8">
        <v>41719</v>
      </c>
      <c r="E254" s="8">
        <v>41720</v>
      </c>
      <c r="F254" s="9">
        <v>295.39999999999998</v>
      </c>
      <c r="G254">
        <f t="shared" si="3"/>
        <v>2</v>
      </c>
    </row>
    <row r="255" spans="1:7" x14ac:dyDescent="0.25">
      <c r="A255" s="10" t="s">
        <v>9</v>
      </c>
      <c r="B255" s="11" t="s">
        <v>69</v>
      </c>
      <c r="C255" s="11" t="s">
        <v>66</v>
      </c>
      <c r="D255" s="12">
        <v>41719</v>
      </c>
      <c r="E255" s="12">
        <v>41721</v>
      </c>
      <c r="F255" s="13">
        <v>663.7</v>
      </c>
      <c r="G255">
        <f t="shared" si="3"/>
        <v>3</v>
      </c>
    </row>
    <row r="256" spans="1:7" x14ac:dyDescent="0.25">
      <c r="A256" s="6" t="s">
        <v>113</v>
      </c>
      <c r="B256" s="7" t="s">
        <v>114</v>
      </c>
      <c r="C256" s="7" t="s">
        <v>59</v>
      </c>
      <c r="D256" s="8">
        <v>41719</v>
      </c>
      <c r="E256" s="8">
        <v>41720</v>
      </c>
      <c r="F256" s="9">
        <v>601</v>
      </c>
      <c r="G256">
        <f t="shared" si="3"/>
        <v>2</v>
      </c>
    </row>
    <row r="257" spans="1:7" x14ac:dyDescent="0.25">
      <c r="A257" s="10" t="s">
        <v>6</v>
      </c>
      <c r="B257" s="11" t="s">
        <v>56</v>
      </c>
      <c r="C257" s="11" t="s">
        <v>11</v>
      </c>
      <c r="D257" s="12">
        <v>41725</v>
      </c>
      <c r="E257" s="12">
        <v>41726</v>
      </c>
      <c r="F257" s="13">
        <v>295.39999999999998</v>
      </c>
      <c r="G257">
        <f t="shared" si="3"/>
        <v>2</v>
      </c>
    </row>
    <row r="258" spans="1:7" x14ac:dyDescent="0.25">
      <c r="A258" s="6" t="s">
        <v>33</v>
      </c>
      <c r="B258" s="7" t="s">
        <v>34</v>
      </c>
      <c r="C258" s="7" t="s">
        <v>72</v>
      </c>
      <c r="D258" s="8">
        <v>41725</v>
      </c>
      <c r="E258" s="8">
        <v>41729</v>
      </c>
      <c r="F258" s="9">
        <v>1290.7</v>
      </c>
      <c r="G258">
        <f t="shared" si="3"/>
        <v>5</v>
      </c>
    </row>
    <row r="259" spans="1:7" x14ac:dyDescent="0.25">
      <c r="A259" s="10" t="s">
        <v>134</v>
      </c>
      <c r="B259" s="11" t="s">
        <v>135</v>
      </c>
      <c r="C259" s="11" t="s">
        <v>38</v>
      </c>
      <c r="D259" s="12">
        <v>41725</v>
      </c>
      <c r="E259" s="12">
        <v>41729</v>
      </c>
      <c r="F259" s="13">
        <v>794.8</v>
      </c>
      <c r="G259">
        <f t="shared" ref="G259:G322" si="4">E259-D259 + 1</f>
        <v>5</v>
      </c>
    </row>
    <row r="260" spans="1:7" x14ac:dyDescent="0.25">
      <c r="A260" s="6" t="s">
        <v>93</v>
      </c>
      <c r="B260" s="7" t="s">
        <v>94</v>
      </c>
      <c r="C260" s="7" t="s">
        <v>19</v>
      </c>
      <c r="D260" s="8">
        <v>41725</v>
      </c>
      <c r="E260" s="8">
        <v>41726</v>
      </c>
      <c r="F260" s="9">
        <v>654.4</v>
      </c>
      <c r="G260">
        <f t="shared" si="4"/>
        <v>2</v>
      </c>
    </row>
    <row r="261" spans="1:7" x14ac:dyDescent="0.25">
      <c r="A261" s="10" t="s">
        <v>137</v>
      </c>
      <c r="B261" s="11" t="s">
        <v>138</v>
      </c>
      <c r="C261" s="11" t="s">
        <v>72</v>
      </c>
      <c r="D261" s="12">
        <v>41725</v>
      </c>
      <c r="E261" s="12">
        <v>41726</v>
      </c>
      <c r="F261" s="13">
        <v>693.7</v>
      </c>
      <c r="G261">
        <f t="shared" si="4"/>
        <v>2</v>
      </c>
    </row>
    <row r="262" spans="1:7" x14ac:dyDescent="0.25">
      <c r="A262" s="6" t="s">
        <v>9</v>
      </c>
      <c r="B262" s="7" t="s">
        <v>18</v>
      </c>
      <c r="C262" s="7" t="s">
        <v>11</v>
      </c>
      <c r="D262" s="8">
        <v>41725</v>
      </c>
      <c r="E262" s="8">
        <v>41728</v>
      </c>
      <c r="F262" s="9">
        <v>573.4</v>
      </c>
      <c r="G262">
        <f t="shared" si="4"/>
        <v>4</v>
      </c>
    </row>
    <row r="263" spans="1:7" x14ac:dyDescent="0.25">
      <c r="A263" s="10" t="s">
        <v>115</v>
      </c>
      <c r="B263" s="11" t="s">
        <v>140</v>
      </c>
      <c r="C263" s="11" t="s">
        <v>38</v>
      </c>
      <c r="D263" s="12">
        <v>41731</v>
      </c>
      <c r="E263" s="12">
        <v>41733</v>
      </c>
      <c r="F263" s="13">
        <v>536.79999999999995</v>
      </c>
      <c r="G263">
        <f t="shared" si="4"/>
        <v>3</v>
      </c>
    </row>
    <row r="264" spans="1:7" x14ac:dyDescent="0.25">
      <c r="A264" s="6" t="s">
        <v>9</v>
      </c>
      <c r="B264" s="7" t="s">
        <v>103</v>
      </c>
      <c r="C264" s="7" t="s">
        <v>47</v>
      </c>
      <c r="D264" s="8">
        <v>41731</v>
      </c>
      <c r="E264" s="8">
        <v>41735</v>
      </c>
      <c r="F264" s="9">
        <v>1015.8</v>
      </c>
      <c r="G264">
        <f t="shared" si="4"/>
        <v>5</v>
      </c>
    </row>
    <row r="265" spans="1:7" x14ac:dyDescent="0.25">
      <c r="A265" s="10" t="s">
        <v>143</v>
      </c>
      <c r="B265" s="11" t="s">
        <v>144</v>
      </c>
      <c r="C265" s="11" t="s">
        <v>27</v>
      </c>
      <c r="D265" s="12">
        <v>41731</v>
      </c>
      <c r="E265" s="12">
        <v>41734</v>
      </c>
      <c r="F265" s="13">
        <v>826</v>
      </c>
      <c r="G265">
        <f t="shared" si="4"/>
        <v>4</v>
      </c>
    </row>
    <row r="266" spans="1:7" x14ac:dyDescent="0.25">
      <c r="A266" s="6" t="s">
        <v>147</v>
      </c>
      <c r="B266" s="7" t="s">
        <v>148</v>
      </c>
      <c r="C266" s="7" t="s">
        <v>17</v>
      </c>
      <c r="D266" s="8">
        <v>41731</v>
      </c>
      <c r="E266" s="8">
        <v>41735</v>
      </c>
      <c r="F266" s="9">
        <v>1321.5</v>
      </c>
      <c r="G266">
        <f t="shared" si="4"/>
        <v>5</v>
      </c>
    </row>
    <row r="267" spans="1:7" x14ac:dyDescent="0.25">
      <c r="A267" s="10" t="s">
        <v>166</v>
      </c>
      <c r="B267" s="11" t="s">
        <v>167</v>
      </c>
      <c r="C267" s="11" t="s">
        <v>72</v>
      </c>
      <c r="D267" s="12">
        <v>41731</v>
      </c>
      <c r="E267" s="12">
        <v>41733</v>
      </c>
      <c r="F267" s="13">
        <v>892.7</v>
      </c>
      <c r="G267">
        <f t="shared" si="4"/>
        <v>3</v>
      </c>
    </row>
    <row r="268" spans="1:7" x14ac:dyDescent="0.25">
      <c r="A268" s="6" t="s">
        <v>91</v>
      </c>
      <c r="B268" s="7" t="s">
        <v>161</v>
      </c>
      <c r="C268" s="7" t="s">
        <v>11</v>
      </c>
      <c r="D268" s="8">
        <v>41731</v>
      </c>
      <c r="E268" s="8">
        <v>41732</v>
      </c>
      <c r="F268" s="9">
        <v>295.39999999999998</v>
      </c>
      <c r="G268">
        <f t="shared" si="4"/>
        <v>2</v>
      </c>
    </row>
    <row r="269" spans="1:7" x14ac:dyDescent="0.25">
      <c r="A269" s="10" t="s">
        <v>137</v>
      </c>
      <c r="B269" s="11" t="s">
        <v>160</v>
      </c>
      <c r="C269" s="11" t="s">
        <v>38</v>
      </c>
      <c r="D269" s="12">
        <v>41732</v>
      </c>
      <c r="E269" s="12">
        <v>41736</v>
      </c>
      <c r="F269" s="13">
        <v>794.8</v>
      </c>
      <c r="G269">
        <f t="shared" si="4"/>
        <v>5</v>
      </c>
    </row>
    <row r="270" spans="1:7" x14ac:dyDescent="0.25">
      <c r="A270" s="6" t="s">
        <v>48</v>
      </c>
      <c r="B270" s="7" t="s">
        <v>49</v>
      </c>
      <c r="C270" s="7" t="s">
        <v>11</v>
      </c>
      <c r="D270" s="8">
        <v>41737</v>
      </c>
      <c r="E270" s="8">
        <v>41740</v>
      </c>
      <c r="F270" s="9">
        <v>573.4</v>
      </c>
      <c r="G270">
        <f t="shared" si="4"/>
        <v>4</v>
      </c>
    </row>
    <row r="271" spans="1:7" x14ac:dyDescent="0.25">
      <c r="A271" s="10" t="s">
        <v>15</v>
      </c>
      <c r="B271" s="11" t="s">
        <v>46</v>
      </c>
      <c r="C271" s="11" t="s">
        <v>59</v>
      </c>
      <c r="D271" s="12">
        <v>41737</v>
      </c>
      <c r="E271" s="12">
        <v>41739</v>
      </c>
      <c r="F271" s="13">
        <v>760</v>
      </c>
      <c r="G271">
        <f t="shared" si="4"/>
        <v>3</v>
      </c>
    </row>
    <row r="272" spans="1:7" x14ac:dyDescent="0.25">
      <c r="A272" s="6" t="s">
        <v>61</v>
      </c>
      <c r="B272" s="7" t="s">
        <v>62</v>
      </c>
      <c r="C272" s="7" t="s">
        <v>14</v>
      </c>
      <c r="D272" s="8">
        <v>41737</v>
      </c>
      <c r="E272" s="8">
        <v>41741</v>
      </c>
      <c r="F272" s="9">
        <v>674.5</v>
      </c>
      <c r="G272">
        <f t="shared" si="4"/>
        <v>5</v>
      </c>
    </row>
    <row r="273" spans="1:7" x14ac:dyDescent="0.25">
      <c r="A273" s="10" t="s">
        <v>12</v>
      </c>
      <c r="B273" s="11" t="s">
        <v>13</v>
      </c>
      <c r="C273" s="11" t="s">
        <v>14</v>
      </c>
      <c r="D273" s="12">
        <v>41737</v>
      </c>
      <c r="E273" s="12">
        <v>41740</v>
      </c>
      <c r="F273" s="13">
        <v>550.5</v>
      </c>
      <c r="G273">
        <f t="shared" si="4"/>
        <v>4</v>
      </c>
    </row>
    <row r="274" spans="1:7" x14ac:dyDescent="0.25">
      <c r="A274" s="6" t="s">
        <v>147</v>
      </c>
      <c r="B274" s="7" t="s">
        <v>148</v>
      </c>
      <c r="C274" s="7" t="s">
        <v>72</v>
      </c>
      <c r="D274" s="8">
        <v>41737</v>
      </c>
      <c r="E274" s="8">
        <v>41740</v>
      </c>
      <c r="F274" s="9">
        <v>1091.7</v>
      </c>
      <c r="G274">
        <f t="shared" si="4"/>
        <v>4</v>
      </c>
    </row>
    <row r="275" spans="1:7" x14ac:dyDescent="0.25">
      <c r="A275" s="10" t="s">
        <v>36</v>
      </c>
      <c r="B275" s="11" t="s">
        <v>37</v>
      </c>
      <c r="C275" s="11" t="s">
        <v>17</v>
      </c>
      <c r="D275" s="12">
        <v>41737</v>
      </c>
      <c r="E275" s="12">
        <v>41741</v>
      </c>
      <c r="F275" s="13">
        <v>1321.5</v>
      </c>
      <c r="G275">
        <f t="shared" si="4"/>
        <v>5</v>
      </c>
    </row>
    <row r="276" spans="1:7" x14ac:dyDescent="0.25">
      <c r="A276" s="6" t="s">
        <v>31</v>
      </c>
      <c r="B276" s="7" t="s">
        <v>78</v>
      </c>
      <c r="C276" s="7" t="s">
        <v>72</v>
      </c>
      <c r="D276" s="8">
        <v>41743</v>
      </c>
      <c r="E276" s="8">
        <v>41747</v>
      </c>
      <c r="F276" s="9">
        <v>1290.7</v>
      </c>
      <c r="G276">
        <f t="shared" si="4"/>
        <v>5</v>
      </c>
    </row>
    <row r="277" spans="1:7" x14ac:dyDescent="0.25">
      <c r="A277" s="10" t="s">
        <v>25</v>
      </c>
      <c r="B277" s="11" t="s">
        <v>67</v>
      </c>
      <c r="C277" s="11" t="s">
        <v>8</v>
      </c>
      <c r="D277" s="12">
        <v>41743</v>
      </c>
      <c r="E277" s="12">
        <v>41745</v>
      </c>
      <c r="F277" s="13">
        <v>1102</v>
      </c>
      <c r="G277">
        <f t="shared" si="4"/>
        <v>3</v>
      </c>
    </row>
    <row r="278" spans="1:7" x14ac:dyDescent="0.25">
      <c r="A278" s="6" t="s">
        <v>33</v>
      </c>
      <c r="B278" s="7" t="s">
        <v>41</v>
      </c>
      <c r="C278" s="7" t="s">
        <v>8</v>
      </c>
      <c r="D278" s="8">
        <v>41743</v>
      </c>
      <c r="E278" s="8">
        <v>41744</v>
      </c>
      <c r="F278" s="9">
        <v>891</v>
      </c>
      <c r="G278">
        <f t="shared" si="4"/>
        <v>2</v>
      </c>
    </row>
    <row r="279" spans="1:7" x14ac:dyDescent="0.25">
      <c r="A279" s="10" t="s">
        <v>54</v>
      </c>
      <c r="B279" s="11" t="s">
        <v>121</v>
      </c>
      <c r="C279" s="11" t="s">
        <v>8</v>
      </c>
      <c r="D279" s="12">
        <v>41743</v>
      </c>
      <c r="E279" s="12">
        <v>41746</v>
      </c>
      <c r="F279" s="13">
        <v>1313</v>
      </c>
      <c r="G279">
        <f t="shared" si="4"/>
        <v>4</v>
      </c>
    </row>
    <row r="280" spans="1:7" x14ac:dyDescent="0.25">
      <c r="A280" s="6" t="s">
        <v>111</v>
      </c>
      <c r="B280" s="7" t="s">
        <v>112</v>
      </c>
      <c r="C280" s="7" t="s">
        <v>17</v>
      </c>
      <c r="D280" s="8">
        <v>41743</v>
      </c>
      <c r="E280" s="8">
        <v>41744</v>
      </c>
      <c r="F280" s="9">
        <v>706.5</v>
      </c>
      <c r="G280">
        <f t="shared" si="4"/>
        <v>2</v>
      </c>
    </row>
    <row r="281" spans="1:7" x14ac:dyDescent="0.25">
      <c r="A281" s="10" t="s">
        <v>131</v>
      </c>
      <c r="B281" s="11" t="s">
        <v>132</v>
      </c>
      <c r="C281" s="11" t="s">
        <v>17</v>
      </c>
      <c r="D281" s="12">
        <v>41743</v>
      </c>
      <c r="E281" s="12">
        <v>41745</v>
      </c>
      <c r="F281" s="13">
        <v>911.5</v>
      </c>
      <c r="G281">
        <f t="shared" si="4"/>
        <v>3</v>
      </c>
    </row>
    <row r="282" spans="1:7" x14ac:dyDescent="0.25">
      <c r="A282" s="6" t="s">
        <v>9</v>
      </c>
      <c r="B282" s="7" t="s">
        <v>103</v>
      </c>
      <c r="C282" s="7" t="s">
        <v>19</v>
      </c>
      <c r="D282" s="8">
        <v>41747</v>
      </c>
      <c r="E282" s="8">
        <v>41747</v>
      </c>
      <c r="F282" s="9">
        <v>513.4</v>
      </c>
      <c r="G282">
        <f t="shared" si="4"/>
        <v>1</v>
      </c>
    </row>
    <row r="283" spans="1:7" x14ac:dyDescent="0.25">
      <c r="A283" s="10" t="s">
        <v>122</v>
      </c>
      <c r="B283" s="11" t="s">
        <v>123</v>
      </c>
      <c r="C283" s="11" t="s">
        <v>72</v>
      </c>
      <c r="D283" s="12">
        <v>41749</v>
      </c>
      <c r="E283" s="12">
        <v>41751</v>
      </c>
      <c r="F283" s="13">
        <v>892.7</v>
      </c>
      <c r="G283">
        <f t="shared" si="4"/>
        <v>3</v>
      </c>
    </row>
    <row r="284" spans="1:7" x14ac:dyDescent="0.25">
      <c r="A284" s="6" t="s">
        <v>15</v>
      </c>
      <c r="B284" s="7" t="s">
        <v>105</v>
      </c>
      <c r="C284" s="7" t="s">
        <v>47</v>
      </c>
      <c r="D284" s="8">
        <v>41749</v>
      </c>
      <c r="E284" s="8">
        <v>41750</v>
      </c>
      <c r="F284" s="9">
        <v>526.79999999999995</v>
      </c>
      <c r="G284">
        <f t="shared" si="4"/>
        <v>2</v>
      </c>
    </row>
    <row r="285" spans="1:7" x14ac:dyDescent="0.25">
      <c r="A285" s="10" t="s">
        <v>9</v>
      </c>
      <c r="B285" s="11" t="s">
        <v>103</v>
      </c>
      <c r="C285" s="11" t="s">
        <v>59</v>
      </c>
      <c r="D285" s="12">
        <v>41752</v>
      </c>
      <c r="E285" s="12">
        <v>41753</v>
      </c>
      <c r="F285" s="13">
        <v>601</v>
      </c>
      <c r="G285">
        <f t="shared" si="4"/>
        <v>2</v>
      </c>
    </row>
    <row r="286" spans="1:7" x14ac:dyDescent="0.25">
      <c r="A286" s="6" t="s">
        <v>75</v>
      </c>
      <c r="B286" s="7" t="s">
        <v>76</v>
      </c>
      <c r="C286" s="7" t="s">
        <v>47</v>
      </c>
      <c r="D286" s="8">
        <v>41752</v>
      </c>
      <c r="E286" s="8">
        <v>41753</v>
      </c>
      <c r="F286" s="9">
        <v>526.79999999999995</v>
      </c>
      <c r="G286">
        <f t="shared" si="4"/>
        <v>2</v>
      </c>
    </row>
    <row r="287" spans="1:7" x14ac:dyDescent="0.25">
      <c r="A287" s="10" t="s">
        <v>131</v>
      </c>
      <c r="B287" s="11" t="s">
        <v>132</v>
      </c>
      <c r="C287" s="11" t="s">
        <v>38</v>
      </c>
      <c r="D287" s="12">
        <v>41753</v>
      </c>
      <c r="E287" s="12">
        <v>41753</v>
      </c>
      <c r="F287" s="13">
        <v>278.8</v>
      </c>
      <c r="G287">
        <f t="shared" si="4"/>
        <v>1</v>
      </c>
    </row>
    <row r="288" spans="1:7" x14ac:dyDescent="0.25">
      <c r="A288" s="6" t="s">
        <v>28</v>
      </c>
      <c r="B288" s="7" t="s">
        <v>60</v>
      </c>
      <c r="C288" s="7" t="s">
        <v>38</v>
      </c>
      <c r="D288" s="8">
        <v>41755</v>
      </c>
      <c r="E288" s="8">
        <v>41759</v>
      </c>
      <c r="F288" s="9">
        <v>794.8</v>
      </c>
      <c r="G288">
        <f t="shared" si="4"/>
        <v>5</v>
      </c>
    </row>
    <row r="289" spans="1:7" x14ac:dyDescent="0.25">
      <c r="A289" s="10" t="s">
        <v>25</v>
      </c>
      <c r="B289" s="11" t="s">
        <v>26</v>
      </c>
      <c r="C289" s="11" t="s">
        <v>59</v>
      </c>
      <c r="D289" s="12">
        <v>41755</v>
      </c>
      <c r="E289" s="12">
        <v>41758</v>
      </c>
      <c r="F289" s="13">
        <v>919</v>
      </c>
      <c r="G289">
        <f t="shared" si="4"/>
        <v>4</v>
      </c>
    </row>
    <row r="290" spans="1:7" x14ac:dyDescent="0.25">
      <c r="A290" s="6" t="s">
        <v>168</v>
      </c>
      <c r="B290" s="7" t="s">
        <v>169</v>
      </c>
      <c r="C290" s="7" t="s">
        <v>11</v>
      </c>
      <c r="D290" s="8">
        <v>41755</v>
      </c>
      <c r="E290" s="8">
        <v>41756</v>
      </c>
      <c r="F290" s="9">
        <v>295.39999999999998</v>
      </c>
      <c r="G290">
        <f t="shared" si="4"/>
        <v>2</v>
      </c>
    </row>
    <row r="291" spans="1:7" x14ac:dyDescent="0.25">
      <c r="A291" s="10" t="s">
        <v>25</v>
      </c>
      <c r="B291" s="11" t="s">
        <v>35</v>
      </c>
      <c r="C291" s="11" t="s">
        <v>47</v>
      </c>
      <c r="D291" s="12">
        <v>41755</v>
      </c>
      <c r="E291" s="12">
        <v>41756</v>
      </c>
      <c r="F291" s="13">
        <v>526.79999999999995</v>
      </c>
      <c r="G291">
        <f t="shared" si="4"/>
        <v>2</v>
      </c>
    </row>
    <row r="292" spans="1:7" x14ac:dyDescent="0.25">
      <c r="A292" s="6" t="s">
        <v>113</v>
      </c>
      <c r="B292" s="7" t="s">
        <v>114</v>
      </c>
      <c r="C292" s="7" t="s">
        <v>19</v>
      </c>
      <c r="D292" s="8">
        <v>41755</v>
      </c>
      <c r="E292" s="8">
        <v>41758</v>
      </c>
      <c r="F292" s="9">
        <v>936.4</v>
      </c>
      <c r="G292">
        <f t="shared" si="4"/>
        <v>4</v>
      </c>
    </row>
    <row r="293" spans="1:7" x14ac:dyDescent="0.25">
      <c r="A293" s="10" t="s">
        <v>91</v>
      </c>
      <c r="B293" s="11" t="s">
        <v>92</v>
      </c>
      <c r="C293" s="11" t="s">
        <v>11</v>
      </c>
      <c r="D293" s="12">
        <v>41755</v>
      </c>
      <c r="E293" s="12">
        <v>41755</v>
      </c>
      <c r="F293" s="13">
        <v>156.4</v>
      </c>
      <c r="G293">
        <f t="shared" si="4"/>
        <v>1</v>
      </c>
    </row>
    <row r="294" spans="1:7" x14ac:dyDescent="0.25">
      <c r="A294" s="6" t="s">
        <v>6</v>
      </c>
      <c r="B294" s="7" t="s">
        <v>139</v>
      </c>
      <c r="C294" s="7" t="s">
        <v>17</v>
      </c>
      <c r="D294" s="8">
        <v>41757</v>
      </c>
      <c r="E294" s="8">
        <v>41758</v>
      </c>
      <c r="F294" s="9">
        <v>706.5</v>
      </c>
      <c r="G294">
        <f t="shared" si="4"/>
        <v>2</v>
      </c>
    </row>
    <row r="295" spans="1:7" x14ac:dyDescent="0.25">
      <c r="A295" s="10" t="s">
        <v>28</v>
      </c>
      <c r="B295" s="11" t="s">
        <v>29</v>
      </c>
      <c r="C295" s="11" t="s">
        <v>19</v>
      </c>
      <c r="D295" s="12">
        <v>41761</v>
      </c>
      <c r="E295" s="12">
        <v>41765</v>
      </c>
      <c r="F295" s="13">
        <v>1077.4000000000001</v>
      </c>
      <c r="G295">
        <f t="shared" si="4"/>
        <v>5</v>
      </c>
    </row>
    <row r="296" spans="1:7" x14ac:dyDescent="0.25">
      <c r="A296" s="6" t="s">
        <v>31</v>
      </c>
      <c r="B296" s="7" t="s">
        <v>32</v>
      </c>
      <c r="C296" s="7" t="s">
        <v>14</v>
      </c>
      <c r="D296" s="8">
        <v>41761</v>
      </c>
      <c r="E296" s="8">
        <v>41763</v>
      </c>
      <c r="F296" s="9">
        <v>426.5</v>
      </c>
      <c r="G296">
        <f t="shared" si="4"/>
        <v>3</v>
      </c>
    </row>
    <row r="297" spans="1:7" x14ac:dyDescent="0.25">
      <c r="A297" s="10" t="s">
        <v>97</v>
      </c>
      <c r="B297" s="11" t="s">
        <v>98</v>
      </c>
      <c r="C297" s="11" t="s">
        <v>17</v>
      </c>
      <c r="D297" s="12">
        <v>41761</v>
      </c>
      <c r="E297" s="12">
        <v>41762</v>
      </c>
      <c r="F297" s="13">
        <v>706.5</v>
      </c>
      <c r="G297">
        <f t="shared" si="4"/>
        <v>2</v>
      </c>
    </row>
    <row r="298" spans="1:7" x14ac:dyDescent="0.25">
      <c r="A298" s="6" t="s">
        <v>22</v>
      </c>
      <c r="B298" s="7" t="s">
        <v>23</v>
      </c>
      <c r="C298" s="7" t="s">
        <v>19</v>
      </c>
      <c r="D298" s="8">
        <v>41764</v>
      </c>
      <c r="E298" s="8">
        <v>41765</v>
      </c>
      <c r="F298" s="9">
        <v>654.4</v>
      </c>
      <c r="G298">
        <f t="shared" si="4"/>
        <v>2</v>
      </c>
    </row>
    <row r="299" spans="1:7" x14ac:dyDescent="0.25">
      <c r="A299" s="10" t="s">
        <v>15</v>
      </c>
      <c r="B299" s="11" t="s">
        <v>44</v>
      </c>
      <c r="C299" s="11" t="s">
        <v>24</v>
      </c>
      <c r="D299" s="12">
        <v>41764</v>
      </c>
      <c r="E299" s="12">
        <v>41764</v>
      </c>
      <c r="F299" s="13">
        <v>290.7</v>
      </c>
      <c r="G299">
        <f t="shared" si="4"/>
        <v>1</v>
      </c>
    </row>
    <row r="300" spans="1:7" x14ac:dyDescent="0.25">
      <c r="A300" s="6" t="s">
        <v>166</v>
      </c>
      <c r="B300" s="7" t="s">
        <v>167</v>
      </c>
      <c r="C300" s="7" t="s">
        <v>27</v>
      </c>
      <c r="D300" s="8">
        <v>41765</v>
      </c>
      <c r="E300" s="8">
        <v>41766</v>
      </c>
      <c r="F300" s="9">
        <v>570</v>
      </c>
      <c r="G300">
        <f t="shared" si="4"/>
        <v>2</v>
      </c>
    </row>
    <row r="301" spans="1:7" x14ac:dyDescent="0.25">
      <c r="A301" s="10" t="s">
        <v>82</v>
      </c>
      <c r="B301" s="11" t="s">
        <v>83</v>
      </c>
      <c r="C301" s="11" t="s">
        <v>17</v>
      </c>
      <c r="D301" s="12">
        <v>41767</v>
      </c>
      <c r="E301" s="12">
        <v>41770</v>
      </c>
      <c r="F301" s="13">
        <v>1116.5</v>
      </c>
      <c r="G301">
        <f t="shared" si="4"/>
        <v>4</v>
      </c>
    </row>
    <row r="302" spans="1:7" x14ac:dyDescent="0.25">
      <c r="A302" s="6" t="s">
        <v>84</v>
      </c>
      <c r="B302" s="7" t="s">
        <v>85</v>
      </c>
      <c r="C302" s="7" t="s">
        <v>8</v>
      </c>
      <c r="D302" s="8">
        <v>41767</v>
      </c>
      <c r="E302" s="8">
        <v>41769</v>
      </c>
      <c r="F302" s="9">
        <v>1102</v>
      </c>
      <c r="G302">
        <f t="shared" si="4"/>
        <v>3</v>
      </c>
    </row>
    <row r="303" spans="1:7" x14ac:dyDescent="0.25">
      <c r="A303" s="10" t="s">
        <v>99</v>
      </c>
      <c r="B303" s="11" t="s">
        <v>130</v>
      </c>
      <c r="C303" s="11" t="s">
        <v>14</v>
      </c>
      <c r="D303" s="12">
        <v>41767</v>
      </c>
      <c r="E303" s="12">
        <v>41768</v>
      </c>
      <c r="F303" s="13">
        <v>302.5</v>
      </c>
      <c r="G303">
        <f t="shared" si="4"/>
        <v>2</v>
      </c>
    </row>
    <row r="304" spans="1:7" x14ac:dyDescent="0.25">
      <c r="A304" s="6" t="s">
        <v>73</v>
      </c>
      <c r="B304" s="7" t="s">
        <v>74</v>
      </c>
      <c r="C304" s="7" t="s">
        <v>11</v>
      </c>
      <c r="D304" s="8">
        <v>41767</v>
      </c>
      <c r="E304" s="8">
        <v>41770</v>
      </c>
      <c r="F304" s="9">
        <v>573.4</v>
      </c>
      <c r="G304">
        <f t="shared" si="4"/>
        <v>4</v>
      </c>
    </row>
    <row r="305" spans="1:7" x14ac:dyDescent="0.25">
      <c r="A305" s="10" t="s">
        <v>36</v>
      </c>
      <c r="B305" s="11" t="s">
        <v>37</v>
      </c>
      <c r="C305" s="11" t="s">
        <v>19</v>
      </c>
      <c r="D305" s="12">
        <v>41767</v>
      </c>
      <c r="E305" s="12">
        <v>41770</v>
      </c>
      <c r="F305" s="13">
        <v>936.4</v>
      </c>
      <c r="G305">
        <f t="shared" si="4"/>
        <v>4</v>
      </c>
    </row>
    <row r="306" spans="1:7" x14ac:dyDescent="0.25">
      <c r="A306" s="6" t="s">
        <v>75</v>
      </c>
      <c r="B306" s="7" t="s">
        <v>76</v>
      </c>
      <c r="C306" s="7" t="s">
        <v>66</v>
      </c>
      <c r="D306" s="8">
        <v>41767</v>
      </c>
      <c r="E306" s="8">
        <v>41771</v>
      </c>
      <c r="F306" s="9">
        <v>1019.7</v>
      </c>
      <c r="G306">
        <f t="shared" si="4"/>
        <v>5</v>
      </c>
    </row>
    <row r="307" spans="1:7" x14ac:dyDescent="0.25">
      <c r="A307" s="10" t="s">
        <v>122</v>
      </c>
      <c r="B307" s="11" t="s">
        <v>123</v>
      </c>
      <c r="C307" s="11" t="s">
        <v>11</v>
      </c>
      <c r="D307" s="12">
        <v>41773</v>
      </c>
      <c r="E307" s="12">
        <v>41776</v>
      </c>
      <c r="F307" s="13">
        <v>573.4</v>
      </c>
      <c r="G307">
        <f t="shared" si="4"/>
        <v>4</v>
      </c>
    </row>
    <row r="308" spans="1:7" x14ac:dyDescent="0.25">
      <c r="A308" s="6" t="s">
        <v>15</v>
      </c>
      <c r="B308" s="7" t="s">
        <v>46</v>
      </c>
      <c r="C308" s="7" t="s">
        <v>24</v>
      </c>
      <c r="D308" s="8">
        <v>41773</v>
      </c>
      <c r="E308" s="8">
        <v>41777</v>
      </c>
      <c r="F308" s="9">
        <v>886.7</v>
      </c>
      <c r="G308">
        <f t="shared" si="4"/>
        <v>5</v>
      </c>
    </row>
    <row r="309" spans="1:7" x14ac:dyDescent="0.25">
      <c r="A309" s="10" t="s">
        <v>25</v>
      </c>
      <c r="B309" s="11" t="s">
        <v>67</v>
      </c>
      <c r="C309" s="11" t="s">
        <v>19</v>
      </c>
      <c r="D309" s="12">
        <v>41773</v>
      </c>
      <c r="E309" s="12">
        <v>41777</v>
      </c>
      <c r="F309" s="13">
        <v>1077.4000000000001</v>
      </c>
      <c r="G309">
        <f t="shared" si="4"/>
        <v>5</v>
      </c>
    </row>
    <row r="310" spans="1:7" x14ac:dyDescent="0.25">
      <c r="A310" s="6" t="s">
        <v>28</v>
      </c>
      <c r="B310" s="7" t="s">
        <v>60</v>
      </c>
      <c r="C310" s="7" t="s">
        <v>24</v>
      </c>
      <c r="D310" s="8">
        <v>41773</v>
      </c>
      <c r="E310" s="8">
        <v>41774</v>
      </c>
      <c r="F310" s="9">
        <v>439.7</v>
      </c>
      <c r="G310">
        <f t="shared" si="4"/>
        <v>2</v>
      </c>
    </row>
    <row r="311" spans="1:7" x14ac:dyDescent="0.25">
      <c r="A311" s="10" t="s">
        <v>31</v>
      </c>
      <c r="B311" s="11" t="s">
        <v>32</v>
      </c>
      <c r="C311" s="11" t="s">
        <v>24</v>
      </c>
      <c r="D311" s="12">
        <v>41773</v>
      </c>
      <c r="E311" s="12">
        <v>41775</v>
      </c>
      <c r="F311" s="13">
        <v>588.70000000000005</v>
      </c>
      <c r="G311">
        <f t="shared" si="4"/>
        <v>3</v>
      </c>
    </row>
    <row r="312" spans="1:7" x14ac:dyDescent="0.25">
      <c r="A312" s="6" t="s">
        <v>137</v>
      </c>
      <c r="B312" s="7" t="s">
        <v>160</v>
      </c>
      <c r="C312" s="7" t="s">
        <v>38</v>
      </c>
      <c r="D312" s="8">
        <v>41773</v>
      </c>
      <c r="E312" s="8">
        <v>41774</v>
      </c>
      <c r="F312" s="9">
        <v>407.8</v>
      </c>
      <c r="G312">
        <f t="shared" si="4"/>
        <v>2</v>
      </c>
    </row>
    <row r="313" spans="1:7" x14ac:dyDescent="0.25">
      <c r="A313" s="10" t="s">
        <v>31</v>
      </c>
      <c r="B313" s="11" t="s">
        <v>77</v>
      </c>
      <c r="C313" s="11" t="s">
        <v>24</v>
      </c>
      <c r="D313" s="12">
        <v>41773</v>
      </c>
      <c r="E313" s="12">
        <v>41775</v>
      </c>
      <c r="F313" s="13">
        <v>588.70000000000005</v>
      </c>
      <c r="G313">
        <f t="shared" si="4"/>
        <v>3</v>
      </c>
    </row>
    <row r="314" spans="1:7" x14ac:dyDescent="0.25">
      <c r="A314" s="6" t="s">
        <v>33</v>
      </c>
      <c r="B314" s="7" t="s">
        <v>41</v>
      </c>
      <c r="C314" s="7" t="s">
        <v>72</v>
      </c>
      <c r="D314" s="8">
        <v>41779</v>
      </c>
      <c r="E314" s="8">
        <v>41780</v>
      </c>
      <c r="F314" s="9">
        <v>693.7</v>
      </c>
      <c r="G314">
        <f t="shared" si="4"/>
        <v>2</v>
      </c>
    </row>
    <row r="315" spans="1:7" x14ac:dyDescent="0.25">
      <c r="A315" s="10" t="s">
        <v>15</v>
      </c>
      <c r="B315" s="11" t="s">
        <v>105</v>
      </c>
      <c r="C315" s="11" t="s">
        <v>14</v>
      </c>
      <c r="D315" s="12">
        <v>41779</v>
      </c>
      <c r="E315" s="12">
        <v>41783</v>
      </c>
      <c r="F315" s="13">
        <v>674.5</v>
      </c>
      <c r="G315">
        <f t="shared" si="4"/>
        <v>5</v>
      </c>
    </row>
    <row r="316" spans="1:7" x14ac:dyDescent="0.25">
      <c r="A316" s="6" t="s">
        <v>151</v>
      </c>
      <c r="B316" s="7" t="s">
        <v>152</v>
      </c>
      <c r="C316" s="7" t="s">
        <v>30</v>
      </c>
      <c r="D316" s="8">
        <v>41779</v>
      </c>
      <c r="E316" s="8">
        <v>41782</v>
      </c>
      <c r="F316" s="9">
        <v>569.5</v>
      </c>
      <c r="G316">
        <f t="shared" si="4"/>
        <v>4</v>
      </c>
    </row>
    <row r="317" spans="1:7" x14ac:dyDescent="0.25">
      <c r="A317" s="10" t="s">
        <v>166</v>
      </c>
      <c r="B317" s="11" t="s">
        <v>167</v>
      </c>
      <c r="C317" s="11" t="s">
        <v>27</v>
      </c>
      <c r="D317" s="12">
        <v>41779</v>
      </c>
      <c r="E317" s="12">
        <v>41782</v>
      </c>
      <c r="F317" s="13">
        <v>826</v>
      </c>
      <c r="G317">
        <f t="shared" si="4"/>
        <v>4</v>
      </c>
    </row>
    <row r="318" spans="1:7" x14ac:dyDescent="0.25">
      <c r="A318" s="6" t="s">
        <v>158</v>
      </c>
      <c r="B318" s="7" t="s">
        <v>159</v>
      </c>
      <c r="C318" s="7" t="s">
        <v>24</v>
      </c>
      <c r="D318" s="8">
        <v>41779</v>
      </c>
      <c r="E318" s="8">
        <v>41783</v>
      </c>
      <c r="F318" s="9">
        <v>886.7</v>
      </c>
      <c r="G318">
        <f t="shared" si="4"/>
        <v>5</v>
      </c>
    </row>
    <row r="319" spans="1:7" x14ac:dyDescent="0.25">
      <c r="A319" s="10" t="s">
        <v>91</v>
      </c>
      <c r="B319" s="11" t="s">
        <v>92</v>
      </c>
      <c r="C319" s="11" t="s">
        <v>66</v>
      </c>
      <c r="D319" s="12">
        <v>41779</v>
      </c>
      <c r="E319" s="12">
        <v>41782</v>
      </c>
      <c r="F319" s="13">
        <v>841.7</v>
      </c>
      <c r="G319">
        <f t="shared" si="4"/>
        <v>4</v>
      </c>
    </row>
    <row r="320" spans="1:7" x14ac:dyDescent="0.25">
      <c r="A320" s="6" t="s">
        <v>15</v>
      </c>
      <c r="B320" s="7" t="s">
        <v>44</v>
      </c>
      <c r="C320" s="7" t="s">
        <v>72</v>
      </c>
      <c r="D320" s="8">
        <v>41785</v>
      </c>
      <c r="E320" s="8">
        <v>41787</v>
      </c>
      <c r="F320" s="9">
        <v>892.7</v>
      </c>
      <c r="G320">
        <f t="shared" si="4"/>
        <v>3</v>
      </c>
    </row>
    <row r="321" spans="1:7" x14ac:dyDescent="0.25">
      <c r="A321" s="10" t="s">
        <v>131</v>
      </c>
      <c r="B321" s="11" t="s">
        <v>154</v>
      </c>
      <c r="C321" s="11" t="s">
        <v>66</v>
      </c>
      <c r="D321" s="12">
        <v>41785</v>
      </c>
      <c r="E321" s="12">
        <v>41789</v>
      </c>
      <c r="F321" s="13">
        <v>1019.7</v>
      </c>
      <c r="G321">
        <f t="shared" si="4"/>
        <v>5</v>
      </c>
    </row>
    <row r="322" spans="1:7" x14ac:dyDescent="0.25">
      <c r="A322" s="6" t="s">
        <v>79</v>
      </c>
      <c r="B322" s="7" t="s">
        <v>80</v>
      </c>
      <c r="C322" s="7" t="s">
        <v>11</v>
      </c>
      <c r="D322" s="8">
        <v>41785</v>
      </c>
      <c r="E322" s="8">
        <v>41787</v>
      </c>
      <c r="F322" s="9">
        <v>434.4</v>
      </c>
      <c r="G322">
        <f t="shared" si="4"/>
        <v>3</v>
      </c>
    </row>
    <row r="323" spans="1:7" x14ac:dyDescent="0.25">
      <c r="A323" s="10" t="s">
        <v>57</v>
      </c>
      <c r="B323" s="11" t="s">
        <v>163</v>
      </c>
      <c r="C323" s="11" t="s">
        <v>59</v>
      </c>
      <c r="D323" s="12">
        <v>41785</v>
      </c>
      <c r="E323" s="12">
        <v>41788</v>
      </c>
      <c r="F323" s="13">
        <v>919</v>
      </c>
      <c r="G323">
        <f t="shared" ref="G323:G386" si="5">E323-D323 + 1</f>
        <v>4</v>
      </c>
    </row>
    <row r="324" spans="1:7" x14ac:dyDescent="0.25">
      <c r="A324" s="6" t="s">
        <v>25</v>
      </c>
      <c r="B324" s="7" t="s">
        <v>26</v>
      </c>
      <c r="C324" s="7" t="s">
        <v>59</v>
      </c>
      <c r="D324" s="8">
        <v>41785</v>
      </c>
      <c r="E324" s="8">
        <v>41788</v>
      </c>
      <c r="F324" s="9">
        <v>919</v>
      </c>
      <c r="G324">
        <f t="shared" si="5"/>
        <v>4</v>
      </c>
    </row>
    <row r="325" spans="1:7" x14ac:dyDescent="0.25">
      <c r="A325" s="10" t="s">
        <v>36</v>
      </c>
      <c r="B325" s="11" t="s">
        <v>37</v>
      </c>
      <c r="C325" s="11" t="s">
        <v>59</v>
      </c>
      <c r="D325" s="12">
        <v>41785</v>
      </c>
      <c r="E325" s="12">
        <v>41787</v>
      </c>
      <c r="F325" s="13">
        <v>760</v>
      </c>
      <c r="G325">
        <f t="shared" si="5"/>
        <v>3</v>
      </c>
    </row>
    <row r="326" spans="1:7" x14ac:dyDescent="0.25">
      <c r="A326" s="6" t="s">
        <v>15</v>
      </c>
      <c r="B326" s="7" t="s">
        <v>44</v>
      </c>
      <c r="C326" s="7" t="s">
        <v>19</v>
      </c>
      <c r="D326" s="8">
        <v>41791</v>
      </c>
      <c r="E326" s="8">
        <v>41794</v>
      </c>
      <c r="F326" s="9">
        <v>936.4</v>
      </c>
      <c r="G326">
        <f t="shared" si="5"/>
        <v>4</v>
      </c>
    </row>
    <row r="327" spans="1:7" x14ac:dyDescent="0.25">
      <c r="A327" s="10" t="s">
        <v>115</v>
      </c>
      <c r="B327" s="11" t="s">
        <v>153</v>
      </c>
      <c r="C327" s="11" t="s">
        <v>24</v>
      </c>
      <c r="D327" s="12">
        <v>41791</v>
      </c>
      <c r="E327" s="12">
        <v>41794</v>
      </c>
      <c r="F327" s="13">
        <v>737.7</v>
      </c>
      <c r="G327">
        <f t="shared" si="5"/>
        <v>4</v>
      </c>
    </row>
    <row r="328" spans="1:7" x14ac:dyDescent="0.25">
      <c r="A328" s="6" t="s">
        <v>93</v>
      </c>
      <c r="B328" s="7" t="s">
        <v>124</v>
      </c>
      <c r="C328" s="7" t="s">
        <v>24</v>
      </c>
      <c r="D328" s="8">
        <v>41791</v>
      </c>
      <c r="E328" s="8">
        <v>41795</v>
      </c>
      <c r="F328" s="9">
        <v>886.7</v>
      </c>
      <c r="G328">
        <f t="shared" si="5"/>
        <v>5</v>
      </c>
    </row>
    <row r="329" spans="1:7" x14ac:dyDescent="0.25">
      <c r="A329" s="10" t="s">
        <v>25</v>
      </c>
      <c r="B329" s="11" t="s">
        <v>67</v>
      </c>
      <c r="C329" s="11" t="s">
        <v>30</v>
      </c>
      <c r="D329" s="12">
        <v>41791</v>
      </c>
      <c r="E329" s="12">
        <v>41793</v>
      </c>
      <c r="F329" s="13">
        <v>450.5</v>
      </c>
      <c r="G329">
        <f t="shared" si="5"/>
        <v>3</v>
      </c>
    </row>
    <row r="330" spans="1:7" x14ac:dyDescent="0.25">
      <c r="A330" s="6" t="s">
        <v>84</v>
      </c>
      <c r="B330" s="7" t="s">
        <v>85</v>
      </c>
      <c r="C330" s="7" t="s">
        <v>19</v>
      </c>
      <c r="D330" s="8">
        <v>41791</v>
      </c>
      <c r="E330" s="8">
        <v>41794</v>
      </c>
      <c r="F330" s="9">
        <v>936.4</v>
      </c>
      <c r="G330">
        <f t="shared" si="5"/>
        <v>4</v>
      </c>
    </row>
    <row r="331" spans="1:7" x14ac:dyDescent="0.25">
      <c r="A331" s="10" t="s">
        <v>134</v>
      </c>
      <c r="B331" s="11" t="s">
        <v>149</v>
      </c>
      <c r="C331" s="11" t="s">
        <v>24</v>
      </c>
      <c r="D331" s="12">
        <v>41791</v>
      </c>
      <c r="E331" s="12">
        <v>41793</v>
      </c>
      <c r="F331" s="13">
        <v>588.70000000000005</v>
      </c>
      <c r="G331">
        <f t="shared" si="5"/>
        <v>3</v>
      </c>
    </row>
    <row r="332" spans="1:7" x14ac:dyDescent="0.25">
      <c r="A332" s="6" t="s">
        <v>15</v>
      </c>
      <c r="B332" s="7" t="s">
        <v>96</v>
      </c>
      <c r="C332" s="7" t="s">
        <v>59</v>
      </c>
      <c r="D332" s="8">
        <v>41791</v>
      </c>
      <c r="E332" s="8">
        <v>41793</v>
      </c>
      <c r="F332" s="9">
        <v>760</v>
      </c>
      <c r="G332">
        <f t="shared" si="5"/>
        <v>3</v>
      </c>
    </row>
    <row r="333" spans="1:7" x14ac:dyDescent="0.25">
      <c r="A333" s="10" t="s">
        <v>28</v>
      </c>
      <c r="B333" s="11" t="s">
        <v>60</v>
      </c>
      <c r="C333" s="11" t="s">
        <v>30</v>
      </c>
      <c r="D333" s="12">
        <v>41792</v>
      </c>
      <c r="E333" s="12">
        <v>41792</v>
      </c>
      <c r="F333" s="13">
        <v>212.5</v>
      </c>
      <c r="G333">
        <f t="shared" si="5"/>
        <v>1</v>
      </c>
    </row>
    <row r="334" spans="1:7" x14ac:dyDescent="0.25">
      <c r="A334" s="6" t="s">
        <v>25</v>
      </c>
      <c r="B334" s="7" t="s">
        <v>26</v>
      </c>
      <c r="C334" s="7" t="s">
        <v>38</v>
      </c>
      <c r="D334" s="8">
        <v>41792</v>
      </c>
      <c r="E334" s="8">
        <v>41792</v>
      </c>
      <c r="F334" s="9">
        <v>278.8</v>
      </c>
      <c r="G334">
        <f t="shared" si="5"/>
        <v>1</v>
      </c>
    </row>
    <row r="335" spans="1:7" x14ac:dyDescent="0.25">
      <c r="A335" s="10" t="s">
        <v>15</v>
      </c>
      <c r="B335" s="11" t="s">
        <v>63</v>
      </c>
      <c r="C335" s="11" t="s">
        <v>24</v>
      </c>
      <c r="D335" s="12">
        <v>41792</v>
      </c>
      <c r="E335" s="12">
        <v>41794</v>
      </c>
      <c r="F335" s="13">
        <v>588.70000000000005</v>
      </c>
      <c r="G335">
        <f t="shared" si="5"/>
        <v>3</v>
      </c>
    </row>
    <row r="336" spans="1:7" x14ac:dyDescent="0.25">
      <c r="A336" s="6" t="s">
        <v>91</v>
      </c>
      <c r="B336" s="7" t="s">
        <v>92</v>
      </c>
      <c r="C336" s="7" t="s">
        <v>38</v>
      </c>
      <c r="D336" s="8">
        <v>41792</v>
      </c>
      <c r="E336" s="8">
        <v>41792</v>
      </c>
      <c r="F336" s="9">
        <v>278.8</v>
      </c>
      <c r="G336">
        <f t="shared" si="5"/>
        <v>1</v>
      </c>
    </row>
    <row r="337" spans="1:7" x14ac:dyDescent="0.25">
      <c r="A337" s="10" t="s">
        <v>170</v>
      </c>
      <c r="B337" s="11" t="s">
        <v>171</v>
      </c>
      <c r="C337" s="11" t="s">
        <v>14</v>
      </c>
      <c r="D337" s="12">
        <v>41793</v>
      </c>
      <c r="E337" s="12">
        <v>41793</v>
      </c>
      <c r="F337" s="13">
        <v>178.5</v>
      </c>
      <c r="G337">
        <f t="shared" si="5"/>
        <v>1</v>
      </c>
    </row>
    <row r="338" spans="1:7" x14ac:dyDescent="0.25">
      <c r="A338" s="6" t="s">
        <v>31</v>
      </c>
      <c r="B338" s="7" t="s">
        <v>77</v>
      </c>
      <c r="C338" s="7" t="s">
        <v>17</v>
      </c>
      <c r="D338" s="8">
        <v>41793</v>
      </c>
      <c r="E338" s="8">
        <v>41794</v>
      </c>
      <c r="F338" s="9">
        <v>706.5</v>
      </c>
      <c r="G338">
        <f t="shared" si="5"/>
        <v>2</v>
      </c>
    </row>
    <row r="339" spans="1:7" x14ac:dyDescent="0.25">
      <c r="A339" s="10" t="s">
        <v>99</v>
      </c>
      <c r="B339" s="11" t="s">
        <v>130</v>
      </c>
      <c r="C339" s="11" t="s">
        <v>30</v>
      </c>
      <c r="D339" s="12">
        <v>41794</v>
      </c>
      <c r="E339" s="12">
        <v>41795</v>
      </c>
      <c r="F339" s="13">
        <v>331.5</v>
      </c>
      <c r="G339">
        <f t="shared" si="5"/>
        <v>2</v>
      </c>
    </row>
    <row r="340" spans="1:7" x14ac:dyDescent="0.25">
      <c r="A340" s="6" t="s">
        <v>164</v>
      </c>
      <c r="B340" s="7" t="s">
        <v>165</v>
      </c>
      <c r="C340" s="7" t="s">
        <v>27</v>
      </c>
      <c r="D340" s="8">
        <v>41794</v>
      </c>
      <c r="E340" s="8">
        <v>41795</v>
      </c>
      <c r="F340" s="9">
        <v>570</v>
      </c>
      <c r="G340">
        <f t="shared" si="5"/>
        <v>2</v>
      </c>
    </row>
    <row r="341" spans="1:7" x14ac:dyDescent="0.25">
      <c r="A341" s="10" t="s">
        <v>91</v>
      </c>
      <c r="B341" s="11" t="s">
        <v>92</v>
      </c>
      <c r="C341" s="11" t="s">
        <v>17</v>
      </c>
      <c r="D341" s="12">
        <v>41794</v>
      </c>
      <c r="E341" s="12">
        <v>41795</v>
      </c>
      <c r="F341" s="13">
        <v>706.5</v>
      </c>
      <c r="G341">
        <f t="shared" si="5"/>
        <v>2</v>
      </c>
    </row>
    <row r="342" spans="1:7" x14ac:dyDescent="0.25">
      <c r="A342" s="6" t="s">
        <v>25</v>
      </c>
      <c r="B342" s="7" t="s">
        <v>67</v>
      </c>
      <c r="C342" s="7" t="s">
        <v>17</v>
      </c>
      <c r="D342" s="8">
        <v>41795</v>
      </c>
      <c r="E342" s="8">
        <v>41795</v>
      </c>
      <c r="F342" s="9">
        <v>501.5</v>
      </c>
      <c r="G342">
        <f t="shared" si="5"/>
        <v>1</v>
      </c>
    </row>
    <row r="343" spans="1:7" x14ac:dyDescent="0.25">
      <c r="A343" s="10" t="s">
        <v>22</v>
      </c>
      <c r="B343" s="11" t="s">
        <v>23</v>
      </c>
      <c r="C343" s="11" t="s">
        <v>11</v>
      </c>
      <c r="D343" s="12">
        <v>41797</v>
      </c>
      <c r="E343" s="12">
        <v>41797</v>
      </c>
      <c r="F343" s="13">
        <v>156.4</v>
      </c>
      <c r="G343">
        <f t="shared" si="5"/>
        <v>1</v>
      </c>
    </row>
    <row r="344" spans="1:7" x14ac:dyDescent="0.25">
      <c r="A344" s="6" t="s">
        <v>93</v>
      </c>
      <c r="B344" s="7" t="s">
        <v>124</v>
      </c>
      <c r="C344" s="7" t="s">
        <v>66</v>
      </c>
      <c r="D344" s="8">
        <v>41797</v>
      </c>
      <c r="E344" s="8">
        <v>41799</v>
      </c>
      <c r="F344" s="9">
        <v>663.7</v>
      </c>
      <c r="G344">
        <f t="shared" si="5"/>
        <v>3</v>
      </c>
    </row>
    <row r="345" spans="1:7" x14ac:dyDescent="0.25">
      <c r="A345" s="10" t="s">
        <v>86</v>
      </c>
      <c r="B345" s="11" t="s">
        <v>150</v>
      </c>
      <c r="C345" s="11" t="s">
        <v>72</v>
      </c>
      <c r="D345" s="12">
        <v>41797</v>
      </c>
      <c r="E345" s="12">
        <v>41801</v>
      </c>
      <c r="F345" s="13">
        <v>1290.7</v>
      </c>
      <c r="G345">
        <f t="shared" si="5"/>
        <v>5</v>
      </c>
    </row>
    <row r="346" spans="1:7" x14ac:dyDescent="0.25">
      <c r="A346" s="6" t="s">
        <v>12</v>
      </c>
      <c r="B346" s="7" t="s">
        <v>13</v>
      </c>
      <c r="C346" s="7" t="s">
        <v>11</v>
      </c>
      <c r="D346" s="8">
        <v>41797</v>
      </c>
      <c r="E346" s="8">
        <v>41801</v>
      </c>
      <c r="F346" s="9">
        <v>712.4</v>
      </c>
      <c r="G346">
        <f t="shared" si="5"/>
        <v>5</v>
      </c>
    </row>
    <row r="347" spans="1:7" x14ac:dyDescent="0.25">
      <c r="A347" s="10" t="s">
        <v>91</v>
      </c>
      <c r="B347" s="11" t="s">
        <v>161</v>
      </c>
      <c r="C347" s="11" t="s">
        <v>19</v>
      </c>
      <c r="D347" s="12">
        <v>41797</v>
      </c>
      <c r="E347" s="12">
        <v>41799</v>
      </c>
      <c r="F347" s="13">
        <v>795.4</v>
      </c>
      <c r="G347">
        <f t="shared" si="5"/>
        <v>3</v>
      </c>
    </row>
    <row r="348" spans="1:7" x14ac:dyDescent="0.25">
      <c r="A348" s="6" t="s">
        <v>36</v>
      </c>
      <c r="B348" s="7" t="s">
        <v>37</v>
      </c>
      <c r="C348" s="7" t="s">
        <v>66</v>
      </c>
      <c r="D348" s="8">
        <v>41799</v>
      </c>
      <c r="E348" s="8">
        <v>41800</v>
      </c>
      <c r="F348" s="9">
        <v>485.7</v>
      </c>
      <c r="G348">
        <f t="shared" si="5"/>
        <v>2</v>
      </c>
    </row>
    <row r="349" spans="1:7" x14ac:dyDescent="0.25">
      <c r="A349" s="10" t="s">
        <v>54</v>
      </c>
      <c r="B349" s="11" t="s">
        <v>55</v>
      </c>
      <c r="C349" s="11" t="s">
        <v>66</v>
      </c>
      <c r="D349" s="12">
        <v>41803</v>
      </c>
      <c r="E349" s="12">
        <v>41805</v>
      </c>
      <c r="F349" s="13">
        <v>663.7</v>
      </c>
      <c r="G349">
        <f t="shared" si="5"/>
        <v>3</v>
      </c>
    </row>
    <row r="350" spans="1:7" x14ac:dyDescent="0.25">
      <c r="A350" s="6" t="s">
        <v>131</v>
      </c>
      <c r="B350" s="7" t="s">
        <v>154</v>
      </c>
      <c r="C350" s="7" t="s">
        <v>59</v>
      </c>
      <c r="D350" s="8">
        <v>41803</v>
      </c>
      <c r="E350" s="8">
        <v>41807</v>
      </c>
      <c r="F350" s="9">
        <v>1078</v>
      </c>
      <c r="G350">
        <f t="shared" si="5"/>
        <v>5</v>
      </c>
    </row>
    <row r="351" spans="1:7" x14ac:dyDescent="0.25">
      <c r="A351" s="10" t="s">
        <v>22</v>
      </c>
      <c r="B351" s="11" t="s">
        <v>172</v>
      </c>
      <c r="C351" s="11" t="s">
        <v>72</v>
      </c>
      <c r="D351" s="12">
        <v>41803</v>
      </c>
      <c r="E351" s="12">
        <v>41803</v>
      </c>
      <c r="F351" s="13">
        <v>494.7</v>
      </c>
      <c r="G351">
        <f t="shared" si="5"/>
        <v>1</v>
      </c>
    </row>
    <row r="352" spans="1:7" x14ac:dyDescent="0.25">
      <c r="A352" s="6" t="s">
        <v>84</v>
      </c>
      <c r="B352" s="7" t="s">
        <v>85</v>
      </c>
      <c r="C352" s="7" t="s">
        <v>38</v>
      </c>
      <c r="D352" s="8">
        <v>41803</v>
      </c>
      <c r="E352" s="8">
        <v>41807</v>
      </c>
      <c r="F352" s="9">
        <v>794.8</v>
      </c>
      <c r="G352">
        <f t="shared" si="5"/>
        <v>5</v>
      </c>
    </row>
    <row r="353" spans="1:7" x14ac:dyDescent="0.25">
      <c r="A353" s="10" t="s">
        <v>6</v>
      </c>
      <c r="B353" s="11" t="s">
        <v>56</v>
      </c>
      <c r="C353" s="11" t="s">
        <v>72</v>
      </c>
      <c r="D353" s="12">
        <v>41803</v>
      </c>
      <c r="E353" s="12">
        <v>41806</v>
      </c>
      <c r="F353" s="13">
        <v>1091.7</v>
      </c>
      <c r="G353">
        <f t="shared" si="5"/>
        <v>4</v>
      </c>
    </row>
    <row r="354" spans="1:7" x14ac:dyDescent="0.25">
      <c r="A354" s="6" t="s">
        <v>33</v>
      </c>
      <c r="B354" s="7" t="s">
        <v>41</v>
      </c>
      <c r="C354" s="7" t="s">
        <v>72</v>
      </c>
      <c r="D354" s="8">
        <v>41803</v>
      </c>
      <c r="E354" s="8">
        <v>41806</v>
      </c>
      <c r="F354" s="9">
        <v>1091.7</v>
      </c>
      <c r="G354">
        <f t="shared" si="5"/>
        <v>4</v>
      </c>
    </row>
    <row r="355" spans="1:7" x14ac:dyDescent="0.25">
      <c r="A355" s="10" t="s">
        <v>134</v>
      </c>
      <c r="B355" s="11" t="s">
        <v>135</v>
      </c>
      <c r="C355" s="11" t="s">
        <v>38</v>
      </c>
      <c r="D355" s="12">
        <v>41803</v>
      </c>
      <c r="E355" s="12">
        <v>41807</v>
      </c>
      <c r="F355" s="13">
        <v>794.8</v>
      </c>
      <c r="G355">
        <f t="shared" si="5"/>
        <v>5</v>
      </c>
    </row>
    <row r="356" spans="1:7" x14ac:dyDescent="0.25">
      <c r="A356" s="6" t="s">
        <v>9</v>
      </c>
      <c r="B356" s="7" t="s">
        <v>69</v>
      </c>
      <c r="C356" s="7" t="s">
        <v>72</v>
      </c>
      <c r="D356" s="8">
        <v>41803</v>
      </c>
      <c r="E356" s="8">
        <v>41804</v>
      </c>
      <c r="F356" s="9">
        <v>693.7</v>
      </c>
      <c r="G356">
        <f t="shared" si="5"/>
        <v>2</v>
      </c>
    </row>
    <row r="357" spans="1:7" x14ac:dyDescent="0.25">
      <c r="A357" s="10" t="s">
        <v>99</v>
      </c>
      <c r="B357" s="11" t="s">
        <v>100</v>
      </c>
      <c r="C357" s="11" t="s">
        <v>72</v>
      </c>
      <c r="D357" s="12">
        <v>41803</v>
      </c>
      <c r="E357" s="12">
        <v>41805</v>
      </c>
      <c r="F357" s="13">
        <v>892.7</v>
      </c>
      <c r="G357">
        <f t="shared" si="5"/>
        <v>3</v>
      </c>
    </row>
    <row r="358" spans="1:7" x14ac:dyDescent="0.25">
      <c r="A358" s="6" t="s">
        <v>145</v>
      </c>
      <c r="B358" s="7" t="s">
        <v>146</v>
      </c>
      <c r="C358" s="7" t="s">
        <v>47</v>
      </c>
      <c r="D358" s="8">
        <v>41803</v>
      </c>
      <c r="E358" s="8">
        <v>41806</v>
      </c>
      <c r="F358" s="9">
        <v>852.8</v>
      </c>
      <c r="G358">
        <f t="shared" si="5"/>
        <v>4</v>
      </c>
    </row>
    <row r="359" spans="1:7" x14ac:dyDescent="0.25">
      <c r="A359" s="10" t="s">
        <v>151</v>
      </c>
      <c r="B359" s="11" t="s">
        <v>152</v>
      </c>
      <c r="C359" s="11" t="s">
        <v>72</v>
      </c>
      <c r="D359" s="12">
        <v>41803</v>
      </c>
      <c r="E359" s="12">
        <v>41803</v>
      </c>
      <c r="F359" s="13">
        <v>494.7</v>
      </c>
      <c r="G359">
        <f t="shared" si="5"/>
        <v>1</v>
      </c>
    </row>
    <row r="360" spans="1:7" x14ac:dyDescent="0.25">
      <c r="A360" s="6" t="s">
        <v>75</v>
      </c>
      <c r="B360" s="7" t="s">
        <v>88</v>
      </c>
      <c r="C360" s="7" t="s">
        <v>27</v>
      </c>
      <c r="D360" s="8">
        <v>41803</v>
      </c>
      <c r="E360" s="8">
        <v>41803</v>
      </c>
      <c r="F360" s="9">
        <v>442</v>
      </c>
      <c r="G360">
        <f t="shared" si="5"/>
        <v>1</v>
      </c>
    </row>
    <row r="361" spans="1:7" x14ac:dyDescent="0.25">
      <c r="A361" s="10" t="s">
        <v>137</v>
      </c>
      <c r="B361" s="11" t="s">
        <v>160</v>
      </c>
      <c r="C361" s="11" t="s">
        <v>66</v>
      </c>
      <c r="D361" s="12">
        <v>41803</v>
      </c>
      <c r="E361" s="12">
        <v>41805</v>
      </c>
      <c r="F361" s="13">
        <v>663.7</v>
      </c>
      <c r="G361">
        <f t="shared" si="5"/>
        <v>3</v>
      </c>
    </row>
    <row r="362" spans="1:7" x14ac:dyDescent="0.25">
      <c r="A362" s="6" t="s">
        <v>158</v>
      </c>
      <c r="B362" s="7" t="s">
        <v>159</v>
      </c>
      <c r="C362" s="7" t="s">
        <v>8</v>
      </c>
      <c r="D362" s="8">
        <v>41803</v>
      </c>
      <c r="E362" s="8">
        <v>41806</v>
      </c>
      <c r="F362" s="9">
        <v>1313</v>
      </c>
      <c r="G362">
        <f t="shared" si="5"/>
        <v>4</v>
      </c>
    </row>
    <row r="363" spans="1:7" x14ac:dyDescent="0.25">
      <c r="A363" s="10" t="s">
        <v>115</v>
      </c>
      <c r="B363" s="11" t="s">
        <v>116</v>
      </c>
      <c r="C363" s="11" t="s">
        <v>17</v>
      </c>
      <c r="D363" s="12">
        <v>41803</v>
      </c>
      <c r="E363" s="12">
        <v>41805</v>
      </c>
      <c r="F363" s="13">
        <v>911.5</v>
      </c>
      <c r="G363">
        <f t="shared" si="5"/>
        <v>3</v>
      </c>
    </row>
    <row r="364" spans="1:7" x14ac:dyDescent="0.25">
      <c r="A364" s="6" t="s">
        <v>164</v>
      </c>
      <c r="B364" s="7" t="s">
        <v>165</v>
      </c>
      <c r="C364" s="7" t="s">
        <v>59</v>
      </c>
      <c r="D364" s="8">
        <v>41806</v>
      </c>
      <c r="E364" s="8">
        <v>41807</v>
      </c>
      <c r="F364" s="9">
        <v>601</v>
      </c>
      <c r="G364">
        <f t="shared" si="5"/>
        <v>2</v>
      </c>
    </row>
    <row r="365" spans="1:7" x14ac:dyDescent="0.25">
      <c r="A365" s="10" t="s">
        <v>75</v>
      </c>
      <c r="B365" s="11" t="s">
        <v>76</v>
      </c>
      <c r="C365" s="11" t="s">
        <v>27</v>
      </c>
      <c r="D365" s="12">
        <v>41806</v>
      </c>
      <c r="E365" s="12">
        <v>41806</v>
      </c>
      <c r="F365" s="13">
        <v>442</v>
      </c>
      <c r="G365">
        <f t="shared" si="5"/>
        <v>1</v>
      </c>
    </row>
    <row r="366" spans="1:7" x14ac:dyDescent="0.25">
      <c r="A366" s="6" t="s">
        <v>126</v>
      </c>
      <c r="B366" s="7" t="s">
        <v>127</v>
      </c>
      <c r="C366" s="7" t="s">
        <v>30</v>
      </c>
      <c r="D366" s="8">
        <v>41809</v>
      </c>
      <c r="E366" s="8">
        <v>41812</v>
      </c>
      <c r="F366" s="9">
        <v>569.5</v>
      </c>
      <c r="G366">
        <f t="shared" si="5"/>
        <v>4</v>
      </c>
    </row>
    <row r="367" spans="1:7" x14ac:dyDescent="0.25">
      <c r="A367" s="10" t="s">
        <v>145</v>
      </c>
      <c r="B367" s="11" t="s">
        <v>146</v>
      </c>
      <c r="C367" s="11" t="s">
        <v>24</v>
      </c>
      <c r="D367" s="12">
        <v>41809</v>
      </c>
      <c r="E367" s="12">
        <v>41810</v>
      </c>
      <c r="F367" s="13">
        <v>439.7</v>
      </c>
      <c r="G367">
        <f t="shared" si="5"/>
        <v>2</v>
      </c>
    </row>
    <row r="368" spans="1:7" x14ac:dyDescent="0.25">
      <c r="A368" s="6" t="s">
        <v>75</v>
      </c>
      <c r="B368" s="7" t="s">
        <v>88</v>
      </c>
      <c r="C368" s="7" t="s">
        <v>66</v>
      </c>
      <c r="D368" s="8">
        <v>41809</v>
      </c>
      <c r="E368" s="8">
        <v>41812</v>
      </c>
      <c r="F368" s="9">
        <v>841.7</v>
      </c>
      <c r="G368">
        <f t="shared" si="5"/>
        <v>4</v>
      </c>
    </row>
    <row r="369" spans="1:7" x14ac:dyDescent="0.25">
      <c r="A369" s="10" t="s">
        <v>109</v>
      </c>
      <c r="B369" s="11" t="s">
        <v>110</v>
      </c>
      <c r="C369" s="11" t="s">
        <v>19</v>
      </c>
      <c r="D369" s="12">
        <v>41809</v>
      </c>
      <c r="E369" s="12">
        <v>41811</v>
      </c>
      <c r="F369" s="13">
        <v>795.4</v>
      </c>
      <c r="G369">
        <f t="shared" si="5"/>
        <v>3</v>
      </c>
    </row>
    <row r="370" spans="1:7" x14ac:dyDescent="0.25">
      <c r="A370" s="6" t="s">
        <v>20</v>
      </c>
      <c r="B370" s="7" t="s">
        <v>162</v>
      </c>
      <c r="C370" s="7" t="s">
        <v>72</v>
      </c>
      <c r="D370" s="8">
        <v>41809</v>
      </c>
      <c r="E370" s="8">
        <v>41813</v>
      </c>
      <c r="F370" s="9">
        <v>1290.7</v>
      </c>
      <c r="G370">
        <f t="shared" si="5"/>
        <v>5</v>
      </c>
    </row>
    <row r="371" spans="1:7" x14ac:dyDescent="0.25">
      <c r="A371" s="10" t="s">
        <v>20</v>
      </c>
      <c r="B371" s="11" t="s">
        <v>21</v>
      </c>
      <c r="C371" s="11" t="s">
        <v>27</v>
      </c>
      <c r="D371" s="12">
        <v>41809</v>
      </c>
      <c r="E371" s="12">
        <v>41811</v>
      </c>
      <c r="F371" s="13">
        <v>698</v>
      </c>
      <c r="G371">
        <f t="shared" si="5"/>
        <v>3</v>
      </c>
    </row>
    <row r="372" spans="1:7" x14ac:dyDescent="0.25">
      <c r="A372" s="6" t="s">
        <v>48</v>
      </c>
      <c r="B372" s="7" t="s">
        <v>49</v>
      </c>
      <c r="C372" s="7" t="s">
        <v>24</v>
      </c>
      <c r="D372" s="8">
        <v>41815</v>
      </c>
      <c r="E372" s="8">
        <v>41816</v>
      </c>
      <c r="F372" s="9">
        <v>439.7</v>
      </c>
      <c r="G372">
        <f t="shared" si="5"/>
        <v>2</v>
      </c>
    </row>
    <row r="373" spans="1:7" x14ac:dyDescent="0.25">
      <c r="A373" s="10" t="s">
        <v>54</v>
      </c>
      <c r="B373" s="11" t="s">
        <v>133</v>
      </c>
      <c r="C373" s="11" t="s">
        <v>72</v>
      </c>
      <c r="D373" s="12">
        <v>41815</v>
      </c>
      <c r="E373" s="12">
        <v>41815</v>
      </c>
      <c r="F373" s="13">
        <v>494.7</v>
      </c>
      <c r="G373">
        <f t="shared" si="5"/>
        <v>1</v>
      </c>
    </row>
    <row r="374" spans="1:7" x14ac:dyDescent="0.25">
      <c r="A374" s="6" t="s">
        <v>54</v>
      </c>
      <c r="B374" s="7" t="s">
        <v>133</v>
      </c>
      <c r="C374" s="7" t="s">
        <v>17</v>
      </c>
      <c r="D374" s="8">
        <v>41815</v>
      </c>
      <c r="E374" s="8">
        <v>41817</v>
      </c>
      <c r="F374" s="9">
        <v>911.5</v>
      </c>
      <c r="G374">
        <f t="shared" si="5"/>
        <v>3</v>
      </c>
    </row>
    <row r="375" spans="1:7" x14ac:dyDescent="0.25">
      <c r="A375" s="10" t="s">
        <v>50</v>
      </c>
      <c r="B375" s="11" t="s">
        <v>51</v>
      </c>
      <c r="C375" s="11" t="s">
        <v>8</v>
      </c>
      <c r="D375" s="12">
        <v>41815</v>
      </c>
      <c r="E375" s="12">
        <v>41816</v>
      </c>
      <c r="F375" s="13">
        <v>891</v>
      </c>
      <c r="G375">
        <f t="shared" si="5"/>
        <v>2</v>
      </c>
    </row>
    <row r="376" spans="1:7" x14ac:dyDescent="0.25">
      <c r="A376" s="6" t="s">
        <v>61</v>
      </c>
      <c r="B376" s="7" t="s">
        <v>62</v>
      </c>
      <c r="C376" s="7" t="s">
        <v>38</v>
      </c>
      <c r="D376" s="8">
        <v>41815</v>
      </c>
      <c r="E376" s="8">
        <v>41818</v>
      </c>
      <c r="F376" s="9">
        <v>665.8</v>
      </c>
      <c r="G376">
        <f t="shared" si="5"/>
        <v>4</v>
      </c>
    </row>
    <row r="377" spans="1:7" x14ac:dyDescent="0.25">
      <c r="A377" s="10" t="s">
        <v>126</v>
      </c>
      <c r="B377" s="11" t="s">
        <v>127</v>
      </c>
      <c r="C377" s="11" t="s">
        <v>19</v>
      </c>
      <c r="D377" s="12">
        <v>41815</v>
      </c>
      <c r="E377" s="12">
        <v>41817</v>
      </c>
      <c r="F377" s="13">
        <v>795.4</v>
      </c>
      <c r="G377">
        <f t="shared" si="5"/>
        <v>3</v>
      </c>
    </row>
    <row r="378" spans="1:7" x14ac:dyDescent="0.25">
      <c r="A378" s="6" t="s">
        <v>9</v>
      </c>
      <c r="B378" s="7" t="s">
        <v>103</v>
      </c>
      <c r="C378" s="7" t="s">
        <v>19</v>
      </c>
      <c r="D378" s="8">
        <v>41815</v>
      </c>
      <c r="E378" s="8">
        <v>41816</v>
      </c>
      <c r="F378" s="9">
        <v>654.4</v>
      </c>
      <c r="G378">
        <f t="shared" si="5"/>
        <v>2</v>
      </c>
    </row>
    <row r="379" spans="1:7" x14ac:dyDescent="0.25">
      <c r="A379" s="10" t="s">
        <v>156</v>
      </c>
      <c r="B379" s="11" t="s">
        <v>157</v>
      </c>
      <c r="C379" s="11" t="s">
        <v>24</v>
      </c>
      <c r="D379" s="12">
        <v>41815</v>
      </c>
      <c r="E379" s="12">
        <v>41818</v>
      </c>
      <c r="F379" s="13">
        <v>737.7</v>
      </c>
      <c r="G379">
        <f t="shared" si="5"/>
        <v>4</v>
      </c>
    </row>
    <row r="380" spans="1:7" x14ac:dyDescent="0.25">
      <c r="A380" s="6" t="s">
        <v>52</v>
      </c>
      <c r="B380" s="7" t="s">
        <v>53</v>
      </c>
      <c r="C380" s="7" t="s">
        <v>24</v>
      </c>
      <c r="D380" s="8">
        <v>41815</v>
      </c>
      <c r="E380" s="8">
        <v>41819</v>
      </c>
      <c r="F380" s="9">
        <v>886.7</v>
      </c>
      <c r="G380">
        <f t="shared" si="5"/>
        <v>5</v>
      </c>
    </row>
    <row r="381" spans="1:7" x14ac:dyDescent="0.25">
      <c r="A381" s="10" t="s">
        <v>158</v>
      </c>
      <c r="B381" s="11" t="s">
        <v>159</v>
      </c>
      <c r="C381" s="11" t="s">
        <v>11</v>
      </c>
      <c r="D381" s="12">
        <v>41815</v>
      </c>
      <c r="E381" s="12">
        <v>41816</v>
      </c>
      <c r="F381" s="13">
        <v>295.39999999999998</v>
      </c>
      <c r="G381">
        <f t="shared" si="5"/>
        <v>2</v>
      </c>
    </row>
    <row r="382" spans="1:7" x14ac:dyDescent="0.25">
      <c r="A382" s="6" t="s">
        <v>6</v>
      </c>
      <c r="B382" s="7" t="s">
        <v>45</v>
      </c>
      <c r="C382" s="7" t="s">
        <v>47</v>
      </c>
      <c r="D382" s="8">
        <v>41815</v>
      </c>
      <c r="E382" s="8">
        <v>41817</v>
      </c>
      <c r="F382" s="9">
        <v>689.8</v>
      </c>
      <c r="G382">
        <f t="shared" si="5"/>
        <v>3</v>
      </c>
    </row>
    <row r="383" spans="1:7" x14ac:dyDescent="0.25">
      <c r="A383" s="10" t="s">
        <v>31</v>
      </c>
      <c r="B383" s="11" t="s">
        <v>77</v>
      </c>
      <c r="C383" s="11" t="s">
        <v>8</v>
      </c>
      <c r="D383" s="12">
        <v>41815</v>
      </c>
      <c r="E383" s="12">
        <v>41819</v>
      </c>
      <c r="F383" s="13">
        <v>1524</v>
      </c>
      <c r="G383">
        <f t="shared" si="5"/>
        <v>5</v>
      </c>
    </row>
    <row r="384" spans="1:7" x14ac:dyDescent="0.25">
      <c r="A384" s="6" t="s">
        <v>15</v>
      </c>
      <c r="B384" s="7" t="s">
        <v>16</v>
      </c>
      <c r="C384" s="7" t="s">
        <v>11</v>
      </c>
      <c r="D384" s="8">
        <v>41815</v>
      </c>
      <c r="E384" s="8">
        <v>41816</v>
      </c>
      <c r="F384" s="9">
        <v>295.39999999999998</v>
      </c>
      <c r="G384">
        <f t="shared" si="5"/>
        <v>2</v>
      </c>
    </row>
    <row r="385" spans="1:7" x14ac:dyDescent="0.25">
      <c r="A385" s="10" t="s">
        <v>113</v>
      </c>
      <c r="B385" s="11" t="s">
        <v>114</v>
      </c>
      <c r="C385" s="11" t="s">
        <v>59</v>
      </c>
      <c r="D385" s="12">
        <v>41815</v>
      </c>
      <c r="E385" s="12">
        <v>41817</v>
      </c>
      <c r="F385" s="13">
        <v>760</v>
      </c>
      <c r="G385">
        <f t="shared" si="5"/>
        <v>3</v>
      </c>
    </row>
    <row r="386" spans="1:7" x14ac:dyDescent="0.25">
      <c r="A386" s="6" t="s">
        <v>115</v>
      </c>
      <c r="B386" s="7" t="s">
        <v>116</v>
      </c>
      <c r="C386" s="7" t="s">
        <v>19</v>
      </c>
      <c r="D386" s="8">
        <v>41815</v>
      </c>
      <c r="E386" s="8">
        <v>41817</v>
      </c>
      <c r="F386" s="9">
        <v>795.4</v>
      </c>
      <c r="G386">
        <f t="shared" si="5"/>
        <v>3</v>
      </c>
    </row>
    <row r="387" spans="1:7" x14ac:dyDescent="0.25">
      <c r="A387" s="10" t="s">
        <v>86</v>
      </c>
      <c r="B387" s="11" t="s">
        <v>136</v>
      </c>
      <c r="C387" s="11" t="s">
        <v>14</v>
      </c>
      <c r="D387" s="12">
        <v>41815</v>
      </c>
      <c r="E387" s="12">
        <v>41816</v>
      </c>
      <c r="F387" s="13">
        <v>302.5</v>
      </c>
      <c r="G387">
        <f t="shared" ref="G387:G450" si="6">E387-D387 + 1</f>
        <v>2</v>
      </c>
    </row>
    <row r="388" spans="1:7" x14ac:dyDescent="0.25">
      <c r="A388" s="6" t="s">
        <v>9</v>
      </c>
      <c r="B388" s="7" t="s">
        <v>103</v>
      </c>
      <c r="C388" s="7" t="s">
        <v>47</v>
      </c>
      <c r="D388" s="8">
        <v>41818</v>
      </c>
      <c r="E388" s="8">
        <v>41818</v>
      </c>
      <c r="F388" s="9">
        <v>363.8</v>
      </c>
      <c r="G388">
        <f t="shared" si="6"/>
        <v>1</v>
      </c>
    </row>
    <row r="389" spans="1:7" x14ac:dyDescent="0.25">
      <c r="A389" s="10" t="s">
        <v>15</v>
      </c>
      <c r="B389" s="11" t="s">
        <v>46</v>
      </c>
      <c r="C389" s="11" t="s">
        <v>72</v>
      </c>
      <c r="D389" s="12">
        <v>41821</v>
      </c>
      <c r="E389" s="12">
        <v>41825</v>
      </c>
      <c r="F389" s="13">
        <v>1290.7</v>
      </c>
      <c r="G389">
        <f t="shared" si="6"/>
        <v>5</v>
      </c>
    </row>
    <row r="390" spans="1:7" x14ac:dyDescent="0.25">
      <c r="A390" s="6" t="s">
        <v>33</v>
      </c>
      <c r="B390" s="7" t="s">
        <v>41</v>
      </c>
      <c r="C390" s="7" t="s">
        <v>19</v>
      </c>
      <c r="D390" s="8">
        <v>41821</v>
      </c>
      <c r="E390" s="8">
        <v>41825</v>
      </c>
      <c r="F390" s="9">
        <v>1077.4000000000001</v>
      </c>
      <c r="G390">
        <f t="shared" si="6"/>
        <v>5</v>
      </c>
    </row>
    <row r="391" spans="1:7" x14ac:dyDescent="0.25">
      <c r="A391" s="10" t="s">
        <v>101</v>
      </c>
      <c r="B391" s="11" t="s">
        <v>102</v>
      </c>
      <c r="C391" s="11" t="s">
        <v>66</v>
      </c>
      <c r="D391" s="12">
        <v>41821</v>
      </c>
      <c r="E391" s="12">
        <v>41823</v>
      </c>
      <c r="F391" s="13">
        <v>663.7</v>
      </c>
      <c r="G391">
        <f t="shared" si="6"/>
        <v>3</v>
      </c>
    </row>
    <row r="392" spans="1:7" x14ac:dyDescent="0.25">
      <c r="A392" s="6" t="s">
        <v>143</v>
      </c>
      <c r="B392" s="7" t="s">
        <v>144</v>
      </c>
      <c r="C392" s="7" t="s">
        <v>14</v>
      </c>
      <c r="D392" s="8">
        <v>41821</v>
      </c>
      <c r="E392" s="8">
        <v>41825</v>
      </c>
      <c r="F392" s="9">
        <v>674.5</v>
      </c>
      <c r="G392">
        <f t="shared" si="6"/>
        <v>5</v>
      </c>
    </row>
    <row r="393" spans="1:7" x14ac:dyDescent="0.25">
      <c r="A393" s="10" t="s">
        <v>151</v>
      </c>
      <c r="B393" s="11" t="s">
        <v>152</v>
      </c>
      <c r="C393" s="11" t="s">
        <v>17</v>
      </c>
      <c r="D393" s="12">
        <v>41821</v>
      </c>
      <c r="E393" s="12">
        <v>41823</v>
      </c>
      <c r="F393" s="13">
        <v>911.5</v>
      </c>
      <c r="G393">
        <f t="shared" si="6"/>
        <v>3</v>
      </c>
    </row>
    <row r="394" spans="1:7" x14ac:dyDescent="0.25">
      <c r="A394" s="6" t="s">
        <v>75</v>
      </c>
      <c r="B394" s="7" t="s">
        <v>76</v>
      </c>
      <c r="C394" s="7" t="s">
        <v>14</v>
      </c>
      <c r="D394" s="8">
        <v>41821</v>
      </c>
      <c r="E394" s="8">
        <v>41824</v>
      </c>
      <c r="F394" s="9">
        <v>550.5</v>
      </c>
      <c r="G394">
        <f t="shared" si="6"/>
        <v>4</v>
      </c>
    </row>
    <row r="395" spans="1:7" x14ac:dyDescent="0.25">
      <c r="A395" s="10" t="s">
        <v>115</v>
      </c>
      <c r="B395" s="11" t="s">
        <v>153</v>
      </c>
      <c r="C395" s="11" t="s">
        <v>72</v>
      </c>
      <c r="D395" s="12">
        <v>41827</v>
      </c>
      <c r="E395" s="12">
        <v>41829</v>
      </c>
      <c r="F395" s="13">
        <v>892.7</v>
      </c>
      <c r="G395">
        <f t="shared" si="6"/>
        <v>3</v>
      </c>
    </row>
    <row r="396" spans="1:7" x14ac:dyDescent="0.25">
      <c r="A396" s="6" t="s">
        <v>131</v>
      </c>
      <c r="B396" s="7" t="s">
        <v>142</v>
      </c>
      <c r="C396" s="7" t="s">
        <v>27</v>
      </c>
      <c r="D396" s="8">
        <v>41827</v>
      </c>
      <c r="E396" s="8">
        <v>41829</v>
      </c>
      <c r="F396" s="9">
        <v>698</v>
      </c>
      <c r="G396">
        <f t="shared" si="6"/>
        <v>3</v>
      </c>
    </row>
    <row r="397" spans="1:7" x14ac:dyDescent="0.25">
      <c r="A397" s="10" t="s">
        <v>25</v>
      </c>
      <c r="B397" s="11" t="s">
        <v>67</v>
      </c>
      <c r="C397" s="11" t="s">
        <v>24</v>
      </c>
      <c r="D397" s="12">
        <v>41827</v>
      </c>
      <c r="E397" s="12">
        <v>41830</v>
      </c>
      <c r="F397" s="13">
        <v>737.7</v>
      </c>
      <c r="G397">
        <f t="shared" si="6"/>
        <v>4</v>
      </c>
    </row>
    <row r="398" spans="1:7" x14ac:dyDescent="0.25">
      <c r="A398" s="6" t="s">
        <v>25</v>
      </c>
      <c r="B398" s="7" t="s">
        <v>26</v>
      </c>
      <c r="C398" s="7" t="s">
        <v>38</v>
      </c>
      <c r="D398" s="8">
        <v>41827</v>
      </c>
      <c r="E398" s="8">
        <v>41828</v>
      </c>
      <c r="F398" s="9">
        <v>407.8</v>
      </c>
      <c r="G398">
        <f t="shared" si="6"/>
        <v>2</v>
      </c>
    </row>
    <row r="399" spans="1:7" x14ac:dyDescent="0.25">
      <c r="A399" s="10" t="s">
        <v>61</v>
      </c>
      <c r="B399" s="11" t="s">
        <v>62</v>
      </c>
      <c r="C399" s="11" t="s">
        <v>59</v>
      </c>
      <c r="D399" s="12">
        <v>41827</v>
      </c>
      <c r="E399" s="12">
        <v>41830</v>
      </c>
      <c r="F399" s="13">
        <v>919</v>
      </c>
      <c r="G399">
        <f t="shared" si="6"/>
        <v>4</v>
      </c>
    </row>
    <row r="400" spans="1:7" x14ac:dyDescent="0.25">
      <c r="A400" s="6" t="s">
        <v>168</v>
      </c>
      <c r="B400" s="7" t="s">
        <v>169</v>
      </c>
      <c r="C400" s="7" t="s">
        <v>24</v>
      </c>
      <c r="D400" s="8">
        <v>41827</v>
      </c>
      <c r="E400" s="8">
        <v>41828</v>
      </c>
      <c r="F400" s="9">
        <v>439.7</v>
      </c>
      <c r="G400">
        <f t="shared" si="6"/>
        <v>2</v>
      </c>
    </row>
    <row r="401" spans="1:7" x14ac:dyDescent="0.25">
      <c r="A401" s="10" t="s">
        <v>33</v>
      </c>
      <c r="B401" s="11" t="s">
        <v>41</v>
      </c>
      <c r="C401" s="11" t="s">
        <v>19</v>
      </c>
      <c r="D401" s="12">
        <v>41827</v>
      </c>
      <c r="E401" s="12">
        <v>41829</v>
      </c>
      <c r="F401" s="13">
        <v>795.4</v>
      </c>
      <c r="G401">
        <f t="shared" si="6"/>
        <v>3</v>
      </c>
    </row>
    <row r="402" spans="1:7" x14ac:dyDescent="0.25">
      <c r="A402" s="6" t="s">
        <v>143</v>
      </c>
      <c r="B402" s="7" t="s">
        <v>144</v>
      </c>
      <c r="C402" s="7" t="s">
        <v>14</v>
      </c>
      <c r="D402" s="8">
        <v>41827</v>
      </c>
      <c r="E402" s="8">
        <v>41828</v>
      </c>
      <c r="F402" s="9">
        <v>302.5</v>
      </c>
      <c r="G402">
        <f t="shared" si="6"/>
        <v>2</v>
      </c>
    </row>
    <row r="403" spans="1:7" x14ac:dyDescent="0.25">
      <c r="A403" s="10" t="s">
        <v>164</v>
      </c>
      <c r="B403" s="11" t="s">
        <v>165</v>
      </c>
      <c r="C403" s="11" t="s">
        <v>47</v>
      </c>
      <c r="D403" s="12">
        <v>41827</v>
      </c>
      <c r="E403" s="12">
        <v>41827</v>
      </c>
      <c r="F403" s="13">
        <v>363.8</v>
      </c>
      <c r="G403">
        <f t="shared" si="6"/>
        <v>1</v>
      </c>
    </row>
    <row r="404" spans="1:7" x14ac:dyDescent="0.25">
      <c r="A404" s="6" t="s">
        <v>52</v>
      </c>
      <c r="B404" s="7" t="s">
        <v>53</v>
      </c>
      <c r="C404" s="7" t="s">
        <v>38</v>
      </c>
      <c r="D404" s="8">
        <v>41827</v>
      </c>
      <c r="E404" s="8">
        <v>41831</v>
      </c>
      <c r="F404" s="9">
        <v>794.8</v>
      </c>
      <c r="G404">
        <f t="shared" si="6"/>
        <v>5</v>
      </c>
    </row>
    <row r="405" spans="1:7" x14ac:dyDescent="0.25">
      <c r="A405" s="10" t="s">
        <v>147</v>
      </c>
      <c r="B405" s="11" t="s">
        <v>148</v>
      </c>
      <c r="C405" s="11" t="s">
        <v>38</v>
      </c>
      <c r="D405" s="12">
        <v>41827</v>
      </c>
      <c r="E405" s="12">
        <v>41831</v>
      </c>
      <c r="F405" s="13">
        <v>794.8</v>
      </c>
      <c r="G405">
        <f t="shared" si="6"/>
        <v>5</v>
      </c>
    </row>
    <row r="406" spans="1:7" x14ac:dyDescent="0.25">
      <c r="A406" s="6" t="s">
        <v>89</v>
      </c>
      <c r="B406" s="7" t="s">
        <v>90</v>
      </c>
      <c r="C406" s="7" t="s">
        <v>11</v>
      </c>
      <c r="D406" s="8">
        <v>41827</v>
      </c>
      <c r="E406" s="8">
        <v>41828</v>
      </c>
      <c r="F406" s="9">
        <v>295.39999999999998</v>
      </c>
      <c r="G406">
        <f t="shared" si="6"/>
        <v>2</v>
      </c>
    </row>
    <row r="407" spans="1:7" x14ac:dyDescent="0.25">
      <c r="A407" s="10" t="s">
        <v>39</v>
      </c>
      <c r="B407" s="11" t="s">
        <v>40</v>
      </c>
      <c r="C407" s="11" t="s">
        <v>17</v>
      </c>
      <c r="D407" s="12">
        <v>41827</v>
      </c>
      <c r="E407" s="12">
        <v>41828</v>
      </c>
      <c r="F407" s="13">
        <v>706.5</v>
      </c>
      <c r="G407">
        <f t="shared" si="6"/>
        <v>2</v>
      </c>
    </row>
    <row r="408" spans="1:7" x14ac:dyDescent="0.25">
      <c r="A408" s="6" t="s">
        <v>15</v>
      </c>
      <c r="B408" s="7" t="s">
        <v>63</v>
      </c>
      <c r="C408" s="7" t="s">
        <v>66</v>
      </c>
      <c r="D408" s="8">
        <v>41827</v>
      </c>
      <c r="E408" s="8">
        <v>41828</v>
      </c>
      <c r="F408" s="9">
        <v>485.7</v>
      </c>
      <c r="G408">
        <f t="shared" si="6"/>
        <v>2</v>
      </c>
    </row>
    <row r="409" spans="1:7" x14ac:dyDescent="0.25">
      <c r="A409" s="10" t="s">
        <v>91</v>
      </c>
      <c r="B409" s="11" t="s">
        <v>92</v>
      </c>
      <c r="C409" s="11" t="s">
        <v>66</v>
      </c>
      <c r="D409" s="12">
        <v>41827</v>
      </c>
      <c r="E409" s="12">
        <v>41830</v>
      </c>
      <c r="F409" s="13">
        <v>841.7</v>
      </c>
      <c r="G409">
        <f t="shared" si="6"/>
        <v>4</v>
      </c>
    </row>
    <row r="410" spans="1:7" x14ac:dyDescent="0.25">
      <c r="A410" s="6" t="s">
        <v>164</v>
      </c>
      <c r="B410" s="7" t="s">
        <v>165</v>
      </c>
      <c r="C410" s="7" t="s">
        <v>59</v>
      </c>
      <c r="D410" s="8">
        <v>41830</v>
      </c>
      <c r="E410" s="8">
        <v>41830</v>
      </c>
      <c r="F410" s="9">
        <v>442</v>
      </c>
      <c r="G410">
        <f t="shared" si="6"/>
        <v>1</v>
      </c>
    </row>
    <row r="411" spans="1:7" x14ac:dyDescent="0.25">
      <c r="A411" s="10" t="s">
        <v>131</v>
      </c>
      <c r="B411" s="11" t="s">
        <v>142</v>
      </c>
      <c r="C411" s="11" t="s">
        <v>14</v>
      </c>
      <c r="D411" s="12">
        <v>41831</v>
      </c>
      <c r="E411" s="12">
        <v>41831</v>
      </c>
      <c r="F411" s="13">
        <v>178.5</v>
      </c>
      <c r="G411">
        <f t="shared" si="6"/>
        <v>1</v>
      </c>
    </row>
    <row r="412" spans="1:7" x14ac:dyDescent="0.25">
      <c r="A412" s="6" t="s">
        <v>31</v>
      </c>
      <c r="B412" s="7" t="s">
        <v>78</v>
      </c>
      <c r="C412" s="7" t="s">
        <v>47</v>
      </c>
      <c r="D412" s="8">
        <v>41833</v>
      </c>
      <c r="E412" s="8">
        <v>41836</v>
      </c>
      <c r="F412" s="9">
        <v>852.8</v>
      </c>
      <c r="G412">
        <f t="shared" si="6"/>
        <v>4</v>
      </c>
    </row>
    <row r="413" spans="1:7" x14ac:dyDescent="0.25">
      <c r="A413" s="10" t="s">
        <v>70</v>
      </c>
      <c r="B413" s="11" t="s">
        <v>117</v>
      </c>
      <c r="C413" s="11" t="s">
        <v>72</v>
      </c>
      <c r="D413" s="12">
        <v>41833</v>
      </c>
      <c r="E413" s="12">
        <v>41837</v>
      </c>
      <c r="F413" s="13">
        <v>1290.7</v>
      </c>
      <c r="G413">
        <f t="shared" si="6"/>
        <v>5</v>
      </c>
    </row>
    <row r="414" spans="1:7" x14ac:dyDescent="0.25">
      <c r="A414" s="6" t="s">
        <v>15</v>
      </c>
      <c r="B414" s="7" t="s">
        <v>63</v>
      </c>
      <c r="C414" s="7" t="s">
        <v>17</v>
      </c>
      <c r="D414" s="8">
        <v>41834</v>
      </c>
      <c r="E414" s="8">
        <v>41834</v>
      </c>
      <c r="F414" s="9">
        <v>501.5</v>
      </c>
      <c r="G414">
        <f t="shared" si="6"/>
        <v>1</v>
      </c>
    </row>
    <row r="415" spans="1:7" x14ac:dyDescent="0.25">
      <c r="A415" s="10" t="s">
        <v>22</v>
      </c>
      <c r="B415" s="11" t="s">
        <v>172</v>
      </c>
      <c r="C415" s="11" t="s">
        <v>66</v>
      </c>
      <c r="D415" s="12">
        <v>41835</v>
      </c>
      <c r="E415" s="12">
        <v>41835</v>
      </c>
      <c r="F415" s="13">
        <v>307.7</v>
      </c>
      <c r="G415">
        <f t="shared" si="6"/>
        <v>1</v>
      </c>
    </row>
    <row r="416" spans="1:7" x14ac:dyDescent="0.25">
      <c r="A416" s="6" t="s">
        <v>168</v>
      </c>
      <c r="B416" s="7" t="s">
        <v>169</v>
      </c>
      <c r="C416" s="7" t="s">
        <v>11</v>
      </c>
      <c r="D416" s="8">
        <v>41835</v>
      </c>
      <c r="E416" s="8">
        <v>41836</v>
      </c>
      <c r="F416" s="9">
        <v>295.39999999999998</v>
      </c>
      <c r="G416">
        <f t="shared" si="6"/>
        <v>2</v>
      </c>
    </row>
    <row r="417" spans="1:7" x14ac:dyDescent="0.25">
      <c r="A417" s="10" t="s">
        <v>73</v>
      </c>
      <c r="B417" s="11" t="s">
        <v>104</v>
      </c>
      <c r="C417" s="11" t="s">
        <v>19</v>
      </c>
      <c r="D417" s="12">
        <v>41835</v>
      </c>
      <c r="E417" s="12">
        <v>41835</v>
      </c>
      <c r="F417" s="13">
        <v>513.4</v>
      </c>
      <c r="G417">
        <f t="shared" si="6"/>
        <v>1</v>
      </c>
    </row>
    <row r="418" spans="1:7" x14ac:dyDescent="0.25">
      <c r="A418" s="6" t="s">
        <v>54</v>
      </c>
      <c r="B418" s="7" t="s">
        <v>81</v>
      </c>
      <c r="C418" s="7" t="s">
        <v>27</v>
      </c>
      <c r="D418" s="8">
        <v>41837</v>
      </c>
      <c r="E418" s="8">
        <v>41837</v>
      </c>
      <c r="F418" s="9">
        <v>442</v>
      </c>
      <c r="G418">
        <f t="shared" si="6"/>
        <v>1</v>
      </c>
    </row>
    <row r="419" spans="1:7" x14ac:dyDescent="0.25">
      <c r="A419" s="10" t="s">
        <v>128</v>
      </c>
      <c r="B419" s="11" t="s">
        <v>129</v>
      </c>
      <c r="C419" s="11" t="s">
        <v>38</v>
      </c>
      <c r="D419" s="12">
        <v>41839</v>
      </c>
      <c r="E419" s="12">
        <v>41843</v>
      </c>
      <c r="F419" s="13">
        <v>794.8</v>
      </c>
      <c r="G419">
        <f t="shared" si="6"/>
        <v>5</v>
      </c>
    </row>
    <row r="420" spans="1:7" x14ac:dyDescent="0.25">
      <c r="A420" s="6" t="s">
        <v>128</v>
      </c>
      <c r="B420" s="7" t="s">
        <v>129</v>
      </c>
      <c r="C420" s="7" t="s">
        <v>14</v>
      </c>
      <c r="D420" s="8">
        <v>41839</v>
      </c>
      <c r="E420" s="8">
        <v>41842</v>
      </c>
      <c r="F420" s="9">
        <v>550.5</v>
      </c>
      <c r="G420">
        <f t="shared" si="6"/>
        <v>4</v>
      </c>
    </row>
    <row r="421" spans="1:7" x14ac:dyDescent="0.25">
      <c r="A421" s="10" t="s">
        <v>93</v>
      </c>
      <c r="B421" s="11" t="s">
        <v>124</v>
      </c>
      <c r="C421" s="11" t="s">
        <v>47</v>
      </c>
      <c r="D421" s="12">
        <v>41839</v>
      </c>
      <c r="E421" s="12">
        <v>41840</v>
      </c>
      <c r="F421" s="13">
        <v>526.79999999999995</v>
      </c>
      <c r="G421">
        <f t="shared" si="6"/>
        <v>2</v>
      </c>
    </row>
    <row r="422" spans="1:7" x14ac:dyDescent="0.25">
      <c r="A422" s="6" t="s">
        <v>22</v>
      </c>
      <c r="B422" s="7" t="s">
        <v>172</v>
      </c>
      <c r="C422" s="7" t="s">
        <v>30</v>
      </c>
      <c r="D422" s="8">
        <v>41839</v>
      </c>
      <c r="E422" s="8">
        <v>41843</v>
      </c>
      <c r="F422" s="9">
        <v>688.5</v>
      </c>
      <c r="G422">
        <f t="shared" si="6"/>
        <v>5</v>
      </c>
    </row>
    <row r="423" spans="1:7" x14ac:dyDescent="0.25">
      <c r="A423" s="10" t="s">
        <v>54</v>
      </c>
      <c r="B423" s="11" t="s">
        <v>133</v>
      </c>
      <c r="C423" s="11" t="s">
        <v>19</v>
      </c>
      <c r="D423" s="12">
        <v>41839</v>
      </c>
      <c r="E423" s="12">
        <v>41840</v>
      </c>
      <c r="F423" s="13">
        <v>654.4</v>
      </c>
      <c r="G423">
        <f t="shared" si="6"/>
        <v>2</v>
      </c>
    </row>
    <row r="424" spans="1:7" x14ac:dyDescent="0.25">
      <c r="A424" s="6" t="s">
        <v>25</v>
      </c>
      <c r="B424" s="7" t="s">
        <v>67</v>
      </c>
      <c r="C424" s="7" t="s">
        <v>66</v>
      </c>
      <c r="D424" s="8">
        <v>41839</v>
      </c>
      <c r="E424" s="8">
        <v>41840</v>
      </c>
      <c r="F424" s="9">
        <v>485.7</v>
      </c>
      <c r="G424">
        <f t="shared" si="6"/>
        <v>2</v>
      </c>
    </row>
    <row r="425" spans="1:7" x14ac:dyDescent="0.25">
      <c r="A425" s="10" t="s">
        <v>84</v>
      </c>
      <c r="B425" s="11" t="s">
        <v>85</v>
      </c>
      <c r="C425" s="11" t="s">
        <v>11</v>
      </c>
      <c r="D425" s="12">
        <v>41839</v>
      </c>
      <c r="E425" s="12">
        <v>41840</v>
      </c>
      <c r="F425" s="13">
        <v>295.39999999999998</v>
      </c>
      <c r="G425">
        <f t="shared" si="6"/>
        <v>2</v>
      </c>
    </row>
    <row r="426" spans="1:7" x14ac:dyDescent="0.25">
      <c r="A426" s="6" t="s">
        <v>86</v>
      </c>
      <c r="B426" s="7" t="s">
        <v>150</v>
      </c>
      <c r="C426" s="7" t="s">
        <v>24</v>
      </c>
      <c r="D426" s="8">
        <v>41839</v>
      </c>
      <c r="E426" s="8">
        <v>41843</v>
      </c>
      <c r="F426" s="9">
        <v>886.7</v>
      </c>
      <c r="G426">
        <f t="shared" si="6"/>
        <v>5</v>
      </c>
    </row>
    <row r="427" spans="1:7" x14ac:dyDescent="0.25">
      <c r="A427" s="10" t="s">
        <v>9</v>
      </c>
      <c r="B427" s="11" t="s">
        <v>103</v>
      </c>
      <c r="C427" s="11" t="s">
        <v>24</v>
      </c>
      <c r="D427" s="12">
        <v>41839</v>
      </c>
      <c r="E427" s="12">
        <v>41840</v>
      </c>
      <c r="F427" s="13">
        <v>439.7</v>
      </c>
      <c r="G427">
        <f t="shared" si="6"/>
        <v>2</v>
      </c>
    </row>
    <row r="428" spans="1:7" x14ac:dyDescent="0.25">
      <c r="A428" s="6" t="s">
        <v>42</v>
      </c>
      <c r="B428" s="7" t="s">
        <v>43</v>
      </c>
      <c r="C428" s="7" t="s">
        <v>24</v>
      </c>
      <c r="D428" s="8">
        <v>41839</v>
      </c>
      <c r="E428" s="8">
        <v>41841</v>
      </c>
      <c r="F428" s="9">
        <v>588.70000000000005</v>
      </c>
      <c r="G428">
        <f t="shared" si="6"/>
        <v>3</v>
      </c>
    </row>
    <row r="429" spans="1:7" x14ac:dyDescent="0.25">
      <c r="A429" s="10" t="s">
        <v>156</v>
      </c>
      <c r="B429" s="11" t="s">
        <v>157</v>
      </c>
      <c r="C429" s="11" t="s">
        <v>19</v>
      </c>
      <c r="D429" s="12">
        <v>41839</v>
      </c>
      <c r="E429" s="12">
        <v>41841</v>
      </c>
      <c r="F429" s="13">
        <v>795.4</v>
      </c>
      <c r="G429">
        <f t="shared" si="6"/>
        <v>3</v>
      </c>
    </row>
    <row r="430" spans="1:7" x14ac:dyDescent="0.25">
      <c r="A430" s="6" t="s">
        <v>15</v>
      </c>
      <c r="B430" s="7" t="s">
        <v>63</v>
      </c>
      <c r="C430" s="7" t="s">
        <v>11</v>
      </c>
      <c r="D430" s="8">
        <v>41839</v>
      </c>
      <c r="E430" s="8">
        <v>41839</v>
      </c>
      <c r="F430" s="9">
        <v>156.4</v>
      </c>
      <c r="G430">
        <f t="shared" si="6"/>
        <v>1</v>
      </c>
    </row>
    <row r="431" spans="1:7" x14ac:dyDescent="0.25">
      <c r="A431" s="10" t="s">
        <v>131</v>
      </c>
      <c r="B431" s="11" t="s">
        <v>132</v>
      </c>
      <c r="C431" s="11" t="s">
        <v>19</v>
      </c>
      <c r="D431" s="12">
        <v>41839</v>
      </c>
      <c r="E431" s="12">
        <v>41843</v>
      </c>
      <c r="F431" s="13">
        <v>1077.4000000000001</v>
      </c>
      <c r="G431">
        <f t="shared" si="6"/>
        <v>5</v>
      </c>
    </row>
    <row r="432" spans="1:7" x14ac:dyDescent="0.25">
      <c r="A432" s="6" t="s">
        <v>168</v>
      </c>
      <c r="B432" s="7" t="s">
        <v>169</v>
      </c>
      <c r="C432" s="7" t="s">
        <v>8</v>
      </c>
      <c r="D432" s="8">
        <v>41841</v>
      </c>
      <c r="E432" s="8">
        <v>41841</v>
      </c>
      <c r="F432" s="9">
        <v>680</v>
      </c>
      <c r="G432">
        <f t="shared" si="6"/>
        <v>1</v>
      </c>
    </row>
    <row r="433" spans="1:7" x14ac:dyDescent="0.25">
      <c r="A433" s="10" t="s">
        <v>109</v>
      </c>
      <c r="B433" s="11" t="s">
        <v>110</v>
      </c>
      <c r="C433" s="11" t="s">
        <v>72</v>
      </c>
      <c r="D433" s="12">
        <v>41841</v>
      </c>
      <c r="E433" s="12">
        <v>41843</v>
      </c>
      <c r="F433" s="13">
        <v>892.7</v>
      </c>
      <c r="G433">
        <f t="shared" si="6"/>
        <v>3</v>
      </c>
    </row>
    <row r="434" spans="1:7" x14ac:dyDescent="0.25">
      <c r="A434" s="6" t="s">
        <v>137</v>
      </c>
      <c r="B434" s="7" t="s">
        <v>138</v>
      </c>
      <c r="C434" s="7" t="s">
        <v>66</v>
      </c>
      <c r="D434" s="8">
        <v>41841</v>
      </c>
      <c r="E434" s="8">
        <v>41841</v>
      </c>
      <c r="F434" s="9">
        <v>307.7</v>
      </c>
      <c r="G434">
        <f t="shared" si="6"/>
        <v>1</v>
      </c>
    </row>
    <row r="435" spans="1:7" x14ac:dyDescent="0.25">
      <c r="A435" s="10" t="s">
        <v>115</v>
      </c>
      <c r="B435" s="11" t="s">
        <v>153</v>
      </c>
      <c r="C435" s="11" t="s">
        <v>24</v>
      </c>
      <c r="D435" s="12">
        <v>41845</v>
      </c>
      <c r="E435" s="12">
        <v>41848</v>
      </c>
      <c r="F435" s="13">
        <v>737.7</v>
      </c>
      <c r="G435">
        <f t="shared" si="6"/>
        <v>4</v>
      </c>
    </row>
    <row r="436" spans="1:7" x14ac:dyDescent="0.25">
      <c r="A436" s="6" t="s">
        <v>122</v>
      </c>
      <c r="B436" s="7" t="s">
        <v>123</v>
      </c>
      <c r="C436" s="7" t="s">
        <v>17</v>
      </c>
      <c r="D436" s="8">
        <v>41845</v>
      </c>
      <c r="E436" s="8">
        <v>41847</v>
      </c>
      <c r="F436" s="9">
        <v>911.5</v>
      </c>
      <c r="G436">
        <f t="shared" si="6"/>
        <v>3</v>
      </c>
    </row>
    <row r="437" spans="1:7" x14ac:dyDescent="0.25">
      <c r="A437" s="10" t="s">
        <v>82</v>
      </c>
      <c r="B437" s="11" t="s">
        <v>83</v>
      </c>
      <c r="C437" s="11" t="s">
        <v>30</v>
      </c>
      <c r="D437" s="12">
        <v>41845</v>
      </c>
      <c r="E437" s="12">
        <v>41849</v>
      </c>
      <c r="F437" s="13">
        <v>688.5</v>
      </c>
      <c r="G437">
        <f t="shared" si="6"/>
        <v>5</v>
      </c>
    </row>
    <row r="438" spans="1:7" x14ac:dyDescent="0.25">
      <c r="A438" s="6" t="s">
        <v>28</v>
      </c>
      <c r="B438" s="7" t="s">
        <v>60</v>
      </c>
      <c r="C438" s="7" t="s">
        <v>30</v>
      </c>
      <c r="D438" s="8">
        <v>41845</v>
      </c>
      <c r="E438" s="8">
        <v>41849</v>
      </c>
      <c r="F438" s="9">
        <v>688.5</v>
      </c>
      <c r="G438">
        <f t="shared" si="6"/>
        <v>5</v>
      </c>
    </row>
    <row r="439" spans="1:7" x14ac:dyDescent="0.25">
      <c r="A439" s="10" t="s">
        <v>54</v>
      </c>
      <c r="B439" s="11" t="s">
        <v>121</v>
      </c>
      <c r="C439" s="11" t="s">
        <v>11</v>
      </c>
      <c r="D439" s="12">
        <v>41845</v>
      </c>
      <c r="E439" s="12">
        <v>41849</v>
      </c>
      <c r="F439" s="13">
        <v>712.4</v>
      </c>
      <c r="G439">
        <f t="shared" si="6"/>
        <v>5</v>
      </c>
    </row>
    <row r="440" spans="1:7" x14ac:dyDescent="0.25">
      <c r="A440" s="6" t="s">
        <v>111</v>
      </c>
      <c r="B440" s="7" t="s">
        <v>112</v>
      </c>
      <c r="C440" s="7" t="s">
        <v>17</v>
      </c>
      <c r="D440" s="8">
        <v>41845</v>
      </c>
      <c r="E440" s="8">
        <v>41846</v>
      </c>
      <c r="F440" s="9">
        <v>706.5</v>
      </c>
      <c r="G440">
        <f t="shared" si="6"/>
        <v>2</v>
      </c>
    </row>
    <row r="441" spans="1:7" x14ac:dyDescent="0.25">
      <c r="A441" s="10" t="s">
        <v>15</v>
      </c>
      <c r="B441" s="11" t="s">
        <v>44</v>
      </c>
      <c r="C441" s="11" t="s">
        <v>38</v>
      </c>
      <c r="D441" s="12">
        <v>41851</v>
      </c>
      <c r="E441" s="12">
        <v>41855</v>
      </c>
      <c r="F441" s="13">
        <v>794.8</v>
      </c>
      <c r="G441">
        <f t="shared" si="6"/>
        <v>5</v>
      </c>
    </row>
    <row r="442" spans="1:7" x14ac:dyDescent="0.25">
      <c r="A442" s="6" t="s">
        <v>15</v>
      </c>
      <c r="B442" s="7" t="s">
        <v>46</v>
      </c>
      <c r="C442" s="7" t="s">
        <v>72</v>
      </c>
      <c r="D442" s="8">
        <v>41851</v>
      </c>
      <c r="E442" s="8">
        <v>41854</v>
      </c>
      <c r="F442" s="9">
        <v>1091.7</v>
      </c>
      <c r="G442">
        <f t="shared" si="6"/>
        <v>4</v>
      </c>
    </row>
    <row r="443" spans="1:7" x14ac:dyDescent="0.25">
      <c r="A443" s="10" t="s">
        <v>93</v>
      </c>
      <c r="B443" s="11" t="s">
        <v>124</v>
      </c>
      <c r="C443" s="11" t="s">
        <v>72</v>
      </c>
      <c r="D443" s="12">
        <v>41851</v>
      </c>
      <c r="E443" s="12">
        <v>41853</v>
      </c>
      <c r="F443" s="13">
        <v>892.7</v>
      </c>
      <c r="G443">
        <f t="shared" si="6"/>
        <v>3</v>
      </c>
    </row>
    <row r="444" spans="1:7" x14ac:dyDescent="0.25">
      <c r="A444" s="6" t="s">
        <v>82</v>
      </c>
      <c r="B444" s="7" t="s">
        <v>83</v>
      </c>
      <c r="C444" s="7" t="s">
        <v>27</v>
      </c>
      <c r="D444" s="8">
        <v>41851</v>
      </c>
      <c r="E444" s="8">
        <v>41852</v>
      </c>
      <c r="F444" s="9">
        <v>570</v>
      </c>
      <c r="G444">
        <f t="shared" si="6"/>
        <v>2</v>
      </c>
    </row>
    <row r="445" spans="1:7" x14ac:dyDescent="0.25">
      <c r="A445" s="10" t="s">
        <v>6</v>
      </c>
      <c r="B445" s="11" t="s">
        <v>56</v>
      </c>
      <c r="C445" s="11" t="s">
        <v>24</v>
      </c>
      <c r="D445" s="12">
        <v>41851</v>
      </c>
      <c r="E445" s="12">
        <v>41854</v>
      </c>
      <c r="F445" s="13">
        <v>737.7</v>
      </c>
      <c r="G445">
        <f t="shared" si="6"/>
        <v>4</v>
      </c>
    </row>
    <row r="446" spans="1:7" x14ac:dyDescent="0.25">
      <c r="A446" s="6" t="s">
        <v>33</v>
      </c>
      <c r="B446" s="7" t="s">
        <v>41</v>
      </c>
      <c r="C446" s="7" t="s">
        <v>30</v>
      </c>
      <c r="D446" s="8">
        <v>41851</v>
      </c>
      <c r="E446" s="8">
        <v>41855</v>
      </c>
      <c r="F446" s="9">
        <v>688.5</v>
      </c>
      <c r="G446">
        <f t="shared" si="6"/>
        <v>5</v>
      </c>
    </row>
    <row r="447" spans="1:7" x14ac:dyDescent="0.25">
      <c r="A447" s="10" t="s">
        <v>101</v>
      </c>
      <c r="B447" s="11" t="s">
        <v>102</v>
      </c>
      <c r="C447" s="11" t="s">
        <v>38</v>
      </c>
      <c r="D447" s="12">
        <v>41851</v>
      </c>
      <c r="E447" s="12">
        <v>41853</v>
      </c>
      <c r="F447" s="13">
        <v>536.79999999999995</v>
      </c>
      <c r="G447">
        <f t="shared" si="6"/>
        <v>3</v>
      </c>
    </row>
    <row r="448" spans="1:7" x14ac:dyDescent="0.25">
      <c r="A448" s="6" t="s">
        <v>164</v>
      </c>
      <c r="B448" s="7" t="s">
        <v>165</v>
      </c>
      <c r="C448" s="7" t="s">
        <v>47</v>
      </c>
      <c r="D448" s="8">
        <v>41851</v>
      </c>
      <c r="E448" s="8">
        <v>41852</v>
      </c>
      <c r="F448" s="9">
        <v>526.79999999999995</v>
      </c>
      <c r="G448">
        <f t="shared" si="6"/>
        <v>2</v>
      </c>
    </row>
    <row r="449" spans="1:7" x14ac:dyDescent="0.25">
      <c r="A449" s="10" t="s">
        <v>107</v>
      </c>
      <c r="B449" s="11" t="s">
        <v>108</v>
      </c>
      <c r="C449" s="11" t="s">
        <v>8</v>
      </c>
      <c r="D449" s="12">
        <v>41851</v>
      </c>
      <c r="E449" s="12">
        <v>41855</v>
      </c>
      <c r="F449" s="13">
        <v>1524</v>
      </c>
      <c r="G449">
        <f t="shared" si="6"/>
        <v>5</v>
      </c>
    </row>
    <row r="450" spans="1:7" x14ac:dyDescent="0.25">
      <c r="A450" s="6" t="s">
        <v>166</v>
      </c>
      <c r="B450" s="7" t="s">
        <v>167</v>
      </c>
      <c r="C450" s="7" t="s">
        <v>17</v>
      </c>
      <c r="D450" s="8">
        <v>41851</v>
      </c>
      <c r="E450" s="8">
        <v>41854</v>
      </c>
      <c r="F450" s="9">
        <v>1116.5</v>
      </c>
      <c r="G450">
        <f t="shared" si="6"/>
        <v>4</v>
      </c>
    </row>
    <row r="451" spans="1:7" x14ac:dyDescent="0.25">
      <c r="A451" s="10" t="s">
        <v>134</v>
      </c>
      <c r="B451" s="11" t="s">
        <v>149</v>
      </c>
      <c r="C451" s="11" t="s">
        <v>11</v>
      </c>
      <c r="D451" s="12">
        <v>41851</v>
      </c>
      <c r="E451" s="12">
        <v>41852</v>
      </c>
      <c r="F451" s="13">
        <v>295.39999999999998</v>
      </c>
      <c r="G451">
        <f t="shared" ref="G451:G514" si="7">E451-D451 + 1</f>
        <v>2</v>
      </c>
    </row>
    <row r="452" spans="1:7" x14ac:dyDescent="0.25">
      <c r="A452" s="6" t="s">
        <v>111</v>
      </c>
      <c r="B452" s="7" t="s">
        <v>112</v>
      </c>
      <c r="C452" s="7" t="s">
        <v>72</v>
      </c>
      <c r="D452" s="8">
        <v>41851</v>
      </c>
      <c r="E452" s="8">
        <v>41852</v>
      </c>
      <c r="F452" s="9">
        <v>693.7</v>
      </c>
      <c r="G452">
        <f t="shared" si="7"/>
        <v>2</v>
      </c>
    </row>
    <row r="453" spans="1:7" x14ac:dyDescent="0.25">
      <c r="A453" s="10" t="s">
        <v>31</v>
      </c>
      <c r="B453" s="11" t="s">
        <v>77</v>
      </c>
      <c r="C453" s="11" t="s">
        <v>59</v>
      </c>
      <c r="D453" s="12">
        <v>41851</v>
      </c>
      <c r="E453" s="12">
        <v>41852</v>
      </c>
      <c r="F453" s="13">
        <v>601</v>
      </c>
      <c r="G453">
        <f t="shared" si="7"/>
        <v>2</v>
      </c>
    </row>
    <row r="454" spans="1:7" x14ac:dyDescent="0.25">
      <c r="A454" s="6" t="s">
        <v>15</v>
      </c>
      <c r="B454" s="7" t="s">
        <v>16</v>
      </c>
      <c r="C454" s="7" t="s">
        <v>8</v>
      </c>
      <c r="D454" s="8">
        <v>41851</v>
      </c>
      <c r="E454" s="8">
        <v>41854</v>
      </c>
      <c r="F454" s="9">
        <v>1313</v>
      </c>
      <c r="G454">
        <f t="shared" si="7"/>
        <v>4</v>
      </c>
    </row>
    <row r="455" spans="1:7" x14ac:dyDescent="0.25">
      <c r="A455" s="10" t="s">
        <v>113</v>
      </c>
      <c r="B455" s="11" t="s">
        <v>114</v>
      </c>
      <c r="C455" s="11" t="s">
        <v>38</v>
      </c>
      <c r="D455" s="12">
        <v>41851</v>
      </c>
      <c r="E455" s="12">
        <v>41852</v>
      </c>
      <c r="F455" s="13">
        <v>407.8</v>
      </c>
      <c r="G455">
        <f t="shared" si="7"/>
        <v>2</v>
      </c>
    </row>
    <row r="456" spans="1:7" x14ac:dyDescent="0.25">
      <c r="A456" s="6" t="s">
        <v>91</v>
      </c>
      <c r="B456" s="7" t="s">
        <v>92</v>
      </c>
      <c r="C456" s="7" t="s">
        <v>66</v>
      </c>
      <c r="D456" s="8">
        <v>41851</v>
      </c>
      <c r="E456" s="8">
        <v>41854</v>
      </c>
      <c r="F456" s="9">
        <v>841.7</v>
      </c>
      <c r="G456">
        <f t="shared" si="7"/>
        <v>4</v>
      </c>
    </row>
    <row r="457" spans="1:7" x14ac:dyDescent="0.25">
      <c r="A457" s="10" t="s">
        <v>93</v>
      </c>
      <c r="B457" s="11" t="s">
        <v>94</v>
      </c>
      <c r="C457" s="11" t="s">
        <v>27</v>
      </c>
      <c r="D457" s="12">
        <v>41851</v>
      </c>
      <c r="E457" s="12">
        <v>41855</v>
      </c>
      <c r="F457" s="13">
        <v>954</v>
      </c>
      <c r="G457">
        <f t="shared" si="7"/>
        <v>5</v>
      </c>
    </row>
    <row r="458" spans="1:7" x14ac:dyDescent="0.25">
      <c r="A458" s="6" t="s">
        <v>15</v>
      </c>
      <c r="B458" s="7" t="s">
        <v>96</v>
      </c>
      <c r="C458" s="7" t="s">
        <v>30</v>
      </c>
      <c r="D458" s="8">
        <v>41851</v>
      </c>
      <c r="E458" s="8">
        <v>41853</v>
      </c>
      <c r="F458" s="9">
        <v>450.5</v>
      </c>
      <c r="G458">
        <f t="shared" si="7"/>
        <v>3</v>
      </c>
    </row>
    <row r="459" spans="1:7" x14ac:dyDescent="0.25">
      <c r="A459" s="10" t="s">
        <v>54</v>
      </c>
      <c r="B459" s="11" t="s">
        <v>55</v>
      </c>
      <c r="C459" s="11" t="s">
        <v>38</v>
      </c>
      <c r="D459" s="12">
        <v>41857</v>
      </c>
      <c r="E459" s="12">
        <v>41858</v>
      </c>
      <c r="F459" s="13">
        <v>407.8</v>
      </c>
      <c r="G459">
        <f t="shared" si="7"/>
        <v>2</v>
      </c>
    </row>
    <row r="460" spans="1:7" x14ac:dyDescent="0.25">
      <c r="A460" s="6" t="s">
        <v>143</v>
      </c>
      <c r="B460" s="7" t="s">
        <v>144</v>
      </c>
      <c r="C460" s="7" t="s">
        <v>17</v>
      </c>
      <c r="D460" s="8">
        <v>41857</v>
      </c>
      <c r="E460" s="8">
        <v>41858</v>
      </c>
      <c r="F460" s="9">
        <v>706.5</v>
      </c>
      <c r="G460">
        <f t="shared" si="7"/>
        <v>2</v>
      </c>
    </row>
    <row r="461" spans="1:7" x14ac:dyDescent="0.25">
      <c r="A461" s="10" t="s">
        <v>25</v>
      </c>
      <c r="B461" s="11" t="s">
        <v>35</v>
      </c>
      <c r="C461" s="11" t="s">
        <v>27</v>
      </c>
      <c r="D461" s="12">
        <v>41857</v>
      </c>
      <c r="E461" s="12">
        <v>41861</v>
      </c>
      <c r="F461" s="13">
        <v>954</v>
      </c>
      <c r="G461">
        <f t="shared" si="7"/>
        <v>5</v>
      </c>
    </row>
    <row r="462" spans="1:7" x14ac:dyDescent="0.25">
      <c r="A462" s="6" t="s">
        <v>15</v>
      </c>
      <c r="B462" s="7" t="s">
        <v>63</v>
      </c>
      <c r="C462" s="7" t="s">
        <v>30</v>
      </c>
      <c r="D462" s="8">
        <v>41857</v>
      </c>
      <c r="E462" s="8">
        <v>41861</v>
      </c>
      <c r="F462" s="9">
        <v>688.5</v>
      </c>
      <c r="G462">
        <f t="shared" si="7"/>
        <v>5</v>
      </c>
    </row>
    <row r="463" spans="1:7" x14ac:dyDescent="0.25">
      <c r="A463" s="10" t="s">
        <v>93</v>
      </c>
      <c r="B463" s="11" t="s">
        <v>94</v>
      </c>
      <c r="C463" s="11" t="s">
        <v>47</v>
      </c>
      <c r="D463" s="12">
        <v>41857</v>
      </c>
      <c r="E463" s="12">
        <v>41860</v>
      </c>
      <c r="F463" s="13">
        <v>852.8</v>
      </c>
      <c r="G463">
        <f t="shared" si="7"/>
        <v>4</v>
      </c>
    </row>
    <row r="464" spans="1:7" x14ac:dyDescent="0.25">
      <c r="A464" s="6" t="s">
        <v>143</v>
      </c>
      <c r="B464" s="7" t="s">
        <v>144</v>
      </c>
      <c r="C464" s="7" t="s">
        <v>66</v>
      </c>
      <c r="D464" s="8">
        <v>41860</v>
      </c>
      <c r="E464" s="8">
        <v>41860</v>
      </c>
      <c r="F464" s="9">
        <v>307.7</v>
      </c>
      <c r="G464">
        <f t="shared" si="7"/>
        <v>1</v>
      </c>
    </row>
    <row r="465" spans="1:7" x14ac:dyDescent="0.25">
      <c r="A465" s="10" t="s">
        <v>22</v>
      </c>
      <c r="B465" s="11" t="s">
        <v>23</v>
      </c>
      <c r="C465" s="11" t="s">
        <v>8</v>
      </c>
      <c r="D465" s="12">
        <v>41863</v>
      </c>
      <c r="E465" s="12">
        <v>41867</v>
      </c>
      <c r="F465" s="13">
        <v>1524</v>
      </c>
      <c r="G465">
        <f t="shared" si="7"/>
        <v>5</v>
      </c>
    </row>
    <row r="466" spans="1:7" x14ac:dyDescent="0.25">
      <c r="A466" s="6" t="s">
        <v>115</v>
      </c>
      <c r="B466" s="7" t="s">
        <v>153</v>
      </c>
      <c r="C466" s="7" t="s">
        <v>47</v>
      </c>
      <c r="D466" s="8">
        <v>41863</v>
      </c>
      <c r="E466" s="8">
        <v>41864</v>
      </c>
      <c r="F466" s="9">
        <v>526.79999999999995</v>
      </c>
      <c r="G466">
        <f t="shared" si="7"/>
        <v>2</v>
      </c>
    </row>
    <row r="467" spans="1:7" x14ac:dyDescent="0.25">
      <c r="A467" s="10" t="s">
        <v>93</v>
      </c>
      <c r="B467" s="11" t="s">
        <v>124</v>
      </c>
      <c r="C467" s="11" t="s">
        <v>24</v>
      </c>
      <c r="D467" s="12">
        <v>41863</v>
      </c>
      <c r="E467" s="12">
        <v>41865</v>
      </c>
      <c r="F467" s="13">
        <v>588.70000000000005</v>
      </c>
      <c r="G467">
        <f t="shared" si="7"/>
        <v>3</v>
      </c>
    </row>
    <row r="468" spans="1:7" x14ac:dyDescent="0.25">
      <c r="A468" s="6" t="s">
        <v>79</v>
      </c>
      <c r="B468" s="7" t="s">
        <v>80</v>
      </c>
      <c r="C468" s="7" t="s">
        <v>24</v>
      </c>
      <c r="D468" s="8">
        <v>41863</v>
      </c>
      <c r="E468" s="8">
        <v>41863</v>
      </c>
      <c r="F468" s="9">
        <v>290.7</v>
      </c>
      <c r="G468">
        <f t="shared" si="7"/>
        <v>1</v>
      </c>
    </row>
    <row r="469" spans="1:7" x14ac:dyDescent="0.25">
      <c r="A469" s="10" t="s">
        <v>84</v>
      </c>
      <c r="B469" s="11" t="s">
        <v>85</v>
      </c>
      <c r="C469" s="11" t="s">
        <v>66</v>
      </c>
      <c r="D469" s="12">
        <v>41863</v>
      </c>
      <c r="E469" s="12">
        <v>41865</v>
      </c>
      <c r="F469" s="13">
        <v>663.7</v>
      </c>
      <c r="G469">
        <f t="shared" si="7"/>
        <v>3</v>
      </c>
    </row>
    <row r="470" spans="1:7" x14ac:dyDescent="0.25">
      <c r="A470" s="6" t="s">
        <v>28</v>
      </c>
      <c r="B470" s="7" t="s">
        <v>60</v>
      </c>
      <c r="C470" s="7" t="s">
        <v>38</v>
      </c>
      <c r="D470" s="8">
        <v>41863</v>
      </c>
      <c r="E470" s="8">
        <v>41865</v>
      </c>
      <c r="F470" s="9">
        <v>536.79999999999995</v>
      </c>
      <c r="G470">
        <f t="shared" si="7"/>
        <v>3</v>
      </c>
    </row>
    <row r="471" spans="1:7" x14ac:dyDescent="0.25">
      <c r="A471" s="10" t="s">
        <v>9</v>
      </c>
      <c r="B471" s="11" t="s">
        <v>10</v>
      </c>
      <c r="C471" s="11" t="s">
        <v>47</v>
      </c>
      <c r="D471" s="12">
        <v>41863</v>
      </c>
      <c r="E471" s="12">
        <v>41864</v>
      </c>
      <c r="F471" s="13">
        <v>526.79999999999995</v>
      </c>
      <c r="G471">
        <f t="shared" si="7"/>
        <v>2</v>
      </c>
    </row>
    <row r="472" spans="1:7" x14ac:dyDescent="0.25">
      <c r="A472" s="6" t="s">
        <v>73</v>
      </c>
      <c r="B472" s="7" t="s">
        <v>74</v>
      </c>
      <c r="C472" s="7" t="s">
        <v>8</v>
      </c>
      <c r="D472" s="8">
        <v>41863</v>
      </c>
      <c r="E472" s="8">
        <v>41864</v>
      </c>
      <c r="F472" s="9">
        <v>891</v>
      </c>
      <c r="G472">
        <f t="shared" si="7"/>
        <v>2</v>
      </c>
    </row>
    <row r="473" spans="1:7" x14ac:dyDescent="0.25">
      <c r="A473" s="10" t="s">
        <v>73</v>
      </c>
      <c r="B473" s="11" t="s">
        <v>104</v>
      </c>
      <c r="C473" s="11" t="s">
        <v>17</v>
      </c>
      <c r="D473" s="12">
        <v>41863</v>
      </c>
      <c r="E473" s="12">
        <v>41867</v>
      </c>
      <c r="F473" s="13">
        <v>1321.5</v>
      </c>
      <c r="G473">
        <f t="shared" si="7"/>
        <v>5</v>
      </c>
    </row>
    <row r="474" spans="1:7" x14ac:dyDescent="0.25">
      <c r="A474" s="6" t="s">
        <v>86</v>
      </c>
      <c r="B474" s="7" t="s">
        <v>87</v>
      </c>
      <c r="C474" s="7" t="s">
        <v>72</v>
      </c>
      <c r="D474" s="8">
        <v>41863</v>
      </c>
      <c r="E474" s="8">
        <v>41863</v>
      </c>
      <c r="F474" s="9">
        <v>494.7</v>
      </c>
      <c r="G474">
        <f t="shared" si="7"/>
        <v>1</v>
      </c>
    </row>
    <row r="475" spans="1:7" x14ac:dyDescent="0.25">
      <c r="A475" s="10" t="s">
        <v>145</v>
      </c>
      <c r="B475" s="11" t="s">
        <v>146</v>
      </c>
      <c r="C475" s="11" t="s">
        <v>30</v>
      </c>
      <c r="D475" s="12">
        <v>41863</v>
      </c>
      <c r="E475" s="12">
        <v>41867</v>
      </c>
      <c r="F475" s="13">
        <v>688.5</v>
      </c>
      <c r="G475">
        <f t="shared" si="7"/>
        <v>5</v>
      </c>
    </row>
    <row r="476" spans="1:7" x14ac:dyDescent="0.25">
      <c r="A476" s="6" t="s">
        <v>25</v>
      </c>
      <c r="B476" s="7" t="s">
        <v>35</v>
      </c>
      <c r="C476" s="7" t="s">
        <v>72</v>
      </c>
      <c r="D476" s="8">
        <v>41863</v>
      </c>
      <c r="E476" s="8">
        <v>41863</v>
      </c>
      <c r="F476" s="9">
        <v>494.7</v>
      </c>
      <c r="G476">
        <f t="shared" si="7"/>
        <v>1</v>
      </c>
    </row>
    <row r="477" spans="1:7" x14ac:dyDescent="0.25">
      <c r="A477" s="10" t="s">
        <v>119</v>
      </c>
      <c r="B477" s="11" t="s">
        <v>120</v>
      </c>
      <c r="C477" s="11" t="s">
        <v>47</v>
      </c>
      <c r="D477" s="12">
        <v>41863</v>
      </c>
      <c r="E477" s="12">
        <v>41865</v>
      </c>
      <c r="F477" s="13">
        <v>689.8</v>
      </c>
      <c r="G477">
        <f t="shared" si="7"/>
        <v>3</v>
      </c>
    </row>
    <row r="478" spans="1:7" x14ac:dyDescent="0.25">
      <c r="A478" s="6" t="s">
        <v>91</v>
      </c>
      <c r="B478" s="7" t="s">
        <v>92</v>
      </c>
      <c r="C478" s="7" t="s">
        <v>14</v>
      </c>
      <c r="D478" s="8">
        <v>41863</v>
      </c>
      <c r="E478" s="8">
        <v>41867</v>
      </c>
      <c r="F478" s="9">
        <v>674.5</v>
      </c>
      <c r="G478">
        <f t="shared" si="7"/>
        <v>5</v>
      </c>
    </row>
    <row r="479" spans="1:7" x14ac:dyDescent="0.25">
      <c r="A479" s="10" t="s">
        <v>93</v>
      </c>
      <c r="B479" s="11" t="s">
        <v>94</v>
      </c>
      <c r="C479" s="11" t="s">
        <v>66</v>
      </c>
      <c r="D479" s="12">
        <v>41863</v>
      </c>
      <c r="E479" s="12">
        <v>41865</v>
      </c>
      <c r="F479" s="13">
        <v>663.7</v>
      </c>
      <c r="G479">
        <f t="shared" si="7"/>
        <v>3</v>
      </c>
    </row>
    <row r="480" spans="1:7" x14ac:dyDescent="0.25">
      <c r="A480" s="6" t="s">
        <v>70</v>
      </c>
      <c r="B480" s="7" t="s">
        <v>117</v>
      </c>
      <c r="C480" s="7" t="s">
        <v>59</v>
      </c>
      <c r="D480" s="8">
        <v>41863</v>
      </c>
      <c r="E480" s="8">
        <v>41865</v>
      </c>
      <c r="F480" s="9">
        <v>760</v>
      </c>
      <c r="G480">
        <f t="shared" si="7"/>
        <v>3</v>
      </c>
    </row>
    <row r="481" spans="1:7" x14ac:dyDescent="0.25">
      <c r="A481" s="10" t="s">
        <v>20</v>
      </c>
      <c r="B481" s="11" t="s">
        <v>21</v>
      </c>
      <c r="C481" s="11" t="s">
        <v>47</v>
      </c>
      <c r="D481" s="12">
        <v>41863</v>
      </c>
      <c r="E481" s="12">
        <v>41867</v>
      </c>
      <c r="F481" s="13">
        <v>1015.8</v>
      </c>
      <c r="G481">
        <f t="shared" si="7"/>
        <v>5</v>
      </c>
    </row>
    <row r="482" spans="1:7" x14ac:dyDescent="0.25">
      <c r="A482" s="6" t="s">
        <v>25</v>
      </c>
      <c r="B482" s="7" t="s">
        <v>35</v>
      </c>
      <c r="C482" s="7" t="s">
        <v>47</v>
      </c>
      <c r="D482" s="8">
        <v>41865</v>
      </c>
      <c r="E482" s="8">
        <v>41865</v>
      </c>
      <c r="F482" s="9">
        <v>363.8</v>
      </c>
      <c r="G482">
        <f t="shared" si="7"/>
        <v>1</v>
      </c>
    </row>
    <row r="483" spans="1:7" x14ac:dyDescent="0.25">
      <c r="A483" s="10" t="s">
        <v>93</v>
      </c>
      <c r="B483" s="11" t="s">
        <v>124</v>
      </c>
      <c r="C483" s="11" t="s">
        <v>8</v>
      </c>
      <c r="D483" s="12">
        <v>41869</v>
      </c>
      <c r="E483" s="12">
        <v>41871</v>
      </c>
      <c r="F483" s="13">
        <v>1102</v>
      </c>
      <c r="G483">
        <f t="shared" si="7"/>
        <v>3</v>
      </c>
    </row>
    <row r="484" spans="1:7" x14ac:dyDescent="0.25">
      <c r="A484" s="6" t="s">
        <v>54</v>
      </c>
      <c r="B484" s="7" t="s">
        <v>133</v>
      </c>
      <c r="C484" s="7" t="s">
        <v>24</v>
      </c>
      <c r="D484" s="8">
        <v>41869</v>
      </c>
      <c r="E484" s="8">
        <v>41873</v>
      </c>
      <c r="F484" s="9">
        <v>886.7</v>
      </c>
      <c r="G484">
        <f t="shared" si="7"/>
        <v>5</v>
      </c>
    </row>
    <row r="485" spans="1:7" x14ac:dyDescent="0.25">
      <c r="A485" s="10" t="s">
        <v>70</v>
      </c>
      <c r="B485" s="11" t="s">
        <v>71</v>
      </c>
      <c r="C485" s="11" t="s">
        <v>11</v>
      </c>
      <c r="D485" s="12">
        <v>41869</v>
      </c>
      <c r="E485" s="12">
        <v>41870</v>
      </c>
      <c r="F485" s="13">
        <v>295.39999999999998</v>
      </c>
      <c r="G485">
        <f t="shared" si="7"/>
        <v>2</v>
      </c>
    </row>
    <row r="486" spans="1:7" x14ac:dyDescent="0.25">
      <c r="A486" s="6" t="s">
        <v>86</v>
      </c>
      <c r="B486" s="7" t="s">
        <v>87</v>
      </c>
      <c r="C486" s="7" t="s">
        <v>8</v>
      </c>
      <c r="D486" s="8">
        <v>41869</v>
      </c>
      <c r="E486" s="8">
        <v>41870</v>
      </c>
      <c r="F486" s="9">
        <v>891</v>
      </c>
      <c r="G486">
        <f t="shared" si="7"/>
        <v>2</v>
      </c>
    </row>
    <row r="487" spans="1:7" x14ac:dyDescent="0.25">
      <c r="A487" s="10" t="s">
        <v>156</v>
      </c>
      <c r="B487" s="11" t="s">
        <v>157</v>
      </c>
      <c r="C487" s="11" t="s">
        <v>47</v>
      </c>
      <c r="D487" s="12">
        <v>41869</v>
      </c>
      <c r="E487" s="12">
        <v>41871</v>
      </c>
      <c r="F487" s="13">
        <v>689.8</v>
      </c>
      <c r="G487">
        <f t="shared" si="7"/>
        <v>3</v>
      </c>
    </row>
    <row r="488" spans="1:7" x14ac:dyDescent="0.25">
      <c r="A488" s="6" t="s">
        <v>113</v>
      </c>
      <c r="B488" s="7" t="s">
        <v>114</v>
      </c>
      <c r="C488" s="7" t="s">
        <v>17</v>
      </c>
      <c r="D488" s="8">
        <v>41869</v>
      </c>
      <c r="E488" s="8">
        <v>41871</v>
      </c>
      <c r="F488" s="9">
        <v>911.5</v>
      </c>
      <c r="G488">
        <f t="shared" si="7"/>
        <v>3</v>
      </c>
    </row>
    <row r="489" spans="1:7" x14ac:dyDescent="0.25">
      <c r="A489" s="10" t="s">
        <v>15</v>
      </c>
      <c r="B489" s="11" t="s">
        <v>44</v>
      </c>
      <c r="C489" s="11" t="s">
        <v>30</v>
      </c>
      <c r="D489" s="12">
        <v>41875</v>
      </c>
      <c r="E489" s="12">
        <v>41877</v>
      </c>
      <c r="F489" s="13">
        <v>450.5</v>
      </c>
      <c r="G489">
        <f t="shared" si="7"/>
        <v>3</v>
      </c>
    </row>
    <row r="490" spans="1:7" x14ac:dyDescent="0.25">
      <c r="A490" s="6" t="s">
        <v>6</v>
      </c>
      <c r="B490" s="7" t="s">
        <v>7</v>
      </c>
      <c r="C490" s="7" t="s">
        <v>8</v>
      </c>
      <c r="D490" s="8">
        <v>41875</v>
      </c>
      <c r="E490" s="8">
        <v>41879</v>
      </c>
      <c r="F490" s="9">
        <v>1524</v>
      </c>
      <c r="G490">
        <f t="shared" si="7"/>
        <v>5</v>
      </c>
    </row>
    <row r="491" spans="1:7" x14ac:dyDescent="0.25">
      <c r="A491" s="10" t="s">
        <v>33</v>
      </c>
      <c r="B491" s="11" t="s">
        <v>141</v>
      </c>
      <c r="C491" s="11" t="s">
        <v>17</v>
      </c>
      <c r="D491" s="12">
        <v>41875</v>
      </c>
      <c r="E491" s="12">
        <v>41876</v>
      </c>
      <c r="F491" s="13">
        <v>706.5</v>
      </c>
      <c r="G491">
        <f t="shared" si="7"/>
        <v>2</v>
      </c>
    </row>
    <row r="492" spans="1:7" x14ac:dyDescent="0.25">
      <c r="A492" s="6" t="s">
        <v>131</v>
      </c>
      <c r="B492" s="7" t="s">
        <v>154</v>
      </c>
      <c r="C492" s="7" t="s">
        <v>19</v>
      </c>
      <c r="D492" s="8">
        <v>41875</v>
      </c>
      <c r="E492" s="8">
        <v>41879</v>
      </c>
      <c r="F492" s="9">
        <v>1077.4000000000001</v>
      </c>
      <c r="G492">
        <f t="shared" si="7"/>
        <v>5</v>
      </c>
    </row>
    <row r="493" spans="1:7" x14ac:dyDescent="0.25">
      <c r="A493" s="10" t="s">
        <v>97</v>
      </c>
      <c r="B493" s="11" t="s">
        <v>98</v>
      </c>
      <c r="C493" s="11" t="s">
        <v>8</v>
      </c>
      <c r="D493" s="12">
        <v>41875</v>
      </c>
      <c r="E493" s="12">
        <v>41876</v>
      </c>
      <c r="F493" s="13">
        <v>891</v>
      </c>
      <c r="G493">
        <f t="shared" si="7"/>
        <v>2</v>
      </c>
    </row>
    <row r="494" spans="1:7" x14ac:dyDescent="0.25">
      <c r="A494" s="6" t="s">
        <v>126</v>
      </c>
      <c r="B494" s="7" t="s">
        <v>127</v>
      </c>
      <c r="C494" s="7" t="s">
        <v>17</v>
      </c>
      <c r="D494" s="8">
        <v>41875</v>
      </c>
      <c r="E494" s="8">
        <v>41878</v>
      </c>
      <c r="F494" s="9">
        <v>1116.5</v>
      </c>
      <c r="G494">
        <f t="shared" si="7"/>
        <v>4</v>
      </c>
    </row>
    <row r="495" spans="1:7" x14ac:dyDescent="0.25">
      <c r="A495" s="10" t="s">
        <v>9</v>
      </c>
      <c r="B495" s="11" t="s">
        <v>103</v>
      </c>
      <c r="C495" s="11" t="s">
        <v>30</v>
      </c>
      <c r="D495" s="12">
        <v>41875</v>
      </c>
      <c r="E495" s="12">
        <v>41879</v>
      </c>
      <c r="F495" s="13">
        <v>688.5</v>
      </c>
      <c r="G495">
        <f t="shared" si="7"/>
        <v>5</v>
      </c>
    </row>
    <row r="496" spans="1:7" x14ac:dyDescent="0.25">
      <c r="A496" s="6" t="s">
        <v>156</v>
      </c>
      <c r="B496" s="7" t="s">
        <v>157</v>
      </c>
      <c r="C496" s="7" t="s">
        <v>17</v>
      </c>
      <c r="D496" s="8">
        <v>41875</v>
      </c>
      <c r="E496" s="8">
        <v>41878</v>
      </c>
      <c r="F496" s="9">
        <v>1116.5</v>
      </c>
      <c r="G496">
        <f t="shared" si="7"/>
        <v>4</v>
      </c>
    </row>
    <row r="497" spans="1:7" x14ac:dyDescent="0.25">
      <c r="A497" s="10" t="s">
        <v>134</v>
      </c>
      <c r="B497" s="11" t="s">
        <v>149</v>
      </c>
      <c r="C497" s="11" t="s">
        <v>24</v>
      </c>
      <c r="D497" s="12">
        <v>41875</v>
      </c>
      <c r="E497" s="12">
        <v>41879</v>
      </c>
      <c r="F497" s="13">
        <v>886.7</v>
      </c>
      <c r="G497">
        <f t="shared" si="7"/>
        <v>5</v>
      </c>
    </row>
    <row r="498" spans="1:7" x14ac:dyDescent="0.25">
      <c r="A498" s="6" t="s">
        <v>113</v>
      </c>
      <c r="B498" s="7" t="s">
        <v>114</v>
      </c>
      <c r="C498" s="7" t="s">
        <v>72</v>
      </c>
      <c r="D498" s="8">
        <v>41875</v>
      </c>
      <c r="E498" s="8">
        <v>41877</v>
      </c>
      <c r="F498" s="9">
        <v>892.7</v>
      </c>
      <c r="G498">
        <f t="shared" si="7"/>
        <v>3</v>
      </c>
    </row>
    <row r="499" spans="1:7" x14ac:dyDescent="0.25">
      <c r="A499" s="10" t="s">
        <v>86</v>
      </c>
      <c r="B499" s="11" t="s">
        <v>136</v>
      </c>
      <c r="C499" s="11" t="s">
        <v>14</v>
      </c>
      <c r="D499" s="12">
        <v>41875</v>
      </c>
      <c r="E499" s="12">
        <v>41879</v>
      </c>
      <c r="F499" s="13">
        <v>674.5</v>
      </c>
      <c r="G499">
        <f t="shared" si="7"/>
        <v>5</v>
      </c>
    </row>
    <row r="500" spans="1:7" x14ac:dyDescent="0.25">
      <c r="A500" s="6" t="s">
        <v>50</v>
      </c>
      <c r="B500" s="7" t="s">
        <v>51</v>
      </c>
      <c r="C500" s="7" t="s">
        <v>8</v>
      </c>
      <c r="D500" s="8">
        <v>41876</v>
      </c>
      <c r="E500" s="8">
        <v>41877</v>
      </c>
      <c r="F500" s="9">
        <v>891</v>
      </c>
      <c r="G500">
        <f t="shared" si="7"/>
        <v>2</v>
      </c>
    </row>
    <row r="501" spans="1:7" x14ac:dyDescent="0.25">
      <c r="A501" s="10" t="s">
        <v>107</v>
      </c>
      <c r="B501" s="11" t="s">
        <v>108</v>
      </c>
      <c r="C501" s="11" t="s">
        <v>19</v>
      </c>
      <c r="D501" s="12">
        <v>41876</v>
      </c>
      <c r="E501" s="12">
        <v>41877</v>
      </c>
      <c r="F501" s="13">
        <v>654.4</v>
      </c>
      <c r="G501">
        <f t="shared" si="7"/>
        <v>2</v>
      </c>
    </row>
    <row r="502" spans="1:7" x14ac:dyDescent="0.25">
      <c r="A502" s="6" t="s">
        <v>20</v>
      </c>
      <c r="B502" s="7" t="s">
        <v>162</v>
      </c>
      <c r="C502" s="7" t="s">
        <v>59</v>
      </c>
      <c r="D502" s="8">
        <v>41876</v>
      </c>
      <c r="E502" s="8">
        <v>41878</v>
      </c>
      <c r="F502" s="9">
        <v>760</v>
      </c>
      <c r="G502">
        <f t="shared" si="7"/>
        <v>3</v>
      </c>
    </row>
    <row r="503" spans="1:7" x14ac:dyDescent="0.25">
      <c r="A503" s="10" t="s">
        <v>15</v>
      </c>
      <c r="B503" s="11" t="s">
        <v>16</v>
      </c>
      <c r="C503" s="11" t="s">
        <v>38</v>
      </c>
      <c r="D503" s="12">
        <v>41876</v>
      </c>
      <c r="E503" s="12">
        <v>41877</v>
      </c>
      <c r="F503" s="13">
        <v>407.8</v>
      </c>
      <c r="G503">
        <f t="shared" si="7"/>
        <v>2</v>
      </c>
    </row>
    <row r="504" spans="1:7" x14ac:dyDescent="0.25">
      <c r="A504" s="6" t="s">
        <v>20</v>
      </c>
      <c r="B504" s="7" t="s">
        <v>21</v>
      </c>
      <c r="C504" s="7" t="s">
        <v>19</v>
      </c>
      <c r="D504" s="8">
        <v>41876</v>
      </c>
      <c r="E504" s="8">
        <v>41877</v>
      </c>
      <c r="F504" s="9">
        <v>654.4</v>
      </c>
      <c r="G504">
        <f t="shared" si="7"/>
        <v>2</v>
      </c>
    </row>
    <row r="505" spans="1:7" x14ac:dyDescent="0.25">
      <c r="A505" s="10" t="s">
        <v>25</v>
      </c>
      <c r="B505" s="11" t="s">
        <v>26</v>
      </c>
      <c r="C505" s="11" t="s">
        <v>38</v>
      </c>
      <c r="D505" s="12">
        <v>41877</v>
      </c>
      <c r="E505" s="12">
        <v>41878</v>
      </c>
      <c r="F505" s="13">
        <v>407.8</v>
      </c>
      <c r="G505">
        <f t="shared" si="7"/>
        <v>2</v>
      </c>
    </row>
    <row r="506" spans="1:7" x14ac:dyDescent="0.25">
      <c r="A506" s="6" t="s">
        <v>93</v>
      </c>
      <c r="B506" s="7" t="s">
        <v>106</v>
      </c>
      <c r="C506" s="7" t="s">
        <v>72</v>
      </c>
      <c r="D506" s="8">
        <v>41878</v>
      </c>
      <c r="E506" s="8">
        <v>41878</v>
      </c>
      <c r="F506" s="9">
        <v>494.7</v>
      </c>
      <c r="G506">
        <f t="shared" si="7"/>
        <v>1</v>
      </c>
    </row>
    <row r="507" spans="1:7" x14ac:dyDescent="0.25">
      <c r="A507" s="10" t="s">
        <v>79</v>
      </c>
      <c r="B507" s="11" t="s">
        <v>80</v>
      </c>
      <c r="C507" s="11" t="s">
        <v>47</v>
      </c>
      <c r="D507" s="12">
        <v>41881</v>
      </c>
      <c r="E507" s="12">
        <v>41884</v>
      </c>
      <c r="F507" s="13">
        <v>852.8</v>
      </c>
      <c r="G507">
        <f t="shared" si="7"/>
        <v>4</v>
      </c>
    </row>
    <row r="508" spans="1:7" x14ac:dyDescent="0.25">
      <c r="A508" s="6" t="s">
        <v>50</v>
      </c>
      <c r="B508" s="7" t="s">
        <v>51</v>
      </c>
      <c r="C508" s="7" t="s">
        <v>72</v>
      </c>
      <c r="D508" s="8">
        <v>41881</v>
      </c>
      <c r="E508" s="8">
        <v>41882</v>
      </c>
      <c r="F508" s="9">
        <v>693.7</v>
      </c>
      <c r="G508">
        <f t="shared" si="7"/>
        <v>2</v>
      </c>
    </row>
    <row r="509" spans="1:7" x14ac:dyDescent="0.25">
      <c r="A509" s="10" t="s">
        <v>25</v>
      </c>
      <c r="B509" s="11" t="s">
        <v>26</v>
      </c>
      <c r="C509" s="11" t="s">
        <v>11</v>
      </c>
      <c r="D509" s="12">
        <v>41881</v>
      </c>
      <c r="E509" s="12">
        <v>41883</v>
      </c>
      <c r="F509" s="13">
        <v>434.4</v>
      </c>
      <c r="G509">
        <f t="shared" si="7"/>
        <v>3</v>
      </c>
    </row>
    <row r="510" spans="1:7" x14ac:dyDescent="0.25">
      <c r="A510" s="6" t="s">
        <v>82</v>
      </c>
      <c r="B510" s="7" t="s">
        <v>125</v>
      </c>
      <c r="C510" s="7" t="s">
        <v>66</v>
      </c>
      <c r="D510" s="8">
        <v>41881</v>
      </c>
      <c r="E510" s="8">
        <v>41882</v>
      </c>
      <c r="F510" s="9">
        <v>485.7</v>
      </c>
      <c r="G510">
        <f t="shared" si="7"/>
        <v>2</v>
      </c>
    </row>
    <row r="511" spans="1:7" x14ac:dyDescent="0.25">
      <c r="A511" s="10" t="s">
        <v>134</v>
      </c>
      <c r="B511" s="11" t="s">
        <v>149</v>
      </c>
      <c r="C511" s="11" t="s">
        <v>8</v>
      </c>
      <c r="D511" s="12">
        <v>41881</v>
      </c>
      <c r="E511" s="12">
        <v>41882</v>
      </c>
      <c r="F511" s="13">
        <v>891</v>
      </c>
      <c r="G511">
        <f t="shared" si="7"/>
        <v>2</v>
      </c>
    </row>
    <row r="512" spans="1:7" x14ac:dyDescent="0.25">
      <c r="A512" s="6" t="s">
        <v>64</v>
      </c>
      <c r="B512" s="7" t="s">
        <v>65</v>
      </c>
      <c r="C512" s="7" t="s">
        <v>17</v>
      </c>
      <c r="D512" s="8">
        <v>41881</v>
      </c>
      <c r="E512" s="8">
        <v>41885</v>
      </c>
      <c r="F512" s="9">
        <v>1321.5</v>
      </c>
      <c r="G512">
        <f t="shared" si="7"/>
        <v>5</v>
      </c>
    </row>
    <row r="513" spans="1:7" x14ac:dyDescent="0.25">
      <c r="A513" s="10" t="s">
        <v>109</v>
      </c>
      <c r="B513" s="11" t="s">
        <v>110</v>
      </c>
      <c r="C513" s="11" t="s">
        <v>14</v>
      </c>
      <c r="D513" s="12">
        <v>41885</v>
      </c>
      <c r="E513" s="12">
        <v>41888</v>
      </c>
      <c r="F513" s="13">
        <v>550.5</v>
      </c>
      <c r="G513">
        <f t="shared" si="7"/>
        <v>4</v>
      </c>
    </row>
    <row r="514" spans="1:7" x14ac:dyDescent="0.25">
      <c r="A514" s="6" t="s">
        <v>31</v>
      </c>
      <c r="B514" s="7" t="s">
        <v>78</v>
      </c>
      <c r="C514" s="7" t="s">
        <v>24</v>
      </c>
      <c r="D514" s="8">
        <v>41886</v>
      </c>
      <c r="E514" s="8">
        <v>41887</v>
      </c>
      <c r="F514" s="9">
        <v>439.7</v>
      </c>
      <c r="G514">
        <f t="shared" si="7"/>
        <v>2</v>
      </c>
    </row>
    <row r="515" spans="1:7" x14ac:dyDescent="0.25">
      <c r="A515" s="10" t="s">
        <v>6</v>
      </c>
      <c r="B515" s="11" t="s">
        <v>7</v>
      </c>
      <c r="C515" s="11" t="s">
        <v>30</v>
      </c>
      <c r="D515" s="12">
        <v>41886</v>
      </c>
      <c r="E515" s="12">
        <v>41889</v>
      </c>
      <c r="F515" s="13">
        <v>569.5</v>
      </c>
      <c r="G515">
        <f t="shared" ref="G515:G578" si="8">E515-D515 + 1</f>
        <v>4</v>
      </c>
    </row>
    <row r="516" spans="1:7" x14ac:dyDescent="0.25">
      <c r="A516" s="6" t="s">
        <v>122</v>
      </c>
      <c r="B516" s="7" t="s">
        <v>123</v>
      </c>
      <c r="C516" s="7" t="s">
        <v>14</v>
      </c>
      <c r="D516" s="8">
        <v>41886</v>
      </c>
      <c r="E516" s="8">
        <v>41889</v>
      </c>
      <c r="F516" s="9">
        <v>550.5</v>
      </c>
      <c r="G516">
        <f t="shared" si="8"/>
        <v>4</v>
      </c>
    </row>
    <row r="517" spans="1:7" x14ac:dyDescent="0.25">
      <c r="A517" s="10" t="s">
        <v>93</v>
      </c>
      <c r="B517" s="11" t="s">
        <v>124</v>
      </c>
      <c r="C517" s="11" t="s">
        <v>24</v>
      </c>
      <c r="D517" s="12">
        <v>41886</v>
      </c>
      <c r="E517" s="12">
        <v>41887</v>
      </c>
      <c r="F517" s="13">
        <v>439.7</v>
      </c>
      <c r="G517">
        <f t="shared" si="8"/>
        <v>2</v>
      </c>
    </row>
    <row r="518" spans="1:7" x14ac:dyDescent="0.25">
      <c r="A518" s="6" t="s">
        <v>22</v>
      </c>
      <c r="B518" s="7" t="s">
        <v>172</v>
      </c>
      <c r="C518" s="7" t="s">
        <v>24</v>
      </c>
      <c r="D518" s="8">
        <v>41886</v>
      </c>
      <c r="E518" s="8">
        <v>41886</v>
      </c>
      <c r="F518" s="9">
        <v>290.7</v>
      </c>
      <c r="G518">
        <f t="shared" si="8"/>
        <v>1</v>
      </c>
    </row>
    <row r="519" spans="1:7" x14ac:dyDescent="0.25">
      <c r="A519" s="10" t="s">
        <v>84</v>
      </c>
      <c r="B519" s="11" t="s">
        <v>85</v>
      </c>
      <c r="C519" s="11" t="s">
        <v>19</v>
      </c>
      <c r="D519" s="12">
        <v>41886</v>
      </c>
      <c r="E519" s="12">
        <v>41890</v>
      </c>
      <c r="F519" s="13">
        <v>1077.4000000000001</v>
      </c>
      <c r="G519">
        <f t="shared" si="8"/>
        <v>5</v>
      </c>
    </row>
    <row r="520" spans="1:7" x14ac:dyDescent="0.25">
      <c r="A520" s="6" t="s">
        <v>82</v>
      </c>
      <c r="B520" s="7" t="s">
        <v>125</v>
      </c>
      <c r="C520" s="7" t="s">
        <v>14</v>
      </c>
      <c r="D520" s="8">
        <v>41886</v>
      </c>
      <c r="E520" s="8">
        <v>41888</v>
      </c>
      <c r="F520" s="9">
        <v>426.5</v>
      </c>
      <c r="G520">
        <f t="shared" si="8"/>
        <v>3</v>
      </c>
    </row>
    <row r="521" spans="1:7" x14ac:dyDescent="0.25">
      <c r="A521" s="10" t="s">
        <v>33</v>
      </c>
      <c r="B521" s="11" t="s">
        <v>34</v>
      </c>
      <c r="C521" s="11" t="s">
        <v>27</v>
      </c>
      <c r="D521" s="12">
        <v>41886</v>
      </c>
      <c r="E521" s="12">
        <v>41887</v>
      </c>
      <c r="F521" s="13">
        <v>570</v>
      </c>
      <c r="G521">
        <f t="shared" si="8"/>
        <v>2</v>
      </c>
    </row>
    <row r="522" spans="1:7" x14ac:dyDescent="0.25">
      <c r="A522" s="6" t="s">
        <v>9</v>
      </c>
      <c r="B522" s="7" t="s">
        <v>69</v>
      </c>
      <c r="C522" s="7" t="s">
        <v>24</v>
      </c>
      <c r="D522" s="8">
        <v>41886</v>
      </c>
      <c r="E522" s="8">
        <v>41886</v>
      </c>
      <c r="F522" s="9">
        <v>290.7</v>
      </c>
      <c r="G522">
        <f t="shared" si="8"/>
        <v>1</v>
      </c>
    </row>
    <row r="523" spans="1:7" x14ac:dyDescent="0.25">
      <c r="A523" s="10" t="s">
        <v>143</v>
      </c>
      <c r="B523" s="11" t="s">
        <v>144</v>
      </c>
      <c r="C523" s="11" t="s">
        <v>19</v>
      </c>
      <c r="D523" s="12">
        <v>41886</v>
      </c>
      <c r="E523" s="12">
        <v>41887</v>
      </c>
      <c r="F523" s="13">
        <v>654.4</v>
      </c>
      <c r="G523">
        <f t="shared" si="8"/>
        <v>2</v>
      </c>
    </row>
    <row r="524" spans="1:7" x14ac:dyDescent="0.25">
      <c r="A524" s="6" t="s">
        <v>75</v>
      </c>
      <c r="B524" s="7" t="s">
        <v>88</v>
      </c>
      <c r="C524" s="7" t="s">
        <v>66</v>
      </c>
      <c r="D524" s="8">
        <v>41886</v>
      </c>
      <c r="E524" s="8">
        <v>41890</v>
      </c>
      <c r="F524" s="9">
        <v>1019.7</v>
      </c>
      <c r="G524">
        <f t="shared" si="8"/>
        <v>5</v>
      </c>
    </row>
    <row r="525" spans="1:7" x14ac:dyDescent="0.25">
      <c r="A525" s="10" t="s">
        <v>119</v>
      </c>
      <c r="B525" s="11" t="s">
        <v>120</v>
      </c>
      <c r="C525" s="11" t="s">
        <v>11</v>
      </c>
      <c r="D525" s="12">
        <v>41886</v>
      </c>
      <c r="E525" s="12">
        <v>41889</v>
      </c>
      <c r="F525" s="13">
        <v>573.4</v>
      </c>
      <c r="G525">
        <f t="shared" si="8"/>
        <v>4</v>
      </c>
    </row>
    <row r="526" spans="1:7" x14ac:dyDescent="0.25">
      <c r="A526" s="6" t="s">
        <v>36</v>
      </c>
      <c r="B526" s="7" t="s">
        <v>37</v>
      </c>
      <c r="C526" s="7" t="s">
        <v>17</v>
      </c>
      <c r="D526" s="8">
        <v>41886</v>
      </c>
      <c r="E526" s="8">
        <v>41889</v>
      </c>
      <c r="F526" s="9">
        <v>1116.5</v>
      </c>
      <c r="G526">
        <f t="shared" si="8"/>
        <v>4</v>
      </c>
    </row>
    <row r="527" spans="1:7" x14ac:dyDescent="0.25">
      <c r="A527" s="10" t="s">
        <v>75</v>
      </c>
      <c r="B527" s="11" t="s">
        <v>76</v>
      </c>
      <c r="C527" s="11" t="s">
        <v>11</v>
      </c>
      <c r="D527" s="12">
        <v>41886</v>
      </c>
      <c r="E527" s="12">
        <v>41888</v>
      </c>
      <c r="F527" s="13">
        <v>434.4</v>
      </c>
      <c r="G527">
        <f t="shared" si="8"/>
        <v>3</v>
      </c>
    </row>
    <row r="528" spans="1:7" x14ac:dyDescent="0.25">
      <c r="A528" s="6" t="s">
        <v>91</v>
      </c>
      <c r="B528" s="7" t="s">
        <v>92</v>
      </c>
      <c r="C528" s="7" t="s">
        <v>38</v>
      </c>
      <c r="D528" s="8">
        <v>41886</v>
      </c>
      <c r="E528" s="8">
        <v>41887</v>
      </c>
      <c r="F528" s="9">
        <v>407.8</v>
      </c>
      <c r="G528">
        <f t="shared" si="8"/>
        <v>2</v>
      </c>
    </row>
    <row r="529" spans="1:7" x14ac:dyDescent="0.25">
      <c r="A529" s="10" t="s">
        <v>12</v>
      </c>
      <c r="B529" s="11" t="s">
        <v>95</v>
      </c>
      <c r="C529" s="11" t="s">
        <v>66</v>
      </c>
      <c r="D529" s="12">
        <v>41886</v>
      </c>
      <c r="E529" s="12">
        <v>41889</v>
      </c>
      <c r="F529" s="13">
        <v>841.7</v>
      </c>
      <c r="G529">
        <f t="shared" si="8"/>
        <v>4</v>
      </c>
    </row>
    <row r="530" spans="1:7" x14ac:dyDescent="0.25">
      <c r="A530" s="6" t="s">
        <v>54</v>
      </c>
      <c r="B530" s="7" t="s">
        <v>118</v>
      </c>
      <c r="C530" s="7" t="s">
        <v>30</v>
      </c>
      <c r="D530" s="8">
        <v>41886</v>
      </c>
      <c r="E530" s="8">
        <v>41886</v>
      </c>
      <c r="F530" s="9">
        <v>212.5</v>
      </c>
      <c r="G530">
        <f t="shared" si="8"/>
        <v>1</v>
      </c>
    </row>
    <row r="531" spans="1:7" x14ac:dyDescent="0.25">
      <c r="A531" s="10" t="s">
        <v>15</v>
      </c>
      <c r="B531" s="11" t="s">
        <v>46</v>
      </c>
      <c r="C531" s="11" t="s">
        <v>24</v>
      </c>
      <c r="D531" s="12">
        <v>41887</v>
      </c>
      <c r="E531" s="12">
        <v>41889</v>
      </c>
      <c r="F531" s="13">
        <v>588.70000000000005</v>
      </c>
      <c r="G531">
        <f t="shared" si="8"/>
        <v>3</v>
      </c>
    </row>
    <row r="532" spans="1:7" x14ac:dyDescent="0.25">
      <c r="A532" s="6" t="s">
        <v>25</v>
      </c>
      <c r="B532" s="7" t="s">
        <v>26</v>
      </c>
      <c r="C532" s="7" t="s">
        <v>17</v>
      </c>
      <c r="D532" s="8">
        <v>41887</v>
      </c>
      <c r="E532" s="8">
        <v>41887</v>
      </c>
      <c r="F532" s="9">
        <v>501.5</v>
      </c>
      <c r="G532">
        <f t="shared" si="8"/>
        <v>1</v>
      </c>
    </row>
    <row r="533" spans="1:7" x14ac:dyDescent="0.25">
      <c r="A533" s="10" t="s">
        <v>70</v>
      </c>
      <c r="B533" s="11" t="s">
        <v>71</v>
      </c>
      <c r="C533" s="11" t="s">
        <v>14</v>
      </c>
      <c r="D533" s="12">
        <v>41887</v>
      </c>
      <c r="E533" s="12">
        <v>41888</v>
      </c>
      <c r="F533" s="13">
        <v>302.5</v>
      </c>
      <c r="G533">
        <f t="shared" si="8"/>
        <v>2</v>
      </c>
    </row>
    <row r="534" spans="1:7" x14ac:dyDescent="0.25">
      <c r="A534" s="6" t="s">
        <v>115</v>
      </c>
      <c r="B534" s="7" t="s">
        <v>140</v>
      </c>
      <c r="C534" s="7" t="s">
        <v>27</v>
      </c>
      <c r="D534" s="8">
        <v>41887</v>
      </c>
      <c r="E534" s="8">
        <v>41887</v>
      </c>
      <c r="F534" s="9">
        <v>442</v>
      </c>
      <c r="G534">
        <f t="shared" si="8"/>
        <v>1</v>
      </c>
    </row>
    <row r="535" spans="1:7" x14ac:dyDescent="0.25">
      <c r="A535" s="10" t="s">
        <v>134</v>
      </c>
      <c r="B535" s="11" t="s">
        <v>135</v>
      </c>
      <c r="C535" s="11" t="s">
        <v>19</v>
      </c>
      <c r="D535" s="12">
        <v>41887</v>
      </c>
      <c r="E535" s="12">
        <v>41890</v>
      </c>
      <c r="F535" s="13">
        <v>936.4</v>
      </c>
      <c r="G535">
        <f t="shared" si="8"/>
        <v>4</v>
      </c>
    </row>
    <row r="536" spans="1:7" x14ac:dyDescent="0.25">
      <c r="A536" s="6" t="s">
        <v>99</v>
      </c>
      <c r="B536" s="7" t="s">
        <v>100</v>
      </c>
      <c r="C536" s="7" t="s">
        <v>19</v>
      </c>
      <c r="D536" s="8">
        <v>41887</v>
      </c>
      <c r="E536" s="8">
        <v>41887</v>
      </c>
      <c r="F536" s="9">
        <v>513.4</v>
      </c>
      <c r="G536">
        <f t="shared" si="8"/>
        <v>1</v>
      </c>
    </row>
    <row r="537" spans="1:7" x14ac:dyDescent="0.25">
      <c r="A537" s="10" t="s">
        <v>101</v>
      </c>
      <c r="B537" s="11" t="s">
        <v>102</v>
      </c>
      <c r="C537" s="11" t="s">
        <v>11</v>
      </c>
      <c r="D537" s="12">
        <v>41887</v>
      </c>
      <c r="E537" s="12">
        <v>41888</v>
      </c>
      <c r="F537" s="13">
        <v>295.39999999999998</v>
      </c>
      <c r="G537">
        <f t="shared" si="8"/>
        <v>2</v>
      </c>
    </row>
    <row r="538" spans="1:7" x14ac:dyDescent="0.25">
      <c r="A538" s="6" t="s">
        <v>143</v>
      </c>
      <c r="B538" s="7" t="s">
        <v>144</v>
      </c>
      <c r="C538" s="7" t="s">
        <v>30</v>
      </c>
      <c r="D538" s="8">
        <v>41887</v>
      </c>
      <c r="E538" s="8">
        <v>41891</v>
      </c>
      <c r="F538" s="9">
        <v>688.5</v>
      </c>
      <c r="G538">
        <f t="shared" si="8"/>
        <v>5</v>
      </c>
    </row>
    <row r="539" spans="1:7" x14ac:dyDescent="0.25">
      <c r="A539" s="10" t="s">
        <v>93</v>
      </c>
      <c r="B539" s="11" t="s">
        <v>106</v>
      </c>
      <c r="C539" s="11" t="s">
        <v>17</v>
      </c>
      <c r="D539" s="12">
        <v>41887</v>
      </c>
      <c r="E539" s="12">
        <v>41890</v>
      </c>
      <c r="F539" s="13">
        <v>1116.5</v>
      </c>
      <c r="G539">
        <f t="shared" si="8"/>
        <v>4</v>
      </c>
    </row>
    <row r="540" spans="1:7" x14ac:dyDescent="0.25">
      <c r="A540" s="6" t="s">
        <v>93</v>
      </c>
      <c r="B540" s="7" t="s">
        <v>94</v>
      </c>
      <c r="C540" s="7" t="s">
        <v>14</v>
      </c>
      <c r="D540" s="8">
        <v>41887</v>
      </c>
      <c r="E540" s="8">
        <v>41889</v>
      </c>
      <c r="F540" s="9">
        <v>426.5</v>
      </c>
      <c r="G540">
        <f t="shared" si="8"/>
        <v>3</v>
      </c>
    </row>
    <row r="541" spans="1:7" x14ac:dyDescent="0.25">
      <c r="A541" s="10" t="s">
        <v>137</v>
      </c>
      <c r="B541" s="11" t="s">
        <v>138</v>
      </c>
      <c r="C541" s="11" t="s">
        <v>27</v>
      </c>
      <c r="D541" s="12">
        <v>41887</v>
      </c>
      <c r="E541" s="12">
        <v>41889</v>
      </c>
      <c r="F541" s="13">
        <v>698</v>
      </c>
      <c r="G541">
        <f t="shared" si="8"/>
        <v>3</v>
      </c>
    </row>
    <row r="542" spans="1:7" x14ac:dyDescent="0.25">
      <c r="A542" s="6" t="s">
        <v>115</v>
      </c>
      <c r="B542" s="7" t="s">
        <v>116</v>
      </c>
      <c r="C542" s="7" t="s">
        <v>30</v>
      </c>
      <c r="D542" s="8">
        <v>41887</v>
      </c>
      <c r="E542" s="8">
        <v>41888</v>
      </c>
      <c r="F542" s="9">
        <v>331.5</v>
      </c>
      <c r="G542">
        <f t="shared" si="8"/>
        <v>2</v>
      </c>
    </row>
    <row r="543" spans="1:7" x14ac:dyDescent="0.25">
      <c r="A543" s="10" t="s">
        <v>64</v>
      </c>
      <c r="B543" s="11" t="s">
        <v>65</v>
      </c>
      <c r="C543" s="11" t="s">
        <v>38</v>
      </c>
      <c r="D543" s="12">
        <v>41887</v>
      </c>
      <c r="E543" s="12">
        <v>41889</v>
      </c>
      <c r="F543" s="13">
        <v>536.79999999999995</v>
      </c>
      <c r="G543">
        <f t="shared" si="8"/>
        <v>3</v>
      </c>
    </row>
    <row r="544" spans="1:7" x14ac:dyDescent="0.25">
      <c r="A544" s="6" t="s">
        <v>86</v>
      </c>
      <c r="B544" s="7" t="s">
        <v>136</v>
      </c>
      <c r="C544" s="7" t="s">
        <v>72</v>
      </c>
      <c r="D544" s="8">
        <v>41887</v>
      </c>
      <c r="E544" s="8">
        <v>41888</v>
      </c>
      <c r="F544" s="9">
        <v>693.7</v>
      </c>
      <c r="G544">
        <f t="shared" si="8"/>
        <v>2</v>
      </c>
    </row>
    <row r="545" spans="1:7" x14ac:dyDescent="0.25">
      <c r="A545" s="10" t="s">
        <v>93</v>
      </c>
      <c r="B545" s="11" t="s">
        <v>124</v>
      </c>
      <c r="C545" s="11" t="s">
        <v>17</v>
      </c>
      <c r="D545" s="12">
        <v>41889</v>
      </c>
      <c r="E545" s="12">
        <v>41889</v>
      </c>
      <c r="F545" s="13">
        <v>501.5</v>
      </c>
      <c r="G545">
        <f t="shared" si="8"/>
        <v>1</v>
      </c>
    </row>
    <row r="546" spans="1:7" x14ac:dyDescent="0.25">
      <c r="A546" s="6" t="s">
        <v>54</v>
      </c>
      <c r="B546" s="7" t="s">
        <v>55</v>
      </c>
      <c r="C546" s="7" t="s">
        <v>19</v>
      </c>
      <c r="D546" s="8">
        <v>41890</v>
      </c>
      <c r="E546" s="8">
        <v>41890</v>
      </c>
      <c r="F546" s="9">
        <v>513.4</v>
      </c>
      <c r="G546">
        <f t="shared" si="8"/>
        <v>1</v>
      </c>
    </row>
    <row r="547" spans="1:7" x14ac:dyDescent="0.25">
      <c r="A547" s="10" t="s">
        <v>22</v>
      </c>
      <c r="B547" s="11" t="s">
        <v>172</v>
      </c>
      <c r="C547" s="11" t="s">
        <v>27</v>
      </c>
      <c r="D547" s="12">
        <v>41890</v>
      </c>
      <c r="E547" s="12">
        <v>41890</v>
      </c>
      <c r="F547" s="13">
        <v>442</v>
      </c>
      <c r="G547">
        <f t="shared" si="8"/>
        <v>1</v>
      </c>
    </row>
    <row r="548" spans="1:7" x14ac:dyDescent="0.25">
      <c r="A548" s="6" t="s">
        <v>9</v>
      </c>
      <c r="B548" s="7" t="s">
        <v>69</v>
      </c>
      <c r="C548" s="7" t="s">
        <v>38</v>
      </c>
      <c r="D548" s="8">
        <v>41890</v>
      </c>
      <c r="E548" s="8">
        <v>41890</v>
      </c>
      <c r="F548" s="9">
        <v>278.8</v>
      </c>
      <c r="G548">
        <f t="shared" si="8"/>
        <v>1</v>
      </c>
    </row>
    <row r="549" spans="1:7" x14ac:dyDescent="0.25">
      <c r="A549" s="10" t="s">
        <v>54</v>
      </c>
      <c r="B549" s="11" t="s">
        <v>118</v>
      </c>
      <c r="C549" s="11" t="s">
        <v>24</v>
      </c>
      <c r="D549" s="12">
        <v>41890</v>
      </c>
      <c r="E549" s="12">
        <v>41890</v>
      </c>
      <c r="F549" s="13">
        <v>290.7</v>
      </c>
      <c r="G549">
        <f t="shared" si="8"/>
        <v>1</v>
      </c>
    </row>
    <row r="550" spans="1:7" x14ac:dyDescent="0.25">
      <c r="A550" s="6" t="s">
        <v>99</v>
      </c>
      <c r="B550" s="7" t="s">
        <v>130</v>
      </c>
      <c r="C550" s="7" t="s">
        <v>38</v>
      </c>
      <c r="D550" s="8">
        <v>41893</v>
      </c>
      <c r="E550" s="8">
        <v>41896</v>
      </c>
      <c r="F550" s="9">
        <v>665.8</v>
      </c>
      <c r="G550">
        <f t="shared" si="8"/>
        <v>4</v>
      </c>
    </row>
    <row r="551" spans="1:7" x14ac:dyDescent="0.25">
      <c r="A551" s="10" t="s">
        <v>115</v>
      </c>
      <c r="B551" s="11" t="s">
        <v>140</v>
      </c>
      <c r="C551" s="11" t="s">
        <v>8</v>
      </c>
      <c r="D551" s="12">
        <v>41893</v>
      </c>
      <c r="E551" s="12">
        <v>41896</v>
      </c>
      <c r="F551" s="13">
        <v>1313</v>
      </c>
      <c r="G551">
        <f t="shared" si="8"/>
        <v>4</v>
      </c>
    </row>
    <row r="552" spans="1:7" x14ac:dyDescent="0.25">
      <c r="A552" s="6" t="s">
        <v>109</v>
      </c>
      <c r="B552" s="7" t="s">
        <v>110</v>
      </c>
      <c r="C552" s="7" t="s">
        <v>8</v>
      </c>
      <c r="D552" s="8">
        <v>41893</v>
      </c>
      <c r="E552" s="8">
        <v>41894</v>
      </c>
      <c r="F552" s="9">
        <v>891</v>
      </c>
      <c r="G552">
        <f t="shared" si="8"/>
        <v>2</v>
      </c>
    </row>
    <row r="553" spans="1:7" x14ac:dyDescent="0.25">
      <c r="A553" s="10" t="s">
        <v>137</v>
      </c>
      <c r="B553" s="11" t="s">
        <v>138</v>
      </c>
      <c r="C553" s="11" t="s">
        <v>47</v>
      </c>
      <c r="D553" s="12">
        <v>41893</v>
      </c>
      <c r="E553" s="12">
        <v>41895</v>
      </c>
      <c r="F553" s="13">
        <v>689.8</v>
      </c>
      <c r="G553">
        <f t="shared" si="8"/>
        <v>3</v>
      </c>
    </row>
    <row r="554" spans="1:7" x14ac:dyDescent="0.25">
      <c r="A554" s="6" t="s">
        <v>12</v>
      </c>
      <c r="B554" s="7" t="s">
        <v>95</v>
      </c>
      <c r="C554" s="7" t="s">
        <v>47</v>
      </c>
      <c r="D554" s="8">
        <v>41893</v>
      </c>
      <c r="E554" s="8">
        <v>41894</v>
      </c>
      <c r="F554" s="9">
        <v>526.79999999999995</v>
      </c>
      <c r="G554">
        <f t="shared" si="8"/>
        <v>2</v>
      </c>
    </row>
    <row r="555" spans="1:7" x14ac:dyDescent="0.25">
      <c r="A555" s="10" t="s">
        <v>57</v>
      </c>
      <c r="B555" s="11" t="s">
        <v>58</v>
      </c>
      <c r="C555" s="11" t="s">
        <v>11</v>
      </c>
      <c r="D555" s="12">
        <v>41893</v>
      </c>
      <c r="E555" s="12">
        <v>41896</v>
      </c>
      <c r="F555" s="13">
        <v>573.4</v>
      </c>
      <c r="G555">
        <f t="shared" si="8"/>
        <v>4</v>
      </c>
    </row>
    <row r="556" spans="1:7" x14ac:dyDescent="0.25">
      <c r="A556" s="6" t="s">
        <v>6</v>
      </c>
      <c r="B556" s="7" t="s">
        <v>7</v>
      </c>
      <c r="C556" s="7" t="s">
        <v>38</v>
      </c>
      <c r="D556" s="8">
        <v>41897</v>
      </c>
      <c r="E556" s="8">
        <v>41897</v>
      </c>
      <c r="F556" s="9">
        <v>278.8</v>
      </c>
      <c r="G556">
        <f t="shared" si="8"/>
        <v>1</v>
      </c>
    </row>
    <row r="557" spans="1:7" x14ac:dyDescent="0.25">
      <c r="A557" s="10" t="s">
        <v>54</v>
      </c>
      <c r="B557" s="11" t="s">
        <v>118</v>
      </c>
      <c r="C557" s="11" t="s">
        <v>17</v>
      </c>
      <c r="D557" s="12">
        <v>41897</v>
      </c>
      <c r="E557" s="12">
        <v>41898</v>
      </c>
      <c r="F557" s="13">
        <v>706.5</v>
      </c>
      <c r="G557">
        <f t="shared" si="8"/>
        <v>2</v>
      </c>
    </row>
    <row r="558" spans="1:7" x14ac:dyDescent="0.25">
      <c r="A558" s="6" t="s">
        <v>22</v>
      </c>
      <c r="B558" s="7" t="s">
        <v>23</v>
      </c>
      <c r="C558" s="7" t="s">
        <v>24</v>
      </c>
      <c r="D558" s="8">
        <v>41898</v>
      </c>
      <c r="E558" s="8">
        <v>41901</v>
      </c>
      <c r="F558" s="9">
        <v>737.7</v>
      </c>
      <c r="G558">
        <f t="shared" si="8"/>
        <v>4</v>
      </c>
    </row>
    <row r="559" spans="1:7" x14ac:dyDescent="0.25">
      <c r="A559" s="10" t="s">
        <v>22</v>
      </c>
      <c r="B559" s="11" t="s">
        <v>23</v>
      </c>
      <c r="C559" s="11" t="s">
        <v>27</v>
      </c>
      <c r="D559" s="12">
        <v>41898</v>
      </c>
      <c r="E559" s="12">
        <v>41900</v>
      </c>
      <c r="F559" s="13">
        <v>698</v>
      </c>
      <c r="G559">
        <f t="shared" si="8"/>
        <v>3</v>
      </c>
    </row>
    <row r="560" spans="1:7" x14ac:dyDescent="0.25">
      <c r="A560" s="6" t="s">
        <v>31</v>
      </c>
      <c r="B560" s="7" t="s">
        <v>78</v>
      </c>
      <c r="C560" s="7" t="s">
        <v>17</v>
      </c>
      <c r="D560" s="8">
        <v>41898</v>
      </c>
      <c r="E560" s="8">
        <v>41899</v>
      </c>
      <c r="F560" s="9">
        <v>706.5</v>
      </c>
      <c r="G560">
        <f t="shared" si="8"/>
        <v>2</v>
      </c>
    </row>
    <row r="561" spans="1:7" x14ac:dyDescent="0.25">
      <c r="A561" s="10" t="s">
        <v>6</v>
      </c>
      <c r="B561" s="11" t="s">
        <v>139</v>
      </c>
      <c r="C561" s="11" t="s">
        <v>38</v>
      </c>
      <c r="D561" s="12">
        <v>41898</v>
      </c>
      <c r="E561" s="12">
        <v>41900</v>
      </c>
      <c r="F561" s="13">
        <v>536.79999999999995</v>
      </c>
      <c r="G561">
        <f t="shared" si="8"/>
        <v>3</v>
      </c>
    </row>
    <row r="562" spans="1:7" x14ac:dyDescent="0.25">
      <c r="A562" s="6" t="s">
        <v>122</v>
      </c>
      <c r="B562" s="7" t="s">
        <v>123</v>
      </c>
      <c r="C562" s="7" t="s">
        <v>11</v>
      </c>
      <c r="D562" s="8">
        <v>41898</v>
      </c>
      <c r="E562" s="8">
        <v>41902</v>
      </c>
      <c r="F562" s="9">
        <v>712.4</v>
      </c>
      <c r="G562">
        <f t="shared" si="8"/>
        <v>5</v>
      </c>
    </row>
    <row r="563" spans="1:7" x14ac:dyDescent="0.25">
      <c r="A563" s="10" t="s">
        <v>57</v>
      </c>
      <c r="B563" s="11" t="s">
        <v>163</v>
      </c>
      <c r="C563" s="11" t="s">
        <v>19</v>
      </c>
      <c r="D563" s="12">
        <v>41898</v>
      </c>
      <c r="E563" s="12">
        <v>41901</v>
      </c>
      <c r="F563" s="13">
        <v>936.4</v>
      </c>
      <c r="G563">
        <f t="shared" si="8"/>
        <v>4</v>
      </c>
    </row>
    <row r="564" spans="1:7" x14ac:dyDescent="0.25">
      <c r="A564" s="6" t="s">
        <v>57</v>
      </c>
      <c r="B564" s="7" t="s">
        <v>163</v>
      </c>
      <c r="C564" s="7" t="s">
        <v>8</v>
      </c>
      <c r="D564" s="8">
        <v>41898</v>
      </c>
      <c r="E564" s="8">
        <v>41902</v>
      </c>
      <c r="F564" s="9">
        <v>1524</v>
      </c>
      <c r="G564">
        <f t="shared" si="8"/>
        <v>5</v>
      </c>
    </row>
    <row r="565" spans="1:7" x14ac:dyDescent="0.25">
      <c r="A565" s="10" t="s">
        <v>22</v>
      </c>
      <c r="B565" s="11" t="s">
        <v>172</v>
      </c>
      <c r="C565" s="11" t="s">
        <v>19</v>
      </c>
      <c r="D565" s="12">
        <v>41898</v>
      </c>
      <c r="E565" s="12">
        <v>41900</v>
      </c>
      <c r="F565" s="13">
        <v>795.4</v>
      </c>
      <c r="G565">
        <f t="shared" si="8"/>
        <v>3</v>
      </c>
    </row>
    <row r="566" spans="1:7" x14ac:dyDescent="0.25">
      <c r="A566" s="6" t="s">
        <v>50</v>
      </c>
      <c r="B566" s="7" t="s">
        <v>51</v>
      </c>
      <c r="C566" s="7" t="s">
        <v>17</v>
      </c>
      <c r="D566" s="8">
        <v>41898</v>
      </c>
      <c r="E566" s="8">
        <v>41901</v>
      </c>
      <c r="F566" s="9">
        <v>1116.5</v>
      </c>
      <c r="G566">
        <f t="shared" si="8"/>
        <v>4</v>
      </c>
    </row>
    <row r="567" spans="1:7" x14ac:dyDescent="0.25">
      <c r="A567" s="10" t="s">
        <v>115</v>
      </c>
      <c r="B567" s="11" t="s">
        <v>140</v>
      </c>
      <c r="C567" s="11" t="s">
        <v>72</v>
      </c>
      <c r="D567" s="12">
        <v>41898</v>
      </c>
      <c r="E567" s="12">
        <v>41899</v>
      </c>
      <c r="F567" s="13">
        <v>693.7</v>
      </c>
      <c r="G567">
        <f t="shared" si="8"/>
        <v>2</v>
      </c>
    </row>
    <row r="568" spans="1:7" x14ac:dyDescent="0.25">
      <c r="A568" s="6" t="s">
        <v>33</v>
      </c>
      <c r="B568" s="7" t="s">
        <v>34</v>
      </c>
      <c r="C568" s="7" t="s">
        <v>72</v>
      </c>
      <c r="D568" s="8">
        <v>41898</v>
      </c>
      <c r="E568" s="8">
        <v>41900</v>
      </c>
      <c r="F568" s="9">
        <v>892.7</v>
      </c>
      <c r="G568">
        <f t="shared" si="8"/>
        <v>3</v>
      </c>
    </row>
    <row r="569" spans="1:7" x14ac:dyDescent="0.25">
      <c r="A569" s="10" t="s">
        <v>33</v>
      </c>
      <c r="B569" s="11" t="s">
        <v>41</v>
      </c>
      <c r="C569" s="11" t="s">
        <v>17</v>
      </c>
      <c r="D569" s="12">
        <v>41898</v>
      </c>
      <c r="E569" s="12">
        <v>41898</v>
      </c>
      <c r="F569" s="13">
        <v>501.5</v>
      </c>
      <c r="G569">
        <f t="shared" si="8"/>
        <v>1</v>
      </c>
    </row>
    <row r="570" spans="1:7" x14ac:dyDescent="0.25">
      <c r="A570" s="6" t="s">
        <v>93</v>
      </c>
      <c r="B570" s="7" t="s">
        <v>106</v>
      </c>
      <c r="C570" s="7" t="s">
        <v>27</v>
      </c>
      <c r="D570" s="8">
        <v>41898</v>
      </c>
      <c r="E570" s="8">
        <v>41899</v>
      </c>
      <c r="F570" s="9">
        <v>570</v>
      </c>
      <c r="G570">
        <f t="shared" si="8"/>
        <v>2</v>
      </c>
    </row>
    <row r="571" spans="1:7" x14ac:dyDescent="0.25">
      <c r="A571" s="10" t="s">
        <v>25</v>
      </c>
      <c r="B571" s="11" t="s">
        <v>35</v>
      </c>
      <c r="C571" s="11" t="s">
        <v>38</v>
      </c>
      <c r="D571" s="12">
        <v>41898</v>
      </c>
      <c r="E571" s="12">
        <v>41901</v>
      </c>
      <c r="F571" s="13">
        <v>665.8</v>
      </c>
      <c r="G571">
        <f t="shared" si="8"/>
        <v>4</v>
      </c>
    </row>
    <row r="572" spans="1:7" x14ac:dyDescent="0.25">
      <c r="A572" s="6" t="s">
        <v>119</v>
      </c>
      <c r="B572" s="7" t="s">
        <v>120</v>
      </c>
      <c r="C572" s="7" t="s">
        <v>30</v>
      </c>
      <c r="D572" s="8">
        <v>41898</v>
      </c>
      <c r="E572" s="8">
        <v>41899</v>
      </c>
      <c r="F572" s="9">
        <v>331.5</v>
      </c>
      <c r="G572">
        <f t="shared" si="8"/>
        <v>2</v>
      </c>
    </row>
    <row r="573" spans="1:7" x14ac:dyDescent="0.25">
      <c r="A573" s="10" t="s">
        <v>6</v>
      </c>
      <c r="B573" s="11" t="s">
        <v>45</v>
      </c>
      <c r="C573" s="11" t="s">
        <v>30</v>
      </c>
      <c r="D573" s="12">
        <v>41898</v>
      </c>
      <c r="E573" s="12">
        <v>41901</v>
      </c>
      <c r="F573" s="13">
        <v>569.5</v>
      </c>
      <c r="G573">
        <f t="shared" si="8"/>
        <v>4</v>
      </c>
    </row>
    <row r="574" spans="1:7" x14ac:dyDescent="0.25">
      <c r="A574" s="6" t="s">
        <v>15</v>
      </c>
      <c r="B574" s="7" t="s">
        <v>16</v>
      </c>
      <c r="C574" s="7" t="s">
        <v>24</v>
      </c>
      <c r="D574" s="8">
        <v>41898</v>
      </c>
      <c r="E574" s="8">
        <v>41902</v>
      </c>
      <c r="F574" s="9">
        <v>886.7</v>
      </c>
      <c r="G574">
        <f t="shared" si="8"/>
        <v>5</v>
      </c>
    </row>
    <row r="575" spans="1:7" x14ac:dyDescent="0.25">
      <c r="A575" s="10" t="s">
        <v>91</v>
      </c>
      <c r="B575" s="11" t="s">
        <v>92</v>
      </c>
      <c r="C575" s="11" t="s">
        <v>8</v>
      </c>
      <c r="D575" s="12">
        <v>41898</v>
      </c>
      <c r="E575" s="12">
        <v>41900</v>
      </c>
      <c r="F575" s="13">
        <v>1102</v>
      </c>
      <c r="G575">
        <f t="shared" si="8"/>
        <v>3</v>
      </c>
    </row>
    <row r="576" spans="1:7" x14ac:dyDescent="0.25">
      <c r="A576" s="6" t="s">
        <v>137</v>
      </c>
      <c r="B576" s="7" t="s">
        <v>138</v>
      </c>
      <c r="C576" s="7" t="s">
        <v>72</v>
      </c>
      <c r="D576" s="8">
        <v>41898</v>
      </c>
      <c r="E576" s="8">
        <v>41900</v>
      </c>
      <c r="F576" s="9">
        <v>892.7</v>
      </c>
      <c r="G576">
        <f t="shared" si="8"/>
        <v>3</v>
      </c>
    </row>
    <row r="577" spans="1:7" x14ac:dyDescent="0.25">
      <c r="A577" s="10" t="s">
        <v>6</v>
      </c>
      <c r="B577" s="11" t="s">
        <v>139</v>
      </c>
      <c r="C577" s="11" t="s">
        <v>24</v>
      </c>
      <c r="D577" s="12">
        <v>41899</v>
      </c>
      <c r="E577" s="12">
        <v>41902</v>
      </c>
      <c r="F577" s="13">
        <v>737.7</v>
      </c>
      <c r="G577">
        <f t="shared" si="8"/>
        <v>4</v>
      </c>
    </row>
    <row r="578" spans="1:7" x14ac:dyDescent="0.25">
      <c r="A578" s="6" t="s">
        <v>86</v>
      </c>
      <c r="B578" s="7" t="s">
        <v>150</v>
      </c>
      <c r="C578" s="7" t="s">
        <v>30</v>
      </c>
      <c r="D578" s="8">
        <v>41899</v>
      </c>
      <c r="E578" s="8">
        <v>41900</v>
      </c>
      <c r="F578" s="9">
        <v>331.5</v>
      </c>
      <c r="G578">
        <f t="shared" si="8"/>
        <v>2</v>
      </c>
    </row>
    <row r="579" spans="1:7" x14ac:dyDescent="0.25">
      <c r="A579" s="10" t="s">
        <v>99</v>
      </c>
      <c r="B579" s="11" t="s">
        <v>130</v>
      </c>
      <c r="C579" s="11" t="s">
        <v>27</v>
      </c>
      <c r="D579" s="12">
        <v>41899</v>
      </c>
      <c r="E579" s="12">
        <v>41900</v>
      </c>
      <c r="F579" s="13">
        <v>570</v>
      </c>
      <c r="G579">
        <f t="shared" ref="G579:G642" si="9">E579-D579 + 1</f>
        <v>2</v>
      </c>
    </row>
    <row r="580" spans="1:7" x14ac:dyDescent="0.25">
      <c r="A580" s="6" t="s">
        <v>50</v>
      </c>
      <c r="B580" s="7" t="s">
        <v>51</v>
      </c>
      <c r="C580" s="7" t="s">
        <v>72</v>
      </c>
      <c r="D580" s="8">
        <v>41899</v>
      </c>
      <c r="E580" s="8">
        <v>41902</v>
      </c>
      <c r="F580" s="9">
        <v>1091.7</v>
      </c>
      <c r="G580">
        <f t="shared" si="9"/>
        <v>4</v>
      </c>
    </row>
    <row r="581" spans="1:7" x14ac:dyDescent="0.25">
      <c r="A581" s="10" t="s">
        <v>82</v>
      </c>
      <c r="B581" s="11" t="s">
        <v>125</v>
      </c>
      <c r="C581" s="11" t="s">
        <v>66</v>
      </c>
      <c r="D581" s="12">
        <v>41899</v>
      </c>
      <c r="E581" s="12">
        <v>41900</v>
      </c>
      <c r="F581" s="13">
        <v>485.7</v>
      </c>
      <c r="G581">
        <f t="shared" si="9"/>
        <v>2</v>
      </c>
    </row>
    <row r="582" spans="1:7" x14ac:dyDescent="0.25">
      <c r="A582" s="6" t="s">
        <v>99</v>
      </c>
      <c r="B582" s="7" t="s">
        <v>100</v>
      </c>
      <c r="C582" s="7" t="s">
        <v>11</v>
      </c>
      <c r="D582" s="8">
        <v>41899</v>
      </c>
      <c r="E582" s="8">
        <v>41903</v>
      </c>
      <c r="F582" s="9">
        <v>712.4</v>
      </c>
      <c r="G582">
        <f t="shared" si="9"/>
        <v>5</v>
      </c>
    </row>
    <row r="583" spans="1:7" x14ac:dyDescent="0.25">
      <c r="A583" s="10" t="s">
        <v>101</v>
      </c>
      <c r="B583" s="11" t="s">
        <v>102</v>
      </c>
      <c r="C583" s="11" t="s">
        <v>27</v>
      </c>
      <c r="D583" s="12">
        <v>41899</v>
      </c>
      <c r="E583" s="12">
        <v>41902</v>
      </c>
      <c r="F583" s="13">
        <v>826</v>
      </c>
      <c r="G583">
        <f t="shared" si="9"/>
        <v>4</v>
      </c>
    </row>
    <row r="584" spans="1:7" x14ac:dyDescent="0.25">
      <c r="A584" s="6" t="s">
        <v>73</v>
      </c>
      <c r="B584" s="7" t="s">
        <v>155</v>
      </c>
      <c r="C584" s="7" t="s">
        <v>17</v>
      </c>
      <c r="D584" s="8">
        <v>41899</v>
      </c>
      <c r="E584" s="8">
        <v>41900</v>
      </c>
      <c r="F584" s="9">
        <v>706.5</v>
      </c>
      <c r="G584">
        <f t="shared" si="9"/>
        <v>2</v>
      </c>
    </row>
    <row r="585" spans="1:7" x14ac:dyDescent="0.25">
      <c r="A585" s="10" t="s">
        <v>151</v>
      </c>
      <c r="B585" s="11" t="s">
        <v>152</v>
      </c>
      <c r="C585" s="11" t="s">
        <v>14</v>
      </c>
      <c r="D585" s="12">
        <v>41899</v>
      </c>
      <c r="E585" s="12">
        <v>41902</v>
      </c>
      <c r="F585" s="13">
        <v>550.5</v>
      </c>
      <c r="G585">
        <f t="shared" si="9"/>
        <v>4</v>
      </c>
    </row>
    <row r="586" spans="1:7" x14ac:dyDescent="0.25">
      <c r="A586" s="6" t="s">
        <v>119</v>
      </c>
      <c r="B586" s="7" t="s">
        <v>120</v>
      </c>
      <c r="C586" s="7" t="s">
        <v>47</v>
      </c>
      <c r="D586" s="8">
        <v>41899</v>
      </c>
      <c r="E586" s="8">
        <v>41900</v>
      </c>
      <c r="F586" s="9">
        <v>526.79999999999995</v>
      </c>
      <c r="G586">
        <f t="shared" si="9"/>
        <v>2</v>
      </c>
    </row>
    <row r="587" spans="1:7" x14ac:dyDescent="0.25">
      <c r="A587" s="10" t="s">
        <v>111</v>
      </c>
      <c r="B587" s="11" t="s">
        <v>112</v>
      </c>
      <c r="C587" s="11" t="s">
        <v>30</v>
      </c>
      <c r="D587" s="12">
        <v>41899</v>
      </c>
      <c r="E587" s="12">
        <v>41902</v>
      </c>
      <c r="F587" s="13">
        <v>569.5</v>
      </c>
      <c r="G587">
        <f t="shared" si="9"/>
        <v>4</v>
      </c>
    </row>
    <row r="588" spans="1:7" x14ac:dyDescent="0.25">
      <c r="A588" s="6" t="s">
        <v>75</v>
      </c>
      <c r="B588" s="7" t="s">
        <v>76</v>
      </c>
      <c r="C588" s="7" t="s">
        <v>47</v>
      </c>
      <c r="D588" s="8">
        <v>41899</v>
      </c>
      <c r="E588" s="8">
        <v>41903</v>
      </c>
      <c r="F588" s="9">
        <v>1015.8</v>
      </c>
      <c r="G588">
        <f t="shared" si="9"/>
        <v>5</v>
      </c>
    </row>
    <row r="589" spans="1:7" x14ac:dyDescent="0.25">
      <c r="A589" s="10" t="s">
        <v>113</v>
      </c>
      <c r="B589" s="11" t="s">
        <v>114</v>
      </c>
      <c r="C589" s="11" t="s">
        <v>8</v>
      </c>
      <c r="D589" s="12">
        <v>41899</v>
      </c>
      <c r="E589" s="12">
        <v>41901</v>
      </c>
      <c r="F589" s="13">
        <v>1102</v>
      </c>
      <c r="G589">
        <f t="shared" si="9"/>
        <v>3</v>
      </c>
    </row>
    <row r="590" spans="1:7" x14ac:dyDescent="0.25">
      <c r="A590" s="6" t="s">
        <v>70</v>
      </c>
      <c r="B590" s="7" t="s">
        <v>117</v>
      </c>
      <c r="C590" s="7" t="s">
        <v>27</v>
      </c>
      <c r="D590" s="8">
        <v>41899</v>
      </c>
      <c r="E590" s="8">
        <v>41902</v>
      </c>
      <c r="F590" s="9">
        <v>826</v>
      </c>
      <c r="G590">
        <f t="shared" si="9"/>
        <v>4</v>
      </c>
    </row>
    <row r="591" spans="1:7" x14ac:dyDescent="0.25">
      <c r="A591" s="10" t="s">
        <v>20</v>
      </c>
      <c r="B591" s="11" t="s">
        <v>21</v>
      </c>
      <c r="C591" s="11" t="s">
        <v>11</v>
      </c>
      <c r="D591" s="12">
        <v>41899</v>
      </c>
      <c r="E591" s="12">
        <v>41901</v>
      </c>
      <c r="F591" s="13">
        <v>434.4</v>
      </c>
      <c r="G591">
        <f t="shared" si="9"/>
        <v>3</v>
      </c>
    </row>
    <row r="592" spans="1:7" x14ac:dyDescent="0.25">
      <c r="A592" s="6" t="s">
        <v>33</v>
      </c>
      <c r="B592" s="7" t="s">
        <v>41</v>
      </c>
      <c r="C592" s="7" t="s">
        <v>11</v>
      </c>
      <c r="D592" s="8">
        <v>41900</v>
      </c>
      <c r="E592" s="8">
        <v>41902</v>
      </c>
      <c r="F592" s="9">
        <v>434.4</v>
      </c>
      <c r="G592">
        <f t="shared" si="9"/>
        <v>3</v>
      </c>
    </row>
    <row r="593" spans="1:7" x14ac:dyDescent="0.25">
      <c r="A593" s="10" t="s">
        <v>12</v>
      </c>
      <c r="B593" s="11" t="s">
        <v>13</v>
      </c>
      <c r="C593" s="11" t="s">
        <v>8</v>
      </c>
      <c r="D593" s="12">
        <v>41901</v>
      </c>
      <c r="E593" s="12">
        <v>41901</v>
      </c>
      <c r="F593" s="13">
        <v>680</v>
      </c>
      <c r="G593">
        <f t="shared" si="9"/>
        <v>1</v>
      </c>
    </row>
    <row r="594" spans="1:7" x14ac:dyDescent="0.25">
      <c r="A594" s="6" t="s">
        <v>82</v>
      </c>
      <c r="B594" s="7" t="s">
        <v>125</v>
      </c>
      <c r="C594" s="7" t="s">
        <v>17</v>
      </c>
      <c r="D594" s="8">
        <v>41902</v>
      </c>
      <c r="E594" s="8">
        <v>41902</v>
      </c>
      <c r="F594" s="9">
        <v>501.5</v>
      </c>
      <c r="G594">
        <f t="shared" si="9"/>
        <v>1</v>
      </c>
    </row>
    <row r="595" spans="1:7" x14ac:dyDescent="0.25">
      <c r="A595" s="10" t="s">
        <v>15</v>
      </c>
      <c r="B595" s="11" t="s">
        <v>44</v>
      </c>
      <c r="C595" s="11" t="s">
        <v>38</v>
      </c>
      <c r="D595" s="12">
        <v>41904</v>
      </c>
      <c r="E595" s="12">
        <v>41904</v>
      </c>
      <c r="F595" s="13">
        <v>278.8</v>
      </c>
      <c r="G595">
        <f t="shared" si="9"/>
        <v>1</v>
      </c>
    </row>
    <row r="596" spans="1:7" x14ac:dyDescent="0.25">
      <c r="A596" s="6" t="s">
        <v>22</v>
      </c>
      <c r="B596" s="7" t="s">
        <v>23</v>
      </c>
      <c r="C596" s="7" t="s">
        <v>59</v>
      </c>
      <c r="D596" s="8">
        <v>41905</v>
      </c>
      <c r="E596" s="8">
        <v>41909</v>
      </c>
      <c r="F596" s="9">
        <v>1078</v>
      </c>
      <c r="G596">
        <f t="shared" si="9"/>
        <v>5</v>
      </c>
    </row>
    <row r="597" spans="1:7" x14ac:dyDescent="0.25">
      <c r="A597" s="10" t="s">
        <v>93</v>
      </c>
      <c r="B597" s="11" t="s">
        <v>124</v>
      </c>
      <c r="C597" s="11" t="s">
        <v>24</v>
      </c>
      <c r="D597" s="12">
        <v>41905</v>
      </c>
      <c r="E597" s="12">
        <v>41909</v>
      </c>
      <c r="F597" s="13">
        <v>886.7</v>
      </c>
      <c r="G597">
        <f t="shared" si="9"/>
        <v>5</v>
      </c>
    </row>
    <row r="598" spans="1:7" x14ac:dyDescent="0.25">
      <c r="A598" s="6" t="s">
        <v>52</v>
      </c>
      <c r="B598" s="7" t="s">
        <v>53</v>
      </c>
      <c r="C598" s="7" t="s">
        <v>19</v>
      </c>
      <c r="D598" s="8">
        <v>41905</v>
      </c>
      <c r="E598" s="8">
        <v>41905</v>
      </c>
      <c r="F598" s="9">
        <v>513.4</v>
      </c>
      <c r="G598">
        <f t="shared" si="9"/>
        <v>1</v>
      </c>
    </row>
    <row r="599" spans="1:7" x14ac:dyDescent="0.25">
      <c r="A599" s="10" t="s">
        <v>107</v>
      </c>
      <c r="B599" s="11" t="s">
        <v>108</v>
      </c>
      <c r="C599" s="11" t="s">
        <v>17</v>
      </c>
      <c r="D599" s="12">
        <v>41905</v>
      </c>
      <c r="E599" s="12">
        <v>41907</v>
      </c>
      <c r="F599" s="13">
        <v>911.5</v>
      </c>
      <c r="G599">
        <f t="shared" si="9"/>
        <v>3</v>
      </c>
    </row>
    <row r="600" spans="1:7" x14ac:dyDescent="0.25">
      <c r="A600" s="6" t="s">
        <v>9</v>
      </c>
      <c r="B600" s="7" t="s">
        <v>18</v>
      </c>
      <c r="C600" s="7" t="s">
        <v>19</v>
      </c>
      <c r="D600" s="8">
        <v>41905</v>
      </c>
      <c r="E600" s="8">
        <v>41908</v>
      </c>
      <c r="F600" s="9">
        <v>936.4</v>
      </c>
      <c r="G600">
        <f t="shared" si="9"/>
        <v>4</v>
      </c>
    </row>
    <row r="601" spans="1:7" x14ac:dyDescent="0.25">
      <c r="A601" s="10" t="s">
        <v>20</v>
      </c>
      <c r="B601" s="11" t="s">
        <v>21</v>
      </c>
      <c r="C601" s="11" t="s">
        <v>17</v>
      </c>
      <c r="D601" s="12">
        <v>41905</v>
      </c>
      <c r="E601" s="12">
        <v>41905</v>
      </c>
      <c r="F601" s="13">
        <v>501.5</v>
      </c>
      <c r="G601">
        <f t="shared" si="9"/>
        <v>1</v>
      </c>
    </row>
    <row r="602" spans="1:7" x14ac:dyDescent="0.25">
      <c r="A602" s="6" t="s">
        <v>15</v>
      </c>
      <c r="B602" s="7" t="s">
        <v>16</v>
      </c>
      <c r="C602" s="7" t="s">
        <v>8</v>
      </c>
      <c r="D602" s="8">
        <v>41906</v>
      </c>
      <c r="E602" s="8">
        <v>41908</v>
      </c>
      <c r="F602" s="9">
        <v>1102</v>
      </c>
      <c r="G602">
        <f t="shared" si="9"/>
        <v>3</v>
      </c>
    </row>
    <row r="603" spans="1:7" x14ac:dyDescent="0.25">
      <c r="A603" s="10" t="s">
        <v>52</v>
      </c>
      <c r="B603" s="11" t="s">
        <v>53</v>
      </c>
      <c r="C603" s="11" t="s">
        <v>24</v>
      </c>
      <c r="D603" s="12">
        <v>41908</v>
      </c>
      <c r="E603" s="12">
        <v>41908</v>
      </c>
      <c r="F603" s="13">
        <v>290.7</v>
      </c>
      <c r="G603">
        <f t="shared" si="9"/>
        <v>1</v>
      </c>
    </row>
    <row r="604" spans="1:7" x14ac:dyDescent="0.25">
      <c r="A604" s="6" t="s">
        <v>48</v>
      </c>
      <c r="B604" s="7" t="s">
        <v>49</v>
      </c>
      <c r="C604" s="7" t="s">
        <v>14</v>
      </c>
      <c r="D604" s="8">
        <v>41910</v>
      </c>
      <c r="E604" s="8">
        <v>41910</v>
      </c>
      <c r="F604" s="9">
        <v>178.5</v>
      </c>
      <c r="G604">
        <f t="shared" si="9"/>
        <v>1</v>
      </c>
    </row>
    <row r="605" spans="1:7" x14ac:dyDescent="0.25">
      <c r="A605" s="10" t="s">
        <v>6</v>
      </c>
      <c r="B605" s="11" t="s">
        <v>139</v>
      </c>
      <c r="C605" s="11" t="s">
        <v>8</v>
      </c>
      <c r="D605" s="12">
        <v>41910</v>
      </c>
      <c r="E605" s="12">
        <v>41912</v>
      </c>
      <c r="F605" s="13">
        <v>1102</v>
      </c>
      <c r="G605">
        <f t="shared" si="9"/>
        <v>3</v>
      </c>
    </row>
    <row r="606" spans="1:7" x14ac:dyDescent="0.25">
      <c r="A606" s="6" t="s">
        <v>57</v>
      </c>
      <c r="B606" s="7" t="s">
        <v>163</v>
      </c>
      <c r="C606" s="7" t="s">
        <v>24</v>
      </c>
      <c r="D606" s="8">
        <v>41910</v>
      </c>
      <c r="E606" s="8">
        <v>41914</v>
      </c>
      <c r="F606" s="9">
        <v>886.7</v>
      </c>
      <c r="G606">
        <f t="shared" si="9"/>
        <v>5</v>
      </c>
    </row>
    <row r="607" spans="1:7" x14ac:dyDescent="0.25">
      <c r="A607" s="10" t="s">
        <v>131</v>
      </c>
      <c r="B607" s="11" t="s">
        <v>142</v>
      </c>
      <c r="C607" s="11" t="s">
        <v>17</v>
      </c>
      <c r="D607" s="12">
        <v>41910</v>
      </c>
      <c r="E607" s="12">
        <v>41914</v>
      </c>
      <c r="F607" s="13">
        <v>1321.5</v>
      </c>
      <c r="G607">
        <f t="shared" si="9"/>
        <v>5</v>
      </c>
    </row>
    <row r="608" spans="1:7" x14ac:dyDescent="0.25">
      <c r="A608" s="6" t="s">
        <v>82</v>
      </c>
      <c r="B608" s="7" t="s">
        <v>83</v>
      </c>
      <c r="C608" s="7" t="s">
        <v>8</v>
      </c>
      <c r="D608" s="8">
        <v>41910</v>
      </c>
      <c r="E608" s="8">
        <v>41911</v>
      </c>
      <c r="F608" s="9">
        <v>891</v>
      </c>
      <c r="G608">
        <f t="shared" si="9"/>
        <v>2</v>
      </c>
    </row>
    <row r="609" spans="1:7" x14ac:dyDescent="0.25">
      <c r="A609" s="10" t="s">
        <v>84</v>
      </c>
      <c r="B609" s="11" t="s">
        <v>85</v>
      </c>
      <c r="C609" s="11" t="s">
        <v>30</v>
      </c>
      <c r="D609" s="12">
        <v>41910</v>
      </c>
      <c r="E609" s="12">
        <v>41911</v>
      </c>
      <c r="F609" s="13">
        <v>331.5</v>
      </c>
      <c r="G609">
        <f t="shared" si="9"/>
        <v>2</v>
      </c>
    </row>
    <row r="610" spans="1:7" x14ac:dyDescent="0.25">
      <c r="A610" s="6" t="s">
        <v>82</v>
      </c>
      <c r="B610" s="7" t="s">
        <v>125</v>
      </c>
      <c r="C610" s="7" t="s">
        <v>30</v>
      </c>
      <c r="D610" s="8">
        <v>41910</v>
      </c>
      <c r="E610" s="8">
        <v>41912</v>
      </c>
      <c r="F610" s="9">
        <v>450.5</v>
      </c>
      <c r="G610">
        <f t="shared" si="9"/>
        <v>3</v>
      </c>
    </row>
    <row r="611" spans="1:7" x14ac:dyDescent="0.25">
      <c r="A611" s="10" t="s">
        <v>134</v>
      </c>
      <c r="B611" s="11" t="s">
        <v>135</v>
      </c>
      <c r="C611" s="11" t="s">
        <v>38</v>
      </c>
      <c r="D611" s="12">
        <v>41910</v>
      </c>
      <c r="E611" s="12">
        <v>41911</v>
      </c>
      <c r="F611" s="13">
        <v>407.8</v>
      </c>
      <c r="G611">
        <f t="shared" si="9"/>
        <v>2</v>
      </c>
    </row>
    <row r="612" spans="1:7" x14ac:dyDescent="0.25">
      <c r="A612" s="6" t="s">
        <v>9</v>
      </c>
      <c r="B612" s="7" t="s">
        <v>18</v>
      </c>
      <c r="C612" s="7" t="s">
        <v>66</v>
      </c>
      <c r="D612" s="8">
        <v>41910</v>
      </c>
      <c r="E612" s="8">
        <v>41913</v>
      </c>
      <c r="F612" s="9">
        <v>841.7</v>
      </c>
      <c r="G612">
        <f t="shared" si="9"/>
        <v>4</v>
      </c>
    </row>
    <row r="613" spans="1:7" x14ac:dyDescent="0.25">
      <c r="A613" s="10" t="s">
        <v>54</v>
      </c>
      <c r="B613" s="11" t="s">
        <v>118</v>
      </c>
      <c r="C613" s="11" t="s">
        <v>30</v>
      </c>
      <c r="D613" s="12">
        <v>41910</v>
      </c>
      <c r="E613" s="12">
        <v>41912</v>
      </c>
      <c r="F613" s="13">
        <v>450.5</v>
      </c>
      <c r="G613">
        <f t="shared" si="9"/>
        <v>3</v>
      </c>
    </row>
    <row r="614" spans="1:7" x14ac:dyDescent="0.25">
      <c r="A614" s="6" t="s">
        <v>22</v>
      </c>
      <c r="B614" s="7" t="s">
        <v>23</v>
      </c>
      <c r="C614" s="7" t="s">
        <v>24</v>
      </c>
      <c r="D614" s="8">
        <v>41911</v>
      </c>
      <c r="E614" s="8">
        <v>41915</v>
      </c>
      <c r="F614" s="9">
        <v>886.7</v>
      </c>
      <c r="G614">
        <f t="shared" si="9"/>
        <v>5</v>
      </c>
    </row>
    <row r="615" spans="1:7" x14ac:dyDescent="0.25">
      <c r="A615" s="10" t="s">
        <v>15</v>
      </c>
      <c r="B615" s="11" t="s">
        <v>44</v>
      </c>
      <c r="C615" s="11" t="s">
        <v>27</v>
      </c>
      <c r="D615" s="12">
        <v>41911</v>
      </c>
      <c r="E615" s="12">
        <v>41913</v>
      </c>
      <c r="F615" s="13">
        <v>698</v>
      </c>
      <c r="G615">
        <f t="shared" si="9"/>
        <v>3</v>
      </c>
    </row>
    <row r="616" spans="1:7" x14ac:dyDescent="0.25">
      <c r="A616" s="6" t="s">
        <v>6</v>
      </c>
      <c r="B616" s="7" t="s">
        <v>7</v>
      </c>
      <c r="C616" s="7" t="s">
        <v>19</v>
      </c>
      <c r="D616" s="8">
        <v>41911</v>
      </c>
      <c r="E616" s="8">
        <v>41913</v>
      </c>
      <c r="F616" s="9">
        <v>795.4</v>
      </c>
      <c r="G616">
        <f t="shared" si="9"/>
        <v>3</v>
      </c>
    </row>
    <row r="617" spans="1:7" x14ac:dyDescent="0.25">
      <c r="A617" s="10" t="s">
        <v>22</v>
      </c>
      <c r="B617" s="11" t="s">
        <v>172</v>
      </c>
      <c r="C617" s="11" t="s">
        <v>11</v>
      </c>
      <c r="D617" s="12">
        <v>41911</v>
      </c>
      <c r="E617" s="12">
        <v>41915</v>
      </c>
      <c r="F617" s="13">
        <v>712.4</v>
      </c>
      <c r="G617">
        <f t="shared" si="9"/>
        <v>5</v>
      </c>
    </row>
    <row r="618" spans="1:7" x14ac:dyDescent="0.25">
      <c r="A618" s="6" t="s">
        <v>25</v>
      </c>
      <c r="B618" s="7" t="s">
        <v>67</v>
      </c>
      <c r="C618" s="7" t="s">
        <v>66</v>
      </c>
      <c r="D618" s="8">
        <v>41911</v>
      </c>
      <c r="E618" s="8">
        <v>41912</v>
      </c>
      <c r="F618" s="9">
        <v>485.7</v>
      </c>
      <c r="G618">
        <f t="shared" si="9"/>
        <v>2</v>
      </c>
    </row>
    <row r="619" spans="1:7" x14ac:dyDescent="0.25">
      <c r="A619" s="10" t="s">
        <v>61</v>
      </c>
      <c r="B619" s="11" t="s">
        <v>62</v>
      </c>
      <c r="C619" s="11" t="s">
        <v>47</v>
      </c>
      <c r="D619" s="12">
        <v>41911</v>
      </c>
      <c r="E619" s="12">
        <v>41913</v>
      </c>
      <c r="F619" s="13">
        <v>689.8</v>
      </c>
      <c r="G619">
        <f t="shared" si="9"/>
        <v>3</v>
      </c>
    </row>
    <row r="620" spans="1:7" x14ac:dyDescent="0.25">
      <c r="A620" s="6" t="s">
        <v>170</v>
      </c>
      <c r="B620" s="7" t="s">
        <v>171</v>
      </c>
      <c r="C620" s="7" t="s">
        <v>38</v>
      </c>
      <c r="D620" s="8">
        <v>41911</v>
      </c>
      <c r="E620" s="8">
        <v>41913</v>
      </c>
      <c r="F620" s="9">
        <v>536.79999999999995</v>
      </c>
      <c r="G620">
        <f t="shared" si="9"/>
        <v>3</v>
      </c>
    </row>
    <row r="621" spans="1:7" x14ac:dyDescent="0.25">
      <c r="A621" s="10" t="s">
        <v>126</v>
      </c>
      <c r="B621" s="11" t="s">
        <v>127</v>
      </c>
      <c r="C621" s="11" t="s">
        <v>47</v>
      </c>
      <c r="D621" s="12">
        <v>41911</v>
      </c>
      <c r="E621" s="12">
        <v>41913</v>
      </c>
      <c r="F621" s="13">
        <v>689.8</v>
      </c>
      <c r="G621">
        <f t="shared" si="9"/>
        <v>3</v>
      </c>
    </row>
    <row r="622" spans="1:7" x14ac:dyDescent="0.25">
      <c r="A622" s="6" t="s">
        <v>9</v>
      </c>
      <c r="B622" s="7" t="s">
        <v>103</v>
      </c>
      <c r="C622" s="7" t="s">
        <v>38</v>
      </c>
      <c r="D622" s="8">
        <v>41911</v>
      </c>
      <c r="E622" s="8">
        <v>41911</v>
      </c>
      <c r="F622" s="9">
        <v>278.8</v>
      </c>
      <c r="G622">
        <f t="shared" si="9"/>
        <v>1</v>
      </c>
    </row>
    <row r="623" spans="1:7" x14ac:dyDescent="0.25">
      <c r="A623" s="10" t="s">
        <v>86</v>
      </c>
      <c r="B623" s="11" t="s">
        <v>87</v>
      </c>
      <c r="C623" s="11" t="s">
        <v>24</v>
      </c>
      <c r="D623" s="12">
        <v>41911</v>
      </c>
      <c r="E623" s="12">
        <v>41912</v>
      </c>
      <c r="F623" s="13">
        <v>439.7</v>
      </c>
      <c r="G623">
        <f t="shared" si="9"/>
        <v>2</v>
      </c>
    </row>
    <row r="624" spans="1:7" x14ac:dyDescent="0.25">
      <c r="A624" s="6" t="s">
        <v>12</v>
      </c>
      <c r="B624" s="7" t="s">
        <v>13</v>
      </c>
      <c r="C624" s="7" t="s">
        <v>17</v>
      </c>
      <c r="D624" s="8">
        <v>41911</v>
      </c>
      <c r="E624" s="8">
        <v>41912</v>
      </c>
      <c r="F624" s="9">
        <v>706.5</v>
      </c>
      <c r="G624">
        <f t="shared" si="9"/>
        <v>2</v>
      </c>
    </row>
    <row r="625" spans="1:7" x14ac:dyDescent="0.25">
      <c r="A625" s="10" t="s">
        <v>42</v>
      </c>
      <c r="B625" s="11" t="s">
        <v>43</v>
      </c>
      <c r="C625" s="11" t="s">
        <v>24</v>
      </c>
      <c r="D625" s="12">
        <v>41911</v>
      </c>
      <c r="E625" s="12">
        <v>41913</v>
      </c>
      <c r="F625" s="13">
        <v>588.70000000000005</v>
      </c>
      <c r="G625">
        <f t="shared" si="9"/>
        <v>3</v>
      </c>
    </row>
    <row r="626" spans="1:7" x14ac:dyDescent="0.25">
      <c r="A626" s="6" t="s">
        <v>166</v>
      </c>
      <c r="B626" s="7" t="s">
        <v>167</v>
      </c>
      <c r="C626" s="7" t="s">
        <v>47</v>
      </c>
      <c r="D626" s="8">
        <v>41911</v>
      </c>
      <c r="E626" s="8">
        <v>41915</v>
      </c>
      <c r="F626" s="9">
        <v>1015.8</v>
      </c>
      <c r="G626">
        <f t="shared" si="9"/>
        <v>5</v>
      </c>
    </row>
    <row r="627" spans="1:7" x14ac:dyDescent="0.25">
      <c r="A627" s="10" t="s">
        <v>134</v>
      </c>
      <c r="B627" s="11" t="s">
        <v>149</v>
      </c>
      <c r="C627" s="11" t="s">
        <v>27</v>
      </c>
      <c r="D627" s="12">
        <v>41911</v>
      </c>
      <c r="E627" s="12">
        <v>41913</v>
      </c>
      <c r="F627" s="13">
        <v>698</v>
      </c>
      <c r="G627">
        <f t="shared" si="9"/>
        <v>3</v>
      </c>
    </row>
    <row r="628" spans="1:7" x14ac:dyDescent="0.25">
      <c r="A628" s="6" t="s">
        <v>111</v>
      </c>
      <c r="B628" s="7" t="s">
        <v>112</v>
      </c>
      <c r="C628" s="7" t="s">
        <v>47</v>
      </c>
      <c r="D628" s="8">
        <v>41911</v>
      </c>
      <c r="E628" s="8">
        <v>41914</v>
      </c>
      <c r="F628" s="9">
        <v>852.8</v>
      </c>
      <c r="G628">
        <f t="shared" si="9"/>
        <v>4</v>
      </c>
    </row>
    <row r="629" spans="1:7" x14ac:dyDescent="0.25">
      <c r="A629" s="10" t="s">
        <v>20</v>
      </c>
      <c r="B629" s="11" t="s">
        <v>162</v>
      </c>
      <c r="C629" s="11" t="s">
        <v>30</v>
      </c>
      <c r="D629" s="12">
        <v>41911</v>
      </c>
      <c r="E629" s="12">
        <v>41914</v>
      </c>
      <c r="F629" s="13">
        <v>569.5</v>
      </c>
      <c r="G629">
        <f t="shared" si="9"/>
        <v>4</v>
      </c>
    </row>
    <row r="630" spans="1:7" x14ac:dyDescent="0.25">
      <c r="A630" s="6" t="s">
        <v>15</v>
      </c>
      <c r="B630" s="7" t="s">
        <v>63</v>
      </c>
      <c r="C630" s="7" t="s">
        <v>27</v>
      </c>
      <c r="D630" s="8">
        <v>41911</v>
      </c>
      <c r="E630" s="8">
        <v>41912</v>
      </c>
      <c r="F630" s="9">
        <v>570</v>
      </c>
      <c r="G630">
        <f t="shared" si="9"/>
        <v>2</v>
      </c>
    </row>
    <row r="631" spans="1:7" x14ac:dyDescent="0.25">
      <c r="A631" s="10" t="s">
        <v>91</v>
      </c>
      <c r="B631" s="11" t="s">
        <v>92</v>
      </c>
      <c r="C631" s="11" t="s">
        <v>66</v>
      </c>
      <c r="D631" s="12">
        <v>41911</v>
      </c>
      <c r="E631" s="12">
        <v>41915</v>
      </c>
      <c r="F631" s="13">
        <v>1019.7</v>
      </c>
      <c r="G631">
        <f t="shared" si="9"/>
        <v>5</v>
      </c>
    </row>
    <row r="632" spans="1:7" x14ac:dyDescent="0.25">
      <c r="A632" s="6" t="s">
        <v>131</v>
      </c>
      <c r="B632" s="7" t="s">
        <v>132</v>
      </c>
      <c r="C632" s="7" t="s">
        <v>59</v>
      </c>
      <c r="D632" s="8">
        <v>41911</v>
      </c>
      <c r="E632" s="8">
        <v>41911</v>
      </c>
      <c r="F632" s="9">
        <v>442</v>
      </c>
      <c r="G632">
        <f t="shared" si="9"/>
        <v>1</v>
      </c>
    </row>
    <row r="633" spans="1:7" x14ac:dyDescent="0.25">
      <c r="A633" s="10" t="s">
        <v>50</v>
      </c>
      <c r="B633" s="11" t="s">
        <v>51</v>
      </c>
      <c r="C633" s="11" t="s">
        <v>30</v>
      </c>
      <c r="D633" s="12">
        <v>41912</v>
      </c>
      <c r="E633" s="12">
        <v>41912</v>
      </c>
      <c r="F633" s="13">
        <v>212.5</v>
      </c>
      <c r="G633">
        <f t="shared" si="9"/>
        <v>1</v>
      </c>
    </row>
    <row r="634" spans="1:7" x14ac:dyDescent="0.25">
      <c r="A634" s="6" t="s">
        <v>82</v>
      </c>
      <c r="B634" s="7" t="s">
        <v>83</v>
      </c>
      <c r="C634" s="7" t="s">
        <v>27</v>
      </c>
      <c r="D634" s="8">
        <v>41913</v>
      </c>
      <c r="E634" s="8">
        <v>41913</v>
      </c>
      <c r="F634" s="9">
        <v>442</v>
      </c>
      <c r="G634">
        <f t="shared" si="9"/>
        <v>1</v>
      </c>
    </row>
    <row r="635" spans="1:7" x14ac:dyDescent="0.25">
      <c r="A635" s="10" t="s">
        <v>84</v>
      </c>
      <c r="B635" s="11" t="s">
        <v>85</v>
      </c>
      <c r="C635" s="11" t="s">
        <v>59</v>
      </c>
      <c r="D635" s="12">
        <v>41913</v>
      </c>
      <c r="E635" s="12">
        <v>41913</v>
      </c>
      <c r="F635" s="13">
        <v>442</v>
      </c>
      <c r="G635">
        <f t="shared" si="9"/>
        <v>1</v>
      </c>
    </row>
    <row r="636" spans="1:7" x14ac:dyDescent="0.25">
      <c r="A636" s="6" t="s">
        <v>143</v>
      </c>
      <c r="B636" s="7" t="s">
        <v>144</v>
      </c>
      <c r="C636" s="7" t="s">
        <v>66</v>
      </c>
      <c r="D636" s="8">
        <v>41914</v>
      </c>
      <c r="E636" s="8">
        <v>41914</v>
      </c>
      <c r="F636" s="9">
        <v>307.7</v>
      </c>
      <c r="G636">
        <f t="shared" si="9"/>
        <v>1</v>
      </c>
    </row>
    <row r="637" spans="1:7" x14ac:dyDescent="0.25">
      <c r="A637" s="10" t="s">
        <v>113</v>
      </c>
      <c r="B637" s="11" t="s">
        <v>114</v>
      </c>
      <c r="C637" s="11" t="s">
        <v>24</v>
      </c>
      <c r="D637" s="12">
        <v>41914</v>
      </c>
      <c r="E637" s="12">
        <v>41915</v>
      </c>
      <c r="F637" s="13">
        <v>439.7</v>
      </c>
      <c r="G637">
        <f t="shared" si="9"/>
        <v>2</v>
      </c>
    </row>
    <row r="638" spans="1:7" x14ac:dyDescent="0.25">
      <c r="A638" s="6" t="s">
        <v>82</v>
      </c>
      <c r="B638" s="7" t="s">
        <v>125</v>
      </c>
      <c r="C638" s="7" t="s">
        <v>11</v>
      </c>
      <c r="D638" s="8">
        <v>41915</v>
      </c>
      <c r="E638" s="8">
        <v>41915</v>
      </c>
      <c r="F638" s="9">
        <v>156.4</v>
      </c>
      <c r="G638">
        <f t="shared" si="9"/>
        <v>1</v>
      </c>
    </row>
    <row r="639" spans="1:7" x14ac:dyDescent="0.25">
      <c r="A639" s="10" t="s">
        <v>9</v>
      </c>
      <c r="B639" s="11" t="s">
        <v>103</v>
      </c>
      <c r="C639" s="11" t="s">
        <v>24</v>
      </c>
      <c r="D639" s="12">
        <v>41915</v>
      </c>
      <c r="E639" s="12">
        <v>41915</v>
      </c>
      <c r="F639" s="13">
        <v>290.7</v>
      </c>
      <c r="G639">
        <f t="shared" si="9"/>
        <v>1</v>
      </c>
    </row>
    <row r="640" spans="1:7" x14ac:dyDescent="0.25">
      <c r="A640" s="6" t="s">
        <v>131</v>
      </c>
      <c r="B640" s="7" t="s">
        <v>132</v>
      </c>
      <c r="C640" s="7" t="s">
        <v>24</v>
      </c>
      <c r="D640" s="8">
        <v>41915</v>
      </c>
      <c r="E640" s="8">
        <v>41915</v>
      </c>
      <c r="F640" s="9">
        <v>290.7</v>
      </c>
      <c r="G640">
        <f t="shared" si="9"/>
        <v>1</v>
      </c>
    </row>
    <row r="641" spans="1:7" x14ac:dyDescent="0.25">
      <c r="A641" s="10" t="s">
        <v>119</v>
      </c>
      <c r="B641" s="11" t="s">
        <v>120</v>
      </c>
      <c r="C641" s="11" t="s">
        <v>30</v>
      </c>
      <c r="D641" s="12">
        <v>41917</v>
      </c>
      <c r="E641" s="12">
        <v>41918</v>
      </c>
      <c r="F641" s="13">
        <v>331.5</v>
      </c>
      <c r="G641">
        <f t="shared" si="9"/>
        <v>2</v>
      </c>
    </row>
    <row r="642" spans="1:7" x14ac:dyDescent="0.25">
      <c r="A642" s="6" t="s">
        <v>137</v>
      </c>
      <c r="B642" s="7" t="s">
        <v>138</v>
      </c>
      <c r="C642" s="7" t="s">
        <v>8</v>
      </c>
      <c r="D642" s="8">
        <v>41917</v>
      </c>
      <c r="E642" s="8">
        <v>41918</v>
      </c>
      <c r="F642" s="9">
        <v>891</v>
      </c>
      <c r="G642">
        <f t="shared" si="9"/>
        <v>2</v>
      </c>
    </row>
    <row r="643" spans="1:7" x14ac:dyDescent="0.25">
      <c r="A643" s="10" t="s">
        <v>115</v>
      </c>
      <c r="B643" s="11" t="s">
        <v>116</v>
      </c>
      <c r="C643" s="11" t="s">
        <v>66</v>
      </c>
      <c r="D643" s="12">
        <v>41917</v>
      </c>
      <c r="E643" s="12">
        <v>41921</v>
      </c>
      <c r="F643" s="13">
        <v>1019.7</v>
      </c>
      <c r="G643">
        <f t="shared" ref="G643:G706" si="10">E643-D643 + 1</f>
        <v>5</v>
      </c>
    </row>
    <row r="644" spans="1:7" x14ac:dyDescent="0.25">
      <c r="A644" s="6" t="s">
        <v>31</v>
      </c>
      <c r="B644" s="7" t="s">
        <v>32</v>
      </c>
      <c r="C644" s="7" t="s">
        <v>27</v>
      </c>
      <c r="D644" s="8">
        <v>41918</v>
      </c>
      <c r="E644" s="8">
        <v>41918</v>
      </c>
      <c r="F644" s="9">
        <v>442</v>
      </c>
      <c r="G644">
        <f t="shared" si="10"/>
        <v>1</v>
      </c>
    </row>
    <row r="645" spans="1:7" x14ac:dyDescent="0.25">
      <c r="A645" s="10" t="s">
        <v>145</v>
      </c>
      <c r="B645" s="11" t="s">
        <v>146</v>
      </c>
      <c r="C645" s="11" t="s">
        <v>66</v>
      </c>
      <c r="D645" s="12">
        <v>41918</v>
      </c>
      <c r="E645" s="12">
        <v>41919</v>
      </c>
      <c r="F645" s="13">
        <v>485.7</v>
      </c>
      <c r="G645">
        <f t="shared" si="10"/>
        <v>2</v>
      </c>
    </row>
    <row r="646" spans="1:7" x14ac:dyDescent="0.25">
      <c r="A646" s="6" t="s">
        <v>75</v>
      </c>
      <c r="B646" s="7" t="s">
        <v>88</v>
      </c>
      <c r="C646" s="7" t="s">
        <v>59</v>
      </c>
      <c r="D646" s="8">
        <v>41918</v>
      </c>
      <c r="E646" s="8">
        <v>41925</v>
      </c>
      <c r="F646" s="9">
        <v>1555</v>
      </c>
      <c r="G646">
        <f t="shared" si="10"/>
        <v>8</v>
      </c>
    </row>
    <row r="647" spans="1:7" x14ac:dyDescent="0.25">
      <c r="A647" s="10" t="s">
        <v>107</v>
      </c>
      <c r="B647" s="11" t="s">
        <v>108</v>
      </c>
      <c r="C647" s="11" t="s">
        <v>38</v>
      </c>
      <c r="D647" s="12">
        <v>41918</v>
      </c>
      <c r="E647" s="12">
        <v>41920</v>
      </c>
      <c r="F647" s="13">
        <v>536.79999999999995</v>
      </c>
      <c r="G647">
        <f t="shared" si="10"/>
        <v>3</v>
      </c>
    </row>
    <row r="648" spans="1:7" x14ac:dyDescent="0.25">
      <c r="A648" s="6" t="s">
        <v>57</v>
      </c>
      <c r="B648" s="7" t="s">
        <v>58</v>
      </c>
      <c r="C648" s="7" t="s">
        <v>19</v>
      </c>
      <c r="D648" s="8">
        <v>41918</v>
      </c>
      <c r="E648" s="8">
        <v>41919</v>
      </c>
      <c r="F648" s="9">
        <v>654.4</v>
      </c>
      <c r="G648">
        <f t="shared" si="10"/>
        <v>2</v>
      </c>
    </row>
    <row r="649" spans="1:7" x14ac:dyDescent="0.25">
      <c r="A649" s="10" t="s">
        <v>82</v>
      </c>
      <c r="B649" s="11" t="s">
        <v>83</v>
      </c>
      <c r="C649" s="11" t="s">
        <v>72</v>
      </c>
      <c r="D649" s="12">
        <v>41922</v>
      </c>
      <c r="E649" s="12">
        <v>41924</v>
      </c>
      <c r="F649" s="13">
        <v>892.7</v>
      </c>
      <c r="G649">
        <f t="shared" si="10"/>
        <v>3</v>
      </c>
    </row>
    <row r="650" spans="1:7" x14ac:dyDescent="0.25">
      <c r="A650" s="6" t="s">
        <v>84</v>
      </c>
      <c r="B650" s="7" t="s">
        <v>85</v>
      </c>
      <c r="C650" s="7" t="s">
        <v>24</v>
      </c>
      <c r="D650" s="8">
        <v>41922</v>
      </c>
      <c r="E650" s="8">
        <v>41925</v>
      </c>
      <c r="F650" s="9">
        <v>737.7</v>
      </c>
      <c r="G650">
        <f t="shared" si="10"/>
        <v>4</v>
      </c>
    </row>
    <row r="651" spans="1:7" x14ac:dyDescent="0.25">
      <c r="A651" s="10" t="s">
        <v>50</v>
      </c>
      <c r="B651" s="11" t="s">
        <v>51</v>
      </c>
      <c r="C651" s="11" t="s">
        <v>27</v>
      </c>
      <c r="D651" s="12">
        <v>41922</v>
      </c>
      <c r="E651" s="12">
        <v>41922</v>
      </c>
      <c r="F651" s="13">
        <v>442</v>
      </c>
      <c r="G651">
        <f t="shared" si="10"/>
        <v>1</v>
      </c>
    </row>
    <row r="652" spans="1:7" x14ac:dyDescent="0.25">
      <c r="A652" s="6" t="s">
        <v>170</v>
      </c>
      <c r="B652" s="7" t="s">
        <v>171</v>
      </c>
      <c r="C652" s="7" t="s">
        <v>59</v>
      </c>
      <c r="D652" s="8">
        <v>41922</v>
      </c>
      <c r="E652" s="8">
        <v>41926</v>
      </c>
      <c r="F652" s="9">
        <v>1078</v>
      </c>
      <c r="G652">
        <f t="shared" si="10"/>
        <v>5</v>
      </c>
    </row>
    <row r="653" spans="1:7" x14ac:dyDescent="0.25">
      <c r="A653" s="10" t="s">
        <v>168</v>
      </c>
      <c r="B653" s="11" t="s">
        <v>169</v>
      </c>
      <c r="C653" s="11" t="s">
        <v>17</v>
      </c>
      <c r="D653" s="12">
        <v>41922</v>
      </c>
      <c r="E653" s="12">
        <v>41922</v>
      </c>
      <c r="F653" s="13">
        <v>501.5</v>
      </c>
      <c r="G653">
        <f t="shared" si="10"/>
        <v>1</v>
      </c>
    </row>
    <row r="654" spans="1:7" x14ac:dyDescent="0.25">
      <c r="A654" s="6" t="s">
        <v>115</v>
      </c>
      <c r="B654" s="7" t="s">
        <v>140</v>
      </c>
      <c r="C654" s="7" t="s">
        <v>11</v>
      </c>
      <c r="D654" s="8">
        <v>41922</v>
      </c>
      <c r="E654" s="8">
        <v>41922</v>
      </c>
      <c r="F654" s="9">
        <v>156.4</v>
      </c>
      <c r="G654">
        <f t="shared" si="10"/>
        <v>1</v>
      </c>
    </row>
    <row r="655" spans="1:7" x14ac:dyDescent="0.25">
      <c r="A655" s="10" t="s">
        <v>33</v>
      </c>
      <c r="B655" s="11" t="s">
        <v>34</v>
      </c>
      <c r="C655" s="11" t="s">
        <v>17</v>
      </c>
      <c r="D655" s="12">
        <v>41922</v>
      </c>
      <c r="E655" s="12">
        <v>41922</v>
      </c>
      <c r="F655" s="13">
        <v>501.5</v>
      </c>
      <c r="G655">
        <f t="shared" si="10"/>
        <v>1</v>
      </c>
    </row>
    <row r="656" spans="1:7" x14ac:dyDescent="0.25">
      <c r="A656" s="6" t="s">
        <v>33</v>
      </c>
      <c r="B656" s="7" t="s">
        <v>41</v>
      </c>
      <c r="C656" s="7" t="s">
        <v>11</v>
      </c>
      <c r="D656" s="8">
        <v>41922</v>
      </c>
      <c r="E656" s="8">
        <v>41925</v>
      </c>
      <c r="F656" s="9">
        <v>573.4</v>
      </c>
      <c r="G656">
        <f t="shared" si="10"/>
        <v>4</v>
      </c>
    </row>
    <row r="657" spans="1:7" x14ac:dyDescent="0.25">
      <c r="A657" s="10" t="s">
        <v>73</v>
      </c>
      <c r="B657" s="11" t="s">
        <v>104</v>
      </c>
      <c r="C657" s="11" t="s">
        <v>72</v>
      </c>
      <c r="D657" s="12">
        <v>41922</v>
      </c>
      <c r="E657" s="12">
        <v>41926</v>
      </c>
      <c r="F657" s="13">
        <v>1290.7</v>
      </c>
      <c r="G657">
        <f t="shared" si="10"/>
        <v>5</v>
      </c>
    </row>
    <row r="658" spans="1:7" x14ac:dyDescent="0.25">
      <c r="A658" s="6" t="s">
        <v>93</v>
      </c>
      <c r="B658" s="7" t="s">
        <v>106</v>
      </c>
      <c r="C658" s="7" t="s">
        <v>17</v>
      </c>
      <c r="D658" s="8">
        <v>41922</v>
      </c>
      <c r="E658" s="8">
        <v>41923</v>
      </c>
      <c r="F658" s="9">
        <v>706.5</v>
      </c>
      <c r="G658">
        <f t="shared" si="10"/>
        <v>2</v>
      </c>
    </row>
    <row r="659" spans="1:7" x14ac:dyDescent="0.25">
      <c r="A659" s="10" t="s">
        <v>54</v>
      </c>
      <c r="B659" s="11" t="s">
        <v>121</v>
      </c>
      <c r="C659" s="11" t="s">
        <v>27</v>
      </c>
      <c r="D659" s="12">
        <v>41922</v>
      </c>
      <c r="E659" s="12">
        <v>41925</v>
      </c>
      <c r="F659" s="13">
        <v>826</v>
      </c>
      <c r="G659">
        <f t="shared" si="10"/>
        <v>4</v>
      </c>
    </row>
    <row r="660" spans="1:7" x14ac:dyDescent="0.25">
      <c r="A660" s="6" t="s">
        <v>12</v>
      </c>
      <c r="B660" s="7" t="s">
        <v>13</v>
      </c>
      <c r="C660" s="7" t="s">
        <v>59</v>
      </c>
      <c r="D660" s="8">
        <v>41922</v>
      </c>
      <c r="E660" s="8">
        <v>41923</v>
      </c>
      <c r="F660" s="9">
        <v>601</v>
      </c>
      <c r="G660">
        <f t="shared" si="10"/>
        <v>2</v>
      </c>
    </row>
    <row r="661" spans="1:7" x14ac:dyDescent="0.25">
      <c r="A661" s="10" t="s">
        <v>15</v>
      </c>
      <c r="B661" s="11" t="s">
        <v>16</v>
      </c>
      <c r="C661" s="11" t="s">
        <v>38</v>
      </c>
      <c r="D661" s="12">
        <v>41922</v>
      </c>
      <c r="E661" s="12">
        <v>41926</v>
      </c>
      <c r="F661" s="13">
        <v>794.8</v>
      </c>
      <c r="G661">
        <f t="shared" si="10"/>
        <v>5</v>
      </c>
    </row>
    <row r="662" spans="1:7" x14ac:dyDescent="0.25">
      <c r="A662" s="6" t="s">
        <v>70</v>
      </c>
      <c r="B662" s="7" t="s">
        <v>117</v>
      </c>
      <c r="C662" s="7" t="s">
        <v>30</v>
      </c>
      <c r="D662" s="8">
        <v>41922</v>
      </c>
      <c r="E662" s="8">
        <v>41923</v>
      </c>
      <c r="F662" s="9">
        <v>331.5</v>
      </c>
      <c r="G662">
        <f t="shared" si="10"/>
        <v>2</v>
      </c>
    </row>
    <row r="663" spans="1:7" x14ac:dyDescent="0.25">
      <c r="A663" s="10" t="s">
        <v>54</v>
      </c>
      <c r="B663" s="11" t="s">
        <v>118</v>
      </c>
      <c r="C663" s="11" t="s">
        <v>17</v>
      </c>
      <c r="D663" s="12">
        <v>41922</v>
      </c>
      <c r="E663" s="12">
        <v>41923</v>
      </c>
      <c r="F663" s="13">
        <v>706.5</v>
      </c>
      <c r="G663">
        <f t="shared" si="10"/>
        <v>2</v>
      </c>
    </row>
    <row r="664" spans="1:7" x14ac:dyDescent="0.25">
      <c r="A664" s="6" t="s">
        <v>33</v>
      </c>
      <c r="B664" s="7" t="s">
        <v>141</v>
      </c>
      <c r="C664" s="7" t="s">
        <v>14</v>
      </c>
      <c r="D664" s="8">
        <v>41923</v>
      </c>
      <c r="E664" s="8">
        <v>41927</v>
      </c>
      <c r="F664" s="9">
        <v>674.5</v>
      </c>
      <c r="G664">
        <f t="shared" si="10"/>
        <v>5</v>
      </c>
    </row>
    <row r="665" spans="1:7" x14ac:dyDescent="0.25">
      <c r="A665" s="10" t="s">
        <v>93</v>
      </c>
      <c r="B665" s="11" t="s">
        <v>124</v>
      </c>
      <c r="C665" s="11" t="s">
        <v>47</v>
      </c>
      <c r="D665" s="12">
        <v>41923</v>
      </c>
      <c r="E665" s="12">
        <v>41925</v>
      </c>
      <c r="F665" s="13">
        <v>689.8</v>
      </c>
      <c r="G665">
        <f t="shared" si="10"/>
        <v>3</v>
      </c>
    </row>
    <row r="666" spans="1:7" x14ac:dyDescent="0.25">
      <c r="A666" s="6" t="s">
        <v>131</v>
      </c>
      <c r="B666" s="7" t="s">
        <v>142</v>
      </c>
      <c r="C666" s="7" t="s">
        <v>30</v>
      </c>
      <c r="D666" s="8">
        <v>41923</v>
      </c>
      <c r="E666" s="8">
        <v>41924</v>
      </c>
      <c r="F666" s="9">
        <v>331.5</v>
      </c>
      <c r="G666">
        <f t="shared" si="10"/>
        <v>2</v>
      </c>
    </row>
    <row r="667" spans="1:7" x14ac:dyDescent="0.25">
      <c r="A667" s="10" t="s">
        <v>9</v>
      </c>
      <c r="B667" s="11" t="s">
        <v>69</v>
      </c>
      <c r="C667" s="11" t="s">
        <v>14</v>
      </c>
      <c r="D667" s="12">
        <v>41923</v>
      </c>
      <c r="E667" s="12">
        <v>41925</v>
      </c>
      <c r="F667" s="13">
        <v>426.5</v>
      </c>
      <c r="G667">
        <f t="shared" si="10"/>
        <v>3</v>
      </c>
    </row>
    <row r="668" spans="1:7" x14ac:dyDescent="0.25">
      <c r="A668" s="6" t="s">
        <v>99</v>
      </c>
      <c r="B668" s="7" t="s">
        <v>100</v>
      </c>
      <c r="C668" s="7" t="s">
        <v>17</v>
      </c>
      <c r="D668" s="8">
        <v>41923</v>
      </c>
      <c r="E668" s="8">
        <v>41926</v>
      </c>
      <c r="F668" s="9">
        <v>1116.5</v>
      </c>
      <c r="G668">
        <f t="shared" si="10"/>
        <v>4</v>
      </c>
    </row>
    <row r="669" spans="1:7" x14ac:dyDescent="0.25">
      <c r="A669" s="10" t="s">
        <v>137</v>
      </c>
      <c r="B669" s="11" t="s">
        <v>138</v>
      </c>
      <c r="C669" s="11" t="s">
        <v>19</v>
      </c>
      <c r="D669" s="12">
        <v>41923</v>
      </c>
      <c r="E669" s="12">
        <v>41927</v>
      </c>
      <c r="F669" s="13">
        <v>1077.4000000000001</v>
      </c>
      <c r="G669">
        <f t="shared" si="10"/>
        <v>5</v>
      </c>
    </row>
    <row r="670" spans="1:7" x14ac:dyDescent="0.25">
      <c r="A670" s="6" t="s">
        <v>15</v>
      </c>
      <c r="B670" s="7" t="s">
        <v>96</v>
      </c>
      <c r="C670" s="7" t="s">
        <v>59</v>
      </c>
      <c r="D670" s="8">
        <v>41923</v>
      </c>
      <c r="E670" s="8">
        <v>41925</v>
      </c>
      <c r="F670" s="9">
        <v>760</v>
      </c>
      <c r="G670">
        <f t="shared" si="10"/>
        <v>3</v>
      </c>
    </row>
    <row r="671" spans="1:7" x14ac:dyDescent="0.25">
      <c r="A671" s="10" t="s">
        <v>9</v>
      </c>
      <c r="B671" s="11" t="s">
        <v>18</v>
      </c>
      <c r="C671" s="11" t="s">
        <v>24</v>
      </c>
      <c r="D671" s="12">
        <v>41923</v>
      </c>
      <c r="E671" s="12">
        <v>41926</v>
      </c>
      <c r="F671" s="13">
        <v>737.7</v>
      </c>
      <c r="G671">
        <f t="shared" si="10"/>
        <v>4</v>
      </c>
    </row>
    <row r="672" spans="1:7" x14ac:dyDescent="0.25">
      <c r="A672" s="6" t="s">
        <v>9</v>
      </c>
      <c r="B672" s="7" t="s">
        <v>18</v>
      </c>
      <c r="C672" s="7" t="s">
        <v>27</v>
      </c>
      <c r="D672" s="8">
        <v>41923</v>
      </c>
      <c r="E672" s="8">
        <v>41924</v>
      </c>
      <c r="F672" s="9">
        <v>570</v>
      </c>
      <c r="G672">
        <f t="shared" si="10"/>
        <v>2</v>
      </c>
    </row>
    <row r="673" spans="1:7" x14ac:dyDescent="0.25">
      <c r="A673" s="10" t="s">
        <v>54</v>
      </c>
      <c r="B673" s="11" t="s">
        <v>118</v>
      </c>
      <c r="C673" s="11" t="s">
        <v>59</v>
      </c>
      <c r="D673" s="12">
        <v>41923</v>
      </c>
      <c r="E673" s="12">
        <v>41926</v>
      </c>
      <c r="F673" s="13">
        <v>919</v>
      </c>
      <c r="G673">
        <f t="shared" si="10"/>
        <v>4</v>
      </c>
    </row>
    <row r="674" spans="1:7" x14ac:dyDescent="0.25">
      <c r="A674" s="6" t="s">
        <v>86</v>
      </c>
      <c r="B674" s="7" t="s">
        <v>136</v>
      </c>
      <c r="C674" s="7" t="s">
        <v>59</v>
      </c>
      <c r="D674" s="8">
        <v>41923</v>
      </c>
      <c r="E674" s="8">
        <v>41927</v>
      </c>
      <c r="F674" s="9">
        <v>1078</v>
      </c>
      <c r="G674">
        <f t="shared" si="10"/>
        <v>5</v>
      </c>
    </row>
    <row r="675" spans="1:7" x14ac:dyDescent="0.25">
      <c r="A675" s="10" t="s">
        <v>6</v>
      </c>
      <c r="B675" s="11" t="s">
        <v>139</v>
      </c>
      <c r="C675" s="11" t="s">
        <v>66</v>
      </c>
      <c r="D675" s="12">
        <v>41925</v>
      </c>
      <c r="E675" s="12">
        <v>41925</v>
      </c>
      <c r="F675" s="13">
        <v>307.7</v>
      </c>
      <c r="G675">
        <f t="shared" si="10"/>
        <v>1</v>
      </c>
    </row>
    <row r="676" spans="1:7" x14ac:dyDescent="0.25">
      <c r="A676" s="6" t="s">
        <v>168</v>
      </c>
      <c r="B676" s="7" t="s">
        <v>169</v>
      </c>
      <c r="C676" s="7" t="s">
        <v>19</v>
      </c>
      <c r="D676" s="8">
        <v>41925</v>
      </c>
      <c r="E676" s="8">
        <v>41925</v>
      </c>
      <c r="F676" s="9">
        <v>513.4</v>
      </c>
      <c r="G676">
        <f t="shared" si="10"/>
        <v>1</v>
      </c>
    </row>
    <row r="677" spans="1:7" x14ac:dyDescent="0.25">
      <c r="A677" s="10" t="s">
        <v>33</v>
      </c>
      <c r="B677" s="11" t="s">
        <v>34</v>
      </c>
      <c r="C677" s="11" t="s">
        <v>72</v>
      </c>
      <c r="D677" s="12">
        <v>41925</v>
      </c>
      <c r="E677" s="12">
        <v>41925</v>
      </c>
      <c r="F677" s="13">
        <v>494.7</v>
      </c>
      <c r="G677">
        <f t="shared" si="10"/>
        <v>1</v>
      </c>
    </row>
    <row r="678" spans="1:7" x14ac:dyDescent="0.25">
      <c r="A678" s="6" t="s">
        <v>113</v>
      </c>
      <c r="B678" s="7" t="s">
        <v>114</v>
      </c>
      <c r="C678" s="7" t="s">
        <v>19</v>
      </c>
      <c r="D678" s="8">
        <v>41925</v>
      </c>
      <c r="E678" s="8">
        <v>41925</v>
      </c>
      <c r="F678" s="9">
        <v>513.4</v>
      </c>
      <c r="G678">
        <f t="shared" si="10"/>
        <v>1</v>
      </c>
    </row>
    <row r="679" spans="1:7" x14ac:dyDescent="0.25">
      <c r="A679" s="10" t="s">
        <v>70</v>
      </c>
      <c r="B679" s="11" t="s">
        <v>117</v>
      </c>
      <c r="C679" s="11" t="s">
        <v>72</v>
      </c>
      <c r="D679" s="12">
        <v>41925</v>
      </c>
      <c r="E679" s="12">
        <v>41925</v>
      </c>
      <c r="F679" s="13">
        <v>494.7</v>
      </c>
      <c r="G679">
        <f t="shared" si="10"/>
        <v>1</v>
      </c>
    </row>
    <row r="680" spans="1:7" x14ac:dyDescent="0.25">
      <c r="A680" s="6" t="s">
        <v>50</v>
      </c>
      <c r="B680" s="7" t="s">
        <v>51</v>
      </c>
      <c r="C680" s="7" t="s">
        <v>17</v>
      </c>
      <c r="D680" s="8">
        <v>41926</v>
      </c>
      <c r="E680" s="8">
        <v>41926</v>
      </c>
      <c r="F680" s="9">
        <v>501.5</v>
      </c>
      <c r="G680">
        <f t="shared" si="10"/>
        <v>1</v>
      </c>
    </row>
    <row r="681" spans="1:7" x14ac:dyDescent="0.25">
      <c r="A681" s="10" t="s">
        <v>12</v>
      </c>
      <c r="B681" s="11" t="s">
        <v>13</v>
      </c>
      <c r="C681" s="11" t="s">
        <v>11</v>
      </c>
      <c r="D681" s="12">
        <v>41927</v>
      </c>
      <c r="E681" s="12">
        <v>41927</v>
      </c>
      <c r="F681" s="13">
        <v>156.4</v>
      </c>
      <c r="G681">
        <f t="shared" si="10"/>
        <v>1</v>
      </c>
    </row>
    <row r="682" spans="1:7" x14ac:dyDescent="0.25">
      <c r="A682" s="6" t="s">
        <v>70</v>
      </c>
      <c r="B682" s="7" t="s">
        <v>117</v>
      </c>
      <c r="C682" s="7" t="s">
        <v>30</v>
      </c>
      <c r="D682" s="8">
        <v>41927</v>
      </c>
      <c r="E682" s="8">
        <v>41927</v>
      </c>
      <c r="F682" s="9">
        <v>212.5</v>
      </c>
      <c r="G682">
        <f t="shared" si="10"/>
        <v>1</v>
      </c>
    </row>
    <row r="683" spans="1:7" x14ac:dyDescent="0.25">
      <c r="A683" s="10" t="s">
        <v>113</v>
      </c>
      <c r="B683" s="11" t="s">
        <v>114</v>
      </c>
      <c r="C683" s="11" t="s">
        <v>24</v>
      </c>
      <c r="D683" s="12">
        <v>41928</v>
      </c>
      <c r="E683" s="12">
        <v>41928</v>
      </c>
      <c r="F683" s="13">
        <v>290.7</v>
      </c>
      <c r="G683">
        <f t="shared" si="10"/>
        <v>1</v>
      </c>
    </row>
    <row r="684" spans="1:7" x14ac:dyDescent="0.25">
      <c r="A684" s="6" t="s">
        <v>22</v>
      </c>
      <c r="B684" s="7" t="s">
        <v>172</v>
      </c>
      <c r="C684" s="7" t="s">
        <v>24</v>
      </c>
      <c r="D684" s="8">
        <v>41929</v>
      </c>
      <c r="E684" s="8">
        <v>41930</v>
      </c>
      <c r="F684" s="9">
        <v>439.7</v>
      </c>
      <c r="G684">
        <f t="shared" si="10"/>
        <v>2</v>
      </c>
    </row>
    <row r="685" spans="1:7" x14ac:dyDescent="0.25">
      <c r="A685" s="10" t="s">
        <v>33</v>
      </c>
      <c r="B685" s="11" t="s">
        <v>34</v>
      </c>
      <c r="C685" s="11" t="s">
        <v>59</v>
      </c>
      <c r="D685" s="12">
        <v>41929</v>
      </c>
      <c r="E685" s="12">
        <v>41932</v>
      </c>
      <c r="F685" s="13">
        <v>919</v>
      </c>
      <c r="G685">
        <f t="shared" si="10"/>
        <v>4</v>
      </c>
    </row>
    <row r="686" spans="1:7" x14ac:dyDescent="0.25">
      <c r="A686" s="6" t="s">
        <v>9</v>
      </c>
      <c r="B686" s="7" t="s">
        <v>103</v>
      </c>
      <c r="C686" s="7" t="s">
        <v>24</v>
      </c>
      <c r="D686" s="8">
        <v>41929</v>
      </c>
      <c r="E686" s="8">
        <v>41932</v>
      </c>
      <c r="F686" s="9">
        <v>737.7</v>
      </c>
      <c r="G686">
        <f t="shared" si="10"/>
        <v>4</v>
      </c>
    </row>
    <row r="687" spans="1:7" x14ac:dyDescent="0.25">
      <c r="A687" s="10" t="s">
        <v>115</v>
      </c>
      <c r="B687" s="11" t="s">
        <v>116</v>
      </c>
      <c r="C687" s="11" t="s">
        <v>30</v>
      </c>
      <c r="D687" s="12">
        <v>41929</v>
      </c>
      <c r="E687" s="12">
        <v>41930</v>
      </c>
      <c r="F687" s="13">
        <v>331.5</v>
      </c>
      <c r="G687">
        <f t="shared" si="10"/>
        <v>2</v>
      </c>
    </row>
    <row r="688" spans="1:7" x14ac:dyDescent="0.25">
      <c r="A688" s="6" t="s">
        <v>12</v>
      </c>
      <c r="B688" s="7" t="s">
        <v>95</v>
      </c>
      <c r="C688" s="7" t="s">
        <v>8</v>
      </c>
      <c r="D688" s="8">
        <v>41929</v>
      </c>
      <c r="E688" s="8">
        <v>41930</v>
      </c>
      <c r="F688" s="9">
        <v>891</v>
      </c>
      <c r="G688">
        <f t="shared" si="10"/>
        <v>2</v>
      </c>
    </row>
    <row r="689" spans="1:7" x14ac:dyDescent="0.25">
      <c r="A689" s="10" t="s">
        <v>9</v>
      </c>
      <c r="B689" s="11" t="s">
        <v>18</v>
      </c>
      <c r="C689" s="11" t="s">
        <v>38</v>
      </c>
      <c r="D689" s="12">
        <v>41929</v>
      </c>
      <c r="E689" s="12">
        <v>41932</v>
      </c>
      <c r="F689" s="13">
        <v>665.8</v>
      </c>
      <c r="G689">
        <f t="shared" si="10"/>
        <v>4</v>
      </c>
    </row>
    <row r="690" spans="1:7" x14ac:dyDescent="0.25">
      <c r="A690" s="6" t="s">
        <v>12</v>
      </c>
      <c r="B690" s="7" t="s">
        <v>13</v>
      </c>
      <c r="C690" s="7" t="s">
        <v>30</v>
      </c>
      <c r="D690" s="8">
        <v>41930</v>
      </c>
      <c r="E690" s="8">
        <v>41930</v>
      </c>
      <c r="F690" s="9">
        <v>212.5</v>
      </c>
      <c r="G690">
        <f t="shared" si="10"/>
        <v>1</v>
      </c>
    </row>
    <row r="691" spans="1:7" x14ac:dyDescent="0.25">
      <c r="A691" s="10" t="s">
        <v>122</v>
      </c>
      <c r="B691" s="11" t="s">
        <v>123</v>
      </c>
      <c r="C691" s="11" t="s">
        <v>59</v>
      </c>
      <c r="D691" s="12">
        <v>41934</v>
      </c>
      <c r="E691" s="12">
        <v>41937</v>
      </c>
      <c r="F691" s="13">
        <v>919</v>
      </c>
      <c r="G691">
        <f t="shared" si="10"/>
        <v>4</v>
      </c>
    </row>
    <row r="692" spans="1:7" x14ac:dyDescent="0.25">
      <c r="A692" s="6" t="s">
        <v>93</v>
      </c>
      <c r="B692" s="7" t="s">
        <v>124</v>
      </c>
      <c r="C692" s="7" t="s">
        <v>72</v>
      </c>
      <c r="D692" s="8">
        <v>41934</v>
      </c>
      <c r="E692" s="8">
        <v>41935</v>
      </c>
      <c r="F692" s="9">
        <v>693.7</v>
      </c>
      <c r="G692">
        <f t="shared" si="10"/>
        <v>2</v>
      </c>
    </row>
    <row r="693" spans="1:7" x14ac:dyDescent="0.25">
      <c r="A693" s="10" t="s">
        <v>54</v>
      </c>
      <c r="B693" s="11" t="s">
        <v>81</v>
      </c>
      <c r="C693" s="11" t="s">
        <v>66</v>
      </c>
      <c r="D693" s="12">
        <v>41934</v>
      </c>
      <c r="E693" s="12">
        <v>41934</v>
      </c>
      <c r="F693" s="13">
        <v>307.7</v>
      </c>
      <c r="G693">
        <f t="shared" si="10"/>
        <v>1</v>
      </c>
    </row>
    <row r="694" spans="1:7" x14ac:dyDescent="0.25">
      <c r="A694" s="6" t="s">
        <v>22</v>
      </c>
      <c r="B694" s="7" t="s">
        <v>172</v>
      </c>
      <c r="C694" s="7" t="s">
        <v>66</v>
      </c>
      <c r="D694" s="8">
        <v>41934</v>
      </c>
      <c r="E694" s="8">
        <v>41935</v>
      </c>
      <c r="F694" s="9">
        <v>485.7</v>
      </c>
      <c r="G694">
        <f t="shared" si="10"/>
        <v>2</v>
      </c>
    </row>
    <row r="695" spans="1:7" x14ac:dyDescent="0.25">
      <c r="A695" s="10" t="s">
        <v>131</v>
      </c>
      <c r="B695" s="11" t="s">
        <v>142</v>
      </c>
      <c r="C695" s="11" t="s">
        <v>24</v>
      </c>
      <c r="D695" s="12">
        <v>41934</v>
      </c>
      <c r="E695" s="12">
        <v>41937</v>
      </c>
      <c r="F695" s="13">
        <v>737.7</v>
      </c>
      <c r="G695">
        <f t="shared" si="10"/>
        <v>4</v>
      </c>
    </row>
    <row r="696" spans="1:7" x14ac:dyDescent="0.25">
      <c r="A696" s="6" t="s">
        <v>86</v>
      </c>
      <c r="B696" s="7" t="s">
        <v>150</v>
      </c>
      <c r="C696" s="7" t="s">
        <v>8</v>
      </c>
      <c r="D696" s="8">
        <v>41934</v>
      </c>
      <c r="E696" s="8">
        <v>41935</v>
      </c>
      <c r="F696" s="9">
        <v>891</v>
      </c>
      <c r="G696">
        <f t="shared" si="10"/>
        <v>2</v>
      </c>
    </row>
    <row r="697" spans="1:7" x14ac:dyDescent="0.25">
      <c r="A697" s="10" t="s">
        <v>50</v>
      </c>
      <c r="B697" s="11" t="s">
        <v>51</v>
      </c>
      <c r="C697" s="11" t="s">
        <v>47</v>
      </c>
      <c r="D697" s="12">
        <v>41934</v>
      </c>
      <c r="E697" s="12">
        <v>41936</v>
      </c>
      <c r="F697" s="13">
        <v>689.8</v>
      </c>
      <c r="G697">
        <f t="shared" si="10"/>
        <v>3</v>
      </c>
    </row>
    <row r="698" spans="1:7" x14ac:dyDescent="0.25">
      <c r="A698" s="6" t="s">
        <v>82</v>
      </c>
      <c r="B698" s="7" t="s">
        <v>125</v>
      </c>
      <c r="C698" s="7" t="s">
        <v>72</v>
      </c>
      <c r="D698" s="8">
        <v>41934</v>
      </c>
      <c r="E698" s="8">
        <v>41934</v>
      </c>
      <c r="F698" s="9">
        <v>494.7</v>
      </c>
      <c r="G698">
        <f t="shared" si="10"/>
        <v>1</v>
      </c>
    </row>
    <row r="699" spans="1:7" x14ac:dyDescent="0.25">
      <c r="A699" s="10" t="s">
        <v>170</v>
      </c>
      <c r="B699" s="11" t="s">
        <v>171</v>
      </c>
      <c r="C699" s="11" t="s">
        <v>27</v>
      </c>
      <c r="D699" s="12">
        <v>41934</v>
      </c>
      <c r="E699" s="12">
        <v>41934</v>
      </c>
      <c r="F699" s="13">
        <v>442</v>
      </c>
      <c r="G699">
        <f t="shared" si="10"/>
        <v>1</v>
      </c>
    </row>
    <row r="700" spans="1:7" x14ac:dyDescent="0.25">
      <c r="A700" s="6" t="s">
        <v>9</v>
      </c>
      <c r="B700" s="7" t="s">
        <v>10</v>
      </c>
      <c r="C700" s="7" t="s">
        <v>59</v>
      </c>
      <c r="D700" s="8">
        <v>41934</v>
      </c>
      <c r="E700" s="8">
        <v>41937</v>
      </c>
      <c r="F700" s="9">
        <v>919</v>
      </c>
      <c r="G700">
        <f t="shared" si="10"/>
        <v>4</v>
      </c>
    </row>
    <row r="701" spans="1:7" x14ac:dyDescent="0.25">
      <c r="A701" s="10" t="s">
        <v>73</v>
      </c>
      <c r="B701" s="11" t="s">
        <v>74</v>
      </c>
      <c r="C701" s="11" t="s">
        <v>59</v>
      </c>
      <c r="D701" s="12">
        <v>41934</v>
      </c>
      <c r="E701" s="12">
        <v>41938</v>
      </c>
      <c r="F701" s="13">
        <v>1078</v>
      </c>
      <c r="G701">
        <f t="shared" si="10"/>
        <v>5</v>
      </c>
    </row>
    <row r="702" spans="1:7" x14ac:dyDescent="0.25">
      <c r="A702" s="6" t="s">
        <v>54</v>
      </c>
      <c r="B702" s="7" t="s">
        <v>121</v>
      </c>
      <c r="C702" s="7" t="s">
        <v>38</v>
      </c>
      <c r="D702" s="8">
        <v>41934</v>
      </c>
      <c r="E702" s="8">
        <v>41934</v>
      </c>
      <c r="F702" s="9">
        <v>278.8</v>
      </c>
      <c r="G702">
        <f t="shared" si="10"/>
        <v>1</v>
      </c>
    </row>
    <row r="703" spans="1:7" x14ac:dyDescent="0.25">
      <c r="A703" s="10" t="s">
        <v>12</v>
      </c>
      <c r="B703" s="11" t="s">
        <v>13</v>
      </c>
      <c r="C703" s="11" t="s">
        <v>38</v>
      </c>
      <c r="D703" s="12">
        <v>41934</v>
      </c>
      <c r="E703" s="12">
        <v>41936</v>
      </c>
      <c r="F703" s="13">
        <v>536.79999999999995</v>
      </c>
      <c r="G703">
        <f t="shared" si="10"/>
        <v>3</v>
      </c>
    </row>
    <row r="704" spans="1:7" x14ac:dyDescent="0.25">
      <c r="A704" s="6" t="s">
        <v>147</v>
      </c>
      <c r="B704" s="7" t="s">
        <v>148</v>
      </c>
      <c r="C704" s="7" t="s">
        <v>30</v>
      </c>
      <c r="D704" s="8">
        <v>41934</v>
      </c>
      <c r="E704" s="8">
        <v>41937</v>
      </c>
      <c r="F704" s="9">
        <v>569.5</v>
      </c>
      <c r="G704">
        <f t="shared" si="10"/>
        <v>4</v>
      </c>
    </row>
    <row r="705" spans="1:7" x14ac:dyDescent="0.25">
      <c r="A705" s="10" t="s">
        <v>89</v>
      </c>
      <c r="B705" s="11" t="s">
        <v>90</v>
      </c>
      <c r="C705" s="11" t="s">
        <v>59</v>
      </c>
      <c r="D705" s="12">
        <v>41934</v>
      </c>
      <c r="E705" s="12">
        <v>41936</v>
      </c>
      <c r="F705" s="13">
        <v>760</v>
      </c>
      <c r="G705">
        <f t="shared" si="10"/>
        <v>3</v>
      </c>
    </row>
    <row r="706" spans="1:7" x14ac:dyDescent="0.25">
      <c r="A706" s="6" t="s">
        <v>91</v>
      </c>
      <c r="B706" s="7" t="s">
        <v>161</v>
      </c>
      <c r="C706" s="7" t="s">
        <v>14</v>
      </c>
      <c r="D706" s="8">
        <v>41934</v>
      </c>
      <c r="E706" s="8">
        <v>41938</v>
      </c>
      <c r="F706" s="9">
        <v>674.5</v>
      </c>
      <c r="G706">
        <f t="shared" si="10"/>
        <v>5</v>
      </c>
    </row>
    <row r="707" spans="1:7" x14ac:dyDescent="0.25">
      <c r="A707" s="10" t="s">
        <v>9</v>
      </c>
      <c r="B707" s="11" t="s">
        <v>18</v>
      </c>
      <c r="C707" s="11" t="s">
        <v>38</v>
      </c>
      <c r="D707" s="12">
        <v>41934</v>
      </c>
      <c r="E707" s="12">
        <v>41934</v>
      </c>
      <c r="F707" s="13">
        <v>278.8</v>
      </c>
      <c r="G707">
        <f t="shared" ref="G707:G770" si="11">E707-D707 + 1</f>
        <v>1</v>
      </c>
    </row>
    <row r="708" spans="1:7" x14ac:dyDescent="0.25">
      <c r="A708" s="6" t="s">
        <v>57</v>
      </c>
      <c r="B708" s="7" t="s">
        <v>58</v>
      </c>
      <c r="C708" s="7" t="s">
        <v>30</v>
      </c>
      <c r="D708" s="8">
        <v>41934</v>
      </c>
      <c r="E708" s="8">
        <v>41935</v>
      </c>
      <c r="F708" s="9">
        <v>331.5</v>
      </c>
      <c r="G708">
        <f t="shared" si="11"/>
        <v>2</v>
      </c>
    </row>
    <row r="709" spans="1:7" x14ac:dyDescent="0.25">
      <c r="A709" s="10" t="s">
        <v>20</v>
      </c>
      <c r="B709" s="11" t="s">
        <v>21</v>
      </c>
      <c r="C709" s="11" t="s">
        <v>47</v>
      </c>
      <c r="D709" s="12">
        <v>41934</v>
      </c>
      <c r="E709" s="12">
        <v>41938</v>
      </c>
      <c r="F709" s="13">
        <v>1015.8</v>
      </c>
      <c r="G709">
        <f t="shared" si="11"/>
        <v>5</v>
      </c>
    </row>
    <row r="710" spans="1:7" x14ac:dyDescent="0.25">
      <c r="A710" s="6" t="s">
        <v>22</v>
      </c>
      <c r="B710" s="7" t="s">
        <v>23</v>
      </c>
      <c r="C710" s="7" t="s">
        <v>72</v>
      </c>
      <c r="D710" s="8">
        <v>41935</v>
      </c>
      <c r="E710" s="8">
        <v>41937</v>
      </c>
      <c r="F710" s="9">
        <v>892.7</v>
      </c>
      <c r="G710">
        <f t="shared" si="11"/>
        <v>3</v>
      </c>
    </row>
    <row r="711" spans="1:7" x14ac:dyDescent="0.25">
      <c r="A711" s="10" t="s">
        <v>31</v>
      </c>
      <c r="B711" s="11" t="s">
        <v>78</v>
      </c>
      <c r="C711" s="11" t="s">
        <v>59</v>
      </c>
      <c r="D711" s="12">
        <v>41935</v>
      </c>
      <c r="E711" s="12">
        <v>41938</v>
      </c>
      <c r="F711" s="13">
        <v>919</v>
      </c>
      <c r="G711">
        <f t="shared" si="11"/>
        <v>4</v>
      </c>
    </row>
    <row r="712" spans="1:7" x14ac:dyDescent="0.25">
      <c r="A712" s="6" t="s">
        <v>86</v>
      </c>
      <c r="B712" s="7" t="s">
        <v>150</v>
      </c>
      <c r="C712" s="7" t="s">
        <v>27</v>
      </c>
      <c r="D712" s="8">
        <v>41935</v>
      </c>
      <c r="E712" s="8">
        <v>41936</v>
      </c>
      <c r="F712" s="9">
        <v>570</v>
      </c>
      <c r="G712">
        <f t="shared" si="11"/>
        <v>2</v>
      </c>
    </row>
    <row r="713" spans="1:7" x14ac:dyDescent="0.25">
      <c r="A713" s="10" t="s">
        <v>25</v>
      </c>
      <c r="B713" s="11" t="s">
        <v>26</v>
      </c>
      <c r="C713" s="11" t="s">
        <v>11</v>
      </c>
      <c r="D713" s="12">
        <v>41935</v>
      </c>
      <c r="E713" s="12">
        <v>41936</v>
      </c>
      <c r="F713" s="13">
        <v>295.39999999999998</v>
      </c>
      <c r="G713">
        <f t="shared" si="11"/>
        <v>2</v>
      </c>
    </row>
    <row r="714" spans="1:7" x14ac:dyDescent="0.25">
      <c r="A714" s="6" t="s">
        <v>31</v>
      </c>
      <c r="B714" s="7" t="s">
        <v>32</v>
      </c>
      <c r="C714" s="7" t="s">
        <v>8</v>
      </c>
      <c r="D714" s="8">
        <v>41935</v>
      </c>
      <c r="E714" s="8">
        <v>41936</v>
      </c>
      <c r="F714" s="9">
        <v>891</v>
      </c>
      <c r="G714">
        <f t="shared" si="11"/>
        <v>2</v>
      </c>
    </row>
    <row r="715" spans="1:7" x14ac:dyDescent="0.25">
      <c r="A715" s="10" t="s">
        <v>168</v>
      </c>
      <c r="B715" s="11" t="s">
        <v>169</v>
      </c>
      <c r="C715" s="11" t="s">
        <v>27</v>
      </c>
      <c r="D715" s="12">
        <v>41935</v>
      </c>
      <c r="E715" s="12">
        <v>41936</v>
      </c>
      <c r="F715" s="13">
        <v>570</v>
      </c>
      <c r="G715">
        <f t="shared" si="11"/>
        <v>2</v>
      </c>
    </row>
    <row r="716" spans="1:7" x14ac:dyDescent="0.25">
      <c r="A716" s="6" t="s">
        <v>115</v>
      </c>
      <c r="B716" s="7" t="s">
        <v>140</v>
      </c>
      <c r="C716" s="7" t="s">
        <v>24</v>
      </c>
      <c r="D716" s="8">
        <v>41935</v>
      </c>
      <c r="E716" s="8">
        <v>41935</v>
      </c>
      <c r="F716" s="9">
        <v>290.7</v>
      </c>
      <c r="G716">
        <f t="shared" si="11"/>
        <v>1</v>
      </c>
    </row>
    <row r="717" spans="1:7" x14ac:dyDescent="0.25">
      <c r="A717" s="10" t="s">
        <v>73</v>
      </c>
      <c r="B717" s="11" t="s">
        <v>74</v>
      </c>
      <c r="C717" s="11" t="s">
        <v>17</v>
      </c>
      <c r="D717" s="12">
        <v>41935</v>
      </c>
      <c r="E717" s="12">
        <v>41936</v>
      </c>
      <c r="F717" s="13">
        <v>706.5</v>
      </c>
      <c r="G717">
        <f t="shared" si="11"/>
        <v>2</v>
      </c>
    </row>
    <row r="718" spans="1:7" x14ac:dyDescent="0.25">
      <c r="A718" s="6" t="s">
        <v>119</v>
      </c>
      <c r="B718" s="7" t="s">
        <v>120</v>
      </c>
      <c r="C718" s="7" t="s">
        <v>17</v>
      </c>
      <c r="D718" s="8">
        <v>41935</v>
      </c>
      <c r="E718" s="8">
        <v>41937</v>
      </c>
      <c r="F718" s="9">
        <v>911.5</v>
      </c>
      <c r="G718">
        <f t="shared" si="11"/>
        <v>3</v>
      </c>
    </row>
    <row r="719" spans="1:7" x14ac:dyDescent="0.25">
      <c r="A719" s="10" t="s">
        <v>107</v>
      </c>
      <c r="B719" s="11" t="s">
        <v>108</v>
      </c>
      <c r="C719" s="11" t="s">
        <v>66</v>
      </c>
      <c r="D719" s="12">
        <v>41935</v>
      </c>
      <c r="E719" s="12">
        <v>41938</v>
      </c>
      <c r="F719" s="13">
        <v>841.7</v>
      </c>
      <c r="G719">
        <f t="shared" si="11"/>
        <v>4</v>
      </c>
    </row>
    <row r="720" spans="1:7" x14ac:dyDescent="0.25">
      <c r="A720" s="6" t="s">
        <v>39</v>
      </c>
      <c r="B720" s="7" t="s">
        <v>40</v>
      </c>
      <c r="C720" s="7" t="s">
        <v>8</v>
      </c>
      <c r="D720" s="8">
        <v>41935</v>
      </c>
      <c r="E720" s="8">
        <v>41937</v>
      </c>
      <c r="F720" s="9">
        <v>1102</v>
      </c>
      <c r="G720">
        <f t="shared" si="11"/>
        <v>3</v>
      </c>
    </row>
    <row r="721" spans="1:7" x14ac:dyDescent="0.25">
      <c r="A721" s="10" t="s">
        <v>12</v>
      </c>
      <c r="B721" s="11" t="s">
        <v>95</v>
      </c>
      <c r="C721" s="11" t="s">
        <v>8</v>
      </c>
      <c r="D721" s="12">
        <v>41935</v>
      </c>
      <c r="E721" s="12">
        <v>41935</v>
      </c>
      <c r="F721" s="13">
        <v>680</v>
      </c>
      <c r="G721">
        <f t="shared" si="11"/>
        <v>1</v>
      </c>
    </row>
    <row r="722" spans="1:7" x14ac:dyDescent="0.25">
      <c r="A722" s="6" t="s">
        <v>170</v>
      </c>
      <c r="B722" s="7" t="s">
        <v>171</v>
      </c>
      <c r="C722" s="7" t="s">
        <v>66</v>
      </c>
      <c r="D722" s="8">
        <v>41936</v>
      </c>
      <c r="E722" s="8">
        <v>41936</v>
      </c>
      <c r="F722" s="9">
        <v>307.7</v>
      </c>
      <c r="G722">
        <f t="shared" si="11"/>
        <v>1</v>
      </c>
    </row>
    <row r="723" spans="1:7" x14ac:dyDescent="0.25">
      <c r="A723" s="10" t="s">
        <v>9</v>
      </c>
      <c r="B723" s="11" t="s">
        <v>18</v>
      </c>
      <c r="C723" s="11" t="s">
        <v>24</v>
      </c>
      <c r="D723" s="12">
        <v>41936</v>
      </c>
      <c r="E723" s="12">
        <v>41936</v>
      </c>
      <c r="F723" s="13">
        <v>290.7</v>
      </c>
      <c r="G723">
        <f t="shared" si="11"/>
        <v>1</v>
      </c>
    </row>
    <row r="724" spans="1:7" x14ac:dyDescent="0.25">
      <c r="A724" s="6" t="s">
        <v>82</v>
      </c>
      <c r="B724" s="7" t="s">
        <v>125</v>
      </c>
      <c r="C724" s="7" t="s">
        <v>66</v>
      </c>
      <c r="D724" s="8">
        <v>41937</v>
      </c>
      <c r="E724" s="8">
        <v>41937</v>
      </c>
      <c r="F724" s="9">
        <v>307.7</v>
      </c>
      <c r="G724">
        <f t="shared" si="11"/>
        <v>1</v>
      </c>
    </row>
    <row r="725" spans="1:7" x14ac:dyDescent="0.25">
      <c r="A725" s="10" t="s">
        <v>54</v>
      </c>
      <c r="B725" s="11" t="s">
        <v>121</v>
      </c>
      <c r="C725" s="11" t="s">
        <v>38</v>
      </c>
      <c r="D725" s="12">
        <v>41937</v>
      </c>
      <c r="E725" s="12">
        <v>41937</v>
      </c>
      <c r="F725" s="13">
        <v>278.8</v>
      </c>
      <c r="G725">
        <f t="shared" si="11"/>
        <v>1</v>
      </c>
    </row>
    <row r="726" spans="1:7" x14ac:dyDescent="0.25">
      <c r="A726" s="6" t="s">
        <v>12</v>
      </c>
      <c r="B726" s="7" t="s">
        <v>95</v>
      </c>
      <c r="C726" s="7" t="s">
        <v>27</v>
      </c>
      <c r="D726" s="8">
        <v>41937</v>
      </c>
      <c r="E726" s="8">
        <v>41938</v>
      </c>
      <c r="F726" s="9">
        <v>570</v>
      </c>
      <c r="G726">
        <f t="shared" si="11"/>
        <v>2</v>
      </c>
    </row>
    <row r="727" spans="1:7" x14ac:dyDescent="0.25">
      <c r="A727" s="10" t="s">
        <v>31</v>
      </c>
      <c r="B727" s="11" t="s">
        <v>32</v>
      </c>
      <c r="C727" s="11" t="s">
        <v>19</v>
      </c>
      <c r="D727" s="12">
        <v>41938</v>
      </c>
      <c r="E727" s="12">
        <v>41938</v>
      </c>
      <c r="F727" s="13">
        <v>513.4</v>
      </c>
      <c r="G727">
        <f t="shared" si="11"/>
        <v>1</v>
      </c>
    </row>
    <row r="728" spans="1:7" x14ac:dyDescent="0.25">
      <c r="A728" s="6" t="s">
        <v>170</v>
      </c>
      <c r="B728" s="7" t="s">
        <v>171</v>
      </c>
      <c r="C728" s="7" t="s">
        <v>66</v>
      </c>
      <c r="D728" s="8">
        <v>41939</v>
      </c>
      <c r="E728" s="8">
        <v>41939</v>
      </c>
      <c r="F728" s="9">
        <v>307.7</v>
      </c>
      <c r="G728">
        <f t="shared" si="11"/>
        <v>1</v>
      </c>
    </row>
    <row r="729" spans="1:7" x14ac:dyDescent="0.25">
      <c r="A729" s="10" t="s">
        <v>54</v>
      </c>
      <c r="B729" s="11" t="s">
        <v>55</v>
      </c>
      <c r="C729" s="11" t="s">
        <v>14</v>
      </c>
      <c r="D729" s="12">
        <v>41940</v>
      </c>
      <c r="E729" s="12">
        <v>41942</v>
      </c>
      <c r="F729" s="13">
        <v>426.5</v>
      </c>
      <c r="G729">
        <f t="shared" si="11"/>
        <v>3</v>
      </c>
    </row>
    <row r="730" spans="1:7" x14ac:dyDescent="0.25">
      <c r="A730" s="6" t="s">
        <v>82</v>
      </c>
      <c r="B730" s="7" t="s">
        <v>83</v>
      </c>
      <c r="C730" s="7" t="s">
        <v>38</v>
      </c>
      <c r="D730" s="8">
        <v>41941</v>
      </c>
      <c r="E730" s="8">
        <v>41942</v>
      </c>
      <c r="F730" s="9">
        <v>407.8</v>
      </c>
      <c r="G730">
        <f t="shared" si="11"/>
        <v>2</v>
      </c>
    </row>
    <row r="731" spans="1:7" x14ac:dyDescent="0.25">
      <c r="A731" s="10" t="s">
        <v>31</v>
      </c>
      <c r="B731" s="11" t="s">
        <v>32</v>
      </c>
      <c r="C731" s="11" t="s">
        <v>19</v>
      </c>
      <c r="D731" s="12">
        <v>41941</v>
      </c>
      <c r="E731" s="12">
        <v>41941</v>
      </c>
      <c r="F731" s="13">
        <v>513.4</v>
      </c>
      <c r="G731">
        <f t="shared" si="11"/>
        <v>1</v>
      </c>
    </row>
    <row r="732" spans="1:7" x14ac:dyDescent="0.25">
      <c r="A732" s="6" t="s">
        <v>111</v>
      </c>
      <c r="B732" s="7" t="s">
        <v>112</v>
      </c>
      <c r="C732" s="7" t="s">
        <v>11</v>
      </c>
      <c r="D732" s="8">
        <v>41941</v>
      </c>
      <c r="E732" s="8">
        <v>41942</v>
      </c>
      <c r="F732" s="9">
        <v>295.39999999999998</v>
      </c>
      <c r="G732">
        <f t="shared" si="11"/>
        <v>2</v>
      </c>
    </row>
    <row r="733" spans="1:7" x14ac:dyDescent="0.25">
      <c r="A733" s="10" t="s">
        <v>113</v>
      </c>
      <c r="B733" s="11" t="s">
        <v>114</v>
      </c>
      <c r="C733" s="11" t="s">
        <v>24</v>
      </c>
      <c r="D733" s="12">
        <v>41941</v>
      </c>
      <c r="E733" s="12">
        <v>41942</v>
      </c>
      <c r="F733" s="13">
        <v>439.7</v>
      </c>
      <c r="G733">
        <f t="shared" si="11"/>
        <v>2</v>
      </c>
    </row>
    <row r="734" spans="1:7" x14ac:dyDescent="0.25">
      <c r="A734" s="6" t="s">
        <v>91</v>
      </c>
      <c r="B734" s="7" t="s">
        <v>92</v>
      </c>
      <c r="C734" s="7" t="s">
        <v>24</v>
      </c>
      <c r="D734" s="8">
        <v>41941</v>
      </c>
      <c r="E734" s="8">
        <v>41945</v>
      </c>
      <c r="F734" s="9">
        <v>886.7</v>
      </c>
      <c r="G734">
        <f t="shared" si="11"/>
        <v>5</v>
      </c>
    </row>
    <row r="735" spans="1:7" x14ac:dyDescent="0.25">
      <c r="A735" s="10" t="s">
        <v>12</v>
      </c>
      <c r="B735" s="11" t="s">
        <v>95</v>
      </c>
      <c r="C735" s="11" t="s">
        <v>27</v>
      </c>
      <c r="D735" s="12">
        <v>41941</v>
      </c>
      <c r="E735" s="12">
        <v>41943</v>
      </c>
      <c r="F735" s="13">
        <v>698</v>
      </c>
      <c r="G735">
        <f t="shared" si="11"/>
        <v>3</v>
      </c>
    </row>
    <row r="736" spans="1:7" x14ac:dyDescent="0.25">
      <c r="A736" s="6" t="s">
        <v>20</v>
      </c>
      <c r="B736" s="7" t="s">
        <v>21</v>
      </c>
      <c r="C736" s="7" t="s">
        <v>66</v>
      </c>
      <c r="D736" s="8">
        <v>41941</v>
      </c>
      <c r="E736" s="8">
        <v>41941</v>
      </c>
      <c r="F736" s="9">
        <v>307.7</v>
      </c>
      <c r="G736">
        <f t="shared" si="11"/>
        <v>1</v>
      </c>
    </row>
    <row r="737" spans="1:7" x14ac:dyDescent="0.25">
      <c r="A737" s="10" t="s">
        <v>93</v>
      </c>
      <c r="B737" s="11" t="s">
        <v>124</v>
      </c>
      <c r="C737" s="11" t="s">
        <v>11</v>
      </c>
      <c r="D737" s="12">
        <v>41946</v>
      </c>
      <c r="E737" s="12">
        <v>41947</v>
      </c>
      <c r="F737" s="13">
        <v>295.39999999999998</v>
      </c>
      <c r="G737">
        <f t="shared" si="11"/>
        <v>2</v>
      </c>
    </row>
    <row r="738" spans="1:7" x14ac:dyDescent="0.25">
      <c r="A738" s="6" t="s">
        <v>54</v>
      </c>
      <c r="B738" s="7" t="s">
        <v>81</v>
      </c>
      <c r="C738" s="7" t="s">
        <v>17</v>
      </c>
      <c r="D738" s="8">
        <v>41946</v>
      </c>
      <c r="E738" s="8">
        <v>41946</v>
      </c>
      <c r="F738" s="9">
        <v>501.5</v>
      </c>
      <c r="G738">
        <f t="shared" si="11"/>
        <v>1</v>
      </c>
    </row>
    <row r="739" spans="1:7" x14ac:dyDescent="0.25">
      <c r="A739" s="10" t="s">
        <v>131</v>
      </c>
      <c r="B739" s="11" t="s">
        <v>142</v>
      </c>
      <c r="C739" s="11" t="s">
        <v>38</v>
      </c>
      <c r="D739" s="12">
        <v>41946</v>
      </c>
      <c r="E739" s="12">
        <v>41949</v>
      </c>
      <c r="F739" s="13">
        <v>665.8</v>
      </c>
      <c r="G739">
        <f t="shared" si="11"/>
        <v>4</v>
      </c>
    </row>
    <row r="740" spans="1:7" x14ac:dyDescent="0.25">
      <c r="A740" s="6" t="s">
        <v>115</v>
      </c>
      <c r="B740" s="7" t="s">
        <v>140</v>
      </c>
      <c r="C740" s="7" t="s">
        <v>47</v>
      </c>
      <c r="D740" s="8">
        <v>41946</v>
      </c>
      <c r="E740" s="8">
        <v>41950</v>
      </c>
      <c r="F740" s="9">
        <v>1015.8</v>
      </c>
      <c r="G740">
        <f t="shared" si="11"/>
        <v>5</v>
      </c>
    </row>
    <row r="741" spans="1:7" x14ac:dyDescent="0.25">
      <c r="A741" s="10" t="s">
        <v>9</v>
      </c>
      <c r="B741" s="11" t="s">
        <v>10</v>
      </c>
      <c r="C741" s="11" t="s">
        <v>24</v>
      </c>
      <c r="D741" s="12">
        <v>41946</v>
      </c>
      <c r="E741" s="12">
        <v>41947</v>
      </c>
      <c r="F741" s="13">
        <v>439.7</v>
      </c>
      <c r="G741">
        <f t="shared" si="11"/>
        <v>2</v>
      </c>
    </row>
    <row r="742" spans="1:7" x14ac:dyDescent="0.25">
      <c r="A742" s="6" t="s">
        <v>9</v>
      </c>
      <c r="B742" s="7" t="s">
        <v>69</v>
      </c>
      <c r="C742" s="7" t="s">
        <v>47</v>
      </c>
      <c r="D742" s="8">
        <v>41946</v>
      </c>
      <c r="E742" s="8">
        <v>41946</v>
      </c>
      <c r="F742" s="9">
        <v>363.8</v>
      </c>
      <c r="G742">
        <f t="shared" si="11"/>
        <v>1</v>
      </c>
    </row>
    <row r="743" spans="1:7" x14ac:dyDescent="0.25">
      <c r="A743" s="10" t="s">
        <v>101</v>
      </c>
      <c r="B743" s="11" t="s">
        <v>102</v>
      </c>
      <c r="C743" s="11" t="s">
        <v>59</v>
      </c>
      <c r="D743" s="12">
        <v>41946</v>
      </c>
      <c r="E743" s="12">
        <v>41947</v>
      </c>
      <c r="F743" s="13">
        <v>601</v>
      </c>
      <c r="G743">
        <f t="shared" si="11"/>
        <v>2</v>
      </c>
    </row>
    <row r="744" spans="1:7" x14ac:dyDescent="0.25">
      <c r="A744" s="6" t="s">
        <v>143</v>
      </c>
      <c r="B744" s="7" t="s">
        <v>144</v>
      </c>
      <c r="C744" s="7" t="s">
        <v>59</v>
      </c>
      <c r="D744" s="8">
        <v>41946</v>
      </c>
      <c r="E744" s="8">
        <v>41947</v>
      </c>
      <c r="F744" s="9">
        <v>601</v>
      </c>
      <c r="G744">
        <f t="shared" si="11"/>
        <v>2</v>
      </c>
    </row>
    <row r="745" spans="1:7" x14ac:dyDescent="0.25">
      <c r="A745" s="10" t="s">
        <v>164</v>
      </c>
      <c r="B745" s="11" t="s">
        <v>165</v>
      </c>
      <c r="C745" s="11" t="s">
        <v>72</v>
      </c>
      <c r="D745" s="12">
        <v>41946</v>
      </c>
      <c r="E745" s="12">
        <v>41946</v>
      </c>
      <c r="F745" s="13">
        <v>494.7</v>
      </c>
      <c r="G745">
        <f t="shared" si="11"/>
        <v>1</v>
      </c>
    </row>
    <row r="746" spans="1:7" x14ac:dyDescent="0.25">
      <c r="A746" s="6" t="s">
        <v>54</v>
      </c>
      <c r="B746" s="7" t="s">
        <v>121</v>
      </c>
      <c r="C746" s="7" t="s">
        <v>24</v>
      </c>
      <c r="D746" s="8">
        <v>41946</v>
      </c>
      <c r="E746" s="8">
        <v>41950</v>
      </c>
      <c r="F746" s="9">
        <v>886.7</v>
      </c>
      <c r="G746">
        <f t="shared" si="11"/>
        <v>5</v>
      </c>
    </row>
    <row r="747" spans="1:7" x14ac:dyDescent="0.25">
      <c r="A747" s="10" t="s">
        <v>151</v>
      </c>
      <c r="B747" s="11" t="s">
        <v>152</v>
      </c>
      <c r="C747" s="11" t="s">
        <v>72</v>
      </c>
      <c r="D747" s="12">
        <v>41946</v>
      </c>
      <c r="E747" s="12">
        <v>41946</v>
      </c>
      <c r="F747" s="13">
        <v>494.7</v>
      </c>
      <c r="G747">
        <f t="shared" si="11"/>
        <v>1</v>
      </c>
    </row>
    <row r="748" spans="1:7" x14ac:dyDescent="0.25">
      <c r="A748" s="6" t="s">
        <v>75</v>
      </c>
      <c r="B748" s="7" t="s">
        <v>88</v>
      </c>
      <c r="C748" s="7" t="s">
        <v>38</v>
      </c>
      <c r="D748" s="8">
        <v>41946</v>
      </c>
      <c r="E748" s="8">
        <v>41946</v>
      </c>
      <c r="F748" s="9">
        <v>278.8</v>
      </c>
      <c r="G748">
        <f t="shared" si="11"/>
        <v>1</v>
      </c>
    </row>
    <row r="749" spans="1:7" x14ac:dyDescent="0.25">
      <c r="A749" s="10" t="s">
        <v>147</v>
      </c>
      <c r="B749" s="11" t="s">
        <v>148</v>
      </c>
      <c r="C749" s="11" t="s">
        <v>27</v>
      </c>
      <c r="D749" s="12">
        <v>41946</v>
      </c>
      <c r="E749" s="12">
        <v>41947</v>
      </c>
      <c r="F749" s="13">
        <v>570</v>
      </c>
      <c r="G749">
        <f t="shared" si="11"/>
        <v>2</v>
      </c>
    </row>
    <row r="750" spans="1:7" x14ac:dyDescent="0.25">
      <c r="A750" s="6" t="s">
        <v>166</v>
      </c>
      <c r="B750" s="7" t="s">
        <v>167</v>
      </c>
      <c r="C750" s="7" t="s">
        <v>24</v>
      </c>
      <c r="D750" s="8">
        <v>41946</v>
      </c>
      <c r="E750" s="8">
        <v>41947</v>
      </c>
      <c r="F750" s="9">
        <v>439.7</v>
      </c>
      <c r="G750">
        <f t="shared" si="11"/>
        <v>2</v>
      </c>
    </row>
    <row r="751" spans="1:7" x14ac:dyDescent="0.25">
      <c r="A751" s="10" t="s">
        <v>20</v>
      </c>
      <c r="B751" s="11" t="s">
        <v>162</v>
      </c>
      <c r="C751" s="11" t="s">
        <v>30</v>
      </c>
      <c r="D751" s="12">
        <v>41946</v>
      </c>
      <c r="E751" s="12">
        <v>41947</v>
      </c>
      <c r="F751" s="13">
        <v>331.5</v>
      </c>
      <c r="G751">
        <f t="shared" si="11"/>
        <v>2</v>
      </c>
    </row>
    <row r="752" spans="1:7" x14ac:dyDescent="0.25">
      <c r="A752" s="6" t="s">
        <v>39</v>
      </c>
      <c r="B752" s="7" t="s">
        <v>40</v>
      </c>
      <c r="C752" s="7" t="s">
        <v>11</v>
      </c>
      <c r="D752" s="8">
        <v>41946</v>
      </c>
      <c r="E752" s="8">
        <v>41950</v>
      </c>
      <c r="F752" s="9">
        <v>712.4</v>
      </c>
      <c r="G752">
        <f t="shared" si="11"/>
        <v>5</v>
      </c>
    </row>
    <row r="753" spans="1:7" x14ac:dyDescent="0.25">
      <c r="A753" s="10" t="s">
        <v>113</v>
      </c>
      <c r="B753" s="11" t="s">
        <v>114</v>
      </c>
      <c r="C753" s="11" t="s">
        <v>11</v>
      </c>
      <c r="D753" s="12">
        <v>41946</v>
      </c>
      <c r="E753" s="12">
        <v>41947</v>
      </c>
      <c r="F753" s="13">
        <v>295.39999999999998</v>
      </c>
      <c r="G753">
        <f t="shared" si="11"/>
        <v>2</v>
      </c>
    </row>
    <row r="754" spans="1:7" x14ac:dyDescent="0.25">
      <c r="A754" s="6" t="s">
        <v>64</v>
      </c>
      <c r="B754" s="7" t="s">
        <v>65</v>
      </c>
      <c r="C754" s="7" t="s">
        <v>11</v>
      </c>
      <c r="D754" s="8">
        <v>41946</v>
      </c>
      <c r="E754" s="8">
        <v>41950</v>
      </c>
      <c r="F754" s="9">
        <v>712.4</v>
      </c>
      <c r="G754">
        <f t="shared" si="11"/>
        <v>5</v>
      </c>
    </row>
    <row r="755" spans="1:7" x14ac:dyDescent="0.25">
      <c r="A755" s="10" t="s">
        <v>173</v>
      </c>
      <c r="B755" s="11" t="s">
        <v>174</v>
      </c>
      <c r="C755" s="11" t="s">
        <v>72</v>
      </c>
      <c r="D755" s="12">
        <v>41947</v>
      </c>
      <c r="E755" s="12">
        <v>41949</v>
      </c>
      <c r="F755" s="13">
        <v>892.7</v>
      </c>
      <c r="G755">
        <f t="shared" si="11"/>
        <v>3</v>
      </c>
    </row>
    <row r="756" spans="1:7" x14ac:dyDescent="0.25">
      <c r="A756" s="6" t="s">
        <v>6</v>
      </c>
      <c r="B756" s="7" t="s">
        <v>7</v>
      </c>
      <c r="C756" s="7" t="s">
        <v>14</v>
      </c>
      <c r="D756" s="8">
        <v>41947</v>
      </c>
      <c r="E756" s="8">
        <v>41949</v>
      </c>
      <c r="F756" s="9">
        <v>426.5</v>
      </c>
      <c r="G756">
        <f t="shared" si="11"/>
        <v>3</v>
      </c>
    </row>
    <row r="757" spans="1:7" x14ac:dyDescent="0.25">
      <c r="A757" s="10" t="s">
        <v>48</v>
      </c>
      <c r="B757" s="11" t="s">
        <v>49</v>
      </c>
      <c r="C757" s="11" t="s">
        <v>8</v>
      </c>
      <c r="D757" s="12">
        <v>41947</v>
      </c>
      <c r="E757" s="12">
        <v>41949</v>
      </c>
      <c r="F757" s="13">
        <v>1102</v>
      </c>
      <c r="G757">
        <f t="shared" si="11"/>
        <v>3</v>
      </c>
    </row>
    <row r="758" spans="1:7" x14ac:dyDescent="0.25">
      <c r="A758" s="6" t="s">
        <v>22</v>
      </c>
      <c r="B758" s="7" t="s">
        <v>172</v>
      </c>
      <c r="C758" s="7" t="s">
        <v>17</v>
      </c>
      <c r="D758" s="8">
        <v>41947</v>
      </c>
      <c r="E758" s="8">
        <v>41949</v>
      </c>
      <c r="F758" s="9">
        <v>911.5</v>
      </c>
      <c r="G758">
        <f t="shared" si="11"/>
        <v>3</v>
      </c>
    </row>
    <row r="759" spans="1:7" x14ac:dyDescent="0.25">
      <c r="A759" s="10" t="s">
        <v>28</v>
      </c>
      <c r="B759" s="11" t="s">
        <v>29</v>
      </c>
      <c r="C759" s="11" t="s">
        <v>47</v>
      </c>
      <c r="D759" s="12">
        <v>41947</v>
      </c>
      <c r="E759" s="12">
        <v>41948</v>
      </c>
      <c r="F759" s="13">
        <v>526.79999999999995</v>
      </c>
      <c r="G759">
        <f t="shared" si="11"/>
        <v>2</v>
      </c>
    </row>
    <row r="760" spans="1:7" x14ac:dyDescent="0.25">
      <c r="A760" s="6" t="s">
        <v>33</v>
      </c>
      <c r="B760" s="7" t="s">
        <v>34</v>
      </c>
      <c r="C760" s="7" t="s">
        <v>14</v>
      </c>
      <c r="D760" s="8">
        <v>41947</v>
      </c>
      <c r="E760" s="8">
        <v>41951</v>
      </c>
      <c r="F760" s="9">
        <v>674.5</v>
      </c>
      <c r="G760">
        <f t="shared" si="11"/>
        <v>5</v>
      </c>
    </row>
    <row r="761" spans="1:7" x14ac:dyDescent="0.25">
      <c r="A761" s="10" t="s">
        <v>73</v>
      </c>
      <c r="B761" s="11" t="s">
        <v>74</v>
      </c>
      <c r="C761" s="11" t="s">
        <v>47</v>
      </c>
      <c r="D761" s="12">
        <v>41947</v>
      </c>
      <c r="E761" s="12">
        <v>41950</v>
      </c>
      <c r="F761" s="13">
        <v>852.8</v>
      </c>
      <c r="G761">
        <f t="shared" si="11"/>
        <v>4</v>
      </c>
    </row>
    <row r="762" spans="1:7" x14ac:dyDescent="0.25">
      <c r="A762" s="6" t="s">
        <v>25</v>
      </c>
      <c r="B762" s="7" t="s">
        <v>35</v>
      </c>
      <c r="C762" s="7" t="s">
        <v>72</v>
      </c>
      <c r="D762" s="8">
        <v>41947</v>
      </c>
      <c r="E762" s="8">
        <v>41951</v>
      </c>
      <c r="F762" s="9">
        <v>1290.7</v>
      </c>
      <c r="G762">
        <f t="shared" si="11"/>
        <v>5</v>
      </c>
    </row>
    <row r="763" spans="1:7" x14ac:dyDescent="0.25">
      <c r="A763" s="10" t="s">
        <v>12</v>
      </c>
      <c r="B763" s="11" t="s">
        <v>13</v>
      </c>
      <c r="C763" s="11" t="s">
        <v>17</v>
      </c>
      <c r="D763" s="12">
        <v>41947</v>
      </c>
      <c r="E763" s="12">
        <v>41948</v>
      </c>
      <c r="F763" s="13">
        <v>706.5</v>
      </c>
      <c r="G763">
        <f t="shared" si="11"/>
        <v>2</v>
      </c>
    </row>
    <row r="764" spans="1:7" x14ac:dyDescent="0.25">
      <c r="A764" s="6" t="s">
        <v>156</v>
      </c>
      <c r="B764" s="7" t="s">
        <v>157</v>
      </c>
      <c r="C764" s="7" t="s">
        <v>17</v>
      </c>
      <c r="D764" s="8">
        <v>41947</v>
      </c>
      <c r="E764" s="8">
        <v>41948</v>
      </c>
      <c r="F764" s="9">
        <v>706.5</v>
      </c>
      <c r="G764">
        <f t="shared" si="11"/>
        <v>2</v>
      </c>
    </row>
    <row r="765" spans="1:7" x14ac:dyDescent="0.25">
      <c r="A765" s="10" t="s">
        <v>134</v>
      </c>
      <c r="B765" s="11" t="s">
        <v>149</v>
      </c>
      <c r="C765" s="11" t="s">
        <v>17</v>
      </c>
      <c r="D765" s="12">
        <v>41947</v>
      </c>
      <c r="E765" s="12">
        <v>41947</v>
      </c>
      <c r="F765" s="13">
        <v>501.5</v>
      </c>
      <c r="G765">
        <f t="shared" si="11"/>
        <v>1</v>
      </c>
    </row>
    <row r="766" spans="1:7" x14ac:dyDescent="0.25">
      <c r="A766" s="6" t="s">
        <v>111</v>
      </c>
      <c r="B766" s="7" t="s">
        <v>112</v>
      </c>
      <c r="C766" s="7" t="s">
        <v>66</v>
      </c>
      <c r="D766" s="8">
        <v>41947</v>
      </c>
      <c r="E766" s="8">
        <v>41948</v>
      </c>
      <c r="F766" s="9">
        <v>485.7</v>
      </c>
      <c r="G766">
        <f t="shared" si="11"/>
        <v>2</v>
      </c>
    </row>
    <row r="767" spans="1:7" x14ac:dyDescent="0.25">
      <c r="A767" s="10" t="s">
        <v>31</v>
      </c>
      <c r="B767" s="11" t="s">
        <v>77</v>
      </c>
      <c r="C767" s="11" t="s">
        <v>47</v>
      </c>
      <c r="D767" s="12">
        <v>41947</v>
      </c>
      <c r="E767" s="12">
        <v>41948</v>
      </c>
      <c r="F767" s="13">
        <v>526.79999999999995</v>
      </c>
      <c r="G767">
        <f t="shared" si="11"/>
        <v>2</v>
      </c>
    </row>
    <row r="768" spans="1:7" x14ac:dyDescent="0.25">
      <c r="A768" s="6" t="s">
        <v>15</v>
      </c>
      <c r="B768" s="7" t="s">
        <v>96</v>
      </c>
      <c r="C768" s="7" t="s">
        <v>66</v>
      </c>
      <c r="D768" s="8">
        <v>41947</v>
      </c>
      <c r="E768" s="8">
        <v>41950</v>
      </c>
      <c r="F768" s="9">
        <v>841.7</v>
      </c>
      <c r="G768">
        <f t="shared" si="11"/>
        <v>4</v>
      </c>
    </row>
    <row r="769" spans="1:7" x14ac:dyDescent="0.25">
      <c r="A769" s="10" t="s">
        <v>166</v>
      </c>
      <c r="B769" s="11" t="s">
        <v>167</v>
      </c>
      <c r="C769" s="11" t="s">
        <v>59</v>
      </c>
      <c r="D769" s="12">
        <v>41949</v>
      </c>
      <c r="E769" s="12">
        <v>41949</v>
      </c>
      <c r="F769" s="13">
        <v>442</v>
      </c>
      <c r="G769">
        <f t="shared" si="11"/>
        <v>1</v>
      </c>
    </row>
    <row r="770" spans="1:7" x14ac:dyDescent="0.25">
      <c r="A770" s="6" t="s">
        <v>134</v>
      </c>
      <c r="B770" s="7" t="s">
        <v>149</v>
      </c>
      <c r="C770" s="7" t="s">
        <v>72</v>
      </c>
      <c r="D770" s="8">
        <v>41949</v>
      </c>
      <c r="E770" s="8">
        <v>41951</v>
      </c>
      <c r="F770" s="9">
        <v>892.7</v>
      </c>
      <c r="G770">
        <f t="shared" si="11"/>
        <v>3</v>
      </c>
    </row>
    <row r="771" spans="1:7" x14ac:dyDescent="0.25">
      <c r="A771" s="10" t="s">
        <v>9</v>
      </c>
      <c r="B771" s="11" t="s">
        <v>69</v>
      </c>
      <c r="C771" s="11" t="s">
        <v>30</v>
      </c>
      <c r="D771" s="12">
        <v>41950</v>
      </c>
      <c r="E771" s="12">
        <v>41951</v>
      </c>
      <c r="F771" s="13">
        <v>331.5</v>
      </c>
      <c r="G771">
        <f t="shared" ref="G771:G834" si="12">E771-D771 + 1</f>
        <v>2</v>
      </c>
    </row>
    <row r="772" spans="1:7" x14ac:dyDescent="0.25">
      <c r="A772" s="6" t="s">
        <v>164</v>
      </c>
      <c r="B772" s="7" t="s">
        <v>165</v>
      </c>
      <c r="C772" s="7" t="s">
        <v>66</v>
      </c>
      <c r="D772" s="8">
        <v>41950</v>
      </c>
      <c r="E772" s="8">
        <v>41950</v>
      </c>
      <c r="F772" s="9">
        <v>307.7</v>
      </c>
      <c r="G772">
        <f t="shared" si="12"/>
        <v>1</v>
      </c>
    </row>
    <row r="773" spans="1:7" x14ac:dyDescent="0.25">
      <c r="A773" s="10" t="s">
        <v>151</v>
      </c>
      <c r="B773" s="11" t="s">
        <v>152</v>
      </c>
      <c r="C773" s="11" t="s">
        <v>38</v>
      </c>
      <c r="D773" s="12">
        <v>41950</v>
      </c>
      <c r="E773" s="12">
        <v>41950</v>
      </c>
      <c r="F773" s="13">
        <v>278.8</v>
      </c>
      <c r="G773">
        <f t="shared" si="12"/>
        <v>1</v>
      </c>
    </row>
    <row r="774" spans="1:7" x14ac:dyDescent="0.25">
      <c r="A774" s="6" t="s">
        <v>75</v>
      </c>
      <c r="B774" s="7" t="s">
        <v>88</v>
      </c>
      <c r="C774" s="7" t="s">
        <v>27</v>
      </c>
      <c r="D774" s="8">
        <v>41950</v>
      </c>
      <c r="E774" s="8">
        <v>41950</v>
      </c>
      <c r="F774" s="9">
        <v>442</v>
      </c>
      <c r="G774">
        <f t="shared" si="12"/>
        <v>1</v>
      </c>
    </row>
    <row r="775" spans="1:7" x14ac:dyDescent="0.25">
      <c r="A775" s="10" t="s">
        <v>113</v>
      </c>
      <c r="B775" s="11" t="s">
        <v>114</v>
      </c>
      <c r="C775" s="11" t="s">
        <v>59</v>
      </c>
      <c r="D775" s="12">
        <v>41950</v>
      </c>
      <c r="E775" s="12">
        <v>41950</v>
      </c>
      <c r="F775" s="13">
        <v>442</v>
      </c>
      <c r="G775">
        <f t="shared" si="12"/>
        <v>1</v>
      </c>
    </row>
    <row r="776" spans="1:7" x14ac:dyDescent="0.25">
      <c r="A776" s="6" t="s">
        <v>122</v>
      </c>
      <c r="B776" s="7" t="s">
        <v>123</v>
      </c>
      <c r="C776" s="7" t="s">
        <v>8</v>
      </c>
      <c r="D776" s="8">
        <v>41953</v>
      </c>
      <c r="E776" s="8">
        <v>41956</v>
      </c>
      <c r="F776" s="9">
        <v>1313</v>
      </c>
      <c r="G776">
        <f t="shared" si="12"/>
        <v>4</v>
      </c>
    </row>
    <row r="777" spans="1:7" x14ac:dyDescent="0.25">
      <c r="A777" s="10" t="s">
        <v>134</v>
      </c>
      <c r="B777" s="11" t="s">
        <v>149</v>
      </c>
      <c r="C777" s="11" t="s">
        <v>38</v>
      </c>
      <c r="D777" s="12">
        <v>41956</v>
      </c>
      <c r="E777" s="12">
        <v>41957</v>
      </c>
      <c r="F777" s="13">
        <v>407.8</v>
      </c>
      <c r="G777">
        <f t="shared" si="12"/>
        <v>2</v>
      </c>
    </row>
    <row r="778" spans="1:7" x14ac:dyDescent="0.25">
      <c r="A778" s="6" t="s">
        <v>39</v>
      </c>
      <c r="B778" s="7" t="s">
        <v>40</v>
      </c>
      <c r="C778" s="7" t="s">
        <v>24</v>
      </c>
      <c r="D778" s="8">
        <v>41957</v>
      </c>
      <c r="E778" s="8">
        <v>41957</v>
      </c>
      <c r="F778" s="9">
        <v>290.7</v>
      </c>
      <c r="G778">
        <f t="shared" si="12"/>
        <v>1</v>
      </c>
    </row>
    <row r="779" spans="1:7" x14ac:dyDescent="0.25">
      <c r="A779" s="10" t="s">
        <v>128</v>
      </c>
      <c r="B779" s="11" t="s">
        <v>129</v>
      </c>
      <c r="C779" s="11" t="s">
        <v>8</v>
      </c>
      <c r="D779" s="12">
        <v>41958</v>
      </c>
      <c r="E779" s="12">
        <v>41958</v>
      </c>
      <c r="F779" s="13">
        <v>680</v>
      </c>
      <c r="G779">
        <f t="shared" si="12"/>
        <v>1</v>
      </c>
    </row>
    <row r="780" spans="1:7" x14ac:dyDescent="0.25">
      <c r="A780" s="6" t="s">
        <v>84</v>
      </c>
      <c r="B780" s="7" t="s">
        <v>85</v>
      </c>
      <c r="C780" s="7" t="s">
        <v>8</v>
      </c>
      <c r="D780" s="8">
        <v>41958</v>
      </c>
      <c r="E780" s="8">
        <v>41962</v>
      </c>
      <c r="F780" s="9">
        <v>1524</v>
      </c>
      <c r="G780">
        <f t="shared" si="12"/>
        <v>5</v>
      </c>
    </row>
    <row r="781" spans="1:7" x14ac:dyDescent="0.25">
      <c r="A781" s="10" t="s">
        <v>6</v>
      </c>
      <c r="B781" s="11" t="s">
        <v>56</v>
      </c>
      <c r="C781" s="11" t="s">
        <v>14</v>
      </c>
      <c r="D781" s="12">
        <v>41958</v>
      </c>
      <c r="E781" s="12">
        <v>41958</v>
      </c>
      <c r="F781" s="13">
        <v>178.5</v>
      </c>
      <c r="G781">
        <f t="shared" si="12"/>
        <v>1</v>
      </c>
    </row>
    <row r="782" spans="1:7" x14ac:dyDescent="0.25">
      <c r="A782" s="6" t="s">
        <v>134</v>
      </c>
      <c r="B782" s="7" t="s">
        <v>135</v>
      </c>
      <c r="C782" s="7" t="s">
        <v>27</v>
      </c>
      <c r="D782" s="8">
        <v>41958</v>
      </c>
      <c r="E782" s="8">
        <v>41960</v>
      </c>
      <c r="F782" s="9">
        <v>698</v>
      </c>
      <c r="G782">
        <f t="shared" si="12"/>
        <v>3</v>
      </c>
    </row>
    <row r="783" spans="1:7" x14ac:dyDescent="0.25">
      <c r="A783" s="10" t="s">
        <v>9</v>
      </c>
      <c r="B783" s="11" t="s">
        <v>69</v>
      </c>
      <c r="C783" s="11" t="s">
        <v>59</v>
      </c>
      <c r="D783" s="12">
        <v>41958</v>
      </c>
      <c r="E783" s="12">
        <v>41958</v>
      </c>
      <c r="F783" s="13">
        <v>442</v>
      </c>
      <c r="G783">
        <f t="shared" si="12"/>
        <v>1</v>
      </c>
    </row>
    <row r="784" spans="1:7" x14ac:dyDescent="0.25">
      <c r="A784" s="6" t="s">
        <v>73</v>
      </c>
      <c r="B784" s="7" t="s">
        <v>104</v>
      </c>
      <c r="C784" s="7" t="s">
        <v>30</v>
      </c>
      <c r="D784" s="8">
        <v>41958</v>
      </c>
      <c r="E784" s="8">
        <v>41962</v>
      </c>
      <c r="F784" s="9">
        <v>688.5</v>
      </c>
      <c r="G784">
        <f t="shared" si="12"/>
        <v>5</v>
      </c>
    </row>
    <row r="785" spans="1:7" x14ac:dyDescent="0.25">
      <c r="A785" s="10" t="s">
        <v>15</v>
      </c>
      <c r="B785" s="11" t="s">
        <v>105</v>
      </c>
      <c r="C785" s="11" t="s">
        <v>66</v>
      </c>
      <c r="D785" s="12">
        <v>41958</v>
      </c>
      <c r="E785" s="12">
        <v>41961</v>
      </c>
      <c r="F785" s="13">
        <v>841.7</v>
      </c>
      <c r="G785">
        <f t="shared" si="12"/>
        <v>4</v>
      </c>
    </row>
    <row r="786" spans="1:7" x14ac:dyDescent="0.25">
      <c r="A786" s="6" t="s">
        <v>93</v>
      </c>
      <c r="B786" s="7" t="s">
        <v>106</v>
      </c>
      <c r="C786" s="7" t="s">
        <v>27</v>
      </c>
      <c r="D786" s="8">
        <v>41958</v>
      </c>
      <c r="E786" s="8">
        <v>41958</v>
      </c>
      <c r="F786" s="9">
        <v>442</v>
      </c>
      <c r="G786">
        <f t="shared" si="12"/>
        <v>1</v>
      </c>
    </row>
    <row r="787" spans="1:7" x14ac:dyDescent="0.25">
      <c r="A787" s="10" t="s">
        <v>54</v>
      </c>
      <c r="B787" s="11" t="s">
        <v>121</v>
      </c>
      <c r="C787" s="11" t="s">
        <v>17</v>
      </c>
      <c r="D787" s="12">
        <v>41958</v>
      </c>
      <c r="E787" s="12">
        <v>41961</v>
      </c>
      <c r="F787" s="13">
        <v>1116.5</v>
      </c>
      <c r="G787">
        <f t="shared" si="12"/>
        <v>4</v>
      </c>
    </row>
    <row r="788" spans="1:7" x14ac:dyDescent="0.25">
      <c r="A788" s="6" t="s">
        <v>107</v>
      </c>
      <c r="B788" s="7" t="s">
        <v>108</v>
      </c>
      <c r="C788" s="7" t="s">
        <v>27</v>
      </c>
      <c r="D788" s="8">
        <v>41958</v>
      </c>
      <c r="E788" s="8">
        <v>41958</v>
      </c>
      <c r="F788" s="9">
        <v>442</v>
      </c>
      <c r="G788">
        <f t="shared" si="12"/>
        <v>1</v>
      </c>
    </row>
    <row r="789" spans="1:7" x14ac:dyDescent="0.25">
      <c r="A789" s="10" t="s">
        <v>166</v>
      </c>
      <c r="B789" s="11" t="s">
        <v>167</v>
      </c>
      <c r="C789" s="11" t="s">
        <v>47</v>
      </c>
      <c r="D789" s="12">
        <v>41958</v>
      </c>
      <c r="E789" s="12">
        <v>41959</v>
      </c>
      <c r="F789" s="13">
        <v>526.79999999999995</v>
      </c>
      <c r="G789">
        <f t="shared" si="12"/>
        <v>2</v>
      </c>
    </row>
    <row r="790" spans="1:7" x14ac:dyDescent="0.25">
      <c r="A790" s="6" t="s">
        <v>36</v>
      </c>
      <c r="B790" s="7" t="s">
        <v>37</v>
      </c>
      <c r="C790" s="7" t="s">
        <v>19</v>
      </c>
      <c r="D790" s="8">
        <v>41958</v>
      </c>
      <c r="E790" s="8">
        <v>41961</v>
      </c>
      <c r="F790" s="9">
        <v>936.4</v>
      </c>
      <c r="G790">
        <f t="shared" si="12"/>
        <v>4</v>
      </c>
    </row>
    <row r="791" spans="1:7" x14ac:dyDescent="0.25">
      <c r="A791" s="10" t="s">
        <v>111</v>
      </c>
      <c r="B791" s="11" t="s">
        <v>112</v>
      </c>
      <c r="C791" s="11" t="s">
        <v>38</v>
      </c>
      <c r="D791" s="12">
        <v>41958</v>
      </c>
      <c r="E791" s="12">
        <v>41959</v>
      </c>
      <c r="F791" s="13">
        <v>407.8</v>
      </c>
      <c r="G791">
        <f t="shared" si="12"/>
        <v>2</v>
      </c>
    </row>
    <row r="792" spans="1:7" x14ac:dyDescent="0.25">
      <c r="A792" s="6" t="s">
        <v>31</v>
      </c>
      <c r="B792" s="7" t="s">
        <v>77</v>
      </c>
      <c r="C792" s="7" t="s">
        <v>19</v>
      </c>
      <c r="D792" s="8">
        <v>41958</v>
      </c>
      <c r="E792" s="8">
        <v>41962</v>
      </c>
      <c r="F792" s="9">
        <v>1077.4000000000001</v>
      </c>
      <c r="G792">
        <f t="shared" si="12"/>
        <v>5</v>
      </c>
    </row>
    <row r="793" spans="1:7" x14ac:dyDescent="0.25">
      <c r="A793" s="10" t="s">
        <v>15</v>
      </c>
      <c r="B793" s="11" t="s">
        <v>96</v>
      </c>
      <c r="C793" s="11" t="s">
        <v>38</v>
      </c>
      <c r="D793" s="12">
        <v>41958</v>
      </c>
      <c r="E793" s="12">
        <v>41959</v>
      </c>
      <c r="F793" s="13">
        <v>407.8</v>
      </c>
      <c r="G793">
        <f t="shared" si="12"/>
        <v>2</v>
      </c>
    </row>
    <row r="794" spans="1:7" x14ac:dyDescent="0.25">
      <c r="A794" s="6" t="s">
        <v>122</v>
      </c>
      <c r="B794" s="7" t="s">
        <v>123</v>
      </c>
      <c r="C794" s="7" t="s">
        <v>30</v>
      </c>
      <c r="D794" s="8">
        <v>41959</v>
      </c>
      <c r="E794" s="8">
        <v>41960</v>
      </c>
      <c r="F794" s="9">
        <v>331.5</v>
      </c>
      <c r="G794">
        <f t="shared" si="12"/>
        <v>2</v>
      </c>
    </row>
    <row r="795" spans="1:7" x14ac:dyDescent="0.25">
      <c r="A795" s="10" t="s">
        <v>131</v>
      </c>
      <c r="B795" s="11" t="s">
        <v>154</v>
      </c>
      <c r="C795" s="11" t="s">
        <v>38</v>
      </c>
      <c r="D795" s="12">
        <v>41959</v>
      </c>
      <c r="E795" s="12">
        <v>41960</v>
      </c>
      <c r="F795" s="13">
        <v>407.8</v>
      </c>
      <c r="G795">
        <f t="shared" si="12"/>
        <v>2</v>
      </c>
    </row>
    <row r="796" spans="1:7" x14ac:dyDescent="0.25">
      <c r="A796" s="6" t="s">
        <v>54</v>
      </c>
      <c r="B796" s="7" t="s">
        <v>81</v>
      </c>
      <c r="C796" s="7" t="s">
        <v>66</v>
      </c>
      <c r="D796" s="8">
        <v>41959</v>
      </c>
      <c r="E796" s="8">
        <v>41960</v>
      </c>
      <c r="F796" s="9">
        <v>485.7</v>
      </c>
      <c r="G796">
        <f t="shared" si="12"/>
        <v>2</v>
      </c>
    </row>
    <row r="797" spans="1:7" x14ac:dyDescent="0.25">
      <c r="A797" s="10" t="s">
        <v>22</v>
      </c>
      <c r="B797" s="11" t="s">
        <v>172</v>
      </c>
      <c r="C797" s="11" t="s">
        <v>72</v>
      </c>
      <c r="D797" s="12">
        <v>41959</v>
      </c>
      <c r="E797" s="12">
        <v>41963</v>
      </c>
      <c r="F797" s="13">
        <v>1290.7</v>
      </c>
      <c r="G797">
        <f t="shared" si="12"/>
        <v>5</v>
      </c>
    </row>
    <row r="798" spans="1:7" x14ac:dyDescent="0.25">
      <c r="A798" s="6" t="s">
        <v>9</v>
      </c>
      <c r="B798" s="7" t="s">
        <v>10</v>
      </c>
      <c r="C798" s="7" t="s">
        <v>30</v>
      </c>
      <c r="D798" s="8">
        <v>41959</v>
      </c>
      <c r="E798" s="8">
        <v>41961</v>
      </c>
      <c r="F798" s="9">
        <v>450.5</v>
      </c>
      <c r="G798">
        <f t="shared" si="12"/>
        <v>3</v>
      </c>
    </row>
    <row r="799" spans="1:7" x14ac:dyDescent="0.25">
      <c r="A799" s="10" t="s">
        <v>9</v>
      </c>
      <c r="B799" s="11" t="s">
        <v>103</v>
      </c>
      <c r="C799" s="11" t="s">
        <v>17</v>
      </c>
      <c r="D799" s="12">
        <v>41959</v>
      </c>
      <c r="E799" s="12">
        <v>41961</v>
      </c>
      <c r="F799" s="13">
        <v>911.5</v>
      </c>
      <c r="G799">
        <f t="shared" si="12"/>
        <v>3</v>
      </c>
    </row>
    <row r="800" spans="1:7" x14ac:dyDescent="0.25">
      <c r="A800" s="6" t="s">
        <v>156</v>
      </c>
      <c r="B800" s="7" t="s">
        <v>157</v>
      </c>
      <c r="C800" s="7" t="s">
        <v>59</v>
      </c>
      <c r="D800" s="8">
        <v>41959</v>
      </c>
      <c r="E800" s="8">
        <v>41962</v>
      </c>
      <c r="F800" s="9">
        <v>919</v>
      </c>
      <c r="G800">
        <f t="shared" si="12"/>
        <v>4</v>
      </c>
    </row>
    <row r="801" spans="1:7" x14ac:dyDescent="0.25">
      <c r="A801" s="10" t="s">
        <v>158</v>
      </c>
      <c r="B801" s="11" t="s">
        <v>159</v>
      </c>
      <c r="C801" s="11" t="s">
        <v>19</v>
      </c>
      <c r="D801" s="12">
        <v>41959</v>
      </c>
      <c r="E801" s="12">
        <v>41960</v>
      </c>
      <c r="F801" s="13">
        <v>654.4</v>
      </c>
      <c r="G801">
        <f t="shared" si="12"/>
        <v>2</v>
      </c>
    </row>
    <row r="802" spans="1:7" x14ac:dyDescent="0.25">
      <c r="A802" s="6" t="s">
        <v>9</v>
      </c>
      <c r="B802" s="7" t="s">
        <v>18</v>
      </c>
      <c r="C802" s="7" t="s">
        <v>47</v>
      </c>
      <c r="D802" s="8">
        <v>41959</v>
      </c>
      <c r="E802" s="8">
        <v>41960</v>
      </c>
      <c r="F802" s="9">
        <v>526.79999999999995</v>
      </c>
      <c r="G802">
        <f t="shared" si="12"/>
        <v>2</v>
      </c>
    </row>
    <row r="803" spans="1:7" x14ac:dyDescent="0.25">
      <c r="A803" s="10" t="s">
        <v>115</v>
      </c>
      <c r="B803" s="11" t="s">
        <v>140</v>
      </c>
      <c r="C803" s="11" t="s">
        <v>66</v>
      </c>
      <c r="D803" s="12">
        <v>41960</v>
      </c>
      <c r="E803" s="12">
        <v>41960</v>
      </c>
      <c r="F803" s="13">
        <v>307.7</v>
      </c>
      <c r="G803">
        <f t="shared" si="12"/>
        <v>1</v>
      </c>
    </row>
    <row r="804" spans="1:7" x14ac:dyDescent="0.25">
      <c r="A804" s="6" t="s">
        <v>164</v>
      </c>
      <c r="B804" s="7" t="s">
        <v>165</v>
      </c>
      <c r="C804" s="7" t="s">
        <v>38</v>
      </c>
      <c r="D804" s="8">
        <v>41960</v>
      </c>
      <c r="E804" s="8">
        <v>41960</v>
      </c>
      <c r="F804" s="9">
        <v>278.8</v>
      </c>
      <c r="G804">
        <f t="shared" si="12"/>
        <v>1</v>
      </c>
    </row>
    <row r="805" spans="1:7" x14ac:dyDescent="0.25">
      <c r="A805" s="10" t="s">
        <v>113</v>
      </c>
      <c r="B805" s="11" t="s">
        <v>114</v>
      </c>
      <c r="C805" s="11" t="s">
        <v>8</v>
      </c>
      <c r="D805" s="12">
        <v>41960</v>
      </c>
      <c r="E805" s="12">
        <v>41962</v>
      </c>
      <c r="F805" s="13">
        <v>1102</v>
      </c>
      <c r="G805">
        <f t="shared" si="12"/>
        <v>3</v>
      </c>
    </row>
    <row r="806" spans="1:7" x14ac:dyDescent="0.25">
      <c r="A806" s="6" t="s">
        <v>93</v>
      </c>
      <c r="B806" s="7" t="s">
        <v>94</v>
      </c>
      <c r="C806" s="7" t="s">
        <v>11</v>
      </c>
      <c r="D806" s="8">
        <v>41960</v>
      </c>
      <c r="E806" s="8">
        <v>41962</v>
      </c>
      <c r="F806" s="9">
        <v>434.4</v>
      </c>
      <c r="G806">
        <f t="shared" si="12"/>
        <v>3</v>
      </c>
    </row>
    <row r="807" spans="1:7" x14ac:dyDescent="0.25">
      <c r="A807" s="10" t="s">
        <v>70</v>
      </c>
      <c r="B807" s="11" t="s">
        <v>117</v>
      </c>
      <c r="C807" s="11" t="s">
        <v>8</v>
      </c>
      <c r="D807" s="12">
        <v>41960</v>
      </c>
      <c r="E807" s="12">
        <v>41960</v>
      </c>
      <c r="F807" s="13">
        <v>680</v>
      </c>
      <c r="G807">
        <f t="shared" si="12"/>
        <v>1</v>
      </c>
    </row>
    <row r="808" spans="1:7" x14ac:dyDescent="0.25">
      <c r="A808" s="6" t="s">
        <v>128</v>
      </c>
      <c r="B808" s="7" t="s">
        <v>129</v>
      </c>
      <c r="C808" s="7" t="s">
        <v>27</v>
      </c>
      <c r="D808" s="8">
        <v>41961</v>
      </c>
      <c r="E808" s="8">
        <v>41961</v>
      </c>
      <c r="F808" s="9">
        <v>442</v>
      </c>
      <c r="G808">
        <f t="shared" si="12"/>
        <v>1</v>
      </c>
    </row>
    <row r="809" spans="1:7" x14ac:dyDescent="0.25">
      <c r="A809" s="10" t="s">
        <v>28</v>
      </c>
      <c r="B809" s="11" t="s">
        <v>60</v>
      </c>
      <c r="C809" s="11" t="s">
        <v>66</v>
      </c>
      <c r="D809" s="12">
        <v>41961</v>
      </c>
      <c r="E809" s="12">
        <v>41961</v>
      </c>
      <c r="F809" s="13">
        <v>307.7</v>
      </c>
      <c r="G809">
        <f t="shared" si="12"/>
        <v>1</v>
      </c>
    </row>
    <row r="810" spans="1:7" x14ac:dyDescent="0.25">
      <c r="A810" s="6" t="s">
        <v>9</v>
      </c>
      <c r="B810" s="7" t="s">
        <v>69</v>
      </c>
      <c r="C810" s="7" t="s">
        <v>27</v>
      </c>
      <c r="D810" s="8">
        <v>41961</v>
      </c>
      <c r="E810" s="8">
        <v>41961</v>
      </c>
      <c r="F810" s="9">
        <v>442</v>
      </c>
      <c r="G810">
        <f t="shared" si="12"/>
        <v>1</v>
      </c>
    </row>
    <row r="811" spans="1:7" x14ac:dyDescent="0.25">
      <c r="A811" s="10" t="s">
        <v>82</v>
      </c>
      <c r="B811" s="11" t="s">
        <v>125</v>
      </c>
      <c r="C811" s="11" t="s">
        <v>72</v>
      </c>
      <c r="D811" s="12">
        <v>41962</v>
      </c>
      <c r="E811" s="12">
        <v>41962</v>
      </c>
      <c r="F811" s="13">
        <v>494.7</v>
      </c>
      <c r="G811">
        <f t="shared" si="12"/>
        <v>1</v>
      </c>
    </row>
    <row r="812" spans="1:7" x14ac:dyDescent="0.25">
      <c r="A812" s="6" t="s">
        <v>168</v>
      </c>
      <c r="B812" s="7" t="s">
        <v>169</v>
      </c>
      <c r="C812" s="7" t="s">
        <v>11</v>
      </c>
      <c r="D812" s="8">
        <v>41962</v>
      </c>
      <c r="E812" s="8">
        <v>41962</v>
      </c>
      <c r="F812" s="9">
        <v>156.4</v>
      </c>
      <c r="G812">
        <f t="shared" si="12"/>
        <v>1</v>
      </c>
    </row>
    <row r="813" spans="1:7" x14ac:dyDescent="0.25">
      <c r="A813" s="10" t="s">
        <v>134</v>
      </c>
      <c r="B813" s="11" t="s">
        <v>135</v>
      </c>
      <c r="C813" s="11" t="s">
        <v>27</v>
      </c>
      <c r="D813" s="12">
        <v>41962</v>
      </c>
      <c r="E813" s="12">
        <v>41962</v>
      </c>
      <c r="F813" s="13">
        <v>442</v>
      </c>
      <c r="G813">
        <f t="shared" si="12"/>
        <v>1</v>
      </c>
    </row>
    <row r="814" spans="1:7" x14ac:dyDescent="0.25">
      <c r="A814" s="6" t="s">
        <v>164</v>
      </c>
      <c r="B814" s="7" t="s">
        <v>165</v>
      </c>
      <c r="C814" s="7" t="s">
        <v>17</v>
      </c>
      <c r="D814" s="8">
        <v>41962</v>
      </c>
      <c r="E814" s="8">
        <v>41962</v>
      </c>
      <c r="F814" s="9">
        <v>501.5</v>
      </c>
      <c r="G814">
        <f t="shared" si="12"/>
        <v>1</v>
      </c>
    </row>
    <row r="815" spans="1:7" x14ac:dyDescent="0.25">
      <c r="A815" s="10" t="s">
        <v>61</v>
      </c>
      <c r="B815" s="11" t="s">
        <v>62</v>
      </c>
      <c r="C815" s="11" t="s">
        <v>19</v>
      </c>
      <c r="D815" s="12">
        <v>41963</v>
      </c>
      <c r="E815" s="12">
        <v>41964</v>
      </c>
      <c r="F815" s="13">
        <v>654.4</v>
      </c>
      <c r="G815">
        <f t="shared" si="12"/>
        <v>2</v>
      </c>
    </row>
    <row r="816" spans="1:7" x14ac:dyDescent="0.25">
      <c r="A816" s="6" t="s">
        <v>6</v>
      </c>
      <c r="B816" s="7" t="s">
        <v>56</v>
      </c>
      <c r="C816" s="7" t="s">
        <v>59</v>
      </c>
      <c r="D816" s="8">
        <v>41963</v>
      </c>
      <c r="E816" s="8">
        <v>41963</v>
      </c>
      <c r="F816" s="9">
        <v>442</v>
      </c>
      <c r="G816">
        <f t="shared" si="12"/>
        <v>1</v>
      </c>
    </row>
    <row r="817" spans="1:7" x14ac:dyDescent="0.25">
      <c r="A817" s="10" t="s">
        <v>15</v>
      </c>
      <c r="B817" s="11" t="s">
        <v>96</v>
      </c>
      <c r="C817" s="11" t="s">
        <v>30</v>
      </c>
      <c r="D817" s="12">
        <v>41963</v>
      </c>
      <c r="E817" s="12">
        <v>41963</v>
      </c>
      <c r="F817" s="13">
        <v>212.5</v>
      </c>
      <c r="G817">
        <f t="shared" si="12"/>
        <v>1</v>
      </c>
    </row>
    <row r="818" spans="1:7" x14ac:dyDescent="0.25">
      <c r="A818" s="6" t="s">
        <v>54</v>
      </c>
      <c r="B818" s="7" t="s">
        <v>55</v>
      </c>
      <c r="C818" s="7" t="s">
        <v>27</v>
      </c>
      <c r="D818" s="8">
        <v>41964</v>
      </c>
      <c r="E818" s="8">
        <v>41965</v>
      </c>
      <c r="F818" s="9">
        <v>570</v>
      </c>
      <c r="G818">
        <f t="shared" si="12"/>
        <v>2</v>
      </c>
    </row>
    <row r="819" spans="1:7" x14ac:dyDescent="0.25">
      <c r="A819" s="10" t="s">
        <v>131</v>
      </c>
      <c r="B819" s="11" t="s">
        <v>154</v>
      </c>
      <c r="C819" s="11" t="s">
        <v>38</v>
      </c>
      <c r="D819" s="12">
        <v>41964</v>
      </c>
      <c r="E819" s="12">
        <v>41965</v>
      </c>
      <c r="F819" s="13">
        <v>407.8</v>
      </c>
      <c r="G819">
        <f t="shared" si="12"/>
        <v>2</v>
      </c>
    </row>
    <row r="820" spans="1:7" x14ac:dyDescent="0.25">
      <c r="A820" s="6" t="s">
        <v>25</v>
      </c>
      <c r="B820" s="7" t="s">
        <v>67</v>
      </c>
      <c r="C820" s="7" t="s">
        <v>30</v>
      </c>
      <c r="D820" s="8">
        <v>41965</v>
      </c>
      <c r="E820" s="8">
        <v>41969</v>
      </c>
      <c r="F820" s="9">
        <v>688.5</v>
      </c>
      <c r="G820">
        <f t="shared" si="12"/>
        <v>5</v>
      </c>
    </row>
    <row r="821" spans="1:7" x14ac:dyDescent="0.25">
      <c r="A821" s="10" t="s">
        <v>9</v>
      </c>
      <c r="B821" s="11" t="s">
        <v>103</v>
      </c>
      <c r="C821" s="11" t="s">
        <v>11</v>
      </c>
      <c r="D821" s="12">
        <v>41965</v>
      </c>
      <c r="E821" s="12">
        <v>41965</v>
      </c>
      <c r="F821" s="13">
        <v>156.4</v>
      </c>
      <c r="G821">
        <f t="shared" si="12"/>
        <v>1</v>
      </c>
    </row>
    <row r="822" spans="1:7" x14ac:dyDescent="0.25">
      <c r="A822" s="6" t="s">
        <v>143</v>
      </c>
      <c r="B822" s="7" t="s">
        <v>144</v>
      </c>
      <c r="C822" s="7" t="s">
        <v>72</v>
      </c>
      <c r="D822" s="8">
        <v>41965</v>
      </c>
      <c r="E822" s="8">
        <v>41966</v>
      </c>
      <c r="F822" s="9">
        <v>693.7</v>
      </c>
      <c r="G822">
        <f t="shared" si="12"/>
        <v>2</v>
      </c>
    </row>
    <row r="823" spans="1:7" x14ac:dyDescent="0.25">
      <c r="A823" s="10" t="s">
        <v>164</v>
      </c>
      <c r="B823" s="11" t="s">
        <v>165</v>
      </c>
      <c r="C823" s="11" t="s">
        <v>72</v>
      </c>
      <c r="D823" s="12">
        <v>41965</v>
      </c>
      <c r="E823" s="12">
        <v>41965</v>
      </c>
      <c r="F823" s="13">
        <v>494.7</v>
      </c>
      <c r="G823">
        <f t="shared" si="12"/>
        <v>1</v>
      </c>
    </row>
    <row r="824" spans="1:7" x14ac:dyDescent="0.25">
      <c r="A824" s="6" t="s">
        <v>158</v>
      </c>
      <c r="B824" s="7" t="s">
        <v>159</v>
      </c>
      <c r="C824" s="7" t="s">
        <v>17</v>
      </c>
      <c r="D824" s="8">
        <v>41965</v>
      </c>
      <c r="E824" s="8">
        <v>41968</v>
      </c>
      <c r="F824" s="9">
        <v>1116.5</v>
      </c>
      <c r="G824">
        <f t="shared" si="12"/>
        <v>4</v>
      </c>
    </row>
    <row r="825" spans="1:7" x14ac:dyDescent="0.25">
      <c r="A825" s="10" t="s">
        <v>89</v>
      </c>
      <c r="B825" s="11" t="s">
        <v>90</v>
      </c>
      <c r="C825" s="11" t="s">
        <v>8</v>
      </c>
      <c r="D825" s="12">
        <v>41965</v>
      </c>
      <c r="E825" s="12">
        <v>41966</v>
      </c>
      <c r="F825" s="13">
        <v>891</v>
      </c>
      <c r="G825">
        <f t="shared" si="12"/>
        <v>2</v>
      </c>
    </row>
    <row r="826" spans="1:7" x14ac:dyDescent="0.25">
      <c r="A826" s="6" t="s">
        <v>115</v>
      </c>
      <c r="B826" s="7" t="s">
        <v>116</v>
      </c>
      <c r="C826" s="7" t="s">
        <v>24</v>
      </c>
      <c r="D826" s="8">
        <v>41965</v>
      </c>
      <c r="E826" s="8">
        <v>41968</v>
      </c>
      <c r="F826" s="9">
        <v>737.7</v>
      </c>
      <c r="G826">
        <f t="shared" si="12"/>
        <v>4</v>
      </c>
    </row>
    <row r="827" spans="1:7" x14ac:dyDescent="0.25">
      <c r="A827" s="10" t="s">
        <v>115</v>
      </c>
      <c r="B827" s="11" t="s">
        <v>153</v>
      </c>
      <c r="C827" s="11" t="s">
        <v>19</v>
      </c>
      <c r="D827" s="12">
        <v>41966</v>
      </c>
      <c r="E827" s="12">
        <v>41966</v>
      </c>
      <c r="F827" s="13">
        <v>513.4</v>
      </c>
      <c r="G827">
        <f t="shared" si="12"/>
        <v>1</v>
      </c>
    </row>
    <row r="828" spans="1:7" x14ac:dyDescent="0.25">
      <c r="A828" s="6" t="s">
        <v>61</v>
      </c>
      <c r="B828" s="7" t="s">
        <v>62</v>
      </c>
      <c r="C828" s="7" t="s">
        <v>8</v>
      </c>
      <c r="D828" s="8">
        <v>41967</v>
      </c>
      <c r="E828" s="8">
        <v>41968</v>
      </c>
      <c r="F828" s="9">
        <v>891</v>
      </c>
      <c r="G828">
        <f t="shared" si="12"/>
        <v>2</v>
      </c>
    </row>
    <row r="829" spans="1:7" x14ac:dyDescent="0.25">
      <c r="A829" s="10" t="s">
        <v>119</v>
      </c>
      <c r="B829" s="11" t="s">
        <v>120</v>
      </c>
      <c r="C829" s="11" t="s">
        <v>14</v>
      </c>
      <c r="D829" s="12">
        <v>41967</v>
      </c>
      <c r="E829" s="12">
        <v>41967</v>
      </c>
      <c r="F829" s="13">
        <v>178.5</v>
      </c>
      <c r="G829">
        <f t="shared" si="12"/>
        <v>1</v>
      </c>
    </row>
    <row r="830" spans="1:7" x14ac:dyDescent="0.25">
      <c r="A830" s="6" t="s">
        <v>28</v>
      </c>
      <c r="B830" s="7" t="s">
        <v>60</v>
      </c>
      <c r="C830" s="7" t="s">
        <v>8</v>
      </c>
      <c r="D830" s="8">
        <v>41968</v>
      </c>
      <c r="E830" s="8">
        <v>41968</v>
      </c>
      <c r="F830" s="9">
        <v>680</v>
      </c>
      <c r="G830">
        <f t="shared" si="12"/>
        <v>1</v>
      </c>
    </row>
    <row r="831" spans="1:7" x14ac:dyDescent="0.25">
      <c r="A831" s="10" t="s">
        <v>164</v>
      </c>
      <c r="B831" s="11" t="s">
        <v>165</v>
      </c>
      <c r="C831" s="11" t="s">
        <v>14</v>
      </c>
      <c r="D831" s="12">
        <v>41968</v>
      </c>
      <c r="E831" s="12">
        <v>41968</v>
      </c>
      <c r="F831" s="13">
        <v>178.5</v>
      </c>
      <c r="G831">
        <f t="shared" si="12"/>
        <v>1</v>
      </c>
    </row>
    <row r="832" spans="1:7" x14ac:dyDescent="0.25">
      <c r="A832" s="6" t="s">
        <v>12</v>
      </c>
      <c r="B832" s="7" t="s">
        <v>95</v>
      </c>
      <c r="C832" s="7" t="s">
        <v>19</v>
      </c>
      <c r="D832" s="8">
        <v>41968</v>
      </c>
      <c r="E832" s="8">
        <v>41968</v>
      </c>
      <c r="F832" s="9">
        <v>513.4</v>
      </c>
      <c r="G832">
        <f t="shared" si="12"/>
        <v>1</v>
      </c>
    </row>
    <row r="833" spans="1:7" x14ac:dyDescent="0.25">
      <c r="A833" s="10" t="s">
        <v>31</v>
      </c>
      <c r="B833" s="11" t="s">
        <v>78</v>
      </c>
      <c r="C833" s="11" t="s">
        <v>11</v>
      </c>
      <c r="D833" s="12">
        <v>41970</v>
      </c>
      <c r="E833" s="12">
        <v>41973</v>
      </c>
      <c r="F833" s="13">
        <v>573.4</v>
      </c>
      <c r="G833">
        <f t="shared" si="12"/>
        <v>4</v>
      </c>
    </row>
    <row r="834" spans="1:7" x14ac:dyDescent="0.25">
      <c r="A834" s="6" t="s">
        <v>82</v>
      </c>
      <c r="B834" s="7" t="s">
        <v>125</v>
      </c>
      <c r="C834" s="7" t="s">
        <v>17</v>
      </c>
      <c r="D834" s="8">
        <v>41970</v>
      </c>
      <c r="E834" s="8">
        <v>41970</v>
      </c>
      <c r="F834" s="9">
        <v>501.5</v>
      </c>
      <c r="G834">
        <f t="shared" si="12"/>
        <v>1</v>
      </c>
    </row>
    <row r="835" spans="1:7" x14ac:dyDescent="0.25">
      <c r="A835" s="10" t="s">
        <v>70</v>
      </c>
      <c r="B835" s="11" t="s">
        <v>71</v>
      </c>
      <c r="C835" s="11" t="s">
        <v>14</v>
      </c>
      <c r="D835" s="12">
        <v>41970</v>
      </c>
      <c r="E835" s="12">
        <v>41974</v>
      </c>
      <c r="F835" s="13">
        <v>674.5</v>
      </c>
      <c r="G835">
        <f t="shared" ref="G835:G898" si="13">E835-D835 + 1</f>
        <v>5</v>
      </c>
    </row>
    <row r="836" spans="1:7" x14ac:dyDescent="0.25">
      <c r="A836" s="6" t="s">
        <v>25</v>
      </c>
      <c r="B836" s="7" t="s">
        <v>68</v>
      </c>
      <c r="C836" s="7" t="s">
        <v>59</v>
      </c>
      <c r="D836" s="8">
        <v>41970</v>
      </c>
      <c r="E836" s="8">
        <v>41974</v>
      </c>
      <c r="F836" s="9">
        <v>1078</v>
      </c>
      <c r="G836">
        <f t="shared" si="13"/>
        <v>5</v>
      </c>
    </row>
    <row r="837" spans="1:7" x14ac:dyDescent="0.25">
      <c r="A837" s="10" t="s">
        <v>33</v>
      </c>
      <c r="B837" s="11" t="s">
        <v>34</v>
      </c>
      <c r="C837" s="11" t="s">
        <v>59</v>
      </c>
      <c r="D837" s="12">
        <v>41970</v>
      </c>
      <c r="E837" s="12">
        <v>41970</v>
      </c>
      <c r="F837" s="13">
        <v>442</v>
      </c>
      <c r="G837">
        <f t="shared" si="13"/>
        <v>1</v>
      </c>
    </row>
    <row r="838" spans="1:7" x14ac:dyDescent="0.25">
      <c r="A838" s="6" t="s">
        <v>134</v>
      </c>
      <c r="B838" s="7" t="s">
        <v>135</v>
      </c>
      <c r="C838" s="7" t="s">
        <v>47</v>
      </c>
      <c r="D838" s="8">
        <v>41970</v>
      </c>
      <c r="E838" s="8">
        <v>41971</v>
      </c>
      <c r="F838" s="9">
        <v>526.79999999999995</v>
      </c>
      <c r="G838">
        <f t="shared" si="13"/>
        <v>2</v>
      </c>
    </row>
    <row r="839" spans="1:7" x14ac:dyDescent="0.25">
      <c r="A839" s="10" t="s">
        <v>73</v>
      </c>
      <c r="B839" s="11" t="s">
        <v>74</v>
      </c>
      <c r="C839" s="11" t="s">
        <v>59</v>
      </c>
      <c r="D839" s="12">
        <v>41970</v>
      </c>
      <c r="E839" s="12">
        <v>41970</v>
      </c>
      <c r="F839" s="13">
        <v>442</v>
      </c>
      <c r="G839">
        <f t="shared" si="13"/>
        <v>1</v>
      </c>
    </row>
    <row r="840" spans="1:7" x14ac:dyDescent="0.25">
      <c r="A840" s="6" t="s">
        <v>164</v>
      </c>
      <c r="B840" s="7" t="s">
        <v>165</v>
      </c>
      <c r="C840" s="7" t="s">
        <v>17</v>
      </c>
      <c r="D840" s="8">
        <v>41970</v>
      </c>
      <c r="E840" s="8">
        <v>41973</v>
      </c>
      <c r="F840" s="9">
        <v>1116.5</v>
      </c>
      <c r="G840">
        <f t="shared" si="13"/>
        <v>4</v>
      </c>
    </row>
    <row r="841" spans="1:7" x14ac:dyDescent="0.25">
      <c r="A841" s="10" t="s">
        <v>54</v>
      </c>
      <c r="B841" s="11" t="s">
        <v>121</v>
      </c>
      <c r="C841" s="11" t="s">
        <v>72</v>
      </c>
      <c r="D841" s="12">
        <v>41970</v>
      </c>
      <c r="E841" s="12">
        <v>41974</v>
      </c>
      <c r="F841" s="13">
        <v>1290.7</v>
      </c>
      <c r="G841">
        <f t="shared" si="13"/>
        <v>5</v>
      </c>
    </row>
    <row r="842" spans="1:7" x14ac:dyDescent="0.25">
      <c r="A842" s="6" t="s">
        <v>25</v>
      </c>
      <c r="B842" s="7" t="s">
        <v>35</v>
      </c>
      <c r="C842" s="7" t="s">
        <v>72</v>
      </c>
      <c r="D842" s="8">
        <v>41970</v>
      </c>
      <c r="E842" s="8">
        <v>41972</v>
      </c>
      <c r="F842" s="9">
        <v>892.7</v>
      </c>
      <c r="G842">
        <f t="shared" si="13"/>
        <v>3</v>
      </c>
    </row>
    <row r="843" spans="1:7" x14ac:dyDescent="0.25">
      <c r="A843" s="10" t="s">
        <v>151</v>
      </c>
      <c r="B843" s="11" t="s">
        <v>152</v>
      </c>
      <c r="C843" s="11" t="s">
        <v>47</v>
      </c>
      <c r="D843" s="12">
        <v>41970</v>
      </c>
      <c r="E843" s="12">
        <v>41970</v>
      </c>
      <c r="F843" s="13">
        <v>363.8</v>
      </c>
      <c r="G843">
        <f t="shared" si="13"/>
        <v>1</v>
      </c>
    </row>
    <row r="844" spans="1:7" x14ac:dyDescent="0.25">
      <c r="A844" s="6" t="s">
        <v>147</v>
      </c>
      <c r="B844" s="7" t="s">
        <v>148</v>
      </c>
      <c r="C844" s="7" t="s">
        <v>24</v>
      </c>
      <c r="D844" s="8">
        <v>41970</v>
      </c>
      <c r="E844" s="8">
        <v>41970</v>
      </c>
      <c r="F844" s="9">
        <v>290.7</v>
      </c>
      <c r="G844">
        <f t="shared" si="13"/>
        <v>1</v>
      </c>
    </row>
    <row r="845" spans="1:7" x14ac:dyDescent="0.25">
      <c r="A845" s="10" t="s">
        <v>109</v>
      </c>
      <c r="B845" s="11" t="s">
        <v>110</v>
      </c>
      <c r="C845" s="11" t="s">
        <v>47</v>
      </c>
      <c r="D845" s="12">
        <v>41970</v>
      </c>
      <c r="E845" s="12">
        <v>41971</v>
      </c>
      <c r="F845" s="13">
        <v>526.79999999999995</v>
      </c>
      <c r="G845">
        <f t="shared" si="13"/>
        <v>2</v>
      </c>
    </row>
    <row r="846" spans="1:7" x14ac:dyDescent="0.25">
      <c r="A846" s="6" t="s">
        <v>93</v>
      </c>
      <c r="B846" s="7" t="s">
        <v>94</v>
      </c>
      <c r="C846" s="7" t="s">
        <v>30</v>
      </c>
      <c r="D846" s="8">
        <v>41970</v>
      </c>
      <c r="E846" s="8">
        <v>41970</v>
      </c>
      <c r="F846" s="9">
        <v>212.5</v>
      </c>
      <c r="G846">
        <f t="shared" si="13"/>
        <v>1</v>
      </c>
    </row>
    <row r="847" spans="1:7" x14ac:dyDescent="0.25">
      <c r="A847" s="10" t="s">
        <v>115</v>
      </c>
      <c r="B847" s="11" t="s">
        <v>116</v>
      </c>
      <c r="C847" s="11" t="s">
        <v>59</v>
      </c>
      <c r="D847" s="12">
        <v>41970</v>
      </c>
      <c r="E847" s="12">
        <v>41971</v>
      </c>
      <c r="F847" s="13">
        <v>601</v>
      </c>
      <c r="G847">
        <f t="shared" si="13"/>
        <v>2</v>
      </c>
    </row>
    <row r="848" spans="1:7" x14ac:dyDescent="0.25">
      <c r="A848" s="6" t="s">
        <v>12</v>
      </c>
      <c r="B848" s="7" t="s">
        <v>95</v>
      </c>
      <c r="C848" s="7" t="s">
        <v>19</v>
      </c>
      <c r="D848" s="8">
        <v>41970</v>
      </c>
      <c r="E848" s="8">
        <v>41970</v>
      </c>
      <c r="F848" s="9">
        <v>513.4</v>
      </c>
      <c r="G848">
        <f t="shared" si="13"/>
        <v>1</v>
      </c>
    </row>
    <row r="849" spans="1:7" x14ac:dyDescent="0.25">
      <c r="A849" s="10" t="s">
        <v>54</v>
      </c>
      <c r="B849" s="11" t="s">
        <v>118</v>
      </c>
      <c r="C849" s="11" t="s">
        <v>72</v>
      </c>
      <c r="D849" s="12">
        <v>41970</v>
      </c>
      <c r="E849" s="12">
        <v>41971</v>
      </c>
      <c r="F849" s="13">
        <v>693.7</v>
      </c>
      <c r="G849">
        <f t="shared" si="13"/>
        <v>2</v>
      </c>
    </row>
    <row r="850" spans="1:7" x14ac:dyDescent="0.25">
      <c r="A850" s="6" t="s">
        <v>20</v>
      </c>
      <c r="B850" s="7" t="s">
        <v>21</v>
      </c>
      <c r="C850" s="7" t="s">
        <v>14</v>
      </c>
      <c r="D850" s="8">
        <v>41970</v>
      </c>
      <c r="E850" s="8">
        <v>41972</v>
      </c>
      <c r="F850" s="9">
        <v>426.5</v>
      </c>
      <c r="G850">
        <f t="shared" si="13"/>
        <v>3</v>
      </c>
    </row>
    <row r="851" spans="1:7" x14ac:dyDescent="0.25">
      <c r="A851" s="10" t="s">
        <v>54</v>
      </c>
      <c r="B851" s="11" t="s">
        <v>81</v>
      </c>
      <c r="C851" s="11" t="s">
        <v>19</v>
      </c>
      <c r="D851" s="12">
        <v>41971</v>
      </c>
      <c r="E851" s="12">
        <v>41974</v>
      </c>
      <c r="F851" s="13">
        <v>936.4</v>
      </c>
      <c r="G851">
        <f t="shared" si="13"/>
        <v>4</v>
      </c>
    </row>
    <row r="852" spans="1:7" x14ac:dyDescent="0.25">
      <c r="A852" s="6" t="s">
        <v>22</v>
      </c>
      <c r="B852" s="7" t="s">
        <v>172</v>
      </c>
      <c r="C852" s="7" t="s">
        <v>72</v>
      </c>
      <c r="D852" s="8">
        <v>41971</v>
      </c>
      <c r="E852" s="8">
        <v>41973</v>
      </c>
      <c r="F852" s="9">
        <v>892.7</v>
      </c>
      <c r="G852">
        <f t="shared" si="13"/>
        <v>3</v>
      </c>
    </row>
    <row r="853" spans="1:7" x14ac:dyDescent="0.25">
      <c r="A853" s="10" t="s">
        <v>131</v>
      </c>
      <c r="B853" s="11" t="s">
        <v>142</v>
      </c>
      <c r="C853" s="11" t="s">
        <v>8</v>
      </c>
      <c r="D853" s="12">
        <v>41971</v>
      </c>
      <c r="E853" s="12">
        <v>41973</v>
      </c>
      <c r="F853" s="13">
        <v>1102</v>
      </c>
      <c r="G853">
        <f t="shared" si="13"/>
        <v>3</v>
      </c>
    </row>
    <row r="854" spans="1:7" x14ac:dyDescent="0.25">
      <c r="A854" s="6" t="s">
        <v>84</v>
      </c>
      <c r="B854" s="7" t="s">
        <v>85</v>
      </c>
      <c r="C854" s="7" t="s">
        <v>27</v>
      </c>
      <c r="D854" s="8">
        <v>41971</v>
      </c>
      <c r="E854" s="8">
        <v>41973</v>
      </c>
      <c r="F854" s="9">
        <v>698</v>
      </c>
      <c r="G854">
        <f t="shared" si="13"/>
        <v>3</v>
      </c>
    </row>
    <row r="855" spans="1:7" x14ac:dyDescent="0.25">
      <c r="A855" s="10" t="s">
        <v>86</v>
      </c>
      <c r="B855" s="11" t="s">
        <v>150</v>
      </c>
      <c r="C855" s="11" t="s">
        <v>72</v>
      </c>
      <c r="D855" s="12">
        <v>41971</v>
      </c>
      <c r="E855" s="12">
        <v>41972</v>
      </c>
      <c r="F855" s="13">
        <v>693.7</v>
      </c>
      <c r="G855">
        <f t="shared" si="13"/>
        <v>2</v>
      </c>
    </row>
    <row r="856" spans="1:7" x14ac:dyDescent="0.25">
      <c r="A856" s="6" t="s">
        <v>50</v>
      </c>
      <c r="B856" s="7" t="s">
        <v>51</v>
      </c>
      <c r="C856" s="7" t="s">
        <v>17</v>
      </c>
      <c r="D856" s="8">
        <v>41971</v>
      </c>
      <c r="E856" s="8">
        <v>41971</v>
      </c>
      <c r="F856" s="9">
        <v>501.5</v>
      </c>
      <c r="G856">
        <f t="shared" si="13"/>
        <v>1</v>
      </c>
    </row>
    <row r="857" spans="1:7" x14ac:dyDescent="0.25">
      <c r="A857" s="10" t="s">
        <v>25</v>
      </c>
      <c r="B857" s="11" t="s">
        <v>26</v>
      </c>
      <c r="C857" s="11" t="s">
        <v>66</v>
      </c>
      <c r="D857" s="12">
        <v>41971</v>
      </c>
      <c r="E857" s="12">
        <v>41971</v>
      </c>
      <c r="F857" s="13">
        <v>307.7</v>
      </c>
      <c r="G857">
        <f t="shared" si="13"/>
        <v>1</v>
      </c>
    </row>
    <row r="858" spans="1:7" x14ac:dyDescent="0.25">
      <c r="A858" s="6" t="s">
        <v>28</v>
      </c>
      <c r="B858" s="7" t="s">
        <v>29</v>
      </c>
      <c r="C858" s="7" t="s">
        <v>66</v>
      </c>
      <c r="D858" s="8">
        <v>41971</v>
      </c>
      <c r="E858" s="8">
        <v>41972</v>
      </c>
      <c r="F858" s="9">
        <v>485.7</v>
      </c>
      <c r="G858">
        <f t="shared" si="13"/>
        <v>2</v>
      </c>
    </row>
    <row r="859" spans="1:7" x14ac:dyDescent="0.25">
      <c r="A859" s="10" t="s">
        <v>168</v>
      </c>
      <c r="B859" s="11" t="s">
        <v>169</v>
      </c>
      <c r="C859" s="11" t="s">
        <v>59</v>
      </c>
      <c r="D859" s="12">
        <v>41971</v>
      </c>
      <c r="E859" s="12">
        <v>41975</v>
      </c>
      <c r="F859" s="13">
        <v>1078</v>
      </c>
      <c r="G859">
        <f t="shared" si="13"/>
        <v>5</v>
      </c>
    </row>
    <row r="860" spans="1:7" x14ac:dyDescent="0.25">
      <c r="A860" s="6" t="s">
        <v>115</v>
      </c>
      <c r="B860" s="7" t="s">
        <v>140</v>
      </c>
      <c r="C860" s="7" t="s">
        <v>47</v>
      </c>
      <c r="D860" s="8">
        <v>41971</v>
      </c>
      <c r="E860" s="8">
        <v>41971</v>
      </c>
      <c r="F860" s="9">
        <v>363.8</v>
      </c>
      <c r="G860">
        <f t="shared" si="13"/>
        <v>1</v>
      </c>
    </row>
    <row r="861" spans="1:7" x14ac:dyDescent="0.25">
      <c r="A861" s="10" t="s">
        <v>126</v>
      </c>
      <c r="B861" s="11" t="s">
        <v>127</v>
      </c>
      <c r="C861" s="11" t="s">
        <v>19</v>
      </c>
      <c r="D861" s="12">
        <v>41971</v>
      </c>
      <c r="E861" s="12">
        <v>41971</v>
      </c>
      <c r="F861" s="13">
        <v>513.4</v>
      </c>
      <c r="G861">
        <f t="shared" si="13"/>
        <v>1</v>
      </c>
    </row>
    <row r="862" spans="1:7" x14ac:dyDescent="0.25">
      <c r="A862" s="6" t="s">
        <v>9</v>
      </c>
      <c r="B862" s="7" t="s">
        <v>69</v>
      </c>
      <c r="C862" s="7" t="s">
        <v>38</v>
      </c>
      <c r="D862" s="8">
        <v>41971</v>
      </c>
      <c r="E862" s="8">
        <v>41972</v>
      </c>
      <c r="F862" s="9">
        <v>407.8</v>
      </c>
      <c r="G862">
        <f t="shared" si="13"/>
        <v>2</v>
      </c>
    </row>
    <row r="863" spans="1:7" x14ac:dyDescent="0.25">
      <c r="A863" s="10" t="s">
        <v>99</v>
      </c>
      <c r="B863" s="11" t="s">
        <v>100</v>
      </c>
      <c r="C863" s="11" t="s">
        <v>72</v>
      </c>
      <c r="D863" s="12">
        <v>41971</v>
      </c>
      <c r="E863" s="12">
        <v>41974</v>
      </c>
      <c r="F863" s="13">
        <v>1091.7</v>
      </c>
      <c r="G863">
        <f t="shared" si="13"/>
        <v>4</v>
      </c>
    </row>
    <row r="864" spans="1:7" x14ac:dyDescent="0.25">
      <c r="A864" s="6" t="s">
        <v>145</v>
      </c>
      <c r="B864" s="7" t="s">
        <v>146</v>
      </c>
      <c r="C864" s="7" t="s">
        <v>14</v>
      </c>
      <c r="D864" s="8">
        <v>41971</v>
      </c>
      <c r="E864" s="8">
        <v>41975</v>
      </c>
      <c r="F864" s="9">
        <v>674.5</v>
      </c>
      <c r="G864">
        <f t="shared" si="13"/>
        <v>5</v>
      </c>
    </row>
    <row r="865" spans="1:7" x14ac:dyDescent="0.25">
      <c r="A865" s="10" t="s">
        <v>156</v>
      </c>
      <c r="B865" s="11" t="s">
        <v>157</v>
      </c>
      <c r="C865" s="11" t="s">
        <v>8</v>
      </c>
      <c r="D865" s="12">
        <v>41971</v>
      </c>
      <c r="E865" s="12">
        <v>41975</v>
      </c>
      <c r="F865" s="13">
        <v>1524</v>
      </c>
      <c r="G865">
        <f t="shared" si="13"/>
        <v>5</v>
      </c>
    </row>
    <row r="866" spans="1:7" x14ac:dyDescent="0.25">
      <c r="A866" s="6" t="s">
        <v>137</v>
      </c>
      <c r="B866" s="7" t="s">
        <v>160</v>
      </c>
      <c r="C866" s="7" t="s">
        <v>30</v>
      </c>
      <c r="D866" s="8">
        <v>41971</v>
      </c>
      <c r="E866" s="8">
        <v>41975</v>
      </c>
      <c r="F866" s="9">
        <v>688.5</v>
      </c>
      <c r="G866">
        <f t="shared" si="13"/>
        <v>5</v>
      </c>
    </row>
    <row r="867" spans="1:7" x14ac:dyDescent="0.25">
      <c r="A867" s="10" t="s">
        <v>158</v>
      </c>
      <c r="B867" s="11" t="s">
        <v>159</v>
      </c>
      <c r="C867" s="11" t="s">
        <v>24</v>
      </c>
      <c r="D867" s="12">
        <v>41971</v>
      </c>
      <c r="E867" s="12">
        <v>41972</v>
      </c>
      <c r="F867" s="13">
        <v>439.7</v>
      </c>
      <c r="G867">
        <f t="shared" si="13"/>
        <v>2</v>
      </c>
    </row>
    <row r="868" spans="1:7" x14ac:dyDescent="0.25">
      <c r="A868" s="6" t="s">
        <v>31</v>
      </c>
      <c r="B868" s="7" t="s">
        <v>77</v>
      </c>
      <c r="C868" s="7" t="s">
        <v>72</v>
      </c>
      <c r="D868" s="8">
        <v>41971</v>
      </c>
      <c r="E868" s="8">
        <v>41972</v>
      </c>
      <c r="F868" s="9">
        <v>693.7</v>
      </c>
      <c r="G868">
        <f t="shared" si="13"/>
        <v>2</v>
      </c>
    </row>
    <row r="869" spans="1:7" x14ac:dyDescent="0.25">
      <c r="A869" s="10" t="s">
        <v>57</v>
      </c>
      <c r="B869" s="11" t="s">
        <v>58</v>
      </c>
      <c r="C869" s="11" t="s">
        <v>8</v>
      </c>
      <c r="D869" s="12">
        <v>41971</v>
      </c>
      <c r="E869" s="12">
        <v>41974</v>
      </c>
      <c r="F869" s="13">
        <v>1313</v>
      </c>
      <c r="G869">
        <f t="shared" si="13"/>
        <v>4</v>
      </c>
    </row>
    <row r="870" spans="1:7" x14ac:dyDescent="0.25">
      <c r="A870" s="6" t="s">
        <v>86</v>
      </c>
      <c r="B870" s="7" t="s">
        <v>136</v>
      </c>
      <c r="C870" s="7" t="s">
        <v>8</v>
      </c>
      <c r="D870" s="8">
        <v>41971</v>
      </c>
      <c r="E870" s="8">
        <v>41972</v>
      </c>
      <c r="F870" s="9">
        <v>891</v>
      </c>
      <c r="G870">
        <f t="shared" si="13"/>
        <v>2</v>
      </c>
    </row>
    <row r="871" spans="1:7" x14ac:dyDescent="0.25">
      <c r="A871" s="10" t="s">
        <v>170</v>
      </c>
      <c r="B871" s="11" t="s">
        <v>171</v>
      </c>
      <c r="C871" s="11" t="s">
        <v>24</v>
      </c>
      <c r="D871" s="12">
        <v>41972</v>
      </c>
      <c r="E871" s="12">
        <v>41973</v>
      </c>
      <c r="F871" s="13">
        <v>439.7</v>
      </c>
      <c r="G871">
        <f t="shared" si="13"/>
        <v>2</v>
      </c>
    </row>
    <row r="872" spans="1:7" x14ac:dyDescent="0.25">
      <c r="A872" s="6" t="s">
        <v>115</v>
      </c>
      <c r="B872" s="7" t="s">
        <v>140</v>
      </c>
      <c r="C872" s="7" t="s">
        <v>8</v>
      </c>
      <c r="D872" s="8">
        <v>41974</v>
      </c>
      <c r="E872" s="8">
        <v>41974</v>
      </c>
      <c r="F872" s="9">
        <v>680</v>
      </c>
      <c r="G872">
        <f t="shared" si="13"/>
        <v>1</v>
      </c>
    </row>
    <row r="873" spans="1:7" x14ac:dyDescent="0.25">
      <c r="A873" s="10" t="s">
        <v>33</v>
      </c>
      <c r="B873" s="11" t="s">
        <v>34</v>
      </c>
      <c r="C873" s="11" t="s">
        <v>59</v>
      </c>
      <c r="D873" s="12">
        <v>41974</v>
      </c>
      <c r="E873" s="12">
        <v>41974</v>
      </c>
      <c r="F873" s="13">
        <v>442</v>
      </c>
      <c r="G873">
        <f t="shared" si="13"/>
        <v>1</v>
      </c>
    </row>
    <row r="874" spans="1:7" x14ac:dyDescent="0.25">
      <c r="A874" s="6" t="s">
        <v>126</v>
      </c>
      <c r="B874" s="7" t="s">
        <v>127</v>
      </c>
      <c r="C874" s="7" t="s">
        <v>14</v>
      </c>
      <c r="D874" s="8">
        <v>41974</v>
      </c>
      <c r="E874" s="8">
        <v>41975</v>
      </c>
      <c r="F874" s="9">
        <v>302.5</v>
      </c>
      <c r="G874">
        <f t="shared" si="13"/>
        <v>2</v>
      </c>
    </row>
    <row r="875" spans="1:7" x14ac:dyDescent="0.25">
      <c r="A875" s="10" t="s">
        <v>73</v>
      </c>
      <c r="B875" s="11" t="s">
        <v>74</v>
      </c>
      <c r="C875" s="11" t="s">
        <v>19</v>
      </c>
      <c r="D875" s="12">
        <v>41974</v>
      </c>
      <c r="E875" s="12">
        <v>41974</v>
      </c>
      <c r="F875" s="13">
        <v>513.4</v>
      </c>
      <c r="G875">
        <f t="shared" si="13"/>
        <v>1</v>
      </c>
    </row>
    <row r="876" spans="1:7" x14ac:dyDescent="0.25">
      <c r="A876" s="6" t="s">
        <v>151</v>
      </c>
      <c r="B876" s="7" t="s">
        <v>152</v>
      </c>
      <c r="C876" s="7" t="s">
        <v>59</v>
      </c>
      <c r="D876" s="8">
        <v>41974</v>
      </c>
      <c r="E876" s="8">
        <v>41974</v>
      </c>
      <c r="F876" s="9">
        <v>442</v>
      </c>
      <c r="G876">
        <f t="shared" si="13"/>
        <v>1</v>
      </c>
    </row>
    <row r="877" spans="1:7" x14ac:dyDescent="0.25">
      <c r="A877" s="10" t="s">
        <v>147</v>
      </c>
      <c r="B877" s="11" t="s">
        <v>148</v>
      </c>
      <c r="C877" s="11" t="s">
        <v>72</v>
      </c>
      <c r="D877" s="12">
        <v>41974</v>
      </c>
      <c r="E877" s="12">
        <v>41974</v>
      </c>
      <c r="F877" s="13">
        <v>494.7</v>
      </c>
      <c r="G877">
        <f t="shared" si="13"/>
        <v>1</v>
      </c>
    </row>
    <row r="878" spans="1:7" x14ac:dyDescent="0.25">
      <c r="A878" s="6" t="s">
        <v>93</v>
      </c>
      <c r="B878" s="7" t="s">
        <v>94</v>
      </c>
      <c r="C878" s="7" t="s">
        <v>19</v>
      </c>
      <c r="D878" s="8">
        <v>41974</v>
      </c>
      <c r="E878" s="8">
        <v>41974</v>
      </c>
      <c r="F878" s="9">
        <v>513.4</v>
      </c>
      <c r="G878">
        <f t="shared" si="13"/>
        <v>1</v>
      </c>
    </row>
    <row r="879" spans="1:7" x14ac:dyDescent="0.25">
      <c r="A879" s="10" t="s">
        <v>131</v>
      </c>
      <c r="B879" s="11" t="s">
        <v>154</v>
      </c>
      <c r="C879" s="11" t="s">
        <v>59</v>
      </c>
      <c r="D879" s="12">
        <v>41975</v>
      </c>
      <c r="E879" s="12">
        <v>41975</v>
      </c>
      <c r="F879" s="13">
        <v>442</v>
      </c>
      <c r="G879">
        <f t="shared" si="13"/>
        <v>1</v>
      </c>
    </row>
    <row r="880" spans="1:7" x14ac:dyDescent="0.25">
      <c r="A880" s="6" t="s">
        <v>22</v>
      </c>
      <c r="B880" s="7" t="s">
        <v>172</v>
      </c>
      <c r="C880" s="7" t="s">
        <v>30</v>
      </c>
      <c r="D880" s="8">
        <v>41975</v>
      </c>
      <c r="E880" s="8">
        <v>41976</v>
      </c>
      <c r="F880" s="9">
        <v>331.5</v>
      </c>
      <c r="G880">
        <f t="shared" si="13"/>
        <v>2</v>
      </c>
    </row>
    <row r="881" spans="1:7" x14ac:dyDescent="0.25">
      <c r="A881" s="10" t="s">
        <v>54</v>
      </c>
      <c r="B881" s="11" t="s">
        <v>133</v>
      </c>
      <c r="C881" s="11" t="s">
        <v>47</v>
      </c>
      <c r="D881" s="12">
        <v>41975</v>
      </c>
      <c r="E881" s="12">
        <v>41977</v>
      </c>
      <c r="F881" s="13">
        <v>689.8</v>
      </c>
      <c r="G881">
        <f t="shared" si="13"/>
        <v>3</v>
      </c>
    </row>
    <row r="882" spans="1:7" x14ac:dyDescent="0.25">
      <c r="A882" s="6" t="s">
        <v>50</v>
      </c>
      <c r="B882" s="7" t="s">
        <v>51</v>
      </c>
      <c r="C882" s="7" t="s">
        <v>38</v>
      </c>
      <c r="D882" s="8">
        <v>41975</v>
      </c>
      <c r="E882" s="8">
        <v>41975</v>
      </c>
      <c r="F882" s="9">
        <v>278.8</v>
      </c>
      <c r="G882">
        <f t="shared" si="13"/>
        <v>1</v>
      </c>
    </row>
    <row r="883" spans="1:7" x14ac:dyDescent="0.25">
      <c r="A883" s="10" t="s">
        <v>158</v>
      </c>
      <c r="B883" s="11" t="s">
        <v>159</v>
      </c>
      <c r="C883" s="11" t="s">
        <v>11</v>
      </c>
      <c r="D883" s="12">
        <v>41975</v>
      </c>
      <c r="E883" s="12">
        <v>41975</v>
      </c>
      <c r="F883" s="13">
        <v>156.4</v>
      </c>
      <c r="G883">
        <f t="shared" si="13"/>
        <v>1</v>
      </c>
    </row>
    <row r="884" spans="1:7" x14ac:dyDescent="0.25">
      <c r="A884" s="6" t="s">
        <v>115</v>
      </c>
      <c r="B884" s="7" t="s">
        <v>116</v>
      </c>
      <c r="C884" s="7" t="s">
        <v>24</v>
      </c>
      <c r="D884" s="8">
        <v>41975</v>
      </c>
      <c r="E884" s="8">
        <v>41975</v>
      </c>
      <c r="F884" s="9">
        <v>290.7</v>
      </c>
      <c r="G884">
        <f t="shared" si="13"/>
        <v>1</v>
      </c>
    </row>
    <row r="885" spans="1:7" x14ac:dyDescent="0.25">
      <c r="A885" s="10" t="s">
        <v>170</v>
      </c>
      <c r="B885" s="11" t="s">
        <v>171</v>
      </c>
      <c r="C885" s="11" t="s">
        <v>38</v>
      </c>
      <c r="D885" s="12">
        <v>41976</v>
      </c>
      <c r="E885" s="12">
        <v>41976</v>
      </c>
      <c r="F885" s="13">
        <v>278.8</v>
      </c>
      <c r="G885">
        <f t="shared" si="13"/>
        <v>1</v>
      </c>
    </row>
    <row r="886" spans="1:7" x14ac:dyDescent="0.25">
      <c r="A886" s="6" t="s">
        <v>54</v>
      </c>
      <c r="B886" s="7" t="s">
        <v>81</v>
      </c>
      <c r="C886" s="7" t="s">
        <v>19</v>
      </c>
      <c r="D886" s="8">
        <v>41977</v>
      </c>
      <c r="E886" s="8">
        <v>41977</v>
      </c>
      <c r="F886" s="9">
        <v>513.4</v>
      </c>
      <c r="G886">
        <f t="shared" si="13"/>
        <v>1</v>
      </c>
    </row>
    <row r="887" spans="1:7" x14ac:dyDescent="0.25">
      <c r="A887" s="10" t="s">
        <v>99</v>
      </c>
      <c r="B887" s="11" t="s">
        <v>130</v>
      </c>
      <c r="C887" s="11" t="s">
        <v>24</v>
      </c>
      <c r="D887" s="12">
        <v>41977</v>
      </c>
      <c r="E887" s="12">
        <v>41978</v>
      </c>
      <c r="F887" s="13">
        <v>439.7</v>
      </c>
      <c r="G887">
        <f t="shared" si="13"/>
        <v>2</v>
      </c>
    </row>
    <row r="888" spans="1:7" x14ac:dyDescent="0.25">
      <c r="A888" s="6" t="s">
        <v>97</v>
      </c>
      <c r="B888" s="7" t="s">
        <v>98</v>
      </c>
      <c r="C888" s="7" t="s">
        <v>14</v>
      </c>
      <c r="D888" s="8">
        <v>41977</v>
      </c>
      <c r="E888" s="8">
        <v>41978</v>
      </c>
      <c r="F888" s="9">
        <v>302.5</v>
      </c>
      <c r="G888">
        <f t="shared" si="13"/>
        <v>2</v>
      </c>
    </row>
    <row r="889" spans="1:7" x14ac:dyDescent="0.25">
      <c r="A889" s="10" t="s">
        <v>73</v>
      </c>
      <c r="B889" s="11" t="s">
        <v>155</v>
      </c>
      <c r="C889" s="11" t="s">
        <v>11</v>
      </c>
      <c r="D889" s="12">
        <v>41977</v>
      </c>
      <c r="E889" s="12">
        <v>41978</v>
      </c>
      <c r="F889" s="13">
        <v>295.39999999999998</v>
      </c>
      <c r="G889">
        <f t="shared" si="13"/>
        <v>2</v>
      </c>
    </row>
    <row r="890" spans="1:7" x14ac:dyDescent="0.25">
      <c r="A890" s="6" t="s">
        <v>109</v>
      </c>
      <c r="B890" s="7" t="s">
        <v>110</v>
      </c>
      <c r="C890" s="7" t="s">
        <v>24</v>
      </c>
      <c r="D890" s="8">
        <v>41977</v>
      </c>
      <c r="E890" s="8">
        <v>41981</v>
      </c>
      <c r="F890" s="9">
        <v>886.7</v>
      </c>
      <c r="G890">
        <f t="shared" si="13"/>
        <v>5</v>
      </c>
    </row>
    <row r="891" spans="1:7" x14ac:dyDescent="0.25">
      <c r="A891" s="10" t="s">
        <v>20</v>
      </c>
      <c r="B891" s="11" t="s">
        <v>162</v>
      </c>
      <c r="C891" s="11" t="s">
        <v>72</v>
      </c>
      <c r="D891" s="12">
        <v>41977</v>
      </c>
      <c r="E891" s="12">
        <v>41981</v>
      </c>
      <c r="F891" s="13">
        <v>1290.7</v>
      </c>
      <c r="G891">
        <f t="shared" si="13"/>
        <v>5</v>
      </c>
    </row>
    <row r="892" spans="1:7" x14ac:dyDescent="0.25">
      <c r="A892" s="6" t="s">
        <v>15</v>
      </c>
      <c r="B892" s="7" t="s">
        <v>16</v>
      </c>
      <c r="C892" s="7" t="s">
        <v>38</v>
      </c>
      <c r="D892" s="8">
        <v>41977</v>
      </c>
      <c r="E892" s="8">
        <v>41979</v>
      </c>
      <c r="F892" s="9">
        <v>536.79999999999995</v>
      </c>
      <c r="G892">
        <f t="shared" si="13"/>
        <v>3</v>
      </c>
    </row>
    <row r="893" spans="1:7" x14ac:dyDescent="0.25">
      <c r="A893" s="10" t="s">
        <v>31</v>
      </c>
      <c r="B893" s="11" t="s">
        <v>78</v>
      </c>
      <c r="C893" s="11" t="s">
        <v>24</v>
      </c>
      <c r="D893" s="12">
        <v>41982</v>
      </c>
      <c r="E893" s="12">
        <v>41983</v>
      </c>
      <c r="F893" s="13">
        <v>439.7</v>
      </c>
      <c r="G893">
        <f t="shared" si="13"/>
        <v>2</v>
      </c>
    </row>
    <row r="894" spans="1:7" x14ac:dyDescent="0.25">
      <c r="A894" s="6" t="s">
        <v>33</v>
      </c>
      <c r="B894" s="7" t="s">
        <v>141</v>
      </c>
      <c r="C894" s="7" t="s">
        <v>38</v>
      </c>
      <c r="D894" s="8">
        <v>41982</v>
      </c>
      <c r="E894" s="8">
        <v>41982</v>
      </c>
      <c r="F894" s="9">
        <v>278.8</v>
      </c>
      <c r="G894">
        <f t="shared" si="13"/>
        <v>1</v>
      </c>
    </row>
    <row r="895" spans="1:7" x14ac:dyDescent="0.25">
      <c r="A895" s="10" t="s">
        <v>48</v>
      </c>
      <c r="B895" s="11" t="s">
        <v>49</v>
      </c>
      <c r="C895" s="11" t="s">
        <v>24</v>
      </c>
      <c r="D895" s="12">
        <v>41982</v>
      </c>
      <c r="E895" s="12">
        <v>41985</v>
      </c>
      <c r="F895" s="13">
        <v>737.7</v>
      </c>
      <c r="G895">
        <f t="shared" si="13"/>
        <v>4</v>
      </c>
    </row>
    <row r="896" spans="1:7" x14ac:dyDescent="0.25">
      <c r="A896" s="6" t="s">
        <v>6</v>
      </c>
      <c r="B896" s="7" t="s">
        <v>139</v>
      </c>
      <c r="C896" s="7" t="s">
        <v>30</v>
      </c>
      <c r="D896" s="8">
        <v>41982</v>
      </c>
      <c r="E896" s="8">
        <v>41983</v>
      </c>
      <c r="F896" s="9">
        <v>331.5</v>
      </c>
      <c r="G896">
        <f t="shared" si="13"/>
        <v>2</v>
      </c>
    </row>
    <row r="897" spans="1:7" x14ac:dyDescent="0.25">
      <c r="A897" s="10" t="s">
        <v>122</v>
      </c>
      <c r="B897" s="11" t="s">
        <v>123</v>
      </c>
      <c r="C897" s="11" t="s">
        <v>59</v>
      </c>
      <c r="D897" s="12">
        <v>41982</v>
      </c>
      <c r="E897" s="12">
        <v>41982</v>
      </c>
      <c r="F897" s="13">
        <v>442</v>
      </c>
      <c r="G897">
        <f t="shared" si="13"/>
        <v>1</v>
      </c>
    </row>
    <row r="898" spans="1:7" x14ac:dyDescent="0.25">
      <c r="A898" s="6" t="s">
        <v>93</v>
      </c>
      <c r="B898" s="7" t="s">
        <v>124</v>
      </c>
      <c r="C898" s="7" t="s">
        <v>72</v>
      </c>
      <c r="D898" s="8">
        <v>41982</v>
      </c>
      <c r="E898" s="8">
        <v>41982</v>
      </c>
      <c r="F898" s="9">
        <v>494.7</v>
      </c>
      <c r="G898">
        <f t="shared" si="13"/>
        <v>1</v>
      </c>
    </row>
    <row r="899" spans="1:7" x14ac:dyDescent="0.25">
      <c r="A899" s="10" t="s">
        <v>31</v>
      </c>
      <c r="B899" s="11" t="s">
        <v>32</v>
      </c>
      <c r="C899" s="11" t="s">
        <v>8</v>
      </c>
      <c r="D899" s="12">
        <v>41982</v>
      </c>
      <c r="E899" s="12">
        <v>41984</v>
      </c>
      <c r="F899" s="13">
        <v>1102</v>
      </c>
      <c r="G899">
        <f t="shared" ref="G899:G962" si="14">E899-D899 + 1</f>
        <v>3</v>
      </c>
    </row>
    <row r="900" spans="1:7" x14ac:dyDescent="0.25">
      <c r="A900" s="6" t="s">
        <v>61</v>
      </c>
      <c r="B900" s="7" t="s">
        <v>62</v>
      </c>
      <c r="C900" s="7" t="s">
        <v>30</v>
      </c>
      <c r="D900" s="8">
        <v>41982</v>
      </c>
      <c r="E900" s="8">
        <v>41986</v>
      </c>
      <c r="F900" s="9">
        <v>688.5</v>
      </c>
      <c r="G900">
        <f t="shared" si="14"/>
        <v>5</v>
      </c>
    </row>
    <row r="901" spans="1:7" x14ac:dyDescent="0.25">
      <c r="A901" s="10" t="s">
        <v>170</v>
      </c>
      <c r="B901" s="11" t="s">
        <v>171</v>
      </c>
      <c r="C901" s="11" t="s">
        <v>27</v>
      </c>
      <c r="D901" s="12">
        <v>41982</v>
      </c>
      <c r="E901" s="12">
        <v>41983</v>
      </c>
      <c r="F901" s="13">
        <v>570</v>
      </c>
      <c r="G901">
        <f t="shared" si="14"/>
        <v>2</v>
      </c>
    </row>
    <row r="902" spans="1:7" x14ac:dyDescent="0.25">
      <c r="A902" s="6" t="s">
        <v>168</v>
      </c>
      <c r="B902" s="7" t="s">
        <v>169</v>
      </c>
      <c r="C902" s="7" t="s">
        <v>59</v>
      </c>
      <c r="D902" s="8">
        <v>41982</v>
      </c>
      <c r="E902" s="8">
        <v>41984</v>
      </c>
      <c r="F902" s="9">
        <v>760</v>
      </c>
      <c r="G902">
        <f t="shared" si="14"/>
        <v>3</v>
      </c>
    </row>
    <row r="903" spans="1:7" x14ac:dyDescent="0.25">
      <c r="A903" s="10" t="s">
        <v>33</v>
      </c>
      <c r="B903" s="11" t="s">
        <v>34</v>
      </c>
      <c r="C903" s="11" t="s">
        <v>8</v>
      </c>
      <c r="D903" s="12">
        <v>41982</v>
      </c>
      <c r="E903" s="12">
        <v>41983</v>
      </c>
      <c r="F903" s="13">
        <v>891</v>
      </c>
      <c r="G903">
        <f t="shared" si="14"/>
        <v>2</v>
      </c>
    </row>
    <row r="904" spans="1:7" x14ac:dyDescent="0.25">
      <c r="A904" s="6" t="s">
        <v>9</v>
      </c>
      <c r="B904" s="7" t="s">
        <v>10</v>
      </c>
      <c r="C904" s="7" t="s">
        <v>72</v>
      </c>
      <c r="D904" s="8">
        <v>41982</v>
      </c>
      <c r="E904" s="8">
        <v>41984</v>
      </c>
      <c r="F904" s="9">
        <v>892.7</v>
      </c>
      <c r="G904">
        <f t="shared" si="14"/>
        <v>3</v>
      </c>
    </row>
    <row r="905" spans="1:7" x14ac:dyDescent="0.25">
      <c r="A905" s="10" t="s">
        <v>73</v>
      </c>
      <c r="B905" s="11" t="s">
        <v>74</v>
      </c>
      <c r="C905" s="11" t="s">
        <v>11</v>
      </c>
      <c r="D905" s="12">
        <v>41982</v>
      </c>
      <c r="E905" s="12">
        <v>41985</v>
      </c>
      <c r="F905" s="13">
        <v>573.4</v>
      </c>
      <c r="G905">
        <f t="shared" si="14"/>
        <v>4</v>
      </c>
    </row>
    <row r="906" spans="1:7" x14ac:dyDescent="0.25">
      <c r="A906" s="6" t="s">
        <v>101</v>
      </c>
      <c r="B906" s="7" t="s">
        <v>102</v>
      </c>
      <c r="C906" s="7" t="s">
        <v>30</v>
      </c>
      <c r="D906" s="8">
        <v>41982</v>
      </c>
      <c r="E906" s="8">
        <v>41985</v>
      </c>
      <c r="F906" s="9">
        <v>569.5</v>
      </c>
      <c r="G906">
        <f t="shared" si="14"/>
        <v>4</v>
      </c>
    </row>
    <row r="907" spans="1:7" x14ac:dyDescent="0.25">
      <c r="A907" s="10" t="s">
        <v>86</v>
      </c>
      <c r="B907" s="11" t="s">
        <v>87</v>
      </c>
      <c r="C907" s="11" t="s">
        <v>14</v>
      </c>
      <c r="D907" s="12">
        <v>41982</v>
      </c>
      <c r="E907" s="12">
        <v>41986</v>
      </c>
      <c r="F907" s="13">
        <v>674.5</v>
      </c>
      <c r="G907">
        <f t="shared" si="14"/>
        <v>5</v>
      </c>
    </row>
    <row r="908" spans="1:7" x14ac:dyDescent="0.25">
      <c r="A908" s="6" t="s">
        <v>107</v>
      </c>
      <c r="B908" s="7" t="s">
        <v>108</v>
      </c>
      <c r="C908" s="7" t="s">
        <v>19</v>
      </c>
      <c r="D908" s="8">
        <v>41982</v>
      </c>
      <c r="E908" s="8">
        <v>41983</v>
      </c>
      <c r="F908" s="9">
        <v>654.4</v>
      </c>
      <c r="G908">
        <f t="shared" si="14"/>
        <v>2</v>
      </c>
    </row>
    <row r="909" spans="1:7" x14ac:dyDescent="0.25">
      <c r="A909" s="10" t="s">
        <v>134</v>
      </c>
      <c r="B909" s="11" t="s">
        <v>149</v>
      </c>
      <c r="C909" s="11" t="s">
        <v>8</v>
      </c>
      <c r="D909" s="12">
        <v>41982</v>
      </c>
      <c r="E909" s="12">
        <v>41983</v>
      </c>
      <c r="F909" s="13">
        <v>891</v>
      </c>
      <c r="G909">
        <f t="shared" si="14"/>
        <v>2</v>
      </c>
    </row>
    <row r="910" spans="1:7" x14ac:dyDescent="0.25">
      <c r="A910" s="6" t="s">
        <v>111</v>
      </c>
      <c r="B910" s="7" t="s">
        <v>112</v>
      </c>
      <c r="C910" s="7" t="s">
        <v>59</v>
      </c>
      <c r="D910" s="8">
        <v>41982</v>
      </c>
      <c r="E910" s="8">
        <v>41984</v>
      </c>
      <c r="F910" s="9">
        <v>760</v>
      </c>
      <c r="G910">
        <f t="shared" si="14"/>
        <v>3</v>
      </c>
    </row>
    <row r="911" spans="1:7" x14ac:dyDescent="0.25">
      <c r="A911" s="10" t="s">
        <v>93</v>
      </c>
      <c r="B911" s="11" t="s">
        <v>94</v>
      </c>
      <c r="C911" s="11" t="s">
        <v>66</v>
      </c>
      <c r="D911" s="12">
        <v>41982</v>
      </c>
      <c r="E911" s="12">
        <v>41986</v>
      </c>
      <c r="F911" s="13">
        <v>1019.7</v>
      </c>
      <c r="G911">
        <f t="shared" si="14"/>
        <v>5</v>
      </c>
    </row>
    <row r="912" spans="1:7" x14ac:dyDescent="0.25">
      <c r="A912" s="6" t="s">
        <v>70</v>
      </c>
      <c r="B912" s="7" t="s">
        <v>117</v>
      </c>
      <c r="C912" s="7" t="s">
        <v>47</v>
      </c>
      <c r="D912" s="8">
        <v>41982</v>
      </c>
      <c r="E912" s="8">
        <v>41983</v>
      </c>
      <c r="F912" s="9">
        <v>526.79999999999995</v>
      </c>
      <c r="G912">
        <f t="shared" si="14"/>
        <v>2</v>
      </c>
    </row>
    <row r="913" spans="1:7" x14ac:dyDescent="0.25">
      <c r="A913" s="10" t="s">
        <v>86</v>
      </c>
      <c r="B913" s="11" t="s">
        <v>136</v>
      </c>
      <c r="C913" s="11" t="s">
        <v>47</v>
      </c>
      <c r="D913" s="12">
        <v>41982</v>
      </c>
      <c r="E913" s="12">
        <v>41983</v>
      </c>
      <c r="F913" s="13">
        <v>526.79999999999995</v>
      </c>
      <c r="G913">
        <f t="shared" si="14"/>
        <v>2</v>
      </c>
    </row>
    <row r="914" spans="1:7" x14ac:dyDescent="0.25">
      <c r="A914" s="6" t="s">
        <v>15</v>
      </c>
      <c r="B914" s="7" t="s">
        <v>44</v>
      </c>
      <c r="C914" s="7" t="s">
        <v>17</v>
      </c>
      <c r="D914" s="8">
        <v>41983</v>
      </c>
      <c r="E914" s="8">
        <v>41984</v>
      </c>
      <c r="F914" s="9">
        <v>706.5</v>
      </c>
      <c r="G914">
        <f t="shared" si="14"/>
        <v>2</v>
      </c>
    </row>
    <row r="915" spans="1:7" x14ac:dyDescent="0.25">
      <c r="A915" s="10" t="s">
        <v>6</v>
      </c>
      <c r="B915" s="11" t="s">
        <v>7</v>
      </c>
      <c r="C915" s="11" t="s">
        <v>30</v>
      </c>
      <c r="D915" s="12">
        <v>41983</v>
      </c>
      <c r="E915" s="12">
        <v>41984</v>
      </c>
      <c r="F915" s="13">
        <v>331.5</v>
      </c>
      <c r="G915">
        <f t="shared" si="14"/>
        <v>2</v>
      </c>
    </row>
    <row r="916" spans="1:7" x14ac:dyDescent="0.25">
      <c r="A916" s="6" t="s">
        <v>128</v>
      </c>
      <c r="B916" s="7" t="s">
        <v>129</v>
      </c>
      <c r="C916" s="7" t="s">
        <v>14</v>
      </c>
      <c r="D916" s="8">
        <v>41983</v>
      </c>
      <c r="E916" s="8">
        <v>41986</v>
      </c>
      <c r="F916" s="9">
        <v>550.5</v>
      </c>
      <c r="G916">
        <f t="shared" si="14"/>
        <v>4</v>
      </c>
    </row>
    <row r="917" spans="1:7" x14ac:dyDescent="0.25">
      <c r="A917" s="10" t="s">
        <v>82</v>
      </c>
      <c r="B917" s="11" t="s">
        <v>83</v>
      </c>
      <c r="C917" s="11" t="s">
        <v>17</v>
      </c>
      <c r="D917" s="12">
        <v>41983</v>
      </c>
      <c r="E917" s="12">
        <v>41986</v>
      </c>
      <c r="F917" s="13">
        <v>1116.5</v>
      </c>
      <c r="G917">
        <f t="shared" si="14"/>
        <v>4</v>
      </c>
    </row>
    <row r="918" spans="1:7" x14ac:dyDescent="0.25">
      <c r="A918" s="6" t="s">
        <v>25</v>
      </c>
      <c r="B918" s="7" t="s">
        <v>67</v>
      </c>
      <c r="C918" s="7" t="s">
        <v>24</v>
      </c>
      <c r="D918" s="8">
        <v>41983</v>
      </c>
      <c r="E918" s="8">
        <v>41984</v>
      </c>
      <c r="F918" s="9">
        <v>439.7</v>
      </c>
      <c r="G918">
        <f t="shared" si="14"/>
        <v>2</v>
      </c>
    </row>
    <row r="919" spans="1:7" x14ac:dyDescent="0.25">
      <c r="A919" s="10" t="s">
        <v>28</v>
      </c>
      <c r="B919" s="11" t="s">
        <v>60</v>
      </c>
      <c r="C919" s="11" t="s">
        <v>59</v>
      </c>
      <c r="D919" s="12">
        <v>41983</v>
      </c>
      <c r="E919" s="12">
        <v>41983</v>
      </c>
      <c r="F919" s="13">
        <v>442</v>
      </c>
      <c r="G919">
        <f t="shared" si="14"/>
        <v>1</v>
      </c>
    </row>
    <row r="920" spans="1:7" x14ac:dyDescent="0.25">
      <c r="A920" s="6" t="s">
        <v>28</v>
      </c>
      <c r="B920" s="7" t="s">
        <v>29</v>
      </c>
      <c r="C920" s="7" t="s">
        <v>17</v>
      </c>
      <c r="D920" s="8">
        <v>41983</v>
      </c>
      <c r="E920" s="8">
        <v>41985</v>
      </c>
      <c r="F920" s="9">
        <v>911.5</v>
      </c>
      <c r="G920">
        <f t="shared" si="14"/>
        <v>3</v>
      </c>
    </row>
    <row r="921" spans="1:7" x14ac:dyDescent="0.25">
      <c r="A921" s="10" t="s">
        <v>82</v>
      </c>
      <c r="B921" s="11" t="s">
        <v>125</v>
      </c>
      <c r="C921" s="11" t="s">
        <v>47</v>
      </c>
      <c r="D921" s="12">
        <v>41983</v>
      </c>
      <c r="E921" s="12">
        <v>41987</v>
      </c>
      <c r="F921" s="13">
        <v>1015.8</v>
      </c>
      <c r="G921">
        <f t="shared" si="14"/>
        <v>5</v>
      </c>
    </row>
    <row r="922" spans="1:7" x14ac:dyDescent="0.25">
      <c r="A922" s="6" t="s">
        <v>70</v>
      </c>
      <c r="B922" s="7" t="s">
        <v>71</v>
      </c>
      <c r="C922" s="7" t="s">
        <v>30</v>
      </c>
      <c r="D922" s="8">
        <v>41983</v>
      </c>
      <c r="E922" s="8">
        <v>41984</v>
      </c>
      <c r="F922" s="9">
        <v>331.5</v>
      </c>
      <c r="G922">
        <f t="shared" si="14"/>
        <v>2</v>
      </c>
    </row>
    <row r="923" spans="1:7" x14ac:dyDescent="0.25">
      <c r="A923" s="10" t="s">
        <v>6</v>
      </c>
      <c r="B923" s="11" t="s">
        <v>56</v>
      </c>
      <c r="C923" s="11" t="s">
        <v>27</v>
      </c>
      <c r="D923" s="12">
        <v>41983</v>
      </c>
      <c r="E923" s="12">
        <v>41987</v>
      </c>
      <c r="F923" s="13">
        <v>954</v>
      </c>
      <c r="G923">
        <f t="shared" si="14"/>
        <v>5</v>
      </c>
    </row>
    <row r="924" spans="1:7" x14ac:dyDescent="0.25">
      <c r="A924" s="6" t="s">
        <v>9</v>
      </c>
      <c r="B924" s="7" t="s">
        <v>69</v>
      </c>
      <c r="C924" s="7" t="s">
        <v>8</v>
      </c>
      <c r="D924" s="8">
        <v>41983</v>
      </c>
      <c r="E924" s="8">
        <v>41985</v>
      </c>
      <c r="F924" s="9">
        <v>1102</v>
      </c>
      <c r="G924">
        <f t="shared" si="14"/>
        <v>3</v>
      </c>
    </row>
    <row r="925" spans="1:7" x14ac:dyDescent="0.25">
      <c r="A925" s="10" t="s">
        <v>93</v>
      </c>
      <c r="B925" s="11" t="s">
        <v>106</v>
      </c>
      <c r="C925" s="11" t="s">
        <v>66</v>
      </c>
      <c r="D925" s="12">
        <v>41983</v>
      </c>
      <c r="E925" s="12">
        <v>41984</v>
      </c>
      <c r="F925" s="13">
        <v>485.7</v>
      </c>
      <c r="G925">
        <f t="shared" si="14"/>
        <v>2</v>
      </c>
    </row>
    <row r="926" spans="1:7" x14ac:dyDescent="0.25">
      <c r="A926" s="6" t="s">
        <v>54</v>
      </c>
      <c r="B926" s="7" t="s">
        <v>121</v>
      </c>
      <c r="C926" s="7" t="s">
        <v>38</v>
      </c>
      <c r="D926" s="8">
        <v>41983</v>
      </c>
      <c r="E926" s="8">
        <v>41986</v>
      </c>
      <c r="F926" s="9">
        <v>665.8</v>
      </c>
      <c r="G926">
        <f t="shared" si="14"/>
        <v>4</v>
      </c>
    </row>
    <row r="927" spans="1:7" x14ac:dyDescent="0.25">
      <c r="A927" s="10" t="s">
        <v>145</v>
      </c>
      <c r="B927" s="11" t="s">
        <v>146</v>
      </c>
      <c r="C927" s="11" t="s">
        <v>24</v>
      </c>
      <c r="D927" s="12">
        <v>41983</v>
      </c>
      <c r="E927" s="12">
        <v>41985</v>
      </c>
      <c r="F927" s="13">
        <v>588.70000000000005</v>
      </c>
      <c r="G927">
        <f t="shared" si="14"/>
        <v>3</v>
      </c>
    </row>
    <row r="928" spans="1:7" x14ac:dyDescent="0.25">
      <c r="A928" s="6" t="s">
        <v>25</v>
      </c>
      <c r="B928" s="7" t="s">
        <v>35</v>
      </c>
      <c r="C928" s="7" t="s">
        <v>72</v>
      </c>
      <c r="D928" s="8">
        <v>41983</v>
      </c>
      <c r="E928" s="8">
        <v>41986</v>
      </c>
      <c r="F928" s="9">
        <v>1091.7</v>
      </c>
      <c r="G928">
        <f t="shared" si="14"/>
        <v>4</v>
      </c>
    </row>
    <row r="929" spans="1:7" x14ac:dyDescent="0.25">
      <c r="A929" s="10" t="s">
        <v>12</v>
      </c>
      <c r="B929" s="11" t="s">
        <v>13</v>
      </c>
      <c r="C929" s="11" t="s">
        <v>47</v>
      </c>
      <c r="D929" s="12">
        <v>41983</v>
      </c>
      <c r="E929" s="12">
        <v>41987</v>
      </c>
      <c r="F929" s="13">
        <v>1015.8</v>
      </c>
      <c r="G929">
        <f t="shared" si="14"/>
        <v>5</v>
      </c>
    </row>
    <row r="930" spans="1:7" x14ac:dyDescent="0.25">
      <c r="A930" s="6" t="s">
        <v>75</v>
      </c>
      <c r="B930" s="7" t="s">
        <v>88</v>
      </c>
      <c r="C930" s="7" t="s">
        <v>19</v>
      </c>
      <c r="D930" s="8">
        <v>41983</v>
      </c>
      <c r="E930" s="8">
        <v>41984</v>
      </c>
      <c r="F930" s="9">
        <v>654.4</v>
      </c>
      <c r="G930">
        <f t="shared" si="14"/>
        <v>2</v>
      </c>
    </row>
    <row r="931" spans="1:7" x14ac:dyDescent="0.25">
      <c r="A931" s="10" t="s">
        <v>166</v>
      </c>
      <c r="B931" s="11" t="s">
        <v>167</v>
      </c>
      <c r="C931" s="11" t="s">
        <v>38</v>
      </c>
      <c r="D931" s="12">
        <v>41983</v>
      </c>
      <c r="E931" s="12">
        <v>41984</v>
      </c>
      <c r="F931" s="13">
        <v>407.8</v>
      </c>
      <c r="G931">
        <f t="shared" si="14"/>
        <v>2</v>
      </c>
    </row>
    <row r="932" spans="1:7" x14ac:dyDescent="0.25">
      <c r="A932" s="6" t="s">
        <v>6</v>
      </c>
      <c r="B932" s="7" t="s">
        <v>45</v>
      </c>
      <c r="C932" s="7" t="s">
        <v>11</v>
      </c>
      <c r="D932" s="8">
        <v>41983</v>
      </c>
      <c r="E932" s="8">
        <v>41983</v>
      </c>
      <c r="F932" s="9">
        <v>156.4</v>
      </c>
      <c r="G932">
        <f t="shared" si="14"/>
        <v>1</v>
      </c>
    </row>
    <row r="933" spans="1:7" x14ac:dyDescent="0.25">
      <c r="A933" s="10" t="s">
        <v>20</v>
      </c>
      <c r="B933" s="11" t="s">
        <v>162</v>
      </c>
      <c r="C933" s="11" t="s">
        <v>14</v>
      </c>
      <c r="D933" s="12">
        <v>41983</v>
      </c>
      <c r="E933" s="12">
        <v>41986</v>
      </c>
      <c r="F933" s="13">
        <v>550.5</v>
      </c>
      <c r="G933">
        <f t="shared" si="14"/>
        <v>4</v>
      </c>
    </row>
    <row r="934" spans="1:7" x14ac:dyDescent="0.25">
      <c r="A934" s="6" t="s">
        <v>15</v>
      </c>
      <c r="B934" s="7" t="s">
        <v>16</v>
      </c>
      <c r="C934" s="7" t="s">
        <v>8</v>
      </c>
      <c r="D934" s="8">
        <v>41983</v>
      </c>
      <c r="E934" s="8">
        <v>41987</v>
      </c>
      <c r="F934" s="9">
        <v>1524</v>
      </c>
      <c r="G934">
        <f t="shared" si="14"/>
        <v>5</v>
      </c>
    </row>
    <row r="935" spans="1:7" x14ac:dyDescent="0.25">
      <c r="A935" s="10" t="s">
        <v>20</v>
      </c>
      <c r="B935" s="11" t="s">
        <v>21</v>
      </c>
      <c r="C935" s="11" t="s">
        <v>38</v>
      </c>
      <c r="D935" s="12">
        <v>41983</v>
      </c>
      <c r="E935" s="12">
        <v>41984</v>
      </c>
      <c r="F935" s="13">
        <v>407.8</v>
      </c>
      <c r="G935">
        <f t="shared" si="14"/>
        <v>2</v>
      </c>
    </row>
    <row r="936" spans="1:7" x14ac:dyDescent="0.25">
      <c r="A936" s="6" t="s">
        <v>115</v>
      </c>
      <c r="B936" s="7" t="s">
        <v>140</v>
      </c>
      <c r="C936" s="7" t="s">
        <v>17</v>
      </c>
      <c r="D936" s="8">
        <v>41984</v>
      </c>
      <c r="E936" s="8">
        <v>41985</v>
      </c>
      <c r="F936" s="9">
        <v>706.5</v>
      </c>
      <c r="G936">
        <f t="shared" si="14"/>
        <v>2</v>
      </c>
    </row>
    <row r="937" spans="1:7" x14ac:dyDescent="0.25">
      <c r="A937" s="10" t="s">
        <v>33</v>
      </c>
      <c r="B937" s="11" t="s">
        <v>34</v>
      </c>
      <c r="C937" s="11" t="s">
        <v>24</v>
      </c>
      <c r="D937" s="12">
        <v>41984</v>
      </c>
      <c r="E937" s="12">
        <v>41984</v>
      </c>
      <c r="F937" s="13">
        <v>290.7</v>
      </c>
      <c r="G937">
        <f t="shared" si="14"/>
        <v>1</v>
      </c>
    </row>
    <row r="938" spans="1:7" x14ac:dyDescent="0.25">
      <c r="A938" s="6" t="s">
        <v>33</v>
      </c>
      <c r="B938" s="7" t="s">
        <v>141</v>
      </c>
      <c r="C938" s="7" t="s">
        <v>27</v>
      </c>
      <c r="D938" s="8">
        <v>41985</v>
      </c>
      <c r="E938" s="8">
        <v>41985</v>
      </c>
      <c r="F938" s="9">
        <v>442</v>
      </c>
      <c r="G938">
        <f t="shared" si="14"/>
        <v>1</v>
      </c>
    </row>
    <row r="939" spans="1:7" x14ac:dyDescent="0.25">
      <c r="A939" s="10" t="s">
        <v>6</v>
      </c>
      <c r="B939" s="11" t="s">
        <v>139</v>
      </c>
      <c r="C939" s="11" t="s">
        <v>59</v>
      </c>
      <c r="D939" s="12">
        <v>41985</v>
      </c>
      <c r="E939" s="12">
        <v>41985</v>
      </c>
      <c r="F939" s="13">
        <v>442</v>
      </c>
      <c r="G939">
        <f t="shared" si="14"/>
        <v>1</v>
      </c>
    </row>
    <row r="940" spans="1:7" x14ac:dyDescent="0.25">
      <c r="A940" s="6" t="s">
        <v>122</v>
      </c>
      <c r="B940" s="7" t="s">
        <v>123</v>
      </c>
      <c r="C940" s="7" t="s">
        <v>38</v>
      </c>
      <c r="D940" s="8">
        <v>41985</v>
      </c>
      <c r="E940" s="8">
        <v>41985</v>
      </c>
      <c r="F940" s="9">
        <v>278.8</v>
      </c>
      <c r="G940">
        <f t="shared" si="14"/>
        <v>1</v>
      </c>
    </row>
    <row r="941" spans="1:7" x14ac:dyDescent="0.25">
      <c r="A941" s="10" t="s">
        <v>93</v>
      </c>
      <c r="B941" s="11" t="s">
        <v>124</v>
      </c>
      <c r="C941" s="11" t="s">
        <v>38</v>
      </c>
      <c r="D941" s="12">
        <v>41985</v>
      </c>
      <c r="E941" s="12">
        <v>41985</v>
      </c>
      <c r="F941" s="13">
        <v>278.8</v>
      </c>
      <c r="G941">
        <f t="shared" si="14"/>
        <v>1</v>
      </c>
    </row>
    <row r="942" spans="1:7" x14ac:dyDescent="0.25">
      <c r="A942" s="6" t="s">
        <v>86</v>
      </c>
      <c r="B942" s="7" t="s">
        <v>150</v>
      </c>
      <c r="C942" s="7" t="s">
        <v>14</v>
      </c>
      <c r="D942" s="8">
        <v>41985</v>
      </c>
      <c r="E942" s="8">
        <v>41985</v>
      </c>
      <c r="F942" s="9">
        <v>178.5</v>
      </c>
      <c r="G942">
        <f t="shared" si="14"/>
        <v>1</v>
      </c>
    </row>
    <row r="943" spans="1:7" x14ac:dyDescent="0.25">
      <c r="A943" s="10" t="s">
        <v>119</v>
      </c>
      <c r="B943" s="11" t="s">
        <v>120</v>
      </c>
      <c r="C943" s="11" t="s">
        <v>11</v>
      </c>
      <c r="D943" s="12">
        <v>41985</v>
      </c>
      <c r="E943" s="12">
        <v>41988</v>
      </c>
      <c r="F943" s="13">
        <v>573.4</v>
      </c>
      <c r="G943">
        <f t="shared" si="14"/>
        <v>4</v>
      </c>
    </row>
    <row r="944" spans="1:7" x14ac:dyDescent="0.25">
      <c r="A944" s="6" t="s">
        <v>134</v>
      </c>
      <c r="B944" s="7" t="s">
        <v>149</v>
      </c>
      <c r="C944" s="7" t="s">
        <v>66</v>
      </c>
      <c r="D944" s="8">
        <v>41985</v>
      </c>
      <c r="E944" s="8">
        <v>41985</v>
      </c>
      <c r="F944" s="9">
        <v>307.7</v>
      </c>
      <c r="G944">
        <f t="shared" si="14"/>
        <v>1</v>
      </c>
    </row>
    <row r="945" spans="1:7" x14ac:dyDescent="0.25">
      <c r="A945" s="10" t="s">
        <v>113</v>
      </c>
      <c r="B945" s="11" t="s">
        <v>114</v>
      </c>
      <c r="C945" s="11" t="s">
        <v>66</v>
      </c>
      <c r="D945" s="12">
        <v>41985</v>
      </c>
      <c r="E945" s="12">
        <v>41985</v>
      </c>
      <c r="F945" s="13">
        <v>307.7</v>
      </c>
      <c r="G945">
        <f t="shared" si="14"/>
        <v>1</v>
      </c>
    </row>
    <row r="946" spans="1:7" x14ac:dyDescent="0.25">
      <c r="A946" s="6" t="s">
        <v>91</v>
      </c>
      <c r="B946" s="7" t="s">
        <v>161</v>
      </c>
      <c r="C946" s="7" t="s">
        <v>66</v>
      </c>
      <c r="D946" s="8">
        <v>41985</v>
      </c>
      <c r="E946" s="8">
        <v>41989</v>
      </c>
      <c r="F946" s="9">
        <v>1019.7</v>
      </c>
      <c r="G946">
        <f t="shared" si="14"/>
        <v>5</v>
      </c>
    </row>
    <row r="947" spans="1:7" x14ac:dyDescent="0.25">
      <c r="A947" s="10" t="s">
        <v>33</v>
      </c>
      <c r="B947" s="11" t="s">
        <v>34</v>
      </c>
      <c r="C947" s="11" t="s">
        <v>17</v>
      </c>
      <c r="D947" s="12">
        <v>41986</v>
      </c>
      <c r="E947" s="12">
        <v>41986</v>
      </c>
      <c r="F947" s="13">
        <v>501.5</v>
      </c>
      <c r="G947">
        <f t="shared" si="14"/>
        <v>1</v>
      </c>
    </row>
    <row r="948" spans="1:7" x14ac:dyDescent="0.25">
      <c r="A948" s="6" t="s">
        <v>6</v>
      </c>
      <c r="B948" s="7" t="s">
        <v>45</v>
      </c>
      <c r="C948" s="7" t="s">
        <v>17</v>
      </c>
      <c r="D948" s="8">
        <v>41986</v>
      </c>
      <c r="E948" s="8">
        <v>41986</v>
      </c>
      <c r="F948" s="9">
        <v>501.5</v>
      </c>
      <c r="G948">
        <f t="shared" si="14"/>
        <v>1</v>
      </c>
    </row>
    <row r="949" spans="1:7" x14ac:dyDescent="0.25">
      <c r="A949" s="10" t="s">
        <v>115</v>
      </c>
      <c r="B949" s="11" t="s">
        <v>153</v>
      </c>
      <c r="C949" s="11" t="s">
        <v>30</v>
      </c>
      <c r="D949" s="12">
        <v>41987</v>
      </c>
      <c r="E949" s="12">
        <v>41987</v>
      </c>
      <c r="F949" s="13">
        <v>212.5</v>
      </c>
      <c r="G949">
        <f t="shared" si="14"/>
        <v>1</v>
      </c>
    </row>
    <row r="950" spans="1:7" x14ac:dyDescent="0.25">
      <c r="A950" s="6" t="s">
        <v>31</v>
      </c>
      <c r="B950" s="7" t="s">
        <v>32</v>
      </c>
      <c r="C950" s="7" t="s">
        <v>17</v>
      </c>
      <c r="D950" s="8">
        <v>41987</v>
      </c>
      <c r="E950" s="8">
        <v>41987</v>
      </c>
      <c r="F950" s="9">
        <v>501.5</v>
      </c>
      <c r="G950">
        <f t="shared" si="14"/>
        <v>1</v>
      </c>
    </row>
    <row r="951" spans="1:7" x14ac:dyDescent="0.25">
      <c r="A951" s="10" t="s">
        <v>170</v>
      </c>
      <c r="B951" s="11" t="s">
        <v>171</v>
      </c>
      <c r="C951" s="11" t="s">
        <v>11</v>
      </c>
      <c r="D951" s="12">
        <v>41988</v>
      </c>
      <c r="E951" s="12">
        <v>41988</v>
      </c>
      <c r="F951" s="13">
        <v>156.4</v>
      </c>
      <c r="G951">
        <f t="shared" si="14"/>
        <v>1</v>
      </c>
    </row>
    <row r="952" spans="1:7" x14ac:dyDescent="0.25">
      <c r="A952" s="6" t="s">
        <v>86</v>
      </c>
      <c r="B952" s="7" t="s">
        <v>87</v>
      </c>
      <c r="C952" s="7" t="s">
        <v>30</v>
      </c>
      <c r="D952" s="8">
        <v>41988</v>
      </c>
      <c r="E952" s="8">
        <v>41988</v>
      </c>
      <c r="F952" s="9">
        <v>212.5</v>
      </c>
      <c r="G952">
        <f t="shared" si="14"/>
        <v>1</v>
      </c>
    </row>
    <row r="953" spans="1:7" x14ac:dyDescent="0.25">
      <c r="A953" s="10" t="s">
        <v>73</v>
      </c>
      <c r="B953" s="11" t="s">
        <v>155</v>
      </c>
      <c r="C953" s="11" t="s">
        <v>11</v>
      </c>
      <c r="D953" s="12">
        <v>41988</v>
      </c>
      <c r="E953" s="12">
        <v>41988</v>
      </c>
      <c r="F953" s="13">
        <v>156.4</v>
      </c>
      <c r="G953">
        <f t="shared" si="14"/>
        <v>1</v>
      </c>
    </row>
    <row r="954" spans="1:7" x14ac:dyDescent="0.25">
      <c r="A954" s="6" t="s">
        <v>33</v>
      </c>
      <c r="B954" s="7" t="s">
        <v>141</v>
      </c>
      <c r="C954" s="7" t="s">
        <v>8</v>
      </c>
      <c r="D954" s="8">
        <v>41989</v>
      </c>
      <c r="E954" s="8">
        <v>41990</v>
      </c>
      <c r="F954" s="9">
        <v>891</v>
      </c>
      <c r="G954">
        <f t="shared" si="14"/>
        <v>2</v>
      </c>
    </row>
    <row r="955" spans="1:7" x14ac:dyDescent="0.25">
      <c r="A955" s="10" t="s">
        <v>22</v>
      </c>
      <c r="B955" s="11" t="s">
        <v>172</v>
      </c>
      <c r="C955" s="11" t="s">
        <v>47</v>
      </c>
      <c r="D955" s="12">
        <v>41989</v>
      </c>
      <c r="E955" s="12">
        <v>41992</v>
      </c>
      <c r="F955" s="13">
        <v>852.8</v>
      </c>
      <c r="G955">
        <f t="shared" si="14"/>
        <v>4</v>
      </c>
    </row>
    <row r="956" spans="1:7" x14ac:dyDescent="0.25">
      <c r="A956" s="6" t="s">
        <v>50</v>
      </c>
      <c r="B956" s="7" t="s">
        <v>51</v>
      </c>
      <c r="C956" s="7" t="s">
        <v>17</v>
      </c>
      <c r="D956" s="8">
        <v>41989</v>
      </c>
      <c r="E956" s="8">
        <v>41990</v>
      </c>
      <c r="F956" s="9">
        <v>706.5</v>
      </c>
      <c r="G956">
        <f t="shared" si="14"/>
        <v>2</v>
      </c>
    </row>
    <row r="957" spans="1:7" x14ac:dyDescent="0.25">
      <c r="A957" s="10" t="s">
        <v>107</v>
      </c>
      <c r="B957" s="11" t="s">
        <v>108</v>
      </c>
      <c r="C957" s="11" t="s">
        <v>59</v>
      </c>
      <c r="D957" s="12">
        <v>41989</v>
      </c>
      <c r="E957" s="12">
        <v>41989</v>
      </c>
      <c r="F957" s="13">
        <v>442</v>
      </c>
      <c r="G957">
        <f t="shared" si="14"/>
        <v>1</v>
      </c>
    </row>
    <row r="958" spans="1:7" x14ac:dyDescent="0.25">
      <c r="A958" s="6" t="s">
        <v>109</v>
      </c>
      <c r="B958" s="7" t="s">
        <v>110</v>
      </c>
      <c r="C958" s="7" t="s">
        <v>38</v>
      </c>
      <c r="D958" s="8">
        <v>41989</v>
      </c>
      <c r="E958" s="8">
        <v>41989</v>
      </c>
      <c r="F958" s="9">
        <v>278.8</v>
      </c>
      <c r="G958">
        <f t="shared" si="14"/>
        <v>1</v>
      </c>
    </row>
    <row r="959" spans="1:7" x14ac:dyDescent="0.25">
      <c r="A959" s="10" t="s">
        <v>15</v>
      </c>
      <c r="B959" s="11" t="s">
        <v>63</v>
      </c>
      <c r="C959" s="11" t="s">
        <v>11</v>
      </c>
      <c r="D959" s="12">
        <v>41989</v>
      </c>
      <c r="E959" s="12">
        <v>41990</v>
      </c>
      <c r="F959" s="13">
        <v>295.39999999999998</v>
      </c>
      <c r="G959">
        <f t="shared" si="14"/>
        <v>2</v>
      </c>
    </row>
    <row r="960" spans="1:7" x14ac:dyDescent="0.25">
      <c r="A960" s="6" t="s">
        <v>115</v>
      </c>
      <c r="B960" s="7" t="s">
        <v>153</v>
      </c>
      <c r="C960" s="7" t="s">
        <v>47</v>
      </c>
      <c r="D960" s="8">
        <v>41990</v>
      </c>
      <c r="E960" s="8">
        <v>41990</v>
      </c>
      <c r="F960" s="9">
        <v>363.8</v>
      </c>
      <c r="G960">
        <f t="shared" si="14"/>
        <v>1</v>
      </c>
    </row>
    <row r="961" spans="1:7" x14ac:dyDescent="0.25">
      <c r="A961" s="10" t="s">
        <v>54</v>
      </c>
      <c r="B961" s="11" t="s">
        <v>121</v>
      </c>
      <c r="C961" s="11" t="s">
        <v>17</v>
      </c>
      <c r="D961" s="12">
        <v>41990</v>
      </c>
      <c r="E961" s="12">
        <v>41990</v>
      </c>
      <c r="F961" s="13">
        <v>501.5</v>
      </c>
      <c r="G961">
        <f t="shared" si="14"/>
        <v>1</v>
      </c>
    </row>
    <row r="962" spans="1:7" x14ac:dyDescent="0.25">
      <c r="A962" s="6" t="s">
        <v>6</v>
      </c>
      <c r="B962" s="7" t="s">
        <v>45</v>
      </c>
      <c r="C962" s="7" t="s">
        <v>19</v>
      </c>
      <c r="D962" s="8">
        <v>41990</v>
      </c>
      <c r="E962" s="8">
        <v>41990</v>
      </c>
      <c r="F962" s="9">
        <v>513.4</v>
      </c>
      <c r="G962">
        <f t="shared" si="14"/>
        <v>1</v>
      </c>
    </row>
    <row r="963" spans="1:7" x14ac:dyDescent="0.25">
      <c r="A963" s="10" t="s">
        <v>25</v>
      </c>
      <c r="B963" s="11" t="s">
        <v>67</v>
      </c>
      <c r="C963" s="11" t="s">
        <v>47</v>
      </c>
      <c r="D963" s="12">
        <v>41991</v>
      </c>
      <c r="E963" s="12">
        <v>41991</v>
      </c>
      <c r="F963" s="13">
        <v>363.8</v>
      </c>
      <c r="G963">
        <f t="shared" ref="G963:G1001" si="15">E963-D963 + 1</f>
        <v>1</v>
      </c>
    </row>
    <row r="964" spans="1:7" x14ac:dyDescent="0.25">
      <c r="A964" s="6" t="s">
        <v>126</v>
      </c>
      <c r="B964" s="7" t="s">
        <v>127</v>
      </c>
      <c r="C964" s="7" t="s">
        <v>47</v>
      </c>
      <c r="D964" s="8">
        <v>41991</v>
      </c>
      <c r="E964" s="8">
        <v>41991</v>
      </c>
      <c r="F964" s="9">
        <v>363.8</v>
      </c>
      <c r="G964">
        <f t="shared" si="15"/>
        <v>1</v>
      </c>
    </row>
    <row r="965" spans="1:7" x14ac:dyDescent="0.25">
      <c r="A965" s="10" t="s">
        <v>134</v>
      </c>
      <c r="B965" s="11" t="s">
        <v>149</v>
      </c>
      <c r="C965" s="11" t="s">
        <v>24</v>
      </c>
      <c r="D965" s="12">
        <v>41991</v>
      </c>
      <c r="E965" s="12">
        <v>41991</v>
      </c>
      <c r="F965" s="13">
        <v>290.7</v>
      </c>
      <c r="G965">
        <f t="shared" si="15"/>
        <v>1</v>
      </c>
    </row>
    <row r="966" spans="1:7" x14ac:dyDescent="0.25">
      <c r="A966" s="6" t="s">
        <v>15</v>
      </c>
      <c r="B966" s="7" t="s">
        <v>16</v>
      </c>
      <c r="C966" s="7" t="s">
        <v>30</v>
      </c>
      <c r="D966" s="8">
        <v>41991</v>
      </c>
      <c r="E966" s="8">
        <v>41992</v>
      </c>
      <c r="F966" s="9">
        <v>331.5</v>
      </c>
      <c r="G966">
        <f t="shared" si="15"/>
        <v>2</v>
      </c>
    </row>
    <row r="967" spans="1:7" x14ac:dyDescent="0.25">
      <c r="A967" s="10" t="s">
        <v>20</v>
      </c>
      <c r="B967" s="11" t="s">
        <v>21</v>
      </c>
      <c r="C967" s="11" t="s">
        <v>72</v>
      </c>
      <c r="D967" s="12">
        <v>41991</v>
      </c>
      <c r="E967" s="12">
        <v>41991</v>
      </c>
      <c r="F967" s="13">
        <v>494.7</v>
      </c>
      <c r="G967">
        <f t="shared" si="15"/>
        <v>1</v>
      </c>
    </row>
    <row r="968" spans="1:7" x14ac:dyDescent="0.25">
      <c r="A968" s="6" t="s">
        <v>25</v>
      </c>
      <c r="B968" s="7" t="s">
        <v>35</v>
      </c>
      <c r="C968" s="7" t="s">
        <v>11</v>
      </c>
      <c r="D968" s="8">
        <v>41992</v>
      </c>
      <c r="E968" s="8">
        <v>41992</v>
      </c>
      <c r="F968" s="9">
        <v>156.4</v>
      </c>
      <c r="G968">
        <f t="shared" si="15"/>
        <v>1</v>
      </c>
    </row>
    <row r="969" spans="1:7" x14ac:dyDescent="0.25">
      <c r="A969" s="10" t="s">
        <v>151</v>
      </c>
      <c r="B969" s="11" t="s">
        <v>152</v>
      </c>
      <c r="C969" s="11" t="s">
        <v>72</v>
      </c>
      <c r="D969" s="12">
        <v>41992</v>
      </c>
      <c r="E969" s="12">
        <v>41992</v>
      </c>
      <c r="F969" s="13">
        <v>494.7</v>
      </c>
      <c r="G969">
        <f t="shared" si="15"/>
        <v>1</v>
      </c>
    </row>
    <row r="970" spans="1:7" x14ac:dyDescent="0.25">
      <c r="A970" s="6" t="s">
        <v>6</v>
      </c>
      <c r="B970" s="7" t="s">
        <v>7</v>
      </c>
      <c r="C970" s="7" t="s">
        <v>66</v>
      </c>
      <c r="D970" s="8">
        <v>41993</v>
      </c>
      <c r="E970" s="8">
        <v>41993</v>
      </c>
      <c r="F970" s="9">
        <v>307.7</v>
      </c>
      <c r="G970">
        <f t="shared" si="15"/>
        <v>1</v>
      </c>
    </row>
    <row r="971" spans="1:7" x14ac:dyDescent="0.25">
      <c r="A971" s="10" t="s">
        <v>15</v>
      </c>
      <c r="B971" s="11" t="s">
        <v>63</v>
      </c>
      <c r="C971" s="11" t="s">
        <v>8</v>
      </c>
      <c r="D971" s="12">
        <v>41993</v>
      </c>
      <c r="E971" s="12">
        <v>41993</v>
      </c>
      <c r="F971" s="13">
        <v>680</v>
      </c>
      <c r="G971">
        <f t="shared" si="15"/>
        <v>1</v>
      </c>
    </row>
    <row r="972" spans="1:7" x14ac:dyDescent="0.25">
      <c r="A972" s="6" t="s">
        <v>122</v>
      </c>
      <c r="B972" s="7" t="s">
        <v>123</v>
      </c>
      <c r="C972" s="7" t="s">
        <v>27</v>
      </c>
      <c r="D972" s="8">
        <v>41994</v>
      </c>
      <c r="E972" s="8">
        <v>41994</v>
      </c>
      <c r="F972" s="9">
        <v>442</v>
      </c>
      <c r="G972">
        <f t="shared" si="15"/>
        <v>1</v>
      </c>
    </row>
    <row r="973" spans="1:7" x14ac:dyDescent="0.25">
      <c r="A973" s="10" t="s">
        <v>15</v>
      </c>
      <c r="B973" s="11" t="s">
        <v>46</v>
      </c>
      <c r="C973" s="11" t="s">
        <v>19</v>
      </c>
      <c r="D973" s="12">
        <v>41994</v>
      </c>
      <c r="E973" s="12">
        <v>41994</v>
      </c>
      <c r="F973" s="13">
        <v>513.4</v>
      </c>
      <c r="G973">
        <f t="shared" si="15"/>
        <v>1</v>
      </c>
    </row>
    <row r="974" spans="1:7" x14ac:dyDescent="0.25">
      <c r="A974" s="6" t="s">
        <v>57</v>
      </c>
      <c r="B974" s="7" t="s">
        <v>163</v>
      </c>
      <c r="C974" s="7" t="s">
        <v>8</v>
      </c>
      <c r="D974" s="8">
        <v>41994</v>
      </c>
      <c r="E974" s="8">
        <v>41994</v>
      </c>
      <c r="F974" s="9">
        <v>680</v>
      </c>
      <c r="G974">
        <f t="shared" si="15"/>
        <v>1</v>
      </c>
    </row>
    <row r="975" spans="1:7" x14ac:dyDescent="0.25">
      <c r="A975" s="10" t="s">
        <v>22</v>
      </c>
      <c r="B975" s="11" t="s">
        <v>172</v>
      </c>
      <c r="C975" s="11" t="s">
        <v>17</v>
      </c>
      <c r="D975" s="12">
        <v>41994</v>
      </c>
      <c r="E975" s="12">
        <v>41994</v>
      </c>
      <c r="F975" s="13">
        <v>501.5</v>
      </c>
      <c r="G975">
        <f t="shared" si="15"/>
        <v>1</v>
      </c>
    </row>
    <row r="976" spans="1:7" x14ac:dyDescent="0.25">
      <c r="A976" s="6" t="s">
        <v>50</v>
      </c>
      <c r="B976" s="7" t="s">
        <v>51</v>
      </c>
      <c r="C976" s="7" t="s">
        <v>24</v>
      </c>
      <c r="D976" s="8">
        <v>41994</v>
      </c>
      <c r="E976" s="8">
        <v>41994</v>
      </c>
      <c r="F976" s="9">
        <v>290.7</v>
      </c>
      <c r="G976">
        <f t="shared" si="15"/>
        <v>1</v>
      </c>
    </row>
    <row r="977" spans="1:7" x14ac:dyDescent="0.25">
      <c r="A977" s="10" t="s">
        <v>6</v>
      </c>
      <c r="B977" s="11" t="s">
        <v>56</v>
      </c>
      <c r="C977" s="11" t="s">
        <v>59</v>
      </c>
      <c r="D977" s="12">
        <v>41994</v>
      </c>
      <c r="E977" s="12">
        <v>41995</v>
      </c>
      <c r="F977" s="13">
        <v>601</v>
      </c>
      <c r="G977">
        <f t="shared" si="15"/>
        <v>2</v>
      </c>
    </row>
    <row r="978" spans="1:7" x14ac:dyDescent="0.25">
      <c r="A978" s="6" t="s">
        <v>143</v>
      </c>
      <c r="B978" s="7" t="s">
        <v>144</v>
      </c>
      <c r="C978" s="7" t="s">
        <v>27</v>
      </c>
      <c r="D978" s="8">
        <v>41994</v>
      </c>
      <c r="E978" s="8">
        <v>41995</v>
      </c>
      <c r="F978" s="9">
        <v>570</v>
      </c>
      <c r="G978">
        <f t="shared" si="15"/>
        <v>2</v>
      </c>
    </row>
    <row r="979" spans="1:7" x14ac:dyDescent="0.25">
      <c r="A979" s="10" t="s">
        <v>54</v>
      </c>
      <c r="B979" s="11" t="s">
        <v>118</v>
      </c>
      <c r="C979" s="11" t="s">
        <v>30</v>
      </c>
      <c r="D979" s="12">
        <v>41994</v>
      </c>
      <c r="E979" s="12">
        <v>41995</v>
      </c>
      <c r="F979" s="13">
        <v>331.5</v>
      </c>
      <c r="G979">
        <f t="shared" si="15"/>
        <v>2</v>
      </c>
    </row>
    <row r="980" spans="1:7" x14ac:dyDescent="0.25">
      <c r="A980" s="6" t="s">
        <v>115</v>
      </c>
      <c r="B980" s="7" t="s">
        <v>153</v>
      </c>
      <c r="C980" s="7" t="s">
        <v>17</v>
      </c>
      <c r="D980" s="8">
        <v>41995</v>
      </c>
      <c r="E980" s="8">
        <v>41995</v>
      </c>
      <c r="F980" s="9">
        <v>501.5</v>
      </c>
      <c r="G980">
        <f t="shared" si="15"/>
        <v>1</v>
      </c>
    </row>
    <row r="981" spans="1:7" x14ac:dyDescent="0.25">
      <c r="A981" s="10" t="s">
        <v>79</v>
      </c>
      <c r="B981" s="11" t="s">
        <v>80</v>
      </c>
      <c r="C981" s="11" t="s">
        <v>47</v>
      </c>
      <c r="D981" s="12">
        <v>41995</v>
      </c>
      <c r="E981" s="12">
        <v>41995</v>
      </c>
      <c r="F981" s="13">
        <v>363.8</v>
      </c>
      <c r="G981">
        <f t="shared" si="15"/>
        <v>1</v>
      </c>
    </row>
    <row r="982" spans="1:7" x14ac:dyDescent="0.25">
      <c r="A982" s="6" t="s">
        <v>168</v>
      </c>
      <c r="B982" s="7" t="s">
        <v>169</v>
      </c>
      <c r="C982" s="7" t="s">
        <v>66</v>
      </c>
      <c r="D982" s="8">
        <v>41995</v>
      </c>
      <c r="E982" s="8">
        <v>41996</v>
      </c>
      <c r="F982" s="9">
        <v>485.7</v>
      </c>
      <c r="G982">
        <f t="shared" si="15"/>
        <v>2</v>
      </c>
    </row>
    <row r="983" spans="1:7" x14ac:dyDescent="0.25">
      <c r="A983" s="10" t="s">
        <v>97</v>
      </c>
      <c r="B983" s="11" t="s">
        <v>98</v>
      </c>
      <c r="C983" s="11" t="s">
        <v>24</v>
      </c>
      <c r="D983" s="12">
        <v>41995</v>
      </c>
      <c r="E983" s="12">
        <v>41995</v>
      </c>
      <c r="F983" s="13">
        <v>290.7</v>
      </c>
      <c r="G983">
        <f t="shared" si="15"/>
        <v>1</v>
      </c>
    </row>
    <row r="984" spans="1:7" x14ac:dyDescent="0.25">
      <c r="A984" s="6" t="s">
        <v>115</v>
      </c>
      <c r="B984" s="7" t="s">
        <v>140</v>
      </c>
      <c r="C984" s="7" t="s">
        <v>11</v>
      </c>
      <c r="D984" s="8">
        <v>41995</v>
      </c>
      <c r="E984" s="8">
        <v>41996</v>
      </c>
      <c r="F984" s="9">
        <v>295.39999999999998</v>
      </c>
      <c r="G984">
        <f t="shared" si="15"/>
        <v>2</v>
      </c>
    </row>
    <row r="985" spans="1:7" x14ac:dyDescent="0.25">
      <c r="A985" s="10" t="s">
        <v>101</v>
      </c>
      <c r="B985" s="11" t="s">
        <v>102</v>
      </c>
      <c r="C985" s="11" t="s">
        <v>11</v>
      </c>
      <c r="D985" s="12">
        <v>41995</v>
      </c>
      <c r="E985" s="12">
        <v>41995</v>
      </c>
      <c r="F985" s="13">
        <v>156.4</v>
      </c>
      <c r="G985">
        <f t="shared" si="15"/>
        <v>1</v>
      </c>
    </row>
    <row r="986" spans="1:7" x14ac:dyDescent="0.25">
      <c r="A986" s="6" t="s">
        <v>164</v>
      </c>
      <c r="B986" s="7" t="s">
        <v>165</v>
      </c>
      <c r="C986" s="7" t="s">
        <v>17</v>
      </c>
      <c r="D986" s="8">
        <v>41995</v>
      </c>
      <c r="E986" s="8">
        <v>41995</v>
      </c>
      <c r="F986" s="9">
        <v>501.5</v>
      </c>
      <c r="G986">
        <f t="shared" si="15"/>
        <v>1</v>
      </c>
    </row>
    <row r="987" spans="1:7" x14ac:dyDescent="0.25">
      <c r="A987" s="10" t="s">
        <v>93</v>
      </c>
      <c r="B987" s="11" t="s">
        <v>106</v>
      </c>
      <c r="C987" s="11" t="s">
        <v>30</v>
      </c>
      <c r="D987" s="12">
        <v>41995</v>
      </c>
      <c r="E987" s="12">
        <v>41995</v>
      </c>
      <c r="F987" s="13">
        <v>212.5</v>
      </c>
      <c r="G987">
        <f t="shared" si="15"/>
        <v>1</v>
      </c>
    </row>
    <row r="988" spans="1:7" x14ac:dyDescent="0.25">
      <c r="A988" s="6" t="s">
        <v>134</v>
      </c>
      <c r="B988" s="7" t="s">
        <v>149</v>
      </c>
      <c r="C988" s="7" t="s">
        <v>17</v>
      </c>
      <c r="D988" s="8">
        <v>41995</v>
      </c>
      <c r="E988" s="8">
        <v>41996</v>
      </c>
      <c r="F988" s="9">
        <v>706.5</v>
      </c>
      <c r="G988">
        <f t="shared" si="15"/>
        <v>2</v>
      </c>
    </row>
    <row r="989" spans="1:7" x14ac:dyDescent="0.25">
      <c r="A989" s="10" t="s">
        <v>134</v>
      </c>
      <c r="B989" s="11" t="s">
        <v>149</v>
      </c>
      <c r="C989" s="11" t="s">
        <v>27</v>
      </c>
      <c r="D989" s="12">
        <v>41995</v>
      </c>
      <c r="E989" s="12">
        <v>41995</v>
      </c>
      <c r="F989" s="13">
        <v>442</v>
      </c>
      <c r="G989">
        <f t="shared" si="15"/>
        <v>1</v>
      </c>
    </row>
    <row r="990" spans="1:7" x14ac:dyDescent="0.25">
      <c r="A990" s="6" t="s">
        <v>109</v>
      </c>
      <c r="B990" s="7" t="s">
        <v>110</v>
      </c>
      <c r="C990" s="7" t="s">
        <v>30</v>
      </c>
      <c r="D990" s="8">
        <v>41995</v>
      </c>
      <c r="E990" s="8">
        <v>41996</v>
      </c>
      <c r="F990" s="9">
        <v>331.5</v>
      </c>
      <c r="G990">
        <f t="shared" si="15"/>
        <v>2</v>
      </c>
    </row>
    <row r="991" spans="1:7" x14ac:dyDescent="0.25">
      <c r="A991" s="10" t="s">
        <v>93</v>
      </c>
      <c r="B991" s="11" t="s">
        <v>94</v>
      </c>
      <c r="C991" s="11" t="s">
        <v>38</v>
      </c>
      <c r="D991" s="12">
        <v>41995</v>
      </c>
      <c r="E991" s="12">
        <v>41995</v>
      </c>
      <c r="F991" s="13">
        <v>278.8</v>
      </c>
      <c r="G991">
        <f t="shared" si="15"/>
        <v>1</v>
      </c>
    </row>
    <row r="992" spans="1:7" x14ac:dyDescent="0.25">
      <c r="A992" s="6" t="s">
        <v>12</v>
      </c>
      <c r="B992" s="7" t="s">
        <v>95</v>
      </c>
      <c r="C992" s="7" t="s">
        <v>19</v>
      </c>
      <c r="D992" s="8">
        <v>41995</v>
      </c>
      <c r="E992" s="8">
        <v>41996</v>
      </c>
      <c r="F992" s="9">
        <v>654.4</v>
      </c>
      <c r="G992">
        <f t="shared" si="15"/>
        <v>2</v>
      </c>
    </row>
    <row r="993" spans="1:7" x14ac:dyDescent="0.25">
      <c r="A993" s="10" t="s">
        <v>131</v>
      </c>
      <c r="B993" s="11" t="s">
        <v>132</v>
      </c>
      <c r="C993" s="11" t="s">
        <v>14</v>
      </c>
      <c r="D993" s="12">
        <v>41995</v>
      </c>
      <c r="E993" s="12">
        <v>41995</v>
      </c>
      <c r="F993" s="13">
        <v>178.5</v>
      </c>
      <c r="G993">
        <f t="shared" si="15"/>
        <v>1</v>
      </c>
    </row>
    <row r="994" spans="1:7" x14ac:dyDescent="0.25">
      <c r="A994" s="6" t="s">
        <v>131</v>
      </c>
      <c r="B994" s="7" t="s">
        <v>154</v>
      </c>
      <c r="C994" s="7" t="s">
        <v>11</v>
      </c>
      <c r="D994" s="8">
        <v>42001</v>
      </c>
      <c r="E994" s="8">
        <v>42002</v>
      </c>
      <c r="F994" s="9">
        <v>295.39999999999998</v>
      </c>
      <c r="G994">
        <f t="shared" si="15"/>
        <v>2</v>
      </c>
    </row>
    <row r="995" spans="1:7" x14ac:dyDescent="0.25">
      <c r="A995" s="10" t="s">
        <v>9</v>
      </c>
      <c r="B995" s="11" t="s">
        <v>103</v>
      </c>
      <c r="C995" s="11" t="s">
        <v>24</v>
      </c>
      <c r="D995" s="12">
        <v>42001</v>
      </c>
      <c r="E995" s="12">
        <v>42003</v>
      </c>
      <c r="F995" s="13">
        <v>588.70000000000005</v>
      </c>
      <c r="G995">
        <f t="shared" si="15"/>
        <v>3</v>
      </c>
    </row>
    <row r="996" spans="1:7" x14ac:dyDescent="0.25">
      <c r="A996" s="6" t="s">
        <v>28</v>
      </c>
      <c r="B996" s="7" t="s">
        <v>60</v>
      </c>
      <c r="C996" s="7" t="s">
        <v>59</v>
      </c>
      <c r="D996" s="8">
        <v>42002</v>
      </c>
      <c r="E996" s="8">
        <v>42003</v>
      </c>
      <c r="F996" s="9">
        <v>601</v>
      </c>
      <c r="G996">
        <f t="shared" si="15"/>
        <v>2</v>
      </c>
    </row>
    <row r="997" spans="1:7" x14ac:dyDescent="0.25">
      <c r="A997" s="10" t="s">
        <v>6</v>
      </c>
      <c r="B997" s="11" t="s">
        <v>56</v>
      </c>
      <c r="C997" s="11" t="s">
        <v>72</v>
      </c>
      <c r="D997" s="12">
        <v>42002</v>
      </c>
      <c r="E997" s="12">
        <v>42002</v>
      </c>
      <c r="F997" s="13">
        <v>494.7</v>
      </c>
      <c r="G997">
        <f t="shared" si="15"/>
        <v>1</v>
      </c>
    </row>
    <row r="998" spans="1:7" x14ac:dyDescent="0.25">
      <c r="A998" s="6" t="s">
        <v>115</v>
      </c>
      <c r="B998" s="7" t="s">
        <v>140</v>
      </c>
      <c r="C998" s="7" t="s">
        <v>19</v>
      </c>
      <c r="D998" s="8">
        <v>42002</v>
      </c>
      <c r="E998" s="8">
        <v>42002</v>
      </c>
      <c r="F998" s="9">
        <v>513.4</v>
      </c>
      <c r="G998">
        <f t="shared" si="15"/>
        <v>1</v>
      </c>
    </row>
    <row r="999" spans="1:7" x14ac:dyDescent="0.25">
      <c r="A999" s="10" t="s">
        <v>134</v>
      </c>
      <c r="B999" s="11" t="s">
        <v>149</v>
      </c>
      <c r="C999" s="11" t="s">
        <v>72</v>
      </c>
      <c r="D999" s="12">
        <v>42002</v>
      </c>
      <c r="E999" s="12">
        <v>42002</v>
      </c>
      <c r="F999" s="13">
        <v>494.7</v>
      </c>
      <c r="G999">
        <f t="shared" si="15"/>
        <v>1</v>
      </c>
    </row>
    <row r="1000" spans="1:7" x14ac:dyDescent="0.25">
      <c r="A1000" s="6" t="s">
        <v>15</v>
      </c>
      <c r="B1000" s="7" t="s">
        <v>16</v>
      </c>
      <c r="C1000" s="7" t="s">
        <v>59</v>
      </c>
      <c r="D1000" s="8">
        <v>42002</v>
      </c>
      <c r="E1000" s="8">
        <v>42002</v>
      </c>
      <c r="F1000" s="9">
        <v>442</v>
      </c>
      <c r="G1000">
        <f t="shared" si="15"/>
        <v>1</v>
      </c>
    </row>
    <row r="1001" spans="1:7" x14ac:dyDescent="0.25">
      <c r="A1001" s="14" t="s">
        <v>86</v>
      </c>
      <c r="B1001" s="15" t="s">
        <v>136</v>
      </c>
      <c r="C1001" s="15" t="s">
        <v>30</v>
      </c>
      <c r="D1001" s="16">
        <v>42002</v>
      </c>
      <c r="E1001" s="16">
        <v>42003</v>
      </c>
      <c r="F1001" s="2">
        <v>331.5</v>
      </c>
      <c r="G1001">
        <f t="shared" si="15"/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0D363-F3E3-47F7-A520-0CCE7A3FC043}">
  <dimension ref="A1:K1001"/>
  <sheetViews>
    <sheetView topLeftCell="A4" zoomScale="190" zoomScaleNormal="190" workbookViewId="0">
      <selection activeCell="K3" sqref="K3:K15"/>
    </sheetView>
  </sheetViews>
  <sheetFormatPr defaultRowHeight="15" x14ac:dyDescent="0.25"/>
  <cols>
    <col min="1" max="1" width="10.140625" bestFit="1" customWidth="1"/>
    <col min="2" max="2" width="13.7109375" bestFit="1" customWidth="1"/>
    <col min="3" max="3" width="9.85546875" bestFit="1" customWidth="1"/>
    <col min="4" max="5" width="10.5703125" bestFit="1" customWidth="1"/>
    <col min="6" max="6" width="12.140625" bestFit="1" customWidth="1"/>
    <col min="10" max="10" width="17.7109375" bestFit="1" customWidth="1"/>
    <col min="11" max="11" width="21" bestFit="1" customWidth="1"/>
    <col min="12" max="12" width="16.5703125" bestFit="1" customWidth="1"/>
  </cols>
  <sheetData>
    <row r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20" t="s">
        <v>179</v>
      </c>
      <c r="H1" s="20" t="s">
        <v>181</v>
      </c>
      <c r="I1" s="20" t="s">
        <v>197</v>
      </c>
    </row>
    <row r="2" spans="1:11" x14ac:dyDescent="0.25">
      <c r="A2" s="6" t="s">
        <v>6</v>
      </c>
      <c r="B2" s="7" t="s">
        <v>7</v>
      </c>
      <c r="C2" s="7" t="s">
        <v>8</v>
      </c>
      <c r="D2" s="8">
        <v>41641</v>
      </c>
      <c r="E2" s="8">
        <v>41642</v>
      </c>
      <c r="F2" s="9">
        <v>891</v>
      </c>
      <c r="G2">
        <f>E2-D2 + 1</f>
        <v>2</v>
      </c>
      <c r="H2">
        <f>30+(G2-1)*24</f>
        <v>54</v>
      </c>
      <c r="I2">
        <f>H2+F2</f>
        <v>945</v>
      </c>
      <c r="J2" s="17" t="s">
        <v>175</v>
      </c>
      <c r="K2" t="s">
        <v>198</v>
      </c>
    </row>
    <row r="3" spans="1:11" x14ac:dyDescent="0.25">
      <c r="A3" s="10" t="s">
        <v>9</v>
      </c>
      <c r="B3" s="11" t="s">
        <v>10</v>
      </c>
      <c r="C3" s="11" t="s">
        <v>11</v>
      </c>
      <c r="D3" s="12">
        <v>41641</v>
      </c>
      <c r="E3" s="12">
        <v>41642</v>
      </c>
      <c r="F3" s="13">
        <v>295.39999999999998</v>
      </c>
      <c r="G3">
        <f t="shared" ref="G3:G66" si="0">E3-D3 + 1</f>
        <v>2</v>
      </c>
      <c r="H3">
        <f t="shared" ref="H3:H66" si="1">30+(G3-1)*24</f>
        <v>54</v>
      </c>
      <c r="I3">
        <f t="shared" ref="I3:I66" si="2">H3+F3</f>
        <v>349.4</v>
      </c>
      <c r="J3" s="18" t="s">
        <v>14</v>
      </c>
      <c r="K3" s="1">
        <v>27599.5</v>
      </c>
    </row>
    <row r="4" spans="1:11" x14ac:dyDescent="0.25">
      <c r="A4" s="6" t="s">
        <v>12</v>
      </c>
      <c r="B4" s="7" t="s">
        <v>13</v>
      </c>
      <c r="C4" s="7" t="s">
        <v>14</v>
      </c>
      <c r="D4" s="8">
        <v>41641</v>
      </c>
      <c r="E4" s="8">
        <v>41642</v>
      </c>
      <c r="F4" s="9">
        <v>302.5</v>
      </c>
      <c r="G4">
        <f t="shared" si="0"/>
        <v>2</v>
      </c>
      <c r="H4">
        <f t="shared" si="1"/>
        <v>54</v>
      </c>
      <c r="I4">
        <f t="shared" si="2"/>
        <v>356.5</v>
      </c>
      <c r="J4" s="18" t="s">
        <v>11</v>
      </c>
      <c r="K4" s="1">
        <v>34215.400000000045</v>
      </c>
    </row>
    <row r="5" spans="1:11" x14ac:dyDescent="0.25">
      <c r="A5" s="10" t="s">
        <v>15</v>
      </c>
      <c r="B5" s="11" t="s">
        <v>16</v>
      </c>
      <c r="C5" s="11" t="s">
        <v>17</v>
      </c>
      <c r="D5" s="12">
        <v>41641</v>
      </c>
      <c r="E5" s="12">
        <v>41641</v>
      </c>
      <c r="F5" s="13">
        <v>501.5</v>
      </c>
      <c r="G5">
        <f t="shared" si="0"/>
        <v>1</v>
      </c>
      <c r="H5">
        <f t="shared" si="1"/>
        <v>30</v>
      </c>
      <c r="I5">
        <f t="shared" si="2"/>
        <v>531.5</v>
      </c>
      <c r="J5" s="18" t="s">
        <v>30</v>
      </c>
      <c r="K5" s="1">
        <v>38263.5</v>
      </c>
    </row>
    <row r="6" spans="1:11" x14ac:dyDescent="0.25">
      <c r="A6" s="6" t="s">
        <v>9</v>
      </c>
      <c r="B6" s="7" t="s">
        <v>18</v>
      </c>
      <c r="C6" s="7" t="s">
        <v>19</v>
      </c>
      <c r="D6" s="8">
        <v>41641</v>
      </c>
      <c r="E6" s="8">
        <v>41642</v>
      </c>
      <c r="F6" s="9">
        <v>654.4</v>
      </c>
      <c r="G6">
        <f t="shared" si="0"/>
        <v>2</v>
      </c>
      <c r="H6">
        <f t="shared" si="1"/>
        <v>54</v>
      </c>
      <c r="I6">
        <f t="shared" si="2"/>
        <v>708.4</v>
      </c>
      <c r="J6" s="18" t="s">
        <v>38</v>
      </c>
      <c r="K6" s="1">
        <v>43372.800000000047</v>
      </c>
    </row>
    <row r="7" spans="1:11" x14ac:dyDescent="0.25">
      <c r="A7" s="10" t="s">
        <v>20</v>
      </c>
      <c r="B7" s="11" t="s">
        <v>21</v>
      </c>
      <c r="C7" s="11" t="s">
        <v>8</v>
      </c>
      <c r="D7" s="12">
        <v>41641</v>
      </c>
      <c r="E7" s="12">
        <v>41642</v>
      </c>
      <c r="F7" s="13">
        <v>891</v>
      </c>
      <c r="G7">
        <f t="shared" si="0"/>
        <v>2</v>
      </c>
      <c r="H7">
        <f t="shared" si="1"/>
        <v>54</v>
      </c>
      <c r="I7">
        <f t="shared" si="2"/>
        <v>945</v>
      </c>
      <c r="J7" s="18" t="s">
        <v>66</v>
      </c>
      <c r="K7" s="1">
        <v>48014.699999999939</v>
      </c>
    </row>
    <row r="8" spans="1:11" x14ac:dyDescent="0.25">
      <c r="A8" s="6" t="s">
        <v>22</v>
      </c>
      <c r="B8" s="7" t="s">
        <v>23</v>
      </c>
      <c r="C8" s="7" t="s">
        <v>24</v>
      </c>
      <c r="D8" s="8">
        <v>41642</v>
      </c>
      <c r="E8" s="8">
        <v>41643</v>
      </c>
      <c r="F8" s="9">
        <v>439.7</v>
      </c>
      <c r="G8">
        <f t="shared" si="0"/>
        <v>2</v>
      </c>
      <c r="H8">
        <f t="shared" si="1"/>
        <v>54</v>
      </c>
      <c r="I8">
        <f t="shared" si="2"/>
        <v>493.7</v>
      </c>
      <c r="J8" s="18" t="s">
        <v>47</v>
      </c>
      <c r="K8" s="1">
        <v>50606.600000000049</v>
      </c>
    </row>
    <row r="9" spans="1:11" x14ac:dyDescent="0.25">
      <c r="A9" s="10" t="s">
        <v>25</v>
      </c>
      <c r="B9" s="11" t="s">
        <v>26</v>
      </c>
      <c r="C9" s="11" t="s">
        <v>27</v>
      </c>
      <c r="D9" s="12">
        <v>41642</v>
      </c>
      <c r="E9" s="12">
        <v>41645</v>
      </c>
      <c r="F9" s="13">
        <v>826</v>
      </c>
      <c r="G9">
        <f t="shared" si="0"/>
        <v>4</v>
      </c>
      <c r="H9">
        <f t="shared" si="1"/>
        <v>102</v>
      </c>
      <c r="I9">
        <f t="shared" si="2"/>
        <v>928</v>
      </c>
      <c r="J9" s="18" t="s">
        <v>59</v>
      </c>
      <c r="K9" s="1">
        <v>51099</v>
      </c>
    </row>
    <row r="10" spans="1:11" x14ac:dyDescent="0.25">
      <c r="A10" s="6" t="s">
        <v>28</v>
      </c>
      <c r="B10" s="7" t="s">
        <v>29</v>
      </c>
      <c r="C10" s="7" t="s">
        <v>30</v>
      </c>
      <c r="D10" s="8">
        <v>41642</v>
      </c>
      <c r="E10" s="8">
        <v>41643</v>
      </c>
      <c r="F10" s="9">
        <v>331.5</v>
      </c>
      <c r="G10">
        <f t="shared" si="0"/>
        <v>2</v>
      </c>
      <c r="H10">
        <f t="shared" si="1"/>
        <v>54</v>
      </c>
      <c r="I10">
        <f t="shared" si="2"/>
        <v>385.5</v>
      </c>
      <c r="J10" s="18" t="s">
        <v>24</v>
      </c>
      <c r="K10" s="1">
        <v>53209.499999999913</v>
      </c>
    </row>
    <row r="11" spans="1:11" x14ac:dyDescent="0.25">
      <c r="A11" s="10" t="s">
        <v>31</v>
      </c>
      <c r="B11" s="11" t="s">
        <v>32</v>
      </c>
      <c r="C11" s="11" t="s">
        <v>24</v>
      </c>
      <c r="D11" s="12">
        <v>41642</v>
      </c>
      <c r="E11" s="12">
        <v>41643</v>
      </c>
      <c r="F11" s="13">
        <v>439.7</v>
      </c>
      <c r="G11">
        <f t="shared" si="0"/>
        <v>2</v>
      </c>
      <c r="H11">
        <f t="shared" si="1"/>
        <v>54</v>
      </c>
      <c r="I11">
        <f t="shared" si="2"/>
        <v>493.7</v>
      </c>
      <c r="J11" s="18" t="s">
        <v>27</v>
      </c>
      <c r="K11" s="1">
        <v>54144</v>
      </c>
    </row>
    <row r="12" spans="1:11" x14ac:dyDescent="0.25">
      <c r="A12" s="6" t="s">
        <v>33</v>
      </c>
      <c r="B12" s="7" t="s">
        <v>34</v>
      </c>
      <c r="C12" s="7" t="s">
        <v>30</v>
      </c>
      <c r="D12" s="8">
        <v>41642</v>
      </c>
      <c r="E12" s="8">
        <v>41644</v>
      </c>
      <c r="F12" s="9">
        <v>450.5</v>
      </c>
      <c r="G12">
        <f t="shared" si="0"/>
        <v>3</v>
      </c>
      <c r="H12">
        <f t="shared" si="1"/>
        <v>78</v>
      </c>
      <c r="I12">
        <f t="shared" si="2"/>
        <v>528.5</v>
      </c>
      <c r="J12" s="18" t="s">
        <v>19</v>
      </c>
      <c r="K12" s="1">
        <v>63932.00000000008</v>
      </c>
    </row>
    <row r="13" spans="1:11" x14ac:dyDescent="0.25">
      <c r="A13" s="10" t="s">
        <v>25</v>
      </c>
      <c r="B13" s="11" t="s">
        <v>35</v>
      </c>
      <c r="C13" s="11" t="s">
        <v>14</v>
      </c>
      <c r="D13" s="12">
        <v>41642</v>
      </c>
      <c r="E13" s="12">
        <v>41642</v>
      </c>
      <c r="F13" s="13">
        <v>178.5</v>
      </c>
      <c r="G13">
        <f t="shared" si="0"/>
        <v>1</v>
      </c>
      <c r="H13">
        <f t="shared" si="1"/>
        <v>30</v>
      </c>
      <c r="I13">
        <f t="shared" si="2"/>
        <v>208.5</v>
      </c>
      <c r="J13" s="18" t="s">
        <v>17</v>
      </c>
      <c r="K13" s="1">
        <v>80344.5</v>
      </c>
    </row>
    <row r="14" spans="1:11" x14ac:dyDescent="0.25">
      <c r="A14" s="6" t="s">
        <v>36</v>
      </c>
      <c r="B14" s="7" t="s">
        <v>37</v>
      </c>
      <c r="C14" s="7" t="s">
        <v>38</v>
      </c>
      <c r="D14" s="8">
        <v>41642</v>
      </c>
      <c r="E14" s="8">
        <v>41643</v>
      </c>
      <c r="F14" s="9">
        <v>407.8</v>
      </c>
      <c r="G14">
        <f t="shared" si="0"/>
        <v>2</v>
      </c>
      <c r="H14">
        <f t="shared" si="1"/>
        <v>54</v>
      </c>
      <c r="I14">
        <f t="shared" si="2"/>
        <v>461.8</v>
      </c>
      <c r="J14" s="18" t="s">
        <v>72</v>
      </c>
      <c r="K14" s="1">
        <v>81486.299999999857</v>
      </c>
    </row>
    <row r="15" spans="1:11" x14ac:dyDescent="0.25">
      <c r="A15" s="10" t="s">
        <v>39</v>
      </c>
      <c r="B15" s="11" t="s">
        <v>40</v>
      </c>
      <c r="C15" s="11" t="s">
        <v>27</v>
      </c>
      <c r="D15" s="12">
        <v>41642</v>
      </c>
      <c r="E15" s="12">
        <v>41642</v>
      </c>
      <c r="F15" s="13">
        <v>442</v>
      </c>
      <c r="G15">
        <f t="shared" si="0"/>
        <v>1</v>
      </c>
      <c r="H15">
        <f t="shared" si="1"/>
        <v>30</v>
      </c>
      <c r="I15">
        <f t="shared" si="2"/>
        <v>472</v>
      </c>
      <c r="J15" s="18" t="s">
        <v>8</v>
      </c>
      <c r="K15" s="1">
        <v>84280</v>
      </c>
    </row>
    <row r="16" spans="1:11" x14ac:dyDescent="0.25">
      <c r="A16" s="6" t="s">
        <v>6</v>
      </c>
      <c r="B16" s="7" t="s">
        <v>7</v>
      </c>
      <c r="C16" s="7" t="s">
        <v>24</v>
      </c>
      <c r="D16" s="8">
        <v>41643</v>
      </c>
      <c r="E16" s="8">
        <v>41644</v>
      </c>
      <c r="F16" s="9">
        <v>439.7</v>
      </c>
      <c r="G16">
        <f t="shared" si="0"/>
        <v>2</v>
      </c>
      <c r="H16">
        <f t="shared" si="1"/>
        <v>54</v>
      </c>
      <c r="I16">
        <f t="shared" si="2"/>
        <v>493.7</v>
      </c>
      <c r="J16" s="18" t="s">
        <v>176</v>
      </c>
      <c r="K16" s="1">
        <v>710567.79999999993</v>
      </c>
    </row>
    <row r="17" spans="1:9" x14ac:dyDescent="0.25">
      <c r="A17" s="10" t="s">
        <v>33</v>
      </c>
      <c r="B17" s="11" t="s">
        <v>41</v>
      </c>
      <c r="C17" s="11" t="s">
        <v>30</v>
      </c>
      <c r="D17" s="12">
        <v>41643</v>
      </c>
      <c r="E17" s="12">
        <v>41644</v>
      </c>
      <c r="F17" s="13">
        <v>331.5</v>
      </c>
      <c r="G17">
        <f t="shared" si="0"/>
        <v>2</v>
      </c>
      <c r="H17">
        <f t="shared" si="1"/>
        <v>54</v>
      </c>
      <c r="I17">
        <f t="shared" si="2"/>
        <v>385.5</v>
      </c>
    </row>
    <row r="18" spans="1:9" x14ac:dyDescent="0.25">
      <c r="A18" s="6" t="s">
        <v>42</v>
      </c>
      <c r="B18" s="7" t="s">
        <v>43</v>
      </c>
      <c r="C18" s="7" t="s">
        <v>19</v>
      </c>
      <c r="D18" s="8">
        <v>41643</v>
      </c>
      <c r="E18" s="8">
        <v>41643</v>
      </c>
      <c r="F18" s="9">
        <v>513.4</v>
      </c>
      <c r="G18">
        <f t="shared" si="0"/>
        <v>1</v>
      </c>
      <c r="H18">
        <f t="shared" si="1"/>
        <v>30</v>
      </c>
      <c r="I18">
        <f t="shared" si="2"/>
        <v>543.4</v>
      </c>
    </row>
    <row r="19" spans="1:9" x14ac:dyDescent="0.25">
      <c r="A19" s="10" t="s">
        <v>15</v>
      </c>
      <c r="B19" s="11" t="s">
        <v>44</v>
      </c>
      <c r="C19" s="11" t="s">
        <v>17</v>
      </c>
      <c r="D19" s="12">
        <v>41644</v>
      </c>
      <c r="E19" s="12">
        <v>41644</v>
      </c>
      <c r="F19" s="13">
        <v>501.5</v>
      </c>
      <c r="G19">
        <f t="shared" si="0"/>
        <v>1</v>
      </c>
      <c r="H19">
        <f t="shared" si="1"/>
        <v>30</v>
      </c>
      <c r="I19">
        <f t="shared" si="2"/>
        <v>531.5</v>
      </c>
    </row>
    <row r="20" spans="1:9" x14ac:dyDescent="0.25">
      <c r="A20" s="6" t="s">
        <v>6</v>
      </c>
      <c r="B20" s="7" t="s">
        <v>45</v>
      </c>
      <c r="C20" s="7" t="s">
        <v>27</v>
      </c>
      <c r="D20" s="8">
        <v>41644</v>
      </c>
      <c r="E20" s="8">
        <v>41644</v>
      </c>
      <c r="F20" s="9">
        <v>442</v>
      </c>
      <c r="G20">
        <f t="shared" si="0"/>
        <v>1</v>
      </c>
      <c r="H20">
        <f t="shared" si="1"/>
        <v>30</v>
      </c>
      <c r="I20">
        <f t="shared" si="2"/>
        <v>472</v>
      </c>
    </row>
    <row r="21" spans="1:9" x14ac:dyDescent="0.25">
      <c r="A21" s="10" t="s">
        <v>15</v>
      </c>
      <c r="B21" s="11" t="s">
        <v>46</v>
      </c>
      <c r="C21" s="11" t="s">
        <v>47</v>
      </c>
      <c r="D21" s="12">
        <v>41645</v>
      </c>
      <c r="E21" s="12">
        <v>41645</v>
      </c>
      <c r="F21" s="13">
        <v>363.8</v>
      </c>
      <c r="G21">
        <f t="shared" si="0"/>
        <v>1</v>
      </c>
      <c r="H21">
        <f t="shared" si="1"/>
        <v>30</v>
      </c>
      <c r="I21">
        <f t="shared" si="2"/>
        <v>393.8</v>
      </c>
    </row>
    <row r="22" spans="1:9" x14ac:dyDescent="0.25">
      <c r="A22" s="6" t="s">
        <v>48</v>
      </c>
      <c r="B22" s="7" t="s">
        <v>49</v>
      </c>
      <c r="C22" s="7" t="s">
        <v>11</v>
      </c>
      <c r="D22" s="8">
        <v>41646</v>
      </c>
      <c r="E22" s="8">
        <v>41646</v>
      </c>
      <c r="F22" s="9">
        <v>156.4</v>
      </c>
      <c r="G22">
        <f t="shared" si="0"/>
        <v>1</v>
      </c>
      <c r="H22">
        <f t="shared" si="1"/>
        <v>30</v>
      </c>
      <c r="I22">
        <f t="shared" si="2"/>
        <v>186.4</v>
      </c>
    </row>
    <row r="23" spans="1:9" x14ac:dyDescent="0.25">
      <c r="A23" s="10" t="s">
        <v>50</v>
      </c>
      <c r="B23" s="11" t="s">
        <v>51</v>
      </c>
      <c r="C23" s="11" t="s">
        <v>38</v>
      </c>
      <c r="D23" s="12">
        <v>41646</v>
      </c>
      <c r="E23" s="12">
        <v>41646</v>
      </c>
      <c r="F23" s="13">
        <v>278.8</v>
      </c>
      <c r="G23">
        <f t="shared" si="0"/>
        <v>1</v>
      </c>
      <c r="H23">
        <f t="shared" si="1"/>
        <v>30</v>
      </c>
      <c r="I23">
        <f t="shared" si="2"/>
        <v>308.8</v>
      </c>
    </row>
    <row r="24" spans="1:9" x14ac:dyDescent="0.25">
      <c r="A24" s="6" t="s">
        <v>33</v>
      </c>
      <c r="B24" s="7" t="s">
        <v>41</v>
      </c>
      <c r="C24" s="7" t="s">
        <v>14</v>
      </c>
      <c r="D24" s="8">
        <v>41646</v>
      </c>
      <c r="E24" s="8">
        <v>41646</v>
      </c>
      <c r="F24" s="9">
        <v>178.5</v>
      </c>
      <c r="G24">
        <f t="shared" si="0"/>
        <v>1</v>
      </c>
      <c r="H24">
        <f t="shared" si="1"/>
        <v>30</v>
      </c>
      <c r="I24">
        <f t="shared" si="2"/>
        <v>208.5</v>
      </c>
    </row>
    <row r="25" spans="1:9" x14ac:dyDescent="0.25">
      <c r="A25" s="10" t="s">
        <v>25</v>
      </c>
      <c r="B25" s="11" t="s">
        <v>35</v>
      </c>
      <c r="C25" s="11" t="s">
        <v>30</v>
      </c>
      <c r="D25" s="12">
        <v>41646</v>
      </c>
      <c r="E25" s="12">
        <v>41646</v>
      </c>
      <c r="F25" s="13">
        <v>212.5</v>
      </c>
      <c r="G25">
        <f t="shared" si="0"/>
        <v>1</v>
      </c>
      <c r="H25">
        <f t="shared" si="1"/>
        <v>30</v>
      </c>
      <c r="I25">
        <f t="shared" si="2"/>
        <v>242.5</v>
      </c>
    </row>
    <row r="26" spans="1:9" x14ac:dyDescent="0.25">
      <c r="A26" s="6" t="s">
        <v>52</v>
      </c>
      <c r="B26" s="7" t="s">
        <v>53</v>
      </c>
      <c r="C26" s="7" t="s">
        <v>24</v>
      </c>
      <c r="D26" s="8">
        <v>41646</v>
      </c>
      <c r="E26" s="8">
        <v>41646</v>
      </c>
      <c r="F26" s="9">
        <v>290.7</v>
      </c>
      <c r="G26">
        <f t="shared" si="0"/>
        <v>1</v>
      </c>
      <c r="H26">
        <f t="shared" si="1"/>
        <v>30</v>
      </c>
      <c r="I26">
        <f t="shared" si="2"/>
        <v>320.7</v>
      </c>
    </row>
    <row r="27" spans="1:9" x14ac:dyDescent="0.25">
      <c r="A27" s="10" t="s">
        <v>54</v>
      </c>
      <c r="B27" s="11" t="s">
        <v>55</v>
      </c>
      <c r="C27" s="11" t="s">
        <v>19</v>
      </c>
      <c r="D27" s="12">
        <v>41647</v>
      </c>
      <c r="E27" s="12">
        <v>41647</v>
      </c>
      <c r="F27" s="13">
        <v>513.4</v>
      </c>
      <c r="G27">
        <f t="shared" si="0"/>
        <v>1</v>
      </c>
      <c r="H27">
        <f t="shared" si="1"/>
        <v>30</v>
      </c>
      <c r="I27">
        <f t="shared" si="2"/>
        <v>543.4</v>
      </c>
    </row>
    <row r="28" spans="1:9" x14ac:dyDescent="0.25">
      <c r="A28" s="6" t="s">
        <v>6</v>
      </c>
      <c r="B28" s="7" t="s">
        <v>56</v>
      </c>
      <c r="C28" s="7" t="s">
        <v>19</v>
      </c>
      <c r="D28" s="8">
        <v>41647</v>
      </c>
      <c r="E28" s="8">
        <v>41647</v>
      </c>
      <c r="F28" s="9">
        <v>513.4</v>
      </c>
      <c r="G28">
        <f t="shared" si="0"/>
        <v>1</v>
      </c>
      <c r="H28">
        <f t="shared" si="1"/>
        <v>30</v>
      </c>
      <c r="I28">
        <f t="shared" si="2"/>
        <v>543.4</v>
      </c>
    </row>
    <row r="29" spans="1:9" x14ac:dyDescent="0.25">
      <c r="A29" s="10" t="s">
        <v>57</v>
      </c>
      <c r="B29" s="11" t="s">
        <v>58</v>
      </c>
      <c r="C29" s="11" t="s">
        <v>59</v>
      </c>
      <c r="D29" s="12">
        <v>41647</v>
      </c>
      <c r="E29" s="12">
        <v>41647</v>
      </c>
      <c r="F29" s="13">
        <v>442</v>
      </c>
      <c r="G29">
        <f t="shared" si="0"/>
        <v>1</v>
      </c>
      <c r="H29">
        <f t="shared" si="1"/>
        <v>30</v>
      </c>
      <c r="I29">
        <f t="shared" si="2"/>
        <v>472</v>
      </c>
    </row>
    <row r="30" spans="1:9" x14ac:dyDescent="0.25">
      <c r="A30" s="6" t="s">
        <v>28</v>
      </c>
      <c r="B30" s="7" t="s">
        <v>60</v>
      </c>
      <c r="C30" s="7" t="s">
        <v>11</v>
      </c>
      <c r="D30" s="8">
        <v>41648</v>
      </c>
      <c r="E30" s="8">
        <v>41652</v>
      </c>
      <c r="F30" s="9">
        <v>712.4</v>
      </c>
      <c r="G30">
        <f t="shared" si="0"/>
        <v>5</v>
      </c>
      <c r="H30">
        <f t="shared" si="1"/>
        <v>126</v>
      </c>
      <c r="I30">
        <f t="shared" si="2"/>
        <v>838.4</v>
      </c>
    </row>
    <row r="31" spans="1:9" x14ac:dyDescent="0.25">
      <c r="A31" s="10" t="s">
        <v>61</v>
      </c>
      <c r="B31" s="11" t="s">
        <v>62</v>
      </c>
      <c r="C31" s="11" t="s">
        <v>17</v>
      </c>
      <c r="D31" s="12">
        <v>41648</v>
      </c>
      <c r="E31" s="12">
        <v>41651</v>
      </c>
      <c r="F31" s="13">
        <v>1116.5</v>
      </c>
      <c r="G31">
        <f t="shared" si="0"/>
        <v>4</v>
      </c>
      <c r="H31">
        <f t="shared" si="1"/>
        <v>102</v>
      </c>
      <c r="I31">
        <f t="shared" si="2"/>
        <v>1218.5</v>
      </c>
    </row>
    <row r="32" spans="1:9" x14ac:dyDescent="0.25">
      <c r="A32" s="6" t="s">
        <v>15</v>
      </c>
      <c r="B32" s="7" t="s">
        <v>63</v>
      </c>
      <c r="C32" s="7" t="s">
        <v>11</v>
      </c>
      <c r="D32" s="8">
        <v>41648</v>
      </c>
      <c r="E32" s="8">
        <v>41649</v>
      </c>
      <c r="F32" s="9">
        <v>295.39999999999998</v>
      </c>
      <c r="G32">
        <f t="shared" si="0"/>
        <v>2</v>
      </c>
      <c r="H32">
        <f t="shared" si="1"/>
        <v>54</v>
      </c>
      <c r="I32">
        <f t="shared" si="2"/>
        <v>349.4</v>
      </c>
    </row>
    <row r="33" spans="1:9" x14ac:dyDescent="0.25">
      <c r="A33" s="10" t="s">
        <v>64</v>
      </c>
      <c r="B33" s="11" t="s">
        <v>65</v>
      </c>
      <c r="C33" s="11" t="s">
        <v>66</v>
      </c>
      <c r="D33" s="12">
        <v>41648</v>
      </c>
      <c r="E33" s="12">
        <v>41649</v>
      </c>
      <c r="F33" s="13">
        <v>485.7</v>
      </c>
      <c r="G33">
        <f t="shared" si="0"/>
        <v>2</v>
      </c>
      <c r="H33">
        <f t="shared" si="1"/>
        <v>54</v>
      </c>
      <c r="I33">
        <f t="shared" si="2"/>
        <v>539.70000000000005</v>
      </c>
    </row>
    <row r="34" spans="1:9" x14ac:dyDescent="0.25">
      <c r="A34" s="6" t="s">
        <v>25</v>
      </c>
      <c r="B34" s="7" t="s">
        <v>67</v>
      </c>
      <c r="C34" s="7" t="s">
        <v>38</v>
      </c>
      <c r="D34" s="8">
        <v>41649</v>
      </c>
      <c r="E34" s="8">
        <v>41649</v>
      </c>
      <c r="F34" s="9">
        <v>278.8</v>
      </c>
      <c r="G34">
        <f t="shared" si="0"/>
        <v>1</v>
      </c>
      <c r="H34">
        <f t="shared" si="1"/>
        <v>30</v>
      </c>
      <c r="I34">
        <f t="shared" si="2"/>
        <v>308.8</v>
      </c>
    </row>
    <row r="35" spans="1:9" x14ac:dyDescent="0.25">
      <c r="A35" s="10" t="s">
        <v>25</v>
      </c>
      <c r="B35" s="11" t="s">
        <v>68</v>
      </c>
      <c r="C35" s="11" t="s">
        <v>59</v>
      </c>
      <c r="D35" s="12">
        <v>41649</v>
      </c>
      <c r="E35" s="12">
        <v>41649</v>
      </c>
      <c r="F35" s="13">
        <v>442</v>
      </c>
      <c r="G35">
        <f t="shared" si="0"/>
        <v>1</v>
      </c>
      <c r="H35">
        <f t="shared" si="1"/>
        <v>30</v>
      </c>
      <c r="I35">
        <f t="shared" si="2"/>
        <v>472</v>
      </c>
    </row>
    <row r="36" spans="1:9" x14ac:dyDescent="0.25">
      <c r="A36" s="6" t="s">
        <v>9</v>
      </c>
      <c r="B36" s="7" t="s">
        <v>69</v>
      </c>
      <c r="C36" s="7" t="s">
        <v>8</v>
      </c>
      <c r="D36" s="8">
        <v>41649</v>
      </c>
      <c r="E36" s="8">
        <v>41649</v>
      </c>
      <c r="F36" s="9">
        <v>680</v>
      </c>
      <c r="G36">
        <f t="shared" si="0"/>
        <v>1</v>
      </c>
      <c r="H36">
        <f t="shared" si="1"/>
        <v>30</v>
      </c>
      <c r="I36">
        <f t="shared" si="2"/>
        <v>710</v>
      </c>
    </row>
    <row r="37" spans="1:9" x14ac:dyDescent="0.25">
      <c r="A37" s="10" t="s">
        <v>52</v>
      </c>
      <c r="B37" s="11" t="s">
        <v>53</v>
      </c>
      <c r="C37" s="11" t="s">
        <v>47</v>
      </c>
      <c r="D37" s="12">
        <v>41649</v>
      </c>
      <c r="E37" s="12">
        <v>41649</v>
      </c>
      <c r="F37" s="13">
        <v>363.8</v>
      </c>
      <c r="G37">
        <f t="shared" si="0"/>
        <v>1</v>
      </c>
      <c r="H37">
        <f t="shared" si="1"/>
        <v>30</v>
      </c>
      <c r="I37">
        <f t="shared" si="2"/>
        <v>393.8</v>
      </c>
    </row>
    <row r="38" spans="1:9" x14ac:dyDescent="0.25">
      <c r="A38" s="6" t="s">
        <v>22</v>
      </c>
      <c r="B38" s="7" t="s">
        <v>23</v>
      </c>
      <c r="C38" s="7" t="s">
        <v>59</v>
      </c>
      <c r="D38" s="8">
        <v>41651</v>
      </c>
      <c r="E38" s="8">
        <v>41651</v>
      </c>
      <c r="F38" s="9">
        <v>442</v>
      </c>
      <c r="G38">
        <f t="shared" si="0"/>
        <v>1</v>
      </c>
      <c r="H38">
        <f t="shared" si="1"/>
        <v>30</v>
      </c>
      <c r="I38">
        <f t="shared" si="2"/>
        <v>472</v>
      </c>
    </row>
    <row r="39" spans="1:9" x14ac:dyDescent="0.25">
      <c r="A39" s="10" t="s">
        <v>15</v>
      </c>
      <c r="B39" s="11" t="s">
        <v>46</v>
      </c>
      <c r="C39" s="11" t="s">
        <v>14</v>
      </c>
      <c r="D39" s="12">
        <v>41652</v>
      </c>
      <c r="E39" s="12">
        <v>41655</v>
      </c>
      <c r="F39" s="13">
        <v>550.5</v>
      </c>
      <c r="G39">
        <f t="shared" si="0"/>
        <v>4</v>
      </c>
      <c r="H39">
        <f t="shared" si="1"/>
        <v>102</v>
      </c>
      <c r="I39">
        <f t="shared" si="2"/>
        <v>652.5</v>
      </c>
    </row>
    <row r="40" spans="1:9" x14ac:dyDescent="0.25">
      <c r="A40" s="6" t="s">
        <v>70</v>
      </c>
      <c r="B40" s="7" t="s">
        <v>71</v>
      </c>
      <c r="C40" s="7" t="s">
        <v>27</v>
      </c>
      <c r="D40" s="8">
        <v>41652</v>
      </c>
      <c r="E40" s="8">
        <v>41652</v>
      </c>
      <c r="F40" s="9">
        <v>442</v>
      </c>
      <c r="G40">
        <f t="shared" si="0"/>
        <v>1</v>
      </c>
      <c r="H40">
        <f t="shared" si="1"/>
        <v>30</v>
      </c>
      <c r="I40">
        <f t="shared" si="2"/>
        <v>472</v>
      </c>
    </row>
    <row r="41" spans="1:9" x14ac:dyDescent="0.25">
      <c r="A41" s="10" t="s">
        <v>25</v>
      </c>
      <c r="B41" s="11" t="s">
        <v>68</v>
      </c>
      <c r="C41" s="11" t="s">
        <v>72</v>
      </c>
      <c r="D41" s="12">
        <v>41652</v>
      </c>
      <c r="E41" s="12">
        <v>41652</v>
      </c>
      <c r="F41" s="13">
        <v>494.7</v>
      </c>
      <c r="G41">
        <f t="shared" si="0"/>
        <v>1</v>
      </c>
      <c r="H41">
        <f t="shared" si="1"/>
        <v>30</v>
      </c>
      <c r="I41">
        <f t="shared" si="2"/>
        <v>524.70000000000005</v>
      </c>
    </row>
    <row r="42" spans="1:9" x14ac:dyDescent="0.25">
      <c r="A42" s="6" t="s">
        <v>73</v>
      </c>
      <c r="B42" s="7" t="s">
        <v>74</v>
      </c>
      <c r="C42" s="7" t="s">
        <v>27</v>
      </c>
      <c r="D42" s="8">
        <v>41652</v>
      </c>
      <c r="E42" s="8">
        <v>41653</v>
      </c>
      <c r="F42" s="9">
        <v>570</v>
      </c>
      <c r="G42">
        <f t="shared" si="0"/>
        <v>2</v>
      </c>
      <c r="H42">
        <f t="shared" si="1"/>
        <v>54</v>
      </c>
      <c r="I42">
        <f t="shared" si="2"/>
        <v>624</v>
      </c>
    </row>
    <row r="43" spans="1:9" x14ac:dyDescent="0.25">
      <c r="A43" s="10" t="s">
        <v>75</v>
      </c>
      <c r="B43" s="11" t="s">
        <v>76</v>
      </c>
      <c r="C43" s="11" t="s">
        <v>47</v>
      </c>
      <c r="D43" s="12">
        <v>41652</v>
      </c>
      <c r="E43" s="12">
        <v>41653</v>
      </c>
      <c r="F43" s="13">
        <v>526.79999999999995</v>
      </c>
      <c r="G43">
        <f t="shared" si="0"/>
        <v>2</v>
      </c>
      <c r="H43">
        <f t="shared" si="1"/>
        <v>54</v>
      </c>
      <c r="I43">
        <f t="shared" si="2"/>
        <v>580.79999999999995</v>
      </c>
    </row>
    <row r="44" spans="1:9" x14ac:dyDescent="0.25">
      <c r="A44" s="6" t="s">
        <v>31</v>
      </c>
      <c r="B44" s="7" t="s">
        <v>77</v>
      </c>
      <c r="C44" s="7" t="s">
        <v>38</v>
      </c>
      <c r="D44" s="8">
        <v>41652</v>
      </c>
      <c r="E44" s="8">
        <v>41652</v>
      </c>
      <c r="F44" s="9">
        <v>278.8</v>
      </c>
      <c r="G44">
        <f t="shared" si="0"/>
        <v>1</v>
      </c>
      <c r="H44">
        <f t="shared" si="1"/>
        <v>30</v>
      </c>
      <c r="I44">
        <f t="shared" si="2"/>
        <v>308.8</v>
      </c>
    </row>
    <row r="45" spans="1:9" x14ac:dyDescent="0.25">
      <c r="A45" s="10" t="s">
        <v>22</v>
      </c>
      <c r="B45" s="11" t="s">
        <v>23</v>
      </c>
      <c r="C45" s="11" t="s">
        <v>38</v>
      </c>
      <c r="D45" s="12">
        <v>41653</v>
      </c>
      <c r="E45" s="12">
        <v>41656</v>
      </c>
      <c r="F45" s="13">
        <v>665.8</v>
      </c>
      <c r="G45">
        <f t="shared" si="0"/>
        <v>4</v>
      </c>
      <c r="H45">
        <f t="shared" si="1"/>
        <v>102</v>
      </c>
      <c r="I45">
        <f t="shared" si="2"/>
        <v>767.8</v>
      </c>
    </row>
    <row r="46" spans="1:9" x14ac:dyDescent="0.25">
      <c r="A46" s="6" t="s">
        <v>31</v>
      </c>
      <c r="B46" s="7" t="s">
        <v>78</v>
      </c>
      <c r="C46" s="7" t="s">
        <v>27</v>
      </c>
      <c r="D46" s="8">
        <v>41653</v>
      </c>
      <c r="E46" s="8">
        <v>41655</v>
      </c>
      <c r="F46" s="9">
        <v>698</v>
      </c>
      <c r="G46">
        <f t="shared" si="0"/>
        <v>3</v>
      </c>
      <c r="H46">
        <f t="shared" si="1"/>
        <v>78</v>
      </c>
      <c r="I46">
        <f t="shared" si="2"/>
        <v>776</v>
      </c>
    </row>
    <row r="47" spans="1:9" x14ac:dyDescent="0.25">
      <c r="A47" s="10" t="s">
        <v>48</v>
      </c>
      <c r="B47" s="11" t="s">
        <v>49</v>
      </c>
      <c r="C47" s="11" t="s">
        <v>72</v>
      </c>
      <c r="D47" s="12">
        <v>41653</v>
      </c>
      <c r="E47" s="12">
        <v>41653</v>
      </c>
      <c r="F47" s="13">
        <v>494.7</v>
      </c>
      <c r="G47">
        <f t="shared" si="0"/>
        <v>1</v>
      </c>
      <c r="H47">
        <f t="shared" si="1"/>
        <v>30</v>
      </c>
      <c r="I47">
        <f t="shared" si="2"/>
        <v>524.70000000000005</v>
      </c>
    </row>
    <row r="48" spans="1:9" x14ac:dyDescent="0.25">
      <c r="A48" s="6" t="s">
        <v>79</v>
      </c>
      <c r="B48" s="7" t="s">
        <v>80</v>
      </c>
      <c r="C48" s="7" t="s">
        <v>27</v>
      </c>
      <c r="D48" s="8">
        <v>41653</v>
      </c>
      <c r="E48" s="8">
        <v>41657</v>
      </c>
      <c r="F48" s="9">
        <v>954</v>
      </c>
      <c r="G48">
        <f t="shared" si="0"/>
        <v>5</v>
      </c>
      <c r="H48">
        <f t="shared" si="1"/>
        <v>126</v>
      </c>
      <c r="I48">
        <f t="shared" si="2"/>
        <v>1080</v>
      </c>
    </row>
    <row r="49" spans="1:9" x14ac:dyDescent="0.25">
      <c r="A49" s="10" t="s">
        <v>54</v>
      </c>
      <c r="B49" s="11" t="s">
        <v>81</v>
      </c>
      <c r="C49" s="11" t="s">
        <v>8</v>
      </c>
      <c r="D49" s="12">
        <v>41653</v>
      </c>
      <c r="E49" s="12">
        <v>41653</v>
      </c>
      <c r="F49" s="13">
        <v>680</v>
      </c>
      <c r="G49">
        <f t="shared" si="0"/>
        <v>1</v>
      </c>
      <c r="H49">
        <f t="shared" si="1"/>
        <v>30</v>
      </c>
      <c r="I49">
        <f t="shared" si="2"/>
        <v>710</v>
      </c>
    </row>
    <row r="50" spans="1:9" x14ac:dyDescent="0.25">
      <c r="A50" s="6" t="s">
        <v>82</v>
      </c>
      <c r="B50" s="7" t="s">
        <v>83</v>
      </c>
      <c r="C50" s="7" t="s">
        <v>72</v>
      </c>
      <c r="D50" s="8">
        <v>41653</v>
      </c>
      <c r="E50" s="8">
        <v>41657</v>
      </c>
      <c r="F50" s="9">
        <v>1290.7</v>
      </c>
      <c r="G50">
        <f t="shared" si="0"/>
        <v>5</v>
      </c>
      <c r="H50">
        <f t="shared" si="1"/>
        <v>126</v>
      </c>
      <c r="I50">
        <f t="shared" si="2"/>
        <v>1416.7</v>
      </c>
    </row>
    <row r="51" spans="1:9" x14ac:dyDescent="0.25">
      <c r="A51" s="10" t="s">
        <v>84</v>
      </c>
      <c r="B51" s="11" t="s">
        <v>85</v>
      </c>
      <c r="C51" s="11" t="s">
        <v>24</v>
      </c>
      <c r="D51" s="12">
        <v>41653</v>
      </c>
      <c r="E51" s="12">
        <v>41655</v>
      </c>
      <c r="F51" s="13">
        <v>588.70000000000005</v>
      </c>
      <c r="G51">
        <f t="shared" si="0"/>
        <v>3</v>
      </c>
      <c r="H51">
        <f t="shared" si="1"/>
        <v>78</v>
      </c>
      <c r="I51">
        <f t="shared" si="2"/>
        <v>666.7</v>
      </c>
    </row>
    <row r="52" spans="1:9" x14ac:dyDescent="0.25">
      <c r="A52" s="6" t="s">
        <v>31</v>
      </c>
      <c r="B52" s="7" t="s">
        <v>32</v>
      </c>
      <c r="C52" s="7" t="s">
        <v>30</v>
      </c>
      <c r="D52" s="8">
        <v>41653</v>
      </c>
      <c r="E52" s="8">
        <v>41655</v>
      </c>
      <c r="F52" s="9">
        <v>450.5</v>
      </c>
      <c r="G52">
        <f t="shared" si="0"/>
        <v>3</v>
      </c>
      <c r="H52">
        <f t="shared" si="1"/>
        <v>78</v>
      </c>
      <c r="I52">
        <f t="shared" si="2"/>
        <v>528.5</v>
      </c>
    </row>
    <row r="53" spans="1:9" x14ac:dyDescent="0.25">
      <c r="A53" s="10" t="s">
        <v>6</v>
      </c>
      <c r="B53" s="11" t="s">
        <v>56</v>
      </c>
      <c r="C53" s="11" t="s">
        <v>30</v>
      </c>
      <c r="D53" s="12">
        <v>41653</v>
      </c>
      <c r="E53" s="12">
        <v>41657</v>
      </c>
      <c r="F53" s="13">
        <v>688.5</v>
      </c>
      <c r="G53">
        <f t="shared" si="0"/>
        <v>5</v>
      </c>
      <c r="H53">
        <f t="shared" si="1"/>
        <v>126</v>
      </c>
      <c r="I53">
        <f t="shared" si="2"/>
        <v>814.5</v>
      </c>
    </row>
    <row r="54" spans="1:9" x14ac:dyDescent="0.25">
      <c r="A54" s="6" t="s">
        <v>86</v>
      </c>
      <c r="B54" s="7" t="s">
        <v>87</v>
      </c>
      <c r="C54" s="7" t="s">
        <v>72</v>
      </c>
      <c r="D54" s="8">
        <v>41653</v>
      </c>
      <c r="E54" s="8">
        <v>41654</v>
      </c>
      <c r="F54" s="9">
        <v>693.7</v>
      </c>
      <c r="G54">
        <f t="shared" si="0"/>
        <v>2</v>
      </c>
      <c r="H54">
        <f t="shared" si="1"/>
        <v>54</v>
      </c>
      <c r="I54">
        <f t="shared" si="2"/>
        <v>747.7</v>
      </c>
    </row>
    <row r="55" spans="1:9" x14ac:dyDescent="0.25">
      <c r="A55" s="10" t="s">
        <v>75</v>
      </c>
      <c r="B55" s="11" t="s">
        <v>88</v>
      </c>
      <c r="C55" s="11" t="s">
        <v>30</v>
      </c>
      <c r="D55" s="12">
        <v>41653</v>
      </c>
      <c r="E55" s="12">
        <v>41653</v>
      </c>
      <c r="F55" s="13">
        <v>212.5</v>
      </c>
      <c r="G55">
        <f t="shared" si="0"/>
        <v>1</v>
      </c>
      <c r="H55">
        <f t="shared" si="1"/>
        <v>30</v>
      </c>
      <c r="I55">
        <f t="shared" si="2"/>
        <v>242.5</v>
      </c>
    </row>
    <row r="56" spans="1:9" x14ac:dyDescent="0.25">
      <c r="A56" s="6" t="s">
        <v>89</v>
      </c>
      <c r="B56" s="7" t="s">
        <v>90</v>
      </c>
      <c r="C56" s="7" t="s">
        <v>8</v>
      </c>
      <c r="D56" s="8">
        <v>41653</v>
      </c>
      <c r="E56" s="8">
        <v>41654</v>
      </c>
      <c r="F56" s="9">
        <v>891</v>
      </c>
      <c r="G56">
        <f t="shared" si="0"/>
        <v>2</v>
      </c>
      <c r="H56">
        <f t="shared" si="1"/>
        <v>54</v>
      </c>
      <c r="I56">
        <f t="shared" si="2"/>
        <v>945</v>
      </c>
    </row>
    <row r="57" spans="1:9" x14ac:dyDescent="0.25">
      <c r="A57" s="10" t="s">
        <v>39</v>
      </c>
      <c r="B57" s="11" t="s">
        <v>40</v>
      </c>
      <c r="C57" s="11" t="s">
        <v>38</v>
      </c>
      <c r="D57" s="12">
        <v>41653</v>
      </c>
      <c r="E57" s="12">
        <v>41654</v>
      </c>
      <c r="F57" s="13">
        <v>407.8</v>
      </c>
      <c r="G57">
        <f t="shared" si="0"/>
        <v>2</v>
      </c>
      <c r="H57">
        <f t="shared" si="1"/>
        <v>54</v>
      </c>
      <c r="I57">
        <f t="shared" si="2"/>
        <v>461.8</v>
      </c>
    </row>
    <row r="58" spans="1:9" x14ac:dyDescent="0.25">
      <c r="A58" s="6" t="s">
        <v>15</v>
      </c>
      <c r="B58" s="7" t="s">
        <v>63</v>
      </c>
      <c r="C58" s="7" t="s">
        <v>19</v>
      </c>
      <c r="D58" s="8">
        <v>41653</v>
      </c>
      <c r="E58" s="8">
        <v>41653</v>
      </c>
      <c r="F58" s="9">
        <v>513.4</v>
      </c>
      <c r="G58">
        <f t="shared" si="0"/>
        <v>1</v>
      </c>
      <c r="H58">
        <f t="shared" si="1"/>
        <v>30</v>
      </c>
      <c r="I58">
        <f t="shared" si="2"/>
        <v>543.4</v>
      </c>
    </row>
    <row r="59" spans="1:9" x14ac:dyDescent="0.25">
      <c r="A59" s="10" t="s">
        <v>91</v>
      </c>
      <c r="B59" s="11" t="s">
        <v>92</v>
      </c>
      <c r="C59" s="11" t="s">
        <v>59</v>
      </c>
      <c r="D59" s="12">
        <v>41653</v>
      </c>
      <c r="E59" s="12">
        <v>41655</v>
      </c>
      <c r="F59" s="13">
        <v>760</v>
      </c>
      <c r="G59">
        <f t="shared" si="0"/>
        <v>3</v>
      </c>
      <c r="H59">
        <f t="shared" si="1"/>
        <v>78</v>
      </c>
      <c r="I59">
        <f t="shared" si="2"/>
        <v>838</v>
      </c>
    </row>
    <row r="60" spans="1:9" x14ac:dyDescent="0.25">
      <c r="A60" s="6" t="s">
        <v>93</v>
      </c>
      <c r="B60" s="7" t="s">
        <v>94</v>
      </c>
      <c r="C60" s="7" t="s">
        <v>47</v>
      </c>
      <c r="D60" s="8">
        <v>41653</v>
      </c>
      <c r="E60" s="8">
        <v>41654</v>
      </c>
      <c r="F60" s="9">
        <v>526.79999999999995</v>
      </c>
      <c r="G60">
        <f t="shared" si="0"/>
        <v>2</v>
      </c>
      <c r="H60">
        <f t="shared" si="1"/>
        <v>54</v>
      </c>
      <c r="I60">
        <f t="shared" si="2"/>
        <v>580.79999999999995</v>
      </c>
    </row>
    <row r="61" spans="1:9" x14ac:dyDescent="0.25">
      <c r="A61" s="10" t="s">
        <v>12</v>
      </c>
      <c r="B61" s="11" t="s">
        <v>95</v>
      </c>
      <c r="C61" s="11" t="s">
        <v>8</v>
      </c>
      <c r="D61" s="12">
        <v>41653</v>
      </c>
      <c r="E61" s="12">
        <v>41656</v>
      </c>
      <c r="F61" s="13">
        <v>1313</v>
      </c>
      <c r="G61">
        <f t="shared" si="0"/>
        <v>4</v>
      </c>
      <c r="H61">
        <f t="shared" si="1"/>
        <v>102</v>
      </c>
      <c r="I61">
        <f t="shared" si="2"/>
        <v>1415</v>
      </c>
    </row>
    <row r="62" spans="1:9" x14ac:dyDescent="0.25">
      <c r="A62" s="6" t="s">
        <v>15</v>
      </c>
      <c r="B62" s="7" t="s">
        <v>96</v>
      </c>
      <c r="C62" s="7" t="s">
        <v>66</v>
      </c>
      <c r="D62" s="8">
        <v>41653</v>
      </c>
      <c r="E62" s="8">
        <v>41656</v>
      </c>
      <c r="F62" s="9">
        <v>841.7</v>
      </c>
      <c r="G62">
        <f t="shared" si="0"/>
        <v>4</v>
      </c>
      <c r="H62">
        <f t="shared" si="1"/>
        <v>102</v>
      </c>
      <c r="I62">
        <f t="shared" si="2"/>
        <v>943.7</v>
      </c>
    </row>
    <row r="63" spans="1:9" x14ac:dyDescent="0.25">
      <c r="A63" s="10" t="s">
        <v>64</v>
      </c>
      <c r="B63" s="11" t="s">
        <v>65</v>
      </c>
      <c r="C63" s="11" t="s">
        <v>38</v>
      </c>
      <c r="D63" s="12">
        <v>41653</v>
      </c>
      <c r="E63" s="12">
        <v>41657</v>
      </c>
      <c r="F63" s="13">
        <v>794.8</v>
      </c>
      <c r="G63">
        <f t="shared" si="0"/>
        <v>5</v>
      </c>
      <c r="H63">
        <f t="shared" si="1"/>
        <v>126</v>
      </c>
      <c r="I63">
        <f t="shared" si="2"/>
        <v>920.8</v>
      </c>
    </row>
    <row r="64" spans="1:9" x14ac:dyDescent="0.25">
      <c r="A64" s="6" t="s">
        <v>57</v>
      </c>
      <c r="B64" s="7" t="s">
        <v>58</v>
      </c>
      <c r="C64" s="7" t="s">
        <v>47</v>
      </c>
      <c r="D64" s="8">
        <v>41653</v>
      </c>
      <c r="E64" s="8">
        <v>41656</v>
      </c>
      <c r="F64" s="9">
        <v>852.8</v>
      </c>
      <c r="G64">
        <f t="shared" si="0"/>
        <v>4</v>
      </c>
      <c r="H64">
        <f t="shared" si="1"/>
        <v>102</v>
      </c>
      <c r="I64">
        <f t="shared" si="2"/>
        <v>954.8</v>
      </c>
    </row>
    <row r="65" spans="1:9" x14ac:dyDescent="0.25">
      <c r="A65" s="10" t="s">
        <v>50</v>
      </c>
      <c r="B65" s="11" t="s">
        <v>51</v>
      </c>
      <c r="C65" s="11" t="s">
        <v>59</v>
      </c>
      <c r="D65" s="12">
        <v>41654</v>
      </c>
      <c r="E65" s="12">
        <v>41656</v>
      </c>
      <c r="F65" s="13">
        <v>760</v>
      </c>
      <c r="G65">
        <f t="shared" si="0"/>
        <v>3</v>
      </c>
      <c r="H65">
        <f t="shared" si="1"/>
        <v>78</v>
      </c>
      <c r="I65">
        <f t="shared" si="2"/>
        <v>838</v>
      </c>
    </row>
    <row r="66" spans="1:9" x14ac:dyDescent="0.25">
      <c r="A66" s="6" t="s">
        <v>28</v>
      </c>
      <c r="B66" s="7" t="s">
        <v>60</v>
      </c>
      <c r="C66" s="7" t="s">
        <v>17</v>
      </c>
      <c r="D66" s="8">
        <v>41654</v>
      </c>
      <c r="E66" s="8">
        <v>41657</v>
      </c>
      <c r="F66" s="9">
        <v>1116.5</v>
      </c>
      <c r="G66">
        <f t="shared" si="0"/>
        <v>4</v>
      </c>
      <c r="H66">
        <f t="shared" si="1"/>
        <v>102</v>
      </c>
      <c r="I66">
        <f t="shared" si="2"/>
        <v>1218.5</v>
      </c>
    </row>
    <row r="67" spans="1:9" x14ac:dyDescent="0.25">
      <c r="A67" s="10" t="s">
        <v>28</v>
      </c>
      <c r="B67" s="11" t="s">
        <v>29</v>
      </c>
      <c r="C67" s="11" t="s">
        <v>11</v>
      </c>
      <c r="D67" s="12">
        <v>41654</v>
      </c>
      <c r="E67" s="12">
        <v>41657</v>
      </c>
      <c r="F67" s="13">
        <v>573.4</v>
      </c>
      <c r="G67">
        <f t="shared" ref="G67:G130" si="3">E67-D67 + 1</f>
        <v>4</v>
      </c>
      <c r="H67">
        <f t="shared" ref="H67:H130" si="4">30+(G67-1)*24</f>
        <v>102</v>
      </c>
      <c r="I67">
        <f t="shared" ref="I67:I130" si="5">H67+F67</f>
        <v>675.4</v>
      </c>
    </row>
    <row r="68" spans="1:9" x14ac:dyDescent="0.25">
      <c r="A68" s="6" t="s">
        <v>31</v>
      </c>
      <c r="B68" s="7" t="s">
        <v>32</v>
      </c>
      <c r="C68" s="7" t="s">
        <v>59</v>
      </c>
      <c r="D68" s="8">
        <v>41654</v>
      </c>
      <c r="E68" s="8">
        <v>41656</v>
      </c>
      <c r="F68" s="9">
        <v>760</v>
      </c>
      <c r="G68">
        <f t="shared" si="3"/>
        <v>3</v>
      </c>
      <c r="H68">
        <f t="shared" si="4"/>
        <v>78</v>
      </c>
      <c r="I68">
        <f t="shared" si="5"/>
        <v>838</v>
      </c>
    </row>
    <row r="69" spans="1:9" x14ac:dyDescent="0.25">
      <c r="A69" s="10" t="s">
        <v>97</v>
      </c>
      <c r="B69" s="11" t="s">
        <v>98</v>
      </c>
      <c r="C69" s="11" t="s">
        <v>8</v>
      </c>
      <c r="D69" s="12">
        <v>41654</v>
      </c>
      <c r="E69" s="12">
        <v>41656</v>
      </c>
      <c r="F69" s="13">
        <v>1102</v>
      </c>
      <c r="G69">
        <f t="shared" si="3"/>
        <v>3</v>
      </c>
      <c r="H69">
        <f t="shared" si="4"/>
        <v>78</v>
      </c>
      <c r="I69">
        <f t="shared" si="5"/>
        <v>1180</v>
      </c>
    </row>
    <row r="70" spans="1:9" x14ac:dyDescent="0.25">
      <c r="A70" s="6" t="s">
        <v>9</v>
      </c>
      <c r="B70" s="7" t="s">
        <v>69</v>
      </c>
      <c r="C70" s="7" t="s">
        <v>19</v>
      </c>
      <c r="D70" s="8">
        <v>41654</v>
      </c>
      <c r="E70" s="8">
        <v>41657</v>
      </c>
      <c r="F70" s="9">
        <v>936.4</v>
      </c>
      <c r="G70">
        <f t="shared" si="3"/>
        <v>4</v>
      </c>
      <c r="H70">
        <f t="shared" si="4"/>
        <v>102</v>
      </c>
      <c r="I70">
        <f t="shared" si="5"/>
        <v>1038.4000000000001</v>
      </c>
    </row>
    <row r="71" spans="1:9" x14ac:dyDescent="0.25">
      <c r="A71" s="10" t="s">
        <v>99</v>
      </c>
      <c r="B71" s="11" t="s">
        <v>100</v>
      </c>
      <c r="C71" s="11" t="s">
        <v>66</v>
      </c>
      <c r="D71" s="12">
        <v>41654</v>
      </c>
      <c r="E71" s="12">
        <v>41658</v>
      </c>
      <c r="F71" s="13">
        <v>1019.7</v>
      </c>
      <c r="G71">
        <f t="shared" si="3"/>
        <v>5</v>
      </c>
      <c r="H71">
        <f t="shared" si="4"/>
        <v>126</v>
      </c>
      <c r="I71">
        <f t="shared" si="5"/>
        <v>1145.7</v>
      </c>
    </row>
    <row r="72" spans="1:9" x14ac:dyDescent="0.25">
      <c r="A72" s="6" t="s">
        <v>101</v>
      </c>
      <c r="B72" s="7" t="s">
        <v>102</v>
      </c>
      <c r="C72" s="7" t="s">
        <v>72</v>
      </c>
      <c r="D72" s="8">
        <v>41654</v>
      </c>
      <c r="E72" s="8">
        <v>41657</v>
      </c>
      <c r="F72" s="9">
        <v>1091.7</v>
      </c>
      <c r="G72">
        <f t="shared" si="3"/>
        <v>4</v>
      </c>
      <c r="H72">
        <f t="shared" si="4"/>
        <v>102</v>
      </c>
      <c r="I72">
        <f t="shared" si="5"/>
        <v>1193.7</v>
      </c>
    </row>
    <row r="73" spans="1:9" x14ac:dyDescent="0.25">
      <c r="A73" s="10" t="s">
        <v>9</v>
      </c>
      <c r="B73" s="11" t="s">
        <v>103</v>
      </c>
      <c r="C73" s="11" t="s">
        <v>47</v>
      </c>
      <c r="D73" s="12">
        <v>41654</v>
      </c>
      <c r="E73" s="12">
        <v>41658</v>
      </c>
      <c r="F73" s="13">
        <v>1015.8</v>
      </c>
      <c r="G73">
        <f t="shared" si="3"/>
        <v>5</v>
      </c>
      <c r="H73">
        <f t="shared" si="4"/>
        <v>126</v>
      </c>
      <c r="I73">
        <f t="shared" si="5"/>
        <v>1141.8</v>
      </c>
    </row>
    <row r="74" spans="1:9" x14ac:dyDescent="0.25">
      <c r="A74" s="6" t="s">
        <v>73</v>
      </c>
      <c r="B74" s="7" t="s">
        <v>104</v>
      </c>
      <c r="C74" s="7" t="s">
        <v>47</v>
      </c>
      <c r="D74" s="8">
        <v>41654</v>
      </c>
      <c r="E74" s="8">
        <v>41655</v>
      </c>
      <c r="F74" s="9">
        <v>526.79999999999995</v>
      </c>
      <c r="G74">
        <f t="shared" si="3"/>
        <v>2</v>
      </c>
      <c r="H74">
        <f t="shared" si="4"/>
        <v>54</v>
      </c>
      <c r="I74">
        <f t="shared" si="5"/>
        <v>580.79999999999995</v>
      </c>
    </row>
    <row r="75" spans="1:9" x14ac:dyDescent="0.25">
      <c r="A75" s="10" t="s">
        <v>15</v>
      </c>
      <c r="B75" s="11" t="s">
        <v>105</v>
      </c>
      <c r="C75" s="11" t="s">
        <v>14</v>
      </c>
      <c r="D75" s="12">
        <v>41654</v>
      </c>
      <c r="E75" s="12">
        <v>41655</v>
      </c>
      <c r="F75" s="13">
        <v>302.5</v>
      </c>
      <c r="G75">
        <f t="shared" si="3"/>
        <v>2</v>
      </c>
      <c r="H75">
        <f t="shared" si="4"/>
        <v>54</v>
      </c>
      <c r="I75">
        <f t="shared" si="5"/>
        <v>356.5</v>
      </c>
    </row>
    <row r="76" spans="1:9" x14ac:dyDescent="0.25">
      <c r="A76" s="6" t="s">
        <v>93</v>
      </c>
      <c r="B76" s="7" t="s">
        <v>106</v>
      </c>
      <c r="C76" s="7" t="s">
        <v>47</v>
      </c>
      <c r="D76" s="8">
        <v>41654</v>
      </c>
      <c r="E76" s="8">
        <v>41654</v>
      </c>
      <c r="F76" s="9">
        <v>363.8</v>
      </c>
      <c r="G76">
        <f t="shared" si="3"/>
        <v>1</v>
      </c>
      <c r="H76">
        <f t="shared" si="4"/>
        <v>30</v>
      </c>
      <c r="I76">
        <f t="shared" si="5"/>
        <v>393.8</v>
      </c>
    </row>
    <row r="77" spans="1:9" x14ac:dyDescent="0.25">
      <c r="A77" s="10" t="s">
        <v>93</v>
      </c>
      <c r="B77" s="11" t="s">
        <v>106</v>
      </c>
      <c r="C77" s="11" t="s">
        <v>14</v>
      </c>
      <c r="D77" s="12">
        <v>41654</v>
      </c>
      <c r="E77" s="12">
        <v>41654</v>
      </c>
      <c r="F77" s="13">
        <v>178.5</v>
      </c>
      <c r="G77">
        <f t="shared" si="3"/>
        <v>1</v>
      </c>
      <c r="H77">
        <f t="shared" si="4"/>
        <v>30</v>
      </c>
      <c r="I77">
        <f t="shared" si="5"/>
        <v>208.5</v>
      </c>
    </row>
    <row r="78" spans="1:9" x14ac:dyDescent="0.25">
      <c r="A78" s="6" t="s">
        <v>42</v>
      </c>
      <c r="B78" s="7" t="s">
        <v>43</v>
      </c>
      <c r="C78" s="7" t="s">
        <v>27</v>
      </c>
      <c r="D78" s="8">
        <v>41654</v>
      </c>
      <c r="E78" s="8">
        <v>41655</v>
      </c>
      <c r="F78" s="9">
        <v>570</v>
      </c>
      <c r="G78">
        <f t="shared" si="3"/>
        <v>2</v>
      </c>
      <c r="H78">
        <f t="shared" si="4"/>
        <v>54</v>
      </c>
      <c r="I78">
        <f t="shared" si="5"/>
        <v>624</v>
      </c>
    </row>
    <row r="79" spans="1:9" x14ac:dyDescent="0.25">
      <c r="A79" s="10" t="s">
        <v>107</v>
      </c>
      <c r="B79" s="11" t="s">
        <v>108</v>
      </c>
      <c r="C79" s="11" t="s">
        <v>66</v>
      </c>
      <c r="D79" s="12">
        <v>41654</v>
      </c>
      <c r="E79" s="12">
        <v>41655</v>
      </c>
      <c r="F79" s="13">
        <v>485.7</v>
      </c>
      <c r="G79">
        <f t="shared" si="3"/>
        <v>2</v>
      </c>
      <c r="H79">
        <f t="shared" si="4"/>
        <v>54</v>
      </c>
      <c r="I79">
        <f t="shared" si="5"/>
        <v>539.70000000000005</v>
      </c>
    </row>
    <row r="80" spans="1:9" x14ac:dyDescent="0.25">
      <c r="A80" s="6" t="s">
        <v>109</v>
      </c>
      <c r="B80" s="7" t="s">
        <v>110</v>
      </c>
      <c r="C80" s="7" t="s">
        <v>14</v>
      </c>
      <c r="D80" s="8">
        <v>41654</v>
      </c>
      <c r="E80" s="8">
        <v>41655</v>
      </c>
      <c r="F80" s="9">
        <v>302.5</v>
      </c>
      <c r="G80">
        <f t="shared" si="3"/>
        <v>2</v>
      </c>
      <c r="H80">
        <f t="shared" si="4"/>
        <v>54</v>
      </c>
      <c r="I80">
        <f t="shared" si="5"/>
        <v>356.5</v>
      </c>
    </row>
    <row r="81" spans="1:9" x14ac:dyDescent="0.25">
      <c r="A81" s="10" t="s">
        <v>6</v>
      </c>
      <c r="B81" s="11" t="s">
        <v>45</v>
      </c>
      <c r="C81" s="11" t="s">
        <v>66</v>
      </c>
      <c r="D81" s="12">
        <v>41654</v>
      </c>
      <c r="E81" s="12">
        <v>41656</v>
      </c>
      <c r="F81" s="13">
        <v>663.7</v>
      </c>
      <c r="G81">
        <f t="shared" si="3"/>
        <v>3</v>
      </c>
      <c r="H81">
        <f t="shared" si="4"/>
        <v>78</v>
      </c>
      <c r="I81">
        <f t="shared" si="5"/>
        <v>741.7</v>
      </c>
    </row>
    <row r="82" spans="1:9" x14ac:dyDescent="0.25">
      <c r="A82" s="6" t="s">
        <v>111</v>
      </c>
      <c r="B82" s="7" t="s">
        <v>112</v>
      </c>
      <c r="C82" s="7" t="s">
        <v>66</v>
      </c>
      <c r="D82" s="8">
        <v>41654</v>
      </c>
      <c r="E82" s="8">
        <v>41656</v>
      </c>
      <c r="F82" s="9">
        <v>663.7</v>
      </c>
      <c r="G82">
        <f t="shared" si="3"/>
        <v>3</v>
      </c>
      <c r="H82">
        <f t="shared" si="4"/>
        <v>78</v>
      </c>
      <c r="I82">
        <f t="shared" si="5"/>
        <v>741.7</v>
      </c>
    </row>
    <row r="83" spans="1:9" x14ac:dyDescent="0.25">
      <c r="A83" s="10" t="s">
        <v>113</v>
      </c>
      <c r="B83" s="11" t="s">
        <v>114</v>
      </c>
      <c r="C83" s="11" t="s">
        <v>11</v>
      </c>
      <c r="D83" s="12">
        <v>41654</v>
      </c>
      <c r="E83" s="12">
        <v>41658</v>
      </c>
      <c r="F83" s="13">
        <v>712.4</v>
      </c>
      <c r="G83">
        <f t="shared" si="3"/>
        <v>5</v>
      </c>
      <c r="H83">
        <f t="shared" si="4"/>
        <v>126</v>
      </c>
      <c r="I83">
        <f t="shared" si="5"/>
        <v>838.4</v>
      </c>
    </row>
    <row r="84" spans="1:9" x14ac:dyDescent="0.25">
      <c r="A84" s="6" t="s">
        <v>115</v>
      </c>
      <c r="B84" s="7" t="s">
        <v>116</v>
      </c>
      <c r="C84" s="7" t="s">
        <v>14</v>
      </c>
      <c r="D84" s="8">
        <v>41654</v>
      </c>
      <c r="E84" s="8">
        <v>41655</v>
      </c>
      <c r="F84" s="9">
        <v>302.5</v>
      </c>
      <c r="G84">
        <f t="shared" si="3"/>
        <v>2</v>
      </c>
      <c r="H84">
        <f t="shared" si="4"/>
        <v>54</v>
      </c>
      <c r="I84">
        <f t="shared" si="5"/>
        <v>356.5</v>
      </c>
    </row>
    <row r="85" spans="1:9" x14ac:dyDescent="0.25">
      <c r="A85" s="10" t="s">
        <v>70</v>
      </c>
      <c r="B85" s="11" t="s">
        <v>117</v>
      </c>
      <c r="C85" s="11" t="s">
        <v>8</v>
      </c>
      <c r="D85" s="12">
        <v>41654</v>
      </c>
      <c r="E85" s="12">
        <v>41655</v>
      </c>
      <c r="F85" s="13">
        <v>891</v>
      </c>
      <c r="G85">
        <f t="shared" si="3"/>
        <v>2</v>
      </c>
      <c r="H85">
        <f t="shared" si="4"/>
        <v>54</v>
      </c>
      <c r="I85">
        <f t="shared" si="5"/>
        <v>945</v>
      </c>
    </row>
    <row r="86" spans="1:9" x14ac:dyDescent="0.25">
      <c r="A86" s="6" t="s">
        <v>54</v>
      </c>
      <c r="B86" s="7" t="s">
        <v>118</v>
      </c>
      <c r="C86" s="7" t="s">
        <v>8</v>
      </c>
      <c r="D86" s="8">
        <v>41654</v>
      </c>
      <c r="E86" s="8">
        <v>41657</v>
      </c>
      <c r="F86" s="9">
        <v>1313</v>
      </c>
      <c r="G86">
        <f t="shared" si="3"/>
        <v>4</v>
      </c>
      <c r="H86">
        <f t="shared" si="4"/>
        <v>102</v>
      </c>
      <c r="I86">
        <f t="shared" si="5"/>
        <v>1415</v>
      </c>
    </row>
    <row r="87" spans="1:9" x14ac:dyDescent="0.25">
      <c r="A87" s="10" t="s">
        <v>54</v>
      </c>
      <c r="B87" s="11" t="s">
        <v>81</v>
      </c>
      <c r="C87" s="11" t="s">
        <v>27</v>
      </c>
      <c r="D87" s="12">
        <v>41656</v>
      </c>
      <c r="E87" s="12">
        <v>41656</v>
      </c>
      <c r="F87" s="13">
        <v>442</v>
      </c>
      <c r="G87">
        <f t="shared" si="3"/>
        <v>1</v>
      </c>
      <c r="H87">
        <f t="shared" si="4"/>
        <v>30</v>
      </c>
      <c r="I87">
        <f t="shared" si="5"/>
        <v>472</v>
      </c>
    </row>
    <row r="88" spans="1:9" x14ac:dyDescent="0.25">
      <c r="A88" s="6" t="s">
        <v>119</v>
      </c>
      <c r="B88" s="7" t="s">
        <v>120</v>
      </c>
      <c r="C88" s="7" t="s">
        <v>27</v>
      </c>
      <c r="D88" s="8">
        <v>41656</v>
      </c>
      <c r="E88" s="8">
        <v>41656</v>
      </c>
      <c r="F88" s="9">
        <v>442</v>
      </c>
      <c r="G88">
        <f t="shared" si="3"/>
        <v>1</v>
      </c>
      <c r="H88">
        <f t="shared" si="4"/>
        <v>30</v>
      </c>
      <c r="I88">
        <f t="shared" si="5"/>
        <v>472</v>
      </c>
    </row>
    <row r="89" spans="1:9" x14ac:dyDescent="0.25">
      <c r="A89" s="10" t="s">
        <v>31</v>
      </c>
      <c r="B89" s="11" t="s">
        <v>77</v>
      </c>
      <c r="C89" s="11" t="s">
        <v>11</v>
      </c>
      <c r="D89" s="12">
        <v>41656</v>
      </c>
      <c r="E89" s="12">
        <v>41656</v>
      </c>
      <c r="F89" s="13">
        <v>156.4</v>
      </c>
      <c r="G89">
        <f t="shared" si="3"/>
        <v>1</v>
      </c>
      <c r="H89">
        <f t="shared" si="4"/>
        <v>30</v>
      </c>
      <c r="I89">
        <f t="shared" si="5"/>
        <v>186.4</v>
      </c>
    </row>
    <row r="90" spans="1:9" x14ac:dyDescent="0.25">
      <c r="A90" s="6" t="s">
        <v>9</v>
      </c>
      <c r="B90" s="7" t="s">
        <v>18</v>
      </c>
      <c r="C90" s="7" t="s">
        <v>11</v>
      </c>
      <c r="D90" s="8">
        <v>41656</v>
      </c>
      <c r="E90" s="8">
        <v>41656</v>
      </c>
      <c r="F90" s="9">
        <v>156.4</v>
      </c>
      <c r="G90">
        <f t="shared" si="3"/>
        <v>1</v>
      </c>
      <c r="H90">
        <f t="shared" si="4"/>
        <v>30</v>
      </c>
      <c r="I90">
        <f t="shared" si="5"/>
        <v>186.4</v>
      </c>
    </row>
    <row r="91" spans="1:9" x14ac:dyDescent="0.25">
      <c r="A91" s="10" t="s">
        <v>86</v>
      </c>
      <c r="B91" s="11" t="s">
        <v>87</v>
      </c>
      <c r="C91" s="11" t="s">
        <v>17</v>
      </c>
      <c r="D91" s="12">
        <v>41657</v>
      </c>
      <c r="E91" s="12">
        <v>41657</v>
      </c>
      <c r="F91" s="13">
        <v>501.5</v>
      </c>
      <c r="G91">
        <f t="shared" si="3"/>
        <v>1</v>
      </c>
      <c r="H91">
        <f t="shared" si="4"/>
        <v>30</v>
      </c>
      <c r="I91">
        <f t="shared" si="5"/>
        <v>531.5</v>
      </c>
    </row>
    <row r="92" spans="1:9" x14ac:dyDescent="0.25">
      <c r="A92" s="6" t="s">
        <v>75</v>
      </c>
      <c r="B92" s="7" t="s">
        <v>88</v>
      </c>
      <c r="C92" s="7" t="s">
        <v>14</v>
      </c>
      <c r="D92" s="8">
        <v>41657</v>
      </c>
      <c r="E92" s="8">
        <v>41658</v>
      </c>
      <c r="F92" s="9">
        <v>302.5</v>
      </c>
      <c r="G92">
        <f t="shared" si="3"/>
        <v>2</v>
      </c>
      <c r="H92">
        <f t="shared" si="4"/>
        <v>54</v>
      </c>
      <c r="I92">
        <f t="shared" si="5"/>
        <v>356.5</v>
      </c>
    </row>
    <row r="93" spans="1:9" x14ac:dyDescent="0.25">
      <c r="A93" s="10" t="s">
        <v>93</v>
      </c>
      <c r="B93" s="11" t="s">
        <v>94</v>
      </c>
      <c r="C93" s="11" t="s">
        <v>8</v>
      </c>
      <c r="D93" s="12">
        <v>41657</v>
      </c>
      <c r="E93" s="12">
        <v>41657</v>
      </c>
      <c r="F93" s="13">
        <v>680</v>
      </c>
      <c r="G93">
        <f t="shared" si="3"/>
        <v>1</v>
      </c>
      <c r="H93">
        <f t="shared" si="4"/>
        <v>30</v>
      </c>
      <c r="I93">
        <f t="shared" si="5"/>
        <v>710</v>
      </c>
    </row>
    <row r="94" spans="1:9" x14ac:dyDescent="0.25">
      <c r="A94" s="6" t="s">
        <v>48</v>
      </c>
      <c r="B94" s="7" t="s">
        <v>49</v>
      </c>
      <c r="C94" s="7" t="s">
        <v>19</v>
      </c>
      <c r="D94" s="8">
        <v>41658</v>
      </c>
      <c r="E94" s="8">
        <v>41658</v>
      </c>
      <c r="F94" s="9">
        <v>513.4</v>
      </c>
      <c r="G94">
        <f t="shared" si="3"/>
        <v>1</v>
      </c>
      <c r="H94">
        <f t="shared" si="4"/>
        <v>30</v>
      </c>
      <c r="I94">
        <f t="shared" si="5"/>
        <v>543.4</v>
      </c>
    </row>
    <row r="95" spans="1:9" x14ac:dyDescent="0.25">
      <c r="A95" s="10" t="s">
        <v>111</v>
      </c>
      <c r="B95" s="11" t="s">
        <v>112</v>
      </c>
      <c r="C95" s="11" t="s">
        <v>17</v>
      </c>
      <c r="D95" s="12">
        <v>41658</v>
      </c>
      <c r="E95" s="12">
        <v>41658</v>
      </c>
      <c r="F95" s="13">
        <v>501.5</v>
      </c>
      <c r="G95">
        <f t="shared" si="3"/>
        <v>1</v>
      </c>
      <c r="H95">
        <f t="shared" si="4"/>
        <v>30</v>
      </c>
      <c r="I95">
        <f t="shared" si="5"/>
        <v>531.5</v>
      </c>
    </row>
    <row r="96" spans="1:9" x14ac:dyDescent="0.25">
      <c r="A96" s="6" t="s">
        <v>6</v>
      </c>
      <c r="B96" s="7" t="s">
        <v>56</v>
      </c>
      <c r="C96" s="7" t="s">
        <v>72</v>
      </c>
      <c r="D96" s="8">
        <v>41660</v>
      </c>
      <c r="E96" s="8">
        <v>41662</v>
      </c>
      <c r="F96" s="9">
        <v>892.7</v>
      </c>
      <c r="G96">
        <f t="shared" si="3"/>
        <v>3</v>
      </c>
      <c r="H96">
        <f t="shared" si="4"/>
        <v>78</v>
      </c>
      <c r="I96">
        <f t="shared" si="5"/>
        <v>970.7</v>
      </c>
    </row>
    <row r="97" spans="1:9" x14ac:dyDescent="0.25">
      <c r="A97" s="10" t="s">
        <v>99</v>
      </c>
      <c r="B97" s="11" t="s">
        <v>100</v>
      </c>
      <c r="C97" s="11" t="s">
        <v>27</v>
      </c>
      <c r="D97" s="12">
        <v>41660</v>
      </c>
      <c r="E97" s="12">
        <v>41663</v>
      </c>
      <c r="F97" s="13">
        <v>826</v>
      </c>
      <c r="G97">
        <f t="shared" si="3"/>
        <v>4</v>
      </c>
      <c r="H97">
        <f t="shared" si="4"/>
        <v>102</v>
      </c>
      <c r="I97">
        <f t="shared" si="5"/>
        <v>928</v>
      </c>
    </row>
    <row r="98" spans="1:9" x14ac:dyDescent="0.25">
      <c r="A98" s="6" t="s">
        <v>86</v>
      </c>
      <c r="B98" s="7" t="s">
        <v>87</v>
      </c>
      <c r="C98" s="7" t="s">
        <v>72</v>
      </c>
      <c r="D98" s="8">
        <v>41660</v>
      </c>
      <c r="E98" s="8">
        <v>41662</v>
      </c>
      <c r="F98" s="9">
        <v>892.7</v>
      </c>
      <c r="G98">
        <f t="shared" si="3"/>
        <v>3</v>
      </c>
      <c r="H98">
        <f t="shared" si="4"/>
        <v>78</v>
      </c>
      <c r="I98">
        <f t="shared" si="5"/>
        <v>970.7</v>
      </c>
    </row>
    <row r="99" spans="1:9" x14ac:dyDescent="0.25">
      <c r="A99" s="10" t="s">
        <v>54</v>
      </c>
      <c r="B99" s="11" t="s">
        <v>121</v>
      </c>
      <c r="C99" s="11" t="s">
        <v>19</v>
      </c>
      <c r="D99" s="12">
        <v>41660</v>
      </c>
      <c r="E99" s="12">
        <v>41662</v>
      </c>
      <c r="F99" s="13">
        <v>795.4</v>
      </c>
      <c r="G99">
        <f t="shared" si="3"/>
        <v>3</v>
      </c>
      <c r="H99">
        <f t="shared" si="4"/>
        <v>78</v>
      </c>
      <c r="I99">
        <f t="shared" si="5"/>
        <v>873.4</v>
      </c>
    </row>
    <row r="100" spans="1:9" x14ac:dyDescent="0.25">
      <c r="A100" s="6" t="s">
        <v>75</v>
      </c>
      <c r="B100" s="7" t="s">
        <v>76</v>
      </c>
      <c r="C100" s="7" t="s">
        <v>8</v>
      </c>
      <c r="D100" s="8">
        <v>41660</v>
      </c>
      <c r="E100" s="8">
        <v>41664</v>
      </c>
      <c r="F100" s="9">
        <v>1524</v>
      </c>
      <c r="G100">
        <f t="shared" si="3"/>
        <v>5</v>
      </c>
      <c r="H100">
        <f t="shared" si="4"/>
        <v>126</v>
      </c>
      <c r="I100">
        <f t="shared" si="5"/>
        <v>1650</v>
      </c>
    </row>
    <row r="101" spans="1:9" x14ac:dyDescent="0.25">
      <c r="A101" s="10" t="s">
        <v>31</v>
      </c>
      <c r="B101" s="11" t="s">
        <v>77</v>
      </c>
      <c r="C101" s="11" t="s">
        <v>47</v>
      </c>
      <c r="D101" s="12">
        <v>41660</v>
      </c>
      <c r="E101" s="12">
        <v>41663</v>
      </c>
      <c r="F101" s="13">
        <v>852.8</v>
      </c>
      <c r="G101">
        <f t="shared" si="3"/>
        <v>4</v>
      </c>
      <c r="H101">
        <f t="shared" si="4"/>
        <v>102</v>
      </c>
      <c r="I101">
        <f t="shared" si="5"/>
        <v>954.8</v>
      </c>
    </row>
    <row r="102" spans="1:9" x14ac:dyDescent="0.25">
      <c r="A102" s="6" t="s">
        <v>122</v>
      </c>
      <c r="B102" s="7" t="s">
        <v>123</v>
      </c>
      <c r="C102" s="7" t="s">
        <v>17</v>
      </c>
      <c r="D102" s="8">
        <v>41661</v>
      </c>
      <c r="E102" s="8">
        <v>41661</v>
      </c>
      <c r="F102" s="9">
        <v>501.5</v>
      </c>
      <c r="G102">
        <f t="shared" si="3"/>
        <v>1</v>
      </c>
      <c r="H102">
        <f t="shared" si="4"/>
        <v>30</v>
      </c>
      <c r="I102">
        <f t="shared" si="5"/>
        <v>531.5</v>
      </c>
    </row>
    <row r="103" spans="1:9" x14ac:dyDescent="0.25">
      <c r="A103" s="10" t="s">
        <v>93</v>
      </c>
      <c r="B103" s="11" t="s">
        <v>124</v>
      </c>
      <c r="C103" s="11" t="s">
        <v>59</v>
      </c>
      <c r="D103" s="12">
        <v>41661</v>
      </c>
      <c r="E103" s="12">
        <v>41661</v>
      </c>
      <c r="F103" s="13">
        <v>442</v>
      </c>
      <c r="G103">
        <f t="shared" si="3"/>
        <v>1</v>
      </c>
      <c r="H103">
        <f t="shared" si="4"/>
        <v>30</v>
      </c>
      <c r="I103">
        <f t="shared" si="5"/>
        <v>472</v>
      </c>
    </row>
    <row r="104" spans="1:9" x14ac:dyDescent="0.25">
      <c r="A104" s="6" t="s">
        <v>82</v>
      </c>
      <c r="B104" s="7" t="s">
        <v>125</v>
      </c>
      <c r="C104" s="7" t="s">
        <v>8</v>
      </c>
      <c r="D104" s="8">
        <v>41661</v>
      </c>
      <c r="E104" s="8">
        <v>41663</v>
      </c>
      <c r="F104" s="9">
        <v>1102</v>
      </c>
      <c r="G104">
        <f t="shared" si="3"/>
        <v>3</v>
      </c>
      <c r="H104">
        <f t="shared" si="4"/>
        <v>78</v>
      </c>
      <c r="I104">
        <f t="shared" si="5"/>
        <v>1180</v>
      </c>
    </row>
    <row r="105" spans="1:9" x14ac:dyDescent="0.25">
      <c r="A105" s="10" t="s">
        <v>126</v>
      </c>
      <c r="B105" s="11" t="s">
        <v>127</v>
      </c>
      <c r="C105" s="11" t="s">
        <v>14</v>
      </c>
      <c r="D105" s="12">
        <v>41661</v>
      </c>
      <c r="E105" s="12">
        <v>41663</v>
      </c>
      <c r="F105" s="13">
        <v>426.5</v>
      </c>
      <c r="G105">
        <f t="shared" si="3"/>
        <v>3</v>
      </c>
      <c r="H105">
        <f t="shared" si="4"/>
        <v>78</v>
      </c>
      <c r="I105">
        <f t="shared" si="5"/>
        <v>504.5</v>
      </c>
    </row>
    <row r="106" spans="1:9" x14ac:dyDescent="0.25">
      <c r="A106" s="6" t="s">
        <v>128</v>
      </c>
      <c r="B106" s="7" t="s">
        <v>129</v>
      </c>
      <c r="C106" s="7" t="s">
        <v>19</v>
      </c>
      <c r="D106" s="8">
        <v>41662</v>
      </c>
      <c r="E106" s="8">
        <v>41663</v>
      </c>
      <c r="F106" s="9">
        <v>654.4</v>
      </c>
      <c r="G106">
        <f t="shared" si="3"/>
        <v>2</v>
      </c>
      <c r="H106">
        <f t="shared" si="4"/>
        <v>54</v>
      </c>
      <c r="I106">
        <f t="shared" si="5"/>
        <v>708.4</v>
      </c>
    </row>
    <row r="107" spans="1:9" x14ac:dyDescent="0.25">
      <c r="A107" s="10" t="s">
        <v>25</v>
      </c>
      <c r="B107" s="11" t="s">
        <v>26</v>
      </c>
      <c r="C107" s="11" t="s">
        <v>11</v>
      </c>
      <c r="D107" s="12">
        <v>41662</v>
      </c>
      <c r="E107" s="12">
        <v>41663</v>
      </c>
      <c r="F107" s="13">
        <v>295.39999999999998</v>
      </c>
      <c r="G107">
        <f t="shared" si="3"/>
        <v>2</v>
      </c>
      <c r="H107">
        <f t="shared" si="4"/>
        <v>54</v>
      </c>
      <c r="I107">
        <f t="shared" si="5"/>
        <v>349.4</v>
      </c>
    </row>
    <row r="108" spans="1:9" x14ac:dyDescent="0.25">
      <c r="A108" s="6" t="s">
        <v>25</v>
      </c>
      <c r="B108" s="7" t="s">
        <v>68</v>
      </c>
      <c r="C108" s="7" t="s">
        <v>66</v>
      </c>
      <c r="D108" s="8">
        <v>41662</v>
      </c>
      <c r="E108" s="8">
        <v>41663</v>
      </c>
      <c r="F108" s="9">
        <v>485.7</v>
      </c>
      <c r="G108">
        <f t="shared" si="3"/>
        <v>2</v>
      </c>
      <c r="H108">
        <f t="shared" si="4"/>
        <v>54</v>
      </c>
      <c r="I108">
        <f t="shared" si="5"/>
        <v>539.70000000000005</v>
      </c>
    </row>
    <row r="109" spans="1:9" x14ac:dyDescent="0.25">
      <c r="A109" s="10" t="s">
        <v>99</v>
      </c>
      <c r="B109" s="11" t="s">
        <v>130</v>
      </c>
      <c r="C109" s="11" t="s">
        <v>72</v>
      </c>
      <c r="D109" s="12">
        <v>41663</v>
      </c>
      <c r="E109" s="12">
        <v>41663</v>
      </c>
      <c r="F109" s="13">
        <v>494.7</v>
      </c>
      <c r="G109">
        <f t="shared" si="3"/>
        <v>1</v>
      </c>
      <c r="H109">
        <f t="shared" si="4"/>
        <v>30</v>
      </c>
      <c r="I109">
        <f t="shared" si="5"/>
        <v>524.70000000000005</v>
      </c>
    </row>
    <row r="110" spans="1:9" x14ac:dyDescent="0.25">
      <c r="A110" s="6" t="s">
        <v>131</v>
      </c>
      <c r="B110" s="7" t="s">
        <v>132</v>
      </c>
      <c r="C110" s="7" t="s">
        <v>38</v>
      </c>
      <c r="D110" s="8">
        <v>41663</v>
      </c>
      <c r="E110" s="8">
        <v>41663</v>
      </c>
      <c r="F110" s="9">
        <v>278.8</v>
      </c>
      <c r="G110">
        <f t="shared" si="3"/>
        <v>1</v>
      </c>
      <c r="H110">
        <f t="shared" si="4"/>
        <v>30</v>
      </c>
      <c r="I110">
        <f t="shared" si="5"/>
        <v>308.8</v>
      </c>
    </row>
    <row r="111" spans="1:9" x14ac:dyDescent="0.25">
      <c r="A111" s="10" t="s">
        <v>93</v>
      </c>
      <c r="B111" s="11" t="s">
        <v>94</v>
      </c>
      <c r="C111" s="11" t="s">
        <v>47</v>
      </c>
      <c r="D111" s="12">
        <v>41664</v>
      </c>
      <c r="E111" s="12">
        <v>41664</v>
      </c>
      <c r="F111" s="13">
        <v>363.8</v>
      </c>
      <c r="G111">
        <f t="shared" si="3"/>
        <v>1</v>
      </c>
      <c r="H111">
        <f t="shared" si="4"/>
        <v>30</v>
      </c>
      <c r="I111">
        <f t="shared" si="5"/>
        <v>393.8</v>
      </c>
    </row>
    <row r="112" spans="1:9" x14ac:dyDescent="0.25">
      <c r="A112" s="6" t="s">
        <v>6</v>
      </c>
      <c r="B112" s="7" t="s">
        <v>7</v>
      </c>
      <c r="C112" s="7" t="s">
        <v>66</v>
      </c>
      <c r="D112" s="8">
        <v>41665</v>
      </c>
      <c r="E112" s="8">
        <v>41669</v>
      </c>
      <c r="F112" s="9">
        <v>1019.7</v>
      </c>
      <c r="G112">
        <f t="shared" si="3"/>
        <v>5</v>
      </c>
      <c r="H112">
        <f t="shared" si="4"/>
        <v>126</v>
      </c>
      <c r="I112">
        <f t="shared" si="5"/>
        <v>1145.7</v>
      </c>
    </row>
    <row r="113" spans="1:9" x14ac:dyDescent="0.25">
      <c r="A113" s="10" t="s">
        <v>79</v>
      </c>
      <c r="B113" s="11" t="s">
        <v>80</v>
      </c>
      <c r="C113" s="11" t="s">
        <v>19</v>
      </c>
      <c r="D113" s="12">
        <v>41665</v>
      </c>
      <c r="E113" s="12">
        <v>41669</v>
      </c>
      <c r="F113" s="13">
        <v>1077.4000000000001</v>
      </c>
      <c r="G113">
        <f t="shared" si="3"/>
        <v>5</v>
      </c>
      <c r="H113">
        <f t="shared" si="4"/>
        <v>126</v>
      </c>
      <c r="I113">
        <f t="shared" si="5"/>
        <v>1203.4000000000001</v>
      </c>
    </row>
    <row r="114" spans="1:9" x14ac:dyDescent="0.25">
      <c r="A114" s="6" t="s">
        <v>54</v>
      </c>
      <c r="B114" s="7" t="s">
        <v>133</v>
      </c>
      <c r="C114" s="7" t="s">
        <v>17</v>
      </c>
      <c r="D114" s="8">
        <v>41665</v>
      </c>
      <c r="E114" s="8">
        <v>41667</v>
      </c>
      <c r="F114" s="9">
        <v>911.5</v>
      </c>
      <c r="G114">
        <f t="shared" si="3"/>
        <v>3</v>
      </c>
      <c r="H114">
        <f t="shared" si="4"/>
        <v>78</v>
      </c>
      <c r="I114">
        <f t="shared" si="5"/>
        <v>989.5</v>
      </c>
    </row>
    <row r="115" spans="1:9" x14ac:dyDescent="0.25">
      <c r="A115" s="10" t="s">
        <v>134</v>
      </c>
      <c r="B115" s="11" t="s">
        <v>135</v>
      </c>
      <c r="C115" s="11" t="s">
        <v>47</v>
      </c>
      <c r="D115" s="12">
        <v>41665</v>
      </c>
      <c r="E115" s="12">
        <v>41667</v>
      </c>
      <c r="F115" s="13">
        <v>689.8</v>
      </c>
      <c r="G115">
        <f t="shared" si="3"/>
        <v>3</v>
      </c>
      <c r="H115">
        <f t="shared" si="4"/>
        <v>78</v>
      </c>
      <c r="I115">
        <f t="shared" si="5"/>
        <v>767.8</v>
      </c>
    </row>
    <row r="116" spans="1:9" x14ac:dyDescent="0.25">
      <c r="A116" s="6" t="s">
        <v>93</v>
      </c>
      <c r="B116" s="7" t="s">
        <v>106</v>
      </c>
      <c r="C116" s="7" t="s">
        <v>17</v>
      </c>
      <c r="D116" s="8">
        <v>41665</v>
      </c>
      <c r="E116" s="8">
        <v>41669</v>
      </c>
      <c r="F116" s="9">
        <v>1321.5</v>
      </c>
      <c r="G116">
        <f t="shared" si="3"/>
        <v>5</v>
      </c>
      <c r="H116">
        <f t="shared" si="4"/>
        <v>126</v>
      </c>
      <c r="I116">
        <f t="shared" si="5"/>
        <v>1447.5</v>
      </c>
    </row>
    <row r="117" spans="1:9" x14ac:dyDescent="0.25">
      <c r="A117" s="10" t="s">
        <v>52</v>
      </c>
      <c r="B117" s="11" t="s">
        <v>53</v>
      </c>
      <c r="C117" s="11" t="s">
        <v>59</v>
      </c>
      <c r="D117" s="12">
        <v>41665</v>
      </c>
      <c r="E117" s="12">
        <v>41669</v>
      </c>
      <c r="F117" s="13">
        <v>1078</v>
      </c>
      <c r="G117">
        <f t="shared" si="3"/>
        <v>5</v>
      </c>
      <c r="H117">
        <f t="shared" si="4"/>
        <v>126</v>
      </c>
      <c r="I117">
        <f t="shared" si="5"/>
        <v>1204</v>
      </c>
    </row>
    <row r="118" spans="1:9" x14ac:dyDescent="0.25">
      <c r="A118" s="6" t="s">
        <v>119</v>
      </c>
      <c r="B118" s="7" t="s">
        <v>120</v>
      </c>
      <c r="C118" s="7" t="s">
        <v>24</v>
      </c>
      <c r="D118" s="8">
        <v>41665</v>
      </c>
      <c r="E118" s="8">
        <v>41668</v>
      </c>
      <c r="F118" s="9">
        <v>737.7</v>
      </c>
      <c r="G118">
        <f t="shared" si="3"/>
        <v>4</v>
      </c>
      <c r="H118">
        <f t="shared" si="4"/>
        <v>102</v>
      </c>
      <c r="I118">
        <f t="shared" si="5"/>
        <v>839.7</v>
      </c>
    </row>
    <row r="119" spans="1:9" x14ac:dyDescent="0.25">
      <c r="A119" s="10" t="s">
        <v>89</v>
      </c>
      <c r="B119" s="11" t="s">
        <v>90</v>
      </c>
      <c r="C119" s="11" t="s">
        <v>72</v>
      </c>
      <c r="D119" s="12">
        <v>41665</v>
      </c>
      <c r="E119" s="12">
        <v>41666</v>
      </c>
      <c r="F119" s="13">
        <v>693.7</v>
      </c>
      <c r="G119">
        <f t="shared" si="3"/>
        <v>2</v>
      </c>
      <c r="H119">
        <f t="shared" si="4"/>
        <v>54</v>
      </c>
      <c r="I119">
        <f t="shared" si="5"/>
        <v>747.7</v>
      </c>
    </row>
    <row r="120" spans="1:9" x14ac:dyDescent="0.25">
      <c r="A120" s="6" t="s">
        <v>12</v>
      </c>
      <c r="B120" s="7" t="s">
        <v>95</v>
      </c>
      <c r="C120" s="7" t="s">
        <v>11</v>
      </c>
      <c r="D120" s="8">
        <v>41665</v>
      </c>
      <c r="E120" s="8">
        <v>41667</v>
      </c>
      <c r="F120" s="9">
        <v>434.4</v>
      </c>
      <c r="G120">
        <f t="shared" si="3"/>
        <v>3</v>
      </c>
      <c r="H120">
        <f t="shared" si="4"/>
        <v>78</v>
      </c>
      <c r="I120">
        <f t="shared" si="5"/>
        <v>512.4</v>
      </c>
    </row>
    <row r="121" spans="1:9" x14ac:dyDescent="0.25">
      <c r="A121" s="10" t="s">
        <v>15</v>
      </c>
      <c r="B121" s="11" t="s">
        <v>96</v>
      </c>
      <c r="C121" s="11" t="s">
        <v>11</v>
      </c>
      <c r="D121" s="12">
        <v>41665</v>
      </c>
      <c r="E121" s="12">
        <v>41668</v>
      </c>
      <c r="F121" s="13">
        <v>573.4</v>
      </c>
      <c r="G121">
        <f t="shared" si="3"/>
        <v>4</v>
      </c>
      <c r="H121">
        <f t="shared" si="4"/>
        <v>102</v>
      </c>
      <c r="I121">
        <f t="shared" si="5"/>
        <v>675.4</v>
      </c>
    </row>
    <row r="122" spans="1:9" x14ac:dyDescent="0.25">
      <c r="A122" s="6" t="s">
        <v>86</v>
      </c>
      <c r="B122" s="7" t="s">
        <v>136</v>
      </c>
      <c r="C122" s="7" t="s">
        <v>27</v>
      </c>
      <c r="D122" s="8">
        <v>41665</v>
      </c>
      <c r="E122" s="8">
        <v>41669</v>
      </c>
      <c r="F122" s="9">
        <v>954</v>
      </c>
      <c r="G122">
        <f t="shared" si="3"/>
        <v>5</v>
      </c>
      <c r="H122">
        <f t="shared" si="4"/>
        <v>126</v>
      </c>
      <c r="I122">
        <f t="shared" si="5"/>
        <v>1080</v>
      </c>
    </row>
    <row r="123" spans="1:9" x14ac:dyDescent="0.25">
      <c r="A123" s="10" t="s">
        <v>20</v>
      </c>
      <c r="B123" s="11" t="s">
        <v>21</v>
      </c>
      <c r="C123" s="11" t="s">
        <v>38</v>
      </c>
      <c r="D123" s="12">
        <v>41665</v>
      </c>
      <c r="E123" s="12">
        <v>41666</v>
      </c>
      <c r="F123" s="13">
        <v>407.8</v>
      </c>
      <c r="G123">
        <f t="shared" si="3"/>
        <v>2</v>
      </c>
      <c r="H123">
        <f t="shared" si="4"/>
        <v>54</v>
      </c>
      <c r="I123">
        <f t="shared" si="5"/>
        <v>461.8</v>
      </c>
    </row>
    <row r="124" spans="1:9" x14ac:dyDescent="0.25">
      <c r="A124" s="6" t="s">
        <v>54</v>
      </c>
      <c r="B124" s="7" t="s">
        <v>81</v>
      </c>
      <c r="C124" s="7" t="s">
        <v>17</v>
      </c>
      <c r="D124" s="8">
        <v>41666</v>
      </c>
      <c r="E124" s="8">
        <v>41666</v>
      </c>
      <c r="F124" s="9">
        <v>501.5</v>
      </c>
      <c r="G124">
        <f t="shared" si="3"/>
        <v>1</v>
      </c>
      <c r="H124">
        <f t="shared" si="4"/>
        <v>30</v>
      </c>
      <c r="I124">
        <f t="shared" si="5"/>
        <v>531.5</v>
      </c>
    </row>
    <row r="125" spans="1:9" x14ac:dyDescent="0.25">
      <c r="A125" s="10" t="s">
        <v>31</v>
      </c>
      <c r="B125" s="11" t="s">
        <v>77</v>
      </c>
      <c r="C125" s="11" t="s">
        <v>72</v>
      </c>
      <c r="D125" s="12">
        <v>41666</v>
      </c>
      <c r="E125" s="12">
        <v>41668</v>
      </c>
      <c r="F125" s="13">
        <v>892.7</v>
      </c>
      <c r="G125">
        <f t="shared" si="3"/>
        <v>3</v>
      </c>
      <c r="H125">
        <f t="shared" si="4"/>
        <v>78</v>
      </c>
      <c r="I125">
        <f t="shared" si="5"/>
        <v>970.7</v>
      </c>
    </row>
    <row r="126" spans="1:9" x14ac:dyDescent="0.25">
      <c r="A126" s="6" t="s">
        <v>93</v>
      </c>
      <c r="B126" s="7" t="s">
        <v>94</v>
      </c>
      <c r="C126" s="7" t="s">
        <v>8</v>
      </c>
      <c r="D126" s="8">
        <v>41666</v>
      </c>
      <c r="E126" s="8">
        <v>41666</v>
      </c>
      <c r="F126" s="9">
        <v>680</v>
      </c>
      <c r="G126">
        <f t="shared" si="3"/>
        <v>1</v>
      </c>
      <c r="H126">
        <f t="shared" si="4"/>
        <v>30</v>
      </c>
      <c r="I126">
        <f t="shared" si="5"/>
        <v>710</v>
      </c>
    </row>
    <row r="127" spans="1:9" x14ac:dyDescent="0.25">
      <c r="A127" s="10" t="s">
        <v>137</v>
      </c>
      <c r="B127" s="11" t="s">
        <v>138</v>
      </c>
      <c r="C127" s="11" t="s">
        <v>19</v>
      </c>
      <c r="D127" s="12">
        <v>41666</v>
      </c>
      <c r="E127" s="12">
        <v>41668</v>
      </c>
      <c r="F127" s="13">
        <v>795.4</v>
      </c>
      <c r="G127">
        <f t="shared" si="3"/>
        <v>3</v>
      </c>
      <c r="H127">
        <f t="shared" si="4"/>
        <v>78</v>
      </c>
      <c r="I127">
        <f t="shared" si="5"/>
        <v>873.4</v>
      </c>
    </row>
    <row r="128" spans="1:9" x14ac:dyDescent="0.25">
      <c r="A128" s="6" t="s">
        <v>131</v>
      </c>
      <c r="B128" s="7" t="s">
        <v>132</v>
      </c>
      <c r="C128" s="7" t="s">
        <v>19</v>
      </c>
      <c r="D128" s="8">
        <v>41666</v>
      </c>
      <c r="E128" s="8">
        <v>41668</v>
      </c>
      <c r="F128" s="9">
        <v>795.4</v>
      </c>
      <c r="G128">
        <f t="shared" si="3"/>
        <v>3</v>
      </c>
      <c r="H128">
        <f t="shared" si="4"/>
        <v>78</v>
      </c>
      <c r="I128">
        <f t="shared" si="5"/>
        <v>873.4</v>
      </c>
    </row>
    <row r="129" spans="1:9" x14ac:dyDescent="0.25">
      <c r="A129" s="10" t="s">
        <v>99</v>
      </c>
      <c r="B129" s="11" t="s">
        <v>130</v>
      </c>
      <c r="C129" s="11" t="s">
        <v>47</v>
      </c>
      <c r="D129" s="12">
        <v>41667</v>
      </c>
      <c r="E129" s="12">
        <v>41667</v>
      </c>
      <c r="F129" s="13">
        <v>363.8</v>
      </c>
      <c r="G129">
        <f t="shared" si="3"/>
        <v>1</v>
      </c>
      <c r="H129">
        <f t="shared" si="4"/>
        <v>30</v>
      </c>
      <c r="I129">
        <f t="shared" si="5"/>
        <v>393.8</v>
      </c>
    </row>
    <row r="130" spans="1:9" x14ac:dyDescent="0.25">
      <c r="A130" s="6" t="s">
        <v>91</v>
      </c>
      <c r="B130" s="7" t="s">
        <v>92</v>
      </c>
      <c r="C130" s="7" t="s">
        <v>17</v>
      </c>
      <c r="D130" s="8">
        <v>41667</v>
      </c>
      <c r="E130" s="8">
        <v>41669</v>
      </c>
      <c r="F130" s="9">
        <v>911.5</v>
      </c>
      <c r="G130">
        <f t="shared" si="3"/>
        <v>3</v>
      </c>
      <c r="H130">
        <f t="shared" si="4"/>
        <v>78</v>
      </c>
      <c r="I130">
        <f t="shared" si="5"/>
        <v>989.5</v>
      </c>
    </row>
    <row r="131" spans="1:9" x14ac:dyDescent="0.25">
      <c r="A131" s="10" t="s">
        <v>57</v>
      </c>
      <c r="B131" s="11" t="s">
        <v>58</v>
      </c>
      <c r="C131" s="11" t="s">
        <v>38</v>
      </c>
      <c r="D131" s="12">
        <v>41667</v>
      </c>
      <c r="E131" s="12">
        <v>41669</v>
      </c>
      <c r="F131" s="13">
        <v>536.79999999999995</v>
      </c>
      <c r="G131">
        <f t="shared" ref="G131:G194" si="6">E131-D131 + 1</f>
        <v>3</v>
      </c>
      <c r="H131">
        <f t="shared" ref="H131:H194" si="7">30+(G131-1)*24</f>
        <v>78</v>
      </c>
      <c r="I131">
        <f t="shared" ref="I131:I194" si="8">H131+F131</f>
        <v>614.79999999999995</v>
      </c>
    </row>
    <row r="132" spans="1:9" x14ac:dyDescent="0.25">
      <c r="A132" s="6" t="s">
        <v>6</v>
      </c>
      <c r="B132" s="7" t="s">
        <v>7</v>
      </c>
      <c r="C132" s="7" t="s">
        <v>59</v>
      </c>
      <c r="D132" s="8">
        <v>41672</v>
      </c>
      <c r="E132" s="8">
        <v>41674</v>
      </c>
      <c r="F132" s="9">
        <v>760</v>
      </c>
      <c r="G132">
        <f t="shared" si="6"/>
        <v>3</v>
      </c>
      <c r="H132">
        <f t="shared" si="7"/>
        <v>78</v>
      </c>
      <c r="I132">
        <f t="shared" si="8"/>
        <v>838</v>
      </c>
    </row>
    <row r="133" spans="1:9" x14ac:dyDescent="0.25">
      <c r="A133" s="10" t="s">
        <v>6</v>
      </c>
      <c r="B133" s="11" t="s">
        <v>139</v>
      </c>
      <c r="C133" s="11" t="s">
        <v>17</v>
      </c>
      <c r="D133" s="12">
        <v>41672</v>
      </c>
      <c r="E133" s="12">
        <v>41673</v>
      </c>
      <c r="F133" s="13">
        <v>706.5</v>
      </c>
      <c r="G133">
        <f t="shared" si="6"/>
        <v>2</v>
      </c>
      <c r="H133">
        <f t="shared" si="7"/>
        <v>54</v>
      </c>
      <c r="I133">
        <f t="shared" si="8"/>
        <v>760.5</v>
      </c>
    </row>
    <row r="134" spans="1:9" x14ac:dyDescent="0.25">
      <c r="A134" s="6" t="s">
        <v>93</v>
      </c>
      <c r="B134" s="7" t="s">
        <v>124</v>
      </c>
      <c r="C134" s="7" t="s">
        <v>72</v>
      </c>
      <c r="D134" s="8">
        <v>41672</v>
      </c>
      <c r="E134" s="8">
        <v>41675</v>
      </c>
      <c r="F134" s="9">
        <v>1091.7</v>
      </c>
      <c r="G134">
        <f t="shared" si="6"/>
        <v>4</v>
      </c>
      <c r="H134">
        <f t="shared" si="7"/>
        <v>102</v>
      </c>
      <c r="I134">
        <f t="shared" si="8"/>
        <v>1193.7</v>
      </c>
    </row>
    <row r="135" spans="1:9" x14ac:dyDescent="0.25">
      <c r="A135" s="10" t="s">
        <v>128</v>
      </c>
      <c r="B135" s="11" t="s">
        <v>129</v>
      </c>
      <c r="C135" s="11" t="s">
        <v>27</v>
      </c>
      <c r="D135" s="12">
        <v>41673</v>
      </c>
      <c r="E135" s="12">
        <v>41676</v>
      </c>
      <c r="F135" s="13">
        <v>826</v>
      </c>
      <c r="G135">
        <f t="shared" si="6"/>
        <v>4</v>
      </c>
      <c r="H135">
        <f t="shared" si="7"/>
        <v>102</v>
      </c>
      <c r="I135">
        <f t="shared" si="8"/>
        <v>928</v>
      </c>
    </row>
    <row r="136" spans="1:9" x14ac:dyDescent="0.25">
      <c r="A136" s="6" t="s">
        <v>115</v>
      </c>
      <c r="B136" s="7" t="s">
        <v>140</v>
      </c>
      <c r="C136" s="7" t="s">
        <v>66</v>
      </c>
      <c r="D136" s="8">
        <v>41673</v>
      </c>
      <c r="E136" s="8">
        <v>41673</v>
      </c>
      <c r="F136" s="9">
        <v>307.7</v>
      </c>
      <c r="G136">
        <f t="shared" si="6"/>
        <v>1</v>
      </c>
      <c r="H136">
        <f t="shared" si="7"/>
        <v>30</v>
      </c>
      <c r="I136">
        <f t="shared" si="8"/>
        <v>337.7</v>
      </c>
    </row>
    <row r="137" spans="1:9" x14ac:dyDescent="0.25">
      <c r="A137" s="10" t="s">
        <v>42</v>
      </c>
      <c r="B137" s="11" t="s">
        <v>43</v>
      </c>
      <c r="C137" s="11" t="s">
        <v>47</v>
      </c>
      <c r="D137" s="12">
        <v>41673</v>
      </c>
      <c r="E137" s="12">
        <v>41673</v>
      </c>
      <c r="F137" s="13">
        <v>363.8</v>
      </c>
      <c r="G137">
        <f t="shared" si="6"/>
        <v>1</v>
      </c>
      <c r="H137">
        <f t="shared" si="7"/>
        <v>30</v>
      </c>
      <c r="I137">
        <f t="shared" si="8"/>
        <v>393.8</v>
      </c>
    </row>
    <row r="138" spans="1:9" x14ac:dyDescent="0.25">
      <c r="A138" s="6" t="s">
        <v>107</v>
      </c>
      <c r="B138" s="7" t="s">
        <v>108</v>
      </c>
      <c r="C138" s="7" t="s">
        <v>19</v>
      </c>
      <c r="D138" s="8">
        <v>41673</v>
      </c>
      <c r="E138" s="8">
        <v>41675</v>
      </c>
      <c r="F138" s="9">
        <v>795.4</v>
      </c>
      <c r="G138">
        <f t="shared" si="6"/>
        <v>3</v>
      </c>
      <c r="H138">
        <f t="shared" si="7"/>
        <v>78</v>
      </c>
      <c r="I138">
        <f t="shared" si="8"/>
        <v>873.4</v>
      </c>
    </row>
    <row r="139" spans="1:9" x14ac:dyDescent="0.25">
      <c r="A139" s="10" t="s">
        <v>31</v>
      </c>
      <c r="B139" s="11" t="s">
        <v>78</v>
      </c>
      <c r="C139" s="11" t="s">
        <v>27</v>
      </c>
      <c r="D139" s="12">
        <v>41677</v>
      </c>
      <c r="E139" s="12">
        <v>41681</v>
      </c>
      <c r="F139" s="13">
        <v>954</v>
      </c>
      <c r="G139">
        <f t="shared" si="6"/>
        <v>5</v>
      </c>
      <c r="H139">
        <f t="shared" si="7"/>
        <v>126</v>
      </c>
      <c r="I139">
        <f t="shared" si="8"/>
        <v>1080</v>
      </c>
    </row>
    <row r="140" spans="1:9" x14ac:dyDescent="0.25">
      <c r="A140" s="6" t="s">
        <v>6</v>
      </c>
      <c r="B140" s="7" t="s">
        <v>7</v>
      </c>
      <c r="C140" s="7" t="s">
        <v>38</v>
      </c>
      <c r="D140" s="8">
        <v>41677</v>
      </c>
      <c r="E140" s="8">
        <v>41681</v>
      </c>
      <c r="F140" s="9">
        <v>794.8</v>
      </c>
      <c r="G140">
        <f t="shared" si="6"/>
        <v>5</v>
      </c>
      <c r="H140">
        <f t="shared" si="7"/>
        <v>126</v>
      </c>
      <c r="I140">
        <f t="shared" si="8"/>
        <v>920.8</v>
      </c>
    </row>
    <row r="141" spans="1:9" x14ac:dyDescent="0.25">
      <c r="A141" s="10" t="s">
        <v>33</v>
      </c>
      <c r="B141" s="11" t="s">
        <v>141</v>
      </c>
      <c r="C141" s="11" t="s">
        <v>19</v>
      </c>
      <c r="D141" s="12">
        <v>41677</v>
      </c>
      <c r="E141" s="12">
        <v>41680</v>
      </c>
      <c r="F141" s="13">
        <v>936.4</v>
      </c>
      <c r="G141">
        <f t="shared" si="6"/>
        <v>4</v>
      </c>
      <c r="H141">
        <f t="shared" si="7"/>
        <v>102</v>
      </c>
      <c r="I141">
        <f t="shared" si="8"/>
        <v>1038.4000000000001</v>
      </c>
    </row>
    <row r="142" spans="1:9" x14ac:dyDescent="0.25">
      <c r="A142" s="6" t="s">
        <v>6</v>
      </c>
      <c r="B142" s="7" t="s">
        <v>139</v>
      </c>
      <c r="C142" s="7" t="s">
        <v>72</v>
      </c>
      <c r="D142" s="8">
        <v>41677</v>
      </c>
      <c r="E142" s="8">
        <v>41679</v>
      </c>
      <c r="F142" s="9">
        <v>892.7</v>
      </c>
      <c r="G142">
        <f t="shared" si="6"/>
        <v>3</v>
      </c>
      <c r="H142">
        <f t="shared" si="7"/>
        <v>78</v>
      </c>
      <c r="I142">
        <f t="shared" si="8"/>
        <v>970.7</v>
      </c>
    </row>
    <row r="143" spans="1:9" x14ac:dyDescent="0.25">
      <c r="A143" s="10" t="s">
        <v>122</v>
      </c>
      <c r="B143" s="11" t="s">
        <v>123</v>
      </c>
      <c r="C143" s="11" t="s">
        <v>66</v>
      </c>
      <c r="D143" s="12">
        <v>41677</v>
      </c>
      <c r="E143" s="12">
        <v>41678</v>
      </c>
      <c r="F143" s="13">
        <v>485.7</v>
      </c>
      <c r="G143">
        <f t="shared" si="6"/>
        <v>2</v>
      </c>
      <c r="H143">
        <f t="shared" si="7"/>
        <v>54</v>
      </c>
      <c r="I143">
        <f t="shared" si="8"/>
        <v>539.70000000000005</v>
      </c>
    </row>
    <row r="144" spans="1:9" x14ac:dyDescent="0.25">
      <c r="A144" s="6" t="s">
        <v>15</v>
      </c>
      <c r="B144" s="7" t="s">
        <v>46</v>
      </c>
      <c r="C144" s="7" t="s">
        <v>19</v>
      </c>
      <c r="D144" s="8">
        <v>41677</v>
      </c>
      <c r="E144" s="8">
        <v>41680</v>
      </c>
      <c r="F144" s="9">
        <v>936.4</v>
      </c>
      <c r="G144">
        <f t="shared" si="6"/>
        <v>4</v>
      </c>
      <c r="H144">
        <f t="shared" si="7"/>
        <v>102</v>
      </c>
      <c r="I144">
        <f t="shared" si="8"/>
        <v>1038.4000000000001</v>
      </c>
    </row>
    <row r="145" spans="1:9" x14ac:dyDescent="0.25">
      <c r="A145" s="10" t="s">
        <v>131</v>
      </c>
      <c r="B145" s="11" t="s">
        <v>142</v>
      </c>
      <c r="C145" s="11" t="s">
        <v>27</v>
      </c>
      <c r="D145" s="12">
        <v>41677</v>
      </c>
      <c r="E145" s="12">
        <v>41681</v>
      </c>
      <c r="F145" s="13">
        <v>954</v>
      </c>
      <c r="G145">
        <f t="shared" si="6"/>
        <v>5</v>
      </c>
      <c r="H145">
        <f t="shared" si="7"/>
        <v>126</v>
      </c>
      <c r="I145">
        <f t="shared" si="8"/>
        <v>1080</v>
      </c>
    </row>
    <row r="146" spans="1:9" x14ac:dyDescent="0.25">
      <c r="A146" s="6" t="s">
        <v>6</v>
      </c>
      <c r="B146" s="7" t="s">
        <v>56</v>
      </c>
      <c r="C146" s="7" t="s">
        <v>19</v>
      </c>
      <c r="D146" s="8">
        <v>41677</v>
      </c>
      <c r="E146" s="8">
        <v>41680</v>
      </c>
      <c r="F146" s="9">
        <v>936.4</v>
      </c>
      <c r="G146">
        <f t="shared" si="6"/>
        <v>4</v>
      </c>
      <c r="H146">
        <f t="shared" si="7"/>
        <v>102</v>
      </c>
      <c r="I146">
        <f t="shared" si="8"/>
        <v>1038.4000000000001</v>
      </c>
    </row>
    <row r="147" spans="1:9" x14ac:dyDescent="0.25">
      <c r="A147" s="10" t="s">
        <v>115</v>
      </c>
      <c r="B147" s="11" t="s">
        <v>140</v>
      </c>
      <c r="C147" s="11" t="s">
        <v>59</v>
      </c>
      <c r="D147" s="12">
        <v>41677</v>
      </c>
      <c r="E147" s="12">
        <v>41677</v>
      </c>
      <c r="F147" s="13">
        <v>442</v>
      </c>
      <c r="G147">
        <f t="shared" si="6"/>
        <v>1</v>
      </c>
      <c r="H147">
        <f t="shared" si="7"/>
        <v>30</v>
      </c>
      <c r="I147">
        <f t="shared" si="8"/>
        <v>472</v>
      </c>
    </row>
    <row r="148" spans="1:9" x14ac:dyDescent="0.25">
      <c r="A148" s="6" t="s">
        <v>126</v>
      </c>
      <c r="B148" s="7" t="s">
        <v>127</v>
      </c>
      <c r="C148" s="7" t="s">
        <v>38</v>
      </c>
      <c r="D148" s="8">
        <v>41677</v>
      </c>
      <c r="E148" s="8">
        <v>41679</v>
      </c>
      <c r="F148" s="9">
        <v>536.79999999999995</v>
      </c>
      <c r="G148">
        <f t="shared" si="6"/>
        <v>3</v>
      </c>
      <c r="H148">
        <f t="shared" si="7"/>
        <v>78</v>
      </c>
      <c r="I148">
        <f t="shared" si="8"/>
        <v>614.79999999999995</v>
      </c>
    </row>
    <row r="149" spans="1:9" x14ac:dyDescent="0.25">
      <c r="A149" s="10" t="s">
        <v>73</v>
      </c>
      <c r="B149" s="11" t="s">
        <v>74</v>
      </c>
      <c r="C149" s="11" t="s">
        <v>30</v>
      </c>
      <c r="D149" s="12">
        <v>41677</v>
      </c>
      <c r="E149" s="12">
        <v>41677</v>
      </c>
      <c r="F149" s="13">
        <v>212.5</v>
      </c>
      <c r="G149">
        <f t="shared" si="6"/>
        <v>1</v>
      </c>
      <c r="H149">
        <f t="shared" si="7"/>
        <v>30</v>
      </c>
      <c r="I149">
        <f t="shared" si="8"/>
        <v>242.5</v>
      </c>
    </row>
    <row r="150" spans="1:9" x14ac:dyDescent="0.25">
      <c r="A150" s="6" t="s">
        <v>101</v>
      </c>
      <c r="B150" s="7" t="s">
        <v>102</v>
      </c>
      <c r="C150" s="7" t="s">
        <v>59</v>
      </c>
      <c r="D150" s="8">
        <v>41677</v>
      </c>
      <c r="E150" s="8">
        <v>41679</v>
      </c>
      <c r="F150" s="9">
        <v>760</v>
      </c>
      <c r="G150">
        <f t="shared" si="6"/>
        <v>3</v>
      </c>
      <c r="H150">
        <f t="shared" si="7"/>
        <v>78</v>
      </c>
      <c r="I150">
        <f t="shared" si="8"/>
        <v>838</v>
      </c>
    </row>
    <row r="151" spans="1:9" x14ac:dyDescent="0.25">
      <c r="A151" s="10" t="s">
        <v>143</v>
      </c>
      <c r="B151" s="11" t="s">
        <v>144</v>
      </c>
      <c r="C151" s="11" t="s">
        <v>27</v>
      </c>
      <c r="D151" s="12">
        <v>41677</v>
      </c>
      <c r="E151" s="12">
        <v>41678</v>
      </c>
      <c r="F151" s="13">
        <v>570</v>
      </c>
      <c r="G151">
        <f t="shared" si="6"/>
        <v>2</v>
      </c>
      <c r="H151">
        <f t="shared" si="7"/>
        <v>54</v>
      </c>
      <c r="I151">
        <f t="shared" si="8"/>
        <v>624</v>
      </c>
    </row>
    <row r="152" spans="1:9" x14ac:dyDescent="0.25">
      <c r="A152" s="6" t="s">
        <v>73</v>
      </c>
      <c r="B152" s="7" t="s">
        <v>104</v>
      </c>
      <c r="C152" s="7" t="s">
        <v>47</v>
      </c>
      <c r="D152" s="8">
        <v>41677</v>
      </c>
      <c r="E152" s="8">
        <v>41679</v>
      </c>
      <c r="F152" s="9">
        <v>689.8</v>
      </c>
      <c r="G152">
        <f t="shared" si="6"/>
        <v>3</v>
      </c>
      <c r="H152">
        <f t="shared" si="7"/>
        <v>78</v>
      </c>
      <c r="I152">
        <f t="shared" si="8"/>
        <v>767.8</v>
      </c>
    </row>
    <row r="153" spans="1:9" x14ac:dyDescent="0.25">
      <c r="A153" s="10" t="s">
        <v>93</v>
      </c>
      <c r="B153" s="11" t="s">
        <v>106</v>
      </c>
      <c r="C153" s="11" t="s">
        <v>66</v>
      </c>
      <c r="D153" s="12">
        <v>41677</v>
      </c>
      <c r="E153" s="12">
        <v>41681</v>
      </c>
      <c r="F153" s="13">
        <v>1019.7</v>
      </c>
      <c r="G153">
        <f t="shared" si="6"/>
        <v>5</v>
      </c>
      <c r="H153">
        <f t="shared" si="7"/>
        <v>126</v>
      </c>
      <c r="I153">
        <f t="shared" si="8"/>
        <v>1145.7</v>
      </c>
    </row>
    <row r="154" spans="1:9" x14ac:dyDescent="0.25">
      <c r="A154" s="6" t="s">
        <v>145</v>
      </c>
      <c r="B154" s="7" t="s">
        <v>146</v>
      </c>
      <c r="C154" s="7" t="s">
        <v>8</v>
      </c>
      <c r="D154" s="8">
        <v>41677</v>
      </c>
      <c r="E154" s="8">
        <v>41678</v>
      </c>
      <c r="F154" s="9">
        <v>891</v>
      </c>
      <c r="G154">
        <f t="shared" si="6"/>
        <v>2</v>
      </c>
      <c r="H154">
        <f t="shared" si="7"/>
        <v>54</v>
      </c>
      <c r="I154">
        <f t="shared" si="8"/>
        <v>945</v>
      </c>
    </row>
    <row r="155" spans="1:9" x14ac:dyDescent="0.25">
      <c r="A155" s="10" t="s">
        <v>147</v>
      </c>
      <c r="B155" s="11" t="s">
        <v>148</v>
      </c>
      <c r="C155" s="11" t="s">
        <v>11</v>
      </c>
      <c r="D155" s="12">
        <v>41677</v>
      </c>
      <c r="E155" s="12">
        <v>41678</v>
      </c>
      <c r="F155" s="13">
        <v>295.39999999999998</v>
      </c>
      <c r="G155">
        <f t="shared" si="6"/>
        <v>2</v>
      </c>
      <c r="H155">
        <f t="shared" si="7"/>
        <v>54</v>
      </c>
      <c r="I155">
        <f t="shared" si="8"/>
        <v>349.4</v>
      </c>
    </row>
    <row r="156" spans="1:9" x14ac:dyDescent="0.25">
      <c r="A156" s="6" t="s">
        <v>119</v>
      </c>
      <c r="B156" s="7" t="s">
        <v>120</v>
      </c>
      <c r="C156" s="7" t="s">
        <v>8</v>
      </c>
      <c r="D156" s="8">
        <v>41677</v>
      </c>
      <c r="E156" s="8">
        <v>41678</v>
      </c>
      <c r="F156" s="9">
        <v>891</v>
      </c>
      <c r="G156">
        <f t="shared" si="6"/>
        <v>2</v>
      </c>
      <c r="H156">
        <f t="shared" si="7"/>
        <v>54</v>
      </c>
      <c r="I156">
        <f t="shared" si="8"/>
        <v>945</v>
      </c>
    </row>
    <row r="157" spans="1:9" x14ac:dyDescent="0.25">
      <c r="A157" s="10" t="s">
        <v>134</v>
      </c>
      <c r="B157" s="11" t="s">
        <v>149</v>
      </c>
      <c r="C157" s="11" t="s">
        <v>30</v>
      </c>
      <c r="D157" s="12">
        <v>41677</v>
      </c>
      <c r="E157" s="12">
        <v>41681</v>
      </c>
      <c r="F157" s="13">
        <v>688.5</v>
      </c>
      <c r="G157">
        <f t="shared" si="6"/>
        <v>5</v>
      </c>
      <c r="H157">
        <f t="shared" si="7"/>
        <v>126</v>
      </c>
      <c r="I157">
        <f t="shared" si="8"/>
        <v>814.5</v>
      </c>
    </row>
    <row r="158" spans="1:9" x14ac:dyDescent="0.25">
      <c r="A158" s="6" t="s">
        <v>111</v>
      </c>
      <c r="B158" s="7" t="s">
        <v>112</v>
      </c>
      <c r="C158" s="7" t="s">
        <v>66</v>
      </c>
      <c r="D158" s="8">
        <v>41677</v>
      </c>
      <c r="E158" s="8">
        <v>41679</v>
      </c>
      <c r="F158" s="9">
        <v>663.7</v>
      </c>
      <c r="G158">
        <f t="shared" si="6"/>
        <v>3</v>
      </c>
      <c r="H158">
        <f t="shared" si="7"/>
        <v>78</v>
      </c>
      <c r="I158">
        <f t="shared" si="8"/>
        <v>741.7</v>
      </c>
    </row>
    <row r="159" spans="1:9" x14ac:dyDescent="0.25">
      <c r="A159" s="10" t="s">
        <v>15</v>
      </c>
      <c r="B159" s="11" t="s">
        <v>16</v>
      </c>
      <c r="C159" s="11" t="s">
        <v>30</v>
      </c>
      <c r="D159" s="12">
        <v>41677</v>
      </c>
      <c r="E159" s="12">
        <v>41680</v>
      </c>
      <c r="F159" s="13">
        <v>569.5</v>
      </c>
      <c r="G159">
        <f t="shared" si="6"/>
        <v>4</v>
      </c>
      <c r="H159">
        <f t="shared" si="7"/>
        <v>102</v>
      </c>
      <c r="I159">
        <f t="shared" si="8"/>
        <v>671.5</v>
      </c>
    </row>
    <row r="160" spans="1:9" x14ac:dyDescent="0.25">
      <c r="A160" s="6" t="s">
        <v>54</v>
      </c>
      <c r="B160" s="7" t="s">
        <v>55</v>
      </c>
      <c r="C160" s="7" t="s">
        <v>27</v>
      </c>
      <c r="D160" s="8">
        <v>41680</v>
      </c>
      <c r="E160" s="8">
        <v>41680</v>
      </c>
      <c r="F160" s="9">
        <v>442</v>
      </c>
      <c r="G160">
        <f t="shared" si="6"/>
        <v>1</v>
      </c>
      <c r="H160">
        <f t="shared" si="7"/>
        <v>30</v>
      </c>
      <c r="I160">
        <f t="shared" si="8"/>
        <v>472</v>
      </c>
    </row>
    <row r="161" spans="1:9" x14ac:dyDescent="0.25">
      <c r="A161" s="10" t="s">
        <v>33</v>
      </c>
      <c r="B161" s="11" t="s">
        <v>41</v>
      </c>
      <c r="C161" s="11" t="s">
        <v>19</v>
      </c>
      <c r="D161" s="12">
        <v>41680</v>
      </c>
      <c r="E161" s="12">
        <v>41680</v>
      </c>
      <c r="F161" s="13">
        <v>513.4</v>
      </c>
      <c r="G161">
        <f t="shared" si="6"/>
        <v>1</v>
      </c>
      <c r="H161">
        <f t="shared" si="7"/>
        <v>30</v>
      </c>
      <c r="I161">
        <f t="shared" si="8"/>
        <v>543.4</v>
      </c>
    </row>
    <row r="162" spans="1:9" x14ac:dyDescent="0.25">
      <c r="A162" s="6" t="s">
        <v>107</v>
      </c>
      <c r="B162" s="7" t="s">
        <v>108</v>
      </c>
      <c r="C162" s="7" t="s">
        <v>30</v>
      </c>
      <c r="D162" s="8">
        <v>41680</v>
      </c>
      <c r="E162" s="8">
        <v>41681</v>
      </c>
      <c r="F162" s="9">
        <v>331.5</v>
      </c>
      <c r="G162">
        <f t="shared" si="6"/>
        <v>2</v>
      </c>
      <c r="H162">
        <f t="shared" si="7"/>
        <v>54</v>
      </c>
      <c r="I162">
        <f t="shared" si="8"/>
        <v>385.5</v>
      </c>
    </row>
    <row r="163" spans="1:9" x14ac:dyDescent="0.25">
      <c r="A163" s="10" t="s">
        <v>54</v>
      </c>
      <c r="B163" s="11" t="s">
        <v>81</v>
      </c>
      <c r="C163" s="11" t="s">
        <v>19</v>
      </c>
      <c r="D163" s="12">
        <v>41682</v>
      </c>
      <c r="E163" s="12">
        <v>41682</v>
      </c>
      <c r="F163" s="13">
        <v>513.4</v>
      </c>
      <c r="G163">
        <f t="shared" si="6"/>
        <v>1</v>
      </c>
      <c r="H163">
        <f t="shared" si="7"/>
        <v>30</v>
      </c>
      <c r="I163">
        <f t="shared" si="8"/>
        <v>543.4</v>
      </c>
    </row>
    <row r="164" spans="1:9" x14ac:dyDescent="0.25">
      <c r="A164" s="6" t="s">
        <v>86</v>
      </c>
      <c r="B164" s="7" t="s">
        <v>150</v>
      </c>
      <c r="C164" s="7" t="s">
        <v>30</v>
      </c>
      <c r="D164" s="8">
        <v>41684</v>
      </c>
      <c r="E164" s="8">
        <v>41686</v>
      </c>
      <c r="F164" s="9">
        <v>450.5</v>
      </c>
      <c r="G164">
        <f t="shared" si="6"/>
        <v>3</v>
      </c>
      <c r="H164">
        <f t="shared" si="7"/>
        <v>78</v>
      </c>
      <c r="I164">
        <f t="shared" si="8"/>
        <v>528.5</v>
      </c>
    </row>
    <row r="165" spans="1:9" x14ac:dyDescent="0.25">
      <c r="A165" s="10" t="s">
        <v>99</v>
      </c>
      <c r="B165" s="11" t="s">
        <v>100</v>
      </c>
      <c r="C165" s="11" t="s">
        <v>19</v>
      </c>
      <c r="D165" s="12">
        <v>41684</v>
      </c>
      <c r="E165" s="12">
        <v>41686</v>
      </c>
      <c r="F165" s="13">
        <v>795.4</v>
      </c>
      <c r="G165">
        <f t="shared" si="6"/>
        <v>3</v>
      </c>
      <c r="H165">
        <f t="shared" si="7"/>
        <v>78</v>
      </c>
      <c r="I165">
        <f t="shared" si="8"/>
        <v>873.4</v>
      </c>
    </row>
    <row r="166" spans="1:9" x14ac:dyDescent="0.25">
      <c r="A166" s="6" t="s">
        <v>151</v>
      </c>
      <c r="B166" s="7" t="s">
        <v>152</v>
      </c>
      <c r="C166" s="7" t="s">
        <v>30</v>
      </c>
      <c r="D166" s="8">
        <v>41684</v>
      </c>
      <c r="E166" s="8">
        <v>41684</v>
      </c>
      <c r="F166" s="9">
        <v>212.5</v>
      </c>
      <c r="G166">
        <f t="shared" si="6"/>
        <v>1</v>
      </c>
      <c r="H166">
        <f t="shared" si="7"/>
        <v>30</v>
      </c>
      <c r="I166">
        <f t="shared" si="8"/>
        <v>242.5</v>
      </c>
    </row>
    <row r="167" spans="1:9" x14ac:dyDescent="0.25">
      <c r="A167" s="10" t="s">
        <v>52</v>
      </c>
      <c r="B167" s="11" t="s">
        <v>53</v>
      </c>
      <c r="C167" s="11" t="s">
        <v>72</v>
      </c>
      <c r="D167" s="12">
        <v>41684</v>
      </c>
      <c r="E167" s="12">
        <v>41686</v>
      </c>
      <c r="F167" s="13">
        <v>892.7</v>
      </c>
      <c r="G167">
        <f t="shared" si="6"/>
        <v>3</v>
      </c>
      <c r="H167">
        <f t="shared" si="7"/>
        <v>78</v>
      </c>
      <c r="I167">
        <f t="shared" si="8"/>
        <v>970.7</v>
      </c>
    </row>
    <row r="168" spans="1:9" x14ac:dyDescent="0.25">
      <c r="A168" s="6" t="s">
        <v>31</v>
      </c>
      <c r="B168" s="7" t="s">
        <v>77</v>
      </c>
      <c r="C168" s="7" t="s">
        <v>66</v>
      </c>
      <c r="D168" s="8">
        <v>41684</v>
      </c>
      <c r="E168" s="8">
        <v>41688</v>
      </c>
      <c r="F168" s="9">
        <v>1019.7</v>
      </c>
      <c r="G168">
        <f t="shared" si="6"/>
        <v>5</v>
      </c>
      <c r="H168">
        <f t="shared" si="7"/>
        <v>126</v>
      </c>
      <c r="I168">
        <f t="shared" si="8"/>
        <v>1145.7</v>
      </c>
    </row>
    <row r="169" spans="1:9" x14ac:dyDescent="0.25">
      <c r="A169" s="10" t="s">
        <v>113</v>
      </c>
      <c r="B169" s="11" t="s">
        <v>114</v>
      </c>
      <c r="C169" s="11" t="s">
        <v>11</v>
      </c>
      <c r="D169" s="12">
        <v>41684</v>
      </c>
      <c r="E169" s="12">
        <v>41687</v>
      </c>
      <c r="F169" s="13">
        <v>573.4</v>
      </c>
      <c r="G169">
        <f t="shared" si="6"/>
        <v>4</v>
      </c>
      <c r="H169">
        <f t="shared" si="7"/>
        <v>102</v>
      </c>
      <c r="I169">
        <f t="shared" si="8"/>
        <v>675.4</v>
      </c>
    </row>
    <row r="170" spans="1:9" x14ac:dyDescent="0.25">
      <c r="A170" s="6" t="s">
        <v>109</v>
      </c>
      <c r="B170" s="7" t="s">
        <v>110</v>
      </c>
      <c r="C170" s="7" t="s">
        <v>38</v>
      </c>
      <c r="D170" s="8">
        <v>41685</v>
      </c>
      <c r="E170" s="8">
        <v>41687</v>
      </c>
      <c r="F170" s="9">
        <v>536.79999999999995</v>
      </c>
      <c r="G170">
        <f t="shared" si="6"/>
        <v>3</v>
      </c>
      <c r="H170">
        <f t="shared" si="7"/>
        <v>78</v>
      </c>
      <c r="I170">
        <f t="shared" si="8"/>
        <v>614.79999999999995</v>
      </c>
    </row>
    <row r="171" spans="1:9" x14ac:dyDescent="0.25">
      <c r="A171" s="10" t="s">
        <v>64</v>
      </c>
      <c r="B171" s="11" t="s">
        <v>65</v>
      </c>
      <c r="C171" s="11" t="s">
        <v>17</v>
      </c>
      <c r="D171" s="12">
        <v>41685</v>
      </c>
      <c r="E171" s="12">
        <v>41686</v>
      </c>
      <c r="F171" s="13">
        <v>706.5</v>
      </c>
      <c r="G171">
        <f t="shared" si="6"/>
        <v>2</v>
      </c>
      <c r="H171">
        <f t="shared" si="7"/>
        <v>54</v>
      </c>
      <c r="I171">
        <f t="shared" si="8"/>
        <v>760.5</v>
      </c>
    </row>
    <row r="172" spans="1:9" x14ac:dyDescent="0.25">
      <c r="A172" s="6" t="s">
        <v>22</v>
      </c>
      <c r="B172" s="7" t="s">
        <v>23</v>
      </c>
      <c r="C172" s="7" t="s">
        <v>72</v>
      </c>
      <c r="D172" s="8">
        <v>41689</v>
      </c>
      <c r="E172" s="8">
        <v>41693</v>
      </c>
      <c r="F172" s="9">
        <v>1290.7</v>
      </c>
      <c r="G172">
        <f t="shared" si="6"/>
        <v>5</v>
      </c>
      <c r="H172">
        <f t="shared" si="7"/>
        <v>126</v>
      </c>
      <c r="I172">
        <f t="shared" si="8"/>
        <v>1416.7</v>
      </c>
    </row>
    <row r="173" spans="1:9" x14ac:dyDescent="0.25">
      <c r="A173" s="10" t="s">
        <v>115</v>
      </c>
      <c r="B173" s="11" t="s">
        <v>153</v>
      </c>
      <c r="C173" s="11" t="s">
        <v>30</v>
      </c>
      <c r="D173" s="12">
        <v>41689</v>
      </c>
      <c r="E173" s="12">
        <v>41693</v>
      </c>
      <c r="F173" s="13">
        <v>688.5</v>
      </c>
      <c r="G173">
        <f t="shared" si="6"/>
        <v>5</v>
      </c>
      <c r="H173">
        <f t="shared" si="7"/>
        <v>126</v>
      </c>
      <c r="I173">
        <f t="shared" si="8"/>
        <v>814.5</v>
      </c>
    </row>
    <row r="174" spans="1:9" x14ac:dyDescent="0.25">
      <c r="A174" s="6" t="s">
        <v>131</v>
      </c>
      <c r="B174" s="7" t="s">
        <v>154</v>
      </c>
      <c r="C174" s="7" t="s">
        <v>27</v>
      </c>
      <c r="D174" s="8">
        <v>41689</v>
      </c>
      <c r="E174" s="8">
        <v>41690</v>
      </c>
      <c r="F174" s="9">
        <v>570</v>
      </c>
      <c r="G174">
        <f t="shared" si="6"/>
        <v>2</v>
      </c>
      <c r="H174">
        <f t="shared" si="7"/>
        <v>54</v>
      </c>
      <c r="I174">
        <f t="shared" si="8"/>
        <v>624</v>
      </c>
    </row>
    <row r="175" spans="1:9" x14ac:dyDescent="0.25">
      <c r="A175" s="10" t="s">
        <v>25</v>
      </c>
      <c r="B175" s="11" t="s">
        <v>67</v>
      </c>
      <c r="C175" s="11" t="s">
        <v>17</v>
      </c>
      <c r="D175" s="12">
        <v>41689</v>
      </c>
      <c r="E175" s="12">
        <v>41692</v>
      </c>
      <c r="F175" s="13">
        <v>1116.5</v>
      </c>
      <c r="G175">
        <f t="shared" si="6"/>
        <v>4</v>
      </c>
      <c r="H175">
        <f t="shared" si="7"/>
        <v>102</v>
      </c>
      <c r="I175">
        <f t="shared" si="8"/>
        <v>1218.5</v>
      </c>
    </row>
    <row r="176" spans="1:9" x14ac:dyDescent="0.25">
      <c r="A176" s="6" t="s">
        <v>50</v>
      </c>
      <c r="B176" s="7" t="s">
        <v>51</v>
      </c>
      <c r="C176" s="7" t="s">
        <v>8</v>
      </c>
      <c r="D176" s="8">
        <v>41689</v>
      </c>
      <c r="E176" s="8">
        <v>41690</v>
      </c>
      <c r="F176" s="9">
        <v>891</v>
      </c>
      <c r="G176">
        <f t="shared" si="6"/>
        <v>2</v>
      </c>
      <c r="H176">
        <f t="shared" si="7"/>
        <v>54</v>
      </c>
      <c r="I176">
        <f t="shared" si="8"/>
        <v>945</v>
      </c>
    </row>
    <row r="177" spans="1:9" x14ac:dyDescent="0.25">
      <c r="A177" s="10" t="s">
        <v>70</v>
      </c>
      <c r="B177" s="11" t="s">
        <v>71</v>
      </c>
      <c r="C177" s="11" t="s">
        <v>38</v>
      </c>
      <c r="D177" s="12">
        <v>41689</v>
      </c>
      <c r="E177" s="12">
        <v>41692</v>
      </c>
      <c r="F177" s="13">
        <v>665.8</v>
      </c>
      <c r="G177">
        <f t="shared" si="6"/>
        <v>4</v>
      </c>
      <c r="H177">
        <f t="shared" si="7"/>
        <v>102</v>
      </c>
      <c r="I177">
        <f t="shared" si="8"/>
        <v>767.8</v>
      </c>
    </row>
    <row r="178" spans="1:9" x14ac:dyDescent="0.25">
      <c r="A178" s="6" t="s">
        <v>33</v>
      </c>
      <c r="B178" s="7" t="s">
        <v>41</v>
      </c>
      <c r="C178" s="7" t="s">
        <v>11</v>
      </c>
      <c r="D178" s="8">
        <v>41689</v>
      </c>
      <c r="E178" s="8">
        <v>41691</v>
      </c>
      <c r="F178" s="9">
        <v>434.4</v>
      </c>
      <c r="G178">
        <f t="shared" si="6"/>
        <v>3</v>
      </c>
      <c r="H178">
        <f t="shared" si="7"/>
        <v>78</v>
      </c>
      <c r="I178">
        <f t="shared" si="8"/>
        <v>512.4</v>
      </c>
    </row>
    <row r="179" spans="1:9" x14ac:dyDescent="0.25">
      <c r="A179" s="10" t="s">
        <v>9</v>
      </c>
      <c r="B179" s="11" t="s">
        <v>10</v>
      </c>
      <c r="C179" s="11" t="s">
        <v>24</v>
      </c>
      <c r="D179" s="12">
        <v>41689</v>
      </c>
      <c r="E179" s="12">
        <v>41691</v>
      </c>
      <c r="F179" s="13">
        <v>588.70000000000005</v>
      </c>
      <c r="G179">
        <f t="shared" si="6"/>
        <v>3</v>
      </c>
      <c r="H179">
        <f t="shared" si="7"/>
        <v>78</v>
      </c>
      <c r="I179">
        <f t="shared" si="8"/>
        <v>666.7</v>
      </c>
    </row>
    <row r="180" spans="1:9" x14ac:dyDescent="0.25">
      <c r="A180" s="6" t="s">
        <v>15</v>
      </c>
      <c r="B180" s="7" t="s">
        <v>105</v>
      </c>
      <c r="C180" s="7" t="s">
        <v>66</v>
      </c>
      <c r="D180" s="8">
        <v>41689</v>
      </c>
      <c r="E180" s="8">
        <v>41692</v>
      </c>
      <c r="F180" s="9">
        <v>841.7</v>
      </c>
      <c r="G180">
        <f t="shared" si="6"/>
        <v>4</v>
      </c>
      <c r="H180">
        <f t="shared" si="7"/>
        <v>102</v>
      </c>
      <c r="I180">
        <f t="shared" si="8"/>
        <v>943.7</v>
      </c>
    </row>
    <row r="181" spans="1:9" x14ac:dyDescent="0.25">
      <c r="A181" s="10" t="s">
        <v>73</v>
      </c>
      <c r="B181" s="11" t="s">
        <v>155</v>
      </c>
      <c r="C181" s="11" t="s">
        <v>19</v>
      </c>
      <c r="D181" s="12">
        <v>41689</v>
      </c>
      <c r="E181" s="12">
        <v>41690</v>
      </c>
      <c r="F181" s="13">
        <v>654.4</v>
      </c>
      <c r="G181">
        <f t="shared" si="6"/>
        <v>2</v>
      </c>
      <c r="H181">
        <f t="shared" si="7"/>
        <v>54</v>
      </c>
      <c r="I181">
        <f t="shared" si="8"/>
        <v>708.4</v>
      </c>
    </row>
    <row r="182" spans="1:9" x14ac:dyDescent="0.25">
      <c r="A182" s="6" t="s">
        <v>151</v>
      </c>
      <c r="B182" s="7" t="s">
        <v>152</v>
      </c>
      <c r="C182" s="7" t="s">
        <v>17</v>
      </c>
      <c r="D182" s="8">
        <v>41689</v>
      </c>
      <c r="E182" s="8">
        <v>41690</v>
      </c>
      <c r="F182" s="9">
        <v>706.5</v>
      </c>
      <c r="G182">
        <f t="shared" si="6"/>
        <v>2</v>
      </c>
      <c r="H182">
        <f t="shared" si="7"/>
        <v>54</v>
      </c>
      <c r="I182">
        <f t="shared" si="8"/>
        <v>760.5</v>
      </c>
    </row>
    <row r="183" spans="1:9" x14ac:dyDescent="0.25">
      <c r="A183" s="10" t="s">
        <v>156</v>
      </c>
      <c r="B183" s="11" t="s">
        <v>157</v>
      </c>
      <c r="C183" s="11" t="s">
        <v>17</v>
      </c>
      <c r="D183" s="12">
        <v>41689</v>
      </c>
      <c r="E183" s="12">
        <v>41693</v>
      </c>
      <c r="F183" s="13">
        <v>1321.5</v>
      </c>
      <c r="G183">
        <f t="shared" si="6"/>
        <v>5</v>
      </c>
      <c r="H183">
        <f t="shared" si="7"/>
        <v>126</v>
      </c>
      <c r="I183">
        <f t="shared" si="8"/>
        <v>1447.5</v>
      </c>
    </row>
    <row r="184" spans="1:9" x14ac:dyDescent="0.25">
      <c r="A184" s="6" t="s">
        <v>158</v>
      </c>
      <c r="B184" s="7" t="s">
        <v>159</v>
      </c>
      <c r="C184" s="7" t="s">
        <v>24</v>
      </c>
      <c r="D184" s="8">
        <v>41689</v>
      </c>
      <c r="E184" s="8">
        <v>41693</v>
      </c>
      <c r="F184" s="9">
        <v>886.7</v>
      </c>
      <c r="G184">
        <f t="shared" si="6"/>
        <v>5</v>
      </c>
      <c r="H184">
        <f t="shared" si="7"/>
        <v>126</v>
      </c>
      <c r="I184">
        <f t="shared" si="8"/>
        <v>1012.7</v>
      </c>
    </row>
    <row r="185" spans="1:9" x14ac:dyDescent="0.25">
      <c r="A185" s="10" t="s">
        <v>137</v>
      </c>
      <c r="B185" s="11" t="s">
        <v>138</v>
      </c>
      <c r="C185" s="11" t="s">
        <v>30</v>
      </c>
      <c r="D185" s="12">
        <v>41689</v>
      </c>
      <c r="E185" s="12">
        <v>41690</v>
      </c>
      <c r="F185" s="13">
        <v>331.5</v>
      </c>
      <c r="G185">
        <f t="shared" si="6"/>
        <v>2</v>
      </c>
      <c r="H185">
        <f t="shared" si="7"/>
        <v>54</v>
      </c>
      <c r="I185">
        <f t="shared" si="8"/>
        <v>385.5</v>
      </c>
    </row>
    <row r="186" spans="1:9" x14ac:dyDescent="0.25">
      <c r="A186" s="6" t="s">
        <v>12</v>
      </c>
      <c r="B186" s="7" t="s">
        <v>95</v>
      </c>
      <c r="C186" s="7" t="s">
        <v>8</v>
      </c>
      <c r="D186" s="8">
        <v>41689</v>
      </c>
      <c r="E186" s="8">
        <v>41690</v>
      </c>
      <c r="F186" s="9">
        <v>891</v>
      </c>
      <c r="G186">
        <f t="shared" si="6"/>
        <v>2</v>
      </c>
      <c r="H186">
        <f t="shared" si="7"/>
        <v>54</v>
      </c>
      <c r="I186">
        <f t="shared" si="8"/>
        <v>945</v>
      </c>
    </row>
    <row r="187" spans="1:9" x14ac:dyDescent="0.25">
      <c r="A187" s="10" t="s">
        <v>12</v>
      </c>
      <c r="B187" s="11" t="s">
        <v>95</v>
      </c>
      <c r="C187" s="11" t="s">
        <v>11</v>
      </c>
      <c r="D187" s="12">
        <v>41689</v>
      </c>
      <c r="E187" s="12">
        <v>41690</v>
      </c>
      <c r="F187" s="13">
        <v>295.39999999999998</v>
      </c>
      <c r="G187">
        <f t="shared" si="6"/>
        <v>2</v>
      </c>
      <c r="H187">
        <f t="shared" si="7"/>
        <v>54</v>
      </c>
      <c r="I187">
        <f t="shared" si="8"/>
        <v>349.4</v>
      </c>
    </row>
    <row r="188" spans="1:9" x14ac:dyDescent="0.25">
      <c r="A188" s="6" t="s">
        <v>15</v>
      </c>
      <c r="B188" s="7" t="s">
        <v>96</v>
      </c>
      <c r="C188" s="7" t="s">
        <v>27</v>
      </c>
      <c r="D188" s="8">
        <v>41689</v>
      </c>
      <c r="E188" s="8">
        <v>41692</v>
      </c>
      <c r="F188" s="9">
        <v>826</v>
      </c>
      <c r="G188">
        <f t="shared" si="6"/>
        <v>4</v>
      </c>
      <c r="H188">
        <f t="shared" si="7"/>
        <v>102</v>
      </c>
      <c r="I188">
        <f t="shared" si="8"/>
        <v>928</v>
      </c>
    </row>
    <row r="189" spans="1:9" x14ac:dyDescent="0.25">
      <c r="A189" s="10" t="s">
        <v>9</v>
      </c>
      <c r="B189" s="11" t="s">
        <v>18</v>
      </c>
      <c r="C189" s="11" t="s">
        <v>27</v>
      </c>
      <c r="D189" s="12">
        <v>41689</v>
      </c>
      <c r="E189" s="12">
        <v>41691</v>
      </c>
      <c r="F189" s="13">
        <v>698</v>
      </c>
      <c r="G189">
        <f t="shared" si="6"/>
        <v>3</v>
      </c>
      <c r="H189">
        <f t="shared" si="7"/>
        <v>78</v>
      </c>
      <c r="I189">
        <f t="shared" si="8"/>
        <v>776</v>
      </c>
    </row>
    <row r="190" spans="1:9" x14ac:dyDescent="0.25">
      <c r="A190" s="6" t="s">
        <v>64</v>
      </c>
      <c r="B190" s="7" t="s">
        <v>65</v>
      </c>
      <c r="C190" s="7" t="s">
        <v>47</v>
      </c>
      <c r="D190" s="8">
        <v>41689</v>
      </c>
      <c r="E190" s="8">
        <v>41689</v>
      </c>
      <c r="F190" s="9">
        <v>363.8</v>
      </c>
      <c r="G190">
        <f t="shared" si="6"/>
        <v>1</v>
      </c>
      <c r="H190">
        <f t="shared" si="7"/>
        <v>30</v>
      </c>
      <c r="I190">
        <f t="shared" si="8"/>
        <v>393.8</v>
      </c>
    </row>
    <row r="191" spans="1:9" x14ac:dyDescent="0.25">
      <c r="A191" s="10" t="s">
        <v>86</v>
      </c>
      <c r="B191" s="11" t="s">
        <v>136</v>
      </c>
      <c r="C191" s="11" t="s">
        <v>38</v>
      </c>
      <c r="D191" s="12">
        <v>41689</v>
      </c>
      <c r="E191" s="12">
        <v>41691</v>
      </c>
      <c r="F191" s="13">
        <v>536.79999999999995</v>
      </c>
      <c r="G191">
        <f t="shared" si="6"/>
        <v>3</v>
      </c>
      <c r="H191">
        <f t="shared" si="7"/>
        <v>78</v>
      </c>
      <c r="I191">
        <f t="shared" si="8"/>
        <v>614.79999999999995</v>
      </c>
    </row>
    <row r="192" spans="1:9" x14ac:dyDescent="0.25">
      <c r="A192" s="6" t="s">
        <v>131</v>
      </c>
      <c r="B192" s="7" t="s">
        <v>154</v>
      </c>
      <c r="C192" s="7" t="s">
        <v>8</v>
      </c>
      <c r="D192" s="8">
        <v>41692</v>
      </c>
      <c r="E192" s="8">
        <v>41692</v>
      </c>
      <c r="F192" s="9">
        <v>680</v>
      </c>
      <c r="G192">
        <f t="shared" si="6"/>
        <v>1</v>
      </c>
      <c r="H192">
        <f t="shared" si="7"/>
        <v>30</v>
      </c>
      <c r="I192">
        <f t="shared" si="8"/>
        <v>710</v>
      </c>
    </row>
    <row r="193" spans="1:9" x14ac:dyDescent="0.25">
      <c r="A193" s="10" t="s">
        <v>25</v>
      </c>
      <c r="B193" s="11" t="s">
        <v>68</v>
      </c>
      <c r="C193" s="11" t="s">
        <v>27</v>
      </c>
      <c r="D193" s="12">
        <v>41696</v>
      </c>
      <c r="E193" s="12">
        <v>41700</v>
      </c>
      <c r="F193" s="13">
        <v>954</v>
      </c>
      <c r="G193">
        <f t="shared" si="6"/>
        <v>5</v>
      </c>
      <c r="H193">
        <f t="shared" si="7"/>
        <v>126</v>
      </c>
      <c r="I193">
        <f t="shared" si="8"/>
        <v>1080</v>
      </c>
    </row>
    <row r="194" spans="1:9" x14ac:dyDescent="0.25">
      <c r="A194" s="6" t="s">
        <v>73</v>
      </c>
      <c r="B194" s="7" t="s">
        <v>155</v>
      </c>
      <c r="C194" s="7" t="s">
        <v>19</v>
      </c>
      <c r="D194" s="8">
        <v>41696</v>
      </c>
      <c r="E194" s="8">
        <v>41698</v>
      </c>
      <c r="F194" s="9">
        <v>795.4</v>
      </c>
      <c r="G194">
        <f t="shared" si="6"/>
        <v>3</v>
      </c>
      <c r="H194">
        <f t="shared" si="7"/>
        <v>78</v>
      </c>
      <c r="I194">
        <f t="shared" si="8"/>
        <v>873.4</v>
      </c>
    </row>
    <row r="195" spans="1:9" x14ac:dyDescent="0.25">
      <c r="A195" s="10" t="s">
        <v>156</v>
      </c>
      <c r="B195" s="11" t="s">
        <v>157</v>
      </c>
      <c r="C195" s="11" t="s">
        <v>14</v>
      </c>
      <c r="D195" s="12">
        <v>41696</v>
      </c>
      <c r="E195" s="12">
        <v>41699</v>
      </c>
      <c r="F195" s="13">
        <v>550.5</v>
      </c>
      <c r="G195">
        <f t="shared" ref="G195:G258" si="9">E195-D195 + 1</f>
        <v>4</v>
      </c>
      <c r="H195">
        <f t="shared" ref="H195:H258" si="10">30+(G195-1)*24</f>
        <v>102</v>
      </c>
      <c r="I195">
        <f t="shared" ref="I195:I258" si="11">H195+F195</f>
        <v>652.5</v>
      </c>
    </row>
    <row r="196" spans="1:9" x14ac:dyDescent="0.25">
      <c r="A196" s="6" t="s">
        <v>137</v>
      </c>
      <c r="B196" s="7" t="s">
        <v>160</v>
      </c>
      <c r="C196" s="7" t="s">
        <v>24</v>
      </c>
      <c r="D196" s="8">
        <v>41696</v>
      </c>
      <c r="E196" s="8">
        <v>41697</v>
      </c>
      <c r="F196" s="9">
        <v>439.7</v>
      </c>
      <c r="G196">
        <f t="shared" si="9"/>
        <v>2</v>
      </c>
      <c r="H196">
        <f t="shared" si="10"/>
        <v>54</v>
      </c>
      <c r="I196">
        <f t="shared" si="11"/>
        <v>493.7</v>
      </c>
    </row>
    <row r="197" spans="1:9" x14ac:dyDescent="0.25">
      <c r="A197" s="10" t="s">
        <v>15</v>
      </c>
      <c r="B197" s="11" t="s">
        <v>16</v>
      </c>
      <c r="C197" s="11" t="s">
        <v>17</v>
      </c>
      <c r="D197" s="12">
        <v>41696</v>
      </c>
      <c r="E197" s="12">
        <v>41697</v>
      </c>
      <c r="F197" s="13">
        <v>706.5</v>
      </c>
      <c r="G197">
        <f t="shared" si="9"/>
        <v>2</v>
      </c>
      <c r="H197">
        <f t="shared" si="10"/>
        <v>54</v>
      </c>
      <c r="I197">
        <f t="shared" si="11"/>
        <v>760.5</v>
      </c>
    </row>
    <row r="198" spans="1:9" x14ac:dyDescent="0.25">
      <c r="A198" s="6" t="s">
        <v>91</v>
      </c>
      <c r="B198" s="7" t="s">
        <v>161</v>
      </c>
      <c r="C198" s="7" t="s">
        <v>66</v>
      </c>
      <c r="D198" s="8">
        <v>41696</v>
      </c>
      <c r="E198" s="8">
        <v>41697</v>
      </c>
      <c r="F198" s="9">
        <v>485.7</v>
      </c>
      <c r="G198">
        <f t="shared" si="9"/>
        <v>2</v>
      </c>
      <c r="H198">
        <f t="shared" si="10"/>
        <v>54</v>
      </c>
      <c r="I198">
        <f t="shared" si="11"/>
        <v>539.70000000000005</v>
      </c>
    </row>
    <row r="199" spans="1:9" x14ac:dyDescent="0.25">
      <c r="A199" s="10" t="s">
        <v>131</v>
      </c>
      <c r="B199" s="11" t="s">
        <v>154</v>
      </c>
      <c r="C199" s="11" t="s">
        <v>38</v>
      </c>
      <c r="D199" s="12">
        <v>41698</v>
      </c>
      <c r="E199" s="12">
        <v>41698</v>
      </c>
      <c r="F199" s="13">
        <v>278.8</v>
      </c>
      <c r="G199">
        <f t="shared" si="9"/>
        <v>1</v>
      </c>
      <c r="H199">
        <f t="shared" si="10"/>
        <v>30</v>
      </c>
      <c r="I199">
        <f t="shared" si="11"/>
        <v>308.8</v>
      </c>
    </row>
    <row r="200" spans="1:9" x14ac:dyDescent="0.25">
      <c r="A200" s="6" t="s">
        <v>15</v>
      </c>
      <c r="B200" s="7" t="s">
        <v>44</v>
      </c>
      <c r="C200" s="7" t="s">
        <v>72</v>
      </c>
      <c r="D200" s="8">
        <v>41701</v>
      </c>
      <c r="E200" s="8">
        <v>41702</v>
      </c>
      <c r="F200" s="9">
        <v>693.7</v>
      </c>
      <c r="G200">
        <f t="shared" si="9"/>
        <v>2</v>
      </c>
      <c r="H200">
        <f t="shared" si="10"/>
        <v>54</v>
      </c>
      <c r="I200">
        <f t="shared" si="11"/>
        <v>747.7</v>
      </c>
    </row>
    <row r="201" spans="1:9" x14ac:dyDescent="0.25">
      <c r="A201" s="10" t="s">
        <v>54</v>
      </c>
      <c r="B201" s="11" t="s">
        <v>55</v>
      </c>
      <c r="C201" s="11" t="s">
        <v>72</v>
      </c>
      <c r="D201" s="12">
        <v>41701</v>
      </c>
      <c r="E201" s="12">
        <v>41701</v>
      </c>
      <c r="F201" s="13">
        <v>494.7</v>
      </c>
      <c r="G201">
        <f t="shared" si="9"/>
        <v>1</v>
      </c>
      <c r="H201">
        <f t="shared" si="10"/>
        <v>30</v>
      </c>
      <c r="I201">
        <f t="shared" si="11"/>
        <v>524.70000000000005</v>
      </c>
    </row>
    <row r="202" spans="1:9" x14ac:dyDescent="0.25">
      <c r="A202" s="6" t="s">
        <v>99</v>
      </c>
      <c r="B202" s="7" t="s">
        <v>130</v>
      </c>
      <c r="C202" s="7" t="s">
        <v>17</v>
      </c>
      <c r="D202" s="8">
        <v>41701</v>
      </c>
      <c r="E202" s="8">
        <v>41703</v>
      </c>
      <c r="F202" s="9">
        <v>911.5</v>
      </c>
      <c r="G202">
        <f t="shared" si="9"/>
        <v>3</v>
      </c>
      <c r="H202">
        <f t="shared" si="10"/>
        <v>78</v>
      </c>
      <c r="I202">
        <f t="shared" si="11"/>
        <v>989.5</v>
      </c>
    </row>
    <row r="203" spans="1:9" x14ac:dyDescent="0.25">
      <c r="A203" s="10" t="s">
        <v>28</v>
      </c>
      <c r="B203" s="11" t="s">
        <v>29</v>
      </c>
      <c r="C203" s="11" t="s">
        <v>11</v>
      </c>
      <c r="D203" s="12">
        <v>41701</v>
      </c>
      <c r="E203" s="12">
        <v>41702</v>
      </c>
      <c r="F203" s="13">
        <v>295.39999999999998</v>
      </c>
      <c r="G203">
        <f t="shared" si="9"/>
        <v>2</v>
      </c>
      <c r="H203">
        <f t="shared" si="10"/>
        <v>54</v>
      </c>
      <c r="I203">
        <f t="shared" si="11"/>
        <v>349.4</v>
      </c>
    </row>
    <row r="204" spans="1:9" x14ac:dyDescent="0.25">
      <c r="A204" s="6" t="s">
        <v>73</v>
      </c>
      <c r="B204" s="7" t="s">
        <v>104</v>
      </c>
      <c r="C204" s="7" t="s">
        <v>11</v>
      </c>
      <c r="D204" s="8">
        <v>41701</v>
      </c>
      <c r="E204" s="8">
        <v>41705</v>
      </c>
      <c r="F204" s="9">
        <v>712.4</v>
      </c>
      <c r="G204">
        <f t="shared" si="9"/>
        <v>5</v>
      </c>
      <c r="H204">
        <f t="shared" si="10"/>
        <v>126</v>
      </c>
      <c r="I204">
        <f t="shared" si="11"/>
        <v>838.4</v>
      </c>
    </row>
    <row r="205" spans="1:9" x14ac:dyDescent="0.25">
      <c r="A205" s="10" t="s">
        <v>54</v>
      </c>
      <c r="B205" s="11" t="s">
        <v>121</v>
      </c>
      <c r="C205" s="11" t="s">
        <v>30</v>
      </c>
      <c r="D205" s="12">
        <v>41701</v>
      </c>
      <c r="E205" s="12">
        <v>41703</v>
      </c>
      <c r="F205" s="13">
        <v>450.5</v>
      </c>
      <c r="G205">
        <f t="shared" si="9"/>
        <v>3</v>
      </c>
      <c r="H205">
        <f t="shared" si="10"/>
        <v>78</v>
      </c>
      <c r="I205">
        <f t="shared" si="11"/>
        <v>528.5</v>
      </c>
    </row>
    <row r="206" spans="1:9" x14ac:dyDescent="0.25">
      <c r="A206" s="6" t="s">
        <v>73</v>
      </c>
      <c r="B206" s="7" t="s">
        <v>155</v>
      </c>
      <c r="C206" s="7" t="s">
        <v>14</v>
      </c>
      <c r="D206" s="8">
        <v>41701</v>
      </c>
      <c r="E206" s="8">
        <v>41704</v>
      </c>
      <c r="F206" s="9">
        <v>550.5</v>
      </c>
      <c r="G206">
        <f t="shared" si="9"/>
        <v>4</v>
      </c>
      <c r="H206">
        <f t="shared" si="10"/>
        <v>102</v>
      </c>
      <c r="I206">
        <f t="shared" si="11"/>
        <v>652.5</v>
      </c>
    </row>
    <row r="207" spans="1:9" x14ac:dyDescent="0.25">
      <c r="A207" s="10" t="s">
        <v>75</v>
      </c>
      <c r="B207" s="11" t="s">
        <v>88</v>
      </c>
      <c r="C207" s="11" t="s">
        <v>27</v>
      </c>
      <c r="D207" s="12">
        <v>41701</v>
      </c>
      <c r="E207" s="12">
        <v>41702</v>
      </c>
      <c r="F207" s="13">
        <v>570</v>
      </c>
      <c r="G207">
        <f t="shared" si="9"/>
        <v>2</v>
      </c>
      <c r="H207">
        <f t="shared" si="10"/>
        <v>54</v>
      </c>
      <c r="I207">
        <f t="shared" si="11"/>
        <v>624</v>
      </c>
    </row>
    <row r="208" spans="1:9" x14ac:dyDescent="0.25">
      <c r="A208" s="6" t="s">
        <v>137</v>
      </c>
      <c r="B208" s="7" t="s">
        <v>160</v>
      </c>
      <c r="C208" s="7" t="s">
        <v>27</v>
      </c>
      <c r="D208" s="8">
        <v>41701</v>
      </c>
      <c r="E208" s="8">
        <v>41703</v>
      </c>
      <c r="F208" s="9">
        <v>698</v>
      </c>
      <c r="G208">
        <f t="shared" si="9"/>
        <v>3</v>
      </c>
      <c r="H208">
        <f t="shared" si="10"/>
        <v>78</v>
      </c>
      <c r="I208">
        <f t="shared" si="11"/>
        <v>776</v>
      </c>
    </row>
    <row r="209" spans="1:9" x14ac:dyDescent="0.25">
      <c r="A209" s="10" t="s">
        <v>111</v>
      </c>
      <c r="B209" s="11" t="s">
        <v>112</v>
      </c>
      <c r="C209" s="11" t="s">
        <v>11</v>
      </c>
      <c r="D209" s="12">
        <v>41701</v>
      </c>
      <c r="E209" s="12">
        <v>41701</v>
      </c>
      <c r="F209" s="13">
        <v>156.4</v>
      </c>
      <c r="G209">
        <f t="shared" si="9"/>
        <v>1</v>
      </c>
      <c r="H209">
        <f t="shared" si="10"/>
        <v>30</v>
      </c>
      <c r="I209">
        <f t="shared" si="11"/>
        <v>186.4</v>
      </c>
    </row>
    <row r="210" spans="1:9" x14ac:dyDescent="0.25">
      <c r="A210" s="6" t="s">
        <v>89</v>
      </c>
      <c r="B210" s="7" t="s">
        <v>90</v>
      </c>
      <c r="C210" s="7" t="s">
        <v>8</v>
      </c>
      <c r="D210" s="8">
        <v>41701</v>
      </c>
      <c r="E210" s="8">
        <v>41705</v>
      </c>
      <c r="F210" s="9">
        <v>1524</v>
      </c>
      <c r="G210">
        <f t="shared" si="9"/>
        <v>5</v>
      </c>
      <c r="H210">
        <f t="shared" si="10"/>
        <v>126</v>
      </c>
      <c r="I210">
        <f t="shared" si="11"/>
        <v>1650</v>
      </c>
    </row>
    <row r="211" spans="1:9" x14ac:dyDescent="0.25">
      <c r="A211" s="10" t="s">
        <v>20</v>
      </c>
      <c r="B211" s="11" t="s">
        <v>162</v>
      </c>
      <c r="C211" s="11" t="s">
        <v>47</v>
      </c>
      <c r="D211" s="12">
        <v>41701</v>
      </c>
      <c r="E211" s="12">
        <v>41705</v>
      </c>
      <c r="F211" s="13">
        <v>1015.8</v>
      </c>
      <c r="G211">
        <f t="shared" si="9"/>
        <v>5</v>
      </c>
      <c r="H211">
        <f t="shared" si="10"/>
        <v>126</v>
      </c>
      <c r="I211">
        <f t="shared" si="11"/>
        <v>1141.8</v>
      </c>
    </row>
    <row r="212" spans="1:9" x14ac:dyDescent="0.25">
      <c r="A212" s="6" t="s">
        <v>137</v>
      </c>
      <c r="B212" s="7" t="s">
        <v>138</v>
      </c>
      <c r="C212" s="7" t="s">
        <v>17</v>
      </c>
      <c r="D212" s="8">
        <v>41701</v>
      </c>
      <c r="E212" s="8">
        <v>41703</v>
      </c>
      <c r="F212" s="9">
        <v>911.5</v>
      </c>
      <c r="G212">
        <f t="shared" si="9"/>
        <v>3</v>
      </c>
      <c r="H212">
        <f t="shared" si="10"/>
        <v>78</v>
      </c>
      <c r="I212">
        <f t="shared" si="11"/>
        <v>989.5</v>
      </c>
    </row>
    <row r="213" spans="1:9" x14ac:dyDescent="0.25">
      <c r="A213" s="10" t="s">
        <v>64</v>
      </c>
      <c r="B213" s="11" t="s">
        <v>65</v>
      </c>
      <c r="C213" s="11" t="s">
        <v>47</v>
      </c>
      <c r="D213" s="12">
        <v>41701</v>
      </c>
      <c r="E213" s="12">
        <v>41705</v>
      </c>
      <c r="F213" s="13">
        <v>1015.8</v>
      </c>
      <c r="G213">
        <f t="shared" si="9"/>
        <v>5</v>
      </c>
      <c r="H213">
        <f t="shared" si="10"/>
        <v>126</v>
      </c>
      <c r="I213">
        <f t="shared" si="11"/>
        <v>1141.8</v>
      </c>
    </row>
    <row r="214" spans="1:9" x14ac:dyDescent="0.25">
      <c r="A214" s="6" t="s">
        <v>86</v>
      </c>
      <c r="B214" s="7" t="s">
        <v>136</v>
      </c>
      <c r="C214" s="7" t="s">
        <v>38</v>
      </c>
      <c r="D214" s="8">
        <v>41701</v>
      </c>
      <c r="E214" s="8">
        <v>41701</v>
      </c>
      <c r="F214" s="9">
        <v>278.8</v>
      </c>
      <c r="G214">
        <f t="shared" si="9"/>
        <v>1</v>
      </c>
      <c r="H214">
        <f t="shared" si="10"/>
        <v>30</v>
      </c>
      <c r="I214">
        <f t="shared" si="11"/>
        <v>308.8</v>
      </c>
    </row>
    <row r="215" spans="1:9" x14ac:dyDescent="0.25">
      <c r="A215" s="10" t="s">
        <v>20</v>
      </c>
      <c r="B215" s="11" t="s">
        <v>21</v>
      </c>
      <c r="C215" s="11" t="s">
        <v>14</v>
      </c>
      <c r="D215" s="12">
        <v>41701</v>
      </c>
      <c r="E215" s="12">
        <v>41704</v>
      </c>
      <c r="F215" s="13">
        <v>550.5</v>
      </c>
      <c r="G215">
        <f t="shared" si="9"/>
        <v>4</v>
      </c>
      <c r="H215">
        <f t="shared" si="10"/>
        <v>102</v>
      </c>
      <c r="I215">
        <f t="shared" si="11"/>
        <v>652.5</v>
      </c>
    </row>
    <row r="216" spans="1:9" x14ac:dyDescent="0.25">
      <c r="A216" s="6" t="s">
        <v>42</v>
      </c>
      <c r="B216" s="7" t="s">
        <v>43</v>
      </c>
      <c r="C216" s="7" t="s">
        <v>72</v>
      </c>
      <c r="D216" s="8">
        <v>41704</v>
      </c>
      <c r="E216" s="8">
        <v>41704</v>
      </c>
      <c r="F216" s="9">
        <v>494.7</v>
      </c>
      <c r="G216">
        <f t="shared" si="9"/>
        <v>1</v>
      </c>
      <c r="H216">
        <f t="shared" si="10"/>
        <v>30</v>
      </c>
      <c r="I216">
        <f t="shared" si="11"/>
        <v>524.70000000000005</v>
      </c>
    </row>
    <row r="217" spans="1:9" x14ac:dyDescent="0.25">
      <c r="A217" s="10" t="s">
        <v>111</v>
      </c>
      <c r="B217" s="11" t="s">
        <v>112</v>
      </c>
      <c r="C217" s="11" t="s">
        <v>30</v>
      </c>
      <c r="D217" s="12">
        <v>41704</v>
      </c>
      <c r="E217" s="12">
        <v>41704</v>
      </c>
      <c r="F217" s="13">
        <v>212.5</v>
      </c>
      <c r="G217">
        <f t="shared" si="9"/>
        <v>1</v>
      </c>
      <c r="H217">
        <f t="shared" si="10"/>
        <v>30</v>
      </c>
      <c r="I217">
        <f t="shared" si="11"/>
        <v>242.5</v>
      </c>
    </row>
    <row r="218" spans="1:9" x14ac:dyDescent="0.25">
      <c r="A218" s="6" t="s">
        <v>86</v>
      </c>
      <c r="B218" s="7" t="s">
        <v>136</v>
      </c>
      <c r="C218" s="7" t="s">
        <v>24</v>
      </c>
      <c r="D218" s="8">
        <v>41705</v>
      </c>
      <c r="E218" s="8">
        <v>41705</v>
      </c>
      <c r="F218" s="9">
        <v>290.7</v>
      </c>
      <c r="G218">
        <f t="shared" si="9"/>
        <v>1</v>
      </c>
      <c r="H218">
        <f t="shared" si="10"/>
        <v>30</v>
      </c>
      <c r="I218">
        <f t="shared" si="11"/>
        <v>320.7</v>
      </c>
    </row>
    <row r="219" spans="1:9" x14ac:dyDescent="0.25">
      <c r="A219" s="10" t="s">
        <v>57</v>
      </c>
      <c r="B219" s="11" t="s">
        <v>163</v>
      </c>
      <c r="C219" s="11" t="s">
        <v>27</v>
      </c>
      <c r="D219" s="12">
        <v>41707</v>
      </c>
      <c r="E219" s="12">
        <v>41710</v>
      </c>
      <c r="F219" s="13">
        <v>826</v>
      </c>
      <c r="G219">
        <f t="shared" si="9"/>
        <v>4</v>
      </c>
      <c r="H219">
        <f t="shared" si="10"/>
        <v>102</v>
      </c>
      <c r="I219">
        <f t="shared" si="11"/>
        <v>928</v>
      </c>
    </row>
    <row r="220" spans="1:9" x14ac:dyDescent="0.25">
      <c r="A220" s="6" t="s">
        <v>131</v>
      </c>
      <c r="B220" s="7" t="s">
        <v>154</v>
      </c>
      <c r="C220" s="7" t="s">
        <v>24</v>
      </c>
      <c r="D220" s="8">
        <v>41708</v>
      </c>
      <c r="E220" s="8">
        <v>41708</v>
      </c>
      <c r="F220" s="9">
        <v>290.7</v>
      </c>
      <c r="G220">
        <f t="shared" si="9"/>
        <v>1</v>
      </c>
      <c r="H220">
        <f t="shared" si="10"/>
        <v>30</v>
      </c>
      <c r="I220">
        <f t="shared" si="11"/>
        <v>320.7</v>
      </c>
    </row>
    <row r="221" spans="1:9" x14ac:dyDescent="0.25">
      <c r="A221" s="10" t="s">
        <v>99</v>
      </c>
      <c r="B221" s="11" t="s">
        <v>130</v>
      </c>
      <c r="C221" s="11" t="s">
        <v>30</v>
      </c>
      <c r="D221" s="12">
        <v>41708</v>
      </c>
      <c r="E221" s="12">
        <v>41710</v>
      </c>
      <c r="F221" s="13">
        <v>450.5</v>
      </c>
      <c r="G221">
        <f t="shared" si="9"/>
        <v>3</v>
      </c>
      <c r="H221">
        <f t="shared" si="10"/>
        <v>78</v>
      </c>
      <c r="I221">
        <f t="shared" si="11"/>
        <v>528.5</v>
      </c>
    </row>
    <row r="222" spans="1:9" x14ac:dyDescent="0.25">
      <c r="A222" s="6" t="s">
        <v>9</v>
      </c>
      <c r="B222" s="7" t="s">
        <v>10</v>
      </c>
      <c r="C222" s="7" t="s">
        <v>66</v>
      </c>
      <c r="D222" s="8">
        <v>41708</v>
      </c>
      <c r="E222" s="8">
        <v>41711</v>
      </c>
      <c r="F222" s="9">
        <v>841.7</v>
      </c>
      <c r="G222">
        <f t="shared" si="9"/>
        <v>4</v>
      </c>
      <c r="H222">
        <f t="shared" si="10"/>
        <v>102</v>
      </c>
      <c r="I222">
        <f t="shared" si="11"/>
        <v>943.7</v>
      </c>
    </row>
    <row r="223" spans="1:9" x14ac:dyDescent="0.25">
      <c r="A223" s="10" t="s">
        <v>164</v>
      </c>
      <c r="B223" s="11" t="s">
        <v>165</v>
      </c>
      <c r="C223" s="11" t="s">
        <v>14</v>
      </c>
      <c r="D223" s="12">
        <v>41708</v>
      </c>
      <c r="E223" s="12">
        <v>41710</v>
      </c>
      <c r="F223" s="13">
        <v>426.5</v>
      </c>
      <c r="G223">
        <f t="shared" si="9"/>
        <v>3</v>
      </c>
      <c r="H223">
        <f t="shared" si="10"/>
        <v>78</v>
      </c>
      <c r="I223">
        <f t="shared" si="11"/>
        <v>504.5</v>
      </c>
    </row>
    <row r="224" spans="1:9" x14ac:dyDescent="0.25">
      <c r="A224" s="6" t="s">
        <v>93</v>
      </c>
      <c r="B224" s="7" t="s">
        <v>94</v>
      </c>
      <c r="C224" s="7" t="s">
        <v>11</v>
      </c>
      <c r="D224" s="8">
        <v>41708</v>
      </c>
      <c r="E224" s="8">
        <v>41710</v>
      </c>
      <c r="F224" s="9">
        <v>434.4</v>
      </c>
      <c r="G224">
        <f t="shared" si="9"/>
        <v>3</v>
      </c>
      <c r="H224">
        <f t="shared" si="10"/>
        <v>78</v>
      </c>
      <c r="I224">
        <f t="shared" si="11"/>
        <v>512.4</v>
      </c>
    </row>
    <row r="225" spans="1:9" x14ac:dyDescent="0.25">
      <c r="A225" s="10" t="s">
        <v>54</v>
      </c>
      <c r="B225" s="11" t="s">
        <v>121</v>
      </c>
      <c r="C225" s="11" t="s">
        <v>47</v>
      </c>
      <c r="D225" s="12">
        <v>41709</v>
      </c>
      <c r="E225" s="12">
        <v>41709</v>
      </c>
      <c r="F225" s="13">
        <v>363.8</v>
      </c>
      <c r="G225">
        <f t="shared" si="9"/>
        <v>1</v>
      </c>
      <c r="H225">
        <f t="shared" si="10"/>
        <v>30</v>
      </c>
      <c r="I225">
        <f t="shared" si="11"/>
        <v>393.8</v>
      </c>
    </row>
    <row r="226" spans="1:9" x14ac:dyDescent="0.25">
      <c r="A226" s="6" t="s">
        <v>137</v>
      </c>
      <c r="B226" s="7" t="s">
        <v>138</v>
      </c>
      <c r="C226" s="7" t="s">
        <v>27</v>
      </c>
      <c r="D226" s="8">
        <v>41709</v>
      </c>
      <c r="E226" s="8">
        <v>41711</v>
      </c>
      <c r="F226" s="9">
        <v>698</v>
      </c>
      <c r="G226">
        <f t="shared" si="9"/>
        <v>3</v>
      </c>
      <c r="H226">
        <f t="shared" si="10"/>
        <v>78</v>
      </c>
      <c r="I226">
        <f t="shared" si="11"/>
        <v>776</v>
      </c>
    </row>
    <row r="227" spans="1:9" x14ac:dyDescent="0.25">
      <c r="A227" s="10" t="s">
        <v>137</v>
      </c>
      <c r="B227" s="11" t="s">
        <v>160</v>
      </c>
      <c r="C227" s="11" t="s">
        <v>66</v>
      </c>
      <c r="D227" s="12">
        <v>41710</v>
      </c>
      <c r="E227" s="12">
        <v>41710</v>
      </c>
      <c r="F227" s="13">
        <v>307.7</v>
      </c>
      <c r="G227">
        <f t="shared" si="9"/>
        <v>1</v>
      </c>
      <c r="H227">
        <f t="shared" si="10"/>
        <v>30</v>
      </c>
      <c r="I227">
        <f t="shared" si="11"/>
        <v>337.7</v>
      </c>
    </row>
    <row r="228" spans="1:9" x14ac:dyDescent="0.25">
      <c r="A228" s="6" t="s">
        <v>33</v>
      </c>
      <c r="B228" s="7" t="s">
        <v>141</v>
      </c>
      <c r="C228" s="7" t="s">
        <v>30</v>
      </c>
      <c r="D228" s="8">
        <v>41713</v>
      </c>
      <c r="E228" s="8">
        <v>41715</v>
      </c>
      <c r="F228" s="9">
        <v>450.5</v>
      </c>
      <c r="G228">
        <f t="shared" si="9"/>
        <v>3</v>
      </c>
      <c r="H228">
        <f t="shared" si="10"/>
        <v>78</v>
      </c>
      <c r="I228">
        <f t="shared" si="11"/>
        <v>528.5</v>
      </c>
    </row>
    <row r="229" spans="1:9" x14ac:dyDescent="0.25">
      <c r="A229" s="10" t="s">
        <v>6</v>
      </c>
      <c r="B229" s="11" t="s">
        <v>139</v>
      </c>
      <c r="C229" s="11" t="s">
        <v>19</v>
      </c>
      <c r="D229" s="12">
        <v>41713</v>
      </c>
      <c r="E229" s="12">
        <v>41717</v>
      </c>
      <c r="F229" s="13">
        <v>1077.4000000000001</v>
      </c>
      <c r="G229">
        <f t="shared" si="9"/>
        <v>5</v>
      </c>
      <c r="H229">
        <f t="shared" si="10"/>
        <v>126</v>
      </c>
      <c r="I229">
        <f t="shared" si="11"/>
        <v>1203.4000000000001</v>
      </c>
    </row>
    <row r="230" spans="1:9" x14ac:dyDescent="0.25">
      <c r="A230" s="6" t="s">
        <v>15</v>
      </c>
      <c r="B230" s="7" t="s">
        <v>46</v>
      </c>
      <c r="C230" s="7" t="s">
        <v>38</v>
      </c>
      <c r="D230" s="8">
        <v>41713</v>
      </c>
      <c r="E230" s="8">
        <v>41714</v>
      </c>
      <c r="F230" s="9">
        <v>407.8</v>
      </c>
      <c r="G230">
        <f t="shared" si="9"/>
        <v>2</v>
      </c>
      <c r="H230">
        <f t="shared" si="10"/>
        <v>54</v>
      </c>
      <c r="I230">
        <f t="shared" si="11"/>
        <v>461.8</v>
      </c>
    </row>
    <row r="231" spans="1:9" x14ac:dyDescent="0.25">
      <c r="A231" s="10" t="s">
        <v>128</v>
      </c>
      <c r="B231" s="11" t="s">
        <v>129</v>
      </c>
      <c r="C231" s="11" t="s">
        <v>47</v>
      </c>
      <c r="D231" s="12">
        <v>41713</v>
      </c>
      <c r="E231" s="12">
        <v>41716</v>
      </c>
      <c r="F231" s="13">
        <v>852.8</v>
      </c>
      <c r="G231">
        <f t="shared" si="9"/>
        <v>4</v>
      </c>
      <c r="H231">
        <f t="shared" si="10"/>
        <v>102</v>
      </c>
      <c r="I231">
        <f t="shared" si="11"/>
        <v>954.8</v>
      </c>
    </row>
    <row r="232" spans="1:9" x14ac:dyDescent="0.25">
      <c r="A232" s="6" t="s">
        <v>131</v>
      </c>
      <c r="B232" s="7" t="s">
        <v>154</v>
      </c>
      <c r="C232" s="7" t="s">
        <v>27</v>
      </c>
      <c r="D232" s="8">
        <v>41713</v>
      </c>
      <c r="E232" s="8">
        <v>41715</v>
      </c>
      <c r="F232" s="9">
        <v>698</v>
      </c>
      <c r="G232">
        <f t="shared" si="9"/>
        <v>3</v>
      </c>
      <c r="H232">
        <f t="shared" si="10"/>
        <v>78</v>
      </c>
      <c r="I232">
        <f t="shared" si="11"/>
        <v>776</v>
      </c>
    </row>
    <row r="233" spans="1:9" x14ac:dyDescent="0.25">
      <c r="A233" s="10" t="s">
        <v>131</v>
      </c>
      <c r="B233" s="11" t="s">
        <v>142</v>
      </c>
      <c r="C233" s="11" t="s">
        <v>8</v>
      </c>
      <c r="D233" s="12">
        <v>41713</v>
      </c>
      <c r="E233" s="12">
        <v>41716</v>
      </c>
      <c r="F233" s="13">
        <v>1313</v>
      </c>
      <c r="G233">
        <f t="shared" si="9"/>
        <v>4</v>
      </c>
      <c r="H233">
        <f t="shared" si="10"/>
        <v>102</v>
      </c>
      <c r="I233">
        <f t="shared" si="11"/>
        <v>1415</v>
      </c>
    </row>
    <row r="234" spans="1:9" x14ac:dyDescent="0.25">
      <c r="A234" s="6" t="s">
        <v>28</v>
      </c>
      <c r="B234" s="7" t="s">
        <v>60</v>
      </c>
      <c r="C234" s="7" t="s">
        <v>72</v>
      </c>
      <c r="D234" s="8">
        <v>41713</v>
      </c>
      <c r="E234" s="8">
        <v>41716</v>
      </c>
      <c r="F234" s="9">
        <v>1091.7</v>
      </c>
      <c r="G234">
        <f t="shared" si="9"/>
        <v>4</v>
      </c>
      <c r="H234">
        <f t="shared" si="10"/>
        <v>102</v>
      </c>
      <c r="I234">
        <f t="shared" si="11"/>
        <v>1193.7</v>
      </c>
    </row>
    <row r="235" spans="1:9" x14ac:dyDescent="0.25">
      <c r="A235" s="10" t="s">
        <v>25</v>
      </c>
      <c r="B235" s="11" t="s">
        <v>68</v>
      </c>
      <c r="C235" s="11" t="s">
        <v>38</v>
      </c>
      <c r="D235" s="12">
        <v>41713</v>
      </c>
      <c r="E235" s="12">
        <v>41714</v>
      </c>
      <c r="F235" s="13">
        <v>407.8</v>
      </c>
      <c r="G235">
        <f t="shared" si="9"/>
        <v>2</v>
      </c>
      <c r="H235">
        <f t="shared" si="10"/>
        <v>54</v>
      </c>
      <c r="I235">
        <f t="shared" si="11"/>
        <v>461.8</v>
      </c>
    </row>
    <row r="236" spans="1:9" x14ac:dyDescent="0.25">
      <c r="A236" s="6" t="s">
        <v>33</v>
      </c>
      <c r="B236" s="7" t="s">
        <v>41</v>
      </c>
      <c r="C236" s="7" t="s">
        <v>72</v>
      </c>
      <c r="D236" s="8">
        <v>41713</v>
      </c>
      <c r="E236" s="8">
        <v>41717</v>
      </c>
      <c r="F236" s="9">
        <v>1290.7</v>
      </c>
      <c r="G236">
        <f t="shared" si="9"/>
        <v>5</v>
      </c>
      <c r="H236">
        <f t="shared" si="10"/>
        <v>126</v>
      </c>
      <c r="I236">
        <f t="shared" si="11"/>
        <v>1416.7</v>
      </c>
    </row>
    <row r="237" spans="1:9" x14ac:dyDescent="0.25">
      <c r="A237" s="10" t="s">
        <v>9</v>
      </c>
      <c r="B237" s="11" t="s">
        <v>103</v>
      </c>
      <c r="C237" s="11" t="s">
        <v>27</v>
      </c>
      <c r="D237" s="12">
        <v>41713</v>
      </c>
      <c r="E237" s="12">
        <v>41717</v>
      </c>
      <c r="F237" s="13">
        <v>954</v>
      </c>
      <c r="G237">
        <f t="shared" si="9"/>
        <v>5</v>
      </c>
      <c r="H237">
        <f t="shared" si="10"/>
        <v>126</v>
      </c>
      <c r="I237">
        <f t="shared" si="11"/>
        <v>1080</v>
      </c>
    </row>
    <row r="238" spans="1:9" x14ac:dyDescent="0.25">
      <c r="A238" s="6" t="s">
        <v>73</v>
      </c>
      <c r="B238" s="7" t="s">
        <v>104</v>
      </c>
      <c r="C238" s="7" t="s">
        <v>19</v>
      </c>
      <c r="D238" s="8">
        <v>41713</v>
      </c>
      <c r="E238" s="8">
        <v>41714</v>
      </c>
      <c r="F238" s="9">
        <v>654.4</v>
      </c>
      <c r="G238">
        <f t="shared" si="9"/>
        <v>2</v>
      </c>
      <c r="H238">
        <f t="shared" si="10"/>
        <v>54</v>
      </c>
      <c r="I238">
        <f t="shared" si="11"/>
        <v>708.4</v>
      </c>
    </row>
    <row r="239" spans="1:9" x14ac:dyDescent="0.25">
      <c r="A239" s="10" t="s">
        <v>73</v>
      </c>
      <c r="B239" s="11" t="s">
        <v>155</v>
      </c>
      <c r="C239" s="11" t="s">
        <v>27</v>
      </c>
      <c r="D239" s="12">
        <v>41713</v>
      </c>
      <c r="E239" s="12">
        <v>41713</v>
      </c>
      <c r="F239" s="13">
        <v>442</v>
      </c>
      <c r="G239">
        <f t="shared" si="9"/>
        <v>1</v>
      </c>
      <c r="H239">
        <f t="shared" si="10"/>
        <v>30</v>
      </c>
      <c r="I239">
        <f t="shared" si="11"/>
        <v>472</v>
      </c>
    </row>
    <row r="240" spans="1:9" x14ac:dyDescent="0.25">
      <c r="A240" s="6" t="s">
        <v>166</v>
      </c>
      <c r="B240" s="7" t="s">
        <v>167</v>
      </c>
      <c r="C240" s="7" t="s">
        <v>8</v>
      </c>
      <c r="D240" s="8">
        <v>41713</v>
      </c>
      <c r="E240" s="8">
        <v>41715</v>
      </c>
      <c r="F240" s="9">
        <v>1102</v>
      </c>
      <c r="G240">
        <f t="shared" si="9"/>
        <v>3</v>
      </c>
      <c r="H240">
        <f t="shared" si="10"/>
        <v>78</v>
      </c>
      <c r="I240">
        <f t="shared" si="11"/>
        <v>1180</v>
      </c>
    </row>
    <row r="241" spans="1:9" x14ac:dyDescent="0.25">
      <c r="A241" s="10" t="s">
        <v>6</v>
      </c>
      <c r="B241" s="11" t="s">
        <v>45</v>
      </c>
      <c r="C241" s="11" t="s">
        <v>17</v>
      </c>
      <c r="D241" s="12">
        <v>41713</v>
      </c>
      <c r="E241" s="12">
        <v>41715</v>
      </c>
      <c r="F241" s="13">
        <v>911.5</v>
      </c>
      <c r="G241">
        <f t="shared" si="9"/>
        <v>3</v>
      </c>
      <c r="H241">
        <f t="shared" si="10"/>
        <v>78</v>
      </c>
      <c r="I241">
        <f t="shared" si="11"/>
        <v>989.5</v>
      </c>
    </row>
    <row r="242" spans="1:9" x14ac:dyDescent="0.25">
      <c r="A242" s="6" t="s">
        <v>15</v>
      </c>
      <c r="B242" s="7" t="s">
        <v>96</v>
      </c>
      <c r="C242" s="7" t="s">
        <v>17</v>
      </c>
      <c r="D242" s="8">
        <v>41713</v>
      </c>
      <c r="E242" s="8">
        <v>41717</v>
      </c>
      <c r="F242" s="9">
        <v>1321.5</v>
      </c>
      <c r="G242">
        <f t="shared" si="9"/>
        <v>5</v>
      </c>
      <c r="H242">
        <f t="shared" si="10"/>
        <v>126</v>
      </c>
      <c r="I242">
        <f t="shared" si="11"/>
        <v>1447.5</v>
      </c>
    </row>
    <row r="243" spans="1:9" x14ac:dyDescent="0.25">
      <c r="A243" s="10" t="s">
        <v>9</v>
      </c>
      <c r="B243" s="11" t="s">
        <v>18</v>
      </c>
      <c r="C243" s="11" t="s">
        <v>72</v>
      </c>
      <c r="D243" s="12">
        <v>41713</v>
      </c>
      <c r="E243" s="12">
        <v>41716</v>
      </c>
      <c r="F243" s="13">
        <v>1091.7</v>
      </c>
      <c r="G243">
        <f t="shared" si="9"/>
        <v>4</v>
      </c>
      <c r="H243">
        <f t="shared" si="10"/>
        <v>102</v>
      </c>
      <c r="I243">
        <f t="shared" si="11"/>
        <v>1193.7</v>
      </c>
    </row>
    <row r="244" spans="1:9" x14ac:dyDescent="0.25">
      <c r="A244" s="6" t="s">
        <v>82</v>
      </c>
      <c r="B244" s="7" t="s">
        <v>125</v>
      </c>
      <c r="C244" s="7" t="s">
        <v>47</v>
      </c>
      <c r="D244" s="8">
        <v>41715</v>
      </c>
      <c r="E244" s="8">
        <v>41717</v>
      </c>
      <c r="F244" s="9">
        <v>689.8</v>
      </c>
      <c r="G244">
        <f t="shared" si="9"/>
        <v>3</v>
      </c>
      <c r="H244">
        <f t="shared" si="10"/>
        <v>78</v>
      </c>
      <c r="I244">
        <f t="shared" si="11"/>
        <v>767.8</v>
      </c>
    </row>
    <row r="245" spans="1:9" x14ac:dyDescent="0.25">
      <c r="A245" s="10" t="s">
        <v>39</v>
      </c>
      <c r="B245" s="11" t="s">
        <v>40</v>
      </c>
      <c r="C245" s="11" t="s">
        <v>47</v>
      </c>
      <c r="D245" s="12">
        <v>41715</v>
      </c>
      <c r="E245" s="12">
        <v>41716</v>
      </c>
      <c r="F245" s="13">
        <v>526.79999999999995</v>
      </c>
      <c r="G245">
        <f t="shared" si="9"/>
        <v>2</v>
      </c>
      <c r="H245">
        <f t="shared" si="10"/>
        <v>54</v>
      </c>
      <c r="I245">
        <f t="shared" si="11"/>
        <v>580.79999999999995</v>
      </c>
    </row>
    <row r="246" spans="1:9" x14ac:dyDescent="0.25">
      <c r="A246" s="6" t="s">
        <v>15</v>
      </c>
      <c r="B246" s="7" t="s">
        <v>63</v>
      </c>
      <c r="C246" s="7" t="s">
        <v>66</v>
      </c>
      <c r="D246" s="8">
        <v>41715</v>
      </c>
      <c r="E246" s="8">
        <v>41716</v>
      </c>
      <c r="F246" s="9">
        <v>485.7</v>
      </c>
      <c r="G246">
        <f t="shared" si="9"/>
        <v>2</v>
      </c>
      <c r="H246">
        <f t="shared" si="10"/>
        <v>54</v>
      </c>
      <c r="I246">
        <f t="shared" si="11"/>
        <v>539.70000000000005</v>
      </c>
    </row>
    <row r="247" spans="1:9" x14ac:dyDescent="0.25">
      <c r="A247" s="10" t="s">
        <v>57</v>
      </c>
      <c r="B247" s="11" t="s">
        <v>58</v>
      </c>
      <c r="C247" s="11" t="s">
        <v>8</v>
      </c>
      <c r="D247" s="12">
        <v>41715</v>
      </c>
      <c r="E247" s="12">
        <v>41715</v>
      </c>
      <c r="F247" s="13">
        <v>680</v>
      </c>
      <c r="G247">
        <f t="shared" si="9"/>
        <v>1</v>
      </c>
      <c r="H247">
        <f t="shared" si="10"/>
        <v>30</v>
      </c>
      <c r="I247">
        <f t="shared" si="11"/>
        <v>710</v>
      </c>
    </row>
    <row r="248" spans="1:9" x14ac:dyDescent="0.25">
      <c r="A248" s="6" t="s">
        <v>61</v>
      </c>
      <c r="B248" s="7" t="s">
        <v>62</v>
      </c>
      <c r="C248" s="7" t="s">
        <v>72</v>
      </c>
      <c r="D248" s="8">
        <v>41716</v>
      </c>
      <c r="E248" s="8">
        <v>41716</v>
      </c>
      <c r="F248" s="9">
        <v>494.7</v>
      </c>
      <c r="G248">
        <f t="shared" si="9"/>
        <v>1</v>
      </c>
      <c r="H248">
        <f t="shared" si="10"/>
        <v>30</v>
      </c>
      <c r="I248">
        <f t="shared" si="11"/>
        <v>524.70000000000005</v>
      </c>
    </row>
    <row r="249" spans="1:9" x14ac:dyDescent="0.25">
      <c r="A249" s="10" t="s">
        <v>126</v>
      </c>
      <c r="B249" s="11" t="s">
        <v>127</v>
      </c>
      <c r="C249" s="11" t="s">
        <v>14</v>
      </c>
      <c r="D249" s="12">
        <v>41716</v>
      </c>
      <c r="E249" s="12">
        <v>41716</v>
      </c>
      <c r="F249" s="13">
        <v>178.5</v>
      </c>
      <c r="G249">
        <f t="shared" si="9"/>
        <v>1</v>
      </c>
      <c r="H249">
        <f t="shared" si="10"/>
        <v>30</v>
      </c>
      <c r="I249">
        <f t="shared" si="11"/>
        <v>208.5</v>
      </c>
    </row>
    <row r="250" spans="1:9" x14ac:dyDescent="0.25">
      <c r="A250" s="6" t="s">
        <v>12</v>
      </c>
      <c r="B250" s="7" t="s">
        <v>13</v>
      </c>
      <c r="C250" s="7" t="s">
        <v>30</v>
      </c>
      <c r="D250" s="8">
        <v>41716</v>
      </c>
      <c r="E250" s="8">
        <v>41717</v>
      </c>
      <c r="F250" s="9">
        <v>331.5</v>
      </c>
      <c r="G250">
        <f t="shared" si="9"/>
        <v>2</v>
      </c>
      <c r="H250">
        <f t="shared" si="10"/>
        <v>54</v>
      </c>
      <c r="I250">
        <f t="shared" si="11"/>
        <v>385.5</v>
      </c>
    </row>
    <row r="251" spans="1:9" x14ac:dyDescent="0.25">
      <c r="A251" s="10" t="s">
        <v>131</v>
      </c>
      <c r="B251" s="11" t="s">
        <v>142</v>
      </c>
      <c r="C251" s="11" t="s">
        <v>72</v>
      </c>
      <c r="D251" s="12">
        <v>41719</v>
      </c>
      <c r="E251" s="12">
        <v>41723</v>
      </c>
      <c r="F251" s="13">
        <v>1290.7</v>
      </c>
      <c r="G251">
        <f t="shared" si="9"/>
        <v>5</v>
      </c>
      <c r="H251">
        <f t="shared" si="10"/>
        <v>126</v>
      </c>
      <c r="I251">
        <f t="shared" si="11"/>
        <v>1416.7</v>
      </c>
    </row>
    <row r="252" spans="1:9" x14ac:dyDescent="0.25">
      <c r="A252" s="6" t="s">
        <v>54</v>
      </c>
      <c r="B252" s="7" t="s">
        <v>133</v>
      </c>
      <c r="C252" s="7" t="s">
        <v>24</v>
      </c>
      <c r="D252" s="8">
        <v>41719</v>
      </c>
      <c r="E252" s="8">
        <v>41721</v>
      </c>
      <c r="F252" s="9">
        <v>588.70000000000005</v>
      </c>
      <c r="G252">
        <f t="shared" si="9"/>
        <v>3</v>
      </c>
      <c r="H252">
        <f t="shared" si="10"/>
        <v>78</v>
      </c>
      <c r="I252">
        <f t="shared" si="11"/>
        <v>666.7</v>
      </c>
    </row>
    <row r="253" spans="1:9" x14ac:dyDescent="0.25">
      <c r="A253" s="10" t="s">
        <v>25</v>
      </c>
      <c r="B253" s="11" t="s">
        <v>67</v>
      </c>
      <c r="C253" s="11" t="s">
        <v>72</v>
      </c>
      <c r="D253" s="12">
        <v>41719</v>
      </c>
      <c r="E253" s="12">
        <v>41723</v>
      </c>
      <c r="F253" s="13">
        <v>1290.7</v>
      </c>
      <c r="G253">
        <f t="shared" si="9"/>
        <v>5</v>
      </c>
      <c r="H253">
        <f t="shared" si="10"/>
        <v>126</v>
      </c>
      <c r="I253">
        <f t="shared" si="11"/>
        <v>1416.7</v>
      </c>
    </row>
    <row r="254" spans="1:9" x14ac:dyDescent="0.25">
      <c r="A254" s="6" t="s">
        <v>70</v>
      </c>
      <c r="B254" s="7" t="s">
        <v>71</v>
      </c>
      <c r="C254" s="7" t="s">
        <v>11</v>
      </c>
      <c r="D254" s="8">
        <v>41719</v>
      </c>
      <c r="E254" s="8">
        <v>41720</v>
      </c>
      <c r="F254" s="9">
        <v>295.39999999999998</v>
      </c>
      <c r="G254">
        <f t="shared" si="9"/>
        <v>2</v>
      </c>
      <c r="H254">
        <f t="shared" si="10"/>
        <v>54</v>
      </c>
      <c r="I254">
        <f t="shared" si="11"/>
        <v>349.4</v>
      </c>
    </row>
    <row r="255" spans="1:9" x14ac:dyDescent="0.25">
      <c r="A255" s="10" t="s">
        <v>9</v>
      </c>
      <c r="B255" s="11" t="s">
        <v>69</v>
      </c>
      <c r="C255" s="11" t="s">
        <v>66</v>
      </c>
      <c r="D255" s="12">
        <v>41719</v>
      </c>
      <c r="E255" s="12">
        <v>41721</v>
      </c>
      <c r="F255" s="13">
        <v>663.7</v>
      </c>
      <c r="G255">
        <f t="shared" si="9"/>
        <v>3</v>
      </c>
      <c r="H255">
        <f t="shared" si="10"/>
        <v>78</v>
      </c>
      <c r="I255">
        <f t="shared" si="11"/>
        <v>741.7</v>
      </c>
    </row>
    <row r="256" spans="1:9" x14ac:dyDescent="0.25">
      <c r="A256" s="6" t="s">
        <v>113</v>
      </c>
      <c r="B256" s="7" t="s">
        <v>114</v>
      </c>
      <c r="C256" s="7" t="s">
        <v>59</v>
      </c>
      <c r="D256" s="8">
        <v>41719</v>
      </c>
      <c r="E256" s="8">
        <v>41720</v>
      </c>
      <c r="F256" s="9">
        <v>601</v>
      </c>
      <c r="G256">
        <f t="shared" si="9"/>
        <v>2</v>
      </c>
      <c r="H256">
        <f t="shared" si="10"/>
        <v>54</v>
      </c>
      <c r="I256">
        <f t="shared" si="11"/>
        <v>655</v>
      </c>
    </row>
    <row r="257" spans="1:9" x14ac:dyDescent="0.25">
      <c r="A257" s="10" t="s">
        <v>6</v>
      </c>
      <c r="B257" s="11" t="s">
        <v>56</v>
      </c>
      <c r="C257" s="11" t="s">
        <v>11</v>
      </c>
      <c r="D257" s="12">
        <v>41725</v>
      </c>
      <c r="E257" s="12">
        <v>41726</v>
      </c>
      <c r="F257" s="13">
        <v>295.39999999999998</v>
      </c>
      <c r="G257">
        <f t="shared" si="9"/>
        <v>2</v>
      </c>
      <c r="H257">
        <f t="shared" si="10"/>
        <v>54</v>
      </c>
      <c r="I257">
        <f t="shared" si="11"/>
        <v>349.4</v>
      </c>
    </row>
    <row r="258" spans="1:9" x14ac:dyDescent="0.25">
      <c r="A258" s="6" t="s">
        <v>33</v>
      </c>
      <c r="B258" s="7" t="s">
        <v>34</v>
      </c>
      <c r="C258" s="7" t="s">
        <v>72</v>
      </c>
      <c r="D258" s="8">
        <v>41725</v>
      </c>
      <c r="E258" s="8">
        <v>41729</v>
      </c>
      <c r="F258" s="9">
        <v>1290.7</v>
      </c>
      <c r="G258">
        <f t="shared" si="9"/>
        <v>5</v>
      </c>
      <c r="H258">
        <f t="shared" si="10"/>
        <v>126</v>
      </c>
      <c r="I258">
        <f t="shared" si="11"/>
        <v>1416.7</v>
      </c>
    </row>
    <row r="259" spans="1:9" x14ac:dyDescent="0.25">
      <c r="A259" s="10" t="s">
        <v>134</v>
      </c>
      <c r="B259" s="11" t="s">
        <v>135</v>
      </c>
      <c r="C259" s="11" t="s">
        <v>38</v>
      </c>
      <c r="D259" s="12">
        <v>41725</v>
      </c>
      <c r="E259" s="12">
        <v>41729</v>
      </c>
      <c r="F259" s="13">
        <v>794.8</v>
      </c>
      <c r="G259">
        <f t="shared" ref="G259:G322" si="12">E259-D259 + 1</f>
        <v>5</v>
      </c>
      <c r="H259">
        <f t="shared" ref="H259:H322" si="13">30+(G259-1)*24</f>
        <v>126</v>
      </c>
      <c r="I259">
        <f t="shared" ref="I259:I322" si="14">H259+F259</f>
        <v>920.8</v>
      </c>
    </row>
    <row r="260" spans="1:9" x14ac:dyDescent="0.25">
      <c r="A260" s="6" t="s">
        <v>93</v>
      </c>
      <c r="B260" s="7" t="s">
        <v>94</v>
      </c>
      <c r="C260" s="7" t="s">
        <v>19</v>
      </c>
      <c r="D260" s="8">
        <v>41725</v>
      </c>
      <c r="E260" s="8">
        <v>41726</v>
      </c>
      <c r="F260" s="9">
        <v>654.4</v>
      </c>
      <c r="G260">
        <f t="shared" si="12"/>
        <v>2</v>
      </c>
      <c r="H260">
        <f t="shared" si="13"/>
        <v>54</v>
      </c>
      <c r="I260">
        <f t="shared" si="14"/>
        <v>708.4</v>
      </c>
    </row>
    <row r="261" spans="1:9" x14ac:dyDescent="0.25">
      <c r="A261" s="10" t="s">
        <v>137</v>
      </c>
      <c r="B261" s="11" t="s">
        <v>138</v>
      </c>
      <c r="C261" s="11" t="s">
        <v>72</v>
      </c>
      <c r="D261" s="12">
        <v>41725</v>
      </c>
      <c r="E261" s="12">
        <v>41726</v>
      </c>
      <c r="F261" s="13">
        <v>693.7</v>
      </c>
      <c r="G261">
        <f t="shared" si="12"/>
        <v>2</v>
      </c>
      <c r="H261">
        <f t="shared" si="13"/>
        <v>54</v>
      </c>
      <c r="I261">
        <f t="shared" si="14"/>
        <v>747.7</v>
      </c>
    </row>
    <row r="262" spans="1:9" x14ac:dyDescent="0.25">
      <c r="A262" s="6" t="s">
        <v>9</v>
      </c>
      <c r="B262" s="7" t="s">
        <v>18</v>
      </c>
      <c r="C262" s="7" t="s">
        <v>11</v>
      </c>
      <c r="D262" s="8">
        <v>41725</v>
      </c>
      <c r="E262" s="8">
        <v>41728</v>
      </c>
      <c r="F262" s="9">
        <v>573.4</v>
      </c>
      <c r="G262">
        <f t="shared" si="12"/>
        <v>4</v>
      </c>
      <c r="H262">
        <f t="shared" si="13"/>
        <v>102</v>
      </c>
      <c r="I262">
        <f t="shared" si="14"/>
        <v>675.4</v>
      </c>
    </row>
    <row r="263" spans="1:9" x14ac:dyDescent="0.25">
      <c r="A263" s="10" t="s">
        <v>115</v>
      </c>
      <c r="B263" s="11" t="s">
        <v>140</v>
      </c>
      <c r="C263" s="11" t="s">
        <v>38</v>
      </c>
      <c r="D263" s="12">
        <v>41731</v>
      </c>
      <c r="E263" s="12">
        <v>41733</v>
      </c>
      <c r="F263" s="13">
        <v>536.79999999999995</v>
      </c>
      <c r="G263">
        <f t="shared" si="12"/>
        <v>3</v>
      </c>
      <c r="H263">
        <f t="shared" si="13"/>
        <v>78</v>
      </c>
      <c r="I263">
        <f t="shared" si="14"/>
        <v>614.79999999999995</v>
      </c>
    </row>
    <row r="264" spans="1:9" x14ac:dyDescent="0.25">
      <c r="A264" s="6" t="s">
        <v>9</v>
      </c>
      <c r="B264" s="7" t="s">
        <v>103</v>
      </c>
      <c r="C264" s="7" t="s">
        <v>47</v>
      </c>
      <c r="D264" s="8">
        <v>41731</v>
      </c>
      <c r="E264" s="8">
        <v>41735</v>
      </c>
      <c r="F264" s="9">
        <v>1015.8</v>
      </c>
      <c r="G264">
        <f t="shared" si="12"/>
        <v>5</v>
      </c>
      <c r="H264">
        <f t="shared" si="13"/>
        <v>126</v>
      </c>
      <c r="I264">
        <f t="shared" si="14"/>
        <v>1141.8</v>
      </c>
    </row>
    <row r="265" spans="1:9" x14ac:dyDescent="0.25">
      <c r="A265" s="10" t="s">
        <v>143</v>
      </c>
      <c r="B265" s="11" t="s">
        <v>144</v>
      </c>
      <c r="C265" s="11" t="s">
        <v>27</v>
      </c>
      <c r="D265" s="12">
        <v>41731</v>
      </c>
      <c r="E265" s="12">
        <v>41734</v>
      </c>
      <c r="F265" s="13">
        <v>826</v>
      </c>
      <c r="G265">
        <f t="shared" si="12"/>
        <v>4</v>
      </c>
      <c r="H265">
        <f t="shared" si="13"/>
        <v>102</v>
      </c>
      <c r="I265">
        <f t="shared" si="14"/>
        <v>928</v>
      </c>
    </row>
    <row r="266" spans="1:9" x14ac:dyDescent="0.25">
      <c r="A266" s="6" t="s">
        <v>147</v>
      </c>
      <c r="B266" s="7" t="s">
        <v>148</v>
      </c>
      <c r="C266" s="7" t="s">
        <v>17</v>
      </c>
      <c r="D266" s="8">
        <v>41731</v>
      </c>
      <c r="E266" s="8">
        <v>41735</v>
      </c>
      <c r="F266" s="9">
        <v>1321.5</v>
      </c>
      <c r="G266">
        <f t="shared" si="12"/>
        <v>5</v>
      </c>
      <c r="H266">
        <f t="shared" si="13"/>
        <v>126</v>
      </c>
      <c r="I266">
        <f t="shared" si="14"/>
        <v>1447.5</v>
      </c>
    </row>
    <row r="267" spans="1:9" x14ac:dyDescent="0.25">
      <c r="A267" s="10" t="s">
        <v>166</v>
      </c>
      <c r="B267" s="11" t="s">
        <v>167</v>
      </c>
      <c r="C267" s="11" t="s">
        <v>72</v>
      </c>
      <c r="D267" s="12">
        <v>41731</v>
      </c>
      <c r="E267" s="12">
        <v>41733</v>
      </c>
      <c r="F267" s="13">
        <v>892.7</v>
      </c>
      <c r="G267">
        <f t="shared" si="12"/>
        <v>3</v>
      </c>
      <c r="H267">
        <f t="shared" si="13"/>
        <v>78</v>
      </c>
      <c r="I267">
        <f t="shared" si="14"/>
        <v>970.7</v>
      </c>
    </row>
    <row r="268" spans="1:9" x14ac:dyDescent="0.25">
      <c r="A268" s="6" t="s">
        <v>91</v>
      </c>
      <c r="B268" s="7" t="s">
        <v>161</v>
      </c>
      <c r="C268" s="7" t="s">
        <v>11</v>
      </c>
      <c r="D268" s="8">
        <v>41731</v>
      </c>
      <c r="E268" s="8">
        <v>41732</v>
      </c>
      <c r="F268" s="9">
        <v>295.39999999999998</v>
      </c>
      <c r="G268">
        <f t="shared" si="12"/>
        <v>2</v>
      </c>
      <c r="H268">
        <f t="shared" si="13"/>
        <v>54</v>
      </c>
      <c r="I268">
        <f t="shared" si="14"/>
        <v>349.4</v>
      </c>
    </row>
    <row r="269" spans="1:9" x14ac:dyDescent="0.25">
      <c r="A269" s="10" t="s">
        <v>137</v>
      </c>
      <c r="B269" s="11" t="s">
        <v>160</v>
      </c>
      <c r="C269" s="11" t="s">
        <v>38</v>
      </c>
      <c r="D269" s="12">
        <v>41732</v>
      </c>
      <c r="E269" s="12">
        <v>41736</v>
      </c>
      <c r="F269" s="13">
        <v>794.8</v>
      </c>
      <c r="G269">
        <f t="shared" si="12"/>
        <v>5</v>
      </c>
      <c r="H269">
        <f t="shared" si="13"/>
        <v>126</v>
      </c>
      <c r="I269">
        <f t="shared" si="14"/>
        <v>920.8</v>
      </c>
    </row>
    <row r="270" spans="1:9" x14ac:dyDescent="0.25">
      <c r="A270" s="6" t="s">
        <v>48</v>
      </c>
      <c r="B270" s="7" t="s">
        <v>49</v>
      </c>
      <c r="C270" s="7" t="s">
        <v>11</v>
      </c>
      <c r="D270" s="8">
        <v>41737</v>
      </c>
      <c r="E270" s="8">
        <v>41740</v>
      </c>
      <c r="F270" s="9">
        <v>573.4</v>
      </c>
      <c r="G270">
        <f t="shared" si="12"/>
        <v>4</v>
      </c>
      <c r="H270">
        <f t="shared" si="13"/>
        <v>102</v>
      </c>
      <c r="I270">
        <f t="shared" si="14"/>
        <v>675.4</v>
      </c>
    </row>
    <row r="271" spans="1:9" x14ac:dyDescent="0.25">
      <c r="A271" s="10" t="s">
        <v>15</v>
      </c>
      <c r="B271" s="11" t="s">
        <v>46</v>
      </c>
      <c r="C271" s="11" t="s">
        <v>59</v>
      </c>
      <c r="D271" s="12">
        <v>41737</v>
      </c>
      <c r="E271" s="12">
        <v>41739</v>
      </c>
      <c r="F271" s="13">
        <v>760</v>
      </c>
      <c r="G271">
        <f t="shared" si="12"/>
        <v>3</v>
      </c>
      <c r="H271">
        <f t="shared" si="13"/>
        <v>78</v>
      </c>
      <c r="I271">
        <f t="shared" si="14"/>
        <v>838</v>
      </c>
    </row>
    <row r="272" spans="1:9" x14ac:dyDescent="0.25">
      <c r="A272" s="6" t="s">
        <v>61</v>
      </c>
      <c r="B272" s="7" t="s">
        <v>62</v>
      </c>
      <c r="C272" s="7" t="s">
        <v>14</v>
      </c>
      <c r="D272" s="8">
        <v>41737</v>
      </c>
      <c r="E272" s="8">
        <v>41741</v>
      </c>
      <c r="F272" s="9">
        <v>674.5</v>
      </c>
      <c r="G272">
        <f t="shared" si="12"/>
        <v>5</v>
      </c>
      <c r="H272">
        <f t="shared" si="13"/>
        <v>126</v>
      </c>
      <c r="I272">
        <f t="shared" si="14"/>
        <v>800.5</v>
      </c>
    </row>
    <row r="273" spans="1:9" x14ac:dyDescent="0.25">
      <c r="A273" s="10" t="s">
        <v>12</v>
      </c>
      <c r="B273" s="11" t="s">
        <v>13</v>
      </c>
      <c r="C273" s="11" t="s">
        <v>14</v>
      </c>
      <c r="D273" s="12">
        <v>41737</v>
      </c>
      <c r="E273" s="12">
        <v>41740</v>
      </c>
      <c r="F273" s="13">
        <v>550.5</v>
      </c>
      <c r="G273">
        <f t="shared" si="12"/>
        <v>4</v>
      </c>
      <c r="H273">
        <f t="shared" si="13"/>
        <v>102</v>
      </c>
      <c r="I273">
        <f t="shared" si="14"/>
        <v>652.5</v>
      </c>
    </row>
    <row r="274" spans="1:9" x14ac:dyDescent="0.25">
      <c r="A274" s="6" t="s">
        <v>147</v>
      </c>
      <c r="B274" s="7" t="s">
        <v>148</v>
      </c>
      <c r="C274" s="7" t="s">
        <v>72</v>
      </c>
      <c r="D274" s="8">
        <v>41737</v>
      </c>
      <c r="E274" s="8">
        <v>41740</v>
      </c>
      <c r="F274" s="9">
        <v>1091.7</v>
      </c>
      <c r="G274">
        <f t="shared" si="12"/>
        <v>4</v>
      </c>
      <c r="H274">
        <f t="shared" si="13"/>
        <v>102</v>
      </c>
      <c r="I274">
        <f t="shared" si="14"/>
        <v>1193.7</v>
      </c>
    </row>
    <row r="275" spans="1:9" x14ac:dyDescent="0.25">
      <c r="A275" s="10" t="s">
        <v>36</v>
      </c>
      <c r="B275" s="11" t="s">
        <v>37</v>
      </c>
      <c r="C275" s="11" t="s">
        <v>17</v>
      </c>
      <c r="D275" s="12">
        <v>41737</v>
      </c>
      <c r="E275" s="12">
        <v>41741</v>
      </c>
      <c r="F275" s="13">
        <v>1321.5</v>
      </c>
      <c r="G275">
        <f t="shared" si="12"/>
        <v>5</v>
      </c>
      <c r="H275">
        <f t="shared" si="13"/>
        <v>126</v>
      </c>
      <c r="I275">
        <f t="shared" si="14"/>
        <v>1447.5</v>
      </c>
    </row>
    <row r="276" spans="1:9" x14ac:dyDescent="0.25">
      <c r="A276" s="6" t="s">
        <v>31</v>
      </c>
      <c r="B276" s="7" t="s">
        <v>78</v>
      </c>
      <c r="C276" s="7" t="s">
        <v>72</v>
      </c>
      <c r="D276" s="8">
        <v>41743</v>
      </c>
      <c r="E276" s="8">
        <v>41747</v>
      </c>
      <c r="F276" s="9">
        <v>1290.7</v>
      </c>
      <c r="G276">
        <f t="shared" si="12"/>
        <v>5</v>
      </c>
      <c r="H276">
        <f t="shared" si="13"/>
        <v>126</v>
      </c>
      <c r="I276">
        <f t="shared" si="14"/>
        <v>1416.7</v>
      </c>
    </row>
    <row r="277" spans="1:9" x14ac:dyDescent="0.25">
      <c r="A277" s="10" t="s">
        <v>25</v>
      </c>
      <c r="B277" s="11" t="s">
        <v>67</v>
      </c>
      <c r="C277" s="11" t="s">
        <v>8</v>
      </c>
      <c r="D277" s="12">
        <v>41743</v>
      </c>
      <c r="E277" s="12">
        <v>41745</v>
      </c>
      <c r="F277" s="13">
        <v>1102</v>
      </c>
      <c r="G277">
        <f t="shared" si="12"/>
        <v>3</v>
      </c>
      <c r="H277">
        <f t="shared" si="13"/>
        <v>78</v>
      </c>
      <c r="I277">
        <f t="shared" si="14"/>
        <v>1180</v>
      </c>
    </row>
    <row r="278" spans="1:9" x14ac:dyDescent="0.25">
      <c r="A278" s="6" t="s">
        <v>33</v>
      </c>
      <c r="B278" s="7" t="s">
        <v>41</v>
      </c>
      <c r="C278" s="7" t="s">
        <v>8</v>
      </c>
      <c r="D278" s="8">
        <v>41743</v>
      </c>
      <c r="E278" s="8">
        <v>41744</v>
      </c>
      <c r="F278" s="9">
        <v>891</v>
      </c>
      <c r="G278">
        <f t="shared" si="12"/>
        <v>2</v>
      </c>
      <c r="H278">
        <f t="shared" si="13"/>
        <v>54</v>
      </c>
      <c r="I278">
        <f t="shared" si="14"/>
        <v>945</v>
      </c>
    </row>
    <row r="279" spans="1:9" x14ac:dyDescent="0.25">
      <c r="A279" s="10" t="s">
        <v>54</v>
      </c>
      <c r="B279" s="11" t="s">
        <v>121</v>
      </c>
      <c r="C279" s="11" t="s">
        <v>8</v>
      </c>
      <c r="D279" s="12">
        <v>41743</v>
      </c>
      <c r="E279" s="12">
        <v>41746</v>
      </c>
      <c r="F279" s="13">
        <v>1313</v>
      </c>
      <c r="G279">
        <f t="shared" si="12"/>
        <v>4</v>
      </c>
      <c r="H279">
        <f t="shared" si="13"/>
        <v>102</v>
      </c>
      <c r="I279">
        <f t="shared" si="14"/>
        <v>1415</v>
      </c>
    </row>
    <row r="280" spans="1:9" x14ac:dyDescent="0.25">
      <c r="A280" s="6" t="s">
        <v>111</v>
      </c>
      <c r="B280" s="7" t="s">
        <v>112</v>
      </c>
      <c r="C280" s="7" t="s">
        <v>17</v>
      </c>
      <c r="D280" s="8">
        <v>41743</v>
      </c>
      <c r="E280" s="8">
        <v>41744</v>
      </c>
      <c r="F280" s="9">
        <v>706.5</v>
      </c>
      <c r="G280">
        <f t="shared" si="12"/>
        <v>2</v>
      </c>
      <c r="H280">
        <f t="shared" si="13"/>
        <v>54</v>
      </c>
      <c r="I280">
        <f t="shared" si="14"/>
        <v>760.5</v>
      </c>
    </row>
    <row r="281" spans="1:9" x14ac:dyDescent="0.25">
      <c r="A281" s="10" t="s">
        <v>131</v>
      </c>
      <c r="B281" s="11" t="s">
        <v>132</v>
      </c>
      <c r="C281" s="11" t="s">
        <v>17</v>
      </c>
      <c r="D281" s="12">
        <v>41743</v>
      </c>
      <c r="E281" s="12">
        <v>41745</v>
      </c>
      <c r="F281" s="13">
        <v>911.5</v>
      </c>
      <c r="G281">
        <f t="shared" si="12"/>
        <v>3</v>
      </c>
      <c r="H281">
        <f t="shared" si="13"/>
        <v>78</v>
      </c>
      <c r="I281">
        <f t="shared" si="14"/>
        <v>989.5</v>
      </c>
    </row>
    <row r="282" spans="1:9" x14ac:dyDescent="0.25">
      <c r="A282" s="6" t="s">
        <v>9</v>
      </c>
      <c r="B282" s="7" t="s">
        <v>103</v>
      </c>
      <c r="C282" s="7" t="s">
        <v>19</v>
      </c>
      <c r="D282" s="8">
        <v>41747</v>
      </c>
      <c r="E282" s="8">
        <v>41747</v>
      </c>
      <c r="F282" s="9">
        <v>513.4</v>
      </c>
      <c r="G282">
        <f t="shared" si="12"/>
        <v>1</v>
      </c>
      <c r="H282">
        <f t="shared" si="13"/>
        <v>30</v>
      </c>
      <c r="I282">
        <f t="shared" si="14"/>
        <v>543.4</v>
      </c>
    </row>
    <row r="283" spans="1:9" x14ac:dyDescent="0.25">
      <c r="A283" s="10" t="s">
        <v>122</v>
      </c>
      <c r="B283" s="11" t="s">
        <v>123</v>
      </c>
      <c r="C283" s="11" t="s">
        <v>72</v>
      </c>
      <c r="D283" s="12">
        <v>41749</v>
      </c>
      <c r="E283" s="12">
        <v>41751</v>
      </c>
      <c r="F283" s="13">
        <v>892.7</v>
      </c>
      <c r="G283">
        <f t="shared" si="12"/>
        <v>3</v>
      </c>
      <c r="H283">
        <f t="shared" si="13"/>
        <v>78</v>
      </c>
      <c r="I283">
        <f t="shared" si="14"/>
        <v>970.7</v>
      </c>
    </row>
    <row r="284" spans="1:9" x14ac:dyDescent="0.25">
      <c r="A284" s="6" t="s">
        <v>15</v>
      </c>
      <c r="B284" s="7" t="s">
        <v>105</v>
      </c>
      <c r="C284" s="7" t="s">
        <v>47</v>
      </c>
      <c r="D284" s="8">
        <v>41749</v>
      </c>
      <c r="E284" s="8">
        <v>41750</v>
      </c>
      <c r="F284" s="9">
        <v>526.79999999999995</v>
      </c>
      <c r="G284">
        <f t="shared" si="12"/>
        <v>2</v>
      </c>
      <c r="H284">
        <f t="shared" si="13"/>
        <v>54</v>
      </c>
      <c r="I284">
        <f t="shared" si="14"/>
        <v>580.79999999999995</v>
      </c>
    </row>
    <row r="285" spans="1:9" x14ac:dyDescent="0.25">
      <c r="A285" s="10" t="s">
        <v>9</v>
      </c>
      <c r="B285" s="11" t="s">
        <v>103</v>
      </c>
      <c r="C285" s="11" t="s">
        <v>59</v>
      </c>
      <c r="D285" s="12">
        <v>41752</v>
      </c>
      <c r="E285" s="12">
        <v>41753</v>
      </c>
      <c r="F285" s="13">
        <v>601</v>
      </c>
      <c r="G285">
        <f t="shared" si="12"/>
        <v>2</v>
      </c>
      <c r="H285">
        <f t="shared" si="13"/>
        <v>54</v>
      </c>
      <c r="I285">
        <f t="shared" si="14"/>
        <v>655</v>
      </c>
    </row>
    <row r="286" spans="1:9" x14ac:dyDescent="0.25">
      <c r="A286" s="6" t="s">
        <v>75</v>
      </c>
      <c r="B286" s="7" t="s">
        <v>76</v>
      </c>
      <c r="C286" s="7" t="s">
        <v>47</v>
      </c>
      <c r="D286" s="8">
        <v>41752</v>
      </c>
      <c r="E286" s="8">
        <v>41753</v>
      </c>
      <c r="F286" s="9">
        <v>526.79999999999995</v>
      </c>
      <c r="G286">
        <f t="shared" si="12"/>
        <v>2</v>
      </c>
      <c r="H286">
        <f t="shared" si="13"/>
        <v>54</v>
      </c>
      <c r="I286">
        <f t="shared" si="14"/>
        <v>580.79999999999995</v>
      </c>
    </row>
    <row r="287" spans="1:9" x14ac:dyDescent="0.25">
      <c r="A287" s="10" t="s">
        <v>131</v>
      </c>
      <c r="B287" s="11" t="s">
        <v>132</v>
      </c>
      <c r="C287" s="11" t="s">
        <v>38</v>
      </c>
      <c r="D287" s="12">
        <v>41753</v>
      </c>
      <c r="E287" s="12">
        <v>41753</v>
      </c>
      <c r="F287" s="13">
        <v>278.8</v>
      </c>
      <c r="G287">
        <f t="shared" si="12"/>
        <v>1</v>
      </c>
      <c r="H287">
        <f t="shared" si="13"/>
        <v>30</v>
      </c>
      <c r="I287">
        <f t="shared" si="14"/>
        <v>308.8</v>
      </c>
    </row>
    <row r="288" spans="1:9" x14ac:dyDescent="0.25">
      <c r="A288" s="6" t="s">
        <v>28</v>
      </c>
      <c r="B288" s="7" t="s">
        <v>60</v>
      </c>
      <c r="C288" s="7" t="s">
        <v>38</v>
      </c>
      <c r="D288" s="8">
        <v>41755</v>
      </c>
      <c r="E288" s="8">
        <v>41759</v>
      </c>
      <c r="F288" s="9">
        <v>794.8</v>
      </c>
      <c r="G288">
        <f t="shared" si="12"/>
        <v>5</v>
      </c>
      <c r="H288">
        <f t="shared" si="13"/>
        <v>126</v>
      </c>
      <c r="I288">
        <f t="shared" si="14"/>
        <v>920.8</v>
      </c>
    </row>
    <row r="289" spans="1:9" x14ac:dyDescent="0.25">
      <c r="A289" s="10" t="s">
        <v>25</v>
      </c>
      <c r="B289" s="11" t="s">
        <v>26</v>
      </c>
      <c r="C289" s="11" t="s">
        <v>59</v>
      </c>
      <c r="D289" s="12">
        <v>41755</v>
      </c>
      <c r="E289" s="12">
        <v>41758</v>
      </c>
      <c r="F289" s="13">
        <v>919</v>
      </c>
      <c r="G289">
        <f t="shared" si="12"/>
        <v>4</v>
      </c>
      <c r="H289">
        <f t="shared" si="13"/>
        <v>102</v>
      </c>
      <c r="I289">
        <f t="shared" si="14"/>
        <v>1021</v>
      </c>
    </row>
    <row r="290" spans="1:9" x14ac:dyDescent="0.25">
      <c r="A290" s="6" t="s">
        <v>168</v>
      </c>
      <c r="B290" s="7" t="s">
        <v>169</v>
      </c>
      <c r="C290" s="7" t="s">
        <v>11</v>
      </c>
      <c r="D290" s="8">
        <v>41755</v>
      </c>
      <c r="E290" s="8">
        <v>41756</v>
      </c>
      <c r="F290" s="9">
        <v>295.39999999999998</v>
      </c>
      <c r="G290">
        <f t="shared" si="12"/>
        <v>2</v>
      </c>
      <c r="H290">
        <f t="shared" si="13"/>
        <v>54</v>
      </c>
      <c r="I290">
        <f t="shared" si="14"/>
        <v>349.4</v>
      </c>
    </row>
    <row r="291" spans="1:9" x14ac:dyDescent="0.25">
      <c r="A291" s="10" t="s">
        <v>25</v>
      </c>
      <c r="B291" s="11" t="s">
        <v>35</v>
      </c>
      <c r="C291" s="11" t="s">
        <v>47</v>
      </c>
      <c r="D291" s="12">
        <v>41755</v>
      </c>
      <c r="E291" s="12">
        <v>41756</v>
      </c>
      <c r="F291" s="13">
        <v>526.79999999999995</v>
      </c>
      <c r="G291">
        <f t="shared" si="12"/>
        <v>2</v>
      </c>
      <c r="H291">
        <f t="shared" si="13"/>
        <v>54</v>
      </c>
      <c r="I291">
        <f t="shared" si="14"/>
        <v>580.79999999999995</v>
      </c>
    </row>
    <row r="292" spans="1:9" x14ac:dyDescent="0.25">
      <c r="A292" s="6" t="s">
        <v>113</v>
      </c>
      <c r="B292" s="7" t="s">
        <v>114</v>
      </c>
      <c r="C292" s="7" t="s">
        <v>19</v>
      </c>
      <c r="D292" s="8">
        <v>41755</v>
      </c>
      <c r="E292" s="8">
        <v>41758</v>
      </c>
      <c r="F292" s="9">
        <v>936.4</v>
      </c>
      <c r="G292">
        <f t="shared" si="12"/>
        <v>4</v>
      </c>
      <c r="H292">
        <f t="shared" si="13"/>
        <v>102</v>
      </c>
      <c r="I292">
        <f t="shared" si="14"/>
        <v>1038.4000000000001</v>
      </c>
    </row>
    <row r="293" spans="1:9" x14ac:dyDescent="0.25">
      <c r="A293" s="10" t="s">
        <v>91</v>
      </c>
      <c r="B293" s="11" t="s">
        <v>92</v>
      </c>
      <c r="C293" s="11" t="s">
        <v>11</v>
      </c>
      <c r="D293" s="12">
        <v>41755</v>
      </c>
      <c r="E293" s="12">
        <v>41755</v>
      </c>
      <c r="F293" s="13">
        <v>156.4</v>
      </c>
      <c r="G293">
        <f t="shared" si="12"/>
        <v>1</v>
      </c>
      <c r="H293">
        <f t="shared" si="13"/>
        <v>30</v>
      </c>
      <c r="I293">
        <f t="shared" si="14"/>
        <v>186.4</v>
      </c>
    </row>
    <row r="294" spans="1:9" x14ac:dyDescent="0.25">
      <c r="A294" s="6" t="s">
        <v>6</v>
      </c>
      <c r="B294" s="7" t="s">
        <v>139</v>
      </c>
      <c r="C294" s="7" t="s">
        <v>17</v>
      </c>
      <c r="D294" s="8">
        <v>41757</v>
      </c>
      <c r="E294" s="8">
        <v>41758</v>
      </c>
      <c r="F294" s="9">
        <v>706.5</v>
      </c>
      <c r="G294">
        <f t="shared" si="12"/>
        <v>2</v>
      </c>
      <c r="H294">
        <f t="shared" si="13"/>
        <v>54</v>
      </c>
      <c r="I294">
        <f t="shared" si="14"/>
        <v>760.5</v>
      </c>
    </row>
    <row r="295" spans="1:9" x14ac:dyDescent="0.25">
      <c r="A295" s="10" t="s">
        <v>28</v>
      </c>
      <c r="B295" s="11" t="s">
        <v>29</v>
      </c>
      <c r="C295" s="11" t="s">
        <v>19</v>
      </c>
      <c r="D295" s="12">
        <v>41761</v>
      </c>
      <c r="E295" s="12">
        <v>41765</v>
      </c>
      <c r="F295" s="13">
        <v>1077.4000000000001</v>
      </c>
      <c r="G295">
        <f t="shared" si="12"/>
        <v>5</v>
      </c>
      <c r="H295">
        <f t="shared" si="13"/>
        <v>126</v>
      </c>
      <c r="I295">
        <f t="shared" si="14"/>
        <v>1203.4000000000001</v>
      </c>
    </row>
    <row r="296" spans="1:9" x14ac:dyDescent="0.25">
      <c r="A296" s="6" t="s">
        <v>31</v>
      </c>
      <c r="B296" s="7" t="s">
        <v>32</v>
      </c>
      <c r="C296" s="7" t="s">
        <v>14</v>
      </c>
      <c r="D296" s="8">
        <v>41761</v>
      </c>
      <c r="E296" s="8">
        <v>41763</v>
      </c>
      <c r="F296" s="9">
        <v>426.5</v>
      </c>
      <c r="G296">
        <f t="shared" si="12"/>
        <v>3</v>
      </c>
      <c r="H296">
        <f t="shared" si="13"/>
        <v>78</v>
      </c>
      <c r="I296">
        <f t="shared" si="14"/>
        <v>504.5</v>
      </c>
    </row>
    <row r="297" spans="1:9" x14ac:dyDescent="0.25">
      <c r="A297" s="10" t="s">
        <v>97</v>
      </c>
      <c r="B297" s="11" t="s">
        <v>98</v>
      </c>
      <c r="C297" s="11" t="s">
        <v>17</v>
      </c>
      <c r="D297" s="12">
        <v>41761</v>
      </c>
      <c r="E297" s="12">
        <v>41762</v>
      </c>
      <c r="F297" s="13">
        <v>706.5</v>
      </c>
      <c r="G297">
        <f t="shared" si="12"/>
        <v>2</v>
      </c>
      <c r="H297">
        <f t="shared" si="13"/>
        <v>54</v>
      </c>
      <c r="I297">
        <f t="shared" si="14"/>
        <v>760.5</v>
      </c>
    </row>
    <row r="298" spans="1:9" x14ac:dyDescent="0.25">
      <c r="A298" s="6" t="s">
        <v>22</v>
      </c>
      <c r="B298" s="7" t="s">
        <v>23</v>
      </c>
      <c r="C298" s="7" t="s">
        <v>19</v>
      </c>
      <c r="D298" s="8">
        <v>41764</v>
      </c>
      <c r="E298" s="8">
        <v>41765</v>
      </c>
      <c r="F298" s="9">
        <v>654.4</v>
      </c>
      <c r="G298">
        <f t="shared" si="12"/>
        <v>2</v>
      </c>
      <c r="H298">
        <f t="shared" si="13"/>
        <v>54</v>
      </c>
      <c r="I298">
        <f t="shared" si="14"/>
        <v>708.4</v>
      </c>
    </row>
    <row r="299" spans="1:9" x14ac:dyDescent="0.25">
      <c r="A299" s="10" t="s">
        <v>15</v>
      </c>
      <c r="B299" s="11" t="s">
        <v>44</v>
      </c>
      <c r="C299" s="11" t="s">
        <v>24</v>
      </c>
      <c r="D299" s="12">
        <v>41764</v>
      </c>
      <c r="E299" s="12">
        <v>41764</v>
      </c>
      <c r="F299" s="13">
        <v>290.7</v>
      </c>
      <c r="G299">
        <f t="shared" si="12"/>
        <v>1</v>
      </c>
      <c r="H299">
        <f t="shared" si="13"/>
        <v>30</v>
      </c>
      <c r="I299">
        <f t="shared" si="14"/>
        <v>320.7</v>
      </c>
    </row>
    <row r="300" spans="1:9" x14ac:dyDescent="0.25">
      <c r="A300" s="6" t="s">
        <v>166</v>
      </c>
      <c r="B300" s="7" t="s">
        <v>167</v>
      </c>
      <c r="C300" s="7" t="s">
        <v>27</v>
      </c>
      <c r="D300" s="8">
        <v>41765</v>
      </c>
      <c r="E300" s="8">
        <v>41766</v>
      </c>
      <c r="F300" s="9">
        <v>570</v>
      </c>
      <c r="G300">
        <f t="shared" si="12"/>
        <v>2</v>
      </c>
      <c r="H300">
        <f t="shared" si="13"/>
        <v>54</v>
      </c>
      <c r="I300">
        <f t="shared" si="14"/>
        <v>624</v>
      </c>
    </row>
    <row r="301" spans="1:9" x14ac:dyDescent="0.25">
      <c r="A301" s="10" t="s">
        <v>82</v>
      </c>
      <c r="B301" s="11" t="s">
        <v>83</v>
      </c>
      <c r="C301" s="11" t="s">
        <v>17</v>
      </c>
      <c r="D301" s="12">
        <v>41767</v>
      </c>
      <c r="E301" s="12">
        <v>41770</v>
      </c>
      <c r="F301" s="13">
        <v>1116.5</v>
      </c>
      <c r="G301">
        <f t="shared" si="12"/>
        <v>4</v>
      </c>
      <c r="H301">
        <f t="shared" si="13"/>
        <v>102</v>
      </c>
      <c r="I301">
        <f t="shared" si="14"/>
        <v>1218.5</v>
      </c>
    </row>
    <row r="302" spans="1:9" x14ac:dyDescent="0.25">
      <c r="A302" s="6" t="s">
        <v>84</v>
      </c>
      <c r="B302" s="7" t="s">
        <v>85</v>
      </c>
      <c r="C302" s="7" t="s">
        <v>8</v>
      </c>
      <c r="D302" s="8">
        <v>41767</v>
      </c>
      <c r="E302" s="8">
        <v>41769</v>
      </c>
      <c r="F302" s="9">
        <v>1102</v>
      </c>
      <c r="G302">
        <f t="shared" si="12"/>
        <v>3</v>
      </c>
      <c r="H302">
        <f t="shared" si="13"/>
        <v>78</v>
      </c>
      <c r="I302">
        <f t="shared" si="14"/>
        <v>1180</v>
      </c>
    </row>
    <row r="303" spans="1:9" x14ac:dyDescent="0.25">
      <c r="A303" s="10" t="s">
        <v>99</v>
      </c>
      <c r="B303" s="11" t="s">
        <v>130</v>
      </c>
      <c r="C303" s="11" t="s">
        <v>14</v>
      </c>
      <c r="D303" s="12">
        <v>41767</v>
      </c>
      <c r="E303" s="12">
        <v>41768</v>
      </c>
      <c r="F303" s="13">
        <v>302.5</v>
      </c>
      <c r="G303">
        <f t="shared" si="12"/>
        <v>2</v>
      </c>
      <c r="H303">
        <f t="shared" si="13"/>
        <v>54</v>
      </c>
      <c r="I303">
        <f t="shared" si="14"/>
        <v>356.5</v>
      </c>
    </row>
    <row r="304" spans="1:9" x14ac:dyDescent="0.25">
      <c r="A304" s="6" t="s">
        <v>73</v>
      </c>
      <c r="B304" s="7" t="s">
        <v>74</v>
      </c>
      <c r="C304" s="7" t="s">
        <v>11</v>
      </c>
      <c r="D304" s="8">
        <v>41767</v>
      </c>
      <c r="E304" s="8">
        <v>41770</v>
      </c>
      <c r="F304" s="9">
        <v>573.4</v>
      </c>
      <c r="G304">
        <f t="shared" si="12"/>
        <v>4</v>
      </c>
      <c r="H304">
        <f t="shared" si="13"/>
        <v>102</v>
      </c>
      <c r="I304">
        <f t="shared" si="14"/>
        <v>675.4</v>
      </c>
    </row>
    <row r="305" spans="1:9" x14ac:dyDescent="0.25">
      <c r="A305" s="10" t="s">
        <v>36</v>
      </c>
      <c r="B305" s="11" t="s">
        <v>37</v>
      </c>
      <c r="C305" s="11" t="s">
        <v>19</v>
      </c>
      <c r="D305" s="12">
        <v>41767</v>
      </c>
      <c r="E305" s="12">
        <v>41770</v>
      </c>
      <c r="F305" s="13">
        <v>936.4</v>
      </c>
      <c r="G305">
        <f t="shared" si="12"/>
        <v>4</v>
      </c>
      <c r="H305">
        <f t="shared" si="13"/>
        <v>102</v>
      </c>
      <c r="I305">
        <f t="shared" si="14"/>
        <v>1038.4000000000001</v>
      </c>
    </row>
    <row r="306" spans="1:9" x14ac:dyDescent="0.25">
      <c r="A306" s="6" t="s">
        <v>75</v>
      </c>
      <c r="B306" s="7" t="s">
        <v>76</v>
      </c>
      <c r="C306" s="7" t="s">
        <v>66</v>
      </c>
      <c r="D306" s="8">
        <v>41767</v>
      </c>
      <c r="E306" s="8">
        <v>41771</v>
      </c>
      <c r="F306" s="9">
        <v>1019.7</v>
      </c>
      <c r="G306">
        <f t="shared" si="12"/>
        <v>5</v>
      </c>
      <c r="H306">
        <f t="shared" si="13"/>
        <v>126</v>
      </c>
      <c r="I306">
        <f t="shared" si="14"/>
        <v>1145.7</v>
      </c>
    </row>
    <row r="307" spans="1:9" x14ac:dyDescent="0.25">
      <c r="A307" s="10" t="s">
        <v>122</v>
      </c>
      <c r="B307" s="11" t="s">
        <v>123</v>
      </c>
      <c r="C307" s="11" t="s">
        <v>11</v>
      </c>
      <c r="D307" s="12">
        <v>41773</v>
      </c>
      <c r="E307" s="12">
        <v>41776</v>
      </c>
      <c r="F307" s="13">
        <v>573.4</v>
      </c>
      <c r="G307">
        <f t="shared" si="12"/>
        <v>4</v>
      </c>
      <c r="H307">
        <f t="shared" si="13"/>
        <v>102</v>
      </c>
      <c r="I307">
        <f t="shared" si="14"/>
        <v>675.4</v>
      </c>
    </row>
    <row r="308" spans="1:9" x14ac:dyDescent="0.25">
      <c r="A308" s="6" t="s">
        <v>15</v>
      </c>
      <c r="B308" s="7" t="s">
        <v>46</v>
      </c>
      <c r="C308" s="7" t="s">
        <v>24</v>
      </c>
      <c r="D308" s="8">
        <v>41773</v>
      </c>
      <c r="E308" s="8">
        <v>41777</v>
      </c>
      <c r="F308" s="9">
        <v>886.7</v>
      </c>
      <c r="G308">
        <f t="shared" si="12"/>
        <v>5</v>
      </c>
      <c r="H308">
        <f t="shared" si="13"/>
        <v>126</v>
      </c>
      <c r="I308">
        <f t="shared" si="14"/>
        <v>1012.7</v>
      </c>
    </row>
    <row r="309" spans="1:9" x14ac:dyDescent="0.25">
      <c r="A309" s="10" t="s">
        <v>25</v>
      </c>
      <c r="B309" s="11" t="s">
        <v>67</v>
      </c>
      <c r="C309" s="11" t="s">
        <v>19</v>
      </c>
      <c r="D309" s="12">
        <v>41773</v>
      </c>
      <c r="E309" s="12">
        <v>41777</v>
      </c>
      <c r="F309" s="13">
        <v>1077.4000000000001</v>
      </c>
      <c r="G309">
        <f t="shared" si="12"/>
        <v>5</v>
      </c>
      <c r="H309">
        <f t="shared" si="13"/>
        <v>126</v>
      </c>
      <c r="I309">
        <f t="shared" si="14"/>
        <v>1203.4000000000001</v>
      </c>
    </row>
    <row r="310" spans="1:9" x14ac:dyDescent="0.25">
      <c r="A310" s="6" t="s">
        <v>28</v>
      </c>
      <c r="B310" s="7" t="s">
        <v>60</v>
      </c>
      <c r="C310" s="7" t="s">
        <v>24</v>
      </c>
      <c r="D310" s="8">
        <v>41773</v>
      </c>
      <c r="E310" s="8">
        <v>41774</v>
      </c>
      <c r="F310" s="9">
        <v>439.7</v>
      </c>
      <c r="G310">
        <f t="shared" si="12"/>
        <v>2</v>
      </c>
      <c r="H310">
        <f t="shared" si="13"/>
        <v>54</v>
      </c>
      <c r="I310">
        <f t="shared" si="14"/>
        <v>493.7</v>
      </c>
    </row>
    <row r="311" spans="1:9" x14ac:dyDescent="0.25">
      <c r="A311" s="10" t="s">
        <v>31</v>
      </c>
      <c r="B311" s="11" t="s">
        <v>32</v>
      </c>
      <c r="C311" s="11" t="s">
        <v>24</v>
      </c>
      <c r="D311" s="12">
        <v>41773</v>
      </c>
      <c r="E311" s="12">
        <v>41775</v>
      </c>
      <c r="F311" s="13">
        <v>588.70000000000005</v>
      </c>
      <c r="G311">
        <f t="shared" si="12"/>
        <v>3</v>
      </c>
      <c r="H311">
        <f t="shared" si="13"/>
        <v>78</v>
      </c>
      <c r="I311">
        <f t="shared" si="14"/>
        <v>666.7</v>
      </c>
    </row>
    <row r="312" spans="1:9" x14ac:dyDescent="0.25">
      <c r="A312" s="6" t="s">
        <v>137</v>
      </c>
      <c r="B312" s="7" t="s">
        <v>160</v>
      </c>
      <c r="C312" s="7" t="s">
        <v>38</v>
      </c>
      <c r="D312" s="8">
        <v>41773</v>
      </c>
      <c r="E312" s="8">
        <v>41774</v>
      </c>
      <c r="F312" s="9">
        <v>407.8</v>
      </c>
      <c r="G312">
        <f t="shared" si="12"/>
        <v>2</v>
      </c>
      <c r="H312">
        <f t="shared" si="13"/>
        <v>54</v>
      </c>
      <c r="I312">
        <f t="shared" si="14"/>
        <v>461.8</v>
      </c>
    </row>
    <row r="313" spans="1:9" x14ac:dyDescent="0.25">
      <c r="A313" s="10" t="s">
        <v>31</v>
      </c>
      <c r="B313" s="11" t="s">
        <v>77</v>
      </c>
      <c r="C313" s="11" t="s">
        <v>24</v>
      </c>
      <c r="D313" s="12">
        <v>41773</v>
      </c>
      <c r="E313" s="12">
        <v>41775</v>
      </c>
      <c r="F313" s="13">
        <v>588.70000000000005</v>
      </c>
      <c r="G313">
        <f t="shared" si="12"/>
        <v>3</v>
      </c>
      <c r="H313">
        <f t="shared" si="13"/>
        <v>78</v>
      </c>
      <c r="I313">
        <f t="shared" si="14"/>
        <v>666.7</v>
      </c>
    </row>
    <row r="314" spans="1:9" x14ac:dyDescent="0.25">
      <c r="A314" s="6" t="s">
        <v>33</v>
      </c>
      <c r="B314" s="7" t="s">
        <v>41</v>
      </c>
      <c r="C314" s="7" t="s">
        <v>72</v>
      </c>
      <c r="D314" s="8">
        <v>41779</v>
      </c>
      <c r="E314" s="8">
        <v>41780</v>
      </c>
      <c r="F314" s="9">
        <v>693.7</v>
      </c>
      <c r="G314">
        <f t="shared" si="12"/>
        <v>2</v>
      </c>
      <c r="H314">
        <f t="shared" si="13"/>
        <v>54</v>
      </c>
      <c r="I314">
        <f t="shared" si="14"/>
        <v>747.7</v>
      </c>
    </row>
    <row r="315" spans="1:9" x14ac:dyDescent="0.25">
      <c r="A315" s="10" t="s">
        <v>15</v>
      </c>
      <c r="B315" s="11" t="s">
        <v>105</v>
      </c>
      <c r="C315" s="11" t="s">
        <v>14</v>
      </c>
      <c r="D315" s="12">
        <v>41779</v>
      </c>
      <c r="E315" s="12">
        <v>41783</v>
      </c>
      <c r="F315" s="13">
        <v>674.5</v>
      </c>
      <c r="G315">
        <f t="shared" si="12"/>
        <v>5</v>
      </c>
      <c r="H315">
        <f t="shared" si="13"/>
        <v>126</v>
      </c>
      <c r="I315">
        <f t="shared" si="14"/>
        <v>800.5</v>
      </c>
    </row>
    <row r="316" spans="1:9" x14ac:dyDescent="0.25">
      <c r="A316" s="6" t="s">
        <v>151</v>
      </c>
      <c r="B316" s="7" t="s">
        <v>152</v>
      </c>
      <c r="C316" s="7" t="s">
        <v>30</v>
      </c>
      <c r="D316" s="8">
        <v>41779</v>
      </c>
      <c r="E316" s="8">
        <v>41782</v>
      </c>
      <c r="F316" s="9">
        <v>569.5</v>
      </c>
      <c r="G316">
        <f t="shared" si="12"/>
        <v>4</v>
      </c>
      <c r="H316">
        <f t="shared" si="13"/>
        <v>102</v>
      </c>
      <c r="I316">
        <f t="shared" si="14"/>
        <v>671.5</v>
      </c>
    </row>
    <row r="317" spans="1:9" x14ac:dyDescent="0.25">
      <c r="A317" s="10" t="s">
        <v>166</v>
      </c>
      <c r="B317" s="11" t="s">
        <v>167</v>
      </c>
      <c r="C317" s="11" t="s">
        <v>27</v>
      </c>
      <c r="D317" s="12">
        <v>41779</v>
      </c>
      <c r="E317" s="12">
        <v>41782</v>
      </c>
      <c r="F317" s="13">
        <v>826</v>
      </c>
      <c r="G317">
        <f t="shared" si="12"/>
        <v>4</v>
      </c>
      <c r="H317">
        <f t="shared" si="13"/>
        <v>102</v>
      </c>
      <c r="I317">
        <f t="shared" si="14"/>
        <v>928</v>
      </c>
    </row>
    <row r="318" spans="1:9" x14ac:dyDescent="0.25">
      <c r="A318" s="6" t="s">
        <v>158</v>
      </c>
      <c r="B318" s="7" t="s">
        <v>159</v>
      </c>
      <c r="C318" s="7" t="s">
        <v>24</v>
      </c>
      <c r="D318" s="8">
        <v>41779</v>
      </c>
      <c r="E318" s="8">
        <v>41783</v>
      </c>
      <c r="F318" s="9">
        <v>886.7</v>
      </c>
      <c r="G318">
        <f t="shared" si="12"/>
        <v>5</v>
      </c>
      <c r="H318">
        <f t="shared" si="13"/>
        <v>126</v>
      </c>
      <c r="I318">
        <f t="shared" si="14"/>
        <v>1012.7</v>
      </c>
    </row>
    <row r="319" spans="1:9" x14ac:dyDescent="0.25">
      <c r="A319" s="10" t="s">
        <v>91</v>
      </c>
      <c r="B319" s="11" t="s">
        <v>92</v>
      </c>
      <c r="C319" s="11" t="s">
        <v>66</v>
      </c>
      <c r="D319" s="12">
        <v>41779</v>
      </c>
      <c r="E319" s="12">
        <v>41782</v>
      </c>
      <c r="F319" s="13">
        <v>841.7</v>
      </c>
      <c r="G319">
        <f t="shared" si="12"/>
        <v>4</v>
      </c>
      <c r="H319">
        <f t="shared" si="13"/>
        <v>102</v>
      </c>
      <c r="I319">
        <f t="shared" si="14"/>
        <v>943.7</v>
      </c>
    </row>
    <row r="320" spans="1:9" x14ac:dyDescent="0.25">
      <c r="A320" s="6" t="s">
        <v>15</v>
      </c>
      <c r="B320" s="7" t="s">
        <v>44</v>
      </c>
      <c r="C320" s="7" t="s">
        <v>72</v>
      </c>
      <c r="D320" s="8">
        <v>41785</v>
      </c>
      <c r="E320" s="8">
        <v>41787</v>
      </c>
      <c r="F320" s="9">
        <v>892.7</v>
      </c>
      <c r="G320">
        <f t="shared" si="12"/>
        <v>3</v>
      </c>
      <c r="H320">
        <f t="shared" si="13"/>
        <v>78</v>
      </c>
      <c r="I320">
        <f t="shared" si="14"/>
        <v>970.7</v>
      </c>
    </row>
    <row r="321" spans="1:9" x14ac:dyDescent="0.25">
      <c r="A321" s="10" t="s">
        <v>131</v>
      </c>
      <c r="B321" s="11" t="s">
        <v>154</v>
      </c>
      <c r="C321" s="11" t="s">
        <v>66</v>
      </c>
      <c r="D321" s="12">
        <v>41785</v>
      </c>
      <c r="E321" s="12">
        <v>41789</v>
      </c>
      <c r="F321" s="13">
        <v>1019.7</v>
      </c>
      <c r="G321">
        <f t="shared" si="12"/>
        <v>5</v>
      </c>
      <c r="H321">
        <f t="shared" si="13"/>
        <v>126</v>
      </c>
      <c r="I321">
        <f t="shared" si="14"/>
        <v>1145.7</v>
      </c>
    </row>
    <row r="322" spans="1:9" x14ac:dyDescent="0.25">
      <c r="A322" s="6" t="s">
        <v>79</v>
      </c>
      <c r="B322" s="7" t="s">
        <v>80</v>
      </c>
      <c r="C322" s="7" t="s">
        <v>11</v>
      </c>
      <c r="D322" s="8">
        <v>41785</v>
      </c>
      <c r="E322" s="8">
        <v>41787</v>
      </c>
      <c r="F322" s="9">
        <v>434.4</v>
      </c>
      <c r="G322">
        <f t="shared" si="12"/>
        <v>3</v>
      </c>
      <c r="H322">
        <f t="shared" si="13"/>
        <v>78</v>
      </c>
      <c r="I322">
        <f t="shared" si="14"/>
        <v>512.4</v>
      </c>
    </row>
    <row r="323" spans="1:9" x14ac:dyDescent="0.25">
      <c r="A323" s="10" t="s">
        <v>57</v>
      </c>
      <c r="B323" s="11" t="s">
        <v>163</v>
      </c>
      <c r="C323" s="11" t="s">
        <v>59</v>
      </c>
      <c r="D323" s="12">
        <v>41785</v>
      </c>
      <c r="E323" s="12">
        <v>41788</v>
      </c>
      <c r="F323" s="13">
        <v>919</v>
      </c>
      <c r="G323">
        <f t="shared" ref="G323:G386" si="15">E323-D323 + 1</f>
        <v>4</v>
      </c>
      <c r="H323">
        <f t="shared" ref="H323:H386" si="16">30+(G323-1)*24</f>
        <v>102</v>
      </c>
      <c r="I323">
        <f t="shared" ref="I323:I386" si="17">H323+F323</f>
        <v>1021</v>
      </c>
    </row>
    <row r="324" spans="1:9" x14ac:dyDescent="0.25">
      <c r="A324" s="6" t="s">
        <v>25</v>
      </c>
      <c r="B324" s="7" t="s">
        <v>26</v>
      </c>
      <c r="C324" s="7" t="s">
        <v>59</v>
      </c>
      <c r="D324" s="8">
        <v>41785</v>
      </c>
      <c r="E324" s="8">
        <v>41788</v>
      </c>
      <c r="F324" s="9">
        <v>919</v>
      </c>
      <c r="G324">
        <f t="shared" si="15"/>
        <v>4</v>
      </c>
      <c r="H324">
        <f t="shared" si="16"/>
        <v>102</v>
      </c>
      <c r="I324">
        <f t="shared" si="17"/>
        <v>1021</v>
      </c>
    </row>
    <row r="325" spans="1:9" x14ac:dyDescent="0.25">
      <c r="A325" s="10" t="s">
        <v>36</v>
      </c>
      <c r="B325" s="11" t="s">
        <v>37</v>
      </c>
      <c r="C325" s="11" t="s">
        <v>59</v>
      </c>
      <c r="D325" s="12">
        <v>41785</v>
      </c>
      <c r="E325" s="12">
        <v>41787</v>
      </c>
      <c r="F325" s="13">
        <v>760</v>
      </c>
      <c r="G325">
        <f t="shared" si="15"/>
        <v>3</v>
      </c>
      <c r="H325">
        <f t="shared" si="16"/>
        <v>78</v>
      </c>
      <c r="I325">
        <f t="shared" si="17"/>
        <v>838</v>
      </c>
    </row>
    <row r="326" spans="1:9" x14ac:dyDescent="0.25">
      <c r="A326" s="6" t="s">
        <v>15</v>
      </c>
      <c r="B326" s="7" t="s">
        <v>44</v>
      </c>
      <c r="C326" s="7" t="s">
        <v>19</v>
      </c>
      <c r="D326" s="8">
        <v>41791</v>
      </c>
      <c r="E326" s="8">
        <v>41794</v>
      </c>
      <c r="F326" s="9">
        <v>936.4</v>
      </c>
      <c r="G326">
        <f t="shared" si="15"/>
        <v>4</v>
      </c>
      <c r="H326">
        <f t="shared" si="16"/>
        <v>102</v>
      </c>
      <c r="I326">
        <f t="shared" si="17"/>
        <v>1038.4000000000001</v>
      </c>
    </row>
    <row r="327" spans="1:9" x14ac:dyDescent="0.25">
      <c r="A327" s="10" t="s">
        <v>115</v>
      </c>
      <c r="B327" s="11" t="s">
        <v>153</v>
      </c>
      <c r="C327" s="11" t="s">
        <v>24</v>
      </c>
      <c r="D327" s="12">
        <v>41791</v>
      </c>
      <c r="E327" s="12">
        <v>41794</v>
      </c>
      <c r="F327" s="13">
        <v>737.7</v>
      </c>
      <c r="G327">
        <f t="shared" si="15"/>
        <v>4</v>
      </c>
      <c r="H327">
        <f t="shared" si="16"/>
        <v>102</v>
      </c>
      <c r="I327">
        <f t="shared" si="17"/>
        <v>839.7</v>
      </c>
    </row>
    <row r="328" spans="1:9" x14ac:dyDescent="0.25">
      <c r="A328" s="6" t="s">
        <v>93</v>
      </c>
      <c r="B328" s="7" t="s">
        <v>124</v>
      </c>
      <c r="C328" s="7" t="s">
        <v>24</v>
      </c>
      <c r="D328" s="8">
        <v>41791</v>
      </c>
      <c r="E328" s="8">
        <v>41795</v>
      </c>
      <c r="F328" s="9">
        <v>886.7</v>
      </c>
      <c r="G328">
        <f t="shared" si="15"/>
        <v>5</v>
      </c>
      <c r="H328">
        <f t="shared" si="16"/>
        <v>126</v>
      </c>
      <c r="I328">
        <f t="shared" si="17"/>
        <v>1012.7</v>
      </c>
    </row>
    <row r="329" spans="1:9" x14ac:dyDescent="0.25">
      <c r="A329" s="10" t="s">
        <v>25</v>
      </c>
      <c r="B329" s="11" t="s">
        <v>67</v>
      </c>
      <c r="C329" s="11" t="s">
        <v>30</v>
      </c>
      <c r="D329" s="12">
        <v>41791</v>
      </c>
      <c r="E329" s="12">
        <v>41793</v>
      </c>
      <c r="F329" s="13">
        <v>450.5</v>
      </c>
      <c r="G329">
        <f t="shared" si="15"/>
        <v>3</v>
      </c>
      <c r="H329">
        <f t="shared" si="16"/>
        <v>78</v>
      </c>
      <c r="I329">
        <f t="shared" si="17"/>
        <v>528.5</v>
      </c>
    </row>
    <row r="330" spans="1:9" x14ac:dyDescent="0.25">
      <c r="A330" s="6" t="s">
        <v>84</v>
      </c>
      <c r="B330" s="7" t="s">
        <v>85</v>
      </c>
      <c r="C330" s="7" t="s">
        <v>19</v>
      </c>
      <c r="D330" s="8">
        <v>41791</v>
      </c>
      <c r="E330" s="8">
        <v>41794</v>
      </c>
      <c r="F330" s="9">
        <v>936.4</v>
      </c>
      <c r="G330">
        <f t="shared" si="15"/>
        <v>4</v>
      </c>
      <c r="H330">
        <f t="shared" si="16"/>
        <v>102</v>
      </c>
      <c r="I330">
        <f t="shared" si="17"/>
        <v>1038.4000000000001</v>
      </c>
    </row>
    <row r="331" spans="1:9" x14ac:dyDescent="0.25">
      <c r="A331" s="10" t="s">
        <v>134</v>
      </c>
      <c r="B331" s="11" t="s">
        <v>149</v>
      </c>
      <c r="C331" s="11" t="s">
        <v>24</v>
      </c>
      <c r="D331" s="12">
        <v>41791</v>
      </c>
      <c r="E331" s="12">
        <v>41793</v>
      </c>
      <c r="F331" s="13">
        <v>588.70000000000005</v>
      </c>
      <c r="G331">
        <f t="shared" si="15"/>
        <v>3</v>
      </c>
      <c r="H331">
        <f t="shared" si="16"/>
        <v>78</v>
      </c>
      <c r="I331">
        <f t="shared" si="17"/>
        <v>666.7</v>
      </c>
    </row>
    <row r="332" spans="1:9" x14ac:dyDescent="0.25">
      <c r="A332" s="6" t="s">
        <v>15</v>
      </c>
      <c r="B332" s="7" t="s">
        <v>96</v>
      </c>
      <c r="C332" s="7" t="s">
        <v>59</v>
      </c>
      <c r="D332" s="8">
        <v>41791</v>
      </c>
      <c r="E332" s="8">
        <v>41793</v>
      </c>
      <c r="F332" s="9">
        <v>760</v>
      </c>
      <c r="G332">
        <f t="shared" si="15"/>
        <v>3</v>
      </c>
      <c r="H332">
        <f t="shared" si="16"/>
        <v>78</v>
      </c>
      <c r="I332">
        <f t="shared" si="17"/>
        <v>838</v>
      </c>
    </row>
    <row r="333" spans="1:9" x14ac:dyDescent="0.25">
      <c r="A333" s="10" t="s">
        <v>28</v>
      </c>
      <c r="B333" s="11" t="s">
        <v>60</v>
      </c>
      <c r="C333" s="11" t="s">
        <v>30</v>
      </c>
      <c r="D333" s="12">
        <v>41792</v>
      </c>
      <c r="E333" s="12">
        <v>41792</v>
      </c>
      <c r="F333" s="13">
        <v>212.5</v>
      </c>
      <c r="G333">
        <f t="shared" si="15"/>
        <v>1</v>
      </c>
      <c r="H333">
        <f t="shared" si="16"/>
        <v>30</v>
      </c>
      <c r="I333">
        <f t="shared" si="17"/>
        <v>242.5</v>
      </c>
    </row>
    <row r="334" spans="1:9" x14ac:dyDescent="0.25">
      <c r="A334" s="6" t="s">
        <v>25</v>
      </c>
      <c r="B334" s="7" t="s">
        <v>26</v>
      </c>
      <c r="C334" s="7" t="s">
        <v>38</v>
      </c>
      <c r="D334" s="8">
        <v>41792</v>
      </c>
      <c r="E334" s="8">
        <v>41792</v>
      </c>
      <c r="F334" s="9">
        <v>278.8</v>
      </c>
      <c r="G334">
        <f t="shared" si="15"/>
        <v>1</v>
      </c>
      <c r="H334">
        <f t="shared" si="16"/>
        <v>30</v>
      </c>
      <c r="I334">
        <f t="shared" si="17"/>
        <v>308.8</v>
      </c>
    </row>
    <row r="335" spans="1:9" x14ac:dyDescent="0.25">
      <c r="A335" s="10" t="s">
        <v>15</v>
      </c>
      <c r="B335" s="11" t="s">
        <v>63</v>
      </c>
      <c r="C335" s="11" t="s">
        <v>24</v>
      </c>
      <c r="D335" s="12">
        <v>41792</v>
      </c>
      <c r="E335" s="12">
        <v>41794</v>
      </c>
      <c r="F335" s="13">
        <v>588.70000000000005</v>
      </c>
      <c r="G335">
        <f t="shared" si="15"/>
        <v>3</v>
      </c>
      <c r="H335">
        <f t="shared" si="16"/>
        <v>78</v>
      </c>
      <c r="I335">
        <f t="shared" si="17"/>
        <v>666.7</v>
      </c>
    </row>
    <row r="336" spans="1:9" x14ac:dyDescent="0.25">
      <c r="A336" s="6" t="s">
        <v>91</v>
      </c>
      <c r="B336" s="7" t="s">
        <v>92</v>
      </c>
      <c r="C336" s="7" t="s">
        <v>38</v>
      </c>
      <c r="D336" s="8">
        <v>41792</v>
      </c>
      <c r="E336" s="8">
        <v>41792</v>
      </c>
      <c r="F336" s="9">
        <v>278.8</v>
      </c>
      <c r="G336">
        <f t="shared" si="15"/>
        <v>1</v>
      </c>
      <c r="H336">
        <f t="shared" si="16"/>
        <v>30</v>
      </c>
      <c r="I336">
        <f t="shared" si="17"/>
        <v>308.8</v>
      </c>
    </row>
    <row r="337" spans="1:9" x14ac:dyDescent="0.25">
      <c r="A337" s="10" t="s">
        <v>170</v>
      </c>
      <c r="B337" s="11" t="s">
        <v>171</v>
      </c>
      <c r="C337" s="11" t="s">
        <v>14</v>
      </c>
      <c r="D337" s="12">
        <v>41793</v>
      </c>
      <c r="E337" s="12">
        <v>41793</v>
      </c>
      <c r="F337" s="13">
        <v>178.5</v>
      </c>
      <c r="G337">
        <f t="shared" si="15"/>
        <v>1</v>
      </c>
      <c r="H337">
        <f t="shared" si="16"/>
        <v>30</v>
      </c>
      <c r="I337">
        <f t="shared" si="17"/>
        <v>208.5</v>
      </c>
    </row>
    <row r="338" spans="1:9" x14ac:dyDescent="0.25">
      <c r="A338" s="6" t="s">
        <v>31</v>
      </c>
      <c r="B338" s="7" t="s">
        <v>77</v>
      </c>
      <c r="C338" s="7" t="s">
        <v>17</v>
      </c>
      <c r="D338" s="8">
        <v>41793</v>
      </c>
      <c r="E338" s="8">
        <v>41794</v>
      </c>
      <c r="F338" s="9">
        <v>706.5</v>
      </c>
      <c r="G338">
        <f t="shared" si="15"/>
        <v>2</v>
      </c>
      <c r="H338">
        <f t="shared" si="16"/>
        <v>54</v>
      </c>
      <c r="I338">
        <f t="shared" si="17"/>
        <v>760.5</v>
      </c>
    </row>
    <row r="339" spans="1:9" x14ac:dyDescent="0.25">
      <c r="A339" s="10" t="s">
        <v>99</v>
      </c>
      <c r="B339" s="11" t="s">
        <v>130</v>
      </c>
      <c r="C339" s="11" t="s">
        <v>30</v>
      </c>
      <c r="D339" s="12">
        <v>41794</v>
      </c>
      <c r="E339" s="12">
        <v>41795</v>
      </c>
      <c r="F339" s="13">
        <v>331.5</v>
      </c>
      <c r="G339">
        <f t="shared" si="15"/>
        <v>2</v>
      </c>
      <c r="H339">
        <f t="shared" si="16"/>
        <v>54</v>
      </c>
      <c r="I339">
        <f t="shared" si="17"/>
        <v>385.5</v>
      </c>
    </row>
    <row r="340" spans="1:9" x14ac:dyDescent="0.25">
      <c r="A340" s="6" t="s">
        <v>164</v>
      </c>
      <c r="B340" s="7" t="s">
        <v>165</v>
      </c>
      <c r="C340" s="7" t="s">
        <v>27</v>
      </c>
      <c r="D340" s="8">
        <v>41794</v>
      </c>
      <c r="E340" s="8">
        <v>41795</v>
      </c>
      <c r="F340" s="9">
        <v>570</v>
      </c>
      <c r="G340">
        <f t="shared" si="15"/>
        <v>2</v>
      </c>
      <c r="H340">
        <f t="shared" si="16"/>
        <v>54</v>
      </c>
      <c r="I340">
        <f t="shared" si="17"/>
        <v>624</v>
      </c>
    </row>
    <row r="341" spans="1:9" x14ac:dyDescent="0.25">
      <c r="A341" s="10" t="s">
        <v>91</v>
      </c>
      <c r="B341" s="11" t="s">
        <v>92</v>
      </c>
      <c r="C341" s="11" t="s">
        <v>17</v>
      </c>
      <c r="D341" s="12">
        <v>41794</v>
      </c>
      <c r="E341" s="12">
        <v>41795</v>
      </c>
      <c r="F341" s="13">
        <v>706.5</v>
      </c>
      <c r="G341">
        <f t="shared" si="15"/>
        <v>2</v>
      </c>
      <c r="H341">
        <f t="shared" si="16"/>
        <v>54</v>
      </c>
      <c r="I341">
        <f t="shared" si="17"/>
        <v>760.5</v>
      </c>
    </row>
    <row r="342" spans="1:9" x14ac:dyDescent="0.25">
      <c r="A342" s="6" t="s">
        <v>25</v>
      </c>
      <c r="B342" s="7" t="s">
        <v>67</v>
      </c>
      <c r="C342" s="7" t="s">
        <v>17</v>
      </c>
      <c r="D342" s="8">
        <v>41795</v>
      </c>
      <c r="E342" s="8">
        <v>41795</v>
      </c>
      <c r="F342" s="9">
        <v>501.5</v>
      </c>
      <c r="G342">
        <f t="shared" si="15"/>
        <v>1</v>
      </c>
      <c r="H342">
        <f t="shared" si="16"/>
        <v>30</v>
      </c>
      <c r="I342">
        <f t="shared" si="17"/>
        <v>531.5</v>
      </c>
    </row>
    <row r="343" spans="1:9" x14ac:dyDescent="0.25">
      <c r="A343" s="10" t="s">
        <v>22</v>
      </c>
      <c r="B343" s="11" t="s">
        <v>23</v>
      </c>
      <c r="C343" s="11" t="s">
        <v>11</v>
      </c>
      <c r="D343" s="12">
        <v>41797</v>
      </c>
      <c r="E343" s="12">
        <v>41797</v>
      </c>
      <c r="F343" s="13">
        <v>156.4</v>
      </c>
      <c r="G343">
        <f t="shared" si="15"/>
        <v>1</v>
      </c>
      <c r="H343">
        <f t="shared" si="16"/>
        <v>30</v>
      </c>
      <c r="I343">
        <f t="shared" si="17"/>
        <v>186.4</v>
      </c>
    </row>
    <row r="344" spans="1:9" x14ac:dyDescent="0.25">
      <c r="A344" s="6" t="s">
        <v>93</v>
      </c>
      <c r="B344" s="7" t="s">
        <v>124</v>
      </c>
      <c r="C344" s="7" t="s">
        <v>66</v>
      </c>
      <c r="D344" s="8">
        <v>41797</v>
      </c>
      <c r="E344" s="8">
        <v>41799</v>
      </c>
      <c r="F344" s="9">
        <v>663.7</v>
      </c>
      <c r="G344">
        <f t="shared" si="15"/>
        <v>3</v>
      </c>
      <c r="H344">
        <f t="shared" si="16"/>
        <v>78</v>
      </c>
      <c r="I344">
        <f t="shared" si="17"/>
        <v>741.7</v>
      </c>
    </row>
    <row r="345" spans="1:9" x14ac:dyDescent="0.25">
      <c r="A345" s="10" t="s">
        <v>86</v>
      </c>
      <c r="B345" s="11" t="s">
        <v>150</v>
      </c>
      <c r="C345" s="11" t="s">
        <v>72</v>
      </c>
      <c r="D345" s="12">
        <v>41797</v>
      </c>
      <c r="E345" s="12">
        <v>41801</v>
      </c>
      <c r="F345" s="13">
        <v>1290.7</v>
      </c>
      <c r="G345">
        <f t="shared" si="15"/>
        <v>5</v>
      </c>
      <c r="H345">
        <f t="shared" si="16"/>
        <v>126</v>
      </c>
      <c r="I345">
        <f t="shared" si="17"/>
        <v>1416.7</v>
      </c>
    </row>
    <row r="346" spans="1:9" x14ac:dyDescent="0.25">
      <c r="A346" s="6" t="s">
        <v>12</v>
      </c>
      <c r="B346" s="7" t="s">
        <v>13</v>
      </c>
      <c r="C346" s="7" t="s">
        <v>11</v>
      </c>
      <c r="D346" s="8">
        <v>41797</v>
      </c>
      <c r="E346" s="8">
        <v>41801</v>
      </c>
      <c r="F346" s="9">
        <v>712.4</v>
      </c>
      <c r="G346">
        <f t="shared" si="15"/>
        <v>5</v>
      </c>
      <c r="H346">
        <f t="shared" si="16"/>
        <v>126</v>
      </c>
      <c r="I346">
        <f t="shared" si="17"/>
        <v>838.4</v>
      </c>
    </row>
    <row r="347" spans="1:9" x14ac:dyDescent="0.25">
      <c r="A347" s="10" t="s">
        <v>91</v>
      </c>
      <c r="B347" s="11" t="s">
        <v>161</v>
      </c>
      <c r="C347" s="11" t="s">
        <v>19</v>
      </c>
      <c r="D347" s="12">
        <v>41797</v>
      </c>
      <c r="E347" s="12">
        <v>41799</v>
      </c>
      <c r="F347" s="13">
        <v>795.4</v>
      </c>
      <c r="G347">
        <f t="shared" si="15"/>
        <v>3</v>
      </c>
      <c r="H347">
        <f t="shared" si="16"/>
        <v>78</v>
      </c>
      <c r="I347">
        <f t="shared" si="17"/>
        <v>873.4</v>
      </c>
    </row>
    <row r="348" spans="1:9" x14ac:dyDescent="0.25">
      <c r="A348" s="6" t="s">
        <v>36</v>
      </c>
      <c r="B348" s="7" t="s">
        <v>37</v>
      </c>
      <c r="C348" s="7" t="s">
        <v>66</v>
      </c>
      <c r="D348" s="8">
        <v>41799</v>
      </c>
      <c r="E348" s="8">
        <v>41800</v>
      </c>
      <c r="F348" s="9">
        <v>485.7</v>
      </c>
      <c r="G348">
        <f t="shared" si="15"/>
        <v>2</v>
      </c>
      <c r="H348">
        <f t="shared" si="16"/>
        <v>54</v>
      </c>
      <c r="I348">
        <f t="shared" si="17"/>
        <v>539.70000000000005</v>
      </c>
    </row>
    <row r="349" spans="1:9" x14ac:dyDescent="0.25">
      <c r="A349" s="10" t="s">
        <v>54</v>
      </c>
      <c r="B349" s="11" t="s">
        <v>55</v>
      </c>
      <c r="C349" s="11" t="s">
        <v>66</v>
      </c>
      <c r="D349" s="12">
        <v>41803</v>
      </c>
      <c r="E349" s="12">
        <v>41805</v>
      </c>
      <c r="F349" s="13">
        <v>663.7</v>
      </c>
      <c r="G349">
        <f t="shared" si="15"/>
        <v>3</v>
      </c>
      <c r="H349">
        <f t="shared" si="16"/>
        <v>78</v>
      </c>
      <c r="I349">
        <f t="shared" si="17"/>
        <v>741.7</v>
      </c>
    </row>
    <row r="350" spans="1:9" x14ac:dyDescent="0.25">
      <c r="A350" s="6" t="s">
        <v>131</v>
      </c>
      <c r="B350" s="7" t="s">
        <v>154</v>
      </c>
      <c r="C350" s="7" t="s">
        <v>59</v>
      </c>
      <c r="D350" s="8">
        <v>41803</v>
      </c>
      <c r="E350" s="8">
        <v>41807</v>
      </c>
      <c r="F350" s="9">
        <v>1078</v>
      </c>
      <c r="G350">
        <f t="shared" si="15"/>
        <v>5</v>
      </c>
      <c r="H350">
        <f t="shared" si="16"/>
        <v>126</v>
      </c>
      <c r="I350">
        <f t="shared" si="17"/>
        <v>1204</v>
      </c>
    </row>
    <row r="351" spans="1:9" x14ac:dyDescent="0.25">
      <c r="A351" s="10" t="s">
        <v>22</v>
      </c>
      <c r="B351" s="11" t="s">
        <v>172</v>
      </c>
      <c r="C351" s="11" t="s">
        <v>72</v>
      </c>
      <c r="D351" s="12">
        <v>41803</v>
      </c>
      <c r="E351" s="12">
        <v>41803</v>
      </c>
      <c r="F351" s="13">
        <v>494.7</v>
      </c>
      <c r="G351">
        <f t="shared" si="15"/>
        <v>1</v>
      </c>
      <c r="H351">
        <f t="shared" si="16"/>
        <v>30</v>
      </c>
      <c r="I351">
        <f t="shared" si="17"/>
        <v>524.70000000000005</v>
      </c>
    </row>
    <row r="352" spans="1:9" x14ac:dyDescent="0.25">
      <c r="A352" s="6" t="s">
        <v>84</v>
      </c>
      <c r="B352" s="7" t="s">
        <v>85</v>
      </c>
      <c r="C352" s="7" t="s">
        <v>38</v>
      </c>
      <c r="D352" s="8">
        <v>41803</v>
      </c>
      <c r="E352" s="8">
        <v>41807</v>
      </c>
      <c r="F352" s="9">
        <v>794.8</v>
      </c>
      <c r="G352">
        <f t="shared" si="15"/>
        <v>5</v>
      </c>
      <c r="H352">
        <f t="shared" si="16"/>
        <v>126</v>
      </c>
      <c r="I352">
        <f t="shared" si="17"/>
        <v>920.8</v>
      </c>
    </row>
    <row r="353" spans="1:9" x14ac:dyDescent="0.25">
      <c r="A353" s="10" t="s">
        <v>6</v>
      </c>
      <c r="B353" s="11" t="s">
        <v>56</v>
      </c>
      <c r="C353" s="11" t="s">
        <v>72</v>
      </c>
      <c r="D353" s="12">
        <v>41803</v>
      </c>
      <c r="E353" s="12">
        <v>41806</v>
      </c>
      <c r="F353" s="13">
        <v>1091.7</v>
      </c>
      <c r="G353">
        <f t="shared" si="15"/>
        <v>4</v>
      </c>
      <c r="H353">
        <f t="shared" si="16"/>
        <v>102</v>
      </c>
      <c r="I353">
        <f t="shared" si="17"/>
        <v>1193.7</v>
      </c>
    </row>
    <row r="354" spans="1:9" x14ac:dyDescent="0.25">
      <c r="A354" s="6" t="s">
        <v>33</v>
      </c>
      <c r="B354" s="7" t="s">
        <v>41</v>
      </c>
      <c r="C354" s="7" t="s">
        <v>72</v>
      </c>
      <c r="D354" s="8">
        <v>41803</v>
      </c>
      <c r="E354" s="8">
        <v>41806</v>
      </c>
      <c r="F354" s="9">
        <v>1091.7</v>
      </c>
      <c r="G354">
        <f t="shared" si="15"/>
        <v>4</v>
      </c>
      <c r="H354">
        <f t="shared" si="16"/>
        <v>102</v>
      </c>
      <c r="I354">
        <f t="shared" si="17"/>
        <v>1193.7</v>
      </c>
    </row>
    <row r="355" spans="1:9" x14ac:dyDescent="0.25">
      <c r="A355" s="10" t="s">
        <v>134</v>
      </c>
      <c r="B355" s="11" t="s">
        <v>135</v>
      </c>
      <c r="C355" s="11" t="s">
        <v>38</v>
      </c>
      <c r="D355" s="12">
        <v>41803</v>
      </c>
      <c r="E355" s="12">
        <v>41807</v>
      </c>
      <c r="F355" s="13">
        <v>794.8</v>
      </c>
      <c r="G355">
        <f t="shared" si="15"/>
        <v>5</v>
      </c>
      <c r="H355">
        <f t="shared" si="16"/>
        <v>126</v>
      </c>
      <c r="I355">
        <f t="shared" si="17"/>
        <v>920.8</v>
      </c>
    </row>
    <row r="356" spans="1:9" x14ac:dyDescent="0.25">
      <c r="A356" s="6" t="s">
        <v>9</v>
      </c>
      <c r="B356" s="7" t="s">
        <v>69</v>
      </c>
      <c r="C356" s="7" t="s">
        <v>72</v>
      </c>
      <c r="D356" s="8">
        <v>41803</v>
      </c>
      <c r="E356" s="8">
        <v>41804</v>
      </c>
      <c r="F356" s="9">
        <v>693.7</v>
      </c>
      <c r="G356">
        <f t="shared" si="15"/>
        <v>2</v>
      </c>
      <c r="H356">
        <f t="shared" si="16"/>
        <v>54</v>
      </c>
      <c r="I356">
        <f t="shared" si="17"/>
        <v>747.7</v>
      </c>
    </row>
    <row r="357" spans="1:9" x14ac:dyDescent="0.25">
      <c r="A357" s="10" t="s">
        <v>99</v>
      </c>
      <c r="B357" s="11" t="s">
        <v>100</v>
      </c>
      <c r="C357" s="11" t="s">
        <v>72</v>
      </c>
      <c r="D357" s="12">
        <v>41803</v>
      </c>
      <c r="E357" s="12">
        <v>41805</v>
      </c>
      <c r="F357" s="13">
        <v>892.7</v>
      </c>
      <c r="G357">
        <f t="shared" si="15"/>
        <v>3</v>
      </c>
      <c r="H357">
        <f t="shared" si="16"/>
        <v>78</v>
      </c>
      <c r="I357">
        <f t="shared" si="17"/>
        <v>970.7</v>
      </c>
    </row>
    <row r="358" spans="1:9" x14ac:dyDescent="0.25">
      <c r="A358" s="6" t="s">
        <v>145</v>
      </c>
      <c r="B358" s="7" t="s">
        <v>146</v>
      </c>
      <c r="C358" s="7" t="s">
        <v>47</v>
      </c>
      <c r="D358" s="8">
        <v>41803</v>
      </c>
      <c r="E358" s="8">
        <v>41806</v>
      </c>
      <c r="F358" s="9">
        <v>852.8</v>
      </c>
      <c r="G358">
        <f t="shared" si="15"/>
        <v>4</v>
      </c>
      <c r="H358">
        <f t="shared" si="16"/>
        <v>102</v>
      </c>
      <c r="I358">
        <f t="shared" si="17"/>
        <v>954.8</v>
      </c>
    </row>
    <row r="359" spans="1:9" x14ac:dyDescent="0.25">
      <c r="A359" s="10" t="s">
        <v>151</v>
      </c>
      <c r="B359" s="11" t="s">
        <v>152</v>
      </c>
      <c r="C359" s="11" t="s">
        <v>72</v>
      </c>
      <c r="D359" s="12">
        <v>41803</v>
      </c>
      <c r="E359" s="12">
        <v>41803</v>
      </c>
      <c r="F359" s="13">
        <v>494.7</v>
      </c>
      <c r="G359">
        <f t="shared" si="15"/>
        <v>1</v>
      </c>
      <c r="H359">
        <f t="shared" si="16"/>
        <v>30</v>
      </c>
      <c r="I359">
        <f t="shared" si="17"/>
        <v>524.70000000000005</v>
      </c>
    </row>
    <row r="360" spans="1:9" x14ac:dyDescent="0.25">
      <c r="A360" s="6" t="s">
        <v>75</v>
      </c>
      <c r="B360" s="7" t="s">
        <v>88</v>
      </c>
      <c r="C360" s="7" t="s">
        <v>27</v>
      </c>
      <c r="D360" s="8">
        <v>41803</v>
      </c>
      <c r="E360" s="8">
        <v>41803</v>
      </c>
      <c r="F360" s="9">
        <v>442</v>
      </c>
      <c r="G360">
        <f t="shared" si="15"/>
        <v>1</v>
      </c>
      <c r="H360">
        <f t="shared" si="16"/>
        <v>30</v>
      </c>
      <c r="I360">
        <f t="shared" si="17"/>
        <v>472</v>
      </c>
    </row>
    <row r="361" spans="1:9" x14ac:dyDescent="0.25">
      <c r="A361" s="10" t="s">
        <v>137</v>
      </c>
      <c r="B361" s="11" t="s">
        <v>160</v>
      </c>
      <c r="C361" s="11" t="s">
        <v>66</v>
      </c>
      <c r="D361" s="12">
        <v>41803</v>
      </c>
      <c r="E361" s="12">
        <v>41805</v>
      </c>
      <c r="F361" s="13">
        <v>663.7</v>
      </c>
      <c r="G361">
        <f t="shared" si="15"/>
        <v>3</v>
      </c>
      <c r="H361">
        <f t="shared" si="16"/>
        <v>78</v>
      </c>
      <c r="I361">
        <f t="shared" si="17"/>
        <v>741.7</v>
      </c>
    </row>
    <row r="362" spans="1:9" x14ac:dyDescent="0.25">
      <c r="A362" s="6" t="s">
        <v>158</v>
      </c>
      <c r="B362" s="7" t="s">
        <v>159</v>
      </c>
      <c r="C362" s="7" t="s">
        <v>8</v>
      </c>
      <c r="D362" s="8">
        <v>41803</v>
      </c>
      <c r="E362" s="8">
        <v>41806</v>
      </c>
      <c r="F362" s="9">
        <v>1313</v>
      </c>
      <c r="G362">
        <f t="shared" si="15"/>
        <v>4</v>
      </c>
      <c r="H362">
        <f t="shared" si="16"/>
        <v>102</v>
      </c>
      <c r="I362">
        <f t="shared" si="17"/>
        <v>1415</v>
      </c>
    </row>
    <row r="363" spans="1:9" x14ac:dyDescent="0.25">
      <c r="A363" s="10" t="s">
        <v>115</v>
      </c>
      <c r="B363" s="11" t="s">
        <v>116</v>
      </c>
      <c r="C363" s="11" t="s">
        <v>17</v>
      </c>
      <c r="D363" s="12">
        <v>41803</v>
      </c>
      <c r="E363" s="12">
        <v>41805</v>
      </c>
      <c r="F363" s="13">
        <v>911.5</v>
      </c>
      <c r="G363">
        <f t="shared" si="15"/>
        <v>3</v>
      </c>
      <c r="H363">
        <f t="shared" si="16"/>
        <v>78</v>
      </c>
      <c r="I363">
        <f t="shared" si="17"/>
        <v>989.5</v>
      </c>
    </row>
    <row r="364" spans="1:9" x14ac:dyDescent="0.25">
      <c r="A364" s="6" t="s">
        <v>164</v>
      </c>
      <c r="B364" s="7" t="s">
        <v>165</v>
      </c>
      <c r="C364" s="7" t="s">
        <v>59</v>
      </c>
      <c r="D364" s="8">
        <v>41806</v>
      </c>
      <c r="E364" s="8">
        <v>41807</v>
      </c>
      <c r="F364" s="9">
        <v>601</v>
      </c>
      <c r="G364">
        <f t="shared" si="15"/>
        <v>2</v>
      </c>
      <c r="H364">
        <f t="shared" si="16"/>
        <v>54</v>
      </c>
      <c r="I364">
        <f t="shared" si="17"/>
        <v>655</v>
      </c>
    </row>
    <row r="365" spans="1:9" x14ac:dyDescent="0.25">
      <c r="A365" s="10" t="s">
        <v>75</v>
      </c>
      <c r="B365" s="11" t="s">
        <v>76</v>
      </c>
      <c r="C365" s="11" t="s">
        <v>27</v>
      </c>
      <c r="D365" s="12">
        <v>41806</v>
      </c>
      <c r="E365" s="12">
        <v>41806</v>
      </c>
      <c r="F365" s="13">
        <v>442</v>
      </c>
      <c r="G365">
        <f t="shared" si="15"/>
        <v>1</v>
      </c>
      <c r="H365">
        <f t="shared" si="16"/>
        <v>30</v>
      </c>
      <c r="I365">
        <f t="shared" si="17"/>
        <v>472</v>
      </c>
    </row>
    <row r="366" spans="1:9" x14ac:dyDescent="0.25">
      <c r="A366" s="6" t="s">
        <v>126</v>
      </c>
      <c r="B366" s="7" t="s">
        <v>127</v>
      </c>
      <c r="C366" s="7" t="s">
        <v>30</v>
      </c>
      <c r="D366" s="8">
        <v>41809</v>
      </c>
      <c r="E366" s="8">
        <v>41812</v>
      </c>
      <c r="F366" s="9">
        <v>569.5</v>
      </c>
      <c r="G366">
        <f t="shared" si="15"/>
        <v>4</v>
      </c>
      <c r="H366">
        <f t="shared" si="16"/>
        <v>102</v>
      </c>
      <c r="I366">
        <f t="shared" si="17"/>
        <v>671.5</v>
      </c>
    </row>
    <row r="367" spans="1:9" x14ac:dyDescent="0.25">
      <c r="A367" s="10" t="s">
        <v>145</v>
      </c>
      <c r="B367" s="11" t="s">
        <v>146</v>
      </c>
      <c r="C367" s="11" t="s">
        <v>24</v>
      </c>
      <c r="D367" s="12">
        <v>41809</v>
      </c>
      <c r="E367" s="12">
        <v>41810</v>
      </c>
      <c r="F367" s="13">
        <v>439.7</v>
      </c>
      <c r="G367">
        <f t="shared" si="15"/>
        <v>2</v>
      </c>
      <c r="H367">
        <f t="shared" si="16"/>
        <v>54</v>
      </c>
      <c r="I367">
        <f t="shared" si="17"/>
        <v>493.7</v>
      </c>
    </row>
    <row r="368" spans="1:9" x14ac:dyDescent="0.25">
      <c r="A368" s="6" t="s">
        <v>75</v>
      </c>
      <c r="B368" s="7" t="s">
        <v>88</v>
      </c>
      <c r="C368" s="7" t="s">
        <v>66</v>
      </c>
      <c r="D368" s="8">
        <v>41809</v>
      </c>
      <c r="E368" s="8">
        <v>41812</v>
      </c>
      <c r="F368" s="9">
        <v>841.7</v>
      </c>
      <c r="G368">
        <f t="shared" si="15"/>
        <v>4</v>
      </c>
      <c r="H368">
        <f t="shared" si="16"/>
        <v>102</v>
      </c>
      <c r="I368">
        <f t="shared" si="17"/>
        <v>943.7</v>
      </c>
    </row>
    <row r="369" spans="1:9" x14ac:dyDescent="0.25">
      <c r="A369" s="10" t="s">
        <v>109</v>
      </c>
      <c r="B369" s="11" t="s">
        <v>110</v>
      </c>
      <c r="C369" s="11" t="s">
        <v>19</v>
      </c>
      <c r="D369" s="12">
        <v>41809</v>
      </c>
      <c r="E369" s="12">
        <v>41811</v>
      </c>
      <c r="F369" s="13">
        <v>795.4</v>
      </c>
      <c r="G369">
        <f t="shared" si="15"/>
        <v>3</v>
      </c>
      <c r="H369">
        <f t="shared" si="16"/>
        <v>78</v>
      </c>
      <c r="I369">
        <f t="shared" si="17"/>
        <v>873.4</v>
      </c>
    </row>
    <row r="370" spans="1:9" x14ac:dyDescent="0.25">
      <c r="A370" s="6" t="s">
        <v>20</v>
      </c>
      <c r="B370" s="7" t="s">
        <v>162</v>
      </c>
      <c r="C370" s="7" t="s">
        <v>72</v>
      </c>
      <c r="D370" s="8">
        <v>41809</v>
      </c>
      <c r="E370" s="8">
        <v>41813</v>
      </c>
      <c r="F370" s="9">
        <v>1290.7</v>
      </c>
      <c r="G370">
        <f t="shared" si="15"/>
        <v>5</v>
      </c>
      <c r="H370">
        <f t="shared" si="16"/>
        <v>126</v>
      </c>
      <c r="I370">
        <f t="shared" si="17"/>
        <v>1416.7</v>
      </c>
    </row>
    <row r="371" spans="1:9" x14ac:dyDescent="0.25">
      <c r="A371" s="10" t="s">
        <v>20</v>
      </c>
      <c r="B371" s="11" t="s">
        <v>21</v>
      </c>
      <c r="C371" s="11" t="s">
        <v>27</v>
      </c>
      <c r="D371" s="12">
        <v>41809</v>
      </c>
      <c r="E371" s="12">
        <v>41811</v>
      </c>
      <c r="F371" s="13">
        <v>698</v>
      </c>
      <c r="G371">
        <f t="shared" si="15"/>
        <v>3</v>
      </c>
      <c r="H371">
        <f t="shared" si="16"/>
        <v>78</v>
      </c>
      <c r="I371">
        <f t="shared" si="17"/>
        <v>776</v>
      </c>
    </row>
    <row r="372" spans="1:9" x14ac:dyDescent="0.25">
      <c r="A372" s="6" t="s">
        <v>48</v>
      </c>
      <c r="B372" s="7" t="s">
        <v>49</v>
      </c>
      <c r="C372" s="7" t="s">
        <v>24</v>
      </c>
      <c r="D372" s="8">
        <v>41815</v>
      </c>
      <c r="E372" s="8">
        <v>41816</v>
      </c>
      <c r="F372" s="9">
        <v>439.7</v>
      </c>
      <c r="G372">
        <f t="shared" si="15"/>
        <v>2</v>
      </c>
      <c r="H372">
        <f t="shared" si="16"/>
        <v>54</v>
      </c>
      <c r="I372">
        <f t="shared" si="17"/>
        <v>493.7</v>
      </c>
    </row>
    <row r="373" spans="1:9" x14ac:dyDescent="0.25">
      <c r="A373" s="10" t="s">
        <v>54</v>
      </c>
      <c r="B373" s="11" t="s">
        <v>133</v>
      </c>
      <c r="C373" s="11" t="s">
        <v>72</v>
      </c>
      <c r="D373" s="12">
        <v>41815</v>
      </c>
      <c r="E373" s="12">
        <v>41815</v>
      </c>
      <c r="F373" s="13">
        <v>494.7</v>
      </c>
      <c r="G373">
        <f t="shared" si="15"/>
        <v>1</v>
      </c>
      <c r="H373">
        <f t="shared" si="16"/>
        <v>30</v>
      </c>
      <c r="I373">
        <f t="shared" si="17"/>
        <v>524.70000000000005</v>
      </c>
    </row>
    <row r="374" spans="1:9" x14ac:dyDescent="0.25">
      <c r="A374" s="6" t="s">
        <v>54</v>
      </c>
      <c r="B374" s="7" t="s">
        <v>133</v>
      </c>
      <c r="C374" s="7" t="s">
        <v>17</v>
      </c>
      <c r="D374" s="8">
        <v>41815</v>
      </c>
      <c r="E374" s="8">
        <v>41817</v>
      </c>
      <c r="F374" s="9">
        <v>911.5</v>
      </c>
      <c r="G374">
        <f t="shared" si="15"/>
        <v>3</v>
      </c>
      <c r="H374">
        <f t="shared" si="16"/>
        <v>78</v>
      </c>
      <c r="I374">
        <f t="shared" si="17"/>
        <v>989.5</v>
      </c>
    </row>
    <row r="375" spans="1:9" x14ac:dyDescent="0.25">
      <c r="A375" s="10" t="s">
        <v>50</v>
      </c>
      <c r="B375" s="11" t="s">
        <v>51</v>
      </c>
      <c r="C375" s="11" t="s">
        <v>8</v>
      </c>
      <c r="D375" s="12">
        <v>41815</v>
      </c>
      <c r="E375" s="12">
        <v>41816</v>
      </c>
      <c r="F375" s="13">
        <v>891</v>
      </c>
      <c r="G375">
        <f t="shared" si="15"/>
        <v>2</v>
      </c>
      <c r="H375">
        <f t="shared" si="16"/>
        <v>54</v>
      </c>
      <c r="I375">
        <f t="shared" si="17"/>
        <v>945</v>
      </c>
    </row>
    <row r="376" spans="1:9" x14ac:dyDescent="0.25">
      <c r="A376" s="6" t="s">
        <v>61</v>
      </c>
      <c r="B376" s="7" t="s">
        <v>62</v>
      </c>
      <c r="C376" s="7" t="s">
        <v>38</v>
      </c>
      <c r="D376" s="8">
        <v>41815</v>
      </c>
      <c r="E376" s="8">
        <v>41818</v>
      </c>
      <c r="F376" s="9">
        <v>665.8</v>
      </c>
      <c r="G376">
        <f t="shared" si="15"/>
        <v>4</v>
      </c>
      <c r="H376">
        <f t="shared" si="16"/>
        <v>102</v>
      </c>
      <c r="I376">
        <f t="shared" si="17"/>
        <v>767.8</v>
      </c>
    </row>
    <row r="377" spans="1:9" x14ac:dyDescent="0.25">
      <c r="A377" s="10" t="s">
        <v>126</v>
      </c>
      <c r="B377" s="11" t="s">
        <v>127</v>
      </c>
      <c r="C377" s="11" t="s">
        <v>19</v>
      </c>
      <c r="D377" s="12">
        <v>41815</v>
      </c>
      <c r="E377" s="12">
        <v>41817</v>
      </c>
      <c r="F377" s="13">
        <v>795.4</v>
      </c>
      <c r="G377">
        <f t="shared" si="15"/>
        <v>3</v>
      </c>
      <c r="H377">
        <f t="shared" si="16"/>
        <v>78</v>
      </c>
      <c r="I377">
        <f t="shared" si="17"/>
        <v>873.4</v>
      </c>
    </row>
    <row r="378" spans="1:9" x14ac:dyDescent="0.25">
      <c r="A378" s="6" t="s">
        <v>9</v>
      </c>
      <c r="B378" s="7" t="s">
        <v>103</v>
      </c>
      <c r="C378" s="7" t="s">
        <v>19</v>
      </c>
      <c r="D378" s="8">
        <v>41815</v>
      </c>
      <c r="E378" s="8">
        <v>41816</v>
      </c>
      <c r="F378" s="9">
        <v>654.4</v>
      </c>
      <c r="G378">
        <f t="shared" si="15"/>
        <v>2</v>
      </c>
      <c r="H378">
        <f t="shared" si="16"/>
        <v>54</v>
      </c>
      <c r="I378">
        <f t="shared" si="17"/>
        <v>708.4</v>
      </c>
    </row>
    <row r="379" spans="1:9" x14ac:dyDescent="0.25">
      <c r="A379" s="10" t="s">
        <v>156</v>
      </c>
      <c r="B379" s="11" t="s">
        <v>157</v>
      </c>
      <c r="C379" s="11" t="s">
        <v>24</v>
      </c>
      <c r="D379" s="12">
        <v>41815</v>
      </c>
      <c r="E379" s="12">
        <v>41818</v>
      </c>
      <c r="F379" s="13">
        <v>737.7</v>
      </c>
      <c r="G379">
        <f t="shared" si="15"/>
        <v>4</v>
      </c>
      <c r="H379">
        <f t="shared" si="16"/>
        <v>102</v>
      </c>
      <c r="I379">
        <f t="shared" si="17"/>
        <v>839.7</v>
      </c>
    </row>
    <row r="380" spans="1:9" x14ac:dyDescent="0.25">
      <c r="A380" s="6" t="s">
        <v>52</v>
      </c>
      <c r="B380" s="7" t="s">
        <v>53</v>
      </c>
      <c r="C380" s="7" t="s">
        <v>24</v>
      </c>
      <c r="D380" s="8">
        <v>41815</v>
      </c>
      <c r="E380" s="8">
        <v>41819</v>
      </c>
      <c r="F380" s="9">
        <v>886.7</v>
      </c>
      <c r="G380">
        <f t="shared" si="15"/>
        <v>5</v>
      </c>
      <c r="H380">
        <f t="shared" si="16"/>
        <v>126</v>
      </c>
      <c r="I380">
        <f t="shared" si="17"/>
        <v>1012.7</v>
      </c>
    </row>
    <row r="381" spans="1:9" x14ac:dyDescent="0.25">
      <c r="A381" s="10" t="s">
        <v>158</v>
      </c>
      <c r="B381" s="11" t="s">
        <v>159</v>
      </c>
      <c r="C381" s="11" t="s">
        <v>11</v>
      </c>
      <c r="D381" s="12">
        <v>41815</v>
      </c>
      <c r="E381" s="12">
        <v>41816</v>
      </c>
      <c r="F381" s="13">
        <v>295.39999999999998</v>
      </c>
      <c r="G381">
        <f t="shared" si="15"/>
        <v>2</v>
      </c>
      <c r="H381">
        <f t="shared" si="16"/>
        <v>54</v>
      </c>
      <c r="I381">
        <f t="shared" si="17"/>
        <v>349.4</v>
      </c>
    </row>
    <row r="382" spans="1:9" x14ac:dyDescent="0.25">
      <c r="A382" s="6" t="s">
        <v>6</v>
      </c>
      <c r="B382" s="7" t="s">
        <v>45</v>
      </c>
      <c r="C382" s="7" t="s">
        <v>47</v>
      </c>
      <c r="D382" s="8">
        <v>41815</v>
      </c>
      <c r="E382" s="8">
        <v>41817</v>
      </c>
      <c r="F382" s="9">
        <v>689.8</v>
      </c>
      <c r="G382">
        <f t="shared" si="15"/>
        <v>3</v>
      </c>
      <c r="H382">
        <f t="shared" si="16"/>
        <v>78</v>
      </c>
      <c r="I382">
        <f t="shared" si="17"/>
        <v>767.8</v>
      </c>
    </row>
    <row r="383" spans="1:9" x14ac:dyDescent="0.25">
      <c r="A383" s="10" t="s">
        <v>31</v>
      </c>
      <c r="B383" s="11" t="s">
        <v>77</v>
      </c>
      <c r="C383" s="11" t="s">
        <v>8</v>
      </c>
      <c r="D383" s="12">
        <v>41815</v>
      </c>
      <c r="E383" s="12">
        <v>41819</v>
      </c>
      <c r="F383" s="13">
        <v>1524</v>
      </c>
      <c r="G383">
        <f t="shared" si="15"/>
        <v>5</v>
      </c>
      <c r="H383">
        <f t="shared" si="16"/>
        <v>126</v>
      </c>
      <c r="I383">
        <f t="shared" si="17"/>
        <v>1650</v>
      </c>
    </row>
    <row r="384" spans="1:9" x14ac:dyDescent="0.25">
      <c r="A384" s="6" t="s">
        <v>15</v>
      </c>
      <c r="B384" s="7" t="s">
        <v>16</v>
      </c>
      <c r="C384" s="7" t="s">
        <v>11</v>
      </c>
      <c r="D384" s="8">
        <v>41815</v>
      </c>
      <c r="E384" s="8">
        <v>41816</v>
      </c>
      <c r="F384" s="9">
        <v>295.39999999999998</v>
      </c>
      <c r="G384">
        <f t="shared" si="15"/>
        <v>2</v>
      </c>
      <c r="H384">
        <f t="shared" si="16"/>
        <v>54</v>
      </c>
      <c r="I384">
        <f t="shared" si="17"/>
        <v>349.4</v>
      </c>
    </row>
    <row r="385" spans="1:9" x14ac:dyDescent="0.25">
      <c r="A385" s="10" t="s">
        <v>113</v>
      </c>
      <c r="B385" s="11" t="s">
        <v>114</v>
      </c>
      <c r="C385" s="11" t="s">
        <v>59</v>
      </c>
      <c r="D385" s="12">
        <v>41815</v>
      </c>
      <c r="E385" s="12">
        <v>41817</v>
      </c>
      <c r="F385" s="13">
        <v>760</v>
      </c>
      <c r="G385">
        <f t="shared" si="15"/>
        <v>3</v>
      </c>
      <c r="H385">
        <f t="shared" si="16"/>
        <v>78</v>
      </c>
      <c r="I385">
        <f t="shared" si="17"/>
        <v>838</v>
      </c>
    </row>
    <row r="386" spans="1:9" x14ac:dyDescent="0.25">
      <c r="A386" s="6" t="s">
        <v>115</v>
      </c>
      <c r="B386" s="7" t="s">
        <v>116</v>
      </c>
      <c r="C386" s="7" t="s">
        <v>19</v>
      </c>
      <c r="D386" s="8">
        <v>41815</v>
      </c>
      <c r="E386" s="8">
        <v>41817</v>
      </c>
      <c r="F386" s="9">
        <v>795.4</v>
      </c>
      <c r="G386">
        <f t="shared" si="15"/>
        <v>3</v>
      </c>
      <c r="H386">
        <f t="shared" si="16"/>
        <v>78</v>
      </c>
      <c r="I386">
        <f t="shared" si="17"/>
        <v>873.4</v>
      </c>
    </row>
    <row r="387" spans="1:9" x14ac:dyDescent="0.25">
      <c r="A387" s="10" t="s">
        <v>86</v>
      </c>
      <c r="B387" s="11" t="s">
        <v>136</v>
      </c>
      <c r="C387" s="11" t="s">
        <v>14</v>
      </c>
      <c r="D387" s="12">
        <v>41815</v>
      </c>
      <c r="E387" s="12">
        <v>41816</v>
      </c>
      <c r="F387" s="13">
        <v>302.5</v>
      </c>
      <c r="G387">
        <f t="shared" ref="G387:G450" si="18">E387-D387 + 1</f>
        <v>2</v>
      </c>
      <c r="H387">
        <f t="shared" ref="H387:H450" si="19">30+(G387-1)*24</f>
        <v>54</v>
      </c>
      <c r="I387">
        <f t="shared" ref="I387:I450" si="20">H387+F387</f>
        <v>356.5</v>
      </c>
    </row>
    <row r="388" spans="1:9" x14ac:dyDescent="0.25">
      <c r="A388" s="6" t="s">
        <v>9</v>
      </c>
      <c r="B388" s="7" t="s">
        <v>103</v>
      </c>
      <c r="C388" s="7" t="s">
        <v>47</v>
      </c>
      <c r="D388" s="8">
        <v>41818</v>
      </c>
      <c r="E388" s="8">
        <v>41818</v>
      </c>
      <c r="F388" s="9">
        <v>363.8</v>
      </c>
      <c r="G388">
        <f t="shared" si="18"/>
        <v>1</v>
      </c>
      <c r="H388">
        <f t="shared" si="19"/>
        <v>30</v>
      </c>
      <c r="I388">
        <f t="shared" si="20"/>
        <v>393.8</v>
      </c>
    </row>
    <row r="389" spans="1:9" x14ac:dyDescent="0.25">
      <c r="A389" s="10" t="s">
        <v>15</v>
      </c>
      <c r="B389" s="11" t="s">
        <v>46</v>
      </c>
      <c r="C389" s="11" t="s">
        <v>72</v>
      </c>
      <c r="D389" s="12">
        <v>41821</v>
      </c>
      <c r="E389" s="12">
        <v>41825</v>
      </c>
      <c r="F389" s="13">
        <v>1290.7</v>
      </c>
      <c r="G389">
        <f t="shared" si="18"/>
        <v>5</v>
      </c>
      <c r="H389">
        <f t="shared" si="19"/>
        <v>126</v>
      </c>
      <c r="I389">
        <f t="shared" si="20"/>
        <v>1416.7</v>
      </c>
    </row>
    <row r="390" spans="1:9" x14ac:dyDescent="0.25">
      <c r="A390" s="6" t="s">
        <v>33</v>
      </c>
      <c r="B390" s="7" t="s">
        <v>41</v>
      </c>
      <c r="C390" s="7" t="s">
        <v>19</v>
      </c>
      <c r="D390" s="8">
        <v>41821</v>
      </c>
      <c r="E390" s="8">
        <v>41825</v>
      </c>
      <c r="F390" s="9">
        <v>1077.4000000000001</v>
      </c>
      <c r="G390">
        <f t="shared" si="18"/>
        <v>5</v>
      </c>
      <c r="H390">
        <f t="shared" si="19"/>
        <v>126</v>
      </c>
      <c r="I390">
        <f t="shared" si="20"/>
        <v>1203.4000000000001</v>
      </c>
    </row>
    <row r="391" spans="1:9" x14ac:dyDescent="0.25">
      <c r="A391" s="10" t="s">
        <v>101</v>
      </c>
      <c r="B391" s="11" t="s">
        <v>102</v>
      </c>
      <c r="C391" s="11" t="s">
        <v>66</v>
      </c>
      <c r="D391" s="12">
        <v>41821</v>
      </c>
      <c r="E391" s="12">
        <v>41823</v>
      </c>
      <c r="F391" s="13">
        <v>663.7</v>
      </c>
      <c r="G391">
        <f t="shared" si="18"/>
        <v>3</v>
      </c>
      <c r="H391">
        <f t="shared" si="19"/>
        <v>78</v>
      </c>
      <c r="I391">
        <f t="shared" si="20"/>
        <v>741.7</v>
      </c>
    </row>
    <row r="392" spans="1:9" x14ac:dyDescent="0.25">
      <c r="A392" s="6" t="s">
        <v>143</v>
      </c>
      <c r="B392" s="7" t="s">
        <v>144</v>
      </c>
      <c r="C392" s="7" t="s">
        <v>14</v>
      </c>
      <c r="D392" s="8">
        <v>41821</v>
      </c>
      <c r="E392" s="8">
        <v>41825</v>
      </c>
      <c r="F392" s="9">
        <v>674.5</v>
      </c>
      <c r="G392">
        <f t="shared" si="18"/>
        <v>5</v>
      </c>
      <c r="H392">
        <f t="shared" si="19"/>
        <v>126</v>
      </c>
      <c r="I392">
        <f t="shared" si="20"/>
        <v>800.5</v>
      </c>
    </row>
    <row r="393" spans="1:9" x14ac:dyDescent="0.25">
      <c r="A393" s="10" t="s">
        <v>151</v>
      </c>
      <c r="B393" s="11" t="s">
        <v>152</v>
      </c>
      <c r="C393" s="11" t="s">
        <v>17</v>
      </c>
      <c r="D393" s="12">
        <v>41821</v>
      </c>
      <c r="E393" s="12">
        <v>41823</v>
      </c>
      <c r="F393" s="13">
        <v>911.5</v>
      </c>
      <c r="G393">
        <f t="shared" si="18"/>
        <v>3</v>
      </c>
      <c r="H393">
        <f t="shared" si="19"/>
        <v>78</v>
      </c>
      <c r="I393">
        <f t="shared" si="20"/>
        <v>989.5</v>
      </c>
    </row>
    <row r="394" spans="1:9" x14ac:dyDescent="0.25">
      <c r="A394" s="6" t="s">
        <v>75</v>
      </c>
      <c r="B394" s="7" t="s">
        <v>76</v>
      </c>
      <c r="C394" s="7" t="s">
        <v>14</v>
      </c>
      <c r="D394" s="8">
        <v>41821</v>
      </c>
      <c r="E394" s="8">
        <v>41824</v>
      </c>
      <c r="F394" s="9">
        <v>550.5</v>
      </c>
      <c r="G394">
        <f t="shared" si="18"/>
        <v>4</v>
      </c>
      <c r="H394">
        <f t="shared" si="19"/>
        <v>102</v>
      </c>
      <c r="I394">
        <f t="shared" si="20"/>
        <v>652.5</v>
      </c>
    </row>
    <row r="395" spans="1:9" x14ac:dyDescent="0.25">
      <c r="A395" s="10" t="s">
        <v>115</v>
      </c>
      <c r="B395" s="11" t="s">
        <v>153</v>
      </c>
      <c r="C395" s="11" t="s">
        <v>72</v>
      </c>
      <c r="D395" s="12">
        <v>41827</v>
      </c>
      <c r="E395" s="12">
        <v>41829</v>
      </c>
      <c r="F395" s="13">
        <v>892.7</v>
      </c>
      <c r="G395">
        <f t="shared" si="18"/>
        <v>3</v>
      </c>
      <c r="H395">
        <f t="shared" si="19"/>
        <v>78</v>
      </c>
      <c r="I395">
        <f t="shared" si="20"/>
        <v>970.7</v>
      </c>
    </row>
    <row r="396" spans="1:9" x14ac:dyDescent="0.25">
      <c r="A396" s="6" t="s">
        <v>131</v>
      </c>
      <c r="B396" s="7" t="s">
        <v>142</v>
      </c>
      <c r="C396" s="7" t="s">
        <v>27</v>
      </c>
      <c r="D396" s="8">
        <v>41827</v>
      </c>
      <c r="E396" s="8">
        <v>41829</v>
      </c>
      <c r="F396" s="9">
        <v>698</v>
      </c>
      <c r="G396">
        <f t="shared" si="18"/>
        <v>3</v>
      </c>
      <c r="H396">
        <f t="shared" si="19"/>
        <v>78</v>
      </c>
      <c r="I396">
        <f t="shared" si="20"/>
        <v>776</v>
      </c>
    </row>
    <row r="397" spans="1:9" x14ac:dyDescent="0.25">
      <c r="A397" s="10" t="s">
        <v>25</v>
      </c>
      <c r="B397" s="11" t="s">
        <v>67</v>
      </c>
      <c r="C397" s="11" t="s">
        <v>24</v>
      </c>
      <c r="D397" s="12">
        <v>41827</v>
      </c>
      <c r="E397" s="12">
        <v>41830</v>
      </c>
      <c r="F397" s="13">
        <v>737.7</v>
      </c>
      <c r="G397">
        <f t="shared" si="18"/>
        <v>4</v>
      </c>
      <c r="H397">
        <f t="shared" si="19"/>
        <v>102</v>
      </c>
      <c r="I397">
        <f t="shared" si="20"/>
        <v>839.7</v>
      </c>
    </row>
    <row r="398" spans="1:9" x14ac:dyDescent="0.25">
      <c r="A398" s="6" t="s">
        <v>25</v>
      </c>
      <c r="B398" s="7" t="s">
        <v>26</v>
      </c>
      <c r="C398" s="7" t="s">
        <v>38</v>
      </c>
      <c r="D398" s="8">
        <v>41827</v>
      </c>
      <c r="E398" s="8">
        <v>41828</v>
      </c>
      <c r="F398" s="9">
        <v>407.8</v>
      </c>
      <c r="G398">
        <f t="shared" si="18"/>
        <v>2</v>
      </c>
      <c r="H398">
        <f t="shared" si="19"/>
        <v>54</v>
      </c>
      <c r="I398">
        <f t="shared" si="20"/>
        <v>461.8</v>
      </c>
    </row>
    <row r="399" spans="1:9" x14ac:dyDescent="0.25">
      <c r="A399" s="10" t="s">
        <v>61</v>
      </c>
      <c r="B399" s="11" t="s">
        <v>62</v>
      </c>
      <c r="C399" s="11" t="s">
        <v>59</v>
      </c>
      <c r="D399" s="12">
        <v>41827</v>
      </c>
      <c r="E399" s="12">
        <v>41830</v>
      </c>
      <c r="F399" s="13">
        <v>919</v>
      </c>
      <c r="G399">
        <f t="shared" si="18"/>
        <v>4</v>
      </c>
      <c r="H399">
        <f t="shared" si="19"/>
        <v>102</v>
      </c>
      <c r="I399">
        <f t="shared" si="20"/>
        <v>1021</v>
      </c>
    </row>
    <row r="400" spans="1:9" x14ac:dyDescent="0.25">
      <c r="A400" s="6" t="s">
        <v>168</v>
      </c>
      <c r="B400" s="7" t="s">
        <v>169</v>
      </c>
      <c r="C400" s="7" t="s">
        <v>24</v>
      </c>
      <c r="D400" s="8">
        <v>41827</v>
      </c>
      <c r="E400" s="8">
        <v>41828</v>
      </c>
      <c r="F400" s="9">
        <v>439.7</v>
      </c>
      <c r="G400">
        <f t="shared" si="18"/>
        <v>2</v>
      </c>
      <c r="H400">
        <f t="shared" si="19"/>
        <v>54</v>
      </c>
      <c r="I400">
        <f t="shared" si="20"/>
        <v>493.7</v>
      </c>
    </row>
    <row r="401" spans="1:9" x14ac:dyDescent="0.25">
      <c r="A401" s="10" t="s">
        <v>33</v>
      </c>
      <c r="B401" s="11" t="s">
        <v>41</v>
      </c>
      <c r="C401" s="11" t="s">
        <v>19</v>
      </c>
      <c r="D401" s="12">
        <v>41827</v>
      </c>
      <c r="E401" s="12">
        <v>41829</v>
      </c>
      <c r="F401" s="13">
        <v>795.4</v>
      </c>
      <c r="G401">
        <f t="shared" si="18"/>
        <v>3</v>
      </c>
      <c r="H401">
        <f t="shared" si="19"/>
        <v>78</v>
      </c>
      <c r="I401">
        <f t="shared" si="20"/>
        <v>873.4</v>
      </c>
    </row>
    <row r="402" spans="1:9" x14ac:dyDescent="0.25">
      <c r="A402" s="6" t="s">
        <v>143</v>
      </c>
      <c r="B402" s="7" t="s">
        <v>144</v>
      </c>
      <c r="C402" s="7" t="s">
        <v>14</v>
      </c>
      <c r="D402" s="8">
        <v>41827</v>
      </c>
      <c r="E402" s="8">
        <v>41828</v>
      </c>
      <c r="F402" s="9">
        <v>302.5</v>
      </c>
      <c r="G402">
        <f t="shared" si="18"/>
        <v>2</v>
      </c>
      <c r="H402">
        <f t="shared" si="19"/>
        <v>54</v>
      </c>
      <c r="I402">
        <f t="shared" si="20"/>
        <v>356.5</v>
      </c>
    </row>
    <row r="403" spans="1:9" x14ac:dyDescent="0.25">
      <c r="A403" s="10" t="s">
        <v>164</v>
      </c>
      <c r="B403" s="11" t="s">
        <v>165</v>
      </c>
      <c r="C403" s="11" t="s">
        <v>47</v>
      </c>
      <c r="D403" s="12">
        <v>41827</v>
      </c>
      <c r="E403" s="12">
        <v>41827</v>
      </c>
      <c r="F403" s="13">
        <v>363.8</v>
      </c>
      <c r="G403">
        <f t="shared" si="18"/>
        <v>1</v>
      </c>
      <c r="H403">
        <f t="shared" si="19"/>
        <v>30</v>
      </c>
      <c r="I403">
        <f t="shared" si="20"/>
        <v>393.8</v>
      </c>
    </row>
    <row r="404" spans="1:9" x14ac:dyDescent="0.25">
      <c r="A404" s="6" t="s">
        <v>52</v>
      </c>
      <c r="B404" s="7" t="s">
        <v>53</v>
      </c>
      <c r="C404" s="7" t="s">
        <v>38</v>
      </c>
      <c r="D404" s="8">
        <v>41827</v>
      </c>
      <c r="E404" s="8">
        <v>41831</v>
      </c>
      <c r="F404" s="9">
        <v>794.8</v>
      </c>
      <c r="G404">
        <f t="shared" si="18"/>
        <v>5</v>
      </c>
      <c r="H404">
        <f t="shared" si="19"/>
        <v>126</v>
      </c>
      <c r="I404">
        <f t="shared" si="20"/>
        <v>920.8</v>
      </c>
    </row>
    <row r="405" spans="1:9" x14ac:dyDescent="0.25">
      <c r="A405" s="10" t="s">
        <v>147</v>
      </c>
      <c r="B405" s="11" t="s">
        <v>148</v>
      </c>
      <c r="C405" s="11" t="s">
        <v>38</v>
      </c>
      <c r="D405" s="12">
        <v>41827</v>
      </c>
      <c r="E405" s="12">
        <v>41831</v>
      </c>
      <c r="F405" s="13">
        <v>794.8</v>
      </c>
      <c r="G405">
        <f t="shared" si="18"/>
        <v>5</v>
      </c>
      <c r="H405">
        <f t="shared" si="19"/>
        <v>126</v>
      </c>
      <c r="I405">
        <f t="shared" si="20"/>
        <v>920.8</v>
      </c>
    </row>
    <row r="406" spans="1:9" x14ac:dyDescent="0.25">
      <c r="A406" s="6" t="s">
        <v>89</v>
      </c>
      <c r="B406" s="7" t="s">
        <v>90</v>
      </c>
      <c r="C406" s="7" t="s">
        <v>11</v>
      </c>
      <c r="D406" s="8">
        <v>41827</v>
      </c>
      <c r="E406" s="8">
        <v>41828</v>
      </c>
      <c r="F406" s="9">
        <v>295.39999999999998</v>
      </c>
      <c r="G406">
        <f t="shared" si="18"/>
        <v>2</v>
      </c>
      <c r="H406">
        <f t="shared" si="19"/>
        <v>54</v>
      </c>
      <c r="I406">
        <f t="shared" si="20"/>
        <v>349.4</v>
      </c>
    </row>
    <row r="407" spans="1:9" x14ac:dyDescent="0.25">
      <c r="A407" s="10" t="s">
        <v>39</v>
      </c>
      <c r="B407" s="11" t="s">
        <v>40</v>
      </c>
      <c r="C407" s="11" t="s">
        <v>17</v>
      </c>
      <c r="D407" s="12">
        <v>41827</v>
      </c>
      <c r="E407" s="12">
        <v>41828</v>
      </c>
      <c r="F407" s="13">
        <v>706.5</v>
      </c>
      <c r="G407">
        <f t="shared" si="18"/>
        <v>2</v>
      </c>
      <c r="H407">
        <f t="shared" si="19"/>
        <v>54</v>
      </c>
      <c r="I407">
        <f t="shared" si="20"/>
        <v>760.5</v>
      </c>
    </row>
    <row r="408" spans="1:9" x14ac:dyDescent="0.25">
      <c r="A408" s="6" t="s">
        <v>15</v>
      </c>
      <c r="B408" s="7" t="s">
        <v>63</v>
      </c>
      <c r="C408" s="7" t="s">
        <v>66</v>
      </c>
      <c r="D408" s="8">
        <v>41827</v>
      </c>
      <c r="E408" s="8">
        <v>41828</v>
      </c>
      <c r="F408" s="9">
        <v>485.7</v>
      </c>
      <c r="G408">
        <f t="shared" si="18"/>
        <v>2</v>
      </c>
      <c r="H408">
        <f t="shared" si="19"/>
        <v>54</v>
      </c>
      <c r="I408">
        <f t="shared" si="20"/>
        <v>539.70000000000005</v>
      </c>
    </row>
    <row r="409" spans="1:9" x14ac:dyDescent="0.25">
      <c r="A409" s="10" t="s">
        <v>91</v>
      </c>
      <c r="B409" s="11" t="s">
        <v>92</v>
      </c>
      <c r="C409" s="11" t="s">
        <v>66</v>
      </c>
      <c r="D409" s="12">
        <v>41827</v>
      </c>
      <c r="E409" s="12">
        <v>41830</v>
      </c>
      <c r="F409" s="13">
        <v>841.7</v>
      </c>
      <c r="G409">
        <f t="shared" si="18"/>
        <v>4</v>
      </c>
      <c r="H409">
        <f t="shared" si="19"/>
        <v>102</v>
      </c>
      <c r="I409">
        <f t="shared" si="20"/>
        <v>943.7</v>
      </c>
    </row>
    <row r="410" spans="1:9" x14ac:dyDescent="0.25">
      <c r="A410" s="6" t="s">
        <v>164</v>
      </c>
      <c r="B410" s="7" t="s">
        <v>165</v>
      </c>
      <c r="C410" s="7" t="s">
        <v>59</v>
      </c>
      <c r="D410" s="8">
        <v>41830</v>
      </c>
      <c r="E410" s="8">
        <v>41830</v>
      </c>
      <c r="F410" s="9">
        <v>442</v>
      </c>
      <c r="G410">
        <f t="shared" si="18"/>
        <v>1</v>
      </c>
      <c r="H410">
        <f t="shared" si="19"/>
        <v>30</v>
      </c>
      <c r="I410">
        <f t="shared" si="20"/>
        <v>472</v>
      </c>
    </row>
    <row r="411" spans="1:9" x14ac:dyDescent="0.25">
      <c r="A411" s="10" t="s">
        <v>131</v>
      </c>
      <c r="B411" s="11" t="s">
        <v>142</v>
      </c>
      <c r="C411" s="11" t="s">
        <v>14</v>
      </c>
      <c r="D411" s="12">
        <v>41831</v>
      </c>
      <c r="E411" s="12">
        <v>41831</v>
      </c>
      <c r="F411" s="13">
        <v>178.5</v>
      </c>
      <c r="G411">
        <f t="shared" si="18"/>
        <v>1</v>
      </c>
      <c r="H411">
        <f t="shared" si="19"/>
        <v>30</v>
      </c>
      <c r="I411">
        <f t="shared" si="20"/>
        <v>208.5</v>
      </c>
    </row>
    <row r="412" spans="1:9" x14ac:dyDescent="0.25">
      <c r="A412" s="6" t="s">
        <v>31</v>
      </c>
      <c r="B412" s="7" t="s">
        <v>78</v>
      </c>
      <c r="C412" s="7" t="s">
        <v>47</v>
      </c>
      <c r="D412" s="8">
        <v>41833</v>
      </c>
      <c r="E412" s="8">
        <v>41836</v>
      </c>
      <c r="F412" s="9">
        <v>852.8</v>
      </c>
      <c r="G412">
        <f t="shared" si="18"/>
        <v>4</v>
      </c>
      <c r="H412">
        <f t="shared" si="19"/>
        <v>102</v>
      </c>
      <c r="I412">
        <f t="shared" si="20"/>
        <v>954.8</v>
      </c>
    </row>
    <row r="413" spans="1:9" x14ac:dyDescent="0.25">
      <c r="A413" s="10" t="s">
        <v>70</v>
      </c>
      <c r="B413" s="11" t="s">
        <v>117</v>
      </c>
      <c r="C413" s="11" t="s">
        <v>72</v>
      </c>
      <c r="D413" s="12">
        <v>41833</v>
      </c>
      <c r="E413" s="12">
        <v>41837</v>
      </c>
      <c r="F413" s="13">
        <v>1290.7</v>
      </c>
      <c r="G413">
        <f t="shared" si="18"/>
        <v>5</v>
      </c>
      <c r="H413">
        <f t="shared" si="19"/>
        <v>126</v>
      </c>
      <c r="I413">
        <f t="shared" si="20"/>
        <v>1416.7</v>
      </c>
    </row>
    <row r="414" spans="1:9" x14ac:dyDescent="0.25">
      <c r="A414" s="6" t="s">
        <v>15</v>
      </c>
      <c r="B414" s="7" t="s">
        <v>63</v>
      </c>
      <c r="C414" s="7" t="s">
        <v>17</v>
      </c>
      <c r="D414" s="8">
        <v>41834</v>
      </c>
      <c r="E414" s="8">
        <v>41834</v>
      </c>
      <c r="F414" s="9">
        <v>501.5</v>
      </c>
      <c r="G414">
        <f t="shared" si="18"/>
        <v>1</v>
      </c>
      <c r="H414">
        <f t="shared" si="19"/>
        <v>30</v>
      </c>
      <c r="I414">
        <f t="shared" si="20"/>
        <v>531.5</v>
      </c>
    </row>
    <row r="415" spans="1:9" x14ac:dyDescent="0.25">
      <c r="A415" s="10" t="s">
        <v>22</v>
      </c>
      <c r="B415" s="11" t="s">
        <v>172</v>
      </c>
      <c r="C415" s="11" t="s">
        <v>66</v>
      </c>
      <c r="D415" s="12">
        <v>41835</v>
      </c>
      <c r="E415" s="12">
        <v>41835</v>
      </c>
      <c r="F415" s="13">
        <v>307.7</v>
      </c>
      <c r="G415">
        <f t="shared" si="18"/>
        <v>1</v>
      </c>
      <c r="H415">
        <f t="shared" si="19"/>
        <v>30</v>
      </c>
      <c r="I415">
        <f t="shared" si="20"/>
        <v>337.7</v>
      </c>
    </row>
    <row r="416" spans="1:9" x14ac:dyDescent="0.25">
      <c r="A416" s="6" t="s">
        <v>168</v>
      </c>
      <c r="B416" s="7" t="s">
        <v>169</v>
      </c>
      <c r="C416" s="7" t="s">
        <v>11</v>
      </c>
      <c r="D416" s="8">
        <v>41835</v>
      </c>
      <c r="E416" s="8">
        <v>41836</v>
      </c>
      <c r="F416" s="9">
        <v>295.39999999999998</v>
      </c>
      <c r="G416">
        <f t="shared" si="18"/>
        <v>2</v>
      </c>
      <c r="H416">
        <f t="shared" si="19"/>
        <v>54</v>
      </c>
      <c r="I416">
        <f t="shared" si="20"/>
        <v>349.4</v>
      </c>
    </row>
    <row r="417" spans="1:9" x14ac:dyDescent="0.25">
      <c r="A417" s="10" t="s">
        <v>73</v>
      </c>
      <c r="B417" s="11" t="s">
        <v>104</v>
      </c>
      <c r="C417" s="11" t="s">
        <v>19</v>
      </c>
      <c r="D417" s="12">
        <v>41835</v>
      </c>
      <c r="E417" s="12">
        <v>41835</v>
      </c>
      <c r="F417" s="13">
        <v>513.4</v>
      </c>
      <c r="G417">
        <f t="shared" si="18"/>
        <v>1</v>
      </c>
      <c r="H417">
        <f t="shared" si="19"/>
        <v>30</v>
      </c>
      <c r="I417">
        <f t="shared" si="20"/>
        <v>543.4</v>
      </c>
    </row>
    <row r="418" spans="1:9" x14ac:dyDescent="0.25">
      <c r="A418" s="6" t="s">
        <v>54</v>
      </c>
      <c r="B418" s="7" t="s">
        <v>81</v>
      </c>
      <c r="C418" s="7" t="s">
        <v>27</v>
      </c>
      <c r="D418" s="8">
        <v>41837</v>
      </c>
      <c r="E418" s="8">
        <v>41837</v>
      </c>
      <c r="F418" s="9">
        <v>442</v>
      </c>
      <c r="G418">
        <f t="shared" si="18"/>
        <v>1</v>
      </c>
      <c r="H418">
        <f t="shared" si="19"/>
        <v>30</v>
      </c>
      <c r="I418">
        <f t="shared" si="20"/>
        <v>472</v>
      </c>
    </row>
    <row r="419" spans="1:9" x14ac:dyDescent="0.25">
      <c r="A419" s="10" t="s">
        <v>128</v>
      </c>
      <c r="B419" s="11" t="s">
        <v>129</v>
      </c>
      <c r="C419" s="11" t="s">
        <v>38</v>
      </c>
      <c r="D419" s="12">
        <v>41839</v>
      </c>
      <c r="E419" s="12">
        <v>41843</v>
      </c>
      <c r="F419" s="13">
        <v>794.8</v>
      </c>
      <c r="G419">
        <f t="shared" si="18"/>
        <v>5</v>
      </c>
      <c r="H419">
        <f t="shared" si="19"/>
        <v>126</v>
      </c>
      <c r="I419">
        <f t="shared" si="20"/>
        <v>920.8</v>
      </c>
    </row>
    <row r="420" spans="1:9" x14ac:dyDescent="0.25">
      <c r="A420" s="6" t="s">
        <v>128</v>
      </c>
      <c r="B420" s="7" t="s">
        <v>129</v>
      </c>
      <c r="C420" s="7" t="s">
        <v>14</v>
      </c>
      <c r="D420" s="8">
        <v>41839</v>
      </c>
      <c r="E420" s="8">
        <v>41842</v>
      </c>
      <c r="F420" s="9">
        <v>550.5</v>
      </c>
      <c r="G420">
        <f t="shared" si="18"/>
        <v>4</v>
      </c>
      <c r="H420">
        <f t="shared" si="19"/>
        <v>102</v>
      </c>
      <c r="I420">
        <f t="shared" si="20"/>
        <v>652.5</v>
      </c>
    </row>
    <row r="421" spans="1:9" x14ac:dyDescent="0.25">
      <c r="A421" s="10" t="s">
        <v>93</v>
      </c>
      <c r="B421" s="11" t="s">
        <v>124</v>
      </c>
      <c r="C421" s="11" t="s">
        <v>47</v>
      </c>
      <c r="D421" s="12">
        <v>41839</v>
      </c>
      <c r="E421" s="12">
        <v>41840</v>
      </c>
      <c r="F421" s="13">
        <v>526.79999999999995</v>
      </c>
      <c r="G421">
        <f t="shared" si="18"/>
        <v>2</v>
      </c>
      <c r="H421">
        <f t="shared" si="19"/>
        <v>54</v>
      </c>
      <c r="I421">
        <f t="shared" si="20"/>
        <v>580.79999999999995</v>
      </c>
    </row>
    <row r="422" spans="1:9" x14ac:dyDescent="0.25">
      <c r="A422" s="6" t="s">
        <v>22</v>
      </c>
      <c r="B422" s="7" t="s">
        <v>172</v>
      </c>
      <c r="C422" s="7" t="s">
        <v>30</v>
      </c>
      <c r="D422" s="8">
        <v>41839</v>
      </c>
      <c r="E422" s="8">
        <v>41843</v>
      </c>
      <c r="F422" s="9">
        <v>688.5</v>
      </c>
      <c r="G422">
        <f t="shared" si="18"/>
        <v>5</v>
      </c>
      <c r="H422">
        <f t="shared" si="19"/>
        <v>126</v>
      </c>
      <c r="I422">
        <f t="shared" si="20"/>
        <v>814.5</v>
      </c>
    </row>
    <row r="423" spans="1:9" x14ac:dyDescent="0.25">
      <c r="A423" s="10" t="s">
        <v>54</v>
      </c>
      <c r="B423" s="11" t="s">
        <v>133</v>
      </c>
      <c r="C423" s="11" t="s">
        <v>19</v>
      </c>
      <c r="D423" s="12">
        <v>41839</v>
      </c>
      <c r="E423" s="12">
        <v>41840</v>
      </c>
      <c r="F423" s="13">
        <v>654.4</v>
      </c>
      <c r="G423">
        <f t="shared" si="18"/>
        <v>2</v>
      </c>
      <c r="H423">
        <f t="shared" si="19"/>
        <v>54</v>
      </c>
      <c r="I423">
        <f t="shared" si="20"/>
        <v>708.4</v>
      </c>
    </row>
    <row r="424" spans="1:9" x14ac:dyDescent="0.25">
      <c r="A424" s="6" t="s">
        <v>25</v>
      </c>
      <c r="B424" s="7" t="s">
        <v>67</v>
      </c>
      <c r="C424" s="7" t="s">
        <v>66</v>
      </c>
      <c r="D424" s="8">
        <v>41839</v>
      </c>
      <c r="E424" s="8">
        <v>41840</v>
      </c>
      <c r="F424" s="9">
        <v>485.7</v>
      </c>
      <c r="G424">
        <f t="shared" si="18"/>
        <v>2</v>
      </c>
      <c r="H424">
        <f t="shared" si="19"/>
        <v>54</v>
      </c>
      <c r="I424">
        <f t="shared" si="20"/>
        <v>539.70000000000005</v>
      </c>
    </row>
    <row r="425" spans="1:9" x14ac:dyDescent="0.25">
      <c r="A425" s="10" t="s">
        <v>84</v>
      </c>
      <c r="B425" s="11" t="s">
        <v>85</v>
      </c>
      <c r="C425" s="11" t="s">
        <v>11</v>
      </c>
      <c r="D425" s="12">
        <v>41839</v>
      </c>
      <c r="E425" s="12">
        <v>41840</v>
      </c>
      <c r="F425" s="13">
        <v>295.39999999999998</v>
      </c>
      <c r="G425">
        <f t="shared" si="18"/>
        <v>2</v>
      </c>
      <c r="H425">
        <f t="shared" si="19"/>
        <v>54</v>
      </c>
      <c r="I425">
        <f t="shared" si="20"/>
        <v>349.4</v>
      </c>
    </row>
    <row r="426" spans="1:9" x14ac:dyDescent="0.25">
      <c r="A426" s="6" t="s">
        <v>86</v>
      </c>
      <c r="B426" s="7" t="s">
        <v>150</v>
      </c>
      <c r="C426" s="7" t="s">
        <v>24</v>
      </c>
      <c r="D426" s="8">
        <v>41839</v>
      </c>
      <c r="E426" s="8">
        <v>41843</v>
      </c>
      <c r="F426" s="9">
        <v>886.7</v>
      </c>
      <c r="G426">
        <f t="shared" si="18"/>
        <v>5</v>
      </c>
      <c r="H426">
        <f t="shared" si="19"/>
        <v>126</v>
      </c>
      <c r="I426">
        <f t="shared" si="20"/>
        <v>1012.7</v>
      </c>
    </row>
    <row r="427" spans="1:9" x14ac:dyDescent="0.25">
      <c r="A427" s="10" t="s">
        <v>9</v>
      </c>
      <c r="B427" s="11" t="s">
        <v>103</v>
      </c>
      <c r="C427" s="11" t="s">
        <v>24</v>
      </c>
      <c r="D427" s="12">
        <v>41839</v>
      </c>
      <c r="E427" s="12">
        <v>41840</v>
      </c>
      <c r="F427" s="13">
        <v>439.7</v>
      </c>
      <c r="G427">
        <f t="shared" si="18"/>
        <v>2</v>
      </c>
      <c r="H427">
        <f t="shared" si="19"/>
        <v>54</v>
      </c>
      <c r="I427">
        <f t="shared" si="20"/>
        <v>493.7</v>
      </c>
    </row>
    <row r="428" spans="1:9" x14ac:dyDescent="0.25">
      <c r="A428" s="6" t="s">
        <v>42</v>
      </c>
      <c r="B428" s="7" t="s">
        <v>43</v>
      </c>
      <c r="C428" s="7" t="s">
        <v>24</v>
      </c>
      <c r="D428" s="8">
        <v>41839</v>
      </c>
      <c r="E428" s="8">
        <v>41841</v>
      </c>
      <c r="F428" s="9">
        <v>588.70000000000005</v>
      </c>
      <c r="G428">
        <f t="shared" si="18"/>
        <v>3</v>
      </c>
      <c r="H428">
        <f t="shared" si="19"/>
        <v>78</v>
      </c>
      <c r="I428">
        <f t="shared" si="20"/>
        <v>666.7</v>
      </c>
    </row>
    <row r="429" spans="1:9" x14ac:dyDescent="0.25">
      <c r="A429" s="10" t="s">
        <v>156</v>
      </c>
      <c r="B429" s="11" t="s">
        <v>157</v>
      </c>
      <c r="C429" s="11" t="s">
        <v>19</v>
      </c>
      <c r="D429" s="12">
        <v>41839</v>
      </c>
      <c r="E429" s="12">
        <v>41841</v>
      </c>
      <c r="F429" s="13">
        <v>795.4</v>
      </c>
      <c r="G429">
        <f t="shared" si="18"/>
        <v>3</v>
      </c>
      <c r="H429">
        <f t="shared" si="19"/>
        <v>78</v>
      </c>
      <c r="I429">
        <f t="shared" si="20"/>
        <v>873.4</v>
      </c>
    </row>
    <row r="430" spans="1:9" x14ac:dyDescent="0.25">
      <c r="A430" s="6" t="s">
        <v>15</v>
      </c>
      <c r="B430" s="7" t="s">
        <v>63</v>
      </c>
      <c r="C430" s="7" t="s">
        <v>11</v>
      </c>
      <c r="D430" s="8">
        <v>41839</v>
      </c>
      <c r="E430" s="8">
        <v>41839</v>
      </c>
      <c r="F430" s="9">
        <v>156.4</v>
      </c>
      <c r="G430">
        <f t="shared" si="18"/>
        <v>1</v>
      </c>
      <c r="H430">
        <f t="shared" si="19"/>
        <v>30</v>
      </c>
      <c r="I430">
        <f t="shared" si="20"/>
        <v>186.4</v>
      </c>
    </row>
    <row r="431" spans="1:9" x14ac:dyDescent="0.25">
      <c r="A431" s="10" t="s">
        <v>131</v>
      </c>
      <c r="B431" s="11" t="s">
        <v>132</v>
      </c>
      <c r="C431" s="11" t="s">
        <v>19</v>
      </c>
      <c r="D431" s="12">
        <v>41839</v>
      </c>
      <c r="E431" s="12">
        <v>41843</v>
      </c>
      <c r="F431" s="13">
        <v>1077.4000000000001</v>
      </c>
      <c r="G431">
        <f t="shared" si="18"/>
        <v>5</v>
      </c>
      <c r="H431">
        <f t="shared" si="19"/>
        <v>126</v>
      </c>
      <c r="I431">
        <f t="shared" si="20"/>
        <v>1203.4000000000001</v>
      </c>
    </row>
    <row r="432" spans="1:9" x14ac:dyDescent="0.25">
      <c r="A432" s="6" t="s">
        <v>168</v>
      </c>
      <c r="B432" s="7" t="s">
        <v>169</v>
      </c>
      <c r="C432" s="7" t="s">
        <v>8</v>
      </c>
      <c r="D432" s="8">
        <v>41841</v>
      </c>
      <c r="E432" s="8">
        <v>41841</v>
      </c>
      <c r="F432" s="9">
        <v>680</v>
      </c>
      <c r="G432">
        <f t="shared" si="18"/>
        <v>1</v>
      </c>
      <c r="H432">
        <f t="shared" si="19"/>
        <v>30</v>
      </c>
      <c r="I432">
        <f t="shared" si="20"/>
        <v>710</v>
      </c>
    </row>
    <row r="433" spans="1:9" x14ac:dyDescent="0.25">
      <c r="A433" s="10" t="s">
        <v>109</v>
      </c>
      <c r="B433" s="11" t="s">
        <v>110</v>
      </c>
      <c r="C433" s="11" t="s">
        <v>72</v>
      </c>
      <c r="D433" s="12">
        <v>41841</v>
      </c>
      <c r="E433" s="12">
        <v>41843</v>
      </c>
      <c r="F433" s="13">
        <v>892.7</v>
      </c>
      <c r="G433">
        <f t="shared" si="18"/>
        <v>3</v>
      </c>
      <c r="H433">
        <f t="shared" si="19"/>
        <v>78</v>
      </c>
      <c r="I433">
        <f t="shared" si="20"/>
        <v>970.7</v>
      </c>
    </row>
    <row r="434" spans="1:9" x14ac:dyDescent="0.25">
      <c r="A434" s="6" t="s">
        <v>137</v>
      </c>
      <c r="B434" s="7" t="s">
        <v>138</v>
      </c>
      <c r="C434" s="7" t="s">
        <v>66</v>
      </c>
      <c r="D434" s="8">
        <v>41841</v>
      </c>
      <c r="E434" s="8">
        <v>41841</v>
      </c>
      <c r="F434" s="9">
        <v>307.7</v>
      </c>
      <c r="G434">
        <f t="shared" si="18"/>
        <v>1</v>
      </c>
      <c r="H434">
        <f t="shared" si="19"/>
        <v>30</v>
      </c>
      <c r="I434">
        <f t="shared" si="20"/>
        <v>337.7</v>
      </c>
    </row>
    <row r="435" spans="1:9" x14ac:dyDescent="0.25">
      <c r="A435" s="10" t="s">
        <v>115</v>
      </c>
      <c r="B435" s="11" t="s">
        <v>153</v>
      </c>
      <c r="C435" s="11" t="s">
        <v>24</v>
      </c>
      <c r="D435" s="12">
        <v>41845</v>
      </c>
      <c r="E435" s="12">
        <v>41848</v>
      </c>
      <c r="F435" s="13">
        <v>737.7</v>
      </c>
      <c r="G435">
        <f t="shared" si="18"/>
        <v>4</v>
      </c>
      <c r="H435">
        <f t="shared" si="19"/>
        <v>102</v>
      </c>
      <c r="I435">
        <f t="shared" si="20"/>
        <v>839.7</v>
      </c>
    </row>
    <row r="436" spans="1:9" x14ac:dyDescent="0.25">
      <c r="A436" s="6" t="s">
        <v>122</v>
      </c>
      <c r="B436" s="7" t="s">
        <v>123</v>
      </c>
      <c r="C436" s="7" t="s">
        <v>17</v>
      </c>
      <c r="D436" s="8">
        <v>41845</v>
      </c>
      <c r="E436" s="8">
        <v>41847</v>
      </c>
      <c r="F436" s="9">
        <v>911.5</v>
      </c>
      <c r="G436">
        <f t="shared" si="18"/>
        <v>3</v>
      </c>
      <c r="H436">
        <f t="shared" si="19"/>
        <v>78</v>
      </c>
      <c r="I436">
        <f t="shared" si="20"/>
        <v>989.5</v>
      </c>
    </row>
    <row r="437" spans="1:9" x14ac:dyDescent="0.25">
      <c r="A437" s="10" t="s">
        <v>82</v>
      </c>
      <c r="B437" s="11" t="s">
        <v>83</v>
      </c>
      <c r="C437" s="11" t="s">
        <v>30</v>
      </c>
      <c r="D437" s="12">
        <v>41845</v>
      </c>
      <c r="E437" s="12">
        <v>41849</v>
      </c>
      <c r="F437" s="13">
        <v>688.5</v>
      </c>
      <c r="G437">
        <f t="shared" si="18"/>
        <v>5</v>
      </c>
      <c r="H437">
        <f t="shared" si="19"/>
        <v>126</v>
      </c>
      <c r="I437">
        <f t="shared" si="20"/>
        <v>814.5</v>
      </c>
    </row>
    <row r="438" spans="1:9" x14ac:dyDescent="0.25">
      <c r="A438" s="6" t="s">
        <v>28</v>
      </c>
      <c r="B438" s="7" t="s">
        <v>60</v>
      </c>
      <c r="C438" s="7" t="s">
        <v>30</v>
      </c>
      <c r="D438" s="8">
        <v>41845</v>
      </c>
      <c r="E438" s="8">
        <v>41849</v>
      </c>
      <c r="F438" s="9">
        <v>688.5</v>
      </c>
      <c r="G438">
        <f t="shared" si="18"/>
        <v>5</v>
      </c>
      <c r="H438">
        <f t="shared" si="19"/>
        <v>126</v>
      </c>
      <c r="I438">
        <f t="shared" si="20"/>
        <v>814.5</v>
      </c>
    </row>
    <row r="439" spans="1:9" x14ac:dyDescent="0.25">
      <c r="A439" s="10" t="s">
        <v>54</v>
      </c>
      <c r="B439" s="11" t="s">
        <v>121</v>
      </c>
      <c r="C439" s="11" t="s">
        <v>11</v>
      </c>
      <c r="D439" s="12">
        <v>41845</v>
      </c>
      <c r="E439" s="12">
        <v>41849</v>
      </c>
      <c r="F439" s="13">
        <v>712.4</v>
      </c>
      <c r="G439">
        <f t="shared" si="18"/>
        <v>5</v>
      </c>
      <c r="H439">
        <f t="shared" si="19"/>
        <v>126</v>
      </c>
      <c r="I439">
        <f t="shared" si="20"/>
        <v>838.4</v>
      </c>
    </row>
    <row r="440" spans="1:9" x14ac:dyDescent="0.25">
      <c r="A440" s="6" t="s">
        <v>111</v>
      </c>
      <c r="B440" s="7" t="s">
        <v>112</v>
      </c>
      <c r="C440" s="7" t="s">
        <v>17</v>
      </c>
      <c r="D440" s="8">
        <v>41845</v>
      </c>
      <c r="E440" s="8">
        <v>41846</v>
      </c>
      <c r="F440" s="9">
        <v>706.5</v>
      </c>
      <c r="G440">
        <f t="shared" si="18"/>
        <v>2</v>
      </c>
      <c r="H440">
        <f t="shared" si="19"/>
        <v>54</v>
      </c>
      <c r="I440">
        <f t="shared" si="20"/>
        <v>760.5</v>
      </c>
    </row>
    <row r="441" spans="1:9" x14ac:dyDescent="0.25">
      <c r="A441" s="10" t="s">
        <v>15</v>
      </c>
      <c r="B441" s="11" t="s">
        <v>44</v>
      </c>
      <c r="C441" s="11" t="s">
        <v>38</v>
      </c>
      <c r="D441" s="12">
        <v>41851</v>
      </c>
      <c r="E441" s="12">
        <v>41855</v>
      </c>
      <c r="F441" s="13">
        <v>794.8</v>
      </c>
      <c r="G441">
        <f t="shared" si="18"/>
        <v>5</v>
      </c>
      <c r="H441">
        <f t="shared" si="19"/>
        <v>126</v>
      </c>
      <c r="I441">
        <f t="shared" si="20"/>
        <v>920.8</v>
      </c>
    </row>
    <row r="442" spans="1:9" x14ac:dyDescent="0.25">
      <c r="A442" s="6" t="s">
        <v>15</v>
      </c>
      <c r="B442" s="7" t="s">
        <v>46</v>
      </c>
      <c r="C442" s="7" t="s">
        <v>72</v>
      </c>
      <c r="D442" s="8">
        <v>41851</v>
      </c>
      <c r="E442" s="8">
        <v>41854</v>
      </c>
      <c r="F442" s="9">
        <v>1091.7</v>
      </c>
      <c r="G442">
        <f t="shared" si="18"/>
        <v>4</v>
      </c>
      <c r="H442">
        <f t="shared" si="19"/>
        <v>102</v>
      </c>
      <c r="I442">
        <f t="shared" si="20"/>
        <v>1193.7</v>
      </c>
    </row>
    <row r="443" spans="1:9" x14ac:dyDescent="0.25">
      <c r="A443" s="10" t="s">
        <v>93</v>
      </c>
      <c r="B443" s="11" t="s">
        <v>124</v>
      </c>
      <c r="C443" s="11" t="s">
        <v>72</v>
      </c>
      <c r="D443" s="12">
        <v>41851</v>
      </c>
      <c r="E443" s="12">
        <v>41853</v>
      </c>
      <c r="F443" s="13">
        <v>892.7</v>
      </c>
      <c r="G443">
        <f t="shared" si="18"/>
        <v>3</v>
      </c>
      <c r="H443">
        <f t="shared" si="19"/>
        <v>78</v>
      </c>
      <c r="I443">
        <f t="shared" si="20"/>
        <v>970.7</v>
      </c>
    </row>
    <row r="444" spans="1:9" x14ac:dyDescent="0.25">
      <c r="A444" s="6" t="s">
        <v>82</v>
      </c>
      <c r="B444" s="7" t="s">
        <v>83</v>
      </c>
      <c r="C444" s="7" t="s">
        <v>27</v>
      </c>
      <c r="D444" s="8">
        <v>41851</v>
      </c>
      <c r="E444" s="8">
        <v>41852</v>
      </c>
      <c r="F444" s="9">
        <v>570</v>
      </c>
      <c r="G444">
        <f t="shared" si="18"/>
        <v>2</v>
      </c>
      <c r="H444">
        <f t="shared" si="19"/>
        <v>54</v>
      </c>
      <c r="I444">
        <f t="shared" si="20"/>
        <v>624</v>
      </c>
    </row>
    <row r="445" spans="1:9" x14ac:dyDescent="0.25">
      <c r="A445" s="10" t="s">
        <v>6</v>
      </c>
      <c r="B445" s="11" t="s">
        <v>56</v>
      </c>
      <c r="C445" s="11" t="s">
        <v>24</v>
      </c>
      <c r="D445" s="12">
        <v>41851</v>
      </c>
      <c r="E445" s="12">
        <v>41854</v>
      </c>
      <c r="F445" s="13">
        <v>737.7</v>
      </c>
      <c r="G445">
        <f t="shared" si="18"/>
        <v>4</v>
      </c>
      <c r="H445">
        <f t="shared" si="19"/>
        <v>102</v>
      </c>
      <c r="I445">
        <f t="shared" si="20"/>
        <v>839.7</v>
      </c>
    </row>
    <row r="446" spans="1:9" x14ac:dyDescent="0.25">
      <c r="A446" s="6" t="s">
        <v>33</v>
      </c>
      <c r="B446" s="7" t="s">
        <v>41</v>
      </c>
      <c r="C446" s="7" t="s">
        <v>30</v>
      </c>
      <c r="D446" s="8">
        <v>41851</v>
      </c>
      <c r="E446" s="8">
        <v>41855</v>
      </c>
      <c r="F446" s="9">
        <v>688.5</v>
      </c>
      <c r="G446">
        <f t="shared" si="18"/>
        <v>5</v>
      </c>
      <c r="H446">
        <f t="shared" si="19"/>
        <v>126</v>
      </c>
      <c r="I446">
        <f t="shared" si="20"/>
        <v>814.5</v>
      </c>
    </row>
    <row r="447" spans="1:9" x14ac:dyDescent="0.25">
      <c r="A447" s="10" t="s">
        <v>101</v>
      </c>
      <c r="B447" s="11" t="s">
        <v>102</v>
      </c>
      <c r="C447" s="11" t="s">
        <v>38</v>
      </c>
      <c r="D447" s="12">
        <v>41851</v>
      </c>
      <c r="E447" s="12">
        <v>41853</v>
      </c>
      <c r="F447" s="13">
        <v>536.79999999999995</v>
      </c>
      <c r="G447">
        <f t="shared" si="18"/>
        <v>3</v>
      </c>
      <c r="H447">
        <f t="shared" si="19"/>
        <v>78</v>
      </c>
      <c r="I447">
        <f t="shared" si="20"/>
        <v>614.79999999999995</v>
      </c>
    </row>
    <row r="448" spans="1:9" x14ac:dyDescent="0.25">
      <c r="A448" s="6" t="s">
        <v>164</v>
      </c>
      <c r="B448" s="7" t="s">
        <v>165</v>
      </c>
      <c r="C448" s="7" t="s">
        <v>47</v>
      </c>
      <c r="D448" s="8">
        <v>41851</v>
      </c>
      <c r="E448" s="8">
        <v>41852</v>
      </c>
      <c r="F448" s="9">
        <v>526.79999999999995</v>
      </c>
      <c r="G448">
        <f t="shared" si="18"/>
        <v>2</v>
      </c>
      <c r="H448">
        <f t="shared" si="19"/>
        <v>54</v>
      </c>
      <c r="I448">
        <f t="shared" si="20"/>
        <v>580.79999999999995</v>
      </c>
    </row>
    <row r="449" spans="1:9" x14ac:dyDescent="0.25">
      <c r="A449" s="10" t="s">
        <v>107</v>
      </c>
      <c r="B449" s="11" t="s">
        <v>108</v>
      </c>
      <c r="C449" s="11" t="s">
        <v>8</v>
      </c>
      <c r="D449" s="12">
        <v>41851</v>
      </c>
      <c r="E449" s="12">
        <v>41855</v>
      </c>
      <c r="F449" s="13">
        <v>1524</v>
      </c>
      <c r="G449">
        <f t="shared" si="18"/>
        <v>5</v>
      </c>
      <c r="H449">
        <f t="shared" si="19"/>
        <v>126</v>
      </c>
      <c r="I449">
        <f t="shared" si="20"/>
        <v>1650</v>
      </c>
    </row>
    <row r="450" spans="1:9" x14ac:dyDescent="0.25">
      <c r="A450" s="6" t="s">
        <v>166</v>
      </c>
      <c r="B450" s="7" t="s">
        <v>167</v>
      </c>
      <c r="C450" s="7" t="s">
        <v>17</v>
      </c>
      <c r="D450" s="8">
        <v>41851</v>
      </c>
      <c r="E450" s="8">
        <v>41854</v>
      </c>
      <c r="F450" s="9">
        <v>1116.5</v>
      </c>
      <c r="G450">
        <f t="shared" si="18"/>
        <v>4</v>
      </c>
      <c r="H450">
        <f t="shared" si="19"/>
        <v>102</v>
      </c>
      <c r="I450">
        <f t="shared" si="20"/>
        <v>1218.5</v>
      </c>
    </row>
    <row r="451" spans="1:9" x14ac:dyDescent="0.25">
      <c r="A451" s="10" t="s">
        <v>134</v>
      </c>
      <c r="B451" s="11" t="s">
        <v>149</v>
      </c>
      <c r="C451" s="11" t="s">
        <v>11</v>
      </c>
      <c r="D451" s="12">
        <v>41851</v>
      </c>
      <c r="E451" s="12">
        <v>41852</v>
      </c>
      <c r="F451" s="13">
        <v>295.39999999999998</v>
      </c>
      <c r="G451">
        <f t="shared" ref="G451:G514" si="21">E451-D451 + 1</f>
        <v>2</v>
      </c>
      <c r="H451">
        <f t="shared" ref="H451:H514" si="22">30+(G451-1)*24</f>
        <v>54</v>
      </c>
      <c r="I451">
        <f t="shared" ref="I451:I514" si="23">H451+F451</f>
        <v>349.4</v>
      </c>
    </row>
    <row r="452" spans="1:9" x14ac:dyDescent="0.25">
      <c r="A452" s="6" t="s">
        <v>111</v>
      </c>
      <c r="B452" s="7" t="s">
        <v>112</v>
      </c>
      <c r="C452" s="7" t="s">
        <v>72</v>
      </c>
      <c r="D452" s="8">
        <v>41851</v>
      </c>
      <c r="E452" s="8">
        <v>41852</v>
      </c>
      <c r="F452" s="9">
        <v>693.7</v>
      </c>
      <c r="G452">
        <f t="shared" si="21"/>
        <v>2</v>
      </c>
      <c r="H452">
        <f t="shared" si="22"/>
        <v>54</v>
      </c>
      <c r="I452">
        <f t="shared" si="23"/>
        <v>747.7</v>
      </c>
    </row>
    <row r="453" spans="1:9" x14ac:dyDescent="0.25">
      <c r="A453" s="10" t="s">
        <v>31</v>
      </c>
      <c r="B453" s="11" t="s">
        <v>77</v>
      </c>
      <c r="C453" s="11" t="s">
        <v>59</v>
      </c>
      <c r="D453" s="12">
        <v>41851</v>
      </c>
      <c r="E453" s="12">
        <v>41852</v>
      </c>
      <c r="F453" s="13">
        <v>601</v>
      </c>
      <c r="G453">
        <f t="shared" si="21"/>
        <v>2</v>
      </c>
      <c r="H453">
        <f t="shared" si="22"/>
        <v>54</v>
      </c>
      <c r="I453">
        <f t="shared" si="23"/>
        <v>655</v>
      </c>
    </row>
    <row r="454" spans="1:9" x14ac:dyDescent="0.25">
      <c r="A454" s="6" t="s">
        <v>15</v>
      </c>
      <c r="B454" s="7" t="s">
        <v>16</v>
      </c>
      <c r="C454" s="7" t="s">
        <v>8</v>
      </c>
      <c r="D454" s="8">
        <v>41851</v>
      </c>
      <c r="E454" s="8">
        <v>41854</v>
      </c>
      <c r="F454" s="9">
        <v>1313</v>
      </c>
      <c r="G454">
        <f t="shared" si="21"/>
        <v>4</v>
      </c>
      <c r="H454">
        <f t="shared" si="22"/>
        <v>102</v>
      </c>
      <c r="I454">
        <f t="shared" si="23"/>
        <v>1415</v>
      </c>
    </row>
    <row r="455" spans="1:9" x14ac:dyDescent="0.25">
      <c r="A455" s="10" t="s">
        <v>113</v>
      </c>
      <c r="B455" s="11" t="s">
        <v>114</v>
      </c>
      <c r="C455" s="11" t="s">
        <v>38</v>
      </c>
      <c r="D455" s="12">
        <v>41851</v>
      </c>
      <c r="E455" s="12">
        <v>41852</v>
      </c>
      <c r="F455" s="13">
        <v>407.8</v>
      </c>
      <c r="G455">
        <f t="shared" si="21"/>
        <v>2</v>
      </c>
      <c r="H455">
        <f t="shared" si="22"/>
        <v>54</v>
      </c>
      <c r="I455">
        <f t="shared" si="23"/>
        <v>461.8</v>
      </c>
    </row>
    <row r="456" spans="1:9" x14ac:dyDescent="0.25">
      <c r="A456" s="6" t="s">
        <v>91</v>
      </c>
      <c r="B456" s="7" t="s">
        <v>92</v>
      </c>
      <c r="C456" s="7" t="s">
        <v>66</v>
      </c>
      <c r="D456" s="8">
        <v>41851</v>
      </c>
      <c r="E456" s="8">
        <v>41854</v>
      </c>
      <c r="F456" s="9">
        <v>841.7</v>
      </c>
      <c r="G456">
        <f t="shared" si="21"/>
        <v>4</v>
      </c>
      <c r="H456">
        <f t="shared" si="22"/>
        <v>102</v>
      </c>
      <c r="I456">
        <f t="shared" si="23"/>
        <v>943.7</v>
      </c>
    </row>
    <row r="457" spans="1:9" x14ac:dyDescent="0.25">
      <c r="A457" s="10" t="s">
        <v>93</v>
      </c>
      <c r="B457" s="11" t="s">
        <v>94</v>
      </c>
      <c r="C457" s="11" t="s">
        <v>27</v>
      </c>
      <c r="D457" s="12">
        <v>41851</v>
      </c>
      <c r="E457" s="12">
        <v>41855</v>
      </c>
      <c r="F457" s="13">
        <v>954</v>
      </c>
      <c r="G457">
        <f t="shared" si="21"/>
        <v>5</v>
      </c>
      <c r="H457">
        <f t="shared" si="22"/>
        <v>126</v>
      </c>
      <c r="I457">
        <f t="shared" si="23"/>
        <v>1080</v>
      </c>
    </row>
    <row r="458" spans="1:9" x14ac:dyDescent="0.25">
      <c r="A458" s="6" t="s">
        <v>15</v>
      </c>
      <c r="B458" s="7" t="s">
        <v>96</v>
      </c>
      <c r="C458" s="7" t="s">
        <v>30</v>
      </c>
      <c r="D458" s="8">
        <v>41851</v>
      </c>
      <c r="E458" s="8">
        <v>41853</v>
      </c>
      <c r="F458" s="9">
        <v>450.5</v>
      </c>
      <c r="G458">
        <f t="shared" si="21"/>
        <v>3</v>
      </c>
      <c r="H458">
        <f t="shared" si="22"/>
        <v>78</v>
      </c>
      <c r="I458">
        <f t="shared" si="23"/>
        <v>528.5</v>
      </c>
    </row>
    <row r="459" spans="1:9" x14ac:dyDescent="0.25">
      <c r="A459" s="10" t="s">
        <v>54</v>
      </c>
      <c r="B459" s="11" t="s">
        <v>55</v>
      </c>
      <c r="C459" s="11" t="s">
        <v>38</v>
      </c>
      <c r="D459" s="12">
        <v>41857</v>
      </c>
      <c r="E459" s="12">
        <v>41858</v>
      </c>
      <c r="F459" s="13">
        <v>407.8</v>
      </c>
      <c r="G459">
        <f t="shared" si="21"/>
        <v>2</v>
      </c>
      <c r="H459">
        <f t="shared" si="22"/>
        <v>54</v>
      </c>
      <c r="I459">
        <f t="shared" si="23"/>
        <v>461.8</v>
      </c>
    </row>
    <row r="460" spans="1:9" x14ac:dyDescent="0.25">
      <c r="A460" s="6" t="s">
        <v>143</v>
      </c>
      <c r="B460" s="7" t="s">
        <v>144</v>
      </c>
      <c r="C460" s="7" t="s">
        <v>17</v>
      </c>
      <c r="D460" s="8">
        <v>41857</v>
      </c>
      <c r="E460" s="8">
        <v>41858</v>
      </c>
      <c r="F460" s="9">
        <v>706.5</v>
      </c>
      <c r="G460">
        <f t="shared" si="21"/>
        <v>2</v>
      </c>
      <c r="H460">
        <f t="shared" si="22"/>
        <v>54</v>
      </c>
      <c r="I460">
        <f t="shared" si="23"/>
        <v>760.5</v>
      </c>
    </row>
    <row r="461" spans="1:9" x14ac:dyDescent="0.25">
      <c r="A461" s="10" t="s">
        <v>25</v>
      </c>
      <c r="B461" s="11" t="s">
        <v>35</v>
      </c>
      <c r="C461" s="11" t="s">
        <v>27</v>
      </c>
      <c r="D461" s="12">
        <v>41857</v>
      </c>
      <c r="E461" s="12">
        <v>41861</v>
      </c>
      <c r="F461" s="13">
        <v>954</v>
      </c>
      <c r="G461">
        <f t="shared" si="21"/>
        <v>5</v>
      </c>
      <c r="H461">
        <f t="shared" si="22"/>
        <v>126</v>
      </c>
      <c r="I461">
        <f t="shared" si="23"/>
        <v>1080</v>
      </c>
    </row>
    <row r="462" spans="1:9" x14ac:dyDescent="0.25">
      <c r="A462" s="6" t="s">
        <v>15</v>
      </c>
      <c r="B462" s="7" t="s">
        <v>63</v>
      </c>
      <c r="C462" s="7" t="s">
        <v>30</v>
      </c>
      <c r="D462" s="8">
        <v>41857</v>
      </c>
      <c r="E462" s="8">
        <v>41861</v>
      </c>
      <c r="F462" s="9">
        <v>688.5</v>
      </c>
      <c r="G462">
        <f t="shared" si="21"/>
        <v>5</v>
      </c>
      <c r="H462">
        <f t="shared" si="22"/>
        <v>126</v>
      </c>
      <c r="I462">
        <f t="shared" si="23"/>
        <v>814.5</v>
      </c>
    </row>
    <row r="463" spans="1:9" x14ac:dyDescent="0.25">
      <c r="A463" s="10" t="s">
        <v>93</v>
      </c>
      <c r="B463" s="11" t="s">
        <v>94</v>
      </c>
      <c r="C463" s="11" t="s">
        <v>47</v>
      </c>
      <c r="D463" s="12">
        <v>41857</v>
      </c>
      <c r="E463" s="12">
        <v>41860</v>
      </c>
      <c r="F463" s="13">
        <v>852.8</v>
      </c>
      <c r="G463">
        <f t="shared" si="21"/>
        <v>4</v>
      </c>
      <c r="H463">
        <f t="shared" si="22"/>
        <v>102</v>
      </c>
      <c r="I463">
        <f t="shared" si="23"/>
        <v>954.8</v>
      </c>
    </row>
    <row r="464" spans="1:9" x14ac:dyDescent="0.25">
      <c r="A464" s="6" t="s">
        <v>143</v>
      </c>
      <c r="B464" s="7" t="s">
        <v>144</v>
      </c>
      <c r="C464" s="7" t="s">
        <v>66</v>
      </c>
      <c r="D464" s="8">
        <v>41860</v>
      </c>
      <c r="E464" s="8">
        <v>41860</v>
      </c>
      <c r="F464" s="9">
        <v>307.7</v>
      </c>
      <c r="G464">
        <f t="shared" si="21"/>
        <v>1</v>
      </c>
      <c r="H464">
        <f t="shared" si="22"/>
        <v>30</v>
      </c>
      <c r="I464">
        <f t="shared" si="23"/>
        <v>337.7</v>
      </c>
    </row>
    <row r="465" spans="1:9" x14ac:dyDescent="0.25">
      <c r="A465" s="10" t="s">
        <v>22</v>
      </c>
      <c r="B465" s="11" t="s">
        <v>23</v>
      </c>
      <c r="C465" s="11" t="s">
        <v>8</v>
      </c>
      <c r="D465" s="12">
        <v>41863</v>
      </c>
      <c r="E465" s="12">
        <v>41867</v>
      </c>
      <c r="F465" s="13">
        <v>1524</v>
      </c>
      <c r="G465">
        <f t="shared" si="21"/>
        <v>5</v>
      </c>
      <c r="H465">
        <f t="shared" si="22"/>
        <v>126</v>
      </c>
      <c r="I465">
        <f t="shared" si="23"/>
        <v>1650</v>
      </c>
    </row>
    <row r="466" spans="1:9" x14ac:dyDescent="0.25">
      <c r="A466" s="6" t="s">
        <v>115</v>
      </c>
      <c r="B466" s="7" t="s">
        <v>153</v>
      </c>
      <c r="C466" s="7" t="s">
        <v>47</v>
      </c>
      <c r="D466" s="8">
        <v>41863</v>
      </c>
      <c r="E466" s="8">
        <v>41864</v>
      </c>
      <c r="F466" s="9">
        <v>526.79999999999995</v>
      </c>
      <c r="G466">
        <f t="shared" si="21"/>
        <v>2</v>
      </c>
      <c r="H466">
        <f t="shared" si="22"/>
        <v>54</v>
      </c>
      <c r="I466">
        <f t="shared" si="23"/>
        <v>580.79999999999995</v>
      </c>
    </row>
    <row r="467" spans="1:9" x14ac:dyDescent="0.25">
      <c r="A467" s="10" t="s">
        <v>93</v>
      </c>
      <c r="B467" s="11" t="s">
        <v>124</v>
      </c>
      <c r="C467" s="11" t="s">
        <v>24</v>
      </c>
      <c r="D467" s="12">
        <v>41863</v>
      </c>
      <c r="E467" s="12">
        <v>41865</v>
      </c>
      <c r="F467" s="13">
        <v>588.70000000000005</v>
      </c>
      <c r="G467">
        <f t="shared" si="21"/>
        <v>3</v>
      </c>
      <c r="H467">
        <f t="shared" si="22"/>
        <v>78</v>
      </c>
      <c r="I467">
        <f t="shared" si="23"/>
        <v>666.7</v>
      </c>
    </row>
    <row r="468" spans="1:9" x14ac:dyDescent="0.25">
      <c r="A468" s="6" t="s">
        <v>79</v>
      </c>
      <c r="B468" s="7" t="s">
        <v>80</v>
      </c>
      <c r="C468" s="7" t="s">
        <v>24</v>
      </c>
      <c r="D468" s="8">
        <v>41863</v>
      </c>
      <c r="E468" s="8">
        <v>41863</v>
      </c>
      <c r="F468" s="9">
        <v>290.7</v>
      </c>
      <c r="G468">
        <f t="shared" si="21"/>
        <v>1</v>
      </c>
      <c r="H468">
        <f t="shared" si="22"/>
        <v>30</v>
      </c>
      <c r="I468">
        <f t="shared" si="23"/>
        <v>320.7</v>
      </c>
    </row>
    <row r="469" spans="1:9" x14ac:dyDescent="0.25">
      <c r="A469" s="10" t="s">
        <v>84</v>
      </c>
      <c r="B469" s="11" t="s">
        <v>85</v>
      </c>
      <c r="C469" s="11" t="s">
        <v>66</v>
      </c>
      <c r="D469" s="12">
        <v>41863</v>
      </c>
      <c r="E469" s="12">
        <v>41865</v>
      </c>
      <c r="F469" s="13">
        <v>663.7</v>
      </c>
      <c r="G469">
        <f t="shared" si="21"/>
        <v>3</v>
      </c>
      <c r="H469">
        <f t="shared" si="22"/>
        <v>78</v>
      </c>
      <c r="I469">
        <f t="shared" si="23"/>
        <v>741.7</v>
      </c>
    </row>
    <row r="470" spans="1:9" x14ac:dyDescent="0.25">
      <c r="A470" s="6" t="s">
        <v>28</v>
      </c>
      <c r="B470" s="7" t="s">
        <v>60</v>
      </c>
      <c r="C470" s="7" t="s">
        <v>38</v>
      </c>
      <c r="D470" s="8">
        <v>41863</v>
      </c>
      <c r="E470" s="8">
        <v>41865</v>
      </c>
      <c r="F470" s="9">
        <v>536.79999999999995</v>
      </c>
      <c r="G470">
        <f t="shared" si="21"/>
        <v>3</v>
      </c>
      <c r="H470">
        <f t="shared" si="22"/>
        <v>78</v>
      </c>
      <c r="I470">
        <f t="shared" si="23"/>
        <v>614.79999999999995</v>
      </c>
    </row>
    <row r="471" spans="1:9" x14ac:dyDescent="0.25">
      <c r="A471" s="10" t="s">
        <v>9</v>
      </c>
      <c r="B471" s="11" t="s">
        <v>10</v>
      </c>
      <c r="C471" s="11" t="s">
        <v>47</v>
      </c>
      <c r="D471" s="12">
        <v>41863</v>
      </c>
      <c r="E471" s="12">
        <v>41864</v>
      </c>
      <c r="F471" s="13">
        <v>526.79999999999995</v>
      </c>
      <c r="G471">
        <f t="shared" si="21"/>
        <v>2</v>
      </c>
      <c r="H471">
        <f t="shared" si="22"/>
        <v>54</v>
      </c>
      <c r="I471">
        <f t="shared" si="23"/>
        <v>580.79999999999995</v>
      </c>
    </row>
    <row r="472" spans="1:9" x14ac:dyDescent="0.25">
      <c r="A472" s="6" t="s">
        <v>73</v>
      </c>
      <c r="B472" s="7" t="s">
        <v>74</v>
      </c>
      <c r="C472" s="7" t="s">
        <v>8</v>
      </c>
      <c r="D472" s="8">
        <v>41863</v>
      </c>
      <c r="E472" s="8">
        <v>41864</v>
      </c>
      <c r="F472" s="9">
        <v>891</v>
      </c>
      <c r="G472">
        <f t="shared" si="21"/>
        <v>2</v>
      </c>
      <c r="H472">
        <f t="shared" si="22"/>
        <v>54</v>
      </c>
      <c r="I472">
        <f t="shared" si="23"/>
        <v>945</v>
      </c>
    </row>
    <row r="473" spans="1:9" x14ac:dyDescent="0.25">
      <c r="A473" s="10" t="s">
        <v>73</v>
      </c>
      <c r="B473" s="11" t="s">
        <v>104</v>
      </c>
      <c r="C473" s="11" t="s">
        <v>17</v>
      </c>
      <c r="D473" s="12">
        <v>41863</v>
      </c>
      <c r="E473" s="12">
        <v>41867</v>
      </c>
      <c r="F473" s="13">
        <v>1321.5</v>
      </c>
      <c r="G473">
        <f t="shared" si="21"/>
        <v>5</v>
      </c>
      <c r="H473">
        <f t="shared" si="22"/>
        <v>126</v>
      </c>
      <c r="I473">
        <f t="shared" si="23"/>
        <v>1447.5</v>
      </c>
    </row>
    <row r="474" spans="1:9" x14ac:dyDescent="0.25">
      <c r="A474" s="6" t="s">
        <v>86</v>
      </c>
      <c r="B474" s="7" t="s">
        <v>87</v>
      </c>
      <c r="C474" s="7" t="s">
        <v>72</v>
      </c>
      <c r="D474" s="8">
        <v>41863</v>
      </c>
      <c r="E474" s="8">
        <v>41863</v>
      </c>
      <c r="F474" s="9">
        <v>494.7</v>
      </c>
      <c r="G474">
        <f t="shared" si="21"/>
        <v>1</v>
      </c>
      <c r="H474">
        <f t="shared" si="22"/>
        <v>30</v>
      </c>
      <c r="I474">
        <f t="shared" si="23"/>
        <v>524.70000000000005</v>
      </c>
    </row>
    <row r="475" spans="1:9" x14ac:dyDescent="0.25">
      <c r="A475" s="10" t="s">
        <v>145</v>
      </c>
      <c r="B475" s="11" t="s">
        <v>146</v>
      </c>
      <c r="C475" s="11" t="s">
        <v>30</v>
      </c>
      <c r="D475" s="12">
        <v>41863</v>
      </c>
      <c r="E475" s="12">
        <v>41867</v>
      </c>
      <c r="F475" s="13">
        <v>688.5</v>
      </c>
      <c r="G475">
        <f t="shared" si="21"/>
        <v>5</v>
      </c>
      <c r="H475">
        <f t="shared" si="22"/>
        <v>126</v>
      </c>
      <c r="I475">
        <f t="shared" si="23"/>
        <v>814.5</v>
      </c>
    </row>
    <row r="476" spans="1:9" x14ac:dyDescent="0.25">
      <c r="A476" s="6" t="s">
        <v>25</v>
      </c>
      <c r="B476" s="7" t="s">
        <v>35</v>
      </c>
      <c r="C476" s="7" t="s">
        <v>72</v>
      </c>
      <c r="D476" s="8">
        <v>41863</v>
      </c>
      <c r="E476" s="8">
        <v>41863</v>
      </c>
      <c r="F476" s="9">
        <v>494.7</v>
      </c>
      <c r="G476">
        <f t="shared" si="21"/>
        <v>1</v>
      </c>
      <c r="H476">
        <f t="shared" si="22"/>
        <v>30</v>
      </c>
      <c r="I476">
        <f t="shared" si="23"/>
        <v>524.70000000000005</v>
      </c>
    </row>
    <row r="477" spans="1:9" x14ac:dyDescent="0.25">
      <c r="A477" s="10" t="s">
        <v>119</v>
      </c>
      <c r="B477" s="11" t="s">
        <v>120</v>
      </c>
      <c r="C477" s="11" t="s">
        <v>47</v>
      </c>
      <c r="D477" s="12">
        <v>41863</v>
      </c>
      <c r="E477" s="12">
        <v>41865</v>
      </c>
      <c r="F477" s="13">
        <v>689.8</v>
      </c>
      <c r="G477">
        <f t="shared" si="21"/>
        <v>3</v>
      </c>
      <c r="H477">
        <f t="shared" si="22"/>
        <v>78</v>
      </c>
      <c r="I477">
        <f t="shared" si="23"/>
        <v>767.8</v>
      </c>
    </row>
    <row r="478" spans="1:9" x14ac:dyDescent="0.25">
      <c r="A478" s="6" t="s">
        <v>91</v>
      </c>
      <c r="B478" s="7" t="s">
        <v>92</v>
      </c>
      <c r="C478" s="7" t="s">
        <v>14</v>
      </c>
      <c r="D478" s="8">
        <v>41863</v>
      </c>
      <c r="E478" s="8">
        <v>41867</v>
      </c>
      <c r="F478" s="9">
        <v>674.5</v>
      </c>
      <c r="G478">
        <f t="shared" si="21"/>
        <v>5</v>
      </c>
      <c r="H478">
        <f t="shared" si="22"/>
        <v>126</v>
      </c>
      <c r="I478">
        <f t="shared" si="23"/>
        <v>800.5</v>
      </c>
    </row>
    <row r="479" spans="1:9" x14ac:dyDescent="0.25">
      <c r="A479" s="10" t="s">
        <v>93</v>
      </c>
      <c r="B479" s="11" t="s">
        <v>94</v>
      </c>
      <c r="C479" s="11" t="s">
        <v>66</v>
      </c>
      <c r="D479" s="12">
        <v>41863</v>
      </c>
      <c r="E479" s="12">
        <v>41865</v>
      </c>
      <c r="F479" s="13">
        <v>663.7</v>
      </c>
      <c r="G479">
        <f t="shared" si="21"/>
        <v>3</v>
      </c>
      <c r="H479">
        <f t="shared" si="22"/>
        <v>78</v>
      </c>
      <c r="I479">
        <f t="shared" si="23"/>
        <v>741.7</v>
      </c>
    </row>
    <row r="480" spans="1:9" x14ac:dyDescent="0.25">
      <c r="A480" s="6" t="s">
        <v>70</v>
      </c>
      <c r="B480" s="7" t="s">
        <v>117</v>
      </c>
      <c r="C480" s="7" t="s">
        <v>59</v>
      </c>
      <c r="D480" s="8">
        <v>41863</v>
      </c>
      <c r="E480" s="8">
        <v>41865</v>
      </c>
      <c r="F480" s="9">
        <v>760</v>
      </c>
      <c r="G480">
        <f t="shared" si="21"/>
        <v>3</v>
      </c>
      <c r="H480">
        <f t="shared" si="22"/>
        <v>78</v>
      </c>
      <c r="I480">
        <f t="shared" si="23"/>
        <v>838</v>
      </c>
    </row>
    <row r="481" spans="1:9" x14ac:dyDescent="0.25">
      <c r="A481" s="10" t="s">
        <v>20</v>
      </c>
      <c r="B481" s="11" t="s">
        <v>21</v>
      </c>
      <c r="C481" s="11" t="s">
        <v>47</v>
      </c>
      <c r="D481" s="12">
        <v>41863</v>
      </c>
      <c r="E481" s="12">
        <v>41867</v>
      </c>
      <c r="F481" s="13">
        <v>1015.8</v>
      </c>
      <c r="G481">
        <f t="shared" si="21"/>
        <v>5</v>
      </c>
      <c r="H481">
        <f t="shared" si="22"/>
        <v>126</v>
      </c>
      <c r="I481">
        <f t="shared" si="23"/>
        <v>1141.8</v>
      </c>
    </row>
    <row r="482" spans="1:9" x14ac:dyDescent="0.25">
      <c r="A482" s="6" t="s">
        <v>25</v>
      </c>
      <c r="B482" s="7" t="s">
        <v>35</v>
      </c>
      <c r="C482" s="7" t="s">
        <v>47</v>
      </c>
      <c r="D482" s="8">
        <v>41865</v>
      </c>
      <c r="E482" s="8">
        <v>41865</v>
      </c>
      <c r="F482" s="9">
        <v>363.8</v>
      </c>
      <c r="G482">
        <f t="shared" si="21"/>
        <v>1</v>
      </c>
      <c r="H482">
        <f t="shared" si="22"/>
        <v>30</v>
      </c>
      <c r="I482">
        <f t="shared" si="23"/>
        <v>393.8</v>
      </c>
    </row>
    <row r="483" spans="1:9" x14ac:dyDescent="0.25">
      <c r="A483" s="10" t="s">
        <v>93</v>
      </c>
      <c r="B483" s="11" t="s">
        <v>124</v>
      </c>
      <c r="C483" s="11" t="s">
        <v>8</v>
      </c>
      <c r="D483" s="12">
        <v>41869</v>
      </c>
      <c r="E483" s="12">
        <v>41871</v>
      </c>
      <c r="F483" s="13">
        <v>1102</v>
      </c>
      <c r="G483">
        <f t="shared" si="21"/>
        <v>3</v>
      </c>
      <c r="H483">
        <f t="shared" si="22"/>
        <v>78</v>
      </c>
      <c r="I483">
        <f t="shared" si="23"/>
        <v>1180</v>
      </c>
    </row>
    <row r="484" spans="1:9" x14ac:dyDescent="0.25">
      <c r="A484" s="6" t="s">
        <v>54</v>
      </c>
      <c r="B484" s="7" t="s">
        <v>133</v>
      </c>
      <c r="C484" s="7" t="s">
        <v>24</v>
      </c>
      <c r="D484" s="8">
        <v>41869</v>
      </c>
      <c r="E484" s="8">
        <v>41873</v>
      </c>
      <c r="F484" s="9">
        <v>886.7</v>
      </c>
      <c r="G484">
        <f t="shared" si="21"/>
        <v>5</v>
      </c>
      <c r="H484">
        <f t="shared" si="22"/>
        <v>126</v>
      </c>
      <c r="I484">
        <f t="shared" si="23"/>
        <v>1012.7</v>
      </c>
    </row>
    <row r="485" spans="1:9" x14ac:dyDescent="0.25">
      <c r="A485" s="10" t="s">
        <v>70</v>
      </c>
      <c r="B485" s="11" t="s">
        <v>71</v>
      </c>
      <c r="C485" s="11" t="s">
        <v>11</v>
      </c>
      <c r="D485" s="12">
        <v>41869</v>
      </c>
      <c r="E485" s="12">
        <v>41870</v>
      </c>
      <c r="F485" s="13">
        <v>295.39999999999998</v>
      </c>
      <c r="G485">
        <f t="shared" si="21"/>
        <v>2</v>
      </c>
      <c r="H485">
        <f t="shared" si="22"/>
        <v>54</v>
      </c>
      <c r="I485">
        <f t="shared" si="23"/>
        <v>349.4</v>
      </c>
    </row>
    <row r="486" spans="1:9" x14ac:dyDescent="0.25">
      <c r="A486" s="6" t="s">
        <v>86</v>
      </c>
      <c r="B486" s="7" t="s">
        <v>87</v>
      </c>
      <c r="C486" s="7" t="s">
        <v>8</v>
      </c>
      <c r="D486" s="8">
        <v>41869</v>
      </c>
      <c r="E486" s="8">
        <v>41870</v>
      </c>
      <c r="F486" s="9">
        <v>891</v>
      </c>
      <c r="G486">
        <f t="shared" si="21"/>
        <v>2</v>
      </c>
      <c r="H486">
        <f t="shared" si="22"/>
        <v>54</v>
      </c>
      <c r="I486">
        <f t="shared" si="23"/>
        <v>945</v>
      </c>
    </row>
    <row r="487" spans="1:9" x14ac:dyDescent="0.25">
      <c r="A487" s="10" t="s">
        <v>156</v>
      </c>
      <c r="B487" s="11" t="s">
        <v>157</v>
      </c>
      <c r="C487" s="11" t="s">
        <v>47</v>
      </c>
      <c r="D487" s="12">
        <v>41869</v>
      </c>
      <c r="E487" s="12">
        <v>41871</v>
      </c>
      <c r="F487" s="13">
        <v>689.8</v>
      </c>
      <c r="G487">
        <f t="shared" si="21"/>
        <v>3</v>
      </c>
      <c r="H487">
        <f t="shared" si="22"/>
        <v>78</v>
      </c>
      <c r="I487">
        <f t="shared" si="23"/>
        <v>767.8</v>
      </c>
    </row>
    <row r="488" spans="1:9" x14ac:dyDescent="0.25">
      <c r="A488" s="6" t="s">
        <v>113</v>
      </c>
      <c r="B488" s="7" t="s">
        <v>114</v>
      </c>
      <c r="C488" s="7" t="s">
        <v>17</v>
      </c>
      <c r="D488" s="8">
        <v>41869</v>
      </c>
      <c r="E488" s="8">
        <v>41871</v>
      </c>
      <c r="F488" s="9">
        <v>911.5</v>
      </c>
      <c r="G488">
        <f t="shared" si="21"/>
        <v>3</v>
      </c>
      <c r="H488">
        <f t="shared" si="22"/>
        <v>78</v>
      </c>
      <c r="I488">
        <f t="shared" si="23"/>
        <v>989.5</v>
      </c>
    </row>
    <row r="489" spans="1:9" x14ac:dyDescent="0.25">
      <c r="A489" s="10" t="s">
        <v>15</v>
      </c>
      <c r="B489" s="11" t="s">
        <v>44</v>
      </c>
      <c r="C489" s="11" t="s">
        <v>30</v>
      </c>
      <c r="D489" s="12">
        <v>41875</v>
      </c>
      <c r="E489" s="12">
        <v>41877</v>
      </c>
      <c r="F489" s="13">
        <v>450.5</v>
      </c>
      <c r="G489">
        <f t="shared" si="21"/>
        <v>3</v>
      </c>
      <c r="H489">
        <f t="shared" si="22"/>
        <v>78</v>
      </c>
      <c r="I489">
        <f t="shared" si="23"/>
        <v>528.5</v>
      </c>
    </row>
    <row r="490" spans="1:9" x14ac:dyDescent="0.25">
      <c r="A490" s="6" t="s">
        <v>6</v>
      </c>
      <c r="B490" s="7" t="s">
        <v>7</v>
      </c>
      <c r="C490" s="7" t="s">
        <v>8</v>
      </c>
      <c r="D490" s="8">
        <v>41875</v>
      </c>
      <c r="E490" s="8">
        <v>41879</v>
      </c>
      <c r="F490" s="9">
        <v>1524</v>
      </c>
      <c r="G490">
        <f t="shared" si="21"/>
        <v>5</v>
      </c>
      <c r="H490">
        <f t="shared" si="22"/>
        <v>126</v>
      </c>
      <c r="I490">
        <f t="shared" si="23"/>
        <v>1650</v>
      </c>
    </row>
    <row r="491" spans="1:9" x14ac:dyDescent="0.25">
      <c r="A491" s="10" t="s">
        <v>33</v>
      </c>
      <c r="B491" s="11" t="s">
        <v>141</v>
      </c>
      <c r="C491" s="11" t="s">
        <v>17</v>
      </c>
      <c r="D491" s="12">
        <v>41875</v>
      </c>
      <c r="E491" s="12">
        <v>41876</v>
      </c>
      <c r="F491" s="13">
        <v>706.5</v>
      </c>
      <c r="G491">
        <f t="shared" si="21"/>
        <v>2</v>
      </c>
      <c r="H491">
        <f t="shared" si="22"/>
        <v>54</v>
      </c>
      <c r="I491">
        <f t="shared" si="23"/>
        <v>760.5</v>
      </c>
    </row>
    <row r="492" spans="1:9" x14ac:dyDescent="0.25">
      <c r="A492" s="6" t="s">
        <v>131</v>
      </c>
      <c r="B492" s="7" t="s">
        <v>154</v>
      </c>
      <c r="C492" s="7" t="s">
        <v>19</v>
      </c>
      <c r="D492" s="8">
        <v>41875</v>
      </c>
      <c r="E492" s="8">
        <v>41879</v>
      </c>
      <c r="F492" s="9">
        <v>1077.4000000000001</v>
      </c>
      <c r="G492">
        <f t="shared" si="21"/>
        <v>5</v>
      </c>
      <c r="H492">
        <f t="shared" si="22"/>
        <v>126</v>
      </c>
      <c r="I492">
        <f t="shared" si="23"/>
        <v>1203.4000000000001</v>
      </c>
    </row>
    <row r="493" spans="1:9" x14ac:dyDescent="0.25">
      <c r="A493" s="10" t="s">
        <v>97</v>
      </c>
      <c r="B493" s="11" t="s">
        <v>98</v>
      </c>
      <c r="C493" s="11" t="s">
        <v>8</v>
      </c>
      <c r="D493" s="12">
        <v>41875</v>
      </c>
      <c r="E493" s="12">
        <v>41876</v>
      </c>
      <c r="F493" s="13">
        <v>891</v>
      </c>
      <c r="G493">
        <f t="shared" si="21"/>
        <v>2</v>
      </c>
      <c r="H493">
        <f t="shared" si="22"/>
        <v>54</v>
      </c>
      <c r="I493">
        <f t="shared" si="23"/>
        <v>945</v>
      </c>
    </row>
    <row r="494" spans="1:9" x14ac:dyDescent="0.25">
      <c r="A494" s="6" t="s">
        <v>126</v>
      </c>
      <c r="B494" s="7" t="s">
        <v>127</v>
      </c>
      <c r="C494" s="7" t="s">
        <v>17</v>
      </c>
      <c r="D494" s="8">
        <v>41875</v>
      </c>
      <c r="E494" s="8">
        <v>41878</v>
      </c>
      <c r="F494" s="9">
        <v>1116.5</v>
      </c>
      <c r="G494">
        <f t="shared" si="21"/>
        <v>4</v>
      </c>
      <c r="H494">
        <f t="shared" si="22"/>
        <v>102</v>
      </c>
      <c r="I494">
        <f t="shared" si="23"/>
        <v>1218.5</v>
      </c>
    </row>
    <row r="495" spans="1:9" x14ac:dyDescent="0.25">
      <c r="A495" s="10" t="s">
        <v>9</v>
      </c>
      <c r="B495" s="11" t="s">
        <v>103</v>
      </c>
      <c r="C495" s="11" t="s">
        <v>30</v>
      </c>
      <c r="D495" s="12">
        <v>41875</v>
      </c>
      <c r="E495" s="12">
        <v>41879</v>
      </c>
      <c r="F495" s="13">
        <v>688.5</v>
      </c>
      <c r="G495">
        <f t="shared" si="21"/>
        <v>5</v>
      </c>
      <c r="H495">
        <f t="shared" si="22"/>
        <v>126</v>
      </c>
      <c r="I495">
        <f t="shared" si="23"/>
        <v>814.5</v>
      </c>
    </row>
    <row r="496" spans="1:9" x14ac:dyDescent="0.25">
      <c r="A496" s="6" t="s">
        <v>156</v>
      </c>
      <c r="B496" s="7" t="s">
        <v>157</v>
      </c>
      <c r="C496" s="7" t="s">
        <v>17</v>
      </c>
      <c r="D496" s="8">
        <v>41875</v>
      </c>
      <c r="E496" s="8">
        <v>41878</v>
      </c>
      <c r="F496" s="9">
        <v>1116.5</v>
      </c>
      <c r="G496">
        <f t="shared" si="21"/>
        <v>4</v>
      </c>
      <c r="H496">
        <f t="shared" si="22"/>
        <v>102</v>
      </c>
      <c r="I496">
        <f t="shared" si="23"/>
        <v>1218.5</v>
      </c>
    </row>
    <row r="497" spans="1:9" x14ac:dyDescent="0.25">
      <c r="A497" s="10" t="s">
        <v>134</v>
      </c>
      <c r="B497" s="11" t="s">
        <v>149</v>
      </c>
      <c r="C497" s="11" t="s">
        <v>24</v>
      </c>
      <c r="D497" s="12">
        <v>41875</v>
      </c>
      <c r="E497" s="12">
        <v>41879</v>
      </c>
      <c r="F497" s="13">
        <v>886.7</v>
      </c>
      <c r="G497">
        <f t="shared" si="21"/>
        <v>5</v>
      </c>
      <c r="H497">
        <f t="shared" si="22"/>
        <v>126</v>
      </c>
      <c r="I497">
        <f t="shared" si="23"/>
        <v>1012.7</v>
      </c>
    </row>
    <row r="498" spans="1:9" x14ac:dyDescent="0.25">
      <c r="A498" s="6" t="s">
        <v>113</v>
      </c>
      <c r="B498" s="7" t="s">
        <v>114</v>
      </c>
      <c r="C498" s="7" t="s">
        <v>72</v>
      </c>
      <c r="D498" s="8">
        <v>41875</v>
      </c>
      <c r="E498" s="8">
        <v>41877</v>
      </c>
      <c r="F498" s="9">
        <v>892.7</v>
      </c>
      <c r="G498">
        <f t="shared" si="21"/>
        <v>3</v>
      </c>
      <c r="H498">
        <f t="shared" si="22"/>
        <v>78</v>
      </c>
      <c r="I498">
        <f t="shared" si="23"/>
        <v>970.7</v>
      </c>
    </row>
    <row r="499" spans="1:9" x14ac:dyDescent="0.25">
      <c r="A499" s="10" t="s">
        <v>86</v>
      </c>
      <c r="B499" s="11" t="s">
        <v>136</v>
      </c>
      <c r="C499" s="11" t="s">
        <v>14</v>
      </c>
      <c r="D499" s="12">
        <v>41875</v>
      </c>
      <c r="E499" s="12">
        <v>41879</v>
      </c>
      <c r="F499" s="13">
        <v>674.5</v>
      </c>
      <c r="G499">
        <f t="shared" si="21"/>
        <v>5</v>
      </c>
      <c r="H499">
        <f t="shared" si="22"/>
        <v>126</v>
      </c>
      <c r="I499">
        <f t="shared" si="23"/>
        <v>800.5</v>
      </c>
    </row>
    <row r="500" spans="1:9" x14ac:dyDescent="0.25">
      <c r="A500" s="6" t="s">
        <v>50</v>
      </c>
      <c r="B500" s="7" t="s">
        <v>51</v>
      </c>
      <c r="C500" s="7" t="s">
        <v>8</v>
      </c>
      <c r="D500" s="8">
        <v>41876</v>
      </c>
      <c r="E500" s="8">
        <v>41877</v>
      </c>
      <c r="F500" s="9">
        <v>891</v>
      </c>
      <c r="G500">
        <f t="shared" si="21"/>
        <v>2</v>
      </c>
      <c r="H500">
        <f t="shared" si="22"/>
        <v>54</v>
      </c>
      <c r="I500">
        <f t="shared" si="23"/>
        <v>945</v>
      </c>
    </row>
    <row r="501" spans="1:9" x14ac:dyDescent="0.25">
      <c r="A501" s="10" t="s">
        <v>107</v>
      </c>
      <c r="B501" s="11" t="s">
        <v>108</v>
      </c>
      <c r="C501" s="11" t="s">
        <v>19</v>
      </c>
      <c r="D501" s="12">
        <v>41876</v>
      </c>
      <c r="E501" s="12">
        <v>41877</v>
      </c>
      <c r="F501" s="13">
        <v>654.4</v>
      </c>
      <c r="G501">
        <f t="shared" si="21"/>
        <v>2</v>
      </c>
      <c r="H501">
        <f t="shared" si="22"/>
        <v>54</v>
      </c>
      <c r="I501">
        <f t="shared" si="23"/>
        <v>708.4</v>
      </c>
    </row>
    <row r="502" spans="1:9" x14ac:dyDescent="0.25">
      <c r="A502" s="6" t="s">
        <v>20</v>
      </c>
      <c r="B502" s="7" t="s">
        <v>162</v>
      </c>
      <c r="C502" s="7" t="s">
        <v>59</v>
      </c>
      <c r="D502" s="8">
        <v>41876</v>
      </c>
      <c r="E502" s="8">
        <v>41878</v>
      </c>
      <c r="F502" s="9">
        <v>760</v>
      </c>
      <c r="G502">
        <f t="shared" si="21"/>
        <v>3</v>
      </c>
      <c r="H502">
        <f t="shared" si="22"/>
        <v>78</v>
      </c>
      <c r="I502">
        <f t="shared" si="23"/>
        <v>838</v>
      </c>
    </row>
    <row r="503" spans="1:9" x14ac:dyDescent="0.25">
      <c r="A503" s="10" t="s">
        <v>15</v>
      </c>
      <c r="B503" s="11" t="s">
        <v>16</v>
      </c>
      <c r="C503" s="11" t="s">
        <v>38</v>
      </c>
      <c r="D503" s="12">
        <v>41876</v>
      </c>
      <c r="E503" s="12">
        <v>41877</v>
      </c>
      <c r="F503" s="13">
        <v>407.8</v>
      </c>
      <c r="G503">
        <f t="shared" si="21"/>
        <v>2</v>
      </c>
      <c r="H503">
        <f t="shared" si="22"/>
        <v>54</v>
      </c>
      <c r="I503">
        <f t="shared" si="23"/>
        <v>461.8</v>
      </c>
    </row>
    <row r="504" spans="1:9" x14ac:dyDescent="0.25">
      <c r="A504" s="6" t="s">
        <v>20</v>
      </c>
      <c r="B504" s="7" t="s">
        <v>21</v>
      </c>
      <c r="C504" s="7" t="s">
        <v>19</v>
      </c>
      <c r="D504" s="8">
        <v>41876</v>
      </c>
      <c r="E504" s="8">
        <v>41877</v>
      </c>
      <c r="F504" s="9">
        <v>654.4</v>
      </c>
      <c r="G504">
        <f t="shared" si="21"/>
        <v>2</v>
      </c>
      <c r="H504">
        <f t="shared" si="22"/>
        <v>54</v>
      </c>
      <c r="I504">
        <f t="shared" si="23"/>
        <v>708.4</v>
      </c>
    </row>
    <row r="505" spans="1:9" x14ac:dyDescent="0.25">
      <c r="A505" s="10" t="s">
        <v>25</v>
      </c>
      <c r="B505" s="11" t="s">
        <v>26</v>
      </c>
      <c r="C505" s="11" t="s">
        <v>38</v>
      </c>
      <c r="D505" s="12">
        <v>41877</v>
      </c>
      <c r="E505" s="12">
        <v>41878</v>
      </c>
      <c r="F505" s="13">
        <v>407.8</v>
      </c>
      <c r="G505">
        <f t="shared" si="21"/>
        <v>2</v>
      </c>
      <c r="H505">
        <f t="shared" si="22"/>
        <v>54</v>
      </c>
      <c r="I505">
        <f t="shared" si="23"/>
        <v>461.8</v>
      </c>
    </row>
    <row r="506" spans="1:9" x14ac:dyDescent="0.25">
      <c r="A506" s="6" t="s">
        <v>93</v>
      </c>
      <c r="B506" s="7" t="s">
        <v>106</v>
      </c>
      <c r="C506" s="7" t="s">
        <v>72</v>
      </c>
      <c r="D506" s="8">
        <v>41878</v>
      </c>
      <c r="E506" s="8">
        <v>41878</v>
      </c>
      <c r="F506" s="9">
        <v>494.7</v>
      </c>
      <c r="G506">
        <f t="shared" si="21"/>
        <v>1</v>
      </c>
      <c r="H506">
        <f t="shared" si="22"/>
        <v>30</v>
      </c>
      <c r="I506">
        <f t="shared" si="23"/>
        <v>524.70000000000005</v>
      </c>
    </row>
    <row r="507" spans="1:9" x14ac:dyDescent="0.25">
      <c r="A507" s="10" t="s">
        <v>79</v>
      </c>
      <c r="B507" s="11" t="s">
        <v>80</v>
      </c>
      <c r="C507" s="11" t="s">
        <v>47</v>
      </c>
      <c r="D507" s="12">
        <v>41881</v>
      </c>
      <c r="E507" s="12">
        <v>41884</v>
      </c>
      <c r="F507" s="13">
        <v>852.8</v>
      </c>
      <c r="G507">
        <f t="shared" si="21"/>
        <v>4</v>
      </c>
      <c r="H507">
        <f t="shared" si="22"/>
        <v>102</v>
      </c>
      <c r="I507">
        <f t="shared" si="23"/>
        <v>954.8</v>
      </c>
    </row>
    <row r="508" spans="1:9" x14ac:dyDescent="0.25">
      <c r="A508" s="6" t="s">
        <v>50</v>
      </c>
      <c r="B508" s="7" t="s">
        <v>51</v>
      </c>
      <c r="C508" s="7" t="s">
        <v>72</v>
      </c>
      <c r="D508" s="8">
        <v>41881</v>
      </c>
      <c r="E508" s="8">
        <v>41882</v>
      </c>
      <c r="F508" s="9">
        <v>693.7</v>
      </c>
      <c r="G508">
        <f t="shared" si="21"/>
        <v>2</v>
      </c>
      <c r="H508">
        <f t="shared" si="22"/>
        <v>54</v>
      </c>
      <c r="I508">
        <f t="shared" si="23"/>
        <v>747.7</v>
      </c>
    </row>
    <row r="509" spans="1:9" x14ac:dyDescent="0.25">
      <c r="A509" s="10" t="s">
        <v>25</v>
      </c>
      <c r="B509" s="11" t="s">
        <v>26</v>
      </c>
      <c r="C509" s="11" t="s">
        <v>11</v>
      </c>
      <c r="D509" s="12">
        <v>41881</v>
      </c>
      <c r="E509" s="12">
        <v>41883</v>
      </c>
      <c r="F509" s="13">
        <v>434.4</v>
      </c>
      <c r="G509">
        <f t="shared" si="21"/>
        <v>3</v>
      </c>
      <c r="H509">
        <f t="shared" si="22"/>
        <v>78</v>
      </c>
      <c r="I509">
        <f t="shared" si="23"/>
        <v>512.4</v>
      </c>
    </row>
    <row r="510" spans="1:9" x14ac:dyDescent="0.25">
      <c r="A510" s="6" t="s">
        <v>82</v>
      </c>
      <c r="B510" s="7" t="s">
        <v>125</v>
      </c>
      <c r="C510" s="7" t="s">
        <v>66</v>
      </c>
      <c r="D510" s="8">
        <v>41881</v>
      </c>
      <c r="E510" s="8">
        <v>41882</v>
      </c>
      <c r="F510" s="9">
        <v>485.7</v>
      </c>
      <c r="G510">
        <f t="shared" si="21"/>
        <v>2</v>
      </c>
      <c r="H510">
        <f t="shared" si="22"/>
        <v>54</v>
      </c>
      <c r="I510">
        <f t="shared" si="23"/>
        <v>539.70000000000005</v>
      </c>
    </row>
    <row r="511" spans="1:9" x14ac:dyDescent="0.25">
      <c r="A511" s="10" t="s">
        <v>134</v>
      </c>
      <c r="B511" s="11" t="s">
        <v>149</v>
      </c>
      <c r="C511" s="11" t="s">
        <v>8</v>
      </c>
      <c r="D511" s="12">
        <v>41881</v>
      </c>
      <c r="E511" s="12">
        <v>41882</v>
      </c>
      <c r="F511" s="13">
        <v>891</v>
      </c>
      <c r="G511">
        <f t="shared" si="21"/>
        <v>2</v>
      </c>
      <c r="H511">
        <f t="shared" si="22"/>
        <v>54</v>
      </c>
      <c r="I511">
        <f t="shared" si="23"/>
        <v>945</v>
      </c>
    </row>
    <row r="512" spans="1:9" x14ac:dyDescent="0.25">
      <c r="A512" s="6" t="s">
        <v>64</v>
      </c>
      <c r="B512" s="7" t="s">
        <v>65</v>
      </c>
      <c r="C512" s="7" t="s">
        <v>17</v>
      </c>
      <c r="D512" s="8">
        <v>41881</v>
      </c>
      <c r="E512" s="8">
        <v>41885</v>
      </c>
      <c r="F512" s="9">
        <v>1321.5</v>
      </c>
      <c r="G512">
        <f t="shared" si="21"/>
        <v>5</v>
      </c>
      <c r="H512">
        <f t="shared" si="22"/>
        <v>126</v>
      </c>
      <c r="I512">
        <f t="shared" si="23"/>
        <v>1447.5</v>
      </c>
    </row>
    <row r="513" spans="1:9" x14ac:dyDescent="0.25">
      <c r="A513" s="10" t="s">
        <v>109</v>
      </c>
      <c r="B513" s="11" t="s">
        <v>110</v>
      </c>
      <c r="C513" s="11" t="s">
        <v>14</v>
      </c>
      <c r="D513" s="12">
        <v>41885</v>
      </c>
      <c r="E513" s="12">
        <v>41888</v>
      </c>
      <c r="F513" s="13">
        <v>550.5</v>
      </c>
      <c r="G513">
        <f t="shared" si="21"/>
        <v>4</v>
      </c>
      <c r="H513">
        <f t="shared" si="22"/>
        <v>102</v>
      </c>
      <c r="I513">
        <f t="shared" si="23"/>
        <v>652.5</v>
      </c>
    </row>
    <row r="514" spans="1:9" x14ac:dyDescent="0.25">
      <c r="A514" s="6" t="s">
        <v>31</v>
      </c>
      <c r="B514" s="7" t="s">
        <v>78</v>
      </c>
      <c r="C514" s="7" t="s">
        <v>24</v>
      </c>
      <c r="D514" s="8">
        <v>41886</v>
      </c>
      <c r="E514" s="8">
        <v>41887</v>
      </c>
      <c r="F514" s="9">
        <v>439.7</v>
      </c>
      <c r="G514">
        <f t="shared" si="21"/>
        <v>2</v>
      </c>
      <c r="H514">
        <f t="shared" si="22"/>
        <v>54</v>
      </c>
      <c r="I514">
        <f t="shared" si="23"/>
        <v>493.7</v>
      </c>
    </row>
    <row r="515" spans="1:9" x14ac:dyDescent="0.25">
      <c r="A515" s="10" t="s">
        <v>6</v>
      </c>
      <c r="B515" s="11" t="s">
        <v>7</v>
      </c>
      <c r="C515" s="11" t="s">
        <v>30</v>
      </c>
      <c r="D515" s="12">
        <v>41886</v>
      </c>
      <c r="E515" s="12">
        <v>41889</v>
      </c>
      <c r="F515" s="13">
        <v>569.5</v>
      </c>
      <c r="G515">
        <f t="shared" ref="G515:G578" si="24">E515-D515 + 1</f>
        <v>4</v>
      </c>
      <c r="H515">
        <f t="shared" ref="H515:H578" si="25">30+(G515-1)*24</f>
        <v>102</v>
      </c>
      <c r="I515">
        <f t="shared" ref="I515:I578" si="26">H515+F515</f>
        <v>671.5</v>
      </c>
    </row>
    <row r="516" spans="1:9" x14ac:dyDescent="0.25">
      <c r="A516" s="6" t="s">
        <v>122</v>
      </c>
      <c r="B516" s="7" t="s">
        <v>123</v>
      </c>
      <c r="C516" s="7" t="s">
        <v>14</v>
      </c>
      <c r="D516" s="8">
        <v>41886</v>
      </c>
      <c r="E516" s="8">
        <v>41889</v>
      </c>
      <c r="F516" s="9">
        <v>550.5</v>
      </c>
      <c r="G516">
        <f t="shared" si="24"/>
        <v>4</v>
      </c>
      <c r="H516">
        <f t="shared" si="25"/>
        <v>102</v>
      </c>
      <c r="I516">
        <f t="shared" si="26"/>
        <v>652.5</v>
      </c>
    </row>
    <row r="517" spans="1:9" x14ac:dyDescent="0.25">
      <c r="A517" s="10" t="s">
        <v>93</v>
      </c>
      <c r="B517" s="11" t="s">
        <v>124</v>
      </c>
      <c r="C517" s="11" t="s">
        <v>24</v>
      </c>
      <c r="D517" s="12">
        <v>41886</v>
      </c>
      <c r="E517" s="12">
        <v>41887</v>
      </c>
      <c r="F517" s="13">
        <v>439.7</v>
      </c>
      <c r="G517">
        <f t="shared" si="24"/>
        <v>2</v>
      </c>
      <c r="H517">
        <f t="shared" si="25"/>
        <v>54</v>
      </c>
      <c r="I517">
        <f t="shared" si="26"/>
        <v>493.7</v>
      </c>
    </row>
    <row r="518" spans="1:9" x14ac:dyDescent="0.25">
      <c r="A518" s="6" t="s">
        <v>22</v>
      </c>
      <c r="B518" s="7" t="s">
        <v>172</v>
      </c>
      <c r="C518" s="7" t="s">
        <v>24</v>
      </c>
      <c r="D518" s="8">
        <v>41886</v>
      </c>
      <c r="E518" s="8">
        <v>41886</v>
      </c>
      <c r="F518" s="9">
        <v>290.7</v>
      </c>
      <c r="G518">
        <f t="shared" si="24"/>
        <v>1</v>
      </c>
      <c r="H518">
        <f t="shared" si="25"/>
        <v>30</v>
      </c>
      <c r="I518">
        <f t="shared" si="26"/>
        <v>320.7</v>
      </c>
    </row>
    <row r="519" spans="1:9" x14ac:dyDescent="0.25">
      <c r="A519" s="10" t="s">
        <v>84</v>
      </c>
      <c r="B519" s="11" t="s">
        <v>85</v>
      </c>
      <c r="C519" s="11" t="s">
        <v>19</v>
      </c>
      <c r="D519" s="12">
        <v>41886</v>
      </c>
      <c r="E519" s="12">
        <v>41890</v>
      </c>
      <c r="F519" s="13">
        <v>1077.4000000000001</v>
      </c>
      <c r="G519">
        <f t="shared" si="24"/>
        <v>5</v>
      </c>
      <c r="H519">
        <f t="shared" si="25"/>
        <v>126</v>
      </c>
      <c r="I519">
        <f t="shared" si="26"/>
        <v>1203.4000000000001</v>
      </c>
    </row>
    <row r="520" spans="1:9" x14ac:dyDescent="0.25">
      <c r="A520" s="6" t="s">
        <v>82</v>
      </c>
      <c r="B520" s="7" t="s">
        <v>125</v>
      </c>
      <c r="C520" s="7" t="s">
        <v>14</v>
      </c>
      <c r="D520" s="8">
        <v>41886</v>
      </c>
      <c r="E520" s="8">
        <v>41888</v>
      </c>
      <c r="F520" s="9">
        <v>426.5</v>
      </c>
      <c r="G520">
        <f t="shared" si="24"/>
        <v>3</v>
      </c>
      <c r="H520">
        <f t="shared" si="25"/>
        <v>78</v>
      </c>
      <c r="I520">
        <f t="shared" si="26"/>
        <v>504.5</v>
      </c>
    </row>
    <row r="521" spans="1:9" x14ac:dyDescent="0.25">
      <c r="A521" s="10" t="s">
        <v>33</v>
      </c>
      <c r="B521" s="11" t="s">
        <v>34</v>
      </c>
      <c r="C521" s="11" t="s">
        <v>27</v>
      </c>
      <c r="D521" s="12">
        <v>41886</v>
      </c>
      <c r="E521" s="12">
        <v>41887</v>
      </c>
      <c r="F521" s="13">
        <v>570</v>
      </c>
      <c r="G521">
        <f t="shared" si="24"/>
        <v>2</v>
      </c>
      <c r="H521">
        <f t="shared" si="25"/>
        <v>54</v>
      </c>
      <c r="I521">
        <f t="shared" si="26"/>
        <v>624</v>
      </c>
    </row>
    <row r="522" spans="1:9" x14ac:dyDescent="0.25">
      <c r="A522" s="6" t="s">
        <v>9</v>
      </c>
      <c r="B522" s="7" t="s">
        <v>69</v>
      </c>
      <c r="C522" s="7" t="s">
        <v>24</v>
      </c>
      <c r="D522" s="8">
        <v>41886</v>
      </c>
      <c r="E522" s="8">
        <v>41886</v>
      </c>
      <c r="F522" s="9">
        <v>290.7</v>
      </c>
      <c r="G522">
        <f t="shared" si="24"/>
        <v>1</v>
      </c>
      <c r="H522">
        <f t="shared" si="25"/>
        <v>30</v>
      </c>
      <c r="I522">
        <f t="shared" si="26"/>
        <v>320.7</v>
      </c>
    </row>
    <row r="523" spans="1:9" x14ac:dyDescent="0.25">
      <c r="A523" s="10" t="s">
        <v>143</v>
      </c>
      <c r="B523" s="11" t="s">
        <v>144</v>
      </c>
      <c r="C523" s="11" t="s">
        <v>19</v>
      </c>
      <c r="D523" s="12">
        <v>41886</v>
      </c>
      <c r="E523" s="12">
        <v>41887</v>
      </c>
      <c r="F523" s="13">
        <v>654.4</v>
      </c>
      <c r="G523">
        <f t="shared" si="24"/>
        <v>2</v>
      </c>
      <c r="H523">
        <f t="shared" si="25"/>
        <v>54</v>
      </c>
      <c r="I523">
        <f t="shared" si="26"/>
        <v>708.4</v>
      </c>
    </row>
    <row r="524" spans="1:9" x14ac:dyDescent="0.25">
      <c r="A524" s="6" t="s">
        <v>75</v>
      </c>
      <c r="B524" s="7" t="s">
        <v>88</v>
      </c>
      <c r="C524" s="7" t="s">
        <v>66</v>
      </c>
      <c r="D524" s="8">
        <v>41886</v>
      </c>
      <c r="E524" s="8">
        <v>41890</v>
      </c>
      <c r="F524" s="9">
        <v>1019.7</v>
      </c>
      <c r="G524">
        <f t="shared" si="24"/>
        <v>5</v>
      </c>
      <c r="H524">
        <f t="shared" si="25"/>
        <v>126</v>
      </c>
      <c r="I524">
        <f t="shared" si="26"/>
        <v>1145.7</v>
      </c>
    </row>
    <row r="525" spans="1:9" x14ac:dyDescent="0.25">
      <c r="A525" s="10" t="s">
        <v>119</v>
      </c>
      <c r="B525" s="11" t="s">
        <v>120</v>
      </c>
      <c r="C525" s="11" t="s">
        <v>11</v>
      </c>
      <c r="D525" s="12">
        <v>41886</v>
      </c>
      <c r="E525" s="12">
        <v>41889</v>
      </c>
      <c r="F525" s="13">
        <v>573.4</v>
      </c>
      <c r="G525">
        <f t="shared" si="24"/>
        <v>4</v>
      </c>
      <c r="H525">
        <f t="shared" si="25"/>
        <v>102</v>
      </c>
      <c r="I525">
        <f t="shared" si="26"/>
        <v>675.4</v>
      </c>
    </row>
    <row r="526" spans="1:9" x14ac:dyDescent="0.25">
      <c r="A526" s="6" t="s">
        <v>36</v>
      </c>
      <c r="B526" s="7" t="s">
        <v>37</v>
      </c>
      <c r="C526" s="7" t="s">
        <v>17</v>
      </c>
      <c r="D526" s="8">
        <v>41886</v>
      </c>
      <c r="E526" s="8">
        <v>41889</v>
      </c>
      <c r="F526" s="9">
        <v>1116.5</v>
      </c>
      <c r="G526">
        <f t="shared" si="24"/>
        <v>4</v>
      </c>
      <c r="H526">
        <f t="shared" si="25"/>
        <v>102</v>
      </c>
      <c r="I526">
        <f t="shared" si="26"/>
        <v>1218.5</v>
      </c>
    </row>
    <row r="527" spans="1:9" x14ac:dyDescent="0.25">
      <c r="A527" s="10" t="s">
        <v>75</v>
      </c>
      <c r="B527" s="11" t="s">
        <v>76</v>
      </c>
      <c r="C527" s="11" t="s">
        <v>11</v>
      </c>
      <c r="D527" s="12">
        <v>41886</v>
      </c>
      <c r="E527" s="12">
        <v>41888</v>
      </c>
      <c r="F527" s="13">
        <v>434.4</v>
      </c>
      <c r="G527">
        <f t="shared" si="24"/>
        <v>3</v>
      </c>
      <c r="H527">
        <f t="shared" si="25"/>
        <v>78</v>
      </c>
      <c r="I527">
        <f t="shared" si="26"/>
        <v>512.4</v>
      </c>
    </row>
    <row r="528" spans="1:9" x14ac:dyDescent="0.25">
      <c r="A528" s="6" t="s">
        <v>91</v>
      </c>
      <c r="B528" s="7" t="s">
        <v>92</v>
      </c>
      <c r="C528" s="7" t="s">
        <v>38</v>
      </c>
      <c r="D528" s="8">
        <v>41886</v>
      </c>
      <c r="E528" s="8">
        <v>41887</v>
      </c>
      <c r="F528" s="9">
        <v>407.8</v>
      </c>
      <c r="G528">
        <f t="shared" si="24"/>
        <v>2</v>
      </c>
      <c r="H528">
        <f t="shared" si="25"/>
        <v>54</v>
      </c>
      <c r="I528">
        <f t="shared" si="26"/>
        <v>461.8</v>
      </c>
    </row>
    <row r="529" spans="1:9" x14ac:dyDescent="0.25">
      <c r="A529" s="10" t="s">
        <v>12</v>
      </c>
      <c r="B529" s="11" t="s">
        <v>95</v>
      </c>
      <c r="C529" s="11" t="s">
        <v>66</v>
      </c>
      <c r="D529" s="12">
        <v>41886</v>
      </c>
      <c r="E529" s="12">
        <v>41889</v>
      </c>
      <c r="F529" s="13">
        <v>841.7</v>
      </c>
      <c r="G529">
        <f t="shared" si="24"/>
        <v>4</v>
      </c>
      <c r="H529">
        <f t="shared" si="25"/>
        <v>102</v>
      </c>
      <c r="I529">
        <f t="shared" si="26"/>
        <v>943.7</v>
      </c>
    </row>
    <row r="530" spans="1:9" x14ac:dyDescent="0.25">
      <c r="A530" s="6" t="s">
        <v>54</v>
      </c>
      <c r="B530" s="7" t="s">
        <v>118</v>
      </c>
      <c r="C530" s="7" t="s">
        <v>30</v>
      </c>
      <c r="D530" s="8">
        <v>41886</v>
      </c>
      <c r="E530" s="8">
        <v>41886</v>
      </c>
      <c r="F530" s="9">
        <v>212.5</v>
      </c>
      <c r="G530">
        <f t="shared" si="24"/>
        <v>1</v>
      </c>
      <c r="H530">
        <f t="shared" si="25"/>
        <v>30</v>
      </c>
      <c r="I530">
        <f t="shared" si="26"/>
        <v>242.5</v>
      </c>
    </row>
    <row r="531" spans="1:9" x14ac:dyDescent="0.25">
      <c r="A531" s="10" t="s">
        <v>15</v>
      </c>
      <c r="B531" s="11" t="s">
        <v>46</v>
      </c>
      <c r="C531" s="11" t="s">
        <v>24</v>
      </c>
      <c r="D531" s="12">
        <v>41887</v>
      </c>
      <c r="E531" s="12">
        <v>41889</v>
      </c>
      <c r="F531" s="13">
        <v>588.70000000000005</v>
      </c>
      <c r="G531">
        <f t="shared" si="24"/>
        <v>3</v>
      </c>
      <c r="H531">
        <f t="shared" si="25"/>
        <v>78</v>
      </c>
      <c r="I531">
        <f t="shared" si="26"/>
        <v>666.7</v>
      </c>
    </row>
    <row r="532" spans="1:9" x14ac:dyDescent="0.25">
      <c r="A532" s="6" t="s">
        <v>25</v>
      </c>
      <c r="B532" s="7" t="s">
        <v>26</v>
      </c>
      <c r="C532" s="7" t="s">
        <v>17</v>
      </c>
      <c r="D532" s="8">
        <v>41887</v>
      </c>
      <c r="E532" s="8">
        <v>41887</v>
      </c>
      <c r="F532" s="9">
        <v>501.5</v>
      </c>
      <c r="G532">
        <f t="shared" si="24"/>
        <v>1</v>
      </c>
      <c r="H532">
        <f t="shared" si="25"/>
        <v>30</v>
      </c>
      <c r="I532">
        <f t="shared" si="26"/>
        <v>531.5</v>
      </c>
    </row>
    <row r="533" spans="1:9" x14ac:dyDescent="0.25">
      <c r="A533" s="10" t="s">
        <v>70</v>
      </c>
      <c r="B533" s="11" t="s">
        <v>71</v>
      </c>
      <c r="C533" s="11" t="s">
        <v>14</v>
      </c>
      <c r="D533" s="12">
        <v>41887</v>
      </c>
      <c r="E533" s="12">
        <v>41888</v>
      </c>
      <c r="F533" s="13">
        <v>302.5</v>
      </c>
      <c r="G533">
        <f t="shared" si="24"/>
        <v>2</v>
      </c>
      <c r="H533">
        <f t="shared" si="25"/>
        <v>54</v>
      </c>
      <c r="I533">
        <f t="shared" si="26"/>
        <v>356.5</v>
      </c>
    </row>
    <row r="534" spans="1:9" x14ac:dyDescent="0.25">
      <c r="A534" s="6" t="s">
        <v>115</v>
      </c>
      <c r="B534" s="7" t="s">
        <v>140</v>
      </c>
      <c r="C534" s="7" t="s">
        <v>27</v>
      </c>
      <c r="D534" s="8">
        <v>41887</v>
      </c>
      <c r="E534" s="8">
        <v>41887</v>
      </c>
      <c r="F534" s="9">
        <v>442</v>
      </c>
      <c r="G534">
        <f t="shared" si="24"/>
        <v>1</v>
      </c>
      <c r="H534">
        <f t="shared" si="25"/>
        <v>30</v>
      </c>
      <c r="I534">
        <f t="shared" si="26"/>
        <v>472</v>
      </c>
    </row>
    <row r="535" spans="1:9" x14ac:dyDescent="0.25">
      <c r="A535" s="10" t="s">
        <v>134</v>
      </c>
      <c r="B535" s="11" t="s">
        <v>135</v>
      </c>
      <c r="C535" s="11" t="s">
        <v>19</v>
      </c>
      <c r="D535" s="12">
        <v>41887</v>
      </c>
      <c r="E535" s="12">
        <v>41890</v>
      </c>
      <c r="F535" s="13">
        <v>936.4</v>
      </c>
      <c r="G535">
        <f t="shared" si="24"/>
        <v>4</v>
      </c>
      <c r="H535">
        <f t="shared" si="25"/>
        <v>102</v>
      </c>
      <c r="I535">
        <f t="shared" si="26"/>
        <v>1038.4000000000001</v>
      </c>
    </row>
    <row r="536" spans="1:9" x14ac:dyDescent="0.25">
      <c r="A536" s="6" t="s">
        <v>99</v>
      </c>
      <c r="B536" s="7" t="s">
        <v>100</v>
      </c>
      <c r="C536" s="7" t="s">
        <v>19</v>
      </c>
      <c r="D536" s="8">
        <v>41887</v>
      </c>
      <c r="E536" s="8">
        <v>41887</v>
      </c>
      <c r="F536" s="9">
        <v>513.4</v>
      </c>
      <c r="G536">
        <f t="shared" si="24"/>
        <v>1</v>
      </c>
      <c r="H536">
        <f t="shared" si="25"/>
        <v>30</v>
      </c>
      <c r="I536">
        <f t="shared" si="26"/>
        <v>543.4</v>
      </c>
    </row>
    <row r="537" spans="1:9" x14ac:dyDescent="0.25">
      <c r="A537" s="10" t="s">
        <v>101</v>
      </c>
      <c r="B537" s="11" t="s">
        <v>102</v>
      </c>
      <c r="C537" s="11" t="s">
        <v>11</v>
      </c>
      <c r="D537" s="12">
        <v>41887</v>
      </c>
      <c r="E537" s="12">
        <v>41888</v>
      </c>
      <c r="F537" s="13">
        <v>295.39999999999998</v>
      </c>
      <c r="G537">
        <f t="shared" si="24"/>
        <v>2</v>
      </c>
      <c r="H537">
        <f t="shared" si="25"/>
        <v>54</v>
      </c>
      <c r="I537">
        <f t="shared" si="26"/>
        <v>349.4</v>
      </c>
    </row>
    <row r="538" spans="1:9" x14ac:dyDescent="0.25">
      <c r="A538" s="6" t="s">
        <v>143</v>
      </c>
      <c r="B538" s="7" t="s">
        <v>144</v>
      </c>
      <c r="C538" s="7" t="s">
        <v>30</v>
      </c>
      <c r="D538" s="8">
        <v>41887</v>
      </c>
      <c r="E538" s="8">
        <v>41891</v>
      </c>
      <c r="F538" s="9">
        <v>688.5</v>
      </c>
      <c r="G538">
        <f t="shared" si="24"/>
        <v>5</v>
      </c>
      <c r="H538">
        <f t="shared" si="25"/>
        <v>126</v>
      </c>
      <c r="I538">
        <f t="shared" si="26"/>
        <v>814.5</v>
      </c>
    </row>
    <row r="539" spans="1:9" x14ac:dyDescent="0.25">
      <c r="A539" s="10" t="s">
        <v>93</v>
      </c>
      <c r="B539" s="11" t="s">
        <v>106</v>
      </c>
      <c r="C539" s="11" t="s">
        <v>17</v>
      </c>
      <c r="D539" s="12">
        <v>41887</v>
      </c>
      <c r="E539" s="12">
        <v>41890</v>
      </c>
      <c r="F539" s="13">
        <v>1116.5</v>
      </c>
      <c r="G539">
        <f t="shared" si="24"/>
        <v>4</v>
      </c>
      <c r="H539">
        <f t="shared" si="25"/>
        <v>102</v>
      </c>
      <c r="I539">
        <f t="shared" si="26"/>
        <v>1218.5</v>
      </c>
    </row>
    <row r="540" spans="1:9" x14ac:dyDescent="0.25">
      <c r="A540" s="6" t="s">
        <v>93</v>
      </c>
      <c r="B540" s="7" t="s">
        <v>94</v>
      </c>
      <c r="C540" s="7" t="s">
        <v>14</v>
      </c>
      <c r="D540" s="8">
        <v>41887</v>
      </c>
      <c r="E540" s="8">
        <v>41889</v>
      </c>
      <c r="F540" s="9">
        <v>426.5</v>
      </c>
      <c r="G540">
        <f t="shared" si="24"/>
        <v>3</v>
      </c>
      <c r="H540">
        <f t="shared" si="25"/>
        <v>78</v>
      </c>
      <c r="I540">
        <f t="shared" si="26"/>
        <v>504.5</v>
      </c>
    </row>
    <row r="541" spans="1:9" x14ac:dyDescent="0.25">
      <c r="A541" s="10" t="s">
        <v>137</v>
      </c>
      <c r="B541" s="11" t="s">
        <v>138</v>
      </c>
      <c r="C541" s="11" t="s">
        <v>27</v>
      </c>
      <c r="D541" s="12">
        <v>41887</v>
      </c>
      <c r="E541" s="12">
        <v>41889</v>
      </c>
      <c r="F541" s="13">
        <v>698</v>
      </c>
      <c r="G541">
        <f t="shared" si="24"/>
        <v>3</v>
      </c>
      <c r="H541">
        <f t="shared" si="25"/>
        <v>78</v>
      </c>
      <c r="I541">
        <f t="shared" si="26"/>
        <v>776</v>
      </c>
    </row>
    <row r="542" spans="1:9" x14ac:dyDescent="0.25">
      <c r="A542" s="6" t="s">
        <v>115</v>
      </c>
      <c r="B542" s="7" t="s">
        <v>116</v>
      </c>
      <c r="C542" s="7" t="s">
        <v>30</v>
      </c>
      <c r="D542" s="8">
        <v>41887</v>
      </c>
      <c r="E542" s="8">
        <v>41888</v>
      </c>
      <c r="F542" s="9">
        <v>331.5</v>
      </c>
      <c r="G542">
        <f t="shared" si="24"/>
        <v>2</v>
      </c>
      <c r="H542">
        <f t="shared" si="25"/>
        <v>54</v>
      </c>
      <c r="I542">
        <f t="shared" si="26"/>
        <v>385.5</v>
      </c>
    </row>
    <row r="543" spans="1:9" x14ac:dyDescent="0.25">
      <c r="A543" s="10" t="s">
        <v>64</v>
      </c>
      <c r="B543" s="11" t="s">
        <v>65</v>
      </c>
      <c r="C543" s="11" t="s">
        <v>38</v>
      </c>
      <c r="D543" s="12">
        <v>41887</v>
      </c>
      <c r="E543" s="12">
        <v>41889</v>
      </c>
      <c r="F543" s="13">
        <v>536.79999999999995</v>
      </c>
      <c r="G543">
        <f t="shared" si="24"/>
        <v>3</v>
      </c>
      <c r="H543">
        <f t="shared" si="25"/>
        <v>78</v>
      </c>
      <c r="I543">
        <f t="shared" si="26"/>
        <v>614.79999999999995</v>
      </c>
    </row>
    <row r="544" spans="1:9" x14ac:dyDescent="0.25">
      <c r="A544" s="6" t="s">
        <v>86</v>
      </c>
      <c r="B544" s="7" t="s">
        <v>136</v>
      </c>
      <c r="C544" s="7" t="s">
        <v>72</v>
      </c>
      <c r="D544" s="8">
        <v>41887</v>
      </c>
      <c r="E544" s="8">
        <v>41888</v>
      </c>
      <c r="F544" s="9">
        <v>693.7</v>
      </c>
      <c r="G544">
        <f t="shared" si="24"/>
        <v>2</v>
      </c>
      <c r="H544">
        <f t="shared" si="25"/>
        <v>54</v>
      </c>
      <c r="I544">
        <f t="shared" si="26"/>
        <v>747.7</v>
      </c>
    </row>
    <row r="545" spans="1:9" x14ac:dyDescent="0.25">
      <c r="A545" s="10" t="s">
        <v>93</v>
      </c>
      <c r="B545" s="11" t="s">
        <v>124</v>
      </c>
      <c r="C545" s="11" t="s">
        <v>17</v>
      </c>
      <c r="D545" s="12">
        <v>41889</v>
      </c>
      <c r="E545" s="12">
        <v>41889</v>
      </c>
      <c r="F545" s="13">
        <v>501.5</v>
      </c>
      <c r="G545">
        <f t="shared" si="24"/>
        <v>1</v>
      </c>
      <c r="H545">
        <f t="shared" si="25"/>
        <v>30</v>
      </c>
      <c r="I545">
        <f t="shared" si="26"/>
        <v>531.5</v>
      </c>
    </row>
    <row r="546" spans="1:9" x14ac:dyDescent="0.25">
      <c r="A546" s="6" t="s">
        <v>54</v>
      </c>
      <c r="B546" s="7" t="s">
        <v>55</v>
      </c>
      <c r="C546" s="7" t="s">
        <v>19</v>
      </c>
      <c r="D546" s="8">
        <v>41890</v>
      </c>
      <c r="E546" s="8">
        <v>41890</v>
      </c>
      <c r="F546" s="9">
        <v>513.4</v>
      </c>
      <c r="G546">
        <f t="shared" si="24"/>
        <v>1</v>
      </c>
      <c r="H546">
        <f t="shared" si="25"/>
        <v>30</v>
      </c>
      <c r="I546">
        <f t="shared" si="26"/>
        <v>543.4</v>
      </c>
    </row>
    <row r="547" spans="1:9" x14ac:dyDescent="0.25">
      <c r="A547" s="10" t="s">
        <v>22</v>
      </c>
      <c r="B547" s="11" t="s">
        <v>172</v>
      </c>
      <c r="C547" s="11" t="s">
        <v>27</v>
      </c>
      <c r="D547" s="12">
        <v>41890</v>
      </c>
      <c r="E547" s="12">
        <v>41890</v>
      </c>
      <c r="F547" s="13">
        <v>442</v>
      </c>
      <c r="G547">
        <f t="shared" si="24"/>
        <v>1</v>
      </c>
      <c r="H547">
        <f t="shared" si="25"/>
        <v>30</v>
      </c>
      <c r="I547">
        <f t="shared" si="26"/>
        <v>472</v>
      </c>
    </row>
    <row r="548" spans="1:9" x14ac:dyDescent="0.25">
      <c r="A548" s="6" t="s">
        <v>9</v>
      </c>
      <c r="B548" s="7" t="s">
        <v>69</v>
      </c>
      <c r="C548" s="7" t="s">
        <v>38</v>
      </c>
      <c r="D548" s="8">
        <v>41890</v>
      </c>
      <c r="E548" s="8">
        <v>41890</v>
      </c>
      <c r="F548" s="9">
        <v>278.8</v>
      </c>
      <c r="G548">
        <f t="shared" si="24"/>
        <v>1</v>
      </c>
      <c r="H548">
        <f t="shared" si="25"/>
        <v>30</v>
      </c>
      <c r="I548">
        <f t="shared" si="26"/>
        <v>308.8</v>
      </c>
    </row>
    <row r="549" spans="1:9" x14ac:dyDescent="0.25">
      <c r="A549" s="10" t="s">
        <v>54</v>
      </c>
      <c r="B549" s="11" t="s">
        <v>118</v>
      </c>
      <c r="C549" s="11" t="s">
        <v>24</v>
      </c>
      <c r="D549" s="12">
        <v>41890</v>
      </c>
      <c r="E549" s="12">
        <v>41890</v>
      </c>
      <c r="F549" s="13">
        <v>290.7</v>
      </c>
      <c r="G549">
        <f t="shared" si="24"/>
        <v>1</v>
      </c>
      <c r="H549">
        <f t="shared" si="25"/>
        <v>30</v>
      </c>
      <c r="I549">
        <f t="shared" si="26"/>
        <v>320.7</v>
      </c>
    </row>
    <row r="550" spans="1:9" x14ac:dyDescent="0.25">
      <c r="A550" s="6" t="s">
        <v>99</v>
      </c>
      <c r="B550" s="7" t="s">
        <v>130</v>
      </c>
      <c r="C550" s="7" t="s">
        <v>38</v>
      </c>
      <c r="D550" s="8">
        <v>41893</v>
      </c>
      <c r="E550" s="8">
        <v>41896</v>
      </c>
      <c r="F550" s="9">
        <v>665.8</v>
      </c>
      <c r="G550">
        <f t="shared" si="24"/>
        <v>4</v>
      </c>
      <c r="H550">
        <f t="shared" si="25"/>
        <v>102</v>
      </c>
      <c r="I550">
        <f t="shared" si="26"/>
        <v>767.8</v>
      </c>
    </row>
    <row r="551" spans="1:9" x14ac:dyDescent="0.25">
      <c r="A551" s="10" t="s">
        <v>115</v>
      </c>
      <c r="B551" s="11" t="s">
        <v>140</v>
      </c>
      <c r="C551" s="11" t="s">
        <v>8</v>
      </c>
      <c r="D551" s="12">
        <v>41893</v>
      </c>
      <c r="E551" s="12">
        <v>41896</v>
      </c>
      <c r="F551" s="13">
        <v>1313</v>
      </c>
      <c r="G551">
        <f t="shared" si="24"/>
        <v>4</v>
      </c>
      <c r="H551">
        <f t="shared" si="25"/>
        <v>102</v>
      </c>
      <c r="I551">
        <f t="shared" si="26"/>
        <v>1415</v>
      </c>
    </row>
    <row r="552" spans="1:9" x14ac:dyDescent="0.25">
      <c r="A552" s="6" t="s">
        <v>109</v>
      </c>
      <c r="B552" s="7" t="s">
        <v>110</v>
      </c>
      <c r="C552" s="7" t="s">
        <v>8</v>
      </c>
      <c r="D552" s="8">
        <v>41893</v>
      </c>
      <c r="E552" s="8">
        <v>41894</v>
      </c>
      <c r="F552" s="9">
        <v>891</v>
      </c>
      <c r="G552">
        <f t="shared" si="24"/>
        <v>2</v>
      </c>
      <c r="H552">
        <f t="shared" si="25"/>
        <v>54</v>
      </c>
      <c r="I552">
        <f t="shared" si="26"/>
        <v>945</v>
      </c>
    </row>
    <row r="553" spans="1:9" x14ac:dyDescent="0.25">
      <c r="A553" s="10" t="s">
        <v>137</v>
      </c>
      <c r="B553" s="11" t="s">
        <v>138</v>
      </c>
      <c r="C553" s="11" t="s">
        <v>47</v>
      </c>
      <c r="D553" s="12">
        <v>41893</v>
      </c>
      <c r="E553" s="12">
        <v>41895</v>
      </c>
      <c r="F553" s="13">
        <v>689.8</v>
      </c>
      <c r="G553">
        <f t="shared" si="24"/>
        <v>3</v>
      </c>
      <c r="H553">
        <f t="shared" si="25"/>
        <v>78</v>
      </c>
      <c r="I553">
        <f t="shared" si="26"/>
        <v>767.8</v>
      </c>
    </row>
    <row r="554" spans="1:9" x14ac:dyDescent="0.25">
      <c r="A554" s="6" t="s">
        <v>12</v>
      </c>
      <c r="B554" s="7" t="s">
        <v>95</v>
      </c>
      <c r="C554" s="7" t="s">
        <v>47</v>
      </c>
      <c r="D554" s="8">
        <v>41893</v>
      </c>
      <c r="E554" s="8">
        <v>41894</v>
      </c>
      <c r="F554" s="9">
        <v>526.79999999999995</v>
      </c>
      <c r="G554">
        <f t="shared" si="24"/>
        <v>2</v>
      </c>
      <c r="H554">
        <f t="shared" si="25"/>
        <v>54</v>
      </c>
      <c r="I554">
        <f t="shared" si="26"/>
        <v>580.79999999999995</v>
      </c>
    </row>
    <row r="555" spans="1:9" x14ac:dyDescent="0.25">
      <c r="A555" s="10" t="s">
        <v>57</v>
      </c>
      <c r="B555" s="11" t="s">
        <v>58</v>
      </c>
      <c r="C555" s="11" t="s">
        <v>11</v>
      </c>
      <c r="D555" s="12">
        <v>41893</v>
      </c>
      <c r="E555" s="12">
        <v>41896</v>
      </c>
      <c r="F555" s="13">
        <v>573.4</v>
      </c>
      <c r="G555">
        <f t="shared" si="24"/>
        <v>4</v>
      </c>
      <c r="H555">
        <f t="shared" si="25"/>
        <v>102</v>
      </c>
      <c r="I555">
        <f t="shared" si="26"/>
        <v>675.4</v>
      </c>
    </row>
    <row r="556" spans="1:9" x14ac:dyDescent="0.25">
      <c r="A556" s="6" t="s">
        <v>6</v>
      </c>
      <c r="B556" s="7" t="s">
        <v>7</v>
      </c>
      <c r="C556" s="7" t="s">
        <v>38</v>
      </c>
      <c r="D556" s="8">
        <v>41897</v>
      </c>
      <c r="E556" s="8">
        <v>41897</v>
      </c>
      <c r="F556" s="9">
        <v>278.8</v>
      </c>
      <c r="G556">
        <f t="shared" si="24"/>
        <v>1</v>
      </c>
      <c r="H556">
        <f t="shared" si="25"/>
        <v>30</v>
      </c>
      <c r="I556">
        <f t="shared" si="26"/>
        <v>308.8</v>
      </c>
    </row>
    <row r="557" spans="1:9" x14ac:dyDescent="0.25">
      <c r="A557" s="10" t="s">
        <v>54</v>
      </c>
      <c r="B557" s="11" t="s">
        <v>118</v>
      </c>
      <c r="C557" s="11" t="s">
        <v>17</v>
      </c>
      <c r="D557" s="12">
        <v>41897</v>
      </c>
      <c r="E557" s="12">
        <v>41898</v>
      </c>
      <c r="F557" s="13">
        <v>706.5</v>
      </c>
      <c r="G557">
        <f t="shared" si="24"/>
        <v>2</v>
      </c>
      <c r="H557">
        <f t="shared" si="25"/>
        <v>54</v>
      </c>
      <c r="I557">
        <f t="shared" si="26"/>
        <v>760.5</v>
      </c>
    </row>
    <row r="558" spans="1:9" x14ac:dyDescent="0.25">
      <c r="A558" s="6" t="s">
        <v>22</v>
      </c>
      <c r="B558" s="7" t="s">
        <v>23</v>
      </c>
      <c r="C558" s="7" t="s">
        <v>24</v>
      </c>
      <c r="D558" s="8">
        <v>41898</v>
      </c>
      <c r="E558" s="8">
        <v>41901</v>
      </c>
      <c r="F558" s="9">
        <v>737.7</v>
      </c>
      <c r="G558">
        <f t="shared" si="24"/>
        <v>4</v>
      </c>
      <c r="H558">
        <f t="shared" si="25"/>
        <v>102</v>
      </c>
      <c r="I558">
        <f t="shared" si="26"/>
        <v>839.7</v>
      </c>
    </row>
    <row r="559" spans="1:9" x14ac:dyDescent="0.25">
      <c r="A559" s="10" t="s">
        <v>22</v>
      </c>
      <c r="B559" s="11" t="s">
        <v>23</v>
      </c>
      <c r="C559" s="11" t="s">
        <v>27</v>
      </c>
      <c r="D559" s="12">
        <v>41898</v>
      </c>
      <c r="E559" s="12">
        <v>41900</v>
      </c>
      <c r="F559" s="13">
        <v>698</v>
      </c>
      <c r="G559">
        <f t="shared" si="24"/>
        <v>3</v>
      </c>
      <c r="H559">
        <f t="shared" si="25"/>
        <v>78</v>
      </c>
      <c r="I559">
        <f t="shared" si="26"/>
        <v>776</v>
      </c>
    </row>
    <row r="560" spans="1:9" x14ac:dyDescent="0.25">
      <c r="A560" s="6" t="s">
        <v>31</v>
      </c>
      <c r="B560" s="7" t="s">
        <v>78</v>
      </c>
      <c r="C560" s="7" t="s">
        <v>17</v>
      </c>
      <c r="D560" s="8">
        <v>41898</v>
      </c>
      <c r="E560" s="8">
        <v>41899</v>
      </c>
      <c r="F560" s="9">
        <v>706.5</v>
      </c>
      <c r="G560">
        <f t="shared" si="24"/>
        <v>2</v>
      </c>
      <c r="H560">
        <f t="shared" si="25"/>
        <v>54</v>
      </c>
      <c r="I560">
        <f t="shared" si="26"/>
        <v>760.5</v>
      </c>
    </row>
    <row r="561" spans="1:9" x14ac:dyDescent="0.25">
      <c r="A561" s="10" t="s">
        <v>6</v>
      </c>
      <c r="B561" s="11" t="s">
        <v>139</v>
      </c>
      <c r="C561" s="11" t="s">
        <v>38</v>
      </c>
      <c r="D561" s="12">
        <v>41898</v>
      </c>
      <c r="E561" s="12">
        <v>41900</v>
      </c>
      <c r="F561" s="13">
        <v>536.79999999999995</v>
      </c>
      <c r="G561">
        <f t="shared" si="24"/>
        <v>3</v>
      </c>
      <c r="H561">
        <f t="shared" si="25"/>
        <v>78</v>
      </c>
      <c r="I561">
        <f t="shared" si="26"/>
        <v>614.79999999999995</v>
      </c>
    </row>
    <row r="562" spans="1:9" x14ac:dyDescent="0.25">
      <c r="A562" s="6" t="s">
        <v>122</v>
      </c>
      <c r="B562" s="7" t="s">
        <v>123</v>
      </c>
      <c r="C562" s="7" t="s">
        <v>11</v>
      </c>
      <c r="D562" s="8">
        <v>41898</v>
      </c>
      <c r="E562" s="8">
        <v>41902</v>
      </c>
      <c r="F562" s="9">
        <v>712.4</v>
      </c>
      <c r="G562">
        <f t="shared" si="24"/>
        <v>5</v>
      </c>
      <c r="H562">
        <f t="shared" si="25"/>
        <v>126</v>
      </c>
      <c r="I562">
        <f t="shared" si="26"/>
        <v>838.4</v>
      </c>
    </row>
    <row r="563" spans="1:9" x14ac:dyDescent="0.25">
      <c r="A563" s="10" t="s">
        <v>57</v>
      </c>
      <c r="B563" s="11" t="s">
        <v>163</v>
      </c>
      <c r="C563" s="11" t="s">
        <v>19</v>
      </c>
      <c r="D563" s="12">
        <v>41898</v>
      </c>
      <c r="E563" s="12">
        <v>41901</v>
      </c>
      <c r="F563" s="13">
        <v>936.4</v>
      </c>
      <c r="G563">
        <f t="shared" si="24"/>
        <v>4</v>
      </c>
      <c r="H563">
        <f t="shared" si="25"/>
        <v>102</v>
      </c>
      <c r="I563">
        <f t="shared" si="26"/>
        <v>1038.4000000000001</v>
      </c>
    </row>
    <row r="564" spans="1:9" x14ac:dyDescent="0.25">
      <c r="A564" s="6" t="s">
        <v>57</v>
      </c>
      <c r="B564" s="7" t="s">
        <v>163</v>
      </c>
      <c r="C564" s="7" t="s">
        <v>8</v>
      </c>
      <c r="D564" s="8">
        <v>41898</v>
      </c>
      <c r="E564" s="8">
        <v>41902</v>
      </c>
      <c r="F564" s="9">
        <v>1524</v>
      </c>
      <c r="G564">
        <f t="shared" si="24"/>
        <v>5</v>
      </c>
      <c r="H564">
        <f t="shared" si="25"/>
        <v>126</v>
      </c>
      <c r="I564">
        <f t="shared" si="26"/>
        <v>1650</v>
      </c>
    </row>
    <row r="565" spans="1:9" x14ac:dyDescent="0.25">
      <c r="A565" s="10" t="s">
        <v>22</v>
      </c>
      <c r="B565" s="11" t="s">
        <v>172</v>
      </c>
      <c r="C565" s="11" t="s">
        <v>19</v>
      </c>
      <c r="D565" s="12">
        <v>41898</v>
      </c>
      <c r="E565" s="12">
        <v>41900</v>
      </c>
      <c r="F565" s="13">
        <v>795.4</v>
      </c>
      <c r="G565">
        <f t="shared" si="24"/>
        <v>3</v>
      </c>
      <c r="H565">
        <f t="shared" si="25"/>
        <v>78</v>
      </c>
      <c r="I565">
        <f t="shared" si="26"/>
        <v>873.4</v>
      </c>
    </row>
    <row r="566" spans="1:9" x14ac:dyDescent="0.25">
      <c r="A566" s="6" t="s">
        <v>50</v>
      </c>
      <c r="B566" s="7" t="s">
        <v>51</v>
      </c>
      <c r="C566" s="7" t="s">
        <v>17</v>
      </c>
      <c r="D566" s="8">
        <v>41898</v>
      </c>
      <c r="E566" s="8">
        <v>41901</v>
      </c>
      <c r="F566" s="9">
        <v>1116.5</v>
      </c>
      <c r="G566">
        <f t="shared" si="24"/>
        <v>4</v>
      </c>
      <c r="H566">
        <f t="shared" si="25"/>
        <v>102</v>
      </c>
      <c r="I566">
        <f t="shared" si="26"/>
        <v>1218.5</v>
      </c>
    </row>
    <row r="567" spans="1:9" x14ac:dyDescent="0.25">
      <c r="A567" s="10" t="s">
        <v>115</v>
      </c>
      <c r="B567" s="11" t="s">
        <v>140</v>
      </c>
      <c r="C567" s="11" t="s">
        <v>72</v>
      </c>
      <c r="D567" s="12">
        <v>41898</v>
      </c>
      <c r="E567" s="12">
        <v>41899</v>
      </c>
      <c r="F567" s="13">
        <v>693.7</v>
      </c>
      <c r="G567">
        <f t="shared" si="24"/>
        <v>2</v>
      </c>
      <c r="H567">
        <f t="shared" si="25"/>
        <v>54</v>
      </c>
      <c r="I567">
        <f t="shared" si="26"/>
        <v>747.7</v>
      </c>
    </row>
    <row r="568" spans="1:9" x14ac:dyDescent="0.25">
      <c r="A568" s="6" t="s">
        <v>33</v>
      </c>
      <c r="B568" s="7" t="s">
        <v>34</v>
      </c>
      <c r="C568" s="7" t="s">
        <v>72</v>
      </c>
      <c r="D568" s="8">
        <v>41898</v>
      </c>
      <c r="E568" s="8">
        <v>41900</v>
      </c>
      <c r="F568" s="9">
        <v>892.7</v>
      </c>
      <c r="G568">
        <f t="shared" si="24"/>
        <v>3</v>
      </c>
      <c r="H568">
        <f t="shared" si="25"/>
        <v>78</v>
      </c>
      <c r="I568">
        <f t="shared" si="26"/>
        <v>970.7</v>
      </c>
    </row>
    <row r="569" spans="1:9" x14ac:dyDescent="0.25">
      <c r="A569" s="10" t="s">
        <v>33</v>
      </c>
      <c r="B569" s="11" t="s">
        <v>41</v>
      </c>
      <c r="C569" s="11" t="s">
        <v>17</v>
      </c>
      <c r="D569" s="12">
        <v>41898</v>
      </c>
      <c r="E569" s="12">
        <v>41898</v>
      </c>
      <c r="F569" s="13">
        <v>501.5</v>
      </c>
      <c r="G569">
        <f t="shared" si="24"/>
        <v>1</v>
      </c>
      <c r="H569">
        <f t="shared" si="25"/>
        <v>30</v>
      </c>
      <c r="I569">
        <f t="shared" si="26"/>
        <v>531.5</v>
      </c>
    </row>
    <row r="570" spans="1:9" x14ac:dyDescent="0.25">
      <c r="A570" s="6" t="s">
        <v>93</v>
      </c>
      <c r="B570" s="7" t="s">
        <v>106</v>
      </c>
      <c r="C570" s="7" t="s">
        <v>27</v>
      </c>
      <c r="D570" s="8">
        <v>41898</v>
      </c>
      <c r="E570" s="8">
        <v>41899</v>
      </c>
      <c r="F570" s="9">
        <v>570</v>
      </c>
      <c r="G570">
        <f t="shared" si="24"/>
        <v>2</v>
      </c>
      <c r="H570">
        <f t="shared" si="25"/>
        <v>54</v>
      </c>
      <c r="I570">
        <f t="shared" si="26"/>
        <v>624</v>
      </c>
    </row>
    <row r="571" spans="1:9" x14ac:dyDescent="0.25">
      <c r="A571" s="10" t="s">
        <v>25</v>
      </c>
      <c r="B571" s="11" t="s">
        <v>35</v>
      </c>
      <c r="C571" s="11" t="s">
        <v>38</v>
      </c>
      <c r="D571" s="12">
        <v>41898</v>
      </c>
      <c r="E571" s="12">
        <v>41901</v>
      </c>
      <c r="F571" s="13">
        <v>665.8</v>
      </c>
      <c r="G571">
        <f t="shared" si="24"/>
        <v>4</v>
      </c>
      <c r="H571">
        <f t="shared" si="25"/>
        <v>102</v>
      </c>
      <c r="I571">
        <f t="shared" si="26"/>
        <v>767.8</v>
      </c>
    </row>
    <row r="572" spans="1:9" x14ac:dyDescent="0.25">
      <c r="A572" s="6" t="s">
        <v>119</v>
      </c>
      <c r="B572" s="7" t="s">
        <v>120</v>
      </c>
      <c r="C572" s="7" t="s">
        <v>30</v>
      </c>
      <c r="D572" s="8">
        <v>41898</v>
      </c>
      <c r="E572" s="8">
        <v>41899</v>
      </c>
      <c r="F572" s="9">
        <v>331.5</v>
      </c>
      <c r="G572">
        <f t="shared" si="24"/>
        <v>2</v>
      </c>
      <c r="H572">
        <f t="shared" si="25"/>
        <v>54</v>
      </c>
      <c r="I572">
        <f t="shared" si="26"/>
        <v>385.5</v>
      </c>
    </row>
    <row r="573" spans="1:9" x14ac:dyDescent="0.25">
      <c r="A573" s="10" t="s">
        <v>6</v>
      </c>
      <c r="B573" s="11" t="s">
        <v>45</v>
      </c>
      <c r="C573" s="11" t="s">
        <v>30</v>
      </c>
      <c r="D573" s="12">
        <v>41898</v>
      </c>
      <c r="E573" s="12">
        <v>41901</v>
      </c>
      <c r="F573" s="13">
        <v>569.5</v>
      </c>
      <c r="G573">
        <f t="shared" si="24"/>
        <v>4</v>
      </c>
      <c r="H573">
        <f t="shared" si="25"/>
        <v>102</v>
      </c>
      <c r="I573">
        <f t="shared" si="26"/>
        <v>671.5</v>
      </c>
    </row>
    <row r="574" spans="1:9" x14ac:dyDescent="0.25">
      <c r="A574" s="6" t="s">
        <v>15</v>
      </c>
      <c r="B574" s="7" t="s">
        <v>16</v>
      </c>
      <c r="C574" s="7" t="s">
        <v>24</v>
      </c>
      <c r="D574" s="8">
        <v>41898</v>
      </c>
      <c r="E574" s="8">
        <v>41902</v>
      </c>
      <c r="F574" s="9">
        <v>886.7</v>
      </c>
      <c r="G574">
        <f t="shared" si="24"/>
        <v>5</v>
      </c>
      <c r="H574">
        <f t="shared" si="25"/>
        <v>126</v>
      </c>
      <c r="I574">
        <f t="shared" si="26"/>
        <v>1012.7</v>
      </c>
    </row>
    <row r="575" spans="1:9" x14ac:dyDescent="0.25">
      <c r="A575" s="10" t="s">
        <v>91</v>
      </c>
      <c r="B575" s="11" t="s">
        <v>92</v>
      </c>
      <c r="C575" s="11" t="s">
        <v>8</v>
      </c>
      <c r="D575" s="12">
        <v>41898</v>
      </c>
      <c r="E575" s="12">
        <v>41900</v>
      </c>
      <c r="F575" s="13">
        <v>1102</v>
      </c>
      <c r="G575">
        <f t="shared" si="24"/>
        <v>3</v>
      </c>
      <c r="H575">
        <f t="shared" si="25"/>
        <v>78</v>
      </c>
      <c r="I575">
        <f t="shared" si="26"/>
        <v>1180</v>
      </c>
    </row>
    <row r="576" spans="1:9" x14ac:dyDescent="0.25">
      <c r="A576" s="6" t="s">
        <v>137</v>
      </c>
      <c r="B576" s="7" t="s">
        <v>138</v>
      </c>
      <c r="C576" s="7" t="s">
        <v>72</v>
      </c>
      <c r="D576" s="8">
        <v>41898</v>
      </c>
      <c r="E576" s="8">
        <v>41900</v>
      </c>
      <c r="F576" s="9">
        <v>892.7</v>
      </c>
      <c r="G576">
        <f t="shared" si="24"/>
        <v>3</v>
      </c>
      <c r="H576">
        <f t="shared" si="25"/>
        <v>78</v>
      </c>
      <c r="I576">
        <f t="shared" si="26"/>
        <v>970.7</v>
      </c>
    </row>
    <row r="577" spans="1:9" x14ac:dyDescent="0.25">
      <c r="A577" s="10" t="s">
        <v>6</v>
      </c>
      <c r="B577" s="11" t="s">
        <v>139</v>
      </c>
      <c r="C577" s="11" t="s">
        <v>24</v>
      </c>
      <c r="D577" s="12">
        <v>41899</v>
      </c>
      <c r="E577" s="12">
        <v>41902</v>
      </c>
      <c r="F577" s="13">
        <v>737.7</v>
      </c>
      <c r="G577">
        <f t="shared" si="24"/>
        <v>4</v>
      </c>
      <c r="H577">
        <f t="shared" si="25"/>
        <v>102</v>
      </c>
      <c r="I577">
        <f t="shared" si="26"/>
        <v>839.7</v>
      </c>
    </row>
    <row r="578" spans="1:9" x14ac:dyDescent="0.25">
      <c r="A578" s="6" t="s">
        <v>86</v>
      </c>
      <c r="B578" s="7" t="s">
        <v>150</v>
      </c>
      <c r="C578" s="7" t="s">
        <v>30</v>
      </c>
      <c r="D578" s="8">
        <v>41899</v>
      </c>
      <c r="E578" s="8">
        <v>41900</v>
      </c>
      <c r="F578" s="9">
        <v>331.5</v>
      </c>
      <c r="G578">
        <f t="shared" si="24"/>
        <v>2</v>
      </c>
      <c r="H578">
        <f t="shared" si="25"/>
        <v>54</v>
      </c>
      <c r="I578">
        <f t="shared" si="26"/>
        <v>385.5</v>
      </c>
    </row>
    <row r="579" spans="1:9" x14ac:dyDescent="0.25">
      <c r="A579" s="10" t="s">
        <v>99</v>
      </c>
      <c r="B579" s="11" t="s">
        <v>130</v>
      </c>
      <c r="C579" s="11" t="s">
        <v>27</v>
      </c>
      <c r="D579" s="12">
        <v>41899</v>
      </c>
      <c r="E579" s="12">
        <v>41900</v>
      </c>
      <c r="F579" s="13">
        <v>570</v>
      </c>
      <c r="G579">
        <f t="shared" ref="G579:G642" si="27">E579-D579 + 1</f>
        <v>2</v>
      </c>
      <c r="H579">
        <f t="shared" ref="H579:H642" si="28">30+(G579-1)*24</f>
        <v>54</v>
      </c>
      <c r="I579">
        <f t="shared" ref="I579:I642" si="29">H579+F579</f>
        <v>624</v>
      </c>
    </row>
    <row r="580" spans="1:9" x14ac:dyDescent="0.25">
      <c r="A580" s="6" t="s">
        <v>50</v>
      </c>
      <c r="B580" s="7" t="s">
        <v>51</v>
      </c>
      <c r="C580" s="7" t="s">
        <v>72</v>
      </c>
      <c r="D580" s="8">
        <v>41899</v>
      </c>
      <c r="E580" s="8">
        <v>41902</v>
      </c>
      <c r="F580" s="9">
        <v>1091.7</v>
      </c>
      <c r="G580">
        <f t="shared" si="27"/>
        <v>4</v>
      </c>
      <c r="H580">
        <f t="shared" si="28"/>
        <v>102</v>
      </c>
      <c r="I580">
        <f t="shared" si="29"/>
        <v>1193.7</v>
      </c>
    </row>
    <row r="581" spans="1:9" x14ac:dyDescent="0.25">
      <c r="A581" s="10" t="s">
        <v>82</v>
      </c>
      <c r="B581" s="11" t="s">
        <v>125</v>
      </c>
      <c r="C581" s="11" t="s">
        <v>66</v>
      </c>
      <c r="D581" s="12">
        <v>41899</v>
      </c>
      <c r="E581" s="12">
        <v>41900</v>
      </c>
      <c r="F581" s="13">
        <v>485.7</v>
      </c>
      <c r="G581">
        <f t="shared" si="27"/>
        <v>2</v>
      </c>
      <c r="H581">
        <f t="shared" si="28"/>
        <v>54</v>
      </c>
      <c r="I581">
        <f t="shared" si="29"/>
        <v>539.70000000000005</v>
      </c>
    </row>
    <row r="582" spans="1:9" x14ac:dyDescent="0.25">
      <c r="A582" s="6" t="s">
        <v>99</v>
      </c>
      <c r="B582" s="7" t="s">
        <v>100</v>
      </c>
      <c r="C582" s="7" t="s">
        <v>11</v>
      </c>
      <c r="D582" s="8">
        <v>41899</v>
      </c>
      <c r="E582" s="8">
        <v>41903</v>
      </c>
      <c r="F582" s="9">
        <v>712.4</v>
      </c>
      <c r="G582">
        <f t="shared" si="27"/>
        <v>5</v>
      </c>
      <c r="H582">
        <f t="shared" si="28"/>
        <v>126</v>
      </c>
      <c r="I582">
        <f t="shared" si="29"/>
        <v>838.4</v>
      </c>
    </row>
    <row r="583" spans="1:9" x14ac:dyDescent="0.25">
      <c r="A583" s="10" t="s">
        <v>101</v>
      </c>
      <c r="B583" s="11" t="s">
        <v>102</v>
      </c>
      <c r="C583" s="11" t="s">
        <v>27</v>
      </c>
      <c r="D583" s="12">
        <v>41899</v>
      </c>
      <c r="E583" s="12">
        <v>41902</v>
      </c>
      <c r="F583" s="13">
        <v>826</v>
      </c>
      <c r="G583">
        <f t="shared" si="27"/>
        <v>4</v>
      </c>
      <c r="H583">
        <f t="shared" si="28"/>
        <v>102</v>
      </c>
      <c r="I583">
        <f t="shared" si="29"/>
        <v>928</v>
      </c>
    </row>
    <row r="584" spans="1:9" x14ac:dyDescent="0.25">
      <c r="A584" s="6" t="s">
        <v>73</v>
      </c>
      <c r="B584" s="7" t="s">
        <v>155</v>
      </c>
      <c r="C584" s="7" t="s">
        <v>17</v>
      </c>
      <c r="D584" s="8">
        <v>41899</v>
      </c>
      <c r="E584" s="8">
        <v>41900</v>
      </c>
      <c r="F584" s="9">
        <v>706.5</v>
      </c>
      <c r="G584">
        <f t="shared" si="27"/>
        <v>2</v>
      </c>
      <c r="H584">
        <f t="shared" si="28"/>
        <v>54</v>
      </c>
      <c r="I584">
        <f t="shared" si="29"/>
        <v>760.5</v>
      </c>
    </row>
    <row r="585" spans="1:9" x14ac:dyDescent="0.25">
      <c r="A585" s="10" t="s">
        <v>151</v>
      </c>
      <c r="B585" s="11" t="s">
        <v>152</v>
      </c>
      <c r="C585" s="11" t="s">
        <v>14</v>
      </c>
      <c r="D585" s="12">
        <v>41899</v>
      </c>
      <c r="E585" s="12">
        <v>41902</v>
      </c>
      <c r="F585" s="13">
        <v>550.5</v>
      </c>
      <c r="G585">
        <f t="shared" si="27"/>
        <v>4</v>
      </c>
      <c r="H585">
        <f t="shared" si="28"/>
        <v>102</v>
      </c>
      <c r="I585">
        <f t="shared" si="29"/>
        <v>652.5</v>
      </c>
    </row>
    <row r="586" spans="1:9" x14ac:dyDescent="0.25">
      <c r="A586" s="6" t="s">
        <v>119</v>
      </c>
      <c r="B586" s="7" t="s">
        <v>120</v>
      </c>
      <c r="C586" s="7" t="s">
        <v>47</v>
      </c>
      <c r="D586" s="8">
        <v>41899</v>
      </c>
      <c r="E586" s="8">
        <v>41900</v>
      </c>
      <c r="F586" s="9">
        <v>526.79999999999995</v>
      </c>
      <c r="G586">
        <f t="shared" si="27"/>
        <v>2</v>
      </c>
      <c r="H586">
        <f t="shared" si="28"/>
        <v>54</v>
      </c>
      <c r="I586">
        <f t="shared" si="29"/>
        <v>580.79999999999995</v>
      </c>
    </row>
    <row r="587" spans="1:9" x14ac:dyDescent="0.25">
      <c r="A587" s="10" t="s">
        <v>111</v>
      </c>
      <c r="B587" s="11" t="s">
        <v>112</v>
      </c>
      <c r="C587" s="11" t="s">
        <v>30</v>
      </c>
      <c r="D587" s="12">
        <v>41899</v>
      </c>
      <c r="E587" s="12">
        <v>41902</v>
      </c>
      <c r="F587" s="13">
        <v>569.5</v>
      </c>
      <c r="G587">
        <f t="shared" si="27"/>
        <v>4</v>
      </c>
      <c r="H587">
        <f t="shared" si="28"/>
        <v>102</v>
      </c>
      <c r="I587">
        <f t="shared" si="29"/>
        <v>671.5</v>
      </c>
    </row>
    <row r="588" spans="1:9" x14ac:dyDescent="0.25">
      <c r="A588" s="6" t="s">
        <v>75</v>
      </c>
      <c r="B588" s="7" t="s">
        <v>76</v>
      </c>
      <c r="C588" s="7" t="s">
        <v>47</v>
      </c>
      <c r="D588" s="8">
        <v>41899</v>
      </c>
      <c r="E588" s="8">
        <v>41903</v>
      </c>
      <c r="F588" s="9">
        <v>1015.8</v>
      </c>
      <c r="G588">
        <f t="shared" si="27"/>
        <v>5</v>
      </c>
      <c r="H588">
        <f t="shared" si="28"/>
        <v>126</v>
      </c>
      <c r="I588">
        <f t="shared" si="29"/>
        <v>1141.8</v>
      </c>
    </row>
    <row r="589" spans="1:9" x14ac:dyDescent="0.25">
      <c r="A589" s="10" t="s">
        <v>113</v>
      </c>
      <c r="B589" s="11" t="s">
        <v>114</v>
      </c>
      <c r="C589" s="11" t="s">
        <v>8</v>
      </c>
      <c r="D589" s="12">
        <v>41899</v>
      </c>
      <c r="E589" s="12">
        <v>41901</v>
      </c>
      <c r="F589" s="13">
        <v>1102</v>
      </c>
      <c r="G589">
        <f t="shared" si="27"/>
        <v>3</v>
      </c>
      <c r="H589">
        <f t="shared" si="28"/>
        <v>78</v>
      </c>
      <c r="I589">
        <f t="shared" si="29"/>
        <v>1180</v>
      </c>
    </row>
    <row r="590" spans="1:9" x14ac:dyDescent="0.25">
      <c r="A590" s="6" t="s">
        <v>70</v>
      </c>
      <c r="B590" s="7" t="s">
        <v>117</v>
      </c>
      <c r="C590" s="7" t="s">
        <v>27</v>
      </c>
      <c r="D590" s="8">
        <v>41899</v>
      </c>
      <c r="E590" s="8">
        <v>41902</v>
      </c>
      <c r="F590" s="9">
        <v>826</v>
      </c>
      <c r="G590">
        <f t="shared" si="27"/>
        <v>4</v>
      </c>
      <c r="H590">
        <f t="shared" si="28"/>
        <v>102</v>
      </c>
      <c r="I590">
        <f t="shared" si="29"/>
        <v>928</v>
      </c>
    </row>
    <row r="591" spans="1:9" x14ac:dyDescent="0.25">
      <c r="A591" s="10" t="s">
        <v>20</v>
      </c>
      <c r="B591" s="11" t="s">
        <v>21</v>
      </c>
      <c r="C591" s="11" t="s">
        <v>11</v>
      </c>
      <c r="D591" s="12">
        <v>41899</v>
      </c>
      <c r="E591" s="12">
        <v>41901</v>
      </c>
      <c r="F591" s="13">
        <v>434.4</v>
      </c>
      <c r="G591">
        <f t="shared" si="27"/>
        <v>3</v>
      </c>
      <c r="H591">
        <f t="shared" si="28"/>
        <v>78</v>
      </c>
      <c r="I591">
        <f t="shared" si="29"/>
        <v>512.4</v>
      </c>
    </row>
    <row r="592" spans="1:9" x14ac:dyDescent="0.25">
      <c r="A592" s="6" t="s">
        <v>33</v>
      </c>
      <c r="B592" s="7" t="s">
        <v>41</v>
      </c>
      <c r="C592" s="7" t="s">
        <v>11</v>
      </c>
      <c r="D592" s="8">
        <v>41900</v>
      </c>
      <c r="E592" s="8">
        <v>41902</v>
      </c>
      <c r="F592" s="9">
        <v>434.4</v>
      </c>
      <c r="G592">
        <f t="shared" si="27"/>
        <v>3</v>
      </c>
      <c r="H592">
        <f t="shared" si="28"/>
        <v>78</v>
      </c>
      <c r="I592">
        <f t="shared" si="29"/>
        <v>512.4</v>
      </c>
    </row>
    <row r="593" spans="1:9" x14ac:dyDescent="0.25">
      <c r="A593" s="10" t="s">
        <v>12</v>
      </c>
      <c r="B593" s="11" t="s">
        <v>13</v>
      </c>
      <c r="C593" s="11" t="s">
        <v>8</v>
      </c>
      <c r="D593" s="12">
        <v>41901</v>
      </c>
      <c r="E593" s="12">
        <v>41901</v>
      </c>
      <c r="F593" s="13">
        <v>680</v>
      </c>
      <c r="G593">
        <f t="shared" si="27"/>
        <v>1</v>
      </c>
      <c r="H593">
        <f t="shared" si="28"/>
        <v>30</v>
      </c>
      <c r="I593">
        <f t="shared" si="29"/>
        <v>710</v>
      </c>
    </row>
    <row r="594" spans="1:9" x14ac:dyDescent="0.25">
      <c r="A594" s="6" t="s">
        <v>82</v>
      </c>
      <c r="B594" s="7" t="s">
        <v>125</v>
      </c>
      <c r="C594" s="7" t="s">
        <v>17</v>
      </c>
      <c r="D594" s="8">
        <v>41902</v>
      </c>
      <c r="E594" s="8">
        <v>41902</v>
      </c>
      <c r="F594" s="9">
        <v>501.5</v>
      </c>
      <c r="G594">
        <f t="shared" si="27"/>
        <v>1</v>
      </c>
      <c r="H594">
        <f t="shared" si="28"/>
        <v>30</v>
      </c>
      <c r="I594">
        <f t="shared" si="29"/>
        <v>531.5</v>
      </c>
    </row>
    <row r="595" spans="1:9" x14ac:dyDescent="0.25">
      <c r="A595" s="10" t="s">
        <v>15</v>
      </c>
      <c r="B595" s="11" t="s">
        <v>44</v>
      </c>
      <c r="C595" s="11" t="s">
        <v>38</v>
      </c>
      <c r="D595" s="12">
        <v>41904</v>
      </c>
      <c r="E595" s="12">
        <v>41904</v>
      </c>
      <c r="F595" s="13">
        <v>278.8</v>
      </c>
      <c r="G595">
        <f t="shared" si="27"/>
        <v>1</v>
      </c>
      <c r="H595">
        <f t="shared" si="28"/>
        <v>30</v>
      </c>
      <c r="I595">
        <f t="shared" si="29"/>
        <v>308.8</v>
      </c>
    </row>
    <row r="596" spans="1:9" x14ac:dyDescent="0.25">
      <c r="A596" s="6" t="s">
        <v>22</v>
      </c>
      <c r="B596" s="7" t="s">
        <v>23</v>
      </c>
      <c r="C596" s="7" t="s">
        <v>59</v>
      </c>
      <c r="D596" s="8">
        <v>41905</v>
      </c>
      <c r="E596" s="8">
        <v>41909</v>
      </c>
      <c r="F596" s="9">
        <v>1078</v>
      </c>
      <c r="G596">
        <f t="shared" si="27"/>
        <v>5</v>
      </c>
      <c r="H596">
        <f t="shared" si="28"/>
        <v>126</v>
      </c>
      <c r="I596">
        <f t="shared" si="29"/>
        <v>1204</v>
      </c>
    </row>
    <row r="597" spans="1:9" x14ac:dyDescent="0.25">
      <c r="A597" s="10" t="s">
        <v>93</v>
      </c>
      <c r="B597" s="11" t="s">
        <v>124</v>
      </c>
      <c r="C597" s="11" t="s">
        <v>24</v>
      </c>
      <c r="D597" s="12">
        <v>41905</v>
      </c>
      <c r="E597" s="12">
        <v>41909</v>
      </c>
      <c r="F597" s="13">
        <v>886.7</v>
      </c>
      <c r="G597">
        <f t="shared" si="27"/>
        <v>5</v>
      </c>
      <c r="H597">
        <f t="shared" si="28"/>
        <v>126</v>
      </c>
      <c r="I597">
        <f t="shared" si="29"/>
        <v>1012.7</v>
      </c>
    </row>
    <row r="598" spans="1:9" x14ac:dyDescent="0.25">
      <c r="A598" s="6" t="s">
        <v>52</v>
      </c>
      <c r="B598" s="7" t="s">
        <v>53</v>
      </c>
      <c r="C598" s="7" t="s">
        <v>19</v>
      </c>
      <c r="D598" s="8">
        <v>41905</v>
      </c>
      <c r="E598" s="8">
        <v>41905</v>
      </c>
      <c r="F598" s="9">
        <v>513.4</v>
      </c>
      <c r="G598">
        <f t="shared" si="27"/>
        <v>1</v>
      </c>
      <c r="H598">
        <f t="shared" si="28"/>
        <v>30</v>
      </c>
      <c r="I598">
        <f t="shared" si="29"/>
        <v>543.4</v>
      </c>
    </row>
    <row r="599" spans="1:9" x14ac:dyDescent="0.25">
      <c r="A599" s="10" t="s">
        <v>107</v>
      </c>
      <c r="B599" s="11" t="s">
        <v>108</v>
      </c>
      <c r="C599" s="11" t="s">
        <v>17</v>
      </c>
      <c r="D599" s="12">
        <v>41905</v>
      </c>
      <c r="E599" s="12">
        <v>41907</v>
      </c>
      <c r="F599" s="13">
        <v>911.5</v>
      </c>
      <c r="G599">
        <f t="shared" si="27"/>
        <v>3</v>
      </c>
      <c r="H599">
        <f t="shared" si="28"/>
        <v>78</v>
      </c>
      <c r="I599">
        <f t="shared" si="29"/>
        <v>989.5</v>
      </c>
    </row>
    <row r="600" spans="1:9" x14ac:dyDescent="0.25">
      <c r="A600" s="6" t="s">
        <v>9</v>
      </c>
      <c r="B600" s="7" t="s">
        <v>18</v>
      </c>
      <c r="C600" s="7" t="s">
        <v>19</v>
      </c>
      <c r="D600" s="8">
        <v>41905</v>
      </c>
      <c r="E600" s="8">
        <v>41908</v>
      </c>
      <c r="F600" s="9">
        <v>936.4</v>
      </c>
      <c r="G600">
        <f t="shared" si="27"/>
        <v>4</v>
      </c>
      <c r="H600">
        <f t="shared" si="28"/>
        <v>102</v>
      </c>
      <c r="I600">
        <f t="shared" si="29"/>
        <v>1038.4000000000001</v>
      </c>
    </row>
    <row r="601" spans="1:9" x14ac:dyDescent="0.25">
      <c r="A601" s="10" t="s">
        <v>20</v>
      </c>
      <c r="B601" s="11" t="s">
        <v>21</v>
      </c>
      <c r="C601" s="11" t="s">
        <v>17</v>
      </c>
      <c r="D601" s="12">
        <v>41905</v>
      </c>
      <c r="E601" s="12">
        <v>41905</v>
      </c>
      <c r="F601" s="13">
        <v>501.5</v>
      </c>
      <c r="G601">
        <f t="shared" si="27"/>
        <v>1</v>
      </c>
      <c r="H601">
        <f t="shared" si="28"/>
        <v>30</v>
      </c>
      <c r="I601">
        <f t="shared" si="29"/>
        <v>531.5</v>
      </c>
    </row>
    <row r="602" spans="1:9" x14ac:dyDescent="0.25">
      <c r="A602" s="6" t="s">
        <v>15</v>
      </c>
      <c r="B602" s="7" t="s">
        <v>16</v>
      </c>
      <c r="C602" s="7" t="s">
        <v>8</v>
      </c>
      <c r="D602" s="8">
        <v>41906</v>
      </c>
      <c r="E602" s="8">
        <v>41908</v>
      </c>
      <c r="F602" s="9">
        <v>1102</v>
      </c>
      <c r="G602">
        <f t="shared" si="27"/>
        <v>3</v>
      </c>
      <c r="H602">
        <f t="shared" si="28"/>
        <v>78</v>
      </c>
      <c r="I602">
        <f t="shared" si="29"/>
        <v>1180</v>
      </c>
    </row>
    <row r="603" spans="1:9" x14ac:dyDescent="0.25">
      <c r="A603" s="10" t="s">
        <v>52</v>
      </c>
      <c r="B603" s="11" t="s">
        <v>53</v>
      </c>
      <c r="C603" s="11" t="s">
        <v>24</v>
      </c>
      <c r="D603" s="12">
        <v>41908</v>
      </c>
      <c r="E603" s="12">
        <v>41908</v>
      </c>
      <c r="F603" s="13">
        <v>290.7</v>
      </c>
      <c r="G603">
        <f t="shared" si="27"/>
        <v>1</v>
      </c>
      <c r="H603">
        <f t="shared" si="28"/>
        <v>30</v>
      </c>
      <c r="I603">
        <f t="shared" si="29"/>
        <v>320.7</v>
      </c>
    </row>
    <row r="604" spans="1:9" x14ac:dyDescent="0.25">
      <c r="A604" s="6" t="s">
        <v>48</v>
      </c>
      <c r="B604" s="7" t="s">
        <v>49</v>
      </c>
      <c r="C604" s="7" t="s">
        <v>14</v>
      </c>
      <c r="D604" s="8">
        <v>41910</v>
      </c>
      <c r="E604" s="8">
        <v>41910</v>
      </c>
      <c r="F604" s="9">
        <v>178.5</v>
      </c>
      <c r="G604">
        <f t="shared" si="27"/>
        <v>1</v>
      </c>
      <c r="H604">
        <f t="shared" si="28"/>
        <v>30</v>
      </c>
      <c r="I604">
        <f t="shared" si="29"/>
        <v>208.5</v>
      </c>
    </row>
    <row r="605" spans="1:9" x14ac:dyDescent="0.25">
      <c r="A605" s="10" t="s">
        <v>6</v>
      </c>
      <c r="B605" s="11" t="s">
        <v>139</v>
      </c>
      <c r="C605" s="11" t="s">
        <v>8</v>
      </c>
      <c r="D605" s="12">
        <v>41910</v>
      </c>
      <c r="E605" s="12">
        <v>41912</v>
      </c>
      <c r="F605" s="13">
        <v>1102</v>
      </c>
      <c r="G605">
        <f t="shared" si="27"/>
        <v>3</v>
      </c>
      <c r="H605">
        <f t="shared" si="28"/>
        <v>78</v>
      </c>
      <c r="I605">
        <f t="shared" si="29"/>
        <v>1180</v>
      </c>
    </row>
    <row r="606" spans="1:9" x14ac:dyDescent="0.25">
      <c r="A606" s="6" t="s">
        <v>57</v>
      </c>
      <c r="B606" s="7" t="s">
        <v>163</v>
      </c>
      <c r="C606" s="7" t="s">
        <v>24</v>
      </c>
      <c r="D606" s="8">
        <v>41910</v>
      </c>
      <c r="E606" s="8">
        <v>41914</v>
      </c>
      <c r="F606" s="9">
        <v>886.7</v>
      </c>
      <c r="G606">
        <f t="shared" si="27"/>
        <v>5</v>
      </c>
      <c r="H606">
        <f t="shared" si="28"/>
        <v>126</v>
      </c>
      <c r="I606">
        <f t="shared" si="29"/>
        <v>1012.7</v>
      </c>
    </row>
    <row r="607" spans="1:9" x14ac:dyDescent="0.25">
      <c r="A607" s="10" t="s">
        <v>131</v>
      </c>
      <c r="B607" s="11" t="s">
        <v>142</v>
      </c>
      <c r="C607" s="11" t="s">
        <v>17</v>
      </c>
      <c r="D607" s="12">
        <v>41910</v>
      </c>
      <c r="E607" s="12">
        <v>41914</v>
      </c>
      <c r="F607" s="13">
        <v>1321.5</v>
      </c>
      <c r="G607">
        <f t="shared" si="27"/>
        <v>5</v>
      </c>
      <c r="H607">
        <f t="shared" si="28"/>
        <v>126</v>
      </c>
      <c r="I607">
        <f t="shared" si="29"/>
        <v>1447.5</v>
      </c>
    </row>
    <row r="608" spans="1:9" x14ac:dyDescent="0.25">
      <c r="A608" s="6" t="s">
        <v>82</v>
      </c>
      <c r="B608" s="7" t="s">
        <v>83</v>
      </c>
      <c r="C608" s="7" t="s">
        <v>8</v>
      </c>
      <c r="D608" s="8">
        <v>41910</v>
      </c>
      <c r="E608" s="8">
        <v>41911</v>
      </c>
      <c r="F608" s="9">
        <v>891</v>
      </c>
      <c r="G608">
        <f t="shared" si="27"/>
        <v>2</v>
      </c>
      <c r="H608">
        <f t="shared" si="28"/>
        <v>54</v>
      </c>
      <c r="I608">
        <f t="shared" si="29"/>
        <v>945</v>
      </c>
    </row>
    <row r="609" spans="1:9" x14ac:dyDescent="0.25">
      <c r="A609" s="10" t="s">
        <v>84</v>
      </c>
      <c r="B609" s="11" t="s">
        <v>85</v>
      </c>
      <c r="C609" s="11" t="s">
        <v>30</v>
      </c>
      <c r="D609" s="12">
        <v>41910</v>
      </c>
      <c r="E609" s="12">
        <v>41911</v>
      </c>
      <c r="F609" s="13">
        <v>331.5</v>
      </c>
      <c r="G609">
        <f t="shared" si="27"/>
        <v>2</v>
      </c>
      <c r="H609">
        <f t="shared" si="28"/>
        <v>54</v>
      </c>
      <c r="I609">
        <f t="shared" si="29"/>
        <v>385.5</v>
      </c>
    </row>
    <row r="610" spans="1:9" x14ac:dyDescent="0.25">
      <c r="A610" s="6" t="s">
        <v>82</v>
      </c>
      <c r="B610" s="7" t="s">
        <v>125</v>
      </c>
      <c r="C610" s="7" t="s">
        <v>30</v>
      </c>
      <c r="D610" s="8">
        <v>41910</v>
      </c>
      <c r="E610" s="8">
        <v>41912</v>
      </c>
      <c r="F610" s="9">
        <v>450.5</v>
      </c>
      <c r="G610">
        <f t="shared" si="27"/>
        <v>3</v>
      </c>
      <c r="H610">
        <f t="shared" si="28"/>
        <v>78</v>
      </c>
      <c r="I610">
        <f t="shared" si="29"/>
        <v>528.5</v>
      </c>
    </row>
    <row r="611" spans="1:9" x14ac:dyDescent="0.25">
      <c r="A611" s="10" t="s">
        <v>134</v>
      </c>
      <c r="B611" s="11" t="s">
        <v>135</v>
      </c>
      <c r="C611" s="11" t="s">
        <v>38</v>
      </c>
      <c r="D611" s="12">
        <v>41910</v>
      </c>
      <c r="E611" s="12">
        <v>41911</v>
      </c>
      <c r="F611" s="13">
        <v>407.8</v>
      </c>
      <c r="G611">
        <f t="shared" si="27"/>
        <v>2</v>
      </c>
      <c r="H611">
        <f t="shared" si="28"/>
        <v>54</v>
      </c>
      <c r="I611">
        <f t="shared" si="29"/>
        <v>461.8</v>
      </c>
    </row>
    <row r="612" spans="1:9" x14ac:dyDescent="0.25">
      <c r="A612" s="6" t="s">
        <v>9</v>
      </c>
      <c r="B612" s="7" t="s">
        <v>18</v>
      </c>
      <c r="C612" s="7" t="s">
        <v>66</v>
      </c>
      <c r="D612" s="8">
        <v>41910</v>
      </c>
      <c r="E612" s="8">
        <v>41913</v>
      </c>
      <c r="F612" s="9">
        <v>841.7</v>
      </c>
      <c r="G612">
        <f t="shared" si="27"/>
        <v>4</v>
      </c>
      <c r="H612">
        <f t="shared" si="28"/>
        <v>102</v>
      </c>
      <c r="I612">
        <f t="shared" si="29"/>
        <v>943.7</v>
      </c>
    </row>
    <row r="613" spans="1:9" x14ac:dyDescent="0.25">
      <c r="A613" s="10" t="s">
        <v>54</v>
      </c>
      <c r="B613" s="11" t="s">
        <v>118</v>
      </c>
      <c r="C613" s="11" t="s">
        <v>30</v>
      </c>
      <c r="D613" s="12">
        <v>41910</v>
      </c>
      <c r="E613" s="12">
        <v>41912</v>
      </c>
      <c r="F613" s="13">
        <v>450.5</v>
      </c>
      <c r="G613">
        <f t="shared" si="27"/>
        <v>3</v>
      </c>
      <c r="H613">
        <f t="shared" si="28"/>
        <v>78</v>
      </c>
      <c r="I613">
        <f t="shared" si="29"/>
        <v>528.5</v>
      </c>
    </row>
    <row r="614" spans="1:9" x14ac:dyDescent="0.25">
      <c r="A614" s="6" t="s">
        <v>22</v>
      </c>
      <c r="B614" s="7" t="s">
        <v>23</v>
      </c>
      <c r="C614" s="7" t="s">
        <v>24</v>
      </c>
      <c r="D614" s="8">
        <v>41911</v>
      </c>
      <c r="E614" s="8">
        <v>41915</v>
      </c>
      <c r="F614" s="9">
        <v>886.7</v>
      </c>
      <c r="G614">
        <f t="shared" si="27"/>
        <v>5</v>
      </c>
      <c r="H614">
        <f t="shared" si="28"/>
        <v>126</v>
      </c>
      <c r="I614">
        <f t="shared" si="29"/>
        <v>1012.7</v>
      </c>
    </row>
    <row r="615" spans="1:9" x14ac:dyDescent="0.25">
      <c r="A615" s="10" t="s">
        <v>15</v>
      </c>
      <c r="B615" s="11" t="s">
        <v>44</v>
      </c>
      <c r="C615" s="11" t="s">
        <v>27</v>
      </c>
      <c r="D615" s="12">
        <v>41911</v>
      </c>
      <c r="E615" s="12">
        <v>41913</v>
      </c>
      <c r="F615" s="13">
        <v>698</v>
      </c>
      <c r="G615">
        <f t="shared" si="27"/>
        <v>3</v>
      </c>
      <c r="H615">
        <f t="shared" si="28"/>
        <v>78</v>
      </c>
      <c r="I615">
        <f t="shared" si="29"/>
        <v>776</v>
      </c>
    </row>
    <row r="616" spans="1:9" x14ac:dyDescent="0.25">
      <c r="A616" s="6" t="s">
        <v>6</v>
      </c>
      <c r="B616" s="7" t="s">
        <v>7</v>
      </c>
      <c r="C616" s="7" t="s">
        <v>19</v>
      </c>
      <c r="D616" s="8">
        <v>41911</v>
      </c>
      <c r="E616" s="8">
        <v>41913</v>
      </c>
      <c r="F616" s="9">
        <v>795.4</v>
      </c>
      <c r="G616">
        <f t="shared" si="27"/>
        <v>3</v>
      </c>
      <c r="H616">
        <f t="shared" si="28"/>
        <v>78</v>
      </c>
      <c r="I616">
        <f t="shared" si="29"/>
        <v>873.4</v>
      </c>
    </row>
    <row r="617" spans="1:9" x14ac:dyDescent="0.25">
      <c r="A617" s="10" t="s">
        <v>22</v>
      </c>
      <c r="B617" s="11" t="s">
        <v>172</v>
      </c>
      <c r="C617" s="11" t="s">
        <v>11</v>
      </c>
      <c r="D617" s="12">
        <v>41911</v>
      </c>
      <c r="E617" s="12">
        <v>41915</v>
      </c>
      <c r="F617" s="13">
        <v>712.4</v>
      </c>
      <c r="G617">
        <f t="shared" si="27"/>
        <v>5</v>
      </c>
      <c r="H617">
        <f t="shared" si="28"/>
        <v>126</v>
      </c>
      <c r="I617">
        <f t="shared" si="29"/>
        <v>838.4</v>
      </c>
    </row>
    <row r="618" spans="1:9" x14ac:dyDescent="0.25">
      <c r="A618" s="6" t="s">
        <v>25</v>
      </c>
      <c r="B618" s="7" t="s">
        <v>67</v>
      </c>
      <c r="C618" s="7" t="s">
        <v>66</v>
      </c>
      <c r="D618" s="8">
        <v>41911</v>
      </c>
      <c r="E618" s="8">
        <v>41912</v>
      </c>
      <c r="F618" s="9">
        <v>485.7</v>
      </c>
      <c r="G618">
        <f t="shared" si="27"/>
        <v>2</v>
      </c>
      <c r="H618">
        <f t="shared" si="28"/>
        <v>54</v>
      </c>
      <c r="I618">
        <f t="shared" si="29"/>
        <v>539.70000000000005</v>
      </c>
    </row>
    <row r="619" spans="1:9" x14ac:dyDescent="0.25">
      <c r="A619" s="10" t="s">
        <v>61</v>
      </c>
      <c r="B619" s="11" t="s">
        <v>62</v>
      </c>
      <c r="C619" s="11" t="s">
        <v>47</v>
      </c>
      <c r="D619" s="12">
        <v>41911</v>
      </c>
      <c r="E619" s="12">
        <v>41913</v>
      </c>
      <c r="F619" s="13">
        <v>689.8</v>
      </c>
      <c r="G619">
        <f t="shared" si="27"/>
        <v>3</v>
      </c>
      <c r="H619">
        <f t="shared" si="28"/>
        <v>78</v>
      </c>
      <c r="I619">
        <f t="shared" si="29"/>
        <v>767.8</v>
      </c>
    </row>
    <row r="620" spans="1:9" x14ac:dyDescent="0.25">
      <c r="A620" s="6" t="s">
        <v>170</v>
      </c>
      <c r="B620" s="7" t="s">
        <v>171</v>
      </c>
      <c r="C620" s="7" t="s">
        <v>38</v>
      </c>
      <c r="D620" s="8">
        <v>41911</v>
      </c>
      <c r="E620" s="8">
        <v>41913</v>
      </c>
      <c r="F620" s="9">
        <v>536.79999999999995</v>
      </c>
      <c r="G620">
        <f t="shared" si="27"/>
        <v>3</v>
      </c>
      <c r="H620">
        <f t="shared" si="28"/>
        <v>78</v>
      </c>
      <c r="I620">
        <f t="shared" si="29"/>
        <v>614.79999999999995</v>
      </c>
    </row>
    <row r="621" spans="1:9" x14ac:dyDescent="0.25">
      <c r="A621" s="10" t="s">
        <v>126</v>
      </c>
      <c r="B621" s="11" t="s">
        <v>127</v>
      </c>
      <c r="C621" s="11" t="s">
        <v>47</v>
      </c>
      <c r="D621" s="12">
        <v>41911</v>
      </c>
      <c r="E621" s="12">
        <v>41913</v>
      </c>
      <c r="F621" s="13">
        <v>689.8</v>
      </c>
      <c r="G621">
        <f t="shared" si="27"/>
        <v>3</v>
      </c>
      <c r="H621">
        <f t="shared" si="28"/>
        <v>78</v>
      </c>
      <c r="I621">
        <f t="shared" si="29"/>
        <v>767.8</v>
      </c>
    </row>
    <row r="622" spans="1:9" x14ac:dyDescent="0.25">
      <c r="A622" s="6" t="s">
        <v>9</v>
      </c>
      <c r="B622" s="7" t="s">
        <v>103</v>
      </c>
      <c r="C622" s="7" t="s">
        <v>38</v>
      </c>
      <c r="D622" s="8">
        <v>41911</v>
      </c>
      <c r="E622" s="8">
        <v>41911</v>
      </c>
      <c r="F622" s="9">
        <v>278.8</v>
      </c>
      <c r="G622">
        <f t="shared" si="27"/>
        <v>1</v>
      </c>
      <c r="H622">
        <f t="shared" si="28"/>
        <v>30</v>
      </c>
      <c r="I622">
        <f t="shared" si="29"/>
        <v>308.8</v>
      </c>
    </row>
    <row r="623" spans="1:9" x14ac:dyDescent="0.25">
      <c r="A623" s="10" t="s">
        <v>86</v>
      </c>
      <c r="B623" s="11" t="s">
        <v>87</v>
      </c>
      <c r="C623" s="11" t="s">
        <v>24</v>
      </c>
      <c r="D623" s="12">
        <v>41911</v>
      </c>
      <c r="E623" s="12">
        <v>41912</v>
      </c>
      <c r="F623" s="13">
        <v>439.7</v>
      </c>
      <c r="G623">
        <f t="shared" si="27"/>
        <v>2</v>
      </c>
      <c r="H623">
        <f t="shared" si="28"/>
        <v>54</v>
      </c>
      <c r="I623">
        <f t="shared" si="29"/>
        <v>493.7</v>
      </c>
    </row>
    <row r="624" spans="1:9" x14ac:dyDescent="0.25">
      <c r="A624" s="6" t="s">
        <v>12</v>
      </c>
      <c r="B624" s="7" t="s">
        <v>13</v>
      </c>
      <c r="C624" s="7" t="s">
        <v>17</v>
      </c>
      <c r="D624" s="8">
        <v>41911</v>
      </c>
      <c r="E624" s="8">
        <v>41912</v>
      </c>
      <c r="F624" s="9">
        <v>706.5</v>
      </c>
      <c r="G624">
        <f t="shared" si="27"/>
        <v>2</v>
      </c>
      <c r="H624">
        <f t="shared" si="28"/>
        <v>54</v>
      </c>
      <c r="I624">
        <f t="shared" si="29"/>
        <v>760.5</v>
      </c>
    </row>
    <row r="625" spans="1:9" x14ac:dyDescent="0.25">
      <c r="A625" s="10" t="s">
        <v>42</v>
      </c>
      <c r="B625" s="11" t="s">
        <v>43</v>
      </c>
      <c r="C625" s="11" t="s">
        <v>24</v>
      </c>
      <c r="D625" s="12">
        <v>41911</v>
      </c>
      <c r="E625" s="12">
        <v>41913</v>
      </c>
      <c r="F625" s="13">
        <v>588.70000000000005</v>
      </c>
      <c r="G625">
        <f t="shared" si="27"/>
        <v>3</v>
      </c>
      <c r="H625">
        <f t="shared" si="28"/>
        <v>78</v>
      </c>
      <c r="I625">
        <f t="shared" si="29"/>
        <v>666.7</v>
      </c>
    </row>
    <row r="626" spans="1:9" x14ac:dyDescent="0.25">
      <c r="A626" s="6" t="s">
        <v>166</v>
      </c>
      <c r="B626" s="7" t="s">
        <v>167</v>
      </c>
      <c r="C626" s="7" t="s">
        <v>47</v>
      </c>
      <c r="D626" s="8">
        <v>41911</v>
      </c>
      <c r="E626" s="8">
        <v>41915</v>
      </c>
      <c r="F626" s="9">
        <v>1015.8</v>
      </c>
      <c r="G626">
        <f t="shared" si="27"/>
        <v>5</v>
      </c>
      <c r="H626">
        <f t="shared" si="28"/>
        <v>126</v>
      </c>
      <c r="I626">
        <f t="shared" si="29"/>
        <v>1141.8</v>
      </c>
    </row>
    <row r="627" spans="1:9" x14ac:dyDescent="0.25">
      <c r="A627" s="10" t="s">
        <v>134</v>
      </c>
      <c r="B627" s="11" t="s">
        <v>149</v>
      </c>
      <c r="C627" s="11" t="s">
        <v>27</v>
      </c>
      <c r="D627" s="12">
        <v>41911</v>
      </c>
      <c r="E627" s="12">
        <v>41913</v>
      </c>
      <c r="F627" s="13">
        <v>698</v>
      </c>
      <c r="G627">
        <f t="shared" si="27"/>
        <v>3</v>
      </c>
      <c r="H627">
        <f t="shared" si="28"/>
        <v>78</v>
      </c>
      <c r="I627">
        <f t="shared" si="29"/>
        <v>776</v>
      </c>
    </row>
    <row r="628" spans="1:9" x14ac:dyDescent="0.25">
      <c r="A628" s="6" t="s">
        <v>111</v>
      </c>
      <c r="B628" s="7" t="s">
        <v>112</v>
      </c>
      <c r="C628" s="7" t="s">
        <v>47</v>
      </c>
      <c r="D628" s="8">
        <v>41911</v>
      </c>
      <c r="E628" s="8">
        <v>41914</v>
      </c>
      <c r="F628" s="9">
        <v>852.8</v>
      </c>
      <c r="G628">
        <f t="shared" si="27"/>
        <v>4</v>
      </c>
      <c r="H628">
        <f t="shared" si="28"/>
        <v>102</v>
      </c>
      <c r="I628">
        <f t="shared" si="29"/>
        <v>954.8</v>
      </c>
    </row>
    <row r="629" spans="1:9" x14ac:dyDescent="0.25">
      <c r="A629" s="10" t="s">
        <v>20</v>
      </c>
      <c r="B629" s="11" t="s">
        <v>162</v>
      </c>
      <c r="C629" s="11" t="s">
        <v>30</v>
      </c>
      <c r="D629" s="12">
        <v>41911</v>
      </c>
      <c r="E629" s="12">
        <v>41914</v>
      </c>
      <c r="F629" s="13">
        <v>569.5</v>
      </c>
      <c r="G629">
        <f t="shared" si="27"/>
        <v>4</v>
      </c>
      <c r="H629">
        <f t="shared" si="28"/>
        <v>102</v>
      </c>
      <c r="I629">
        <f t="shared" si="29"/>
        <v>671.5</v>
      </c>
    </row>
    <row r="630" spans="1:9" x14ac:dyDescent="0.25">
      <c r="A630" s="6" t="s">
        <v>15</v>
      </c>
      <c r="B630" s="7" t="s">
        <v>63</v>
      </c>
      <c r="C630" s="7" t="s">
        <v>27</v>
      </c>
      <c r="D630" s="8">
        <v>41911</v>
      </c>
      <c r="E630" s="8">
        <v>41912</v>
      </c>
      <c r="F630" s="9">
        <v>570</v>
      </c>
      <c r="G630">
        <f t="shared" si="27"/>
        <v>2</v>
      </c>
      <c r="H630">
        <f t="shared" si="28"/>
        <v>54</v>
      </c>
      <c r="I630">
        <f t="shared" si="29"/>
        <v>624</v>
      </c>
    </row>
    <row r="631" spans="1:9" x14ac:dyDescent="0.25">
      <c r="A631" s="10" t="s">
        <v>91</v>
      </c>
      <c r="B631" s="11" t="s">
        <v>92</v>
      </c>
      <c r="C631" s="11" t="s">
        <v>66</v>
      </c>
      <c r="D631" s="12">
        <v>41911</v>
      </c>
      <c r="E631" s="12">
        <v>41915</v>
      </c>
      <c r="F631" s="13">
        <v>1019.7</v>
      </c>
      <c r="G631">
        <f t="shared" si="27"/>
        <v>5</v>
      </c>
      <c r="H631">
        <f t="shared" si="28"/>
        <v>126</v>
      </c>
      <c r="I631">
        <f t="shared" si="29"/>
        <v>1145.7</v>
      </c>
    </row>
    <row r="632" spans="1:9" x14ac:dyDescent="0.25">
      <c r="A632" s="6" t="s">
        <v>131</v>
      </c>
      <c r="B632" s="7" t="s">
        <v>132</v>
      </c>
      <c r="C632" s="7" t="s">
        <v>59</v>
      </c>
      <c r="D632" s="8">
        <v>41911</v>
      </c>
      <c r="E632" s="8">
        <v>41911</v>
      </c>
      <c r="F632" s="9">
        <v>442</v>
      </c>
      <c r="G632">
        <f t="shared" si="27"/>
        <v>1</v>
      </c>
      <c r="H632">
        <f t="shared" si="28"/>
        <v>30</v>
      </c>
      <c r="I632">
        <f t="shared" si="29"/>
        <v>472</v>
      </c>
    </row>
    <row r="633" spans="1:9" x14ac:dyDescent="0.25">
      <c r="A633" s="10" t="s">
        <v>50</v>
      </c>
      <c r="B633" s="11" t="s">
        <v>51</v>
      </c>
      <c r="C633" s="11" t="s">
        <v>30</v>
      </c>
      <c r="D633" s="12">
        <v>41912</v>
      </c>
      <c r="E633" s="12">
        <v>41912</v>
      </c>
      <c r="F633" s="13">
        <v>212.5</v>
      </c>
      <c r="G633">
        <f t="shared" si="27"/>
        <v>1</v>
      </c>
      <c r="H633">
        <f t="shared" si="28"/>
        <v>30</v>
      </c>
      <c r="I633">
        <f t="shared" si="29"/>
        <v>242.5</v>
      </c>
    </row>
    <row r="634" spans="1:9" x14ac:dyDescent="0.25">
      <c r="A634" s="6" t="s">
        <v>82</v>
      </c>
      <c r="B634" s="7" t="s">
        <v>83</v>
      </c>
      <c r="C634" s="7" t="s">
        <v>27</v>
      </c>
      <c r="D634" s="8">
        <v>41913</v>
      </c>
      <c r="E634" s="8">
        <v>41913</v>
      </c>
      <c r="F634" s="9">
        <v>442</v>
      </c>
      <c r="G634">
        <f t="shared" si="27"/>
        <v>1</v>
      </c>
      <c r="H634">
        <f t="shared" si="28"/>
        <v>30</v>
      </c>
      <c r="I634">
        <f t="shared" si="29"/>
        <v>472</v>
      </c>
    </row>
    <row r="635" spans="1:9" x14ac:dyDescent="0.25">
      <c r="A635" s="10" t="s">
        <v>84</v>
      </c>
      <c r="B635" s="11" t="s">
        <v>85</v>
      </c>
      <c r="C635" s="11" t="s">
        <v>59</v>
      </c>
      <c r="D635" s="12">
        <v>41913</v>
      </c>
      <c r="E635" s="12">
        <v>41913</v>
      </c>
      <c r="F635" s="13">
        <v>442</v>
      </c>
      <c r="G635">
        <f t="shared" si="27"/>
        <v>1</v>
      </c>
      <c r="H635">
        <f t="shared" si="28"/>
        <v>30</v>
      </c>
      <c r="I635">
        <f t="shared" si="29"/>
        <v>472</v>
      </c>
    </row>
    <row r="636" spans="1:9" x14ac:dyDescent="0.25">
      <c r="A636" s="6" t="s">
        <v>143</v>
      </c>
      <c r="B636" s="7" t="s">
        <v>144</v>
      </c>
      <c r="C636" s="7" t="s">
        <v>66</v>
      </c>
      <c r="D636" s="8">
        <v>41914</v>
      </c>
      <c r="E636" s="8">
        <v>41914</v>
      </c>
      <c r="F636" s="9">
        <v>307.7</v>
      </c>
      <c r="G636">
        <f t="shared" si="27"/>
        <v>1</v>
      </c>
      <c r="H636">
        <f t="shared" si="28"/>
        <v>30</v>
      </c>
      <c r="I636">
        <f t="shared" si="29"/>
        <v>337.7</v>
      </c>
    </row>
    <row r="637" spans="1:9" x14ac:dyDescent="0.25">
      <c r="A637" s="10" t="s">
        <v>113</v>
      </c>
      <c r="B637" s="11" t="s">
        <v>114</v>
      </c>
      <c r="C637" s="11" t="s">
        <v>24</v>
      </c>
      <c r="D637" s="12">
        <v>41914</v>
      </c>
      <c r="E637" s="12">
        <v>41915</v>
      </c>
      <c r="F637" s="13">
        <v>439.7</v>
      </c>
      <c r="G637">
        <f t="shared" si="27"/>
        <v>2</v>
      </c>
      <c r="H637">
        <f t="shared" si="28"/>
        <v>54</v>
      </c>
      <c r="I637">
        <f t="shared" si="29"/>
        <v>493.7</v>
      </c>
    </row>
    <row r="638" spans="1:9" x14ac:dyDescent="0.25">
      <c r="A638" s="6" t="s">
        <v>82</v>
      </c>
      <c r="B638" s="7" t="s">
        <v>125</v>
      </c>
      <c r="C638" s="7" t="s">
        <v>11</v>
      </c>
      <c r="D638" s="8">
        <v>41915</v>
      </c>
      <c r="E638" s="8">
        <v>41915</v>
      </c>
      <c r="F638" s="9">
        <v>156.4</v>
      </c>
      <c r="G638">
        <f t="shared" si="27"/>
        <v>1</v>
      </c>
      <c r="H638">
        <f t="shared" si="28"/>
        <v>30</v>
      </c>
      <c r="I638">
        <f t="shared" si="29"/>
        <v>186.4</v>
      </c>
    </row>
    <row r="639" spans="1:9" x14ac:dyDescent="0.25">
      <c r="A639" s="10" t="s">
        <v>9</v>
      </c>
      <c r="B639" s="11" t="s">
        <v>103</v>
      </c>
      <c r="C639" s="11" t="s">
        <v>24</v>
      </c>
      <c r="D639" s="12">
        <v>41915</v>
      </c>
      <c r="E639" s="12">
        <v>41915</v>
      </c>
      <c r="F639" s="13">
        <v>290.7</v>
      </c>
      <c r="G639">
        <f t="shared" si="27"/>
        <v>1</v>
      </c>
      <c r="H639">
        <f t="shared" si="28"/>
        <v>30</v>
      </c>
      <c r="I639">
        <f t="shared" si="29"/>
        <v>320.7</v>
      </c>
    </row>
    <row r="640" spans="1:9" x14ac:dyDescent="0.25">
      <c r="A640" s="6" t="s">
        <v>131</v>
      </c>
      <c r="B640" s="7" t="s">
        <v>132</v>
      </c>
      <c r="C640" s="7" t="s">
        <v>24</v>
      </c>
      <c r="D640" s="8">
        <v>41915</v>
      </c>
      <c r="E640" s="8">
        <v>41915</v>
      </c>
      <c r="F640" s="9">
        <v>290.7</v>
      </c>
      <c r="G640">
        <f t="shared" si="27"/>
        <v>1</v>
      </c>
      <c r="H640">
        <f t="shared" si="28"/>
        <v>30</v>
      </c>
      <c r="I640">
        <f t="shared" si="29"/>
        <v>320.7</v>
      </c>
    </row>
    <row r="641" spans="1:9" x14ac:dyDescent="0.25">
      <c r="A641" s="10" t="s">
        <v>119</v>
      </c>
      <c r="B641" s="11" t="s">
        <v>120</v>
      </c>
      <c r="C641" s="11" t="s">
        <v>30</v>
      </c>
      <c r="D641" s="12">
        <v>41917</v>
      </c>
      <c r="E641" s="12">
        <v>41918</v>
      </c>
      <c r="F641" s="13">
        <v>331.5</v>
      </c>
      <c r="G641">
        <f t="shared" si="27"/>
        <v>2</v>
      </c>
      <c r="H641">
        <f t="shared" si="28"/>
        <v>54</v>
      </c>
      <c r="I641">
        <f t="shared" si="29"/>
        <v>385.5</v>
      </c>
    </row>
    <row r="642" spans="1:9" x14ac:dyDescent="0.25">
      <c r="A642" s="6" t="s">
        <v>137</v>
      </c>
      <c r="B642" s="7" t="s">
        <v>138</v>
      </c>
      <c r="C642" s="7" t="s">
        <v>8</v>
      </c>
      <c r="D642" s="8">
        <v>41917</v>
      </c>
      <c r="E642" s="8">
        <v>41918</v>
      </c>
      <c r="F642" s="9">
        <v>891</v>
      </c>
      <c r="G642">
        <f t="shared" si="27"/>
        <v>2</v>
      </c>
      <c r="H642">
        <f t="shared" si="28"/>
        <v>54</v>
      </c>
      <c r="I642">
        <f t="shared" si="29"/>
        <v>945</v>
      </c>
    </row>
    <row r="643" spans="1:9" x14ac:dyDescent="0.25">
      <c r="A643" s="10" t="s">
        <v>115</v>
      </c>
      <c r="B643" s="11" t="s">
        <v>116</v>
      </c>
      <c r="C643" s="11" t="s">
        <v>66</v>
      </c>
      <c r="D643" s="12">
        <v>41917</v>
      </c>
      <c r="E643" s="12">
        <v>41921</v>
      </c>
      <c r="F643" s="13">
        <v>1019.7</v>
      </c>
      <c r="G643">
        <f t="shared" ref="G643:G706" si="30">E643-D643 + 1</f>
        <v>5</v>
      </c>
      <c r="H643">
        <f t="shared" ref="H643:H706" si="31">30+(G643-1)*24</f>
        <v>126</v>
      </c>
      <c r="I643">
        <f t="shared" ref="I643:I706" si="32">H643+F643</f>
        <v>1145.7</v>
      </c>
    </row>
    <row r="644" spans="1:9" x14ac:dyDescent="0.25">
      <c r="A644" s="6" t="s">
        <v>31</v>
      </c>
      <c r="B644" s="7" t="s">
        <v>32</v>
      </c>
      <c r="C644" s="7" t="s">
        <v>27</v>
      </c>
      <c r="D644" s="8">
        <v>41918</v>
      </c>
      <c r="E644" s="8">
        <v>41918</v>
      </c>
      <c r="F644" s="9">
        <v>442</v>
      </c>
      <c r="G644">
        <f t="shared" si="30"/>
        <v>1</v>
      </c>
      <c r="H644">
        <f t="shared" si="31"/>
        <v>30</v>
      </c>
      <c r="I644">
        <f t="shared" si="32"/>
        <v>472</v>
      </c>
    </row>
    <row r="645" spans="1:9" x14ac:dyDescent="0.25">
      <c r="A645" s="10" t="s">
        <v>145</v>
      </c>
      <c r="B645" s="11" t="s">
        <v>146</v>
      </c>
      <c r="C645" s="11" t="s">
        <v>66</v>
      </c>
      <c r="D645" s="12">
        <v>41918</v>
      </c>
      <c r="E645" s="12">
        <v>41919</v>
      </c>
      <c r="F645" s="13">
        <v>485.7</v>
      </c>
      <c r="G645">
        <f t="shared" si="30"/>
        <v>2</v>
      </c>
      <c r="H645">
        <f t="shared" si="31"/>
        <v>54</v>
      </c>
      <c r="I645">
        <f t="shared" si="32"/>
        <v>539.70000000000005</v>
      </c>
    </row>
    <row r="646" spans="1:9" x14ac:dyDescent="0.25">
      <c r="A646" s="6" t="s">
        <v>75</v>
      </c>
      <c r="B646" s="7" t="s">
        <v>88</v>
      </c>
      <c r="C646" s="7" t="s">
        <v>59</v>
      </c>
      <c r="D646" s="8">
        <v>41918</v>
      </c>
      <c r="E646" s="8">
        <v>41925</v>
      </c>
      <c r="F646" s="9">
        <v>1555</v>
      </c>
      <c r="G646">
        <f t="shared" si="30"/>
        <v>8</v>
      </c>
      <c r="H646">
        <f t="shared" si="31"/>
        <v>198</v>
      </c>
      <c r="I646">
        <f t="shared" si="32"/>
        <v>1753</v>
      </c>
    </row>
    <row r="647" spans="1:9" x14ac:dyDescent="0.25">
      <c r="A647" s="10" t="s">
        <v>107</v>
      </c>
      <c r="B647" s="11" t="s">
        <v>108</v>
      </c>
      <c r="C647" s="11" t="s">
        <v>38</v>
      </c>
      <c r="D647" s="12">
        <v>41918</v>
      </c>
      <c r="E647" s="12">
        <v>41920</v>
      </c>
      <c r="F647" s="13">
        <v>536.79999999999995</v>
      </c>
      <c r="G647">
        <f t="shared" si="30"/>
        <v>3</v>
      </c>
      <c r="H647">
        <f t="shared" si="31"/>
        <v>78</v>
      </c>
      <c r="I647">
        <f t="shared" si="32"/>
        <v>614.79999999999995</v>
      </c>
    </row>
    <row r="648" spans="1:9" x14ac:dyDescent="0.25">
      <c r="A648" s="6" t="s">
        <v>57</v>
      </c>
      <c r="B648" s="7" t="s">
        <v>58</v>
      </c>
      <c r="C648" s="7" t="s">
        <v>19</v>
      </c>
      <c r="D648" s="8">
        <v>41918</v>
      </c>
      <c r="E648" s="8">
        <v>41919</v>
      </c>
      <c r="F648" s="9">
        <v>654.4</v>
      </c>
      <c r="G648">
        <f t="shared" si="30"/>
        <v>2</v>
      </c>
      <c r="H648">
        <f t="shared" si="31"/>
        <v>54</v>
      </c>
      <c r="I648">
        <f t="shared" si="32"/>
        <v>708.4</v>
      </c>
    </row>
    <row r="649" spans="1:9" x14ac:dyDescent="0.25">
      <c r="A649" s="10" t="s">
        <v>82</v>
      </c>
      <c r="B649" s="11" t="s">
        <v>83</v>
      </c>
      <c r="C649" s="11" t="s">
        <v>72</v>
      </c>
      <c r="D649" s="12">
        <v>41922</v>
      </c>
      <c r="E649" s="12">
        <v>41924</v>
      </c>
      <c r="F649" s="13">
        <v>892.7</v>
      </c>
      <c r="G649">
        <f t="shared" si="30"/>
        <v>3</v>
      </c>
      <c r="H649">
        <f t="shared" si="31"/>
        <v>78</v>
      </c>
      <c r="I649">
        <f t="shared" si="32"/>
        <v>970.7</v>
      </c>
    </row>
    <row r="650" spans="1:9" x14ac:dyDescent="0.25">
      <c r="A650" s="6" t="s">
        <v>84</v>
      </c>
      <c r="B650" s="7" t="s">
        <v>85</v>
      </c>
      <c r="C650" s="7" t="s">
        <v>24</v>
      </c>
      <c r="D650" s="8">
        <v>41922</v>
      </c>
      <c r="E650" s="8">
        <v>41925</v>
      </c>
      <c r="F650" s="9">
        <v>737.7</v>
      </c>
      <c r="G650">
        <f t="shared" si="30"/>
        <v>4</v>
      </c>
      <c r="H650">
        <f t="shared" si="31"/>
        <v>102</v>
      </c>
      <c r="I650">
        <f t="shared" si="32"/>
        <v>839.7</v>
      </c>
    </row>
    <row r="651" spans="1:9" x14ac:dyDescent="0.25">
      <c r="A651" s="10" t="s">
        <v>50</v>
      </c>
      <c r="B651" s="11" t="s">
        <v>51</v>
      </c>
      <c r="C651" s="11" t="s">
        <v>27</v>
      </c>
      <c r="D651" s="12">
        <v>41922</v>
      </c>
      <c r="E651" s="12">
        <v>41922</v>
      </c>
      <c r="F651" s="13">
        <v>442</v>
      </c>
      <c r="G651">
        <f t="shared" si="30"/>
        <v>1</v>
      </c>
      <c r="H651">
        <f t="shared" si="31"/>
        <v>30</v>
      </c>
      <c r="I651">
        <f t="shared" si="32"/>
        <v>472</v>
      </c>
    </row>
    <row r="652" spans="1:9" x14ac:dyDescent="0.25">
      <c r="A652" s="6" t="s">
        <v>170</v>
      </c>
      <c r="B652" s="7" t="s">
        <v>171</v>
      </c>
      <c r="C652" s="7" t="s">
        <v>59</v>
      </c>
      <c r="D652" s="8">
        <v>41922</v>
      </c>
      <c r="E652" s="8">
        <v>41926</v>
      </c>
      <c r="F652" s="9">
        <v>1078</v>
      </c>
      <c r="G652">
        <f t="shared" si="30"/>
        <v>5</v>
      </c>
      <c r="H652">
        <f t="shared" si="31"/>
        <v>126</v>
      </c>
      <c r="I652">
        <f t="shared" si="32"/>
        <v>1204</v>
      </c>
    </row>
    <row r="653" spans="1:9" x14ac:dyDescent="0.25">
      <c r="A653" s="10" t="s">
        <v>168</v>
      </c>
      <c r="B653" s="11" t="s">
        <v>169</v>
      </c>
      <c r="C653" s="11" t="s">
        <v>17</v>
      </c>
      <c r="D653" s="12">
        <v>41922</v>
      </c>
      <c r="E653" s="12">
        <v>41922</v>
      </c>
      <c r="F653" s="13">
        <v>501.5</v>
      </c>
      <c r="G653">
        <f t="shared" si="30"/>
        <v>1</v>
      </c>
      <c r="H653">
        <f t="shared" si="31"/>
        <v>30</v>
      </c>
      <c r="I653">
        <f t="shared" si="32"/>
        <v>531.5</v>
      </c>
    </row>
    <row r="654" spans="1:9" x14ac:dyDescent="0.25">
      <c r="A654" s="6" t="s">
        <v>115</v>
      </c>
      <c r="B654" s="7" t="s">
        <v>140</v>
      </c>
      <c r="C654" s="7" t="s">
        <v>11</v>
      </c>
      <c r="D654" s="8">
        <v>41922</v>
      </c>
      <c r="E654" s="8">
        <v>41922</v>
      </c>
      <c r="F654" s="9">
        <v>156.4</v>
      </c>
      <c r="G654">
        <f t="shared" si="30"/>
        <v>1</v>
      </c>
      <c r="H654">
        <f t="shared" si="31"/>
        <v>30</v>
      </c>
      <c r="I654">
        <f t="shared" si="32"/>
        <v>186.4</v>
      </c>
    </row>
    <row r="655" spans="1:9" x14ac:dyDescent="0.25">
      <c r="A655" s="10" t="s">
        <v>33</v>
      </c>
      <c r="B655" s="11" t="s">
        <v>34</v>
      </c>
      <c r="C655" s="11" t="s">
        <v>17</v>
      </c>
      <c r="D655" s="12">
        <v>41922</v>
      </c>
      <c r="E655" s="12">
        <v>41922</v>
      </c>
      <c r="F655" s="13">
        <v>501.5</v>
      </c>
      <c r="G655">
        <f t="shared" si="30"/>
        <v>1</v>
      </c>
      <c r="H655">
        <f t="shared" si="31"/>
        <v>30</v>
      </c>
      <c r="I655">
        <f t="shared" si="32"/>
        <v>531.5</v>
      </c>
    </row>
    <row r="656" spans="1:9" x14ac:dyDescent="0.25">
      <c r="A656" s="6" t="s">
        <v>33</v>
      </c>
      <c r="B656" s="7" t="s">
        <v>41</v>
      </c>
      <c r="C656" s="7" t="s">
        <v>11</v>
      </c>
      <c r="D656" s="8">
        <v>41922</v>
      </c>
      <c r="E656" s="8">
        <v>41925</v>
      </c>
      <c r="F656" s="9">
        <v>573.4</v>
      </c>
      <c r="G656">
        <f t="shared" si="30"/>
        <v>4</v>
      </c>
      <c r="H656">
        <f t="shared" si="31"/>
        <v>102</v>
      </c>
      <c r="I656">
        <f t="shared" si="32"/>
        <v>675.4</v>
      </c>
    </row>
    <row r="657" spans="1:9" x14ac:dyDescent="0.25">
      <c r="A657" s="10" t="s">
        <v>73</v>
      </c>
      <c r="B657" s="11" t="s">
        <v>104</v>
      </c>
      <c r="C657" s="11" t="s">
        <v>72</v>
      </c>
      <c r="D657" s="12">
        <v>41922</v>
      </c>
      <c r="E657" s="12">
        <v>41926</v>
      </c>
      <c r="F657" s="13">
        <v>1290.7</v>
      </c>
      <c r="G657">
        <f t="shared" si="30"/>
        <v>5</v>
      </c>
      <c r="H657">
        <f t="shared" si="31"/>
        <v>126</v>
      </c>
      <c r="I657">
        <f t="shared" si="32"/>
        <v>1416.7</v>
      </c>
    </row>
    <row r="658" spans="1:9" x14ac:dyDescent="0.25">
      <c r="A658" s="6" t="s">
        <v>93</v>
      </c>
      <c r="B658" s="7" t="s">
        <v>106</v>
      </c>
      <c r="C658" s="7" t="s">
        <v>17</v>
      </c>
      <c r="D658" s="8">
        <v>41922</v>
      </c>
      <c r="E658" s="8">
        <v>41923</v>
      </c>
      <c r="F658" s="9">
        <v>706.5</v>
      </c>
      <c r="G658">
        <f t="shared" si="30"/>
        <v>2</v>
      </c>
      <c r="H658">
        <f t="shared" si="31"/>
        <v>54</v>
      </c>
      <c r="I658">
        <f t="shared" si="32"/>
        <v>760.5</v>
      </c>
    </row>
    <row r="659" spans="1:9" x14ac:dyDescent="0.25">
      <c r="A659" s="10" t="s">
        <v>54</v>
      </c>
      <c r="B659" s="11" t="s">
        <v>121</v>
      </c>
      <c r="C659" s="11" t="s">
        <v>27</v>
      </c>
      <c r="D659" s="12">
        <v>41922</v>
      </c>
      <c r="E659" s="12">
        <v>41925</v>
      </c>
      <c r="F659" s="13">
        <v>826</v>
      </c>
      <c r="G659">
        <f t="shared" si="30"/>
        <v>4</v>
      </c>
      <c r="H659">
        <f t="shared" si="31"/>
        <v>102</v>
      </c>
      <c r="I659">
        <f t="shared" si="32"/>
        <v>928</v>
      </c>
    </row>
    <row r="660" spans="1:9" x14ac:dyDescent="0.25">
      <c r="A660" s="6" t="s">
        <v>12</v>
      </c>
      <c r="B660" s="7" t="s">
        <v>13</v>
      </c>
      <c r="C660" s="7" t="s">
        <v>59</v>
      </c>
      <c r="D660" s="8">
        <v>41922</v>
      </c>
      <c r="E660" s="8">
        <v>41923</v>
      </c>
      <c r="F660" s="9">
        <v>601</v>
      </c>
      <c r="G660">
        <f t="shared" si="30"/>
        <v>2</v>
      </c>
      <c r="H660">
        <f t="shared" si="31"/>
        <v>54</v>
      </c>
      <c r="I660">
        <f t="shared" si="32"/>
        <v>655</v>
      </c>
    </row>
    <row r="661" spans="1:9" x14ac:dyDescent="0.25">
      <c r="A661" s="10" t="s">
        <v>15</v>
      </c>
      <c r="B661" s="11" t="s">
        <v>16</v>
      </c>
      <c r="C661" s="11" t="s">
        <v>38</v>
      </c>
      <c r="D661" s="12">
        <v>41922</v>
      </c>
      <c r="E661" s="12">
        <v>41926</v>
      </c>
      <c r="F661" s="13">
        <v>794.8</v>
      </c>
      <c r="G661">
        <f t="shared" si="30"/>
        <v>5</v>
      </c>
      <c r="H661">
        <f t="shared" si="31"/>
        <v>126</v>
      </c>
      <c r="I661">
        <f t="shared" si="32"/>
        <v>920.8</v>
      </c>
    </row>
    <row r="662" spans="1:9" x14ac:dyDescent="0.25">
      <c r="A662" s="6" t="s">
        <v>70</v>
      </c>
      <c r="B662" s="7" t="s">
        <v>117</v>
      </c>
      <c r="C662" s="7" t="s">
        <v>30</v>
      </c>
      <c r="D662" s="8">
        <v>41922</v>
      </c>
      <c r="E662" s="8">
        <v>41923</v>
      </c>
      <c r="F662" s="9">
        <v>331.5</v>
      </c>
      <c r="G662">
        <f t="shared" si="30"/>
        <v>2</v>
      </c>
      <c r="H662">
        <f t="shared" si="31"/>
        <v>54</v>
      </c>
      <c r="I662">
        <f t="shared" si="32"/>
        <v>385.5</v>
      </c>
    </row>
    <row r="663" spans="1:9" x14ac:dyDescent="0.25">
      <c r="A663" s="10" t="s">
        <v>54</v>
      </c>
      <c r="B663" s="11" t="s">
        <v>118</v>
      </c>
      <c r="C663" s="11" t="s">
        <v>17</v>
      </c>
      <c r="D663" s="12">
        <v>41922</v>
      </c>
      <c r="E663" s="12">
        <v>41923</v>
      </c>
      <c r="F663" s="13">
        <v>706.5</v>
      </c>
      <c r="G663">
        <f t="shared" si="30"/>
        <v>2</v>
      </c>
      <c r="H663">
        <f t="shared" si="31"/>
        <v>54</v>
      </c>
      <c r="I663">
        <f t="shared" si="32"/>
        <v>760.5</v>
      </c>
    </row>
    <row r="664" spans="1:9" x14ac:dyDescent="0.25">
      <c r="A664" s="6" t="s">
        <v>33</v>
      </c>
      <c r="B664" s="7" t="s">
        <v>141</v>
      </c>
      <c r="C664" s="7" t="s">
        <v>14</v>
      </c>
      <c r="D664" s="8">
        <v>41923</v>
      </c>
      <c r="E664" s="8">
        <v>41927</v>
      </c>
      <c r="F664" s="9">
        <v>674.5</v>
      </c>
      <c r="G664">
        <f t="shared" si="30"/>
        <v>5</v>
      </c>
      <c r="H664">
        <f t="shared" si="31"/>
        <v>126</v>
      </c>
      <c r="I664">
        <f t="shared" si="32"/>
        <v>800.5</v>
      </c>
    </row>
    <row r="665" spans="1:9" x14ac:dyDescent="0.25">
      <c r="A665" s="10" t="s">
        <v>93</v>
      </c>
      <c r="B665" s="11" t="s">
        <v>124</v>
      </c>
      <c r="C665" s="11" t="s">
        <v>47</v>
      </c>
      <c r="D665" s="12">
        <v>41923</v>
      </c>
      <c r="E665" s="12">
        <v>41925</v>
      </c>
      <c r="F665" s="13">
        <v>689.8</v>
      </c>
      <c r="G665">
        <f t="shared" si="30"/>
        <v>3</v>
      </c>
      <c r="H665">
        <f t="shared" si="31"/>
        <v>78</v>
      </c>
      <c r="I665">
        <f t="shared" si="32"/>
        <v>767.8</v>
      </c>
    </row>
    <row r="666" spans="1:9" x14ac:dyDescent="0.25">
      <c r="A666" s="6" t="s">
        <v>131</v>
      </c>
      <c r="B666" s="7" t="s">
        <v>142</v>
      </c>
      <c r="C666" s="7" t="s">
        <v>30</v>
      </c>
      <c r="D666" s="8">
        <v>41923</v>
      </c>
      <c r="E666" s="8">
        <v>41924</v>
      </c>
      <c r="F666" s="9">
        <v>331.5</v>
      </c>
      <c r="G666">
        <f t="shared" si="30"/>
        <v>2</v>
      </c>
      <c r="H666">
        <f t="shared" si="31"/>
        <v>54</v>
      </c>
      <c r="I666">
        <f t="shared" si="32"/>
        <v>385.5</v>
      </c>
    </row>
    <row r="667" spans="1:9" x14ac:dyDescent="0.25">
      <c r="A667" s="10" t="s">
        <v>9</v>
      </c>
      <c r="B667" s="11" t="s">
        <v>69</v>
      </c>
      <c r="C667" s="11" t="s">
        <v>14</v>
      </c>
      <c r="D667" s="12">
        <v>41923</v>
      </c>
      <c r="E667" s="12">
        <v>41925</v>
      </c>
      <c r="F667" s="13">
        <v>426.5</v>
      </c>
      <c r="G667">
        <f t="shared" si="30"/>
        <v>3</v>
      </c>
      <c r="H667">
        <f t="shared" si="31"/>
        <v>78</v>
      </c>
      <c r="I667">
        <f t="shared" si="32"/>
        <v>504.5</v>
      </c>
    </row>
    <row r="668" spans="1:9" x14ac:dyDescent="0.25">
      <c r="A668" s="6" t="s">
        <v>99</v>
      </c>
      <c r="B668" s="7" t="s">
        <v>100</v>
      </c>
      <c r="C668" s="7" t="s">
        <v>17</v>
      </c>
      <c r="D668" s="8">
        <v>41923</v>
      </c>
      <c r="E668" s="8">
        <v>41926</v>
      </c>
      <c r="F668" s="9">
        <v>1116.5</v>
      </c>
      <c r="G668">
        <f t="shared" si="30"/>
        <v>4</v>
      </c>
      <c r="H668">
        <f t="shared" si="31"/>
        <v>102</v>
      </c>
      <c r="I668">
        <f t="shared" si="32"/>
        <v>1218.5</v>
      </c>
    </row>
    <row r="669" spans="1:9" x14ac:dyDescent="0.25">
      <c r="A669" s="10" t="s">
        <v>137</v>
      </c>
      <c r="B669" s="11" t="s">
        <v>138</v>
      </c>
      <c r="C669" s="11" t="s">
        <v>19</v>
      </c>
      <c r="D669" s="12">
        <v>41923</v>
      </c>
      <c r="E669" s="12">
        <v>41927</v>
      </c>
      <c r="F669" s="13">
        <v>1077.4000000000001</v>
      </c>
      <c r="G669">
        <f t="shared" si="30"/>
        <v>5</v>
      </c>
      <c r="H669">
        <f t="shared" si="31"/>
        <v>126</v>
      </c>
      <c r="I669">
        <f t="shared" si="32"/>
        <v>1203.4000000000001</v>
      </c>
    </row>
    <row r="670" spans="1:9" x14ac:dyDescent="0.25">
      <c r="A670" s="6" t="s">
        <v>15</v>
      </c>
      <c r="B670" s="7" t="s">
        <v>96</v>
      </c>
      <c r="C670" s="7" t="s">
        <v>59</v>
      </c>
      <c r="D670" s="8">
        <v>41923</v>
      </c>
      <c r="E670" s="8">
        <v>41925</v>
      </c>
      <c r="F670" s="9">
        <v>760</v>
      </c>
      <c r="G670">
        <f t="shared" si="30"/>
        <v>3</v>
      </c>
      <c r="H670">
        <f t="shared" si="31"/>
        <v>78</v>
      </c>
      <c r="I670">
        <f t="shared" si="32"/>
        <v>838</v>
      </c>
    </row>
    <row r="671" spans="1:9" x14ac:dyDescent="0.25">
      <c r="A671" s="10" t="s">
        <v>9</v>
      </c>
      <c r="B671" s="11" t="s">
        <v>18</v>
      </c>
      <c r="C671" s="11" t="s">
        <v>24</v>
      </c>
      <c r="D671" s="12">
        <v>41923</v>
      </c>
      <c r="E671" s="12">
        <v>41926</v>
      </c>
      <c r="F671" s="13">
        <v>737.7</v>
      </c>
      <c r="G671">
        <f t="shared" si="30"/>
        <v>4</v>
      </c>
      <c r="H671">
        <f t="shared" si="31"/>
        <v>102</v>
      </c>
      <c r="I671">
        <f t="shared" si="32"/>
        <v>839.7</v>
      </c>
    </row>
    <row r="672" spans="1:9" x14ac:dyDescent="0.25">
      <c r="A672" s="6" t="s">
        <v>9</v>
      </c>
      <c r="B672" s="7" t="s">
        <v>18</v>
      </c>
      <c r="C672" s="7" t="s">
        <v>27</v>
      </c>
      <c r="D672" s="8">
        <v>41923</v>
      </c>
      <c r="E672" s="8">
        <v>41924</v>
      </c>
      <c r="F672" s="9">
        <v>570</v>
      </c>
      <c r="G672">
        <f t="shared" si="30"/>
        <v>2</v>
      </c>
      <c r="H672">
        <f t="shared" si="31"/>
        <v>54</v>
      </c>
      <c r="I672">
        <f t="shared" si="32"/>
        <v>624</v>
      </c>
    </row>
    <row r="673" spans="1:9" x14ac:dyDescent="0.25">
      <c r="A673" s="10" t="s">
        <v>54</v>
      </c>
      <c r="B673" s="11" t="s">
        <v>118</v>
      </c>
      <c r="C673" s="11" t="s">
        <v>59</v>
      </c>
      <c r="D673" s="12">
        <v>41923</v>
      </c>
      <c r="E673" s="12">
        <v>41926</v>
      </c>
      <c r="F673" s="13">
        <v>919</v>
      </c>
      <c r="G673">
        <f t="shared" si="30"/>
        <v>4</v>
      </c>
      <c r="H673">
        <f t="shared" si="31"/>
        <v>102</v>
      </c>
      <c r="I673">
        <f t="shared" si="32"/>
        <v>1021</v>
      </c>
    </row>
    <row r="674" spans="1:9" x14ac:dyDescent="0.25">
      <c r="A674" s="6" t="s">
        <v>86</v>
      </c>
      <c r="B674" s="7" t="s">
        <v>136</v>
      </c>
      <c r="C674" s="7" t="s">
        <v>59</v>
      </c>
      <c r="D674" s="8">
        <v>41923</v>
      </c>
      <c r="E674" s="8">
        <v>41927</v>
      </c>
      <c r="F674" s="9">
        <v>1078</v>
      </c>
      <c r="G674">
        <f t="shared" si="30"/>
        <v>5</v>
      </c>
      <c r="H674">
        <f t="shared" si="31"/>
        <v>126</v>
      </c>
      <c r="I674">
        <f t="shared" si="32"/>
        <v>1204</v>
      </c>
    </row>
    <row r="675" spans="1:9" x14ac:dyDescent="0.25">
      <c r="A675" s="10" t="s">
        <v>6</v>
      </c>
      <c r="B675" s="11" t="s">
        <v>139</v>
      </c>
      <c r="C675" s="11" t="s">
        <v>66</v>
      </c>
      <c r="D675" s="12">
        <v>41925</v>
      </c>
      <c r="E675" s="12">
        <v>41925</v>
      </c>
      <c r="F675" s="13">
        <v>307.7</v>
      </c>
      <c r="G675">
        <f t="shared" si="30"/>
        <v>1</v>
      </c>
      <c r="H675">
        <f t="shared" si="31"/>
        <v>30</v>
      </c>
      <c r="I675">
        <f t="shared" si="32"/>
        <v>337.7</v>
      </c>
    </row>
    <row r="676" spans="1:9" x14ac:dyDescent="0.25">
      <c r="A676" s="6" t="s">
        <v>168</v>
      </c>
      <c r="B676" s="7" t="s">
        <v>169</v>
      </c>
      <c r="C676" s="7" t="s">
        <v>19</v>
      </c>
      <c r="D676" s="8">
        <v>41925</v>
      </c>
      <c r="E676" s="8">
        <v>41925</v>
      </c>
      <c r="F676" s="9">
        <v>513.4</v>
      </c>
      <c r="G676">
        <f t="shared" si="30"/>
        <v>1</v>
      </c>
      <c r="H676">
        <f t="shared" si="31"/>
        <v>30</v>
      </c>
      <c r="I676">
        <f t="shared" si="32"/>
        <v>543.4</v>
      </c>
    </row>
    <row r="677" spans="1:9" x14ac:dyDescent="0.25">
      <c r="A677" s="10" t="s">
        <v>33</v>
      </c>
      <c r="B677" s="11" t="s">
        <v>34</v>
      </c>
      <c r="C677" s="11" t="s">
        <v>72</v>
      </c>
      <c r="D677" s="12">
        <v>41925</v>
      </c>
      <c r="E677" s="12">
        <v>41925</v>
      </c>
      <c r="F677" s="13">
        <v>494.7</v>
      </c>
      <c r="G677">
        <f t="shared" si="30"/>
        <v>1</v>
      </c>
      <c r="H677">
        <f t="shared" si="31"/>
        <v>30</v>
      </c>
      <c r="I677">
        <f t="shared" si="32"/>
        <v>524.70000000000005</v>
      </c>
    </row>
    <row r="678" spans="1:9" x14ac:dyDescent="0.25">
      <c r="A678" s="6" t="s">
        <v>113</v>
      </c>
      <c r="B678" s="7" t="s">
        <v>114</v>
      </c>
      <c r="C678" s="7" t="s">
        <v>19</v>
      </c>
      <c r="D678" s="8">
        <v>41925</v>
      </c>
      <c r="E678" s="8">
        <v>41925</v>
      </c>
      <c r="F678" s="9">
        <v>513.4</v>
      </c>
      <c r="G678">
        <f t="shared" si="30"/>
        <v>1</v>
      </c>
      <c r="H678">
        <f t="shared" si="31"/>
        <v>30</v>
      </c>
      <c r="I678">
        <f t="shared" si="32"/>
        <v>543.4</v>
      </c>
    </row>
    <row r="679" spans="1:9" x14ac:dyDescent="0.25">
      <c r="A679" s="10" t="s">
        <v>70</v>
      </c>
      <c r="B679" s="11" t="s">
        <v>117</v>
      </c>
      <c r="C679" s="11" t="s">
        <v>72</v>
      </c>
      <c r="D679" s="12">
        <v>41925</v>
      </c>
      <c r="E679" s="12">
        <v>41925</v>
      </c>
      <c r="F679" s="13">
        <v>494.7</v>
      </c>
      <c r="G679">
        <f t="shared" si="30"/>
        <v>1</v>
      </c>
      <c r="H679">
        <f t="shared" si="31"/>
        <v>30</v>
      </c>
      <c r="I679">
        <f t="shared" si="32"/>
        <v>524.70000000000005</v>
      </c>
    </row>
    <row r="680" spans="1:9" x14ac:dyDescent="0.25">
      <c r="A680" s="6" t="s">
        <v>50</v>
      </c>
      <c r="B680" s="7" t="s">
        <v>51</v>
      </c>
      <c r="C680" s="7" t="s">
        <v>17</v>
      </c>
      <c r="D680" s="8">
        <v>41926</v>
      </c>
      <c r="E680" s="8">
        <v>41926</v>
      </c>
      <c r="F680" s="9">
        <v>501.5</v>
      </c>
      <c r="G680">
        <f t="shared" si="30"/>
        <v>1</v>
      </c>
      <c r="H680">
        <f t="shared" si="31"/>
        <v>30</v>
      </c>
      <c r="I680">
        <f t="shared" si="32"/>
        <v>531.5</v>
      </c>
    </row>
    <row r="681" spans="1:9" x14ac:dyDescent="0.25">
      <c r="A681" s="10" t="s">
        <v>12</v>
      </c>
      <c r="B681" s="11" t="s">
        <v>13</v>
      </c>
      <c r="C681" s="11" t="s">
        <v>11</v>
      </c>
      <c r="D681" s="12">
        <v>41927</v>
      </c>
      <c r="E681" s="12">
        <v>41927</v>
      </c>
      <c r="F681" s="13">
        <v>156.4</v>
      </c>
      <c r="G681">
        <f t="shared" si="30"/>
        <v>1</v>
      </c>
      <c r="H681">
        <f t="shared" si="31"/>
        <v>30</v>
      </c>
      <c r="I681">
        <f t="shared" si="32"/>
        <v>186.4</v>
      </c>
    </row>
    <row r="682" spans="1:9" x14ac:dyDescent="0.25">
      <c r="A682" s="6" t="s">
        <v>70</v>
      </c>
      <c r="B682" s="7" t="s">
        <v>117</v>
      </c>
      <c r="C682" s="7" t="s">
        <v>30</v>
      </c>
      <c r="D682" s="8">
        <v>41927</v>
      </c>
      <c r="E682" s="8">
        <v>41927</v>
      </c>
      <c r="F682" s="9">
        <v>212.5</v>
      </c>
      <c r="G682">
        <f t="shared" si="30"/>
        <v>1</v>
      </c>
      <c r="H682">
        <f t="shared" si="31"/>
        <v>30</v>
      </c>
      <c r="I682">
        <f t="shared" si="32"/>
        <v>242.5</v>
      </c>
    </row>
    <row r="683" spans="1:9" x14ac:dyDescent="0.25">
      <c r="A683" s="10" t="s">
        <v>113</v>
      </c>
      <c r="B683" s="11" t="s">
        <v>114</v>
      </c>
      <c r="C683" s="11" t="s">
        <v>24</v>
      </c>
      <c r="D683" s="12">
        <v>41928</v>
      </c>
      <c r="E683" s="12">
        <v>41928</v>
      </c>
      <c r="F683" s="13">
        <v>290.7</v>
      </c>
      <c r="G683">
        <f t="shared" si="30"/>
        <v>1</v>
      </c>
      <c r="H683">
        <f t="shared" si="31"/>
        <v>30</v>
      </c>
      <c r="I683">
        <f t="shared" si="32"/>
        <v>320.7</v>
      </c>
    </row>
    <row r="684" spans="1:9" x14ac:dyDescent="0.25">
      <c r="A684" s="6" t="s">
        <v>22</v>
      </c>
      <c r="B684" s="7" t="s">
        <v>172</v>
      </c>
      <c r="C684" s="7" t="s">
        <v>24</v>
      </c>
      <c r="D684" s="8">
        <v>41929</v>
      </c>
      <c r="E684" s="8">
        <v>41930</v>
      </c>
      <c r="F684" s="9">
        <v>439.7</v>
      </c>
      <c r="G684">
        <f t="shared" si="30"/>
        <v>2</v>
      </c>
      <c r="H684">
        <f t="shared" si="31"/>
        <v>54</v>
      </c>
      <c r="I684">
        <f t="shared" si="32"/>
        <v>493.7</v>
      </c>
    </row>
    <row r="685" spans="1:9" x14ac:dyDescent="0.25">
      <c r="A685" s="10" t="s">
        <v>33</v>
      </c>
      <c r="B685" s="11" t="s">
        <v>34</v>
      </c>
      <c r="C685" s="11" t="s">
        <v>59</v>
      </c>
      <c r="D685" s="12">
        <v>41929</v>
      </c>
      <c r="E685" s="12">
        <v>41932</v>
      </c>
      <c r="F685" s="13">
        <v>919</v>
      </c>
      <c r="G685">
        <f t="shared" si="30"/>
        <v>4</v>
      </c>
      <c r="H685">
        <f t="shared" si="31"/>
        <v>102</v>
      </c>
      <c r="I685">
        <f t="shared" si="32"/>
        <v>1021</v>
      </c>
    </row>
    <row r="686" spans="1:9" x14ac:dyDescent="0.25">
      <c r="A686" s="6" t="s">
        <v>9</v>
      </c>
      <c r="B686" s="7" t="s">
        <v>103</v>
      </c>
      <c r="C686" s="7" t="s">
        <v>24</v>
      </c>
      <c r="D686" s="8">
        <v>41929</v>
      </c>
      <c r="E686" s="8">
        <v>41932</v>
      </c>
      <c r="F686" s="9">
        <v>737.7</v>
      </c>
      <c r="G686">
        <f t="shared" si="30"/>
        <v>4</v>
      </c>
      <c r="H686">
        <f t="shared" si="31"/>
        <v>102</v>
      </c>
      <c r="I686">
        <f t="shared" si="32"/>
        <v>839.7</v>
      </c>
    </row>
    <row r="687" spans="1:9" x14ac:dyDescent="0.25">
      <c r="A687" s="10" t="s">
        <v>115</v>
      </c>
      <c r="B687" s="11" t="s">
        <v>116</v>
      </c>
      <c r="C687" s="11" t="s">
        <v>30</v>
      </c>
      <c r="D687" s="12">
        <v>41929</v>
      </c>
      <c r="E687" s="12">
        <v>41930</v>
      </c>
      <c r="F687" s="13">
        <v>331.5</v>
      </c>
      <c r="G687">
        <f t="shared" si="30"/>
        <v>2</v>
      </c>
      <c r="H687">
        <f t="shared" si="31"/>
        <v>54</v>
      </c>
      <c r="I687">
        <f t="shared" si="32"/>
        <v>385.5</v>
      </c>
    </row>
    <row r="688" spans="1:9" x14ac:dyDescent="0.25">
      <c r="A688" s="6" t="s">
        <v>12</v>
      </c>
      <c r="B688" s="7" t="s">
        <v>95</v>
      </c>
      <c r="C688" s="7" t="s">
        <v>8</v>
      </c>
      <c r="D688" s="8">
        <v>41929</v>
      </c>
      <c r="E688" s="8">
        <v>41930</v>
      </c>
      <c r="F688" s="9">
        <v>891</v>
      </c>
      <c r="G688">
        <f t="shared" si="30"/>
        <v>2</v>
      </c>
      <c r="H688">
        <f t="shared" si="31"/>
        <v>54</v>
      </c>
      <c r="I688">
        <f t="shared" si="32"/>
        <v>945</v>
      </c>
    </row>
    <row r="689" spans="1:9" x14ac:dyDescent="0.25">
      <c r="A689" s="10" t="s">
        <v>9</v>
      </c>
      <c r="B689" s="11" t="s">
        <v>18</v>
      </c>
      <c r="C689" s="11" t="s">
        <v>38</v>
      </c>
      <c r="D689" s="12">
        <v>41929</v>
      </c>
      <c r="E689" s="12">
        <v>41932</v>
      </c>
      <c r="F689" s="13">
        <v>665.8</v>
      </c>
      <c r="G689">
        <f t="shared" si="30"/>
        <v>4</v>
      </c>
      <c r="H689">
        <f t="shared" si="31"/>
        <v>102</v>
      </c>
      <c r="I689">
        <f t="shared" si="32"/>
        <v>767.8</v>
      </c>
    </row>
    <row r="690" spans="1:9" x14ac:dyDescent="0.25">
      <c r="A690" s="6" t="s">
        <v>12</v>
      </c>
      <c r="B690" s="7" t="s">
        <v>13</v>
      </c>
      <c r="C690" s="7" t="s">
        <v>30</v>
      </c>
      <c r="D690" s="8">
        <v>41930</v>
      </c>
      <c r="E690" s="8">
        <v>41930</v>
      </c>
      <c r="F690" s="9">
        <v>212.5</v>
      </c>
      <c r="G690">
        <f t="shared" si="30"/>
        <v>1</v>
      </c>
      <c r="H690">
        <f t="shared" si="31"/>
        <v>30</v>
      </c>
      <c r="I690">
        <f t="shared" si="32"/>
        <v>242.5</v>
      </c>
    </row>
    <row r="691" spans="1:9" x14ac:dyDescent="0.25">
      <c r="A691" s="10" t="s">
        <v>122</v>
      </c>
      <c r="B691" s="11" t="s">
        <v>123</v>
      </c>
      <c r="C691" s="11" t="s">
        <v>59</v>
      </c>
      <c r="D691" s="12">
        <v>41934</v>
      </c>
      <c r="E691" s="12">
        <v>41937</v>
      </c>
      <c r="F691" s="13">
        <v>919</v>
      </c>
      <c r="G691">
        <f t="shared" si="30"/>
        <v>4</v>
      </c>
      <c r="H691">
        <f t="shared" si="31"/>
        <v>102</v>
      </c>
      <c r="I691">
        <f t="shared" si="32"/>
        <v>1021</v>
      </c>
    </row>
    <row r="692" spans="1:9" x14ac:dyDescent="0.25">
      <c r="A692" s="6" t="s">
        <v>93</v>
      </c>
      <c r="B692" s="7" t="s">
        <v>124</v>
      </c>
      <c r="C692" s="7" t="s">
        <v>72</v>
      </c>
      <c r="D692" s="8">
        <v>41934</v>
      </c>
      <c r="E692" s="8">
        <v>41935</v>
      </c>
      <c r="F692" s="9">
        <v>693.7</v>
      </c>
      <c r="G692">
        <f t="shared" si="30"/>
        <v>2</v>
      </c>
      <c r="H692">
        <f t="shared" si="31"/>
        <v>54</v>
      </c>
      <c r="I692">
        <f t="shared" si="32"/>
        <v>747.7</v>
      </c>
    </row>
    <row r="693" spans="1:9" x14ac:dyDescent="0.25">
      <c r="A693" s="10" t="s">
        <v>54</v>
      </c>
      <c r="B693" s="11" t="s">
        <v>81</v>
      </c>
      <c r="C693" s="11" t="s">
        <v>66</v>
      </c>
      <c r="D693" s="12">
        <v>41934</v>
      </c>
      <c r="E693" s="12">
        <v>41934</v>
      </c>
      <c r="F693" s="13">
        <v>307.7</v>
      </c>
      <c r="G693">
        <f t="shared" si="30"/>
        <v>1</v>
      </c>
      <c r="H693">
        <f t="shared" si="31"/>
        <v>30</v>
      </c>
      <c r="I693">
        <f t="shared" si="32"/>
        <v>337.7</v>
      </c>
    </row>
    <row r="694" spans="1:9" x14ac:dyDescent="0.25">
      <c r="A694" s="6" t="s">
        <v>22</v>
      </c>
      <c r="B694" s="7" t="s">
        <v>172</v>
      </c>
      <c r="C694" s="7" t="s">
        <v>66</v>
      </c>
      <c r="D694" s="8">
        <v>41934</v>
      </c>
      <c r="E694" s="8">
        <v>41935</v>
      </c>
      <c r="F694" s="9">
        <v>485.7</v>
      </c>
      <c r="G694">
        <f t="shared" si="30"/>
        <v>2</v>
      </c>
      <c r="H694">
        <f t="shared" si="31"/>
        <v>54</v>
      </c>
      <c r="I694">
        <f t="shared" si="32"/>
        <v>539.70000000000005</v>
      </c>
    </row>
    <row r="695" spans="1:9" x14ac:dyDescent="0.25">
      <c r="A695" s="10" t="s">
        <v>131</v>
      </c>
      <c r="B695" s="11" t="s">
        <v>142</v>
      </c>
      <c r="C695" s="11" t="s">
        <v>24</v>
      </c>
      <c r="D695" s="12">
        <v>41934</v>
      </c>
      <c r="E695" s="12">
        <v>41937</v>
      </c>
      <c r="F695" s="13">
        <v>737.7</v>
      </c>
      <c r="G695">
        <f t="shared" si="30"/>
        <v>4</v>
      </c>
      <c r="H695">
        <f t="shared" si="31"/>
        <v>102</v>
      </c>
      <c r="I695">
        <f t="shared" si="32"/>
        <v>839.7</v>
      </c>
    </row>
    <row r="696" spans="1:9" x14ac:dyDescent="0.25">
      <c r="A696" s="6" t="s">
        <v>86</v>
      </c>
      <c r="B696" s="7" t="s">
        <v>150</v>
      </c>
      <c r="C696" s="7" t="s">
        <v>8</v>
      </c>
      <c r="D696" s="8">
        <v>41934</v>
      </c>
      <c r="E696" s="8">
        <v>41935</v>
      </c>
      <c r="F696" s="9">
        <v>891</v>
      </c>
      <c r="G696">
        <f t="shared" si="30"/>
        <v>2</v>
      </c>
      <c r="H696">
        <f t="shared" si="31"/>
        <v>54</v>
      </c>
      <c r="I696">
        <f t="shared" si="32"/>
        <v>945</v>
      </c>
    </row>
    <row r="697" spans="1:9" x14ac:dyDescent="0.25">
      <c r="A697" s="10" t="s">
        <v>50</v>
      </c>
      <c r="B697" s="11" t="s">
        <v>51</v>
      </c>
      <c r="C697" s="11" t="s">
        <v>47</v>
      </c>
      <c r="D697" s="12">
        <v>41934</v>
      </c>
      <c r="E697" s="12">
        <v>41936</v>
      </c>
      <c r="F697" s="13">
        <v>689.8</v>
      </c>
      <c r="G697">
        <f t="shared" si="30"/>
        <v>3</v>
      </c>
      <c r="H697">
        <f t="shared" si="31"/>
        <v>78</v>
      </c>
      <c r="I697">
        <f t="shared" si="32"/>
        <v>767.8</v>
      </c>
    </row>
    <row r="698" spans="1:9" x14ac:dyDescent="0.25">
      <c r="A698" s="6" t="s">
        <v>82</v>
      </c>
      <c r="B698" s="7" t="s">
        <v>125</v>
      </c>
      <c r="C698" s="7" t="s">
        <v>72</v>
      </c>
      <c r="D698" s="8">
        <v>41934</v>
      </c>
      <c r="E698" s="8">
        <v>41934</v>
      </c>
      <c r="F698" s="9">
        <v>494.7</v>
      </c>
      <c r="G698">
        <f t="shared" si="30"/>
        <v>1</v>
      </c>
      <c r="H698">
        <f t="shared" si="31"/>
        <v>30</v>
      </c>
      <c r="I698">
        <f t="shared" si="32"/>
        <v>524.70000000000005</v>
      </c>
    </row>
    <row r="699" spans="1:9" x14ac:dyDescent="0.25">
      <c r="A699" s="10" t="s">
        <v>170</v>
      </c>
      <c r="B699" s="11" t="s">
        <v>171</v>
      </c>
      <c r="C699" s="11" t="s">
        <v>27</v>
      </c>
      <c r="D699" s="12">
        <v>41934</v>
      </c>
      <c r="E699" s="12">
        <v>41934</v>
      </c>
      <c r="F699" s="13">
        <v>442</v>
      </c>
      <c r="G699">
        <f t="shared" si="30"/>
        <v>1</v>
      </c>
      <c r="H699">
        <f t="shared" si="31"/>
        <v>30</v>
      </c>
      <c r="I699">
        <f t="shared" si="32"/>
        <v>472</v>
      </c>
    </row>
    <row r="700" spans="1:9" x14ac:dyDescent="0.25">
      <c r="A700" s="6" t="s">
        <v>9</v>
      </c>
      <c r="B700" s="7" t="s">
        <v>10</v>
      </c>
      <c r="C700" s="7" t="s">
        <v>59</v>
      </c>
      <c r="D700" s="8">
        <v>41934</v>
      </c>
      <c r="E700" s="8">
        <v>41937</v>
      </c>
      <c r="F700" s="9">
        <v>919</v>
      </c>
      <c r="G700">
        <f t="shared" si="30"/>
        <v>4</v>
      </c>
      <c r="H700">
        <f t="shared" si="31"/>
        <v>102</v>
      </c>
      <c r="I700">
        <f t="shared" si="32"/>
        <v>1021</v>
      </c>
    </row>
    <row r="701" spans="1:9" x14ac:dyDescent="0.25">
      <c r="A701" s="10" t="s">
        <v>73</v>
      </c>
      <c r="B701" s="11" t="s">
        <v>74</v>
      </c>
      <c r="C701" s="11" t="s">
        <v>59</v>
      </c>
      <c r="D701" s="12">
        <v>41934</v>
      </c>
      <c r="E701" s="12">
        <v>41938</v>
      </c>
      <c r="F701" s="13">
        <v>1078</v>
      </c>
      <c r="G701">
        <f t="shared" si="30"/>
        <v>5</v>
      </c>
      <c r="H701">
        <f t="shared" si="31"/>
        <v>126</v>
      </c>
      <c r="I701">
        <f t="shared" si="32"/>
        <v>1204</v>
      </c>
    </row>
    <row r="702" spans="1:9" x14ac:dyDescent="0.25">
      <c r="A702" s="6" t="s">
        <v>54</v>
      </c>
      <c r="B702" s="7" t="s">
        <v>121</v>
      </c>
      <c r="C702" s="7" t="s">
        <v>38</v>
      </c>
      <c r="D702" s="8">
        <v>41934</v>
      </c>
      <c r="E702" s="8">
        <v>41934</v>
      </c>
      <c r="F702" s="9">
        <v>278.8</v>
      </c>
      <c r="G702">
        <f t="shared" si="30"/>
        <v>1</v>
      </c>
      <c r="H702">
        <f t="shared" si="31"/>
        <v>30</v>
      </c>
      <c r="I702">
        <f t="shared" si="32"/>
        <v>308.8</v>
      </c>
    </row>
    <row r="703" spans="1:9" x14ac:dyDescent="0.25">
      <c r="A703" s="10" t="s">
        <v>12</v>
      </c>
      <c r="B703" s="11" t="s">
        <v>13</v>
      </c>
      <c r="C703" s="11" t="s">
        <v>38</v>
      </c>
      <c r="D703" s="12">
        <v>41934</v>
      </c>
      <c r="E703" s="12">
        <v>41936</v>
      </c>
      <c r="F703" s="13">
        <v>536.79999999999995</v>
      </c>
      <c r="G703">
        <f t="shared" si="30"/>
        <v>3</v>
      </c>
      <c r="H703">
        <f t="shared" si="31"/>
        <v>78</v>
      </c>
      <c r="I703">
        <f t="shared" si="32"/>
        <v>614.79999999999995</v>
      </c>
    </row>
    <row r="704" spans="1:9" x14ac:dyDescent="0.25">
      <c r="A704" s="6" t="s">
        <v>147</v>
      </c>
      <c r="B704" s="7" t="s">
        <v>148</v>
      </c>
      <c r="C704" s="7" t="s">
        <v>30</v>
      </c>
      <c r="D704" s="8">
        <v>41934</v>
      </c>
      <c r="E704" s="8">
        <v>41937</v>
      </c>
      <c r="F704" s="9">
        <v>569.5</v>
      </c>
      <c r="G704">
        <f t="shared" si="30"/>
        <v>4</v>
      </c>
      <c r="H704">
        <f t="shared" si="31"/>
        <v>102</v>
      </c>
      <c r="I704">
        <f t="shared" si="32"/>
        <v>671.5</v>
      </c>
    </row>
    <row r="705" spans="1:9" x14ac:dyDescent="0.25">
      <c r="A705" s="10" t="s">
        <v>89</v>
      </c>
      <c r="B705" s="11" t="s">
        <v>90</v>
      </c>
      <c r="C705" s="11" t="s">
        <v>59</v>
      </c>
      <c r="D705" s="12">
        <v>41934</v>
      </c>
      <c r="E705" s="12">
        <v>41936</v>
      </c>
      <c r="F705" s="13">
        <v>760</v>
      </c>
      <c r="G705">
        <f t="shared" si="30"/>
        <v>3</v>
      </c>
      <c r="H705">
        <f t="shared" si="31"/>
        <v>78</v>
      </c>
      <c r="I705">
        <f t="shared" si="32"/>
        <v>838</v>
      </c>
    </row>
    <row r="706" spans="1:9" x14ac:dyDescent="0.25">
      <c r="A706" s="6" t="s">
        <v>91</v>
      </c>
      <c r="B706" s="7" t="s">
        <v>161</v>
      </c>
      <c r="C706" s="7" t="s">
        <v>14</v>
      </c>
      <c r="D706" s="8">
        <v>41934</v>
      </c>
      <c r="E706" s="8">
        <v>41938</v>
      </c>
      <c r="F706" s="9">
        <v>674.5</v>
      </c>
      <c r="G706">
        <f t="shared" si="30"/>
        <v>5</v>
      </c>
      <c r="H706">
        <f t="shared" si="31"/>
        <v>126</v>
      </c>
      <c r="I706">
        <f t="shared" si="32"/>
        <v>800.5</v>
      </c>
    </row>
    <row r="707" spans="1:9" x14ac:dyDescent="0.25">
      <c r="A707" s="10" t="s">
        <v>9</v>
      </c>
      <c r="B707" s="11" t="s">
        <v>18</v>
      </c>
      <c r="C707" s="11" t="s">
        <v>38</v>
      </c>
      <c r="D707" s="12">
        <v>41934</v>
      </c>
      <c r="E707" s="12">
        <v>41934</v>
      </c>
      <c r="F707" s="13">
        <v>278.8</v>
      </c>
      <c r="G707">
        <f t="shared" ref="G707:G770" si="33">E707-D707 + 1</f>
        <v>1</v>
      </c>
      <c r="H707">
        <f t="shared" ref="H707:H770" si="34">30+(G707-1)*24</f>
        <v>30</v>
      </c>
      <c r="I707">
        <f t="shared" ref="I707:I770" si="35">H707+F707</f>
        <v>308.8</v>
      </c>
    </row>
    <row r="708" spans="1:9" x14ac:dyDescent="0.25">
      <c r="A708" s="6" t="s">
        <v>57</v>
      </c>
      <c r="B708" s="7" t="s">
        <v>58</v>
      </c>
      <c r="C708" s="7" t="s">
        <v>30</v>
      </c>
      <c r="D708" s="8">
        <v>41934</v>
      </c>
      <c r="E708" s="8">
        <v>41935</v>
      </c>
      <c r="F708" s="9">
        <v>331.5</v>
      </c>
      <c r="G708">
        <f t="shared" si="33"/>
        <v>2</v>
      </c>
      <c r="H708">
        <f t="shared" si="34"/>
        <v>54</v>
      </c>
      <c r="I708">
        <f t="shared" si="35"/>
        <v>385.5</v>
      </c>
    </row>
    <row r="709" spans="1:9" x14ac:dyDescent="0.25">
      <c r="A709" s="10" t="s">
        <v>20</v>
      </c>
      <c r="B709" s="11" t="s">
        <v>21</v>
      </c>
      <c r="C709" s="11" t="s">
        <v>47</v>
      </c>
      <c r="D709" s="12">
        <v>41934</v>
      </c>
      <c r="E709" s="12">
        <v>41938</v>
      </c>
      <c r="F709" s="13">
        <v>1015.8</v>
      </c>
      <c r="G709">
        <f t="shared" si="33"/>
        <v>5</v>
      </c>
      <c r="H709">
        <f t="shared" si="34"/>
        <v>126</v>
      </c>
      <c r="I709">
        <f t="shared" si="35"/>
        <v>1141.8</v>
      </c>
    </row>
    <row r="710" spans="1:9" x14ac:dyDescent="0.25">
      <c r="A710" s="6" t="s">
        <v>22</v>
      </c>
      <c r="B710" s="7" t="s">
        <v>23</v>
      </c>
      <c r="C710" s="7" t="s">
        <v>72</v>
      </c>
      <c r="D710" s="8">
        <v>41935</v>
      </c>
      <c r="E710" s="8">
        <v>41937</v>
      </c>
      <c r="F710" s="9">
        <v>892.7</v>
      </c>
      <c r="G710">
        <f t="shared" si="33"/>
        <v>3</v>
      </c>
      <c r="H710">
        <f t="shared" si="34"/>
        <v>78</v>
      </c>
      <c r="I710">
        <f t="shared" si="35"/>
        <v>970.7</v>
      </c>
    </row>
    <row r="711" spans="1:9" x14ac:dyDescent="0.25">
      <c r="A711" s="10" t="s">
        <v>31</v>
      </c>
      <c r="B711" s="11" t="s">
        <v>78</v>
      </c>
      <c r="C711" s="11" t="s">
        <v>59</v>
      </c>
      <c r="D711" s="12">
        <v>41935</v>
      </c>
      <c r="E711" s="12">
        <v>41938</v>
      </c>
      <c r="F711" s="13">
        <v>919</v>
      </c>
      <c r="G711">
        <f t="shared" si="33"/>
        <v>4</v>
      </c>
      <c r="H711">
        <f t="shared" si="34"/>
        <v>102</v>
      </c>
      <c r="I711">
        <f t="shared" si="35"/>
        <v>1021</v>
      </c>
    </row>
    <row r="712" spans="1:9" x14ac:dyDescent="0.25">
      <c r="A712" s="6" t="s">
        <v>86</v>
      </c>
      <c r="B712" s="7" t="s">
        <v>150</v>
      </c>
      <c r="C712" s="7" t="s">
        <v>27</v>
      </c>
      <c r="D712" s="8">
        <v>41935</v>
      </c>
      <c r="E712" s="8">
        <v>41936</v>
      </c>
      <c r="F712" s="9">
        <v>570</v>
      </c>
      <c r="G712">
        <f t="shared" si="33"/>
        <v>2</v>
      </c>
      <c r="H712">
        <f t="shared" si="34"/>
        <v>54</v>
      </c>
      <c r="I712">
        <f t="shared" si="35"/>
        <v>624</v>
      </c>
    </row>
    <row r="713" spans="1:9" x14ac:dyDescent="0.25">
      <c r="A713" s="10" t="s">
        <v>25</v>
      </c>
      <c r="B713" s="11" t="s">
        <v>26</v>
      </c>
      <c r="C713" s="11" t="s">
        <v>11</v>
      </c>
      <c r="D713" s="12">
        <v>41935</v>
      </c>
      <c r="E713" s="12">
        <v>41936</v>
      </c>
      <c r="F713" s="13">
        <v>295.39999999999998</v>
      </c>
      <c r="G713">
        <f t="shared" si="33"/>
        <v>2</v>
      </c>
      <c r="H713">
        <f t="shared" si="34"/>
        <v>54</v>
      </c>
      <c r="I713">
        <f t="shared" si="35"/>
        <v>349.4</v>
      </c>
    </row>
    <row r="714" spans="1:9" x14ac:dyDescent="0.25">
      <c r="A714" s="6" t="s">
        <v>31</v>
      </c>
      <c r="B714" s="7" t="s">
        <v>32</v>
      </c>
      <c r="C714" s="7" t="s">
        <v>8</v>
      </c>
      <c r="D714" s="8">
        <v>41935</v>
      </c>
      <c r="E714" s="8">
        <v>41936</v>
      </c>
      <c r="F714" s="9">
        <v>891</v>
      </c>
      <c r="G714">
        <f t="shared" si="33"/>
        <v>2</v>
      </c>
      <c r="H714">
        <f t="shared" si="34"/>
        <v>54</v>
      </c>
      <c r="I714">
        <f t="shared" si="35"/>
        <v>945</v>
      </c>
    </row>
    <row r="715" spans="1:9" x14ac:dyDescent="0.25">
      <c r="A715" s="10" t="s">
        <v>168</v>
      </c>
      <c r="B715" s="11" t="s">
        <v>169</v>
      </c>
      <c r="C715" s="11" t="s">
        <v>27</v>
      </c>
      <c r="D715" s="12">
        <v>41935</v>
      </c>
      <c r="E715" s="12">
        <v>41936</v>
      </c>
      <c r="F715" s="13">
        <v>570</v>
      </c>
      <c r="G715">
        <f t="shared" si="33"/>
        <v>2</v>
      </c>
      <c r="H715">
        <f t="shared" si="34"/>
        <v>54</v>
      </c>
      <c r="I715">
        <f t="shared" si="35"/>
        <v>624</v>
      </c>
    </row>
    <row r="716" spans="1:9" x14ac:dyDescent="0.25">
      <c r="A716" s="6" t="s">
        <v>115</v>
      </c>
      <c r="B716" s="7" t="s">
        <v>140</v>
      </c>
      <c r="C716" s="7" t="s">
        <v>24</v>
      </c>
      <c r="D716" s="8">
        <v>41935</v>
      </c>
      <c r="E716" s="8">
        <v>41935</v>
      </c>
      <c r="F716" s="9">
        <v>290.7</v>
      </c>
      <c r="G716">
        <f t="shared" si="33"/>
        <v>1</v>
      </c>
      <c r="H716">
        <f t="shared" si="34"/>
        <v>30</v>
      </c>
      <c r="I716">
        <f t="shared" si="35"/>
        <v>320.7</v>
      </c>
    </row>
    <row r="717" spans="1:9" x14ac:dyDescent="0.25">
      <c r="A717" s="10" t="s">
        <v>73</v>
      </c>
      <c r="B717" s="11" t="s">
        <v>74</v>
      </c>
      <c r="C717" s="11" t="s">
        <v>17</v>
      </c>
      <c r="D717" s="12">
        <v>41935</v>
      </c>
      <c r="E717" s="12">
        <v>41936</v>
      </c>
      <c r="F717" s="13">
        <v>706.5</v>
      </c>
      <c r="G717">
        <f t="shared" si="33"/>
        <v>2</v>
      </c>
      <c r="H717">
        <f t="shared" si="34"/>
        <v>54</v>
      </c>
      <c r="I717">
        <f t="shared" si="35"/>
        <v>760.5</v>
      </c>
    </row>
    <row r="718" spans="1:9" x14ac:dyDescent="0.25">
      <c r="A718" s="6" t="s">
        <v>119</v>
      </c>
      <c r="B718" s="7" t="s">
        <v>120</v>
      </c>
      <c r="C718" s="7" t="s">
        <v>17</v>
      </c>
      <c r="D718" s="8">
        <v>41935</v>
      </c>
      <c r="E718" s="8">
        <v>41937</v>
      </c>
      <c r="F718" s="9">
        <v>911.5</v>
      </c>
      <c r="G718">
        <f t="shared" si="33"/>
        <v>3</v>
      </c>
      <c r="H718">
        <f t="shared" si="34"/>
        <v>78</v>
      </c>
      <c r="I718">
        <f t="shared" si="35"/>
        <v>989.5</v>
      </c>
    </row>
    <row r="719" spans="1:9" x14ac:dyDescent="0.25">
      <c r="A719" s="10" t="s">
        <v>107</v>
      </c>
      <c r="B719" s="11" t="s">
        <v>108</v>
      </c>
      <c r="C719" s="11" t="s">
        <v>66</v>
      </c>
      <c r="D719" s="12">
        <v>41935</v>
      </c>
      <c r="E719" s="12">
        <v>41938</v>
      </c>
      <c r="F719" s="13">
        <v>841.7</v>
      </c>
      <c r="G719">
        <f t="shared" si="33"/>
        <v>4</v>
      </c>
      <c r="H719">
        <f t="shared" si="34"/>
        <v>102</v>
      </c>
      <c r="I719">
        <f t="shared" si="35"/>
        <v>943.7</v>
      </c>
    </row>
    <row r="720" spans="1:9" x14ac:dyDescent="0.25">
      <c r="A720" s="6" t="s">
        <v>39</v>
      </c>
      <c r="B720" s="7" t="s">
        <v>40</v>
      </c>
      <c r="C720" s="7" t="s">
        <v>8</v>
      </c>
      <c r="D720" s="8">
        <v>41935</v>
      </c>
      <c r="E720" s="8">
        <v>41937</v>
      </c>
      <c r="F720" s="9">
        <v>1102</v>
      </c>
      <c r="G720">
        <f t="shared" si="33"/>
        <v>3</v>
      </c>
      <c r="H720">
        <f t="shared" si="34"/>
        <v>78</v>
      </c>
      <c r="I720">
        <f t="shared" si="35"/>
        <v>1180</v>
      </c>
    </row>
    <row r="721" spans="1:9" x14ac:dyDescent="0.25">
      <c r="A721" s="10" t="s">
        <v>12</v>
      </c>
      <c r="B721" s="11" t="s">
        <v>95</v>
      </c>
      <c r="C721" s="11" t="s">
        <v>8</v>
      </c>
      <c r="D721" s="12">
        <v>41935</v>
      </c>
      <c r="E721" s="12">
        <v>41935</v>
      </c>
      <c r="F721" s="13">
        <v>680</v>
      </c>
      <c r="G721">
        <f t="shared" si="33"/>
        <v>1</v>
      </c>
      <c r="H721">
        <f t="shared" si="34"/>
        <v>30</v>
      </c>
      <c r="I721">
        <f t="shared" si="35"/>
        <v>710</v>
      </c>
    </row>
    <row r="722" spans="1:9" x14ac:dyDescent="0.25">
      <c r="A722" s="6" t="s">
        <v>170</v>
      </c>
      <c r="B722" s="7" t="s">
        <v>171</v>
      </c>
      <c r="C722" s="7" t="s">
        <v>66</v>
      </c>
      <c r="D722" s="8">
        <v>41936</v>
      </c>
      <c r="E722" s="8">
        <v>41936</v>
      </c>
      <c r="F722" s="9">
        <v>307.7</v>
      </c>
      <c r="G722">
        <f t="shared" si="33"/>
        <v>1</v>
      </c>
      <c r="H722">
        <f t="shared" si="34"/>
        <v>30</v>
      </c>
      <c r="I722">
        <f t="shared" si="35"/>
        <v>337.7</v>
      </c>
    </row>
    <row r="723" spans="1:9" x14ac:dyDescent="0.25">
      <c r="A723" s="10" t="s">
        <v>9</v>
      </c>
      <c r="B723" s="11" t="s">
        <v>18</v>
      </c>
      <c r="C723" s="11" t="s">
        <v>24</v>
      </c>
      <c r="D723" s="12">
        <v>41936</v>
      </c>
      <c r="E723" s="12">
        <v>41936</v>
      </c>
      <c r="F723" s="13">
        <v>290.7</v>
      </c>
      <c r="G723">
        <f t="shared" si="33"/>
        <v>1</v>
      </c>
      <c r="H723">
        <f t="shared" si="34"/>
        <v>30</v>
      </c>
      <c r="I723">
        <f t="shared" si="35"/>
        <v>320.7</v>
      </c>
    </row>
    <row r="724" spans="1:9" x14ac:dyDescent="0.25">
      <c r="A724" s="6" t="s">
        <v>82</v>
      </c>
      <c r="B724" s="7" t="s">
        <v>125</v>
      </c>
      <c r="C724" s="7" t="s">
        <v>66</v>
      </c>
      <c r="D724" s="8">
        <v>41937</v>
      </c>
      <c r="E724" s="8">
        <v>41937</v>
      </c>
      <c r="F724" s="9">
        <v>307.7</v>
      </c>
      <c r="G724">
        <f t="shared" si="33"/>
        <v>1</v>
      </c>
      <c r="H724">
        <f t="shared" si="34"/>
        <v>30</v>
      </c>
      <c r="I724">
        <f t="shared" si="35"/>
        <v>337.7</v>
      </c>
    </row>
    <row r="725" spans="1:9" x14ac:dyDescent="0.25">
      <c r="A725" s="10" t="s">
        <v>54</v>
      </c>
      <c r="B725" s="11" t="s">
        <v>121</v>
      </c>
      <c r="C725" s="11" t="s">
        <v>38</v>
      </c>
      <c r="D725" s="12">
        <v>41937</v>
      </c>
      <c r="E725" s="12">
        <v>41937</v>
      </c>
      <c r="F725" s="13">
        <v>278.8</v>
      </c>
      <c r="G725">
        <f t="shared" si="33"/>
        <v>1</v>
      </c>
      <c r="H725">
        <f t="shared" si="34"/>
        <v>30</v>
      </c>
      <c r="I725">
        <f t="shared" si="35"/>
        <v>308.8</v>
      </c>
    </row>
    <row r="726" spans="1:9" x14ac:dyDescent="0.25">
      <c r="A726" s="6" t="s">
        <v>12</v>
      </c>
      <c r="B726" s="7" t="s">
        <v>95</v>
      </c>
      <c r="C726" s="7" t="s">
        <v>27</v>
      </c>
      <c r="D726" s="8">
        <v>41937</v>
      </c>
      <c r="E726" s="8">
        <v>41938</v>
      </c>
      <c r="F726" s="9">
        <v>570</v>
      </c>
      <c r="G726">
        <f t="shared" si="33"/>
        <v>2</v>
      </c>
      <c r="H726">
        <f t="shared" si="34"/>
        <v>54</v>
      </c>
      <c r="I726">
        <f t="shared" si="35"/>
        <v>624</v>
      </c>
    </row>
    <row r="727" spans="1:9" x14ac:dyDescent="0.25">
      <c r="A727" s="10" t="s">
        <v>31</v>
      </c>
      <c r="B727" s="11" t="s">
        <v>32</v>
      </c>
      <c r="C727" s="11" t="s">
        <v>19</v>
      </c>
      <c r="D727" s="12">
        <v>41938</v>
      </c>
      <c r="E727" s="12">
        <v>41938</v>
      </c>
      <c r="F727" s="13">
        <v>513.4</v>
      </c>
      <c r="G727">
        <f t="shared" si="33"/>
        <v>1</v>
      </c>
      <c r="H727">
        <f t="shared" si="34"/>
        <v>30</v>
      </c>
      <c r="I727">
        <f t="shared" si="35"/>
        <v>543.4</v>
      </c>
    </row>
    <row r="728" spans="1:9" x14ac:dyDescent="0.25">
      <c r="A728" s="6" t="s">
        <v>170</v>
      </c>
      <c r="B728" s="7" t="s">
        <v>171</v>
      </c>
      <c r="C728" s="7" t="s">
        <v>66</v>
      </c>
      <c r="D728" s="8">
        <v>41939</v>
      </c>
      <c r="E728" s="8">
        <v>41939</v>
      </c>
      <c r="F728" s="9">
        <v>307.7</v>
      </c>
      <c r="G728">
        <f t="shared" si="33"/>
        <v>1</v>
      </c>
      <c r="H728">
        <f t="shared" si="34"/>
        <v>30</v>
      </c>
      <c r="I728">
        <f t="shared" si="35"/>
        <v>337.7</v>
      </c>
    </row>
    <row r="729" spans="1:9" x14ac:dyDescent="0.25">
      <c r="A729" s="10" t="s">
        <v>54</v>
      </c>
      <c r="B729" s="11" t="s">
        <v>55</v>
      </c>
      <c r="C729" s="11" t="s">
        <v>14</v>
      </c>
      <c r="D729" s="12">
        <v>41940</v>
      </c>
      <c r="E729" s="12">
        <v>41942</v>
      </c>
      <c r="F729" s="13">
        <v>426.5</v>
      </c>
      <c r="G729">
        <f t="shared" si="33"/>
        <v>3</v>
      </c>
      <c r="H729">
        <f t="shared" si="34"/>
        <v>78</v>
      </c>
      <c r="I729">
        <f t="shared" si="35"/>
        <v>504.5</v>
      </c>
    </row>
    <row r="730" spans="1:9" x14ac:dyDescent="0.25">
      <c r="A730" s="6" t="s">
        <v>82</v>
      </c>
      <c r="B730" s="7" t="s">
        <v>83</v>
      </c>
      <c r="C730" s="7" t="s">
        <v>38</v>
      </c>
      <c r="D730" s="8">
        <v>41941</v>
      </c>
      <c r="E730" s="8">
        <v>41942</v>
      </c>
      <c r="F730" s="9">
        <v>407.8</v>
      </c>
      <c r="G730">
        <f t="shared" si="33"/>
        <v>2</v>
      </c>
      <c r="H730">
        <f t="shared" si="34"/>
        <v>54</v>
      </c>
      <c r="I730">
        <f t="shared" si="35"/>
        <v>461.8</v>
      </c>
    </row>
    <row r="731" spans="1:9" x14ac:dyDescent="0.25">
      <c r="A731" s="10" t="s">
        <v>31</v>
      </c>
      <c r="B731" s="11" t="s">
        <v>32</v>
      </c>
      <c r="C731" s="11" t="s">
        <v>19</v>
      </c>
      <c r="D731" s="12">
        <v>41941</v>
      </c>
      <c r="E731" s="12">
        <v>41941</v>
      </c>
      <c r="F731" s="13">
        <v>513.4</v>
      </c>
      <c r="G731">
        <f t="shared" si="33"/>
        <v>1</v>
      </c>
      <c r="H731">
        <f t="shared" si="34"/>
        <v>30</v>
      </c>
      <c r="I731">
        <f t="shared" si="35"/>
        <v>543.4</v>
      </c>
    </row>
    <row r="732" spans="1:9" x14ac:dyDescent="0.25">
      <c r="A732" s="6" t="s">
        <v>111</v>
      </c>
      <c r="B732" s="7" t="s">
        <v>112</v>
      </c>
      <c r="C732" s="7" t="s">
        <v>11</v>
      </c>
      <c r="D732" s="8">
        <v>41941</v>
      </c>
      <c r="E732" s="8">
        <v>41942</v>
      </c>
      <c r="F732" s="9">
        <v>295.39999999999998</v>
      </c>
      <c r="G732">
        <f t="shared" si="33"/>
        <v>2</v>
      </c>
      <c r="H732">
        <f t="shared" si="34"/>
        <v>54</v>
      </c>
      <c r="I732">
        <f t="shared" si="35"/>
        <v>349.4</v>
      </c>
    </row>
    <row r="733" spans="1:9" x14ac:dyDescent="0.25">
      <c r="A733" s="10" t="s">
        <v>113</v>
      </c>
      <c r="B733" s="11" t="s">
        <v>114</v>
      </c>
      <c r="C733" s="11" t="s">
        <v>24</v>
      </c>
      <c r="D733" s="12">
        <v>41941</v>
      </c>
      <c r="E733" s="12">
        <v>41942</v>
      </c>
      <c r="F733" s="13">
        <v>439.7</v>
      </c>
      <c r="G733">
        <f t="shared" si="33"/>
        <v>2</v>
      </c>
      <c r="H733">
        <f t="shared" si="34"/>
        <v>54</v>
      </c>
      <c r="I733">
        <f t="shared" si="35"/>
        <v>493.7</v>
      </c>
    </row>
    <row r="734" spans="1:9" x14ac:dyDescent="0.25">
      <c r="A734" s="6" t="s">
        <v>91</v>
      </c>
      <c r="B734" s="7" t="s">
        <v>92</v>
      </c>
      <c r="C734" s="7" t="s">
        <v>24</v>
      </c>
      <c r="D734" s="8">
        <v>41941</v>
      </c>
      <c r="E734" s="8">
        <v>41945</v>
      </c>
      <c r="F734" s="9">
        <v>886.7</v>
      </c>
      <c r="G734">
        <f t="shared" si="33"/>
        <v>5</v>
      </c>
      <c r="H734">
        <f t="shared" si="34"/>
        <v>126</v>
      </c>
      <c r="I734">
        <f t="shared" si="35"/>
        <v>1012.7</v>
      </c>
    </row>
    <row r="735" spans="1:9" x14ac:dyDescent="0.25">
      <c r="A735" s="10" t="s">
        <v>12</v>
      </c>
      <c r="B735" s="11" t="s">
        <v>95</v>
      </c>
      <c r="C735" s="11" t="s">
        <v>27</v>
      </c>
      <c r="D735" s="12">
        <v>41941</v>
      </c>
      <c r="E735" s="12">
        <v>41943</v>
      </c>
      <c r="F735" s="13">
        <v>698</v>
      </c>
      <c r="G735">
        <f t="shared" si="33"/>
        <v>3</v>
      </c>
      <c r="H735">
        <f t="shared" si="34"/>
        <v>78</v>
      </c>
      <c r="I735">
        <f t="shared" si="35"/>
        <v>776</v>
      </c>
    </row>
    <row r="736" spans="1:9" x14ac:dyDescent="0.25">
      <c r="A736" s="6" t="s">
        <v>20</v>
      </c>
      <c r="B736" s="7" t="s">
        <v>21</v>
      </c>
      <c r="C736" s="7" t="s">
        <v>66</v>
      </c>
      <c r="D736" s="8">
        <v>41941</v>
      </c>
      <c r="E736" s="8">
        <v>41941</v>
      </c>
      <c r="F736" s="9">
        <v>307.7</v>
      </c>
      <c r="G736">
        <f t="shared" si="33"/>
        <v>1</v>
      </c>
      <c r="H736">
        <f t="shared" si="34"/>
        <v>30</v>
      </c>
      <c r="I736">
        <f t="shared" si="35"/>
        <v>337.7</v>
      </c>
    </row>
    <row r="737" spans="1:9" x14ac:dyDescent="0.25">
      <c r="A737" s="10" t="s">
        <v>93</v>
      </c>
      <c r="B737" s="11" t="s">
        <v>124</v>
      </c>
      <c r="C737" s="11" t="s">
        <v>11</v>
      </c>
      <c r="D737" s="12">
        <v>41946</v>
      </c>
      <c r="E737" s="12">
        <v>41947</v>
      </c>
      <c r="F737" s="13">
        <v>295.39999999999998</v>
      </c>
      <c r="G737">
        <f t="shared" si="33"/>
        <v>2</v>
      </c>
      <c r="H737">
        <f t="shared" si="34"/>
        <v>54</v>
      </c>
      <c r="I737">
        <f t="shared" si="35"/>
        <v>349.4</v>
      </c>
    </row>
    <row r="738" spans="1:9" x14ac:dyDescent="0.25">
      <c r="A738" s="6" t="s">
        <v>54</v>
      </c>
      <c r="B738" s="7" t="s">
        <v>81</v>
      </c>
      <c r="C738" s="7" t="s">
        <v>17</v>
      </c>
      <c r="D738" s="8">
        <v>41946</v>
      </c>
      <c r="E738" s="8">
        <v>41946</v>
      </c>
      <c r="F738" s="9">
        <v>501.5</v>
      </c>
      <c r="G738">
        <f t="shared" si="33"/>
        <v>1</v>
      </c>
      <c r="H738">
        <f t="shared" si="34"/>
        <v>30</v>
      </c>
      <c r="I738">
        <f t="shared" si="35"/>
        <v>531.5</v>
      </c>
    </row>
    <row r="739" spans="1:9" x14ac:dyDescent="0.25">
      <c r="A739" s="10" t="s">
        <v>131</v>
      </c>
      <c r="B739" s="11" t="s">
        <v>142</v>
      </c>
      <c r="C739" s="11" t="s">
        <v>38</v>
      </c>
      <c r="D739" s="12">
        <v>41946</v>
      </c>
      <c r="E739" s="12">
        <v>41949</v>
      </c>
      <c r="F739" s="13">
        <v>665.8</v>
      </c>
      <c r="G739">
        <f t="shared" si="33"/>
        <v>4</v>
      </c>
      <c r="H739">
        <f t="shared" si="34"/>
        <v>102</v>
      </c>
      <c r="I739">
        <f t="shared" si="35"/>
        <v>767.8</v>
      </c>
    </row>
    <row r="740" spans="1:9" x14ac:dyDescent="0.25">
      <c r="A740" s="6" t="s">
        <v>115</v>
      </c>
      <c r="B740" s="7" t="s">
        <v>140</v>
      </c>
      <c r="C740" s="7" t="s">
        <v>47</v>
      </c>
      <c r="D740" s="8">
        <v>41946</v>
      </c>
      <c r="E740" s="8">
        <v>41950</v>
      </c>
      <c r="F740" s="9">
        <v>1015.8</v>
      </c>
      <c r="G740">
        <f t="shared" si="33"/>
        <v>5</v>
      </c>
      <c r="H740">
        <f t="shared" si="34"/>
        <v>126</v>
      </c>
      <c r="I740">
        <f t="shared" si="35"/>
        <v>1141.8</v>
      </c>
    </row>
    <row r="741" spans="1:9" x14ac:dyDescent="0.25">
      <c r="A741" s="10" t="s">
        <v>9</v>
      </c>
      <c r="B741" s="11" t="s">
        <v>10</v>
      </c>
      <c r="C741" s="11" t="s">
        <v>24</v>
      </c>
      <c r="D741" s="12">
        <v>41946</v>
      </c>
      <c r="E741" s="12">
        <v>41947</v>
      </c>
      <c r="F741" s="13">
        <v>439.7</v>
      </c>
      <c r="G741">
        <f t="shared" si="33"/>
        <v>2</v>
      </c>
      <c r="H741">
        <f t="shared" si="34"/>
        <v>54</v>
      </c>
      <c r="I741">
        <f t="shared" si="35"/>
        <v>493.7</v>
      </c>
    </row>
    <row r="742" spans="1:9" x14ac:dyDescent="0.25">
      <c r="A742" s="6" t="s">
        <v>9</v>
      </c>
      <c r="B742" s="7" t="s">
        <v>69</v>
      </c>
      <c r="C742" s="7" t="s">
        <v>47</v>
      </c>
      <c r="D742" s="8">
        <v>41946</v>
      </c>
      <c r="E742" s="8">
        <v>41946</v>
      </c>
      <c r="F742" s="9">
        <v>363.8</v>
      </c>
      <c r="G742">
        <f t="shared" si="33"/>
        <v>1</v>
      </c>
      <c r="H742">
        <f t="shared" si="34"/>
        <v>30</v>
      </c>
      <c r="I742">
        <f t="shared" si="35"/>
        <v>393.8</v>
      </c>
    </row>
    <row r="743" spans="1:9" x14ac:dyDescent="0.25">
      <c r="A743" s="10" t="s">
        <v>101</v>
      </c>
      <c r="B743" s="11" t="s">
        <v>102</v>
      </c>
      <c r="C743" s="11" t="s">
        <v>59</v>
      </c>
      <c r="D743" s="12">
        <v>41946</v>
      </c>
      <c r="E743" s="12">
        <v>41947</v>
      </c>
      <c r="F743" s="13">
        <v>601</v>
      </c>
      <c r="G743">
        <f t="shared" si="33"/>
        <v>2</v>
      </c>
      <c r="H743">
        <f t="shared" si="34"/>
        <v>54</v>
      </c>
      <c r="I743">
        <f t="shared" si="35"/>
        <v>655</v>
      </c>
    </row>
    <row r="744" spans="1:9" x14ac:dyDescent="0.25">
      <c r="A744" s="6" t="s">
        <v>143</v>
      </c>
      <c r="B744" s="7" t="s">
        <v>144</v>
      </c>
      <c r="C744" s="7" t="s">
        <v>59</v>
      </c>
      <c r="D744" s="8">
        <v>41946</v>
      </c>
      <c r="E744" s="8">
        <v>41947</v>
      </c>
      <c r="F744" s="9">
        <v>601</v>
      </c>
      <c r="G744">
        <f t="shared" si="33"/>
        <v>2</v>
      </c>
      <c r="H744">
        <f t="shared" si="34"/>
        <v>54</v>
      </c>
      <c r="I744">
        <f t="shared" si="35"/>
        <v>655</v>
      </c>
    </row>
    <row r="745" spans="1:9" x14ac:dyDescent="0.25">
      <c r="A745" s="10" t="s">
        <v>164</v>
      </c>
      <c r="B745" s="11" t="s">
        <v>165</v>
      </c>
      <c r="C745" s="11" t="s">
        <v>72</v>
      </c>
      <c r="D745" s="12">
        <v>41946</v>
      </c>
      <c r="E745" s="12">
        <v>41946</v>
      </c>
      <c r="F745" s="13">
        <v>494.7</v>
      </c>
      <c r="G745">
        <f t="shared" si="33"/>
        <v>1</v>
      </c>
      <c r="H745">
        <f t="shared" si="34"/>
        <v>30</v>
      </c>
      <c r="I745">
        <f t="shared" si="35"/>
        <v>524.70000000000005</v>
      </c>
    </row>
    <row r="746" spans="1:9" x14ac:dyDescent="0.25">
      <c r="A746" s="6" t="s">
        <v>54</v>
      </c>
      <c r="B746" s="7" t="s">
        <v>121</v>
      </c>
      <c r="C746" s="7" t="s">
        <v>24</v>
      </c>
      <c r="D746" s="8">
        <v>41946</v>
      </c>
      <c r="E746" s="8">
        <v>41950</v>
      </c>
      <c r="F746" s="9">
        <v>886.7</v>
      </c>
      <c r="G746">
        <f t="shared" si="33"/>
        <v>5</v>
      </c>
      <c r="H746">
        <f t="shared" si="34"/>
        <v>126</v>
      </c>
      <c r="I746">
        <f t="shared" si="35"/>
        <v>1012.7</v>
      </c>
    </row>
    <row r="747" spans="1:9" x14ac:dyDescent="0.25">
      <c r="A747" s="10" t="s">
        <v>151</v>
      </c>
      <c r="B747" s="11" t="s">
        <v>152</v>
      </c>
      <c r="C747" s="11" t="s">
        <v>72</v>
      </c>
      <c r="D747" s="12">
        <v>41946</v>
      </c>
      <c r="E747" s="12">
        <v>41946</v>
      </c>
      <c r="F747" s="13">
        <v>494.7</v>
      </c>
      <c r="G747">
        <f t="shared" si="33"/>
        <v>1</v>
      </c>
      <c r="H747">
        <f t="shared" si="34"/>
        <v>30</v>
      </c>
      <c r="I747">
        <f t="shared" si="35"/>
        <v>524.70000000000005</v>
      </c>
    </row>
    <row r="748" spans="1:9" x14ac:dyDescent="0.25">
      <c r="A748" s="6" t="s">
        <v>75</v>
      </c>
      <c r="B748" s="7" t="s">
        <v>88</v>
      </c>
      <c r="C748" s="7" t="s">
        <v>38</v>
      </c>
      <c r="D748" s="8">
        <v>41946</v>
      </c>
      <c r="E748" s="8">
        <v>41946</v>
      </c>
      <c r="F748" s="9">
        <v>278.8</v>
      </c>
      <c r="G748">
        <f t="shared" si="33"/>
        <v>1</v>
      </c>
      <c r="H748">
        <f t="shared" si="34"/>
        <v>30</v>
      </c>
      <c r="I748">
        <f t="shared" si="35"/>
        <v>308.8</v>
      </c>
    </row>
    <row r="749" spans="1:9" x14ac:dyDescent="0.25">
      <c r="A749" s="10" t="s">
        <v>147</v>
      </c>
      <c r="B749" s="11" t="s">
        <v>148</v>
      </c>
      <c r="C749" s="11" t="s">
        <v>27</v>
      </c>
      <c r="D749" s="12">
        <v>41946</v>
      </c>
      <c r="E749" s="12">
        <v>41947</v>
      </c>
      <c r="F749" s="13">
        <v>570</v>
      </c>
      <c r="G749">
        <f t="shared" si="33"/>
        <v>2</v>
      </c>
      <c r="H749">
        <f t="shared" si="34"/>
        <v>54</v>
      </c>
      <c r="I749">
        <f t="shared" si="35"/>
        <v>624</v>
      </c>
    </row>
    <row r="750" spans="1:9" x14ac:dyDescent="0.25">
      <c r="A750" s="6" t="s">
        <v>166</v>
      </c>
      <c r="B750" s="7" t="s">
        <v>167</v>
      </c>
      <c r="C750" s="7" t="s">
        <v>24</v>
      </c>
      <c r="D750" s="8">
        <v>41946</v>
      </c>
      <c r="E750" s="8">
        <v>41947</v>
      </c>
      <c r="F750" s="9">
        <v>439.7</v>
      </c>
      <c r="G750">
        <f t="shared" si="33"/>
        <v>2</v>
      </c>
      <c r="H750">
        <f t="shared" si="34"/>
        <v>54</v>
      </c>
      <c r="I750">
        <f t="shared" si="35"/>
        <v>493.7</v>
      </c>
    </row>
    <row r="751" spans="1:9" x14ac:dyDescent="0.25">
      <c r="A751" s="10" t="s">
        <v>20</v>
      </c>
      <c r="B751" s="11" t="s">
        <v>162</v>
      </c>
      <c r="C751" s="11" t="s">
        <v>30</v>
      </c>
      <c r="D751" s="12">
        <v>41946</v>
      </c>
      <c r="E751" s="12">
        <v>41947</v>
      </c>
      <c r="F751" s="13">
        <v>331.5</v>
      </c>
      <c r="G751">
        <f t="shared" si="33"/>
        <v>2</v>
      </c>
      <c r="H751">
        <f t="shared" si="34"/>
        <v>54</v>
      </c>
      <c r="I751">
        <f t="shared" si="35"/>
        <v>385.5</v>
      </c>
    </row>
    <row r="752" spans="1:9" x14ac:dyDescent="0.25">
      <c r="A752" s="6" t="s">
        <v>39</v>
      </c>
      <c r="B752" s="7" t="s">
        <v>40</v>
      </c>
      <c r="C752" s="7" t="s">
        <v>11</v>
      </c>
      <c r="D752" s="8">
        <v>41946</v>
      </c>
      <c r="E752" s="8">
        <v>41950</v>
      </c>
      <c r="F752" s="9">
        <v>712.4</v>
      </c>
      <c r="G752">
        <f t="shared" si="33"/>
        <v>5</v>
      </c>
      <c r="H752">
        <f t="shared" si="34"/>
        <v>126</v>
      </c>
      <c r="I752">
        <f t="shared" si="35"/>
        <v>838.4</v>
      </c>
    </row>
    <row r="753" spans="1:9" x14ac:dyDescent="0.25">
      <c r="A753" s="10" t="s">
        <v>113</v>
      </c>
      <c r="B753" s="11" t="s">
        <v>114</v>
      </c>
      <c r="C753" s="11" t="s">
        <v>11</v>
      </c>
      <c r="D753" s="12">
        <v>41946</v>
      </c>
      <c r="E753" s="12">
        <v>41947</v>
      </c>
      <c r="F753" s="13">
        <v>295.39999999999998</v>
      </c>
      <c r="G753">
        <f t="shared" si="33"/>
        <v>2</v>
      </c>
      <c r="H753">
        <f t="shared" si="34"/>
        <v>54</v>
      </c>
      <c r="I753">
        <f t="shared" si="35"/>
        <v>349.4</v>
      </c>
    </row>
    <row r="754" spans="1:9" x14ac:dyDescent="0.25">
      <c r="A754" s="6" t="s">
        <v>64</v>
      </c>
      <c r="B754" s="7" t="s">
        <v>65</v>
      </c>
      <c r="C754" s="7" t="s">
        <v>11</v>
      </c>
      <c r="D754" s="8">
        <v>41946</v>
      </c>
      <c r="E754" s="8">
        <v>41950</v>
      </c>
      <c r="F754" s="9">
        <v>712.4</v>
      </c>
      <c r="G754">
        <f t="shared" si="33"/>
        <v>5</v>
      </c>
      <c r="H754">
        <f t="shared" si="34"/>
        <v>126</v>
      </c>
      <c r="I754">
        <f t="shared" si="35"/>
        <v>838.4</v>
      </c>
    </row>
    <row r="755" spans="1:9" x14ac:dyDescent="0.25">
      <c r="A755" s="10" t="s">
        <v>173</v>
      </c>
      <c r="B755" s="11" t="s">
        <v>174</v>
      </c>
      <c r="C755" s="11" t="s">
        <v>72</v>
      </c>
      <c r="D755" s="12">
        <v>41947</v>
      </c>
      <c r="E755" s="12">
        <v>41949</v>
      </c>
      <c r="F755" s="13">
        <v>892.7</v>
      </c>
      <c r="G755">
        <f t="shared" si="33"/>
        <v>3</v>
      </c>
      <c r="H755">
        <f t="shared" si="34"/>
        <v>78</v>
      </c>
      <c r="I755">
        <f t="shared" si="35"/>
        <v>970.7</v>
      </c>
    </row>
    <row r="756" spans="1:9" x14ac:dyDescent="0.25">
      <c r="A756" s="6" t="s">
        <v>6</v>
      </c>
      <c r="B756" s="7" t="s">
        <v>7</v>
      </c>
      <c r="C756" s="7" t="s">
        <v>14</v>
      </c>
      <c r="D756" s="8">
        <v>41947</v>
      </c>
      <c r="E756" s="8">
        <v>41949</v>
      </c>
      <c r="F756" s="9">
        <v>426.5</v>
      </c>
      <c r="G756">
        <f t="shared" si="33"/>
        <v>3</v>
      </c>
      <c r="H756">
        <f t="shared" si="34"/>
        <v>78</v>
      </c>
      <c r="I756">
        <f t="shared" si="35"/>
        <v>504.5</v>
      </c>
    </row>
    <row r="757" spans="1:9" x14ac:dyDescent="0.25">
      <c r="A757" s="10" t="s">
        <v>48</v>
      </c>
      <c r="B757" s="11" t="s">
        <v>49</v>
      </c>
      <c r="C757" s="11" t="s">
        <v>8</v>
      </c>
      <c r="D757" s="12">
        <v>41947</v>
      </c>
      <c r="E757" s="12">
        <v>41949</v>
      </c>
      <c r="F757" s="13">
        <v>1102</v>
      </c>
      <c r="G757">
        <f t="shared" si="33"/>
        <v>3</v>
      </c>
      <c r="H757">
        <f t="shared" si="34"/>
        <v>78</v>
      </c>
      <c r="I757">
        <f t="shared" si="35"/>
        <v>1180</v>
      </c>
    </row>
    <row r="758" spans="1:9" x14ac:dyDescent="0.25">
      <c r="A758" s="6" t="s">
        <v>22</v>
      </c>
      <c r="B758" s="7" t="s">
        <v>172</v>
      </c>
      <c r="C758" s="7" t="s">
        <v>17</v>
      </c>
      <c r="D758" s="8">
        <v>41947</v>
      </c>
      <c r="E758" s="8">
        <v>41949</v>
      </c>
      <c r="F758" s="9">
        <v>911.5</v>
      </c>
      <c r="G758">
        <f t="shared" si="33"/>
        <v>3</v>
      </c>
      <c r="H758">
        <f t="shared" si="34"/>
        <v>78</v>
      </c>
      <c r="I758">
        <f t="shared" si="35"/>
        <v>989.5</v>
      </c>
    </row>
    <row r="759" spans="1:9" x14ac:dyDescent="0.25">
      <c r="A759" s="10" t="s">
        <v>28</v>
      </c>
      <c r="B759" s="11" t="s">
        <v>29</v>
      </c>
      <c r="C759" s="11" t="s">
        <v>47</v>
      </c>
      <c r="D759" s="12">
        <v>41947</v>
      </c>
      <c r="E759" s="12">
        <v>41948</v>
      </c>
      <c r="F759" s="13">
        <v>526.79999999999995</v>
      </c>
      <c r="G759">
        <f t="shared" si="33"/>
        <v>2</v>
      </c>
      <c r="H759">
        <f t="shared" si="34"/>
        <v>54</v>
      </c>
      <c r="I759">
        <f t="shared" si="35"/>
        <v>580.79999999999995</v>
      </c>
    </row>
    <row r="760" spans="1:9" x14ac:dyDescent="0.25">
      <c r="A760" s="6" t="s">
        <v>33</v>
      </c>
      <c r="B760" s="7" t="s">
        <v>34</v>
      </c>
      <c r="C760" s="7" t="s">
        <v>14</v>
      </c>
      <c r="D760" s="8">
        <v>41947</v>
      </c>
      <c r="E760" s="8">
        <v>41951</v>
      </c>
      <c r="F760" s="9">
        <v>674.5</v>
      </c>
      <c r="G760">
        <f t="shared" si="33"/>
        <v>5</v>
      </c>
      <c r="H760">
        <f t="shared" si="34"/>
        <v>126</v>
      </c>
      <c r="I760">
        <f t="shared" si="35"/>
        <v>800.5</v>
      </c>
    </row>
    <row r="761" spans="1:9" x14ac:dyDescent="0.25">
      <c r="A761" s="10" t="s">
        <v>73</v>
      </c>
      <c r="B761" s="11" t="s">
        <v>74</v>
      </c>
      <c r="C761" s="11" t="s">
        <v>47</v>
      </c>
      <c r="D761" s="12">
        <v>41947</v>
      </c>
      <c r="E761" s="12">
        <v>41950</v>
      </c>
      <c r="F761" s="13">
        <v>852.8</v>
      </c>
      <c r="G761">
        <f t="shared" si="33"/>
        <v>4</v>
      </c>
      <c r="H761">
        <f t="shared" si="34"/>
        <v>102</v>
      </c>
      <c r="I761">
        <f t="shared" si="35"/>
        <v>954.8</v>
      </c>
    </row>
    <row r="762" spans="1:9" x14ac:dyDescent="0.25">
      <c r="A762" s="6" t="s">
        <v>25</v>
      </c>
      <c r="B762" s="7" t="s">
        <v>35</v>
      </c>
      <c r="C762" s="7" t="s">
        <v>72</v>
      </c>
      <c r="D762" s="8">
        <v>41947</v>
      </c>
      <c r="E762" s="8">
        <v>41951</v>
      </c>
      <c r="F762" s="9">
        <v>1290.7</v>
      </c>
      <c r="G762">
        <f t="shared" si="33"/>
        <v>5</v>
      </c>
      <c r="H762">
        <f t="shared" si="34"/>
        <v>126</v>
      </c>
      <c r="I762">
        <f t="shared" si="35"/>
        <v>1416.7</v>
      </c>
    </row>
    <row r="763" spans="1:9" x14ac:dyDescent="0.25">
      <c r="A763" s="10" t="s">
        <v>12</v>
      </c>
      <c r="B763" s="11" t="s">
        <v>13</v>
      </c>
      <c r="C763" s="11" t="s">
        <v>17</v>
      </c>
      <c r="D763" s="12">
        <v>41947</v>
      </c>
      <c r="E763" s="12">
        <v>41948</v>
      </c>
      <c r="F763" s="13">
        <v>706.5</v>
      </c>
      <c r="G763">
        <f t="shared" si="33"/>
        <v>2</v>
      </c>
      <c r="H763">
        <f t="shared" si="34"/>
        <v>54</v>
      </c>
      <c r="I763">
        <f t="shared" si="35"/>
        <v>760.5</v>
      </c>
    </row>
    <row r="764" spans="1:9" x14ac:dyDescent="0.25">
      <c r="A764" s="6" t="s">
        <v>156</v>
      </c>
      <c r="B764" s="7" t="s">
        <v>157</v>
      </c>
      <c r="C764" s="7" t="s">
        <v>17</v>
      </c>
      <c r="D764" s="8">
        <v>41947</v>
      </c>
      <c r="E764" s="8">
        <v>41948</v>
      </c>
      <c r="F764" s="9">
        <v>706.5</v>
      </c>
      <c r="G764">
        <f t="shared" si="33"/>
        <v>2</v>
      </c>
      <c r="H764">
        <f t="shared" si="34"/>
        <v>54</v>
      </c>
      <c r="I764">
        <f t="shared" si="35"/>
        <v>760.5</v>
      </c>
    </row>
    <row r="765" spans="1:9" x14ac:dyDescent="0.25">
      <c r="A765" s="10" t="s">
        <v>134</v>
      </c>
      <c r="B765" s="11" t="s">
        <v>149</v>
      </c>
      <c r="C765" s="11" t="s">
        <v>17</v>
      </c>
      <c r="D765" s="12">
        <v>41947</v>
      </c>
      <c r="E765" s="12">
        <v>41947</v>
      </c>
      <c r="F765" s="13">
        <v>501.5</v>
      </c>
      <c r="G765">
        <f t="shared" si="33"/>
        <v>1</v>
      </c>
      <c r="H765">
        <f t="shared" si="34"/>
        <v>30</v>
      </c>
      <c r="I765">
        <f t="shared" si="35"/>
        <v>531.5</v>
      </c>
    </row>
    <row r="766" spans="1:9" x14ac:dyDescent="0.25">
      <c r="A766" s="6" t="s">
        <v>111</v>
      </c>
      <c r="B766" s="7" t="s">
        <v>112</v>
      </c>
      <c r="C766" s="7" t="s">
        <v>66</v>
      </c>
      <c r="D766" s="8">
        <v>41947</v>
      </c>
      <c r="E766" s="8">
        <v>41948</v>
      </c>
      <c r="F766" s="9">
        <v>485.7</v>
      </c>
      <c r="G766">
        <f t="shared" si="33"/>
        <v>2</v>
      </c>
      <c r="H766">
        <f t="shared" si="34"/>
        <v>54</v>
      </c>
      <c r="I766">
        <f t="shared" si="35"/>
        <v>539.70000000000005</v>
      </c>
    </row>
    <row r="767" spans="1:9" x14ac:dyDescent="0.25">
      <c r="A767" s="10" t="s">
        <v>31</v>
      </c>
      <c r="B767" s="11" t="s">
        <v>77</v>
      </c>
      <c r="C767" s="11" t="s">
        <v>47</v>
      </c>
      <c r="D767" s="12">
        <v>41947</v>
      </c>
      <c r="E767" s="12">
        <v>41948</v>
      </c>
      <c r="F767" s="13">
        <v>526.79999999999995</v>
      </c>
      <c r="G767">
        <f t="shared" si="33"/>
        <v>2</v>
      </c>
      <c r="H767">
        <f t="shared" si="34"/>
        <v>54</v>
      </c>
      <c r="I767">
        <f t="shared" si="35"/>
        <v>580.79999999999995</v>
      </c>
    </row>
    <row r="768" spans="1:9" x14ac:dyDescent="0.25">
      <c r="A768" s="6" t="s">
        <v>15</v>
      </c>
      <c r="B768" s="7" t="s">
        <v>96</v>
      </c>
      <c r="C768" s="7" t="s">
        <v>66</v>
      </c>
      <c r="D768" s="8">
        <v>41947</v>
      </c>
      <c r="E768" s="8">
        <v>41950</v>
      </c>
      <c r="F768" s="9">
        <v>841.7</v>
      </c>
      <c r="G768">
        <f t="shared" si="33"/>
        <v>4</v>
      </c>
      <c r="H768">
        <f t="shared" si="34"/>
        <v>102</v>
      </c>
      <c r="I768">
        <f t="shared" si="35"/>
        <v>943.7</v>
      </c>
    </row>
    <row r="769" spans="1:9" x14ac:dyDescent="0.25">
      <c r="A769" s="10" t="s">
        <v>166</v>
      </c>
      <c r="B769" s="11" t="s">
        <v>167</v>
      </c>
      <c r="C769" s="11" t="s">
        <v>59</v>
      </c>
      <c r="D769" s="12">
        <v>41949</v>
      </c>
      <c r="E769" s="12">
        <v>41949</v>
      </c>
      <c r="F769" s="13">
        <v>442</v>
      </c>
      <c r="G769">
        <f t="shared" si="33"/>
        <v>1</v>
      </c>
      <c r="H769">
        <f t="shared" si="34"/>
        <v>30</v>
      </c>
      <c r="I769">
        <f t="shared" si="35"/>
        <v>472</v>
      </c>
    </row>
    <row r="770" spans="1:9" x14ac:dyDescent="0.25">
      <c r="A770" s="6" t="s">
        <v>134</v>
      </c>
      <c r="B770" s="7" t="s">
        <v>149</v>
      </c>
      <c r="C770" s="7" t="s">
        <v>72</v>
      </c>
      <c r="D770" s="8">
        <v>41949</v>
      </c>
      <c r="E770" s="8">
        <v>41951</v>
      </c>
      <c r="F770" s="9">
        <v>892.7</v>
      </c>
      <c r="G770">
        <f t="shared" si="33"/>
        <v>3</v>
      </c>
      <c r="H770">
        <f t="shared" si="34"/>
        <v>78</v>
      </c>
      <c r="I770">
        <f t="shared" si="35"/>
        <v>970.7</v>
      </c>
    </row>
    <row r="771" spans="1:9" x14ac:dyDescent="0.25">
      <c r="A771" s="10" t="s">
        <v>9</v>
      </c>
      <c r="B771" s="11" t="s">
        <v>69</v>
      </c>
      <c r="C771" s="11" t="s">
        <v>30</v>
      </c>
      <c r="D771" s="12">
        <v>41950</v>
      </c>
      <c r="E771" s="12">
        <v>41951</v>
      </c>
      <c r="F771" s="13">
        <v>331.5</v>
      </c>
      <c r="G771">
        <f t="shared" ref="G771:G834" si="36">E771-D771 + 1</f>
        <v>2</v>
      </c>
      <c r="H771">
        <f t="shared" ref="H771:H834" si="37">30+(G771-1)*24</f>
        <v>54</v>
      </c>
      <c r="I771">
        <f t="shared" ref="I771:I834" si="38">H771+F771</f>
        <v>385.5</v>
      </c>
    </row>
    <row r="772" spans="1:9" x14ac:dyDescent="0.25">
      <c r="A772" s="6" t="s">
        <v>164</v>
      </c>
      <c r="B772" s="7" t="s">
        <v>165</v>
      </c>
      <c r="C772" s="7" t="s">
        <v>66</v>
      </c>
      <c r="D772" s="8">
        <v>41950</v>
      </c>
      <c r="E772" s="8">
        <v>41950</v>
      </c>
      <c r="F772" s="9">
        <v>307.7</v>
      </c>
      <c r="G772">
        <f t="shared" si="36"/>
        <v>1</v>
      </c>
      <c r="H772">
        <f t="shared" si="37"/>
        <v>30</v>
      </c>
      <c r="I772">
        <f t="shared" si="38"/>
        <v>337.7</v>
      </c>
    </row>
    <row r="773" spans="1:9" x14ac:dyDescent="0.25">
      <c r="A773" s="10" t="s">
        <v>151</v>
      </c>
      <c r="B773" s="11" t="s">
        <v>152</v>
      </c>
      <c r="C773" s="11" t="s">
        <v>38</v>
      </c>
      <c r="D773" s="12">
        <v>41950</v>
      </c>
      <c r="E773" s="12">
        <v>41950</v>
      </c>
      <c r="F773" s="13">
        <v>278.8</v>
      </c>
      <c r="G773">
        <f t="shared" si="36"/>
        <v>1</v>
      </c>
      <c r="H773">
        <f t="shared" si="37"/>
        <v>30</v>
      </c>
      <c r="I773">
        <f t="shared" si="38"/>
        <v>308.8</v>
      </c>
    </row>
    <row r="774" spans="1:9" x14ac:dyDescent="0.25">
      <c r="A774" s="6" t="s">
        <v>75</v>
      </c>
      <c r="B774" s="7" t="s">
        <v>88</v>
      </c>
      <c r="C774" s="7" t="s">
        <v>27</v>
      </c>
      <c r="D774" s="8">
        <v>41950</v>
      </c>
      <c r="E774" s="8">
        <v>41950</v>
      </c>
      <c r="F774" s="9">
        <v>442</v>
      </c>
      <c r="G774">
        <f t="shared" si="36"/>
        <v>1</v>
      </c>
      <c r="H774">
        <f t="shared" si="37"/>
        <v>30</v>
      </c>
      <c r="I774">
        <f t="shared" si="38"/>
        <v>472</v>
      </c>
    </row>
    <row r="775" spans="1:9" x14ac:dyDescent="0.25">
      <c r="A775" s="10" t="s">
        <v>113</v>
      </c>
      <c r="B775" s="11" t="s">
        <v>114</v>
      </c>
      <c r="C775" s="11" t="s">
        <v>59</v>
      </c>
      <c r="D775" s="12">
        <v>41950</v>
      </c>
      <c r="E775" s="12">
        <v>41950</v>
      </c>
      <c r="F775" s="13">
        <v>442</v>
      </c>
      <c r="G775">
        <f t="shared" si="36"/>
        <v>1</v>
      </c>
      <c r="H775">
        <f t="shared" si="37"/>
        <v>30</v>
      </c>
      <c r="I775">
        <f t="shared" si="38"/>
        <v>472</v>
      </c>
    </row>
    <row r="776" spans="1:9" x14ac:dyDescent="0.25">
      <c r="A776" s="6" t="s">
        <v>122</v>
      </c>
      <c r="B776" s="7" t="s">
        <v>123</v>
      </c>
      <c r="C776" s="7" t="s">
        <v>8</v>
      </c>
      <c r="D776" s="8">
        <v>41953</v>
      </c>
      <c r="E776" s="8">
        <v>41956</v>
      </c>
      <c r="F776" s="9">
        <v>1313</v>
      </c>
      <c r="G776">
        <f t="shared" si="36"/>
        <v>4</v>
      </c>
      <c r="H776">
        <f t="shared" si="37"/>
        <v>102</v>
      </c>
      <c r="I776">
        <f t="shared" si="38"/>
        <v>1415</v>
      </c>
    </row>
    <row r="777" spans="1:9" x14ac:dyDescent="0.25">
      <c r="A777" s="10" t="s">
        <v>134</v>
      </c>
      <c r="B777" s="11" t="s">
        <v>149</v>
      </c>
      <c r="C777" s="11" t="s">
        <v>38</v>
      </c>
      <c r="D777" s="12">
        <v>41956</v>
      </c>
      <c r="E777" s="12">
        <v>41957</v>
      </c>
      <c r="F777" s="13">
        <v>407.8</v>
      </c>
      <c r="G777">
        <f t="shared" si="36"/>
        <v>2</v>
      </c>
      <c r="H777">
        <f t="shared" si="37"/>
        <v>54</v>
      </c>
      <c r="I777">
        <f t="shared" si="38"/>
        <v>461.8</v>
      </c>
    </row>
    <row r="778" spans="1:9" x14ac:dyDescent="0.25">
      <c r="A778" s="6" t="s">
        <v>39</v>
      </c>
      <c r="B778" s="7" t="s">
        <v>40</v>
      </c>
      <c r="C778" s="7" t="s">
        <v>24</v>
      </c>
      <c r="D778" s="8">
        <v>41957</v>
      </c>
      <c r="E778" s="8">
        <v>41957</v>
      </c>
      <c r="F778" s="9">
        <v>290.7</v>
      </c>
      <c r="G778">
        <f t="shared" si="36"/>
        <v>1</v>
      </c>
      <c r="H778">
        <f t="shared" si="37"/>
        <v>30</v>
      </c>
      <c r="I778">
        <f t="shared" si="38"/>
        <v>320.7</v>
      </c>
    </row>
    <row r="779" spans="1:9" x14ac:dyDescent="0.25">
      <c r="A779" s="10" t="s">
        <v>128</v>
      </c>
      <c r="B779" s="11" t="s">
        <v>129</v>
      </c>
      <c r="C779" s="11" t="s">
        <v>8</v>
      </c>
      <c r="D779" s="12">
        <v>41958</v>
      </c>
      <c r="E779" s="12">
        <v>41958</v>
      </c>
      <c r="F779" s="13">
        <v>680</v>
      </c>
      <c r="G779">
        <f t="shared" si="36"/>
        <v>1</v>
      </c>
      <c r="H779">
        <f t="shared" si="37"/>
        <v>30</v>
      </c>
      <c r="I779">
        <f t="shared" si="38"/>
        <v>710</v>
      </c>
    </row>
    <row r="780" spans="1:9" x14ac:dyDescent="0.25">
      <c r="A780" s="6" t="s">
        <v>84</v>
      </c>
      <c r="B780" s="7" t="s">
        <v>85</v>
      </c>
      <c r="C780" s="7" t="s">
        <v>8</v>
      </c>
      <c r="D780" s="8">
        <v>41958</v>
      </c>
      <c r="E780" s="8">
        <v>41962</v>
      </c>
      <c r="F780" s="9">
        <v>1524</v>
      </c>
      <c r="G780">
        <f t="shared" si="36"/>
        <v>5</v>
      </c>
      <c r="H780">
        <f t="shared" si="37"/>
        <v>126</v>
      </c>
      <c r="I780">
        <f t="shared" si="38"/>
        <v>1650</v>
      </c>
    </row>
    <row r="781" spans="1:9" x14ac:dyDescent="0.25">
      <c r="A781" s="10" t="s">
        <v>6</v>
      </c>
      <c r="B781" s="11" t="s">
        <v>56</v>
      </c>
      <c r="C781" s="11" t="s">
        <v>14</v>
      </c>
      <c r="D781" s="12">
        <v>41958</v>
      </c>
      <c r="E781" s="12">
        <v>41958</v>
      </c>
      <c r="F781" s="13">
        <v>178.5</v>
      </c>
      <c r="G781">
        <f t="shared" si="36"/>
        <v>1</v>
      </c>
      <c r="H781">
        <f t="shared" si="37"/>
        <v>30</v>
      </c>
      <c r="I781">
        <f t="shared" si="38"/>
        <v>208.5</v>
      </c>
    </row>
    <row r="782" spans="1:9" x14ac:dyDescent="0.25">
      <c r="A782" s="6" t="s">
        <v>134</v>
      </c>
      <c r="B782" s="7" t="s">
        <v>135</v>
      </c>
      <c r="C782" s="7" t="s">
        <v>27</v>
      </c>
      <c r="D782" s="8">
        <v>41958</v>
      </c>
      <c r="E782" s="8">
        <v>41960</v>
      </c>
      <c r="F782" s="9">
        <v>698</v>
      </c>
      <c r="G782">
        <f t="shared" si="36"/>
        <v>3</v>
      </c>
      <c r="H782">
        <f t="shared" si="37"/>
        <v>78</v>
      </c>
      <c r="I782">
        <f t="shared" si="38"/>
        <v>776</v>
      </c>
    </row>
    <row r="783" spans="1:9" x14ac:dyDescent="0.25">
      <c r="A783" s="10" t="s">
        <v>9</v>
      </c>
      <c r="B783" s="11" t="s">
        <v>69</v>
      </c>
      <c r="C783" s="11" t="s">
        <v>59</v>
      </c>
      <c r="D783" s="12">
        <v>41958</v>
      </c>
      <c r="E783" s="12">
        <v>41958</v>
      </c>
      <c r="F783" s="13">
        <v>442</v>
      </c>
      <c r="G783">
        <f t="shared" si="36"/>
        <v>1</v>
      </c>
      <c r="H783">
        <f t="shared" si="37"/>
        <v>30</v>
      </c>
      <c r="I783">
        <f t="shared" si="38"/>
        <v>472</v>
      </c>
    </row>
    <row r="784" spans="1:9" x14ac:dyDescent="0.25">
      <c r="A784" s="6" t="s">
        <v>73</v>
      </c>
      <c r="B784" s="7" t="s">
        <v>104</v>
      </c>
      <c r="C784" s="7" t="s">
        <v>30</v>
      </c>
      <c r="D784" s="8">
        <v>41958</v>
      </c>
      <c r="E784" s="8">
        <v>41962</v>
      </c>
      <c r="F784" s="9">
        <v>688.5</v>
      </c>
      <c r="G784">
        <f t="shared" si="36"/>
        <v>5</v>
      </c>
      <c r="H784">
        <f t="shared" si="37"/>
        <v>126</v>
      </c>
      <c r="I784">
        <f t="shared" si="38"/>
        <v>814.5</v>
      </c>
    </row>
    <row r="785" spans="1:9" x14ac:dyDescent="0.25">
      <c r="A785" s="10" t="s">
        <v>15</v>
      </c>
      <c r="B785" s="11" t="s">
        <v>105</v>
      </c>
      <c r="C785" s="11" t="s">
        <v>66</v>
      </c>
      <c r="D785" s="12">
        <v>41958</v>
      </c>
      <c r="E785" s="12">
        <v>41961</v>
      </c>
      <c r="F785" s="13">
        <v>841.7</v>
      </c>
      <c r="G785">
        <f t="shared" si="36"/>
        <v>4</v>
      </c>
      <c r="H785">
        <f t="shared" si="37"/>
        <v>102</v>
      </c>
      <c r="I785">
        <f t="shared" si="38"/>
        <v>943.7</v>
      </c>
    </row>
    <row r="786" spans="1:9" x14ac:dyDescent="0.25">
      <c r="A786" s="6" t="s">
        <v>93</v>
      </c>
      <c r="B786" s="7" t="s">
        <v>106</v>
      </c>
      <c r="C786" s="7" t="s">
        <v>27</v>
      </c>
      <c r="D786" s="8">
        <v>41958</v>
      </c>
      <c r="E786" s="8">
        <v>41958</v>
      </c>
      <c r="F786" s="9">
        <v>442</v>
      </c>
      <c r="G786">
        <f t="shared" si="36"/>
        <v>1</v>
      </c>
      <c r="H786">
        <f t="shared" si="37"/>
        <v>30</v>
      </c>
      <c r="I786">
        <f t="shared" si="38"/>
        <v>472</v>
      </c>
    </row>
    <row r="787" spans="1:9" x14ac:dyDescent="0.25">
      <c r="A787" s="10" t="s">
        <v>54</v>
      </c>
      <c r="B787" s="11" t="s">
        <v>121</v>
      </c>
      <c r="C787" s="11" t="s">
        <v>17</v>
      </c>
      <c r="D787" s="12">
        <v>41958</v>
      </c>
      <c r="E787" s="12">
        <v>41961</v>
      </c>
      <c r="F787" s="13">
        <v>1116.5</v>
      </c>
      <c r="G787">
        <f t="shared" si="36"/>
        <v>4</v>
      </c>
      <c r="H787">
        <f t="shared" si="37"/>
        <v>102</v>
      </c>
      <c r="I787">
        <f t="shared" si="38"/>
        <v>1218.5</v>
      </c>
    </row>
    <row r="788" spans="1:9" x14ac:dyDescent="0.25">
      <c r="A788" s="6" t="s">
        <v>107</v>
      </c>
      <c r="B788" s="7" t="s">
        <v>108</v>
      </c>
      <c r="C788" s="7" t="s">
        <v>27</v>
      </c>
      <c r="D788" s="8">
        <v>41958</v>
      </c>
      <c r="E788" s="8">
        <v>41958</v>
      </c>
      <c r="F788" s="9">
        <v>442</v>
      </c>
      <c r="G788">
        <f t="shared" si="36"/>
        <v>1</v>
      </c>
      <c r="H788">
        <f t="shared" si="37"/>
        <v>30</v>
      </c>
      <c r="I788">
        <f t="shared" si="38"/>
        <v>472</v>
      </c>
    </row>
    <row r="789" spans="1:9" x14ac:dyDescent="0.25">
      <c r="A789" s="10" t="s">
        <v>166</v>
      </c>
      <c r="B789" s="11" t="s">
        <v>167</v>
      </c>
      <c r="C789" s="11" t="s">
        <v>47</v>
      </c>
      <c r="D789" s="12">
        <v>41958</v>
      </c>
      <c r="E789" s="12">
        <v>41959</v>
      </c>
      <c r="F789" s="13">
        <v>526.79999999999995</v>
      </c>
      <c r="G789">
        <f t="shared" si="36"/>
        <v>2</v>
      </c>
      <c r="H789">
        <f t="shared" si="37"/>
        <v>54</v>
      </c>
      <c r="I789">
        <f t="shared" si="38"/>
        <v>580.79999999999995</v>
      </c>
    </row>
    <row r="790" spans="1:9" x14ac:dyDescent="0.25">
      <c r="A790" s="6" t="s">
        <v>36</v>
      </c>
      <c r="B790" s="7" t="s">
        <v>37</v>
      </c>
      <c r="C790" s="7" t="s">
        <v>19</v>
      </c>
      <c r="D790" s="8">
        <v>41958</v>
      </c>
      <c r="E790" s="8">
        <v>41961</v>
      </c>
      <c r="F790" s="9">
        <v>936.4</v>
      </c>
      <c r="G790">
        <f t="shared" si="36"/>
        <v>4</v>
      </c>
      <c r="H790">
        <f t="shared" si="37"/>
        <v>102</v>
      </c>
      <c r="I790">
        <f t="shared" si="38"/>
        <v>1038.4000000000001</v>
      </c>
    </row>
    <row r="791" spans="1:9" x14ac:dyDescent="0.25">
      <c r="A791" s="10" t="s">
        <v>111</v>
      </c>
      <c r="B791" s="11" t="s">
        <v>112</v>
      </c>
      <c r="C791" s="11" t="s">
        <v>38</v>
      </c>
      <c r="D791" s="12">
        <v>41958</v>
      </c>
      <c r="E791" s="12">
        <v>41959</v>
      </c>
      <c r="F791" s="13">
        <v>407.8</v>
      </c>
      <c r="G791">
        <f t="shared" si="36"/>
        <v>2</v>
      </c>
      <c r="H791">
        <f t="shared" si="37"/>
        <v>54</v>
      </c>
      <c r="I791">
        <f t="shared" si="38"/>
        <v>461.8</v>
      </c>
    </row>
    <row r="792" spans="1:9" x14ac:dyDescent="0.25">
      <c r="A792" s="6" t="s">
        <v>31</v>
      </c>
      <c r="B792" s="7" t="s">
        <v>77</v>
      </c>
      <c r="C792" s="7" t="s">
        <v>19</v>
      </c>
      <c r="D792" s="8">
        <v>41958</v>
      </c>
      <c r="E792" s="8">
        <v>41962</v>
      </c>
      <c r="F792" s="9">
        <v>1077.4000000000001</v>
      </c>
      <c r="G792">
        <f t="shared" si="36"/>
        <v>5</v>
      </c>
      <c r="H792">
        <f t="shared" si="37"/>
        <v>126</v>
      </c>
      <c r="I792">
        <f t="shared" si="38"/>
        <v>1203.4000000000001</v>
      </c>
    </row>
    <row r="793" spans="1:9" x14ac:dyDescent="0.25">
      <c r="A793" s="10" t="s">
        <v>15</v>
      </c>
      <c r="B793" s="11" t="s">
        <v>96</v>
      </c>
      <c r="C793" s="11" t="s">
        <v>38</v>
      </c>
      <c r="D793" s="12">
        <v>41958</v>
      </c>
      <c r="E793" s="12">
        <v>41959</v>
      </c>
      <c r="F793" s="13">
        <v>407.8</v>
      </c>
      <c r="G793">
        <f t="shared" si="36"/>
        <v>2</v>
      </c>
      <c r="H793">
        <f t="shared" si="37"/>
        <v>54</v>
      </c>
      <c r="I793">
        <f t="shared" si="38"/>
        <v>461.8</v>
      </c>
    </row>
    <row r="794" spans="1:9" x14ac:dyDescent="0.25">
      <c r="A794" s="6" t="s">
        <v>122</v>
      </c>
      <c r="B794" s="7" t="s">
        <v>123</v>
      </c>
      <c r="C794" s="7" t="s">
        <v>30</v>
      </c>
      <c r="D794" s="8">
        <v>41959</v>
      </c>
      <c r="E794" s="8">
        <v>41960</v>
      </c>
      <c r="F794" s="9">
        <v>331.5</v>
      </c>
      <c r="G794">
        <f t="shared" si="36"/>
        <v>2</v>
      </c>
      <c r="H794">
        <f t="shared" si="37"/>
        <v>54</v>
      </c>
      <c r="I794">
        <f t="shared" si="38"/>
        <v>385.5</v>
      </c>
    </row>
    <row r="795" spans="1:9" x14ac:dyDescent="0.25">
      <c r="A795" s="10" t="s">
        <v>131</v>
      </c>
      <c r="B795" s="11" t="s">
        <v>154</v>
      </c>
      <c r="C795" s="11" t="s">
        <v>38</v>
      </c>
      <c r="D795" s="12">
        <v>41959</v>
      </c>
      <c r="E795" s="12">
        <v>41960</v>
      </c>
      <c r="F795" s="13">
        <v>407.8</v>
      </c>
      <c r="G795">
        <f t="shared" si="36"/>
        <v>2</v>
      </c>
      <c r="H795">
        <f t="shared" si="37"/>
        <v>54</v>
      </c>
      <c r="I795">
        <f t="shared" si="38"/>
        <v>461.8</v>
      </c>
    </row>
    <row r="796" spans="1:9" x14ac:dyDescent="0.25">
      <c r="A796" s="6" t="s">
        <v>54</v>
      </c>
      <c r="B796" s="7" t="s">
        <v>81</v>
      </c>
      <c r="C796" s="7" t="s">
        <v>66</v>
      </c>
      <c r="D796" s="8">
        <v>41959</v>
      </c>
      <c r="E796" s="8">
        <v>41960</v>
      </c>
      <c r="F796" s="9">
        <v>485.7</v>
      </c>
      <c r="G796">
        <f t="shared" si="36"/>
        <v>2</v>
      </c>
      <c r="H796">
        <f t="shared" si="37"/>
        <v>54</v>
      </c>
      <c r="I796">
        <f t="shared" si="38"/>
        <v>539.70000000000005</v>
      </c>
    </row>
    <row r="797" spans="1:9" x14ac:dyDescent="0.25">
      <c r="A797" s="10" t="s">
        <v>22</v>
      </c>
      <c r="B797" s="11" t="s">
        <v>172</v>
      </c>
      <c r="C797" s="11" t="s">
        <v>72</v>
      </c>
      <c r="D797" s="12">
        <v>41959</v>
      </c>
      <c r="E797" s="12">
        <v>41963</v>
      </c>
      <c r="F797" s="13">
        <v>1290.7</v>
      </c>
      <c r="G797">
        <f t="shared" si="36"/>
        <v>5</v>
      </c>
      <c r="H797">
        <f t="shared" si="37"/>
        <v>126</v>
      </c>
      <c r="I797">
        <f t="shared" si="38"/>
        <v>1416.7</v>
      </c>
    </row>
    <row r="798" spans="1:9" x14ac:dyDescent="0.25">
      <c r="A798" s="6" t="s">
        <v>9</v>
      </c>
      <c r="B798" s="7" t="s">
        <v>10</v>
      </c>
      <c r="C798" s="7" t="s">
        <v>30</v>
      </c>
      <c r="D798" s="8">
        <v>41959</v>
      </c>
      <c r="E798" s="8">
        <v>41961</v>
      </c>
      <c r="F798" s="9">
        <v>450.5</v>
      </c>
      <c r="G798">
        <f t="shared" si="36"/>
        <v>3</v>
      </c>
      <c r="H798">
        <f t="shared" si="37"/>
        <v>78</v>
      </c>
      <c r="I798">
        <f t="shared" si="38"/>
        <v>528.5</v>
      </c>
    </row>
    <row r="799" spans="1:9" x14ac:dyDescent="0.25">
      <c r="A799" s="10" t="s">
        <v>9</v>
      </c>
      <c r="B799" s="11" t="s">
        <v>103</v>
      </c>
      <c r="C799" s="11" t="s">
        <v>17</v>
      </c>
      <c r="D799" s="12">
        <v>41959</v>
      </c>
      <c r="E799" s="12">
        <v>41961</v>
      </c>
      <c r="F799" s="13">
        <v>911.5</v>
      </c>
      <c r="G799">
        <f t="shared" si="36"/>
        <v>3</v>
      </c>
      <c r="H799">
        <f t="shared" si="37"/>
        <v>78</v>
      </c>
      <c r="I799">
        <f t="shared" si="38"/>
        <v>989.5</v>
      </c>
    </row>
    <row r="800" spans="1:9" x14ac:dyDescent="0.25">
      <c r="A800" s="6" t="s">
        <v>156</v>
      </c>
      <c r="B800" s="7" t="s">
        <v>157</v>
      </c>
      <c r="C800" s="7" t="s">
        <v>59</v>
      </c>
      <c r="D800" s="8">
        <v>41959</v>
      </c>
      <c r="E800" s="8">
        <v>41962</v>
      </c>
      <c r="F800" s="9">
        <v>919</v>
      </c>
      <c r="G800">
        <f t="shared" si="36"/>
        <v>4</v>
      </c>
      <c r="H800">
        <f t="shared" si="37"/>
        <v>102</v>
      </c>
      <c r="I800">
        <f t="shared" si="38"/>
        <v>1021</v>
      </c>
    </row>
    <row r="801" spans="1:9" x14ac:dyDescent="0.25">
      <c r="A801" s="10" t="s">
        <v>158</v>
      </c>
      <c r="B801" s="11" t="s">
        <v>159</v>
      </c>
      <c r="C801" s="11" t="s">
        <v>19</v>
      </c>
      <c r="D801" s="12">
        <v>41959</v>
      </c>
      <c r="E801" s="12">
        <v>41960</v>
      </c>
      <c r="F801" s="13">
        <v>654.4</v>
      </c>
      <c r="G801">
        <f t="shared" si="36"/>
        <v>2</v>
      </c>
      <c r="H801">
        <f t="shared" si="37"/>
        <v>54</v>
      </c>
      <c r="I801">
        <f t="shared" si="38"/>
        <v>708.4</v>
      </c>
    </row>
    <row r="802" spans="1:9" x14ac:dyDescent="0.25">
      <c r="A802" s="6" t="s">
        <v>9</v>
      </c>
      <c r="B802" s="7" t="s">
        <v>18</v>
      </c>
      <c r="C802" s="7" t="s">
        <v>47</v>
      </c>
      <c r="D802" s="8">
        <v>41959</v>
      </c>
      <c r="E802" s="8">
        <v>41960</v>
      </c>
      <c r="F802" s="9">
        <v>526.79999999999995</v>
      </c>
      <c r="G802">
        <f t="shared" si="36"/>
        <v>2</v>
      </c>
      <c r="H802">
        <f t="shared" si="37"/>
        <v>54</v>
      </c>
      <c r="I802">
        <f t="shared" si="38"/>
        <v>580.79999999999995</v>
      </c>
    </row>
    <row r="803" spans="1:9" x14ac:dyDescent="0.25">
      <c r="A803" s="10" t="s">
        <v>115</v>
      </c>
      <c r="B803" s="11" t="s">
        <v>140</v>
      </c>
      <c r="C803" s="11" t="s">
        <v>66</v>
      </c>
      <c r="D803" s="12">
        <v>41960</v>
      </c>
      <c r="E803" s="12">
        <v>41960</v>
      </c>
      <c r="F803" s="13">
        <v>307.7</v>
      </c>
      <c r="G803">
        <f t="shared" si="36"/>
        <v>1</v>
      </c>
      <c r="H803">
        <f t="shared" si="37"/>
        <v>30</v>
      </c>
      <c r="I803">
        <f t="shared" si="38"/>
        <v>337.7</v>
      </c>
    </row>
    <row r="804" spans="1:9" x14ac:dyDescent="0.25">
      <c r="A804" s="6" t="s">
        <v>164</v>
      </c>
      <c r="B804" s="7" t="s">
        <v>165</v>
      </c>
      <c r="C804" s="7" t="s">
        <v>38</v>
      </c>
      <c r="D804" s="8">
        <v>41960</v>
      </c>
      <c r="E804" s="8">
        <v>41960</v>
      </c>
      <c r="F804" s="9">
        <v>278.8</v>
      </c>
      <c r="G804">
        <f t="shared" si="36"/>
        <v>1</v>
      </c>
      <c r="H804">
        <f t="shared" si="37"/>
        <v>30</v>
      </c>
      <c r="I804">
        <f t="shared" si="38"/>
        <v>308.8</v>
      </c>
    </row>
    <row r="805" spans="1:9" x14ac:dyDescent="0.25">
      <c r="A805" s="10" t="s">
        <v>113</v>
      </c>
      <c r="B805" s="11" t="s">
        <v>114</v>
      </c>
      <c r="C805" s="11" t="s">
        <v>8</v>
      </c>
      <c r="D805" s="12">
        <v>41960</v>
      </c>
      <c r="E805" s="12">
        <v>41962</v>
      </c>
      <c r="F805" s="13">
        <v>1102</v>
      </c>
      <c r="G805">
        <f t="shared" si="36"/>
        <v>3</v>
      </c>
      <c r="H805">
        <f t="shared" si="37"/>
        <v>78</v>
      </c>
      <c r="I805">
        <f t="shared" si="38"/>
        <v>1180</v>
      </c>
    </row>
    <row r="806" spans="1:9" x14ac:dyDescent="0.25">
      <c r="A806" s="6" t="s">
        <v>93</v>
      </c>
      <c r="B806" s="7" t="s">
        <v>94</v>
      </c>
      <c r="C806" s="7" t="s">
        <v>11</v>
      </c>
      <c r="D806" s="8">
        <v>41960</v>
      </c>
      <c r="E806" s="8">
        <v>41962</v>
      </c>
      <c r="F806" s="9">
        <v>434.4</v>
      </c>
      <c r="G806">
        <f t="shared" si="36"/>
        <v>3</v>
      </c>
      <c r="H806">
        <f t="shared" si="37"/>
        <v>78</v>
      </c>
      <c r="I806">
        <f t="shared" si="38"/>
        <v>512.4</v>
      </c>
    </row>
    <row r="807" spans="1:9" x14ac:dyDescent="0.25">
      <c r="A807" s="10" t="s">
        <v>70</v>
      </c>
      <c r="B807" s="11" t="s">
        <v>117</v>
      </c>
      <c r="C807" s="11" t="s">
        <v>8</v>
      </c>
      <c r="D807" s="12">
        <v>41960</v>
      </c>
      <c r="E807" s="12">
        <v>41960</v>
      </c>
      <c r="F807" s="13">
        <v>680</v>
      </c>
      <c r="G807">
        <f t="shared" si="36"/>
        <v>1</v>
      </c>
      <c r="H807">
        <f t="shared" si="37"/>
        <v>30</v>
      </c>
      <c r="I807">
        <f t="shared" si="38"/>
        <v>710</v>
      </c>
    </row>
    <row r="808" spans="1:9" x14ac:dyDescent="0.25">
      <c r="A808" s="6" t="s">
        <v>128</v>
      </c>
      <c r="B808" s="7" t="s">
        <v>129</v>
      </c>
      <c r="C808" s="7" t="s">
        <v>27</v>
      </c>
      <c r="D808" s="8">
        <v>41961</v>
      </c>
      <c r="E808" s="8">
        <v>41961</v>
      </c>
      <c r="F808" s="9">
        <v>442</v>
      </c>
      <c r="G808">
        <f t="shared" si="36"/>
        <v>1</v>
      </c>
      <c r="H808">
        <f t="shared" si="37"/>
        <v>30</v>
      </c>
      <c r="I808">
        <f t="shared" si="38"/>
        <v>472</v>
      </c>
    </row>
    <row r="809" spans="1:9" x14ac:dyDescent="0.25">
      <c r="A809" s="10" t="s">
        <v>28</v>
      </c>
      <c r="B809" s="11" t="s">
        <v>60</v>
      </c>
      <c r="C809" s="11" t="s">
        <v>66</v>
      </c>
      <c r="D809" s="12">
        <v>41961</v>
      </c>
      <c r="E809" s="12">
        <v>41961</v>
      </c>
      <c r="F809" s="13">
        <v>307.7</v>
      </c>
      <c r="G809">
        <f t="shared" si="36"/>
        <v>1</v>
      </c>
      <c r="H809">
        <f t="shared" si="37"/>
        <v>30</v>
      </c>
      <c r="I809">
        <f t="shared" si="38"/>
        <v>337.7</v>
      </c>
    </row>
    <row r="810" spans="1:9" x14ac:dyDescent="0.25">
      <c r="A810" s="6" t="s">
        <v>9</v>
      </c>
      <c r="B810" s="7" t="s">
        <v>69</v>
      </c>
      <c r="C810" s="7" t="s">
        <v>27</v>
      </c>
      <c r="D810" s="8">
        <v>41961</v>
      </c>
      <c r="E810" s="8">
        <v>41961</v>
      </c>
      <c r="F810" s="9">
        <v>442</v>
      </c>
      <c r="G810">
        <f t="shared" si="36"/>
        <v>1</v>
      </c>
      <c r="H810">
        <f t="shared" si="37"/>
        <v>30</v>
      </c>
      <c r="I810">
        <f t="shared" si="38"/>
        <v>472</v>
      </c>
    </row>
    <row r="811" spans="1:9" x14ac:dyDescent="0.25">
      <c r="A811" s="10" t="s">
        <v>82</v>
      </c>
      <c r="B811" s="11" t="s">
        <v>125</v>
      </c>
      <c r="C811" s="11" t="s">
        <v>72</v>
      </c>
      <c r="D811" s="12">
        <v>41962</v>
      </c>
      <c r="E811" s="12">
        <v>41962</v>
      </c>
      <c r="F811" s="13">
        <v>494.7</v>
      </c>
      <c r="G811">
        <f t="shared" si="36"/>
        <v>1</v>
      </c>
      <c r="H811">
        <f t="shared" si="37"/>
        <v>30</v>
      </c>
      <c r="I811">
        <f t="shared" si="38"/>
        <v>524.70000000000005</v>
      </c>
    </row>
    <row r="812" spans="1:9" x14ac:dyDescent="0.25">
      <c r="A812" s="6" t="s">
        <v>168</v>
      </c>
      <c r="B812" s="7" t="s">
        <v>169</v>
      </c>
      <c r="C812" s="7" t="s">
        <v>11</v>
      </c>
      <c r="D812" s="8">
        <v>41962</v>
      </c>
      <c r="E812" s="8">
        <v>41962</v>
      </c>
      <c r="F812" s="9">
        <v>156.4</v>
      </c>
      <c r="G812">
        <f t="shared" si="36"/>
        <v>1</v>
      </c>
      <c r="H812">
        <f t="shared" si="37"/>
        <v>30</v>
      </c>
      <c r="I812">
        <f t="shared" si="38"/>
        <v>186.4</v>
      </c>
    </row>
    <row r="813" spans="1:9" x14ac:dyDescent="0.25">
      <c r="A813" s="10" t="s">
        <v>134</v>
      </c>
      <c r="B813" s="11" t="s">
        <v>135</v>
      </c>
      <c r="C813" s="11" t="s">
        <v>27</v>
      </c>
      <c r="D813" s="12">
        <v>41962</v>
      </c>
      <c r="E813" s="12">
        <v>41962</v>
      </c>
      <c r="F813" s="13">
        <v>442</v>
      </c>
      <c r="G813">
        <f t="shared" si="36"/>
        <v>1</v>
      </c>
      <c r="H813">
        <f t="shared" si="37"/>
        <v>30</v>
      </c>
      <c r="I813">
        <f t="shared" si="38"/>
        <v>472</v>
      </c>
    </row>
    <row r="814" spans="1:9" x14ac:dyDescent="0.25">
      <c r="A814" s="6" t="s">
        <v>164</v>
      </c>
      <c r="B814" s="7" t="s">
        <v>165</v>
      </c>
      <c r="C814" s="7" t="s">
        <v>17</v>
      </c>
      <c r="D814" s="8">
        <v>41962</v>
      </c>
      <c r="E814" s="8">
        <v>41962</v>
      </c>
      <c r="F814" s="9">
        <v>501.5</v>
      </c>
      <c r="G814">
        <f t="shared" si="36"/>
        <v>1</v>
      </c>
      <c r="H814">
        <f t="shared" si="37"/>
        <v>30</v>
      </c>
      <c r="I814">
        <f t="shared" si="38"/>
        <v>531.5</v>
      </c>
    </row>
    <row r="815" spans="1:9" x14ac:dyDescent="0.25">
      <c r="A815" s="10" t="s">
        <v>61</v>
      </c>
      <c r="B815" s="11" t="s">
        <v>62</v>
      </c>
      <c r="C815" s="11" t="s">
        <v>19</v>
      </c>
      <c r="D815" s="12">
        <v>41963</v>
      </c>
      <c r="E815" s="12">
        <v>41964</v>
      </c>
      <c r="F815" s="13">
        <v>654.4</v>
      </c>
      <c r="G815">
        <f t="shared" si="36"/>
        <v>2</v>
      </c>
      <c r="H815">
        <f t="shared" si="37"/>
        <v>54</v>
      </c>
      <c r="I815">
        <f t="shared" si="38"/>
        <v>708.4</v>
      </c>
    </row>
    <row r="816" spans="1:9" x14ac:dyDescent="0.25">
      <c r="A816" s="6" t="s">
        <v>6</v>
      </c>
      <c r="B816" s="7" t="s">
        <v>56</v>
      </c>
      <c r="C816" s="7" t="s">
        <v>59</v>
      </c>
      <c r="D816" s="8">
        <v>41963</v>
      </c>
      <c r="E816" s="8">
        <v>41963</v>
      </c>
      <c r="F816" s="9">
        <v>442</v>
      </c>
      <c r="G816">
        <f t="shared" si="36"/>
        <v>1</v>
      </c>
      <c r="H816">
        <f t="shared" si="37"/>
        <v>30</v>
      </c>
      <c r="I816">
        <f t="shared" si="38"/>
        <v>472</v>
      </c>
    </row>
    <row r="817" spans="1:9" x14ac:dyDescent="0.25">
      <c r="A817" s="10" t="s">
        <v>15</v>
      </c>
      <c r="B817" s="11" t="s">
        <v>96</v>
      </c>
      <c r="C817" s="11" t="s">
        <v>30</v>
      </c>
      <c r="D817" s="12">
        <v>41963</v>
      </c>
      <c r="E817" s="12">
        <v>41963</v>
      </c>
      <c r="F817" s="13">
        <v>212.5</v>
      </c>
      <c r="G817">
        <f t="shared" si="36"/>
        <v>1</v>
      </c>
      <c r="H817">
        <f t="shared" si="37"/>
        <v>30</v>
      </c>
      <c r="I817">
        <f t="shared" si="38"/>
        <v>242.5</v>
      </c>
    </row>
    <row r="818" spans="1:9" x14ac:dyDescent="0.25">
      <c r="A818" s="6" t="s">
        <v>54</v>
      </c>
      <c r="B818" s="7" t="s">
        <v>55</v>
      </c>
      <c r="C818" s="7" t="s">
        <v>27</v>
      </c>
      <c r="D818" s="8">
        <v>41964</v>
      </c>
      <c r="E818" s="8">
        <v>41965</v>
      </c>
      <c r="F818" s="9">
        <v>570</v>
      </c>
      <c r="G818">
        <f t="shared" si="36"/>
        <v>2</v>
      </c>
      <c r="H818">
        <f t="shared" si="37"/>
        <v>54</v>
      </c>
      <c r="I818">
        <f t="shared" si="38"/>
        <v>624</v>
      </c>
    </row>
    <row r="819" spans="1:9" x14ac:dyDescent="0.25">
      <c r="A819" s="10" t="s">
        <v>131</v>
      </c>
      <c r="B819" s="11" t="s">
        <v>154</v>
      </c>
      <c r="C819" s="11" t="s">
        <v>38</v>
      </c>
      <c r="D819" s="12">
        <v>41964</v>
      </c>
      <c r="E819" s="12">
        <v>41965</v>
      </c>
      <c r="F819" s="13">
        <v>407.8</v>
      </c>
      <c r="G819">
        <f t="shared" si="36"/>
        <v>2</v>
      </c>
      <c r="H819">
        <f t="shared" si="37"/>
        <v>54</v>
      </c>
      <c r="I819">
        <f t="shared" si="38"/>
        <v>461.8</v>
      </c>
    </row>
    <row r="820" spans="1:9" x14ac:dyDescent="0.25">
      <c r="A820" s="6" t="s">
        <v>25</v>
      </c>
      <c r="B820" s="7" t="s">
        <v>67</v>
      </c>
      <c r="C820" s="7" t="s">
        <v>30</v>
      </c>
      <c r="D820" s="8">
        <v>41965</v>
      </c>
      <c r="E820" s="8">
        <v>41969</v>
      </c>
      <c r="F820" s="9">
        <v>688.5</v>
      </c>
      <c r="G820">
        <f t="shared" si="36"/>
        <v>5</v>
      </c>
      <c r="H820">
        <f t="shared" si="37"/>
        <v>126</v>
      </c>
      <c r="I820">
        <f t="shared" si="38"/>
        <v>814.5</v>
      </c>
    </row>
    <row r="821" spans="1:9" x14ac:dyDescent="0.25">
      <c r="A821" s="10" t="s">
        <v>9</v>
      </c>
      <c r="B821" s="11" t="s">
        <v>103</v>
      </c>
      <c r="C821" s="11" t="s">
        <v>11</v>
      </c>
      <c r="D821" s="12">
        <v>41965</v>
      </c>
      <c r="E821" s="12">
        <v>41965</v>
      </c>
      <c r="F821" s="13">
        <v>156.4</v>
      </c>
      <c r="G821">
        <f t="shared" si="36"/>
        <v>1</v>
      </c>
      <c r="H821">
        <f t="shared" si="37"/>
        <v>30</v>
      </c>
      <c r="I821">
        <f t="shared" si="38"/>
        <v>186.4</v>
      </c>
    </row>
    <row r="822" spans="1:9" x14ac:dyDescent="0.25">
      <c r="A822" s="6" t="s">
        <v>143</v>
      </c>
      <c r="B822" s="7" t="s">
        <v>144</v>
      </c>
      <c r="C822" s="7" t="s">
        <v>72</v>
      </c>
      <c r="D822" s="8">
        <v>41965</v>
      </c>
      <c r="E822" s="8">
        <v>41966</v>
      </c>
      <c r="F822" s="9">
        <v>693.7</v>
      </c>
      <c r="G822">
        <f t="shared" si="36"/>
        <v>2</v>
      </c>
      <c r="H822">
        <f t="shared" si="37"/>
        <v>54</v>
      </c>
      <c r="I822">
        <f t="shared" si="38"/>
        <v>747.7</v>
      </c>
    </row>
    <row r="823" spans="1:9" x14ac:dyDescent="0.25">
      <c r="A823" s="10" t="s">
        <v>164</v>
      </c>
      <c r="B823" s="11" t="s">
        <v>165</v>
      </c>
      <c r="C823" s="11" t="s">
        <v>72</v>
      </c>
      <c r="D823" s="12">
        <v>41965</v>
      </c>
      <c r="E823" s="12">
        <v>41965</v>
      </c>
      <c r="F823" s="13">
        <v>494.7</v>
      </c>
      <c r="G823">
        <f t="shared" si="36"/>
        <v>1</v>
      </c>
      <c r="H823">
        <f t="shared" si="37"/>
        <v>30</v>
      </c>
      <c r="I823">
        <f t="shared" si="38"/>
        <v>524.70000000000005</v>
      </c>
    </row>
    <row r="824" spans="1:9" x14ac:dyDescent="0.25">
      <c r="A824" s="6" t="s">
        <v>158</v>
      </c>
      <c r="B824" s="7" t="s">
        <v>159</v>
      </c>
      <c r="C824" s="7" t="s">
        <v>17</v>
      </c>
      <c r="D824" s="8">
        <v>41965</v>
      </c>
      <c r="E824" s="8">
        <v>41968</v>
      </c>
      <c r="F824" s="9">
        <v>1116.5</v>
      </c>
      <c r="G824">
        <f t="shared" si="36"/>
        <v>4</v>
      </c>
      <c r="H824">
        <f t="shared" si="37"/>
        <v>102</v>
      </c>
      <c r="I824">
        <f t="shared" si="38"/>
        <v>1218.5</v>
      </c>
    </row>
    <row r="825" spans="1:9" x14ac:dyDescent="0.25">
      <c r="A825" s="10" t="s">
        <v>89</v>
      </c>
      <c r="B825" s="11" t="s">
        <v>90</v>
      </c>
      <c r="C825" s="11" t="s">
        <v>8</v>
      </c>
      <c r="D825" s="12">
        <v>41965</v>
      </c>
      <c r="E825" s="12">
        <v>41966</v>
      </c>
      <c r="F825" s="13">
        <v>891</v>
      </c>
      <c r="G825">
        <f t="shared" si="36"/>
        <v>2</v>
      </c>
      <c r="H825">
        <f t="shared" si="37"/>
        <v>54</v>
      </c>
      <c r="I825">
        <f t="shared" si="38"/>
        <v>945</v>
      </c>
    </row>
    <row r="826" spans="1:9" x14ac:dyDescent="0.25">
      <c r="A826" s="6" t="s">
        <v>115</v>
      </c>
      <c r="B826" s="7" t="s">
        <v>116</v>
      </c>
      <c r="C826" s="7" t="s">
        <v>24</v>
      </c>
      <c r="D826" s="8">
        <v>41965</v>
      </c>
      <c r="E826" s="8">
        <v>41968</v>
      </c>
      <c r="F826" s="9">
        <v>737.7</v>
      </c>
      <c r="G826">
        <f t="shared" si="36"/>
        <v>4</v>
      </c>
      <c r="H826">
        <f t="shared" si="37"/>
        <v>102</v>
      </c>
      <c r="I826">
        <f t="shared" si="38"/>
        <v>839.7</v>
      </c>
    </row>
    <row r="827" spans="1:9" x14ac:dyDescent="0.25">
      <c r="A827" s="10" t="s">
        <v>115</v>
      </c>
      <c r="B827" s="11" t="s">
        <v>153</v>
      </c>
      <c r="C827" s="11" t="s">
        <v>19</v>
      </c>
      <c r="D827" s="12">
        <v>41966</v>
      </c>
      <c r="E827" s="12">
        <v>41966</v>
      </c>
      <c r="F827" s="13">
        <v>513.4</v>
      </c>
      <c r="G827">
        <f t="shared" si="36"/>
        <v>1</v>
      </c>
      <c r="H827">
        <f t="shared" si="37"/>
        <v>30</v>
      </c>
      <c r="I827">
        <f t="shared" si="38"/>
        <v>543.4</v>
      </c>
    </row>
    <row r="828" spans="1:9" x14ac:dyDescent="0.25">
      <c r="A828" s="6" t="s">
        <v>61</v>
      </c>
      <c r="B828" s="7" t="s">
        <v>62</v>
      </c>
      <c r="C828" s="7" t="s">
        <v>8</v>
      </c>
      <c r="D828" s="8">
        <v>41967</v>
      </c>
      <c r="E828" s="8">
        <v>41968</v>
      </c>
      <c r="F828" s="9">
        <v>891</v>
      </c>
      <c r="G828">
        <f t="shared" si="36"/>
        <v>2</v>
      </c>
      <c r="H828">
        <f t="shared" si="37"/>
        <v>54</v>
      </c>
      <c r="I828">
        <f t="shared" si="38"/>
        <v>945</v>
      </c>
    </row>
    <row r="829" spans="1:9" x14ac:dyDescent="0.25">
      <c r="A829" s="10" t="s">
        <v>119</v>
      </c>
      <c r="B829" s="11" t="s">
        <v>120</v>
      </c>
      <c r="C829" s="11" t="s">
        <v>14</v>
      </c>
      <c r="D829" s="12">
        <v>41967</v>
      </c>
      <c r="E829" s="12">
        <v>41967</v>
      </c>
      <c r="F829" s="13">
        <v>178.5</v>
      </c>
      <c r="G829">
        <f t="shared" si="36"/>
        <v>1</v>
      </c>
      <c r="H829">
        <f t="shared" si="37"/>
        <v>30</v>
      </c>
      <c r="I829">
        <f t="shared" si="38"/>
        <v>208.5</v>
      </c>
    </row>
    <row r="830" spans="1:9" x14ac:dyDescent="0.25">
      <c r="A830" s="6" t="s">
        <v>28</v>
      </c>
      <c r="B830" s="7" t="s">
        <v>60</v>
      </c>
      <c r="C830" s="7" t="s">
        <v>8</v>
      </c>
      <c r="D830" s="8">
        <v>41968</v>
      </c>
      <c r="E830" s="8">
        <v>41968</v>
      </c>
      <c r="F830" s="9">
        <v>680</v>
      </c>
      <c r="G830">
        <f t="shared" si="36"/>
        <v>1</v>
      </c>
      <c r="H830">
        <f t="shared" si="37"/>
        <v>30</v>
      </c>
      <c r="I830">
        <f t="shared" si="38"/>
        <v>710</v>
      </c>
    </row>
    <row r="831" spans="1:9" x14ac:dyDescent="0.25">
      <c r="A831" s="10" t="s">
        <v>164</v>
      </c>
      <c r="B831" s="11" t="s">
        <v>165</v>
      </c>
      <c r="C831" s="11" t="s">
        <v>14</v>
      </c>
      <c r="D831" s="12">
        <v>41968</v>
      </c>
      <c r="E831" s="12">
        <v>41968</v>
      </c>
      <c r="F831" s="13">
        <v>178.5</v>
      </c>
      <c r="G831">
        <f t="shared" si="36"/>
        <v>1</v>
      </c>
      <c r="H831">
        <f t="shared" si="37"/>
        <v>30</v>
      </c>
      <c r="I831">
        <f t="shared" si="38"/>
        <v>208.5</v>
      </c>
    </row>
    <row r="832" spans="1:9" x14ac:dyDescent="0.25">
      <c r="A832" s="6" t="s">
        <v>12</v>
      </c>
      <c r="B832" s="7" t="s">
        <v>95</v>
      </c>
      <c r="C832" s="7" t="s">
        <v>19</v>
      </c>
      <c r="D832" s="8">
        <v>41968</v>
      </c>
      <c r="E832" s="8">
        <v>41968</v>
      </c>
      <c r="F832" s="9">
        <v>513.4</v>
      </c>
      <c r="G832">
        <f t="shared" si="36"/>
        <v>1</v>
      </c>
      <c r="H832">
        <f t="shared" si="37"/>
        <v>30</v>
      </c>
      <c r="I832">
        <f t="shared" si="38"/>
        <v>543.4</v>
      </c>
    </row>
    <row r="833" spans="1:9" x14ac:dyDescent="0.25">
      <c r="A833" s="10" t="s">
        <v>31</v>
      </c>
      <c r="B833" s="11" t="s">
        <v>78</v>
      </c>
      <c r="C833" s="11" t="s">
        <v>11</v>
      </c>
      <c r="D833" s="12">
        <v>41970</v>
      </c>
      <c r="E833" s="12">
        <v>41973</v>
      </c>
      <c r="F833" s="13">
        <v>573.4</v>
      </c>
      <c r="G833">
        <f t="shared" si="36"/>
        <v>4</v>
      </c>
      <c r="H833">
        <f t="shared" si="37"/>
        <v>102</v>
      </c>
      <c r="I833">
        <f t="shared" si="38"/>
        <v>675.4</v>
      </c>
    </row>
    <row r="834" spans="1:9" x14ac:dyDescent="0.25">
      <c r="A834" s="6" t="s">
        <v>82</v>
      </c>
      <c r="B834" s="7" t="s">
        <v>125</v>
      </c>
      <c r="C834" s="7" t="s">
        <v>17</v>
      </c>
      <c r="D834" s="8">
        <v>41970</v>
      </c>
      <c r="E834" s="8">
        <v>41970</v>
      </c>
      <c r="F834" s="9">
        <v>501.5</v>
      </c>
      <c r="G834">
        <f t="shared" si="36"/>
        <v>1</v>
      </c>
      <c r="H834">
        <f t="shared" si="37"/>
        <v>30</v>
      </c>
      <c r="I834">
        <f t="shared" si="38"/>
        <v>531.5</v>
      </c>
    </row>
    <row r="835" spans="1:9" x14ac:dyDescent="0.25">
      <c r="A835" s="10" t="s">
        <v>70</v>
      </c>
      <c r="B835" s="11" t="s">
        <v>71</v>
      </c>
      <c r="C835" s="11" t="s">
        <v>14</v>
      </c>
      <c r="D835" s="12">
        <v>41970</v>
      </c>
      <c r="E835" s="12">
        <v>41974</v>
      </c>
      <c r="F835" s="13">
        <v>674.5</v>
      </c>
      <c r="G835">
        <f t="shared" ref="G835:G898" si="39">E835-D835 + 1</f>
        <v>5</v>
      </c>
      <c r="H835">
        <f t="shared" ref="H835:H898" si="40">30+(G835-1)*24</f>
        <v>126</v>
      </c>
      <c r="I835">
        <f t="shared" ref="I835:I898" si="41">H835+F835</f>
        <v>800.5</v>
      </c>
    </row>
    <row r="836" spans="1:9" x14ac:dyDescent="0.25">
      <c r="A836" s="6" t="s">
        <v>25</v>
      </c>
      <c r="B836" s="7" t="s">
        <v>68</v>
      </c>
      <c r="C836" s="7" t="s">
        <v>59</v>
      </c>
      <c r="D836" s="8">
        <v>41970</v>
      </c>
      <c r="E836" s="8">
        <v>41974</v>
      </c>
      <c r="F836" s="9">
        <v>1078</v>
      </c>
      <c r="G836">
        <f t="shared" si="39"/>
        <v>5</v>
      </c>
      <c r="H836">
        <f t="shared" si="40"/>
        <v>126</v>
      </c>
      <c r="I836">
        <f t="shared" si="41"/>
        <v>1204</v>
      </c>
    </row>
    <row r="837" spans="1:9" x14ac:dyDescent="0.25">
      <c r="A837" s="10" t="s">
        <v>33</v>
      </c>
      <c r="B837" s="11" t="s">
        <v>34</v>
      </c>
      <c r="C837" s="11" t="s">
        <v>59</v>
      </c>
      <c r="D837" s="12">
        <v>41970</v>
      </c>
      <c r="E837" s="12">
        <v>41970</v>
      </c>
      <c r="F837" s="13">
        <v>442</v>
      </c>
      <c r="G837">
        <f t="shared" si="39"/>
        <v>1</v>
      </c>
      <c r="H837">
        <f t="shared" si="40"/>
        <v>30</v>
      </c>
      <c r="I837">
        <f t="shared" si="41"/>
        <v>472</v>
      </c>
    </row>
    <row r="838" spans="1:9" x14ac:dyDescent="0.25">
      <c r="A838" s="6" t="s">
        <v>134</v>
      </c>
      <c r="B838" s="7" t="s">
        <v>135</v>
      </c>
      <c r="C838" s="7" t="s">
        <v>47</v>
      </c>
      <c r="D838" s="8">
        <v>41970</v>
      </c>
      <c r="E838" s="8">
        <v>41971</v>
      </c>
      <c r="F838" s="9">
        <v>526.79999999999995</v>
      </c>
      <c r="G838">
        <f t="shared" si="39"/>
        <v>2</v>
      </c>
      <c r="H838">
        <f t="shared" si="40"/>
        <v>54</v>
      </c>
      <c r="I838">
        <f t="shared" si="41"/>
        <v>580.79999999999995</v>
      </c>
    </row>
    <row r="839" spans="1:9" x14ac:dyDescent="0.25">
      <c r="A839" s="10" t="s">
        <v>73</v>
      </c>
      <c r="B839" s="11" t="s">
        <v>74</v>
      </c>
      <c r="C839" s="11" t="s">
        <v>59</v>
      </c>
      <c r="D839" s="12">
        <v>41970</v>
      </c>
      <c r="E839" s="12">
        <v>41970</v>
      </c>
      <c r="F839" s="13">
        <v>442</v>
      </c>
      <c r="G839">
        <f t="shared" si="39"/>
        <v>1</v>
      </c>
      <c r="H839">
        <f t="shared" si="40"/>
        <v>30</v>
      </c>
      <c r="I839">
        <f t="shared" si="41"/>
        <v>472</v>
      </c>
    </row>
    <row r="840" spans="1:9" x14ac:dyDescent="0.25">
      <c r="A840" s="6" t="s">
        <v>164</v>
      </c>
      <c r="B840" s="7" t="s">
        <v>165</v>
      </c>
      <c r="C840" s="7" t="s">
        <v>17</v>
      </c>
      <c r="D840" s="8">
        <v>41970</v>
      </c>
      <c r="E840" s="8">
        <v>41973</v>
      </c>
      <c r="F840" s="9">
        <v>1116.5</v>
      </c>
      <c r="G840">
        <f t="shared" si="39"/>
        <v>4</v>
      </c>
      <c r="H840">
        <f t="shared" si="40"/>
        <v>102</v>
      </c>
      <c r="I840">
        <f t="shared" si="41"/>
        <v>1218.5</v>
      </c>
    </row>
    <row r="841" spans="1:9" x14ac:dyDescent="0.25">
      <c r="A841" s="10" t="s">
        <v>54</v>
      </c>
      <c r="B841" s="11" t="s">
        <v>121</v>
      </c>
      <c r="C841" s="11" t="s">
        <v>72</v>
      </c>
      <c r="D841" s="12">
        <v>41970</v>
      </c>
      <c r="E841" s="12">
        <v>41974</v>
      </c>
      <c r="F841" s="13">
        <v>1290.7</v>
      </c>
      <c r="G841">
        <f t="shared" si="39"/>
        <v>5</v>
      </c>
      <c r="H841">
        <f t="shared" si="40"/>
        <v>126</v>
      </c>
      <c r="I841">
        <f t="shared" si="41"/>
        <v>1416.7</v>
      </c>
    </row>
    <row r="842" spans="1:9" x14ac:dyDescent="0.25">
      <c r="A842" s="6" t="s">
        <v>25</v>
      </c>
      <c r="B842" s="7" t="s">
        <v>35</v>
      </c>
      <c r="C842" s="7" t="s">
        <v>72</v>
      </c>
      <c r="D842" s="8">
        <v>41970</v>
      </c>
      <c r="E842" s="8">
        <v>41972</v>
      </c>
      <c r="F842" s="9">
        <v>892.7</v>
      </c>
      <c r="G842">
        <f t="shared" si="39"/>
        <v>3</v>
      </c>
      <c r="H842">
        <f t="shared" si="40"/>
        <v>78</v>
      </c>
      <c r="I842">
        <f t="shared" si="41"/>
        <v>970.7</v>
      </c>
    </row>
    <row r="843" spans="1:9" x14ac:dyDescent="0.25">
      <c r="A843" s="10" t="s">
        <v>151</v>
      </c>
      <c r="B843" s="11" t="s">
        <v>152</v>
      </c>
      <c r="C843" s="11" t="s">
        <v>47</v>
      </c>
      <c r="D843" s="12">
        <v>41970</v>
      </c>
      <c r="E843" s="12">
        <v>41970</v>
      </c>
      <c r="F843" s="13">
        <v>363.8</v>
      </c>
      <c r="G843">
        <f t="shared" si="39"/>
        <v>1</v>
      </c>
      <c r="H843">
        <f t="shared" si="40"/>
        <v>30</v>
      </c>
      <c r="I843">
        <f t="shared" si="41"/>
        <v>393.8</v>
      </c>
    </row>
    <row r="844" spans="1:9" x14ac:dyDescent="0.25">
      <c r="A844" s="6" t="s">
        <v>147</v>
      </c>
      <c r="B844" s="7" t="s">
        <v>148</v>
      </c>
      <c r="C844" s="7" t="s">
        <v>24</v>
      </c>
      <c r="D844" s="8">
        <v>41970</v>
      </c>
      <c r="E844" s="8">
        <v>41970</v>
      </c>
      <c r="F844" s="9">
        <v>290.7</v>
      </c>
      <c r="G844">
        <f t="shared" si="39"/>
        <v>1</v>
      </c>
      <c r="H844">
        <f t="shared" si="40"/>
        <v>30</v>
      </c>
      <c r="I844">
        <f t="shared" si="41"/>
        <v>320.7</v>
      </c>
    </row>
    <row r="845" spans="1:9" x14ac:dyDescent="0.25">
      <c r="A845" s="10" t="s">
        <v>109</v>
      </c>
      <c r="B845" s="11" t="s">
        <v>110</v>
      </c>
      <c r="C845" s="11" t="s">
        <v>47</v>
      </c>
      <c r="D845" s="12">
        <v>41970</v>
      </c>
      <c r="E845" s="12">
        <v>41971</v>
      </c>
      <c r="F845" s="13">
        <v>526.79999999999995</v>
      </c>
      <c r="G845">
        <f t="shared" si="39"/>
        <v>2</v>
      </c>
      <c r="H845">
        <f t="shared" si="40"/>
        <v>54</v>
      </c>
      <c r="I845">
        <f t="shared" si="41"/>
        <v>580.79999999999995</v>
      </c>
    </row>
    <row r="846" spans="1:9" x14ac:dyDescent="0.25">
      <c r="A846" s="6" t="s">
        <v>93</v>
      </c>
      <c r="B846" s="7" t="s">
        <v>94</v>
      </c>
      <c r="C846" s="7" t="s">
        <v>30</v>
      </c>
      <c r="D846" s="8">
        <v>41970</v>
      </c>
      <c r="E846" s="8">
        <v>41970</v>
      </c>
      <c r="F846" s="9">
        <v>212.5</v>
      </c>
      <c r="G846">
        <f t="shared" si="39"/>
        <v>1</v>
      </c>
      <c r="H846">
        <f t="shared" si="40"/>
        <v>30</v>
      </c>
      <c r="I846">
        <f t="shared" si="41"/>
        <v>242.5</v>
      </c>
    </row>
    <row r="847" spans="1:9" x14ac:dyDescent="0.25">
      <c r="A847" s="10" t="s">
        <v>115</v>
      </c>
      <c r="B847" s="11" t="s">
        <v>116</v>
      </c>
      <c r="C847" s="11" t="s">
        <v>59</v>
      </c>
      <c r="D847" s="12">
        <v>41970</v>
      </c>
      <c r="E847" s="12">
        <v>41971</v>
      </c>
      <c r="F847" s="13">
        <v>601</v>
      </c>
      <c r="G847">
        <f t="shared" si="39"/>
        <v>2</v>
      </c>
      <c r="H847">
        <f t="shared" si="40"/>
        <v>54</v>
      </c>
      <c r="I847">
        <f t="shared" si="41"/>
        <v>655</v>
      </c>
    </row>
    <row r="848" spans="1:9" x14ac:dyDescent="0.25">
      <c r="A848" s="6" t="s">
        <v>12</v>
      </c>
      <c r="B848" s="7" t="s">
        <v>95</v>
      </c>
      <c r="C848" s="7" t="s">
        <v>19</v>
      </c>
      <c r="D848" s="8">
        <v>41970</v>
      </c>
      <c r="E848" s="8">
        <v>41970</v>
      </c>
      <c r="F848" s="9">
        <v>513.4</v>
      </c>
      <c r="G848">
        <f t="shared" si="39"/>
        <v>1</v>
      </c>
      <c r="H848">
        <f t="shared" si="40"/>
        <v>30</v>
      </c>
      <c r="I848">
        <f t="shared" si="41"/>
        <v>543.4</v>
      </c>
    </row>
    <row r="849" spans="1:9" x14ac:dyDescent="0.25">
      <c r="A849" s="10" t="s">
        <v>54</v>
      </c>
      <c r="B849" s="11" t="s">
        <v>118</v>
      </c>
      <c r="C849" s="11" t="s">
        <v>72</v>
      </c>
      <c r="D849" s="12">
        <v>41970</v>
      </c>
      <c r="E849" s="12">
        <v>41971</v>
      </c>
      <c r="F849" s="13">
        <v>693.7</v>
      </c>
      <c r="G849">
        <f t="shared" si="39"/>
        <v>2</v>
      </c>
      <c r="H849">
        <f t="shared" si="40"/>
        <v>54</v>
      </c>
      <c r="I849">
        <f t="shared" si="41"/>
        <v>747.7</v>
      </c>
    </row>
    <row r="850" spans="1:9" x14ac:dyDescent="0.25">
      <c r="A850" s="6" t="s">
        <v>20</v>
      </c>
      <c r="B850" s="7" t="s">
        <v>21</v>
      </c>
      <c r="C850" s="7" t="s">
        <v>14</v>
      </c>
      <c r="D850" s="8">
        <v>41970</v>
      </c>
      <c r="E850" s="8">
        <v>41972</v>
      </c>
      <c r="F850" s="9">
        <v>426.5</v>
      </c>
      <c r="G850">
        <f t="shared" si="39"/>
        <v>3</v>
      </c>
      <c r="H850">
        <f t="shared" si="40"/>
        <v>78</v>
      </c>
      <c r="I850">
        <f t="shared" si="41"/>
        <v>504.5</v>
      </c>
    </row>
    <row r="851" spans="1:9" x14ac:dyDescent="0.25">
      <c r="A851" s="10" t="s">
        <v>54</v>
      </c>
      <c r="B851" s="11" t="s">
        <v>81</v>
      </c>
      <c r="C851" s="11" t="s">
        <v>19</v>
      </c>
      <c r="D851" s="12">
        <v>41971</v>
      </c>
      <c r="E851" s="12">
        <v>41974</v>
      </c>
      <c r="F851" s="13">
        <v>936.4</v>
      </c>
      <c r="G851">
        <f t="shared" si="39"/>
        <v>4</v>
      </c>
      <c r="H851">
        <f t="shared" si="40"/>
        <v>102</v>
      </c>
      <c r="I851">
        <f t="shared" si="41"/>
        <v>1038.4000000000001</v>
      </c>
    </row>
    <row r="852" spans="1:9" x14ac:dyDescent="0.25">
      <c r="A852" s="6" t="s">
        <v>22</v>
      </c>
      <c r="B852" s="7" t="s">
        <v>172</v>
      </c>
      <c r="C852" s="7" t="s">
        <v>72</v>
      </c>
      <c r="D852" s="8">
        <v>41971</v>
      </c>
      <c r="E852" s="8">
        <v>41973</v>
      </c>
      <c r="F852" s="9">
        <v>892.7</v>
      </c>
      <c r="G852">
        <f t="shared" si="39"/>
        <v>3</v>
      </c>
      <c r="H852">
        <f t="shared" si="40"/>
        <v>78</v>
      </c>
      <c r="I852">
        <f t="shared" si="41"/>
        <v>970.7</v>
      </c>
    </row>
    <row r="853" spans="1:9" x14ac:dyDescent="0.25">
      <c r="A853" s="10" t="s">
        <v>131</v>
      </c>
      <c r="B853" s="11" t="s">
        <v>142</v>
      </c>
      <c r="C853" s="11" t="s">
        <v>8</v>
      </c>
      <c r="D853" s="12">
        <v>41971</v>
      </c>
      <c r="E853" s="12">
        <v>41973</v>
      </c>
      <c r="F853" s="13">
        <v>1102</v>
      </c>
      <c r="G853">
        <f t="shared" si="39"/>
        <v>3</v>
      </c>
      <c r="H853">
        <f t="shared" si="40"/>
        <v>78</v>
      </c>
      <c r="I853">
        <f t="shared" si="41"/>
        <v>1180</v>
      </c>
    </row>
    <row r="854" spans="1:9" x14ac:dyDescent="0.25">
      <c r="A854" s="6" t="s">
        <v>84</v>
      </c>
      <c r="B854" s="7" t="s">
        <v>85</v>
      </c>
      <c r="C854" s="7" t="s">
        <v>27</v>
      </c>
      <c r="D854" s="8">
        <v>41971</v>
      </c>
      <c r="E854" s="8">
        <v>41973</v>
      </c>
      <c r="F854" s="9">
        <v>698</v>
      </c>
      <c r="G854">
        <f t="shared" si="39"/>
        <v>3</v>
      </c>
      <c r="H854">
        <f t="shared" si="40"/>
        <v>78</v>
      </c>
      <c r="I854">
        <f t="shared" si="41"/>
        <v>776</v>
      </c>
    </row>
    <row r="855" spans="1:9" x14ac:dyDescent="0.25">
      <c r="A855" s="10" t="s">
        <v>86</v>
      </c>
      <c r="B855" s="11" t="s">
        <v>150</v>
      </c>
      <c r="C855" s="11" t="s">
        <v>72</v>
      </c>
      <c r="D855" s="12">
        <v>41971</v>
      </c>
      <c r="E855" s="12">
        <v>41972</v>
      </c>
      <c r="F855" s="13">
        <v>693.7</v>
      </c>
      <c r="G855">
        <f t="shared" si="39"/>
        <v>2</v>
      </c>
      <c r="H855">
        <f t="shared" si="40"/>
        <v>54</v>
      </c>
      <c r="I855">
        <f t="shared" si="41"/>
        <v>747.7</v>
      </c>
    </row>
    <row r="856" spans="1:9" x14ac:dyDescent="0.25">
      <c r="A856" s="6" t="s">
        <v>50</v>
      </c>
      <c r="B856" s="7" t="s">
        <v>51</v>
      </c>
      <c r="C856" s="7" t="s">
        <v>17</v>
      </c>
      <c r="D856" s="8">
        <v>41971</v>
      </c>
      <c r="E856" s="8">
        <v>41971</v>
      </c>
      <c r="F856" s="9">
        <v>501.5</v>
      </c>
      <c r="G856">
        <f t="shared" si="39"/>
        <v>1</v>
      </c>
      <c r="H856">
        <f t="shared" si="40"/>
        <v>30</v>
      </c>
      <c r="I856">
        <f t="shared" si="41"/>
        <v>531.5</v>
      </c>
    </row>
    <row r="857" spans="1:9" x14ac:dyDescent="0.25">
      <c r="A857" s="10" t="s">
        <v>25</v>
      </c>
      <c r="B857" s="11" t="s">
        <v>26</v>
      </c>
      <c r="C857" s="11" t="s">
        <v>66</v>
      </c>
      <c r="D857" s="12">
        <v>41971</v>
      </c>
      <c r="E857" s="12">
        <v>41971</v>
      </c>
      <c r="F857" s="13">
        <v>307.7</v>
      </c>
      <c r="G857">
        <f t="shared" si="39"/>
        <v>1</v>
      </c>
      <c r="H857">
        <f t="shared" si="40"/>
        <v>30</v>
      </c>
      <c r="I857">
        <f t="shared" si="41"/>
        <v>337.7</v>
      </c>
    </row>
    <row r="858" spans="1:9" x14ac:dyDescent="0.25">
      <c r="A858" s="6" t="s">
        <v>28</v>
      </c>
      <c r="B858" s="7" t="s">
        <v>29</v>
      </c>
      <c r="C858" s="7" t="s">
        <v>66</v>
      </c>
      <c r="D858" s="8">
        <v>41971</v>
      </c>
      <c r="E858" s="8">
        <v>41972</v>
      </c>
      <c r="F858" s="9">
        <v>485.7</v>
      </c>
      <c r="G858">
        <f t="shared" si="39"/>
        <v>2</v>
      </c>
      <c r="H858">
        <f t="shared" si="40"/>
        <v>54</v>
      </c>
      <c r="I858">
        <f t="shared" si="41"/>
        <v>539.70000000000005</v>
      </c>
    </row>
    <row r="859" spans="1:9" x14ac:dyDescent="0.25">
      <c r="A859" s="10" t="s">
        <v>168</v>
      </c>
      <c r="B859" s="11" t="s">
        <v>169</v>
      </c>
      <c r="C859" s="11" t="s">
        <v>59</v>
      </c>
      <c r="D859" s="12">
        <v>41971</v>
      </c>
      <c r="E859" s="12">
        <v>41975</v>
      </c>
      <c r="F859" s="13">
        <v>1078</v>
      </c>
      <c r="G859">
        <f t="shared" si="39"/>
        <v>5</v>
      </c>
      <c r="H859">
        <f t="shared" si="40"/>
        <v>126</v>
      </c>
      <c r="I859">
        <f t="shared" si="41"/>
        <v>1204</v>
      </c>
    </row>
    <row r="860" spans="1:9" x14ac:dyDescent="0.25">
      <c r="A860" s="6" t="s">
        <v>115</v>
      </c>
      <c r="B860" s="7" t="s">
        <v>140</v>
      </c>
      <c r="C860" s="7" t="s">
        <v>47</v>
      </c>
      <c r="D860" s="8">
        <v>41971</v>
      </c>
      <c r="E860" s="8">
        <v>41971</v>
      </c>
      <c r="F860" s="9">
        <v>363.8</v>
      </c>
      <c r="G860">
        <f t="shared" si="39"/>
        <v>1</v>
      </c>
      <c r="H860">
        <f t="shared" si="40"/>
        <v>30</v>
      </c>
      <c r="I860">
        <f t="shared" si="41"/>
        <v>393.8</v>
      </c>
    </row>
    <row r="861" spans="1:9" x14ac:dyDescent="0.25">
      <c r="A861" s="10" t="s">
        <v>126</v>
      </c>
      <c r="B861" s="11" t="s">
        <v>127</v>
      </c>
      <c r="C861" s="11" t="s">
        <v>19</v>
      </c>
      <c r="D861" s="12">
        <v>41971</v>
      </c>
      <c r="E861" s="12">
        <v>41971</v>
      </c>
      <c r="F861" s="13">
        <v>513.4</v>
      </c>
      <c r="G861">
        <f t="shared" si="39"/>
        <v>1</v>
      </c>
      <c r="H861">
        <f t="shared" si="40"/>
        <v>30</v>
      </c>
      <c r="I861">
        <f t="shared" si="41"/>
        <v>543.4</v>
      </c>
    </row>
    <row r="862" spans="1:9" x14ac:dyDescent="0.25">
      <c r="A862" s="6" t="s">
        <v>9</v>
      </c>
      <c r="B862" s="7" t="s">
        <v>69</v>
      </c>
      <c r="C862" s="7" t="s">
        <v>38</v>
      </c>
      <c r="D862" s="8">
        <v>41971</v>
      </c>
      <c r="E862" s="8">
        <v>41972</v>
      </c>
      <c r="F862" s="9">
        <v>407.8</v>
      </c>
      <c r="G862">
        <f t="shared" si="39"/>
        <v>2</v>
      </c>
      <c r="H862">
        <f t="shared" si="40"/>
        <v>54</v>
      </c>
      <c r="I862">
        <f t="shared" si="41"/>
        <v>461.8</v>
      </c>
    </row>
    <row r="863" spans="1:9" x14ac:dyDescent="0.25">
      <c r="A863" s="10" t="s">
        <v>99</v>
      </c>
      <c r="B863" s="11" t="s">
        <v>100</v>
      </c>
      <c r="C863" s="11" t="s">
        <v>72</v>
      </c>
      <c r="D863" s="12">
        <v>41971</v>
      </c>
      <c r="E863" s="12">
        <v>41974</v>
      </c>
      <c r="F863" s="13">
        <v>1091.7</v>
      </c>
      <c r="G863">
        <f t="shared" si="39"/>
        <v>4</v>
      </c>
      <c r="H863">
        <f t="shared" si="40"/>
        <v>102</v>
      </c>
      <c r="I863">
        <f t="shared" si="41"/>
        <v>1193.7</v>
      </c>
    </row>
    <row r="864" spans="1:9" x14ac:dyDescent="0.25">
      <c r="A864" s="6" t="s">
        <v>145</v>
      </c>
      <c r="B864" s="7" t="s">
        <v>146</v>
      </c>
      <c r="C864" s="7" t="s">
        <v>14</v>
      </c>
      <c r="D864" s="8">
        <v>41971</v>
      </c>
      <c r="E864" s="8">
        <v>41975</v>
      </c>
      <c r="F864" s="9">
        <v>674.5</v>
      </c>
      <c r="G864">
        <f t="shared" si="39"/>
        <v>5</v>
      </c>
      <c r="H864">
        <f t="shared" si="40"/>
        <v>126</v>
      </c>
      <c r="I864">
        <f t="shared" si="41"/>
        <v>800.5</v>
      </c>
    </row>
    <row r="865" spans="1:9" x14ac:dyDescent="0.25">
      <c r="A865" s="10" t="s">
        <v>156</v>
      </c>
      <c r="B865" s="11" t="s">
        <v>157</v>
      </c>
      <c r="C865" s="11" t="s">
        <v>8</v>
      </c>
      <c r="D865" s="12">
        <v>41971</v>
      </c>
      <c r="E865" s="12">
        <v>41975</v>
      </c>
      <c r="F865" s="13">
        <v>1524</v>
      </c>
      <c r="G865">
        <f t="shared" si="39"/>
        <v>5</v>
      </c>
      <c r="H865">
        <f t="shared" si="40"/>
        <v>126</v>
      </c>
      <c r="I865">
        <f t="shared" si="41"/>
        <v>1650</v>
      </c>
    </row>
    <row r="866" spans="1:9" x14ac:dyDescent="0.25">
      <c r="A866" s="6" t="s">
        <v>137</v>
      </c>
      <c r="B866" s="7" t="s">
        <v>160</v>
      </c>
      <c r="C866" s="7" t="s">
        <v>30</v>
      </c>
      <c r="D866" s="8">
        <v>41971</v>
      </c>
      <c r="E866" s="8">
        <v>41975</v>
      </c>
      <c r="F866" s="9">
        <v>688.5</v>
      </c>
      <c r="G866">
        <f t="shared" si="39"/>
        <v>5</v>
      </c>
      <c r="H866">
        <f t="shared" si="40"/>
        <v>126</v>
      </c>
      <c r="I866">
        <f t="shared" si="41"/>
        <v>814.5</v>
      </c>
    </row>
    <row r="867" spans="1:9" x14ac:dyDescent="0.25">
      <c r="A867" s="10" t="s">
        <v>158</v>
      </c>
      <c r="B867" s="11" t="s">
        <v>159</v>
      </c>
      <c r="C867" s="11" t="s">
        <v>24</v>
      </c>
      <c r="D867" s="12">
        <v>41971</v>
      </c>
      <c r="E867" s="12">
        <v>41972</v>
      </c>
      <c r="F867" s="13">
        <v>439.7</v>
      </c>
      <c r="G867">
        <f t="shared" si="39"/>
        <v>2</v>
      </c>
      <c r="H867">
        <f t="shared" si="40"/>
        <v>54</v>
      </c>
      <c r="I867">
        <f t="shared" si="41"/>
        <v>493.7</v>
      </c>
    </row>
    <row r="868" spans="1:9" x14ac:dyDescent="0.25">
      <c r="A868" s="6" t="s">
        <v>31</v>
      </c>
      <c r="B868" s="7" t="s">
        <v>77</v>
      </c>
      <c r="C868" s="7" t="s">
        <v>72</v>
      </c>
      <c r="D868" s="8">
        <v>41971</v>
      </c>
      <c r="E868" s="8">
        <v>41972</v>
      </c>
      <c r="F868" s="9">
        <v>693.7</v>
      </c>
      <c r="G868">
        <f t="shared" si="39"/>
        <v>2</v>
      </c>
      <c r="H868">
        <f t="shared" si="40"/>
        <v>54</v>
      </c>
      <c r="I868">
        <f t="shared" si="41"/>
        <v>747.7</v>
      </c>
    </row>
    <row r="869" spans="1:9" x14ac:dyDescent="0.25">
      <c r="A869" s="10" t="s">
        <v>57</v>
      </c>
      <c r="B869" s="11" t="s">
        <v>58</v>
      </c>
      <c r="C869" s="11" t="s">
        <v>8</v>
      </c>
      <c r="D869" s="12">
        <v>41971</v>
      </c>
      <c r="E869" s="12">
        <v>41974</v>
      </c>
      <c r="F869" s="13">
        <v>1313</v>
      </c>
      <c r="G869">
        <f t="shared" si="39"/>
        <v>4</v>
      </c>
      <c r="H869">
        <f t="shared" si="40"/>
        <v>102</v>
      </c>
      <c r="I869">
        <f t="shared" si="41"/>
        <v>1415</v>
      </c>
    </row>
    <row r="870" spans="1:9" x14ac:dyDescent="0.25">
      <c r="A870" s="6" t="s">
        <v>86</v>
      </c>
      <c r="B870" s="7" t="s">
        <v>136</v>
      </c>
      <c r="C870" s="7" t="s">
        <v>8</v>
      </c>
      <c r="D870" s="8">
        <v>41971</v>
      </c>
      <c r="E870" s="8">
        <v>41972</v>
      </c>
      <c r="F870" s="9">
        <v>891</v>
      </c>
      <c r="G870">
        <f t="shared" si="39"/>
        <v>2</v>
      </c>
      <c r="H870">
        <f t="shared" si="40"/>
        <v>54</v>
      </c>
      <c r="I870">
        <f t="shared" si="41"/>
        <v>945</v>
      </c>
    </row>
    <row r="871" spans="1:9" x14ac:dyDescent="0.25">
      <c r="A871" s="10" t="s">
        <v>170</v>
      </c>
      <c r="B871" s="11" t="s">
        <v>171</v>
      </c>
      <c r="C871" s="11" t="s">
        <v>24</v>
      </c>
      <c r="D871" s="12">
        <v>41972</v>
      </c>
      <c r="E871" s="12">
        <v>41973</v>
      </c>
      <c r="F871" s="13">
        <v>439.7</v>
      </c>
      <c r="G871">
        <f t="shared" si="39"/>
        <v>2</v>
      </c>
      <c r="H871">
        <f t="shared" si="40"/>
        <v>54</v>
      </c>
      <c r="I871">
        <f t="shared" si="41"/>
        <v>493.7</v>
      </c>
    </row>
    <row r="872" spans="1:9" x14ac:dyDescent="0.25">
      <c r="A872" s="6" t="s">
        <v>115</v>
      </c>
      <c r="B872" s="7" t="s">
        <v>140</v>
      </c>
      <c r="C872" s="7" t="s">
        <v>8</v>
      </c>
      <c r="D872" s="8">
        <v>41974</v>
      </c>
      <c r="E872" s="8">
        <v>41974</v>
      </c>
      <c r="F872" s="9">
        <v>680</v>
      </c>
      <c r="G872">
        <f t="shared" si="39"/>
        <v>1</v>
      </c>
      <c r="H872">
        <f t="shared" si="40"/>
        <v>30</v>
      </c>
      <c r="I872">
        <f t="shared" si="41"/>
        <v>710</v>
      </c>
    </row>
    <row r="873" spans="1:9" x14ac:dyDescent="0.25">
      <c r="A873" s="10" t="s">
        <v>33</v>
      </c>
      <c r="B873" s="11" t="s">
        <v>34</v>
      </c>
      <c r="C873" s="11" t="s">
        <v>59</v>
      </c>
      <c r="D873" s="12">
        <v>41974</v>
      </c>
      <c r="E873" s="12">
        <v>41974</v>
      </c>
      <c r="F873" s="13">
        <v>442</v>
      </c>
      <c r="G873">
        <f t="shared" si="39"/>
        <v>1</v>
      </c>
      <c r="H873">
        <f t="shared" si="40"/>
        <v>30</v>
      </c>
      <c r="I873">
        <f t="shared" si="41"/>
        <v>472</v>
      </c>
    </row>
    <row r="874" spans="1:9" x14ac:dyDescent="0.25">
      <c r="A874" s="6" t="s">
        <v>126</v>
      </c>
      <c r="B874" s="7" t="s">
        <v>127</v>
      </c>
      <c r="C874" s="7" t="s">
        <v>14</v>
      </c>
      <c r="D874" s="8">
        <v>41974</v>
      </c>
      <c r="E874" s="8">
        <v>41975</v>
      </c>
      <c r="F874" s="9">
        <v>302.5</v>
      </c>
      <c r="G874">
        <f t="shared" si="39"/>
        <v>2</v>
      </c>
      <c r="H874">
        <f t="shared" si="40"/>
        <v>54</v>
      </c>
      <c r="I874">
        <f t="shared" si="41"/>
        <v>356.5</v>
      </c>
    </row>
    <row r="875" spans="1:9" x14ac:dyDescent="0.25">
      <c r="A875" s="10" t="s">
        <v>73</v>
      </c>
      <c r="B875" s="11" t="s">
        <v>74</v>
      </c>
      <c r="C875" s="11" t="s">
        <v>19</v>
      </c>
      <c r="D875" s="12">
        <v>41974</v>
      </c>
      <c r="E875" s="12">
        <v>41974</v>
      </c>
      <c r="F875" s="13">
        <v>513.4</v>
      </c>
      <c r="G875">
        <f t="shared" si="39"/>
        <v>1</v>
      </c>
      <c r="H875">
        <f t="shared" si="40"/>
        <v>30</v>
      </c>
      <c r="I875">
        <f t="shared" si="41"/>
        <v>543.4</v>
      </c>
    </row>
    <row r="876" spans="1:9" x14ac:dyDescent="0.25">
      <c r="A876" s="6" t="s">
        <v>151</v>
      </c>
      <c r="B876" s="7" t="s">
        <v>152</v>
      </c>
      <c r="C876" s="7" t="s">
        <v>59</v>
      </c>
      <c r="D876" s="8">
        <v>41974</v>
      </c>
      <c r="E876" s="8">
        <v>41974</v>
      </c>
      <c r="F876" s="9">
        <v>442</v>
      </c>
      <c r="G876">
        <f t="shared" si="39"/>
        <v>1</v>
      </c>
      <c r="H876">
        <f t="shared" si="40"/>
        <v>30</v>
      </c>
      <c r="I876">
        <f t="shared" si="41"/>
        <v>472</v>
      </c>
    </row>
    <row r="877" spans="1:9" x14ac:dyDescent="0.25">
      <c r="A877" s="10" t="s">
        <v>147</v>
      </c>
      <c r="B877" s="11" t="s">
        <v>148</v>
      </c>
      <c r="C877" s="11" t="s">
        <v>72</v>
      </c>
      <c r="D877" s="12">
        <v>41974</v>
      </c>
      <c r="E877" s="12">
        <v>41974</v>
      </c>
      <c r="F877" s="13">
        <v>494.7</v>
      </c>
      <c r="G877">
        <f t="shared" si="39"/>
        <v>1</v>
      </c>
      <c r="H877">
        <f t="shared" si="40"/>
        <v>30</v>
      </c>
      <c r="I877">
        <f t="shared" si="41"/>
        <v>524.70000000000005</v>
      </c>
    </row>
    <row r="878" spans="1:9" x14ac:dyDescent="0.25">
      <c r="A878" s="6" t="s">
        <v>93</v>
      </c>
      <c r="B878" s="7" t="s">
        <v>94</v>
      </c>
      <c r="C878" s="7" t="s">
        <v>19</v>
      </c>
      <c r="D878" s="8">
        <v>41974</v>
      </c>
      <c r="E878" s="8">
        <v>41974</v>
      </c>
      <c r="F878" s="9">
        <v>513.4</v>
      </c>
      <c r="G878">
        <f t="shared" si="39"/>
        <v>1</v>
      </c>
      <c r="H878">
        <f t="shared" si="40"/>
        <v>30</v>
      </c>
      <c r="I878">
        <f t="shared" si="41"/>
        <v>543.4</v>
      </c>
    </row>
    <row r="879" spans="1:9" x14ac:dyDescent="0.25">
      <c r="A879" s="10" t="s">
        <v>131</v>
      </c>
      <c r="B879" s="11" t="s">
        <v>154</v>
      </c>
      <c r="C879" s="11" t="s">
        <v>59</v>
      </c>
      <c r="D879" s="12">
        <v>41975</v>
      </c>
      <c r="E879" s="12">
        <v>41975</v>
      </c>
      <c r="F879" s="13">
        <v>442</v>
      </c>
      <c r="G879">
        <f t="shared" si="39"/>
        <v>1</v>
      </c>
      <c r="H879">
        <f t="shared" si="40"/>
        <v>30</v>
      </c>
      <c r="I879">
        <f t="shared" si="41"/>
        <v>472</v>
      </c>
    </row>
    <row r="880" spans="1:9" x14ac:dyDescent="0.25">
      <c r="A880" s="6" t="s">
        <v>22</v>
      </c>
      <c r="B880" s="7" t="s">
        <v>172</v>
      </c>
      <c r="C880" s="7" t="s">
        <v>30</v>
      </c>
      <c r="D880" s="8">
        <v>41975</v>
      </c>
      <c r="E880" s="8">
        <v>41976</v>
      </c>
      <c r="F880" s="9">
        <v>331.5</v>
      </c>
      <c r="G880">
        <f t="shared" si="39"/>
        <v>2</v>
      </c>
      <c r="H880">
        <f t="shared" si="40"/>
        <v>54</v>
      </c>
      <c r="I880">
        <f t="shared" si="41"/>
        <v>385.5</v>
      </c>
    </row>
    <row r="881" spans="1:9" x14ac:dyDescent="0.25">
      <c r="A881" s="10" t="s">
        <v>54</v>
      </c>
      <c r="B881" s="11" t="s">
        <v>133</v>
      </c>
      <c r="C881" s="11" t="s">
        <v>47</v>
      </c>
      <c r="D881" s="12">
        <v>41975</v>
      </c>
      <c r="E881" s="12">
        <v>41977</v>
      </c>
      <c r="F881" s="13">
        <v>689.8</v>
      </c>
      <c r="G881">
        <f t="shared" si="39"/>
        <v>3</v>
      </c>
      <c r="H881">
        <f t="shared" si="40"/>
        <v>78</v>
      </c>
      <c r="I881">
        <f t="shared" si="41"/>
        <v>767.8</v>
      </c>
    </row>
    <row r="882" spans="1:9" x14ac:dyDescent="0.25">
      <c r="A882" s="6" t="s">
        <v>50</v>
      </c>
      <c r="B882" s="7" t="s">
        <v>51</v>
      </c>
      <c r="C882" s="7" t="s">
        <v>38</v>
      </c>
      <c r="D882" s="8">
        <v>41975</v>
      </c>
      <c r="E882" s="8">
        <v>41975</v>
      </c>
      <c r="F882" s="9">
        <v>278.8</v>
      </c>
      <c r="G882">
        <f t="shared" si="39"/>
        <v>1</v>
      </c>
      <c r="H882">
        <f t="shared" si="40"/>
        <v>30</v>
      </c>
      <c r="I882">
        <f t="shared" si="41"/>
        <v>308.8</v>
      </c>
    </row>
    <row r="883" spans="1:9" x14ac:dyDescent="0.25">
      <c r="A883" s="10" t="s">
        <v>158</v>
      </c>
      <c r="B883" s="11" t="s">
        <v>159</v>
      </c>
      <c r="C883" s="11" t="s">
        <v>11</v>
      </c>
      <c r="D883" s="12">
        <v>41975</v>
      </c>
      <c r="E883" s="12">
        <v>41975</v>
      </c>
      <c r="F883" s="13">
        <v>156.4</v>
      </c>
      <c r="G883">
        <f t="shared" si="39"/>
        <v>1</v>
      </c>
      <c r="H883">
        <f t="shared" si="40"/>
        <v>30</v>
      </c>
      <c r="I883">
        <f t="shared" si="41"/>
        <v>186.4</v>
      </c>
    </row>
    <row r="884" spans="1:9" x14ac:dyDescent="0.25">
      <c r="A884" s="6" t="s">
        <v>115</v>
      </c>
      <c r="B884" s="7" t="s">
        <v>116</v>
      </c>
      <c r="C884" s="7" t="s">
        <v>24</v>
      </c>
      <c r="D884" s="8">
        <v>41975</v>
      </c>
      <c r="E884" s="8">
        <v>41975</v>
      </c>
      <c r="F884" s="9">
        <v>290.7</v>
      </c>
      <c r="G884">
        <f t="shared" si="39"/>
        <v>1</v>
      </c>
      <c r="H884">
        <f t="shared" si="40"/>
        <v>30</v>
      </c>
      <c r="I884">
        <f t="shared" si="41"/>
        <v>320.7</v>
      </c>
    </row>
    <row r="885" spans="1:9" x14ac:dyDescent="0.25">
      <c r="A885" s="10" t="s">
        <v>170</v>
      </c>
      <c r="B885" s="11" t="s">
        <v>171</v>
      </c>
      <c r="C885" s="11" t="s">
        <v>38</v>
      </c>
      <c r="D885" s="12">
        <v>41976</v>
      </c>
      <c r="E885" s="12">
        <v>41976</v>
      </c>
      <c r="F885" s="13">
        <v>278.8</v>
      </c>
      <c r="G885">
        <f t="shared" si="39"/>
        <v>1</v>
      </c>
      <c r="H885">
        <f t="shared" si="40"/>
        <v>30</v>
      </c>
      <c r="I885">
        <f t="shared" si="41"/>
        <v>308.8</v>
      </c>
    </row>
    <row r="886" spans="1:9" x14ac:dyDescent="0.25">
      <c r="A886" s="6" t="s">
        <v>54</v>
      </c>
      <c r="B886" s="7" t="s">
        <v>81</v>
      </c>
      <c r="C886" s="7" t="s">
        <v>19</v>
      </c>
      <c r="D886" s="8">
        <v>41977</v>
      </c>
      <c r="E886" s="8">
        <v>41977</v>
      </c>
      <c r="F886" s="9">
        <v>513.4</v>
      </c>
      <c r="G886">
        <f t="shared" si="39"/>
        <v>1</v>
      </c>
      <c r="H886">
        <f t="shared" si="40"/>
        <v>30</v>
      </c>
      <c r="I886">
        <f t="shared" si="41"/>
        <v>543.4</v>
      </c>
    </row>
    <row r="887" spans="1:9" x14ac:dyDescent="0.25">
      <c r="A887" s="10" t="s">
        <v>99</v>
      </c>
      <c r="B887" s="11" t="s">
        <v>130</v>
      </c>
      <c r="C887" s="11" t="s">
        <v>24</v>
      </c>
      <c r="D887" s="12">
        <v>41977</v>
      </c>
      <c r="E887" s="12">
        <v>41978</v>
      </c>
      <c r="F887" s="13">
        <v>439.7</v>
      </c>
      <c r="G887">
        <f t="shared" si="39"/>
        <v>2</v>
      </c>
      <c r="H887">
        <f t="shared" si="40"/>
        <v>54</v>
      </c>
      <c r="I887">
        <f t="shared" si="41"/>
        <v>493.7</v>
      </c>
    </row>
    <row r="888" spans="1:9" x14ac:dyDescent="0.25">
      <c r="A888" s="6" t="s">
        <v>97</v>
      </c>
      <c r="B888" s="7" t="s">
        <v>98</v>
      </c>
      <c r="C888" s="7" t="s">
        <v>14</v>
      </c>
      <c r="D888" s="8">
        <v>41977</v>
      </c>
      <c r="E888" s="8">
        <v>41978</v>
      </c>
      <c r="F888" s="9">
        <v>302.5</v>
      </c>
      <c r="G888">
        <f t="shared" si="39"/>
        <v>2</v>
      </c>
      <c r="H888">
        <f t="shared" si="40"/>
        <v>54</v>
      </c>
      <c r="I888">
        <f t="shared" si="41"/>
        <v>356.5</v>
      </c>
    </row>
    <row r="889" spans="1:9" x14ac:dyDescent="0.25">
      <c r="A889" s="10" t="s">
        <v>73</v>
      </c>
      <c r="B889" s="11" t="s">
        <v>155</v>
      </c>
      <c r="C889" s="11" t="s">
        <v>11</v>
      </c>
      <c r="D889" s="12">
        <v>41977</v>
      </c>
      <c r="E889" s="12">
        <v>41978</v>
      </c>
      <c r="F889" s="13">
        <v>295.39999999999998</v>
      </c>
      <c r="G889">
        <f t="shared" si="39"/>
        <v>2</v>
      </c>
      <c r="H889">
        <f t="shared" si="40"/>
        <v>54</v>
      </c>
      <c r="I889">
        <f t="shared" si="41"/>
        <v>349.4</v>
      </c>
    </row>
    <row r="890" spans="1:9" x14ac:dyDescent="0.25">
      <c r="A890" s="6" t="s">
        <v>109</v>
      </c>
      <c r="B890" s="7" t="s">
        <v>110</v>
      </c>
      <c r="C890" s="7" t="s">
        <v>24</v>
      </c>
      <c r="D890" s="8">
        <v>41977</v>
      </c>
      <c r="E890" s="8">
        <v>41981</v>
      </c>
      <c r="F890" s="9">
        <v>886.7</v>
      </c>
      <c r="G890">
        <f t="shared" si="39"/>
        <v>5</v>
      </c>
      <c r="H890">
        <f t="shared" si="40"/>
        <v>126</v>
      </c>
      <c r="I890">
        <f t="shared" si="41"/>
        <v>1012.7</v>
      </c>
    </row>
    <row r="891" spans="1:9" x14ac:dyDescent="0.25">
      <c r="A891" s="10" t="s">
        <v>20</v>
      </c>
      <c r="B891" s="11" t="s">
        <v>162</v>
      </c>
      <c r="C891" s="11" t="s">
        <v>72</v>
      </c>
      <c r="D891" s="12">
        <v>41977</v>
      </c>
      <c r="E891" s="12">
        <v>41981</v>
      </c>
      <c r="F891" s="13">
        <v>1290.7</v>
      </c>
      <c r="G891">
        <f t="shared" si="39"/>
        <v>5</v>
      </c>
      <c r="H891">
        <f t="shared" si="40"/>
        <v>126</v>
      </c>
      <c r="I891">
        <f t="shared" si="41"/>
        <v>1416.7</v>
      </c>
    </row>
    <row r="892" spans="1:9" x14ac:dyDescent="0.25">
      <c r="A892" s="6" t="s">
        <v>15</v>
      </c>
      <c r="B892" s="7" t="s">
        <v>16</v>
      </c>
      <c r="C892" s="7" t="s">
        <v>38</v>
      </c>
      <c r="D892" s="8">
        <v>41977</v>
      </c>
      <c r="E892" s="8">
        <v>41979</v>
      </c>
      <c r="F892" s="9">
        <v>536.79999999999995</v>
      </c>
      <c r="G892">
        <f t="shared" si="39"/>
        <v>3</v>
      </c>
      <c r="H892">
        <f t="shared" si="40"/>
        <v>78</v>
      </c>
      <c r="I892">
        <f t="shared" si="41"/>
        <v>614.79999999999995</v>
      </c>
    </row>
    <row r="893" spans="1:9" x14ac:dyDescent="0.25">
      <c r="A893" s="10" t="s">
        <v>31</v>
      </c>
      <c r="B893" s="11" t="s">
        <v>78</v>
      </c>
      <c r="C893" s="11" t="s">
        <v>24</v>
      </c>
      <c r="D893" s="12">
        <v>41982</v>
      </c>
      <c r="E893" s="12">
        <v>41983</v>
      </c>
      <c r="F893" s="13">
        <v>439.7</v>
      </c>
      <c r="G893">
        <f t="shared" si="39"/>
        <v>2</v>
      </c>
      <c r="H893">
        <f t="shared" si="40"/>
        <v>54</v>
      </c>
      <c r="I893">
        <f t="shared" si="41"/>
        <v>493.7</v>
      </c>
    </row>
    <row r="894" spans="1:9" x14ac:dyDescent="0.25">
      <c r="A894" s="6" t="s">
        <v>33</v>
      </c>
      <c r="B894" s="7" t="s">
        <v>141</v>
      </c>
      <c r="C894" s="7" t="s">
        <v>38</v>
      </c>
      <c r="D894" s="8">
        <v>41982</v>
      </c>
      <c r="E894" s="8">
        <v>41982</v>
      </c>
      <c r="F894" s="9">
        <v>278.8</v>
      </c>
      <c r="G894">
        <f t="shared" si="39"/>
        <v>1</v>
      </c>
      <c r="H894">
        <f t="shared" si="40"/>
        <v>30</v>
      </c>
      <c r="I894">
        <f t="shared" si="41"/>
        <v>308.8</v>
      </c>
    </row>
    <row r="895" spans="1:9" x14ac:dyDescent="0.25">
      <c r="A895" s="10" t="s">
        <v>48</v>
      </c>
      <c r="B895" s="11" t="s">
        <v>49</v>
      </c>
      <c r="C895" s="11" t="s">
        <v>24</v>
      </c>
      <c r="D895" s="12">
        <v>41982</v>
      </c>
      <c r="E895" s="12">
        <v>41985</v>
      </c>
      <c r="F895" s="13">
        <v>737.7</v>
      </c>
      <c r="G895">
        <f t="shared" si="39"/>
        <v>4</v>
      </c>
      <c r="H895">
        <f t="shared" si="40"/>
        <v>102</v>
      </c>
      <c r="I895">
        <f t="shared" si="41"/>
        <v>839.7</v>
      </c>
    </row>
    <row r="896" spans="1:9" x14ac:dyDescent="0.25">
      <c r="A896" s="6" t="s">
        <v>6</v>
      </c>
      <c r="B896" s="7" t="s">
        <v>139</v>
      </c>
      <c r="C896" s="7" t="s">
        <v>30</v>
      </c>
      <c r="D896" s="8">
        <v>41982</v>
      </c>
      <c r="E896" s="8">
        <v>41983</v>
      </c>
      <c r="F896" s="9">
        <v>331.5</v>
      </c>
      <c r="G896">
        <f t="shared" si="39"/>
        <v>2</v>
      </c>
      <c r="H896">
        <f t="shared" si="40"/>
        <v>54</v>
      </c>
      <c r="I896">
        <f t="shared" si="41"/>
        <v>385.5</v>
      </c>
    </row>
    <row r="897" spans="1:9" x14ac:dyDescent="0.25">
      <c r="A897" s="10" t="s">
        <v>122</v>
      </c>
      <c r="B897" s="11" t="s">
        <v>123</v>
      </c>
      <c r="C897" s="11" t="s">
        <v>59</v>
      </c>
      <c r="D897" s="12">
        <v>41982</v>
      </c>
      <c r="E897" s="12">
        <v>41982</v>
      </c>
      <c r="F897" s="13">
        <v>442</v>
      </c>
      <c r="G897">
        <f t="shared" si="39"/>
        <v>1</v>
      </c>
      <c r="H897">
        <f t="shared" si="40"/>
        <v>30</v>
      </c>
      <c r="I897">
        <f t="shared" si="41"/>
        <v>472</v>
      </c>
    </row>
    <row r="898" spans="1:9" x14ac:dyDescent="0.25">
      <c r="A898" s="6" t="s">
        <v>93</v>
      </c>
      <c r="B898" s="7" t="s">
        <v>124</v>
      </c>
      <c r="C898" s="7" t="s">
        <v>72</v>
      </c>
      <c r="D898" s="8">
        <v>41982</v>
      </c>
      <c r="E898" s="8">
        <v>41982</v>
      </c>
      <c r="F898" s="9">
        <v>494.7</v>
      </c>
      <c r="G898">
        <f t="shared" si="39"/>
        <v>1</v>
      </c>
      <c r="H898">
        <f t="shared" si="40"/>
        <v>30</v>
      </c>
      <c r="I898">
        <f t="shared" si="41"/>
        <v>524.70000000000005</v>
      </c>
    </row>
    <row r="899" spans="1:9" x14ac:dyDescent="0.25">
      <c r="A899" s="10" t="s">
        <v>31</v>
      </c>
      <c r="B899" s="11" t="s">
        <v>32</v>
      </c>
      <c r="C899" s="11" t="s">
        <v>8</v>
      </c>
      <c r="D899" s="12">
        <v>41982</v>
      </c>
      <c r="E899" s="12">
        <v>41984</v>
      </c>
      <c r="F899" s="13">
        <v>1102</v>
      </c>
      <c r="G899">
        <f t="shared" ref="G899:G962" si="42">E899-D899 + 1</f>
        <v>3</v>
      </c>
      <c r="H899">
        <f t="shared" ref="H899:H962" si="43">30+(G899-1)*24</f>
        <v>78</v>
      </c>
      <c r="I899">
        <f t="shared" ref="I899:I962" si="44">H899+F899</f>
        <v>1180</v>
      </c>
    </row>
    <row r="900" spans="1:9" x14ac:dyDescent="0.25">
      <c r="A900" s="6" t="s">
        <v>61</v>
      </c>
      <c r="B900" s="7" t="s">
        <v>62</v>
      </c>
      <c r="C900" s="7" t="s">
        <v>30</v>
      </c>
      <c r="D900" s="8">
        <v>41982</v>
      </c>
      <c r="E900" s="8">
        <v>41986</v>
      </c>
      <c r="F900" s="9">
        <v>688.5</v>
      </c>
      <c r="G900">
        <f t="shared" si="42"/>
        <v>5</v>
      </c>
      <c r="H900">
        <f t="shared" si="43"/>
        <v>126</v>
      </c>
      <c r="I900">
        <f t="shared" si="44"/>
        <v>814.5</v>
      </c>
    </row>
    <row r="901" spans="1:9" x14ac:dyDescent="0.25">
      <c r="A901" s="10" t="s">
        <v>170</v>
      </c>
      <c r="B901" s="11" t="s">
        <v>171</v>
      </c>
      <c r="C901" s="11" t="s">
        <v>27</v>
      </c>
      <c r="D901" s="12">
        <v>41982</v>
      </c>
      <c r="E901" s="12">
        <v>41983</v>
      </c>
      <c r="F901" s="13">
        <v>570</v>
      </c>
      <c r="G901">
        <f t="shared" si="42"/>
        <v>2</v>
      </c>
      <c r="H901">
        <f t="shared" si="43"/>
        <v>54</v>
      </c>
      <c r="I901">
        <f t="shared" si="44"/>
        <v>624</v>
      </c>
    </row>
    <row r="902" spans="1:9" x14ac:dyDescent="0.25">
      <c r="A902" s="6" t="s">
        <v>168</v>
      </c>
      <c r="B902" s="7" t="s">
        <v>169</v>
      </c>
      <c r="C902" s="7" t="s">
        <v>59</v>
      </c>
      <c r="D902" s="8">
        <v>41982</v>
      </c>
      <c r="E902" s="8">
        <v>41984</v>
      </c>
      <c r="F902" s="9">
        <v>760</v>
      </c>
      <c r="G902">
        <f t="shared" si="42"/>
        <v>3</v>
      </c>
      <c r="H902">
        <f t="shared" si="43"/>
        <v>78</v>
      </c>
      <c r="I902">
        <f t="shared" si="44"/>
        <v>838</v>
      </c>
    </row>
    <row r="903" spans="1:9" x14ac:dyDescent="0.25">
      <c r="A903" s="10" t="s">
        <v>33</v>
      </c>
      <c r="B903" s="11" t="s">
        <v>34</v>
      </c>
      <c r="C903" s="11" t="s">
        <v>8</v>
      </c>
      <c r="D903" s="12">
        <v>41982</v>
      </c>
      <c r="E903" s="12">
        <v>41983</v>
      </c>
      <c r="F903" s="13">
        <v>891</v>
      </c>
      <c r="G903">
        <f t="shared" si="42"/>
        <v>2</v>
      </c>
      <c r="H903">
        <f t="shared" si="43"/>
        <v>54</v>
      </c>
      <c r="I903">
        <f t="shared" si="44"/>
        <v>945</v>
      </c>
    </row>
    <row r="904" spans="1:9" x14ac:dyDescent="0.25">
      <c r="A904" s="6" t="s">
        <v>9</v>
      </c>
      <c r="B904" s="7" t="s">
        <v>10</v>
      </c>
      <c r="C904" s="7" t="s">
        <v>72</v>
      </c>
      <c r="D904" s="8">
        <v>41982</v>
      </c>
      <c r="E904" s="8">
        <v>41984</v>
      </c>
      <c r="F904" s="9">
        <v>892.7</v>
      </c>
      <c r="G904">
        <f t="shared" si="42"/>
        <v>3</v>
      </c>
      <c r="H904">
        <f t="shared" si="43"/>
        <v>78</v>
      </c>
      <c r="I904">
        <f t="shared" si="44"/>
        <v>970.7</v>
      </c>
    </row>
    <row r="905" spans="1:9" x14ac:dyDescent="0.25">
      <c r="A905" s="10" t="s">
        <v>73</v>
      </c>
      <c r="B905" s="11" t="s">
        <v>74</v>
      </c>
      <c r="C905" s="11" t="s">
        <v>11</v>
      </c>
      <c r="D905" s="12">
        <v>41982</v>
      </c>
      <c r="E905" s="12">
        <v>41985</v>
      </c>
      <c r="F905" s="13">
        <v>573.4</v>
      </c>
      <c r="G905">
        <f t="shared" si="42"/>
        <v>4</v>
      </c>
      <c r="H905">
        <f t="shared" si="43"/>
        <v>102</v>
      </c>
      <c r="I905">
        <f t="shared" si="44"/>
        <v>675.4</v>
      </c>
    </row>
    <row r="906" spans="1:9" x14ac:dyDescent="0.25">
      <c r="A906" s="6" t="s">
        <v>101</v>
      </c>
      <c r="B906" s="7" t="s">
        <v>102</v>
      </c>
      <c r="C906" s="7" t="s">
        <v>30</v>
      </c>
      <c r="D906" s="8">
        <v>41982</v>
      </c>
      <c r="E906" s="8">
        <v>41985</v>
      </c>
      <c r="F906" s="9">
        <v>569.5</v>
      </c>
      <c r="G906">
        <f t="shared" si="42"/>
        <v>4</v>
      </c>
      <c r="H906">
        <f t="shared" si="43"/>
        <v>102</v>
      </c>
      <c r="I906">
        <f t="shared" si="44"/>
        <v>671.5</v>
      </c>
    </row>
    <row r="907" spans="1:9" x14ac:dyDescent="0.25">
      <c r="A907" s="10" t="s">
        <v>86</v>
      </c>
      <c r="B907" s="11" t="s">
        <v>87</v>
      </c>
      <c r="C907" s="11" t="s">
        <v>14</v>
      </c>
      <c r="D907" s="12">
        <v>41982</v>
      </c>
      <c r="E907" s="12">
        <v>41986</v>
      </c>
      <c r="F907" s="13">
        <v>674.5</v>
      </c>
      <c r="G907">
        <f t="shared" si="42"/>
        <v>5</v>
      </c>
      <c r="H907">
        <f t="shared" si="43"/>
        <v>126</v>
      </c>
      <c r="I907">
        <f t="shared" si="44"/>
        <v>800.5</v>
      </c>
    </row>
    <row r="908" spans="1:9" x14ac:dyDescent="0.25">
      <c r="A908" s="6" t="s">
        <v>107</v>
      </c>
      <c r="B908" s="7" t="s">
        <v>108</v>
      </c>
      <c r="C908" s="7" t="s">
        <v>19</v>
      </c>
      <c r="D908" s="8">
        <v>41982</v>
      </c>
      <c r="E908" s="8">
        <v>41983</v>
      </c>
      <c r="F908" s="9">
        <v>654.4</v>
      </c>
      <c r="G908">
        <f t="shared" si="42"/>
        <v>2</v>
      </c>
      <c r="H908">
        <f t="shared" si="43"/>
        <v>54</v>
      </c>
      <c r="I908">
        <f t="shared" si="44"/>
        <v>708.4</v>
      </c>
    </row>
    <row r="909" spans="1:9" x14ac:dyDescent="0.25">
      <c r="A909" s="10" t="s">
        <v>134</v>
      </c>
      <c r="B909" s="11" t="s">
        <v>149</v>
      </c>
      <c r="C909" s="11" t="s">
        <v>8</v>
      </c>
      <c r="D909" s="12">
        <v>41982</v>
      </c>
      <c r="E909" s="12">
        <v>41983</v>
      </c>
      <c r="F909" s="13">
        <v>891</v>
      </c>
      <c r="G909">
        <f t="shared" si="42"/>
        <v>2</v>
      </c>
      <c r="H909">
        <f t="shared" si="43"/>
        <v>54</v>
      </c>
      <c r="I909">
        <f t="shared" si="44"/>
        <v>945</v>
      </c>
    </row>
    <row r="910" spans="1:9" x14ac:dyDescent="0.25">
      <c r="A910" s="6" t="s">
        <v>111</v>
      </c>
      <c r="B910" s="7" t="s">
        <v>112</v>
      </c>
      <c r="C910" s="7" t="s">
        <v>59</v>
      </c>
      <c r="D910" s="8">
        <v>41982</v>
      </c>
      <c r="E910" s="8">
        <v>41984</v>
      </c>
      <c r="F910" s="9">
        <v>760</v>
      </c>
      <c r="G910">
        <f t="shared" si="42"/>
        <v>3</v>
      </c>
      <c r="H910">
        <f t="shared" si="43"/>
        <v>78</v>
      </c>
      <c r="I910">
        <f t="shared" si="44"/>
        <v>838</v>
      </c>
    </row>
    <row r="911" spans="1:9" x14ac:dyDescent="0.25">
      <c r="A911" s="10" t="s">
        <v>93</v>
      </c>
      <c r="B911" s="11" t="s">
        <v>94</v>
      </c>
      <c r="C911" s="11" t="s">
        <v>66</v>
      </c>
      <c r="D911" s="12">
        <v>41982</v>
      </c>
      <c r="E911" s="12">
        <v>41986</v>
      </c>
      <c r="F911" s="13">
        <v>1019.7</v>
      </c>
      <c r="G911">
        <f t="shared" si="42"/>
        <v>5</v>
      </c>
      <c r="H911">
        <f t="shared" si="43"/>
        <v>126</v>
      </c>
      <c r="I911">
        <f t="shared" si="44"/>
        <v>1145.7</v>
      </c>
    </row>
    <row r="912" spans="1:9" x14ac:dyDescent="0.25">
      <c r="A912" s="6" t="s">
        <v>70</v>
      </c>
      <c r="B912" s="7" t="s">
        <v>117</v>
      </c>
      <c r="C912" s="7" t="s">
        <v>47</v>
      </c>
      <c r="D912" s="8">
        <v>41982</v>
      </c>
      <c r="E912" s="8">
        <v>41983</v>
      </c>
      <c r="F912" s="9">
        <v>526.79999999999995</v>
      </c>
      <c r="G912">
        <f t="shared" si="42"/>
        <v>2</v>
      </c>
      <c r="H912">
        <f t="shared" si="43"/>
        <v>54</v>
      </c>
      <c r="I912">
        <f t="shared" si="44"/>
        <v>580.79999999999995</v>
      </c>
    </row>
    <row r="913" spans="1:9" x14ac:dyDescent="0.25">
      <c r="A913" s="10" t="s">
        <v>86</v>
      </c>
      <c r="B913" s="11" t="s">
        <v>136</v>
      </c>
      <c r="C913" s="11" t="s">
        <v>47</v>
      </c>
      <c r="D913" s="12">
        <v>41982</v>
      </c>
      <c r="E913" s="12">
        <v>41983</v>
      </c>
      <c r="F913" s="13">
        <v>526.79999999999995</v>
      </c>
      <c r="G913">
        <f t="shared" si="42"/>
        <v>2</v>
      </c>
      <c r="H913">
        <f t="shared" si="43"/>
        <v>54</v>
      </c>
      <c r="I913">
        <f t="shared" si="44"/>
        <v>580.79999999999995</v>
      </c>
    </row>
    <row r="914" spans="1:9" x14ac:dyDescent="0.25">
      <c r="A914" s="6" t="s">
        <v>15</v>
      </c>
      <c r="B914" s="7" t="s">
        <v>44</v>
      </c>
      <c r="C914" s="7" t="s">
        <v>17</v>
      </c>
      <c r="D914" s="8">
        <v>41983</v>
      </c>
      <c r="E914" s="8">
        <v>41984</v>
      </c>
      <c r="F914" s="9">
        <v>706.5</v>
      </c>
      <c r="G914">
        <f t="shared" si="42"/>
        <v>2</v>
      </c>
      <c r="H914">
        <f t="shared" si="43"/>
        <v>54</v>
      </c>
      <c r="I914">
        <f t="shared" si="44"/>
        <v>760.5</v>
      </c>
    </row>
    <row r="915" spans="1:9" x14ac:dyDescent="0.25">
      <c r="A915" s="10" t="s">
        <v>6</v>
      </c>
      <c r="B915" s="11" t="s">
        <v>7</v>
      </c>
      <c r="C915" s="11" t="s">
        <v>30</v>
      </c>
      <c r="D915" s="12">
        <v>41983</v>
      </c>
      <c r="E915" s="12">
        <v>41984</v>
      </c>
      <c r="F915" s="13">
        <v>331.5</v>
      </c>
      <c r="G915">
        <f t="shared" si="42"/>
        <v>2</v>
      </c>
      <c r="H915">
        <f t="shared" si="43"/>
        <v>54</v>
      </c>
      <c r="I915">
        <f t="shared" si="44"/>
        <v>385.5</v>
      </c>
    </row>
    <row r="916" spans="1:9" x14ac:dyDescent="0.25">
      <c r="A916" s="6" t="s">
        <v>128</v>
      </c>
      <c r="B916" s="7" t="s">
        <v>129</v>
      </c>
      <c r="C916" s="7" t="s">
        <v>14</v>
      </c>
      <c r="D916" s="8">
        <v>41983</v>
      </c>
      <c r="E916" s="8">
        <v>41986</v>
      </c>
      <c r="F916" s="9">
        <v>550.5</v>
      </c>
      <c r="G916">
        <f t="shared" si="42"/>
        <v>4</v>
      </c>
      <c r="H916">
        <f t="shared" si="43"/>
        <v>102</v>
      </c>
      <c r="I916">
        <f t="shared" si="44"/>
        <v>652.5</v>
      </c>
    </row>
    <row r="917" spans="1:9" x14ac:dyDescent="0.25">
      <c r="A917" s="10" t="s">
        <v>82</v>
      </c>
      <c r="B917" s="11" t="s">
        <v>83</v>
      </c>
      <c r="C917" s="11" t="s">
        <v>17</v>
      </c>
      <c r="D917" s="12">
        <v>41983</v>
      </c>
      <c r="E917" s="12">
        <v>41986</v>
      </c>
      <c r="F917" s="13">
        <v>1116.5</v>
      </c>
      <c r="G917">
        <f t="shared" si="42"/>
        <v>4</v>
      </c>
      <c r="H917">
        <f t="shared" si="43"/>
        <v>102</v>
      </c>
      <c r="I917">
        <f t="shared" si="44"/>
        <v>1218.5</v>
      </c>
    </row>
    <row r="918" spans="1:9" x14ac:dyDescent="0.25">
      <c r="A918" s="6" t="s">
        <v>25</v>
      </c>
      <c r="B918" s="7" t="s">
        <v>67</v>
      </c>
      <c r="C918" s="7" t="s">
        <v>24</v>
      </c>
      <c r="D918" s="8">
        <v>41983</v>
      </c>
      <c r="E918" s="8">
        <v>41984</v>
      </c>
      <c r="F918" s="9">
        <v>439.7</v>
      </c>
      <c r="G918">
        <f t="shared" si="42"/>
        <v>2</v>
      </c>
      <c r="H918">
        <f t="shared" si="43"/>
        <v>54</v>
      </c>
      <c r="I918">
        <f t="shared" si="44"/>
        <v>493.7</v>
      </c>
    </row>
    <row r="919" spans="1:9" x14ac:dyDescent="0.25">
      <c r="A919" s="10" t="s">
        <v>28</v>
      </c>
      <c r="B919" s="11" t="s">
        <v>60</v>
      </c>
      <c r="C919" s="11" t="s">
        <v>59</v>
      </c>
      <c r="D919" s="12">
        <v>41983</v>
      </c>
      <c r="E919" s="12">
        <v>41983</v>
      </c>
      <c r="F919" s="13">
        <v>442</v>
      </c>
      <c r="G919">
        <f t="shared" si="42"/>
        <v>1</v>
      </c>
      <c r="H919">
        <f t="shared" si="43"/>
        <v>30</v>
      </c>
      <c r="I919">
        <f t="shared" si="44"/>
        <v>472</v>
      </c>
    </row>
    <row r="920" spans="1:9" x14ac:dyDescent="0.25">
      <c r="A920" s="6" t="s">
        <v>28</v>
      </c>
      <c r="B920" s="7" t="s">
        <v>29</v>
      </c>
      <c r="C920" s="7" t="s">
        <v>17</v>
      </c>
      <c r="D920" s="8">
        <v>41983</v>
      </c>
      <c r="E920" s="8">
        <v>41985</v>
      </c>
      <c r="F920" s="9">
        <v>911.5</v>
      </c>
      <c r="G920">
        <f t="shared" si="42"/>
        <v>3</v>
      </c>
      <c r="H920">
        <f t="shared" si="43"/>
        <v>78</v>
      </c>
      <c r="I920">
        <f t="shared" si="44"/>
        <v>989.5</v>
      </c>
    </row>
    <row r="921" spans="1:9" x14ac:dyDescent="0.25">
      <c r="A921" s="10" t="s">
        <v>82</v>
      </c>
      <c r="B921" s="11" t="s">
        <v>125</v>
      </c>
      <c r="C921" s="11" t="s">
        <v>47</v>
      </c>
      <c r="D921" s="12">
        <v>41983</v>
      </c>
      <c r="E921" s="12">
        <v>41987</v>
      </c>
      <c r="F921" s="13">
        <v>1015.8</v>
      </c>
      <c r="G921">
        <f t="shared" si="42"/>
        <v>5</v>
      </c>
      <c r="H921">
        <f t="shared" si="43"/>
        <v>126</v>
      </c>
      <c r="I921">
        <f t="shared" si="44"/>
        <v>1141.8</v>
      </c>
    </row>
    <row r="922" spans="1:9" x14ac:dyDescent="0.25">
      <c r="A922" s="6" t="s">
        <v>70</v>
      </c>
      <c r="B922" s="7" t="s">
        <v>71</v>
      </c>
      <c r="C922" s="7" t="s">
        <v>30</v>
      </c>
      <c r="D922" s="8">
        <v>41983</v>
      </c>
      <c r="E922" s="8">
        <v>41984</v>
      </c>
      <c r="F922" s="9">
        <v>331.5</v>
      </c>
      <c r="G922">
        <f t="shared" si="42"/>
        <v>2</v>
      </c>
      <c r="H922">
        <f t="shared" si="43"/>
        <v>54</v>
      </c>
      <c r="I922">
        <f t="shared" si="44"/>
        <v>385.5</v>
      </c>
    </row>
    <row r="923" spans="1:9" x14ac:dyDescent="0.25">
      <c r="A923" s="10" t="s">
        <v>6</v>
      </c>
      <c r="B923" s="11" t="s">
        <v>56</v>
      </c>
      <c r="C923" s="11" t="s">
        <v>27</v>
      </c>
      <c r="D923" s="12">
        <v>41983</v>
      </c>
      <c r="E923" s="12">
        <v>41987</v>
      </c>
      <c r="F923" s="13">
        <v>954</v>
      </c>
      <c r="G923">
        <f t="shared" si="42"/>
        <v>5</v>
      </c>
      <c r="H923">
        <f t="shared" si="43"/>
        <v>126</v>
      </c>
      <c r="I923">
        <f t="shared" si="44"/>
        <v>1080</v>
      </c>
    </row>
    <row r="924" spans="1:9" x14ac:dyDescent="0.25">
      <c r="A924" s="6" t="s">
        <v>9</v>
      </c>
      <c r="B924" s="7" t="s">
        <v>69</v>
      </c>
      <c r="C924" s="7" t="s">
        <v>8</v>
      </c>
      <c r="D924" s="8">
        <v>41983</v>
      </c>
      <c r="E924" s="8">
        <v>41985</v>
      </c>
      <c r="F924" s="9">
        <v>1102</v>
      </c>
      <c r="G924">
        <f t="shared" si="42"/>
        <v>3</v>
      </c>
      <c r="H924">
        <f t="shared" si="43"/>
        <v>78</v>
      </c>
      <c r="I924">
        <f t="shared" si="44"/>
        <v>1180</v>
      </c>
    </row>
    <row r="925" spans="1:9" x14ac:dyDescent="0.25">
      <c r="A925" s="10" t="s">
        <v>93</v>
      </c>
      <c r="B925" s="11" t="s">
        <v>106</v>
      </c>
      <c r="C925" s="11" t="s">
        <v>66</v>
      </c>
      <c r="D925" s="12">
        <v>41983</v>
      </c>
      <c r="E925" s="12">
        <v>41984</v>
      </c>
      <c r="F925" s="13">
        <v>485.7</v>
      </c>
      <c r="G925">
        <f t="shared" si="42"/>
        <v>2</v>
      </c>
      <c r="H925">
        <f t="shared" si="43"/>
        <v>54</v>
      </c>
      <c r="I925">
        <f t="shared" si="44"/>
        <v>539.70000000000005</v>
      </c>
    </row>
    <row r="926" spans="1:9" x14ac:dyDescent="0.25">
      <c r="A926" s="6" t="s">
        <v>54</v>
      </c>
      <c r="B926" s="7" t="s">
        <v>121</v>
      </c>
      <c r="C926" s="7" t="s">
        <v>38</v>
      </c>
      <c r="D926" s="8">
        <v>41983</v>
      </c>
      <c r="E926" s="8">
        <v>41986</v>
      </c>
      <c r="F926" s="9">
        <v>665.8</v>
      </c>
      <c r="G926">
        <f t="shared" si="42"/>
        <v>4</v>
      </c>
      <c r="H926">
        <f t="shared" si="43"/>
        <v>102</v>
      </c>
      <c r="I926">
        <f t="shared" si="44"/>
        <v>767.8</v>
      </c>
    </row>
    <row r="927" spans="1:9" x14ac:dyDescent="0.25">
      <c r="A927" s="10" t="s">
        <v>145</v>
      </c>
      <c r="B927" s="11" t="s">
        <v>146</v>
      </c>
      <c r="C927" s="11" t="s">
        <v>24</v>
      </c>
      <c r="D927" s="12">
        <v>41983</v>
      </c>
      <c r="E927" s="12">
        <v>41985</v>
      </c>
      <c r="F927" s="13">
        <v>588.70000000000005</v>
      </c>
      <c r="G927">
        <f t="shared" si="42"/>
        <v>3</v>
      </c>
      <c r="H927">
        <f t="shared" si="43"/>
        <v>78</v>
      </c>
      <c r="I927">
        <f t="shared" si="44"/>
        <v>666.7</v>
      </c>
    </row>
    <row r="928" spans="1:9" x14ac:dyDescent="0.25">
      <c r="A928" s="6" t="s">
        <v>25</v>
      </c>
      <c r="B928" s="7" t="s">
        <v>35</v>
      </c>
      <c r="C928" s="7" t="s">
        <v>72</v>
      </c>
      <c r="D928" s="8">
        <v>41983</v>
      </c>
      <c r="E928" s="8">
        <v>41986</v>
      </c>
      <c r="F928" s="9">
        <v>1091.7</v>
      </c>
      <c r="G928">
        <f t="shared" si="42"/>
        <v>4</v>
      </c>
      <c r="H928">
        <f t="shared" si="43"/>
        <v>102</v>
      </c>
      <c r="I928">
        <f t="shared" si="44"/>
        <v>1193.7</v>
      </c>
    </row>
    <row r="929" spans="1:9" x14ac:dyDescent="0.25">
      <c r="A929" s="10" t="s">
        <v>12</v>
      </c>
      <c r="B929" s="11" t="s">
        <v>13</v>
      </c>
      <c r="C929" s="11" t="s">
        <v>47</v>
      </c>
      <c r="D929" s="12">
        <v>41983</v>
      </c>
      <c r="E929" s="12">
        <v>41987</v>
      </c>
      <c r="F929" s="13">
        <v>1015.8</v>
      </c>
      <c r="G929">
        <f t="shared" si="42"/>
        <v>5</v>
      </c>
      <c r="H929">
        <f t="shared" si="43"/>
        <v>126</v>
      </c>
      <c r="I929">
        <f t="shared" si="44"/>
        <v>1141.8</v>
      </c>
    </row>
    <row r="930" spans="1:9" x14ac:dyDescent="0.25">
      <c r="A930" s="6" t="s">
        <v>75</v>
      </c>
      <c r="B930" s="7" t="s">
        <v>88</v>
      </c>
      <c r="C930" s="7" t="s">
        <v>19</v>
      </c>
      <c r="D930" s="8">
        <v>41983</v>
      </c>
      <c r="E930" s="8">
        <v>41984</v>
      </c>
      <c r="F930" s="9">
        <v>654.4</v>
      </c>
      <c r="G930">
        <f t="shared" si="42"/>
        <v>2</v>
      </c>
      <c r="H930">
        <f t="shared" si="43"/>
        <v>54</v>
      </c>
      <c r="I930">
        <f t="shared" si="44"/>
        <v>708.4</v>
      </c>
    </row>
    <row r="931" spans="1:9" x14ac:dyDescent="0.25">
      <c r="A931" s="10" t="s">
        <v>166</v>
      </c>
      <c r="B931" s="11" t="s">
        <v>167</v>
      </c>
      <c r="C931" s="11" t="s">
        <v>38</v>
      </c>
      <c r="D931" s="12">
        <v>41983</v>
      </c>
      <c r="E931" s="12">
        <v>41984</v>
      </c>
      <c r="F931" s="13">
        <v>407.8</v>
      </c>
      <c r="G931">
        <f t="shared" si="42"/>
        <v>2</v>
      </c>
      <c r="H931">
        <f t="shared" si="43"/>
        <v>54</v>
      </c>
      <c r="I931">
        <f t="shared" si="44"/>
        <v>461.8</v>
      </c>
    </row>
    <row r="932" spans="1:9" x14ac:dyDescent="0.25">
      <c r="A932" s="6" t="s">
        <v>6</v>
      </c>
      <c r="B932" s="7" t="s">
        <v>45</v>
      </c>
      <c r="C932" s="7" t="s">
        <v>11</v>
      </c>
      <c r="D932" s="8">
        <v>41983</v>
      </c>
      <c r="E932" s="8">
        <v>41983</v>
      </c>
      <c r="F932" s="9">
        <v>156.4</v>
      </c>
      <c r="G932">
        <f t="shared" si="42"/>
        <v>1</v>
      </c>
      <c r="H932">
        <f t="shared" si="43"/>
        <v>30</v>
      </c>
      <c r="I932">
        <f t="shared" si="44"/>
        <v>186.4</v>
      </c>
    </row>
    <row r="933" spans="1:9" x14ac:dyDescent="0.25">
      <c r="A933" s="10" t="s">
        <v>20</v>
      </c>
      <c r="B933" s="11" t="s">
        <v>162</v>
      </c>
      <c r="C933" s="11" t="s">
        <v>14</v>
      </c>
      <c r="D933" s="12">
        <v>41983</v>
      </c>
      <c r="E933" s="12">
        <v>41986</v>
      </c>
      <c r="F933" s="13">
        <v>550.5</v>
      </c>
      <c r="G933">
        <f t="shared" si="42"/>
        <v>4</v>
      </c>
      <c r="H933">
        <f t="shared" si="43"/>
        <v>102</v>
      </c>
      <c r="I933">
        <f t="shared" si="44"/>
        <v>652.5</v>
      </c>
    </row>
    <row r="934" spans="1:9" x14ac:dyDescent="0.25">
      <c r="A934" s="6" t="s">
        <v>15</v>
      </c>
      <c r="B934" s="7" t="s">
        <v>16</v>
      </c>
      <c r="C934" s="7" t="s">
        <v>8</v>
      </c>
      <c r="D934" s="8">
        <v>41983</v>
      </c>
      <c r="E934" s="8">
        <v>41987</v>
      </c>
      <c r="F934" s="9">
        <v>1524</v>
      </c>
      <c r="G934">
        <f t="shared" si="42"/>
        <v>5</v>
      </c>
      <c r="H934">
        <f t="shared" si="43"/>
        <v>126</v>
      </c>
      <c r="I934">
        <f t="shared" si="44"/>
        <v>1650</v>
      </c>
    </row>
    <row r="935" spans="1:9" x14ac:dyDescent="0.25">
      <c r="A935" s="10" t="s">
        <v>20</v>
      </c>
      <c r="B935" s="11" t="s">
        <v>21</v>
      </c>
      <c r="C935" s="11" t="s">
        <v>38</v>
      </c>
      <c r="D935" s="12">
        <v>41983</v>
      </c>
      <c r="E935" s="12">
        <v>41984</v>
      </c>
      <c r="F935" s="13">
        <v>407.8</v>
      </c>
      <c r="G935">
        <f t="shared" si="42"/>
        <v>2</v>
      </c>
      <c r="H935">
        <f t="shared" si="43"/>
        <v>54</v>
      </c>
      <c r="I935">
        <f t="shared" si="44"/>
        <v>461.8</v>
      </c>
    </row>
    <row r="936" spans="1:9" x14ac:dyDescent="0.25">
      <c r="A936" s="6" t="s">
        <v>115</v>
      </c>
      <c r="B936" s="7" t="s">
        <v>140</v>
      </c>
      <c r="C936" s="7" t="s">
        <v>17</v>
      </c>
      <c r="D936" s="8">
        <v>41984</v>
      </c>
      <c r="E936" s="8">
        <v>41985</v>
      </c>
      <c r="F936" s="9">
        <v>706.5</v>
      </c>
      <c r="G936">
        <f t="shared" si="42"/>
        <v>2</v>
      </c>
      <c r="H936">
        <f t="shared" si="43"/>
        <v>54</v>
      </c>
      <c r="I936">
        <f t="shared" si="44"/>
        <v>760.5</v>
      </c>
    </row>
    <row r="937" spans="1:9" x14ac:dyDescent="0.25">
      <c r="A937" s="10" t="s">
        <v>33</v>
      </c>
      <c r="B937" s="11" t="s">
        <v>34</v>
      </c>
      <c r="C937" s="11" t="s">
        <v>24</v>
      </c>
      <c r="D937" s="12">
        <v>41984</v>
      </c>
      <c r="E937" s="12">
        <v>41984</v>
      </c>
      <c r="F937" s="13">
        <v>290.7</v>
      </c>
      <c r="G937">
        <f t="shared" si="42"/>
        <v>1</v>
      </c>
      <c r="H937">
        <f t="shared" si="43"/>
        <v>30</v>
      </c>
      <c r="I937">
        <f t="shared" si="44"/>
        <v>320.7</v>
      </c>
    </row>
    <row r="938" spans="1:9" x14ac:dyDescent="0.25">
      <c r="A938" s="6" t="s">
        <v>33</v>
      </c>
      <c r="B938" s="7" t="s">
        <v>141</v>
      </c>
      <c r="C938" s="7" t="s">
        <v>27</v>
      </c>
      <c r="D938" s="8">
        <v>41985</v>
      </c>
      <c r="E938" s="8">
        <v>41985</v>
      </c>
      <c r="F938" s="9">
        <v>442</v>
      </c>
      <c r="G938">
        <f t="shared" si="42"/>
        <v>1</v>
      </c>
      <c r="H938">
        <f t="shared" si="43"/>
        <v>30</v>
      </c>
      <c r="I938">
        <f t="shared" si="44"/>
        <v>472</v>
      </c>
    </row>
    <row r="939" spans="1:9" x14ac:dyDescent="0.25">
      <c r="A939" s="10" t="s">
        <v>6</v>
      </c>
      <c r="B939" s="11" t="s">
        <v>139</v>
      </c>
      <c r="C939" s="11" t="s">
        <v>59</v>
      </c>
      <c r="D939" s="12">
        <v>41985</v>
      </c>
      <c r="E939" s="12">
        <v>41985</v>
      </c>
      <c r="F939" s="13">
        <v>442</v>
      </c>
      <c r="G939">
        <f t="shared" si="42"/>
        <v>1</v>
      </c>
      <c r="H939">
        <f t="shared" si="43"/>
        <v>30</v>
      </c>
      <c r="I939">
        <f t="shared" si="44"/>
        <v>472</v>
      </c>
    </row>
    <row r="940" spans="1:9" x14ac:dyDescent="0.25">
      <c r="A940" s="6" t="s">
        <v>122</v>
      </c>
      <c r="B940" s="7" t="s">
        <v>123</v>
      </c>
      <c r="C940" s="7" t="s">
        <v>38</v>
      </c>
      <c r="D940" s="8">
        <v>41985</v>
      </c>
      <c r="E940" s="8">
        <v>41985</v>
      </c>
      <c r="F940" s="9">
        <v>278.8</v>
      </c>
      <c r="G940">
        <f t="shared" si="42"/>
        <v>1</v>
      </c>
      <c r="H940">
        <f t="shared" si="43"/>
        <v>30</v>
      </c>
      <c r="I940">
        <f t="shared" si="44"/>
        <v>308.8</v>
      </c>
    </row>
    <row r="941" spans="1:9" x14ac:dyDescent="0.25">
      <c r="A941" s="10" t="s">
        <v>93</v>
      </c>
      <c r="B941" s="11" t="s">
        <v>124</v>
      </c>
      <c r="C941" s="11" t="s">
        <v>38</v>
      </c>
      <c r="D941" s="12">
        <v>41985</v>
      </c>
      <c r="E941" s="12">
        <v>41985</v>
      </c>
      <c r="F941" s="13">
        <v>278.8</v>
      </c>
      <c r="G941">
        <f t="shared" si="42"/>
        <v>1</v>
      </c>
      <c r="H941">
        <f t="shared" si="43"/>
        <v>30</v>
      </c>
      <c r="I941">
        <f t="shared" si="44"/>
        <v>308.8</v>
      </c>
    </row>
    <row r="942" spans="1:9" x14ac:dyDescent="0.25">
      <c r="A942" s="6" t="s">
        <v>86</v>
      </c>
      <c r="B942" s="7" t="s">
        <v>150</v>
      </c>
      <c r="C942" s="7" t="s">
        <v>14</v>
      </c>
      <c r="D942" s="8">
        <v>41985</v>
      </c>
      <c r="E942" s="8">
        <v>41985</v>
      </c>
      <c r="F942" s="9">
        <v>178.5</v>
      </c>
      <c r="G942">
        <f t="shared" si="42"/>
        <v>1</v>
      </c>
      <c r="H942">
        <f t="shared" si="43"/>
        <v>30</v>
      </c>
      <c r="I942">
        <f t="shared" si="44"/>
        <v>208.5</v>
      </c>
    </row>
    <row r="943" spans="1:9" x14ac:dyDescent="0.25">
      <c r="A943" s="10" t="s">
        <v>119</v>
      </c>
      <c r="B943" s="11" t="s">
        <v>120</v>
      </c>
      <c r="C943" s="11" t="s">
        <v>11</v>
      </c>
      <c r="D943" s="12">
        <v>41985</v>
      </c>
      <c r="E943" s="12">
        <v>41988</v>
      </c>
      <c r="F943" s="13">
        <v>573.4</v>
      </c>
      <c r="G943">
        <f t="shared" si="42"/>
        <v>4</v>
      </c>
      <c r="H943">
        <f t="shared" si="43"/>
        <v>102</v>
      </c>
      <c r="I943">
        <f t="shared" si="44"/>
        <v>675.4</v>
      </c>
    </row>
    <row r="944" spans="1:9" x14ac:dyDescent="0.25">
      <c r="A944" s="6" t="s">
        <v>134</v>
      </c>
      <c r="B944" s="7" t="s">
        <v>149</v>
      </c>
      <c r="C944" s="7" t="s">
        <v>66</v>
      </c>
      <c r="D944" s="8">
        <v>41985</v>
      </c>
      <c r="E944" s="8">
        <v>41985</v>
      </c>
      <c r="F944" s="9">
        <v>307.7</v>
      </c>
      <c r="G944">
        <f t="shared" si="42"/>
        <v>1</v>
      </c>
      <c r="H944">
        <f t="shared" si="43"/>
        <v>30</v>
      </c>
      <c r="I944">
        <f t="shared" si="44"/>
        <v>337.7</v>
      </c>
    </row>
    <row r="945" spans="1:9" x14ac:dyDescent="0.25">
      <c r="A945" s="10" t="s">
        <v>113</v>
      </c>
      <c r="B945" s="11" t="s">
        <v>114</v>
      </c>
      <c r="C945" s="11" t="s">
        <v>66</v>
      </c>
      <c r="D945" s="12">
        <v>41985</v>
      </c>
      <c r="E945" s="12">
        <v>41985</v>
      </c>
      <c r="F945" s="13">
        <v>307.7</v>
      </c>
      <c r="G945">
        <f t="shared" si="42"/>
        <v>1</v>
      </c>
      <c r="H945">
        <f t="shared" si="43"/>
        <v>30</v>
      </c>
      <c r="I945">
        <f t="shared" si="44"/>
        <v>337.7</v>
      </c>
    </row>
    <row r="946" spans="1:9" x14ac:dyDescent="0.25">
      <c r="A946" s="6" t="s">
        <v>91</v>
      </c>
      <c r="B946" s="7" t="s">
        <v>161</v>
      </c>
      <c r="C946" s="7" t="s">
        <v>66</v>
      </c>
      <c r="D946" s="8">
        <v>41985</v>
      </c>
      <c r="E946" s="8">
        <v>41989</v>
      </c>
      <c r="F946" s="9">
        <v>1019.7</v>
      </c>
      <c r="G946">
        <f t="shared" si="42"/>
        <v>5</v>
      </c>
      <c r="H946">
        <f t="shared" si="43"/>
        <v>126</v>
      </c>
      <c r="I946">
        <f t="shared" si="44"/>
        <v>1145.7</v>
      </c>
    </row>
    <row r="947" spans="1:9" x14ac:dyDescent="0.25">
      <c r="A947" s="10" t="s">
        <v>33</v>
      </c>
      <c r="B947" s="11" t="s">
        <v>34</v>
      </c>
      <c r="C947" s="11" t="s">
        <v>17</v>
      </c>
      <c r="D947" s="12">
        <v>41986</v>
      </c>
      <c r="E947" s="12">
        <v>41986</v>
      </c>
      <c r="F947" s="13">
        <v>501.5</v>
      </c>
      <c r="G947">
        <f t="shared" si="42"/>
        <v>1</v>
      </c>
      <c r="H947">
        <f t="shared" si="43"/>
        <v>30</v>
      </c>
      <c r="I947">
        <f t="shared" si="44"/>
        <v>531.5</v>
      </c>
    </row>
    <row r="948" spans="1:9" x14ac:dyDescent="0.25">
      <c r="A948" s="6" t="s">
        <v>6</v>
      </c>
      <c r="B948" s="7" t="s">
        <v>45</v>
      </c>
      <c r="C948" s="7" t="s">
        <v>17</v>
      </c>
      <c r="D948" s="8">
        <v>41986</v>
      </c>
      <c r="E948" s="8">
        <v>41986</v>
      </c>
      <c r="F948" s="9">
        <v>501.5</v>
      </c>
      <c r="G948">
        <f t="shared" si="42"/>
        <v>1</v>
      </c>
      <c r="H948">
        <f t="shared" si="43"/>
        <v>30</v>
      </c>
      <c r="I948">
        <f t="shared" si="44"/>
        <v>531.5</v>
      </c>
    </row>
    <row r="949" spans="1:9" x14ac:dyDescent="0.25">
      <c r="A949" s="10" t="s">
        <v>115</v>
      </c>
      <c r="B949" s="11" t="s">
        <v>153</v>
      </c>
      <c r="C949" s="11" t="s">
        <v>30</v>
      </c>
      <c r="D949" s="12">
        <v>41987</v>
      </c>
      <c r="E949" s="12">
        <v>41987</v>
      </c>
      <c r="F949" s="13">
        <v>212.5</v>
      </c>
      <c r="G949">
        <f t="shared" si="42"/>
        <v>1</v>
      </c>
      <c r="H949">
        <f t="shared" si="43"/>
        <v>30</v>
      </c>
      <c r="I949">
        <f t="shared" si="44"/>
        <v>242.5</v>
      </c>
    </row>
    <row r="950" spans="1:9" x14ac:dyDescent="0.25">
      <c r="A950" s="6" t="s">
        <v>31</v>
      </c>
      <c r="B950" s="7" t="s">
        <v>32</v>
      </c>
      <c r="C950" s="7" t="s">
        <v>17</v>
      </c>
      <c r="D950" s="8">
        <v>41987</v>
      </c>
      <c r="E950" s="8">
        <v>41987</v>
      </c>
      <c r="F950" s="9">
        <v>501.5</v>
      </c>
      <c r="G950">
        <f t="shared" si="42"/>
        <v>1</v>
      </c>
      <c r="H950">
        <f t="shared" si="43"/>
        <v>30</v>
      </c>
      <c r="I950">
        <f t="shared" si="44"/>
        <v>531.5</v>
      </c>
    </row>
    <row r="951" spans="1:9" x14ac:dyDescent="0.25">
      <c r="A951" s="10" t="s">
        <v>170</v>
      </c>
      <c r="B951" s="11" t="s">
        <v>171</v>
      </c>
      <c r="C951" s="11" t="s">
        <v>11</v>
      </c>
      <c r="D951" s="12">
        <v>41988</v>
      </c>
      <c r="E951" s="12">
        <v>41988</v>
      </c>
      <c r="F951" s="13">
        <v>156.4</v>
      </c>
      <c r="G951">
        <f t="shared" si="42"/>
        <v>1</v>
      </c>
      <c r="H951">
        <f t="shared" si="43"/>
        <v>30</v>
      </c>
      <c r="I951">
        <f t="shared" si="44"/>
        <v>186.4</v>
      </c>
    </row>
    <row r="952" spans="1:9" x14ac:dyDescent="0.25">
      <c r="A952" s="6" t="s">
        <v>86</v>
      </c>
      <c r="B952" s="7" t="s">
        <v>87</v>
      </c>
      <c r="C952" s="7" t="s">
        <v>30</v>
      </c>
      <c r="D952" s="8">
        <v>41988</v>
      </c>
      <c r="E952" s="8">
        <v>41988</v>
      </c>
      <c r="F952" s="9">
        <v>212.5</v>
      </c>
      <c r="G952">
        <f t="shared" si="42"/>
        <v>1</v>
      </c>
      <c r="H952">
        <f t="shared" si="43"/>
        <v>30</v>
      </c>
      <c r="I952">
        <f t="shared" si="44"/>
        <v>242.5</v>
      </c>
    </row>
    <row r="953" spans="1:9" x14ac:dyDescent="0.25">
      <c r="A953" s="10" t="s">
        <v>73</v>
      </c>
      <c r="B953" s="11" t="s">
        <v>155</v>
      </c>
      <c r="C953" s="11" t="s">
        <v>11</v>
      </c>
      <c r="D953" s="12">
        <v>41988</v>
      </c>
      <c r="E953" s="12">
        <v>41988</v>
      </c>
      <c r="F953" s="13">
        <v>156.4</v>
      </c>
      <c r="G953">
        <f t="shared" si="42"/>
        <v>1</v>
      </c>
      <c r="H953">
        <f t="shared" si="43"/>
        <v>30</v>
      </c>
      <c r="I953">
        <f t="shared" si="44"/>
        <v>186.4</v>
      </c>
    </row>
    <row r="954" spans="1:9" x14ac:dyDescent="0.25">
      <c r="A954" s="6" t="s">
        <v>33</v>
      </c>
      <c r="B954" s="7" t="s">
        <v>141</v>
      </c>
      <c r="C954" s="7" t="s">
        <v>8</v>
      </c>
      <c r="D954" s="8">
        <v>41989</v>
      </c>
      <c r="E954" s="8">
        <v>41990</v>
      </c>
      <c r="F954" s="9">
        <v>891</v>
      </c>
      <c r="G954">
        <f t="shared" si="42"/>
        <v>2</v>
      </c>
      <c r="H954">
        <f t="shared" si="43"/>
        <v>54</v>
      </c>
      <c r="I954">
        <f t="shared" si="44"/>
        <v>945</v>
      </c>
    </row>
    <row r="955" spans="1:9" x14ac:dyDescent="0.25">
      <c r="A955" s="10" t="s">
        <v>22</v>
      </c>
      <c r="B955" s="11" t="s">
        <v>172</v>
      </c>
      <c r="C955" s="11" t="s">
        <v>47</v>
      </c>
      <c r="D955" s="12">
        <v>41989</v>
      </c>
      <c r="E955" s="12">
        <v>41992</v>
      </c>
      <c r="F955" s="13">
        <v>852.8</v>
      </c>
      <c r="G955">
        <f t="shared" si="42"/>
        <v>4</v>
      </c>
      <c r="H955">
        <f t="shared" si="43"/>
        <v>102</v>
      </c>
      <c r="I955">
        <f t="shared" si="44"/>
        <v>954.8</v>
      </c>
    </row>
    <row r="956" spans="1:9" x14ac:dyDescent="0.25">
      <c r="A956" s="6" t="s">
        <v>50</v>
      </c>
      <c r="B956" s="7" t="s">
        <v>51</v>
      </c>
      <c r="C956" s="7" t="s">
        <v>17</v>
      </c>
      <c r="D956" s="8">
        <v>41989</v>
      </c>
      <c r="E956" s="8">
        <v>41990</v>
      </c>
      <c r="F956" s="9">
        <v>706.5</v>
      </c>
      <c r="G956">
        <f t="shared" si="42"/>
        <v>2</v>
      </c>
      <c r="H956">
        <f t="shared" si="43"/>
        <v>54</v>
      </c>
      <c r="I956">
        <f t="shared" si="44"/>
        <v>760.5</v>
      </c>
    </row>
    <row r="957" spans="1:9" x14ac:dyDescent="0.25">
      <c r="A957" s="10" t="s">
        <v>107</v>
      </c>
      <c r="B957" s="11" t="s">
        <v>108</v>
      </c>
      <c r="C957" s="11" t="s">
        <v>59</v>
      </c>
      <c r="D957" s="12">
        <v>41989</v>
      </c>
      <c r="E957" s="12">
        <v>41989</v>
      </c>
      <c r="F957" s="13">
        <v>442</v>
      </c>
      <c r="G957">
        <f t="shared" si="42"/>
        <v>1</v>
      </c>
      <c r="H957">
        <f t="shared" si="43"/>
        <v>30</v>
      </c>
      <c r="I957">
        <f t="shared" si="44"/>
        <v>472</v>
      </c>
    </row>
    <row r="958" spans="1:9" x14ac:dyDescent="0.25">
      <c r="A958" s="6" t="s">
        <v>109</v>
      </c>
      <c r="B958" s="7" t="s">
        <v>110</v>
      </c>
      <c r="C958" s="7" t="s">
        <v>38</v>
      </c>
      <c r="D958" s="8">
        <v>41989</v>
      </c>
      <c r="E958" s="8">
        <v>41989</v>
      </c>
      <c r="F958" s="9">
        <v>278.8</v>
      </c>
      <c r="G958">
        <f t="shared" si="42"/>
        <v>1</v>
      </c>
      <c r="H958">
        <f t="shared" si="43"/>
        <v>30</v>
      </c>
      <c r="I958">
        <f t="shared" si="44"/>
        <v>308.8</v>
      </c>
    </row>
    <row r="959" spans="1:9" x14ac:dyDescent="0.25">
      <c r="A959" s="10" t="s">
        <v>15</v>
      </c>
      <c r="B959" s="11" t="s">
        <v>63</v>
      </c>
      <c r="C959" s="11" t="s">
        <v>11</v>
      </c>
      <c r="D959" s="12">
        <v>41989</v>
      </c>
      <c r="E959" s="12">
        <v>41990</v>
      </c>
      <c r="F959" s="13">
        <v>295.39999999999998</v>
      </c>
      <c r="G959">
        <f t="shared" si="42"/>
        <v>2</v>
      </c>
      <c r="H959">
        <f t="shared" si="43"/>
        <v>54</v>
      </c>
      <c r="I959">
        <f t="shared" si="44"/>
        <v>349.4</v>
      </c>
    </row>
    <row r="960" spans="1:9" x14ac:dyDescent="0.25">
      <c r="A960" s="6" t="s">
        <v>115</v>
      </c>
      <c r="B960" s="7" t="s">
        <v>153</v>
      </c>
      <c r="C960" s="7" t="s">
        <v>47</v>
      </c>
      <c r="D960" s="8">
        <v>41990</v>
      </c>
      <c r="E960" s="8">
        <v>41990</v>
      </c>
      <c r="F960" s="9">
        <v>363.8</v>
      </c>
      <c r="G960">
        <f t="shared" si="42"/>
        <v>1</v>
      </c>
      <c r="H960">
        <f t="shared" si="43"/>
        <v>30</v>
      </c>
      <c r="I960">
        <f t="shared" si="44"/>
        <v>393.8</v>
      </c>
    </row>
    <row r="961" spans="1:9" x14ac:dyDescent="0.25">
      <c r="A961" s="10" t="s">
        <v>54</v>
      </c>
      <c r="B961" s="11" t="s">
        <v>121</v>
      </c>
      <c r="C961" s="11" t="s">
        <v>17</v>
      </c>
      <c r="D961" s="12">
        <v>41990</v>
      </c>
      <c r="E961" s="12">
        <v>41990</v>
      </c>
      <c r="F961" s="13">
        <v>501.5</v>
      </c>
      <c r="G961">
        <f t="shared" si="42"/>
        <v>1</v>
      </c>
      <c r="H961">
        <f t="shared" si="43"/>
        <v>30</v>
      </c>
      <c r="I961">
        <f t="shared" si="44"/>
        <v>531.5</v>
      </c>
    </row>
    <row r="962" spans="1:9" x14ac:dyDescent="0.25">
      <c r="A962" s="6" t="s">
        <v>6</v>
      </c>
      <c r="B962" s="7" t="s">
        <v>45</v>
      </c>
      <c r="C962" s="7" t="s">
        <v>19</v>
      </c>
      <c r="D962" s="8">
        <v>41990</v>
      </c>
      <c r="E962" s="8">
        <v>41990</v>
      </c>
      <c r="F962" s="9">
        <v>513.4</v>
      </c>
      <c r="G962">
        <f t="shared" si="42"/>
        <v>1</v>
      </c>
      <c r="H962">
        <f t="shared" si="43"/>
        <v>30</v>
      </c>
      <c r="I962">
        <f t="shared" si="44"/>
        <v>543.4</v>
      </c>
    </row>
    <row r="963" spans="1:9" x14ac:dyDescent="0.25">
      <c r="A963" s="10" t="s">
        <v>25</v>
      </c>
      <c r="B963" s="11" t="s">
        <v>67</v>
      </c>
      <c r="C963" s="11" t="s">
        <v>47</v>
      </c>
      <c r="D963" s="12">
        <v>41991</v>
      </c>
      <c r="E963" s="12">
        <v>41991</v>
      </c>
      <c r="F963" s="13">
        <v>363.8</v>
      </c>
      <c r="G963">
        <f t="shared" ref="G963:G1001" si="45">E963-D963 + 1</f>
        <v>1</v>
      </c>
      <c r="H963">
        <f t="shared" ref="H963:H1001" si="46">30+(G963-1)*24</f>
        <v>30</v>
      </c>
      <c r="I963">
        <f t="shared" ref="I963:I1001" si="47">H963+F963</f>
        <v>393.8</v>
      </c>
    </row>
    <row r="964" spans="1:9" x14ac:dyDescent="0.25">
      <c r="A964" s="6" t="s">
        <v>126</v>
      </c>
      <c r="B964" s="7" t="s">
        <v>127</v>
      </c>
      <c r="C964" s="7" t="s">
        <v>47</v>
      </c>
      <c r="D964" s="8">
        <v>41991</v>
      </c>
      <c r="E964" s="8">
        <v>41991</v>
      </c>
      <c r="F964" s="9">
        <v>363.8</v>
      </c>
      <c r="G964">
        <f t="shared" si="45"/>
        <v>1</v>
      </c>
      <c r="H964">
        <f t="shared" si="46"/>
        <v>30</v>
      </c>
      <c r="I964">
        <f t="shared" si="47"/>
        <v>393.8</v>
      </c>
    </row>
    <row r="965" spans="1:9" x14ac:dyDescent="0.25">
      <c r="A965" s="10" t="s">
        <v>134</v>
      </c>
      <c r="B965" s="11" t="s">
        <v>149</v>
      </c>
      <c r="C965" s="11" t="s">
        <v>24</v>
      </c>
      <c r="D965" s="12">
        <v>41991</v>
      </c>
      <c r="E965" s="12">
        <v>41991</v>
      </c>
      <c r="F965" s="13">
        <v>290.7</v>
      </c>
      <c r="G965">
        <f t="shared" si="45"/>
        <v>1</v>
      </c>
      <c r="H965">
        <f t="shared" si="46"/>
        <v>30</v>
      </c>
      <c r="I965">
        <f t="shared" si="47"/>
        <v>320.7</v>
      </c>
    </row>
    <row r="966" spans="1:9" x14ac:dyDescent="0.25">
      <c r="A966" s="6" t="s">
        <v>15</v>
      </c>
      <c r="B966" s="7" t="s">
        <v>16</v>
      </c>
      <c r="C966" s="7" t="s">
        <v>30</v>
      </c>
      <c r="D966" s="8">
        <v>41991</v>
      </c>
      <c r="E966" s="8">
        <v>41992</v>
      </c>
      <c r="F966" s="9">
        <v>331.5</v>
      </c>
      <c r="G966">
        <f t="shared" si="45"/>
        <v>2</v>
      </c>
      <c r="H966">
        <f t="shared" si="46"/>
        <v>54</v>
      </c>
      <c r="I966">
        <f t="shared" si="47"/>
        <v>385.5</v>
      </c>
    </row>
    <row r="967" spans="1:9" x14ac:dyDescent="0.25">
      <c r="A967" s="10" t="s">
        <v>20</v>
      </c>
      <c r="B967" s="11" t="s">
        <v>21</v>
      </c>
      <c r="C967" s="11" t="s">
        <v>72</v>
      </c>
      <c r="D967" s="12">
        <v>41991</v>
      </c>
      <c r="E967" s="12">
        <v>41991</v>
      </c>
      <c r="F967" s="13">
        <v>494.7</v>
      </c>
      <c r="G967">
        <f t="shared" si="45"/>
        <v>1</v>
      </c>
      <c r="H967">
        <f t="shared" si="46"/>
        <v>30</v>
      </c>
      <c r="I967">
        <f t="shared" si="47"/>
        <v>524.70000000000005</v>
      </c>
    </row>
    <row r="968" spans="1:9" x14ac:dyDescent="0.25">
      <c r="A968" s="6" t="s">
        <v>25</v>
      </c>
      <c r="B968" s="7" t="s">
        <v>35</v>
      </c>
      <c r="C968" s="7" t="s">
        <v>11</v>
      </c>
      <c r="D968" s="8">
        <v>41992</v>
      </c>
      <c r="E968" s="8">
        <v>41992</v>
      </c>
      <c r="F968" s="9">
        <v>156.4</v>
      </c>
      <c r="G968">
        <f t="shared" si="45"/>
        <v>1</v>
      </c>
      <c r="H968">
        <f t="shared" si="46"/>
        <v>30</v>
      </c>
      <c r="I968">
        <f t="shared" si="47"/>
        <v>186.4</v>
      </c>
    </row>
    <row r="969" spans="1:9" x14ac:dyDescent="0.25">
      <c r="A969" s="10" t="s">
        <v>151</v>
      </c>
      <c r="B969" s="11" t="s">
        <v>152</v>
      </c>
      <c r="C969" s="11" t="s">
        <v>72</v>
      </c>
      <c r="D969" s="12">
        <v>41992</v>
      </c>
      <c r="E969" s="12">
        <v>41992</v>
      </c>
      <c r="F969" s="13">
        <v>494.7</v>
      </c>
      <c r="G969">
        <f t="shared" si="45"/>
        <v>1</v>
      </c>
      <c r="H969">
        <f t="shared" si="46"/>
        <v>30</v>
      </c>
      <c r="I969">
        <f t="shared" si="47"/>
        <v>524.70000000000005</v>
      </c>
    </row>
    <row r="970" spans="1:9" x14ac:dyDescent="0.25">
      <c r="A970" s="6" t="s">
        <v>6</v>
      </c>
      <c r="B970" s="7" t="s">
        <v>7</v>
      </c>
      <c r="C970" s="7" t="s">
        <v>66</v>
      </c>
      <c r="D970" s="8">
        <v>41993</v>
      </c>
      <c r="E970" s="8">
        <v>41993</v>
      </c>
      <c r="F970" s="9">
        <v>307.7</v>
      </c>
      <c r="G970">
        <f t="shared" si="45"/>
        <v>1</v>
      </c>
      <c r="H970">
        <f t="shared" si="46"/>
        <v>30</v>
      </c>
      <c r="I970">
        <f t="shared" si="47"/>
        <v>337.7</v>
      </c>
    </row>
    <row r="971" spans="1:9" x14ac:dyDescent="0.25">
      <c r="A971" s="10" t="s">
        <v>15</v>
      </c>
      <c r="B971" s="11" t="s">
        <v>63</v>
      </c>
      <c r="C971" s="11" t="s">
        <v>8</v>
      </c>
      <c r="D971" s="12">
        <v>41993</v>
      </c>
      <c r="E971" s="12">
        <v>41993</v>
      </c>
      <c r="F971" s="13">
        <v>680</v>
      </c>
      <c r="G971">
        <f t="shared" si="45"/>
        <v>1</v>
      </c>
      <c r="H971">
        <f t="shared" si="46"/>
        <v>30</v>
      </c>
      <c r="I971">
        <f t="shared" si="47"/>
        <v>710</v>
      </c>
    </row>
    <row r="972" spans="1:9" x14ac:dyDescent="0.25">
      <c r="A972" s="6" t="s">
        <v>122</v>
      </c>
      <c r="B972" s="7" t="s">
        <v>123</v>
      </c>
      <c r="C972" s="7" t="s">
        <v>27</v>
      </c>
      <c r="D972" s="8">
        <v>41994</v>
      </c>
      <c r="E972" s="8">
        <v>41994</v>
      </c>
      <c r="F972" s="9">
        <v>442</v>
      </c>
      <c r="G972">
        <f t="shared" si="45"/>
        <v>1</v>
      </c>
      <c r="H972">
        <f t="shared" si="46"/>
        <v>30</v>
      </c>
      <c r="I972">
        <f t="shared" si="47"/>
        <v>472</v>
      </c>
    </row>
    <row r="973" spans="1:9" x14ac:dyDescent="0.25">
      <c r="A973" s="10" t="s">
        <v>15</v>
      </c>
      <c r="B973" s="11" t="s">
        <v>46</v>
      </c>
      <c r="C973" s="11" t="s">
        <v>19</v>
      </c>
      <c r="D973" s="12">
        <v>41994</v>
      </c>
      <c r="E973" s="12">
        <v>41994</v>
      </c>
      <c r="F973" s="13">
        <v>513.4</v>
      </c>
      <c r="G973">
        <f t="shared" si="45"/>
        <v>1</v>
      </c>
      <c r="H973">
        <f t="shared" si="46"/>
        <v>30</v>
      </c>
      <c r="I973">
        <f t="shared" si="47"/>
        <v>543.4</v>
      </c>
    </row>
    <row r="974" spans="1:9" x14ac:dyDescent="0.25">
      <c r="A974" s="6" t="s">
        <v>57</v>
      </c>
      <c r="B974" s="7" t="s">
        <v>163</v>
      </c>
      <c r="C974" s="7" t="s">
        <v>8</v>
      </c>
      <c r="D974" s="8">
        <v>41994</v>
      </c>
      <c r="E974" s="8">
        <v>41994</v>
      </c>
      <c r="F974" s="9">
        <v>680</v>
      </c>
      <c r="G974">
        <f t="shared" si="45"/>
        <v>1</v>
      </c>
      <c r="H974">
        <f t="shared" si="46"/>
        <v>30</v>
      </c>
      <c r="I974">
        <f t="shared" si="47"/>
        <v>710</v>
      </c>
    </row>
    <row r="975" spans="1:9" x14ac:dyDescent="0.25">
      <c r="A975" s="10" t="s">
        <v>22</v>
      </c>
      <c r="B975" s="11" t="s">
        <v>172</v>
      </c>
      <c r="C975" s="11" t="s">
        <v>17</v>
      </c>
      <c r="D975" s="12">
        <v>41994</v>
      </c>
      <c r="E975" s="12">
        <v>41994</v>
      </c>
      <c r="F975" s="13">
        <v>501.5</v>
      </c>
      <c r="G975">
        <f t="shared" si="45"/>
        <v>1</v>
      </c>
      <c r="H975">
        <f t="shared" si="46"/>
        <v>30</v>
      </c>
      <c r="I975">
        <f t="shared" si="47"/>
        <v>531.5</v>
      </c>
    </row>
    <row r="976" spans="1:9" x14ac:dyDescent="0.25">
      <c r="A976" s="6" t="s">
        <v>50</v>
      </c>
      <c r="B976" s="7" t="s">
        <v>51</v>
      </c>
      <c r="C976" s="7" t="s">
        <v>24</v>
      </c>
      <c r="D976" s="8">
        <v>41994</v>
      </c>
      <c r="E976" s="8">
        <v>41994</v>
      </c>
      <c r="F976" s="9">
        <v>290.7</v>
      </c>
      <c r="G976">
        <f t="shared" si="45"/>
        <v>1</v>
      </c>
      <c r="H976">
        <f t="shared" si="46"/>
        <v>30</v>
      </c>
      <c r="I976">
        <f t="shared" si="47"/>
        <v>320.7</v>
      </c>
    </row>
    <row r="977" spans="1:9" x14ac:dyDescent="0.25">
      <c r="A977" s="10" t="s">
        <v>6</v>
      </c>
      <c r="B977" s="11" t="s">
        <v>56</v>
      </c>
      <c r="C977" s="11" t="s">
        <v>59</v>
      </c>
      <c r="D977" s="12">
        <v>41994</v>
      </c>
      <c r="E977" s="12">
        <v>41995</v>
      </c>
      <c r="F977" s="13">
        <v>601</v>
      </c>
      <c r="G977">
        <f t="shared" si="45"/>
        <v>2</v>
      </c>
      <c r="H977">
        <f t="shared" si="46"/>
        <v>54</v>
      </c>
      <c r="I977">
        <f t="shared" si="47"/>
        <v>655</v>
      </c>
    </row>
    <row r="978" spans="1:9" x14ac:dyDescent="0.25">
      <c r="A978" s="6" t="s">
        <v>143</v>
      </c>
      <c r="B978" s="7" t="s">
        <v>144</v>
      </c>
      <c r="C978" s="7" t="s">
        <v>27</v>
      </c>
      <c r="D978" s="8">
        <v>41994</v>
      </c>
      <c r="E978" s="8">
        <v>41995</v>
      </c>
      <c r="F978" s="9">
        <v>570</v>
      </c>
      <c r="G978">
        <f t="shared" si="45"/>
        <v>2</v>
      </c>
      <c r="H978">
        <f t="shared" si="46"/>
        <v>54</v>
      </c>
      <c r="I978">
        <f t="shared" si="47"/>
        <v>624</v>
      </c>
    </row>
    <row r="979" spans="1:9" x14ac:dyDescent="0.25">
      <c r="A979" s="10" t="s">
        <v>54</v>
      </c>
      <c r="B979" s="11" t="s">
        <v>118</v>
      </c>
      <c r="C979" s="11" t="s">
        <v>30</v>
      </c>
      <c r="D979" s="12">
        <v>41994</v>
      </c>
      <c r="E979" s="12">
        <v>41995</v>
      </c>
      <c r="F979" s="13">
        <v>331.5</v>
      </c>
      <c r="G979">
        <f t="shared" si="45"/>
        <v>2</v>
      </c>
      <c r="H979">
        <f t="shared" si="46"/>
        <v>54</v>
      </c>
      <c r="I979">
        <f t="shared" si="47"/>
        <v>385.5</v>
      </c>
    </row>
    <row r="980" spans="1:9" x14ac:dyDescent="0.25">
      <c r="A980" s="6" t="s">
        <v>115</v>
      </c>
      <c r="B980" s="7" t="s">
        <v>153</v>
      </c>
      <c r="C980" s="7" t="s">
        <v>17</v>
      </c>
      <c r="D980" s="8">
        <v>41995</v>
      </c>
      <c r="E980" s="8">
        <v>41995</v>
      </c>
      <c r="F980" s="9">
        <v>501.5</v>
      </c>
      <c r="G980">
        <f t="shared" si="45"/>
        <v>1</v>
      </c>
      <c r="H980">
        <f t="shared" si="46"/>
        <v>30</v>
      </c>
      <c r="I980">
        <f t="shared" si="47"/>
        <v>531.5</v>
      </c>
    </row>
    <row r="981" spans="1:9" x14ac:dyDescent="0.25">
      <c r="A981" s="10" t="s">
        <v>79</v>
      </c>
      <c r="B981" s="11" t="s">
        <v>80</v>
      </c>
      <c r="C981" s="11" t="s">
        <v>47</v>
      </c>
      <c r="D981" s="12">
        <v>41995</v>
      </c>
      <c r="E981" s="12">
        <v>41995</v>
      </c>
      <c r="F981" s="13">
        <v>363.8</v>
      </c>
      <c r="G981">
        <f t="shared" si="45"/>
        <v>1</v>
      </c>
      <c r="H981">
        <f t="shared" si="46"/>
        <v>30</v>
      </c>
      <c r="I981">
        <f t="shared" si="47"/>
        <v>393.8</v>
      </c>
    </row>
    <row r="982" spans="1:9" x14ac:dyDescent="0.25">
      <c r="A982" s="6" t="s">
        <v>168</v>
      </c>
      <c r="B982" s="7" t="s">
        <v>169</v>
      </c>
      <c r="C982" s="7" t="s">
        <v>66</v>
      </c>
      <c r="D982" s="8">
        <v>41995</v>
      </c>
      <c r="E982" s="8">
        <v>41996</v>
      </c>
      <c r="F982" s="9">
        <v>485.7</v>
      </c>
      <c r="G982">
        <f t="shared" si="45"/>
        <v>2</v>
      </c>
      <c r="H982">
        <f t="shared" si="46"/>
        <v>54</v>
      </c>
      <c r="I982">
        <f t="shared" si="47"/>
        <v>539.70000000000005</v>
      </c>
    </row>
    <row r="983" spans="1:9" x14ac:dyDescent="0.25">
      <c r="A983" s="10" t="s">
        <v>97</v>
      </c>
      <c r="B983" s="11" t="s">
        <v>98</v>
      </c>
      <c r="C983" s="11" t="s">
        <v>24</v>
      </c>
      <c r="D983" s="12">
        <v>41995</v>
      </c>
      <c r="E983" s="12">
        <v>41995</v>
      </c>
      <c r="F983" s="13">
        <v>290.7</v>
      </c>
      <c r="G983">
        <f t="shared" si="45"/>
        <v>1</v>
      </c>
      <c r="H983">
        <f t="shared" si="46"/>
        <v>30</v>
      </c>
      <c r="I983">
        <f t="shared" si="47"/>
        <v>320.7</v>
      </c>
    </row>
    <row r="984" spans="1:9" x14ac:dyDescent="0.25">
      <c r="A984" s="6" t="s">
        <v>115</v>
      </c>
      <c r="B984" s="7" t="s">
        <v>140</v>
      </c>
      <c r="C984" s="7" t="s">
        <v>11</v>
      </c>
      <c r="D984" s="8">
        <v>41995</v>
      </c>
      <c r="E984" s="8">
        <v>41996</v>
      </c>
      <c r="F984" s="9">
        <v>295.39999999999998</v>
      </c>
      <c r="G984">
        <f t="shared" si="45"/>
        <v>2</v>
      </c>
      <c r="H984">
        <f t="shared" si="46"/>
        <v>54</v>
      </c>
      <c r="I984">
        <f t="shared" si="47"/>
        <v>349.4</v>
      </c>
    </row>
    <row r="985" spans="1:9" x14ac:dyDescent="0.25">
      <c r="A985" s="10" t="s">
        <v>101</v>
      </c>
      <c r="B985" s="11" t="s">
        <v>102</v>
      </c>
      <c r="C985" s="11" t="s">
        <v>11</v>
      </c>
      <c r="D985" s="12">
        <v>41995</v>
      </c>
      <c r="E985" s="12">
        <v>41995</v>
      </c>
      <c r="F985" s="13">
        <v>156.4</v>
      </c>
      <c r="G985">
        <f t="shared" si="45"/>
        <v>1</v>
      </c>
      <c r="H985">
        <f t="shared" si="46"/>
        <v>30</v>
      </c>
      <c r="I985">
        <f t="shared" si="47"/>
        <v>186.4</v>
      </c>
    </row>
    <row r="986" spans="1:9" x14ac:dyDescent="0.25">
      <c r="A986" s="6" t="s">
        <v>164</v>
      </c>
      <c r="B986" s="7" t="s">
        <v>165</v>
      </c>
      <c r="C986" s="7" t="s">
        <v>17</v>
      </c>
      <c r="D986" s="8">
        <v>41995</v>
      </c>
      <c r="E986" s="8">
        <v>41995</v>
      </c>
      <c r="F986" s="9">
        <v>501.5</v>
      </c>
      <c r="G986">
        <f t="shared" si="45"/>
        <v>1</v>
      </c>
      <c r="H986">
        <f t="shared" si="46"/>
        <v>30</v>
      </c>
      <c r="I986">
        <f t="shared" si="47"/>
        <v>531.5</v>
      </c>
    </row>
    <row r="987" spans="1:9" x14ac:dyDescent="0.25">
      <c r="A987" s="10" t="s">
        <v>93</v>
      </c>
      <c r="B987" s="11" t="s">
        <v>106</v>
      </c>
      <c r="C987" s="11" t="s">
        <v>30</v>
      </c>
      <c r="D987" s="12">
        <v>41995</v>
      </c>
      <c r="E987" s="12">
        <v>41995</v>
      </c>
      <c r="F987" s="13">
        <v>212.5</v>
      </c>
      <c r="G987">
        <f t="shared" si="45"/>
        <v>1</v>
      </c>
      <c r="H987">
        <f t="shared" si="46"/>
        <v>30</v>
      </c>
      <c r="I987">
        <f t="shared" si="47"/>
        <v>242.5</v>
      </c>
    </row>
    <row r="988" spans="1:9" x14ac:dyDescent="0.25">
      <c r="A988" s="6" t="s">
        <v>134</v>
      </c>
      <c r="B988" s="7" t="s">
        <v>149</v>
      </c>
      <c r="C988" s="7" t="s">
        <v>17</v>
      </c>
      <c r="D988" s="8">
        <v>41995</v>
      </c>
      <c r="E988" s="8">
        <v>41996</v>
      </c>
      <c r="F988" s="9">
        <v>706.5</v>
      </c>
      <c r="G988">
        <f t="shared" si="45"/>
        <v>2</v>
      </c>
      <c r="H988">
        <f t="shared" si="46"/>
        <v>54</v>
      </c>
      <c r="I988">
        <f t="shared" si="47"/>
        <v>760.5</v>
      </c>
    </row>
    <row r="989" spans="1:9" x14ac:dyDescent="0.25">
      <c r="A989" s="10" t="s">
        <v>134</v>
      </c>
      <c r="B989" s="11" t="s">
        <v>149</v>
      </c>
      <c r="C989" s="11" t="s">
        <v>27</v>
      </c>
      <c r="D989" s="12">
        <v>41995</v>
      </c>
      <c r="E989" s="12">
        <v>41995</v>
      </c>
      <c r="F989" s="13">
        <v>442</v>
      </c>
      <c r="G989">
        <f t="shared" si="45"/>
        <v>1</v>
      </c>
      <c r="H989">
        <f t="shared" si="46"/>
        <v>30</v>
      </c>
      <c r="I989">
        <f t="shared" si="47"/>
        <v>472</v>
      </c>
    </row>
    <row r="990" spans="1:9" x14ac:dyDescent="0.25">
      <c r="A990" s="6" t="s">
        <v>109</v>
      </c>
      <c r="B990" s="7" t="s">
        <v>110</v>
      </c>
      <c r="C990" s="7" t="s">
        <v>30</v>
      </c>
      <c r="D990" s="8">
        <v>41995</v>
      </c>
      <c r="E990" s="8">
        <v>41996</v>
      </c>
      <c r="F990" s="9">
        <v>331.5</v>
      </c>
      <c r="G990">
        <f t="shared" si="45"/>
        <v>2</v>
      </c>
      <c r="H990">
        <f t="shared" si="46"/>
        <v>54</v>
      </c>
      <c r="I990">
        <f t="shared" si="47"/>
        <v>385.5</v>
      </c>
    </row>
    <row r="991" spans="1:9" x14ac:dyDescent="0.25">
      <c r="A991" s="10" t="s">
        <v>93</v>
      </c>
      <c r="B991" s="11" t="s">
        <v>94</v>
      </c>
      <c r="C991" s="11" t="s">
        <v>38</v>
      </c>
      <c r="D991" s="12">
        <v>41995</v>
      </c>
      <c r="E991" s="12">
        <v>41995</v>
      </c>
      <c r="F991" s="13">
        <v>278.8</v>
      </c>
      <c r="G991">
        <f t="shared" si="45"/>
        <v>1</v>
      </c>
      <c r="H991">
        <f t="shared" si="46"/>
        <v>30</v>
      </c>
      <c r="I991">
        <f t="shared" si="47"/>
        <v>308.8</v>
      </c>
    </row>
    <row r="992" spans="1:9" x14ac:dyDescent="0.25">
      <c r="A992" s="6" t="s">
        <v>12</v>
      </c>
      <c r="B992" s="7" t="s">
        <v>95</v>
      </c>
      <c r="C992" s="7" t="s">
        <v>19</v>
      </c>
      <c r="D992" s="8">
        <v>41995</v>
      </c>
      <c r="E992" s="8">
        <v>41996</v>
      </c>
      <c r="F992" s="9">
        <v>654.4</v>
      </c>
      <c r="G992">
        <f t="shared" si="45"/>
        <v>2</v>
      </c>
      <c r="H992">
        <f t="shared" si="46"/>
        <v>54</v>
      </c>
      <c r="I992">
        <f t="shared" si="47"/>
        <v>708.4</v>
      </c>
    </row>
    <row r="993" spans="1:9" x14ac:dyDescent="0.25">
      <c r="A993" s="10" t="s">
        <v>131</v>
      </c>
      <c r="B993" s="11" t="s">
        <v>132</v>
      </c>
      <c r="C993" s="11" t="s">
        <v>14</v>
      </c>
      <c r="D993" s="12">
        <v>41995</v>
      </c>
      <c r="E993" s="12">
        <v>41995</v>
      </c>
      <c r="F993" s="13">
        <v>178.5</v>
      </c>
      <c r="G993">
        <f t="shared" si="45"/>
        <v>1</v>
      </c>
      <c r="H993">
        <f t="shared" si="46"/>
        <v>30</v>
      </c>
      <c r="I993">
        <f t="shared" si="47"/>
        <v>208.5</v>
      </c>
    </row>
    <row r="994" spans="1:9" x14ac:dyDescent="0.25">
      <c r="A994" s="6" t="s">
        <v>131</v>
      </c>
      <c r="B994" s="7" t="s">
        <v>154</v>
      </c>
      <c r="C994" s="7" t="s">
        <v>11</v>
      </c>
      <c r="D994" s="8">
        <v>42001</v>
      </c>
      <c r="E994" s="8">
        <v>42002</v>
      </c>
      <c r="F994" s="9">
        <v>295.39999999999998</v>
      </c>
      <c r="G994">
        <f t="shared" si="45"/>
        <v>2</v>
      </c>
      <c r="H994">
        <f t="shared" si="46"/>
        <v>54</v>
      </c>
      <c r="I994">
        <f t="shared" si="47"/>
        <v>349.4</v>
      </c>
    </row>
    <row r="995" spans="1:9" x14ac:dyDescent="0.25">
      <c r="A995" s="10" t="s">
        <v>9</v>
      </c>
      <c r="B995" s="11" t="s">
        <v>103</v>
      </c>
      <c r="C995" s="11" t="s">
        <v>24</v>
      </c>
      <c r="D995" s="12">
        <v>42001</v>
      </c>
      <c r="E995" s="12">
        <v>42003</v>
      </c>
      <c r="F995" s="13">
        <v>588.70000000000005</v>
      </c>
      <c r="G995">
        <f t="shared" si="45"/>
        <v>3</v>
      </c>
      <c r="H995">
        <f t="shared" si="46"/>
        <v>78</v>
      </c>
      <c r="I995">
        <f t="shared" si="47"/>
        <v>666.7</v>
      </c>
    </row>
    <row r="996" spans="1:9" x14ac:dyDescent="0.25">
      <c r="A996" s="6" t="s">
        <v>28</v>
      </c>
      <c r="B996" s="7" t="s">
        <v>60</v>
      </c>
      <c r="C996" s="7" t="s">
        <v>59</v>
      </c>
      <c r="D996" s="8">
        <v>42002</v>
      </c>
      <c r="E996" s="8">
        <v>42003</v>
      </c>
      <c r="F996" s="9">
        <v>601</v>
      </c>
      <c r="G996">
        <f t="shared" si="45"/>
        <v>2</v>
      </c>
      <c r="H996">
        <f t="shared" si="46"/>
        <v>54</v>
      </c>
      <c r="I996">
        <f t="shared" si="47"/>
        <v>655</v>
      </c>
    </row>
    <row r="997" spans="1:9" x14ac:dyDescent="0.25">
      <c r="A997" s="10" t="s">
        <v>6</v>
      </c>
      <c r="B997" s="11" t="s">
        <v>56</v>
      </c>
      <c r="C997" s="11" t="s">
        <v>72</v>
      </c>
      <c r="D997" s="12">
        <v>42002</v>
      </c>
      <c r="E997" s="12">
        <v>42002</v>
      </c>
      <c r="F997" s="13">
        <v>494.7</v>
      </c>
      <c r="G997">
        <f t="shared" si="45"/>
        <v>1</v>
      </c>
      <c r="H997">
        <f t="shared" si="46"/>
        <v>30</v>
      </c>
      <c r="I997">
        <f t="shared" si="47"/>
        <v>524.70000000000005</v>
      </c>
    </row>
    <row r="998" spans="1:9" x14ac:dyDescent="0.25">
      <c r="A998" s="6" t="s">
        <v>115</v>
      </c>
      <c r="B998" s="7" t="s">
        <v>140</v>
      </c>
      <c r="C998" s="7" t="s">
        <v>19</v>
      </c>
      <c r="D998" s="8">
        <v>42002</v>
      </c>
      <c r="E998" s="8">
        <v>42002</v>
      </c>
      <c r="F998" s="9">
        <v>513.4</v>
      </c>
      <c r="G998">
        <f t="shared" si="45"/>
        <v>1</v>
      </c>
      <c r="H998">
        <f t="shared" si="46"/>
        <v>30</v>
      </c>
      <c r="I998">
        <f t="shared" si="47"/>
        <v>543.4</v>
      </c>
    </row>
    <row r="999" spans="1:9" x14ac:dyDescent="0.25">
      <c r="A999" s="10" t="s">
        <v>134</v>
      </c>
      <c r="B999" s="11" t="s">
        <v>149</v>
      </c>
      <c r="C999" s="11" t="s">
        <v>72</v>
      </c>
      <c r="D999" s="12">
        <v>42002</v>
      </c>
      <c r="E999" s="12">
        <v>42002</v>
      </c>
      <c r="F999" s="13">
        <v>494.7</v>
      </c>
      <c r="G999">
        <f t="shared" si="45"/>
        <v>1</v>
      </c>
      <c r="H999">
        <f t="shared" si="46"/>
        <v>30</v>
      </c>
      <c r="I999">
        <f t="shared" si="47"/>
        <v>524.70000000000005</v>
      </c>
    </row>
    <row r="1000" spans="1:9" x14ac:dyDescent="0.25">
      <c r="A1000" s="6" t="s">
        <v>15</v>
      </c>
      <c r="B1000" s="7" t="s">
        <v>16</v>
      </c>
      <c r="C1000" s="7" t="s">
        <v>59</v>
      </c>
      <c r="D1000" s="8">
        <v>42002</v>
      </c>
      <c r="E1000" s="8">
        <v>42002</v>
      </c>
      <c r="F1000" s="9">
        <v>442</v>
      </c>
      <c r="G1000">
        <f t="shared" si="45"/>
        <v>1</v>
      </c>
      <c r="H1000">
        <f t="shared" si="46"/>
        <v>30</v>
      </c>
      <c r="I1000">
        <f t="shared" si="47"/>
        <v>472</v>
      </c>
    </row>
    <row r="1001" spans="1:9" x14ac:dyDescent="0.25">
      <c r="A1001" s="14" t="s">
        <v>86</v>
      </c>
      <c r="B1001" s="15" t="s">
        <v>136</v>
      </c>
      <c r="C1001" s="15" t="s">
        <v>30</v>
      </c>
      <c r="D1001" s="16">
        <v>42002</v>
      </c>
      <c r="E1001" s="16">
        <v>42003</v>
      </c>
      <c r="F1001" s="2">
        <v>331.5</v>
      </c>
      <c r="G1001">
        <f t="shared" si="45"/>
        <v>2</v>
      </c>
      <c r="H1001">
        <f t="shared" si="46"/>
        <v>54</v>
      </c>
      <c r="I1001">
        <f t="shared" si="47"/>
        <v>385.5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2311F-EEB4-4F52-BD7B-BBC11347986C}">
  <dimension ref="A1:I1001"/>
  <sheetViews>
    <sheetView zoomScale="190" zoomScaleNormal="190" workbookViewId="0">
      <selection activeCell="M17" sqref="M17"/>
    </sheetView>
  </sheetViews>
  <sheetFormatPr defaultRowHeight="15" x14ac:dyDescent="0.25"/>
  <cols>
    <col min="1" max="1" width="10.140625" bestFit="1" customWidth="1"/>
    <col min="2" max="2" width="13.7109375" bestFit="1" customWidth="1"/>
    <col min="3" max="3" width="9.85546875" bestFit="1" customWidth="1"/>
    <col min="4" max="5" width="10.5703125" bestFit="1" customWidth="1"/>
    <col min="6" max="6" width="12.140625" bestFit="1" customWidth="1"/>
    <col min="8" max="8" width="17.7109375" bestFit="1" customWidth="1"/>
    <col min="9" max="9" width="16.5703125" bestFit="1" customWidth="1"/>
  </cols>
  <sheetData>
    <row r="1" spans="1:9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9" x14ac:dyDescent="0.25">
      <c r="A2" s="6" t="s">
        <v>6</v>
      </c>
      <c r="B2" s="7" t="s">
        <v>7</v>
      </c>
      <c r="C2" s="7" t="s">
        <v>8</v>
      </c>
      <c r="D2" s="8">
        <v>41641</v>
      </c>
      <c r="E2" s="8">
        <v>41642</v>
      </c>
      <c r="F2" s="9">
        <v>891</v>
      </c>
      <c r="H2" s="17" t="s">
        <v>175</v>
      </c>
      <c r="I2" t="s">
        <v>194</v>
      </c>
    </row>
    <row r="3" spans="1:9" x14ac:dyDescent="0.25">
      <c r="A3" s="10" t="s">
        <v>9</v>
      </c>
      <c r="B3" s="11" t="s">
        <v>10</v>
      </c>
      <c r="C3" s="11" t="s">
        <v>11</v>
      </c>
      <c r="D3" s="12">
        <v>41641</v>
      </c>
      <c r="E3" s="12">
        <v>41642</v>
      </c>
      <c r="F3" s="13">
        <v>295.39999999999998</v>
      </c>
      <c r="H3" s="18" t="s">
        <v>182</v>
      </c>
      <c r="I3" s="1">
        <v>130</v>
      </c>
    </row>
    <row r="4" spans="1:9" x14ac:dyDescent="0.25">
      <c r="A4" s="6" t="s">
        <v>12</v>
      </c>
      <c r="B4" s="7" t="s">
        <v>13</v>
      </c>
      <c r="C4" s="7" t="s">
        <v>14</v>
      </c>
      <c r="D4" s="8">
        <v>41641</v>
      </c>
      <c r="E4" s="8">
        <v>41642</v>
      </c>
      <c r="F4" s="9">
        <v>302.5</v>
      </c>
      <c r="H4" s="18" t="s">
        <v>183</v>
      </c>
      <c r="I4" s="1">
        <v>68</v>
      </c>
    </row>
    <row r="5" spans="1:9" x14ac:dyDescent="0.25">
      <c r="A5" s="10" t="s">
        <v>15</v>
      </c>
      <c r="B5" s="11" t="s">
        <v>16</v>
      </c>
      <c r="C5" s="11" t="s">
        <v>17</v>
      </c>
      <c r="D5" s="12">
        <v>41641</v>
      </c>
      <c r="E5" s="12">
        <v>41641</v>
      </c>
      <c r="F5" s="13">
        <v>501.5</v>
      </c>
      <c r="H5" s="18" t="s">
        <v>184</v>
      </c>
      <c r="I5" s="1">
        <v>63</v>
      </c>
    </row>
    <row r="6" spans="1:9" x14ac:dyDescent="0.25">
      <c r="A6" s="6" t="s">
        <v>9</v>
      </c>
      <c r="B6" s="7" t="s">
        <v>18</v>
      </c>
      <c r="C6" s="7" t="s">
        <v>19</v>
      </c>
      <c r="D6" s="8">
        <v>41641</v>
      </c>
      <c r="E6" s="8">
        <v>41642</v>
      </c>
      <c r="F6" s="9">
        <v>654.4</v>
      </c>
      <c r="H6" s="18" t="s">
        <v>185</v>
      </c>
      <c r="I6" s="1">
        <v>32</v>
      </c>
    </row>
    <row r="7" spans="1:9" x14ac:dyDescent="0.25">
      <c r="A7" s="10" t="s">
        <v>20</v>
      </c>
      <c r="B7" s="11" t="s">
        <v>21</v>
      </c>
      <c r="C7" s="11" t="s">
        <v>8</v>
      </c>
      <c r="D7" s="12">
        <v>41641</v>
      </c>
      <c r="E7" s="12">
        <v>41642</v>
      </c>
      <c r="F7" s="13">
        <v>891</v>
      </c>
      <c r="H7" s="18" t="s">
        <v>186</v>
      </c>
      <c r="I7" s="1">
        <v>31</v>
      </c>
    </row>
    <row r="8" spans="1:9" x14ac:dyDescent="0.25">
      <c r="A8" s="6" t="s">
        <v>22</v>
      </c>
      <c r="B8" s="7" t="s">
        <v>23</v>
      </c>
      <c r="C8" s="7" t="s">
        <v>24</v>
      </c>
      <c r="D8" s="8">
        <v>41642</v>
      </c>
      <c r="E8" s="8">
        <v>41643</v>
      </c>
      <c r="F8" s="9">
        <v>439.7</v>
      </c>
      <c r="H8" s="18" t="s">
        <v>187</v>
      </c>
      <c r="I8" s="1">
        <v>63</v>
      </c>
    </row>
    <row r="9" spans="1:9" x14ac:dyDescent="0.25">
      <c r="A9" s="10" t="s">
        <v>25</v>
      </c>
      <c r="B9" s="11" t="s">
        <v>26</v>
      </c>
      <c r="C9" s="11" t="s">
        <v>27</v>
      </c>
      <c r="D9" s="12">
        <v>41642</v>
      </c>
      <c r="E9" s="12">
        <v>41645</v>
      </c>
      <c r="F9" s="13">
        <v>826</v>
      </c>
      <c r="H9" s="18" t="s">
        <v>188</v>
      </c>
      <c r="I9" s="1">
        <v>70</v>
      </c>
    </row>
    <row r="10" spans="1:9" x14ac:dyDescent="0.25">
      <c r="A10" s="6" t="s">
        <v>28</v>
      </c>
      <c r="B10" s="7" t="s">
        <v>29</v>
      </c>
      <c r="C10" s="7" t="s">
        <v>30</v>
      </c>
      <c r="D10" s="8">
        <v>41642</v>
      </c>
      <c r="E10" s="8">
        <v>41643</v>
      </c>
      <c r="F10" s="9">
        <v>331.5</v>
      </c>
      <c r="H10" s="18" t="s">
        <v>189</v>
      </c>
      <c r="I10" s="1">
        <v>54</v>
      </c>
    </row>
    <row r="11" spans="1:9" x14ac:dyDescent="0.25">
      <c r="A11" s="10" t="s">
        <v>31</v>
      </c>
      <c r="B11" s="11" t="s">
        <v>32</v>
      </c>
      <c r="C11" s="11" t="s">
        <v>24</v>
      </c>
      <c r="D11" s="12">
        <v>41642</v>
      </c>
      <c r="E11" s="12">
        <v>41643</v>
      </c>
      <c r="F11" s="13">
        <v>439.7</v>
      </c>
      <c r="H11" s="18" t="s">
        <v>190</v>
      </c>
      <c r="I11" s="1">
        <v>121</v>
      </c>
    </row>
    <row r="12" spans="1:9" x14ac:dyDescent="0.25">
      <c r="A12" s="6" t="s">
        <v>33</v>
      </c>
      <c r="B12" s="7" t="s">
        <v>34</v>
      </c>
      <c r="C12" s="7" t="s">
        <v>30</v>
      </c>
      <c r="D12" s="8">
        <v>41642</v>
      </c>
      <c r="E12" s="8">
        <v>41644</v>
      </c>
      <c r="F12" s="9">
        <v>450.5</v>
      </c>
      <c r="H12" s="18" t="s">
        <v>191</v>
      </c>
      <c r="I12" s="1">
        <v>103</v>
      </c>
    </row>
    <row r="13" spans="1:9" x14ac:dyDescent="0.25">
      <c r="A13" s="10" t="s">
        <v>25</v>
      </c>
      <c r="B13" s="11" t="s">
        <v>35</v>
      </c>
      <c r="C13" s="11" t="s">
        <v>14</v>
      </c>
      <c r="D13" s="12">
        <v>41642</v>
      </c>
      <c r="E13" s="12">
        <v>41642</v>
      </c>
      <c r="F13" s="13">
        <v>178.5</v>
      </c>
      <c r="H13" s="18" t="s">
        <v>192</v>
      </c>
      <c r="I13" s="1">
        <v>135</v>
      </c>
    </row>
    <row r="14" spans="1:9" x14ac:dyDescent="0.25">
      <c r="A14" s="6" t="s">
        <v>36</v>
      </c>
      <c r="B14" s="7" t="s">
        <v>37</v>
      </c>
      <c r="C14" s="7" t="s">
        <v>38</v>
      </c>
      <c r="D14" s="8">
        <v>41642</v>
      </c>
      <c r="E14" s="8">
        <v>41643</v>
      </c>
      <c r="F14" s="9">
        <v>407.8</v>
      </c>
      <c r="H14" s="18" t="s">
        <v>193</v>
      </c>
      <c r="I14" s="1">
        <v>130</v>
      </c>
    </row>
    <row r="15" spans="1:9" x14ac:dyDescent="0.25">
      <c r="A15" s="10" t="s">
        <v>39</v>
      </c>
      <c r="B15" s="11" t="s">
        <v>40</v>
      </c>
      <c r="C15" s="11" t="s">
        <v>27</v>
      </c>
      <c r="D15" s="12">
        <v>41642</v>
      </c>
      <c r="E15" s="12">
        <v>41642</v>
      </c>
      <c r="F15" s="13">
        <v>442</v>
      </c>
      <c r="H15" s="18" t="s">
        <v>176</v>
      </c>
      <c r="I15" s="1">
        <v>1000</v>
      </c>
    </row>
    <row r="16" spans="1:9" x14ac:dyDescent="0.25">
      <c r="A16" s="6" t="s">
        <v>6</v>
      </c>
      <c r="B16" s="7" t="s">
        <v>7</v>
      </c>
      <c r="C16" s="7" t="s">
        <v>24</v>
      </c>
      <c r="D16" s="8">
        <v>41643</v>
      </c>
      <c r="E16" s="8">
        <v>41644</v>
      </c>
      <c r="F16" s="9">
        <v>439.7</v>
      </c>
    </row>
    <row r="17" spans="1:6" x14ac:dyDescent="0.25">
      <c r="A17" s="10" t="s">
        <v>33</v>
      </c>
      <c r="B17" s="11" t="s">
        <v>41</v>
      </c>
      <c r="C17" s="11" t="s">
        <v>30</v>
      </c>
      <c r="D17" s="12">
        <v>41643</v>
      </c>
      <c r="E17" s="12">
        <v>41644</v>
      </c>
      <c r="F17" s="13">
        <v>331.5</v>
      </c>
    </row>
    <row r="18" spans="1:6" x14ac:dyDescent="0.25">
      <c r="A18" s="6" t="s">
        <v>42</v>
      </c>
      <c r="B18" s="7" t="s">
        <v>43</v>
      </c>
      <c r="C18" s="7" t="s">
        <v>19</v>
      </c>
      <c r="D18" s="8">
        <v>41643</v>
      </c>
      <c r="E18" s="8">
        <v>41643</v>
      </c>
      <c r="F18" s="9">
        <v>513.4</v>
      </c>
    </row>
    <row r="19" spans="1:6" x14ac:dyDescent="0.25">
      <c r="A19" s="10" t="s">
        <v>15</v>
      </c>
      <c r="B19" s="11" t="s">
        <v>44</v>
      </c>
      <c r="C19" s="11" t="s">
        <v>17</v>
      </c>
      <c r="D19" s="12">
        <v>41644</v>
      </c>
      <c r="E19" s="12">
        <v>41644</v>
      </c>
      <c r="F19" s="13">
        <v>501.5</v>
      </c>
    </row>
    <row r="20" spans="1:6" x14ac:dyDescent="0.25">
      <c r="A20" s="6" t="s">
        <v>6</v>
      </c>
      <c r="B20" s="7" t="s">
        <v>45</v>
      </c>
      <c r="C20" s="7" t="s">
        <v>27</v>
      </c>
      <c r="D20" s="8">
        <v>41644</v>
      </c>
      <c r="E20" s="8">
        <v>41644</v>
      </c>
      <c r="F20" s="9">
        <v>442</v>
      </c>
    </row>
    <row r="21" spans="1:6" x14ac:dyDescent="0.25">
      <c r="A21" s="10" t="s">
        <v>15</v>
      </c>
      <c r="B21" s="11" t="s">
        <v>46</v>
      </c>
      <c r="C21" s="11" t="s">
        <v>47</v>
      </c>
      <c r="D21" s="12">
        <v>41645</v>
      </c>
      <c r="E21" s="12">
        <v>41645</v>
      </c>
      <c r="F21" s="13">
        <v>363.8</v>
      </c>
    </row>
    <row r="22" spans="1:6" x14ac:dyDescent="0.25">
      <c r="A22" s="6" t="s">
        <v>48</v>
      </c>
      <c r="B22" s="7" t="s">
        <v>49</v>
      </c>
      <c r="C22" s="7" t="s">
        <v>11</v>
      </c>
      <c r="D22" s="8">
        <v>41646</v>
      </c>
      <c r="E22" s="8">
        <v>41646</v>
      </c>
      <c r="F22" s="9">
        <v>156.4</v>
      </c>
    </row>
    <row r="23" spans="1:6" x14ac:dyDescent="0.25">
      <c r="A23" s="10" t="s">
        <v>50</v>
      </c>
      <c r="B23" s="11" t="s">
        <v>51</v>
      </c>
      <c r="C23" s="11" t="s">
        <v>38</v>
      </c>
      <c r="D23" s="12">
        <v>41646</v>
      </c>
      <c r="E23" s="12">
        <v>41646</v>
      </c>
      <c r="F23" s="13">
        <v>278.8</v>
      </c>
    </row>
    <row r="24" spans="1:6" x14ac:dyDescent="0.25">
      <c r="A24" s="6" t="s">
        <v>33</v>
      </c>
      <c r="B24" s="7" t="s">
        <v>41</v>
      </c>
      <c r="C24" s="7" t="s">
        <v>14</v>
      </c>
      <c r="D24" s="8">
        <v>41646</v>
      </c>
      <c r="E24" s="8">
        <v>41646</v>
      </c>
      <c r="F24" s="9">
        <v>178.5</v>
      </c>
    </row>
    <row r="25" spans="1:6" x14ac:dyDescent="0.25">
      <c r="A25" s="10" t="s">
        <v>25</v>
      </c>
      <c r="B25" s="11" t="s">
        <v>35</v>
      </c>
      <c r="C25" s="11" t="s">
        <v>30</v>
      </c>
      <c r="D25" s="12">
        <v>41646</v>
      </c>
      <c r="E25" s="12">
        <v>41646</v>
      </c>
      <c r="F25" s="13">
        <v>212.5</v>
      </c>
    </row>
    <row r="26" spans="1:6" x14ac:dyDescent="0.25">
      <c r="A26" s="6" t="s">
        <v>52</v>
      </c>
      <c r="B26" s="7" t="s">
        <v>53</v>
      </c>
      <c r="C26" s="7" t="s">
        <v>24</v>
      </c>
      <c r="D26" s="8">
        <v>41646</v>
      </c>
      <c r="E26" s="8">
        <v>41646</v>
      </c>
      <c r="F26" s="9">
        <v>290.7</v>
      </c>
    </row>
    <row r="27" spans="1:6" x14ac:dyDescent="0.25">
      <c r="A27" s="10" t="s">
        <v>54</v>
      </c>
      <c r="B27" s="11" t="s">
        <v>55</v>
      </c>
      <c r="C27" s="11" t="s">
        <v>19</v>
      </c>
      <c r="D27" s="12">
        <v>41647</v>
      </c>
      <c r="E27" s="12">
        <v>41647</v>
      </c>
      <c r="F27" s="13">
        <v>513.4</v>
      </c>
    </row>
    <row r="28" spans="1:6" x14ac:dyDescent="0.25">
      <c r="A28" s="6" t="s">
        <v>6</v>
      </c>
      <c r="B28" s="7" t="s">
        <v>56</v>
      </c>
      <c r="C28" s="7" t="s">
        <v>19</v>
      </c>
      <c r="D28" s="8">
        <v>41647</v>
      </c>
      <c r="E28" s="8">
        <v>41647</v>
      </c>
      <c r="F28" s="9">
        <v>513.4</v>
      </c>
    </row>
    <row r="29" spans="1:6" x14ac:dyDescent="0.25">
      <c r="A29" s="10" t="s">
        <v>57</v>
      </c>
      <c r="B29" s="11" t="s">
        <v>58</v>
      </c>
      <c r="C29" s="11" t="s">
        <v>59</v>
      </c>
      <c r="D29" s="12">
        <v>41647</v>
      </c>
      <c r="E29" s="12">
        <v>41647</v>
      </c>
      <c r="F29" s="13">
        <v>442</v>
      </c>
    </row>
    <row r="30" spans="1:6" x14ac:dyDescent="0.25">
      <c r="A30" s="6" t="s">
        <v>28</v>
      </c>
      <c r="B30" s="7" t="s">
        <v>60</v>
      </c>
      <c r="C30" s="7" t="s">
        <v>11</v>
      </c>
      <c r="D30" s="8">
        <v>41648</v>
      </c>
      <c r="E30" s="8">
        <v>41652</v>
      </c>
      <c r="F30" s="9">
        <v>712.4</v>
      </c>
    </row>
    <row r="31" spans="1:6" x14ac:dyDescent="0.25">
      <c r="A31" s="10" t="s">
        <v>61</v>
      </c>
      <c r="B31" s="11" t="s">
        <v>62</v>
      </c>
      <c r="C31" s="11" t="s">
        <v>17</v>
      </c>
      <c r="D31" s="12">
        <v>41648</v>
      </c>
      <c r="E31" s="12">
        <v>41651</v>
      </c>
      <c r="F31" s="13">
        <v>1116.5</v>
      </c>
    </row>
    <row r="32" spans="1:6" x14ac:dyDescent="0.25">
      <c r="A32" s="6" t="s">
        <v>15</v>
      </c>
      <c r="B32" s="7" t="s">
        <v>63</v>
      </c>
      <c r="C32" s="7" t="s">
        <v>11</v>
      </c>
      <c r="D32" s="8">
        <v>41648</v>
      </c>
      <c r="E32" s="8">
        <v>41649</v>
      </c>
      <c r="F32" s="9">
        <v>295.39999999999998</v>
      </c>
    </row>
    <row r="33" spans="1:6" x14ac:dyDescent="0.25">
      <c r="A33" s="10" t="s">
        <v>64</v>
      </c>
      <c r="B33" s="11" t="s">
        <v>65</v>
      </c>
      <c r="C33" s="11" t="s">
        <v>66</v>
      </c>
      <c r="D33" s="12">
        <v>41648</v>
      </c>
      <c r="E33" s="12">
        <v>41649</v>
      </c>
      <c r="F33" s="13">
        <v>485.7</v>
      </c>
    </row>
    <row r="34" spans="1:6" x14ac:dyDescent="0.25">
      <c r="A34" s="6" t="s">
        <v>25</v>
      </c>
      <c r="B34" s="7" t="s">
        <v>67</v>
      </c>
      <c r="C34" s="7" t="s">
        <v>38</v>
      </c>
      <c r="D34" s="8">
        <v>41649</v>
      </c>
      <c r="E34" s="8">
        <v>41649</v>
      </c>
      <c r="F34" s="9">
        <v>278.8</v>
      </c>
    </row>
    <row r="35" spans="1:6" x14ac:dyDescent="0.25">
      <c r="A35" s="10" t="s">
        <v>25</v>
      </c>
      <c r="B35" s="11" t="s">
        <v>68</v>
      </c>
      <c r="C35" s="11" t="s">
        <v>59</v>
      </c>
      <c r="D35" s="12">
        <v>41649</v>
      </c>
      <c r="E35" s="12">
        <v>41649</v>
      </c>
      <c r="F35" s="13">
        <v>442</v>
      </c>
    </row>
    <row r="36" spans="1:6" x14ac:dyDescent="0.25">
      <c r="A36" s="6" t="s">
        <v>9</v>
      </c>
      <c r="B36" s="7" t="s">
        <v>69</v>
      </c>
      <c r="C36" s="7" t="s">
        <v>8</v>
      </c>
      <c r="D36" s="8">
        <v>41649</v>
      </c>
      <c r="E36" s="8">
        <v>41649</v>
      </c>
      <c r="F36" s="9">
        <v>680</v>
      </c>
    </row>
    <row r="37" spans="1:6" x14ac:dyDescent="0.25">
      <c r="A37" s="10" t="s">
        <v>52</v>
      </c>
      <c r="B37" s="11" t="s">
        <v>53</v>
      </c>
      <c r="C37" s="11" t="s">
        <v>47</v>
      </c>
      <c r="D37" s="12">
        <v>41649</v>
      </c>
      <c r="E37" s="12">
        <v>41649</v>
      </c>
      <c r="F37" s="13">
        <v>363.8</v>
      </c>
    </row>
    <row r="38" spans="1:6" x14ac:dyDescent="0.25">
      <c r="A38" s="6" t="s">
        <v>22</v>
      </c>
      <c r="B38" s="7" t="s">
        <v>23</v>
      </c>
      <c r="C38" s="7" t="s">
        <v>59</v>
      </c>
      <c r="D38" s="8">
        <v>41651</v>
      </c>
      <c r="E38" s="8">
        <v>41651</v>
      </c>
      <c r="F38" s="9">
        <v>442</v>
      </c>
    </row>
    <row r="39" spans="1:6" x14ac:dyDescent="0.25">
      <c r="A39" s="10" t="s">
        <v>15</v>
      </c>
      <c r="B39" s="11" t="s">
        <v>46</v>
      </c>
      <c r="C39" s="11" t="s">
        <v>14</v>
      </c>
      <c r="D39" s="12">
        <v>41652</v>
      </c>
      <c r="E39" s="12">
        <v>41655</v>
      </c>
      <c r="F39" s="13">
        <v>550.5</v>
      </c>
    </row>
    <row r="40" spans="1:6" x14ac:dyDescent="0.25">
      <c r="A40" s="6" t="s">
        <v>70</v>
      </c>
      <c r="B40" s="7" t="s">
        <v>71</v>
      </c>
      <c r="C40" s="7" t="s">
        <v>27</v>
      </c>
      <c r="D40" s="8">
        <v>41652</v>
      </c>
      <c r="E40" s="8">
        <v>41652</v>
      </c>
      <c r="F40" s="9">
        <v>442</v>
      </c>
    </row>
    <row r="41" spans="1:6" x14ac:dyDescent="0.25">
      <c r="A41" s="10" t="s">
        <v>25</v>
      </c>
      <c r="B41" s="11" t="s">
        <v>68</v>
      </c>
      <c r="C41" s="11" t="s">
        <v>72</v>
      </c>
      <c r="D41" s="12">
        <v>41652</v>
      </c>
      <c r="E41" s="12">
        <v>41652</v>
      </c>
      <c r="F41" s="13">
        <v>494.7</v>
      </c>
    </row>
    <row r="42" spans="1:6" x14ac:dyDescent="0.25">
      <c r="A42" s="6" t="s">
        <v>73</v>
      </c>
      <c r="B42" s="7" t="s">
        <v>74</v>
      </c>
      <c r="C42" s="7" t="s">
        <v>27</v>
      </c>
      <c r="D42" s="8">
        <v>41652</v>
      </c>
      <c r="E42" s="8">
        <v>41653</v>
      </c>
      <c r="F42" s="9">
        <v>570</v>
      </c>
    </row>
    <row r="43" spans="1:6" x14ac:dyDescent="0.25">
      <c r="A43" s="10" t="s">
        <v>75</v>
      </c>
      <c r="B43" s="11" t="s">
        <v>76</v>
      </c>
      <c r="C43" s="11" t="s">
        <v>47</v>
      </c>
      <c r="D43" s="12">
        <v>41652</v>
      </c>
      <c r="E43" s="12">
        <v>41653</v>
      </c>
      <c r="F43" s="13">
        <v>526.79999999999995</v>
      </c>
    </row>
    <row r="44" spans="1:6" x14ac:dyDescent="0.25">
      <c r="A44" s="6" t="s">
        <v>31</v>
      </c>
      <c r="B44" s="7" t="s">
        <v>77</v>
      </c>
      <c r="C44" s="7" t="s">
        <v>38</v>
      </c>
      <c r="D44" s="8">
        <v>41652</v>
      </c>
      <c r="E44" s="8">
        <v>41652</v>
      </c>
      <c r="F44" s="9">
        <v>278.8</v>
      </c>
    </row>
    <row r="45" spans="1:6" x14ac:dyDescent="0.25">
      <c r="A45" s="10" t="s">
        <v>22</v>
      </c>
      <c r="B45" s="11" t="s">
        <v>23</v>
      </c>
      <c r="C45" s="11" t="s">
        <v>38</v>
      </c>
      <c r="D45" s="12">
        <v>41653</v>
      </c>
      <c r="E45" s="12">
        <v>41656</v>
      </c>
      <c r="F45" s="13">
        <v>665.8</v>
      </c>
    </row>
    <row r="46" spans="1:6" x14ac:dyDescent="0.25">
      <c r="A46" s="6" t="s">
        <v>31</v>
      </c>
      <c r="B46" s="7" t="s">
        <v>78</v>
      </c>
      <c r="C46" s="7" t="s">
        <v>27</v>
      </c>
      <c r="D46" s="8">
        <v>41653</v>
      </c>
      <c r="E46" s="8">
        <v>41655</v>
      </c>
      <c r="F46" s="9">
        <v>698</v>
      </c>
    </row>
    <row r="47" spans="1:6" x14ac:dyDescent="0.25">
      <c r="A47" s="10" t="s">
        <v>48</v>
      </c>
      <c r="B47" s="11" t="s">
        <v>49</v>
      </c>
      <c r="C47" s="11" t="s">
        <v>72</v>
      </c>
      <c r="D47" s="12">
        <v>41653</v>
      </c>
      <c r="E47" s="12">
        <v>41653</v>
      </c>
      <c r="F47" s="13">
        <v>494.7</v>
      </c>
    </row>
    <row r="48" spans="1:6" x14ac:dyDescent="0.25">
      <c r="A48" s="6" t="s">
        <v>79</v>
      </c>
      <c r="B48" s="7" t="s">
        <v>80</v>
      </c>
      <c r="C48" s="7" t="s">
        <v>27</v>
      </c>
      <c r="D48" s="8">
        <v>41653</v>
      </c>
      <c r="E48" s="8">
        <v>41657</v>
      </c>
      <c r="F48" s="9">
        <v>954</v>
      </c>
    </row>
    <row r="49" spans="1:6" x14ac:dyDescent="0.25">
      <c r="A49" s="10" t="s">
        <v>54</v>
      </c>
      <c r="B49" s="11" t="s">
        <v>81</v>
      </c>
      <c r="C49" s="11" t="s">
        <v>8</v>
      </c>
      <c r="D49" s="12">
        <v>41653</v>
      </c>
      <c r="E49" s="12">
        <v>41653</v>
      </c>
      <c r="F49" s="13">
        <v>680</v>
      </c>
    </row>
    <row r="50" spans="1:6" x14ac:dyDescent="0.25">
      <c r="A50" s="6" t="s">
        <v>82</v>
      </c>
      <c r="B50" s="7" t="s">
        <v>83</v>
      </c>
      <c r="C50" s="7" t="s">
        <v>72</v>
      </c>
      <c r="D50" s="8">
        <v>41653</v>
      </c>
      <c r="E50" s="8">
        <v>41657</v>
      </c>
      <c r="F50" s="9">
        <v>1290.7</v>
      </c>
    </row>
    <row r="51" spans="1:6" x14ac:dyDescent="0.25">
      <c r="A51" s="10" t="s">
        <v>84</v>
      </c>
      <c r="B51" s="11" t="s">
        <v>85</v>
      </c>
      <c r="C51" s="11" t="s">
        <v>24</v>
      </c>
      <c r="D51" s="12">
        <v>41653</v>
      </c>
      <c r="E51" s="12">
        <v>41655</v>
      </c>
      <c r="F51" s="13">
        <v>588.70000000000005</v>
      </c>
    </row>
    <row r="52" spans="1:6" x14ac:dyDescent="0.25">
      <c r="A52" s="6" t="s">
        <v>31</v>
      </c>
      <c r="B52" s="7" t="s">
        <v>32</v>
      </c>
      <c r="C52" s="7" t="s">
        <v>30</v>
      </c>
      <c r="D52" s="8">
        <v>41653</v>
      </c>
      <c r="E52" s="8">
        <v>41655</v>
      </c>
      <c r="F52" s="9">
        <v>450.5</v>
      </c>
    </row>
    <row r="53" spans="1:6" x14ac:dyDescent="0.25">
      <c r="A53" s="10" t="s">
        <v>6</v>
      </c>
      <c r="B53" s="11" t="s">
        <v>56</v>
      </c>
      <c r="C53" s="11" t="s">
        <v>30</v>
      </c>
      <c r="D53" s="12">
        <v>41653</v>
      </c>
      <c r="E53" s="12">
        <v>41657</v>
      </c>
      <c r="F53" s="13">
        <v>688.5</v>
      </c>
    </row>
    <row r="54" spans="1:6" x14ac:dyDescent="0.25">
      <c r="A54" s="6" t="s">
        <v>86</v>
      </c>
      <c r="B54" s="7" t="s">
        <v>87</v>
      </c>
      <c r="C54" s="7" t="s">
        <v>72</v>
      </c>
      <c r="D54" s="8">
        <v>41653</v>
      </c>
      <c r="E54" s="8">
        <v>41654</v>
      </c>
      <c r="F54" s="9">
        <v>693.7</v>
      </c>
    </row>
    <row r="55" spans="1:6" x14ac:dyDescent="0.25">
      <c r="A55" s="10" t="s">
        <v>75</v>
      </c>
      <c r="B55" s="11" t="s">
        <v>88</v>
      </c>
      <c r="C55" s="11" t="s">
        <v>30</v>
      </c>
      <c r="D55" s="12">
        <v>41653</v>
      </c>
      <c r="E55" s="12">
        <v>41653</v>
      </c>
      <c r="F55" s="13">
        <v>212.5</v>
      </c>
    </row>
    <row r="56" spans="1:6" x14ac:dyDescent="0.25">
      <c r="A56" s="6" t="s">
        <v>89</v>
      </c>
      <c r="B56" s="7" t="s">
        <v>90</v>
      </c>
      <c r="C56" s="7" t="s">
        <v>8</v>
      </c>
      <c r="D56" s="8">
        <v>41653</v>
      </c>
      <c r="E56" s="8">
        <v>41654</v>
      </c>
      <c r="F56" s="9">
        <v>891</v>
      </c>
    </row>
    <row r="57" spans="1:6" x14ac:dyDescent="0.25">
      <c r="A57" s="10" t="s">
        <v>39</v>
      </c>
      <c r="B57" s="11" t="s">
        <v>40</v>
      </c>
      <c r="C57" s="11" t="s">
        <v>38</v>
      </c>
      <c r="D57" s="12">
        <v>41653</v>
      </c>
      <c r="E57" s="12">
        <v>41654</v>
      </c>
      <c r="F57" s="13">
        <v>407.8</v>
      </c>
    </row>
    <row r="58" spans="1:6" x14ac:dyDescent="0.25">
      <c r="A58" s="6" t="s">
        <v>15</v>
      </c>
      <c r="B58" s="7" t="s">
        <v>63</v>
      </c>
      <c r="C58" s="7" t="s">
        <v>19</v>
      </c>
      <c r="D58" s="8">
        <v>41653</v>
      </c>
      <c r="E58" s="8">
        <v>41653</v>
      </c>
      <c r="F58" s="9">
        <v>513.4</v>
      </c>
    </row>
    <row r="59" spans="1:6" x14ac:dyDescent="0.25">
      <c r="A59" s="10" t="s">
        <v>91</v>
      </c>
      <c r="B59" s="11" t="s">
        <v>92</v>
      </c>
      <c r="C59" s="11" t="s">
        <v>59</v>
      </c>
      <c r="D59" s="12">
        <v>41653</v>
      </c>
      <c r="E59" s="12">
        <v>41655</v>
      </c>
      <c r="F59" s="13">
        <v>760</v>
      </c>
    </row>
    <row r="60" spans="1:6" x14ac:dyDescent="0.25">
      <c r="A60" s="6" t="s">
        <v>93</v>
      </c>
      <c r="B60" s="7" t="s">
        <v>94</v>
      </c>
      <c r="C60" s="7" t="s">
        <v>47</v>
      </c>
      <c r="D60" s="8">
        <v>41653</v>
      </c>
      <c r="E60" s="8">
        <v>41654</v>
      </c>
      <c r="F60" s="9">
        <v>526.79999999999995</v>
      </c>
    </row>
    <row r="61" spans="1:6" x14ac:dyDescent="0.25">
      <c r="A61" s="10" t="s">
        <v>12</v>
      </c>
      <c r="B61" s="11" t="s">
        <v>95</v>
      </c>
      <c r="C61" s="11" t="s">
        <v>8</v>
      </c>
      <c r="D61" s="12">
        <v>41653</v>
      </c>
      <c r="E61" s="12">
        <v>41656</v>
      </c>
      <c r="F61" s="13">
        <v>1313</v>
      </c>
    </row>
    <row r="62" spans="1:6" x14ac:dyDescent="0.25">
      <c r="A62" s="6" t="s">
        <v>15</v>
      </c>
      <c r="B62" s="7" t="s">
        <v>96</v>
      </c>
      <c r="C62" s="7" t="s">
        <v>66</v>
      </c>
      <c r="D62" s="8">
        <v>41653</v>
      </c>
      <c r="E62" s="8">
        <v>41656</v>
      </c>
      <c r="F62" s="9">
        <v>841.7</v>
      </c>
    </row>
    <row r="63" spans="1:6" x14ac:dyDescent="0.25">
      <c r="A63" s="10" t="s">
        <v>64</v>
      </c>
      <c r="B63" s="11" t="s">
        <v>65</v>
      </c>
      <c r="C63" s="11" t="s">
        <v>38</v>
      </c>
      <c r="D63" s="12">
        <v>41653</v>
      </c>
      <c r="E63" s="12">
        <v>41657</v>
      </c>
      <c r="F63" s="13">
        <v>794.8</v>
      </c>
    </row>
    <row r="64" spans="1:6" x14ac:dyDescent="0.25">
      <c r="A64" s="6" t="s">
        <v>57</v>
      </c>
      <c r="B64" s="7" t="s">
        <v>58</v>
      </c>
      <c r="C64" s="7" t="s">
        <v>47</v>
      </c>
      <c r="D64" s="8">
        <v>41653</v>
      </c>
      <c r="E64" s="8">
        <v>41656</v>
      </c>
      <c r="F64" s="9">
        <v>852.8</v>
      </c>
    </row>
    <row r="65" spans="1:6" x14ac:dyDescent="0.25">
      <c r="A65" s="10" t="s">
        <v>50</v>
      </c>
      <c r="B65" s="11" t="s">
        <v>51</v>
      </c>
      <c r="C65" s="11" t="s">
        <v>59</v>
      </c>
      <c r="D65" s="12">
        <v>41654</v>
      </c>
      <c r="E65" s="12">
        <v>41656</v>
      </c>
      <c r="F65" s="13">
        <v>760</v>
      </c>
    </row>
    <row r="66" spans="1:6" x14ac:dyDescent="0.25">
      <c r="A66" s="6" t="s">
        <v>28</v>
      </c>
      <c r="B66" s="7" t="s">
        <v>60</v>
      </c>
      <c r="C66" s="7" t="s">
        <v>17</v>
      </c>
      <c r="D66" s="8">
        <v>41654</v>
      </c>
      <c r="E66" s="8">
        <v>41657</v>
      </c>
      <c r="F66" s="9">
        <v>1116.5</v>
      </c>
    </row>
    <row r="67" spans="1:6" x14ac:dyDescent="0.25">
      <c r="A67" s="10" t="s">
        <v>28</v>
      </c>
      <c r="B67" s="11" t="s">
        <v>29</v>
      </c>
      <c r="C67" s="11" t="s">
        <v>11</v>
      </c>
      <c r="D67" s="12">
        <v>41654</v>
      </c>
      <c r="E67" s="12">
        <v>41657</v>
      </c>
      <c r="F67" s="13">
        <v>573.4</v>
      </c>
    </row>
    <row r="68" spans="1:6" x14ac:dyDescent="0.25">
      <c r="A68" s="6" t="s">
        <v>31</v>
      </c>
      <c r="B68" s="7" t="s">
        <v>32</v>
      </c>
      <c r="C68" s="7" t="s">
        <v>59</v>
      </c>
      <c r="D68" s="8">
        <v>41654</v>
      </c>
      <c r="E68" s="8">
        <v>41656</v>
      </c>
      <c r="F68" s="9">
        <v>760</v>
      </c>
    </row>
    <row r="69" spans="1:6" x14ac:dyDescent="0.25">
      <c r="A69" s="10" t="s">
        <v>97</v>
      </c>
      <c r="B69" s="11" t="s">
        <v>98</v>
      </c>
      <c r="C69" s="11" t="s">
        <v>8</v>
      </c>
      <c r="D69" s="12">
        <v>41654</v>
      </c>
      <c r="E69" s="12">
        <v>41656</v>
      </c>
      <c r="F69" s="13">
        <v>1102</v>
      </c>
    </row>
    <row r="70" spans="1:6" x14ac:dyDescent="0.25">
      <c r="A70" s="6" t="s">
        <v>9</v>
      </c>
      <c r="B70" s="7" t="s">
        <v>69</v>
      </c>
      <c r="C70" s="7" t="s">
        <v>19</v>
      </c>
      <c r="D70" s="8">
        <v>41654</v>
      </c>
      <c r="E70" s="8">
        <v>41657</v>
      </c>
      <c r="F70" s="9">
        <v>936.4</v>
      </c>
    </row>
    <row r="71" spans="1:6" x14ac:dyDescent="0.25">
      <c r="A71" s="10" t="s">
        <v>99</v>
      </c>
      <c r="B71" s="11" t="s">
        <v>100</v>
      </c>
      <c r="C71" s="11" t="s">
        <v>66</v>
      </c>
      <c r="D71" s="12">
        <v>41654</v>
      </c>
      <c r="E71" s="12">
        <v>41658</v>
      </c>
      <c r="F71" s="13">
        <v>1019.7</v>
      </c>
    </row>
    <row r="72" spans="1:6" x14ac:dyDescent="0.25">
      <c r="A72" s="6" t="s">
        <v>101</v>
      </c>
      <c r="B72" s="7" t="s">
        <v>102</v>
      </c>
      <c r="C72" s="7" t="s">
        <v>72</v>
      </c>
      <c r="D72" s="8">
        <v>41654</v>
      </c>
      <c r="E72" s="8">
        <v>41657</v>
      </c>
      <c r="F72" s="9">
        <v>1091.7</v>
      </c>
    </row>
    <row r="73" spans="1:6" x14ac:dyDescent="0.25">
      <c r="A73" s="10" t="s">
        <v>9</v>
      </c>
      <c r="B73" s="11" t="s">
        <v>103</v>
      </c>
      <c r="C73" s="11" t="s">
        <v>47</v>
      </c>
      <c r="D73" s="12">
        <v>41654</v>
      </c>
      <c r="E73" s="12">
        <v>41658</v>
      </c>
      <c r="F73" s="13">
        <v>1015.8</v>
      </c>
    </row>
    <row r="74" spans="1:6" x14ac:dyDescent="0.25">
      <c r="A74" s="6" t="s">
        <v>73</v>
      </c>
      <c r="B74" s="7" t="s">
        <v>104</v>
      </c>
      <c r="C74" s="7" t="s">
        <v>47</v>
      </c>
      <c r="D74" s="8">
        <v>41654</v>
      </c>
      <c r="E74" s="8">
        <v>41655</v>
      </c>
      <c r="F74" s="9">
        <v>526.79999999999995</v>
      </c>
    </row>
    <row r="75" spans="1:6" x14ac:dyDescent="0.25">
      <c r="A75" s="10" t="s">
        <v>15</v>
      </c>
      <c r="B75" s="11" t="s">
        <v>105</v>
      </c>
      <c r="C75" s="11" t="s">
        <v>14</v>
      </c>
      <c r="D75" s="12">
        <v>41654</v>
      </c>
      <c r="E75" s="12">
        <v>41655</v>
      </c>
      <c r="F75" s="13">
        <v>302.5</v>
      </c>
    </row>
    <row r="76" spans="1:6" x14ac:dyDescent="0.25">
      <c r="A76" s="6" t="s">
        <v>93</v>
      </c>
      <c r="B76" s="7" t="s">
        <v>106</v>
      </c>
      <c r="C76" s="7" t="s">
        <v>47</v>
      </c>
      <c r="D76" s="8">
        <v>41654</v>
      </c>
      <c r="E76" s="8">
        <v>41654</v>
      </c>
      <c r="F76" s="9">
        <v>363.8</v>
      </c>
    </row>
    <row r="77" spans="1:6" x14ac:dyDescent="0.25">
      <c r="A77" s="10" t="s">
        <v>93</v>
      </c>
      <c r="B77" s="11" t="s">
        <v>106</v>
      </c>
      <c r="C77" s="11" t="s">
        <v>14</v>
      </c>
      <c r="D77" s="12">
        <v>41654</v>
      </c>
      <c r="E77" s="12">
        <v>41654</v>
      </c>
      <c r="F77" s="13">
        <v>178.5</v>
      </c>
    </row>
    <row r="78" spans="1:6" x14ac:dyDescent="0.25">
      <c r="A78" s="6" t="s">
        <v>42</v>
      </c>
      <c r="B78" s="7" t="s">
        <v>43</v>
      </c>
      <c r="C78" s="7" t="s">
        <v>27</v>
      </c>
      <c r="D78" s="8">
        <v>41654</v>
      </c>
      <c r="E78" s="8">
        <v>41655</v>
      </c>
      <c r="F78" s="9">
        <v>570</v>
      </c>
    </row>
    <row r="79" spans="1:6" x14ac:dyDescent="0.25">
      <c r="A79" s="10" t="s">
        <v>107</v>
      </c>
      <c r="B79" s="11" t="s">
        <v>108</v>
      </c>
      <c r="C79" s="11" t="s">
        <v>66</v>
      </c>
      <c r="D79" s="12">
        <v>41654</v>
      </c>
      <c r="E79" s="12">
        <v>41655</v>
      </c>
      <c r="F79" s="13">
        <v>485.7</v>
      </c>
    </row>
    <row r="80" spans="1:6" x14ac:dyDescent="0.25">
      <c r="A80" s="6" t="s">
        <v>109</v>
      </c>
      <c r="B80" s="7" t="s">
        <v>110</v>
      </c>
      <c r="C80" s="7" t="s">
        <v>14</v>
      </c>
      <c r="D80" s="8">
        <v>41654</v>
      </c>
      <c r="E80" s="8">
        <v>41655</v>
      </c>
      <c r="F80" s="9">
        <v>302.5</v>
      </c>
    </row>
    <row r="81" spans="1:6" x14ac:dyDescent="0.25">
      <c r="A81" s="10" t="s">
        <v>6</v>
      </c>
      <c r="B81" s="11" t="s">
        <v>45</v>
      </c>
      <c r="C81" s="11" t="s">
        <v>66</v>
      </c>
      <c r="D81" s="12">
        <v>41654</v>
      </c>
      <c r="E81" s="12">
        <v>41656</v>
      </c>
      <c r="F81" s="13">
        <v>663.7</v>
      </c>
    </row>
    <row r="82" spans="1:6" x14ac:dyDescent="0.25">
      <c r="A82" s="6" t="s">
        <v>111</v>
      </c>
      <c r="B82" s="7" t="s">
        <v>112</v>
      </c>
      <c r="C82" s="7" t="s">
        <v>66</v>
      </c>
      <c r="D82" s="8">
        <v>41654</v>
      </c>
      <c r="E82" s="8">
        <v>41656</v>
      </c>
      <c r="F82" s="9">
        <v>663.7</v>
      </c>
    </row>
    <row r="83" spans="1:6" x14ac:dyDescent="0.25">
      <c r="A83" s="10" t="s">
        <v>113</v>
      </c>
      <c r="B83" s="11" t="s">
        <v>114</v>
      </c>
      <c r="C83" s="11" t="s">
        <v>11</v>
      </c>
      <c r="D83" s="12">
        <v>41654</v>
      </c>
      <c r="E83" s="12">
        <v>41658</v>
      </c>
      <c r="F83" s="13">
        <v>712.4</v>
      </c>
    </row>
    <row r="84" spans="1:6" x14ac:dyDescent="0.25">
      <c r="A84" s="6" t="s">
        <v>115</v>
      </c>
      <c r="B84" s="7" t="s">
        <v>116</v>
      </c>
      <c r="C84" s="7" t="s">
        <v>14</v>
      </c>
      <c r="D84" s="8">
        <v>41654</v>
      </c>
      <c r="E84" s="8">
        <v>41655</v>
      </c>
      <c r="F84" s="9">
        <v>302.5</v>
      </c>
    </row>
    <row r="85" spans="1:6" x14ac:dyDescent="0.25">
      <c r="A85" s="10" t="s">
        <v>70</v>
      </c>
      <c r="B85" s="11" t="s">
        <v>117</v>
      </c>
      <c r="C85" s="11" t="s">
        <v>8</v>
      </c>
      <c r="D85" s="12">
        <v>41654</v>
      </c>
      <c r="E85" s="12">
        <v>41655</v>
      </c>
      <c r="F85" s="13">
        <v>891</v>
      </c>
    </row>
    <row r="86" spans="1:6" x14ac:dyDescent="0.25">
      <c r="A86" s="6" t="s">
        <v>54</v>
      </c>
      <c r="B86" s="7" t="s">
        <v>118</v>
      </c>
      <c r="C86" s="7" t="s">
        <v>8</v>
      </c>
      <c r="D86" s="8">
        <v>41654</v>
      </c>
      <c r="E86" s="8">
        <v>41657</v>
      </c>
      <c r="F86" s="9">
        <v>1313</v>
      </c>
    </row>
    <row r="87" spans="1:6" x14ac:dyDescent="0.25">
      <c r="A87" s="10" t="s">
        <v>54</v>
      </c>
      <c r="B87" s="11" t="s">
        <v>81</v>
      </c>
      <c r="C87" s="11" t="s">
        <v>27</v>
      </c>
      <c r="D87" s="12">
        <v>41656</v>
      </c>
      <c r="E87" s="12">
        <v>41656</v>
      </c>
      <c r="F87" s="13">
        <v>442</v>
      </c>
    </row>
    <row r="88" spans="1:6" x14ac:dyDescent="0.25">
      <c r="A88" s="6" t="s">
        <v>119</v>
      </c>
      <c r="B88" s="7" t="s">
        <v>120</v>
      </c>
      <c r="C88" s="7" t="s">
        <v>27</v>
      </c>
      <c r="D88" s="8">
        <v>41656</v>
      </c>
      <c r="E88" s="8">
        <v>41656</v>
      </c>
      <c r="F88" s="9">
        <v>442</v>
      </c>
    </row>
    <row r="89" spans="1:6" x14ac:dyDescent="0.25">
      <c r="A89" s="10" t="s">
        <v>31</v>
      </c>
      <c r="B89" s="11" t="s">
        <v>77</v>
      </c>
      <c r="C89" s="11" t="s">
        <v>11</v>
      </c>
      <c r="D89" s="12">
        <v>41656</v>
      </c>
      <c r="E89" s="12">
        <v>41656</v>
      </c>
      <c r="F89" s="13">
        <v>156.4</v>
      </c>
    </row>
    <row r="90" spans="1:6" x14ac:dyDescent="0.25">
      <c r="A90" s="6" t="s">
        <v>9</v>
      </c>
      <c r="B90" s="7" t="s">
        <v>18</v>
      </c>
      <c r="C90" s="7" t="s">
        <v>11</v>
      </c>
      <c r="D90" s="8">
        <v>41656</v>
      </c>
      <c r="E90" s="8">
        <v>41656</v>
      </c>
      <c r="F90" s="9">
        <v>156.4</v>
      </c>
    </row>
    <row r="91" spans="1:6" x14ac:dyDescent="0.25">
      <c r="A91" s="10" t="s">
        <v>86</v>
      </c>
      <c r="B91" s="11" t="s">
        <v>87</v>
      </c>
      <c r="C91" s="11" t="s">
        <v>17</v>
      </c>
      <c r="D91" s="12">
        <v>41657</v>
      </c>
      <c r="E91" s="12">
        <v>41657</v>
      </c>
      <c r="F91" s="13">
        <v>501.5</v>
      </c>
    </row>
    <row r="92" spans="1:6" x14ac:dyDescent="0.25">
      <c r="A92" s="6" t="s">
        <v>75</v>
      </c>
      <c r="B92" s="7" t="s">
        <v>88</v>
      </c>
      <c r="C92" s="7" t="s">
        <v>14</v>
      </c>
      <c r="D92" s="8">
        <v>41657</v>
      </c>
      <c r="E92" s="8">
        <v>41658</v>
      </c>
      <c r="F92" s="9">
        <v>302.5</v>
      </c>
    </row>
    <row r="93" spans="1:6" x14ac:dyDescent="0.25">
      <c r="A93" s="10" t="s">
        <v>93</v>
      </c>
      <c r="B93" s="11" t="s">
        <v>94</v>
      </c>
      <c r="C93" s="11" t="s">
        <v>8</v>
      </c>
      <c r="D93" s="12">
        <v>41657</v>
      </c>
      <c r="E93" s="12">
        <v>41657</v>
      </c>
      <c r="F93" s="13">
        <v>680</v>
      </c>
    </row>
    <row r="94" spans="1:6" x14ac:dyDescent="0.25">
      <c r="A94" s="6" t="s">
        <v>48</v>
      </c>
      <c r="B94" s="7" t="s">
        <v>49</v>
      </c>
      <c r="C94" s="7" t="s">
        <v>19</v>
      </c>
      <c r="D94" s="8">
        <v>41658</v>
      </c>
      <c r="E94" s="8">
        <v>41658</v>
      </c>
      <c r="F94" s="9">
        <v>513.4</v>
      </c>
    </row>
    <row r="95" spans="1:6" x14ac:dyDescent="0.25">
      <c r="A95" s="10" t="s">
        <v>111</v>
      </c>
      <c r="B95" s="11" t="s">
        <v>112</v>
      </c>
      <c r="C95" s="11" t="s">
        <v>17</v>
      </c>
      <c r="D95" s="12">
        <v>41658</v>
      </c>
      <c r="E95" s="12">
        <v>41658</v>
      </c>
      <c r="F95" s="13">
        <v>501.5</v>
      </c>
    </row>
    <row r="96" spans="1:6" x14ac:dyDescent="0.25">
      <c r="A96" s="6" t="s">
        <v>6</v>
      </c>
      <c r="B96" s="7" t="s">
        <v>56</v>
      </c>
      <c r="C96" s="7" t="s">
        <v>72</v>
      </c>
      <c r="D96" s="8">
        <v>41660</v>
      </c>
      <c r="E96" s="8">
        <v>41662</v>
      </c>
      <c r="F96" s="9">
        <v>892.7</v>
      </c>
    </row>
    <row r="97" spans="1:6" x14ac:dyDescent="0.25">
      <c r="A97" s="10" t="s">
        <v>99</v>
      </c>
      <c r="B97" s="11" t="s">
        <v>100</v>
      </c>
      <c r="C97" s="11" t="s">
        <v>27</v>
      </c>
      <c r="D97" s="12">
        <v>41660</v>
      </c>
      <c r="E97" s="12">
        <v>41663</v>
      </c>
      <c r="F97" s="13">
        <v>826</v>
      </c>
    </row>
    <row r="98" spans="1:6" x14ac:dyDescent="0.25">
      <c r="A98" s="6" t="s">
        <v>86</v>
      </c>
      <c r="B98" s="7" t="s">
        <v>87</v>
      </c>
      <c r="C98" s="7" t="s">
        <v>72</v>
      </c>
      <c r="D98" s="8">
        <v>41660</v>
      </c>
      <c r="E98" s="8">
        <v>41662</v>
      </c>
      <c r="F98" s="9">
        <v>892.7</v>
      </c>
    </row>
    <row r="99" spans="1:6" x14ac:dyDescent="0.25">
      <c r="A99" s="10" t="s">
        <v>54</v>
      </c>
      <c r="B99" s="11" t="s">
        <v>121</v>
      </c>
      <c r="C99" s="11" t="s">
        <v>19</v>
      </c>
      <c r="D99" s="12">
        <v>41660</v>
      </c>
      <c r="E99" s="12">
        <v>41662</v>
      </c>
      <c r="F99" s="13">
        <v>795.4</v>
      </c>
    </row>
    <row r="100" spans="1:6" x14ac:dyDescent="0.25">
      <c r="A100" s="6" t="s">
        <v>75</v>
      </c>
      <c r="B100" s="7" t="s">
        <v>76</v>
      </c>
      <c r="C100" s="7" t="s">
        <v>8</v>
      </c>
      <c r="D100" s="8">
        <v>41660</v>
      </c>
      <c r="E100" s="8">
        <v>41664</v>
      </c>
      <c r="F100" s="9">
        <v>1524</v>
      </c>
    </row>
    <row r="101" spans="1:6" x14ac:dyDescent="0.25">
      <c r="A101" s="10" t="s">
        <v>31</v>
      </c>
      <c r="B101" s="11" t="s">
        <v>77</v>
      </c>
      <c r="C101" s="11" t="s">
        <v>47</v>
      </c>
      <c r="D101" s="12">
        <v>41660</v>
      </c>
      <c r="E101" s="12">
        <v>41663</v>
      </c>
      <c r="F101" s="13">
        <v>852.8</v>
      </c>
    </row>
    <row r="102" spans="1:6" x14ac:dyDescent="0.25">
      <c r="A102" s="6" t="s">
        <v>122</v>
      </c>
      <c r="B102" s="7" t="s">
        <v>123</v>
      </c>
      <c r="C102" s="7" t="s">
        <v>17</v>
      </c>
      <c r="D102" s="8">
        <v>41661</v>
      </c>
      <c r="E102" s="8">
        <v>41661</v>
      </c>
      <c r="F102" s="9">
        <v>501.5</v>
      </c>
    </row>
    <row r="103" spans="1:6" x14ac:dyDescent="0.25">
      <c r="A103" s="10" t="s">
        <v>93</v>
      </c>
      <c r="B103" s="11" t="s">
        <v>124</v>
      </c>
      <c r="C103" s="11" t="s">
        <v>59</v>
      </c>
      <c r="D103" s="12">
        <v>41661</v>
      </c>
      <c r="E103" s="12">
        <v>41661</v>
      </c>
      <c r="F103" s="13">
        <v>442</v>
      </c>
    </row>
    <row r="104" spans="1:6" x14ac:dyDescent="0.25">
      <c r="A104" s="6" t="s">
        <v>82</v>
      </c>
      <c r="B104" s="7" t="s">
        <v>125</v>
      </c>
      <c r="C104" s="7" t="s">
        <v>8</v>
      </c>
      <c r="D104" s="8">
        <v>41661</v>
      </c>
      <c r="E104" s="8">
        <v>41663</v>
      </c>
      <c r="F104" s="9">
        <v>1102</v>
      </c>
    </row>
    <row r="105" spans="1:6" x14ac:dyDescent="0.25">
      <c r="A105" s="10" t="s">
        <v>126</v>
      </c>
      <c r="B105" s="11" t="s">
        <v>127</v>
      </c>
      <c r="C105" s="11" t="s">
        <v>14</v>
      </c>
      <c r="D105" s="12">
        <v>41661</v>
      </c>
      <c r="E105" s="12">
        <v>41663</v>
      </c>
      <c r="F105" s="13">
        <v>426.5</v>
      </c>
    </row>
    <row r="106" spans="1:6" x14ac:dyDescent="0.25">
      <c r="A106" s="6" t="s">
        <v>128</v>
      </c>
      <c r="B106" s="7" t="s">
        <v>129</v>
      </c>
      <c r="C106" s="7" t="s">
        <v>19</v>
      </c>
      <c r="D106" s="8">
        <v>41662</v>
      </c>
      <c r="E106" s="8">
        <v>41663</v>
      </c>
      <c r="F106" s="9">
        <v>654.4</v>
      </c>
    </row>
    <row r="107" spans="1:6" x14ac:dyDescent="0.25">
      <c r="A107" s="10" t="s">
        <v>25</v>
      </c>
      <c r="B107" s="11" t="s">
        <v>26</v>
      </c>
      <c r="C107" s="11" t="s">
        <v>11</v>
      </c>
      <c r="D107" s="12">
        <v>41662</v>
      </c>
      <c r="E107" s="12">
        <v>41663</v>
      </c>
      <c r="F107" s="13">
        <v>295.39999999999998</v>
      </c>
    </row>
    <row r="108" spans="1:6" x14ac:dyDescent="0.25">
      <c r="A108" s="6" t="s">
        <v>25</v>
      </c>
      <c r="B108" s="7" t="s">
        <v>68</v>
      </c>
      <c r="C108" s="7" t="s">
        <v>66</v>
      </c>
      <c r="D108" s="8">
        <v>41662</v>
      </c>
      <c r="E108" s="8">
        <v>41663</v>
      </c>
      <c r="F108" s="9">
        <v>485.7</v>
      </c>
    </row>
    <row r="109" spans="1:6" x14ac:dyDescent="0.25">
      <c r="A109" s="10" t="s">
        <v>99</v>
      </c>
      <c r="B109" s="11" t="s">
        <v>130</v>
      </c>
      <c r="C109" s="11" t="s">
        <v>72</v>
      </c>
      <c r="D109" s="12">
        <v>41663</v>
      </c>
      <c r="E109" s="12">
        <v>41663</v>
      </c>
      <c r="F109" s="13">
        <v>494.7</v>
      </c>
    </row>
    <row r="110" spans="1:6" x14ac:dyDescent="0.25">
      <c r="A110" s="6" t="s">
        <v>131</v>
      </c>
      <c r="B110" s="7" t="s">
        <v>132</v>
      </c>
      <c r="C110" s="7" t="s">
        <v>38</v>
      </c>
      <c r="D110" s="8">
        <v>41663</v>
      </c>
      <c r="E110" s="8">
        <v>41663</v>
      </c>
      <c r="F110" s="9">
        <v>278.8</v>
      </c>
    </row>
    <row r="111" spans="1:6" x14ac:dyDescent="0.25">
      <c r="A111" s="10" t="s">
        <v>93</v>
      </c>
      <c r="B111" s="11" t="s">
        <v>94</v>
      </c>
      <c r="C111" s="11" t="s">
        <v>47</v>
      </c>
      <c r="D111" s="12">
        <v>41664</v>
      </c>
      <c r="E111" s="12">
        <v>41664</v>
      </c>
      <c r="F111" s="13">
        <v>363.8</v>
      </c>
    </row>
    <row r="112" spans="1:6" x14ac:dyDescent="0.25">
      <c r="A112" s="6" t="s">
        <v>6</v>
      </c>
      <c r="B112" s="7" t="s">
        <v>7</v>
      </c>
      <c r="C112" s="7" t="s">
        <v>66</v>
      </c>
      <c r="D112" s="8">
        <v>41665</v>
      </c>
      <c r="E112" s="8">
        <v>41669</v>
      </c>
      <c r="F112" s="9">
        <v>1019.7</v>
      </c>
    </row>
    <row r="113" spans="1:6" x14ac:dyDescent="0.25">
      <c r="A113" s="10" t="s">
        <v>79</v>
      </c>
      <c r="B113" s="11" t="s">
        <v>80</v>
      </c>
      <c r="C113" s="11" t="s">
        <v>19</v>
      </c>
      <c r="D113" s="12">
        <v>41665</v>
      </c>
      <c r="E113" s="12">
        <v>41669</v>
      </c>
      <c r="F113" s="13">
        <v>1077.4000000000001</v>
      </c>
    </row>
    <row r="114" spans="1:6" x14ac:dyDescent="0.25">
      <c r="A114" s="6" t="s">
        <v>54</v>
      </c>
      <c r="B114" s="7" t="s">
        <v>133</v>
      </c>
      <c r="C114" s="7" t="s">
        <v>17</v>
      </c>
      <c r="D114" s="8">
        <v>41665</v>
      </c>
      <c r="E114" s="8">
        <v>41667</v>
      </c>
      <c r="F114" s="9">
        <v>911.5</v>
      </c>
    </row>
    <row r="115" spans="1:6" x14ac:dyDescent="0.25">
      <c r="A115" s="10" t="s">
        <v>134</v>
      </c>
      <c r="B115" s="11" t="s">
        <v>135</v>
      </c>
      <c r="C115" s="11" t="s">
        <v>47</v>
      </c>
      <c r="D115" s="12">
        <v>41665</v>
      </c>
      <c r="E115" s="12">
        <v>41667</v>
      </c>
      <c r="F115" s="13">
        <v>689.8</v>
      </c>
    </row>
    <row r="116" spans="1:6" x14ac:dyDescent="0.25">
      <c r="A116" s="6" t="s">
        <v>93</v>
      </c>
      <c r="B116" s="7" t="s">
        <v>106</v>
      </c>
      <c r="C116" s="7" t="s">
        <v>17</v>
      </c>
      <c r="D116" s="8">
        <v>41665</v>
      </c>
      <c r="E116" s="8">
        <v>41669</v>
      </c>
      <c r="F116" s="9">
        <v>1321.5</v>
      </c>
    </row>
    <row r="117" spans="1:6" x14ac:dyDescent="0.25">
      <c r="A117" s="10" t="s">
        <v>52</v>
      </c>
      <c r="B117" s="11" t="s">
        <v>53</v>
      </c>
      <c r="C117" s="11" t="s">
        <v>59</v>
      </c>
      <c r="D117" s="12">
        <v>41665</v>
      </c>
      <c r="E117" s="12">
        <v>41669</v>
      </c>
      <c r="F117" s="13">
        <v>1078</v>
      </c>
    </row>
    <row r="118" spans="1:6" x14ac:dyDescent="0.25">
      <c r="A118" s="6" t="s">
        <v>119</v>
      </c>
      <c r="B118" s="7" t="s">
        <v>120</v>
      </c>
      <c r="C118" s="7" t="s">
        <v>24</v>
      </c>
      <c r="D118" s="8">
        <v>41665</v>
      </c>
      <c r="E118" s="8">
        <v>41668</v>
      </c>
      <c r="F118" s="9">
        <v>737.7</v>
      </c>
    </row>
    <row r="119" spans="1:6" x14ac:dyDescent="0.25">
      <c r="A119" s="10" t="s">
        <v>89</v>
      </c>
      <c r="B119" s="11" t="s">
        <v>90</v>
      </c>
      <c r="C119" s="11" t="s">
        <v>72</v>
      </c>
      <c r="D119" s="12">
        <v>41665</v>
      </c>
      <c r="E119" s="12">
        <v>41666</v>
      </c>
      <c r="F119" s="13">
        <v>693.7</v>
      </c>
    </row>
    <row r="120" spans="1:6" x14ac:dyDescent="0.25">
      <c r="A120" s="6" t="s">
        <v>12</v>
      </c>
      <c r="B120" s="7" t="s">
        <v>95</v>
      </c>
      <c r="C120" s="7" t="s">
        <v>11</v>
      </c>
      <c r="D120" s="8">
        <v>41665</v>
      </c>
      <c r="E120" s="8">
        <v>41667</v>
      </c>
      <c r="F120" s="9">
        <v>434.4</v>
      </c>
    </row>
    <row r="121" spans="1:6" x14ac:dyDescent="0.25">
      <c r="A121" s="10" t="s">
        <v>15</v>
      </c>
      <c r="B121" s="11" t="s">
        <v>96</v>
      </c>
      <c r="C121" s="11" t="s">
        <v>11</v>
      </c>
      <c r="D121" s="12">
        <v>41665</v>
      </c>
      <c r="E121" s="12">
        <v>41668</v>
      </c>
      <c r="F121" s="13">
        <v>573.4</v>
      </c>
    </row>
    <row r="122" spans="1:6" x14ac:dyDescent="0.25">
      <c r="A122" s="6" t="s">
        <v>86</v>
      </c>
      <c r="B122" s="7" t="s">
        <v>136</v>
      </c>
      <c r="C122" s="7" t="s">
        <v>27</v>
      </c>
      <c r="D122" s="8">
        <v>41665</v>
      </c>
      <c r="E122" s="8">
        <v>41669</v>
      </c>
      <c r="F122" s="9">
        <v>954</v>
      </c>
    </row>
    <row r="123" spans="1:6" x14ac:dyDescent="0.25">
      <c r="A123" s="10" t="s">
        <v>20</v>
      </c>
      <c r="B123" s="11" t="s">
        <v>21</v>
      </c>
      <c r="C123" s="11" t="s">
        <v>38</v>
      </c>
      <c r="D123" s="12">
        <v>41665</v>
      </c>
      <c r="E123" s="12">
        <v>41666</v>
      </c>
      <c r="F123" s="13">
        <v>407.8</v>
      </c>
    </row>
    <row r="124" spans="1:6" x14ac:dyDescent="0.25">
      <c r="A124" s="6" t="s">
        <v>54</v>
      </c>
      <c r="B124" s="7" t="s">
        <v>81</v>
      </c>
      <c r="C124" s="7" t="s">
        <v>17</v>
      </c>
      <c r="D124" s="8">
        <v>41666</v>
      </c>
      <c r="E124" s="8">
        <v>41666</v>
      </c>
      <c r="F124" s="9">
        <v>501.5</v>
      </c>
    </row>
    <row r="125" spans="1:6" x14ac:dyDescent="0.25">
      <c r="A125" s="10" t="s">
        <v>31</v>
      </c>
      <c r="B125" s="11" t="s">
        <v>77</v>
      </c>
      <c r="C125" s="11" t="s">
        <v>72</v>
      </c>
      <c r="D125" s="12">
        <v>41666</v>
      </c>
      <c r="E125" s="12">
        <v>41668</v>
      </c>
      <c r="F125" s="13">
        <v>892.7</v>
      </c>
    </row>
    <row r="126" spans="1:6" x14ac:dyDescent="0.25">
      <c r="A126" s="6" t="s">
        <v>93</v>
      </c>
      <c r="B126" s="7" t="s">
        <v>94</v>
      </c>
      <c r="C126" s="7" t="s">
        <v>8</v>
      </c>
      <c r="D126" s="8">
        <v>41666</v>
      </c>
      <c r="E126" s="8">
        <v>41666</v>
      </c>
      <c r="F126" s="9">
        <v>680</v>
      </c>
    </row>
    <row r="127" spans="1:6" x14ac:dyDescent="0.25">
      <c r="A127" s="10" t="s">
        <v>137</v>
      </c>
      <c r="B127" s="11" t="s">
        <v>138</v>
      </c>
      <c r="C127" s="11" t="s">
        <v>19</v>
      </c>
      <c r="D127" s="12">
        <v>41666</v>
      </c>
      <c r="E127" s="12">
        <v>41668</v>
      </c>
      <c r="F127" s="13">
        <v>795.4</v>
      </c>
    </row>
    <row r="128" spans="1:6" x14ac:dyDescent="0.25">
      <c r="A128" s="6" t="s">
        <v>131</v>
      </c>
      <c r="B128" s="7" t="s">
        <v>132</v>
      </c>
      <c r="C128" s="7" t="s">
        <v>19</v>
      </c>
      <c r="D128" s="8">
        <v>41666</v>
      </c>
      <c r="E128" s="8">
        <v>41668</v>
      </c>
      <c r="F128" s="9">
        <v>795.4</v>
      </c>
    </row>
    <row r="129" spans="1:6" x14ac:dyDescent="0.25">
      <c r="A129" s="10" t="s">
        <v>99</v>
      </c>
      <c r="B129" s="11" t="s">
        <v>130</v>
      </c>
      <c r="C129" s="11" t="s">
        <v>47</v>
      </c>
      <c r="D129" s="12">
        <v>41667</v>
      </c>
      <c r="E129" s="12">
        <v>41667</v>
      </c>
      <c r="F129" s="13">
        <v>363.8</v>
      </c>
    </row>
    <row r="130" spans="1:6" x14ac:dyDescent="0.25">
      <c r="A130" s="6" t="s">
        <v>91</v>
      </c>
      <c r="B130" s="7" t="s">
        <v>92</v>
      </c>
      <c r="C130" s="7" t="s">
        <v>17</v>
      </c>
      <c r="D130" s="8">
        <v>41667</v>
      </c>
      <c r="E130" s="8">
        <v>41669</v>
      </c>
      <c r="F130" s="9">
        <v>911.5</v>
      </c>
    </row>
    <row r="131" spans="1:6" x14ac:dyDescent="0.25">
      <c r="A131" s="10" t="s">
        <v>57</v>
      </c>
      <c r="B131" s="11" t="s">
        <v>58</v>
      </c>
      <c r="C131" s="11" t="s">
        <v>38</v>
      </c>
      <c r="D131" s="12">
        <v>41667</v>
      </c>
      <c r="E131" s="12">
        <v>41669</v>
      </c>
      <c r="F131" s="13">
        <v>536.79999999999995</v>
      </c>
    </row>
    <row r="132" spans="1:6" x14ac:dyDescent="0.25">
      <c r="A132" s="6" t="s">
        <v>6</v>
      </c>
      <c r="B132" s="7" t="s">
        <v>7</v>
      </c>
      <c r="C132" s="7" t="s">
        <v>59</v>
      </c>
      <c r="D132" s="8">
        <v>41672</v>
      </c>
      <c r="E132" s="8">
        <v>41674</v>
      </c>
      <c r="F132" s="9">
        <v>760</v>
      </c>
    </row>
    <row r="133" spans="1:6" x14ac:dyDescent="0.25">
      <c r="A133" s="10" t="s">
        <v>6</v>
      </c>
      <c r="B133" s="11" t="s">
        <v>139</v>
      </c>
      <c r="C133" s="11" t="s">
        <v>17</v>
      </c>
      <c r="D133" s="12">
        <v>41672</v>
      </c>
      <c r="E133" s="12">
        <v>41673</v>
      </c>
      <c r="F133" s="13">
        <v>706.5</v>
      </c>
    </row>
    <row r="134" spans="1:6" x14ac:dyDescent="0.25">
      <c r="A134" s="6" t="s">
        <v>93</v>
      </c>
      <c r="B134" s="7" t="s">
        <v>124</v>
      </c>
      <c r="C134" s="7" t="s">
        <v>72</v>
      </c>
      <c r="D134" s="8">
        <v>41672</v>
      </c>
      <c r="E134" s="8">
        <v>41675</v>
      </c>
      <c r="F134" s="9">
        <v>1091.7</v>
      </c>
    </row>
    <row r="135" spans="1:6" x14ac:dyDescent="0.25">
      <c r="A135" s="10" t="s">
        <v>128</v>
      </c>
      <c r="B135" s="11" t="s">
        <v>129</v>
      </c>
      <c r="C135" s="11" t="s">
        <v>27</v>
      </c>
      <c r="D135" s="12">
        <v>41673</v>
      </c>
      <c r="E135" s="12">
        <v>41676</v>
      </c>
      <c r="F135" s="13">
        <v>826</v>
      </c>
    </row>
    <row r="136" spans="1:6" x14ac:dyDescent="0.25">
      <c r="A136" s="6" t="s">
        <v>115</v>
      </c>
      <c r="B136" s="7" t="s">
        <v>140</v>
      </c>
      <c r="C136" s="7" t="s">
        <v>66</v>
      </c>
      <c r="D136" s="8">
        <v>41673</v>
      </c>
      <c r="E136" s="8">
        <v>41673</v>
      </c>
      <c r="F136" s="9">
        <v>307.7</v>
      </c>
    </row>
    <row r="137" spans="1:6" x14ac:dyDescent="0.25">
      <c r="A137" s="10" t="s">
        <v>42</v>
      </c>
      <c r="B137" s="11" t="s">
        <v>43</v>
      </c>
      <c r="C137" s="11" t="s">
        <v>47</v>
      </c>
      <c r="D137" s="12">
        <v>41673</v>
      </c>
      <c r="E137" s="12">
        <v>41673</v>
      </c>
      <c r="F137" s="13">
        <v>363.8</v>
      </c>
    </row>
    <row r="138" spans="1:6" x14ac:dyDescent="0.25">
      <c r="A138" s="6" t="s">
        <v>107</v>
      </c>
      <c r="B138" s="7" t="s">
        <v>108</v>
      </c>
      <c r="C138" s="7" t="s">
        <v>19</v>
      </c>
      <c r="D138" s="8">
        <v>41673</v>
      </c>
      <c r="E138" s="8">
        <v>41675</v>
      </c>
      <c r="F138" s="9">
        <v>795.4</v>
      </c>
    </row>
    <row r="139" spans="1:6" x14ac:dyDescent="0.25">
      <c r="A139" s="10" t="s">
        <v>31</v>
      </c>
      <c r="B139" s="11" t="s">
        <v>78</v>
      </c>
      <c r="C139" s="11" t="s">
        <v>27</v>
      </c>
      <c r="D139" s="12">
        <v>41677</v>
      </c>
      <c r="E139" s="12">
        <v>41681</v>
      </c>
      <c r="F139" s="13">
        <v>954</v>
      </c>
    </row>
    <row r="140" spans="1:6" x14ac:dyDescent="0.25">
      <c r="A140" s="6" t="s">
        <v>6</v>
      </c>
      <c r="B140" s="7" t="s">
        <v>7</v>
      </c>
      <c r="C140" s="7" t="s">
        <v>38</v>
      </c>
      <c r="D140" s="8">
        <v>41677</v>
      </c>
      <c r="E140" s="8">
        <v>41681</v>
      </c>
      <c r="F140" s="9">
        <v>794.8</v>
      </c>
    </row>
    <row r="141" spans="1:6" x14ac:dyDescent="0.25">
      <c r="A141" s="10" t="s">
        <v>33</v>
      </c>
      <c r="B141" s="11" t="s">
        <v>141</v>
      </c>
      <c r="C141" s="11" t="s">
        <v>19</v>
      </c>
      <c r="D141" s="12">
        <v>41677</v>
      </c>
      <c r="E141" s="12">
        <v>41680</v>
      </c>
      <c r="F141" s="13">
        <v>936.4</v>
      </c>
    </row>
    <row r="142" spans="1:6" x14ac:dyDescent="0.25">
      <c r="A142" s="6" t="s">
        <v>6</v>
      </c>
      <c r="B142" s="7" t="s">
        <v>139</v>
      </c>
      <c r="C142" s="7" t="s">
        <v>72</v>
      </c>
      <c r="D142" s="8">
        <v>41677</v>
      </c>
      <c r="E142" s="8">
        <v>41679</v>
      </c>
      <c r="F142" s="9">
        <v>892.7</v>
      </c>
    </row>
    <row r="143" spans="1:6" x14ac:dyDescent="0.25">
      <c r="A143" s="10" t="s">
        <v>122</v>
      </c>
      <c r="B143" s="11" t="s">
        <v>123</v>
      </c>
      <c r="C143" s="11" t="s">
        <v>66</v>
      </c>
      <c r="D143" s="12">
        <v>41677</v>
      </c>
      <c r="E143" s="12">
        <v>41678</v>
      </c>
      <c r="F143" s="13">
        <v>485.7</v>
      </c>
    </row>
    <row r="144" spans="1:6" x14ac:dyDescent="0.25">
      <c r="A144" s="6" t="s">
        <v>15</v>
      </c>
      <c r="B144" s="7" t="s">
        <v>46</v>
      </c>
      <c r="C144" s="7" t="s">
        <v>19</v>
      </c>
      <c r="D144" s="8">
        <v>41677</v>
      </c>
      <c r="E144" s="8">
        <v>41680</v>
      </c>
      <c r="F144" s="9">
        <v>936.4</v>
      </c>
    </row>
    <row r="145" spans="1:6" x14ac:dyDescent="0.25">
      <c r="A145" s="10" t="s">
        <v>131</v>
      </c>
      <c r="B145" s="11" t="s">
        <v>142</v>
      </c>
      <c r="C145" s="11" t="s">
        <v>27</v>
      </c>
      <c r="D145" s="12">
        <v>41677</v>
      </c>
      <c r="E145" s="12">
        <v>41681</v>
      </c>
      <c r="F145" s="13">
        <v>954</v>
      </c>
    </row>
    <row r="146" spans="1:6" x14ac:dyDescent="0.25">
      <c r="A146" s="6" t="s">
        <v>6</v>
      </c>
      <c r="B146" s="7" t="s">
        <v>56</v>
      </c>
      <c r="C146" s="7" t="s">
        <v>19</v>
      </c>
      <c r="D146" s="8">
        <v>41677</v>
      </c>
      <c r="E146" s="8">
        <v>41680</v>
      </c>
      <c r="F146" s="9">
        <v>936.4</v>
      </c>
    </row>
    <row r="147" spans="1:6" x14ac:dyDescent="0.25">
      <c r="A147" s="10" t="s">
        <v>115</v>
      </c>
      <c r="B147" s="11" t="s">
        <v>140</v>
      </c>
      <c r="C147" s="11" t="s">
        <v>59</v>
      </c>
      <c r="D147" s="12">
        <v>41677</v>
      </c>
      <c r="E147" s="12">
        <v>41677</v>
      </c>
      <c r="F147" s="13">
        <v>442</v>
      </c>
    </row>
    <row r="148" spans="1:6" x14ac:dyDescent="0.25">
      <c r="A148" s="6" t="s">
        <v>126</v>
      </c>
      <c r="B148" s="7" t="s">
        <v>127</v>
      </c>
      <c r="C148" s="7" t="s">
        <v>38</v>
      </c>
      <c r="D148" s="8">
        <v>41677</v>
      </c>
      <c r="E148" s="8">
        <v>41679</v>
      </c>
      <c r="F148" s="9">
        <v>536.79999999999995</v>
      </c>
    </row>
    <row r="149" spans="1:6" x14ac:dyDescent="0.25">
      <c r="A149" s="10" t="s">
        <v>73</v>
      </c>
      <c r="B149" s="11" t="s">
        <v>74</v>
      </c>
      <c r="C149" s="11" t="s">
        <v>30</v>
      </c>
      <c r="D149" s="12">
        <v>41677</v>
      </c>
      <c r="E149" s="12">
        <v>41677</v>
      </c>
      <c r="F149" s="13">
        <v>212.5</v>
      </c>
    </row>
    <row r="150" spans="1:6" x14ac:dyDescent="0.25">
      <c r="A150" s="6" t="s">
        <v>101</v>
      </c>
      <c r="B150" s="7" t="s">
        <v>102</v>
      </c>
      <c r="C150" s="7" t="s">
        <v>59</v>
      </c>
      <c r="D150" s="8">
        <v>41677</v>
      </c>
      <c r="E150" s="8">
        <v>41679</v>
      </c>
      <c r="F150" s="9">
        <v>760</v>
      </c>
    </row>
    <row r="151" spans="1:6" x14ac:dyDescent="0.25">
      <c r="A151" s="10" t="s">
        <v>143</v>
      </c>
      <c r="B151" s="11" t="s">
        <v>144</v>
      </c>
      <c r="C151" s="11" t="s">
        <v>27</v>
      </c>
      <c r="D151" s="12">
        <v>41677</v>
      </c>
      <c r="E151" s="12">
        <v>41678</v>
      </c>
      <c r="F151" s="13">
        <v>570</v>
      </c>
    </row>
    <row r="152" spans="1:6" x14ac:dyDescent="0.25">
      <c r="A152" s="6" t="s">
        <v>73</v>
      </c>
      <c r="B152" s="7" t="s">
        <v>104</v>
      </c>
      <c r="C152" s="7" t="s">
        <v>47</v>
      </c>
      <c r="D152" s="8">
        <v>41677</v>
      </c>
      <c r="E152" s="8">
        <v>41679</v>
      </c>
      <c r="F152" s="9">
        <v>689.8</v>
      </c>
    </row>
    <row r="153" spans="1:6" x14ac:dyDescent="0.25">
      <c r="A153" s="10" t="s">
        <v>93</v>
      </c>
      <c r="B153" s="11" t="s">
        <v>106</v>
      </c>
      <c r="C153" s="11" t="s">
        <v>66</v>
      </c>
      <c r="D153" s="12">
        <v>41677</v>
      </c>
      <c r="E153" s="12">
        <v>41681</v>
      </c>
      <c r="F153" s="13">
        <v>1019.7</v>
      </c>
    </row>
    <row r="154" spans="1:6" x14ac:dyDescent="0.25">
      <c r="A154" s="6" t="s">
        <v>145</v>
      </c>
      <c r="B154" s="7" t="s">
        <v>146</v>
      </c>
      <c r="C154" s="7" t="s">
        <v>8</v>
      </c>
      <c r="D154" s="8">
        <v>41677</v>
      </c>
      <c r="E154" s="8">
        <v>41678</v>
      </c>
      <c r="F154" s="9">
        <v>891</v>
      </c>
    </row>
    <row r="155" spans="1:6" x14ac:dyDescent="0.25">
      <c r="A155" s="10" t="s">
        <v>147</v>
      </c>
      <c r="B155" s="11" t="s">
        <v>148</v>
      </c>
      <c r="C155" s="11" t="s">
        <v>11</v>
      </c>
      <c r="D155" s="12">
        <v>41677</v>
      </c>
      <c r="E155" s="12">
        <v>41678</v>
      </c>
      <c r="F155" s="13">
        <v>295.39999999999998</v>
      </c>
    </row>
    <row r="156" spans="1:6" x14ac:dyDescent="0.25">
      <c r="A156" s="6" t="s">
        <v>119</v>
      </c>
      <c r="B156" s="7" t="s">
        <v>120</v>
      </c>
      <c r="C156" s="7" t="s">
        <v>8</v>
      </c>
      <c r="D156" s="8">
        <v>41677</v>
      </c>
      <c r="E156" s="8">
        <v>41678</v>
      </c>
      <c r="F156" s="9">
        <v>891</v>
      </c>
    </row>
    <row r="157" spans="1:6" x14ac:dyDescent="0.25">
      <c r="A157" s="10" t="s">
        <v>134</v>
      </c>
      <c r="B157" s="11" t="s">
        <v>149</v>
      </c>
      <c r="C157" s="11" t="s">
        <v>30</v>
      </c>
      <c r="D157" s="12">
        <v>41677</v>
      </c>
      <c r="E157" s="12">
        <v>41681</v>
      </c>
      <c r="F157" s="13">
        <v>688.5</v>
      </c>
    </row>
    <row r="158" spans="1:6" x14ac:dyDescent="0.25">
      <c r="A158" s="6" t="s">
        <v>111</v>
      </c>
      <c r="B158" s="7" t="s">
        <v>112</v>
      </c>
      <c r="C158" s="7" t="s">
        <v>66</v>
      </c>
      <c r="D158" s="8">
        <v>41677</v>
      </c>
      <c r="E158" s="8">
        <v>41679</v>
      </c>
      <c r="F158" s="9">
        <v>663.7</v>
      </c>
    </row>
    <row r="159" spans="1:6" x14ac:dyDescent="0.25">
      <c r="A159" s="10" t="s">
        <v>15</v>
      </c>
      <c r="B159" s="11" t="s">
        <v>16</v>
      </c>
      <c r="C159" s="11" t="s">
        <v>30</v>
      </c>
      <c r="D159" s="12">
        <v>41677</v>
      </c>
      <c r="E159" s="12">
        <v>41680</v>
      </c>
      <c r="F159" s="13">
        <v>569.5</v>
      </c>
    </row>
    <row r="160" spans="1:6" x14ac:dyDescent="0.25">
      <c r="A160" s="6" t="s">
        <v>54</v>
      </c>
      <c r="B160" s="7" t="s">
        <v>55</v>
      </c>
      <c r="C160" s="7" t="s">
        <v>27</v>
      </c>
      <c r="D160" s="8">
        <v>41680</v>
      </c>
      <c r="E160" s="8">
        <v>41680</v>
      </c>
      <c r="F160" s="9">
        <v>442</v>
      </c>
    </row>
    <row r="161" spans="1:6" x14ac:dyDescent="0.25">
      <c r="A161" s="10" t="s">
        <v>33</v>
      </c>
      <c r="B161" s="11" t="s">
        <v>41</v>
      </c>
      <c r="C161" s="11" t="s">
        <v>19</v>
      </c>
      <c r="D161" s="12">
        <v>41680</v>
      </c>
      <c r="E161" s="12">
        <v>41680</v>
      </c>
      <c r="F161" s="13">
        <v>513.4</v>
      </c>
    </row>
    <row r="162" spans="1:6" x14ac:dyDescent="0.25">
      <c r="A162" s="6" t="s">
        <v>107</v>
      </c>
      <c r="B162" s="7" t="s">
        <v>108</v>
      </c>
      <c r="C162" s="7" t="s">
        <v>30</v>
      </c>
      <c r="D162" s="8">
        <v>41680</v>
      </c>
      <c r="E162" s="8">
        <v>41681</v>
      </c>
      <c r="F162" s="9">
        <v>331.5</v>
      </c>
    </row>
    <row r="163" spans="1:6" x14ac:dyDescent="0.25">
      <c r="A163" s="10" t="s">
        <v>54</v>
      </c>
      <c r="B163" s="11" t="s">
        <v>81</v>
      </c>
      <c r="C163" s="11" t="s">
        <v>19</v>
      </c>
      <c r="D163" s="12">
        <v>41682</v>
      </c>
      <c r="E163" s="12">
        <v>41682</v>
      </c>
      <c r="F163" s="13">
        <v>513.4</v>
      </c>
    </row>
    <row r="164" spans="1:6" x14ac:dyDescent="0.25">
      <c r="A164" s="6" t="s">
        <v>86</v>
      </c>
      <c r="B164" s="7" t="s">
        <v>150</v>
      </c>
      <c r="C164" s="7" t="s">
        <v>30</v>
      </c>
      <c r="D164" s="8">
        <v>41684</v>
      </c>
      <c r="E164" s="8">
        <v>41686</v>
      </c>
      <c r="F164" s="9">
        <v>450.5</v>
      </c>
    </row>
    <row r="165" spans="1:6" x14ac:dyDescent="0.25">
      <c r="A165" s="10" t="s">
        <v>99</v>
      </c>
      <c r="B165" s="11" t="s">
        <v>100</v>
      </c>
      <c r="C165" s="11" t="s">
        <v>19</v>
      </c>
      <c r="D165" s="12">
        <v>41684</v>
      </c>
      <c r="E165" s="12">
        <v>41686</v>
      </c>
      <c r="F165" s="13">
        <v>795.4</v>
      </c>
    </row>
    <row r="166" spans="1:6" x14ac:dyDescent="0.25">
      <c r="A166" s="6" t="s">
        <v>151</v>
      </c>
      <c r="B166" s="7" t="s">
        <v>152</v>
      </c>
      <c r="C166" s="7" t="s">
        <v>30</v>
      </c>
      <c r="D166" s="8">
        <v>41684</v>
      </c>
      <c r="E166" s="8">
        <v>41684</v>
      </c>
      <c r="F166" s="9">
        <v>212.5</v>
      </c>
    </row>
    <row r="167" spans="1:6" x14ac:dyDescent="0.25">
      <c r="A167" s="10" t="s">
        <v>52</v>
      </c>
      <c r="B167" s="11" t="s">
        <v>53</v>
      </c>
      <c r="C167" s="11" t="s">
        <v>72</v>
      </c>
      <c r="D167" s="12">
        <v>41684</v>
      </c>
      <c r="E167" s="12">
        <v>41686</v>
      </c>
      <c r="F167" s="13">
        <v>892.7</v>
      </c>
    </row>
    <row r="168" spans="1:6" x14ac:dyDescent="0.25">
      <c r="A168" s="6" t="s">
        <v>31</v>
      </c>
      <c r="B168" s="7" t="s">
        <v>77</v>
      </c>
      <c r="C168" s="7" t="s">
        <v>66</v>
      </c>
      <c r="D168" s="8">
        <v>41684</v>
      </c>
      <c r="E168" s="8">
        <v>41688</v>
      </c>
      <c r="F168" s="9">
        <v>1019.7</v>
      </c>
    </row>
    <row r="169" spans="1:6" x14ac:dyDescent="0.25">
      <c r="A169" s="10" t="s">
        <v>113</v>
      </c>
      <c r="B169" s="11" t="s">
        <v>114</v>
      </c>
      <c r="C169" s="11" t="s">
        <v>11</v>
      </c>
      <c r="D169" s="12">
        <v>41684</v>
      </c>
      <c r="E169" s="12">
        <v>41687</v>
      </c>
      <c r="F169" s="13">
        <v>573.4</v>
      </c>
    </row>
    <row r="170" spans="1:6" x14ac:dyDescent="0.25">
      <c r="A170" s="6" t="s">
        <v>109</v>
      </c>
      <c r="B170" s="7" t="s">
        <v>110</v>
      </c>
      <c r="C170" s="7" t="s">
        <v>38</v>
      </c>
      <c r="D170" s="8">
        <v>41685</v>
      </c>
      <c r="E170" s="8">
        <v>41687</v>
      </c>
      <c r="F170" s="9">
        <v>536.79999999999995</v>
      </c>
    </row>
    <row r="171" spans="1:6" x14ac:dyDescent="0.25">
      <c r="A171" s="10" t="s">
        <v>64</v>
      </c>
      <c r="B171" s="11" t="s">
        <v>65</v>
      </c>
      <c r="C171" s="11" t="s">
        <v>17</v>
      </c>
      <c r="D171" s="12">
        <v>41685</v>
      </c>
      <c r="E171" s="12">
        <v>41686</v>
      </c>
      <c r="F171" s="13">
        <v>706.5</v>
      </c>
    </row>
    <row r="172" spans="1:6" x14ac:dyDescent="0.25">
      <c r="A172" s="6" t="s">
        <v>22</v>
      </c>
      <c r="B172" s="7" t="s">
        <v>23</v>
      </c>
      <c r="C172" s="7" t="s">
        <v>72</v>
      </c>
      <c r="D172" s="8">
        <v>41689</v>
      </c>
      <c r="E172" s="8">
        <v>41693</v>
      </c>
      <c r="F172" s="9">
        <v>1290.7</v>
      </c>
    </row>
    <row r="173" spans="1:6" x14ac:dyDescent="0.25">
      <c r="A173" s="10" t="s">
        <v>115</v>
      </c>
      <c r="B173" s="11" t="s">
        <v>153</v>
      </c>
      <c r="C173" s="11" t="s">
        <v>30</v>
      </c>
      <c r="D173" s="12">
        <v>41689</v>
      </c>
      <c r="E173" s="12">
        <v>41693</v>
      </c>
      <c r="F173" s="13">
        <v>688.5</v>
      </c>
    </row>
    <row r="174" spans="1:6" x14ac:dyDescent="0.25">
      <c r="A174" s="6" t="s">
        <v>131</v>
      </c>
      <c r="B174" s="7" t="s">
        <v>154</v>
      </c>
      <c r="C174" s="7" t="s">
        <v>27</v>
      </c>
      <c r="D174" s="8">
        <v>41689</v>
      </c>
      <c r="E174" s="8">
        <v>41690</v>
      </c>
      <c r="F174" s="9">
        <v>570</v>
      </c>
    </row>
    <row r="175" spans="1:6" x14ac:dyDescent="0.25">
      <c r="A175" s="10" t="s">
        <v>25</v>
      </c>
      <c r="B175" s="11" t="s">
        <v>67</v>
      </c>
      <c r="C175" s="11" t="s">
        <v>17</v>
      </c>
      <c r="D175" s="12">
        <v>41689</v>
      </c>
      <c r="E175" s="12">
        <v>41692</v>
      </c>
      <c r="F175" s="13">
        <v>1116.5</v>
      </c>
    </row>
    <row r="176" spans="1:6" x14ac:dyDescent="0.25">
      <c r="A176" s="6" t="s">
        <v>50</v>
      </c>
      <c r="B176" s="7" t="s">
        <v>51</v>
      </c>
      <c r="C176" s="7" t="s">
        <v>8</v>
      </c>
      <c r="D176" s="8">
        <v>41689</v>
      </c>
      <c r="E176" s="8">
        <v>41690</v>
      </c>
      <c r="F176" s="9">
        <v>891</v>
      </c>
    </row>
    <row r="177" spans="1:6" x14ac:dyDescent="0.25">
      <c r="A177" s="10" t="s">
        <v>70</v>
      </c>
      <c r="B177" s="11" t="s">
        <v>71</v>
      </c>
      <c r="C177" s="11" t="s">
        <v>38</v>
      </c>
      <c r="D177" s="12">
        <v>41689</v>
      </c>
      <c r="E177" s="12">
        <v>41692</v>
      </c>
      <c r="F177" s="13">
        <v>665.8</v>
      </c>
    </row>
    <row r="178" spans="1:6" x14ac:dyDescent="0.25">
      <c r="A178" s="6" t="s">
        <v>33</v>
      </c>
      <c r="B178" s="7" t="s">
        <v>41</v>
      </c>
      <c r="C178" s="7" t="s">
        <v>11</v>
      </c>
      <c r="D178" s="8">
        <v>41689</v>
      </c>
      <c r="E178" s="8">
        <v>41691</v>
      </c>
      <c r="F178" s="9">
        <v>434.4</v>
      </c>
    </row>
    <row r="179" spans="1:6" x14ac:dyDescent="0.25">
      <c r="A179" s="10" t="s">
        <v>9</v>
      </c>
      <c r="B179" s="11" t="s">
        <v>10</v>
      </c>
      <c r="C179" s="11" t="s">
        <v>24</v>
      </c>
      <c r="D179" s="12">
        <v>41689</v>
      </c>
      <c r="E179" s="12">
        <v>41691</v>
      </c>
      <c r="F179" s="13">
        <v>588.70000000000005</v>
      </c>
    </row>
    <row r="180" spans="1:6" x14ac:dyDescent="0.25">
      <c r="A180" s="6" t="s">
        <v>15</v>
      </c>
      <c r="B180" s="7" t="s">
        <v>105</v>
      </c>
      <c r="C180" s="7" t="s">
        <v>66</v>
      </c>
      <c r="D180" s="8">
        <v>41689</v>
      </c>
      <c r="E180" s="8">
        <v>41692</v>
      </c>
      <c r="F180" s="9">
        <v>841.7</v>
      </c>
    </row>
    <row r="181" spans="1:6" x14ac:dyDescent="0.25">
      <c r="A181" s="10" t="s">
        <v>73</v>
      </c>
      <c r="B181" s="11" t="s">
        <v>155</v>
      </c>
      <c r="C181" s="11" t="s">
        <v>19</v>
      </c>
      <c r="D181" s="12">
        <v>41689</v>
      </c>
      <c r="E181" s="12">
        <v>41690</v>
      </c>
      <c r="F181" s="13">
        <v>654.4</v>
      </c>
    </row>
    <row r="182" spans="1:6" x14ac:dyDescent="0.25">
      <c r="A182" s="6" t="s">
        <v>151</v>
      </c>
      <c r="B182" s="7" t="s">
        <v>152</v>
      </c>
      <c r="C182" s="7" t="s">
        <v>17</v>
      </c>
      <c r="D182" s="8">
        <v>41689</v>
      </c>
      <c r="E182" s="8">
        <v>41690</v>
      </c>
      <c r="F182" s="9">
        <v>706.5</v>
      </c>
    </row>
    <row r="183" spans="1:6" x14ac:dyDescent="0.25">
      <c r="A183" s="10" t="s">
        <v>156</v>
      </c>
      <c r="B183" s="11" t="s">
        <v>157</v>
      </c>
      <c r="C183" s="11" t="s">
        <v>17</v>
      </c>
      <c r="D183" s="12">
        <v>41689</v>
      </c>
      <c r="E183" s="12">
        <v>41693</v>
      </c>
      <c r="F183" s="13">
        <v>1321.5</v>
      </c>
    </row>
    <row r="184" spans="1:6" x14ac:dyDescent="0.25">
      <c r="A184" s="6" t="s">
        <v>158</v>
      </c>
      <c r="B184" s="7" t="s">
        <v>159</v>
      </c>
      <c r="C184" s="7" t="s">
        <v>24</v>
      </c>
      <c r="D184" s="8">
        <v>41689</v>
      </c>
      <c r="E184" s="8">
        <v>41693</v>
      </c>
      <c r="F184" s="9">
        <v>886.7</v>
      </c>
    </row>
    <row r="185" spans="1:6" x14ac:dyDescent="0.25">
      <c r="A185" s="10" t="s">
        <v>137</v>
      </c>
      <c r="B185" s="11" t="s">
        <v>138</v>
      </c>
      <c r="C185" s="11" t="s">
        <v>30</v>
      </c>
      <c r="D185" s="12">
        <v>41689</v>
      </c>
      <c r="E185" s="12">
        <v>41690</v>
      </c>
      <c r="F185" s="13">
        <v>331.5</v>
      </c>
    </row>
    <row r="186" spans="1:6" x14ac:dyDescent="0.25">
      <c r="A186" s="6" t="s">
        <v>12</v>
      </c>
      <c r="B186" s="7" t="s">
        <v>95</v>
      </c>
      <c r="C186" s="7" t="s">
        <v>8</v>
      </c>
      <c r="D186" s="8">
        <v>41689</v>
      </c>
      <c r="E186" s="8">
        <v>41690</v>
      </c>
      <c r="F186" s="9">
        <v>891</v>
      </c>
    </row>
    <row r="187" spans="1:6" x14ac:dyDescent="0.25">
      <c r="A187" s="10" t="s">
        <v>12</v>
      </c>
      <c r="B187" s="11" t="s">
        <v>95</v>
      </c>
      <c r="C187" s="11" t="s">
        <v>11</v>
      </c>
      <c r="D187" s="12">
        <v>41689</v>
      </c>
      <c r="E187" s="12">
        <v>41690</v>
      </c>
      <c r="F187" s="13">
        <v>295.39999999999998</v>
      </c>
    </row>
    <row r="188" spans="1:6" x14ac:dyDescent="0.25">
      <c r="A188" s="6" t="s">
        <v>15</v>
      </c>
      <c r="B188" s="7" t="s">
        <v>96</v>
      </c>
      <c r="C188" s="7" t="s">
        <v>27</v>
      </c>
      <c r="D188" s="8">
        <v>41689</v>
      </c>
      <c r="E188" s="8">
        <v>41692</v>
      </c>
      <c r="F188" s="9">
        <v>826</v>
      </c>
    </row>
    <row r="189" spans="1:6" x14ac:dyDescent="0.25">
      <c r="A189" s="10" t="s">
        <v>9</v>
      </c>
      <c r="B189" s="11" t="s">
        <v>18</v>
      </c>
      <c r="C189" s="11" t="s">
        <v>27</v>
      </c>
      <c r="D189" s="12">
        <v>41689</v>
      </c>
      <c r="E189" s="12">
        <v>41691</v>
      </c>
      <c r="F189" s="13">
        <v>698</v>
      </c>
    </row>
    <row r="190" spans="1:6" x14ac:dyDescent="0.25">
      <c r="A190" s="6" t="s">
        <v>64</v>
      </c>
      <c r="B190" s="7" t="s">
        <v>65</v>
      </c>
      <c r="C190" s="7" t="s">
        <v>47</v>
      </c>
      <c r="D190" s="8">
        <v>41689</v>
      </c>
      <c r="E190" s="8">
        <v>41689</v>
      </c>
      <c r="F190" s="9">
        <v>363.8</v>
      </c>
    </row>
    <row r="191" spans="1:6" x14ac:dyDescent="0.25">
      <c r="A191" s="10" t="s">
        <v>86</v>
      </c>
      <c r="B191" s="11" t="s">
        <v>136</v>
      </c>
      <c r="C191" s="11" t="s">
        <v>38</v>
      </c>
      <c r="D191" s="12">
        <v>41689</v>
      </c>
      <c r="E191" s="12">
        <v>41691</v>
      </c>
      <c r="F191" s="13">
        <v>536.79999999999995</v>
      </c>
    </row>
    <row r="192" spans="1:6" x14ac:dyDescent="0.25">
      <c r="A192" s="6" t="s">
        <v>131</v>
      </c>
      <c r="B192" s="7" t="s">
        <v>154</v>
      </c>
      <c r="C192" s="7" t="s">
        <v>8</v>
      </c>
      <c r="D192" s="8">
        <v>41692</v>
      </c>
      <c r="E192" s="8">
        <v>41692</v>
      </c>
      <c r="F192" s="9">
        <v>680</v>
      </c>
    </row>
    <row r="193" spans="1:6" x14ac:dyDescent="0.25">
      <c r="A193" s="10" t="s">
        <v>25</v>
      </c>
      <c r="B193" s="11" t="s">
        <v>68</v>
      </c>
      <c r="C193" s="11" t="s">
        <v>27</v>
      </c>
      <c r="D193" s="12">
        <v>41696</v>
      </c>
      <c r="E193" s="12">
        <v>41700</v>
      </c>
      <c r="F193" s="13">
        <v>954</v>
      </c>
    </row>
    <row r="194" spans="1:6" x14ac:dyDescent="0.25">
      <c r="A194" s="6" t="s">
        <v>73</v>
      </c>
      <c r="B194" s="7" t="s">
        <v>155</v>
      </c>
      <c r="C194" s="7" t="s">
        <v>19</v>
      </c>
      <c r="D194" s="8">
        <v>41696</v>
      </c>
      <c r="E194" s="8">
        <v>41698</v>
      </c>
      <c r="F194" s="9">
        <v>795.4</v>
      </c>
    </row>
    <row r="195" spans="1:6" x14ac:dyDescent="0.25">
      <c r="A195" s="10" t="s">
        <v>156</v>
      </c>
      <c r="B195" s="11" t="s">
        <v>157</v>
      </c>
      <c r="C195" s="11" t="s">
        <v>14</v>
      </c>
      <c r="D195" s="12">
        <v>41696</v>
      </c>
      <c r="E195" s="12">
        <v>41699</v>
      </c>
      <c r="F195" s="13">
        <v>550.5</v>
      </c>
    </row>
    <row r="196" spans="1:6" x14ac:dyDescent="0.25">
      <c r="A196" s="6" t="s">
        <v>137</v>
      </c>
      <c r="B196" s="7" t="s">
        <v>160</v>
      </c>
      <c r="C196" s="7" t="s">
        <v>24</v>
      </c>
      <c r="D196" s="8">
        <v>41696</v>
      </c>
      <c r="E196" s="8">
        <v>41697</v>
      </c>
      <c r="F196" s="9">
        <v>439.7</v>
      </c>
    </row>
    <row r="197" spans="1:6" x14ac:dyDescent="0.25">
      <c r="A197" s="10" t="s">
        <v>15</v>
      </c>
      <c r="B197" s="11" t="s">
        <v>16</v>
      </c>
      <c r="C197" s="11" t="s">
        <v>17</v>
      </c>
      <c r="D197" s="12">
        <v>41696</v>
      </c>
      <c r="E197" s="12">
        <v>41697</v>
      </c>
      <c r="F197" s="13">
        <v>706.5</v>
      </c>
    </row>
    <row r="198" spans="1:6" x14ac:dyDescent="0.25">
      <c r="A198" s="6" t="s">
        <v>91</v>
      </c>
      <c r="B198" s="7" t="s">
        <v>161</v>
      </c>
      <c r="C198" s="7" t="s">
        <v>66</v>
      </c>
      <c r="D198" s="8">
        <v>41696</v>
      </c>
      <c r="E198" s="8">
        <v>41697</v>
      </c>
      <c r="F198" s="9">
        <v>485.7</v>
      </c>
    </row>
    <row r="199" spans="1:6" x14ac:dyDescent="0.25">
      <c r="A199" s="10" t="s">
        <v>131</v>
      </c>
      <c r="B199" s="11" t="s">
        <v>154</v>
      </c>
      <c r="C199" s="11" t="s">
        <v>38</v>
      </c>
      <c r="D199" s="12">
        <v>41698</v>
      </c>
      <c r="E199" s="12">
        <v>41698</v>
      </c>
      <c r="F199" s="13">
        <v>278.8</v>
      </c>
    </row>
    <row r="200" spans="1:6" x14ac:dyDescent="0.25">
      <c r="A200" s="6" t="s">
        <v>15</v>
      </c>
      <c r="B200" s="7" t="s">
        <v>44</v>
      </c>
      <c r="C200" s="7" t="s">
        <v>72</v>
      </c>
      <c r="D200" s="8">
        <v>41701</v>
      </c>
      <c r="E200" s="8">
        <v>41702</v>
      </c>
      <c r="F200" s="9">
        <v>693.7</v>
      </c>
    </row>
    <row r="201" spans="1:6" x14ac:dyDescent="0.25">
      <c r="A201" s="10" t="s">
        <v>54</v>
      </c>
      <c r="B201" s="11" t="s">
        <v>55</v>
      </c>
      <c r="C201" s="11" t="s">
        <v>72</v>
      </c>
      <c r="D201" s="12">
        <v>41701</v>
      </c>
      <c r="E201" s="12">
        <v>41701</v>
      </c>
      <c r="F201" s="13">
        <v>494.7</v>
      </c>
    </row>
    <row r="202" spans="1:6" x14ac:dyDescent="0.25">
      <c r="A202" s="6" t="s">
        <v>99</v>
      </c>
      <c r="B202" s="7" t="s">
        <v>130</v>
      </c>
      <c r="C202" s="7" t="s">
        <v>17</v>
      </c>
      <c r="D202" s="8">
        <v>41701</v>
      </c>
      <c r="E202" s="8">
        <v>41703</v>
      </c>
      <c r="F202" s="9">
        <v>911.5</v>
      </c>
    </row>
    <row r="203" spans="1:6" x14ac:dyDescent="0.25">
      <c r="A203" s="10" t="s">
        <v>28</v>
      </c>
      <c r="B203" s="11" t="s">
        <v>29</v>
      </c>
      <c r="C203" s="11" t="s">
        <v>11</v>
      </c>
      <c r="D203" s="12">
        <v>41701</v>
      </c>
      <c r="E203" s="12">
        <v>41702</v>
      </c>
      <c r="F203" s="13">
        <v>295.39999999999998</v>
      </c>
    </row>
    <row r="204" spans="1:6" x14ac:dyDescent="0.25">
      <c r="A204" s="6" t="s">
        <v>73</v>
      </c>
      <c r="B204" s="7" t="s">
        <v>104</v>
      </c>
      <c r="C204" s="7" t="s">
        <v>11</v>
      </c>
      <c r="D204" s="8">
        <v>41701</v>
      </c>
      <c r="E204" s="8">
        <v>41705</v>
      </c>
      <c r="F204" s="9">
        <v>712.4</v>
      </c>
    </row>
    <row r="205" spans="1:6" x14ac:dyDescent="0.25">
      <c r="A205" s="10" t="s">
        <v>54</v>
      </c>
      <c r="B205" s="11" t="s">
        <v>121</v>
      </c>
      <c r="C205" s="11" t="s">
        <v>30</v>
      </c>
      <c r="D205" s="12">
        <v>41701</v>
      </c>
      <c r="E205" s="12">
        <v>41703</v>
      </c>
      <c r="F205" s="13">
        <v>450.5</v>
      </c>
    </row>
    <row r="206" spans="1:6" x14ac:dyDescent="0.25">
      <c r="A206" s="6" t="s">
        <v>73</v>
      </c>
      <c r="B206" s="7" t="s">
        <v>155</v>
      </c>
      <c r="C206" s="7" t="s">
        <v>14</v>
      </c>
      <c r="D206" s="8">
        <v>41701</v>
      </c>
      <c r="E206" s="8">
        <v>41704</v>
      </c>
      <c r="F206" s="9">
        <v>550.5</v>
      </c>
    </row>
    <row r="207" spans="1:6" x14ac:dyDescent="0.25">
      <c r="A207" s="10" t="s">
        <v>75</v>
      </c>
      <c r="B207" s="11" t="s">
        <v>88</v>
      </c>
      <c r="C207" s="11" t="s">
        <v>27</v>
      </c>
      <c r="D207" s="12">
        <v>41701</v>
      </c>
      <c r="E207" s="12">
        <v>41702</v>
      </c>
      <c r="F207" s="13">
        <v>570</v>
      </c>
    </row>
    <row r="208" spans="1:6" x14ac:dyDescent="0.25">
      <c r="A208" s="6" t="s">
        <v>137</v>
      </c>
      <c r="B208" s="7" t="s">
        <v>160</v>
      </c>
      <c r="C208" s="7" t="s">
        <v>27</v>
      </c>
      <c r="D208" s="8">
        <v>41701</v>
      </c>
      <c r="E208" s="8">
        <v>41703</v>
      </c>
      <c r="F208" s="9">
        <v>698</v>
      </c>
    </row>
    <row r="209" spans="1:6" x14ac:dyDescent="0.25">
      <c r="A209" s="10" t="s">
        <v>111</v>
      </c>
      <c r="B209" s="11" t="s">
        <v>112</v>
      </c>
      <c r="C209" s="11" t="s">
        <v>11</v>
      </c>
      <c r="D209" s="12">
        <v>41701</v>
      </c>
      <c r="E209" s="12">
        <v>41701</v>
      </c>
      <c r="F209" s="13">
        <v>156.4</v>
      </c>
    </row>
    <row r="210" spans="1:6" x14ac:dyDescent="0.25">
      <c r="A210" s="6" t="s">
        <v>89</v>
      </c>
      <c r="B210" s="7" t="s">
        <v>90</v>
      </c>
      <c r="C210" s="7" t="s">
        <v>8</v>
      </c>
      <c r="D210" s="8">
        <v>41701</v>
      </c>
      <c r="E210" s="8">
        <v>41705</v>
      </c>
      <c r="F210" s="9">
        <v>1524</v>
      </c>
    </row>
    <row r="211" spans="1:6" x14ac:dyDescent="0.25">
      <c r="A211" s="10" t="s">
        <v>20</v>
      </c>
      <c r="B211" s="11" t="s">
        <v>162</v>
      </c>
      <c r="C211" s="11" t="s">
        <v>47</v>
      </c>
      <c r="D211" s="12">
        <v>41701</v>
      </c>
      <c r="E211" s="12">
        <v>41705</v>
      </c>
      <c r="F211" s="13">
        <v>1015.8</v>
      </c>
    </row>
    <row r="212" spans="1:6" x14ac:dyDescent="0.25">
      <c r="A212" s="6" t="s">
        <v>137</v>
      </c>
      <c r="B212" s="7" t="s">
        <v>138</v>
      </c>
      <c r="C212" s="7" t="s">
        <v>17</v>
      </c>
      <c r="D212" s="8">
        <v>41701</v>
      </c>
      <c r="E212" s="8">
        <v>41703</v>
      </c>
      <c r="F212" s="9">
        <v>911.5</v>
      </c>
    </row>
    <row r="213" spans="1:6" x14ac:dyDescent="0.25">
      <c r="A213" s="10" t="s">
        <v>64</v>
      </c>
      <c r="B213" s="11" t="s">
        <v>65</v>
      </c>
      <c r="C213" s="11" t="s">
        <v>47</v>
      </c>
      <c r="D213" s="12">
        <v>41701</v>
      </c>
      <c r="E213" s="12">
        <v>41705</v>
      </c>
      <c r="F213" s="13">
        <v>1015.8</v>
      </c>
    </row>
    <row r="214" spans="1:6" x14ac:dyDescent="0.25">
      <c r="A214" s="6" t="s">
        <v>86</v>
      </c>
      <c r="B214" s="7" t="s">
        <v>136</v>
      </c>
      <c r="C214" s="7" t="s">
        <v>38</v>
      </c>
      <c r="D214" s="8">
        <v>41701</v>
      </c>
      <c r="E214" s="8">
        <v>41701</v>
      </c>
      <c r="F214" s="9">
        <v>278.8</v>
      </c>
    </row>
    <row r="215" spans="1:6" x14ac:dyDescent="0.25">
      <c r="A215" s="10" t="s">
        <v>20</v>
      </c>
      <c r="B215" s="11" t="s">
        <v>21</v>
      </c>
      <c r="C215" s="11" t="s">
        <v>14</v>
      </c>
      <c r="D215" s="12">
        <v>41701</v>
      </c>
      <c r="E215" s="12">
        <v>41704</v>
      </c>
      <c r="F215" s="13">
        <v>550.5</v>
      </c>
    </row>
    <row r="216" spans="1:6" x14ac:dyDescent="0.25">
      <c r="A216" s="6" t="s">
        <v>42</v>
      </c>
      <c r="B216" s="7" t="s">
        <v>43</v>
      </c>
      <c r="C216" s="7" t="s">
        <v>72</v>
      </c>
      <c r="D216" s="8">
        <v>41704</v>
      </c>
      <c r="E216" s="8">
        <v>41704</v>
      </c>
      <c r="F216" s="9">
        <v>494.7</v>
      </c>
    </row>
    <row r="217" spans="1:6" x14ac:dyDescent="0.25">
      <c r="A217" s="10" t="s">
        <v>111</v>
      </c>
      <c r="B217" s="11" t="s">
        <v>112</v>
      </c>
      <c r="C217" s="11" t="s">
        <v>30</v>
      </c>
      <c r="D217" s="12">
        <v>41704</v>
      </c>
      <c r="E217" s="12">
        <v>41704</v>
      </c>
      <c r="F217" s="13">
        <v>212.5</v>
      </c>
    </row>
    <row r="218" spans="1:6" x14ac:dyDescent="0.25">
      <c r="A218" s="6" t="s">
        <v>86</v>
      </c>
      <c r="B218" s="7" t="s">
        <v>136</v>
      </c>
      <c r="C218" s="7" t="s">
        <v>24</v>
      </c>
      <c r="D218" s="8">
        <v>41705</v>
      </c>
      <c r="E218" s="8">
        <v>41705</v>
      </c>
      <c r="F218" s="9">
        <v>290.7</v>
      </c>
    </row>
    <row r="219" spans="1:6" x14ac:dyDescent="0.25">
      <c r="A219" s="10" t="s">
        <v>57</v>
      </c>
      <c r="B219" s="11" t="s">
        <v>163</v>
      </c>
      <c r="C219" s="11" t="s">
        <v>27</v>
      </c>
      <c r="D219" s="12">
        <v>41707</v>
      </c>
      <c r="E219" s="12">
        <v>41710</v>
      </c>
      <c r="F219" s="13">
        <v>826</v>
      </c>
    </row>
    <row r="220" spans="1:6" x14ac:dyDescent="0.25">
      <c r="A220" s="6" t="s">
        <v>131</v>
      </c>
      <c r="B220" s="7" t="s">
        <v>154</v>
      </c>
      <c r="C220" s="7" t="s">
        <v>24</v>
      </c>
      <c r="D220" s="8">
        <v>41708</v>
      </c>
      <c r="E220" s="8">
        <v>41708</v>
      </c>
      <c r="F220" s="9">
        <v>290.7</v>
      </c>
    </row>
    <row r="221" spans="1:6" x14ac:dyDescent="0.25">
      <c r="A221" s="10" t="s">
        <v>99</v>
      </c>
      <c r="B221" s="11" t="s">
        <v>130</v>
      </c>
      <c r="C221" s="11" t="s">
        <v>30</v>
      </c>
      <c r="D221" s="12">
        <v>41708</v>
      </c>
      <c r="E221" s="12">
        <v>41710</v>
      </c>
      <c r="F221" s="13">
        <v>450.5</v>
      </c>
    </row>
    <row r="222" spans="1:6" x14ac:dyDescent="0.25">
      <c r="A222" s="6" t="s">
        <v>9</v>
      </c>
      <c r="B222" s="7" t="s">
        <v>10</v>
      </c>
      <c r="C222" s="7" t="s">
        <v>66</v>
      </c>
      <c r="D222" s="8">
        <v>41708</v>
      </c>
      <c r="E222" s="8">
        <v>41711</v>
      </c>
      <c r="F222" s="9">
        <v>841.7</v>
      </c>
    </row>
    <row r="223" spans="1:6" x14ac:dyDescent="0.25">
      <c r="A223" s="10" t="s">
        <v>164</v>
      </c>
      <c r="B223" s="11" t="s">
        <v>165</v>
      </c>
      <c r="C223" s="11" t="s">
        <v>14</v>
      </c>
      <c r="D223" s="12">
        <v>41708</v>
      </c>
      <c r="E223" s="12">
        <v>41710</v>
      </c>
      <c r="F223" s="13">
        <v>426.5</v>
      </c>
    </row>
    <row r="224" spans="1:6" x14ac:dyDescent="0.25">
      <c r="A224" s="6" t="s">
        <v>93</v>
      </c>
      <c r="B224" s="7" t="s">
        <v>94</v>
      </c>
      <c r="C224" s="7" t="s">
        <v>11</v>
      </c>
      <c r="D224" s="8">
        <v>41708</v>
      </c>
      <c r="E224" s="8">
        <v>41710</v>
      </c>
      <c r="F224" s="9">
        <v>434.4</v>
      </c>
    </row>
    <row r="225" spans="1:6" x14ac:dyDescent="0.25">
      <c r="A225" s="10" t="s">
        <v>54</v>
      </c>
      <c r="B225" s="11" t="s">
        <v>121</v>
      </c>
      <c r="C225" s="11" t="s">
        <v>47</v>
      </c>
      <c r="D225" s="12">
        <v>41709</v>
      </c>
      <c r="E225" s="12">
        <v>41709</v>
      </c>
      <c r="F225" s="13">
        <v>363.8</v>
      </c>
    </row>
    <row r="226" spans="1:6" x14ac:dyDescent="0.25">
      <c r="A226" s="6" t="s">
        <v>137</v>
      </c>
      <c r="B226" s="7" t="s">
        <v>138</v>
      </c>
      <c r="C226" s="7" t="s">
        <v>27</v>
      </c>
      <c r="D226" s="8">
        <v>41709</v>
      </c>
      <c r="E226" s="8">
        <v>41711</v>
      </c>
      <c r="F226" s="9">
        <v>698</v>
      </c>
    </row>
    <row r="227" spans="1:6" x14ac:dyDescent="0.25">
      <c r="A227" s="10" t="s">
        <v>137</v>
      </c>
      <c r="B227" s="11" t="s">
        <v>160</v>
      </c>
      <c r="C227" s="11" t="s">
        <v>66</v>
      </c>
      <c r="D227" s="12">
        <v>41710</v>
      </c>
      <c r="E227" s="12">
        <v>41710</v>
      </c>
      <c r="F227" s="13">
        <v>307.7</v>
      </c>
    </row>
    <row r="228" spans="1:6" x14ac:dyDescent="0.25">
      <c r="A228" s="6" t="s">
        <v>33</v>
      </c>
      <c r="B228" s="7" t="s">
        <v>141</v>
      </c>
      <c r="C228" s="7" t="s">
        <v>30</v>
      </c>
      <c r="D228" s="8">
        <v>41713</v>
      </c>
      <c r="E228" s="8">
        <v>41715</v>
      </c>
      <c r="F228" s="9">
        <v>450.5</v>
      </c>
    </row>
    <row r="229" spans="1:6" x14ac:dyDescent="0.25">
      <c r="A229" s="10" t="s">
        <v>6</v>
      </c>
      <c r="B229" s="11" t="s">
        <v>139</v>
      </c>
      <c r="C229" s="11" t="s">
        <v>19</v>
      </c>
      <c r="D229" s="12">
        <v>41713</v>
      </c>
      <c r="E229" s="12">
        <v>41717</v>
      </c>
      <c r="F229" s="13">
        <v>1077.4000000000001</v>
      </c>
    </row>
    <row r="230" spans="1:6" x14ac:dyDescent="0.25">
      <c r="A230" s="6" t="s">
        <v>15</v>
      </c>
      <c r="B230" s="7" t="s">
        <v>46</v>
      </c>
      <c r="C230" s="7" t="s">
        <v>38</v>
      </c>
      <c r="D230" s="8">
        <v>41713</v>
      </c>
      <c r="E230" s="8">
        <v>41714</v>
      </c>
      <c r="F230" s="9">
        <v>407.8</v>
      </c>
    </row>
    <row r="231" spans="1:6" x14ac:dyDescent="0.25">
      <c r="A231" s="10" t="s">
        <v>128</v>
      </c>
      <c r="B231" s="11" t="s">
        <v>129</v>
      </c>
      <c r="C231" s="11" t="s">
        <v>47</v>
      </c>
      <c r="D231" s="12">
        <v>41713</v>
      </c>
      <c r="E231" s="12">
        <v>41716</v>
      </c>
      <c r="F231" s="13">
        <v>852.8</v>
      </c>
    </row>
    <row r="232" spans="1:6" x14ac:dyDescent="0.25">
      <c r="A232" s="6" t="s">
        <v>131</v>
      </c>
      <c r="B232" s="7" t="s">
        <v>154</v>
      </c>
      <c r="C232" s="7" t="s">
        <v>27</v>
      </c>
      <c r="D232" s="8">
        <v>41713</v>
      </c>
      <c r="E232" s="8">
        <v>41715</v>
      </c>
      <c r="F232" s="9">
        <v>698</v>
      </c>
    </row>
    <row r="233" spans="1:6" x14ac:dyDescent="0.25">
      <c r="A233" s="10" t="s">
        <v>131</v>
      </c>
      <c r="B233" s="11" t="s">
        <v>142</v>
      </c>
      <c r="C233" s="11" t="s">
        <v>8</v>
      </c>
      <c r="D233" s="12">
        <v>41713</v>
      </c>
      <c r="E233" s="12">
        <v>41716</v>
      </c>
      <c r="F233" s="13">
        <v>1313</v>
      </c>
    </row>
    <row r="234" spans="1:6" x14ac:dyDescent="0.25">
      <c r="A234" s="6" t="s">
        <v>28</v>
      </c>
      <c r="B234" s="7" t="s">
        <v>60</v>
      </c>
      <c r="C234" s="7" t="s">
        <v>72</v>
      </c>
      <c r="D234" s="8">
        <v>41713</v>
      </c>
      <c r="E234" s="8">
        <v>41716</v>
      </c>
      <c r="F234" s="9">
        <v>1091.7</v>
      </c>
    </row>
    <row r="235" spans="1:6" x14ac:dyDescent="0.25">
      <c r="A235" s="10" t="s">
        <v>25</v>
      </c>
      <c r="B235" s="11" t="s">
        <v>68</v>
      </c>
      <c r="C235" s="11" t="s">
        <v>38</v>
      </c>
      <c r="D235" s="12">
        <v>41713</v>
      </c>
      <c r="E235" s="12">
        <v>41714</v>
      </c>
      <c r="F235" s="13">
        <v>407.8</v>
      </c>
    </row>
    <row r="236" spans="1:6" x14ac:dyDescent="0.25">
      <c r="A236" s="6" t="s">
        <v>33</v>
      </c>
      <c r="B236" s="7" t="s">
        <v>41</v>
      </c>
      <c r="C236" s="7" t="s">
        <v>72</v>
      </c>
      <c r="D236" s="8">
        <v>41713</v>
      </c>
      <c r="E236" s="8">
        <v>41717</v>
      </c>
      <c r="F236" s="9">
        <v>1290.7</v>
      </c>
    </row>
    <row r="237" spans="1:6" x14ac:dyDescent="0.25">
      <c r="A237" s="10" t="s">
        <v>9</v>
      </c>
      <c r="B237" s="11" t="s">
        <v>103</v>
      </c>
      <c r="C237" s="11" t="s">
        <v>27</v>
      </c>
      <c r="D237" s="12">
        <v>41713</v>
      </c>
      <c r="E237" s="12">
        <v>41717</v>
      </c>
      <c r="F237" s="13">
        <v>954</v>
      </c>
    </row>
    <row r="238" spans="1:6" x14ac:dyDescent="0.25">
      <c r="A238" s="6" t="s">
        <v>73</v>
      </c>
      <c r="B238" s="7" t="s">
        <v>104</v>
      </c>
      <c r="C238" s="7" t="s">
        <v>19</v>
      </c>
      <c r="D238" s="8">
        <v>41713</v>
      </c>
      <c r="E238" s="8">
        <v>41714</v>
      </c>
      <c r="F238" s="9">
        <v>654.4</v>
      </c>
    </row>
    <row r="239" spans="1:6" x14ac:dyDescent="0.25">
      <c r="A239" s="10" t="s">
        <v>73</v>
      </c>
      <c r="B239" s="11" t="s">
        <v>155</v>
      </c>
      <c r="C239" s="11" t="s">
        <v>27</v>
      </c>
      <c r="D239" s="12">
        <v>41713</v>
      </c>
      <c r="E239" s="12">
        <v>41713</v>
      </c>
      <c r="F239" s="13">
        <v>442</v>
      </c>
    </row>
    <row r="240" spans="1:6" x14ac:dyDescent="0.25">
      <c r="A240" s="6" t="s">
        <v>166</v>
      </c>
      <c r="B240" s="7" t="s">
        <v>167</v>
      </c>
      <c r="C240" s="7" t="s">
        <v>8</v>
      </c>
      <c r="D240" s="8">
        <v>41713</v>
      </c>
      <c r="E240" s="8">
        <v>41715</v>
      </c>
      <c r="F240" s="9">
        <v>1102</v>
      </c>
    </row>
    <row r="241" spans="1:6" x14ac:dyDescent="0.25">
      <c r="A241" s="10" t="s">
        <v>6</v>
      </c>
      <c r="B241" s="11" t="s">
        <v>45</v>
      </c>
      <c r="C241" s="11" t="s">
        <v>17</v>
      </c>
      <c r="D241" s="12">
        <v>41713</v>
      </c>
      <c r="E241" s="12">
        <v>41715</v>
      </c>
      <c r="F241" s="13">
        <v>911.5</v>
      </c>
    </row>
    <row r="242" spans="1:6" x14ac:dyDescent="0.25">
      <c r="A242" s="6" t="s">
        <v>15</v>
      </c>
      <c r="B242" s="7" t="s">
        <v>96</v>
      </c>
      <c r="C242" s="7" t="s">
        <v>17</v>
      </c>
      <c r="D242" s="8">
        <v>41713</v>
      </c>
      <c r="E242" s="8">
        <v>41717</v>
      </c>
      <c r="F242" s="9">
        <v>1321.5</v>
      </c>
    </row>
    <row r="243" spans="1:6" x14ac:dyDescent="0.25">
      <c r="A243" s="10" t="s">
        <v>9</v>
      </c>
      <c r="B243" s="11" t="s">
        <v>18</v>
      </c>
      <c r="C243" s="11" t="s">
        <v>72</v>
      </c>
      <c r="D243" s="12">
        <v>41713</v>
      </c>
      <c r="E243" s="12">
        <v>41716</v>
      </c>
      <c r="F243" s="13">
        <v>1091.7</v>
      </c>
    </row>
    <row r="244" spans="1:6" x14ac:dyDescent="0.25">
      <c r="A244" s="6" t="s">
        <v>82</v>
      </c>
      <c r="B244" s="7" t="s">
        <v>125</v>
      </c>
      <c r="C244" s="7" t="s">
        <v>47</v>
      </c>
      <c r="D244" s="8">
        <v>41715</v>
      </c>
      <c r="E244" s="8">
        <v>41717</v>
      </c>
      <c r="F244" s="9">
        <v>689.8</v>
      </c>
    </row>
    <row r="245" spans="1:6" x14ac:dyDescent="0.25">
      <c r="A245" s="10" t="s">
        <v>39</v>
      </c>
      <c r="B245" s="11" t="s">
        <v>40</v>
      </c>
      <c r="C245" s="11" t="s">
        <v>47</v>
      </c>
      <c r="D245" s="12">
        <v>41715</v>
      </c>
      <c r="E245" s="12">
        <v>41716</v>
      </c>
      <c r="F245" s="13">
        <v>526.79999999999995</v>
      </c>
    </row>
    <row r="246" spans="1:6" x14ac:dyDescent="0.25">
      <c r="A246" s="6" t="s">
        <v>15</v>
      </c>
      <c r="B246" s="7" t="s">
        <v>63</v>
      </c>
      <c r="C246" s="7" t="s">
        <v>66</v>
      </c>
      <c r="D246" s="8">
        <v>41715</v>
      </c>
      <c r="E246" s="8">
        <v>41716</v>
      </c>
      <c r="F246" s="9">
        <v>485.7</v>
      </c>
    </row>
    <row r="247" spans="1:6" x14ac:dyDescent="0.25">
      <c r="A247" s="10" t="s">
        <v>57</v>
      </c>
      <c r="B247" s="11" t="s">
        <v>58</v>
      </c>
      <c r="C247" s="11" t="s">
        <v>8</v>
      </c>
      <c r="D247" s="12">
        <v>41715</v>
      </c>
      <c r="E247" s="12">
        <v>41715</v>
      </c>
      <c r="F247" s="13">
        <v>680</v>
      </c>
    </row>
    <row r="248" spans="1:6" x14ac:dyDescent="0.25">
      <c r="A248" s="6" t="s">
        <v>61</v>
      </c>
      <c r="B248" s="7" t="s">
        <v>62</v>
      </c>
      <c r="C248" s="7" t="s">
        <v>72</v>
      </c>
      <c r="D248" s="8">
        <v>41716</v>
      </c>
      <c r="E248" s="8">
        <v>41716</v>
      </c>
      <c r="F248" s="9">
        <v>494.7</v>
      </c>
    </row>
    <row r="249" spans="1:6" x14ac:dyDescent="0.25">
      <c r="A249" s="10" t="s">
        <v>126</v>
      </c>
      <c r="B249" s="11" t="s">
        <v>127</v>
      </c>
      <c r="C249" s="11" t="s">
        <v>14</v>
      </c>
      <c r="D249" s="12">
        <v>41716</v>
      </c>
      <c r="E249" s="12">
        <v>41716</v>
      </c>
      <c r="F249" s="13">
        <v>178.5</v>
      </c>
    </row>
    <row r="250" spans="1:6" x14ac:dyDescent="0.25">
      <c r="A250" s="6" t="s">
        <v>12</v>
      </c>
      <c r="B250" s="7" t="s">
        <v>13</v>
      </c>
      <c r="C250" s="7" t="s">
        <v>30</v>
      </c>
      <c r="D250" s="8">
        <v>41716</v>
      </c>
      <c r="E250" s="8">
        <v>41717</v>
      </c>
      <c r="F250" s="9">
        <v>331.5</v>
      </c>
    </row>
    <row r="251" spans="1:6" x14ac:dyDescent="0.25">
      <c r="A251" s="10" t="s">
        <v>131</v>
      </c>
      <c r="B251" s="11" t="s">
        <v>142</v>
      </c>
      <c r="C251" s="11" t="s">
        <v>72</v>
      </c>
      <c r="D251" s="12">
        <v>41719</v>
      </c>
      <c r="E251" s="12">
        <v>41723</v>
      </c>
      <c r="F251" s="13">
        <v>1290.7</v>
      </c>
    </row>
    <row r="252" spans="1:6" x14ac:dyDescent="0.25">
      <c r="A252" s="6" t="s">
        <v>54</v>
      </c>
      <c r="B252" s="7" t="s">
        <v>133</v>
      </c>
      <c r="C252" s="7" t="s">
        <v>24</v>
      </c>
      <c r="D252" s="8">
        <v>41719</v>
      </c>
      <c r="E252" s="8">
        <v>41721</v>
      </c>
      <c r="F252" s="9">
        <v>588.70000000000005</v>
      </c>
    </row>
    <row r="253" spans="1:6" x14ac:dyDescent="0.25">
      <c r="A253" s="10" t="s">
        <v>25</v>
      </c>
      <c r="B253" s="11" t="s">
        <v>67</v>
      </c>
      <c r="C253" s="11" t="s">
        <v>72</v>
      </c>
      <c r="D253" s="12">
        <v>41719</v>
      </c>
      <c r="E253" s="12">
        <v>41723</v>
      </c>
      <c r="F253" s="13">
        <v>1290.7</v>
      </c>
    </row>
    <row r="254" spans="1:6" x14ac:dyDescent="0.25">
      <c r="A254" s="6" t="s">
        <v>70</v>
      </c>
      <c r="B254" s="7" t="s">
        <v>71</v>
      </c>
      <c r="C254" s="7" t="s">
        <v>11</v>
      </c>
      <c r="D254" s="8">
        <v>41719</v>
      </c>
      <c r="E254" s="8">
        <v>41720</v>
      </c>
      <c r="F254" s="9">
        <v>295.39999999999998</v>
      </c>
    </row>
    <row r="255" spans="1:6" x14ac:dyDescent="0.25">
      <c r="A255" s="10" t="s">
        <v>9</v>
      </c>
      <c r="B255" s="11" t="s">
        <v>69</v>
      </c>
      <c r="C255" s="11" t="s">
        <v>66</v>
      </c>
      <c r="D255" s="12">
        <v>41719</v>
      </c>
      <c r="E255" s="12">
        <v>41721</v>
      </c>
      <c r="F255" s="13">
        <v>663.7</v>
      </c>
    </row>
    <row r="256" spans="1:6" x14ac:dyDescent="0.25">
      <c r="A256" s="6" t="s">
        <v>113</v>
      </c>
      <c r="B256" s="7" t="s">
        <v>114</v>
      </c>
      <c r="C256" s="7" t="s">
        <v>59</v>
      </c>
      <c r="D256" s="8">
        <v>41719</v>
      </c>
      <c r="E256" s="8">
        <v>41720</v>
      </c>
      <c r="F256" s="9">
        <v>601</v>
      </c>
    </row>
    <row r="257" spans="1:6" x14ac:dyDescent="0.25">
      <c r="A257" s="10" t="s">
        <v>6</v>
      </c>
      <c r="B257" s="11" t="s">
        <v>56</v>
      </c>
      <c r="C257" s="11" t="s">
        <v>11</v>
      </c>
      <c r="D257" s="12">
        <v>41725</v>
      </c>
      <c r="E257" s="12">
        <v>41726</v>
      </c>
      <c r="F257" s="13">
        <v>295.39999999999998</v>
      </c>
    </row>
    <row r="258" spans="1:6" x14ac:dyDescent="0.25">
      <c r="A258" s="6" t="s">
        <v>33</v>
      </c>
      <c r="B258" s="7" t="s">
        <v>34</v>
      </c>
      <c r="C258" s="7" t="s">
        <v>72</v>
      </c>
      <c r="D258" s="8">
        <v>41725</v>
      </c>
      <c r="E258" s="8">
        <v>41729</v>
      </c>
      <c r="F258" s="9">
        <v>1290.7</v>
      </c>
    </row>
    <row r="259" spans="1:6" x14ac:dyDescent="0.25">
      <c r="A259" s="10" t="s">
        <v>134</v>
      </c>
      <c r="B259" s="11" t="s">
        <v>135</v>
      </c>
      <c r="C259" s="11" t="s">
        <v>38</v>
      </c>
      <c r="D259" s="12">
        <v>41725</v>
      </c>
      <c r="E259" s="12">
        <v>41729</v>
      </c>
      <c r="F259" s="13">
        <v>794.8</v>
      </c>
    </row>
    <row r="260" spans="1:6" x14ac:dyDescent="0.25">
      <c r="A260" s="6" t="s">
        <v>93</v>
      </c>
      <c r="B260" s="7" t="s">
        <v>94</v>
      </c>
      <c r="C260" s="7" t="s">
        <v>19</v>
      </c>
      <c r="D260" s="8">
        <v>41725</v>
      </c>
      <c r="E260" s="8">
        <v>41726</v>
      </c>
      <c r="F260" s="9">
        <v>654.4</v>
      </c>
    </row>
    <row r="261" spans="1:6" x14ac:dyDescent="0.25">
      <c r="A261" s="10" t="s">
        <v>137</v>
      </c>
      <c r="B261" s="11" t="s">
        <v>138</v>
      </c>
      <c r="C261" s="11" t="s">
        <v>72</v>
      </c>
      <c r="D261" s="12">
        <v>41725</v>
      </c>
      <c r="E261" s="12">
        <v>41726</v>
      </c>
      <c r="F261" s="13">
        <v>693.7</v>
      </c>
    </row>
    <row r="262" spans="1:6" x14ac:dyDescent="0.25">
      <c r="A262" s="6" t="s">
        <v>9</v>
      </c>
      <c r="B262" s="7" t="s">
        <v>18</v>
      </c>
      <c r="C262" s="7" t="s">
        <v>11</v>
      </c>
      <c r="D262" s="8">
        <v>41725</v>
      </c>
      <c r="E262" s="8">
        <v>41728</v>
      </c>
      <c r="F262" s="9">
        <v>573.4</v>
      </c>
    </row>
    <row r="263" spans="1:6" x14ac:dyDescent="0.25">
      <c r="A263" s="10" t="s">
        <v>115</v>
      </c>
      <c r="B263" s="11" t="s">
        <v>140</v>
      </c>
      <c r="C263" s="11" t="s">
        <v>38</v>
      </c>
      <c r="D263" s="12">
        <v>41731</v>
      </c>
      <c r="E263" s="12">
        <v>41733</v>
      </c>
      <c r="F263" s="13">
        <v>536.79999999999995</v>
      </c>
    </row>
    <row r="264" spans="1:6" x14ac:dyDescent="0.25">
      <c r="A264" s="6" t="s">
        <v>9</v>
      </c>
      <c r="B264" s="7" t="s">
        <v>103</v>
      </c>
      <c r="C264" s="7" t="s">
        <v>47</v>
      </c>
      <c r="D264" s="8">
        <v>41731</v>
      </c>
      <c r="E264" s="8">
        <v>41735</v>
      </c>
      <c r="F264" s="9">
        <v>1015.8</v>
      </c>
    </row>
    <row r="265" spans="1:6" x14ac:dyDescent="0.25">
      <c r="A265" s="10" t="s">
        <v>143</v>
      </c>
      <c r="B265" s="11" t="s">
        <v>144</v>
      </c>
      <c r="C265" s="11" t="s">
        <v>27</v>
      </c>
      <c r="D265" s="12">
        <v>41731</v>
      </c>
      <c r="E265" s="12">
        <v>41734</v>
      </c>
      <c r="F265" s="13">
        <v>826</v>
      </c>
    </row>
    <row r="266" spans="1:6" x14ac:dyDescent="0.25">
      <c r="A266" s="6" t="s">
        <v>147</v>
      </c>
      <c r="B266" s="7" t="s">
        <v>148</v>
      </c>
      <c r="C266" s="7" t="s">
        <v>17</v>
      </c>
      <c r="D266" s="8">
        <v>41731</v>
      </c>
      <c r="E266" s="8">
        <v>41735</v>
      </c>
      <c r="F266" s="9">
        <v>1321.5</v>
      </c>
    </row>
    <row r="267" spans="1:6" x14ac:dyDescent="0.25">
      <c r="A267" s="10" t="s">
        <v>166</v>
      </c>
      <c r="B267" s="11" t="s">
        <v>167</v>
      </c>
      <c r="C267" s="11" t="s">
        <v>72</v>
      </c>
      <c r="D267" s="12">
        <v>41731</v>
      </c>
      <c r="E267" s="12">
        <v>41733</v>
      </c>
      <c r="F267" s="13">
        <v>892.7</v>
      </c>
    </row>
    <row r="268" spans="1:6" x14ac:dyDescent="0.25">
      <c r="A268" s="6" t="s">
        <v>91</v>
      </c>
      <c r="B268" s="7" t="s">
        <v>161</v>
      </c>
      <c r="C268" s="7" t="s">
        <v>11</v>
      </c>
      <c r="D268" s="8">
        <v>41731</v>
      </c>
      <c r="E268" s="8">
        <v>41732</v>
      </c>
      <c r="F268" s="9">
        <v>295.39999999999998</v>
      </c>
    </row>
    <row r="269" spans="1:6" x14ac:dyDescent="0.25">
      <c r="A269" s="10" t="s">
        <v>137</v>
      </c>
      <c r="B269" s="11" t="s">
        <v>160</v>
      </c>
      <c r="C269" s="11" t="s">
        <v>38</v>
      </c>
      <c r="D269" s="12">
        <v>41732</v>
      </c>
      <c r="E269" s="12">
        <v>41736</v>
      </c>
      <c r="F269" s="13">
        <v>794.8</v>
      </c>
    </row>
    <row r="270" spans="1:6" x14ac:dyDescent="0.25">
      <c r="A270" s="6" t="s">
        <v>48</v>
      </c>
      <c r="B270" s="7" t="s">
        <v>49</v>
      </c>
      <c r="C270" s="7" t="s">
        <v>11</v>
      </c>
      <c r="D270" s="8">
        <v>41737</v>
      </c>
      <c r="E270" s="8">
        <v>41740</v>
      </c>
      <c r="F270" s="9">
        <v>573.4</v>
      </c>
    </row>
    <row r="271" spans="1:6" x14ac:dyDescent="0.25">
      <c r="A271" s="10" t="s">
        <v>15</v>
      </c>
      <c r="B271" s="11" t="s">
        <v>46</v>
      </c>
      <c r="C271" s="11" t="s">
        <v>59</v>
      </c>
      <c r="D271" s="12">
        <v>41737</v>
      </c>
      <c r="E271" s="12">
        <v>41739</v>
      </c>
      <c r="F271" s="13">
        <v>760</v>
      </c>
    </row>
    <row r="272" spans="1:6" x14ac:dyDescent="0.25">
      <c r="A272" s="6" t="s">
        <v>61</v>
      </c>
      <c r="B272" s="7" t="s">
        <v>62</v>
      </c>
      <c r="C272" s="7" t="s">
        <v>14</v>
      </c>
      <c r="D272" s="8">
        <v>41737</v>
      </c>
      <c r="E272" s="8">
        <v>41741</v>
      </c>
      <c r="F272" s="9">
        <v>674.5</v>
      </c>
    </row>
    <row r="273" spans="1:6" x14ac:dyDescent="0.25">
      <c r="A273" s="10" t="s">
        <v>12</v>
      </c>
      <c r="B273" s="11" t="s">
        <v>13</v>
      </c>
      <c r="C273" s="11" t="s">
        <v>14</v>
      </c>
      <c r="D273" s="12">
        <v>41737</v>
      </c>
      <c r="E273" s="12">
        <v>41740</v>
      </c>
      <c r="F273" s="13">
        <v>550.5</v>
      </c>
    </row>
    <row r="274" spans="1:6" x14ac:dyDescent="0.25">
      <c r="A274" s="6" t="s">
        <v>147</v>
      </c>
      <c r="B274" s="7" t="s">
        <v>148</v>
      </c>
      <c r="C274" s="7" t="s">
        <v>72</v>
      </c>
      <c r="D274" s="8">
        <v>41737</v>
      </c>
      <c r="E274" s="8">
        <v>41740</v>
      </c>
      <c r="F274" s="9">
        <v>1091.7</v>
      </c>
    </row>
    <row r="275" spans="1:6" x14ac:dyDescent="0.25">
      <c r="A275" s="10" t="s">
        <v>36</v>
      </c>
      <c r="B275" s="11" t="s">
        <v>37</v>
      </c>
      <c r="C275" s="11" t="s">
        <v>17</v>
      </c>
      <c r="D275" s="12">
        <v>41737</v>
      </c>
      <c r="E275" s="12">
        <v>41741</v>
      </c>
      <c r="F275" s="13">
        <v>1321.5</v>
      </c>
    </row>
    <row r="276" spans="1:6" x14ac:dyDescent="0.25">
      <c r="A276" s="6" t="s">
        <v>31</v>
      </c>
      <c r="B276" s="7" t="s">
        <v>78</v>
      </c>
      <c r="C276" s="7" t="s">
        <v>72</v>
      </c>
      <c r="D276" s="8">
        <v>41743</v>
      </c>
      <c r="E276" s="8">
        <v>41747</v>
      </c>
      <c r="F276" s="9">
        <v>1290.7</v>
      </c>
    </row>
    <row r="277" spans="1:6" x14ac:dyDescent="0.25">
      <c r="A277" s="10" t="s">
        <v>25</v>
      </c>
      <c r="B277" s="11" t="s">
        <v>67</v>
      </c>
      <c r="C277" s="11" t="s">
        <v>8</v>
      </c>
      <c r="D277" s="12">
        <v>41743</v>
      </c>
      <c r="E277" s="12">
        <v>41745</v>
      </c>
      <c r="F277" s="13">
        <v>1102</v>
      </c>
    </row>
    <row r="278" spans="1:6" x14ac:dyDescent="0.25">
      <c r="A278" s="6" t="s">
        <v>33</v>
      </c>
      <c r="B278" s="7" t="s">
        <v>41</v>
      </c>
      <c r="C278" s="7" t="s">
        <v>8</v>
      </c>
      <c r="D278" s="8">
        <v>41743</v>
      </c>
      <c r="E278" s="8">
        <v>41744</v>
      </c>
      <c r="F278" s="9">
        <v>891</v>
      </c>
    </row>
    <row r="279" spans="1:6" x14ac:dyDescent="0.25">
      <c r="A279" s="10" t="s">
        <v>54</v>
      </c>
      <c r="B279" s="11" t="s">
        <v>121</v>
      </c>
      <c r="C279" s="11" t="s">
        <v>8</v>
      </c>
      <c r="D279" s="12">
        <v>41743</v>
      </c>
      <c r="E279" s="12">
        <v>41746</v>
      </c>
      <c r="F279" s="13">
        <v>1313</v>
      </c>
    </row>
    <row r="280" spans="1:6" x14ac:dyDescent="0.25">
      <c r="A280" s="6" t="s">
        <v>111</v>
      </c>
      <c r="B280" s="7" t="s">
        <v>112</v>
      </c>
      <c r="C280" s="7" t="s">
        <v>17</v>
      </c>
      <c r="D280" s="8">
        <v>41743</v>
      </c>
      <c r="E280" s="8">
        <v>41744</v>
      </c>
      <c r="F280" s="9">
        <v>706.5</v>
      </c>
    </row>
    <row r="281" spans="1:6" x14ac:dyDescent="0.25">
      <c r="A281" s="10" t="s">
        <v>131</v>
      </c>
      <c r="B281" s="11" t="s">
        <v>132</v>
      </c>
      <c r="C281" s="11" t="s">
        <v>17</v>
      </c>
      <c r="D281" s="12">
        <v>41743</v>
      </c>
      <c r="E281" s="12">
        <v>41745</v>
      </c>
      <c r="F281" s="13">
        <v>911.5</v>
      </c>
    </row>
    <row r="282" spans="1:6" x14ac:dyDescent="0.25">
      <c r="A282" s="6" t="s">
        <v>9</v>
      </c>
      <c r="B282" s="7" t="s">
        <v>103</v>
      </c>
      <c r="C282" s="7" t="s">
        <v>19</v>
      </c>
      <c r="D282" s="8">
        <v>41747</v>
      </c>
      <c r="E282" s="8">
        <v>41747</v>
      </c>
      <c r="F282" s="9">
        <v>513.4</v>
      </c>
    </row>
    <row r="283" spans="1:6" x14ac:dyDescent="0.25">
      <c r="A283" s="10" t="s">
        <v>122</v>
      </c>
      <c r="B283" s="11" t="s">
        <v>123</v>
      </c>
      <c r="C283" s="11" t="s">
        <v>72</v>
      </c>
      <c r="D283" s="12">
        <v>41749</v>
      </c>
      <c r="E283" s="12">
        <v>41751</v>
      </c>
      <c r="F283" s="13">
        <v>892.7</v>
      </c>
    </row>
    <row r="284" spans="1:6" x14ac:dyDescent="0.25">
      <c r="A284" s="6" t="s">
        <v>15</v>
      </c>
      <c r="B284" s="7" t="s">
        <v>105</v>
      </c>
      <c r="C284" s="7" t="s">
        <v>47</v>
      </c>
      <c r="D284" s="8">
        <v>41749</v>
      </c>
      <c r="E284" s="8">
        <v>41750</v>
      </c>
      <c r="F284" s="9">
        <v>526.79999999999995</v>
      </c>
    </row>
    <row r="285" spans="1:6" x14ac:dyDescent="0.25">
      <c r="A285" s="10" t="s">
        <v>9</v>
      </c>
      <c r="B285" s="11" t="s">
        <v>103</v>
      </c>
      <c r="C285" s="11" t="s">
        <v>59</v>
      </c>
      <c r="D285" s="12">
        <v>41752</v>
      </c>
      <c r="E285" s="12">
        <v>41753</v>
      </c>
      <c r="F285" s="13">
        <v>601</v>
      </c>
    </row>
    <row r="286" spans="1:6" x14ac:dyDescent="0.25">
      <c r="A286" s="6" t="s">
        <v>75</v>
      </c>
      <c r="B286" s="7" t="s">
        <v>76</v>
      </c>
      <c r="C286" s="7" t="s">
        <v>47</v>
      </c>
      <c r="D286" s="8">
        <v>41752</v>
      </c>
      <c r="E286" s="8">
        <v>41753</v>
      </c>
      <c r="F286" s="9">
        <v>526.79999999999995</v>
      </c>
    </row>
    <row r="287" spans="1:6" x14ac:dyDescent="0.25">
      <c r="A287" s="10" t="s">
        <v>131</v>
      </c>
      <c r="B287" s="11" t="s">
        <v>132</v>
      </c>
      <c r="C287" s="11" t="s">
        <v>38</v>
      </c>
      <c r="D287" s="12">
        <v>41753</v>
      </c>
      <c r="E287" s="12">
        <v>41753</v>
      </c>
      <c r="F287" s="13">
        <v>278.8</v>
      </c>
    </row>
    <row r="288" spans="1:6" x14ac:dyDescent="0.25">
      <c r="A288" s="6" t="s">
        <v>28</v>
      </c>
      <c r="B288" s="7" t="s">
        <v>60</v>
      </c>
      <c r="C288" s="7" t="s">
        <v>38</v>
      </c>
      <c r="D288" s="8">
        <v>41755</v>
      </c>
      <c r="E288" s="8">
        <v>41759</v>
      </c>
      <c r="F288" s="9">
        <v>794.8</v>
      </c>
    </row>
    <row r="289" spans="1:6" x14ac:dyDescent="0.25">
      <c r="A289" s="10" t="s">
        <v>25</v>
      </c>
      <c r="B289" s="11" t="s">
        <v>26</v>
      </c>
      <c r="C289" s="11" t="s">
        <v>59</v>
      </c>
      <c r="D289" s="12">
        <v>41755</v>
      </c>
      <c r="E289" s="12">
        <v>41758</v>
      </c>
      <c r="F289" s="13">
        <v>919</v>
      </c>
    </row>
    <row r="290" spans="1:6" x14ac:dyDescent="0.25">
      <c r="A290" s="6" t="s">
        <v>168</v>
      </c>
      <c r="B290" s="7" t="s">
        <v>169</v>
      </c>
      <c r="C290" s="7" t="s">
        <v>11</v>
      </c>
      <c r="D290" s="8">
        <v>41755</v>
      </c>
      <c r="E290" s="8">
        <v>41756</v>
      </c>
      <c r="F290" s="9">
        <v>295.39999999999998</v>
      </c>
    </row>
    <row r="291" spans="1:6" x14ac:dyDescent="0.25">
      <c r="A291" s="10" t="s">
        <v>25</v>
      </c>
      <c r="B291" s="11" t="s">
        <v>35</v>
      </c>
      <c r="C291" s="11" t="s">
        <v>47</v>
      </c>
      <c r="D291" s="12">
        <v>41755</v>
      </c>
      <c r="E291" s="12">
        <v>41756</v>
      </c>
      <c r="F291" s="13">
        <v>526.79999999999995</v>
      </c>
    </row>
    <row r="292" spans="1:6" x14ac:dyDescent="0.25">
      <c r="A292" s="6" t="s">
        <v>113</v>
      </c>
      <c r="B292" s="7" t="s">
        <v>114</v>
      </c>
      <c r="C292" s="7" t="s">
        <v>19</v>
      </c>
      <c r="D292" s="8">
        <v>41755</v>
      </c>
      <c r="E292" s="8">
        <v>41758</v>
      </c>
      <c r="F292" s="9">
        <v>936.4</v>
      </c>
    </row>
    <row r="293" spans="1:6" x14ac:dyDescent="0.25">
      <c r="A293" s="10" t="s">
        <v>91</v>
      </c>
      <c r="B293" s="11" t="s">
        <v>92</v>
      </c>
      <c r="C293" s="11" t="s">
        <v>11</v>
      </c>
      <c r="D293" s="12">
        <v>41755</v>
      </c>
      <c r="E293" s="12">
        <v>41755</v>
      </c>
      <c r="F293" s="13">
        <v>156.4</v>
      </c>
    </row>
    <row r="294" spans="1:6" x14ac:dyDescent="0.25">
      <c r="A294" s="6" t="s">
        <v>6</v>
      </c>
      <c r="B294" s="7" t="s">
        <v>139</v>
      </c>
      <c r="C294" s="7" t="s">
        <v>17</v>
      </c>
      <c r="D294" s="8">
        <v>41757</v>
      </c>
      <c r="E294" s="8">
        <v>41758</v>
      </c>
      <c r="F294" s="9">
        <v>706.5</v>
      </c>
    </row>
    <row r="295" spans="1:6" x14ac:dyDescent="0.25">
      <c r="A295" s="10" t="s">
        <v>28</v>
      </c>
      <c r="B295" s="11" t="s">
        <v>29</v>
      </c>
      <c r="C295" s="11" t="s">
        <v>19</v>
      </c>
      <c r="D295" s="12">
        <v>41761</v>
      </c>
      <c r="E295" s="12">
        <v>41765</v>
      </c>
      <c r="F295" s="13">
        <v>1077.4000000000001</v>
      </c>
    </row>
    <row r="296" spans="1:6" x14ac:dyDescent="0.25">
      <c r="A296" s="6" t="s">
        <v>31</v>
      </c>
      <c r="B296" s="7" t="s">
        <v>32</v>
      </c>
      <c r="C296" s="7" t="s">
        <v>14</v>
      </c>
      <c r="D296" s="8">
        <v>41761</v>
      </c>
      <c r="E296" s="8">
        <v>41763</v>
      </c>
      <c r="F296" s="9">
        <v>426.5</v>
      </c>
    </row>
    <row r="297" spans="1:6" x14ac:dyDescent="0.25">
      <c r="A297" s="10" t="s">
        <v>97</v>
      </c>
      <c r="B297" s="11" t="s">
        <v>98</v>
      </c>
      <c r="C297" s="11" t="s">
        <v>17</v>
      </c>
      <c r="D297" s="12">
        <v>41761</v>
      </c>
      <c r="E297" s="12">
        <v>41762</v>
      </c>
      <c r="F297" s="13">
        <v>706.5</v>
      </c>
    </row>
    <row r="298" spans="1:6" x14ac:dyDescent="0.25">
      <c r="A298" s="6" t="s">
        <v>22</v>
      </c>
      <c r="B298" s="7" t="s">
        <v>23</v>
      </c>
      <c r="C298" s="7" t="s">
        <v>19</v>
      </c>
      <c r="D298" s="8">
        <v>41764</v>
      </c>
      <c r="E298" s="8">
        <v>41765</v>
      </c>
      <c r="F298" s="9">
        <v>654.4</v>
      </c>
    </row>
    <row r="299" spans="1:6" x14ac:dyDescent="0.25">
      <c r="A299" s="10" t="s">
        <v>15</v>
      </c>
      <c r="B299" s="11" t="s">
        <v>44</v>
      </c>
      <c r="C299" s="11" t="s">
        <v>24</v>
      </c>
      <c r="D299" s="12">
        <v>41764</v>
      </c>
      <c r="E299" s="12">
        <v>41764</v>
      </c>
      <c r="F299" s="13">
        <v>290.7</v>
      </c>
    </row>
    <row r="300" spans="1:6" x14ac:dyDescent="0.25">
      <c r="A300" s="6" t="s">
        <v>166</v>
      </c>
      <c r="B300" s="7" t="s">
        <v>167</v>
      </c>
      <c r="C300" s="7" t="s">
        <v>27</v>
      </c>
      <c r="D300" s="8">
        <v>41765</v>
      </c>
      <c r="E300" s="8">
        <v>41766</v>
      </c>
      <c r="F300" s="9">
        <v>570</v>
      </c>
    </row>
    <row r="301" spans="1:6" x14ac:dyDescent="0.25">
      <c r="A301" s="10" t="s">
        <v>82</v>
      </c>
      <c r="B301" s="11" t="s">
        <v>83</v>
      </c>
      <c r="C301" s="11" t="s">
        <v>17</v>
      </c>
      <c r="D301" s="12">
        <v>41767</v>
      </c>
      <c r="E301" s="12">
        <v>41770</v>
      </c>
      <c r="F301" s="13">
        <v>1116.5</v>
      </c>
    </row>
    <row r="302" spans="1:6" x14ac:dyDescent="0.25">
      <c r="A302" s="6" t="s">
        <v>84</v>
      </c>
      <c r="B302" s="7" t="s">
        <v>85</v>
      </c>
      <c r="C302" s="7" t="s">
        <v>8</v>
      </c>
      <c r="D302" s="8">
        <v>41767</v>
      </c>
      <c r="E302" s="8">
        <v>41769</v>
      </c>
      <c r="F302" s="9">
        <v>1102</v>
      </c>
    </row>
    <row r="303" spans="1:6" x14ac:dyDescent="0.25">
      <c r="A303" s="10" t="s">
        <v>99</v>
      </c>
      <c r="B303" s="11" t="s">
        <v>130</v>
      </c>
      <c r="C303" s="11" t="s">
        <v>14</v>
      </c>
      <c r="D303" s="12">
        <v>41767</v>
      </c>
      <c r="E303" s="12">
        <v>41768</v>
      </c>
      <c r="F303" s="13">
        <v>302.5</v>
      </c>
    </row>
    <row r="304" spans="1:6" x14ac:dyDescent="0.25">
      <c r="A304" s="6" t="s">
        <v>73</v>
      </c>
      <c r="B304" s="7" t="s">
        <v>74</v>
      </c>
      <c r="C304" s="7" t="s">
        <v>11</v>
      </c>
      <c r="D304" s="8">
        <v>41767</v>
      </c>
      <c r="E304" s="8">
        <v>41770</v>
      </c>
      <c r="F304" s="9">
        <v>573.4</v>
      </c>
    </row>
    <row r="305" spans="1:6" x14ac:dyDescent="0.25">
      <c r="A305" s="10" t="s">
        <v>36</v>
      </c>
      <c r="B305" s="11" t="s">
        <v>37</v>
      </c>
      <c r="C305" s="11" t="s">
        <v>19</v>
      </c>
      <c r="D305" s="12">
        <v>41767</v>
      </c>
      <c r="E305" s="12">
        <v>41770</v>
      </c>
      <c r="F305" s="13">
        <v>936.4</v>
      </c>
    </row>
    <row r="306" spans="1:6" x14ac:dyDescent="0.25">
      <c r="A306" s="6" t="s">
        <v>75</v>
      </c>
      <c r="B306" s="7" t="s">
        <v>76</v>
      </c>
      <c r="C306" s="7" t="s">
        <v>66</v>
      </c>
      <c r="D306" s="8">
        <v>41767</v>
      </c>
      <c r="E306" s="8">
        <v>41771</v>
      </c>
      <c r="F306" s="9">
        <v>1019.7</v>
      </c>
    </row>
    <row r="307" spans="1:6" x14ac:dyDescent="0.25">
      <c r="A307" s="10" t="s">
        <v>122</v>
      </c>
      <c r="B307" s="11" t="s">
        <v>123</v>
      </c>
      <c r="C307" s="11" t="s">
        <v>11</v>
      </c>
      <c r="D307" s="12">
        <v>41773</v>
      </c>
      <c r="E307" s="12">
        <v>41776</v>
      </c>
      <c r="F307" s="13">
        <v>573.4</v>
      </c>
    </row>
    <row r="308" spans="1:6" x14ac:dyDescent="0.25">
      <c r="A308" s="6" t="s">
        <v>15</v>
      </c>
      <c r="B308" s="7" t="s">
        <v>46</v>
      </c>
      <c r="C308" s="7" t="s">
        <v>24</v>
      </c>
      <c r="D308" s="8">
        <v>41773</v>
      </c>
      <c r="E308" s="8">
        <v>41777</v>
      </c>
      <c r="F308" s="9">
        <v>886.7</v>
      </c>
    </row>
    <row r="309" spans="1:6" x14ac:dyDescent="0.25">
      <c r="A309" s="10" t="s">
        <v>25</v>
      </c>
      <c r="B309" s="11" t="s">
        <v>67</v>
      </c>
      <c r="C309" s="11" t="s">
        <v>19</v>
      </c>
      <c r="D309" s="12">
        <v>41773</v>
      </c>
      <c r="E309" s="12">
        <v>41777</v>
      </c>
      <c r="F309" s="13">
        <v>1077.4000000000001</v>
      </c>
    </row>
    <row r="310" spans="1:6" x14ac:dyDescent="0.25">
      <c r="A310" s="6" t="s">
        <v>28</v>
      </c>
      <c r="B310" s="7" t="s">
        <v>60</v>
      </c>
      <c r="C310" s="7" t="s">
        <v>24</v>
      </c>
      <c r="D310" s="8">
        <v>41773</v>
      </c>
      <c r="E310" s="8">
        <v>41774</v>
      </c>
      <c r="F310" s="9">
        <v>439.7</v>
      </c>
    </row>
    <row r="311" spans="1:6" x14ac:dyDescent="0.25">
      <c r="A311" s="10" t="s">
        <v>31</v>
      </c>
      <c r="B311" s="11" t="s">
        <v>32</v>
      </c>
      <c r="C311" s="11" t="s">
        <v>24</v>
      </c>
      <c r="D311" s="12">
        <v>41773</v>
      </c>
      <c r="E311" s="12">
        <v>41775</v>
      </c>
      <c r="F311" s="13">
        <v>588.70000000000005</v>
      </c>
    </row>
    <row r="312" spans="1:6" x14ac:dyDescent="0.25">
      <c r="A312" s="6" t="s">
        <v>137</v>
      </c>
      <c r="B312" s="7" t="s">
        <v>160</v>
      </c>
      <c r="C312" s="7" t="s">
        <v>38</v>
      </c>
      <c r="D312" s="8">
        <v>41773</v>
      </c>
      <c r="E312" s="8">
        <v>41774</v>
      </c>
      <c r="F312" s="9">
        <v>407.8</v>
      </c>
    </row>
    <row r="313" spans="1:6" x14ac:dyDescent="0.25">
      <c r="A313" s="10" t="s">
        <v>31</v>
      </c>
      <c r="B313" s="11" t="s">
        <v>77</v>
      </c>
      <c r="C313" s="11" t="s">
        <v>24</v>
      </c>
      <c r="D313" s="12">
        <v>41773</v>
      </c>
      <c r="E313" s="12">
        <v>41775</v>
      </c>
      <c r="F313" s="13">
        <v>588.70000000000005</v>
      </c>
    </row>
    <row r="314" spans="1:6" x14ac:dyDescent="0.25">
      <c r="A314" s="6" t="s">
        <v>33</v>
      </c>
      <c r="B314" s="7" t="s">
        <v>41</v>
      </c>
      <c r="C314" s="7" t="s">
        <v>72</v>
      </c>
      <c r="D314" s="8">
        <v>41779</v>
      </c>
      <c r="E314" s="8">
        <v>41780</v>
      </c>
      <c r="F314" s="9">
        <v>693.7</v>
      </c>
    </row>
    <row r="315" spans="1:6" x14ac:dyDescent="0.25">
      <c r="A315" s="10" t="s">
        <v>15</v>
      </c>
      <c r="B315" s="11" t="s">
        <v>105</v>
      </c>
      <c r="C315" s="11" t="s">
        <v>14</v>
      </c>
      <c r="D315" s="12">
        <v>41779</v>
      </c>
      <c r="E315" s="12">
        <v>41783</v>
      </c>
      <c r="F315" s="13">
        <v>674.5</v>
      </c>
    </row>
    <row r="316" spans="1:6" x14ac:dyDescent="0.25">
      <c r="A316" s="6" t="s">
        <v>151</v>
      </c>
      <c r="B316" s="7" t="s">
        <v>152</v>
      </c>
      <c r="C316" s="7" t="s">
        <v>30</v>
      </c>
      <c r="D316" s="8">
        <v>41779</v>
      </c>
      <c r="E316" s="8">
        <v>41782</v>
      </c>
      <c r="F316" s="9">
        <v>569.5</v>
      </c>
    </row>
    <row r="317" spans="1:6" x14ac:dyDescent="0.25">
      <c r="A317" s="10" t="s">
        <v>166</v>
      </c>
      <c r="B317" s="11" t="s">
        <v>167</v>
      </c>
      <c r="C317" s="11" t="s">
        <v>27</v>
      </c>
      <c r="D317" s="12">
        <v>41779</v>
      </c>
      <c r="E317" s="12">
        <v>41782</v>
      </c>
      <c r="F317" s="13">
        <v>826</v>
      </c>
    </row>
    <row r="318" spans="1:6" x14ac:dyDescent="0.25">
      <c r="A318" s="6" t="s">
        <v>158</v>
      </c>
      <c r="B318" s="7" t="s">
        <v>159</v>
      </c>
      <c r="C318" s="7" t="s">
        <v>24</v>
      </c>
      <c r="D318" s="8">
        <v>41779</v>
      </c>
      <c r="E318" s="8">
        <v>41783</v>
      </c>
      <c r="F318" s="9">
        <v>886.7</v>
      </c>
    </row>
    <row r="319" spans="1:6" x14ac:dyDescent="0.25">
      <c r="A319" s="10" t="s">
        <v>91</v>
      </c>
      <c r="B319" s="11" t="s">
        <v>92</v>
      </c>
      <c r="C319" s="11" t="s">
        <v>66</v>
      </c>
      <c r="D319" s="12">
        <v>41779</v>
      </c>
      <c r="E319" s="12">
        <v>41782</v>
      </c>
      <c r="F319" s="13">
        <v>841.7</v>
      </c>
    </row>
    <row r="320" spans="1:6" x14ac:dyDescent="0.25">
      <c r="A320" s="6" t="s">
        <v>15</v>
      </c>
      <c r="B320" s="7" t="s">
        <v>44</v>
      </c>
      <c r="C320" s="7" t="s">
        <v>72</v>
      </c>
      <c r="D320" s="8">
        <v>41785</v>
      </c>
      <c r="E320" s="8">
        <v>41787</v>
      </c>
      <c r="F320" s="9">
        <v>892.7</v>
      </c>
    </row>
    <row r="321" spans="1:6" x14ac:dyDescent="0.25">
      <c r="A321" s="10" t="s">
        <v>131</v>
      </c>
      <c r="B321" s="11" t="s">
        <v>154</v>
      </c>
      <c r="C321" s="11" t="s">
        <v>66</v>
      </c>
      <c r="D321" s="12">
        <v>41785</v>
      </c>
      <c r="E321" s="12">
        <v>41789</v>
      </c>
      <c r="F321" s="13">
        <v>1019.7</v>
      </c>
    </row>
    <row r="322" spans="1:6" x14ac:dyDescent="0.25">
      <c r="A322" s="6" t="s">
        <v>79</v>
      </c>
      <c r="B322" s="7" t="s">
        <v>80</v>
      </c>
      <c r="C322" s="7" t="s">
        <v>11</v>
      </c>
      <c r="D322" s="8">
        <v>41785</v>
      </c>
      <c r="E322" s="8">
        <v>41787</v>
      </c>
      <c r="F322" s="9">
        <v>434.4</v>
      </c>
    </row>
    <row r="323" spans="1:6" x14ac:dyDescent="0.25">
      <c r="A323" s="10" t="s">
        <v>57</v>
      </c>
      <c r="B323" s="11" t="s">
        <v>163</v>
      </c>
      <c r="C323" s="11" t="s">
        <v>59</v>
      </c>
      <c r="D323" s="12">
        <v>41785</v>
      </c>
      <c r="E323" s="12">
        <v>41788</v>
      </c>
      <c r="F323" s="13">
        <v>919</v>
      </c>
    </row>
    <row r="324" spans="1:6" x14ac:dyDescent="0.25">
      <c r="A324" s="6" t="s">
        <v>25</v>
      </c>
      <c r="B324" s="7" t="s">
        <v>26</v>
      </c>
      <c r="C324" s="7" t="s">
        <v>59</v>
      </c>
      <c r="D324" s="8">
        <v>41785</v>
      </c>
      <c r="E324" s="8">
        <v>41788</v>
      </c>
      <c r="F324" s="9">
        <v>919</v>
      </c>
    </row>
    <row r="325" spans="1:6" x14ac:dyDescent="0.25">
      <c r="A325" s="10" t="s">
        <v>36</v>
      </c>
      <c r="B325" s="11" t="s">
        <v>37</v>
      </c>
      <c r="C325" s="11" t="s">
        <v>59</v>
      </c>
      <c r="D325" s="12">
        <v>41785</v>
      </c>
      <c r="E325" s="12">
        <v>41787</v>
      </c>
      <c r="F325" s="13">
        <v>760</v>
      </c>
    </row>
    <row r="326" spans="1:6" x14ac:dyDescent="0.25">
      <c r="A326" s="6" t="s">
        <v>15</v>
      </c>
      <c r="B326" s="7" t="s">
        <v>44</v>
      </c>
      <c r="C326" s="7" t="s">
        <v>19</v>
      </c>
      <c r="D326" s="8">
        <v>41791</v>
      </c>
      <c r="E326" s="8">
        <v>41794</v>
      </c>
      <c r="F326" s="9">
        <v>936.4</v>
      </c>
    </row>
    <row r="327" spans="1:6" x14ac:dyDescent="0.25">
      <c r="A327" s="10" t="s">
        <v>115</v>
      </c>
      <c r="B327" s="11" t="s">
        <v>153</v>
      </c>
      <c r="C327" s="11" t="s">
        <v>24</v>
      </c>
      <c r="D327" s="12">
        <v>41791</v>
      </c>
      <c r="E327" s="12">
        <v>41794</v>
      </c>
      <c r="F327" s="13">
        <v>737.7</v>
      </c>
    </row>
    <row r="328" spans="1:6" x14ac:dyDescent="0.25">
      <c r="A328" s="6" t="s">
        <v>93</v>
      </c>
      <c r="B328" s="7" t="s">
        <v>124</v>
      </c>
      <c r="C328" s="7" t="s">
        <v>24</v>
      </c>
      <c r="D328" s="8">
        <v>41791</v>
      </c>
      <c r="E328" s="8">
        <v>41795</v>
      </c>
      <c r="F328" s="9">
        <v>886.7</v>
      </c>
    </row>
    <row r="329" spans="1:6" x14ac:dyDescent="0.25">
      <c r="A329" s="10" t="s">
        <v>25</v>
      </c>
      <c r="B329" s="11" t="s">
        <v>67</v>
      </c>
      <c r="C329" s="11" t="s">
        <v>30</v>
      </c>
      <c r="D329" s="12">
        <v>41791</v>
      </c>
      <c r="E329" s="12">
        <v>41793</v>
      </c>
      <c r="F329" s="13">
        <v>450.5</v>
      </c>
    </row>
    <row r="330" spans="1:6" x14ac:dyDescent="0.25">
      <c r="A330" s="6" t="s">
        <v>84</v>
      </c>
      <c r="B330" s="7" t="s">
        <v>85</v>
      </c>
      <c r="C330" s="7" t="s">
        <v>19</v>
      </c>
      <c r="D330" s="8">
        <v>41791</v>
      </c>
      <c r="E330" s="8">
        <v>41794</v>
      </c>
      <c r="F330" s="9">
        <v>936.4</v>
      </c>
    </row>
    <row r="331" spans="1:6" x14ac:dyDescent="0.25">
      <c r="A331" s="10" t="s">
        <v>134</v>
      </c>
      <c r="B331" s="11" t="s">
        <v>149</v>
      </c>
      <c r="C331" s="11" t="s">
        <v>24</v>
      </c>
      <c r="D331" s="12">
        <v>41791</v>
      </c>
      <c r="E331" s="12">
        <v>41793</v>
      </c>
      <c r="F331" s="13">
        <v>588.70000000000005</v>
      </c>
    </row>
    <row r="332" spans="1:6" x14ac:dyDescent="0.25">
      <c r="A332" s="6" t="s">
        <v>15</v>
      </c>
      <c r="B332" s="7" t="s">
        <v>96</v>
      </c>
      <c r="C332" s="7" t="s">
        <v>59</v>
      </c>
      <c r="D332" s="8">
        <v>41791</v>
      </c>
      <c r="E332" s="8">
        <v>41793</v>
      </c>
      <c r="F332" s="9">
        <v>760</v>
      </c>
    </row>
    <row r="333" spans="1:6" x14ac:dyDescent="0.25">
      <c r="A333" s="10" t="s">
        <v>28</v>
      </c>
      <c r="B333" s="11" t="s">
        <v>60</v>
      </c>
      <c r="C333" s="11" t="s">
        <v>30</v>
      </c>
      <c r="D333" s="12">
        <v>41792</v>
      </c>
      <c r="E333" s="12">
        <v>41792</v>
      </c>
      <c r="F333" s="13">
        <v>212.5</v>
      </c>
    </row>
    <row r="334" spans="1:6" x14ac:dyDescent="0.25">
      <c r="A334" s="6" t="s">
        <v>25</v>
      </c>
      <c r="B334" s="7" t="s">
        <v>26</v>
      </c>
      <c r="C334" s="7" t="s">
        <v>38</v>
      </c>
      <c r="D334" s="8">
        <v>41792</v>
      </c>
      <c r="E334" s="8">
        <v>41792</v>
      </c>
      <c r="F334" s="9">
        <v>278.8</v>
      </c>
    </row>
    <row r="335" spans="1:6" x14ac:dyDescent="0.25">
      <c r="A335" s="10" t="s">
        <v>15</v>
      </c>
      <c r="B335" s="11" t="s">
        <v>63</v>
      </c>
      <c r="C335" s="11" t="s">
        <v>24</v>
      </c>
      <c r="D335" s="12">
        <v>41792</v>
      </c>
      <c r="E335" s="12">
        <v>41794</v>
      </c>
      <c r="F335" s="13">
        <v>588.70000000000005</v>
      </c>
    </row>
    <row r="336" spans="1:6" x14ac:dyDescent="0.25">
      <c r="A336" s="6" t="s">
        <v>91</v>
      </c>
      <c r="B336" s="7" t="s">
        <v>92</v>
      </c>
      <c r="C336" s="7" t="s">
        <v>38</v>
      </c>
      <c r="D336" s="8">
        <v>41792</v>
      </c>
      <c r="E336" s="8">
        <v>41792</v>
      </c>
      <c r="F336" s="9">
        <v>278.8</v>
      </c>
    </row>
    <row r="337" spans="1:6" x14ac:dyDescent="0.25">
      <c r="A337" s="10" t="s">
        <v>170</v>
      </c>
      <c r="B337" s="11" t="s">
        <v>171</v>
      </c>
      <c r="C337" s="11" t="s">
        <v>14</v>
      </c>
      <c r="D337" s="12">
        <v>41793</v>
      </c>
      <c r="E337" s="12">
        <v>41793</v>
      </c>
      <c r="F337" s="13">
        <v>178.5</v>
      </c>
    </row>
    <row r="338" spans="1:6" x14ac:dyDescent="0.25">
      <c r="A338" s="6" t="s">
        <v>31</v>
      </c>
      <c r="B338" s="7" t="s">
        <v>77</v>
      </c>
      <c r="C338" s="7" t="s">
        <v>17</v>
      </c>
      <c r="D338" s="8">
        <v>41793</v>
      </c>
      <c r="E338" s="8">
        <v>41794</v>
      </c>
      <c r="F338" s="9">
        <v>706.5</v>
      </c>
    </row>
    <row r="339" spans="1:6" x14ac:dyDescent="0.25">
      <c r="A339" s="10" t="s">
        <v>99</v>
      </c>
      <c r="B339" s="11" t="s">
        <v>130</v>
      </c>
      <c r="C339" s="11" t="s">
        <v>30</v>
      </c>
      <c r="D339" s="12">
        <v>41794</v>
      </c>
      <c r="E339" s="12">
        <v>41795</v>
      </c>
      <c r="F339" s="13">
        <v>331.5</v>
      </c>
    </row>
    <row r="340" spans="1:6" x14ac:dyDescent="0.25">
      <c r="A340" s="6" t="s">
        <v>164</v>
      </c>
      <c r="B340" s="7" t="s">
        <v>165</v>
      </c>
      <c r="C340" s="7" t="s">
        <v>27</v>
      </c>
      <c r="D340" s="8">
        <v>41794</v>
      </c>
      <c r="E340" s="8">
        <v>41795</v>
      </c>
      <c r="F340" s="9">
        <v>570</v>
      </c>
    </row>
    <row r="341" spans="1:6" x14ac:dyDescent="0.25">
      <c r="A341" s="10" t="s">
        <v>91</v>
      </c>
      <c r="B341" s="11" t="s">
        <v>92</v>
      </c>
      <c r="C341" s="11" t="s">
        <v>17</v>
      </c>
      <c r="D341" s="12">
        <v>41794</v>
      </c>
      <c r="E341" s="12">
        <v>41795</v>
      </c>
      <c r="F341" s="13">
        <v>706.5</v>
      </c>
    </row>
    <row r="342" spans="1:6" x14ac:dyDescent="0.25">
      <c r="A342" s="6" t="s">
        <v>25</v>
      </c>
      <c r="B342" s="7" t="s">
        <v>67</v>
      </c>
      <c r="C342" s="7" t="s">
        <v>17</v>
      </c>
      <c r="D342" s="8">
        <v>41795</v>
      </c>
      <c r="E342" s="8">
        <v>41795</v>
      </c>
      <c r="F342" s="9">
        <v>501.5</v>
      </c>
    </row>
    <row r="343" spans="1:6" x14ac:dyDescent="0.25">
      <c r="A343" s="10" t="s">
        <v>22</v>
      </c>
      <c r="B343" s="11" t="s">
        <v>23</v>
      </c>
      <c r="C343" s="11" t="s">
        <v>11</v>
      </c>
      <c r="D343" s="12">
        <v>41797</v>
      </c>
      <c r="E343" s="12">
        <v>41797</v>
      </c>
      <c r="F343" s="13">
        <v>156.4</v>
      </c>
    </row>
    <row r="344" spans="1:6" x14ac:dyDescent="0.25">
      <c r="A344" s="6" t="s">
        <v>93</v>
      </c>
      <c r="B344" s="7" t="s">
        <v>124</v>
      </c>
      <c r="C344" s="7" t="s">
        <v>66</v>
      </c>
      <c r="D344" s="8">
        <v>41797</v>
      </c>
      <c r="E344" s="8">
        <v>41799</v>
      </c>
      <c r="F344" s="9">
        <v>663.7</v>
      </c>
    </row>
    <row r="345" spans="1:6" x14ac:dyDescent="0.25">
      <c r="A345" s="10" t="s">
        <v>86</v>
      </c>
      <c r="B345" s="11" t="s">
        <v>150</v>
      </c>
      <c r="C345" s="11" t="s">
        <v>72</v>
      </c>
      <c r="D345" s="12">
        <v>41797</v>
      </c>
      <c r="E345" s="12">
        <v>41801</v>
      </c>
      <c r="F345" s="13">
        <v>1290.7</v>
      </c>
    </row>
    <row r="346" spans="1:6" x14ac:dyDescent="0.25">
      <c r="A346" s="6" t="s">
        <v>12</v>
      </c>
      <c r="B346" s="7" t="s">
        <v>13</v>
      </c>
      <c r="C346" s="7" t="s">
        <v>11</v>
      </c>
      <c r="D346" s="8">
        <v>41797</v>
      </c>
      <c r="E346" s="8">
        <v>41801</v>
      </c>
      <c r="F346" s="9">
        <v>712.4</v>
      </c>
    </row>
    <row r="347" spans="1:6" x14ac:dyDescent="0.25">
      <c r="A347" s="10" t="s">
        <v>91</v>
      </c>
      <c r="B347" s="11" t="s">
        <v>161</v>
      </c>
      <c r="C347" s="11" t="s">
        <v>19</v>
      </c>
      <c r="D347" s="12">
        <v>41797</v>
      </c>
      <c r="E347" s="12">
        <v>41799</v>
      </c>
      <c r="F347" s="13">
        <v>795.4</v>
      </c>
    </row>
    <row r="348" spans="1:6" x14ac:dyDescent="0.25">
      <c r="A348" s="6" t="s">
        <v>36</v>
      </c>
      <c r="B348" s="7" t="s">
        <v>37</v>
      </c>
      <c r="C348" s="7" t="s">
        <v>66</v>
      </c>
      <c r="D348" s="8">
        <v>41799</v>
      </c>
      <c r="E348" s="8">
        <v>41800</v>
      </c>
      <c r="F348" s="9">
        <v>485.7</v>
      </c>
    </row>
    <row r="349" spans="1:6" x14ac:dyDescent="0.25">
      <c r="A349" s="10" t="s">
        <v>54</v>
      </c>
      <c r="B349" s="11" t="s">
        <v>55</v>
      </c>
      <c r="C349" s="11" t="s">
        <v>66</v>
      </c>
      <c r="D349" s="12">
        <v>41803</v>
      </c>
      <c r="E349" s="12">
        <v>41805</v>
      </c>
      <c r="F349" s="13">
        <v>663.7</v>
      </c>
    </row>
    <row r="350" spans="1:6" x14ac:dyDescent="0.25">
      <c r="A350" s="6" t="s">
        <v>131</v>
      </c>
      <c r="B350" s="7" t="s">
        <v>154</v>
      </c>
      <c r="C350" s="7" t="s">
        <v>59</v>
      </c>
      <c r="D350" s="8">
        <v>41803</v>
      </c>
      <c r="E350" s="8">
        <v>41807</v>
      </c>
      <c r="F350" s="9">
        <v>1078</v>
      </c>
    </row>
    <row r="351" spans="1:6" x14ac:dyDescent="0.25">
      <c r="A351" s="10" t="s">
        <v>22</v>
      </c>
      <c r="B351" s="11" t="s">
        <v>172</v>
      </c>
      <c r="C351" s="11" t="s">
        <v>72</v>
      </c>
      <c r="D351" s="12">
        <v>41803</v>
      </c>
      <c r="E351" s="12">
        <v>41803</v>
      </c>
      <c r="F351" s="13">
        <v>494.7</v>
      </c>
    </row>
    <row r="352" spans="1:6" x14ac:dyDescent="0.25">
      <c r="A352" s="6" t="s">
        <v>84</v>
      </c>
      <c r="B352" s="7" t="s">
        <v>85</v>
      </c>
      <c r="C352" s="7" t="s">
        <v>38</v>
      </c>
      <c r="D352" s="8">
        <v>41803</v>
      </c>
      <c r="E352" s="8">
        <v>41807</v>
      </c>
      <c r="F352" s="9">
        <v>794.8</v>
      </c>
    </row>
    <row r="353" spans="1:6" x14ac:dyDescent="0.25">
      <c r="A353" s="10" t="s">
        <v>6</v>
      </c>
      <c r="B353" s="11" t="s">
        <v>56</v>
      </c>
      <c r="C353" s="11" t="s">
        <v>72</v>
      </c>
      <c r="D353" s="12">
        <v>41803</v>
      </c>
      <c r="E353" s="12">
        <v>41806</v>
      </c>
      <c r="F353" s="13">
        <v>1091.7</v>
      </c>
    </row>
    <row r="354" spans="1:6" x14ac:dyDescent="0.25">
      <c r="A354" s="6" t="s">
        <v>33</v>
      </c>
      <c r="B354" s="7" t="s">
        <v>41</v>
      </c>
      <c r="C354" s="7" t="s">
        <v>72</v>
      </c>
      <c r="D354" s="8">
        <v>41803</v>
      </c>
      <c r="E354" s="8">
        <v>41806</v>
      </c>
      <c r="F354" s="9">
        <v>1091.7</v>
      </c>
    </row>
    <row r="355" spans="1:6" x14ac:dyDescent="0.25">
      <c r="A355" s="10" t="s">
        <v>134</v>
      </c>
      <c r="B355" s="11" t="s">
        <v>135</v>
      </c>
      <c r="C355" s="11" t="s">
        <v>38</v>
      </c>
      <c r="D355" s="12">
        <v>41803</v>
      </c>
      <c r="E355" s="12">
        <v>41807</v>
      </c>
      <c r="F355" s="13">
        <v>794.8</v>
      </c>
    </row>
    <row r="356" spans="1:6" x14ac:dyDescent="0.25">
      <c r="A356" s="6" t="s">
        <v>9</v>
      </c>
      <c r="B356" s="7" t="s">
        <v>69</v>
      </c>
      <c r="C356" s="7" t="s">
        <v>72</v>
      </c>
      <c r="D356" s="8">
        <v>41803</v>
      </c>
      <c r="E356" s="8">
        <v>41804</v>
      </c>
      <c r="F356" s="9">
        <v>693.7</v>
      </c>
    </row>
    <row r="357" spans="1:6" x14ac:dyDescent="0.25">
      <c r="A357" s="10" t="s">
        <v>99</v>
      </c>
      <c r="B357" s="11" t="s">
        <v>100</v>
      </c>
      <c r="C357" s="11" t="s">
        <v>72</v>
      </c>
      <c r="D357" s="12">
        <v>41803</v>
      </c>
      <c r="E357" s="12">
        <v>41805</v>
      </c>
      <c r="F357" s="13">
        <v>892.7</v>
      </c>
    </row>
    <row r="358" spans="1:6" x14ac:dyDescent="0.25">
      <c r="A358" s="6" t="s">
        <v>145</v>
      </c>
      <c r="B358" s="7" t="s">
        <v>146</v>
      </c>
      <c r="C358" s="7" t="s">
        <v>47</v>
      </c>
      <c r="D358" s="8">
        <v>41803</v>
      </c>
      <c r="E358" s="8">
        <v>41806</v>
      </c>
      <c r="F358" s="9">
        <v>852.8</v>
      </c>
    </row>
    <row r="359" spans="1:6" x14ac:dyDescent="0.25">
      <c r="A359" s="10" t="s">
        <v>151</v>
      </c>
      <c r="B359" s="11" t="s">
        <v>152</v>
      </c>
      <c r="C359" s="11" t="s">
        <v>72</v>
      </c>
      <c r="D359" s="12">
        <v>41803</v>
      </c>
      <c r="E359" s="12">
        <v>41803</v>
      </c>
      <c r="F359" s="13">
        <v>494.7</v>
      </c>
    </row>
    <row r="360" spans="1:6" x14ac:dyDescent="0.25">
      <c r="A360" s="6" t="s">
        <v>75</v>
      </c>
      <c r="B360" s="7" t="s">
        <v>88</v>
      </c>
      <c r="C360" s="7" t="s">
        <v>27</v>
      </c>
      <c r="D360" s="8">
        <v>41803</v>
      </c>
      <c r="E360" s="8">
        <v>41803</v>
      </c>
      <c r="F360" s="9">
        <v>442</v>
      </c>
    </row>
    <row r="361" spans="1:6" x14ac:dyDescent="0.25">
      <c r="A361" s="10" t="s">
        <v>137</v>
      </c>
      <c r="B361" s="11" t="s">
        <v>160</v>
      </c>
      <c r="C361" s="11" t="s">
        <v>66</v>
      </c>
      <c r="D361" s="12">
        <v>41803</v>
      </c>
      <c r="E361" s="12">
        <v>41805</v>
      </c>
      <c r="F361" s="13">
        <v>663.7</v>
      </c>
    </row>
    <row r="362" spans="1:6" x14ac:dyDescent="0.25">
      <c r="A362" s="6" t="s">
        <v>158</v>
      </c>
      <c r="B362" s="7" t="s">
        <v>159</v>
      </c>
      <c r="C362" s="7" t="s">
        <v>8</v>
      </c>
      <c r="D362" s="8">
        <v>41803</v>
      </c>
      <c r="E362" s="8">
        <v>41806</v>
      </c>
      <c r="F362" s="9">
        <v>1313</v>
      </c>
    </row>
    <row r="363" spans="1:6" x14ac:dyDescent="0.25">
      <c r="A363" s="10" t="s">
        <v>115</v>
      </c>
      <c r="B363" s="11" t="s">
        <v>116</v>
      </c>
      <c r="C363" s="11" t="s">
        <v>17</v>
      </c>
      <c r="D363" s="12">
        <v>41803</v>
      </c>
      <c r="E363" s="12">
        <v>41805</v>
      </c>
      <c r="F363" s="13">
        <v>911.5</v>
      </c>
    </row>
    <row r="364" spans="1:6" x14ac:dyDescent="0.25">
      <c r="A364" s="6" t="s">
        <v>164</v>
      </c>
      <c r="B364" s="7" t="s">
        <v>165</v>
      </c>
      <c r="C364" s="7" t="s">
        <v>59</v>
      </c>
      <c r="D364" s="8">
        <v>41806</v>
      </c>
      <c r="E364" s="8">
        <v>41807</v>
      </c>
      <c r="F364" s="9">
        <v>601</v>
      </c>
    </row>
    <row r="365" spans="1:6" x14ac:dyDescent="0.25">
      <c r="A365" s="10" t="s">
        <v>75</v>
      </c>
      <c r="B365" s="11" t="s">
        <v>76</v>
      </c>
      <c r="C365" s="11" t="s">
        <v>27</v>
      </c>
      <c r="D365" s="12">
        <v>41806</v>
      </c>
      <c r="E365" s="12">
        <v>41806</v>
      </c>
      <c r="F365" s="13">
        <v>442</v>
      </c>
    </row>
    <row r="366" spans="1:6" x14ac:dyDescent="0.25">
      <c r="A366" s="6" t="s">
        <v>126</v>
      </c>
      <c r="B366" s="7" t="s">
        <v>127</v>
      </c>
      <c r="C366" s="7" t="s">
        <v>30</v>
      </c>
      <c r="D366" s="8">
        <v>41809</v>
      </c>
      <c r="E366" s="8">
        <v>41812</v>
      </c>
      <c r="F366" s="9">
        <v>569.5</v>
      </c>
    </row>
    <row r="367" spans="1:6" x14ac:dyDescent="0.25">
      <c r="A367" s="10" t="s">
        <v>145</v>
      </c>
      <c r="B367" s="11" t="s">
        <v>146</v>
      </c>
      <c r="C367" s="11" t="s">
        <v>24</v>
      </c>
      <c r="D367" s="12">
        <v>41809</v>
      </c>
      <c r="E367" s="12">
        <v>41810</v>
      </c>
      <c r="F367" s="13">
        <v>439.7</v>
      </c>
    </row>
    <row r="368" spans="1:6" x14ac:dyDescent="0.25">
      <c r="A368" s="6" t="s">
        <v>75</v>
      </c>
      <c r="B368" s="7" t="s">
        <v>88</v>
      </c>
      <c r="C368" s="7" t="s">
        <v>66</v>
      </c>
      <c r="D368" s="8">
        <v>41809</v>
      </c>
      <c r="E368" s="8">
        <v>41812</v>
      </c>
      <c r="F368" s="9">
        <v>841.7</v>
      </c>
    </row>
    <row r="369" spans="1:6" x14ac:dyDescent="0.25">
      <c r="A369" s="10" t="s">
        <v>109</v>
      </c>
      <c r="B369" s="11" t="s">
        <v>110</v>
      </c>
      <c r="C369" s="11" t="s">
        <v>19</v>
      </c>
      <c r="D369" s="12">
        <v>41809</v>
      </c>
      <c r="E369" s="12">
        <v>41811</v>
      </c>
      <c r="F369" s="13">
        <v>795.4</v>
      </c>
    </row>
    <row r="370" spans="1:6" x14ac:dyDescent="0.25">
      <c r="A370" s="6" t="s">
        <v>20</v>
      </c>
      <c r="B370" s="7" t="s">
        <v>162</v>
      </c>
      <c r="C370" s="7" t="s">
        <v>72</v>
      </c>
      <c r="D370" s="8">
        <v>41809</v>
      </c>
      <c r="E370" s="8">
        <v>41813</v>
      </c>
      <c r="F370" s="9">
        <v>1290.7</v>
      </c>
    </row>
    <row r="371" spans="1:6" x14ac:dyDescent="0.25">
      <c r="A371" s="10" t="s">
        <v>20</v>
      </c>
      <c r="B371" s="11" t="s">
        <v>21</v>
      </c>
      <c r="C371" s="11" t="s">
        <v>27</v>
      </c>
      <c r="D371" s="12">
        <v>41809</v>
      </c>
      <c r="E371" s="12">
        <v>41811</v>
      </c>
      <c r="F371" s="13">
        <v>698</v>
      </c>
    </row>
    <row r="372" spans="1:6" x14ac:dyDescent="0.25">
      <c r="A372" s="6" t="s">
        <v>48</v>
      </c>
      <c r="B372" s="7" t="s">
        <v>49</v>
      </c>
      <c r="C372" s="7" t="s">
        <v>24</v>
      </c>
      <c r="D372" s="8">
        <v>41815</v>
      </c>
      <c r="E372" s="8">
        <v>41816</v>
      </c>
      <c r="F372" s="9">
        <v>439.7</v>
      </c>
    </row>
    <row r="373" spans="1:6" x14ac:dyDescent="0.25">
      <c r="A373" s="10" t="s">
        <v>54</v>
      </c>
      <c r="B373" s="11" t="s">
        <v>133</v>
      </c>
      <c r="C373" s="11" t="s">
        <v>72</v>
      </c>
      <c r="D373" s="12">
        <v>41815</v>
      </c>
      <c r="E373" s="12">
        <v>41815</v>
      </c>
      <c r="F373" s="13">
        <v>494.7</v>
      </c>
    </row>
    <row r="374" spans="1:6" x14ac:dyDescent="0.25">
      <c r="A374" s="6" t="s">
        <v>54</v>
      </c>
      <c r="B374" s="7" t="s">
        <v>133</v>
      </c>
      <c r="C374" s="7" t="s">
        <v>17</v>
      </c>
      <c r="D374" s="8">
        <v>41815</v>
      </c>
      <c r="E374" s="8">
        <v>41817</v>
      </c>
      <c r="F374" s="9">
        <v>911.5</v>
      </c>
    </row>
    <row r="375" spans="1:6" x14ac:dyDescent="0.25">
      <c r="A375" s="10" t="s">
        <v>50</v>
      </c>
      <c r="B375" s="11" t="s">
        <v>51</v>
      </c>
      <c r="C375" s="11" t="s">
        <v>8</v>
      </c>
      <c r="D375" s="12">
        <v>41815</v>
      </c>
      <c r="E375" s="12">
        <v>41816</v>
      </c>
      <c r="F375" s="13">
        <v>891</v>
      </c>
    </row>
    <row r="376" spans="1:6" x14ac:dyDescent="0.25">
      <c r="A376" s="6" t="s">
        <v>61</v>
      </c>
      <c r="B376" s="7" t="s">
        <v>62</v>
      </c>
      <c r="C376" s="7" t="s">
        <v>38</v>
      </c>
      <c r="D376" s="8">
        <v>41815</v>
      </c>
      <c r="E376" s="8">
        <v>41818</v>
      </c>
      <c r="F376" s="9">
        <v>665.8</v>
      </c>
    </row>
    <row r="377" spans="1:6" x14ac:dyDescent="0.25">
      <c r="A377" s="10" t="s">
        <v>126</v>
      </c>
      <c r="B377" s="11" t="s">
        <v>127</v>
      </c>
      <c r="C377" s="11" t="s">
        <v>19</v>
      </c>
      <c r="D377" s="12">
        <v>41815</v>
      </c>
      <c r="E377" s="12">
        <v>41817</v>
      </c>
      <c r="F377" s="13">
        <v>795.4</v>
      </c>
    </row>
    <row r="378" spans="1:6" x14ac:dyDescent="0.25">
      <c r="A378" s="6" t="s">
        <v>9</v>
      </c>
      <c r="B378" s="7" t="s">
        <v>103</v>
      </c>
      <c r="C378" s="7" t="s">
        <v>19</v>
      </c>
      <c r="D378" s="8">
        <v>41815</v>
      </c>
      <c r="E378" s="8">
        <v>41816</v>
      </c>
      <c r="F378" s="9">
        <v>654.4</v>
      </c>
    </row>
    <row r="379" spans="1:6" x14ac:dyDescent="0.25">
      <c r="A379" s="10" t="s">
        <v>156</v>
      </c>
      <c r="B379" s="11" t="s">
        <v>157</v>
      </c>
      <c r="C379" s="11" t="s">
        <v>24</v>
      </c>
      <c r="D379" s="12">
        <v>41815</v>
      </c>
      <c r="E379" s="12">
        <v>41818</v>
      </c>
      <c r="F379" s="13">
        <v>737.7</v>
      </c>
    </row>
    <row r="380" spans="1:6" x14ac:dyDescent="0.25">
      <c r="A380" s="6" t="s">
        <v>52</v>
      </c>
      <c r="B380" s="7" t="s">
        <v>53</v>
      </c>
      <c r="C380" s="7" t="s">
        <v>24</v>
      </c>
      <c r="D380" s="8">
        <v>41815</v>
      </c>
      <c r="E380" s="8">
        <v>41819</v>
      </c>
      <c r="F380" s="9">
        <v>886.7</v>
      </c>
    </row>
    <row r="381" spans="1:6" x14ac:dyDescent="0.25">
      <c r="A381" s="10" t="s">
        <v>158</v>
      </c>
      <c r="B381" s="11" t="s">
        <v>159</v>
      </c>
      <c r="C381" s="11" t="s">
        <v>11</v>
      </c>
      <c r="D381" s="12">
        <v>41815</v>
      </c>
      <c r="E381" s="12">
        <v>41816</v>
      </c>
      <c r="F381" s="13">
        <v>295.39999999999998</v>
      </c>
    </row>
    <row r="382" spans="1:6" x14ac:dyDescent="0.25">
      <c r="A382" s="6" t="s">
        <v>6</v>
      </c>
      <c r="B382" s="7" t="s">
        <v>45</v>
      </c>
      <c r="C382" s="7" t="s">
        <v>47</v>
      </c>
      <c r="D382" s="8">
        <v>41815</v>
      </c>
      <c r="E382" s="8">
        <v>41817</v>
      </c>
      <c r="F382" s="9">
        <v>689.8</v>
      </c>
    </row>
    <row r="383" spans="1:6" x14ac:dyDescent="0.25">
      <c r="A383" s="10" t="s">
        <v>31</v>
      </c>
      <c r="B383" s="11" t="s">
        <v>77</v>
      </c>
      <c r="C383" s="11" t="s">
        <v>8</v>
      </c>
      <c r="D383" s="12">
        <v>41815</v>
      </c>
      <c r="E383" s="12">
        <v>41819</v>
      </c>
      <c r="F383" s="13">
        <v>1524</v>
      </c>
    </row>
    <row r="384" spans="1:6" x14ac:dyDescent="0.25">
      <c r="A384" s="6" t="s">
        <v>15</v>
      </c>
      <c r="B384" s="7" t="s">
        <v>16</v>
      </c>
      <c r="C384" s="7" t="s">
        <v>11</v>
      </c>
      <c r="D384" s="8">
        <v>41815</v>
      </c>
      <c r="E384" s="8">
        <v>41816</v>
      </c>
      <c r="F384" s="9">
        <v>295.39999999999998</v>
      </c>
    </row>
    <row r="385" spans="1:6" x14ac:dyDescent="0.25">
      <c r="A385" s="10" t="s">
        <v>113</v>
      </c>
      <c r="B385" s="11" t="s">
        <v>114</v>
      </c>
      <c r="C385" s="11" t="s">
        <v>59</v>
      </c>
      <c r="D385" s="12">
        <v>41815</v>
      </c>
      <c r="E385" s="12">
        <v>41817</v>
      </c>
      <c r="F385" s="13">
        <v>760</v>
      </c>
    </row>
    <row r="386" spans="1:6" x14ac:dyDescent="0.25">
      <c r="A386" s="6" t="s">
        <v>115</v>
      </c>
      <c r="B386" s="7" t="s">
        <v>116</v>
      </c>
      <c r="C386" s="7" t="s">
        <v>19</v>
      </c>
      <c r="D386" s="8">
        <v>41815</v>
      </c>
      <c r="E386" s="8">
        <v>41817</v>
      </c>
      <c r="F386" s="9">
        <v>795.4</v>
      </c>
    </row>
    <row r="387" spans="1:6" x14ac:dyDescent="0.25">
      <c r="A387" s="10" t="s">
        <v>86</v>
      </c>
      <c r="B387" s="11" t="s">
        <v>136</v>
      </c>
      <c r="C387" s="11" t="s">
        <v>14</v>
      </c>
      <c r="D387" s="12">
        <v>41815</v>
      </c>
      <c r="E387" s="12">
        <v>41816</v>
      </c>
      <c r="F387" s="13">
        <v>302.5</v>
      </c>
    </row>
    <row r="388" spans="1:6" x14ac:dyDescent="0.25">
      <c r="A388" s="6" t="s">
        <v>9</v>
      </c>
      <c r="B388" s="7" t="s">
        <v>103</v>
      </c>
      <c r="C388" s="7" t="s">
        <v>47</v>
      </c>
      <c r="D388" s="8">
        <v>41818</v>
      </c>
      <c r="E388" s="8">
        <v>41818</v>
      </c>
      <c r="F388" s="9">
        <v>363.8</v>
      </c>
    </row>
    <row r="389" spans="1:6" x14ac:dyDescent="0.25">
      <c r="A389" s="10" t="s">
        <v>15</v>
      </c>
      <c r="B389" s="11" t="s">
        <v>46</v>
      </c>
      <c r="C389" s="11" t="s">
        <v>72</v>
      </c>
      <c r="D389" s="12">
        <v>41821</v>
      </c>
      <c r="E389" s="12">
        <v>41825</v>
      </c>
      <c r="F389" s="13">
        <v>1290.7</v>
      </c>
    </row>
    <row r="390" spans="1:6" x14ac:dyDescent="0.25">
      <c r="A390" s="6" t="s">
        <v>33</v>
      </c>
      <c r="B390" s="7" t="s">
        <v>41</v>
      </c>
      <c r="C390" s="7" t="s">
        <v>19</v>
      </c>
      <c r="D390" s="8">
        <v>41821</v>
      </c>
      <c r="E390" s="8">
        <v>41825</v>
      </c>
      <c r="F390" s="9">
        <v>1077.4000000000001</v>
      </c>
    </row>
    <row r="391" spans="1:6" x14ac:dyDescent="0.25">
      <c r="A391" s="10" t="s">
        <v>101</v>
      </c>
      <c r="B391" s="11" t="s">
        <v>102</v>
      </c>
      <c r="C391" s="11" t="s">
        <v>66</v>
      </c>
      <c r="D391" s="12">
        <v>41821</v>
      </c>
      <c r="E391" s="12">
        <v>41823</v>
      </c>
      <c r="F391" s="13">
        <v>663.7</v>
      </c>
    </row>
    <row r="392" spans="1:6" x14ac:dyDescent="0.25">
      <c r="A392" s="6" t="s">
        <v>143</v>
      </c>
      <c r="B392" s="7" t="s">
        <v>144</v>
      </c>
      <c r="C392" s="7" t="s">
        <v>14</v>
      </c>
      <c r="D392" s="8">
        <v>41821</v>
      </c>
      <c r="E392" s="8">
        <v>41825</v>
      </c>
      <c r="F392" s="9">
        <v>674.5</v>
      </c>
    </row>
    <row r="393" spans="1:6" x14ac:dyDescent="0.25">
      <c r="A393" s="10" t="s">
        <v>151</v>
      </c>
      <c r="B393" s="11" t="s">
        <v>152</v>
      </c>
      <c r="C393" s="11" t="s">
        <v>17</v>
      </c>
      <c r="D393" s="12">
        <v>41821</v>
      </c>
      <c r="E393" s="12">
        <v>41823</v>
      </c>
      <c r="F393" s="13">
        <v>911.5</v>
      </c>
    </row>
    <row r="394" spans="1:6" x14ac:dyDescent="0.25">
      <c r="A394" s="6" t="s">
        <v>75</v>
      </c>
      <c r="B394" s="7" t="s">
        <v>76</v>
      </c>
      <c r="C394" s="7" t="s">
        <v>14</v>
      </c>
      <c r="D394" s="8">
        <v>41821</v>
      </c>
      <c r="E394" s="8">
        <v>41824</v>
      </c>
      <c r="F394" s="9">
        <v>550.5</v>
      </c>
    </row>
    <row r="395" spans="1:6" x14ac:dyDescent="0.25">
      <c r="A395" s="10" t="s">
        <v>115</v>
      </c>
      <c r="B395" s="11" t="s">
        <v>153</v>
      </c>
      <c r="C395" s="11" t="s">
        <v>72</v>
      </c>
      <c r="D395" s="12">
        <v>41827</v>
      </c>
      <c r="E395" s="12">
        <v>41829</v>
      </c>
      <c r="F395" s="13">
        <v>892.7</v>
      </c>
    </row>
    <row r="396" spans="1:6" x14ac:dyDescent="0.25">
      <c r="A396" s="6" t="s">
        <v>131</v>
      </c>
      <c r="B396" s="7" t="s">
        <v>142</v>
      </c>
      <c r="C396" s="7" t="s">
        <v>27</v>
      </c>
      <c r="D396" s="8">
        <v>41827</v>
      </c>
      <c r="E396" s="8">
        <v>41829</v>
      </c>
      <c r="F396" s="9">
        <v>698</v>
      </c>
    </row>
    <row r="397" spans="1:6" x14ac:dyDescent="0.25">
      <c r="A397" s="10" t="s">
        <v>25</v>
      </c>
      <c r="B397" s="11" t="s">
        <v>67</v>
      </c>
      <c r="C397" s="11" t="s">
        <v>24</v>
      </c>
      <c r="D397" s="12">
        <v>41827</v>
      </c>
      <c r="E397" s="12">
        <v>41830</v>
      </c>
      <c r="F397" s="13">
        <v>737.7</v>
      </c>
    </row>
    <row r="398" spans="1:6" x14ac:dyDescent="0.25">
      <c r="A398" s="6" t="s">
        <v>25</v>
      </c>
      <c r="B398" s="7" t="s">
        <v>26</v>
      </c>
      <c r="C398" s="7" t="s">
        <v>38</v>
      </c>
      <c r="D398" s="8">
        <v>41827</v>
      </c>
      <c r="E398" s="8">
        <v>41828</v>
      </c>
      <c r="F398" s="9">
        <v>407.8</v>
      </c>
    </row>
    <row r="399" spans="1:6" x14ac:dyDescent="0.25">
      <c r="A399" s="10" t="s">
        <v>61</v>
      </c>
      <c r="B399" s="11" t="s">
        <v>62</v>
      </c>
      <c r="C399" s="11" t="s">
        <v>59</v>
      </c>
      <c r="D399" s="12">
        <v>41827</v>
      </c>
      <c r="E399" s="12">
        <v>41830</v>
      </c>
      <c r="F399" s="13">
        <v>919</v>
      </c>
    </row>
    <row r="400" spans="1:6" x14ac:dyDescent="0.25">
      <c r="A400" s="6" t="s">
        <v>168</v>
      </c>
      <c r="B400" s="7" t="s">
        <v>169</v>
      </c>
      <c r="C400" s="7" t="s">
        <v>24</v>
      </c>
      <c r="D400" s="8">
        <v>41827</v>
      </c>
      <c r="E400" s="8">
        <v>41828</v>
      </c>
      <c r="F400" s="9">
        <v>439.7</v>
      </c>
    </row>
    <row r="401" spans="1:6" x14ac:dyDescent="0.25">
      <c r="A401" s="10" t="s">
        <v>33</v>
      </c>
      <c r="B401" s="11" t="s">
        <v>41</v>
      </c>
      <c r="C401" s="11" t="s">
        <v>19</v>
      </c>
      <c r="D401" s="12">
        <v>41827</v>
      </c>
      <c r="E401" s="12">
        <v>41829</v>
      </c>
      <c r="F401" s="13">
        <v>795.4</v>
      </c>
    </row>
    <row r="402" spans="1:6" x14ac:dyDescent="0.25">
      <c r="A402" s="6" t="s">
        <v>143</v>
      </c>
      <c r="B402" s="7" t="s">
        <v>144</v>
      </c>
      <c r="C402" s="7" t="s">
        <v>14</v>
      </c>
      <c r="D402" s="8">
        <v>41827</v>
      </c>
      <c r="E402" s="8">
        <v>41828</v>
      </c>
      <c r="F402" s="9">
        <v>302.5</v>
      </c>
    </row>
    <row r="403" spans="1:6" x14ac:dyDescent="0.25">
      <c r="A403" s="10" t="s">
        <v>164</v>
      </c>
      <c r="B403" s="11" t="s">
        <v>165</v>
      </c>
      <c r="C403" s="11" t="s">
        <v>47</v>
      </c>
      <c r="D403" s="12">
        <v>41827</v>
      </c>
      <c r="E403" s="12">
        <v>41827</v>
      </c>
      <c r="F403" s="13">
        <v>363.8</v>
      </c>
    </row>
    <row r="404" spans="1:6" x14ac:dyDescent="0.25">
      <c r="A404" s="6" t="s">
        <v>52</v>
      </c>
      <c r="B404" s="7" t="s">
        <v>53</v>
      </c>
      <c r="C404" s="7" t="s">
        <v>38</v>
      </c>
      <c r="D404" s="8">
        <v>41827</v>
      </c>
      <c r="E404" s="8">
        <v>41831</v>
      </c>
      <c r="F404" s="9">
        <v>794.8</v>
      </c>
    </row>
    <row r="405" spans="1:6" x14ac:dyDescent="0.25">
      <c r="A405" s="10" t="s">
        <v>147</v>
      </c>
      <c r="B405" s="11" t="s">
        <v>148</v>
      </c>
      <c r="C405" s="11" t="s">
        <v>38</v>
      </c>
      <c r="D405" s="12">
        <v>41827</v>
      </c>
      <c r="E405" s="12">
        <v>41831</v>
      </c>
      <c r="F405" s="13">
        <v>794.8</v>
      </c>
    </row>
    <row r="406" spans="1:6" x14ac:dyDescent="0.25">
      <c r="A406" s="6" t="s">
        <v>89</v>
      </c>
      <c r="B406" s="7" t="s">
        <v>90</v>
      </c>
      <c r="C406" s="7" t="s">
        <v>11</v>
      </c>
      <c r="D406" s="8">
        <v>41827</v>
      </c>
      <c r="E406" s="8">
        <v>41828</v>
      </c>
      <c r="F406" s="9">
        <v>295.39999999999998</v>
      </c>
    </row>
    <row r="407" spans="1:6" x14ac:dyDescent="0.25">
      <c r="A407" s="10" t="s">
        <v>39</v>
      </c>
      <c r="B407" s="11" t="s">
        <v>40</v>
      </c>
      <c r="C407" s="11" t="s">
        <v>17</v>
      </c>
      <c r="D407" s="12">
        <v>41827</v>
      </c>
      <c r="E407" s="12">
        <v>41828</v>
      </c>
      <c r="F407" s="13">
        <v>706.5</v>
      </c>
    </row>
    <row r="408" spans="1:6" x14ac:dyDescent="0.25">
      <c r="A408" s="6" t="s">
        <v>15</v>
      </c>
      <c r="B408" s="7" t="s">
        <v>63</v>
      </c>
      <c r="C408" s="7" t="s">
        <v>66</v>
      </c>
      <c r="D408" s="8">
        <v>41827</v>
      </c>
      <c r="E408" s="8">
        <v>41828</v>
      </c>
      <c r="F408" s="9">
        <v>485.7</v>
      </c>
    </row>
    <row r="409" spans="1:6" x14ac:dyDescent="0.25">
      <c r="A409" s="10" t="s">
        <v>91</v>
      </c>
      <c r="B409" s="11" t="s">
        <v>92</v>
      </c>
      <c r="C409" s="11" t="s">
        <v>66</v>
      </c>
      <c r="D409" s="12">
        <v>41827</v>
      </c>
      <c r="E409" s="12">
        <v>41830</v>
      </c>
      <c r="F409" s="13">
        <v>841.7</v>
      </c>
    </row>
    <row r="410" spans="1:6" x14ac:dyDescent="0.25">
      <c r="A410" s="6" t="s">
        <v>164</v>
      </c>
      <c r="B410" s="7" t="s">
        <v>165</v>
      </c>
      <c r="C410" s="7" t="s">
        <v>59</v>
      </c>
      <c r="D410" s="8">
        <v>41830</v>
      </c>
      <c r="E410" s="8">
        <v>41830</v>
      </c>
      <c r="F410" s="9">
        <v>442</v>
      </c>
    </row>
    <row r="411" spans="1:6" x14ac:dyDescent="0.25">
      <c r="A411" s="10" t="s">
        <v>131</v>
      </c>
      <c r="B411" s="11" t="s">
        <v>142</v>
      </c>
      <c r="C411" s="11" t="s">
        <v>14</v>
      </c>
      <c r="D411" s="12">
        <v>41831</v>
      </c>
      <c r="E411" s="12">
        <v>41831</v>
      </c>
      <c r="F411" s="13">
        <v>178.5</v>
      </c>
    </row>
    <row r="412" spans="1:6" x14ac:dyDescent="0.25">
      <c r="A412" s="6" t="s">
        <v>31</v>
      </c>
      <c r="B412" s="7" t="s">
        <v>78</v>
      </c>
      <c r="C412" s="7" t="s">
        <v>47</v>
      </c>
      <c r="D412" s="8">
        <v>41833</v>
      </c>
      <c r="E412" s="8">
        <v>41836</v>
      </c>
      <c r="F412" s="9">
        <v>852.8</v>
      </c>
    </row>
    <row r="413" spans="1:6" x14ac:dyDescent="0.25">
      <c r="A413" s="10" t="s">
        <v>70</v>
      </c>
      <c r="B413" s="11" t="s">
        <v>117</v>
      </c>
      <c r="C413" s="11" t="s">
        <v>72</v>
      </c>
      <c r="D413" s="12">
        <v>41833</v>
      </c>
      <c r="E413" s="12">
        <v>41837</v>
      </c>
      <c r="F413" s="13">
        <v>1290.7</v>
      </c>
    </row>
    <row r="414" spans="1:6" x14ac:dyDescent="0.25">
      <c r="A414" s="6" t="s">
        <v>15</v>
      </c>
      <c r="B414" s="7" t="s">
        <v>63</v>
      </c>
      <c r="C414" s="7" t="s">
        <v>17</v>
      </c>
      <c r="D414" s="8">
        <v>41834</v>
      </c>
      <c r="E414" s="8">
        <v>41834</v>
      </c>
      <c r="F414" s="9">
        <v>501.5</v>
      </c>
    </row>
    <row r="415" spans="1:6" x14ac:dyDescent="0.25">
      <c r="A415" s="10" t="s">
        <v>22</v>
      </c>
      <c r="B415" s="11" t="s">
        <v>172</v>
      </c>
      <c r="C415" s="11" t="s">
        <v>66</v>
      </c>
      <c r="D415" s="12">
        <v>41835</v>
      </c>
      <c r="E415" s="12">
        <v>41835</v>
      </c>
      <c r="F415" s="13">
        <v>307.7</v>
      </c>
    </row>
    <row r="416" spans="1:6" x14ac:dyDescent="0.25">
      <c r="A416" s="6" t="s">
        <v>168</v>
      </c>
      <c r="B416" s="7" t="s">
        <v>169</v>
      </c>
      <c r="C416" s="7" t="s">
        <v>11</v>
      </c>
      <c r="D416" s="8">
        <v>41835</v>
      </c>
      <c r="E416" s="8">
        <v>41836</v>
      </c>
      <c r="F416" s="9">
        <v>295.39999999999998</v>
      </c>
    </row>
    <row r="417" spans="1:6" x14ac:dyDescent="0.25">
      <c r="A417" s="10" t="s">
        <v>73</v>
      </c>
      <c r="B417" s="11" t="s">
        <v>104</v>
      </c>
      <c r="C417" s="11" t="s">
        <v>19</v>
      </c>
      <c r="D417" s="12">
        <v>41835</v>
      </c>
      <c r="E417" s="12">
        <v>41835</v>
      </c>
      <c r="F417" s="13">
        <v>513.4</v>
      </c>
    </row>
    <row r="418" spans="1:6" x14ac:dyDescent="0.25">
      <c r="A418" s="6" t="s">
        <v>54</v>
      </c>
      <c r="B418" s="7" t="s">
        <v>81</v>
      </c>
      <c r="C418" s="7" t="s">
        <v>27</v>
      </c>
      <c r="D418" s="8">
        <v>41837</v>
      </c>
      <c r="E418" s="8">
        <v>41837</v>
      </c>
      <c r="F418" s="9">
        <v>442</v>
      </c>
    </row>
    <row r="419" spans="1:6" x14ac:dyDescent="0.25">
      <c r="A419" s="10" t="s">
        <v>128</v>
      </c>
      <c r="B419" s="11" t="s">
        <v>129</v>
      </c>
      <c r="C419" s="11" t="s">
        <v>38</v>
      </c>
      <c r="D419" s="12">
        <v>41839</v>
      </c>
      <c r="E419" s="12">
        <v>41843</v>
      </c>
      <c r="F419" s="13">
        <v>794.8</v>
      </c>
    </row>
    <row r="420" spans="1:6" x14ac:dyDescent="0.25">
      <c r="A420" s="6" t="s">
        <v>128</v>
      </c>
      <c r="B420" s="7" t="s">
        <v>129</v>
      </c>
      <c r="C420" s="7" t="s">
        <v>14</v>
      </c>
      <c r="D420" s="8">
        <v>41839</v>
      </c>
      <c r="E420" s="8">
        <v>41842</v>
      </c>
      <c r="F420" s="9">
        <v>550.5</v>
      </c>
    </row>
    <row r="421" spans="1:6" x14ac:dyDescent="0.25">
      <c r="A421" s="10" t="s">
        <v>93</v>
      </c>
      <c r="B421" s="11" t="s">
        <v>124</v>
      </c>
      <c r="C421" s="11" t="s">
        <v>47</v>
      </c>
      <c r="D421" s="12">
        <v>41839</v>
      </c>
      <c r="E421" s="12">
        <v>41840</v>
      </c>
      <c r="F421" s="13">
        <v>526.79999999999995</v>
      </c>
    </row>
    <row r="422" spans="1:6" x14ac:dyDescent="0.25">
      <c r="A422" s="6" t="s">
        <v>22</v>
      </c>
      <c r="B422" s="7" t="s">
        <v>172</v>
      </c>
      <c r="C422" s="7" t="s">
        <v>30</v>
      </c>
      <c r="D422" s="8">
        <v>41839</v>
      </c>
      <c r="E422" s="8">
        <v>41843</v>
      </c>
      <c r="F422" s="9">
        <v>688.5</v>
      </c>
    </row>
    <row r="423" spans="1:6" x14ac:dyDescent="0.25">
      <c r="A423" s="10" t="s">
        <v>54</v>
      </c>
      <c r="B423" s="11" t="s">
        <v>133</v>
      </c>
      <c r="C423" s="11" t="s">
        <v>19</v>
      </c>
      <c r="D423" s="12">
        <v>41839</v>
      </c>
      <c r="E423" s="12">
        <v>41840</v>
      </c>
      <c r="F423" s="13">
        <v>654.4</v>
      </c>
    </row>
    <row r="424" spans="1:6" x14ac:dyDescent="0.25">
      <c r="A424" s="6" t="s">
        <v>25</v>
      </c>
      <c r="B424" s="7" t="s">
        <v>67</v>
      </c>
      <c r="C424" s="7" t="s">
        <v>66</v>
      </c>
      <c r="D424" s="8">
        <v>41839</v>
      </c>
      <c r="E424" s="8">
        <v>41840</v>
      </c>
      <c r="F424" s="9">
        <v>485.7</v>
      </c>
    </row>
    <row r="425" spans="1:6" x14ac:dyDescent="0.25">
      <c r="A425" s="10" t="s">
        <v>84</v>
      </c>
      <c r="B425" s="11" t="s">
        <v>85</v>
      </c>
      <c r="C425" s="11" t="s">
        <v>11</v>
      </c>
      <c r="D425" s="12">
        <v>41839</v>
      </c>
      <c r="E425" s="12">
        <v>41840</v>
      </c>
      <c r="F425" s="13">
        <v>295.39999999999998</v>
      </c>
    </row>
    <row r="426" spans="1:6" x14ac:dyDescent="0.25">
      <c r="A426" s="6" t="s">
        <v>86</v>
      </c>
      <c r="B426" s="7" t="s">
        <v>150</v>
      </c>
      <c r="C426" s="7" t="s">
        <v>24</v>
      </c>
      <c r="D426" s="8">
        <v>41839</v>
      </c>
      <c r="E426" s="8">
        <v>41843</v>
      </c>
      <c r="F426" s="9">
        <v>886.7</v>
      </c>
    </row>
    <row r="427" spans="1:6" x14ac:dyDescent="0.25">
      <c r="A427" s="10" t="s">
        <v>9</v>
      </c>
      <c r="B427" s="11" t="s">
        <v>103</v>
      </c>
      <c r="C427" s="11" t="s">
        <v>24</v>
      </c>
      <c r="D427" s="12">
        <v>41839</v>
      </c>
      <c r="E427" s="12">
        <v>41840</v>
      </c>
      <c r="F427" s="13">
        <v>439.7</v>
      </c>
    </row>
    <row r="428" spans="1:6" x14ac:dyDescent="0.25">
      <c r="A428" s="6" t="s">
        <v>42</v>
      </c>
      <c r="B428" s="7" t="s">
        <v>43</v>
      </c>
      <c r="C428" s="7" t="s">
        <v>24</v>
      </c>
      <c r="D428" s="8">
        <v>41839</v>
      </c>
      <c r="E428" s="8">
        <v>41841</v>
      </c>
      <c r="F428" s="9">
        <v>588.70000000000005</v>
      </c>
    </row>
    <row r="429" spans="1:6" x14ac:dyDescent="0.25">
      <c r="A429" s="10" t="s">
        <v>156</v>
      </c>
      <c r="B429" s="11" t="s">
        <v>157</v>
      </c>
      <c r="C429" s="11" t="s">
        <v>19</v>
      </c>
      <c r="D429" s="12">
        <v>41839</v>
      </c>
      <c r="E429" s="12">
        <v>41841</v>
      </c>
      <c r="F429" s="13">
        <v>795.4</v>
      </c>
    </row>
    <row r="430" spans="1:6" x14ac:dyDescent="0.25">
      <c r="A430" s="6" t="s">
        <v>15</v>
      </c>
      <c r="B430" s="7" t="s">
        <v>63</v>
      </c>
      <c r="C430" s="7" t="s">
        <v>11</v>
      </c>
      <c r="D430" s="8">
        <v>41839</v>
      </c>
      <c r="E430" s="8">
        <v>41839</v>
      </c>
      <c r="F430" s="9">
        <v>156.4</v>
      </c>
    </row>
    <row r="431" spans="1:6" x14ac:dyDescent="0.25">
      <c r="A431" s="10" t="s">
        <v>131</v>
      </c>
      <c r="B431" s="11" t="s">
        <v>132</v>
      </c>
      <c r="C431" s="11" t="s">
        <v>19</v>
      </c>
      <c r="D431" s="12">
        <v>41839</v>
      </c>
      <c r="E431" s="12">
        <v>41843</v>
      </c>
      <c r="F431" s="13">
        <v>1077.4000000000001</v>
      </c>
    </row>
    <row r="432" spans="1:6" x14ac:dyDescent="0.25">
      <c r="A432" s="6" t="s">
        <v>168</v>
      </c>
      <c r="B432" s="7" t="s">
        <v>169</v>
      </c>
      <c r="C432" s="7" t="s">
        <v>8</v>
      </c>
      <c r="D432" s="8">
        <v>41841</v>
      </c>
      <c r="E432" s="8">
        <v>41841</v>
      </c>
      <c r="F432" s="9">
        <v>680</v>
      </c>
    </row>
    <row r="433" spans="1:6" x14ac:dyDescent="0.25">
      <c r="A433" s="10" t="s">
        <v>109</v>
      </c>
      <c r="B433" s="11" t="s">
        <v>110</v>
      </c>
      <c r="C433" s="11" t="s">
        <v>72</v>
      </c>
      <c r="D433" s="12">
        <v>41841</v>
      </c>
      <c r="E433" s="12">
        <v>41843</v>
      </c>
      <c r="F433" s="13">
        <v>892.7</v>
      </c>
    </row>
    <row r="434" spans="1:6" x14ac:dyDescent="0.25">
      <c r="A434" s="6" t="s">
        <v>137</v>
      </c>
      <c r="B434" s="7" t="s">
        <v>138</v>
      </c>
      <c r="C434" s="7" t="s">
        <v>66</v>
      </c>
      <c r="D434" s="8">
        <v>41841</v>
      </c>
      <c r="E434" s="8">
        <v>41841</v>
      </c>
      <c r="F434" s="9">
        <v>307.7</v>
      </c>
    </row>
    <row r="435" spans="1:6" x14ac:dyDescent="0.25">
      <c r="A435" s="10" t="s">
        <v>115</v>
      </c>
      <c r="B435" s="11" t="s">
        <v>153</v>
      </c>
      <c r="C435" s="11" t="s">
        <v>24</v>
      </c>
      <c r="D435" s="12">
        <v>41845</v>
      </c>
      <c r="E435" s="12">
        <v>41848</v>
      </c>
      <c r="F435" s="13">
        <v>737.7</v>
      </c>
    </row>
    <row r="436" spans="1:6" x14ac:dyDescent="0.25">
      <c r="A436" s="6" t="s">
        <v>122</v>
      </c>
      <c r="B436" s="7" t="s">
        <v>123</v>
      </c>
      <c r="C436" s="7" t="s">
        <v>17</v>
      </c>
      <c r="D436" s="8">
        <v>41845</v>
      </c>
      <c r="E436" s="8">
        <v>41847</v>
      </c>
      <c r="F436" s="9">
        <v>911.5</v>
      </c>
    </row>
    <row r="437" spans="1:6" x14ac:dyDescent="0.25">
      <c r="A437" s="10" t="s">
        <v>82</v>
      </c>
      <c r="B437" s="11" t="s">
        <v>83</v>
      </c>
      <c r="C437" s="11" t="s">
        <v>30</v>
      </c>
      <c r="D437" s="12">
        <v>41845</v>
      </c>
      <c r="E437" s="12">
        <v>41849</v>
      </c>
      <c r="F437" s="13">
        <v>688.5</v>
      </c>
    </row>
    <row r="438" spans="1:6" x14ac:dyDescent="0.25">
      <c r="A438" s="6" t="s">
        <v>28</v>
      </c>
      <c r="B438" s="7" t="s">
        <v>60</v>
      </c>
      <c r="C438" s="7" t="s">
        <v>30</v>
      </c>
      <c r="D438" s="8">
        <v>41845</v>
      </c>
      <c r="E438" s="8">
        <v>41849</v>
      </c>
      <c r="F438" s="9">
        <v>688.5</v>
      </c>
    </row>
    <row r="439" spans="1:6" x14ac:dyDescent="0.25">
      <c r="A439" s="10" t="s">
        <v>54</v>
      </c>
      <c r="B439" s="11" t="s">
        <v>121</v>
      </c>
      <c r="C439" s="11" t="s">
        <v>11</v>
      </c>
      <c r="D439" s="12">
        <v>41845</v>
      </c>
      <c r="E439" s="12">
        <v>41849</v>
      </c>
      <c r="F439" s="13">
        <v>712.4</v>
      </c>
    </row>
    <row r="440" spans="1:6" x14ac:dyDescent="0.25">
      <c r="A440" s="6" t="s">
        <v>111</v>
      </c>
      <c r="B440" s="7" t="s">
        <v>112</v>
      </c>
      <c r="C440" s="7" t="s">
        <v>17</v>
      </c>
      <c r="D440" s="8">
        <v>41845</v>
      </c>
      <c r="E440" s="8">
        <v>41846</v>
      </c>
      <c r="F440" s="9">
        <v>706.5</v>
      </c>
    </row>
    <row r="441" spans="1:6" x14ac:dyDescent="0.25">
      <c r="A441" s="10" t="s">
        <v>15</v>
      </c>
      <c r="B441" s="11" t="s">
        <v>44</v>
      </c>
      <c r="C441" s="11" t="s">
        <v>38</v>
      </c>
      <c r="D441" s="12">
        <v>41851</v>
      </c>
      <c r="E441" s="12">
        <v>41855</v>
      </c>
      <c r="F441" s="13">
        <v>794.8</v>
      </c>
    </row>
    <row r="442" spans="1:6" x14ac:dyDescent="0.25">
      <c r="A442" s="6" t="s">
        <v>15</v>
      </c>
      <c r="B442" s="7" t="s">
        <v>46</v>
      </c>
      <c r="C442" s="7" t="s">
        <v>72</v>
      </c>
      <c r="D442" s="8">
        <v>41851</v>
      </c>
      <c r="E442" s="8">
        <v>41854</v>
      </c>
      <c r="F442" s="9">
        <v>1091.7</v>
      </c>
    </row>
    <row r="443" spans="1:6" x14ac:dyDescent="0.25">
      <c r="A443" s="10" t="s">
        <v>93</v>
      </c>
      <c r="B443" s="11" t="s">
        <v>124</v>
      </c>
      <c r="C443" s="11" t="s">
        <v>72</v>
      </c>
      <c r="D443" s="12">
        <v>41851</v>
      </c>
      <c r="E443" s="12">
        <v>41853</v>
      </c>
      <c r="F443" s="13">
        <v>892.7</v>
      </c>
    </row>
    <row r="444" spans="1:6" x14ac:dyDescent="0.25">
      <c r="A444" s="6" t="s">
        <v>82</v>
      </c>
      <c r="B444" s="7" t="s">
        <v>83</v>
      </c>
      <c r="C444" s="7" t="s">
        <v>27</v>
      </c>
      <c r="D444" s="8">
        <v>41851</v>
      </c>
      <c r="E444" s="8">
        <v>41852</v>
      </c>
      <c r="F444" s="9">
        <v>570</v>
      </c>
    </row>
    <row r="445" spans="1:6" x14ac:dyDescent="0.25">
      <c r="A445" s="10" t="s">
        <v>6</v>
      </c>
      <c r="B445" s="11" t="s">
        <v>56</v>
      </c>
      <c r="C445" s="11" t="s">
        <v>24</v>
      </c>
      <c r="D445" s="12">
        <v>41851</v>
      </c>
      <c r="E445" s="12">
        <v>41854</v>
      </c>
      <c r="F445" s="13">
        <v>737.7</v>
      </c>
    </row>
    <row r="446" spans="1:6" x14ac:dyDescent="0.25">
      <c r="A446" s="6" t="s">
        <v>33</v>
      </c>
      <c r="B446" s="7" t="s">
        <v>41</v>
      </c>
      <c r="C446" s="7" t="s">
        <v>30</v>
      </c>
      <c r="D446" s="8">
        <v>41851</v>
      </c>
      <c r="E446" s="8">
        <v>41855</v>
      </c>
      <c r="F446" s="9">
        <v>688.5</v>
      </c>
    </row>
    <row r="447" spans="1:6" x14ac:dyDescent="0.25">
      <c r="A447" s="10" t="s">
        <v>101</v>
      </c>
      <c r="B447" s="11" t="s">
        <v>102</v>
      </c>
      <c r="C447" s="11" t="s">
        <v>38</v>
      </c>
      <c r="D447" s="12">
        <v>41851</v>
      </c>
      <c r="E447" s="12">
        <v>41853</v>
      </c>
      <c r="F447" s="13">
        <v>536.79999999999995</v>
      </c>
    </row>
    <row r="448" spans="1:6" x14ac:dyDescent="0.25">
      <c r="A448" s="6" t="s">
        <v>164</v>
      </c>
      <c r="B448" s="7" t="s">
        <v>165</v>
      </c>
      <c r="C448" s="7" t="s">
        <v>47</v>
      </c>
      <c r="D448" s="8">
        <v>41851</v>
      </c>
      <c r="E448" s="8">
        <v>41852</v>
      </c>
      <c r="F448" s="9">
        <v>526.79999999999995</v>
      </c>
    </row>
    <row r="449" spans="1:6" x14ac:dyDescent="0.25">
      <c r="A449" s="10" t="s">
        <v>107</v>
      </c>
      <c r="B449" s="11" t="s">
        <v>108</v>
      </c>
      <c r="C449" s="11" t="s">
        <v>8</v>
      </c>
      <c r="D449" s="12">
        <v>41851</v>
      </c>
      <c r="E449" s="12">
        <v>41855</v>
      </c>
      <c r="F449" s="13">
        <v>1524</v>
      </c>
    </row>
    <row r="450" spans="1:6" x14ac:dyDescent="0.25">
      <c r="A450" s="6" t="s">
        <v>166</v>
      </c>
      <c r="B450" s="7" t="s">
        <v>167</v>
      </c>
      <c r="C450" s="7" t="s">
        <v>17</v>
      </c>
      <c r="D450" s="8">
        <v>41851</v>
      </c>
      <c r="E450" s="8">
        <v>41854</v>
      </c>
      <c r="F450" s="9">
        <v>1116.5</v>
      </c>
    </row>
    <row r="451" spans="1:6" x14ac:dyDescent="0.25">
      <c r="A451" s="10" t="s">
        <v>134</v>
      </c>
      <c r="B451" s="11" t="s">
        <v>149</v>
      </c>
      <c r="C451" s="11" t="s">
        <v>11</v>
      </c>
      <c r="D451" s="12">
        <v>41851</v>
      </c>
      <c r="E451" s="12">
        <v>41852</v>
      </c>
      <c r="F451" s="13">
        <v>295.39999999999998</v>
      </c>
    </row>
    <row r="452" spans="1:6" x14ac:dyDescent="0.25">
      <c r="A452" s="6" t="s">
        <v>111</v>
      </c>
      <c r="B452" s="7" t="s">
        <v>112</v>
      </c>
      <c r="C452" s="7" t="s">
        <v>72</v>
      </c>
      <c r="D452" s="8">
        <v>41851</v>
      </c>
      <c r="E452" s="8">
        <v>41852</v>
      </c>
      <c r="F452" s="9">
        <v>693.7</v>
      </c>
    </row>
    <row r="453" spans="1:6" x14ac:dyDescent="0.25">
      <c r="A453" s="10" t="s">
        <v>31</v>
      </c>
      <c r="B453" s="11" t="s">
        <v>77</v>
      </c>
      <c r="C453" s="11" t="s">
        <v>59</v>
      </c>
      <c r="D453" s="12">
        <v>41851</v>
      </c>
      <c r="E453" s="12">
        <v>41852</v>
      </c>
      <c r="F453" s="13">
        <v>601</v>
      </c>
    </row>
    <row r="454" spans="1:6" x14ac:dyDescent="0.25">
      <c r="A454" s="6" t="s">
        <v>15</v>
      </c>
      <c r="B454" s="7" t="s">
        <v>16</v>
      </c>
      <c r="C454" s="7" t="s">
        <v>8</v>
      </c>
      <c r="D454" s="8">
        <v>41851</v>
      </c>
      <c r="E454" s="8">
        <v>41854</v>
      </c>
      <c r="F454" s="9">
        <v>1313</v>
      </c>
    </row>
    <row r="455" spans="1:6" x14ac:dyDescent="0.25">
      <c r="A455" s="10" t="s">
        <v>113</v>
      </c>
      <c r="B455" s="11" t="s">
        <v>114</v>
      </c>
      <c r="C455" s="11" t="s">
        <v>38</v>
      </c>
      <c r="D455" s="12">
        <v>41851</v>
      </c>
      <c r="E455" s="12">
        <v>41852</v>
      </c>
      <c r="F455" s="13">
        <v>407.8</v>
      </c>
    </row>
    <row r="456" spans="1:6" x14ac:dyDescent="0.25">
      <c r="A456" s="6" t="s">
        <v>91</v>
      </c>
      <c r="B456" s="7" t="s">
        <v>92</v>
      </c>
      <c r="C456" s="7" t="s">
        <v>66</v>
      </c>
      <c r="D456" s="8">
        <v>41851</v>
      </c>
      <c r="E456" s="8">
        <v>41854</v>
      </c>
      <c r="F456" s="9">
        <v>841.7</v>
      </c>
    </row>
    <row r="457" spans="1:6" x14ac:dyDescent="0.25">
      <c r="A457" s="10" t="s">
        <v>93</v>
      </c>
      <c r="B457" s="11" t="s">
        <v>94</v>
      </c>
      <c r="C457" s="11" t="s">
        <v>27</v>
      </c>
      <c r="D457" s="12">
        <v>41851</v>
      </c>
      <c r="E457" s="12">
        <v>41855</v>
      </c>
      <c r="F457" s="13">
        <v>954</v>
      </c>
    </row>
    <row r="458" spans="1:6" x14ac:dyDescent="0.25">
      <c r="A458" s="6" t="s">
        <v>15</v>
      </c>
      <c r="B458" s="7" t="s">
        <v>96</v>
      </c>
      <c r="C458" s="7" t="s">
        <v>30</v>
      </c>
      <c r="D458" s="8">
        <v>41851</v>
      </c>
      <c r="E458" s="8">
        <v>41853</v>
      </c>
      <c r="F458" s="9">
        <v>450.5</v>
      </c>
    </row>
    <row r="459" spans="1:6" x14ac:dyDescent="0.25">
      <c r="A459" s="10" t="s">
        <v>54</v>
      </c>
      <c r="B459" s="11" t="s">
        <v>55</v>
      </c>
      <c r="C459" s="11" t="s">
        <v>38</v>
      </c>
      <c r="D459" s="12">
        <v>41857</v>
      </c>
      <c r="E459" s="12">
        <v>41858</v>
      </c>
      <c r="F459" s="13">
        <v>407.8</v>
      </c>
    </row>
    <row r="460" spans="1:6" x14ac:dyDescent="0.25">
      <c r="A460" s="6" t="s">
        <v>143</v>
      </c>
      <c r="B460" s="7" t="s">
        <v>144</v>
      </c>
      <c r="C460" s="7" t="s">
        <v>17</v>
      </c>
      <c r="D460" s="8">
        <v>41857</v>
      </c>
      <c r="E460" s="8">
        <v>41858</v>
      </c>
      <c r="F460" s="9">
        <v>706.5</v>
      </c>
    </row>
    <row r="461" spans="1:6" x14ac:dyDescent="0.25">
      <c r="A461" s="10" t="s">
        <v>25</v>
      </c>
      <c r="B461" s="11" t="s">
        <v>35</v>
      </c>
      <c r="C461" s="11" t="s">
        <v>27</v>
      </c>
      <c r="D461" s="12">
        <v>41857</v>
      </c>
      <c r="E461" s="12">
        <v>41861</v>
      </c>
      <c r="F461" s="13">
        <v>954</v>
      </c>
    </row>
    <row r="462" spans="1:6" x14ac:dyDescent="0.25">
      <c r="A462" s="6" t="s">
        <v>15</v>
      </c>
      <c r="B462" s="7" t="s">
        <v>63</v>
      </c>
      <c r="C462" s="7" t="s">
        <v>30</v>
      </c>
      <c r="D462" s="8">
        <v>41857</v>
      </c>
      <c r="E462" s="8">
        <v>41861</v>
      </c>
      <c r="F462" s="9">
        <v>688.5</v>
      </c>
    </row>
    <row r="463" spans="1:6" x14ac:dyDescent="0.25">
      <c r="A463" s="10" t="s">
        <v>93</v>
      </c>
      <c r="B463" s="11" t="s">
        <v>94</v>
      </c>
      <c r="C463" s="11" t="s">
        <v>47</v>
      </c>
      <c r="D463" s="12">
        <v>41857</v>
      </c>
      <c r="E463" s="12">
        <v>41860</v>
      </c>
      <c r="F463" s="13">
        <v>852.8</v>
      </c>
    </row>
    <row r="464" spans="1:6" x14ac:dyDescent="0.25">
      <c r="A464" s="6" t="s">
        <v>143</v>
      </c>
      <c r="B464" s="7" t="s">
        <v>144</v>
      </c>
      <c r="C464" s="7" t="s">
        <v>66</v>
      </c>
      <c r="D464" s="8">
        <v>41860</v>
      </c>
      <c r="E464" s="8">
        <v>41860</v>
      </c>
      <c r="F464" s="9">
        <v>307.7</v>
      </c>
    </row>
    <row r="465" spans="1:6" x14ac:dyDescent="0.25">
      <c r="A465" s="10" t="s">
        <v>22</v>
      </c>
      <c r="B465" s="11" t="s">
        <v>23</v>
      </c>
      <c r="C465" s="11" t="s">
        <v>8</v>
      </c>
      <c r="D465" s="12">
        <v>41863</v>
      </c>
      <c r="E465" s="12">
        <v>41867</v>
      </c>
      <c r="F465" s="13">
        <v>1524</v>
      </c>
    </row>
    <row r="466" spans="1:6" x14ac:dyDescent="0.25">
      <c r="A466" s="6" t="s">
        <v>115</v>
      </c>
      <c r="B466" s="7" t="s">
        <v>153</v>
      </c>
      <c r="C466" s="7" t="s">
        <v>47</v>
      </c>
      <c r="D466" s="8">
        <v>41863</v>
      </c>
      <c r="E466" s="8">
        <v>41864</v>
      </c>
      <c r="F466" s="9">
        <v>526.79999999999995</v>
      </c>
    </row>
    <row r="467" spans="1:6" x14ac:dyDescent="0.25">
      <c r="A467" s="10" t="s">
        <v>93</v>
      </c>
      <c r="B467" s="11" t="s">
        <v>124</v>
      </c>
      <c r="C467" s="11" t="s">
        <v>24</v>
      </c>
      <c r="D467" s="12">
        <v>41863</v>
      </c>
      <c r="E467" s="12">
        <v>41865</v>
      </c>
      <c r="F467" s="13">
        <v>588.70000000000005</v>
      </c>
    </row>
    <row r="468" spans="1:6" x14ac:dyDescent="0.25">
      <c r="A468" s="6" t="s">
        <v>79</v>
      </c>
      <c r="B468" s="7" t="s">
        <v>80</v>
      </c>
      <c r="C468" s="7" t="s">
        <v>24</v>
      </c>
      <c r="D468" s="8">
        <v>41863</v>
      </c>
      <c r="E468" s="8">
        <v>41863</v>
      </c>
      <c r="F468" s="9">
        <v>290.7</v>
      </c>
    </row>
    <row r="469" spans="1:6" x14ac:dyDescent="0.25">
      <c r="A469" s="10" t="s">
        <v>84</v>
      </c>
      <c r="B469" s="11" t="s">
        <v>85</v>
      </c>
      <c r="C469" s="11" t="s">
        <v>66</v>
      </c>
      <c r="D469" s="12">
        <v>41863</v>
      </c>
      <c r="E469" s="12">
        <v>41865</v>
      </c>
      <c r="F469" s="13">
        <v>663.7</v>
      </c>
    </row>
    <row r="470" spans="1:6" x14ac:dyDescent="0.25">
      <c r="A470" s="6" t="s">
        <v>28</v>
      </c>
      <c r="B470" s="7" t="s">
        <v>60</v>
      </c>
      <c r="C470" s="7" t="s">
        <v>38</v>
      </c>
      <c r="D470" s="8">
        <v>41863</v>
      </c>
      <c r="E470" s="8">
        <v>41865</v>
      </c>
      <c r="F470" s="9">
        <v>536.79999999999995</v>
      </c>
    </row>
    <row r="471" spans="1:6" x14ac:dyDescent="0.25">
      <c r="A471" s="10" t="s">
        <v>9</v>
      </c>
      <c r="B471" s="11" t="s">
        <v>10</v>
      </c>
      <c r="C471" s="11" t="s">
        <v>47</v>
      </c>
      <c r="D471" s="12">
        <v>41863</v>
      </c>
      <c r="E471" s="12">
        <v>41864</v>
      </c>
      <c r="F471" s="13">
        <v>526.79999999999995</v>
      </c>
    </row>
    <row r="472" spans="1:6" x14ac:dyDescent="0.25">
      <c r="A472" s="6" t="s">
        <v>73</v>
      </c>
      <c r="B472" s="7" t="s">
        <v>74</v>
      </c>
      <c r="C472" s="7" t="s">
        <v>8</v>
      </c>
      <c r="D472" s="8">
        <v>41863</v>
      </c>
      <c r="E472" s="8">
        <v>41864</v>
      </c>
      <c r="F472" s="9">
        <v>891</v>
      </c>
    </row>
    <row r="473" spans="1:6" x14ac:dyDescent="0.25">
      <c r="A473" s="10" t="s">
        <v>73</v>
      </c>
      <c r="B473" s="11" t="s">
        <v>104</v>
      </c>
      <c r="C473" s="11" t="s">
        <v>17</v>
      </c>
      <c r="D473" s="12">
        <v>41863</v>
      </c>
      <c r="E473" s="12">
        <v>41867</v>
      </c>
      <c r="F473" s="13">
        <v>1321.5</v>
      </c>
    </row>
    <row r="474" spans="1:6" x14ac:dyDescent="0.25">
      <c r="A474" s="6" t="s">
        <v>86</v>
      </c>
      <c r="B474" s="7" t="s">
        <v>87</v>
      </c>
      <c r="C474" s="7" t="s">
        <v>72</v>
      </c>
      <c r="D474" s="8">
        <v>41863</v>
      </c>
      <c r="E474" s="8">
        <v>41863</v>
      </c>
      <c r="F474" s="9">
        <v>494.7</v>
      </c>
    </row>
    <row r="475" spans="1:6" x14ac:dyDescent="0.25">
      <c r="A475" s="10" t="s">
        <v>145</v>
      </c>
      <c r="B475" s="11" t="s">
        <v>146</v>
      </c>
      <c r="C475" s="11" t="s">
        <v>30</v>
      </c>
      <c r="D475" s="12">
        <v>41863</v>
      </c>
      <c r="E475" s="12">
        <v>41867</v>
      </c>
      <c r="F475" s="13">
        <v>688.5</v>
      </c>
    </row>
    <row r="476" spans="1:6" x14ac:dyDescent="0.25">
      <c r="A476" s="6" t="s">
        <v>25</v>
      </c>
      <c r="B476" s="7" t="s">
        <v>35</v>
      </c>
      <c r="C476" s="7" t="s">
        <v>72</v>
      </c>
      <c r="D476" s="8">
        <v>41863</v>
      </c>
      <c r="E476" s="8">
        <v>41863</v>
      </c>
      <c r="F476" s="9">
        <v>494.7</v>
      </c>
    </row>
    <row r="477" spans="1:6" x14ac:dyDescent="0.25">
      <c r="A477" s="10" t="s">
        <v>119</v>
      </c>
      <c r="B477" s="11" t="s">
        <v>120</v>
      </c>
      <c r="C477" s="11" t="s">
        <v>47</v>
      </c>
      <c r="D477" s="12">
        <v>41863</v>
      </c>
      <c r="E477" s="12">
        <v>41865</v>
      </c>
      <c r="F477" s="13">
        <v>689.8</v>
      </c>
    </row>
    <row r="478" spans="1:6" x14ac:dyDescent="0.25">
      <c r="A478" s="6" t="s">
        <v>91</v>
      </c>
      <c r="B478" s="7" t="s">
        <v>92</v>
      </c>
      <c r="C478" s="7" t="s">
        <v>14</v>
      </c>
      <c r="D478" s="8">
        <v>41863</v>
      </c>
      <c r="E478" s="8">
        <v>41867</v>
      </c>
      <c r="F478" s="9">
        <v>674.5</v>
      </c>
    </row>
    <row r="479" spans="1:6" x14ac:dyDescent="0.25">
      <c r="A479" s="10" t="s">
        <v>93</v>
      </c>
      <c r="B479" s="11" t="s">
        <v>94</v>
      </c>
      <c r="C479" s="11" t="s">
        <v>66</v>
      </c>
      <c r="D479" s="12">
        <v>41863</v>
      </c>
      <c r="E479" s="12">
        <v>41865</v>
      </c>
      <c r="F479" s="13">
        <v>663.7</v>
      </c>
    </row>
    <row r="480" spans="1:6" x14ac:dyDescent="0.25">
      <c r="A480" s="6" t="s">
        <v>70</v>
      </c>
      <c r="B480" s="7" t="s">
        <v>117</v>
      </c>
      <c r="C480" s="7" t="s">
        <v>59</v>
      </c>
      <c r="D480" s="8">
        <v>41863</v>
      </c>
      <c r="E480" s="8">
        <v>41865</v>
      </c>
      <c r="F480" s="9">
        <v>760</v>
      </c>
    </row>
    <row r="481" spans="1:6" x14ac:dyDescent="0.25">
      <c r="A481" s="10" t="s">
        <v>20</v>
      </c>
      <c r="B481" s="11" t="s">
        <v>21</v>
      </c>
      <c r="C481" s="11" t="s">
        <v>47</v>
      </c>
      <c r="D481" s="12">
        <v>41863</v>
      </c>
      <c r="E481" s="12">
        <v>41867</v>
      </c>
      <c r="F481" s="13">
        <v>1015.8</v>
      </c>
    </row>
    <row r="482" spans="1:6" x14ac:dyDescent="0.25">
      <c r="A482" s="6" t="s">
        <v>25</v>
      </c>
      <c r="B482" s="7" t="s">
        <v>35</v>
      </c>
      <c r="C482" s="7" t="s">
        <v>47</v>
      </c>
      <c r="D482" s="8">
        <v>41865</v>
      </c>
      <c r="E482" s="8">
        <v>41865</v>
      </c>
      <c r="F482" s="9">
        <v>363.8</v>
      </c>
    </row>
    <row r="483" spans="1:6" x14ac:dyDescent="0.25">
      <c r="A483" s="10" t="s">
        <v>93</v>
      </c>
      <c r="B483" s="11" t="s">
        <v>124</v>
      </c>
      <c r="C483" s="11" t="s">
        <v>8</v>
      </c>
      <c r="D483" s="12">
        <v>41869</v>
      </c>
      <c r="E483" s="12">
        <v>41871</v>
      </c>
      <c r="F483" s="13">
        <v>1102</v>
      </c>
    </row>
    <row r="484" spans="1:6" x14ac:dyDescent="0.25">
      <c r="A484" s="6" t="s">
        <v>54</v>
      </c>
      <c r="B484" s="7" t="s">
        <v>133</v>
      </c>
      <c r="C484" s="7" t="s">
        <v>24</v>
      </c>
      <c r="D484" s="8">
        <v>41869</v>
      </c>
      <c r="E484" s="8">
        <v>41873</v>
      </c>
      <c r="F484" s="9">
        <v>886.7</v>
      </c>
    </row>
    <row r="485" spans="1:6" x14ac:dyDescent="0.25">
      <c r="A485" s="10" t="s">
        <v>70</v>
      </c>
      <c r="B485" s="11" t="s">
        <v>71</v>
      </c>
      <c r="C485" s="11" t="s">
        <v>11</v>
      </c>
      <c r="D485" s="12">
        <v>41869</v>
      </c>
      <c r="E485" s="12">
        <v>41870</v>
      </c>
      <c r="F485" s="13">
        <v>295.39999999999998</v>
      </c>
    </row>
    <row r="486" spans="1:6" x14ac:dyDescent="0.25">
      <c r="A486" s="6" t="s">
        <v>86</v>
      </c>
      <c r="B486" s="7" t="s">
        <v>87</v>
      </c>
      <c r="C486" s="7" t="s">
        <v>8</v>
      </c>
      <c r="D486" s="8">
        <v>41869</v>
      </c>
      <c r="E486" s="8">
        <v>41870</v>
      </c>
      <c r="F486" s="9">
        <v>891</v>
      </c>
    </row>
    <row r="487" spans="1:6" x14ac:dyDescent="0.25">
      <c r="A487" s="10" t="s">
        <v>156</v>
      </c>
      <c r="B487" s="11" t="s">
        <v>157</v>
      </c>
      <c r="C487" s="11" t="s">
        <v>47</v>
      </c>
      <c r="D487" s="12">
        <v>41869</v>
      </c>
      <c r="E487" s="12">
        <v>41871</v>
      </c>
      <c r="F487" s="13">
        <v>689.8</v>
      </c>
    </row>
    <row r="488" spans="1:6" x14ac:dyDescent="0.25">
      <c r="A488" s="6" t="s">
        <v>113</v>
      </c>
      <c r="B488" s="7" t="s">
        <v>114</v>
      </c>
      <c r="C488" s="7" t="s">
        <v>17</v>
      </c>
      <c r="D488" s="8">
        <v>41869</v>
      </c>
      <c r="E488" s="8">
        <v>41871</v>
      </c>
      <c r="F488" s="9">
        <v>911.5</v>
      </c>
    </row>
    <row r="489" spans="1:6" x14ac:dyDescent="0.25">
      <c r="A489" s="10" t="s">
        <v>15</v>
      </c>
      <c r="B489" s="11" t="s">
        <v>44</v>
      </c>
      <c r="C489" s="11" t="s">
        <v>30</v>
      </c>
      <c r="D489" s="12">
        <v>41875</v>
      </c>
      <c r="E489" s="12">
        <v>41877</v>
      </c>
      <c r="F489" s="13">
        <v>450.5</v>
      </c>
    </row>
    <row r="490" spans="1:6" x14ac:dyDescent="0.25">
      <c r="A490" s="6" t="s">
        <v>6</v>
      </c>
      <c r="B490" s="7" t="s">
        <v>7</v>
      </c>
      <c r="C490" s="7" t="s">
        <v>8</v>
      </c>
      <c r="D490" s="8">
        <v>41875</v>
      </c>
      <c r="E490" s="8">
        <v>41879</v>
      </c>
      <c r="F490" s="9">
        <v>1524</v>
      </c>
    </row>
    <row r="491" spans="1:6" x14ac:dyDescent="0.25">
      <c r="A491" s="10" t="s">
        <v>33</v>
      </c>
      <c r="B491" s="11" t="s">
        <v>141</v>
      </c>
      <c r="C491" s="11" t="s">
        <v>17</v>
      </c>
      <c r="D491" s="12">
        <v>41875</v>
      </c>
      <c r="E491" s="12">
        <v>41876</v>
      </c>
      <c r="F491" s="13">
        <v>706.5</v>
      </c>
    </row>
    <row r="492" spans="1:6" x14ac:dyDescent="0.25">
      <c r="A492" s="6" t="s">
        <v>131</v>
      </c>
      <c r="B492" s="7" t="s">
        <v>154</v>
      </c>
      <c r="C492" s="7" t="s">
        <v>19</v>
      </c>
      <c r="D492" s="8">
        <v>41875</v>
      </c>
      <c r="E492" s="8">
        <v>41879</v>
      </c>
      <c r="F492" s="9">
        <v>1077.4000000000001</v>
      </c>
    </row>
    <row r="493" spans="1:6" x14ac:dyDescent="0.25">
      <c r="A493" s="10" t="s">
        <v>97</v>
      </c>
      <c r="B493" s="11" t="s">
        <v>98</v>
      </c>
      <c r="C493" s="11" t="s">
        <v>8</v>
      </c>
      <c r="D493" s="12">
        <v>41875</v>
      </c>
      <c r="E493" s="12">
        <v>41876</v>
      </c>
      <c r="F493" s="13">
        <v>891</v>
      </c>
    </row>
    <row r="494" spans="1:6" x14ac:dyDescent="0.25">
      <c r="A494" s="6" t="s">
        <v>126</v>
      </c>
      <c r="B494" s="7" t="s">
        <v>127</v>
      </c>
      <c r="C494" s="7" t="s">
        <v>17</v>
      </c>
      <c r="D494" s="8">
        <v>41875</v>
      </c>
      <c r="E494" s="8">
        <v>41878</v>
      </c>
      <c r="F494" s="9">
        <v>1116.5</v>
      </c>
    </row>
    <row r="495" spans="1:6" x14ac:dyDescent="0.25">
      <c r="A495" s="10" t="s">
        <v>9</v>
      </c>
      <c r="B495" s="11" t="s">
        <v>103</v>
      </c>
      <c r="C495" s="11" t="s">
        <v>30</v>
      </c>
      <c r="D495" s="12">
        <v>41875</v>
      </c>
      <c r="E495" s="12">
        <v>41879</v>
      </c>
      <c r="F495" s="13">
        <v>688.5</v>
      </c>
    </row>
    <row r="496" spans="1:6" x14ac:dyDescent="0.25">
      <c r="A496" s="6" t="s">
        <v>156</v>
      </c>
      <c r="B496" s="7" t="s">
        <v>157</v>
      </c>
      <c r="C496" s="7" t="s">
        <v>17</v>
      </c>
      <c r="D496" s="8">
        <v>41875</v>
      </c>
      <c r="E496" s="8">
        <v>41878</v>
      </c>
      <c r="F496" s="9">
        <v>1116.5</v>
      </c>
    </row>
    <row r="497" spans="1:6" x14ac:dyDescent="0.25">
      <c r="A497" s="10" t="s">
        <v>134</v>
      </c>
      <c r="B497" s="11" t="s">
        <v>149</v>
      </c>
      <c r="C497" s="11" t="s">
        <v>24</v>
      </c>
      <c r="D497" s="12">
        <v>41875</v>
      </c>
      <c r="E497" s="12">
        <v>41879</v>
      </c>
      <c r="F497" s="13">
        <v>886.7</v>
      </c>
    </row>
    <row r="498" spans="1:6" x14ac:dyDescent="0.25">
      <c r="A498" s="6" t="s">
        <v>113</v>
      </c>
      <c r="B498" s="7" t="s">
        <v>114</v>
      </c>
      <c r="C498" s="7" t="s">
        <v>72</v>
      </c>
      <c r="D498" s="8">
        <v>41875</v>
      </c>
      <c r="E498" s="8">
        <v>41877</v>
      </c>
      <c r="F498" s="9">
        <v>892.7</v>
      </c>
    </row>
    <row r="499" spans="1:6" x14ac:dyDescent="0.25">
      <c r="A499" s="10" t="s">
        <v>86</v>
      </c>
      <c r="B499" s="11" t="s">
        <v>136</v>
      </c>
      <c r="C499" s="11" t="s">
        <v>14</v>
      </c>
      <c r="D499" s="12">
        <v>41875</v>
      </c>
      <c r="E499" s="12">
        <v>41879</v>
      </c>
      <c r="F499" s="13">
        <v>674.5</v>
      </c>
    </row>
    <row r="500" spans="1:6" x14ac:dyDescent="0.25">
      <c r="A500" s="6" t="s">
        <v>50</v>
      </c>
      <c r="B500" s="7" t="s">
        <v>51</v>
      </c>
      <c r="C500" s="7" t="s">
        <v>8</v>
      </c>
      <c r="D500" s="8">
        <v>41876</v>
      </c>
      <c r="E500" s="8">
        <v>41877</v>
      </c>
      <c r="F500" s="9">
        <v>891</v>
      </c>
    </row>
    <row r="501" spans="1:6" x14ac:dyDescent="0.25">
      <c r="A501" s="10" t="s">
        <v>107</v>
      </c>
      <c r="B501" s="11" t="s">
        <v>108</v>
      </c>
      <c r="C501" s="11" t="s">
        <v>19</v>
      </c>
      <c r="D501" s="12">
        <v>41876</v>
      </c>
      <c r="E501" s="12">
        <v>41877</v>
      </c>
      <c r="F501" s="13">
        <v>654.4</v>
      </c>
    </row>
    <row r="502" spans="1:6" x14ac:dyDescent="0.25">
      <c r="A502" s="6" t="s">
        <v>20</v>
      </c>
      <c r="B502" s="7" t="s">
        <v>162</v>
      </c>
      <c r="C502" s="7" t="s">
        <v>59</v>
      </c>
      <c r="D502" s="8">
        <v>41876</v>
      </c>
      <c r="E502" s="8">
        <v>41878</v>
      </c>
      <c r="F502" s="9">
        <v>760</v>
      </c>
    </row>
    <row r="503" spans="1:6" x14ac:dyDescent="0.25">
      <c r="A503" s="10" t="s">
        <v>15</v>
      </c>
      <c r="B503" s="11" t="s">
        <v>16</v>
      </c>
      <c r="C503" s="11" t="s">
        <v>38</v>
      </c>
      <c r="D503" s="12">
        <v>41876</v>
      </c>
      <c r="E503" s="12">
        <v>41877</v>
      </c>
      <c r="F503" s="13">
        <v>407.8</v>
      </c>
    </row>
    <row r="504" spans="1:6" x14ac:dyDescent="0.25">
      <c r="A504" s="6" t="s">
        <v>20</v>
      </c>
      <c r="B504" s="7" t="s">
        <v>21</v>
      </c>
      <c r="C504" s="7" t="s">
        <v>19</v>
      </c>
      <c r="D504" s="8">
        <v>41876</v>
      </c>
      <c r="E504" s="8">
        <v>41877</v>
      </c>
      <c r="F504" s="9">
        <v>654.4</v>
      </c>
    </row>
    <row r="505" spans="1:6" x14ac:dyDescent="0.25">
      <c r="A505" s="10" t="s">
        <v>25</v>
      </c>
      <c r="B505" s="11" t="s">
        <v>26</v>
      </c>
      <c r="C505" s="11" t="s">
        <v>38</v>
      </c>
      <c r="D505" s="12">
        <v>41877</v>
      </c>
      <c r="E505" s="12">
        <v>41878</v>
      </c>
      <c r="F505" s="13">
        <v>407.8</v>
      </c>
    </row>
    <row r="506" spans="1:6" x14ac:dyDescent="0.25">
      <c r="A506" s="6" t="s">
        <v>93</v>
      </c>
      <c r="B506" s="7" t="s">
        <v>106</v>
      </c>
      <c r="C506" s="7" t="s">
        <v>72</v>
      </c>
      <c r="D506" s="8">
        <v>41878</v>
      </c>
      <c r="E506" s="8">
        <v>41878</v>
      </c>
      <c r="F506" s="9">
        <v>494.7</v>
      </c>
    </row>
    <row r="507" spans="1:6" x14ac:dyDescent="0.25">
      <c r="A507" s="10" t="s">
        <v>79</v>
      </c>
      <c r="B507" s="11" t="s">
        <v>80</v>
      </c>
      <c r="C507" s="11" t="s">
        <v>47</v>
      </c>
      <c r="D507" s="12">
        <v>41881</v>
      </c>
      <c r="E507" s="12">
        <v>41884</v>
      </c>
      <c r="F507" s="13">
        <v>852.8</v>
      </c>
    </row>
    <row r="508" spans="1:6" x14ac:dyDescent="0.25">
      <c r="A508" s="6" t="s">
        <v>50</v>
      </c>
      <c r="B508" s="7" t="s">
        <v>51</v>
      </c>
      <c r="C508" s="7" t="s">
        <v>72</v>
      </c>
      <c r="D508" s="8">
        <v>41881</v>
      </c>
      <c r="E508" s="8">
        <v>41882</v>
      </c>
      <c r="F508" s="9">
        <v>693.7</v>
      </c>
    </row>
    <row r="509" spans="1:6" x14ac:dyDescent="0.25">
      <c r="A509" s="10" t="s">
        <v>25</v>
      </c>
      <c r="B509" s="11" t="s">
        <v>26</v>
      </c>
      <c r="C509" s="11" t="s">
        <v>11</v>
      </c>
      <c r="D509" s="12">
        <v>41881</v>
      </c>
      <c r="E509" s="12">
        <v>41883</v>
      </c>
      <c r="F509" s="13">
        <v>434.4</v>
      </c>
    </row>
    <row r="510" spans="1:6" x14ac:dyDescent="0.25">
      <c r="A510" s="6" t="s">
        <v>82</v>
      </c>
      <c r="B510" s="7" t="s">
        <v>125</v>
      </c>
      <c r="C510" s="7" t="s">
        <v>66</v>
      </c>
      <c r="D510" s="8">
        <v>41881</v>
      </c>
      <c r="E510" s="8">
        <v>41882</v>
      </c>
      <c r="F510" s="9">
        <v>485.7</v>
      </c>
    </row>
    <row r="511" spans="1:6" x14ac:dyDescent="0.25">
      <c r="A511" s="10" t="s">
        <v>134</v>
      </c>
      <c r="B511" s="11" t="s">
        <v>149</v>
      </c>
      <c r="C511" s="11" t="s">
        <v>8</v>
      </c>
      <c r="D511" s="12">
        <v>41881</v>
      </c>
      <c r="E511" s="12">
        <v>41882</v>
      </c>
      <c r="F511" s="13">
        <v>891</v>
      </c>
    </row>
    <row r="512" spans="1:6" x14ac:dyDescent="0.25">
      <c r="A512" s="6" t="s">
        <v>64</v>
      </c>
      <c r="B512" s="7" t="s">
        <v>65</v>
      </c>
      <c r="C512" s="7" t="s">
        <v>17</v>
      </c>
      <c r="D512" s="8">
        <v>41881</v>
      </c>
      <c r="E512" s="8">
        <v>41885</v>
      </c>
      <c r="F512" s="9">
        <v>1321.5</v>
      </c>
    </row>
    <row r="513" spans="1:6" x14ac:dyDescent="0.25">
      <c r="A513" s="10" t="s">
        <v>109</v>
      </c>
      <c r="B513" s="11" t="s">
        <v>110</v>
      </c>
      <c r="C513" s="11" t="s">
        <v>14</v>
      </c>
      <c r="D513" s="12">
        <v>41885</v>
      </c>
      <c r="E513" s="12">
        <v>41888</v>
      </c>
      <c r="F513" s="13">
        <v>550.5</v>
      </c>
    </row>
    <row r="514" spans="1:6" x14ac:dyDescent="0.25">
      <c r="A514" s="6" t="s">
        <v>31</v>
      </c>
      <c r="B514" s="7" t="s">
        <v>78</v>
      </c>
      <c r="C514" s="7" t="s">
        <v>24</v>
      </c>
      <c r="D514" s="8">
        <v>41886</v>
      </c>
      <c r="E514" s="8">
        <v>41887</v>
      </c>
      <c r="F514" s="9">
        <v>439.7</v>
      </c>
    </row>
    <row r="515" spans="1:6" x14ac:dyDescent="0.25">
      <c r="A515" s="10" t="s">
        <v>6</v>
      </c>
      <c r="B515" s="11" t="s">
        <v>7</v>
      </c>
      <c r="C515" s="11" t="s">
        <v>30</v>
      </c>
      <c r="D515" s="12">
        <v>41886</v>
      </c>
      <c r="E515" s="12">
        <v>41889</v>
      </c>
      <c r="F515" s="13">
        <v>569.5</v>
      </c>
    </row>
    <row r="516" spans="1:6" x14ac:dyDescent="0.25">
      <c r="A516" s="6" t="s">
        <v>122</v>
      </c>
      <c r="B516" s="7" t="s">
        <v>123</v>
      </c>
      <c r="C516" s="7" t="s">
        <v>14</v>
      </c>
      <c r="D516" s="8">
        <v>41886</v>
      </c>
      <c r="E516" s="8">
        <v>41889</v>
      </c>
      <c r="F516" s="9">
        <v>550.5</v>
      </c>
    </row>
    <row r="517" spans="1:6" x14ac:dyDescent="0.25">
      <c r="A517" s="10" t="s">
        <v>93</v>
      </c>
      <c r="B517" s="11" t="s">
        <v>124</v>
      </c>
      <c r="C517" s="11" t="s">
        <v>24</v>
      </c>
      <c r="D517" s="12">
        <v>41886</v>
      </c>
      <c r="E517" s="12">
        <v>41887</v>
      </c>
      <c r="F517" s="13">
        <v>439.7</v>
      </c>
    </row>
    <row r="518" spans="1:6" x14ac:dyDescent="0.25">
      <c r="A518" s="6" t="s">
        <v>22</v>
      </c>
      <c r="B518" s="7" t="s">
        <v>172</v>
      </c>
      <c r="C518" s="7" t="s">
        <v>24</v>
      </c>
      <c r="D518" s="8">
        <v>41886</v>
      </c>
      <c r="E518" s="8">
        <v>41886</v>
      </c>
      <c r="F518" s="9">
        <v>290.7</v>
      </c>
    </row>
    <row r="519" spans="1:6" x14ac:dyDescent="0.25">
      <c r="A519" s="10" t="s">
        <v>84</v>
      </c>
      <c r="B519" s="11" t="s">
        <v>85</v>
      </c>
      <c r="C519" s="11" t="s">
        <v>19</v>
      </c>
      <c r="D519" s="12">
        <v>41886</v>
      </c>
      <c r="E519" s="12">
        <v>41890</v>
      </c>
      <c r="F519" s="13">
        <v>1077.4000000000001</v>
      </c>
    </row>
    <row r="520" spans="1:6" x14ac:dyDescent="0.25">
      <c r="A520" s="6" t="s">
        <v>82</v>
      </c>
      <c r="B520" s="7" t="s">
        <v>125</v>
      </c>
      <c r="C520" s="7" t="s">
        <v>14</v>
      </c>
      <c r="D520" s="8">
        <v>41886</v>
      </c>
      <c r="E520" s="8">
        <v>41888</v>
      </c>
      <c r="F520" s="9">
        <v>426.5</v>
      </c>
    </row>
    <row r="521" spans="1:6" x14ac:dyDescent="0.25">
      <c r="A521" s="10" t="s">
        <v>33</v>
      </c>
      <c r="B521" s="11" t="s">
        <v>34</v>
      </c>
      <c r="C521" s="11" t="s">
        <v>27</v>
      </c>
      <c r="D521" s="12">
        <v>41886</v>
      </c>
      <c r="E521" s="12">
        <v>41887</v>
      </c>
      <c r="F521" s="13">
        <v>570</v>
      </c>
    </row>
    <row r="522" spans="1:6" x14ac:dyDescent="0.25">
      <c r="A522" s="6" t="s">
        <v>9</v>
      </c>
      <c r="B522" s="7" t="s">
        <v>69</v>
      </c>
      <c r="C522" s="7" t="s">
        <v>24</v>
      </c>
      <c r="D522" s="8">
        <v>41886</v>
      </c>
      <c r="E522" s="8">
        <v>41886</v>
      </c>
      <c r="F522" s="9">
        <v>290.7</v>
      </c>
    </row>
    <row r="523" spans="1:6" x14ac:dyDescent="0.25">
      <c r="A523" s="10" t="s">
        <v>143</v>
      </c>
      <c r="B523" s="11" t="s">
        <v>144</v>
      </c>
      <c r="C523" s="11" t="s">
        <v>19</v>
      </c>
      <c r="D523" s="12">
        <v>41886</v>
      </c>
      <c r="E523" s="12">
        <v>41887</v>
      </c>
      <c r="F523" s="13">
        <v>654.4</v>
      </c>
    </row>
    <row r="524" spans="1:6" x14ac:dyDescent="0.25">
      <c r="A524" s="6" t="s">
        <v>75</v>
      </c>
      <c r="B524" s="7" t="s">
        <v>88</v>
      </c>
      <c r="C524" s="7" t="s">
        <v>66</v>
      </c>
      <c r="D524" s="8">
        <v>41886</v>
      </c>
      <c r="E524" s="8">
        <v>41890</v>
      </c>
      <c r="F524" s="9">
        <v>1019.7</v>
      </c>
    </row>
    <row r="525" spans="1:6" x14ac:dyDescent="0.25">
      <c r="A525" s="10" t="s">
        <v>119</v>
      </c>
      <c r="B525" s="11" t="s">
        <v>120</v>
      </c>
      <c r="C525" s="11" t="s">
        <v>11</v>
      </c>
      <c r="D525" s="12">
        <v>41886</v>
      </c>
      <c r="E525" s="12">
        <v>41889</v>
      </c>
      <c r="F525" s="13">
        <v>573.4</v>
      </c>
    </row>
    <row r="526" spans="1:6" x14ac:dyDescent="0.25">
      <c r="A526" s="6" t="s">
        <v>36</v>
      </c>
      <c r="B526" s="7" t="s">
        <v>37</v>
      </c>
      <c r="C526" s="7" t="s">
        <v>17</v>
      </c>
      <c r="D526" s="8">
        <v>41886</v>
      </c>
      <c r="E526" s="8">
        <v>41889</v>
      </c>
      <c r="F526" s="9">
        <v>1116.5</v>
      </c>
    </row>
    <row r="527" spans="1:6" x14ac:dyDescent="0.25">
      <c r="A527" s="10" t="s">
        <v>75</v>
      </c>
      <c r="B527" s="11" t="s">
        <v>76</v>
      </c>
      <c r="C527" s="11" t="s">
        <v>11</v>
      </c>
      <c r="D527" s="12">
        <v>41886</v>
      </c>
      <c r="E527" s="12">
        <v>41888</v>
      </c>
      <c r="F527" s="13">
        <v>434.4</v>
      </c>
    </row>
    <row r="528" spans="1:6" x14ac:dyDescent="0.25">
      <c r="A528" s="6" t="s">
        <v>91</v>
      </c>
      <c r="B528" s="7" t="s">
        <v>92</v>
      </c>
      <c r="C528" s="7" t="s">
        <v>38</v>
      </c>
      <c r="D528" s="8">
        <v>41886</v>
      </c>
      <c r="E528" s="8">
        <v>41887</v>
      </c>
      <c r="F528" s="9">
        <v>407.8</v>
      </c>
    </row>
    <row r="529" spans="1:6" x14ac:dyDescent="0.25">
      <c r="A529" s="10" t="s">
        <v>12</v>
      </c>
      <c r="B529" s="11" t="s">
        <v>95</v>
      </c>
      <c r="C529" s="11" t="s">
        <v>66</v>
      </c>
      <c r="D529" s="12">
        <v>41886</v>
      </c>
      <c r="E529" s="12">
        <v>41889</v>
      </c>
      <c r="F529" s="13">
        <v>841.7</v>
      </c>
    </row>
    <row r="530" spans="1:6" x14ac:dyDescent="0.25">
      <c r="A530" s="6" t="s">
        <v>54</v>
      </c>
      <c r="B530" s="7" t="s">
        <v>118</v>
      </c>
      <c r="C530" s="7" t="s">
        <v>30</v>
      </c>
      <c r="D530" s="8">
        <v>41886</v>
      </c>
      <c r="E530" s="8">
        <v>41886</v>
      </c>
      <c r="F530" s="9">
        <v>212.5</v>
      </c>
    </row>
    <row r="531" spans="1:6" x14ac:dyDescent="0.25">
      <c r="A531" s="10" t="s">
        <v>15</v>
      </c>
      <c r="B531" s="11" t="s">
        <v>46</v>
      </c>
      <c r="C531" s="11" t="s">
        <v>24</v>
      </c>
      <c r="D531" s="12">
        <v>41887</v>
      </c>
      <c r="E531" s="12">
        <v>41889</v>
      </c>
      <c r="F531" s="13">
        <v>588.70000000000005</v>
      </c>
    </row>
    <row r="532" spans="1:6" x14ac:dyDescent="0.25">
      <c r="A532" s="6" t="s">
        <v>25</v>
      </c>
      <c r="B532" s="7" t="s">
        <v>26</v>
      </c>
      <c r="C532" s="7" t="s">
        <v>17</v>
      </c>
      <c r="D532" s="8">
        <v>41887</v>
      </c>
      <c r="E532" s="8">
        <v>41887</v>
      </c>
      <c r="F532" s="9">
        <v>501.5</v>
      </c>
    </row>
    <row r="533" spans="1:6" x14ac:dyDescent="0.25">
      <c r="A533" s="10" t="s">
        <v>70</v>
      </c>
      <c r="B533" s="11" t="s">
        <v>71</v>
      </c>
      <c r="C533" s="11" t="s">
        <v>14</v>
      </c>
      <c r="D533" s="12">
        <v>41887</v>
      </c>
      <c r="E533" s="12">
        <v>41888</v>
      </c>
      <c r="F533" s="13">
        <v>302.5</v>
      </c>
    </row>
    <row r="534" spans="1:6" x14ac:dyDescent="0.25">
      <c r="A534" s="6" t="s">
        <v>115</v>
      </c>
      <c r="B534" s="7" t="s">
        <v>140</v>
      </c>
      <c r="C534" s="7" t="s">
        <v>27</v>
      </c>
      <c r="D534" s="8">
        <v>41887</v>
      </c>
      <c r="E534" s="8">
        <v>41887</v>
      </c>
      <c r="F534" s="9">
        <v>442</v>
      </c>
    </row>
    <row r="535" spans="1:6" x14ac:dyDescent="0.25">
      <c r="A535" s="10" t="s">
        <v>134</v>
      </c>
      <c r="B535" s="11" t="s">
        <v>135</v>
      </c>
      <c r="C535" s="11" t="s">
        <v>19</v>
      </c>
      <c r="D535" s="12">
        <v>41887</v>
      </c>
      <c r="E535" s="12">
        <v>41890</v>
      </c>
      <c r="F535" s="13">
        <v>936.4</v>
      </c>
    </row>
    <row r="536" spans="1:6" x14ac:dyDescent="0.25">
      <c r="A536" s="6" t="s">
        <v>99</v>
      </c>
      <c r="B536" s="7" t="s">
        <v>100</v>
      </c>
      <c r="C536" s="7" t="s">
        <v>19</v>
      </c>
      <c r="D536" s="8">
        <v>41887</v>
      </c>
      <c r="E536" s="8">
        <v>41887</v>
      </c>
      <c r="F536" s="9">
        <v>513.4</v>
      </c>
    </row>
    <row r="537" spans="1:6" x14ac:dyDescent="0.25">
      <c r="A537" s="10" t="s">
        <v>101</v>
      </c>
      <c r="B537" s="11" t="s">
        <v>102</v>
      </c>
      <c r="C537" s="11" t="s">
        <v>11</v>
      </c>
      <c r="D537" s="12">
        <v>41887</v>
      </c>
      <c r="E537" s="12">
        <v>41888</v>
      </c>
      <c r="F537" s="13">
        <v>295.39999999999998</v>
      </c>
    </row>
    <row r="538" spans="1:6" x14ac:dyDescent="0.25">
      <c r="A538" s="6" t="s">
        <v>143</v>
      </c>
      <c r="B538" s="7" t="s">
        <v>144</v>
      </c>
      <c r="C538" s="7" t="s">
        <v>30</v>
      </c>
      <c r="D538" s="8">
        <v>41887</v>
      </c>
      <c r="E538" s="8">
        <v>41891</v>
      </c>
      <c r="F538" s="9">
        <v>688.5</v>
      </c>
    </row>
    <row r="539" spans="1:6" x14ac:dyDescent="0.25">
      <c r="A539" s="10" t="s">
        <v>93</v>
      </c>
      <c r="B539" s="11" t="s">
        <v>106</v>
      </c>
      <c r="C539" s="11" t="s">
        <v>17</v>
      </c>
      <c r="D539" s="12">
        <v>41887</v>
      </c>
      <c r="E539" s="12">
        <v>41890</v>
      </c>
      <c r="F539" s="13">
        <v>1116.5</v>
      </c>
    </row>
    <row r="540" spans="1:6" x14ac:dyDescent="0.25">
      <c r="A540" s="6" t="s">
        <v>93</v>
      </c>
      <c r="B540" s="7" t="s">
        <v>94</v>
      </c>
      <c r="C540" s="7" t="s">
        <v>14</v>
      </c>
      <c r="D540" s="8">
        <v>41887</v>
      </c>
      <c r="E540" s="8">
        <v>41889</v>
      </c>
      <c r="F540" s="9">
        <v>426.5</v>
      </c>
    </row>
    <row r="541" spans="1:6" x14ac:dyDescent="0.25">
      <c r="A541" s="10" t="s">
        <v>137</v>
      </c>
      <c r="B541" s="11" t="s">
        <v>138</v>
      </c>
      <c r="C541" s="11" t="s">
        <v>27</v>
      </c>
      <c r="D541" s="12">
        <v>41887</v>
      </c>
      <c r="E541" s="12">
        <v>41889</v>
      </c>
      <c r="F541" s="13">
        <v>698</v>
      </c>
    </row>
    <row r="542" spans="1:6" x14ac:dyDescent="0.25">
      <c r="A542" s="6" t="s">
        <v>115</v>
      </c>
      <c r="B542" s="7" t="s">
        <v>116</v>
      </c>
      <c r="C542" s="7" t="s">
        <v>30</v>
      </c>
      <c r="D542" s="8">
        <v>41887</v>
      </c>
      <c r="E542" s="8">
        <v>41888</v>
      </c>
      <c r="F542" s="9">
        <v>331.5</v>
      </c>
    </row>
    <row r="543" spans="1:6" x14ac:dyDescent="0.25">
      <c r="A543" s="10" t="s">
        <v>64</v>
      </c>
      <c r="B543" s="11" t="s">
        <v>65</v>
      </c>
      <c r="C543" s="11" t="s">
        <v>38</v>
      </c>
      <c r="D543" s="12">
        <v>41887</v>
      </c>
      <c r="E543" s="12">
        <v>41889</v>
      </c>
      <c r="F543" s="13">
        <v>536.79999999999995</v>
      </c>
    </row>
    <row r="544" spans="1:6" x14ac:dyDescent="0.25">
      <c r="A544" s="6" t="s">
        <v>86</v>
      </c>
      <c r="B544" s="7" t="s">
        <v>136</v>
      </c>
      <c r="C544" s="7" t="s">
        <v>72</v>
      </c>
      <c r="D544" s="8">
        <v>41887</v>
      </c>
      <c r="E544" s="8">
        <v>41888</v>
      </c>
      <c r="F544" s="9">
        <v>693.7</v>
      </c>
    </row>
    <row r="545" spans="1:6" x14ac:dyDescent="0.25">
      <c r="A545" s="10" t="s">
        <v>93</v>
      </c>
      <c r="B545" s="11" t="s">
        <v>124</v>
      </c>
      <c r="C545" s="11" t="s">
        <v>17</v>
      </c>
      <c r="D545" s="12">
        <v>41889</v>
      </c>
      <c r="E545" s="12">
        <v>41889</v>
      </c>
      <c r="F545" s="13">
        <v>501.5</v>
      </c>
    </row>
    <row r="546" spans="1:6" x14ac:dyDescent="0.25">
      <c r="A546" s="6" t="s">
        <v>54</v>
      </c>
      <c r="B546" s="7" t="s">
        <v>55</v>
      </c>
      <c r="C546" s="7" t="s">
        <v>19</v>
      </c>
      <c r="D546" s="8">
        <v>41890</v>
      </c>
      <c r="E546" s="8">
        <v>41890</v>
      </c>
      <c r="F546" s="9">
        <v>513.4</v>
      </c>
    </row>
    <row r="547" spans="1:6" x14ac:dyDescent="0.25">
      <c r="A547" s="10" t="s">
        <v>22</v>
      </c>
      <c r="B547" s="11" t="s">
        <v>172</v>
      </c>
      <c r="C547" s="11" t="s">
        <v>27</v>
      </c>
      <c r="D547" s="12">
        <v>41890</v>
      </c>
      <c r="E547" s="12">
        <v>41890</v>
      </c>
      <c r="F547" s="13">
        <v>442</v>
      </c>
    </row>
    <row r="548" spans="1:6" x14ac:dyDescent="0.25">
      <c r="A548" s="6" t="s">
        <v>9</v>
      </c>
      <c r="B548" s="7" t="s">
        <v>69</v>
      </c>
      <c r="C548" s="7" t="s">
        <v>38</v>
      </c>
      <c r="D548" s="8">
        <v>41890</v>
      </c>
      <c r="E548" s="8">
        <v>41890</v>
      </c>
      <c r="F548" s="9">
        <v>278.8</v>
      </c>
    </row>
    <row r="549" spans="1:6" x14ac:dyDescent="0.25">
      <c r="A549" s="10" t="s">
        <v>54</v>
      </c>
      <c r="B549" s="11" t="s">
        <v>118</v>
      </c>
      <c r="C549" s="11" t="s">
        <v>24</v>
      </c>
      <c r="D549" s="12">
        <v>41890</v>
      </c>
      <c r="E549" s="12">
        <v>41890</v>
      </c>
      <c r="F549" s="13">
        <v>290.7</v>
      </c>
    </row>
    <row r="550" spans="1:6" x14ac:dyDescent="0.25">
      <c r="A550" s="6" t="s">
        <v>99</v>
      </c>
      <c r="B550" s="7" t="s">
        <v>130</v>
      </c>
      <c r="C550" s="7" t="s">
        <v>38</v>
      </c>
      <c r="D550" s="8">
        <v>41893</v>
      </c>
      <c r="E550" s="8">
        <v>41896</v>
      </c>
      <c r="F550" s="9">
        <v>665.8</v>
      </c>
    </row>
    <row r="551" spans="1:6" x14ac:dyDescent="0.25">
      <c r="A551" s="10" t="s">
        <v>115</v>
      </c>
      <c r="B551" s="11" t="s">
        <v>140</v>
      </c>
      <c r="C551" s="11" t="s">
        <v>8</v>
      </c>
      <c r="D551" s="12">
        <v>41893</v>
      </c>
      <c r="E551" s="12">
        <v>41896</v>
      </c>
      <c r="F551" s="13">
        <v>1313</v>
      </c>
    </row>
    <row r="552" spans="1:6" x14ac:dyDescent="0.25">
      <c r="A552" s="6" t="s">
        <v>109</v>
      </c>
      <c r="B552" s="7" t="s">
        <v>110</v>
      </c>
      <c r="C552" s="7" t="s">
        <v>8</v>
      </c>
      <c r="D552" s="8">
        <v>41893</v>
      </c>
      <c r="E552" s="8">
        <v>41894</v>
      </c>
      <c r="F552" s="9">
        <v>891</v>
      </c>
    </row>
    <row r="553" spans="1:6" x14ac:dyDescent="0.25">
      <c r="A553" s="10" t="s">
        <v>137</v>
      </c>
      <c r="B553" s="11" t="s">
        <v>138</v>
      </c>
      <c r="C553" s="11" t="s">
        <v>47</v>
      </c>
      <c r="D553" s="12">
        <v>41893</v>
      </c>
      <c r="E553" s="12">
        <v>41895</v>
      </c>
      <c r="F553" s="13">
        <v>689.8</v>
      </c>
    </row>
    <row r="554" spans="1:6" x14ac:dyDescent="0.25">
      <c r="A554" s="6" t="s">
        <v>12</v>
      </c>
      <c r="B554" s="7" t="s">
        <v>95</v>
      </c>
      <c r="C554" s="7" t="s">
        <v>47</v>
      </c>
      <c r="D554" s="8">
        <v>41893</v>
      </c>
      <c r="E554" s="8">
        <v>41894</v>
      </c>
      <c r="F554" s="9">
        <v>526.79999999999995</v>
      </c>
    </row>
    <row r="555" spans="1:6" x14ac:dyDescent="0.25">
      <c r="A555" s="10" t="s">
        <v>57</v>
      </c>
      <c r="B555" s="11" t="s">
        <v>58</v>
      </c>
      <c r="C555" s="11" t="s">
        <v>11</v>
      </c>
      <c r="D555" s="12">
        <v>41893</v>
      </c>
      <c r="E555" s="12">
        <v>41896</v>
      </c>
      <c r="F555" s="13">
        <v>573.4</v>
      </c>
    </row>
    <row r="556" spans="1:6" x14ac:dyDescent="0.25">
      <c r="A556" s="6" t="s">
        <v>6</v>
      </c>
      <c r="B556" s="7" t="s">
        <v>7</v>
      </c>
      <c r="C556" s="7" t="s">
        <v>38</v>
      </c>
      <c r="D556" s="8">
        <v>41897</v>
      </c>
      <c r="E556" s="8">
        <v>41897</v>
      </c>
      <c r="F556" s="9">
        <v>278.8</v>
      </c>
    </row>
    <row r="557" spans="1:6" x14ac:dyDescent="0.25">
      <c r="A557" s="10" t="s">
        <v>54</v>
      </c>
      <c r="B557" s="11" t="s">
        <v>118</v>
      </c>
      <c r="C557" s="11" t="s">
        <v>17</v>
      </c>
      <c r="D557" s="12">
        <v>41897</v>
      </c>
      <c r="E557" s="12">
        <v>41898</v>
      </c>
      <c r="F557" s="13">
        <v>706.5</v>
      </c>
    </row>
    <row r="558" spans="1:6" x14ac:dyDescent="0.25">
      <c r="A558" s="6" t="s">
        <v>22</v>
      </c>
      <c r="B558" s="7" t="s">
        <v>23</v>
      </c>
      <c r="C558" s="7" t="s">
        <v>24</v>
      </c>
      <c r="D558" s="8">
        <v>41898</v>
      </c>
      <c r="E558" s="8">
        <v>41901</v>
      </c>
      <c r="F558" s="9">
        <v>737.7</v>
      </c>
    </row>
    <row r="559" spans="1:6" x14ac:dyDescent="0.25">
      <c r="A559" s="10" t="s">
        <v>22</v>
      </c>
      <c r="B559" s="11" t="s">
        <v>23</v>
      </c>
      <c r="C559" s="11" t="s">
        <v>27</v>
      </c>
      <c r="D559" s="12">
        <v>41898</v>
      </c>
      <c r="E559" s="12">
        <v>41900</v>
      </c>
      <c r="F559" s="13">
        <v>698</v>
      </c>
    </row>
    <row r="560" spans="1:6" x14ac:dyDescent="0.25">
      <c r="A560" s="6" t="s">
        <v>31</v>
      </c>
      <c r="B560" s="7" t="s">
        <v>78</v>
      </c>
      <c r="C560" s="7" t="s">
        <v>17</v>
      </c>
      <c r="D560" s="8">
        <v>41898</v>
      </c>
      <c r="E560" s="8">
        <v>41899</v>
      </c>
      <c r="F560" s="9">
        <v>706.5</v>
      </c>
    </row>
    <row r="561" spans="1:6" x14ac:dyDescent="0.25">
      <c r="A561" s="10" t="s">
        <v>6</v>
      </c>
      <c r="B561" s="11" t="s">
        <v>139</v>
      </c>
      <c r="C561" s="11" t="s">
        <v>38</v>
      </c>
      <c r="D561" s="12">
        <v>41898</v>
      </c>
      <c r="E561" s="12">
        <v>41900</v>
      </c>
      <c r="F561" s="13">
        <v>536.79999999999995</v>
      </c>
    </row>
    <row r="562" spans="1:6" x14ac:dyDescent="0.25">
      <c r="A562" s="6" t="s">
        <v>122</v>
      </c>
      <c r="B562" s="7" t="s">
        <v>123</v>
      </c>
      <c r="C562" s="7" t="s">
        <v>11</v>
      </c>
      <c r="D562" s="8">
        <v>41898</v>
      </c>
      <c r="E562" s="8">
        <v>41902</v>
      </c>
      <c r="F562" s="9">
        <v>712.4</v>
      </c>
    </row>
    <row r="563" spans="1:6" x14ac:dyDescent="0.25">
      <c r="A563" s="10" t="s">
        <v>57</v>
      </c>
      <c r="B563" s="11" t="s">
        <v>163</v>
      </c>
      <c r="C563" s="11" t="s">
        <v>19</v>
      </c>
      <c r="D563" s="12">
        <v>41898</v>
      </c>
      <c r="E563" s="12">
        <v>41901</v>
      </c>
      <c r="F563" s="13">
        <v>936.4</v>
      </c>
    </row>
    <row r="564" spans="1:6" x14ac:dyDescent="0.25">
      <c r="A564" s="6" t="s">
        <v>57</v>
      </c>
      <c r="B564" s="7" t="s">
        <v>163</v>
      </c>
      <c r="C564" s="7" t="s">
        <v>8</v>
      </c>
      <c r="D564" s="8">
        <v>41898</v>
      </c>
      <c r="E564" s="8">
        <v>41902</v>
      </c>
      <c r="F564" s="9">
        <v>1524</v>
      </c>
    </row>
    <row r="565" spans="1:6" x14ac:dyDescent="0.25">
      <c r="A565" s="10" t="s">
        <v>22</v>
      </c>
      <c r="B565" s="11" t="s">
        <v>172</v>
      </c>
      <c r="C565" s="11" t="s">
        <v>19</v>
      </c>
      <c r="D565" s="12">
        <v>41898</v>
      </c>
      <c r="E565" s="12">
        <v>41900</v>
      </c>
      <c r="F565" s="13">
        <v>795.4</v>
      </c>
    </row>
    <row r="566" spans="1:6" x14ac:dyDescent="0.25">
      <c r="A566" s="6" t="s">
        <v>50</v>
      </c>
      <c r="B566" s="7" t="s">
        <v>51</v>
      </c>
      <c r="C566" s="7" t="s">
        <v>17</v>
      </c>
      <c r="D566" s="8">
        <v>41898</v>
      </c>
      <c r="E566" s="8">
        <v>41901</v>
      </c>
      <c r="F566" s="9">
        <v>1116.5</v>
      </c>
    </row>
    <row r="567" spans="1:6" x14ac:dyDescent="0.25">
      <c r="A567" s="10" t="s">
        <v>115</v>
      </c>
      <c r="B567" s="11" t="s">
        <v>140</v>
      </c>
      <c r="C567" s="11" t="s">
        <v>72</v>
      </c>
      <c r="D567" s="12">
        <v>41898</v>
      </c>
      <c r="E567" s="12">
        <v>41899</v>
      </c>
      <c r="F567" s="13">
        <v>693.7</v>
      </c>
    </row>
    <row r="568" spans="1:6" x14ac:dyDescent="0.25">
      <c r="A568" s="6" t="s">
        <v>33</v>
      </c>
      <c r="B568" s="7" t="s">
        <v>34</v>
      </c>
      <c r="C568" s="7" t="s">
        <v>72</v>
      </c>
      <c r="D568" s="8">
        <v>41898</v>
      </c>
      <c r="E568" s="8">
        <v>41900</v>
      </c>
      <c r="F568" s="9">
        <v>892.7</v>
      </c>
    </row>
    <row r="569" spans="1:6" x14ac:dyDescent="0.25">
      <c r="A569" s="10" t="s">
        <v>33</v>
      </c>
      <c r="B569" s="11" t="s">
        <v>41</v>
      </c>
      <c r="C569" s="11" t="s">
        <v>17</v>
      </c>
      <c r="D569" s="12">
        <v>41898</v>
      </c>
      <c r="E569" s="12">
        <v>41898</v>
      </c>
      <c r="F569" s="13">
        <v>501.5</v>
      </c>
    </row>
    <row r="570" spans="1:6" x14ac:dyDescent="0.25">
      <c r="A570" s="6" t="s">
        <v>93</v>
      </c>
      <c r="B570" s="7" t="s">
        <v>106</v>
      </c>
      <c r="C570" s="7" t="s">
        <v>27</v>
      </c>
      <c r="D570" s="8">
        <v>41898</v>
      </c>
      <c r="E570" s="8">
        <v>41899</v>
      </c>
      <c r="F570" s="9">
        <v>570</v>
      </c>
    </row>
    <row r="571" spans="1:6" x14ac:dyDescent="0.25">
      <c r="A571" s="10" t="s">
        <v>25</v>
      </c>
      <c r="B571" s="11" t="s">
        <v>35</v>
      </c>
      <c r="C571" s="11" t="s">
        <v>38</v>
      </c>
      <c r="D571" s="12">
        <v>41898</v>
      </c>
      <c r="E571" s="12">
        <v>41901</v>
      </c>
      <c r="F571" s="13">
        <v>665.8</v>
      </c>
    </row>
    <row r="572" spans="1:6" x14ac:dyDescent="0.25">
      <c r="A572" s="6" t="s">
        <v>119</v>
      </c>
      <c r="B572" s="7" t="s">
        <v>120</v>
      </c>
      <c r="C572" s="7" t="s">
        <v>30</v>
      </c>
      <c r="D572" s="8">
        <v>41898</v>
      </c>
      <c r="E572" s="8">
        <v>41899</v>
      </c>
      <c r="F572" s="9">
        <v>331.5</v>
      </c>
    </row>
    <row r="573" spans="1:6" x14ac:dyDescent="0.25">
      <c r="A573" s="10" t="s">
        <v>6</v>
      </c>
      <c r="B573" s="11" t="s">
        <v>45</v>
      </c>
      <c r="C573" s="11" t="s">
        <v>30</v>
      </c>
      <c r="D573" s="12">
        <v>41898</v>
      </c>
      <c r="E573" s="12">
        <v>41901</v>
      </c>
      <c r="F573" s="13">
        <v>569.5</v>
      </c>
    </row>
    <row r="574" spans="1:6" x14ac:dyDescent="0.25">
      <c r="A574" s="6" t="s">
        <v>15</v>
      </c>
      <c r="B574" s="7" t="s">
        <v>16</v>
      </c>
      <c r="C574" s="7" t="s">
        <v>24</v>
      </c>
      <c r="D574" s="8">
        <v>41898</v>
      </c>
      <c r="E574" s="8">
        <v>41902</v>
      </c>
      <c r="F574" s="9">
        <v>886.7</v>
      </c>
    </row>
    <row r="575" spans="1:6" x14ac:dyDescent="0.25">
      <c r="A575" s="10" t="s">
        <v>91</v>
      </c>
      <c r="B575" s="11" t="s">
        <v>92</v>
      </c>
      <c r="C575" s="11" t="s">
        <v>8</v>
      </c>
      <c r="D575" s="12">
        <v>41898</v>
      </c>
      <c r="E575" s="12">
        <v>41900</v>
      </c>
      <c r="F575" s="13">
        <v>1102</v>
      </c>
    </row>
    <row r="576" spans="1:6" x14ac:dyDescent="0.25">
      <c r="A576" s="6" t="s">
        <v>137</v>
      </c>
      <c r="B576" s="7" t="s">
        <v>138</v>
      </c>
      <c r="C576" s="7" t="s">
        <v>72</v>
      </c>
      <c r="D576" s="8">
        <v>41898</v>
      </c>
      <c r="E576" s="8">
        <v>41900</v>
      </c>
      <c r="F576" s="9">
        <v>892.7</v>
      </c>
    </row>
    <row r="577" spans="1:6" x14ac:dyDescent="0.25">
      <c r="A577" s="10" t="s">
        <v>6</v>
      </c>
      <c r="B577" s="11" t="s">
        <v>139</v>
      </c>
      <c r="C577" s="11" t="s">
        <v>24</v>
      </c>
      <c r="D577" s="12">
        <v>41899</v>
      </c>
      <c r="E577" s="12">
        <v>41902</v>
      </c>
      <c r="F577" s="13">
        <v>737.7</v>
      </c>
    </row>
    <row r="578" spans="1:6" x14ac:dyDescent="0.25">
      <c r="A578" s="6" t="s">
        <v>86</v>
      </c>
      <c r="B578" s="7" t="s">
        <v>150</v>
      </c>
      <c r="C578" s="7" t="s">
        <v>30</v>
      </c>
      <c r="D578" s="8">
        <v>41899</v>
      </c>
      <c r="E578" s="8">
        <v>41900</v>
      </c>
      <c r="F578" s="9">
        <v>331.5</v>
      </c>
    </row>
    <row r="579" spans="1:6" x14ac:dyDescent="0.25">
      <c r="A579" s="10" t="s">
        <v>99</v>
      </c>
      <c r="B579" s="11" t="s">
        <v>130</v>
      </c>
      <c r="C579" s="11" t="s">
        <v>27</v>
      </c>
      <c r="D579" s="12">
        <v>41899</v>
      </c>
      <c r="E579" s="12">
        <v>41900</v>
      </c>
      <c r="F579" s="13">
        <v>570</v>
      </c>
    </row>
    <row r="580" spans="1:6" x14ac:dyDescent="0.25">
      <c r="A580" s="6" t="s">
        <v>50</v>
      </c>
      <c r="B580" s="7" t="s">
        <v>51</v>
      </c>
      <c r="C580" s="7" t="s">
        <v>72</v>
      </c>
      <c r="D580" s="8">
        <v>41899</v>
      </c>
      <c r="E580" s="8">
        <v>41902</v>
      </c>
      <c r="F580" s="9">
        <v>1091.7</v>
      </c>
    </row>
    <row r="581" spans="1:6" x14ac:dyDescent="0.25">
      <c r="A581" s="10" t="s">
        <v>82</v>
      </c>
      <c r="B581" s="11" t="s">
        <v>125</v>
      </c>
      <c r="C581" s="11" t="s">
        <v>66</v>
      </c>
      <c r="D581" s="12">
        <v>41899</v>
      </c>
      <c r="E581" s="12">
        <v>41900</v>
      </c>
      <c r="F581" s="13">
        <v>485.7</v>
      </c>
    </row>
    <row r="582" spans="1:6" x14ac:dyDescent="0.25">
      <c r="A582" s="6" t="s">
        <v>99</v>
      </c>
      <c r="B582" s="7" t="s">
        <v>100</v>
      </c>
      <c r="C582" s="7" t="s">
        <v>11</v>
      </c>
      <c r="D582" s="8">
        <v>41899</v>
      </c>
      <c r="E582" s="8">
        <v>41903</v>
      </c>
      <c r="F582" s="9">
        <v>712.4</v>
      </c>
    </row>
    <row r="583" spans="1:6" x14ac:dyDescent="0.25">
      <c r="A583" s="10" t="s">
        <v>101</v>
      </c>
      <c r="B583" s="11" t="s">
        <v>102</v>
      </c>
      <c r="C583" s="11" t="s">
        <v>27</v>
      </c>
      <c r="D583" s="12">
        <v>41899</v>
      </c>
      <c r="E583" s="12">
        <v>41902</v>
      </c>
      <c r="F583" s="13">
        <v>826</v>
      </c>
    </row>
    <row r="584" spans="1:6" x14ac:dyDescent="0.25">
      <c r="A584" s="6" t="s">
        <v>73</v>
      </c>
      <c r="B584" s="7" t="s">
        <v>155</v>
      </c>
      <c r="C584" s="7" t="s">
        <v>17</v>
      </c>
      <c r="D584" s="8">
        <v>41899</v>
      </c>
      <c r="E584" s="8">
        <v>41900</v>
      </c>
      <c r="F584" s="9">
        <v>706.5</v>
      </c>
    </row>
    <row r="585" spans="1:6" x14ac:dyDescent="0.25">
      <c r="A585" s="10" t="s">
        <v>151</v>
      </c>
      <c r="B585" s="11" t="s">
        <v>152</v>
      </c>
      <c r="C585" s="11" t="s">
        <v>14</v>
      </c>
      <c r="D585" s="12">
        <v>41899</v>
      </c>
      <c r="E585" s="12">
        <v>41902</v>
      </c>
      <c r="F585" s="13">
        <v>550.5</v>
      </c>
    </row>
    <row r="586" spans="1:6" x14ac:dyDescent="0.25">
      <c r="A586" s="6" t="s">
        <v>119</v>
      </c>
      <c r="B586" s="7" t="s">
        <v>120</v>
      </c>
      <c r="C586" s="7" t="s">
        <v>47</v>
      </c>
      <c r="D586" s="8">
        <v>41899</v>
      </c>
      <c r="E586" s="8">
        <v>41900</v>
      </c>
      <c r="F586" s="9">
        <v>526.79999999999995</v>
      </c>
    </row>
    <row r="587" spans="1:6" x14ac:dyDescent="0.25">
      <c r="A587" s="10" t="s">
        <v>111</v>
      </c>
      <c r="B587" s="11" t="s">
        <v>112</v>
      </c>
      <c r="C587" s="11" t="s">
        <v>30</v>
      </c>
      <c r="D587" s="12">
        <v>41899</v>
      </c>
      <c r="E587" s="12">
        <v>41902</v>
      </c>
      <c r="F587" s="13">
        <v>569.5</v>
      </c>
    </row>
    <row r="588" spans="1:6" x14ac:dyDescent="0.25">
      <c r="A588" s="6" t="s">
        <v>75</v>
      </c>
      <c r="B588" s="7" t="s">
        <v>76</v>
      </c>
      <c r="C588" s="7" t="s">
        <v>47</v>
      </c>
      <c r="D588" s="8">
        <v>41899</v>
      </c>
      <c r="E588" s="8">
        <v>41903</v>
      </c>
      <c r="F588" s="9">
        <v>1015.8</v>
      </c>
    </row>
    <row r="589" spans="1:6" x14ac:dyDescent="0.25">
      <c r="A589" s="10" t="s">
        <v>113</v>
      </c>
      <c r="B589" s="11" t="s">
        <v>114</v>
      </c>
      <c r="C589" s="11" t="s">
        <v>8</v>
      </c>
      <c r="D589" s="12">
        <v>41899</v>
      </c>
      <c r="E589" s="12">
        <v>41901</v>
      </c>
      <c r="F589" s="13">
        <v>1102</v>
      </c>
    </row>
    <row r="590" spans="1:6" x14ac:dyDescent="0.25">
      <c r="A590" s="6" t="s">
        <v>70</v>
      </c>
      <c r="B590" s="7" t="s">
        <v>117</v>
      </c>
      <c r="C590" s="7" t="s">
        <v>27</v>
      </c>
      <c r="D590" s="8">
        <v>41899</v>
      </c>
      <c r="E590" s="8">
        <v>41902</v>
      </c>
      <c r="F590" s="9">
        <v>826</v>
      </c>
    </row>
    <row r="591" spans="1:6" x14ac:dyDescent="0.25">
      <c r="A591" s="10" t="s">
        <v>20</v>
      </c>
      <c r="B591" s="11" t="s">
        <v>21</v>
      </c>
      <c r="C591" s="11" t="s">
        <v>11</v>
      </c>
      <c r="D591" s="12">
        <v>41899</v>
      </c>
      <c r="E591" s="12">
        <v>41901</v>
      </c>
      <c r="F591" s="13">
        <v>434.4</v>
      </c>
    </row>
    <row r="592" spans="1:6" x14ac:dyDescent="0.25">
      <c r="A592" s="6" t="s">
        <v>33</v>
      </c>
      <c r="B592" s="7" t="s">
        <v>41</v>
      </c>
      <c r="C592" s="7" t="s">
        <v>11</v>
      </c>
      <c r="D592" s="8">
        <v>41900</v>
      </c>
      <c r="E592" s="8">
        <v>41902</v>
      </c>
      <c r="F592" s="9">
        <v>434.4</v>
      </c>
    </row>
    <row r="593" spans="1:6" x14ac:dyDescent="0.25">
      <c r="A593" s="10" t="s">
        <v>12</v>
      </c>
      <c r="B593" s="11" t="s">
        <v>13</v>
      </c>
      <c r="C593" s="11" t="s">
        <v>8</v>
      </c>
      <c r="D593" s="12">
        <v>41901</v>
      </c>
      <c r="E593" s="12">
        <v>41901</v>
      </c>
      <c r="F593" s="13">
        <v>680</v>
      </c>
    </row>
    <row r="594" spans="1:6" x14ac:dyDescent="0.25">
      <c r="A594" s="6" t="s">
        <v>82</v>
      </c>
      <c r="B594" s="7" t="s">
        <v>125</v>
      </c>
      <c r="C594" s="7" t="s">
        <v>17</v>
      </c>
      <c r="D594" s="8">
        <v>41902</v>
      </c>
      <c r="E594" s="8">
        <v>41902</v>
      </c>
      <c r="F594" s="9">
        <v>501.5</v>
      </c>
    </row>
    <row r="595" spans="1:6" x14ac:dyDescent="0.25">
      <c r="A595" s="10" t="s">
        <v>15</v>
      </c>
      <c r="B595" s="11" t="s">
        <v>44</v>
      </c>
      <c r="C595" s="11" t="s">
        <v>38</v>
      </c>
      <c r="D595" s="12">
        <v>41904</v>
      </c>
      <c r="E595" s="12">
        <v>41904</v>
      </c>
      <c r="F595" s="13">
        <v>278.8</v>
      </c>
    </row>
    <row r="596" spans="1:6" x14ac:dyDescent="0.25">
      <c r="A596" s="6" t="s">
        <v>22</v>
      </c>
      <c r="B596" s="7" t="s">
        <v>23</v>
      </c>
      <c r="C596" s="7" t="s">
        <v>59</v>
      </c>
      <c r="D596" s="8">
        <v>41905</v>
      </c>
      <c r="E596" s="8">
        <v>41909</v>
      </c>
      <c r="F596" s="9">
        <v>1078</v>
      </c>
    </row>
    <row r="597" spans="1:6" x14ac:dyDescent="0.25">
      <c r="A597" s="10" t="s">
        <v>93</v>
      </c>
      <c r="B597" s="11" t="s">
        <v>124</v>
      </c>
      <c r="C597" s="11" t="s">
        <v>24</v>
      </c>
      <c r="D597" s="12">
        <v>41905</v>
      </c>
      <c r="E597" s="12">
        <v>41909</v>
      </c>
      <c r="F597" s="13">
        <v>886.7</v>
      </c>
    </row>
    <row r="598" spans="1:6" x14ac:dyDescent="0.25">
      <c r="A598" s="6" t="s">
        <v>52</v>
      </c>
      <c r="B598" s="7" t="s">
        <v>53</v>
      </c>
      <c r="C598" s="7" t="s">
        <v>19</v>
      </c>
      <c r="D598" s="8">
        <v>41905</v>
      </c>
      <c r="E598" s="8">
        <v>41905</v>
      </c>
      <c r="F598" s="9">
        <v>513.4</v>
      </c>
    </row>
    <row r="599" spans="1:6" x14ac:dyDescent="0.25">
      <c r="A599" s="10" t="s">
        <v>107</v>
      </c>
      <c r="B599" s="11" t="s">
        <v>108</v>
      </c>
      <c r="C599" s="11" t="s">
        <v>17</v>
      </c>
      <c r="D599" s="12">
        <v>41905</v>
      </c>
      <c r="E599" s="12">
        <v>41907</v>
      </c>
      <c r="F599" s="13">
        <v>911.5</v>
      </c>
    </row>
    <row r="600" spans="1:6" x14ac:dyDescent="0.25">
      <c r="A600" s="6" t="s">
        <v>9</v>
      </c>
      <c r="B600" s="7" t="s">
        <v>18</v>
      </c>
      <c r="C600" s="7" t="s">
        <v>19</v>
      </c>
      <c r="D600" s="8">
        <v>41905</v>
      </c>
      <c r="E600" s="8">
        <v>41908</v>
      </c>
      <c r="F600" s="9">
        <v>936.4</v>
      </c>
    </row>
    <row r="601" spans="1:6" x14ac:dyDescent="0.25">
      <c r="A601" s="10" t="s">
        <v>20</v>
      </c>
      <c r="B601" s="11" t="s">
        <v>21</v>
      </c>
      <c r="C601" s="11" t="s">
        <v>17</v>
      </c>
      <c r="D601" s="12">
        <v>41905</v>
      </c>
      <c r="E601" s="12">
        <v>41905</v>
      </c>
      <c r="F601" s="13">
        <v>501.5</v>
      </c>
    </row>
    <row r="602" spans="1:6" x14ac:dyDescent="0.25">
      <c r="A602" s="6" t="s">
        <v>15</v>
      </c>
      <c r="B602" s="7" t="s">
        <v>16</v>
      </c>
      <c r="C602" s="7" t="s">
        <v>8</v>
      </c>
      <c r="D602" s="8">
        <v>41906</v>
      </c>
      <c r="E602" s="8">
        <v>41908</v>
      </c>
      <c r="F602" s="9">
        <v>1102</v>
      </c>
    </row>
    <row r="603" spans="1:6" x14ac:dyDescent="0.25">
      <c r="A603" s="10" t="s">
        <v>52</v>
      </c>
      <c r="B603" s="11" t="s">
        <v>53</v>
      </c>
      <c r="C603" s="11" t="s">
        <v>24</v>
      </c>
      <c r="D603" s="12">
        <v>41908</v>
      </c>
      <c r="E603" s="12">
        <v>41908</v>
      </c>
      <c r="F603" s="13">
        <v>290.7</v>
      </c>
    </row>
    <row r="604" spans="1:6" x14ac:dyDescent="0.25">
      <c r="A604" s="6" t="s">
        <v>48</v>
      </c>
      <c r="B604" s="7" t="s">
        <v>49</v>
      </c>
      <c r="C604" s="7" t="s">
        <v>14</v>
      </c>
      <c r="D604" s="8">
        <v>41910</v>
      </c>
      <c r="E604" s="8">
        <v>41910</v>
      </c>
      <c r="F604" s="9">
        <v>178.5</v>
      </c>
    </row>
    <row r="605" spans="1:6" x14ac:dyDescent="0.25">
      <c r="A605" s="10" t="s">
        <v>6</v>
      </c>
      <c r="B605" s="11" t="s">
        <v>139</v>
      </c>
      <c r="C605" s="11" t="s">
        <v>8</v>
      </c>
      <c r="D605" s="12">
        <v>41910</v>
      </c>
      <c r="E605" s="12">
        <v>41912</v>
      </c>
      <c r="F605" s="13">
        <v>1102</v>
      </c>
    </row>
    <row r="606" spans="1:6" x14ac:dyDescent="0.25">
      <c r="A606" s="6" t="s">
        <v>57</v>
      </c>
      <c r="B606" s="7" t="s">
        <v>163</v>
      </c>
      <c r="C606" s="7" t="s">
        <v>24</v>
      </c>
      <c r="D606" s="8">
        <v>41910</v>
      </c>
      <c r="E606" s="8">
        <v>41914</v>
      </c>
      <c r="F606" s="9">
        <v>886.7</v>
      </c>
    </row>
    <row r="607" spans="1:6" x14ac:dyDescent="0.25">
      <c r="A607" s="10" t="s">
        <v>131</v>
      </c>
      <c r="B607" s="11" t="s">
        <v>142</v>
      </c>
      <c r="C607" s="11" t="s">
        <v>17</v>
      </c>
      <c r="D607" s="12">
        <v>41910</v>
      </c>
      <c r="E607" s="12">
        <v>41914</v>
      </c>
      <c r="F607" s="13">
        <v>1321.5</v>
      </c>
    </row>
    <row r="608" spans="1:6" x14ac:dyDescent="0.25">
      <c r="A608" s="6" t="s">
        <v>82</v>
      </c>
      <c r="B608" s="7" t="s">
        <v>83</v>
      </c>
      <c r="C608" s="7" t="s">
        <v>8</v>
      </c>
      <c r="D608" s="8">
        <v>41910</v>
      </c>
      <c r="E608" s="8">
        <v>41911</v>
      </c>
      <c r="F608" s="9">
        <v>891</v>
      </c>
    </row>
    <row r="609" spans="1:6" x14ac:dyDescent="0.25">
      <c r="A609" s="10" t="s">
        <v>84</v>
      </c>
      <c r="B609" s="11" t="s">
        <v>85</v>
      </c>
      <c r="C609" s="11" t="s">
        <v>30</v>
      </c>
      <c r="D609" s="12">
        <v>41910</v>
      </c>
      <c r="E609" s="12">
        <v>41911</v>
      </c>
      <c r="F609" s="13">
        <v>331.5</v>
      </c>
    </row>
    <row r="610" spans="1:6" x14ac:dyDescent="0.25">
      <c r="A610" s="6" t="s">
        <v>82</v>
      </c>
      <c r="B610" s="7" t="s">
        <v>125</v>
      </c>
      <c r="C610" s="7" t="s">
        <v>30</v>
      </c>
      <c r="D610" s="8">
        <v>41910</v>
      </c>
      <c r="E610" s="8">
        <v>41912</v>
      </c>
      <c r="F610" s="9">
        <v>450.5</v>
      </c>
    </row>
    <row r="611" spans="1:6" x14ac:dyDescent="0.25">
      <c r="A611" s="10" t="s">
        <v>134</v>
      </c>
      <c r="B611" s="11" t="s">
        <v>135</v>
      </c>
      <c r="C611" s="11" t="s">
        <v>38</v>
      </c>
      <c r="D611" s="12">
        <v>41910</v>
      </c>
      <c r="E611" s="12">
        <v>41911</v>
      </c>
      <c r="F611" s="13">
        <v>407.8</v>
      </c>
    </row>
    <row r="612" spans="1:6" x14ac:dyDescent="0.25">
      <c r="A612" s="6" t="s">
        <v>9</v>
      </c>
      <c r="B612" s="7" t="s">
        <v>18</v>
      </c>
      <c r="C612" s="7" t="s">
        <v>66</v>
      </c>
      <c r="D612" s="8">
        <v>41910</v>
      </c>
      <c r="E612" s="8">
        <v>41913</v>
      </c>
      <c r="F612" s="9">
        <v>841.7</v>
      </c>
    </row>
    <row r="613" spans="1:6" x14ac:dyDescent="0.25">
      <c r="A613" s="10" t="s">
        <v>54</v>
      </c>
      <c r="B613" s="11" t="s">
        <v>118</v>
      </c>
      <c r="C613" s="11" t="s">
        <v>30</v>
      </c>
      <c r="D613" s="12">
        <v>41910</v>
      </c>
      <c r="E613" s="12">
        <v>41912</v>
      </c>
      <c r="F613" s="13">
        <v>450.5</v>
      </c>
    </row>
    <row r="614" spans="1:6" x14ac:dyDescent="0.25">
      <c r="A614" s="6" t="s">
        <v>22</v>
      </c>
      <c r="B614" s="7" t="s">
        <v>23</v>
      </c>
      <c r="C614" s="7" t="s">
        <v>24</v>
      </c>
      <c r="D614" s="8">
        <v>41911</v>
      </c>
      <c r="E614" s="8">
        <v>41915</v>
      </c>
      <c r="F614" s="9">
        <v>886.7</v>
      </c>
    </row>
    <row r="615" spans="1:6" x14ac:dyDescent="0.25">
      <c r="A615" s="10" t="s">
        <v>15</v>
      </c>
      <c r="B615" s="11" t="s">
        <v>44</v>
      </c>
      <c r="C615" s="11" t="s">
        <v>27</v>
      </c>
      <c r="D615" s="12">
        <v>41911</v>
      </c>
      <c r="E615" s="12">
        <v>41913</v>
      </c>
      <c r="F615" s="13">
        <v>698</v>
      </c>
    </row>
    <row r="616" spans="1:6" x14ac:dyDescent="0.25">
      <c r="A616" s="6" t="s">
        <v>6</v>
      </c>
      <c r="B616" s="7" t="s">
        <v>7</v>
      </c>
      <c r="C616" s="7" t="s">
        <v>19</v>
      </c>
      <c r="D616" s="8">
        <v>41911</v>
      </c>
      <c r="E616" s="8">
        <v>41913</v>
      </c>
      <c r="F616" s="9">
        <v>795.4</v>
      </c>
    </row>
    <row r="617" spans="1:6" x14ac:dyDescent="0.25">
      <c r="A617" s="10" t="s">
        <v>22</v>
      </c>
      <c r="B617" s="11" t="s">
        <v>172</v>
      </c>
      <c r="C617" s="11" t="s">
        <v>11</v>
      </c>
      <c r="D617" s="12">
        <v>41911</v>
      </c>
      <c r="E617" s="12">
        <v>41915</v>
      </c>
      <c r="F617" s="13">
        <v>712.4</v>
      </c>
    </row>
    <row r="618" spans="1:6" x14ac:dyDescent="0.25">
      <c r="A618" s="6" t="s">
        <v>25</v>
      </c>
      <c r="B618" s="7" t="s">
        <v>67</v>
      </c>
      <c r="C618" s="7" t="s">
        <v>66</v>
      </c>
      <c r="D618" s="8">
        <v>41911</v>
      </c>
      <c r="E618" s="8">
        <v>41912</v>
      </c>
      <c r="F618" s="9">
        <v>485.7</v>
      </c>
    </row>
    <row r="619" spans="1:6" x14ac:dyDescent="0.25">
      <c r="A619" s="10" t="s">
        <v>61</v>
      </c>
      <c r="B619" s="11" t="s">
        <v>62</v>
      </c>
      <c r="C619" s="11" t="s">
        <v>47</v>
      </c>
      <c r="D619" s="12">
        <v>41911</v>
      </c>
      <c r="E619" s="12">
        <v>41913</v>
      </c>
      <c r="F619" s="13">
        <v>689.8</v>
      </c>
    </row>
    <row r="620" spans="1:6" x14ac:dyDescent="0.25">
      <c r="A620" s="6" t="s">
        <v>170</v>
      </c>
      <c r="B620" s="7" t="s">
        <v>171</v>
      </c>
      <c r="C620" s="7" t="s">
        <v>38</v>
      </c>
      <c r="D620" s="8">
        <v>41911</v>
      </c>
      <c r="E620" s="8">
        <v>41913</v>
      </c>
      <c r="F620" s="9">
        <v>536.79999999999995</v>
      </c>
    </row>
    <row r="621" spans="1:6" x14ac:dyDescent="0.25">
      <c r="A621" s="10" t="s">
        <v>126</v>
      </c>
      <c r="B621" s="11" t="s">
        <v>127</v>
      </c>
      <c r="C621" s="11" t="s">
        <v>47</v>
      </c>
      <c r="D621" s="12">
        <v>41911</v>
      </c>
      <c r="E621" s="12">
        <v>41913</v>
      </c>
      <c r="F621" s="13">
        <v>689.8</v>
      </c>
    </row>
    <row r="622" spans="1:6" x14ac:dyDescent="0.25">
      <c r="A622" s="6" t="s">
        <v>9</v>
      </c>
      <c r="B622" s="7" t="s">
        <v>103</v>
      </c>
      <c r="C622" s="7" t="s">
        <v>38</v>
      </c>
      <c r="D622" s="8">
        <v>41911</v>
      </c>
      <c r="E622" s="8">
        <v>41911</v>
      </c>
      <c r="F622" s="9">
        <v>278.8</v>
      </c>
    </row>
    <row r="623" spans="1:6" x14ac:dyDescent="0.25">
      <c r="A623" s="10" t="s">
        <v>86</v>
      </c>
      <c r="B623" s="11" t="s">
        <v>87</v>
      </c>
      <c r="C623" s="11" t="s">
        <v>24</v>
      </c>
      <c r="D623" s="12">
        <v>41911</v>
      </c>
      <c r="E623" s="12">
        <v>41912</v>
      </c>
      <c r="F623" s="13">
        <v>439.7</v>
      </c>
    </row>
    <row r="624" spans="1:6" x14ac:dyDescent="0.25">
      <c r="A624" s="6" t="s">
        <v>12</v>
      </c>
      <c r="B624" s="7" t="s">
        <v>13</v>
      </c>
      <c r="C624" s="7" t="s">
        <v>17</v>
      </c>
      <c r="D624" s="8">
        <v>41911</v>
      </c>
      <c r="E624" s="8">
        <v>41912</v>
      </c>
      <c r="F624" s="9">
        <v>706.5</v>
      </c>
    </row>
    <row r="625" spans="1:6" x14ac:dyDescent="0.25">
      <c r="A625" s="10" t="s">
        <v>42</v>
      </c>
      <c r="B625" s="11" t="s">
        <v>43</v>
      </c>
      <c r="C625" s="11" t="s">
        <v>24</v>
      </c>
      <c r="D625" s="12">
        <v>41911</v>
      </c>
      <c r="E625" s="12">
        <v>41913</v>
      </c>
      <c r="F625" s="13">
        <v>588.70000000000005</v>
      </c>
    </row>
    <row r="626" spans="1:6" x14ac:dyDescent="0.25">
      <c r="A626" s="6" t="s">
        <v>166</v>
      </c>
      <c r="B626" s="7" t="s">
        <v>167</v>
      </c>
      <c r="C626" s="7" t="s">
        <v>47</v>
      </c>
      <c r="D626" s="8">
        <v>41911</v>
      </c>
      <c r="E626" s="8">
        <v>41915</v>
      </c>
      <c r="F626" s="9">
        <v>1015.8</v>
      </c>
    </row>
    <row r="627" spans="1:6" x14ac:dyDescent="0.25">
      <c r="A627" s="10" t="s">
        <v>134</v>
      </c>
      <c r="B627" s="11" t="s">
        <v>149</v>
      </c>
      <c r="C627" s="11" t="s">
        <v>27</v>
      </c>
      <c r="D627" s="12">
        <v>41911</v>
      </c>
      <c r="E627" s="12">
        <v>41913</v>
      </c>
      <c r="F627" s="13">
        <v>698</v>
      </c>
    </row>
    <row r="628" spans="1:6" x14ac:dyDescent="0.25">
      <c r="A628" s="6" t="s">
        <v>111</v>
      </c>
      <c r="B628" s="7" t="s">
        <v>112</v>
      </c>
      <c r="C628" s="7" t="s">
        <v>47</v>
      </c>
      <c r="D628" s="8">
        <v>41911</v>
      </c>
      <c r="E628" s="8">
        <v>41914</v>
      </c>
      <c r="F628" s="9">
        <v>852.8</v>
      </c>
    </row>
    <row r="629" spans="1:6" x14ac:dyDescent="0.25">
      <c r="A629" s="10" t="s">
        <v>20</v>
      </c>
      <c r="B629" s="11" t="s">
        <v>162</v>
      </c>
      <c r="C629" s="11" t="s">
        <v>30</v>
      </c>
      <c r="D629" s="12">
        <v>41911</v>
      </c>
      <c r="E629" s="12">
        <v>41914</v>
      </c>
      <c r="F629" s="13">
        <v>569.5</v>
      </c>
    </row>
    <row r="630" spans="1:6" x14ac:dyDescent="0.25">
      <c r="A630" s="6" t="s">
        <v>15</v>
      </c>
      <c r="B630" s="7" t="s">
        <v>63</v>
      </c>
      <c r="C630" s="7" t="s">
        <v>27</v>
      </c>
      <c r="D630" s="8">
        <v>41911</v>
      </c>
      <c r="E630" s="8">
        <v>41912</v>
      </c>
      <c r="F630" s="9">
        <v>570</v>
      </c>
    </row>
    <row r="631" spans="1:6" x14ac:dyDescent="0.25">
      <c r="A631" s="10" t="s">
        <v>91</v>
      </c>
      <c r="B631" s="11" t="s">
        <v>92</v>
      </c>
      <c r="C631" s="11" t="s">
        <v>66</v>
      </c>
      <c r="D631" s="12">
        <v>41911</v>
      </c>
      <c r="E631" s="12">
        <v>41915</v>
      </c>
      <c r="F631" s="13">
        <v>1019.7</v>
      </c>
    </row>
    <row r="632" spans="1:6" x14ac:dyDescent="0.25">
      <c r="A632" s="6" t="s">
        <v>131</v>
      </c>
      <c r="B632" s="7" t="s">
        <v>132</v>
      </c>
      <c r="C632" s="7" t="s">
        <v>59</v>
      </c>
      <c r="D632" s="8">
        <v>41911</v>
      </c>
      <c r="E632" s="8">
        <v>41911</v>
      </c>
      <c r="F632" s="9">
        <v>442</v>
      </c>
    </row>
    <row r="633" spans="1:6" x14ac:dyDescent="0.25">
      <c r="A633" s="10" t="s">
        <v>50</v>
      </c>
      <c r="B633" s="11" t="s">
        <v>51</v>
      </c>
      <c r="C633" s="11" t="s">
        <v>30</v>
      </c>
      <c r="D633" s="12">
        <v>41912</v>
      </c>
      <c r="E633" s="12">
        <v>41912</v>
      </c>
      <c r="F633" s="13">
        <v>212.5</v>
      </c>
    </row>
    <row r="634" spans="1:6" x14ac:dyDescent="0.25">
      <c r="A634" s="6" t="s">
        <v>82</v>
      </c>
      <c r="B634" s="7" t="s">
        <v>83</v>
      </c>
      <c r="C634" s="7" t="s">
        <v>27</v>
      </c>
      <c r="D634" s="8">
        <v>41913</v>
      </c>
      <c r="E634" s="8">
        <v>41913</v>
      </c>
      <c r="F634" s="9">
        <v>442</v>
      </c>
    </row>
    <row r="635" spans="1:6" x14ac:dyDescent="0.25">
      <c r="A635" s="10" t="s">
        <v>84</v>
      </c>
      <c r="B635" s="11" t="s">
        <v>85</v>
      </c>
      <c r="C635" s="11" t="s">
        <v>59</v>
      </c>
      <c r="D635" s="12">
        <v>41913</v>
      </c>
      <c r="E635" s="12">
        <v>41913</v>
      </c>
      <c r="F635" s="13">
        <v>442</v>
      </c>
    </row>
    <row r="636" spans="1:6" x14ac:dyDescent="0.25">
      <c r="A636" s="6" t="s">
        <v>143</v>
      </c>
      <c r="B636" s="7" t="s">
        <v>144</v>
      </c>
      <c r="C636" s="7" t="s">
        <v>66</v>
      </c>
      <c r="D636" s="8">
        <v>41914</v>
      </c>
      <c r="E636" s="8">
        <v>41914</v>
      </c>
      <c r="F636" s="9">
        <v>307.7</v>
      </c>
    </row>
    <row r="637" spans="1:6" x14ac:dyDescent="0.25">
      <c r="A637" s="10" t="s">
        <v>113</v>
      </c>
      <c r="B637" s="11" t="s">
        <v>114</v>
      </c>
      <c r="C637" s="11" t="s">
        <v>24</v>
      </c>
      <c r="D637" s="12">
        <v>41914</v>
      </c>
      <c r="E637" s="12">
        <v>41915</v>
      </c>
      <c r="F637" s="13">
        <v>439.7</v>
      </c>
    </row>
    <row r="638" spans="1:6" x14ac:dyDescent="0.25">
      <c r="A638" s="6" t="s">
        <v>82</v>
      </c>
      <c r="B638" s="7" t="s">
        <v>125</v>
      </c>
      <c r="C638" s="7" t="s">
        <v>11</v>
      </c>
      <c r="D638" s="8">
        <v>41915</v>
      </c>
      <c r="E638" s="8">
        <v>41915</v>
      </c>
      <c r="F638" s="9">
        <v>156.4</v>
      </c>
    </row>
    <row r="639" spans="1:6" x14ac:dyDescent="0.25">
      <c r="A639" s="10" t="s">
        <v>9</v>
      </c>
      <c r="B639" s="11" t="s">
        <v>103</v>
      </c>
      <c r="C639" s="11" t="s">
        <v>24</v>
      </c>
      <c r="D639" s="12">
        <v>41915</v>
      </c>
      <c r="E639" s="12">
        <v>41915</v>
      </c>
      <c r="F639" s="13">
        <v>290.7</v>
      </c>
    </row>
    <row r="640" spans="1:6" x14ac:dyDescent="0.25">
      <c r="A640" s="6" t="s">
        <v>131</v>
      </c>
      <c r="B640" s="7" t="s">
        <v>132</v>
      </c>
      <c r="C640" s="7" t="s">
        <v>24</v>
      </c>
      <c r="D640" s="8">
        <v>41915</v>
      </c>
      <c r="E640" s="8">
        <v>41915</v>
      </c>
      <c r="F640" s="9">
        <v>290.7</v>
      </c>
    </row>
    <row r="641" spans="1:6" x14ac:dyDescent="0.25">
      <c r="A641" s="10" t="s">
        <v>119</v>
      </c>
      <c r="B641" s="11" t="s">
        <v>120</v>
      </c>
      <c r="C641" s="11" t="s">
        <v>30</v>
      </c>
      <c r="D641" s="12">
        <v>41917</v>
      </c>
      <c r="E641" s="12">
        <v>41918</v>
      </c>
      <c r="F641" s="13">
        <v>331.5</v>
      </c>
    </row>
    <row r="642" spans="1:6" x14ac:dyDescent="0.25">
      <c r="A642" s="6" t="s">
        <v>137</v>
      </c>
      <c r="B642" s="7" t="s">
        <v>138</v>
      </c>
      <c r="C642" s="7" t="s">
        <v>8</v>
      </c>
      <c r="D642" s="8">
        <v>41917</v>
      </c>
      <c r="E642" s="8">
        <v>41918</v>
      </c>
      <c r="F642" s="9">
        <v>891</v>
      </c>
    </row>
    <row r="643" spans="1:6" x14ac:dyDescent="0.25">
      <c r="A643" s="10" t="s">
        <v>115</v>
      </c>
      <c r="B643" s="11" t="s">
        <v>116</v>
      </c>
      <c r="C643" s="11" t="s">
        <v>66</v>
      </c>
      <c r="D643" s="12">
        <v>41917</v>
      </c>
      <c r="E643" s="12">
        <v>41921</v>
      </c>
      <c r="F643" s="13">
        <v>1019.7</v>
      </c>
    </row>
    <row r="644" spans="1:6" x14ac:dyDescent="0.25">
      <c r="A644" s="6" t="s">
        <v>31</v>
      </c>
      <c r="B644" s="7" t="s">
        <v>32</v>
      </c>
      <c r="C644" s="7" t="s">
        <v>27</v>
      </c>
      <c r="D644" s="8">
        <v>41918</v>
      </c>
      <c r="E644" s="8">
        <v>41918</v>
      </c>
      <c r="F644" s="9">
        <v>442</v>
      </c>
    </row>
    <row r="645" spans="1:6" x14ac:dyDescent="0.25">
      <c r="A645" s="10" t="s">
        <v>145</v>
      </c>
      <c r="B645" s="11" t="s">
        <v>146</v>
      </c>
      <c r="C645" s="11" t="s">
        <v>66</v>
      </c>
      <c r="D645" s="12">
        <v>41918</v>
      </c>
      <c r="E645" s="12">
        <v>41919</v>
      </c>
      <c r="F645" s="13">
        <v>485.7</v>
      </c>
    </row>
    <row r="646" spans="1:6" x14ac:dyDescent="0.25">
      <c r="A646" s="6" t="s">
        <v>75</v>
      </c>
      <c r="B646" s="7" t="s">
        <v>88</v>
      </c>
      <c r="C646" s="7" t="s">
        <v>59</v>
      </c>
      <c r="D646" s="8">
        <v>41918</v>
      </c>
      <c r="E646" s="8">
        <v>41925</v>
      </c>
      <c r="F646" s="9">
        <v>1555</v>
      </c>
    </row>
    <row r="647" spans="1:6" x14ac:dyDescent="0.25">
      <c r="A647" s="10" t="s">
        <v>107</v>
      </c>
      <c r="B647" s="11" t="s">
        <v>108</v>
      </c>
      <c r="C647" s="11" t="s">
        <v>38</v>
      </c>
      <c r="D647" s="12">
        <v>41918</v>
      </c>
      <c r="E647" s="12">
        <v>41920</v>
      </c>
      <c r="F647" s="13">
        <v>536.79999999999995</v>
      </c>
    </row>
    <row r="648" spans="1:6" x14ac:dyDescent="0.25">
      <c r="A648" s="6" t="s">
        <v>57</v>
      </c>
      <c r="B648" s="7" t="s">
        <v>58</v>
      </c>
      <c r="C648" s="7" t="s">
        <v>19</v>
      </c>
      <c r="D648" s="8">
        <v>41918</v>
      </c>
      <c r="E648" s="8">
        <v>41919</v>
      </c>
      <c r="F648" s="9">
        <v>654.4</v>
      </c>
    </row>
    <row r="649" spans="1:6" x14ac:dyDescent="0.25">
      <c r="A649" s="10" t="s">
        <v>82</v>
      </c>
      <c r="B649" s="11" t="s">
        <v>83</v>
      </c>
      <c r="C649" s="11" t="s">
        <v>72</v>
      </c>
      <c r="D649" s="12">
        <v>41922</v>
      </c>
      <c r="E649" s="12">
        <v>41924</v>
      </c>
      <c r="F649" s="13">
        <v>892.7</v>
      </c>
    </row>
    <row r="650" spans="1:6" x14ac:dyDescent="0.25">
      <c r="A650" s="6" t="s">
        <v>84</v>
      </c>
      <c r="B650" s="7" t="s">
        <v>85</v>
      </c>
      <c r="C650" s="7" t="s">
        <v>24</v>
      </c>
      <c r="D650" s="8">
        <v>41922</v>
      </c>
      <c r="E650" s="8">
        <v>41925</v>
      </c>
      <c r="F650" s="9">
        <v>737.7</v>
      </c>
    </row>
    <row r="651" spans="1:6" x14ac:dyDescent="0.25">
      <c r="A651" s="10" t="s">
        <v>50</v>
      </c>
      <c r="B651" s="11" t="s">
        <v>51</v>
      </c>
      <c r="C651" s="11" t="s">
        <v>27</v>
      </c>
      <c r="D651" s="12">
        <v>41922</v>
      </c>
      <c r="E651" s="12">
        <v>41922</v>
      </c>
      <c r="F651" s="13">
        <v>442</v>
      </c>
    </row>
    <row r="652" spans="1:6" x14ac:dyDescent="0.25">
      <c r="A652" s="6" t="s">
        <v>170</v>
      </c>
      <c r="B652" s="7" t="s">
        <v>171</v>
      </c>
      <c r="C652" s="7" t="s">
        <v>59</v>
      </c>
      <c r="D652" s="8">
        <v>41922</v>
      </c>
      <c r="E652" s="8">
        <v>41926</v>
      </c>
      <c r="F652" s="9">
        <v>1078</v>
      </c>
    </row>
    <row r="653" spans="1:6" x14ac:dyDescent="0.25">
      <c r="A653" s="10" t="s">
        <v>168</v>
      </c>
      <c r="B653" s="11" t="s">
        <v>169</v>
      </c>
      <c r="C653" s="11" t="s">
        <v>17</v>
      </c>
      <c r="D653" s="12">
        <v>41922</v>
      </c>
      <c r="E653" s="12">
        <v>41922</v>
      </c>
      <c r="F653" s="13">
        <v>501.5</v>
      </c>
    </row>
    <row r="654" spans="1:6" x14ac:dyDescent="0.25">
      <c r="A654" s="6" t="s">
        <v>115</v>
      </c>
      <c r="B654" s="7" t="s">
        <v>140</v>
      </c>
      <c r="C654" s="7" t="s">
        <v>11</v>
      </c>
      <c r="D654" s="8">
        <v>41922</v>
      </c>
      <c r="E654" s="8">
        <v>41922</v>
      </c>
      <c r="F654" s="9">
        <v>156.4</v>
      </c>
    </row>
    <row r="655" spans="1:6" x14ac:dyDescent="0.25">
      <c r="A655" s="10" t="s">
        <v>33</v>
      </c>
      <c r="B655" s="11" t="s">
        <v>34</v>
      </c>
      <c r="C655" s="11" t="s">
        <v>17</v>
      </c>
      <c r="D655" s="12">
        <v>41922</v>
      </c>
      <c r="E655" s="12">
        <v>41922</v>
      </c>
      <c r="F655" s="13">
        <v>501.5</v>
      </c>
    </row>
    <row r="656" spans="1:6" x14ac:dyDescent="0.25">
      <c r="A656" s="6" t="s">
        <v>33</v>
      </c>
      <c r="B656" s="7" t="s">
        <v>41</v>
      </c>
      <c r="C656" s="7" t="s">
        <v>11</v>
      </c>
      <c r="D656" s="8">
        <v>41922</v>
      </c>
      <c r="E656" s="8">
        <v>41925</v>
      </c>
      <c r="F656" s="9">
        <v>573.4</v>
      </c>
    </row>
    <row r="657" spans="1:6" x14ac:dyDescent="0.25">
      <c r="A657" s="10" t="s">
        <v>73</v>
      </c>
      <c r="B657" s="11" t="s">
        <v>104</v>
      </c>
      <c r="C657" s="11" t="s">
        <v>72</v>
      </c>
      <c r="D657" s="12">
        <v>41922</v>
      </c>
      <c r="E657" s="12">
        <v>41926</v>
      </c>
      <c r="F657" s="13">
        <v>1290.7</v>
      </c>
    </row>
    <row r="658" spans="1:6" x14ac:dyDescent="0.25">
      <c r="A658" s="6" t="s">
        <v>93</v>
      </c>
      <c r="B658" s="7" t="s">
        <v>106</v>
      </c>
      <c r="C658" s="7" t="s">
        <v>17</v>
      </c>
      <c r="D658" s="8">
        <v>41922</v>
      </c>
      <c r="E658" s="8">
        <v>41923</v>
      </c>
      <c r="F658" s="9">
        <v>706.5</v>
      </c>
    </row>
    <row r="659" spans="1:6" x14ac:dyDescent="0.25">
      <c r="A659" s="10" t="s">
        <v>54</v>
      </c>
      <c r="B659" s="11" t="s">
        <v>121</v>
      </c>
      <c r="C659" s="11" t="s">
        <v>27</v>
      </c>
      <c r="D659" s="12">
        <v>41922</v>
      </c>
      <c r="E659" s="12">
        <v>41925</v>
      </c>
      <c r="F659" s="13">
        <v>826</v>
      </c>
    </row>
    <row r="660" spans="1:6" x14ac:dyDescent="0.25">
      <c r="A660" s="6" t="s">
        <v>12</v>
      </c>
      <c r="B660" s="7" t="s">
        <v>13</v>
      </c>
      <c r="C660" s="7" t="s">
        <v>59</v>
      </c>
      <c r="D660" s="8">
        <v>41922</v>
      </c>
      <c r="E660" s="8">
        <v>41923</v>
      </c>
      <c r="F660" s="9">
        <v>601</v>
      </c>
    </row>
    <row r="661" spans="1:6" x14ac:dyDescent="0.25">
      <c r="A661" s="10" t="s">
        <v>15</v>
      </c>
      <c r="B661" s="11" t="s">
        <v>16</v>
      </c>
      <c r="C661" s="11" t="s">
        <v>38</v>
      </c>
      <c r="D661" s="12">
        <v>41922</v>
      </c>
      <c r="E661" s="12">
        <v>41926</v>
      </c>
      <c r="F661" s="13">
        <v>794.8</v>
      </c>
    </row>
    <row r="662" spans="1:6" x14ac:dyDescent="0.25">
      <c r="A662" s="6" t="s">
        <v>70</v>
      </c>
      <c r="B662" s="7" t="s">
        <v>117</v>
      </c>
      <c r="C662" s="7" t="s">
        <v>30</v>
      </c>
      <c r="D662" s="8">
        <v>41922</v>
      </c>
      <c r="E662" s="8">
        <v>41923</v>
      </c>
      <c r="F662" s="9">
        <v>331.5</v>
      </c>
    </row>
    <row r="663" spans="1:6" x14ac:dyDescent="0.25">
      <c r="A663" s="10" t="s">
        <v>54</v>
      </c>
      <c r="B663" s="11" t="s">
        <v>118</v>
      </c>
      <c r="C663" s="11" t="s">
        <v>17</v>
      </c>
      <c r="D663" s="12">
        <v>41922</v>
      </c>
      <c r="E663" s="12">
        <v>41923</v>
      </c>
      <c r="F663" s="13">
        <v>706.5</v>
      </c>
    </row>
    <row r="664" spans="1:6" x14ac:dyDescent="0.25">
      <c r="A664" s="6" t="s">
        <v>33</v>
      </c>
      <c r="B664" s="7" t="s">
        <v>141</v>
      </c>
      <c r="C664" s="7" t="s">
        <v>14</v>
      </c>
      <c r="D664" s="8">
        <v>41923</v>
      </c>
      <c r="E664" s="8">
        <v>41927</v>
      </c>
      <c r="F664" s="9">
        <v>674.5</v>
      </c>
    </row>
    <row r="665" spans="1:6" x14ac:dyDescent="0.25">
      <c r="A665" s="10" t="s">
        <v>93</v>
      </c>
      <c r="B665" s="11" t="s">
        <v>124</v>
      </c>
      <c r="C665" s="11" t="s">
        <v>47</v>
      </c>
      <c r="D665" s="12">
        <v>41923</v>
      </c>
      <c r="E665" s="12">
        <v>41925</v>
      </c>
      <c r="F665" s="13">
        <v>689.8</v>
      </c>
    </row>
    <row r="666" spans="1:6" x14ac:dyDescent="0.25">
      <c r="A666" s="6" t="s">
        <v>131</v>
      </c>
      <c r="B666" s="7" t="s">
        <v>142</v>
      </c>
      <c r="C666" s="7" t="s">
        <v>30</v>
      </c>
      <c r="D666" s="8">
        <v>41923</v>
      </c>
      <c r="E666" s="8">
        <v>41924</v>
      </c>
      <c r="F666" s="9">
        <v>331.5</v>
      </c>
    </row>
    <row r="667" spans="1:6" x14ac:dyDescent="0.25">
      <c r="A667" s="10" t="s">
        <v>9</v>
      </c>
      <c r="B667" s="11" t="s">
        <v>69</v>
      </c>
      <c r="C667" s="11" t="s">
        <v>14</v>
      </c>
      <c r="D667" s="12">
        <v>41923</v>
      </c>
      <c r="E667" s="12">
        <v>41925</v>
      </c>
      <c r="F667" s="13">
        <v>426.5</v>
      </c>
    </row>
    <row r="668" spans="1:6" x14ac:dyDescent="0.25">
      <c r="A668" s="6" t="s">
        <v>99</v>
      </c>
      <c r="B668" s="7" t="s">
        <v>100</v>
      </c>
      <c r="C668" s="7" t="s">
        <v>17</v>
      </c>
      <c r="D668" s="8">
        <v>41923</v>
      </c>
      <c r="E668" s="8">
        <v>41926</v>
      </c>
      <c r="F668" s="9">
        <v>1116.5</v>
      </c>
    </row>
    <row r="669" spans="1:6" x14ac:dyDescent="0.25">
      <c r="A669" s="10" t="s">
        <v>137</v>
      </c>
      <c r="B669" s="11" t="s">
        <v>138</v>
      </c>
      <c r="C669" s="11" t="s">
        <v>19</v>
      </c>
      <c r="D669" s="12">
        <v>41923</v>
      </c>
      <c r="E669" s="12">
        <v>41927</v>
      </c>
      <c r="F669" s="13">
        <v>1077.4000000000001</v>
      </c>
    </row>
    <row r="670" spans="1:6" x14ac:dyDescent="0.25">
      <c r="A670" s="6" t="s">
        <v>15</v>
      </c>
      <c r="B670" s="7" t="s">
        <v>96</v>
      </c>
      <c r="C670" s="7" t="s">
        <v>59</v>
      </c>
      <c r="D670" s="8">
        <v>41923</v>
      </c>
      <c r="E670" s="8">
        <v>41925</v>
      </c>
      <c r="F670" s="9">
        <v>760</v>
      </c>
    </row>
    <row r="671" spans="1:6" x14ac:dyDescent="0.25">
      <c r="A671" s="10" t="s">
        <v>9</v>
      </c>
      <c r="B671" s="11" t="s">
        <v>18</v>
      </c>
      <c r="C671" s="11" t="s">
        <v>24</v>
      </c>
      <c r="D671" s="12">
        <v>41923</v>
      </c>
      <c r="E671" s="12">
        <v>41926</v>
      </c>
      <c r="F671" s="13">
        <v>737.7</v>
      </c>
    </row>
    <row r="672" spans="1:6" x14ac:dyDescent="0.25">
      <c r="A672" s="6" t="s">
        <v>9</v>
      </c>
      <c r="B672" s="7" t="s">
        <v>18</v>
      </c>
      <c r="C672" s="7" t="s">
        <v>27</v>
      </c>
      <c r="D672" s="8">
        <v>41923</v>
      </c>
      <c r="E672" s="8">
        <v>41924</v>
      </c>
      <c r="F672" s="9">
        <v>570</v>
      </c>
    </row>
    <row r="673" spans="1:6" x14ac:dyDescent="0.25">
      <c r="A673" s="10" t="s">
        <v>54</v>
      </c>
      <c r="B673" s="11" t="s">
        <v>118</v>
      </c>
      <c r="C673" s="11" t="s">
        <v>59</v>
      </c>
      <c r="D673" s="12">
        <v>41923</v>
      </c>
      <c r="E673" s="12">
        <v>41926</v>
      </c>
      <c r="F673" s="13">
        <v>919</v>
      </c>
    </row>
    <row r="674" spans="1:6" x14ac:dyDescent="0.25">
      <c r="A674" s="6" t="s">
        <v>86</v>
      </c>
      <c r="B674" s="7" t="s">
        <v>136</v>
      </c>
      <c r="C674" s="7" t="s">
        <v>59</v>
      </c>
      <c r="D674" s="8">
        <v>41923</v>
      </c>
      <c r="E674" s="8">
        <v>41927</v>
      </c>
      <c r="F674" s="9">
        <v>1078</v>
      </c>
    </row>
    <row r="675" spans="1:6" x14ac:dyDescent="0.25">
      <c r="A675" s="10" t="s">
        <v>6</v>
      </c>
      <c r="B675" s="11" t="s">
        <v>139</v>
      </c>
      <c r="C675" s="11" t="s">
        <v>66</v>
      </c>
      <c r="D675" s="12">
        <v>41925</v>
      </c>
      <c r="E675" s="12">
        <v>41925</v>
      </c>
      <c r="F675" s="13">
        <v>307.7</v>
      </c>
    </row>
    <row r="676" spans="1:6" x14ac:dyDescent="0.25">
      <c r="A676" s="6" t="s">
        <v>168</v>
      </c>
      <c r="B676" s="7" t="s">
        <v>169</v>
      </c>
      <c r="C676" s="7" t="s">
        <v>19</v>
      </c>
      <c r="D676" s="8">
        <v>41925</v>
      </c>
      <c r="E676" s="8">
        <v>41925</v>
      </c>
      <c r="F676" s="9">
        <v>513.4</v>
      </c>
    </row>
    <row r="677" spans="1:6" x14ac:dyDescent="0.25">
      <c r="A677" s="10" t="s">
        <v>33</v>
      </c>
      <c r="B677" s="11" t="s">
        <v>34</v>
      </c>
      <c r="C677" s="11" t="s">
        <v>72</v>
      </c>
      <c r="D677" s="12">
        <v>41925</v>
      </c>
      <c r="E677" s="12">
        <v>41925</v>
      </c>
      <c r="F677" s="13">
        <v>494.7</v>
      </c>
    </row>
    <row r="678" spans="1:6" x14ac:dyDescent="0.25">
      <c r="A678" s="6" t="s">
        <v>113</v>
      </c>
      <c r="B678" s="7" t="s">
        <v>114</v>
      </c>
      <c r="C678" s="7" t="s">
        <v>19</v>
      </c>
      <c r="D678" s="8">
        <v>41925</v>
      </c>
      <c r="E678" s="8">
        <v>41925</v>
      </c>
      <c r="F678" s="9">
        <v>513.4</v>
      </c>
    </row>
    <row r="679" spans="1:6" x14ac:dyDescent="0.25">
      <c r="A679" s="10" t="s">
        <v>70</v>
      </c>
      <c r="B679" s="11" t="s">
        <v>117</v>
      </c>
      <c r="C679" s="11" t="s">
        <v>72</v>
      </c>
      <c r="D679" s="12">
        <v>41925</v>
      </c>
      <c r="E679" s="12">
        <v>41925</v>
      </c>
      <c r="F679" s="13">
        <v>494.7</v>
      </c>
    </row>
    <row r="680" spans="1:6" x14ac:dyDescent="0.25">
      <c r="A680" s="6" t="s">
        <v>50</v>
      </c>
      <c r="B680" s="7" t="s">
        <v>51</v>
      </c>
      <c r="C680" s="7" t="s">
        <v>17</v>
      </c>
      <c r="D680" s="8">
        <v>41926</v>
      </c>
      <c r="E680" s="8">
        <v>41926</v>
      </c>
      <c r="F680" s="9">
        <v>501.5</v>
      </c>
    </row>
    <row r="681" spans="1:6" x14ac:dyDescent="0.25">
      <c r="A681" s="10" t="s">
        <v>12</v>
      </c>
      <c r="B681" s="11" t="s">
        <v>13</v>
      </c>
      <c r="C681" s="11" t="s">
        <v>11</v>
      </c>
      <c r="D681" s="12">
        <v>41927</v>
      </c>
      <c r="E681" s="12">
        <v>41927</v>
      </c>
      <c r="F681" s="13">
        <v>156.4</v>
      </c>
    </row>
    <row r="682" spans="1:6" x14ac:dyDescent="0.25">
      <c r="A682" s="6" t="s">
        <v>70</v>
      </c>
      <c r="B682" s="7" t="s">
        <v>117</v>
      </c>
      <c r="C682" s="7" t="s">
        <v>30</v>
      </c>
      <c r="D682" s="8">
        <v>41927</v>
      </c>
      <c r="E682" s="8">
        <v>41927</v>
      </c>
      <c r="F682" s="9">
        <v>212.5</v>
      </c>
    </row>
    <row r="683" spans="1:6" x14ac:dyDescent="0.25">
      <c r="A683" s="10" t="s">
        <v>113</v>
      </c>
      <c r="B683" s="11" t="s">
        <v>114</v>
      </c>
      <c r="C683" s="11" t="s">
        <v>24</v>
      </c>
      <c r="D683" s="12">
        <v>41928</v>
      </c>
      <c r="E683" s="12">
        <v>41928</v>
      </c>
      <c r="F683" s="13">
        <v>290.7</v>
      </c>
    </row>
    <row r="684" spans="1:6" x14ac:dyDescent="0.25">
      <c r="A684" s="6" t="s">
        <v>22</v>
      </c>
      <c r="B684" s="7" t="s">
        <v>172</v>
      </c>
      <c r="C684" s="7" t="s">
        <v>24</v>
      </c>
      <c r="D684" s="8">
        <v>41929</v>
      </c>
      <c r="E684" s="8">
        <v>41930</v>
      </c>
      <c r="F684" s="9">
        <v>439.7</v>
      </c>
    </row>
    <row r="685" spans="1:6" x14ac:dyDescent="0.25">
      <c r="A685" s="10" t="s">
        <v>33</v>
      </c>
      <c r="B685" s="11" t="s">
        <v>34</v>
      </c>
      <c r="C685" s="11" t="s">
        <v>59</v>
      </c>
      <c r="D685" s="12">
        <v>41929</v>
      </c>
      <c r="E685" s="12">
        <v>41932</v>
      </c>
      <c r="F685" s="13">
        <v>919</v>
      </c>
    </row>
    <row r="686" spans="1:6" x14ac:dyDescent="0.25">
      <c r="A686" s="6" t="s">
        <v>9</v>
      </c>
      <c r="B686" s="7" t="s">
        <v>103</v>
      </c>
      <c r="C686" s="7" t="s">
        <v>24</v>
      </c>
      <c r="D686" s="8">
        <v>41929</v>
      </c>
      <c r="E686" s="8">
        <v>41932</v>
      </c>
      <c r="F686" s="9">
        <v>737.7</v>
      </c>
    </row>
    <row r="687" spans="1:6" x14ac:dyDescent="0.25">
      <c r="A687" s="10" t="s">
        <v>115</v>
      </c>
      <c r="B687" s="11" t="s">
        <v>116</v>
      </c>
      <c r="C687" s="11" t="s">
        <v>30</v>
      </c>
      <c r="D687" s="12">
        <v>41929</v>
      </c>
      <c r="E687" s="12">
        <v>41930</v>
      </c>
      <c r="F687" s="13">
        <v>331.5</v>
      </c>
    </row>
    <row r="688" spans="1:6" x14ac:dyDescent="0.25">
      <c r="A688" s="6" t="s">
        <v>12</v>
      </c>
      <c r="B688" s="7" t="s">
        <v>95</v>
      </c>
      <c r="C688" s="7" t="s">
        <v>8</v>
      </c>
      <c r="D688" s="8">
        <v>41929</v>
      </c>
      <c r="E688" s="8">
        <v>41930</v>
      </c>
      <c r="F688" s="9">
        <v>891</v>
      </c>
    </row>
    <row r="689" spans="1:6" x14ac:dyDescent="0.25">
      <c r="A689" s="10" t="s">
        <v>9</v>
      </c>
      <c r="B689" s="11" t="s">
        <v>18</v>
      </c>
      <c r="C689" s="11" t="s">
        <v>38</v>
      </c>
      <c r="D689" s="12">
        <v>41929</v>
      </c>
      <c r="E689" s="12">
        <v>41932</v>
      </c>
      <c r="F689" s="13">
        <v>665.8</v>
      </c>
    </row>
    <row r="690" spans="1:6" x14ac:dyDescent="0.25">
      <c r="A690" s="6" t="s">
        <v>12</v>
      </c>
      <c r="B690" s="7" t="s">
        <v>13</v>
      </c>
      <c r="C690" s="7" t="s">
        <v>30</v>
      </c>
      <c r="D690" s="8">
        <v>41930</v>
      </c>
      <c r="E690" s="8">
        <v>41930</v>
      </c>
      <c r="F690" s="9">
        <v>212.5</v>
      </c>
    </row>
    <row r="691" spans="1:6" x14ac:dyDescent="0.25">
      <c r="A691" s="10" t="s">
        <v>122</v>
      </c>
      <c r="B691" s="11" t="s">
        <v>123</v>
      </c>
      <c r="C691" s="11" t="s">
        <v>59</v>
      </c>
      <c r="D691" s="12">
        <v>41934</v>
      </c>
      <c r="E691" s="12">
        <v>41937</v>
      </c>
      <c r="F691" s="13">
        <v>919</v>
      </c>
    </row>
    <row r="692" spans="1:6" x14ac:dyDescent="0.25">
      <c r="A692" s="6" t="s">
        <v>93</v>
      </c>
      <c r="B692" s="7" t="s">
        <v>124</v>
      </c>
      <c r="C692" s="7" t="s">
        <v>72</v>
      </c>
      <c r="D692" s="8">
        <v>41934</v>
      </c>
      <c r="E692" s="8">
        <v>41935</v>
      </c>
      <c r="F692" s="9">
        <v>693.7</v>
      </c>
    </row>
    <row r="693" spans="1:6" x14ac:dyDescent="0.25">
      <c r="A693" s="10" t="s">
        <v>54</v>
      </c>
      <c r="B693" s="11" t="s">
        <v>81</v>
      </c>
      <c r="C693" s="11" t="s">
        <v>66</v>
      </c>
      <c r="D693" s="12">
        <v>41934</v>
      </c>
      <c r="E693" s="12">
        <v>41934</v>
      </c>
      <c r="F693" s="13">
        <v>307.7</v>
      </c>
    </row>
    <row r="694" spans="1:6" x14ac:dyDescent="0.25">
      <c r="A694" s="6" t="s">
        <v>22</v>
      </c>
      <c r="B694" s="7" t="s">
        <v>172</v>
      </c>
      <c r="C694" s="7" t="s">
        <v>66</v>
      </c>
      <c r="D694" s="8">
        <v>41934</v>
      </c>
      <c r="E694" s="8">
        <v>41935</v>
      </c>
      <c r="F694" s="9">
        <v>485.7</v>
      </c>
    </row>
    <row r="695" spans="1:6" x14ac:dyDescent="0.25">
      <c r="A695" s="10" t="s">
        <v>131</v>
      </c>
      <c r="B695" s="11" t="s">
        <v>142</v>
      </c>
      <c r="C695" s="11" t="s">
        <v>24</v>
      </c>
      <c r="D695" s="12">
        <v>41934</v>
      </c>
      <c r="E695" s="12">
        <v>41937</v>
      </c>
      <c r="F695" s="13">
        <v>737.7</v>
      </c>
    </row>
    <row r="696" spans="1:6" x14ac:dyDescent="0.25">
      <c r="A696" s="6" t="s">
        <v>86</v>
      </c>
      <c r="B696" s="7" t="s">
        <v>150</v>
      </c>
      <c r="C696" s="7" t="s">
        <v>8</v>
      </c>
      <c r="D696" s="8">
        <v>41934</v>
      </c>
      <c r="E696" s="8">
        <v>41935</v>
      </c>
      <c r="F696" s="9">
        <v>891</v>
      </c>
    </row>
    <row r="697" spans="1:6" x14ac:dyDescent="0.25">
      <c r="A697" s="10" t="s">
        <v>50</v>
      </c>
      <c r="B697" s="11" t="s">
        <v>51</v>
      </c>
      <c r="C697" s="11" t="s">
        <v>47</v>
      </c>
      <c r="D697" s="12">
        <v>41934</v>
      </c>
      <c r="E697" s="12">
        <v>41936</v>
      </c>
      <c r="F697" s="13">
        <v>689.8</v>
      </c>
    </row>
    <row r="698" spans="1:6" x14ac:dyDescent="0.25">
      <c r="A698" s="6" t="s">
        <v>82</v>
      </c>
      <c r="B698" s="7" t="s">
        <v>125</v>
      </c>
      <c r="C698" s="7" t="s">
        <v>72</v>
      </c>
      <c r="D698" s="8">
        <v>41934</v>
      </c>
      <c r="E698" s="8">
        <v>41934</v>
      </c>
      <c r="F698" s="9">
        <v>494.7</v>
      </c>
    </row>
    <row r="699" spans="1:6" x14ac:dyDescent="0.25">
      <c r="A699" s="10" t="s">
        <v>170</v>
      </c>
      <c r="B699" s="11" t="s">
        <v>171</v>
      </c>
      <c r="C699" s="11" t="s">
        <v>27</v>
      </c>
      <c r="D699" s="12">
        <v>41934</v>
      </c>
      <c r="E699" s="12">
        <v>41934</v>
      </c>
      <c r="F699" s="13">
        <v>442</v>
      </c>
    </row>
    <row r="700" spans="1:6" x14ac:dyDescent="0.25">
      <c r="A700" s="6" t="s">
        <v>9</v>
      </c>
      <c r="B700" s="7" t="s">
        <v>10</v>
      </c>
      <c r="C700" s="7" t="s">
        <v>59</v>
      </c>
      <c r="D700" s="8">
        <v>41934</v>
      </c>
      <c r="E700" s="8">
        <v>41937</v>
      </c>
      <c r="F700" s="9">
        <v>919</v>
      </c>
    </row>
    <row r="701" spans="1:6" x14ac:dyDescent="0.25">
      <c r="A701" s="10" t="s">
        <v>73</v>
      </c>
      <c r="B701" s="11" t="s">
        <v>74</v>
      </c>
      <c r="C701" s="11" t="s">
        <v>59</v>
      </c>
      <c r="D701" s="12">
        <v>41934</v>
      </c>
      <c r="E701" s="12">
        <v>41938</v>
      </c>
      <c r="F701" s="13">
        <v>1078</v>
      </c>
    </row>
    <row r="702" spans="1:6" x14ac:dyDescent="0.25">
      <c r="A702" s="6" t="s">
        <v>54</v>
      </c>
      <c r="B702" s="7" t="s">
        <v>121</v>
      </c>
      <c r="C702" s="7" t="s">
        <v>38</v>
      </c>
      <c r="D702" s="8">
        <v>41934</v>
      </c>
      <c r="E702" s="8">
        <v>41934</v>
      </c>
      <c r="F702" s="9">
        <v>278.8</v>
      </c>
    </row>
    <row r="703" spans="1:6" x14ac:dyDescent="0.25">
      <c r="A703" s="10" t="s">
        <v>12</v>
      </c>
      <c r="B703" s="11" t="s">
        <v>13</v>
      </c>
      <c r="C703" s="11" t="s">
        <v>38</v>
      </c>
      <c r="D703" s="12">
        <v>41934</v>
      </c>
      <c r="E703" s="12">
        <v>41936</v>
      </c>
      <c r="F703" s="13">
        <v>536.79999999999995</v>
      </c>
    </row>
    <row r="704" spans="1:6" x14ac:dyDescent="0.25">
      <c r="A704" s="6" t="s">
        <v>147</v>
      </c>
      <c r="B704" s="7" t="s">
        <v>148</v>
      </c>
      <c r="C704" s="7" t="s">
        <v>30</v>
      </c>
      <c r="D704" s="8">
        <v>41934</v>
      </c>
      <c r="E704" s="8">
        <v>41937</v>
      </c>
      <c r="F704" s="9">
        <v>569.5</v>
      </c>
    </row>
    <row r="705" spans="1:6" x14ac:dyDescent="0.25">
      <c r="A705" s="10" t="s">
        <v>89</v>
      </c>
      <c r="B705" s="11" t="s">
        <v>90</v>
      </c>
      <c r="C705" s="11" t="s">
        <v>59</v>
      </c>
      <c r="D705" s="12">
        <v>41934</v>
      </c>
      <c r="E705" s="12">
        <v>41936</v>
      </c>
      <c r="F705" s="13">
        <v>760</v>
      </c>
    </row>
    <row r="706" spans="1:6" x14ac:dyDescent="0.25">
      <c r="A706" s="6" t="s">
        <v>91</v>
      </c>
      <c r="B706" s="7" t="s">
        <v>161</v>
      </c>
      <c r="C706" s="7" t="s">
        <v>14</v>
      </c>
      <c r="D706" s="8">
        <v>41934</v>
      </c>
      <c r="E706" s="8">
        <v>41938</v>
      </c>
      <c r="F706" s="9">
        <v>674.5</v>
      </c>
    </row>
    <row r="707" spans="1:6" x14ac:dyDescent="0.25">
      <c r="A707" s="10" t="s">
        <v>9</v>
      </c>
      <c r="B707" s="11" t="s">
        <v>18</v>
      </c>
      <c r="C707" s="11" t="s">
        <v>38</v>
      </c>
      <c r="D707" s="12">
        <v>41934</v>
      </c>
      <c r="E707" s="12">
        <v>41934</v>
      </c>
      <c r="F707" s="13">
        <v>278.8</v>
      </c>
    </row>
    <row r="708" spans="1:6" x14ac:dyDescent="0.25">
      <c r="A708" s="6" t="s">
        <v>57</v>
      </c>
      <c r="B708" s="7" t="s">
        <v>58</v>
      </c>
      <c r="C708" s="7" t="s">
        <v>30</v>
      </c>
      <c r="D708" s="8">
        <v>41934</v>
      </c>
      <c r="E708" s="8">
        <v>41935</v>
      </c>
      <c r="F708" s="9">
        <v>331.5</v>
      </c>
    </row>
    <row r="709" spans="1:6" x14ac:dyDescent="0.25">
      <c r="A709" s="10" t="s">
        <v>20</v>
      </c>
      <c r="B709" s="11" t="s">
        <v>21</v>
      </c>
      <c r="C709" s="11" t="s">
        <v>47</v>
      </c>
      <c r="D709" s="12">
        <v>41934</v>
      </c>
      <c r="E709" s="12">
        <v>41938</v>
      </c>
      <c r="F709" s="13">
        <v>1015.8</v>
      </c>
    </row>
    <row r="710" spans="1:6" x14ac:dyDescent="0.25">
      <c r="A710" s="6" t="s">
        <v>22</v>
      </c>
      <c r="B710" s="7" t="s">
        <v>23</v>
      </c>
      <c r="C710" s="7" t="s">
        <v>72</v>
      </c>
      <c r="D710" s="8">
        <v>41935</v>
      </c>
      <c r="E710" s="8">
        <v>41937</v>
      </c>
      <c r="F710" s="9">
        <v>892.7</v>
      </c>
    </row>
    <row r="711" spans="1:6" x14ac:dyDescent="0.25">
      <c r="A711" s="10" t="s">
        <v>31</v>
      </c>
      <c r="B711" s="11" t="s">
        <v>78</v>
      </c>
      <c r="C711" s="11" t="s">
        <v>59</v>
      </c>
      <c r="D711" s="12">
        <v>41935</v>
      </c>
      <c r="E711" s="12">
        <v>41938</v>
      </c>
      <c r="F711" s="13">
        <v>919</v>
      </c>
    </row>
    <row r="712" spans="1:6" x14ac:dyDescent="0.25">
      <c r="A712" s="6" t="s">
        <v>86</v>
      </c>
      <c r="B712" s="7" t="s">
        <v>150</v>
      </c>
      <c r="C712" s="7" t="s">
        <v>27</v>
      </c>
      <c r="D712" s="8">
        <v>41935</v>
      </c>
      <c r="E712" s="8">
        <v>41936</v>
      </c>
      <c r="F712" s="9">
        <v>570</v>
      </c>
    </row>
    <row r="713" spans="1:6" x14ac:dyDescent="0.25">
      <c r="A713" s="10" t="s">
        <v>25</v>
      </c>
      <c r="B713" s="11" t="s">
        <v>26</v>
      </c>
      <c r="C713" s="11" t="s">
        <v>11</v>
      </c>
      <c r="D713" s="12">
        <v>41935</v>
      </c>
      <c r="E713" s="12">
        <v>41936</v>
      </c>
      <c r="F713" s="13">
        <v>295.39999999999998</v>
      </c>
    </row>
    <row r="714" spans="1:6" x14ac:dyDescent="0.25">
      <c r="A714" s="6" t="s">
        <v>31</v>
      </c>
      <c r="B714" s="7" t="s">
        <v>32</v>
      </c>
      <c r="C714" s="7" t="s">
        <v>8</v>
      </c>
      <c r="D714" s="8">
        <v>41935</v>
      </c>
      <c r="E714" s="8">
        <v>41936</v>
      </c>
      <c r="F714" s="9">
        <v>891</v>
      </c>
    </row>
    <row r="715" spans="1:6" x14ac:dyDescent="0.25">
      <c r="A715" s="10" t="s">
        <v>168</v>
      </c>
      <c r="B715" s="11" t="s">
        <v>169</v>
      </c>
      <c r="C715" s="11" t="s">
        <v>27</v>
      </c>
      <c r="D715" s="12">
        <v>41935</v>
      </c>
      <c r="E715" s="12">
        <v>41936</v>
      </c>
      <c r="F715" s="13">
        <v>570</v>
      </c>
    </row>
    <row r="716" spans="1:6" x14ac:dyDescent="0.25">
      <c r="A716" s="6" t="s">
        <v>115</v>
      </c>
      <c r="B716" s="7" t="s">
        <v>140</v>
      </c>
      <c r="C716" s="7" t="s">
        <v>24</v>
      </c>
      <c r="D716" s="8">
        <v>41935</v>
      </c>
      <c r="E716" s="8">
        <v>41935</v>
      </c>
      <c r="F716" s="9">
        <v>290.7</v>
      </c>
    </row>
    <row r="717" spans="1:6" x14ac:dyDescent="0.25">
      <c r="A717" s="10" t="s">
        <v>73</v>
      </c>
      <c r="B717" s="11" t="s">
        <v>74</v>
      </c>
      <c r="C717" s="11" t="s">
        <v>17</v>
      </c>
      <c r="D717" s="12">
        <v>41935</v>
      </c>
      <c r="E717" s="12">
        <v>41936</v>
      </c>
      <c r="F717" s="13">
        <v>706.5</v>
      </c>
    </row>
    <row r="718" spans="1:6" x14ac:dyDescent="0.25">
      <c r="A718" s="6" t="s">
        <v>119</v>
      </c>
      <c r="B718" s="7" t="s">
        <v>120</v>
      </c>
      <c r="C718" s="7" t="s">
        <v>17</v>
      </c>
      <c r="D718" s="8">
        <v>41935</v>
      </c>
      <c r="E718" s="8">
        <v>41937</v>
      </c>
      <c r="F718" s="9">
        <v>911.5</v>
      </c>
    </row>
    <row r="719" spans="1:6" x14ac:dyDescent="0.25">
      <c r="A719" s="10" t="s">
        <v>107</v>
      </c>
      <c r="B719" s="11" t="s">
        <v>108</v>
      </c>
      <c r="C719" s="11" t="s">
        <v>66</v>
      </c>
      <c r="D719" s="12">
        <v>41935</v>
      </c>
      <c r="E719" s="12">
        <v>41938</v>
      </c>
      <c r="F719" s="13">
        <v>841.7</v>
      </c>
    </row>
    <row r="720" spans="1:6" x14ac:dyDescent="0.25">
      <c r="A720" s="6" t="s">
        <v>39</v>
      </c>
      <c r="B720" s="7" t="s">
        <v>40</v>
      </c>
      <c r="C720" s="7" t="s">
        <v>8</v>
      </c>
      <c r="D720" s="8">
        <v>41935</v>
      </c>
      <c r="E720" s="8">
        <v>41937</v>
      </c>
      <c r="F720" s="9">
        <v>1102</v>
      </c>
    </row>
    <row r="721" spans="1:6" x14ac:dyDescent="0.25">
      <c r="A721" s="10" t="s">
        <v>12</v>
      </c>
      <c r="B721" s="11" t="s">
        <v>95</v>
      </c>
      <c r="C721" s="11" t="s">
        <v>8</v>
      </c>
      <c r="D721" s="12">
        <v>41935</v>
      </c>
      <c r="E721" s="12">
        <v>41935</v>
      </c>
      <c r="F721" s="13">
        <v>680</v>
      </c>
    </row>
    <row r="722" spans="1:6" x14ac:dyDescent="0.25">
      <c r="A722" s="6" t="s">
        <v>170</v>
      </c>
      <c r="B722" s="7" t="s">
        <v>171</v>
      </c>
      <c r="C722" s="7" t="s">
        <v>66</v>
      </c>
      <c r="D722" s="8">
        <v>41936</v>
      </c>
      <c r="E722" s="8">
        <v>41936</v>
      </c>
      <c r="F722" s="9">
        <v>307.7</v>
      </c>
    </row>
    <row r="723" spans="1:6" x14ac:dyDescent="0.25">
      <c r="A723" s="10" t="s">
        <v>9</v>
      </c>
      <c r="B723" s="11" t="s">
        <v>18</v>
      </c>
      <c r="C723" s="11" t="s">
        <v>24</v>
      </c>
      <c r="D723" s="12">
        <v>41936</v>
      </c>
      <c r="E723" s="12">
        <v>41936</v>
      </c>
      <c r="F723" s="13">
        <v>290.7</v>
      </c>
    </row>
    <row r="724" spans="1:6" x14ac:dyDescent="0.25">
      <c r="A724" s="6" t="s">
        <v>82</v>
      </c>
      <c r="B724" s="7" t="s">
        <v>125</v>
      </c>
      <c r="C724" s="7" t="s">
        <v>66</v>
      </c>
      <c r="D724" s="8">
        <v>41937</v>
      </c>
      <c r="E724" s="8">
        <v>41937</v>
      </c>
      <c r="F724" s="9">
        <v>307.7</v>
      </c>
    </row>
    <row r="725" spans="1:6" x14ac:dyDescent="0.25">
      <c r="A725" s="10" t="s">
        <v>54</v>
      </c>
      <c r="B725" s="11" t="s">
        <v>121</v>
      </c>
      <c r="C725" s="11" t="s">
        <v>38</v>
      </c>
      <c r="D725" s="12">
        <v>41937</v>
      </c>
      <c r="E725" s="12">
        <v>41937</v>
      </c>
      <c r="F725" s="13">
        <v>278.8</v>
      </c>
    </row>
    <row r="726" spans="1:6" x14ac:dyDescent="0.25">
      <c r="A726" s="6" t="s">
        <v>12</v>
      </c>
      <c r="B726" s="7" t="s">
        <v>95</v>
      </c>
      <c r="C726" s="7" t="s">
        <v>27</v>
      </c>
      <c r="D726" s="8">
        <v>41937</v>
      </c>
      <c r="E726" s="8">
        <v>41938</v>
      </c>
      <c r="F726" s="9">
        <v>570</v>
      </c>
    </row>
    <row r="727" spans="1:6" x14ac:dyDescent="0.25">
      <c r="A727" s="10" t="s">
        <v>31</v>
      </c>
      <c r="B727" s="11" t="s">
        <v>32</v>
      </c>
      <c r="C727" s="11" t="s">
        <v>19</v>
      </c>
      <c r="D727" s="12">
        <v>41938</v>
      </c>
      <c r="E727" s="12">
        <v>41938</v>
      </c>
      <c r="F727" s="13">
        <v>513.4</v>
      </c>
    </row>
    <row r="728" spans="1:6" x14ac:dyDescent="0.25">
      <c r="A728" s="6" t="s">
        <v>170</v>
      </c>
      <c r="B728" s="7" t="s">
        <v>171</v>
      </c>
      <c r="C728" s="7" t="s">
        <v>66</v>
      </c>
      <c r="D728" s="8">
        <v>41939</v>
      </c>
      <c r="E728" s="8">
        <v>41939</v>
      </c>
      <c r="F728" s="9">
        <v>307.7</v>
      </c>
    </row>
    <row r="729" spans="1:6" x14ac:dyDescent="0.25">
      <c r="A729" s="10" t="s">
        <v>54</v>
      </c>
      <c r="B729" s="11" t="s">
        <v>55</v>
      </c>
      <c r="C729" s="11" t="s">
        <v>14</v>
      </c>
      <c r="D729" s="12">
        <v>41940</v>
      </c>
      <c r="E729" s="12">
        <v>41942</v>
      </c>
      <c r="F729" s="13">
        <v>426.5</v>
      </c>
    </row>
    <row r="730" spans="1:6" x14ac:dyDescent="0.25">
      <c r="A730" s="6" t="s">
        <v>82</v>
      </c>
      <c r="B730" s="7" t="s">
        <v>83</v>
      </c>
      <c r="C730" s="7" t="s">
        <v>38</v>
      </c>
      <c r="D730" s="8">
        <v>41941</v>
      </c>
      <c r="E730" s="8">
        <v>41942</v>
      </c>
      <c r="F730" s="9">
        <v>407.8</v>
      </c>
    </row>
    <row r="731" spans="1:6" x14ac:dyDescent="0.25">
      <c r="A731" s="10" t="s">
        <v>31</v>
      </c>
      <c r="B731" s="11" t="s">
        <v>32</v>
      </c>
      <c r="C731" s="11" t="s">
        <v>19</v>
      </c>
      <c r="D731" s="12">
        <v>41941</v>
      </c>
      <c r="E731" s="12">
        <v>41941</v>
      </c>
      <c r="F731" s="13">
        <v>513.4</v>
      </c>
    </row>
    <row r="732" spans="1:6" x14ac:dyDescent="0.25">
      <c r="A732" s="6" t="s">
        <v>111</v>
      </c>
      <c r="B732" s="7" t="s">
        <v>112</v>
      </c>
      <c r="C732" s="7" t="s">
        <v>11</v>
      </c>
      <c r="D732" s="8">
        <v>41941</v>
      </c>
      <c r="E732" s="8">
        <v>41942</v>
      </c>
      <c r="F732" s="9">
        <v>295.39999999999998</v>
      </c>
    </row>
    <row r="733" spans="1:6" x14ac:dyDescent="0.25">
      <c r="A733" s="10" t="s">
        <v>113</v>
      </c>
      <c r="B733" s="11" t="s">
        <v>114</v>
      </c>
      <c r="C733" s="11" t="s">
        <v>24</v>
      </c>
      <c r="D733" s="12">
        <v>41941</v>
      </c>
      <c r="E733" s="12">
        <v>41942</v>
      </c>
      <c r="F733" s="13">
        <v>439.7</v>
      </c>
    </row>
    <row r="734" spans="1:6" x14ac:dyDescent="0.25">
      <c r="A734" s="6" t="s">
        <v>91</v>
      </c>
      <c r="B734" s="7" t="s">
        <v>92</v>
      </c>
      <c r="C734" s="7" t="s">
        <v>24</v>
      </c>
      <c r="D734" s="8">
        <v>41941</v>
      </c>
      <c r="E734" s="8">
        <v>41945</v>
      </c>
      <c r="F734" s="9">
        <v>886.7</v>
      </c>
    </row>
    <row r="735" spans="1:6" x14ac:dyDescent="0.25">
      <c r="A735" s="10" t="s">
        <v>12</v>
      </c>
      <c r="B735" s="11" t="s">
        <v>95</v>
      </c>
      <c r="C735" s="11" t="s">
        <v>27</v>
      </c>
      <c r="D735" s="12">
        <v>41941</v>
      </c>
      <c r="E735" s="12">
        <v>41943</v>
      </c>
      <c r="F735" s="13">
        <v>698</v>
      </c>
    </row>
    <row r="736" spans="1:6" x14ac:dyDescent="0.25">
      <c r="A736" s="6" t="s">
        <v>20</v>
      </c>
      <c r="B736" s="7" t="s">
        <v>21</v>
      </c>
      <c r="C736" s="7" t="s">
        <v>66</v>
      </c>
      <c r="D736" s="8">
        <v>41941</v>
      </c>
      <c r="E736" s="8">
        <v>41941</v>
      </c>
      <c r="F736" s="9">
        <v>307.7</v>
      </c>
    </row>
    <row r="737" spans="1:6" x14ac:dyDescent="0.25">
      <c r="A737" s="10" t="s">
        <v>93</v>
      </c>
      <c r="B737" s="11" t="s">
        <v>124</v>
      </c>
      <c r="C737" s="11" t="s">
        <v>11</v>
      </c>
      <c r="D737" s="12">
        <v>41946</v>
      </c>
      <c r="E737" s="12">
        <v>41947</v>
      </c>
      <c r="F737" s="13">
        <v>295.39999999999998</v>
      </c>
    </row>
    <row r="738" spans="1:6" x14ac:dyDescent="0.25">
      <c r="A738" s="6" t="s">
        <v>54</v>
      </c>
      <c r="B738" s="7" t="s">
        <v>81</v>
      </c>
      <c r="C738" s="7" t="s">
        <v>17</v>
      </c>
      <c r="D738" s="8">
        <v>41946</v>
      </c>
      <c r="E738" s="8">
        <v>41946</v>
      </c>
      <c r="F738" s="9">
        <v>501.5</v>
      </c>
    </row>
    <row r="739" spans="1:6" x14ac:dyDescent="0.25">
      <c r="A739" s="10" t="s">
        <v>131</v>
      </c>
      <c r="B739" s="11" t="s">
        <v>142</v>
      </c>
      <c r="C739" s="11" t="s">
        <v>38</v>
      </c>
      <c r="D739" s="12">
        <v>41946</v>
      </c>
      <c r="E739" s="12">
        <v>41949</v>
      </c>
      <c r="F739" s="13">
        <v>665.8</v>
      </c>
    </row>
    <row r="740" spans="1:6" x14ac:dyDescent="0.25">
      <c r="A740" s="6" t="s">
        <v>115</v>
      </c>
      <c r="B740" s="7" t="s">
        <v>140</v>
      </c>
      <c r="C740" s="7" t="s">
        <v>47</v>
      </c>
      <c r="D740" s="8">
        <v>41946</v>
      </c>
      <c r="E740" s="8">
        <v>41950</v>
      </c>
      <c r="F740" s="9">
        <v>1015.8</v>
      </c>
    </row>
    <row r="741" spans="1:6" x14ac:dyDescent="0.25">
      <c r="A741" s="10" t="s">
        <v>9</v>
      </c>
      <c r="B741" s="11" t="s">
        <v>10</v>
      </c>
      <c r="C741" s="11" t="s">
        <v>24</v>
      </c>
      <c r="D741" s="12">
        <v>41946</v>
      </c>
      <c r="E741" s="12">
        <v>41947</v>
      </c>
      <c r="F741" s="13">
        <v>439.7</v>
      </c>
    </row>
    <row r="742" spans="1:6" x14ac:dyDescent="0.25">
      <c r="A742" s="6" t="s">
        <v>9</v>
      </c>
      <c r="B742" s="7" t="s">
        <v>69</v>
      </c>
      <c r="C742" s="7" t="s">
        <v>47</v>
      </c>
      <c r="D742" s="8">
        <v>41946</v>
      </c>
      <c r="E742" s="8">
        <v>41946</v>
      </c>
      <c r="F742" s="9">
        <v>363.8</v>
      </c>
    </row>
    <row r="743" spans="1:6" x14ac:dyDescent="0.25">
      <c r="A743" s="10" t="s">
        <v>101</v>
      </c>
      <c r="B743" s="11" t="s">
        <v>102</v>
      </c>
      <c r="C743" s="11" t="s">
        <v>59</v>
      </c>
      <c r="D743" s="12">
        <v>41946</v>
      </c>
      <c r="E743" s="12">
        <v>41947</v>
      </c>
      <c r="F743" s="13">
        <v>601</v>
      </c>
    </row>
    <row r="744" spans="1:6" x14ac:dyDescent="0.25">
      <c r="A744" s="6" t="s">
        <v>143</v>
      </c>
      <c r="B744" s="7" t="s">
        <v>144</v>
      </c>
      <c r="C744" s="7" t="s">
        <v>59</v>
      </c>
      <c r="D744" s="8">
        <v>41946</v>
      </c>
      <c r="E744" s="8">
        <v>41947</v>
      </c>
      <c r="F744" s="9">
        <v>601</v>
      </c>
    </row>
    <row r="745" spans="1:6" x14ac:dyDescent="0.25">
      <c r="A745" s="10" t="s">
        <v>164</v>
      </c>
      <c r="B745" s="11" t="s">
        <v>165</v>
      </c>
      <c r="C745" s="11" t="s">
        <v>72</v>
      </c>
      <c r="D745" s="12">
        <v>41946</v>
      </c>
      <c r="E745" s="12">
        <v>41946</v>
      </c>
      <c r="F745" s="13">
        <v>494.7</v>
      </c>
    </row>
    <row r="746" spans="1:6" x14ac:dyDescent="0.25">
      <c r="A746" s="6" t="s">
        <v>54</v>
      </c>
      <c r="B746" s="7" t="s">
        <v>121</v>
      </c>
      <c r="C746" s="7" t="s">
        <v>24</v>
      </c>
      <c r="D746" s="8">
        <v>41946</v>
      </c>
      <c r="E746" s="8">
        <v>41950</v>
      </c>
      <c r="F746" s="9">
        <v>886.7</v>
      </c>
    </row>
    <row r="747" spans="1:6" x14ac:dyDescent="0.25">
      <c r="A747" s="10" t="s">
        <v>151</v>
      </c>
      <c r="B747" s="11" t="s">
        <v>152</v>
      </c>
      <c r="C747" s="11" t="s">
        <v>72</v>
      </c>
      <c r="D747" s="12">
        <v>41946</v>
      </c>
      <c r="E747" s="12">
        <v>41946</v>
      </c>
      <c r="F747" s="13">
        <v>494.7</v>
      </c>
    </row>
    <row r="748" spans="1:6" x14ac:dyDescent="0.25">
      <c r="A748" s="6" t="s">
        <v>75</v>
      </c>
      <c r="B748" s="7" t="s">
        <v>88</v>
      </c>
      <c r="C748" s="7" t="s">
        <v>38</v>
      </c>
      <c r="D748" s="8">
        <v>41946</v>
      </c>
      <c r="E748" s="8">
        <v>41946</v>
      </c>
      <c r="F748" s="9">
        <v>278.8</v>
      </c>
    </row>
    <row r="749" spans="1:6" x14ac:dyDescent="0.25">
      <c r="A749" s="10" t="s">
        <v>147</v>
      </c>
      <c r="B749" s="11" t="s">
        <v>148</v>
      </c>
      <c r="C749" s="11" t="s">
        <v>27</v>
      </c>
      <c r="D749" s="12">
        <v>41946</v>
      </c>
      <c r="E749" s="12">
        <v>41947</v>
      </c>
      <c r="F749" s="13">
        <v>570</v>
      </c>
    </row>
    <row r="750" spans="1:6" x14ac:dyDescent="0.25">
      <c r="A750" s="6" t="s">
        <v>166</v>
      </c>
      <c r="B750" s="7" t="s">
        <v>167</v>
      </c>
      <c r="C750" s="7" t="s">
        <v>24</v>
      </c>
      <c r="D750" s="8">
        <v>41946</v>
      </c>
      <c r="E750" s="8">
        <v>41947</v>
      </c>
      <c r="F750" s="9">
        <v>439.7</v>
      </c>
    </row>
    <row r="751" spans="1:6" x14ac:dyDescent="0.25">
      <c r="A751" s="10" t="s">
        <v>20</v>
      </c>
      <c r="B751" s="11" t="s">
        <v>162</v>
      </c>
      <c r="C751" s="11" t="s">
        <v>30</v>
      </c>
      <c r="D751" s="12">
        <v>41946</v>
      </c>
      <c r="E751" s="12">
        <v>41947</v>
      </c>
      <c r="F751" s="13">
        <v>331.5</v>
      </c>
    </row>
    <row r="752" spans="1:6" x14ac:dyDescent="0.25">
      <c r="A752" s="6" t="s">
        <v>39</v>
      </c>
      <c r="B752" s="7" t="s">
        <v>40</v>
      </c>
      <c r="C752" s="7" t="s">
        <v>11</v>
      </c>
      <c r="D752" s="8">
        <v>41946</v>
      </c>
      <c r="E752" s="8">
        <v>41950</v>
      </c>
      <c r="F752" s="9">
        <v>712.4</v>
      </c>
    </row>
    <row r="753" spans="1:6" x14ac:dyDescent="0.25">
      <c r="A753" s="10" t="s">
        <v>113</v>
      </c>
      <c r="B753" s="11" t="s">
        <v>114</v>
      </c>
      <c r="C753" s="11" t="s">
        <v>11</v>
      </c>
      <c r="D753" s="12">
        <v>41946</v>
      </c>
      <c r="E753" s="12">
        <v>41947</v>
      </c>
      <c r="F753" s="13">
        <v>295.39999999999998</v>
      </c>
    </row>
    <row r="754" spans="1:6" x14ac:dyDescent="0.25">
      <c r="A754" s="6" t="s">
        <v>64</v>
      </c>
      <c r="B754" s="7" t="s">
        <v>65</v>
      </c>
      <c r="C754" s="7" t="s">
        <v>11</v>
      </c>
      <c r="D754" s="8">
        <v>41946</v>
      </c>
      <c r="E754" s="8">
        <v>41950</v>
      </c>
      <c r="F754" s="9">
        <v>712.4</v>
      </c>
    </row>
    <row r="755" spans="1:6" x14ac:dyDescent="0.25">
      <c r="A755" s="10" t="s">
        <v>173</v>
      </c>
      <c r="B755" s="11" t="s">
        <v>174</v>
      </c>
      <c r="C755" s="11" t="s">
        <v>72</v>
      </c>
      <c r="D755" s="12">
        <v>41947</v>
      </c>
      <c r="E755" s="12">
        <v>41949</v>
      </c>
      <c r="F755" s="13">
        <v>892.7</v>
      </c>
    </row>
    <row r="756" spans="1:6" x14ac:dyDescent="0.25">
      <c r="A756" s="6" t="s">
        <v>6</v>
      </c>
      <c r="B756" s="7" t="s">
        <v>7</v>
      </c>
      <c r="C756" s="7" t="s">
        <v>14</v>
      </c>
      <c r="D756" s="8">
        <v>41947</v>
      </c>
      <c r="E756" s="8">
        <v>41949</v>
      </c>
      <c r="F756" s="9">
        <v>426.5</v>
      </c>
    </row>
    <row r="757" spans="1:6" x14ac:dyDescent="0.25">
      <c r="A757" s="10" t="s">
        <v>48</v>
      </c>
      <c r="B757" s="11" t="s">
        <v>49</v>
      </c>
      <c r="C757" s="11" t="s">
        <v>8</v>
      </c>
      <c r="D757" s="12">
        <v>41947</v>
      </c>
      <c r="E757" s="12">
        <v>41949</v>
      </c>
      <c r="F757" s="13">
        <v>1102</v>
      </c>
    </row>
    <row r="758" spans="1:6" x14ac:dyDescent="0.25">
      <c r="A758" s="6" t="s">
        <v>22</v>
      </c>
      <c r="B758" s="7" t="s">
        <v>172</v>
      </c>
      <c r="C758" s="7" t="s">
        <v>17</v>
      </c>
      <c r="D758" s="8">
        <v>41947</v>
      </c>
      <c r="E758" s="8">
        <v>41949</v>
      </c>
      <c r="F758" s="9">
        <v>911.5</v>
      </c>
    </row>
    <row r="759" spans="1:6" x14ac:dyDescent="0.25">
      <c r="A759" s="10" t="s">
        <v>28</v>
      </c>
      <c r="B759" s="11" t="s">
        <v>29</v>
      </c>
      <c r="C759" s="11" t="s">
        <v>47</v>
      </c>
      <c r="D759" s="12">
        <v>41947</v>
      </c>
      <c r="E759" s="12">
        <v>41948</v>
      </c>
      <c r="F759" s="13">
        <v>526.79999999999995</v>
      </c>
    </row>
    <row r="760" spans="1:6" x14ac:dyDescent="0.25">
      <c r="A760" s="6" t="s">
        <v>33</v>
      </c>
      <c r="B760" s="7" t="s">
        <v>34</v>
      </c>
      <c r="C760" s="7" t="s">
        <v>14</v>
      </c>
      <c r="D760" s="8">
        <v>41947</v>
      </c>
      <c r="E760" s="8">
        <v>41951</v>
      </c>
      <c r="F760" s="9">
        <v>674.5</v>
      </c>
    </row>
    <row r="761" spans="1:6" x14ac:dyDescent="0.25">
      <c r="A761" s="10" t="s">
        <v>73</v>
      </c>
      <c r="B761" s="11" t="s">
        <v>74</v>
      </c>
      <c r="C761" s="11" t="s">
        <v>47</v>
      </c>
      <c r="D761" s="12">
        <v>41947</v>
      </c>
      <c r="E761" s="12">
        <v>41950</v>
      </c>
      <c r="F761" s="13">
        <v>852.8</v>
      </c>
    </row>
    <row r="762" spans="1:6" x14ac:dyDescent="0.25">
      <c r="A762" s="6" t="s">
        <v>25</v>
      </c>
      <c r="B762" s="7" t="s">
        <v>35</v>
      </c>
      <c r="C762" s="7" t="s">
        <v>72</v>
      </c>
      <c r="D762" s="8">
        <v>41947</v>
      </c>
      <c r="E762" s="8">
        <v>41951</v>
      </c>
      <c r="F762" s="9">
        <v>1290.7</v>
      </c>
    </row>
    <row r="763" spans="1:6" x14ac:dyDescent="0.25">
      <c r="A763" s="10" t="s">
        <v>12</v>
      </c>
      <c r="B763" s="11" t="s">
        <v>13</v>
      </c>
      <c r="C763" s="11" t="s">
        <v>17</v>
      </c>
      <c r="D763" s="12">
        <v>41947</v>
      </c>
      <c r="E763" s="12">
        <v>41948</v>
      </c>
      <c r="F763" s="13">
        <v>706.5</v>
      </c>
    </row>
    <row r="764" spans="1:6" x14ac:dyDescent="0.25">
      <c r="A764" s="6" t="s">
        <v>156</v>
      </c>
      <c r="B764" s="7" t="s">
        <v>157</v>
      </c>
      <c r="C764" s="7" t="s">
        <v>17</v>
      </c>
      <c r="D764" s="8">
        <v>41947</v>
      </c>
      <c r="E764" s="8">
        <v>41948</v>
      </c>
      <c r="F764" s="9">
        <v>706.5</v>
      </c>
    </row>
    <row r="765" spans="1:6" x14ac:dyDescent="0.25">
      <c r="A765" s="10" t="s">
        <v>134</v>
      </c>
      <c r="B765" s="11" t="s">
        <v>149</v>
      </c>
      <c r="C765" s="11" t="s">
        <v>17</v>
      </c>
      <c r="D765" s="12">
        <v>41947</v>
      </c>
      <c r="E765" s="12">
        <v>41947</v>
      </c>
      <c r="F765" s="13">
        <v>501.5</v>
      </c>
    </row>
    <row r="766" spans="1:6" x14ac:dyDescent="0.25">
      <c r="A766" s="6" t="s">
        <v>111</v>
      </c>
      <c r="B766" s="7" t="s">
        <v>112</v>
      </c>
      <c r="C766" s="7" t="s">
        <v>66</v>
      </c>
      <c r="D766" s="8">
        <v>41947</v>
      </c>
      <c r="E766" s="8">
        <v>41948</v>
      </c>
      <c r="F766" s="9">
        <v>485.7</v>
      </c>
    </row>
    <row r="767" spans="1:6" x14ac:dyDescent="0.25">
      <c r="A767" s="10" t="s">
        <v>31</v>
      </c>
      <c r="B767" s="11" t="s">
        <v>77</v>
      </c>
      <c r="C767" s="11" t="s">
        <v>47</v>
      </c>
      <c r="D767" s="12">
        <v>41947</v>
      </c>
      <c r="E767" s="12">
        <v>41948</v>
      </c>
      <c r="F767" s="13">
        <v>526.79999999999995</v>
      </c>
    </row>
    <row r="768" spans="1:6" x14ac:dyDescent="0.25">
      <c r="A768" s="6" t="s">
        <v>15</v>
      </c>
      <c r="B768" s="7" t="s">
        <v>96</v>
      </c>
      <c r="C768" s="7" t="s">
        <v>66</v>
      </c>
      <c r="D768" s="8">
        <v>41947</v>
      </c>
      <c r="E768" s="8">
        <v>41950</v>
      </c>
      <c r="F768" s="9">
        <v>841.7</v>
      </c>
    </row>
    <row r="769" spans="1:6" x14ac:dyDescent="0.25">
      <c r="A769" s="10" t="s">
        <v>166</v>
      </c>
      <c r="B769" s="11" t="s">
        <v>167</v>
      </c>
      <c r="C769" s="11" t="s">
        <v>59</v>
      </c>
      <c r="D769" s="12">
        <v>41949</v>
      </c>
      <c r="E769" s="12">
        <v>41949</v>
      </c>
      <c r="F769" s="13">
        <v>442</v>
      </c>
    </row>
    <row r="770" spans="1:6" x14ac:dyDescent="0.25">
      <c r="A770" s="6" t="s">
        <v>134</v>
      </c>
      <c r="B770" s="7" t="s">
        <v>149</v>
      </c>
      <c r="C770" s="7" t="s">
        <v>72</v>
      </c>
      <c r="D770" s="8">
        <v>41949</v>
      </c>
      <c r="E770" s="8">
        <v>41951</v>
      </c>
      <c r="F770" s="9">
        <v>892.7</v>
      </c>
    </row>
    <row r="771" spans="1:6" x14ac:dyDescent="0.25">
      <c r="A771" s="10" t="s">
        <v>9</v>
      </c>
      <c r="B771" s="11" t="s">
        <v>69</v>
      </c>
      <c r="C771" s="11" t="s">
        <v>30</v>
      </c>
      <c r="D771" s="12">
        <v>41950</v>
      </c>
      <c r="E771" s="12">
        <v>41951</v>
      </c>
      <c r="F771" s="13">
        <v>331.5</v>
      </c>
    </row>
    <row r="772" spans="1:6" x14ac:dyDescent="0.25">
      <c r="A772" s="6" t="s">
        <v>164</v>
      </c>
      <c r="B772" s="7" t="s">
        <v>165</v>
      </c>
      <c r="C772" s="7" t="s">
        <v>66</v>
      </c>
      <c r="D772" s="8">
        <v>41950</v>
      </c>
      <c r="E772" s="8">
        <v>41950</v>
      </c>
      <c r="F772" s="9">
        <v>307.7</v>
      </c>
    </row>
    <row r="773" spans="1:6" x14ac:dyDescent="0.25">
      <c r="A773" s="10" t="s">
        <v>151</v>
      </c>
      <c r="B773" s="11" t="s">
        <v>152</v>
      </c>
      <c r="C773" s="11" t="s">
        <v>38</v>
      </c>
      <c r="D773" s="12">
        <v>41950</v>
      </c>
      <c r="E773" s="12">
        <v>41950</v>
      </c>
      <c r="F773" s="13">
        <v>278.8</v>
      </c>
    </row>
    <row r="774" spans="1:6" x14ac:dyDescent="0.25">
      <c r="A774" s="6" t="s">
        <v>75</v>
      </c>
      <c r="B774" s="7" t="s">
        <v>88</v>
      </c>
      <c r="C774" s="7" t="s">
        <v>27</v>
      </c>
      <c r="D774" s="8">
        <v>41950</v>
      </c>
      <c r="E774" s="8">
        <v>41950</v>
      </c>
      <c r="F774" s="9">
        <v>442</v>
      </c>
    </row>
    <row r="775" spans="1:6" x14ac:dyDescent="0.25">
      <c r="A775" s="10" t="s">
        <v>113</v>
      </c>
      <c r="B775" s="11" t="s">
        <v>114</v>
      </c>
      <c r="C775" s="11" t="s">
        <v>59</v>
      </c>
      <c r="D775" s="12">
        <v>41950</v>
      </c>
      <c r="E775" s="12">
        <v>41950</v>
      </c>
      <c r="F775" s="13">
        <v>442</v>
      </c>
    </row>
    <row r="776" spans="1:6" x14ac:dyDescent="0.25">
      <c r="A776" s="6" t="s">
        <v>122</v>
      </c>
      <c r="B776" s="7" t="s">
        <v>123</v>
      </c>
      <c r="C776" s="7" t="s">
        <v>8</v>
      </c>
      <c r="D776" s="8">
        <v>41953</v>
      </c>
      <c r="E776" s="8">
        <v>41956</v>
      </c>
      <c r="F776" s="9">
        <v>1313</v>
      </c>
    </row>
    <row r="777" spans="1:6" x14ac:dyDescent="0.25">
      <c r="A777" s="10" t="s">
        <v>134</v>
      </c>
      <c r="B777" s="11" t="s">
        <v>149</v>
      </c>
      <c r="C777" s="11" t="s">
        <v>38</v>
      </c>
      <c r="D777" s="12">
        <v>41956</v>
      </c>
      <c r="E777" s="12">
        <v>41957</v>
      </c>
      <c r="F777" s="13">
        <v>407.8</v>
      </c>
    </row>
    <row r="778" spans="1:6" x14ac:dyDescent="0.25">
      <c r="A778" s="6" t="s">
        <v>39</v>
      </c>
      <c r="B778" s="7" t="s">
        <v>40</v>
      </c>
      <c r="C778" s="7" t="s">
        <v>24</v>
      </c>
      <c r="D778" s="8">
        <v>41957</v>
      </c>
      <c r="E778" s="8">
        <v>41957</v>
      </c>
      <c r="F778" s="9">
        <v>290.7</v>
      </c>
    </row>
    <row r="779" spans="1:6" x14ac:dyDescent="0.25">
      <c r="A779" s="10" t="s">
        <v>128</v>
      </c>
      <c r="B779" s="11" t="s">
        <v>129</v>
      </c>
      <c r="C779" s="11" t="s">
        <v>8</v>
      </c>
      <c r="D779" s="12">
        <v>41958</v>
      </c>
      <c r="E779" s="12">
        <v>41958</v>
      </c>
      <c r="F779" s="13">
        <v>680</v>
      </c>
    </row>
    <row r="780" spans="1:6" x14ac:dyDescent="0.25">
      <c r="A780" s="6" t="s">
        <v>84</v>
      </c>
      <c r="B780" s="7" t="s">
        <v>85</v>
      </c>
      <c r="C780" s="7" t="s">
        <v>8</v>
      </c>
      <c r="D780" s="8">
        <v>41958</v>
      </c>
      <c r="E780" s="8">
        <v>41962</v>
      </c>
      <c r="F780" s="9">
        <v>1524</v>
      </c>
    </row>
    <row r="781" spans="1:6" x14ac:dyDescent="0.25">
      <c r="A781" s="10" t="s">
        <v>6</v>
      </c>
      <c r="B781" s="11" t="s">
        <v>56</v>
      </c>
      <c r="C781" s="11" t="s">
        <v>14</v>
      </c>
      <c r="D781" s="12">
        <v>41958</v>
      </c>
      <c r="E781" s="12">
        <v>41958</v>
      </c>
      <c r="F781" s="13">
        <v>178.5</v>
      </c>
    </row>
    <row r="782" spans="1:6" x14ac:dyDescent="0.25">
      <c r="A782" s="6" t="s">
        <v>134</v>
      </c>
      <c r="B782" s="7" t="s">
        <v>135</v>
      </c>
      <c r="C782" s="7" t="s">
        <v>27</v>
      </c>
      <c r="D782" s="8">
        <v>41958</v>
      </c>
      <c r="E782" s="8">
        <v>41960</v>
      </c>
      <c r="F782" s="9">
        <v>698</v>
      </c>
    </row>
    <row r="783" spans="1:6" x14ac:dyDescent="0.25">
      <c r="A783" s="10" t="s">
        <v>9</v>
      </c>
      <c r="B783" s="11" t="s">
        <v>69</v>
      </c>
      <c r="C783" s="11" t="s">
        <v>59</v>
      </c>
      <c r="D783" s="12">
        <v>41958</v>
      </c>
      <c r="E783" s="12">
        <v>41958</v>
      </c>
      <c r="F783" s="13">
        <v>442</v>
      </c>
    </row>
    <row r="784" spans="1:6" x14ac:dyDescent="0.25">
      <c r="A784" s="6" t="s">
        <v>73</v>
      </c>
      <c r="B784" s="7" t="s">
        <v>104</v>
      </c>
      <c r="C784" s="7" t="s">
        <v>30</v>
      </c>
      <c r="D784" s="8">
        <v>41958</v>
      </c>
      <c r="E784" s="8">
        <v>41962</v>
      </c>
      <c r="F784" s="9">
        <v>688.5</v>
      </c>
    </row>
    <row r="785" spans="1:6" x14ac:dyDescent="0.25">
      <c r="A785" s="10" t="s">
        <v>15</v>
      </c>
      <c r="B785" s="11" t="s">
        <v>105</v>
      </c>
      <c r="C785" s="11" t="s">
        <v>66</v>
      </c>
      <c r="D785" s="12">
        <v>41958</v>
      </c>
      <c r="E785" s="12">
        <v>41961</v>
      </c>
      <c r="F785" s="13">
        <v>841.7</v>
      </c>
    </row>
    <row r="786" spans="1:6" x14ac:dyDescent="0.25">
      <c r="A786" s="6" t="s">
        <v>93</v>
      </c>
      <c r="B786" s="7" t="s">
        <v>106</v>
      </c>
      <c r="C786" s="7" t="s">
        <v>27</v>
      </c>
      <c r="D786" s="8">
        <v>41958</v>
      </c>
      <c r="E786" s="8">
        <v>41958</v>
      </c>
      <c r="F786" s="9">
        <v>442</v>
      </c>
    </row>
    <row r="787" spans="1:6" x14ac:dyDescent="0.25">
      <c r="A787" s="10" t="s">
        <v>54</v>
      </c>
      <c r="B787" s="11" t="s">
        <v>121</v>
      </c>
      <c r="C787" s="11" t="s">
        <v>17</v>
      </c>
      <c r="D787" s="12">
        <v>41958</v>
      </c>
      <c r="E787" s="12">
        <v>41961</v>
      </c>
      <c r="F787" s="13">
        <v>1116.5</v>
      </c>
    </row>
    <row r="788" spans="1:6" x14ac:dyDescent="0.25">
      <c r="A788" s="6" t="s">
        <v>107</v>
      </c>
      <c r="B788" s="7" t="s">
        <v>108</v>
      </c>
      <c r="C788" s="7" t="s">
        <v>27</v>
      </c>
      <c r="D788" s="8">
        <v>41958</v>
      </c>
      <c r="E788" s="8">
        <v>41958</v>
      </c>
      <c r="F788" s="9">
        <v>442</v>
      </c>
    </row>
    <row r="789" spans="1:6" x14ac:dyDescent="0.25">
      <c r="A789" s="10" t="s">
        <v>166</v>
      </c>
      <c r="B789" s="11" t="s">
        <v>167</v>
      </c>
      <c r="C789" s="11" t="s">
        <v>47</v>
      </c>
      <c r="D789" s="12">
        <v>41958</v>
      </c>
      <c r="E789" s="12">
        <v>41959</v>
      </c>
      <c r="F789" s="13">
        <v>526.79999999999995</v>
      </c>
    </row>
    <row r="790" spans="1:6" x14ac:dyDescent="0.25">
      <c r="A790" s="6" t="s">
        <v>36</v>
      </c>
      <c r="B790" s="7" t="s">
        <v>37</v>
      </c>
      <c r="C790" s="7" t="s">
        <v>19</v>
      </c>
      <c r="D790" s="8">
        <v>41958</v>
      </c>
      <c r="E790" s="8">
        <v>41961</v>
      </c>
      <c r="F790" s="9">
        <v>936.4</v>
      </c>
    </row>
    <row r="791" spans="1:6" x14ac:dyDescent="0.25">
      <c r="A791" s="10" t="s">
        <v>111</v>
      </c>
      <c r="B791" s="11" t="s">
        <v>112</v>
      </c>
      <c r="C791" s="11" t="s">
        <v>38</v>
      </c>
      <c r="D791" s="12">
        <v>41958</v>
      </c>
      <c r="E791" s="12">
        <v>41959</v>
      </c>
      <c r="F791" s="13">
        <v>407.8</v>
      </c>
    </row>
    <row r="792" spans="1:6" x14ac:dyDescent="0.25">
      <c r="A792" s="6" t="s">
        <v>31</v>
      </c>
      <c r="B792" s="7" t="s">
        <v>77</v>
      </c>
      <c r="C792" s="7" t="s">
        <v>19</v>
      </c>
      <c r="D792" s="8">
        <v>41958</v>
      </c>
      <c r="E792" s="8">
        <v>41962</v>
      </c>
      <c r="F792" s="9">
        <v>1077.4000000000001</v>
      </c>
    </row>
    <row r="793" spans="1:6" x14ac:dyDescent="0.25">
      <c r="A793" s="10" t="s">
        <v>15</v>
      </c>
      <c r="B793" s="11" t="s">
        <v>96</v>
      </c>
      <c r="C793" s="11" t="s">
        <v>38</v>
      </c>
      <c r="D793" s="12">
        <v>41958</v>
      </c>
      <c r="E793" s="12">
        <v>41959</v>
      </c>
      <c r="F793" s="13">
        <v>407.8</v>
      </c>
    </row>
    <row r="794" spans="1:6" x14ac:dyDescent="0.25">
      <c r="A794" s="6" t="s">
        <v>122</v>
      </c>
      <c r="B794" s="7" t="s">
        <v>123</v>
      </c>
      <c r="C794" s="7" t="s">
        <v>30</v>
      </c>
      <c r="D794" s="8">
        <v>41959</v>
      </c>
      <c r="E794" s="8">
        <v>41960</v>
      </c>
      <c r="F794" s="9">
        <v>331.5</v>
      </c>
    </row>
    <row r="795" spans="1:6" x14ac:dyDescent="0.25">
      <c r="A795" s="10" t="s">
        <v>131</v>
      </c>
      <c r="B795" s="11" t="s">
        <v>154</v>
      </c>
      <c r="C795" s="11" t="s">
        <v>38</v>
      </c>
      <c r="D795" s="12">
        <v>41959</v>
      </c>
      <c r="E795" s="12">
        <v>41960</v>
      </c>
      <c r="F795" s="13">
        <v>407.8</v>
      </c>
    </row>
    <row r="796" spans="1:6" x14ac:dyDescent="0.25">
      <c r="A796" s="6" t="s">
        <v>54</v>
      </c>
      <c r="B796" s="7" t="s">
        <v>81</v>
      </c>
      <c r="C796" s="7" t="s">
        <v>66</v>
      </c>
      <c r="D796" s="8">
        <v>41959</v>
      </c>
      <c r="E796" s="8">
        <v>41960</v>
      </c>
      <c r="F796" s="9">
        <v>485.7</v>
      </c>
    </row>
    <row r="797" spans="1:6" x14ac:dyDescent="0.25">
      <c r="A797" s="10" t="s">
        <v>22</v>
      </c>
      <c r="B797" s="11" t="s">
        <v>172</v>
      </c>
      <c r="C797" s="11" t="s">
        <v>72</v>
      </c>
      <c r="D797" s="12">
        <v>41959</v>
      </c>
      <c r="E797" s="12">
        <v>41963</v>
      </c>
      <c r="F797" s="13">
        <v>1290.7</v>
      </c>
    </row>
    <row r="798" spans="1:6" x14ac:dyDescent="0.25">
      <c r="A798" s="6" t="s">
        <v>9</v>
      </c>
      <c r="B798" s="7" t="s">
        <v>10</v>
      </c>
      <c r="C798" s="7" t="s">
        <v>30</v>
      </c>
      <c r="D798" s="8">
        <v>41959</v>
      </c>
      <c r="E798" s="8">
        <v>41961</v>
      </c>
      <c r="F798" s="9">
        <v>450.5</v>
      </c>
    </row>
    <row r="799" spans="1:6" x14ac:dyDescent="0.25">
      <c r="A799" s="10" t="s">
        <v>9</v>
      </c>
      <c r="B799" s="11" t="s">
        <v>103</v>
      </c>
      <c r="C799" s="11" t="s">
        <v>17</v>
      </c>
      <c r="D799" s="12">
        <v>41959</v>
      </c>
      <c r="E799" s="12">
        <v>41961</v>
      </c>
      <c r="F799" s="13">
        <v>911.5</v>
      </c>
    </row>
    <row r="800" spans="1:6" x14ac:dyDescent="0.25">
      <c r="A800" s="6" t="s">
        <v>156</v>
      </c>
      <c r="B800" s="7" t="s">
        <v>157</v>
      </c>
      <c r="C800" s="7" t="s">
        <v>59</v>
      </c>
      <c r="D800" s="8">
        <v>41959</v>
      </c>
      <c r="E800" s="8">
        <v>41962</v>
      </c>
      <c r="F800" s="9">
        <v>919</v>
      </c>
    </row>
    <row r="801" spans="1:6" x14ac:dyDescent="0.25">
      <c r="A801" s="10" t="s">
        <v>158</v>
      </c>
      <c r="B801" s="11" t="s">
        <v>159</v>
      </c>
      <c r="C801" s="11" t="s">
        <v>19</v>
      </c>
      <c r="D801" s="12">
        <v>41959</v>
      </c>
      <c r="E801" s="12">
        <v>41960</v>
      </c>
      <c r="F801" s="13">
        <v>654.4</v>
      </c>
    </row>
    <row r="802" spans="1:6" x14ac:dyDescent="0.25">
      <c r="A802" s="6" t="s">
        <v>9</v>
      </c>
      <c r="B802" s="7" t="s">
        <v>18</v>
      </c>
      <c r="C802" s="7" t="s">
        <v>47</v>
      </c>
      <c r="D802" s="8">
        <v>41959</v>
      </c>
      <c r="E802" s="8">
        <v>41960</v>
      </c>
      <c r="F802" s="9">
        <v>526.79999999999995</v>
      </c>
    </row>
    <row r="803" spans="1:6" x14ac:dyDescent="0.25">
      <c r="A803" s="10" t="s">
        <v>115</v>
      </c>
      <c r="B803" s="11" t="s">
        <v>140</v>
      </c>
      <c r="C803" s="11" t="s">
        <v>66</v>
      </c>
      <c r="D803" s="12">
        <v>41960</v>
      </c>
      <c r="E803" s="12">
        <v>41960</v>
      </c>
      <c r="F803" s="13">
        <v>307.7</v>
      </c>
    </row>
    <row r="804" spans="1:6" x14ac:dyDescent="0.25">
      <c r="A804" s="6" t="s">
        <v>164</v>
      </c>
      <c r="B804" s="7" t="s">
        <v>165</v>
      </c>
      <c r="C804" s="7" t="s">
        <v>38</v>
      </c>
      <c r="D804" s="8">
        <v>41960</v>
      </c>
      <c r="E804" s="8">
        <v>41960</v>
      </c>
      <c r="F804" s="9">
        <v>278.8</v>
      </c>
    </row>
    <row r="805" spans="1:6" x14ac:dyDescent="0.25">
      <c r="A805" s="10" t="s">
        <v>113</v>
      </c>
      <c r="B805" s="11" t="s">
        <v>114</v>
      </c>
      <c r="C805" s="11" t="s">
        <v>8</v>
      </c>
      <c r="D805" s="12">
        <v>41960</v>
      </c>
      <c r="E805" s="12">
        <v>41962</v>
      </c>
      <c r="F805" s="13">
        <v>1102</v>
      </c>
    </row>
    <row r="806" spans="1:6" x14ac:dyDescent="0.25">
      <c r="A806" s="6" t="s">
        <v>93</v>
      </c>
      <c r="B806" s="7" t="s">
        <v>94</v>
      </c>
      <c r="C806" s="7" t="s">
        <v>11</v>
      </c>
      <c r="D806" s="8">
        <v>41960</v>
      </c>
      <c r="E806" s="8">
        <v>41962</v>
      </c>
      <c r="F806" s="9">
        <v>434.4</v>
      </c>
    </row>
    <row r="807" spans="1:6" x14ac:dyDescent="0.25">
      <c r="A807" s="10" t="s">
        <v>70</v>
      </c>
      <c r="B807" s="11" t="s">
        <v>117</v>
      </c>
      <c r="C807" s="11" t="s">
        <v>8</v>
      </c>
      <c r="D807" s="12">
        <v>41960</v>
      </c>
      <c r="E807" s="12">
        <v>41960</v>
      </c>
      <c r="F807" s="13">
        <v>680</v>
      </c>
    </row>
    <row r="808" spans="1:6" x14ac:dyDescent="0.25">
      <c r="A808" s="6" t="s">
        <v>128</v>
      </c>
      <c r="B808" s="7" t="s">
        <v>129</v>
      </c>
      <c r="C808" s="7" t="s">
        <v>27</v>
      </c>
      <c r="D808" s="8">
        <v>41961</v>
      </c>
      <c r="E808" s="8">
        <v>41961</v>
      </c>
      <c r="F808" s="9">
        <v>442</v>
      </c>
    </row>
    <row r="809" spans="1:6" x14ac:dyDescent="0.25">
      <c r="A809" s="10" t="s">
        <v>28</v>
      </c>
      <c r="B809" s="11" t="s">
        <v>60</v>
      </c>
      <c r="C809" s="11" t="s">
        <v>66</v>
      </c>
      <c r="D809" s="12">
        <v>41961</v>
      </c>
      <c r="E809" s="12">
        <v>41961</v>
      </c>
      <c r="F809" s="13">
        <v>307.7</v>
      </c>
    </row>
    <row r="810" spans="1:6" x14ac:dyDescent="0.25">
      <c r="A810" s="6" t="s">
        <v>9</v>
      </c>
      <c r="B810" s="7" t="s">
        <v>69</v>
      </c>
      <c r="C810" s="7" t="s">
        <v>27</v>
      </c>
      <c r="D810" s="8">
        <v>41961</v>
      </c>
      <c r="E810" s="8">
        <v>41961</v>
      </c>
      <c r="F810" s="9">
        <v>442</v>
      </c>
    </row>
    <row r="811" spans="1:6" x14ac:dyDescent="0.25">
      <c r="A811" s="10" t="s">
        <v>82</v>
      </c>
      <c r="B811" s="11" t="s">
        <v>125</v>
      </c>
      <c r="C811" s="11" t="s">
        <v>72</v>
      </c>
      <c r="D811" s="12">
        <v>41962</v>
      </c>
      <c r="E811" s="12">
        <v>41962</v>
      </c>
      <c r="F811" s="13">
        <v>494.7</v>
      </c>
    </row>
    <row r="812" spans="1:6" x14ac:dyDescent="0.25">
      <c r="A812" s="6" t="s">
        <v>168</v>
      </c>
      <c r="B812" s="7" t="s">
        <v>169</v>
      </c>
      <c r="C812" s="7" t="s">
        <v>11</v>
      </c>
      <c r="D812" s="8">
        <v>41962</v>
      </c>
      <c r="E812" s="8">
        <v>41962</v>
      </c>
      <c r="F812" s="9">
        <v>156.4</v>
      </c>
    </row>
    <row r="813" spans="1:6" x14ac:dyDescent="0.25">
      <c r="A813" s="10" t="s">
        <v>134</v>
      </c>
      <c r="B813" s="11" t="s">
        <v>135</v>
      </c>
      <c r="C813" s="11" t="s">
        <v>27</v>
      </c>
      <c r="D813" s="12">
        <v>41962</v>
      </c>
      <c r="E813" s="12">
        <v>41962</v>
      </c>
      <c r="F813" s="13">
        <v>442</v>
      </c>
    </row>
    <row r="814" spans="1:6" x14ac:dyDescent="0.25">
      <c r="A814" s="6" t="s">
        <v>164</v>
      </c>
      <c r="B814" s="7" t="s">
        <v>165</v>
      </c>
      <c r="C814" s="7" t="s">
        <v>17</v>
      </c>
      <c r="D814" s="8">
        <v>41962</v>
      </c>
      <c r="E814" s="8">
        <v>41962</v>
      </c>
      <c r="F814" s="9">
        <v>501.5</v>
      </c>
    </row>
    <row r="815" spans="1:6" x14ac:dyDescent="0.25">
      <c r="A815" s="10" t="s">
        <v>61</v>
      </c>
      <c r="B815" s="11" t="s">
        <v>62</v>
      </c>
      <c r="C815" s="11" t="s">
        <v>19</v>
      </c>
      <c r="D815" s="12">
        <v>41963</v>
      </c>
      <c r="E815" s="12">
        <v>41964</v>
      </c>
      <c r="F815" s="13">
        <v>654.4</v>
      </c>
    </row>
    <row r="816" spans="1:6" x14ac:dyDescent="0.25">
      <c r="A816" s="6" t="s">
        <v>6</v>
      </c>
      <c r="B816" s="7" t="s">
        <v>56</v>
      </c>
      <c r="C816" s="7" t="s">
        <v>59</v>
      </c>
      <c r="D816" s="8">
        <v>41963</v>
      </c>
      <c r="E816" s="8">
        <v>41963</v>
      </c>
      <c r="F816" s="9">
        <v>442</v>
      </c>
    </row>
    <row r="817" spans="1:6" x14ac:dyDescent="0.25">
      <c r="A817" s="10" t="s">
        <v>15</v>
      </c>
      <c r="B817" s="11" t="s">
        <v>96</v>
      </c>
      <c r="C817" s="11" t="s">
        <v>30</v>
      </c>
      <c r="D817" s="12">
        <v>41963</v>
      </c>
      <c r="E817" s="12">
        <v>41963</v>
      </c>
      <c r="F817" s="13">
        <v>212.5</v>
      </c>
    </row>
    <row r="818" spans="1:6" x14ac:dyDescent="0.25">
      <c r="A818" s="6" t="s">
        <v>54</v>
      </c>
      <c r="B818" s="7" t="s">
        <v>55</v>
      </c>
      <c r="C818" s="7" t="s">
        <v>27</v>
      </c>
      <c r="D818" s="8">
        <v>41964</v>
      </c>
      <c r="E818" s="8">
        <v>41965</v>
      </c>
      <c r="F818" s="9">
        <v>570</v>
      </c>
    </row>
    <row r="819" spans="1:6" x14ac:dyDescent="0.25">
      <c r="A819" s="10" t="s">
        <v>131</v>
      </c>
      <c r="B819" s="11" t="s">
        <v>154</v>
      </c>
      <c r="C819" s="11" t="s">
        <v>38</v>
      </c>
      <c r="D819" s="12">
        <v>41964</v>
      </c>
      <c r="E819" s="12">
        <v>41965</v>
      </c>
      <c r="F819" s="13">
        <v>407.8</v>
      </c>
    </row>
    <row r="820" spans="1:6" x14ac:dyDescent="0.25">
      <c r="A820" s="6" t="s">
        <v>25</v>
      </c>
      <c r="B820" s="7" t="s">
        <v>67</v>
      </c>
      <c r="C820" s="7" t="s">
        <v>30</v>
      </c>
      <c r="D820" s="8">
        <v>41965</v>
      </c>
      <c r="E820" s="8">
        <v>41969</v>
      </c>
      <c r="F820" s="9">
        <v>688.5</v>
      </c>
    </row>
    <row r="821" spans="1:6" x14ac:dyDescent="0.25">
      <c r="A821" s="10" t="s">
        <v>9</v>
      </c>
      <c r="B821" s="11" t="s">
        <v>103</v>
      </c>
      <c r="C821" s="11" t="s">
        <v>11</v>
      </c>
      <c r="D821" s="12">
        <v>41965</v>
      </c>
      <c r="E821" s="12">
        <v>41965</v>
      </c>
      <c r="F821" s="13">
        <v>156.4</v>
      </c>
    </row>
    <row r="822" spans="1:6" x14ac:dyDescent="0.25">
      <c r="A822" s="6" t="s">
        <v>143</v>
      </c>
      <c r="B822" s="7" t="s">
        <v>144</v>
      </c>
      <c r="C822" s="7" t="s">
        <v>72</v>
      </c>
      <c r="D822" s="8">
        <v>41965</v>
      </c>
      <c r="E822" s="8">
        <v>41966</v>
      </c>
      <c r="F822" s="9">
        <v>693.7</v>
      </c>
    </row>
    <row r="823" spans="1:6" x14ac:dyDescent="0.25">
      <c r="A823" s="10" t="s">
        <v>164</v>
      </c>
      <c r="B823" s="11" t="s">
        <v>165</v>
      </c>
      <c r="C823" s="11" t="s">
        <v>72</v>
      </c>
      <c r="D823" s="12">
        <v>41965</v>
      </c>
      <c r="E823" s="12">
        <v>41965</v>
      </c>
      <c r="F823" s="13">
        <v>494.7</v>
      </c>
    </row>
    <row r="824" spans="1:6" x14ac:dyDescent="0.25">
      <c r="A824" s="6" t="s">
        <v>158</v>
      </c>
      <c r="B824" s="7" t="s">
        <v>159</v>
      </c>
      <c r="C824" s="7" t="s">
        <v>17</v>
      </c>
      <c r="D824" s="8">
        <v>41965</v>
      </c>
      <c r="E824" s="8">
        <v>41968</v>
      </c>
      <c r="F824" s="9">
        <v>1116.5</v>
      </c>
    </row>
    <row r="825" spans="1:6" x14ac:dyDescent="0.25">
      <c r="A825" s="10" t="s">
        <v>89</v>
      </c>
      <c r="B825" s="11" t="s">
        <v>90</v>
      </c>
      <c r="C825" s="11" t="s">
        <v>8</v>
      </c>
      <c r="D825" s="12">
        <v>41965</v>
      </c>
      <c r="E825" s="12">
        <v>41966</v>
      </c>
      <c r="F825" s="13">
        <v>891</v>
      </c>
    </row>
    <row r="826" spans="1:6" x14ac:dyDescent="0.25">
      <c r="A826" s="6" t="s">
        <v>115</v>
      </c>
      <c r="B826" s="7" t="s">
        <v>116</v>
      </c>
      <c r="C826" s="7" t="s">
        <v>24</v>
      </c>
      <c r="D826" s="8">
        <v>41965</v>
      </c>
      <c r="E826" s="8">
        <v>41968</v>
      </c>
      <c r="F826" s="9">
        <v>737.7</v>
      </c>
    </row>
    <row r="827" spans="1:6" x14ac:dyDescent="0.25">
      <c r="A827" s="10" t="s">
        <v>115</v>
      </c>
      <c r="B827" s="11" t="s">
        <v>153</v>
      </c>
      <c r="C827" s="11" t="s">
        <v>19</v>
      </c>
      <c r="D827" s="12">
        <v>41966</v>
      </c>
      <c r="E827" s="12">
        <v>41966</v>
      </c>
      <c r="F827" s="13">
        <v>513.4</v>
      </c>
    </row>
    <row r="828" spans="1:6" x14ac:dyDescent="0.25">
      <c r="A828" s="6" t="s">
        <v>61</v>
      </c>
      <c r="B828" s="7" t="s">
        <v>62</v>
      </c>
      <c r="C828" s="7" t="s">
        <v>8</v>
      </c>
      <c r="D828" s="8">
        <v>41967</v>
      </c>
      <c r="E828" s="8">
        <v>41968</v>
      </c>
      <c r="F828" s="9">
        <v>891</v>
      </c>
    </row>
    <row r="829" spans="1:6" x14ac:dyDescent="0.25">
      <c r="A829" s="10" t="s">
        <v>119</v>
      </c>
      <c r="B829" s="11" t="s">
        <v>120</v>
      </c>
      <c r="C829" s="11" t="s">
        <v>14</v>
      </c>
      <c r="D829" s="12">
        <v>41967</v>
      </c>
      <c r="E829" s="12">
        <v>41967</v>
      </c>
      <c r="F829" s="13">
        <v>178.5</v>
      </c>
    </row>
    <row r="830" spans="1:6" x14ac:dyDescent="0.25">
      <c r="A830" s="6" t="s">
        <v>28</v>
      </c>
      <c r="B830" s="7" t="s">
        <v>60</v>
      </c>
      <c r="C830" s="7" t="s">
        <v>8</v>
      </c>
      <c r="D830" s="8">
        <v>41968</v>
      </c>
      <c r="E830" s="8">
        <v>41968</v>
      </c>
      <c r="F830" s="9">
        <v>680</v>
      </c>
    </row>
    <row r="831" spans="1:6" x14ac:dyDescent="0.25">
      <c r="A831" s="10" t="s">
        <v>164</v>
      </c>
      <c r="B831" s="11" t="s">
        <v>165</v>
      </c>
      <c r="C831" s="11" t="s">
        <v>14</v>
      </c>
      <c r="D831" s="12">
        <v>41968</v>
      </c>
      <c r="E831" s="12">
        <v>41968</v>
      </c>
      <c r="F831" s="13">
        <v>178.5</v>
      </c>
    </row>
    <row r="832" spans="1:6" x14ac:dyDescent="0.25">
      <c r="A832" s="6" t="s">
        <v>12</v>
      </c>
      <c r="B832" s="7" t="s">
        <v>95</v>
      </c>
      <c r="C832" s="7" t="s">
        <v>19</v>
      </c>
      <c r="D832" s="8">
        <v>41968</v>
      </c>
      <c r="E832" s="8">
        <v>41968</v>
      </c>
      <c r="F832" s="9">
        <v>513.4</v>
      </c>
    </row>
    <row r="833" spans="1:6" x14ac:dyDescent="0.25">
      <c r="A833" s="10" t="s">
        <v>31</v>
      </c>
      <c r="B833" s="11" t="s">
        <v>78</v>
      </c>
      <c r="C833" s="11" t="s">
        <v>11</v>
      </c>
      <c r="D833" s="12">
        <v>41970</v>
      </c>
      <c r="E833" s="12">
        <v>41973</v>
      </c>
      <c r="F833" s="13">
        <v>573.4</v>
      </c>
    </row>
    <row r="834" spans="1:6" x14ac:dyDescent="0.25">
      <c r="A834" s="6" t="s">
        <v>82</v>
      </c>
      <c r="B834" s="7" t="s">
        <v>125</v>
      </c>
      <c r="C834" s="7" t="s">
        <v>17</v>
      </c>
      <c r="D834" s="8">
        <v>41970</v>
      </c>
      <c r="E834" s="8">
        <v>41970</v>
      </c>
      <c r="F834" s="9">
        <v>501.5</v>
      </c>
    </row>
    <row r="835" spans="1:6" x14ac:dyDescent="0.25">
      <c r="A835" s="10" t="s">
        <v>70</v>
      </c>
      <c r="B835" s="11" t="s">
        <v>71</v>
      </c>
      <c r="C835" s="11" t="s">
        <v>14</v>
      </c>
      <c r="D835" s="12">
        <v>41970</v>
      </c>
      <c r="E835" s="12">
        <v>41974</v>
      </c>
      <c r="F835" s="13">
        <v>674.5</v>
      </c>
    </row>
    <row r="836" spans="1:6" x14ac:dyDescent="0.25">
      <c r="A836" s="6" t="s">
        <v>25</v>
      </c>
      <c r="B836" s="7" t="s">
        <v>68</v>
      </c>
      <c r="C836" s="7" t="s">
        <v>59</v>
      </c>
      <c r="D836" s="8">
        <v>41970</v>
      </c>
      <c r="E836" s="8">
        <v>41974</v>
      </c>
      <c r="F836" s="9">
        <v>1078</v>
      </c>
    </row>
    <row r="837" spans="1:6" x14ac:dyDescent="0.25">
      <c r="A837" s="10" t="s">
        <v>33</v>
      </c>
      <c r="B837" s="11" t="s">
        <v>34</v>
      </c>
      <c r="C837" s="11" t="s">
        <v>59</v>
      </c>
      <c r="D837" s="12">
        <v>41970</v>
      </c>
      <c r="E837" s="12">
        <v>41970</v>
      </c>
      <c r="F837" s="13">
        <v>442</v>
      </c>
    </row>
    <row r="838" spans="1:6" x14ac:dyDescent="0.25">
      <c r="A838" s="6" t="s">
        <v>134</v>
      </c>
      <c r="B838" s="7" t="s">
        <v>135</v>
      </c>
      <c r="C838" s="7" t="s">
        <v>47</v>
      </c>
      <c r="D838" s="8">
        <v>41970</v>
      </c>
      <c r="E838" s="8">
        <v>41971</v>
      </c>
      <c r="F838" s="9">
        <v>526.79999999999995</v>
      </c>
    </row>
    <row r="839" spans="1:6" x14ac:dyDescent="0.25">
      <c r="A839" s="10" t="s">
        <v>73</v>
      </c>
      <c r="B839" s="11" t="s">
        <v>74</v>
      </c>
      <c r="C839" s="11" t="s">
        <v>59</v>
      </c>
      <c r="D839" s="12">
        <v>41970</v>
      </c>
      <c r="E839" s="12">
        <v>41970</v>
      </c>
      <c r="F839" s="13">
        <v>442</v>
      </c>
    </row>
    <row r="840" spans="1:6" x14ac:dyDescent="0.25">
      <c r="A840" s="6" t="s">
        <v>164</v>
      </c>
      <c r="B840" s="7" t="s">
        <v>165</v>
      </c>
      <c r="C840" s="7" t="s">
        <v>17</v>
      </c>
      <c r="D840" s="8">
        <v>41970</v>
      </c>
      <c r="E840" s="8">
        <v>41973</v>
      </c>
      <c r="F840" s="9">
        <v>1116.5</v>
      </c>
    </row>
    <row r="841" spans="1:6" x14ac:dyDescent="0.25">
      <c r="A841" s="10" t="s">
        <v>54</v>
      </c>
      <c r="B841" s="11" t="s">
        <v>121</v>
      </c>
      <c r="C841" s="11" t="s">
        <v>72</v>
      </c>
      <c r="D841" s="12">
        <v>41970</v>
      </c>
      <c r="E841" s="12">
        <v>41974</v>
      </c>
      <c r="F841" s="13">
        <v>1290.7</v>
      </c>
    </row>
    <row r="842" spans="1:6" x14ac:dyDescent="0.25">
      <c r="A842" s="6" t="s">
        <v>25</v>
      </c>
      <c r="B842" s="7" t="s">
        <v>35</v>
      </c>
      <c r="C842" s="7" t="s">
        <v>72</v>
      </c>
      <c r="D842" s="8">
        <v>41970</v>
      </c>
      <c r="E842" s="8">
        <v>41972</v>
      </c>
      <c r="F842" s="9">
        <v>892.7</v>
      </c>
    </row>
    <row r="843" spans="1:6" x14ac:dyDescent="0.25">
      <c r="A843" s="10" t="s">
        <v>151</v>
      </c>
      <c r="B843" s="11" t="s">
        <v>152</v>
      </c>
      <c r="C843" s="11" t="s">
        <v>47</v>
      </c>
      <c r="D843" s="12">
        <v>41970</v>
      </c>
      <c r="E843" s="12">
        <v>41970</v>
      </c>
      <c r="F843" s="13">
        <v>363.8</v>
      </c>
    </row>
    <row r="844" spans="1:6" x14ac:dyDescent="0.25">
      <c r="A844" s="6" t="s">
        <v>147</v>
      </c>
      <c r="B844" s="7" t="s">
        <v>148</v>
      </c>
      <c r="C844" s="7" t="s">
        <v>24</v>
      </c>
      <c r="D844" s="8">
        <v>41970</v>
      </c>
      <c r="E844" s="8">
        <v>41970</v>
      </c>
      <c r="F844" s="9">
        <v>290.7</v>
      </c>
    </row>
    <row r="845" spans="1:6" x14ac:dyDescent="0.25">
      <c r="A845" s="10" t="s">
        <v>109</v>
      </c>
      <c r="B845" s="11" t="s">
        <v>110</v>
      </c>
      <c r="C845" s="11" t="s">
        <v>47</v>
      </c>
      <c r="D845" s="12">
        <v>41970</v>
      </c>
      <c r="E845" s="12">
        <v>41971</v>
      </c>
      <c r="F845" s="13">
        <v>526.79999999999995</v>
      </c>
    </row>
    <row r="846" spans="1:6" x14ac:dyDescent="0.25">
      <c r="A846" s="6" t="s">
        <v>93</v>
      </c>
      <c r="B846" s="7" t="s">
        <v>94</v>
      </c>
      <c r="C846" s="7" t="s">
        <v>30</v>
      </c>
      <c r="D846" s="8">
        <v>41970</v>
      </c>
      <c r="E846" s="8">
        <v>41970</v>
      </c>
      <c r="F846" s="9">
        <v>212.5</v>
      </c>
    </row>
    <row r="847" spans="1:6" x14ac:dyDescent="0.25">
      <c r="A847" s="10" t="s">
        <v>115</v>
      </c>
      <c r="B847" s="11" t="s">
        <v>116</v>
      </c>
      <c r="C847" s="11" t="s">
        <v>59</v>
      </c>
      <c r="D847" s="12">
        <v>41970</v>
      </c>
      <c r="E847" s="12">
        <v>41971</v>
      </c>
      <c r="F847" s="13">
        <v>601</v>
      </c>
    </row>
    <row r="848" spans="1:6" x14ac:dyDescent="0.25">
      <c r="A848" s="6" t="s">
        <v>12</v>
      </c>
      <c r="B848" s="7" t="s">
        <v>95</v>
      </c>
      <c r="C848" s="7" t="s">
        <v>19</v>
      </c>
      <c r="D848" s="8">
        <v>41970</v>
      </c>
      <c r="E848" s="8">
        <v>41970</v>
      </c>
      <c r="F848" s="9">
        <v>513.4</v>
      </c>
    </row>
    <row r="849" spans="1:6" x14ac:dyDescent="0.25">
      <c r="A849" s="10" t="s">
        <v>54</v>
      </c>
      <c r="B849" s="11" t="s">
        <v>118</v>
      </c>
      <c r="C849" s="11" t="s">
        <v>72</v>
      </c>
      <c r="D849" s="12">
        <v>41970</v>
      </c>
      <c r="E849" s="12">
        <v>41971</v>
      </c>
      <c r="F849" s="13">
        <v>693.7</v>
      </c>
    </row>
    <row r="850" spans="1:6" x14ac:dyDescent="0.25">
      <c r="A850" s="6" t="s">
        <v>20</v>
      </c>
      <c r="B850" s="7" t="s">
        <v>21</v>
      </c>
      <c r="C850" s="7" t="s">
        <v>14</v>
      </c>
      <c r="D850" s="8">
        <v>41970</v>
      </c>
      <c r="E850" s="8">
        <v>41972</v>
      </c>
      <c r="F850" s="9">
        <v>426.5</v>
      </c>
    </row>
    <row r="851" spans="1:6" x14ac:dyDescent="0.25">
      <c r="A851" s="10" t="s">
        <v>54</v>
      </c>
      <c r="B851" s="11" t="s">
        <v>81</v>
      </c>
      <c r="C851" s="11" t="s">
        <v>19</v>
      </c>
      <c r="D851" s="12">
        <v>41971</v>
      </c>
      <c r="E851" s="12">
        <v>41974</v>
      </c>
      <c r="F851" s="13">
        <v>936.4</v>
      </c>
    </row>
    <row r="852" spans="1:6" x14ac:dyDescent="0.25">
      <c r="A852" s="6" t="s">
        <v>22</v>
      </c>
      <c r="B852" s="7" t="s">
        <v>172</v>
      </c>
      <c r="C852" s="7" t="s">
        <v>72</v>
      </c>
      <c r="D852" s="8">
        <v>41971</v>
      </c>
      <c r="E852" s="8">
        <v>41973</v>
      </c>
      <c r="F852" s="9">
        <v>892.7</v>
      </c>
    </row>
    <row r="853" spans="1:6" x14ac:dyDescent="0.25">
      <c r="A853" s="10" t="s">
        <v>131</v>
      </c>
      <c r="B853" s="11" t="s">
        <v>142</v>
      </c>
      <c r="C853" s="11" t="s">
        <v>8</v>
      </c>
      <c r="D853" s="12">
        <v>41971</v>
      </c>
      <c r="E853" s="12">
        <v>41973</v>
      </c>
      <c r="F853" s="13">
        <v>1102</v>
      </c>
    </row>
    <row r="854" spans="1:6" x14ac:dyDescent="0.25">
      <c r="A854" s="6" t="s">
        <v>84</v>
      </c>
      <c r="B854" s="7" t="s">
        <v>85</v>
      </c>
      <c r="C854" s="7" t="s">
        <v>27</v>
      </c>
      <c r="D854" s="8">
        <v>41971</v>
      </c>
      <c r="E854" s="8">
        <v>41973</v>
      </c>
      <c r="F854" s="9">
        <v>698</v>
      </c>
    </row>
    <row r="855" spans="1:6" x14ac:dyDescent="0.25">
      <c r="A855" s="10" t="s">
        <v>86</v>
      </c>
      <c r="B855" s="11" t="s">
        <v>150</v>
      </c>
      <c r="C855" s="11" t="s">
        <v>72</v>
      </c>
      <c r="D855" s="12">
        <v>41971</v>
      </c>
      <c r="E855" s="12">
        <v>41972</v>
      </c>
      <c r="F855" s="13">
        <v>693.7</v>
      </c>
    </row>
    <row r="856" spans="1:6" x14ac:dyDescent="0.25">
      <c r="A856" s="6" t="s">
        <v>50</v>
      </c>
      <c r="B856" s="7" t="s">
        <v>51</v>
      </c>
      <c r="C856" s="7" t="s">
        <v>17</v>
      </c>
      <c r="D856" s="8">
        <v>41971</v>
      </c>
      <c r="E856" s="8">
        <v>41971</v>
      </c>
      <c r="F856" s="9">
        <v>501.5</v>
      </c>
    </row>
    <row r="857" spans="1:6" x14ac:dyDescent="0.25">
      <c r="A857" s="10" t="s">
        <v>25</v>
      </c>
      <c r="B857" s="11" t="s">
        <v>26</v>
      </c>
      <c r="C857" s="11" t="s">
        <v>66</v>
      </c>
      <c r="D857" s="12">
        <v>41971</v>
      </c>
      <c r="E857" s="12">
        <v>41971</v>
      </c>
      <c r="F857" s="13">
        <v>307.7</v>
      </c>
    </row>
    <row r="858" spans="1:6" x14ac:dyDescent="0.25">
      <c r="A858" s="6" t="s">
        <v>28</v>
      </c>
      <c r="B858" s="7" t="s">
        <v>29</v>
      </c>
      <c r="C858" s="7" t="s">
        <v>66</v>
      </c>
      <c r="D858" s="8">
        <v>41971</v>
      </c>
      <c r="E858" s="8">
        <v>41972</v>
      </c>
      <c r="F858" s="9">
        <v>485.7</v>
      </c>
    </row>
    <row r="859" spans="1:6" x14ac:dyDescent="0.25">
      <c r="A859" s="10" t="s">
        <v>168</v>
      </c>
      <c r="B859" s="11" t="s">
        <v>169</v>
      </c>
      <c r="C859" s="11" t="s">
        <v>59</v>
      </c>
      <c r="D859" s="12">
        <v>41971</v>
      </c>
      <c r="E859" s="12">
        <v>41975</v>
      </c>
      <c r="F859" s="13">
        <v>1078</v>
      </c>
    </row>
    <row r="860" spans="1:6" x14ac:dyDescent="0.25">
      <c r="A860" s="6" t="s">
        <v>115</v>
      </c>
      <c r="B860" s="7" t="s">
        <v>140</v>
      </c>
      <c r="C860" s="7" t="s">
        <v>47</v>
      </c>
      <c r="D860" s="8">
        <v>41971</v>
      </c>
      <c r="E860" s="8">
        <v>41971</v>
      </c>
      <c r="F860" s="9">
        <v>363.8</v>
      </c>
    </row>
    <row r="861" spans="1:6" x14ac:dyDescent="0.25">
      <c r="A861" s="10" t="s">
        <v>126</v>
      </c>
      <c r="B861" s="11" t="s">
        <v>127</v>
      </c>
      <c r="C861" s="11" t="s">
        <v>19</v>
      </c>
      <c r="D861" s="12">
        <v>41971</v>
      </c>
      <c r="E861" s="12">
        <v>41971</v>
      </c>
      <c r="F861" s="13">
        <v>513.4</v>
      </c>
    </row>
    <row r="862" spans="1:6" x14ac:dyDescent="0.25">
      <c r="A862" s="6" t="s">
        <v>9</v>
      </c>
      <c r="B862" s="7" t="s">
        <v>69</v>
      </c>
      <c r="C862" s="7" t="s">
        <v>38</v>
      </c>
      <c r="D862" s="8">
        <v>41971</v>
      </c>
      <c r="E862" s="8">
        <v>41972</v>
      </c>
      <c r="F862" s="9">
        <v>407.8</v>
      </c>
    </row>
    <row r="863" spans="1:6" x14ac:dyDescent="0.25">
      <c r="A863" s="10" t="s">
        <v>99</v>
      </c>
      <c r="B863" s="11" t="s">
        <v>100</v>
      </c>
      <c r="C863" s="11" t="s">
        <v>72</v>
      </c>
      <c r="D863" s="12">
        <v>41971</v>
      </c>
      <c r="E863" s="12">
        <v>41974</v>
      </c>
      <c r="F863" s="13">
        <v>1091.7</v>
      </c>
    </row>
    <row r="864" spans="1:6" x14ac:dyDescent="0.25">
      <c r="A864" s="6" t="s">
        <v>145</v>
      </c>
      <c r="B864" s="7" t="s">
        <v>146</v>
      </c>
      <c r="C864" s="7" t="s">
        <v>14</v>
      </c>
      <c r="D864" s="8">
        <v>41971</v>
      </c>
      <c r="E864" s="8">
        <v>41975</v>
      </c>
      <c r="F864" s="9">
        <v>674.5</v>
      </c>
    </row>
    <row r="865" spans="1:6" x14ac:dyDescent="0.25">
      <c r="A865" s="10" t="s">
        <v>156</v>
      </c>
      <c r="B865" s="11" t="s">
        <v>157</v>
      </c>
      <c r="C865" s="11" t="s">
        <v>8</v>
      </c>
      <c r="D865" s="12">
        <v>41971</v>
      </c>
      <c r="E865" s="12">
        <v>41975</v>
      </c>
      <c r="F865" s="13">
        <v>1524</v>
      </c>
    </row>
    <row r="866" spans="1:6" x14ac:dyDescent="0.25">
      <c r="A866" s="6" t="s">
        <v>137</v>
      </c>
      <c r="B866" s="7" t="s">
        <v>160</v>
      </c>
      <c r="C866" s="7" t="s">
        <v>30</v>
      </c>
      <c r="D866" s="8">
        <v>41971</v>
      </c>
      <c r="E866" s="8">
        <v>41975</v>
      </c>
      <c r="F866" s="9">
        <v>688.5</v>
      </c>
    </row>
    <row r="867" spans="1:6" x14ac:dyDescent="0.25">
      <c r="A867" s="10" t="s">
        <v>158</v>
      </c>
      <c r="B867" s="11" t="s">
        <v>159</v>
      </c>
      <c r="C867" s="11" t="s">
        <v>24</v>
      </c>
      <c r="D867" s="12">
        <v>41971</v>
      </c>
      <c r="E867" s="12">
        <v>41972</v>
      </c>
      <c r="F867" s="13">
        <v>439.7</v>
      </c>
    </row>
    <row r="868" spans="1:6" x14ac:dyDescent="0.25">
      <c r="A868" s="6" t="s">
        <v>31</v>
      </c>
      <c r="B868" s="7" t="s">
        <v>77</v>
      </c>
      <c r="C868" s="7" t="s">
        <v>72</v>
      </c>
      <c r="D868" s="8">
        <v>41971</v>
      </c>
      <c r="E868" s="8">
        <v>41972</v>
      </c>
      <c r="F868" s="9">
        <v>693.7</v>
      </c>
    </row>
    <row r="869" spans="1:6" x14ac:dyDescent="0.25">
      <c r="A869" s="10" t="s">
        <v>57</v>
      </c>
      <c r="B869" s="11" t="s">
        <v>58</v>
      </c>
      <c r="C869" s="11" t="s">
        <v>8</v>
      </c>
      <c r="D869" s="12">
        <v>41971</v>
      </c>
      <c r="E869" s="12">
        <v>41974</v>
      </c>
      <c r="F869" s="13">
        <v>1313</v>
      </c>
    </row>
    <row r="870" spans="1:6" x14ac:dyDescent="0.25">
      <c r="A870" s="6" t="s">
        <v>86</v>
      </c>
      <c r="B870" s="7" t="s">
        <v>136</v>
      </c>
      <c r="C870" s="7" t="s">
        <v>8</v>
      </c>
      <c r="D870" s="8">
        <v>41971</v>
      </c>
      <c r="E870" s="8">
        <v>41972</v>
      </c>
      <c r="F870" s="9">
        <v>891</v>
      </c>
    </row>
    <row r="871" spans="1:6" x14ac:dyDescent="0.25">
      <c r="A871" s="10" t="s">
        <v>170</v>
      </c>
      <c r="B871" s="11" t="s">
        <v>171</v>
      </c>
      <c r="C871" s="11" t="s">
        <v>24</v>
      </c>
      <c r="D871" s="12">
        <v>41972</v>
      </c>
      <c r="E871" s="12">
        <v>41973</v>
      </c>
      <c r="F871" s="13">
        <v>439.7</v>
      </c>
    </row>
    <row r="872" spans="1:6" x14ac:dyDescent="0.25">
      <c r="A872" s="6" t="s">
        <v>115</v>
      </c>
      <c r="B872" s="7" t="s">
        <v>140</v>
      </c>
      <c r="C872" s="7" t="s">
        <v>8</v>
      </c>
      <c r="D872" s="8">
        <v>41974</v>
      </c>
      <c r="E872" s="8">
        <v>41974</v>
      </c>
      <c r="F872" s="9">
        <v>680</v>
      </c>
    </row>
    <row r="873" spans="1:6" x14ac:dyDescent="0.25">
      <c r="A873" s="10" t="s">
        <v>33</v>
      </c>
      <c r="B873" s="11" t="s">
        <v>34</v>
      </c>
      <c r="C873" s="11" t="s">
        <v>59</v>
      </c>
      <c r="D873" s="12">
        <v>41974</v>
      </c>
      <c r="E873" s="12">
        <v>41974</v>
      </c>
      <c r="F873" s="13">
        <v>442</v>
      </c>
    </row>
    <row r="874" spans="1:6" x14ac:dyDescent="0.25">
      <c r="A874" s="6" t="s">
        <v>126</v>
      </c>
      <c r="B874" s="7" t="s">
        <v>127</v>
      </c>
      <c r="C874" s="7" t="s">
        <v>14</v>
      </c>
      <c r="D874" s="8">
        <v>41974</v>
      </c>
      <c r="E874" s="8">
        <v>41975</v>
      </c>
      <c r="F874" s="9">
        <v>302.5</v>
      </c>
    </row>
    <row r="875" spans="1:6" x14ac:dyDescent="0.25">
      <c r="A875" s="10" t="s">
        <v>73</v>
      </c>
      <c r="B875" s="11" t="s">
        <v>74</v>
      </c>
      <c r="C875" s="11" t="s">
        <v>19</v>
      </c>
      <c r="D875" s="12">
        <v>41974</v>
      </c>
      <c r="E875" s="12">
        <v>41974</v>
      </c>
      <c r="F875" s="13">
        <v>513.4</v>
      </c>
    </row>
    <row r="876" spans="1:6" x14ac:dyDescent="0.25">
      <c r="A876" s="6" t="s">
        <v>151</v>
      </c>
      <c r="B876" s="7" t="s">
        <v>152</v>
      </c>
      <c r="C876" s="7" t="s">
        <v>59</v>
      </c>
      <c r="D876" s="8">
        <v>41974</v>
      </c>
      <c r="E876" s="8">
        <v>41974</v>
      </c>
      <c r="F876" s="9">
        <v>442</v>
      </c>
    </row>
    <row r="877" spans="1:6" x14ac:dyDescent="0.25">
      <c r="A877" s="10" t="s">
        <v>147</v>
      </c>
      <c r="B877" s="11" t="s">
        <v>148</v>
      </c>
      <c r="C877" s="11" t="s">
        <v>72</v>
      </c>
      <c r="D877" s="12">
        <v>41974</v>
      </c>
      <c r="E877" s="12">
        <v>41974</v>
      </c>
      <c r="F877" s="13">
        <v>494.7</v>
      </c>
    </row>
    <row r="878" spans="1:6" x14ac:dyDescent="0.25">
      <c r="A878" s="6" t="s">
        <v>93</v>
      </c>
      <c r="B878" s="7" t="s">
        <v>94</v>
      </c>
      <c r="C878" s="7" t="s">
        <v>19</v>
      </c>
      <c r="D878" s="8">
        <v>41974</v>
      </c>
      <c r="E878" s="8">
        <v>41974</v>
      </c>
      <c r="F878" s="9">
        <v>513.4</v>
      </c>
    </row>
    <row r="879" spans="1:6" x14ac:dyDescent="0.25">
      <c r="A879" s="10" t="s">
        <v>131</v>
      </c>
      <c r="B879" s="11" t="s">
        <v>154</v>
      </c>
      <c r="C879" s="11" t="s">
        <v>59</v>
      </c>
      <c r="D879" s="12">
        <v>41975</v>
      </c>
      <c r="E879" s="12">
        <v>41975</v>
      </c>
      <c r="F879" s="13">
        <v>442</v>
      </c>
    </row>
    <row r="880" spans="1:6" x14ac:dyDescent="0.25">
      <c r="A880" s="6" t="s">
        <v>22</v>
      </c>
      <c r="B880" s="7" t="s">
        <v>172</v>
      </c>
      <c r="C880" s="7" t="s">
        <v>30</v>
      </c>
      <c r="D880" s="8">
        <v>41975</v>
      </c>
      <c r="E880" s="8">
        <v>41976</v>
      </c>
      <c r="F880" s="9">
        <v>331.5</v>
      </c>
    </row>
    <row r="881" spans="1:6" x14ac:dyDescent="0.25">
      <c r="A881" s="10" t="s">
        <v>54</v>
      </c>
      <c r="B881" s="11" t="s">
        <v>133</v>
      </c>
      <c r="C881" s="11" t="s">
        <v>47</v>
      </c>
      <c r="D881" s="12">
        <v>41975</v>
      </c>
      <c r="E881" s="12">
        <v>41977</v>
      </c>
      <c r="F881" s="13">
        <v>689.8</v>
      </c>
    </row>
    <row r="882" spans="1:6" x14ac:dyDescent="0.25">
      <c r="A882" s="6" t="s">
        <v>50</v>
      </c>
      <c r="B882" s="7" t="s">
        <v>51</v>
      </c>
      <c r="C882" s="7" t="s">
        <v>38</v>
      </c>
      <c r="D882" s="8">
        <v>41975</v>
      </c>
      <c r="E882" s="8">
        <v>41975</v>
      </c>
      <c r="F882" s="9">
        <v>278.8</v>
      </c>
    </row>
    <row r="883" spans="1:6" x14ac:dyDescent="0.25">
      <c r="A883" s="10" t="s">
        <v>158</v>
      </c>
      <c r="B883" s="11" t="s">
        <v>159</v>
      </c>
      <c r="C883" s="11" t="s">
        <v>11</v>
      </c>
      <c r="D883" s="12">
        <v>41975</v>
      </c>
      <c r="E883" s="12">
        <v>41975</v>
      </c>
      <c r="F883" s="13">
        <v>156.4</v>
      </c>
    </row>
    <row r="884" spans="1:6" x14ac:dyDescent="0.25">
      <c r="A884" s="6" t="s">
        <v>115</v>
      </c>
      <c r="B884" s="7" t="s">
        <v>116</v>
      </c>
      <c r="C884" s="7" t="s">
        <v>24</v>
      </c>
      <c r="D884" s="8">
        <v>41975</v>
      </c>
      <c r="E884" s="8">
        <v>41975</v>
      </c>
      <c r="F884" s="9">
        <v>290.7</v>
      </c>
    </row>
    <row r="885" spans="1:6" x14ac:dyDescent="0.25">
      <c r="A885" s="10" t="s">
        <v>170</v>
      </c>
      <c r="B885" s="11" t="s">
        <v>171</v>
      </c>
      <c r="C885" s="11" t="s">
        <v>38</v>
      </c>
      <c r="D885" s="12">
        <v>41976</v>
      </c>
      <c r="E885" s="12">
        <v>41976</v>
      </c>
      <c r="F885" s="13">
        <v>278.8</v>
      </c>
    </row>
    <row r="886" spans="1:6" x14ac:dyDescent="0.25">
      <c r="A886" s="6" t="s">
        <v>54</v>
      </c>
      <c r="B886" s="7" t="s">
        <v>81</v>
      </c>
      <c r="C886" s="7" t="s">
        <v>19</v>
      </c>
      <c r="D886" s="8">
        <v>41977</v>
      </c>
      <c r="E886" s="8">
        <v>41977</v>
      </c>
      <c r="F886" s="9">
        <v>513.4</v>
      </c>
    </row>
    <row r="887" spans="1:6" x14ac:dyDescent="0.25">
      <c r="A887" s="10" t="s">
        <v>99</v>
      </c>
      <c r="B887" s="11" t="s">
        <v>130</v>
      </c>
      <c r="C887" s="11" t="s">
        <v>24</v>
      </c>
      <c r="D887" s="12">
        <v>41977</v>
      </c>
      <c r="E887" s="12">
        <v>41978</v>
      </c>
      <c r="F887" s="13">
        <v>439.7</v>
      </c>
    </row>
    <row r="888" spans="1:6" x14ac:dyDescent="0.25">
      <c r="A888" s="6" t="s">
        <v>97</v>
      </c>
      <c r="B888" s="7" t="s">
        <v>98</v>
      </c>
      <c r="C888" s="7" t="s">
        <v>14</v>
      </c>
      <c r="D888" s="8">
        <v>41977</v>
      </c>
      <c r="E888" s="8">
        <v>41978</v>
      </c>
      <c r="F888" s="9">
        <v>302.5</v>
      </c>
    </row>
    <row r="889" spans="1:6" x14ac:dyDescent="0.25">
      <c r="A889" s="10" t="s">
        <v>73</v>
      </c>
      <c r="B889" s="11" t="s">
        <v>155</v>
      </c>
      <c r="C889" s="11" t="s">
        <v>11</v>
      </c>
      <c r="D889" s="12">
        <v>41977</v>
      </c>
      <c r="E889" s="12">
        <v>41978</v>
      </c>
      <c r="F889" s="13">
        <v>295.39999999999998</v>
      </c>
    </row>
    <row r="890" spans="1:6" x14ac:dyDescent="0.25">
      <c r="A890" s="6" t="s">
        <v>109</v>
      </c>
      <c r="B890" s="7" t="s">
        <v>110</v>
      </c>
      <c r="C890" s="7" t="s">
        <v>24</v>
      </c>
      <c r="D890" s="8">
        <v>41977</v>
      </c>
      <c r="E890" s="8">
        <v>41981</v>
      </c>
      <c r="F890" s="9">
        <v>886.7</v>
      </c>
    </row>
    <row r="891" spans="1:6" x14ac:dyDescent="0.25">
      <c r="A891" s="10" t="s">
        <v>20</v>
      </c>
      <c r="B891" s="11" t="s">
        <v>162</v>
      </c>
      <c r="C891" s="11" t="s">
        <v>72</v>
      </c>
      <c r="D891" s="12">
        <v>41977</v>
      </c>
      <c r="E891" s="12">
        <v>41981</v>
      </c>
      <c r="F891" s="13">
        <v>1290.7</v>
      </c>
    </row>
    <row r="892" spans="1:6" x14ac:dyDescent="0.25">
      <c r="A892" s="6" t="s">
        <v>15</v>
      </c>
      <c r="B892" s="7" t="s">
        <v>16</v>
      </c>
      <c r="C892" s="7" t="s">
        <v>38</v>
      </c>
      <c r="D892" s="8">
        <v>41977</v>
      </c>
      <c r="E892" s="8">
        <v>41979</v>
      </c>
      <c r="F892" s="9">
        <v>536.79999999999995</v>
      </c>
    </row>
    <row r="893" spans="1:6" x14ac:dyDescent="0.25">
      <c r="A893" s="10" t="s">
        <v>31</v>
      </c>
      <c r="B893" s="11" t="s">
        <v>78</v>
      </c>
      <c r="C893" s="11" t="s">
        <v>24</v>
      </c>
      <c r="D893" s="12">
        <v>41982</v>
      </c>
      <c r="E893" s="12">
        <v>41983</v>
      </c>
      <c r="F893" s="13">
        <v>439.7</v>
      </c>
    </row>
    <row r="894" spans="1:6" x14ac:dyDescent="0.25">
      <c r="A894" s="6" t="s">
        <v>33</v>
      </c>
      <c r="B894" s="7" t="s">
        <v>141</v>
      </c>
      <c r="C894" s="7" t="s">
        <v>38</v>
      </c>
      <c r="D894" s="8">
        <v>41982</v>
      </c>
      <c r="E894" s="8">
        <v>41982</v>
      </c>
      <c r="F894" s="9">
        <v>278.8</v>
      </c>
    </row>
    <row r="895" spans="1:6" x14ac:dyDescent="0.25">
      <c r="A895" s="10" t="s">
        <v>48</v>
      </c>
      <c r="B895" s="11" t="s">
        <v>49</v>
      </c>
      <c r="C895" s="11" t="s">
        <v>24</v>
      </c>
      <c r="D895" s="12">
        <v>41982</v>
      </c>
      <c r="E895" s="12">
        <v>41985</v>
      </c>
      <c r="F895" s="13">
        <v>737.7</v>
      </c>
    </row>
    <row r="896" spans="1:6" x14ac:dyDescent="0.25">
      <c r="A896" s="6" t="s">
        <v>6</v>
      </c>
      <c r="B896" s="7" t="s">
        <v>139</v>
      </c>
      <c r="C896" s="7" t="s">
        <v>30</v>
      </c>
      <c r="D896" s="8">
        <v>41982</v>
      </c>
      <c r="E896" s="8">
        <v>41983</v>
      </c>
      <c r="F896" s="9">
        <v>331.5</v>
      </c>
    </row>
    <row r="897" spans="1:6" x14ac:dyDescent="0.25">
      <c r="A897" s="10" t="s">
        <v>122</v>
      </c>
      <c r="B897" s="11" t="s">
        <v>123</v>
      </c>
      <c r="C897" s="11" t="s">
        <v>59</v>
      </c>
      <c r="D897" s="12">
        <v>41982</v>
      </c>
      <c r="E897" s="12">
        <v>41982</v>
      </c>
      <c r="F897" s="13">
        <v>442</v>
      </c>
    </row>
    <row r="898" spans="1:6" x14ac:dyDescent="0.25">
      <c r="A898" s="6" t="s">
        <v>93</v>
      </c>
      <c r="B898" s="7" t="s">
        <v>124</v>
      </c>
      <c r="C898" s="7" t="s">
        <v>72</v>
      </c>
      <c r="D898" s="8">
        <v>41982</v>
      </c>
      <c r="E898" s="8">
        <v>41982</v>
      </c>
      <c r="F898" s="9">
        <v>494.7</v>
      </c>
    </row>
    <row r="899" spans="1:6" x14ac:dyDescent="0.25">
      <c r="A899" s="10" t="s">
        <v>31</v>
      </c>
      <c r="B899" s="11" t="s">
        <v>32</v>
      </c>
      <c r="C899" s="11" t="s">
        <v>8</v>
      </c>
      <c r="D899" s="12">
        <v>41982</v>
      </c>
      <c r="E899" s="12">
        <v>41984</v>
      </c>
      <c r="F899" s="13">
        <v>1102</v>
      </c>
    </row>
    <row r="900" spans="1:6" x14ac:dyDescent="0.25">
      <c r="A900" s="6" t="s">
        <v>61</v>
      </c>
      <c r="B900" s="7" t="s">
        <v>62</v>
      </c>
      <c r="C900" s="7" t="s">
        <v>30</v>
      </c>
      <c r="D900" s="8">
        <v>41982</v>
      </c>
      <c r="E900" s="8">
        <v>41986</v>
      </c>
      <c r="F900" s="9">
        <v>688.5</v>
      </c>
    </row>
    <row r="901" spans="1:6" x14ac:dyDescent="0.25">
      <c r="A901" s="10" t="s">
        <v>170</v>
      </c>
      <c r="B901" s="11" t="s">
        <v>171</v>
      </c>
      <c r="C901" s="11" t="s">
        <v>27</v>
      </c>
      <c r="D901" s="12">
        <v>41982</v>
      </c>
      <c r="E901" s="12">
        <v>41983</v>
      </c>
      <c r="F901" s="13">
        <v>570</v>
      </c>
    </row>
    <row r="902" spans="1:6" x14ac:dyDescent="0.25">
      <c r="A902" s="6" t="s">
        <v>168</v>
      </c>
      <c r="B902" s="7" t="s">
        <v>169</v>
      </c>
      <c r="C902" s="7" t="s">
        <v>59</v>
      </c>
      <c r="D902" s="8">
        <v>41982</v>
      </c>
      <c r="E902" s="8">
        <v>41984</v>
      </c>
      <c r="F902" s="9">
        <v>760</v>
      </c>
    </row>
    <row r="903" spans="1:6" x14ac:dyDescent="0.25">
      <c r="A903" s="10" t="s">
        <v>33</v>
      </c>
      <c r="B903" s="11" t="s">
        <v>34</v>
      </c>
      <c r="C903" s="11" t="s">
        <v>8</v>
      </c>
      <c r="D903" s="12">
        <v>41982</v>
      </c>
      <c r="E903" s="12">
        <v>41983</v>
      </c>
      <c r="F903" s="13">
        <v>891</v>
      </c>
    </row>
    <row r="904" spans="1:6" x14ac:dyDescent="0.25">
      <c r="A904" s="6" t="s">
        <v>9</v>
      </c>
      <c r="B904" s="7" t="s">
        <v>10</v>
      </c>
      <c r="C904" s="7" t="s">
        <v>72</v>
      </c>
      <c r="D904" s="8">
        <v>41982</v>
      </c>
      <c r="E904" s="8">
        <v>41984</v>
      </c>
      <c r="F904" s="9">
        <v>892.7</v>
      </c>
    </row>
    <row r="905" spans="1:6" x14ac:dyDescent="0.25">
      <c r="A905" s="10" t="s">
        <v>73</v>
      </c>
      <c r="B905" s="11" t="s">
        <v>74</v>
      </c>
      <c r="C905" s="11" t="s">
        <v>11</v>
      </c>
      <c r="D905" s="12">
        <v>41982</v>
      </c>
      <c r="E905" s="12">
        <v>41985</v>
      </c>
      <c r="F905" s="13">
        <v>573.4</v>
      </c>
    </row>
    <row r="906" spans="1:6" x14ac:dyDescent="0.25">
      <c r="A906" s="6" t="s">
        <v>101</v>
      </c>
      <c r="B906" s="7" t="s">
        <v>102</v>
      </c>
      <c r="C906" s="7" t="s">
        <v>30</v>
      </c>
      <c r="D906" s="8">
        <v>41982</v>
      </c>
      <c r="E906" s="8">
        <v>41985</v>
      </c>
      <c r="F906" s="9">
        <v>569.5</v>
      </c>
    </row>
    <row r="907" spans="1:6" x14ac:dyDescent="0.25">
      <c r="A907" s="10" t="s">
        <v>86</v>
      </c>
      <c r="B907" s="11" t="s">
        <v>87</v>
      </c>
      <c r="C907" s="11" t="s">
        <v>14</v>
      </c>
      <c r="D907" s="12">
        <v>41982</v>
      </c>
      <c r="E907" s="12">
        <v>41986</v>
      </c>
      <c r="F907" s="13">
        <v>674.5</v>
      </c>
    </row>
    <row r="908" spans="1:6" x14ac:dyDescent="0.25">
      <c r="A908" s="6" t="s">
        <v>107</v>
      </c>
      <c r="B908" s="7" t="s">
        <v>108</v>
      </c>
      <c r="C908" s="7" t="s">
        <v>19</v>
      </c>
      <c r="D908" s="8">
        <v>41982</v>
      </c>
      <c r="E908" s="8">
        <v>41983</v>
      </c>
      <c r="F908" s="9">
        <v>654.4</v>
      </c>
    </row>
    <row r="909" spans="1:6" x14ac:dyDescent="0.25">
      <c r="A909" s="10" t="s">
        <v>134</v>
      </c>
      <c r="B909" s="11" t="s">
        <v>149</v>
      </c>
      <c r="C909" s="11" t="s">
        <v>8</v>
      </c>
      <c r="D909" s="12">
        <v>41982</v>
      </c>
      <c r="E909" s="12">
        <v>41983</v>
      </c>
      <c r="F909" s="13">
        <v>891</v>
      </c>
    </row>
    <row r="910" spans="1:6" x14ac:dyDescent="0.25">
      <c r="A910" s="6" t="s">
        <v>111</v>
      </c>
      <c r="B910" s="7" t="s">
        <v>112</v>
      </c>
      <c r="C910" s="7" t="s">
        <v>59</v>
      </c>
      <c r="D910" s="8">
        <v>41982</v>
      </c>
      <c r="E910" s="8">
        <v>41984</v>
      </c>
      <c r="F910" s="9">
        <v>760</v>
      </c>
    </row>
    <row r="911" spans="1:6" x14ac:dyDescent="0.25">
      <c r="A911" s="10" t="s">
        <v>93</v>
      </c>
      <c r="B911" s="11" t="s">
        <v>94</v>
      </c>
      <c r="C911" s="11" t="s">
        <v>66</v>
      </c>
      <c r="D911" s="12">
        <v>41982</v>
      </c>
      <c r="E911" s="12">
        <v>41986</v>
      </c>
      <c r="F911" s="13">
        <v>1019.7</v>
      </c>
    </row>
    <row r="912" spans="1:6" x14ac:dyDescent="0.25">
      <c r="A912" s="6" t="s">
        <v>70</v>
      </c>
      <c r="B912" s="7" t="s">
        <v>117</v>
      </c>
      <c r="C912" s="7" t="s">
        <v>47</v>
      </c>
      <c r="D912" s="8">
        <v>41982</v>
      </c>
      <c r="E912" s="8">
        <v>41983</v>
      </c>
      <c r="F912" s="9">
        <v>526.79999999999995</v>
      </c>
    </row>
    <row r="913" spans="1:6" x14ac:dyDescent="0.25">
      <c r="A913" s="10" t="s">
        <v>86</v>
      </c>
      <c r="B913" s="11" t="s">
        <v>136</v>
      </c>
      <c r="C913" s="11" t="s">
        <v>47</v>
      </c>
      <c r="D913" s="12">
        <v>41982</v>
      </c>
      <c r="E913" s="12">
        <v>41983</v>
      </c>
      <c r="F913" s="13">
        <v>526.79999999999995</v>
      </c>
    </row>
    <row r="914" spans="1:6" x14ac:dyDescent="0.25">
      <c r="A914" s="6" t="s">
        <v>15</v>
      </c>
      <c r="B914" s="7" t="s">
        <v>44</v>
      </c>
      <c r="C914" s="7" t="s">
        <v>17</v>
      </c>
      <c r="D914" s="8">
        <v>41983</v>
      </c>
      <c r="E914" s="8">
        <v>41984</v>
      </c>
      <c r="F914" s="9">
        <v>706.5</v>
      </c>
    </row>
    <row r="915" spans="1:6" x14ac:dyDescent="0.25">
      <c r="A915" s="10" t="s">
        <v>6</v>
      </c>
      <c r="B915" s="11" t="s">
        <v>7</v>
      </c>
      <c r="C915" s="11" t="s">
        <v>30</v>
      </c>
      <c r="D915" s="12">
        <v>41983</v>
      </c>
      <c r="E915" s="12">
        <v>41984</v>
      </c>
      <c r="F915" s="13">
        <v>331.5</v>
      </c>
    </row>
    <row r="916" spans="1:6" x14ac:dyDescent="0.25">
      <c r="A916" s="6" t="s">
        <v>128</v>
      </c>
      <c r="B916" s="7" t="s">
        <v>129</v>
      </c>
      <c r="C916" s="7" t="s">
        <v>14</v>
      </c>
      <c r="D916" s="8">
        <v>41983</v>
      </c>
      <c r="E916" s="8">
        <v>41986</v>
      </c>
      <c r="F916" s="9">
        <v>550.5</v>
      </c>
    </row>
    <row r="917" spans="1:6" x14ac:dyDescent="0.25">
      <c r="A917" s="10" t="s">
        <v>82</v>
      </c>
      <c r="B917" s="11" t="s">
        <v>83</v>
      </c>
      <c r="C917" s="11" t="s">
        <v>17</v>
      </c>
      <c r="D917" s="12">
        <v>41983</v>
      </c>
      <c r="E917" s="12">
        <v>41986</v>
      </c>
      <c r="F917" s="13">
        <v>1116.5</v>
      </c>
    </row>
    <row r="918" spans="1:6" x14ac:dyDescent="0.25">
      <c r="A918" s="6" t="s">
        <v>25</v>
      </c>
      <c r="B918" s="7" t="s">
        <v>67</v>
      </c>
      <c r="C918" s="7" t="s">
        <v>24</v>
      </c>
      <c r="D918" s="8">
        <v>41983</v>
      </c>
      <c r="E918" s="8">
        <v>41984</v>
      </c>
      <c r="F918" s="9">
        <v>439.7</v>
      </c>
    </row>
    <row r="919" spans="1:6" x14ac:dyDescent="0.25">
      <c r="A919" s="10" t="s">
        <v>28</v>
      </c>
      <c r="B919" s="11" t="s">
        <v>60</v>
      </c>
      <c r="C919" s="11" t="s">
        <v>59</v>
      </c>
      <c r="D919" s="12">
        <v>41983</v>
      </c>
      <c r="E919" s="12">
        <v>41983</v>
      </c>
      <c r="F919" s="13">
        <v>442</v>
      </c>
    </row>
    <row r="920" spans="1:6" x14ac:dyDescent="0.25">
      <c r="A920" s="6" t="s">
        <v>28</v>
      </c>
      <c r="B920" s="7" t="s">
        <v>29</v>
      </c>
      <c r="C920" s="7" t="s">
        <v>17</v>
      </c>
      <c r="D920" s="8">
        <v>41983</v>
      </c>
      <c r="E920" s="8">
        <v>41985</v>
      </c>
      <c r="F920" s="9">
        <v>911.5</v>
      </c>
    </row>
    <row r="921" spans="1:6" x14ac:dyDescent="0.25">
      <c r="A921" s="10" t="s">
        <v>82</v>
      </c>
      <c r="B921" s="11" t="s">
        <v>125</v>
      </c>
      <c r="C921" s="11" t="s">
        <v>47</v>
      </c>
      <c r="D921" s="12">
        <v>41983</v>
      </c>
      <c r="E921" s="12">
        <v>41987</v>
      </c>
      <c r="F921" s="13">
        <v>1015.8</v>
      </c>
    </row>
    <row r="922" spans="1:6" x14ac:dyDescent="0.25">
      <c r="A922" s="6" t="s">
        <v>70</v>
      </c>
      <c r="B922" s="7" t="s">
        <v>71</v>
      </c>
      <c r="C922" s="7" t="s">
        <v>30</v>
      </c>
      <c r="D922" s="8">
        <v>41983</v>
      </c>
      <c r="E922" s="8">
        <v>41984</v>
      </c>
      <c r="F922" s="9">
        <v>331.5</v>
      </c>
    </row>
    <row r="923" spans="1:6" x14ac:dyDescent="0.25">
      <c r="A923" s="10" t="s">
        <v>6</v>
      </c>
      <c r="B923" s="11" t="s">
        <v>56</v>
      </c>
      <c r="C923" s="11" t="s">
        <v>27</v>
      </c>
      <c r="D923" s="12">
        <v>41983</v>
      </c>
      <c r="E923" s="12">
        <v>41987</v>
      </c>
      <c r="F923" s="13">
        <v>954</v>
      </c>
    </row>
    <row r="924" spans="1:6" x14ac:dyDescent="0.25">
      <c r="A924" s="6" t="s">
        <v>9</v>
      </c>
      <c r="B924" s="7" t="s">
        <v>69</v>
      </c>
      <c r="C924" s="7" t="s">
        <v>8</v>
      </c>
      <c r="D924" s="8">
        <v>41983</v>
      </c>
      <c r="E924" s="8">
        <v>41985</v>
      </c>
      <c r="F924" s="9">
        <v>1102</v>
      </c>
    </row>
    <row r="925" spans="1:6" x14ac:dyDescent="0.25">
      <c r="A925" s="10" t="s">
        <v>93</v>
      </c>
      <c r="B925" s="11" t="s">
        <v>106</v>
      </c>
      <c r="C925" s="11" t="s">
        <v>66</v>
      </c>
      <c r="D925" s="12">
        <v>41983</v>
      </c>
      <c r="E925" s="12">
        <v>41984</v>
      </c>
      <c r="F925" s="13">
        <v>485.7</v>
      </c>
    </row>
    <row r="926" spans="1:6" x14ac:dyDescent="0.25">
      <c r="A926" s="6" t="s">
        <v>54</v>
      </c>
      <c r="B926" s="7" t="s">
        <v>121</v>
      </c>
      <c r="C926" s="7" t="s">
        <v>38</v>
      </c>
      <c r="D926" s="8">
        <v>41983</v>
      </c>
      <c r="E926" s="8">
        <v>41986</v>
      </c>
      <c r="F926" s="9">
        <v>665.8</v>
      </c>
    </row>
    <row r="927" spans="1:6" x14ac:dyDescent="0.25">
      <c r="A927" s="10" t="s">
        <v>145</v>
      </c>
      <c r="B927" s="11" t="s">
        <v>146</v>
      </c>
      <c r="C927" s="11" t="s">
        <v>24</v>
      </c>
      <c r="D927" s="12">
        <v>41983</v>
      </c>
      <c r="E927" s="12">
        <v>41985</v>
      </c>
      <c r="F927" s="13">
        <v>588.70000000000005</v>
      </c>
    </row>
    <row r="928" spans="1:6" x14ac:dyDescent="0.25">
      <c r="A928" s="6" t="s">
        <v>25</v>
      </c>
      <c r="B928" s="7" t="s">
        <v>35</v>
      </c>
      <c r="C928" s="7" t="s">
        <v>72</v>
      </c>
      <c r="D928" s="8">
        <v>41983</v>
      </c>
      <c r="E928" s="8">
        <v>41986</v>
      </c>
      <c r="F928" s="9">
        <v>1091.7</v>
      </c>
    </row>
    <row r="929" spans="1:6" x14ac:dyDescent="0.25">
      <c r="A929" s="10" t="s">
        <v>12</v>
      </c>
      <c r="B929" s="11" t="s">
        <v>13</v>
      </c>
      <c r="C929" s="11" t="s">
        <v>47</v>
      </c>
      <c r="D929" s="12">
        <v>41983</v>
      </c>
      <c r="E929" s="12">
        <v>41987</v>
      </c>
      <c r="F929" s="13">
        <v>1015.8</v>
      </c>
    </row>
    <row r="930" spans="1:6" x14ac:dyDescent="0.25">
      <c r="A930" s="6" t="s">
        <v>75</v>
      </c>
      <c r="B930" s="7" t="s">
        <v>88</v>
      </c>
      <c r="C930" s="7" t="s">
        <v>19</v>
      </c>
      <c r="D930" s="8">
        <v>41983</v>
      </c>
      <c r="E930" s="8">
        <v>41984</v>
      </c>
      <c r="F930" s="9">
        <v>654.4</v>
      </c>
    </row>
    <row r="931" spans="1:6" x14ac:dyDescent="0.25">
      <c r="A931" s="10" t="s">
        <v>166</v>
      </c>
      <c r="B931" s="11" t="s">
        <v>167</v>
      </c>
      <c r="C931" s="11" t="s">
        <v>38</v>
      </c>
      <c r="D931" s="12">
        <v>41983</v>
      </c>
      <c r="E931" s="12">
        <v>41984</v>
      </c>
      <c r="F931" s="13">
        <v>407.8</v>
      </c>
    </row>
    <row r="932" spans="1:6" x14ac:dyDescent="0.25">
      <c r="A932" s="6" t="s">
        <v>6</v>
      </c>
      <c r="B932" s="7" t="s">
        <v>45</v>
      </c>
      <c r="C932" s="7" t="s">
        <v>11</v>
      </c>
      <c r="D932" s="8">
        <v>41983</v>
      </c>
      <c r="E932" s="8">
        <v>41983</v>
      </c>
      <c r="F932" s="9">
        <v>156.4</v>
      </c>
    </row>
    <row r="933" spans="1:6" x14ac:dyDescent="0.25">
      <c r="A933" s="10" t="s">
        <v>20</v>
      </c>
      <c r="B933" s="11" t="s">
        <v>162</v>
      </c>
      <c r="C933" s="11" t="s">
        <v>14</v>
      </c>
      <c r="D933" s="12">
        <v>41983</v>
      </c>
      <c r="E933" s="12">
        <v>41986</v>
      </c>
      <c r="F933" s="13">
        <v>550.5</v>
      </c>
    </row>
    <row r="934" spans="1:6" x14ac:dyDescent="0.25">
      <c r="A934" s="6" t="s">
        <v>15</v>
      </c>
      <c r="B934" s="7" t="s">
        <v>16</v>
      </c>
      <c r="C934" s="7" t="s">
        <v>8</v>
      </c>
      <c r="D934" s="8">
        <v>41983</v>
      </c>
      <c r="E934" s="8">
        <v>41987</v>
      </c>
      <c r="F934" s="9">
        <v>1524</v>
      </c>
    </row>
    <row r="935" spans="1:6" x14ac:dyDescent="0.25">
      <c r="A935" s="10" t="s">
        <v>20</v>
      </c>
      <c r="B935" s="11" t="s">
        <v>21</v>
      </c>
      <c r="C935" s="11" t="s">
        <v>38</v>
      </c>
      <c r="D935" s="12">
        <v>41983</v>
      </c>
      <c r="E935" s="12">
        <v>41984</v>
      </c>
      <c r="F935" s="13">
        <v>407.8</v>
      </c>
    </row>
    <row r="936" spans="1:6" x14ac:dyDescent="0.25">
      <c r="A936" s="6" t="s">
        <v>115</v>
      </c>
      <c r="B936" s="7" t="s">
        <v>140</v>
      </c>
      <c r="C936" s="7" t="s">
        <v>17</v>
      </c>
      <c r="D936" s="8">
        <v>41984</v>
      </c>
      <c r="E936" s="8">
        <v>41985</v>
      </c>
      <c r="F936" s="9">
        <v>706.5</v>
      </c>
    </row>
    <row r="937" spans="1:6" x14ac:dyDescent="0.25">
      <c r="A937" s="10" t="s">
        <v>33</v>
      </c>
      <c r="B937" s="11" t="s">
        <v>34</v>
      </c>
      <c r="C937" s="11" t="s">
        <v>24</v>
      </c>
      <c r="D937" s="12">
        <v>41984</v>
      </c>
      <c r="E937" s="12">
        <v>41984</v>
      </c>
      <c r="F937" s="13">
        <v>290.7</v>
      </c>
    </row>
    <row r="938" spans="1:6" x14ac:dyDescent="0.25">
      <c r="A938" s="6" t="s">
        <v>33</v>
      </c>
      <c r="B938" s="7" t="s">
        <v>141</v>
      </c>
      <c r="C938" s="7" t="s">
        <v>27</v>
      </c>
      <c r="D938" s="8">
        <v>41985</v>
      </c>
      <c r="E938" s="8">
        <v>41985</v>
      </c>
      <c r="F938" s="9">
        <v>442</v>
      </c>
    </row>
    <row r="939" spans="1:6" x14ac:dyDescent="0.25">
      <c r="A939" s="10" t="s">
        <v>6</v>
      </c>
      <c r="B939" s="11" t="s">
        <v>139</v>
      </c>
      <c r="C939" s="11" t="s">
        <v>59</v>
      </c>
      <c r="D939" s="12">
        <v>41985</v>
      </c>
      <c r="E939" s="12">
        <v>41985</v>
      </c>
      <c r="F939" s="13">
        <v>442</v>
      </c>
    </row>
    <row r="940" spans="1:6" x14ac:dyDescent="0.25">
      <c r="A940" s="6" t="s">
        <v>122</v>
      </c>
      <c r="B940" s="7" t="s">
        <v>123</v>
      </c>
      <c r="C940" s="7" t="s">
        <v>38</v>
      </c>
      <c r="D940" s="8">
        <v>41985</v>
      </c>
      <c r="E940" s="8">
        <v>41985</v>
      </c>
      <c r="F940" s="9">
        <v>278.8</v>
      </c>
    </row>
    <row r="941" spans="1:6" x14ac:dyDescent="0.25">
      <c r="A941" s="10" t="s">
        <v>93</v>
      </c>
      <c r="B941" s="11" t="s">
        <v>124</v>
      </c>
      <c r="C941" s="11" t="s">
        <v>38</v>
      </c>
      <c r="D941" s="12">
        <v>41985</v>
      </c>
      <c r="E941" s="12">
        <v>41985</v>
      </c>
      <c r="F941" s="13">
        <v>278.8</v>
      </c>
    </row>
    <row r="942" spans="1:6" x14ac:dyDescent="0.25">
      <c r="A942" s="6" t="s">
        <v>86</v>
      </c>
      <c r="B942" s="7" t="s">
        <v>150</v>
      </c>
      <c r="C942" s="7" t="s">
        <v>14</v>
      </c>
      <c r="D942" s="8">
        <v>41985</v>
      </c>
      <c r="E942" s="8">
        <v>41985</v>
      </c>
      <c r="F942" s="9">
        <v>178.5</v>
      </c>
    </row>
    <row r="943" spans="1:6" x14ac:dyDescent="0.25">
      <c r="A943" s="10" t="s">
        <v>119</v>
      </c>
      <c r="B943" s="11" t="s">
        <v>120</v>
      </c>
      <c r="C943" s="11" t="s">
        <v>11</v>
      </c>
      <c r="D943" s="12">
        <v>41985</v>
      </c>
      <c r="E943" s="12">
        <v>41988</v>
      </c>
      <c r="F943" s="13">
        <v>573.4</v>
      </c>
    </row>
    <row r="944" spans="1:6" x14ac:dyDescent="0.25">
      <c r="A944" s="6" t="s">
        <v>134</v>
      </c>
      <c r="B944" s="7" t="s">
        <v>149</v>
      </c>
      <c r="C944" s="7" t="s">
        <v>66</v>
      </c>
      <c r="D944" s="8">
        <v>41985</v>
      </c>
      <c r="E944" s="8">
        <v>41985</v>
      </c>
      <c r="F944" s="9">
        <v>307.7</v>
      </c>
    </row>
    <row r="945" spans="1:6" x14ac:dyDescent="0.25">
      <c r="A945" s="10" t="s">
        <v>113</v>
      </c>
      <c r="B945" s="11" t="s">
        <v>114</v>
      </c>
      <c r="C945" s="11" t="s">
        <v>66</v>
      </c>
      <c r="D945" s="12">
        <v>41985</v>
      </c>
      <c r="E945" s="12">
        <v>41985</v>
      </c>
      <c r="F945" s="13">
        <v>307.7</v>
      </c>
    </row>
    <row r="946" spans="1:6" x14ac:dyDescent="0.25">
      <c r="A946" s="6" t="s">
        <v>91</v>
      </c>
      <c r="B946" s="7" t="s">
        <v>161</v>
      </c>
      <c r="C946" s="7" t="s">
        <v>66</v>
      </c>
      <c r="D946" s="8">
        <v>41985</v>
      </c>
      <c r="E946" s="8">
        <v>41989</v>
      </c>
      <c r="F946" s="9">
        <v>1019.7</v>
      </c>
    </row>
    <row r="947" spans="1:6" x14ac:dyDescent="0.25">
      <c r="A947" s="10" t="s">
        <v>33</v>
      </c>
      <c r="B947" s="11" t="s">
        <v>34</v>
      </c>
      <c r="C947" s="11" t="s">
        <v>17</v>
      </c>
      <c r="D947" s="12">
        <v>41986</v>
      </c>
      <c r="E947" s="12">
        <v>41986</v>
      </c>
      <c r="F947" s="13">
        <v>501.5</v>
      </c>
    </row>
    <row r="948" spans="1:6" x14ac:dyDescent="0.25">
      <c r="A948" s="6" t="s">
        <v>6</v>
      </c>
      <c r="B948" s="7" t="s">
        <v>45</v>
      </c>
      <c r="C948" s="7" t="s">
        <v>17</v>
      </c>
      <c r="D948" s="8">
        <v>41986</v>
      </c>
      <c r="E948" s="8">
        <v>41986</v>
      </c>
      <c r="F948" s="9">
        <v>501.5</v>
      </c>
    </row>
    <row r="949" spans="1:6" x14ac:dyDescent="0.25">
      <c r="A949" s="10" t="s">
        <v>115</v>
      </c>
      <c r="B949" s="11" t="s">
        <v>153</v>
      </c>
      <c r="C949" s="11" t="s">
        <v>30</v>
      </c>
      <c r="D949" s="12">
        <v>41987</v>
      </c>
      <c r="E949" s="12">
        <v>41987</v>
      </c>
      <c r="F949" s="13">
        <v>212.5</v>
      </c>
    </row>
    <row r="950" spans="1:6" x14ac:dyDescent="0.25">
      <c r="A950" s="6" t="s">
        <v>31</v>
      </c>
      <c r="B950" s="7" t="s">
        <v>32</v>
      </c>
      <c r="C950" s="7" t="s">
        <v>17</v>
      </c>
      <c r="D950" s="8">
        <v>41987</v>
      </c>
      <c r="E950" s="8">
        <v>41987</v>
      </c>
      <c r="F950" s="9">
        <v>501.5</v>
      </c>
    </row>
    <row r="951" spans="1:6" x14ac:dyDescent="0.25">
      <c r="A951" s="10" t="s">
        <v>170</v>
      </c>
      <c r="B951" s="11" t="s">
        <v>171</v>
      </c>
      <c r="C951" s="11" t="s">
        <v>11</v>
      </c>
      <c r="D951" s="12">
        <v>41988</v>
      </c>
      <c r="E951" s="12">
        <v>41988</v>
      </c>
      <c r="F951" s="13">
        <v>156.4</v>
      </c>
    </row>
    <row r="952" spans="1:6" x14ac:dyDescent="0.25">
      <c r="A952" s="6" t="s">
        <v>86</v>
      </c>
      <c r="B952" s="7" t="s">
        <v>87</v>
      </c>
      <c r="C952" s="7" t="s">
        <v>30</v>
      </c>
      <c r="D952" s="8">
        <v>41988</v>
      </c>
      <c r="E952" s="8">
        <v>41988</v>
      </c>
      <c r="F952" s="9">
        <v>212.5</v>
      </c>
    </row>
    <row r="953" spans="1:6" x14ac:dyDescent="0.25">
      <c r="A953" s="10" t="s">
        <v>73</v>
      </c>
      <c r="B953" s="11" t="s">
        <v>155</v>
      </c>
      <c r="C953" s="11" t="s">
        <v>11</v>
      </c>
      <c r="D953" s="12">
        <v>41988</v>
      </c>
      <c r="E953" s="12">
        <v>41988</v>
      </c>
      <c r="F953" s="13">
        <v>156.4</v>
      </c>
    </row>
    <row r="954" spans="1:6" x14ac:dyDescent="0.25">
      <c r="A954" s="6" t="s">
        <v>33</v>
      </c>
      <c r="B954" s="7" t="s">
        <v>141</v>
      </c>
      <c r="C954" s="7" t="s">
        <v>8</v>
      </c>
      <c r="D954" s="8">
        <v>41989</v>
      </c>
      <c r="E954" s="8">
        <v>41990</v>
      </c>
      <c r="F954" s="9">
        <v>891</v>
      </c>
    </row>
    <row r="955" spans="1:6" x14ac:dyDescent="0.25">
      <c r="A955" s="10" t="s">
        <v>22</v>
      </c>
      <c r="B955" s="11" t="s">
        <v>172</v>
      </c>
      <c r="C955" s="11" t="s">
        <v>47</v>
      </c>
      <c r="D955" s="12">
        <v>41989</v>
      </c>
      <c r="E955" s="12">
        <v>41992</v>
      </c>
      <c r="F955" s="13">
        <v>852.8</v>
      </c>
    </row>
    <row r="956" spans="1:6" x14ac:dyDescent="0.25">
      <c r="A956" s="6" t="s">
        <v>50</v>
      </c>
      <c r="B956" s="7" t="s">
        <v>51</v>
      </c>
      <c r="C956" s="7" t="s">
        <v>17</v>
      </c>
      <c r="D956" s="8">
        <v>41989</v>
      </c>
      <c r="E956" s="8">
        <v>41990</v>
      </c>
      <c r="F956" s="9">
        <v>706.5</v>
      </c>
    </row>
    <row r="957" spans="1:6" x14ac:dyDescent="0.25">
      <c r="A957" s="10" t="s">
        <v>107</v>
      </c>
      <c r="B957" s="11" t="s">
        <v>108</v>
      </c>
      <c r="C957" s="11" t="s">
        <v>59</v>
      </c>
      <c r="D957" s="12">
        <v>41989</v>
      </c>
      <c r="E957" s="12">
        <v>41989</v>
      </c>
      <c r="F957" s="13">
        <v>442</v>
      </c>
    </row>
    <row r="958" spans="1:6" x14ac:dyDescent="0.25">
      <c r="A958" s="6" t="s">
        <v>109</v>
      </c>
      <c r="B958" s="7" t="s">
        <v>110</v>
      </c>
      <c r="C958" s="7" t="s">
        <v>38</v>
      </c>
      <c r="D958" s="8">
        <v>41989</v>
      </c>
      <c r="E958" s="8">
        <v>41989</v>
      </c>
      <c r="F958" s="9">
        <v>278.8</v>
      </c>
    </row>
    <row r="959" spans="1:6" x14ac:dyDescent="0.25">
      <c r="A959" s="10" t="s">
        <v>15</v>
      </c>
      <c r="B959" s="11" t="s">
        <v>63</v>
      </c>
      <c r="C959" s="11" t="s">
        <v>11</v>
      </c>
      <c r="D959" s="12">
        <v>41989</v>
      </c>
      <c r="E959" s="12">
        <v>41990</v>
      </c>
      <c r="F959" s="13">
        <v>295.39999999999998</v>
      </c>
    </row>
    <row r="960" spans="1:6" x14ac:dyDescent="0.25">
      <c r="A960" s="6" t="s">
        <v>115</v>
      </c>
      <c r="B960" s="7" t="s">
        <v>153</v>
      </c>
      <c r="C960" s="7" t="s">
        <v>47</v>
      </c>
      <c r="D960" s="8">
        <v>41990</v>
      </c>
      <c r="E960" s="8">
        <v>41990</v>
      </c>
      <c r="F960" s="9">
        <v>363.8</v>
      </c>
    </row>
    <row r="961" spans="1:6" x14ac:dyDescent="0.25">
      <c r="A961" s="10" t="s">
        <v>54</v>
      </c>
      <c r="B961" s="11" t="s">
        <v>121</v>
      </c>
      <c r="C961" s="11" t="s">
        <v>17</v>
      </c>
      <c r="D961" s="12">
        <v>41990</v>
      </c>
      <c r="E961" s="12">
        <v>41990</v>
      </c>
      <c r="F961" s="13">
        <v>501.5</v>
      </c>
    </row>
    <row r="962" spans="1:6" x14ac:dyDescent="0.25">
      <c r="A962" s="6" t="s">
        <v>6</v>
      </c>
      <c r="B962" s="7" t="s">
        <v>45</v>
      </c>
      <c r="C962" s="7" t="s">
        <v>19</v>
      </c>
      <c r="D962" s="8">
        <v>41990</v>
      </c>
      <c r="E962" s="8">
        <v>41990</v>
      </c>
      <c r="F962" s="9">
        <v>513.4</v>
      </c>
    </row>
    <row r="963" spans="1:6" x14ac:dyDescent="0.25">
      <c r="A963" s="10" t="s">
        <v>25</v>
      </c>
      <c r="B963" s="11" t="s">
        <v>67</v>
      </c>
      <c r="C963" s="11" t="s">
        <v>47</v>
      </c>
      <c r="D963" s="12">
        <v>41991</v>
      </c>
      <c r="E963" s="12">
        <v>41991</v>
      </c>
      <c r="F963" s="13">
        <v>363.8</v>
      </c>
    </row>
    <row r="964" spans="1:6" x14ac:dyDescent="0.25">
      <c r="A964" s="6" t="s">
        <v>126</v>
      </c>
      <c r="B964" s="7" t="s">
        <v>127</v>
      </c>
      <c r="C964" s="7" t="s">
        <v>47</v>
      </c>
      <c r="D964" s="8">
        <v>41991</v>
      </c>
      <c r="E964" s="8">
        <v>41991</v>
      </c>
      <c r="F964" s="9">
        <v>363.8</v>
      </c>
    </row>
    <row r="965" spans="1:6" x14ac:dyDescent="0.25">
      <c r="A965" s="10" t="s">
        <v>134</v>
      </c>
      <c r="B965" s="11" t="s">
        <v>149</v>
      </c>
      <c r="C965" s="11" t="s">
        <v>24</v>
      </c>
      <c r="D965" s="12">
        <v>41991</v>
      </c>
      <c r="E965" s="12">
        <v>41991</v>
      </c>
      <c r="F965" s="13">
        <v>290.7</v>
      </c>
    </row>
    <row r="966" spans="1:6" x14ac:dyDescent="0.25">
      <c r="A966" s="6" t="s">
        <v>15</v>
      </c>
      <c r="B966" s="7" t="s">
        <v>16</v>
      </c>
      <c r="C966" s="7" t="s">
        <v>30</v>
      </c>
      <c r="D966" s="8">
        <v>41991</v>
      </c>
      <c r="E966" s="8">
        <v>41992</v>
      </c>
      <c r="F966" s="9">
        <v>331.5</v>
      </c>
    </row>
    <row r="967" spans="1:6" x14ac:dyDescent="0.25">
      <c r="A967" s="10" t="s">
        <v>20</v>
      </c>
      <c r="B967" s="11" t="s">
        <v>21</v>
      </c>
      <c r="C967" s="11" t="s">
        <v>72</v>
      </c>
      <c r="D967" s="12">
        <v>41991</v>
      </c>
      <c r="E967" s="12">
        <v>41991</v>
      </c>
      <c r="F967" s="13">
        <v>494.7</v>
      </c>
    </row>
    <row r="968" spans="1:6" x14ac:dyDescent="0.25">
      <c r="A968" s="6" t="s">
        <v>25</v>
      </c>
      <c r="B968" s="7" t="s">
        <v>35</v>
      </c>
      <c r="C968" s="7" t="s">
        <v>11</v>
      </c>
      <c r="D968" s="8">
        <v>41992</v>
      </c>
      <c r="E968" s="8">
        <v>41992</v>
      </c>
      <c r="F968" s="9">
        <v>156.4</v>
      </c>
    </row>
    <row r="969" spans="1:6" x14ac:dyDescent="0.25">
      <c r="A969" s="10" t="s">
        <v>151</v>
      </c>
      <c r="B969" s="11" t="s">
        <v>152</v>
      </c>
      <c r="C969" s="11" t="s">
        <v>72</v>
      </c>
      <c r="D969" s="12">
        <v>41992</v>
      </c>
      <c r="E969" s="12">
        <v>41992</v>
      </c>
      <c r="F969" s="13">
        <v>494.7</v>
      </c>
    </row>
    <row r="970" spans="1:6" x14ac:dyDescent="0.25">
      <c r="A970" s="6" t="s">
        <v>6</v>
      </c>
      <c r="B970" s="7" t="s">
        <v>7</v>
      </c>
      <c r="C970" s="7" t="s">
        <v>66</v>
      </c>
      <c r="D970" s="8">
        <v>41993</v>
      </c>
      <c r="E970" s="8">
        <v>41993</v>
      </c>
      <c r="F970" s="9">
        <v>307.7</v>
      </c>
    </row>
    <row r="971" spans="1:6" x14ac:dyDescent="0.25">
      <c r="A971" s="10" t="s">
        <v>15</v>
      </c>
      <c r="B971" s="11" t="s">
        <v>63</v>
      </c>
      <c r="C971" s="11" t="s">
        <v>8</v>
      </c>
      <c r="D971" s="12">
        <v>41993</v>
      </c>
      <c r="E971" s="12">
        <v>41993</v>
      </c>
      <c r="F971" s="13">
        <v>680</v>
      </c>
    </row>
    <row r="972" spans="1:6" x14ac:dyDescent="0.25">
      <c r="A972" s="6" t="s">
        <v>122</v>
      </c>
      <c r="B972" s="7" t="s">
        <v>123</v>
      </c>
      <c r="C972" s="7" t="s">
        <v>27</v>
      </c>
      <c r="D972" s="8">
        <v>41994</v>
      </c>
      <c r="E972" s="8">
        <v>41994</v>
      </c>
      <c r="F972" s="9">
        <v>442</v>
      </c>
    </row>
    <row r="973" spans="1:6" x14ac:dyDescent="0.25">
      <c r="A973" s="10" t="s">
        <v>15</v>
      </c>
      <c r="B973" s="11" t="s">
        <v>46</v>
      </c>
      <c r="C973" s="11" t="s">
        <v>19</v>
      </c>
      <c r="D973" s="12">
        <v>41994</v>
      </c>
      <c r="E973" s="12">
        <v>41994</v>
      </c>
      <c r="F973" s="13">
        <v>513.4</v>
      </c>
    </row>
    <row r="974" spans="1:6" x14ac:dyDescent="0.25">
      <c r="A974" s="6" t="s">
        <v>57</v>
      </c>
      <c r="B974" s="7" t="s">
        <v>163</v>
      </c>
      <c r="C974" s="7" t="s">
        <v>8</v>
      </c>
      <c r="D974" s="8">
        <v>41994</v>
      </c>
      <c r="E974" s="8">
        <v>41994</v>
      </c>
      <c r="F974" s="9">
        <v>680</v>
      </c>
    </row>
    <row r="975" spans="1:6" x14ac:dyDescent="0.25">
      <c r="A975" s="10" t="s">
        <v>22</v>
      </c>
      <c r="B975" s="11" t="s">
        <v>172</v>
      </c>
      <c r="C975" s="11" t="s">
        <v>17</v>
      </c>
      <c r="D975" s="12">
        <v>41994</v>
      </c>
      <c r="E975" s="12">
        <v>41994</v>
      </c>
      <c r="F975" s="13">
        <v>501.5</v>
      </c>
    </row>
    <row r="976" spans="1:6" x14ac:dyDescent="0.25">
      <c r="A976" s="6" t="s">
        <v>50</v>
      </c>
      <c r="B976" s="7" t="s">
        <v>51</v>
      </c>
      <c r="C976" s="7" t="s">
        <v>24</v>
      </c>
      <c r="D976" s="8">
        <v>41994</v>
      </c>
      <c r="E976" s="8">
        <v>41994</v>
      </c>
      <c r="F976" s="9">
        <v>290.7</v>
      </c>
    </row>
    <row r="977" spans="1:6" x14ac:dyDescent="0.25">
      <c r="A977" s="10" t="s">
        <v>6</v>
      </c>
      <c r="B977" s="11" t="s">
        <v>56</v>
      </c>
      <c r="C977" s="11" t="s">
        <v>59</v>
      </c>
      <c r="D977" s="12">
        <v>41994</v>
      </c>
      <c r="E977" s="12">
        <v>41995</v>
      </c>
      <c r="F977" s="13">
        <v>601</v>
      </c>
    </row>
    <row r="978" spans="1:6" x14ac:dyDescent="0.25">
      <c r="A978" s="6" t="s">
        <v>143</v>
      </c>
      <c r="B978" s="7" t="s">
        <v>144</v>
      </c>
      <c r="C978" s="7" t="s">
        <v>27</v>
      </c>
      <c r="D978" s="8">
        <v>41994</v>
      </c>
      <c r="E978" s="8">
        <v>41995</v>
      </c>
      <c r="F978" s="9">
        <v>570</v>
      </c>
    </row>
    <row r="979" spans="1:6" x14ac:dyDescent="0.25">
      <c r="A979" s="10" t="s">
        <v>54</v>
      </c>
      <c r="B979" s="11" t="s">
        <v>118</v>
      </c>
      <c r="C979" s="11" t="s">
        <v>30</v>
      </c>
      <c r="D979" s="12">
        <v>41994</v>
      </c>
      <c r="E979" s="12">
        <v>41995</v>
      </c>
      <c r="F979" s="13">
        <v>331.5</v>
      </c>
    </row>
    <row r="980" spans="1:6" x14ac:dyDescent="0.25">
      <c r="A980" s="6" t="s">
        <v>115</v>
      </c>
      <c r="B980" s="7" t="s">
        <v>153</v>
      </c>
      <c r="C980" s="7" t="s">
        <v>17</v>
      </c>
      <c r="D980" s="8">
        <v>41995</v>
      </c>
      <c r="E980" s="8">
        <v>41995</v>
      </c>
      <c r="F980" s="9">
        <v>501.5</v>
      </c>
    </row>
    <row r="981" spans="1:6" x14ac:dyDescent="0.25">
      <c r="A981" s="10" t="s">
        <v>79</v>
      </c>
      <c r="B981" s="11" t="s">
        <v>80</v>
      </c>
      <c r="C981" s="11" t="s">
        <v>47</v>
      </c>
      <c r="D981" s="12">
        <v>41995</v>
      </c>
      <c r="E981" s="12">
        <v>41995</v>
      </c>
      <c r="F981" s="13">
        <v>363.8</v>
      </c>
    </row>
    <row r="982" spans="1:6" x14ac:dyDescent="0.25">
      <c r="A982" s="6" t="s">
        <v>168</v>
      </c>
      <c r="B982" s="7" t="s">
        <v>169</v>
      </c>
      <c r="C982" s="7" t="s">
        <v>66</v>
      </c>
      <c r="D982" s="8">
        <v>41995</v>
      </c>
      <c r="E982" s="8">
        <v>41996</v>
      </c>
      <c r="F982" s="9">
        <v>485.7</v>
      </c>
    </row>
    <row r="983" spans="1:6" x14ac:dyDescent="0.25">
      <c r="A983" s="10" t="s">
        <v>97</v>
      </c>
      <c r="B983" s="11" t="s">
        <v>98</v>
      </c>
      <c r="C983" s="11" t="s">
        <v>24</v>
      </c>
      <c r="D983" s="12">
        <v>41995</v>
      </c>
      <c r="E983" s="12">
        <v>41995</v>
      </c>
      <c r="F983" s="13">
        <v>290.7</v>
      </c>
    </row>
    <row r="984" spans="1:6" x14ac:dyDescent="0.25">
      <c r="A984" s="6" t="s">
        <v>115</v>
      </c>
      <c r="B984" s="7" t="s">
        <v>140</v>
      </c>
      <c r="C984" s="7" t="s">
        <v>11</v>
      </c>
      <c r="D984" s="8">
        <v>41995</v>
      </c>
      <c r="E984" s="8">
        <v>41996</v>
      </c>
      <c r="F984" s="9">
        <v>295.39999999999998</v>
      </c>
    </row>
    <row r="985" spans="1:6" x14ac:dyDescent="0.25">
      <c r="A985" s="10" t="s">
        <v>101</v>
      </c>
      <c r="B985" s="11" t="s">
        <v>102</v>
      </c>
      <c r="C985" s="11" t="s">
        <v>11</v>
      </c>
      <c r="D985" s="12">
        <v>41995</v>
      </c>
      <c r="E985" s="12">
        <v>41995</v>
      </c>
      <c r="F985" s="13">
        <v>156.4</v>
      </c>
    </row>
    <row r="986" spans="1:6" x14ac:dyDescent="0.25">
      <c r="A986" s="6" t="s">
        <v>164</v>
      </c>
      <c r="B986" s="7" t="s">
        <v>165</v>
      </c>
      <c r="C986" s="7" t="s">
        <v>17</v>
      </c>
      <c r="D986" s="8">
        <v>41995</v>
      </c>
      <c r="E986" s="8">
        <v>41995</v>
      </c>
      <c r="F986" s="9">
        <v>501.5</v>
      </c>
    </row>
    <row r="987" spans="1:6" x14ac:dyDescent="0.25">
      <c r="A987" s="10" t="s">
        <v>93</v>
      </c>
      <c r="B987" s="11" t="s">
        <v>106</v>
      </c>
      <c r="C987" s="11" t="s">
        <v>30</v>
      </c>
      <c r="D987" s="12">
        <v>41995</v>
      </c>
      <c r="E987" s="12">
        <v>41995</v>
      </c>
      <c r="F987" s="13">
        <v>212.5</v>
      </c>
    </row>
    <row r="988" spans="1:6" x14ac:dyDescent="0.25">
      <c r="A988" s="6" t="s">
        <v>134</v>
      </c>
      <c r="B988" s="7" t="s">
        <v>149</v>
      </c>
      <c r="C988" s="7" t="s">
        <v>17</v>
      </c>
      <c r="D988" s="8">
        <v>41995</v>
      </c>
      <c r="E988" s="8">
        <v>41996</v>
      </c>
      <c r="F988" s="9">
        <v>706.5</v>
      </c>
    </row>
    <row r="989" spans="1:6" x14ac:dyDescent="0.25">
      <c r="A989" s="10" t="s">
        <v>134</v>
      </c>
      <c r="B989" s="11" t="s">
        <v>149</v>
      </c>
      <c r="C989" s="11" t="s">
        <v>27</v>
      </c>
      <c r="D989" s="12">
        <v>41995</v>
      </c>
      <c r="E989" s="12">
        <v>41995</v>
      </c>
      <c r="F989" s="13">
        <v>442</v>
      </c>
    </row>
    <row r="990" spans="1:6" x14ac:dyDescent="0.25">
      <c r="A990" s="6" t="s">
        <v>109</v>
      </c>
      <c r="B990" s="7" t="s">
        <v>110</v>
      </c>
      <c r="C990" s="7" t="s">
        <v>30</v>
      </c>
      <c r="D990" s="8">
        <v>41995</v>
      </c>
      <c r="E990" s="8">
        <v>41996</v>
      </c>
      <c r="F990" s="9">
        <v>331.5</v>
      </c>
    </row>
    <row r="991" spans="1:6" x14ac:dyDescent="0.25">
      <c r="A991" s="10" t="s">
        <v>93</v>
      </c>
      <c r="B991" s="11" t="s">
        <v>94</v>
      </c>
      <c r="C991" s="11" t="s">
        <v>38</v>
      </c>
      <c r="D991" s="12">
        <v>41995</v>
      </c>
      <c r="E991" s="12">
        <v>41995</v>
      </c>
      <c r="F991" s="13">
        <v>278.8</v>
      </c>
    </row>
    <row r="992" spans="1:6" x14ac:dyDescent="0.25">
      <c r="A992" s="6" t="s">
        <v>12</v>
      </c>
      <c r="B992" s="7" t="s">
        <v>95</v>
      </c>
      <c r="C992" s="7" t="s">
        <v>19</v>
      </c>
      <c r="D992" s="8">
        <v>41995</v>
      </c>
      <c r="E992" s="8">
        <v>41996</v>
      </c>
      <c r="F992" s="9">
        <v>654.4</v>
      </c>
    </row>
    <row r="993" spans="1:6" x14ac:dyDescent="0.25">
      <c r="A993" s="10" t="s">
        <v>131</v>
      </c>
      <c r="B993" s="11" t="s">
        <v>132</v>
      </c>
      <c r="C993" s="11" t="s">
        <v>14</v>
      </c>
      <c r="D993" s="12">
        <v>41995</v>
      </c>
      <c r="E993" s="12">
        <v>41995</v>
      </c>
      <c r="F993" s="13">
        <v>178.5</v>
      </c>
    </row>
    <row r="994" spans="1:6" x14ac:dyDescent="0.25">
      <c r="A994" s="6" t="s">
        <v>131</v>
      </c>
      <c r="B994" s="7" t="s">
        <v>154</v>
      </c>
      <c r="C994" s="7" t="s">
        <v>11</v>
      </c>
      <c r="D994" s="8">
        <v>42001</v>
      </c>
      <c r="E994" s="8">
        <v>42002</v>
      </c>
      <c r="F994" s="9">
        <v>295.39999999999998</v>
      </c>
    </row>
    <row r="995" spans="1:6" x14ac:dyDescent="0.25">
      <c r="A995" s="10" t="s">
        <v>9</v>
      </c>
      <c r="B995" s="11" t="s">
        <v>103</v>
      </c>
      <c r="C995" s="11" t="s">
        <v>24</v>
      </c>
      <c r="D995" s="12">
        <v>42001</v>
      </c>
      <c r="E995" s="12">
        <v>42003</v>
      </c>
      <c r="F995" s="13">
        <v>588.70000000000005</v>
      </c>
    </row>
    <row r="996" spans="1:6" x14ac:dyDescent="0.25">
      <c r="A996" s="6" t="s">
        <v>28</v>
      </c>
      <c r="B996" s="7" t="s">
        <v>60</v>
      </c>
      <c r="C996" s="7" t="s">
        <v>59</v>
      </c>
      <c r="D996" s="8">
        <v>42002</v>
      </c>
      <c r="E996" s="8">
        <v>42003</v>
      </c>
      <c r="F996" s="9">
        <v>601</v>
      </c>
    </row>
    <row r="997" spans="1:6" x14ac:dyDescent="0.25">
      <c r="A997" s="10" t="s">
        <v>6</v>
      </c>
      <c r="B997" s="11" t="s">
        <v>56</v>
      </c>
      <c r="C997" s="11" t="s">
        <v>72</v>
      </c>
      <c r="D997" s="12">
        <v>42002</v>
      </c>
      <c r="E997" s="12">
        <v>42002</v>
      </c>
      <c r="F997" s="13">
        <v>494.7</v>
      </c>
    </row>
    <row r="998" spans="1:6" x14ac:dyDescent="0.25">
      <c r="A998" s="6" t="s">
        <v>115</v>
      </c>
      <c r="B998" s="7" t="s">
        <v>140</v>
      </c>
      <c r="C998" s="7" t="s">
        <v>19</v>
      </c>
      <c r="D998" s="8">
        <v>42002</v>
      </c>
      <c r="E998" s="8">
        <v>42002</v>
      </c>
      <c r="F998" s="9">
        <v>513.4</v>
      </c>
    </row>
    <row r="999" spans="1:6" x14ac:dyDescent="0.25">
      <c r="A999" s="10" t="s">
        <v>134</v>
      </c>
      <c r="B999" s="11" t="s">
        <v>149</v>
      </c>
      <c r="C999" s="11" t="s">
        <v>72</v>
      </c>
      <c r="D999" s="12">
        <v>42002</v>
      </c>
      <c r="E999" s="12">
        <v>42002</v>
      </c>
      <c r="F999" s="13">
        <v>494.7</v>
      </c>
    </row>
    <row r="1000" spans="1:6" x14ac:dyDescent="0.25">
      <c r="A1000" s="6" t="s">
        <v>15</v>
      </c>
      <c r="B1000" s="7" t="s">
        <v>16</v>
      </c>
      <c r="C1000" s="7" t="s">
        <v>59</v>
      </c>
      <c r="D1000" s="8">
        <v>42002</v>
      </c>
      <c r="E1000" s="8">
        <v>42002</v>
      </c>
      <c r="F1000" s="9">
        <v>442</v>
      </c>
    </row>
    <row r="1001" spans="1:6" x14ac:dyDescent="0.25">
      <c r="A1001" s="14" t="s">
        <v>86</v>
      </c>
      <c r="B1001" s="15" t="s">
        <v>136</v>
      </c>
      <c r="C1001" s="15" t="s">
        <v>30</v>
      </c>
      <c r="D1001" s="16">
        <v>42002</v>
      </c>
      <c r="E1001" s="16">
        <v>42003</v>
      </c>
      <c r="F1001" s="2">
        <v>331.5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85A6-B0FC-4761-9E63-5D9AAEE3EAC2}">
  <dimension ref="A1:M1001"/>
  <sheetViews>
    <sheetView tabSelected="1" zoomScale="190" zoomScaleNormal="190" workbookViewId="0">
      <selection activeCell="M2" sqref="M2"/>
    </sheetView>
  </sheetViews>
  <sheetFormatPr defaultRowHeight="15" x14ac:dyDescent="0.25"/>
  <cols>
    <col min="1" max="1" width="10.140625" bestFit="1" customWidth="1"/>
    <col min="2" max="2" width="13.7109375" bestFit="1" customWidth="1"/>
    <col min="3" max="3" width="9.85546875" bestFit="1" customWidth="1"/>
    <col min="4" max="5" width="10.5703125" bestFit="1" customWidth="1"/>
    <col min="6" max="6" width="12.140625" bestFit="1" customWidth="1"/>
    <col min="13" max="13" width="10.85546875" bestFit="1" customWidth="1"/>
  </cols>
  <sheetData>
    <row r="1" spans="1:13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20" t="s">
        <v>179</v>
      </c>
      <c r="H1" s="20" t="s">
        <v>181</v>
      </c>
      <c r="I1" s="20" t="s">
        <v>195</v>
      </c>
      <c r="J1" s="20" t="s">
        <v>196</v>
      </c>
    </row>
    <row r="2" spans="1:13" x14ac:dyDescent="0.25">
      <c r="A2" s="6" t="s">
        <v>6</v>
      </c>
      <c r="B2" s="7" t="s">
        <v>7</v>
      </c>
      <c r="C2" s="7" t="s">
        <v>8</v>
      </c>
      <c r="D2" s="8">
        <v>41641</v>
      </c>
      <c r="E2" s="8">
        <v>41642</v>
      </c>
      <c r="F2" s="9">
        <v>891</v>
      </c>
      <c r="G2">
        <f>E2-D2 + 1</f>
        <v>2</v>
      </c>
      <c r="H2">
        <f>30+(G2-1)*24</f>
        <v>54</v>
      </c>
      <c r="I2">
        <f>G2-1</f>
        <v>1</v>
      </c>
      <c r="J2">
        <f>IF(G2&gt;=2,I2,"")</f>
        <v>1</v>
      </c>
      <c r="K2" s="21">
        <f>AVERAGE(I2:I1001)</f>
        <v>1.641</v>
      </c>
      <c r="M2" s="21">
        <f>AVERAGE(J2:J1001)</f>
        <v>2.2479452054794522</v>
      </c>
    </row>
    <row r="3" spans="1:13" x14ac:dyDescent="0.25">
      <c r="A3" s="10" t="s">
        <v>9</v>
      </c>
      <c r="B3" s="11" t="s">
        <v>10</v>
      </c>
      <c r="C3" s="11" t="s">
        <v>11</v>
      </c>
      <c r="D3" s="12">
        <v>41641</v>
      </c>
      <c r="E3" s="12">
        <v>41642</v>
      </c>
      <c r="F3" s="13">
        <v>295.39999999999998</v>
      </c>
      <c r="G3">
        <f t="shared" ref="G3:G66" si="0">E3-D3 + 1</f>
        <v>2</v>
      </c>
      <c r="H3">
        <f t="shared" ref="H3:H66" si="1">30+(G3-1)*24</f>
        <v>54</v>
      </c>
      <c r="I3">
        <f t="shared" ref="I3:I66" si="2">G3-1</f>
        <v>1</v>
      </c>
      <c r="J3">
        <f t="shared" ref="J3:J66" si="3">IF(G3&gt;=2,I3,"")</f>
        <v>1</v>
      </c>
    </row>
    <row r="4" spans="1:13" x14ac:dyDescent="0.25">
      <c r="A4" s="6" t="s">
        <v>12</v>
      </c>
      <c r="B4" s="7" t="s">
        <v>13</v>
      </c>
      <c r="C4" s="7" t="s">
        <v>14</v>
      </c>
      <c r="D4" s="8">
        <v>41641</v>
      </c>
      <c r="E4" s="8">
        <v>41642</v>
      </c>
      <c r="F4" s="9">
        <v>302.5</v>
      </c>
      <c r="G4">
        <f t="shared" si="0"/>
        <v>2</v>
      </c>
      <c r="H4">
        <f t="shared" si="1"/>
        <v>54</v>
      </c>
      <c r="I4">
        <f t="shared" si="2"/>
        <v>1</v>
      </c>
      <c r="J4">
        <f t="shared" si="3"/>
        <v>1</v>
      </c>
    </row>
    <row r="5" spans="1:13" x14ac:dyDescent="0.25">
      <c r="A5" s="10" t="s">
        <v>15</v>
      </c>
      <c r="B5" s="11" t="s">
        <v>16</v>
      </c>
      <c r="C5" s="11" t="s">
        <v>17</v>
      </c>
      <c r="D5" s="12">
        <v>41641</v>
      </c>
      <c r="E5" s="12">
        <v>41641</v>
      </c>
      <c r="F5" s="13">
        <v>501.5</v>
      </c>
      <c r="G5">
        <f t="shared" si="0"/>
        <v>1</v>
      </c>
      <c r="H5">
        <f t="shared" si="1"/>
        <v>30</v>
      </c>
      <c r="I5">
        <f t="shared" si="2"/>
        <v>0</v>
      </c>
      <c r="J5" t="str">
        <f t="shared" si="3"/>
        <v/>
      </c>
    </row>
    <row r="6" spans="1:13" x14ac:dyDescent="0.25">
      <c r="A6" s="6" t="s">
        <v>9</v>
      </c>
      <c r="B6" s="7" t="s">
        <v>18</v>
      </c>
      <c r="C6" s="7" t="s">
        <v>19</v>
      </c>
      <c r="D6" s="8">
        <v>41641</v>
      </c>
      <c r="E6" s="8">
        <v>41642</v>
      </c>
      <c r="F6" s="9">
        <v>654.4</v>
      </c>
      <c r="G6">
        <f t="shared" si="0"/>
        <v>2</v>
      </c>
      <c r="H6">
        <f t="shared" si="1"/>
        <v>54</v>
      </c>
      <c r="I6">
        <f t="shared" si="2"/>
        <v>1</v>
      </c>
      <c r="J6">
        <f t="shared" si="3"/>
        <v>1</v>
      </c>
    </row>
    <row r="7" spans="1:13" x14ac:dyDescent="0.25">
      <c r="A7" s="10" t="s">
        <v>20</v>
      </c>
      <c r="B7" s="11" t="s">
        <v>21</v>
      </c>
      <c r="C7" s="11" t="s">
        <v>8</v>
      </c>
      <c r="D7" s="12">
        <v>41641</v>
      </c>
      <c r="E7" s="12">
        <v>41642</v>
      </c>
      <c r="F7" s="13">
        <v>891</v>
      </c>
      <c r="G7">
        <f t="shared" si="0"/>
        <v>2</v>
      </c>
      <c r="H7">
        <f t="shared" si="1"/>
        <v>54</v>
      </c>
      <c r="I7">
        <f t="shared" si="2"/>
        <v>1</v>
      </c>
      <c r="J7">
        <f t="shared" si="3"/>
        <v>1</v>
      </c>
    </row>
    <row r="8" spans="1:13" x14ac:dyDescent="0.25">
      <c r="A8" s="6" t="s">
        <v>22</v>
      </c>
      <c r="B8" s="7" t="s">
        <v>23</v>
      </c>
      <c r="C8" s="7" t="s">
        <v>24</v>
      </c>
      <c r="D8" s="8">
        <v>41642</v>
      </c>
      <c r="E8" s="8">
        <v>41643</v>
      </c>
      <c r="F8" s="9">
        <v>439.7</v>
      </c>
      <c r="G8">
        <f t="shared" si="0"/>
        <v>2</v>
      </c>
      <c r="H8">
        <f t="shared" si="1"/>
        <v>54</v>
      </c>
      <c r="I8">
        <f t="shared" si="2"/>
        <v>1</v>
      </c>
      <c r="J8">
        <f t="shared" si="3"/>
        <v>1</v>
      </c>
    </row>
    <row r="9" spans="1:13" x14ac:dyDescent="0.25">
      <c r="A9" s="10" t="s">
        <v>25</v>
      </c>
      <c r="B9" s="11" t="s">
        <v>26</v>
      </c>
      <c r="C9" s="11" t="s">
        <v>27</v>
      </c>
      <c r="D9" s="12">
        <v>41642</v>
      </c>
      <c r="E9" s="12">
        <v>41645</v>
      </c>
      <c r="F9" s="13">
        <v>826</v>
      </c>
      <c r="G9">
        <f t="shared" si="0"/>
        <v>4</v>
      </c>
      <c r="H9">
        <f t="shared" si="1"/>
        <v>102</v>
      </c>
      <c r="I9">
        <f t="shared" si="2"/>
        <v>3</v>
      </c>
      <c r="J9">
        <f t="shared" si="3"/>
        <v>3</v>
      </c>
    </row>
    <row r="10" spans="1:13" x14ac:dyDescent="0.25">
      <c r="A10" s="6" t="s">
        <v>28</v>
      </c>
      <c r="B10" s="7" t="s">
        <v>29</v>
      </c>
      <c r="C10" s="7" t="s">
        <v>30</v>
      </c>
      <c r="D10" s="8">
        <v>41642</v>
      </c>
      <c r="E10" s="8">
        <v>41643</v>
      </c>
      <c r="F10" s="9">
        <v>331.5</v>
      </c>
      <c r="G10">
        <f t="shared" si="0"/>
        <v>2</v>
      </c>
      <c r="H10">
        <f t="shared" si="1"/>
        <v>54</v>
      </c>
      <c r="I10">
        <f t="shared" si="2"/>
        <v>1</v>
      </c>
      <c r="J10">
        <f t="shared" si="3"/>
        <v>1</v>
      </c>
    </row>
    <row r="11" spans="1:13" x14ac:dyDescent="0.25">
      <c r="A11" s="10" t="s">
        <v>31</v>
      </c>
      <c r="B11" s="11" t="s">
        <v>32</v>
      </c>
      <c r="C11" s="11" t="s">
        <v>24</v>
      </c>
      <c r="D11" s="12">
        <v>41642</v>
      </c>
      <c r="E11" s="12">
        <v>41643</v>
      </c>
      <c r="F11" s="13">
        <v>439.7</v>
      </c>
      <c r="G11">
        <f t="shared" si="0"/>
        <v>2</v>
      </c>
      <c r="H11">
        <f t="shared" si="1"/>
        <v>54</v>
      </c>
      <c r="I11">
        <f t="shared" si="2"/>
        <v>1</v>
      </c>
      <c r="J11">
        <f t="shared" si="3"/>
        <v>1</v>
      </c>
    </row>
    <row r="12" spans="1:13" x14ac:dyDescent="0.25">
      <c r="A12" s="6" t="s">
        <v>33</v>
      </c>
      <c r="B12" s="7" t="s">
        <v>34</v>
      </c>
      <c r="C12" s="7" t="s">
        <v>30</v>
      </c>
      <c r="D12" s="8">
        <v>41642</v>
      </c>
      <c r="E12" s="8">
        <v>41644</v>
      </c>
      <c r="F12" s="9">
        <v>450.5</v>
      </c>
      <c r="G12">
        <f t="shared" si="0"/>
        <v>3</v>
      </c>
      <c r="H12">
        <f t="shared" si="1"/>
        <v>78</v>
      </c>
      <c r="I12">
        <f t="shared" si="2"/>
        <v>2</v>
      </c>
      <c r="J12">
        <f t="shared" si="3"/>
        <v>2</v>
      </c>
    </row>
    <row r="13" spans="1:13" x14ac:dyDescent="0.25">
      <c r="A13" s="10" t="s">
        <v>25</v>
      </c>
      <c r="B13" s="11" t="s">
        <v>35</v>
      </c>
      <c r="C13" s="11" t="s">
        <v>14</v>
      </c>
      <c r="D13" s="12">
        <v>41642</v>
      </c>
      <c r="E13" s="12">
        <v>41642</v>
      </c>
      <c r="F13" s="13">
        <v>178.5</v>
      </c>
      <c r="G13">
        <f t="shared" si="0"/>
        <v>1</v>
      </c>
      <c r="H13">
        <f t="shared" si="1"/>
        <v>30</v>
      </c>
      <c r="I13">
        <f t="shared" si="2"/>
        <v>0</v>
      </c>
      <c r="J13" t="str">
        <f t="shared" si="3"/>
        <v/>
      </c>
    </row>
    <row r="14" spans="1:13" x14ac:dyDescent="0.25">
      <c r="A14" s="6" t="s">
        <v>36</v>
      </c>
      <c r="B14" s="7" t="s">
        <v>37</v>
      </c>
      <c r="C14" s="7" t="s">
        <v>38</v>
      </c>
      <c r="D14" s="8">
        <v>41642</v>
      </c>
      <c r="E14" s="8">
        <v>41643</v>
      </c>
      <c r="F14" s="9">
        <v>407.8</v>
      </c>
      <c r="G14">
        <f t="shared" si="0"/>
        <v>2</v>
      </c>
      <c r="H14">
        <f t="shared" si="1"/>
        <v>54</v>
      </c>
      <c r="I14">
        <f t="shared" si="2"/>
        <v>1</v>
      </c>
      <c r="J14">
        <f t="shared" si="3"/>
        <v>1</v>
      </c>
    </row>
    <row r="15" spans="1:13" x14ac:dyDescent="0.25">
      <c r="A15" s="10" t="s">
        <v>39</v>
      </c>
      <c r="B15" s="11" t="s">
        <v>40</v>
      </c>
      <c r="C15" s="11" t="s">
        <v>27</v>
      </c>
      <c r="D15" s="12">
        <v>41642</v>
      </c>
      <c r="E15" s="12">
        <v>41642</v>
      </c>
      <c r="F15" s="13">
        <v>442</v>
      </c>
      <c r="G15">
        <f t="shared" si="0"/>
        <v>1</v>
      </c>
      <c r="H15">
        <f t="shared" si="1"/>
        <v>30</v>
      </c>
      <c r="I15">
        <f t="shared" si="2"/>
        <v>0</v>
      </c>
      <c r="J15" t="str">
        <f t="shared" si="3"/>
        <v/>
      </c>
    </row>
    <row r="16" spans="1:13" x14ac:dyDescent="0.25">
      <c r="A16" s="6" t="s">
        <v>6</v>
      </c>
      <c r="B16" s="7" t="s">
        <v>7</v>
      </c>
      <c r="C16" s="7" t="s">
        <v>24</v>
      </c>
      <c r="D16" s="8">
        <v>41643</v>
      </c>
      <c r="E16" s="8">
        <v>41644</v>
      </c>
      <c r="F16" s="9">
        <v>439.7</v>
      </c>
      <c r="G16">
        <f t="shared" si="0"/>
        <v>2</v>
      </c>
      <c r="H16">
        <f t="shared" si="1"/>
        <v>54</v>
      </c>
      <c r="I16">
        <f t="shared" si="2"/>
        <v>1</v>
      </c>
      <c r="J16">
        <f t="shared" si="3"/>
        <v>1</v>
      </c>
    </row>
    <row r="17" spans="1:10" x14ac:dyDescent="0.25">
      <c r="A17" s="10" t="s">
        <v>33</v>
      </c>
      <c r="B17" s="11" t="s">
        <v>41</v>
      </c>
      <c r="C17" s="11" t="s">
        <v>30</v>
      </c>
      <c r="D17" s="12">
        <v>41643</v>
      </c>
      <c r="E17" s="12">
        <v>41644</v>
      </c>
      <c r="F17" s="13">
        <v>331.5</v>
      </c>
      <c r="G17">
        <f t="shared" si="0"/>
        <v>2</v>
      </c>
      <c r="H17">
        <f t="shared" si="1"/>
        <v>54</v>
      </c>
      <c r="I17">
        <f t="shared" si="2"/>
        <v>1</v>
      </c>
      <c r="J17">
        <f t="shared" si="3"/>
        <v>1</v>
      </c>
    </row>
    <row r="18" spans="1:10" x14ac:dyDescent="0.25">
      <c r="A18" s="6" t="s">
        <v>42</v>
      </c>
      <c r="B18" s="7" t="s">
        <v>43</v>
      </c>
      <c r="C18" s="7" t="s">
        <v>19</v>
      </c>
      <c r="D18" s="8">
        <v>41643</v>
      </c>
      <c r="E18" s="8">
        <v>41643</v>
      </c>
      <c r="F18" s="9">
        <v>513.4</v>
      </c>
      <c r="G18">
        <f t="shared" si="0"/>
        <v>1</v>
      </c>
      <c r="H18">
        <f t="shared" si="1"/>
        <v>30</v>
      </c>
      <c r="I18">
        <f t="shared" si="2"/>
        <v>0</v>
      </c>
      <c r="J18" t="str">
        <f t="shared" si="3"/>
        <v/>
      </c>
    </row>
    <row r="19" spans="1:10" x14ac:dyDescent="0.25">
      <c r="A19" s="10" t="s">
        <v>15</v>
      </c>
      <c r="B19" s="11" t="s">
        <v>44</v>
      </c>
      <c r="C19" s="11" t="s">
        <v>17</v>
      </c>
      <c r="D19" s="12">
        <v>41644</v>
      </c>
      <c r="E19" s="12">
        <v>41644</v>
      </c>
      <c r="F19" s="13">
        <v>501.5</v>
      </c>
      <c r="G19">
        <f t="shared" si="0"/>
        <v>1</v>
      </c>
      <c r="H19">
        <f t="shared" si="1"/>
        <v>30</v>
      </c>
      <c r="I19">
        <f t="shared" si="2"/>
        <v>0</v>
      </c>
      <c r="J19" t="str">
        <f t="shared" si="3"/>
        <v/>
      </c>
    </row>
    <row r="20" spans="1:10" x14ac:dyDescent="0.25">
      <c r="A20" s="6" t="s">
        <v>6</v>
      </c>
      <c r="B20" s="7" t="s">
        <v>45</v>
      </c>
      <c r="C20" s="7" t="s">
        <v>27</v>
      </c>
      <c r="D20" s="8">
        <v>41644</v>
      </c>
      <c r="E20" s="8">
        <v>41644</v>
      </c>
      <c r="F20" s="9">
        <v>442</v>
      </c>
      <c r="G20">
        <f t="shared" si="0"/>
        <v>1</v>
      </c>
      <c r="H20">
        <f t="shared" si="1"/>
        <v>30</v>
      </c>
      <c r="I20">
        <f t="shared" si="2"/>
        <v>0</v>
      </c>
      <c r="J20" t="str">
        <f t="shared" si="3"/>
        <v/>
      </c>
    </row>
    <row r="21" spans="1:10" x14ac:dyDescent="0.25">
      <c r="A21" s="10" t="s">
        <v>15</v>
      </c>
      <c r="B21" s="11" t="s">
        <v>46</v>
      </c>
      <c r="C21" s="11" t="s">
        <v>47</v>
      </c>
      <c r="D21" s="12">
        <v>41645</v>
      </c>
      <c r="E21" s="12">
        <v>41645</v>
      </c>
      <c r="F21" s="13">
        <v>363.8</v>
      </c>
      <c r="G21">
        <f t="shared" si="0"/>
        <v>1</v>
      </c>
      <c r="H21">
        <f t="shared" si="1"/>
        <v>30</v>
      </c>
      <c r="I21">
        <f t="shared" si="2"/>
        <v>0</v>
      </c>
      <c r="J21" t="str">
        <f t="shared" si="3"/>
        <v/>
      </c>
    </row>
    <row r="22" spans="1:10" x14ac:dyDescent="0.25">
      <c r="A22" s="6" t="s">
        <v>48</v>
      </c>
      <c r="B22" s="7" t="s">
        <v>49</v>
      </c>
      <c r="C22" s="7" t="s">
        <v>11</v>
      </c>
      <c r="D22" s="8">
        <v>41646</v>
      </c>
      <c r="E22" s="8">
        <v>41646</v>
      </c>
      <c r="F22" s="9">
        <v>156.4</v>
      </c>
      <c r="G22">
        <f t="shared" si="0"/>
        <v>1</v>
      </c>
      <c r="H22">
        <f t="shared" si="1"/>
        <v>30</v>
      </c>
      <c r="I22">
        <f t="shared" si="2"/>
        <v>0</v>
      </c>
      <c r="J22" t="str">
        <f t="shared" si="3"/>
        <v/>
      </c>
    </row>
    <row r="23" spans="1:10" x14ac:dyDescent="0.25">
      <c r="A23" s="10" t="s">
        <v>50</v>
      </c>
      <c r="B23" s="11" t="s">
        <v>51</v>
      </c>
      <c r="C23" s="11" t="s">
        <v>38</v>
      </c>
      <c r="D23" s="12">
        <v>41646</v>
      </c>
      <c r="E23" s="12">
        <v>41646</v>
      </c>
      <c r="F23" s="13">
        <v>278.8</v>
      </c>
      <c r="G23">
        <f t="shared" si="0"/>
        <v>1</v>
      </c>
      <c r="H23">
        <f t="shared" si="1"/>
        <v>30</v>
      </c>
      <c r="I23">
        <f t="shared" si="2"/>
        <v>0</v>
      </c>
      <c r="J23" t="str">
        <f t="shared" si="3"/>
        <v/>
      </c>
    </row>
    <row r="24" spans="1:10" x14ac:dyDescent="0.25">
      <c r="A24" s="6" t="s">
        <v>33</v>
      </c>
      <c r="B24" s="7" t="s">
        <v>41</v>
      </c>
      <c r="C24" s="7" t="s">
        <v>14</v>
      </c>
      <c r="D24" s="8">
        <v>41646</v>
      </c>
      <c r="E24" s="8">
        <v>41646</v>
      </c>
      <c r="F24" s="9">
        <v>178.5</v>
      </c>
      <c r="G24">
        <f t="shared" si="0"/>
        <v>1</v>
      </c>
      <c r="H24">
        <f t="shared" si="1"/>
        <v>30</v>
      </c>
      <c r="I24">
        <f t="shared" si="2"/>
        <v>0</v>
      </c>
      <c r="J24" t="str">
        <f t="shared" si="3"/>
        <v/>
      </c>
    </row>
    <row r="25" spans="1:10" x14ac:dyDescent="0.25">
      <c r="A25" s="10" t="s">
        <v>25</v>
      </c>
      <c r="B25" s="11" t="s">
        <v>35</v>
      </c>
      <c r="C25" s="11" t="s">
        <v>30</v>
      </c>
      <c r="D25" s="12">
        <v>41646</v>
      </c>
      <c r="E25" s="12">
        <v>41646</v>
      </c>
      <c r="F25" s="13">
        <v>212.5</v>
      </c>
      <c r="G25">
        <f t="shared" si="0"/>
        <v>1</v>
      </c>
      <c r="H25">
        <f t="shared" si="1"/>
        <v>30</v>
      </c>
      <c r="I25">
        <f t="shared" si="2"/>
        <v>0</v>
      </c>
      <c r="J25" t="str">
        <f t="shared" si="3"/>
        <v/>
      </c>
    </row>
    <row r="26" spans="1:10" x14ac:dyDescent="0.25">
      <c r="A26" s="6" t="s">
        <v>52</v>
      </c>
      <c r="B26" s="7" t="s">
        <v>53</v>
      </c>
      <c r="C26" s="7" t="s">
        <v>24</v>
      </c>
      <c r="D26" s="8">
        <v>41646</v>
      </c>
      <c r="E26" s="8">
        <v>41646</v>
      </c>
      <c r="F26" s="9">
        <v>290.7</v>
      </c>
      <c r="G26">
        <f t="shared" si="0"/>
        <v>1</v>
      </c>
      <c r="H26">
        <f t="shared" si="1"/>
        <v>30</v>
      </c>
      <c r="I26">
        <f t="shared" si="2"/>
        <v>0</v>
      </c>
      <c r="J26" t="str">
        <f t="shared" si="3"/>
        <v/>
      </c>
    </row>
    <row r="27" spans="1:10" x14ac:dyDescent="0.25">
      <c r="A27" s="10" t="s">
        <v>54</v>
      </c>
      <c r="B27" s="11" t="s">
        <v>55</v>
      </c>
      <c r="C27" s="11" t="s">
        <v>19</v>
      </c>
      <c r="D27" s="12">
        <v>41647</v>
      </c>
      <c r="E27" s="12">
        <v>41647</v>
      </c>
      <c r="F27" s="13">
        <v>513.4</v>
      </c>
      <c r="G27">
        <f t="shared" si="0"/>
        <v>1</v>
      </c>
      <c r="H27">
        <f t="shared" si="1"/>
        <v>30</v>
      </c>
      <c r="I27">
        <f t="shared" si="2"/>
        <v>0</v>
      </c>
      <c r="J27" t="str">
        <f t="shared" si="3"/>
        <v/>
      </c>
    </row>
    <row r="28" spans="1:10" x14ac:dyDescent="0.25">
      <c r="A28" s="6" t="s">
        <v>6</v>
      </c>
      <c r="B28" s="7" t="s">
        <v>56</v>
      </c>
      <c r="C28" s="7" t="s">
        <v>19</v>
      </c>
      <c r="D28" s="8">
        <v>41647</v>
      </c>
      <c r="E28" s="8">
        <v>41647</v>
      </c>
      <c r="F28" s="9">
        <v>513.4</v>
      </c>
      <c r="G28">
        <f t="shared" si="0"/>
        <v>1</v>
      </c>
      <c r="H28">
        <f t="shared" si="1"/>
        <v>30</v>
      </c>
      <c r="I28">
        <f t="shared" si="2"/>
        <v>0</v>
      </c>
      <c r="J28" t="str">
        <f t="shared" si="3"/>
        <v/>
      </c>
    </row>
    <row r="29" spans="1:10" x14ac:dyDescent="0.25">
      <c r="A29" s="10" t="s">
        <v>57</v>
      </c>
      <c r="B29" s="11" t="s">
        <v>58</v>
      </c>
      <c r="C29" s="11" t="s">
        <v>59</v>
      </c>
      <c r="D29" s="12">
        <v>41647</v>
      </c>
      <c r="E29" s="12">
        <v>41647</v>
      </c>
      <c r="F29" s="13">
        <v>442</v>
      </c>
      <c r="G29">
        <f t="shared" si="0"/>
        <v>1</v>
      </c>
      <c r="H29">
        <f t="shared" si="1"/>
        <v>30</v>
      </c>
      <c r="I29">
        <f t="shared" si="2"/>
        <v>0</v>
      </c>
      <c r="J29" t="str">
        <f t="shared" si="3"/>
        <v/>
      </c>
    </row>
    <row r="30" spans="1:10" x14ac:dyDescent="0.25">
      <c r="A30" s="6" t="s">
        <v>28</v>
      </c>
      <c r="B30" s="7" t="s">
        <v>60</v>
      </c>
      <c r="C30" s="7" t="s">
        <v>11</v>
      </c>
      <c r="D30" s="8">
        <v>41648</v>
      </c>
      <c r="E30" s="8">
        <v>41652</v>
      </c>
      <c r="F30" s="9">
        <v>712.4</v>
      </c>
      <c r="G30">
        <f t="shared" si="0"/>
        <v>5</v>
      </c>
      <c r="H30">
        <f t="shared" si="1"/>
        <v>126</v>
      </c>
      <c r="I30">
        <f t="shared" si="2"/>
        <v>4</v>
      </c>
      <c r="J30">
        <f t="shared" si="3"/>
        <v>4</v>
      </c>
    </row>
    <row r="31" spans="1:10" x14ac:dyDescent="0.25">
      <c r="A31" s="10" t="s">
        <v>61</v>
      </c>
      <c r="B31" s="11" t="s">
        <v>62</v>
      </c>
      <c r="C31" s="11" t="s">
        <v>17</v>
      </c>
      <c r="D31" s="12">
        <v>41648</v>
      </c>
      <c r="E31" s="12">
        <v>41651</v>
      </c>
      <c r="F31" s="13">
        <v>1116.5</v>
      </c>
      <c r="G31">
        <f t="shared" si="0"/>
        <v>4</v>
      </c>
      <c r="H31">
        <f t="shared" si="1"/>
        <v>102</v>
      </c>
      <c r="I31">
        <f t="shared" si="2"/>
        <v>3</v>
      </c>
      <c r="J31">
        <f t="shared" si="3"/>
        <v>3</v>
      </c>
    </row>
    <row r="32" spans="1:10" x14ac:dyDescent="0.25">
      <c r="A32" s="6" t="s">
        <v>15</v>
      </c>
      <c r="B32" s="7" t="s">
        <v>63</v>
      </c>
      <c r="C32" s="7" t="s">
        <v>11</v>
      </c>
      <c r="D32" s="8">
        <v>41648</v>
      </c>
      <c r="E32" s="8">
        <v>41649</v>
      </c>
      <c r="F32" s="9">
        <v>295.39999999999998</v>
      </c>
      <c r="G32">
        <f t="shared" si="0"/>
        <v>2</v>
      </c>
      <c r="H32">
        <f t="shared" si="1"/>
        <v>54</v>
      </c>
      <c r="I32">
        <f t="shared" si="2"/>
        <v>1</v>
      </c>
      <c r="J32">
        <f t="shared" si="3"/>
        <v>1</v>
      </c>
    </row>
    <row r="33" spans="1:10" x14ac:dyDescent="0.25">
      <c r="A33" s="10" t="s">
        <v>64</v>
      </c>
      <c r="B33" s="11" t="s">
        <v>65</v>
      </c>
      <c r="C33" s="11" t="s">
        <v>66</v>
      </c>
      <c r="D33" s="12">
        <v>41648</v>
      </c>
      <c r="E33" s="12">
        <v>41649</v>
      </c>
      <c r="F33" s="13">
        <v>485.7</v>
      </c>
      <c r="G33">
        <f t="shared" si="0"/>
        <v>2</v>
      </c>
      <c r="H33">
        <f t="shared" si="1"/>
        <v>54</v>
      </c>
      <c r="I33">
        <f t="shared" si="2"/>
        <v>1</v>
      </c>
      <c r="J33">
        <f t="shared" si="3"/>
        <v>1</v>
      </c>
    </row>
    <row r="34" spans="1:10" x14ac:dyDescent="0.25">
      <c r="A34" s="6" t="s">
        <v>25</v>
      </c>
      <c r="B34" s="7" t="s">
        <v>67</v>
      </c>
      <c r="C34" s="7" t="s">
        <v>38</v>
      </c>
      <c r="D34" s="8">
        <v>41649</v>
      </c>
      <c r="E34" s="8">
        <v>41649</v>
      </c>
      <c r="F34" s="9">
        <v>278.8</v>
      </c>
      <c r="G34">
        <f t="shared" si="0"/>
        <v>1</v>
      </c>
      <c r="H34">
        <f t="shared" si="1"/>
        <v>30</v>
      </c>
      <c r="I34">
        <f t="shared" si="2"/>
        <v>0</v>
      </c>
      <c r="J34" t="str">
        <f t="shared" si="3"/>
        <v/>
      </c>
    </row>
    <row r="35" spans="1:10" x14ac:dyDescent="0.25">
      <c r="A35" s="10" t="s">
        <v>25</v>
      </c>
      <c r="B35" s="11" t="s">
        <v>68</v>
      </c>
      <c r="C35" s="11" t="s">
        <v>59</v>
      </c>
      <c r="D35" s="12">
        <v>41649</v>
      </c>
      <c r="E35" s="12">
        <v>41649</v>
      </c>
      <c r="F35" s="13">
        <v>442</v>
      </c>
      <c r="G35">
        <f t="shared" si="0"/>
        <v>1</v>
      </c>
      <c r="H35">
        <f t="shared" si="1"/>
        <v>30</v>
      </c>
      <c r="I35">
        <f t="shared" si="2"/>
        <v>0</v>
      </c>
      <c r="J35" t="str">
        <f t="shared" si="3"/>
        <v/>
      </c>
    </row>
    <row r="36" spans="1:10" x14ac:dyDescent="0.25">
      <c r="A36" s="6" t="s">
        <v>9</v>
      </c>
      <c r="B36" s="7" t="s">
        <v>69</v>
      </c>
      <c r="C36" s="7" t="s">
        <v>8</v>
      </c>
      <c r="D36" s="8">
        <v>41649</v>
      </c>
      <c r="E36" s="8">
        <v>41649</v>
      </c>
      <c r="F36" s="9">
        <v>680</v>
      </c>
      <c r="G36">
        <f t="shared" si="0"/>
        <v>1</v>
      </c>
      <c r="H36">
        <f t="shared" si="1"/>
        <v>30</v>
      </c>
      <c r="I36">
        <f t="shared" si="2"/>
        <v>0</v>
      </c>
      <c r="J36" t="str">
        <f t="shared" si="3"/>
        <v/>
      </c>
    </row>
    <row r="37" spans="1:10" x14ac:dyDescent="0.25">
      <c r="A37" s="10" t="s">
        <v>52</v>
      </c>
      <c r="B37" s="11" t="s">
        <v>53</v>
      </c>
      <c r="C37" s="11" t="s">
        <v>47</v>
      </c>
      <c r="D37" s="12">
        <v>41649</v>
      </c>
      <c r="E37" s="12">
        <v>41649</v>
      </c>
      <c r="F37" s="13">
        <v>363.8</v>
      </c>
      <c r="G37">
        <f t="shared" si="0"/>
        <v>1</v>
      </c>
      <c r="H37">
        <f t="shared" si="1"/>
        <v>30</v>
      </c>
      <c r="I37">
        <f t="shared" si="2"/>
        <v>0</v>
      </c>
      <c r="J37" t="str">
        <f t="shared" si="3"/>
        <v/>
      </c>
    </row>
    <row r="38" spans="1:10" x14ac:dyDescent="0.25">
      <c r="A38" s="6" t="s">
        <v>22</v>
      </c>
      <c r="B38" s="7" t="s">
        <v>23</v>
      </c>
      <c r="C38" s="7" t="s">
        <v>59</v>
      </c>
      <c r="D38" s="8">
        <v>41651</v>
      </c>
      <c r="E38" s="8">
        <v>41651</v>
      </c>
      <c r="F38" s="9">
        <v>442</v>
      </c>
      <c r="G38">
        <f t="shared" si="0"/>
        <v>1</v>
      </c>
      <c r="H38">
        <f t="shared" si="1"/>
        <v>30</v>
      </c>
      <c r="I38">
        <f t="shared" si="2"/>
        <v>0</v>
      </c>
      <c r="J38" t="str">
        <f t="shared" si="3"/>
        <v/>
      </c>
    </row>
    <row r="39" spans="1:10" x14ac:dyDescent="0.25">
      <c r="A39" s="10" t="s">
        <v>15</v>
      </c>
      <c r="B39" s="11" t="s">
        <v>46</v>
      </c>
      <c r="C39" s="11" t="s">
        <v>14</v>
      </c>
      <c r="D39" s="12">
        <v>41652</v>
      </c>
      <c r="E39" s="12">
        <v>41655</v>
      </c>
      <c r="F39" s="13">
        <v>550.5</v>
      </c>
      <c r="G39">
        <f t="shared" si="0"/>
        <v>4</v>
      </c>
      <c r="H39">
        <f t="shared" si="1"/>
        <v>102</v>
      </c>
      <c r="I39">
        <f t="shared" si="2"/>
        <v>3</v>
      </c>
      <c r="J39">
        <f t="shared" si="3"/>
        <v>3</v>
      </c>
    </row>
    <row r="40" spans="1:10" x14ac:dyDescent="0.25">
      <c r="A40" s="6" t="s">
        <v>70</v>
      </c>
      <c r="B40" s="7" t="s">
        <v>71</v>
      </c>
      <c r="C40" s="7" t="s">
        <v>27</v>
      </c>
      <c r="D40" s="8">
        <v>41652</v>
      </c>
      <c r="E40" s="8">
        <v>41652</v>
      </c>
      <c r="F40" s="9">
        <v>442</v>
      </c>
      <c r="G40">
        <f t="shared" si="0"/>
        <v>1</v>
      </c>
      <c r="H40">
        <f t="shared" si="1"/>
        <v>30</v>
      </c>
      <c r="I40">
        <f t="shared" si="2"/>
        <v>0</v>
      </c>
      <c r="J40" t="str">
        <f t="shared" si="3"/>
        <v/>
      </c>
    </row>
    <row r="41" spans="1:10" x14ac:dyDescent="0.25">
      <c r="A41" s="10" t="s">
        <v>25</v>
      </c>
      <c r="B41" s="11" t="s">
        <v>68</v>
      </c>
      <c r="C41" s="11" t="s">
        <v>72</v>
      </c>
      <c r="D41" s="12">
        <v>41652</v>
      </c>
      <c r="E41" s="12">
        <v>41652</v>
      </c>
      <c r="F41" s="13">
        <v>494.7</v>
      </c>
      <c r="G41">
        <f t="shared" si="0"/>
        <v>1</v>
      </c>
      <c r="H41">
        <f t="shared" si="1"/>
        <v>30</v>
      </c>
      <c r="I41">
        <f t="shared" si="2"/>
        <v>0</v>
      </c>
      <c r="J41" t="str">
        <f t="shared" si="3"/>
        <v/>
      </c>
    </row>
    <row r="42" spans="1:10" x14ac:dyDescent="0.25">
      <c r="A42" s="6" t="s">
        <v>73</v>
      </c>
      <c r="B42" s="7" t="s">
        <v>74</v>
      </c>
      <c r="C42" s="7" t="s">
        <v>27</v>
      </c>
      <c r="D42" s="8">
        <v>41652</v>
      </c>
      <c r="E42" s="8">
        <v>41653</v>
      </c>
      <c r="F42" s="9">
        <v>570</v>
      </c>
      <c r="G42">
        <f t="shared" si="0"/>
        <v>2</v>
      </c>
      <c r="H42">
        <f t="shared" si="1"/>
        <v>54</v>
      </c>
      <c r="I42">
        <f t="shared" si="2"/>
        <v>1</v>
      </c>
      <c r="J42">
        <f t="shared" si="3"/>
        <v>1</v>
      </c>
    </row>
    <row r="43" spans="1:10" x14ac:dyDescent="0.25">
      <c r="A43" s="10" t="s">
        <v>75</v>
      </c>
      <c r="B43" s="11" t="s">
        <v>76</v>
      </c>
      <c r="C43" s="11" t="s">
        <v>47</v>
      </c>
      <c r="D43" s="12">
        <v>41652</v>
      </c>
      <c r="E43" s="12">
        <v>41653</v>
      </c>
      <c r="F43" s="13">
        <v>526.79999999999995</v>
      </c>
      <c r="G43">
        <f t="shared" si="0"/>
        <v>2</v>
      </c>
      <c r="H43">
        <f t="shared" si="1"/>
        <v>54</v>
      </c>
      <c r="I43">
        <f t="shared" si="2"/>
        <v>1</v>
      </c>
      <c r="J43">
        <f t="shared" si="3"/>
        <v>1</v>
      </c>
    </row>
    <row r="44" spans="1:10" x14ac:dyDescent="0.25">
      <c r="A44" s="6" t="s">
        <v>31</v>
      </c>
      <c r="B44" s="7" t="s">
        <v>77</v>
      </c>
      <c r="C44" s="7" t="s">
        <v>38</v>
      </c>
      <c r="D44" s="8">
        <v>41652</v>
      </c>
      <c r="E44" s="8">
        <v>41652</v>
      </c>
      <c r="F44" s="9">
        <v>278.8</v>
      </c>
      <c r="G44">
        <f t="shared" si="0"/>
        <v>1</v>
      </c>
      <c r="H44">
        <f t="shared" si="1"/>
        <v>30</v>
      </c>
      <c r="I44">
        <f t="shared" si="2"/>
        <v>0</v>
      </c>
      <c r="J44" t="str">
        <f t="shared" si="3"/>
        <v/>
      </c>
    </row>
    <row r="45" spans="1:10" x14ac:dyDescent="0.25">
      <c r="A45" s="10" t="s">
        <v>22</v>
      </c>
      <c r="B45" s="11" t="s">
        <v>23</v>
      </c>
      <c r="C45" s="11" t="s">
        <v>38</v>
      </c>
      <c r="D45" s="12">
        <v>41653</v>
      </c>
      <c r="E45" s="12">
        <v>41656</v>
      </c>
      <c r="F45" s="13">
        <v>665.8</v>
      </c>
      <c r="G45">
        <f t="shared" si="0"/>
        <v>4</v>
      </c>
      <c r="H45">
        <f t="shared" si="1"/>
        <v>102</v>
      </c>
      <c r="I45">
        <f t="shared" si="2"/>
        <v>3</v>
      </c>
      <c r="J45">
        <f t="shared" si="3"/>
        <v>3</v>
      </c>
    </row>
    <row r="46" spans="1:10" x14ac:dyDescent="0.25">
      <c r="A46" s="6" t="s">
        <v>31</v>
      </c>
      <c r="B46" s="7" t="s">
        <v>78</v>
      </c>
      <c r="C46" s="7" t="s">
        <v>27</v>
      </c>
      <c r="D46" s="8">
        <v>41653</v>
      </c>
      <c r="E46" s="8">
        <v>41655</v>
      </c>
      <c r="F46" s="9">
        <v>698</v>
      </c>
      <c r="G46">
        <f t="shared" si="0"/>
        <v>3</v>
      </c>
      <c r="H46">
        <f t="shared" si="1"/>
        <v>78</v>
      </c>
      <c r="I46">
        <f t="shared" si="2"/>
        <v>2</v>
      </c>
      <c r="J46">
        <f t="shared" si="3"/>
        <v>2</v>
      </c>
    </row>
    <row r="47" spans="1:10" x14ac:dyDescent="0.25">
      <c r="A47" s="10" t="s">
        <v>48</v>
      </c>
      <c r="B47" s="11" t="s">
        <v>49</v>
      </c>
      <c r="C47" s="11" t="s">
        <v>72</v>
      </c>
      <c r="D47" s="12">
        <v>41653</v>
      </c>
      <c r="E47" s="12">
        <v>41653</v>
      </c>
      <c r="F47" s="13">
        <v>494.7</v>
      </c>
      <c r="G47">
        <f t="shared" si="0"/>
        <v>1</v>
      </c>
      <c r="H47">
        <f t="shared" si="1"/>
        <v>30</v>
      </c>
      <c r="I47">
        <f t="shared" si="2"/>
        <v>0</v>
      </c>
      <c r="J47" t="str">
        <f t="shared" si="3"/>
        <v/>
      </c>
    </row>
    <row r="48" spans="1:10" x14ac:dyDescent="0.25">
      <c r="A48" s="6" t="s">
        <v>79</v>
      </c>
      <c r="B48" s="7" t="s">
        <v>80</v>
      </c>
      <c r="C48" s="7" t="s">
        <v>27</v>
      </c>
      <c r="D48" s="8">
        <v>41653</v>
      </c>
      <c r="E48" s="8">
        <v>41657</v>
      </c>
      <c r="F48" s="9">
        <v>954</v>
      </c>
      <c r="G48">
        <f t="shared" si="0"/>
        <v>5</v>
      </c>
      <c r="H48">
        <f t="shared" si="1"/>
        <v>126</v>
      </c>
      <c r="I48">
        <f t="shared" si="2"/>
        <v>4</v>
      </c>
      <c r="J48">
        <f t="shared" si="3"/>
        <v>4</v>
      </c>
    </row>
    <row r="49" spans="1:10" x14ac:dyDescent="0.25">
      <c r="A49" s="10" t="s">
        <v>54</v>
      </c>
      <c r="B49" s="11" t="s">
        <v>81</v>
      </c>
      <c r="C49" s="11" t="s">
        <v>8</v>
      </c>
      <c r="D49" s="12">
        <v>41653</v>
      </c>
      <c r="E49" s="12">
        <v>41653</v>
      </c>
      <c r="F49" s="13">
        <v>680</v>
      </c>
      <c r="G49">
        <f t="shared" si="0"/>
        <v>1</v>
      </c>
      <c r="H49">
        <f t="shared" si="1"/>
        <v>30</v>
      </c>
      <c r="I49">
        <f t="shared" si="2"/>
        <v>0</v>
      </c>
      <c r="J49" t="str">
        <f t="shared" si="3"/>
        <v/>
      </c>
    </row>
    <row r="50" spans="1:10" x14ac:dyDescent="0.25">
      <c r="A50" s="6" t="s">
        <v>82</v>
      </c>
      <c r="B50" s="7" t="s">
        <v>83</v>
      </c>
      <c r="C50" s="7" t="s">
        <v>72</v>
      </c>
      <c r="D50" s="8">
        <v>41653</v>
      </c>
      <c r="E50" s="8">
        <v>41657</v>
      </c>
      <c r="F50" s="9">
        <v>1290.7</v>
      </c>
      <c r="G50">
        <f t="shared" si="0"/>
        <v>5</v>
      </c>
      <c r="H50">
        <f t="shared" si="1"/>
        <v>126</v>
      </c>
      <c r="I50">
        <f t="shared" si="2"/>
        <v>4</v>
      </c>
      <c r="J50">
        <f t="shared" si="3"/>
        <v>4</v>
      </c>
    </row>
    <row r="51" spans="1:10" x14ac:dyDescent="0.25">
      <c r="A51" s="10" t="s">
        <v>84</v>
      </c>
      <c r="B51" s="11" t="s">
        <v>85</v>
      </c>
      <c r="C51" s="11" t="s">
        <v>24</v>
      </c>
      <c r="D51" s="12">
        <v>41653</v>
      </c>
      <c r="E51" s="12">
        <v>41655</v>
      </c>
      <c r="F51" s="13">
        <v>588.70000000000005</v>
      </c>
      <c r="G51">
        <f t="shared" si="0"/>
        <v>3</v>
      </c>
      <c r="H51">
        <f t="shared" si="1"/>
        <v>78</v>
      </c>
      <c r="I51">
        <f t="shared" si="2"/>
        <v>2</v>
      </c>
      <c r="J51">
        <f t="shared" si="3"/>
        <v>2</v>
      </c>
    </row>
    <row r="52" spans="1:10" x14ac:dyDescent="0.25">
      <c r="A52" s="6" t="s">
        <v>31</v>
      </c>
      <c r="B52" s="7" t="s">
        <v>32</v>
      </c>
      <c r="C52" s="7" t="s">
        <v>30</v>
      </c>
      <c r="D52" s="8">
        <v>41653</v>
      </c>
      <c r="E52" s="8">
        <v>41655</v>
      </c>
      <c r="F52" s="9">
        <v>450.5</v>
      </c>
      <c r="G52">
        <f t="shared" si="0"/>
        <v>3</v>
      </c>
      <c r="H52">
        <f t="shared" si="1"/>
        <v>78</v>
      </c>
      <c r="I52">
        <f t="shared" si="2"/>
        <v>2</v>
      </c>
      <c r="J52">
        <f t="shared" si="3"/>
        <v>2</v>
      </c>
    </row>
    <row r="53" spans="1:10" x14ac:dyDescent="0.25">
      <c r="A53" s="10" t="s">
        <v>6</v>
      </c>
      <c r="B53" s="11" t="s">
        <v>56</v>
      </c>
      <c r="C53" s="11" t="s">
        <v>30</v>
      </c>
      <c r="D53" s="12">
        <v>41653</v>
      </c>
      <c r="E53" s="12">
        <v>41657</v>
      </c>
      <c r="F53" s="13">
        <v>688.5</v>
      </c>
      <c r="G53">
        <f t="shared" si="0"/>
        <v>5</v>
      </c>
      <c r="H53">
        <f t="shared" si="1"/>
        <v>126</v>
      </c>
      <c r="I53">
        <f t="shared" si="2"/>
        <v>4</v>
      </c>
      <c r="J53">
        <f t="shared" si="3"/>
        <v>4</v>
      </c>
    </row>
    <row r="54" spans="1:10" x14ac:dyDescent="0.25">
      <c r="A54" s="6" t="s">
        <v>86</v>
      </c>
      <c r="B54" s="7" t="s">
        <v>87</v>
      </c>
      <c r="C54" s="7" t="s">
        <v>72</v>
      </c>
      <c r="D54" s="8">
        <v>41653</v>
      </c>
      <c r="E54" s="8">
        <v>41654</v>
      </c>
      <c r="F54" s="9">
        <v>693.7</v>
      </c>
      <c r="G54">
        <f t="shared" si="0"/>
        <v>2</v>
      </c>
      <c r="H54">
        <f t="shared" si="1"/>
        <v>54</v>
      </c>
      <c r="I54">
        <f t="shared" si="2"/>
        <v>1</v>
      </c>
      <c r="J54">
        <f t="shared" si="3"/>
        <v>1</v>
      </c>
    </row>
    <row r="55" spans="1:10" x14ac:dyDescent="0.25">
      <c r="A55" s="10" t="s">
        <v>75</v>
      </c>
      <c r="B55" s="11" t="s">
        <v>88</v>
      </c>
      <c r="C55" s="11" t="s">
        <v>30</v>
      </c>
      <c r="D55" s="12">
        <v>41653</v>
      </c>
      <c r="E55" s="12">
        <v>41653</v>
      </c>
      <c r="F55" s="13">
        <v>212.5</v>
      </c>
      <c r="G55">
        <f t="shared" si="0"/>
        <v>1</v>
      </c>
      <c r="H55">
        <f t="shared" si="1"/>
        <v>30</v>
      </c>
      <c r="I55">
        <f t="shared" si="2"/>
        <v>0</v>
      </c>
      <c r="J55" t="str">
        <f t="shared" si="3"/>
        <v/>
      </c>
    </row>
    <row r="56" spans="1:10" x14ac:dyDescent="0.25">
      <c r="A56" s="6" t="s">
        <v>89</v>
      </c>
      <c r="B56" s="7" t="s">
        <v>90</v>
      </c>
      <c r="C56" s="7" t="s">
        <v>8</v>
      </c>
      <c r="D56" s="8">
        <v>41653</v>
      </c>
      <c r="E56" s="8">
        <v>41654</v>
      </c>
      <c r="F56" s="9">
        <v>891</v>
      </c>
      <c r="G56">
        <f t="shared" si="0"/>
        <v>2</v>
      </c>
      <c r="H56">
        <f t="shared" si="1"/>
        <v>54</v>
      </c>
      <c r="I56">
        <f t="shared" si="2"/>
        <v>1</v>
      </c>
      <c r="J56">
        <f t="shared" si="3"/>
        <v>1</v>
      </c>
    </row>
    <row r="57" spans="1:10" x14ac:dyDescent="0.25">
      <c r="A57" s="10" t="s">
        <v>39</v>
      </c>
      <c r="B57" s="11" t="s">
        <v>40</v>
      </c>
      <c r="C57" s="11" t="s">
        <v>38</v>
      </c>
      <c r="D57" s="12">
        <v>41653</v>
      </c>
      <c r="E57" s="12">
        <v>41654</v>
      </c>
      <c r="F57" s="13">
        <v>407.8</v>
      </c>
      <c r="G57">
        <f t="shared" si="0"/>
        <v>2</v>
      </c>
      <c r="H57">
        <f t="shared" si="1"/>
        <v>54</v>
      </c>
      <c r="I57">
        <f t="shared" si="2"/>
        <v>1</v>
      </c>
      <c r="J57">
        <f t="shared" si="3"/>
        <v>1</v>
      </c>
    </row>
    <row r="58" spans="1:10" x14ac:dyDescent="0.25">
      <c r="A58" s="6" t="s">
        <v>15</v>
      </c>
      <c r="B58" s="7" t="s">
        <v>63</v>
      </c>
      <c r="C58" s="7" t="s">
        <v>19</v>
      </c>
      <c r="D58" s="8">
        <v>41653</v>
      </c>
      <c r="E58" s="8">
        <v>41653</v>
      </c>
      <c r="F58" s="9">
        <v>513.4</v>
      </c>
      <c r="G58">
        <f t="shared" si="0"/>
        <v>1</v>
      </c>
      <c r="H58">
        <f t="shared" si="1"/>
        <v>30</v>
      </c>
      <c r="I58">
        <f t="shared" si="2"/>
        <v>0</v>
      </c>
      <c r="J58" t="str">
        <f t="shared" si="3"/>
        <v/>
      </c>
    </row>
    <row r="59" spans="1:10" x14ac:dyDescent="0.25">
      <c r="A59" s="10" t="s">
        <v>91</v>
      </c>
      <c r="B59" s="11" t="s">
        <v>92</v>
      </c>
      <c r="C59" s="11" t="s">
        <v>59</v>
      </c>
      <c r="D59" s="12">
        <v>41653</v>
      </c>
      <c r="E59" s="12">
        <v>41655</v>
      </c>
      <c r="F59" s="13">
        <v>760</v>
      </c>
      <c r="G59">
        <f t="shared" si="0"/>
        <v>3</v>
      </c>
      <c r="H59">
        <f t="shared" si="1"/>
        <v>78</v>
      </c>
      <c r="I59">
        <f t="shared" si="2"/>
        <v>2</v>
      </c>
      <c r="J59">
        <f t="shared" si="3"/>
        <v>2</v>
      </c>
    </row>
    <row r="60" spans="1:10" x14ac:dyDescent="0.25">
      <c r="A60" s="6" t="s">
        <v>93</v>
      </c>
      <c r="B60" s="7" t="s">
        <v>94</v>
      </c>
      <c r="C60" s="7" t="s">
        <v>47</v>
      </c>
      <c r="D60" s="8">
        <v>41653</v>
      </c>
      <c r="E60" s="8">
        <v>41654</v>
      </c>
      <c r="F60" s="9">
        <v>526.79999999999995</v>
      </c>
      <c r="G60">
        <f t="shared" si="0"/>
        <v>2</v>
      </c>
      <c r="H60">
        <f t="shared" si="1"/>
        <v>54</v>
      </c>
      <c r="I60">
        <f t="shared" si="2"/>
        <v>1</v>
      </c>
      <c r="J60">
        <f t="shared" si="3"/>
        <v>1</v>
      </c>
    </row>
    <row r="61" spans="1:10" x14ac:dyDescent="0.25">
      <c r="A61" s="10" t="s">
        <v>12</v>
      </c>
      <c r="B61" s="11" t="s">
        <v>95</v>
      </c>
      <c r="C61" s="11" t="s">
        <v>8</v>
      </c>
      <c r="D61" s="12">
        <v>41653</v>
      </c>
      <c r="E61" s="12">
        <v>41656</v>
      </c>
      <c r="F61" s="13">
        <v>1313</v>
      </c>
      <c r="G61">
        <f t="shared" si="0"/>
        <v>4</v>
      </c>
      <c r="H61">
        <f t="shared" si="1"/>
        <v>102</v>
      </c>
      <c r="I61">
        <f t="shared" si="2"/>
        <v>3</v>
      </c>
      <c r="J61">
        <f t="shared" si="3"/>
        <v>3</v>
      </c>
    </row>
    <row r="62" spans="1:10" x14ac:dyDescent="0.25">
      <c r="A62" s="6" t="s">
        <v>15</v>
      </c>
      <c r="B62" s="7" t="s">
        <v>96</v>
      </c>
      <c r="C62" s="7" t="s">
        <v>66</v>
      </c>
      <c r="D62" s="8">
        <v>41653</v>
      </c>
      <c r="E62" s="8">
        <v>41656</v>
      </c>
      <c r="F62" s="9">
        <v>841.7</v>
      </c>
      <c r="G62">
        <f t="shared" si="0"/>
        <v>4</v>
      </c>
      <c r="H62">
        <f t="shared" si="1"/>
        <v>102</v>
      </c>
      <c r="I62">
        <f t="shared" si="2"/>
        <v>3</v>
      </c>
      <c r="J62">
        <f t="shared" si="3"/>
        <v>3</v>
      </c>
    </row>
    <row r="63" spans="1:10" x14ac:dyDescent="0.25">
      <c r="A63" s="10" t="s">
        <v>64</v>
      </c>
      <c r="B63" s="11" t="s">
        <v>65</v>
      </c>
      <c r="C63" s="11" t="s">
        <v>38</v>
      </c>
      <c r="D63" s="12">
        <v>41653</v>
      </c>
      <c r="E63" s="12">
        <v>41657</v>
      </c>
      <c r="F63" s="13">
        <v>794.8</v>
      </c>
      <c r="G63">
        <f t="shared" si="0"/>
        <v>5</v>
      </c>
      <c r="H63">
        <f t="shared" si="1"/>
        <v>126</v>
      </c>
      <c r="I63">
        <f t="shared" si="2"/>
        <v>4</v>
      </c>
      <c r="J63">
        <f t="shared" si="3"/>
        <v>4</v>
      </c>
    </row>
    <row r="64" spans="1:10" x14ac:dyDescent="0.25">
      <c r="A64" s="6" t="s">
        <v>57</v>
      </c>
      <c r="B64" s="7" t="s">
        <v>58</v>
      </c>
      <c r="C64" s="7" t="s">
        <v>47</v>
      </c>
      <c r="D64" s="8">
        <v>41653</v>
      </c>
      <c r="E64" s="8">
        <v>41656</v>
      </c>
      <c r="F64" s="9">
        <v>852.8</v>
      </c>
      <c r="G64">
        <f t="shared" si="0"/>
        <v>4</v>
      </c>
      <c r="H64">
        <f t="shared" si="1"/>
        <v>102</v>
      </c>
      <c r="I64">
        <f t="shared" si="2"/>
        <v>3</v>
      </c>
      <c r="J64">
        <f t="shared" si="3"/>
        <v>3</v>
      </c>
    </row>
    <row r="65" spans="1:10" x14ac:dyDescent="0.25">
      <c r="A65" s="10" t="s">
        <v>50</v>
      </c>
      <c r="B65" s="11" t="s">
        <v>51</v>
      </c>
      <c r="C65" s="11" t="s">
        <v>59</v>
      </c>
      <c r="D65" s="12">
        <v>41654</v>
      </c>
      <c r="E65" s="12">
        <v>41656</v>
      </c>
      <c r="F65" s="13">
        <v>760</v>
      </c>
      <c r="G65">
        <f t="shared" si="0"/>
        <v>3</v>
      </c>
      <c r="H65">
        <f t="shared" si="1"/>
        <v>78</v>
      </c>
      <c r="I65">
        <f t="shared" si="2"/>
        <v>2</v>
      </c>
      <c r="J65">
        <f t="shared" si="3"/>
        <v>2</v>
      </c>
    </row>
    <row r="66" spans="1:10" x14ac:dyDescent="0.25">
      <c r="A66" s="6" t="s">
        <v>28</v>
      </c>
      <c r="B66" s="7" t="s">
        <v>60</v>
      </c>
      <c r="C66" s="7" t="s">
        <v>17</v>
      </c>
      <c r="D66" s="8">
        <v>41654</v>
      </c>
      <c r="E66" s="8">
        <v>41657</v>
      </c>
      <c r="F66" s="9">
        <v>1116.5</v>
      </c>
      <c r="G66">
        <f t="shared" si="0"/>
        <v>4</v>
      </c>
      <c r="H66">
        <f t="shared" si="1"/>
        <v>102</v>
      </c>
      <c r="I66">
        <f t="shared" si="2"/>
        <v>3</v>
      </c>
      <c r="J66">
        <f t="shared" si="3"/>
        <v>3</v>
      </c>
    </row>
    <row r="67" spans="1:10" x14ac:dyDescent="0.25">
      <c r="A67" s="10" t="s">
        <v>28</v>
      </c>
      <c r="B67" s="11" t="s">
        <v>29</v>
      </c>
      <c r="C67" s="11" t="s">
        <v>11</v>
      </c>
      <c r="D67" s="12">
        <v>41654</v>
      </c>
      <c r="E67" s="12">
        <v>41657</v>
      </c>
      <c r="F67" s="13">
        <v>573.4</v>
      </c>
      <c r="G67">
        <f t="shared" ref="G67:G130" si="4">E67-D67 + 1</f>
        <v>4</v>
      </c>
      <c r="H67">
        <f t="shared" ref="H67:H130" si="5">30+(G67-1)*24</f>
        <v>102</v>
      </c>
      <c r="I67">
        <f t="shared" ref="I67:I130" si="6">G67-1</f>
        <v>3</v>
      </c>
      <c r="J67">
        <f t="shared" ref="J67:J130" si="7">IF(G67&gt;=2,I67,"")</f>
        <v>3</v>
      </c>
    </row>
    <row r="68" spans="1:10" x14ac:dyDescent="0.25">
      <c r="A68" s="6" t="s">
        <v>31</v>
      </c>
      <c r="B68" s="7" t="s">
        <v>32</v>
      </c>
      <c r="C68" s="7" t="s">
        <v>59</v>
      </c>
      <c r="D68" s="8">
        <v>41654</v>
      </c>
      <c r="E68" s="8">
        <v>41656</v>
      </c>
      <c r="F68" s="9">
        <v>760</v>
      </c>
      <c r="G68">
        <f t="shared" si="4"/>
        <v>3</v>
      </c>
      <c r="H68">
        <f t="shared" si="5"/>
        <v>78</v>
      </c>
      <c r="I68">
        <f t="shared" si="6"/>
        <v>2</v>
      </c>
      <c r="J68">
        <f t="shared" si="7"/>
        <v>2</v>
      </c>
    </row>
    <row r="69" spans="1:10" x14ac:dyDescent="0.25">
      <c r="A69" s="10" t="s">
        <v>97</v>
      </c>
      <c r="B69" s="11" t="s">
        <v>98</v>
      </c>
      <c r="C69" s="11" t="s">
        <v>8</v>
      </c>
      <c r="D69" s="12">
        <v>41654</v>
      </c>
      <c r="E69" s="12">
        <v>41656</v>
      </c>
      <c r="F69" s="13">
        <v>1102</v>
      </c>
      <c r="G69">
        <f t="shared" si="4"/>
        <v>3</v>
      </c>
      <c r="H69">
        <f t="shared" si="5"/>
        <v>78</v>
      </c>
      <c r="I69">
        <f t="shared" si="6"/>
        <v>2</v>
      </c>
      <c r="J69">
        <f t="shared" si="7"/>
        <v>2</v>
      </c>
    </row>
    <row r="70" spans="1:10" x14ac:dyDescent="0.25">
      <c r="A70" s="6" t="s">
        <v>9</v>
      </c>
      <c r="B70" s="7" t="s">
        <v>69</v>
      </c>
      <c r="C70" s="7" t="s">
        <v>19</v>
      </c>
      <c r="D70" s="8">
        <v>41654</v>
      </c>
      <c r="E70" s="8">
        <v>41657</v>
      </c>
      <c r="F70" s="9">
        <v>936.4</v>
      </c>
      <c r="G70">
        <f t="shared" si="4"/>
        <v>4</v>
      </c>
      <c r="H70">
        <f t="shared" si="5"/>
        <v>102</v>
      </c>
      <c r="I70">
        <f t="shared" si="6"/>
        <v>3</v>
      </c>
      <c r="J70">
        <f t="shared" si="7"/>
        <v>3</v>
      </c>
    </row>
    <row r="71" spans="1:10" x14ac:dyDescent="0.25">
      <c r="A71" s="10" t="s">
        <v>99</v>
      </c>
      <c r="B71" s="11" t="s">
        <v>100</v>
      </c>
      <c r="C71" s="11" t="s">
        <v>66</v>
      </c>
      <c r="D71" s="12">
        <v>41654</v>
      </c>
      <c r="E71" s="12">
        <v>41658</v>
      </c>
      <c r="F71" s="13">
        <v>1019.7</v>
      </c>
      <c r="G71">
        <f t="shared" si="4"/>
        <v>5</v>
      </c>
      <c r="H71">
        <f t="shared" si="5"/>
        <v>126</v>
      </c>
      <c r="I71">
        <f t="shared" si="6"/>
        <v>4</v>
      </c>
      <c r="J71">
        <f t="shared" si="7"/>
        <v>4</v>
      </c>
    </row>
    <row r="72" spans="1:10" x14ac:dyDescent="0.25">
      <c r="A72" s="6" t="s">
        <v>101</v>
      </c>
      <c r="B72" s="7" t="s">
        <v>102</v>
      </c>
      <c r="C72" s="7" t="s">
        <v>72</v>
      </c>
      <c r="D72" s="8">
        <v>41654</v>
      </c>
      <c r="E72" s="8">
        <v>41657</v>
      </c>
      <c r="F72" s="9">
        <v>1091.7</v>
      </c>
      <c r="G72">
        <f t="shared" si="4"/>
        <v>4</v>
      </c>
      <c r="H72">
        <f t="shared" si="5"/>
        <v>102</v>
      </c>
      <c r="I72">
        <f t="shared" si="6"/>
        <v>3</v>
      </c>
      <c r="J72">
        <f t="shared" si="7"/>
        <v>3</v>
      </c>
    </row>
    <row r="73" spans="1:10" x14ac:dyDescent="0.25">
      <c r="A73" s="10" t="s">
        <v>9</v>
      </c>
      <c r="B73" s="11" t="s">
        <v>103</v>
      </c>
      <c r="C73" s="11" t="s">
        <v>47</v>
      </c>
      <c r="D73" s="12">
        <v>41654</v>
      </c>
      <c r="E73" s="12">
        <v>41658</v>
      </c>
      <c r="F73" s="13">
        <v>1015.8</v>
      </c>
      <c r="G73">
        <f t="shared" si="4"/>
        <v>5</v>
      </c>
      <c r="H73">
        <f t="shared" si="5"/>
        <v>126</v>
      </c>
      <c r="I73">
        <f t="shared" si="6"/>
        <v>4</v>
      </c>
      <c r="J73">
        <f t="shared" si="7"/>
        <v>4</v>
      </c>
    </row>
    <row r="74" spans="1:10" x14ac:dyDescent="0.25">
      <c r="A74" s="6" t="s">
        <v>73</v>
      </c>
      <c r="B74" s="7" t="s">
        <v>104</v>
      </c>
      <c r="C74" s="7" t="s">
        <v>47</v>
      </c>
      <c r="D74" s="8">
        <v>41654</v>
      </c>
      <c r="E74" s="8">
        <v>41655</v>
      </c>
      <c r="F74" s="9">
        <v>526.79999999999995</v>
      </c>
      <c r="G74">
        <f t="shared" si="4"/>
        <v>2</v>
      </c>
      <c r="H74">
        <f t="shared" si="5"/>
        <v>54</v>
      </c>
      <c r="I74">
        <f t="shared" si="6"/>
        <v>1</v>
      </c>
      <c r="J74">
        <f t="shared" si="7"/>
        <v>1</v>
      </c>
    </row>
    <row r="75" spans="1:10" x14ac:dyDescent="0.25">
      <c r="A75" s="10" t="s">
        <v>15</v>
      </c>
      <c r="B75" s="11" t="s">
        <v>105</v>
      </c>
      <c r="C75" s="11" t="s">
        <v>14</v>
      </c>
      <c r="D75" s="12">
        <v>41654</v>
      </c>
      <c r="E75" s="12">
        <v>41655</v>
      </c>
      <c r="F75" s="13">
        <v>302.5</v>
      </c>
      <c r="G75">
        <f t="shared" si="4"/>
        <v>2</v>
      </c>
      <c r="H75">
        <f t="shared" si="5"/>
        <v>54</v>
      </c>
      <c r="I75">
        <f t="shared" si="6"/>
        <v>1</v>
      </c>
      <c r="J75">
        <f t="shared" si="7"/>
        <v>1</v>
      </c>
    </row>
    <row r="76" spans="1:10" x14ac:dyDescent="0.25">
      <c r="A76" s="6" t="s">
        <v>93</v>
      </c>
      <c r="B76" s="7" t="s">
        <v>106</v>
      </c>
      <c r="C76" s="7" t="s">
        <v>47</v>
      </c>
      <c r="D76" s="8">
        <v>41654</v>
      </c>
      <c r="E76" s="8">
        <v>41654</v>
      </c>
      <c r="F76" s="9">
        <v>363.8</v>
      </c>
      <c r="G76">
        <f t="shared" si="4"/>
        <v>1</v>
      </c>
      <c r="H76">
        <f t="shared" si="5"/>
        <v>30</v>
      </c>
      <c r="I76">
        <f t="shared" si="6"/>
        <v>0</v>
      </c>
      <c r="J76" t="str">
        <f t="shared" si="7"/>
        <v/>
      </c>
    </row>
    <row r="77" spans="1:10" x14ac:dyDescent="0.25">
      <c r="A77" s="10" t="s">
        <v>93</v>
      </c>
      <c r="B77" s="11" t="s">
        <v>106</v>
      </c>
      <c r="C77" s="11" t="s">
        <v>14</v>
      </c>
      <c r="D77" s="12">
        <v>41654</v>
      </c>
      <c r="E77" s="12">
        <v>41654</v>
      </c>
      <c r="F77" s="13">
        <v>178.5</v>
      </c>
      <c r="G77">
        <f t="shared" si="4"/>
        <v>1</v>
      </c>
      <c r="H77">
        <f t="shared" si="5"/>
        <v>30</v>
      </c>
      <c r="I77">
        <f t="shared" si="6"/>
        <v>0</v>
      </c>
      <c r="J77" t="str">
        <f t="shared" si="7"/>
        <v/>
      </c>
    </row>
    <row r="78" spans="1:10" x14ac:dyDescent="0.25">
      <c r="A78" s="6" t="s">
        <v>42</v>
      </c>
      <c r="B78" s="7" t="s">
        <v>43</v>
      </c>
      <c r="C78" s="7" t="s">
        <v>27</v>
      </c>
      <c r="D78" s="8">
        <v>41654</v>
      </c>
      <c r="E78" s="8">
        <v>41655</v>
      </c>
      <c r="F78" s="9">
        <v>570</v>
      </c>
      <c r="G78">
        <f t="shared" si="4"/>
        <v>2</v>
      </c>
      <c r="H78">
        <f t="shared" si="5"/>
        <v>54</v>
      </c>
      <c r="I78">
        <f t="shared" si="6"/>
        <v>1</v>
      </c>
      <c r="J78">
        <f t="shared" si="7"/>
        <v>1</v>
      </c>
    </row>
    <row r="79" spans="1:10" x14ac:dyDescent="0.25">
      <c r="A79" s="10" t="s">
        <v>107</v>
      </c>
      <c r="B79" s="11" t="s">
        <v>108</v>
      </c>
      <c r="C79" s="11" t="s">
        <v>66</v>
      </c>
      <c r="D79" s="12">
        <v>41654</v>
      </c>
      <c r="E79" s="12">
        <v>41655</v>
      </c>
      <c r="F79" s="13">
        <v>485.7</v>
      </c>
      <c r="G79">
        <f t="shared" si="4"/>
        <v>2</v>
      </c>
      <c r="H79">
        <f t="shared" si="5"/>
        <v>54</v>
      </c>
      <c r="I79">
        <f t="shared" si="6"/>
        <v>1</v>
      </c>
      <c r="J79">
        <f t="shared" si="7"/>
        <v>1</v>
      </c>
    </row>
    <row r="80" spans="1:10" x14ac:dyDescent="0.25">
      <c r="A80" s="6" t="s">
        <v>109</v>
      </c>
      <c r="B80" s="7" t="s">
        <v>110</v>
      </c>
      <c r="C80" s="7" t="s">
        <v>14</v>
      </c>
      <c r="D80" s="8">
        <v>41654</v>
      </c>
      <c r="E80" s="8">
        <v>41655</v>
      </c>
      <c r="F80" s="9">
        <v>302.5</v>
      </c>
      <c r="G80">
        <f t="shared" si="4"/>
        <v>2</v>
      </c>
      <c r="H80">
        <f t="shared" si="5"/>
        <v>54</v>
      </c>
      <c r="I80">
        <f t="shared" si="6"/>
        <v>1</v>
      </c>
      <c r="J80">
        <f t="shared" si="7"/>
        <v>1</v>
      </c>
    </row>
    <row r="81" spans="1:10" x14ac:dyDescent="0.25">
      <c r="A81" s="10" t="s">
        <v>6</v>
      </c>
      <c r="B81" s="11" t="s">
        <v>45</v>
      </c>
      <c r="C81" s="11" t="s">
        <v>66</v>
      </c>
      <c r="D81" s="12">
        <v>41654</v>
      </c>
      <c r="E81" s="12">
        <v>41656</v>
      </c>
      <c r="F81" s="13">
        <v>663.7</v>
      </c>
      <c r="G81">
        <f t="shared" si="4"/>
        <v>3</v>
      </c>
      <c r="H81">
        <f t="shared" si="5"/>
        <v>78</v>
      </c>
      <c r="I81">
        <f t="shared" si="6"/>
        <v>2</v>
      </c>
      <c r="J81">
        <f t="shared" si="7"/>
        <v>2</v>
      </c>
    </row>
    <row r="82" spans="1:10" x14ac:dyDescent="0.25">
      <c r="A82" s="6" t="s">
        <v>111</v>
      </c>
      <c r="B82" s="7" t="s">
        <v>112</v>
      </c>
      <c r="C82" s="7" t="s">
        <v>66</v>
      </c>
      <c r="D82" s="8">
        <v>41654</v>
      </c>
      <c r="E82" s="8">
        <v>41656</v>
      </c>
      <c r="F82" s="9">
        <v>663.7</v>
      </c>
      <c r="G82">
        <f t="shared" si="4"/>
        <v>3</v>
      </c>
      <c r="H82">
        <f t="shared" si="5"/>
        <v>78</v>
      </c>
      <c r="I82">
        <f t="shared" si="6"/>
        <v>2</v>
      </c>
      <c r="J82">
        <f t="shared" si="7"/>
        <v>2</v>
      </c>
    </row>
    <row r="83" spans="1:10" x14ac:dyDescent="0.25">
      <c r="A83" s="10" t="s">
        <v>113</v>
      </c>
      <c r="B83" s="11" t="s">
        <v>114</v>
      </c>
      <c r="C83" s="11" t="s">
        <v>11</v>
      </c>
      <c r="D83" s="12">
        <v>41654</v>
      </c>
      <c r="E83" s="12">
        <v>41658</v>
      </c>
      <c r="F83" s="13">
        <v>712.4</v>
      </c>
      <c r="G83">
        <f t="shared" si="4"/>
        <v>5</v>
      </c>
      <c r="H83">
        <f t="shared" si="5"/>
        <v>126</v>
      </c>
      <c r="I83">
        <f t="shared" si="6"/>
        <v>4</v>
      </c>
      <c r="J83">
        <f t="shared" si="7"/>
        <v>4</v>
      </c>
    </row>
    <row r="84" spans="1:10" x14ac:dyDescent="0.25">
      <c r="A84" s="6" t="s">
        <v>115</v>
      </c>
      <c r="B84" s="7" t="s">
        <v>116</v>
      </c>
      <c r="C84" s="7" t="s">
        <v>14</v>
      </c>
      <c r="D84" s="8">
        <v>41654</v>
      </c>
      <c r="E84" s="8">
        <v>41655</v>
      </c>
      <c r="F84" s="9">
        <v>302.5</v>
      </c>
      <c r="G84">
        <f t="shared" si="4"/>
        <v>2</v>
      </c>
      <c r="H84">
        <f t="shared" si="5"/>
        <v>54</v>
      </c>
      <c r="I84">
        <f t="shared" si="6"/>
        <v>1</v>
      </c>
      <c r="J84">
        <f t="shared" si="7"/>
        <v>1</v>
      </c>
    </row>
    <row r="85" spans="1:10" x14ac:dyDescent="0.25">
      <c r="A85" s="10" t="s">
        <v>70</v>
      </c>
      <c r="B85" s="11" t="s">
        <v>117</v>
      </c>
      <c r="C85" s="11" t="s">
        <v>8</v>
      </c>
      <c r="D85" s="12">
        <v>41654</v>
      </c>
      <c r="E85" s="12">
        <v>41655</v>
      </c>
      <c r="F85" s="13">
        <v>891</v>
      </c>
      <c r="G85">
        <f t="shared" si="4"/>
        <v>2</v>
      </c>
      <c r="H85">
        <f t="shared" si="5"/>
        <v>54</v>
      </c>
      <c r="I85">
        <f t="shared" si="6"/>
        <v>1</v>
      </c>
      <c r="J85">
        <f t="shared" si="7"/>
        <v>1</v>
      </c>
    </row>
    <row r="86" spans="1:10" x14ac:dyDescent="0.25">
      <c r="A86" s="6" t="s">
        <v>54</v>
      </c>
      <c r="B86" s="7" t="s">
        <v>118</v>
      </c>
      <c r="C86" s="7" t="s">
        <v>8</v>
      </c>
      <c r="D86" s="8">
        <v>41654</v>
      </c>
      <c r="E86" s="8">
        <v>41657</v>
      </c>
      <c r="F86" s="9">
        <v>1313</v>
      </c>
      <c r="G86">
        <f t="shared" si="4"/>
        <v>4</v>
      </c>
      <c r="H86">
        <f t="shared" si="5"/>
        <v>102</v>
      </c>
      <c r="I86">
        <f t="shared" si="6"/>
        <v>3</v>
      </c>
      <c r="J86">
        <f t="shared" si="7"/>
        <v>3</v>
      </c>
    </row>
    <row r="87" spans="1:10" x14ac:dyDescent="0.25">
      <c r="A87" s="10" t="s">
        <v>54</v>
      </c>
      <c r="B87" s="11" t="s">
        <v>81</v>
      </c>
      <c r="C87" s="11" t="s">
        <v>27</v>
      </c>
      <c r="D87" s="12">
        <v>41656</v>
      </c>
      <c r="E87" s="12">
        <v>41656</v>
      </c>
      <c r="F87" s="13">
        <v>442</v>
      </c>
      <c r="G87">
        <f t="shared" si="4"/>
        <v>1</v>
      </c>
      <c r="H87">
        <f t="shared" si="5"/>
        <v>30</v>
      </c>
      <c r="I87">
        <f t="shared" si="6"/>
        <v>0</v>
      </c>
      <c r="J87" t="str">
        <f t="shared" si="7"/>
        <v/>
      </c>
    </row>
    <row r="88" spans="1:10" x14ac:dyDescent="0.25">
      <c r="A88" s="6" t="s">
        <v>119</v>
      </c>
      <c r="B88" s="7" t="s">
        <v>120</v>
      </c>
      <c r="C88" s="7" t="s">
        <v>27</v>
      </c>
      <c r="D88" s="8">
        <v>41656</v>
      </c>
      <c r="E88" s="8">
        <v>41656</v>
      </c>
      <c r="F88" s="9">
        <v>442</v>
      </c>
      <c r="G88">
        <f t="shared" si="4"/>
        <v>1</v>
      </c>
      <c r="H88">
        <f t="shared" si="5"/>
        <v>30</v>
      </c>
      <c r="I88">
        <f t="shared" si="6"/>
        <v>0</v>
      </c>
      <c r="J88" t="str">
        <f t="shared" si="7"/>
        <v/>
      </c>
    </row>
    <row r="89" spans="1:10" x14ac:dyDescent="0.25">
      <c r="A89" s="10" t="s">
        <v>31</v>
      </c>
      <c r="B89" s="11" t="s">
        <v>77</v>
      </c>
      <c r="C89" s="11" t="s">
        <v>11</v>
      </c>
      <c r="D89" s="12">
        <v>41656</v>
      </c>
      <c r="E89" s="12">
        <v>41656</v>
      </c>
      <c r="F89" s="13">
        <v>156.4</v>
      </c>
      <c r="G89">
        <f t="shared" si="4"/>
        <v>1</v>
      </c>
      <c r="H89">
        <f t="shared" si="5"/>
        <v>30</v>
      </c>
      <c r="I89">
        <f t="shared" si="6"/>
        <v>0</v>
      </c>
      <c r="J89" t="str">
        <f t="shared" si="7"/>
        <v/>
      </c>
    </row>
    <row r="90" spans="1:10" x14ac:dyDescent="0.25">
      <c r="A90" s="6" t="s">
        <v>9</v>
      </c>
      <c r="B90" s="7" t="s">
        <v>18</v>
      </c>
      <c r="C90" s="7" t="s">
        <v>11</v>
      </c>
      <c r="D90" s="8">
        <v>41656</v>
      </c>
      <c r="E90" s="8">
        <v>41656</v>
      </c>
      <c r="F90" s="9">
        <v>156.4</v>
      </c>
      <c r="G90">
        <f t="shared" si="4"/>
        <v>1</v>
      </c>
      <c r="H90">
        <f t="shared" si="5"/>
        <v>30</v>
      </c>
      <c r="I90">
        <f t="shared" si="6"/>
        <v>0</v>
      </c>
      <c r="J90" t="str">
        <f t="shared" si="7"/>
        <v/>
      </c>
    </row>
    <row r="91" spans="1:10" x14ac:dyDescent="0.25">
      <c r="A91" s="10" t="s">
        <v>86</v>
      </c>
      <c r="B91" s="11" t="s">
        <v>87</v>
      </c>
      <c r="C91" s="11" t="s">
        <v>17</v>
      </c>
      <c r="D91" s="12">
        <v>41657</v>
      </c>
      <c r="E91" s="12">
        <v>41657</v>
      </c>
      <c r="F91" s="13">
        <v>501.5</v>
      </c>
      <c r="G91">
        <f t="shared" si="4"/>
        <v>1</v>
      </c>
      <c r="H91">
        <f t="shared" si="5"/>
        <v>30</v>
      </c>
      <c r="I91">
        <f t="shared" si="6"/>
        <v>0</v>
      </c>
      <c r="J91" t="str">
        <f t="shared" si="7"/>
        <v/>
      </c>
    </row>
    <row r="92" spans="1:10" x14ac:dyDescent="0.25">
      <c r="A92" s="6" t="s">
        <v>75</v>
      </c>
      <c r="B92" s="7" t="s">
        <v>88</v>
      </c>
      <c r="C92" s="7" t="s">
        <v>14</v>
      </c>
      <c r="D92" s="8">
        <v>41657</v>
      </c>
      <c r="E92" s="8">
        <v>41658</v>
      </c>
      <c r="F92" s="9">
        <v>302.5</v>
      </c>
      <c r="G92">
        <f t="shared" si="4"/>
        <v>2</v>
      </c>
      <c r="H92">
        <f t="shared" si="5"/>
        <v>54</v>
      </c>
      <c r="I92">
        <f t="shared" si="6"/>
        <v>1</v>
      </c>
      <c r="J92">
        <f t="shared" si="7"/>
        <v>1</v>
      </c>
    </row>
    <row r="93" spans="1:10" x14ac:dyDescent="0.25">
      <c r="A93" s="10" t="s">
        <v>93</v>
      </c>
      <c r="B93" s="11" t="s">
        <v>94</v>
      </c>
      <c r="C93" s="11" t="s">
        <v>8</v>
      </c>
      <c r="D93" s="12">
        <v>41657</v>
      </c>
      <c r="E93" s="12">
        <v>41657</v>
      </c>
      <c r="F93" s="13">
        <v>680</v>
      </c>
      <c r="G93">
        <f t="shared" si="4"/>
        <v>1</v>
      </c>
      <c r="H93">
        <f t="shared" si="5"/>
        <v>30</v>
      </c>
      <c r="I93">
        <f t="shared" si="6"/>
        <v>0</v>
      </c>
      <c r="J93" t="str">
        <f t="shared" si="7"/>
        <v/>
      </c>
    </row>
    <row r="94" spans="1:10" x14ac:dyDescent="0.25">
      <c r="A94" s="6" t="s">
        <v>48</v>
      </c>
      <c r="B94" s="7" t="s">
        <v>49</v>
      </c>
      <c r="C94" s="7" t="s">
        <v>19</v>
      </c>
      <c r="D94" s="8">
        <v>41658</v>
      </c>
      <c r="E94" s="8">
        <v>41658</v>
      </c>
      <c r="F94" s="9">
        <v>513.4</v>
      </c>
      <c r="G94">
        <f t="shared" si="4"/>
        <v>1</v>
      </c>
      <c r="H94">
        <f t="shared" si="5"/>
        <v>30</v>
      </c>
      <c r="I94">
        <f t="shared" si="6"/>
        <v>0</v>
      </c>
      <c r="J94" t="str">
        <f t="shared" si="7"/>
        <v/>
      </c>
    </row>
    <row r="95" spans="1:10" x14ac:dyDescent="0.25">
      <c r="A95" s="10" t="s">
        <v>111</v>
      </c>
      <c r="B95" s="11" t="s">
        <v>112</v>
      </c>
      <c r="C95" s="11" t="s">
        <v>17</v>
      </c>
      <c r="D95" s="12">
        <v>41658</v>
      </c>
      <c r="E95" s="12">
        <v>41658</v>
      </c>
      <c r="F95" s="13">
        <v>501.5</v>
      </c>
      <c r="G95">
        <f t="shared" si="4"/>
        <v>1</v>
      </c>
      <c r="H95">
        <f t="shared" si="5"/>
        <v>30</v>
      </c>
      <c r="I95">
        <f t="shared" si="6"/>
        <v>0</v>
      </c>
      <c r="J95" t="str">
        <f t="shared" si="7"/>
        <v/>
      </c>
    </row>
    <row r="96" spans="1:10" x14ac:dyDescent="0.25">
      <c r="A96" s="6" t="s">
        <v>6</v>
      </c>
      <c r="B96" s="7" t="s">
        <v>56</v>
      </c>
      <c r="C96" s="7" t="s">
        <v>72</v>
      </c>
      <c r="D96" s="8">
        <v>41660</v>
      </c>
      <c r="E96" s="8">
        <v>41662</v>
      </c>
      <c r="F96" s="9">
        <v>892.7</v>
      </c>
      <c r="G96">
        <f t="shared" si="4"/>
        <v>3</v>
      </c>
      <c r="H96">
        <f t="shared" si="5"/>
        <v>78</v>
      </c>
      <c r="I96">
        <f t="shared" si="6"/>
        <v>2</v>
      </c>
      <c r="J96">
        <f t="shared" si="7"/>
        <v>2</v>
      </c>
    </row>
    <row r="97" spans="1:10" x14ac:dyDescent="0.25">
      <c r="A97" s="10" t="s">
        <v>99</v>
      </c>
      <c r="B97" s="11" t="s">
        <v>100</v>
      </c>
      <c r="C97" s="11" t="s">
        <v>27</v>
      </c>
      <c r="D97" s="12">
        <v>41660</v>
      </c>
      <c r="E97" s="12">
        <v>41663</v>
      </c>
      <c r="F97" s="13">
        <v>826</v>
      </c>
      <c r="G97">
        <f t="shared" si="4"/>
        <v>4</v>
      </c>
      <c r="H97">
        <f t="shared" si="5"/>
        <v>102</v>
      </c>
      <c r="I97">
        <f t="shared" si="6"/>
        <v>3</v>
      </c>
      <c r="J97">
        <f t="shared" si="7"/>
        <v>3</v>
      </c>
    </row>
    <row r="98" spans="1:10" x14ac:dyDescent="0.25">
      <c r="A98" s="6" t="s">
        <v>86</v>
      </c>
      <c r="B98" s="7" t="s">
        <v>87</v>
      </c>
      <c r="C98" s="7" t="s">
        <v>72</v>
      </c>
      <c r="D98" s="8">
        <v>41660</v>
      </c>
      <c r="E98" s="8">
        <v>41662</v>
      </c>
      <c r="F98" s="9">
        <v>892.7</v>
      </c>
      <c r="G98">
        <f t="shared" si="4"/>
        <v>3</v>
      </c>
      <c r="H98">
        <f t="shared" si="5"/>
        <v>78</v>
      </c>
      <c r="I98">
        <f t="shared" si="6"/>
        <v>2</v>
      </c>
      <c r="J98">
        <f t="shared" si="7"/>
        <v>2</v>
      </c>
    </row>
    <row r="99" spans="1:10" x14ac:dyDescent="0.25">
      <c r="A99" s="10" t="s">
        <v>54</v>
      </c>
      <c r="B99" s="11" t="s">
        <v>121</v>
      </c>
      <c r="C99" s="11" t="s">
        <v>19</v>
      </c>
      <c r="D99" s="12">
        <v>41660</v>
      </c>
      <c r="E99" s="12">
        <v>41662</v>
      </c>
      <c r="F99" s="13">
        <v>795.4</v>
      </c>
      <c r="G99">
        <f t="shared" si="4"/>
        <v>3</v>
      </c>
      <c r="H99">
        <f t="shared" si="5"/>
        <v>78</v>
      </c>
      <c r="I99">
        <f t="shared" si="6"/>
        <v>2</v>
      </c>
      <c r="J99">
        <f t="shared" si="7"/>
        <v>2</v>
      </c>
    </row>
    <row r="100" spans="1:10" x14ac:dyDescent="0.25">
      <c r="A100" s="6" t="s">
        <v>75</v>
      </c>
      <c r="B100" s="7" t="s">
        <v>76</v>
      </c>
      <c r="C100" s="7" t="s">
        <v>8</v>
      </c>
      <c r="D100" s="8">
        <v>41660</v>
      </c>
      <c r="E100" s="8">
        <v>41664</v>
      </c>
      <c r="F100" s="9">
        <v>1524</v>
      </c>
      <c r="G100">
        <f t="shared" si="4"/>
        <v>5</v>
      </c>
      <c r="H100">
        <f t="shared" si="5"/>
        <v>126</v>
      </c>
      <c r="I100">
        <f t="shared" si="6"/>
        <v>4</v>
      </c>
      <c r="J100">
        <f t="shared" si="7"/>
        <v>4</v>
      </c>
    </row>
    <row r="101" spans="1:10" x14ac:dyDescent="0.25">
      <c r="A101" s="10" t="s">
        <v>31</v>
      </c>
      <c r="B101" s="11" t="s">
        <v>77</v>
      </c>
      <c r="C101" s="11" t="s">
        <v>47</v>
      </c>
      <c r="D101" s="12">
        <v>41660</v>
      </c>
      <c r="E101" s="12">
        <v>41663</v>
      </c>
      <c r="F101" s="13">
        <v>852.8</v>
      </c>
      <c r="G101">
        <f t="shared" si="4"/>
        <v>4</v>
      </c>
      <c r="H101">
        <f t="shared" si="5"/>
        <v>102</v>
      </c>
      <c r="I101">
        <f t="shared" si="6"/>
        <v>3</v>
      </c>
      <c r="J101">
        <f t="shared" si="7"/>
        <v>3</v>
      </c>
    </row>
    <row r="102" spans="1:10" x14ac:dyDescent="0.25">
      <c r="A102" s="6" t="s">
        <v>122</v>
      </c>
      <c r="B102" s="7" t="s">
        <v>123</v>
      </c>
      <c r="C102" s="7" t="s">
        <v>17</v>
      </c>
      <c r="D102" s="8">
        <v>41661</v>
      </c>
      <c r="E102" s="8">
        <v>41661</v>
      </c>
      <c r="F102" s="9">
        <v>501.5</v>
      </c>
      <c r="G102">
        <f t="shared" si="4"/>
        <v>1</v>
      </c>
      <c r="H102">
        <f t="shared" si="5"/>
        <v>30</v>
      </c>
      <c r="I102">
        <f t="shared" si="6"/>
        <v>0</v>
      </c>
      <c r="J102" t="str">
        <f t="shared" si="7"/>
        <v/>
      </c>
    </row>
    <row r="103" spans="1:10" x14ac:dyDescent="0.25">
      <c r="A103" s="10" t="s">
        <v>93</v>
      </c>
      <c r="B103" s="11" t="s">
        <v>124</v>
      </c>
      <c r="C103" s="11" t="s">
        <v>59</v>
      </c>
      <c r="D103" s="12">
        <v>41661</v>
      </c>
      <c r="E103" s="12">
        <v>41661</v>
      </c>
      <c r="F103" s="13">
        <v>442</v>
      </c>
      <c r="G103">
        <f t="shared" si="4"/>
        <v>1</v>
      </c>
      <c r="H103">
        <f t="shared" si="5"/>
        <v>30</v>
      </c>
      <c r="I103">
        <f t="shared" si="6"/>
        <v>0</v>
      </c>
      <c r="J103" t="str">
        <f t="shared" si="7"/>
        <v/>
      </c>
    </row>
    <row r="104" spans="1:10" x14ac:dyDescent="0.25">
      <c r="A104" s="6" t="s">
        <v>82</v>
      </c>
      <c r="B104" s="7" t="s">
        <v>125</v>
      </c>
      <c r="C104" s="7" t="s">
        <v>8</v>
      </c>
      <c r="D104" s="8">
        <v>41661</v>
      </c>
      <c r="E104" s="8">
        <v>41663</v>
      </c>
      <c r="F104" s="9">
        <v>1102</v>
      </c>
      <c r="G104">
        <f t="shared" si="4"/>
        <v>3</v>
      </c>
      <c r="H104">
        <f t="shared" si="5"/>
        <v>78</v>
      </c>
      <c r="I104">
        <f t="shared" si="6"/>
        <v>2</v>
      </c>
      <c r="J104">
        <f t="shared" si="7"/>
        <v>2</v>
      </c>
    </row>
    <row r="105" spans="1:10" x14ac:dyDescent="0.25">
      <c r="A105" s="10" t="s">
        <v>126</v>
      </c>
      <c r="B105" s="11" t="s">
        <v>127</v>
      </c>
      <c r="C105" s="11" t="s">
        <v>14</v>
      </c>
      <c r="D105" s="12">
        <v>41661</v>
      </c>
      <c r="E105" s="12">
        <v>41663</v>
      </c>
      <c r="F105" s="13">
        <v>426.5</v>
      </c>
      <c r="G105">
        <f t="shared" si="4"/>
        <v>3</v>
      </c>
      <c r="H105">
        <f t="shared" si="5"/>
        <v>78</v>
      </c>
      <c r="I105">
        <f t="shared" si="6"/>
        <v>2</v>
      </c>
      <c r="J105">
        <f t="shared" si="7"/>
        <v>2</v>
      </c>
    </row>
    <row r="106" spans="1:10" x14ac:dyDescent="0.25">
      <c r="A106" s="6" t="s">
        <v>128</v>
      </c>
      <c r="B106" s="7" t="s">
        <v>129</v>
      </c>
      <c r="C106" s="7" t="s">
        <v>19</v>
      </c>
      <c r="D106" s="8">
        <v>41662</v>
      </c>
      <c r="E106" s="8">
        <v>41663</v>
      </c>
      <c r="F106" s="9">
        <v>654.4</v>
      </c>
      <c r="G106">
        <f t="shared" si="4"/>
        <v>2</v>
      </c>
      <c r="H106">
        <f t="shared" si="5"/>
        <v>54</v>
      </c>
      <c r="I106">
        <f t="shared" si="6"/>
        <v>1</v>
      </c>
      <c r="J106">
        <f t="shared" si="7"/>
        <v>1</v>
      </c>
    </row>
    <row r="107" spans="1:10" x14ac:dyDescent="0.25">
      <c r="A107" s="10" t="s">
        <v>25</v>
      </c>
      <c r="B107" s="11" t="s">
        <v>26</v>
      </c>
      <c r="C107" s="11" t="s">
        <v>11</v>
      </c>
      <c r="D107" s="12">
        <v>41662</v>
      </c>
      <c r="E107" s="12">
        <v>41663</v>
      </c>
      <c r="F107" s="13">
        <v>295.39999999999998</v>
      </c>
      <c r="G107">
        <f t="shared" si="4"/>
        <v>2</v>
      </c>
      <c r="H107">
        <f t="shared" si="5"/>
        <v>54</v>
      </c>
      <c r="I107">
        <f t="shared" si="6"/>
        <v>1</v>
      </c>
      <c r="J107">
        <f t="shared" si="7"/>
        <v>1</v>
      </c>
    </row>
    <row r="108" spans="1:10" x14ac:dyDescent="0.25">
      <c r="A108" s="6" t="s">
        <v>25</v>
      </c>
      <c r="B108" s="7" t="s">
        <v>68</v>
      </c>
      <c r="C108" s="7" t="s">
        <v>66</v>
      </c>
      <c r="D108" s="8">
        <v>41662</v>
      </c>
      <c r="E108" s="8">
        <v>41663</v>
      </c>
      <c r="F108" s="9">
        <v>485.7</v>
      </c>
      <c r="G108">
        <f t="shared" si="4"/>
        <v>2</v>
      </c>
      <c r="H108">
        <f t="shared" si="5"/>
        <v>54</v>
      </c>
      <c r="I108">
        <f t="shared" si="6"/>
        <v>1</v>
      </c>
      <c r="J108">
        <f t="shared" si="7"/>
        <v>1</v>
      </c>
    </row>
    <row r="109" spans="1:10" x14ac:dyDescent="0.25">
      <c r="A109" s="10" t="s">
        <v>99</v>
      </c>
      <c r="B109" s="11" t="s">
        <v>130</v>
      </c>
      <c r="C109" s="11" t="s">
        <v>72</v>
      </c>
      <c r="D109" s="12">
        <v>41663</v>
      </c>
      <c r="E109" s="12">
        <v>41663</v>
      </c>
      <c r="F109" s="13">
        <v>494.7</v>
      </c>
      <c r="G109">
        <f t="shared" si="4"/>
        <v>1</v>
      </c>
      <c r="H109">
        <f t="shared" si="5"/>
        <v>30</v>
      </c>
      <c r="I109">
        <f t="shared" si="6"/>
        <v>0</v>
      </c>
      <c r="J109" t="str">
        <f t="shared" si="7"/>
        <v/>
      </c>
    </row>
    <row r="110" spans="1:10" x14ac:dyDescent="0.25">
      <c r="A110" s="6" t="s">
        <v>131</v>
      </c>
      <c r="B110" s="7" t="s">
        <v>132</v>
      </c>
      <c r="C110" s="7" t="s">
        <v>38</v>
      </c>
      <c r="D110" s="8">
        <v>41663</v>
      </c>
      <c r="E110" s="8">
        <v>41663</v>
      </c>
      <c r="F110" s="9">
        <v>278.8</v>
      </c>
      <c r="G110">
        <f t="shared" si="4"/>
        <v>1</v>
      </c>
      <c r="H110">
        <f t="shared" si="5"/>
        <v>30</v>
      </c>
      <c r="I110">
        <f t="shared" si="6"/>
        <v>0</v>
      </c>
      <c r="J110" t="str">
        <f t="shared" si="7"/>
        <v/>
      </c>
    </row>
    <row r="111" spans="1:10" x14ac:dyDescent="0.25">
      <c r="A111" s="10" t="s">
        <v>93</v>
      </c>
      <c r="B111" s="11" t="s">
        <v>94</v>
      </c>
      <c r="C111" s="11" t="s">
        <v>47</v>
      </c>
      <c r="D111" s="12">
        <v>41664</v>
      </c>
      <c r="E111" s="12">
        <v>41664</v>
      </c>
      <c r="F111" s="13">
        <v>363.8</v>
      </c>
      <c r="G111">
        <f t="shared" si="4"/>
        <v>1</v>
      </c>
      <c r="H111">
        <f t="shared" si="5"/>
        <v>30</v>
      </c>
      <c r="I111">
        <f t="shared" si="6"/>
        <v>0</v>
      </c>
      <c r="J111" t="str">
        <f t="shared" si="7"/>
        <v/>
      </c>
    </row>
    <row r="112" spans="1:10" x14ac:dyDescent="0.25">
      <c r="A112" s="6" t="s">
        <v>6</v>
      </c>
      <c r="B112" s="7" t="s">
        <v>7</v>
      </c>
      <c r="C112" s="7" t="s">
        <v>66</v>
      </c>
      <c r="D112" s="8">
        <v>41665</v>
      </c>
      <c r="E112" s="8">
        <v>41669</v>
      </c>
      <c r="F112" s="9">
        <v>1019.7</v>
      </c>
      <c r="G112">
        <f t="shared" si="4"/>
        <v>5</v>
      </c>
      <c r="H112">
        <f t="shared" si="5"/>
        <v>126</v>
      </c>
      <c r="I112">
        <f t="shared" si="6"/>
        <v>4</v>
      </c>
      <c r="J112">
        <f t="shared" si="7"/>
        <v>4</v>
      </c>
    </row>
    <row r="113" spans="1:10" x14ac:dyDescent="0.25">
      <c r="A113" s="10" t="s">
        <v>79</v>
      </c>
      <c r="B113" s="11" t="s">
        <v>80</v>
      </c>
      <c r="C113" s="11" t="s">
        <v>19</v>
      </c>
      <c r="D113" s="12">
        <v>41665</v>
      </c>
      <c r="E113" s="12">
        <v>41669</v>
      </c>
      <c r="F113" s="13">
        <v>1077.4000000000001</v>
      </c>
      <c r="G113">
        <f t="shared" si="4"/>
        <v>5</v>
      </c>
      <c r="H113">
        <f t="shared" si="5"/>
        <v>126</v>
      </c>
      <c r="I113">
        <f t="shared" si="6"/>
        <v>4</v>
      </c>
      <c r="J113">
        <f t="shared" si="7"/>
        <v>4</v>
      </c>
    </row>
    <row r="114" spans="1:10" x14ac:dyDescent="0.25">
      <c r="A114" s="6" t="s">
        <v>54</v>
      </c>
      <c r="B114" s="7" t="s">
        <v>133</v>
      </c>
      <c r="C114" s="7" t="s">
        <v>17</v>
      </c>
      <c r="D114" s="8">
        <v>41665</v>
      </c>
      <c r="E114" s="8">
        <v>41667</v>
      </c>
      <c r="F114" s="9">
        <v>911.5</v>
      </c>
      <c r="G114">
        <f t="shared" si="4"/>
        <v>3</v>
      </c>
      <c r="H114">
        <f t="shared" si="5"/>
        <v>78</v>
      </c>
      <c r="I114">
        <f t="shared" si="6"/>
        <v>2</v>
      </c>
      <c r="J114">
        <f t="shared" si="7"/>
        <v>2</v>
      </c>
    </row>
    <row r="115" spans="1:10" x14ac:dyDescent="0.25">
      <c r="A115" s="10" t="s">
        <v>134</v>
      </c>
      <c r="B115" s="11" t="s">
        <v>135</v>
      </c>
      <c r="C115" s="11" t="s">
        <v>47</v>
      </c>
      <c r="D115" s="12">
        <v>41665</v>
      </c>
      <c r="E115" s="12">
        <v>41667</v>
      </c>
      <c r="F115" s="13">
        <v>689.8</v>
      </c>
      <c r="G115">
        <f t="shared" si="4"/>
        <v>3</v>
      </c>
      <c r="H115">
        <f t="shared" si="5"/>
        <v>78</v>
      </c>
      <c r="I115">
        <f t="shared" si="6"/>
        <v>2</v>
      </c>
      <c r="J115">
        <f t="shared" si="7"/>
        <v>2</v>
      </c>
    </row>
    <row r="116" spans="1:10" x14ac:dyDescent="0.25">
      <c r="A116" s="6" t="s">
        <v>93</v>
      </c>
      <c r="B116" s="7" t="s">
        <v>106</v>
      </c>
      <c r="C116" s="7" t="s">
        <v>17</v>
      </c>
      <c r="D116" s="8">
        <v>41665</v>
      </c>
      <c r="E116" s="8">
        <v>41669</v>
      </c>
      <c r="F116" s="9">
        <v>1321.5</v>
      </c>
      <c r="G116">
        <f t="shared" si="4"/>
        <v>5</v>
      </c>
      <c r="H116">
        <f t="shared" si="5"/>
        <v>126</v>
      </c>
      <c r="I116">
        <f t="shared" si="6"/>
        <v>4</v>
      </c>
      <c r="J116">
        <f t="shared" si="7"/>
        <v>4</v>
      </c>
    </row>
    <row r="117" spans="1:10" x14ac:dyDescent="0.25">
      <c r="A117" s="10" t="s">
        <v>52</v>
      </c>
      <c r="B117" s="11" t="s">
        <v>53</v>
      </c>
      <c r="C117" s="11" t="s">
        <v>59</v>
      </c>
      <c r="D117" s="12">
        <v>41665</v>
      </c>
      <c r="E117" s="12">
        <v>41669</v>
      </c>
      <c r="F117" s="13">
        <v>1078</v>
      </c>
      <c r="G117">
        <f t="shared" si="4"/>
        <v>5</v>
      </c>
      <c r="H117">
        <f t="shared" si="5"/>
        <v>126</v>
      </c>
      <c r="I117">
        <f t="shared" si="6"/>
        <v>4</v>
      </c>
      <c r="J117">
        <f t="shared" si="7"/>
        <v>4</v>
      </c>
    </row>
    <row r="118" spans="1:10" x14ac:dyDescent="0.25">
      <c r="A118" s="6" t="s">
        <v>119</v>
      </c>
      <c r="B118" s="7" t="s">
        <v>120</v>
      </c>
      <c r="C118" s="7" t="s">
        <v>24</v>
      </c>
      <c r="D118" s="8">
        <v>41665</v>
      </c>
      <c r="E118" s="8">
        <v>41668</v>
      </c>
      <c r="F118" s="9">
        <v>737.7</v>
      </c>
      <c r="G118">
        <f t="shared" si="4"/>
        <v>4</v>
      </c>
      <c r="H118">
        <f t="shared" si="5"/>
        <v>102</v>
      </c>
      <c r="I118">
        <f t="shared" si="6"/>
        <v>3</v>
      </c>
      <c r="J118">
        <f t="shared" si="7"/>
        <v>3</v>
      </c>
    </row>
    <row r="119" spans="1:10" x14ac:dyDescent="0.25">
      <c r="A119" s="10" t="s">
        <v>89</v>
      </c>
      <c r="B119" s="11" t="s">
        <v>90</v>
      </c>
      <c r="C119" s="11" t="s">
        <v>72</v>
      </c>
      <c r="D119" s="12">
        <v>41665</v>
      </c>
      <c r="E119" s="12">
        <v>41666</v>
      </c>
      <c r="F119" s="13">
        <v>693.7</v>
      </c>
      <c r="G119">
        <f t="shared" si="4"/>
        <v>2</v>
      </c>
      <c r="H119">
        <f t="shared" si="5"/>
        <v>54</v>
      </c>
      <c r="I119">
        <f t="shared" si="6"/>
        <v>1</v>
      </c>
      <c r="J119">
        <f t="shared" si="7"/>
        <v>1</v>
      </c>
    </row>
    <row r="120" spans="1:10" x14ac:dyDescent="0.25">
      <c r="A120" s="6" t="s">
        <v>12</v>
      </c>
      <c r="B120" s="7" t="s">
        <v>95</v>
      </c>
      <c r="C120" s="7" t="s">
        <v>11</v>
      </c>
      <c r="D120" s="8">
        <v>41665</v>
      </c>
      <c r="E120" s="8">
        <v>41667</v>
      </c>
      <c r="F120" s="9">
        <v>434.4</v>
      </c>
      <c r="G120">
        <f t="shared" si="4"/>
        <v>3</v>
      </c>
      <c r="H120">
        <f t="shared" si="5"/>
        <v>78</v>
      </c>
      <c r="I120">
        <f t="shared" si="6"/>
        <v>2</v>
      </c>
      <c r="J120">
        <f t="shared" si="7"/>
        <v>2</v>
      </c>
    </row>
    <row r="121" spans="1:10" x14ac:dyDescent="0.25">
      <c r="A121" s="10" t="s">
        <v>15</v>
      </c>
      <c r="B121" s="11" t="s">
        <v>96</v>
      </c>
      <c r="C121" s="11" t="s">
        <v>11</v>
      </c>
      <c r="D121" s="12">
        <v>41665</v>
      </c>
      <c r="E121" s="12">
        <v>41668</v>
      </c>
      <c r="F121" s="13">
        <v>573.4</v>
      </c>
      <c r="G121">
        <f t="shared" si="4"/>
        <v>4</v>
      </c>
      <c r="H121">
        <f t="shared" si="5"/>
        <v>102</v>
      </c>
      <c r="I121">
        <f t="shared" si="6"/>
        <v>3</v>
      </c>
      <c r="J121">
        <f t="shared" si="7"/>
        <v>3</v>
      </c>
    </row>
    <row r="122" spans="1:10" x14ac:dyDescent="0.25">
      <c r="A122" s="6" t="s">
        <v>86</v>
      </c>
      <c r="B122" s="7" t="s">
        <v>136</v>
      </c>
      <c r="C122" s="7" t="s">
        <v>27</v>
      </c>
      <c r="D122" s="8">
        <v>41665</v>
      </c>
      <c r="E122" s="8">
        <v>41669</v>
      </c>
      <c r="F122" s="9">
        <v>954</v>
      </c>
      <c r="G122">
        <f t="shared" si="4"/>
        <v>5</v>
      </c>
      <c r="H122">
        <f t="shared" si="5"/>
        <v>126</v>
      </c>
      <c r="I122">
        <f t="shared" si="6"/>
        <v>4</v>
      </c>
      <c r="J122">
        <f t="shared" si="7"/>
        <v>4</v>
      </c>
    </row>
    <row r="123" spans="1:10" x14ac:dyDescent="0.25">
      <c r="A123" s="10" t="s">
        <v>20</v>
      </c>
      <c r="B123" s="11" t="s">
        <v>21</v>
      </c>
      <c r="C123" s="11" t="s">
        <v>38</v>
      </c>
      <c r="D123" s="12">
        <v>41665</v>
      </c>
      <c r="E123" s="12">
        <v>41666</v>
      </c>
      <c r="F123" s="13">
        <v>407.8</v>
      </c>
      <c r="G123">
        <f t="shared" si="4"/>
        <v>2</v>
      </c>
      <c r="H123">
        <f t="shared" si="5"/>
        <v>54</v>
      </c>
      <c r="I123">
        <f t="shared" si="6"/>
        <v>1</v>
      </c>
      <c r="J123">
        <f t="shared" si="7"/>
        <v>1</v>
      </c>
    </row>
    <row r="124" spans="1:10" x14ac:dyDescent="0.25">
      <c r="A124" s="6" t="s">
        <v>54</v>
      </c>
      <c r="B124" s="7" t="s">
        <v>81</v>
      </c>
      <c r="C124" s="7" t="s">
        <v>17</v>
      </c>
      <c r="D124" s="8">
        <v>41666</v>
      </c>
      <c r="E124" s="8">
        <v>41666</v>
      </c>
      <c r="F124" s="9">
        <v>501.5</v>
      </c>
      <c r="G124">
        <f t="shared" si="4"/>
        <v>1</v>
      </c>
      <c r="H124">
        <f t="shared" si="5"/>
        <v>30</v>
      </c>
      <c r="I124">
        <f t="shared" si="6"/>
        <v>0</v>
      </c>
      <c r="J124" t="str">
        <f t="shared" si="7"/>
        <v/>
      </c>
    </row>
    <row r="125" spans="1:10" x14ac:dyDescent="0.25">
      <c r="A125" s="10" t="s">
        <v>31</v>
      </c>
      <c r="B125" s="11" t="s">
        <v>77</v>
      </c>
      <c r="C125" s="11" t="s">
        <v>72</v>
      </c>
      <c r="D125" s="12">
        <v>41666</v>
      </c>
      <c r="E125" s="12">
        <v>41668</v>
      </c>
      <c r="F125" s="13">
        <v>892.7</v>
      </c>
      <c r="G125">
        <f t="shared" si="4"/>
        <v>3</v>
      </c>
      <c r="H125">
        <f t="shared" si="5"/>
        <v>78</v>
      </c>
      <c r="I125">
        <f t="shared" si="6"/>
        <v>2</v>
      </c>
      <c r="J125">
        <f t="shared" si="7"/>
        <v>2</v>
      </c>
    </row>
    <row r="126" spans="1:10" x14ac:dyDescent="0.25">
      <c r="A126" s="6" t="s">
        <v>93</v>
      </c>
      <c r="B126" s="7" t="s">
        <v>94</v>
      </c>
      <c r="C126" s="7" t="s">
        <v>8</v>
      </c>
      <c r="D126" s="8">
        <v>41666</v>
      </c>
      <c r="E126" s="8">
        <v>41666</v>
      </c>
      <c r="F126" s="9">
        <v>680</v>
      </c>
      <c r="G126">
        <f t="shared" si="4"/>
        <v>1</v>
      </c>
      <c r="H126">
        <f t="shared" si="5"/>
        <v>30</v>
      </c>
      <c r="I126">
        <f t="shared" si="6"/>
        <v>0</v>
      </c>
      <c r="J126" t="str">
        <f t="shared" si="7"/>
        <v/>
      </c>
    </row>
    <row r="127" spans="1:10" x14ac:dyDescent="0.25">
      <c r="A127" s="10" t="s">
        <v>137</v>
      </c>
      <c r="B127" s="11" t="s">
        <v>138</v>
      </c>
      <c r="C127" s="11" t="s">
        <v>19</v>
      </c>
      <c r="D127" s="12">
        <v>41666</v>
      </c>
      <c r="E127" s="12">
        <v>41668</v>
      </c>
      <c r="F127" s="13">
        <v>795.4</v>
      </c>
      <c r="G127">
        <f t="shared" si="4"/>
        <v>3</v>
      </c>
      <c r="H127">
        <f t="shared" si="5"/>
        <v>78</v>
      </c>
      <c r="I127">
        <f t="shared" si="6"/>
        <v>2</v>
      </c>
      <c r="J127">
        <f t="shared" si="7"/>
        <v>2</v>
      </c>
    </row>
    <row r="128" spans="1:10" x14ac:dyDescent="0.25">
      <c r="A128" s="6" t="s">
        <v>131</v>
      </c>
      <c r="B128" s="7" t="s">
        <v>132</v>
      </c>
      <c r="C128" s="7" t="s">
        <v>19</v>
      </c>
      <c r="D128" s="8">
        <v>41666</v>
      </c>
      <c r="E128" s="8">
        <v>41668</v>
      </c>
      <c r="F128" s="9">
        <v>795.4</v>
      </c>
      <c r="G128">
        <f t="shared" si="4"/>
        <v>3</v>
      </c>
      <c r="H128">
        <f t="shared" si="5"/>
        <v>78</v>
      </c>
      <c r="I128">
        <f t="shared" si="6"/>
        <v>2</v>
      </c>
      <c r="J128">
        <f t="shared" si="7"/>
        <v>2</v>
      </c>
    </row>
    <row r="129" spans="1:10" x14ac:dyDescent="0.25">
      <c r="A129" s="10" t="s">
        <v>99</v>
      </c>
      <c r="B129" s="11" t="s">
        <v>130</v>
      </c>
      <c r="C129" s="11" t="s">
        <v>47</v>
      </c>
      <c r="D129" s="12">
        <v>41667</v>
      </c>
      <c r="E129" s="12">
        <v>41667</v>
      </c>
      <c r="F129" s="13">
        <v>363.8</v>
      </c>
      <c r="G129">
        <f t="shared" si="4"/>
        <v>1</v>
      </c>
      <c r="H129">
        <f t="shared" si="5"/>
        <v>30</v>
      </c>
      <c r="I129">
        <f t="shared" si="6"/>
        <v>0</v>
      </c>
      <c r="J129" t="str">
        <f t="shared" si="7"/>
        <v/>
      </c>
    </row>
    <row r="130" spans="1:10" x14ac:dyDescent="0.25">
      <c r="A130" s="6" t="s">
        <v>91</v>
      </c>
      <c r="B130" s="7" t="s">
        <v>92</v>
      </c>
      <c r="C130" s="7" t="s">
        <v>17</v>
      </c>
      <c r="D130" s="8">
        <v>41667</v>
      </c>
      <c r="E130" s="8">
        <v>41669</v>
      </c>
      <c r="F130" s="9">
        <v>911.5</v>
      </c>
      <c r="G130">
        <f t="shared" si="4"/>
        <v>3</v>
      </c>
      <c r="H130">
        <f t="shared" si="5"/>
        <v>78</v>
      </c>
      <c r="I130">
        <f t="shared" si="6"/>
        <v>2</v>
      </c>
      <c r="J130">
        <f t="shared" si="7"/>
        <v>2</v>
      </c>
    </row>
    <row r="131" spans="1:10" x14ac:dyDescent="0.25">
      <c r="A131" s="10" t="s">
        <v>57</v>
      </c>
      <c r="B131" s="11" t="s">
        <v>58</v>
      </c>
      <c r="C131" s="11" t="s">
        <v>38</v>
      </c>
      <c r="D131" s="12">
        <v>41667</v>
      </c>
      <c r="E131" s="12">
        <v>41669</v>
      </c>
      <c r="F131" s="13">
        <v>536.79999999999995</v>
      </c>
      <c r="G131">
        <f t="shared" ref="G131:G194" si="8">E131-D131 + 1</f>
        <v>3</v>
      </c>
      <c r="H131">
        <f t="shared" ref="H131:H194" si="9">30+(G131-1)*24</f>
        <v>78</v>
      </c>
      <c r="I131">
        <f t="shared" ref="I131:I194" si="10">G131-1</f>
        <v>2</v>
      </c>
      <c r="J131">
        <f t="shared" ref="J131:J194" si="11">IF(G131&gt;=2,I131,"")</f>
        <v>2</v>
      </c>
    </row>
    <row r="132" spans="1:10" x14ac:dyDescent="0.25">
      <c r="A132" s="6" t="s">
        <v>6</v>
      </c>
      <c r="B132" s="7" t="s">
        <v>7</v>
      </c>
      <c r="C132" s="7" t="s">
        <v>59</v>
      </c>
      <c r="D132" s="8">
        <v>41672</v>
      </c>
      <c r="E132" s="8">
        <v>41674</v>
      </c>
      <c r="F132" s="9">
        <v>760</v>
      </c>
      <c r="G132">
        <f t="shared" si="8"/>
        <v>3</v>
      </c>
      <c r="H132">
        <f t="shared" si="9"/>
        <v>78</v>
      </c>
      <c r="I132">
        <f t="shared" si="10"/>
        <v>2</v>
      </c>
      <c r="J132">
        <f t="shared" si="11"/>
        <v>2</v>
      </c>
    </row>
    <row r="133" spans="1:10" x14ac:dyDescent="0.25">
      <c r="A133" s="10" t="s">
        <v>6</v>
      </c>
      <c r="B133" s="11" t="s">
        <v>139</v>
      </c>
      <c r="C133" s="11" t="s">
        <v>17</v>
      </c>
      <c r="D133" s="12">
        <v>41672</v>
      </c>
      <c r="E133" s="12">
        <v>41673</v>
      </c>
      <c r="F133" s="13">
        <v>706.5</v>
      </c>
      <c r="G133">
        <f t="shared" si="8"/>
        <v>2</v>
      </c>
      <c r="H133">
        <f t="shared" si="9"/>
        <v>54</v>
      </c>
      <c r="I133">
        <f t="shared" si="10"/>
        <v>1</v>
      </c>
      <c r="J133">
        <f t="shared" si="11"/>
        <v>1</v>
      </c>
    </row>
    <row r="134" spans="1:10" x14ac:dyDescent="0.25">
      <c r="A134" s="6" t="s">
        <v>93</v>
      </c>
      <c r="B134" s="7" t="s">
        <v>124</v>
      </c>
      <c r="C134" s="7" t="s">
        <v>72</v>
      </c>
      <c r="D134" s="8">
        <v>41672</v>
      </c>
      <c r="E134" s="8">
        <v>41675</v>
      </c>
      <c r="F134" s="9">
        <v>1091.7</v>
      </c>
      <c r="G134">
        <f t="shared" si="8"/>
        <v>4</v>
      </c>
      <c r="H134">
        <f t="shared" si="9"/>
        <v>102</v>
      </c>
      <c r="I134">
        <f t="shared" si="10"/>
        <v>3</v>
      </c>
      <c r="J134">
        <f t="shared" si="11"/>
        <v>3</v>
      </c>
    </row>
    <row r="135" spans="1:10" x14ac:dyDescent="0.25">
      <c r="A135" s="10" t="s">
        <v>128</v>
      </c>
      <c r="B135" s="11" t="s">
        <v>129</v>
      </c>
      <c r="C135" s="11" t="s">
        <v>27</v>
      </c>
      <c r="D135" s="12">
        <v>41673</v>
      </c>
      <c r="E135" s="12">
        <v>41676</v>
      </c>
      <c r="F135" s="13">
        <v>826</v>
      </c>
      <c r="G135">
        <f t="shared" si="8"/>
        <v>4</v>
      </c>
      <c r="H135">
        <f t="shared" si="9"/>
        <v>102</v>
      </c>
      <c r="I135">
        <f t="shared" si="10"/>
        <v>3</v>
      </c>
      <c r="J135">
        <f t="shared" si="11"/>
        <v>3</v>
      </c>
    </row>
    <row r="136" spans="1:10" x14ac:dyDescent="0.25">
      <c r="A136" s="6" t="s">
        <v>115</v>
      </c>
      <c r="B136" s="7" t="s">
        <v>140</v>
      </c>
      <c r="C136" s="7" t="s">
        <v>66</v>
      </c>
      <c r="D136" s="8">
        <v>41673</v>
      </c>
      <c r="E136" s="8">
        <v>41673</v>
      </c>
      <c r="F136" s="9">
        <v>307.7</v>
      </c>
      <c r="G136">
        <f t="shared" si="8"/>
        <v>1</v>
      </c>
      <c r="H136">
        <f t="shared" si="9"/>
        <v>30</v>
      </c>
      <c r="I136">
        <f t="shared" si="10"/>
        <v>0</v>
      </c>
      <c r="J136" t="str">
        <f t="shared" si="11"/>
        <v/>
      </c>
    </row>
    <row r="137" spans="1:10" x14ac:dyDescent="0.25">
      <c r="A137" s="10" t="s">
        <v>42</v>
      </c>
      <c r="B137" s="11" t="s">
        <v>43</v>
      </c>
      <c r="C137" s="11" t="s">
        <v>47</v>
      </c>
      <c r="D137" s="12">
        <v>41673</v>
      </c>
      <c r="E137" s="12">
        <v>41673</v>
      </c>
      <c r="F137" s="13">
        <v>363.8</v>
      </c>
      <c r="G137">
        <f t="shared" si="8"/>
        <v>1</v>
      </c>
      <c r="H137">
        <f t="shared" si="9"/>
        <v>30</v>
      </c>
      <c r="I137">
        <f t="shared" si="10"/>
        <v>0</v>
      </c>
      <c r="J137" t="str">
        <f t="shared" si="11"/>
        <v/>
      </c>
    </row>
    <row r="138" spans="1:10" x14ac:dyDescent="0.25">
      <c r="A138" s="6" t="s">
        <v>107</v>
      </c>
      <c r="B138" s="7" t="s">
        <v>108</v>
      </c>
      <c r="C138" s="7" t="s">
        <v>19</v>
      </c>
      <c r="D138" s="8">
        <v>41673</v>
      </c>
      <c r="E138" s="8">
        <v>41675</v>
      </c>
      <c r="F138" s="9">
        <v>795.4</v>
      </c>
      <c r="G138">
        <f t="shared" si="8"/>
        <v>3</v>
      </c>
      <c r="H138">
        <f t="shared" si="9"/>
        <v>78</v>
      </c>
      <c r="I138">
        <f t="shared" si="10"/>
        <v>2</v>
      </c>
      <c r="J138">
        <f t="shared" si="11"/>
        <v>2</v>
      </c>
    </row>
    <row r="139" spans="1:10" x14ac:dyDescent="0.25">
      <c r="A139" s="10" t="s">
        <v>31</v>
      </c>
      <c r="B139" s="11" t="s">
        <v>78</v>
      </c>
      <c r="C139" s="11" t="s">
        <v>27</v>
      </c>
      <c r="D139" s="12">
        <v>41677</v>
      </c>
      <c r="E139" s="12">
        <v>41681</v>
      </c>
      <c r="F139" s="13">
        <v>954</v>
      </c>
      <c r="G139">
        <f t="shared" si="8"/>
        <v>5</v>
      </c>
      <c r="H139">
        <f t="shared" si="9"/>
        <v>126</v>
      </c>
      <c r="I139">
        <f t="shared" si="10"/>
        <v>4</v>
      </c>
      <c r="J139">
        <f t="shared" si="11"/>
        <v>4</v>
      </c>
    </row>
    <row r="140" spans="1:10" x14ac:dyDescent="0.25">
      <c r="A140" s="6" t="s">
        <v>6</v>
      </c>
      <c r="B140" s="7" t="s">
        <v>7</v>
      </c>
      <c r="C140" s="7" t="s">
        <v>38</v>
      </c>
      <c r="D140" s="8">
        <v>41677</v>
      </c>
      <c r="E140" s="8">
        <v>41681</v>
      </c>
      <c r="F140" s="9">
        <v>794.8</v>
      </c>
      <c r="G140">
        <f t="shared" si="8"/>
        <v>5</v>
      </c>
      <c r="H140">
        <f t="shared" si="9"/>
        <v>126</v>
      </c>
      <c r="I140">
        <f t="shared" si="10"/>
        <v>4</v>
      </c>
      <c r="J140">
        <f t="shared" si="11"/>
        <v>4</v>
      </c>
    </row>
    <row r="141" spans="1:10" x14ac:dyDescent="0.25">
      <c r="A141" s="10" t="s">
        <v>33</v>
      </c>
      <c r="B141" s="11" t="s">
        <v>141</v>
      </c>
      <c r="C141" s="11" t="s">
        <v>19</v>
      </c>
      <c r="D141" s="12">
        <v>41677</v>
      </c>
      <c r="E141" s="12">
        <v>41680</v>
      </c>
      <c r="F141" s="13">
        <v>936.4</v>
      </c>
      <c r="G141">
        <f t="shared" si="8"/>
        <v>4</v>
      </c>
      <c r="H141">
        <f t="shared" si="9"/>
        <v>102</v>
      </c>
      <c r="I141">
        <f t="shared" si="10"/>
        <v>3</v>
      </c>
      <c r="J141">
        <f t="shared" si="11"/>
        <v>3</v>
      </c>
    </row>
    <row r="142" spans="1:10" x14ac:dyDescent="0.25">
      <c r="A142" s="6" t="s">
        <v>6</v>
      </c>
      <c r="B142" s="7" t="s">
        <v>139</v>
      </c>
      <c r="C142" s="7" t="s">
        <v>72</v>
      </c>
      <c r="D142" s="8">
        <v>41677</v>
      </c>
      <c r="E142" s="8">
        <v>41679</v>
      </c>
      <c r="F142" s="9">
        <v>892.7</v>
      </c>
      <c r="G142">
        <f t="shared" si="8"/>
        <v>3</v>
      </c>
      <c r="H142">
        <f t="shared" si="9"/>
        <v>78</v>
      </c>
      <c r="I142">
        <f t="shared" si="10"/>
        <v>2</v>
      </c>
      <c r="J142">
        <f t="shared" si="11"/>
        <v>2</v>
      </c>
    </row>
    <row r="143" spans="1:10" x14ac:dyDescent="0.25">
      <c r="A143" s="10" t="s">
        <v>122</v>
      </c>
      <c r="B143" s="11" t="s">
        <v>123</v>
      </c>
      <c r="C143" s="11" t="s">
        <v>66</v>
      </c>
      <c r="D143" s="12">
        <v>41677</v>
      </c>
      <c r="E143" s="12">
        <v>41678</v>
      </c>
      <c r="F143" s="13">
        <v>485.7</v>
      </c>
      <c r="G143">
        <f t="shared" si="8"/>
        <v>2</v>
      </c>
      <c r="H143">
        <f t="shared" si="9"/>
        <v>54</v>
      </c>
      <c r="I143">
        <f t="shared" si="10"/>
        <v>1</v>
      </c>
      <c r="J143">
        <f t="shared" si="11"/>
        <v>1</v>
      </c>
    </row>
    <row r="144" spans="1:10" x14ac:dyDescent="0.25">
      <c r="A144" s="6" t="s">
        <v>15</v>
      </c>
      <c r="B144" s="7" t="s">
        <v>46</v>
      </c>
      <c r="C144" s="7" t="s">
        <v>19</v>
      </c>
      <c r="D144" s="8">
        <v>41677</v>
      </c>
      <c r="E144" s="8">
        <v>41680</v>
      </c>
      <c r="F144" s="9">
        <v>936.4</v>
      </c>
      <c r="G144">
        <f t="shared" si="8"/>
        <v>4</v>
      </c>
      <c r="H144">
        <f t="shared" si="9"/>
        <v>102</v>
      </c>
      <c r="I144">
        <f t="shared" si="10"/>
        <v>3</v>
      </c>
      <c r="J144">
        <f t="shared" si="11"/>
        <v>3</v>
      </c>
    </row>
    <row r="145" spans="1:10" x14ac:dyDescent="0.25">
      <c r="A145" s="10" t="s">
        <v>131</v>
      </c>
      <c r="B145" s="11" t="s">
        <v>142</v>
      </c>
      <c r="C145" s="11" t="s">
        <v>27</v>
      </c>
      <c r="D145" s="12">
        <v>41677</v>
      </c>
      <c r="E145" s="12">
        <v>41681</v>
      </c>
      <c r="F145" s="13">
        <v>954</v>
      </c>
      <c r="G145">
        <f t="shared" si="8"/>
        <v>5</v>
      </c>
      <c r="H145">
        <f t="shared" si="9"/>
        <v>126</v>
      </c>
      <c r="I145">
        <f t="shared" si="10"/>
        <v>4</v>
      </c>
      <c r="J145">
        <f t="shared" si="11"/>
        <v>4</v>
      </c>
    </row>
    <row r="146" spans="1:10" x14ac:dyDescent="0.25">
      <c r="A146" s="6" t="s">
        <v>6</v>
      </c>
      <c r="B146" s="7" t="s">
        <v>56</v>
      </c>
      <c r="C146" s="7" t="s">
        <v>19</v>
      </c>
      <c r="D146" s="8">
        <v>41677</v>
      </c>
      <c r="E146" s="8">
        <v>41680</v>
      </c>
      <c r="F146" s="9">
        <v>936.4</v>
      </c>
      <c r="G146">
        <f t="shared" si="8"/>
        <v>4</v>
      </c>
      <c r="H146">
        <f t="shared" si="9"/>
        <v>102</v>
      </c>
      <c r="I146">
        <f t="shared" si="10"/>
        <v>3</v>
      </c>
      <c r="J146">
        <f t="shared" si="11"/>
        <v>3</v>
      </c>
    </row>
    <row r="147" spans="1:10" x14ac:dyDescent="0.25">
      <c r="A147" s="10" t="s">
        <v>115</v>
      </c>
      <c r="B147" s="11" t="s">
        <v>140</v>
      </c>
      <c r="C147" s="11" t="s">
        <v>59</v>
      </c>
      <c r="D147" s="12">
        <v>41677</v>
      </c>
      <c r="E147" s="12">
        <v>41677</v>
      </c>
      <c r="F147" s="13">
        <v>442</v>
      </c>
      <c r="G147">
        <f t="shared" si="8"/>
        <v>1</v>
      </c>
      <c r="H147">
        <f t="shared" si="9"/>
        <v>30</v>
      </c>
      <c r="I147">
        <f t="shared" si="10"/>
        <v>0</v>
      </c>
      <c r="J147" t="str">
        <f t="shared" si="11"/>
        <v/>
      </c>
    </row>
    <row r="148" spans="1:10" x14ac:dyDescent="0.25">
      <c r="A148" s="6" t="s">
        <v>126</v>
      </c>
      <c r="B148" s="7" t="s">
        <v>127</v>
      </c>
      <c r="C148" s="7" t="s">
        <v>38</v>
      </c>
      <c r="D148" s="8">
        <v>41677</v>
      </c>
      <c r="E148" s="8">
        <v>41679</v>
      </c>
      <c r="F148" s="9">
        <v>536.79999999999995</v>
      </c>
      <c r="G148">
        <f t="shared" si="8"/>
        <v>3</v>
      </c>
      <c r="H148">
        <f t="shared" si="9"/>
        <v>78</v>
      </c>
      <c r="I148">
        <f t="shared" si="10"/>
        <v>2</v>
      </c>
      <c r="J148">
        <f t="shared" si="11"/>
        <v>2</v>
      </c>
    </row>
    <row r="149" spans="1:10" x14ac:dyDescent="0.25">
      <c r="A149" s="10" t="s">
        <v>73</v>
      </c>
      <c r="B149" s="11" t="s">
        <v>74</v>
      </c>
      <c r="C149" s="11" t="s">
        <v>30</v>
      </c>
      <c r="D149" s="12">
        <v>41677</v>
      </c>
      <c r="E149" s="12">
        <v>41677</v>
      </c>
      <c r="F149" s="13">
        <v>212.5</v>
      </c>
      <c r="G149">
        <f t="shared" si="8"/>
        <v>1</v>
      </c>
      <c r="H149">
        <f t="shared" si="9"/>
        <v>30</v>
      </c>
      <c r="I149">
        <f t="shared" si="10"/>
        <v>0</v>
      </c>
      <c r="J149" t="str">
        <f t="shared" si="11"/>
        <v/>
      </c>
    </row>
    <row r="150" spans="1:10" x14ac:dyDescent="0.25">
      <c r="A150" s="6" t="s">
        <v>101</v>
      </c>
      <c r="B150" s="7" t="s">
        <v>102</v>
      </c>
      <c r="C150" s="7" t="s">
        <v>59</v>
      </c>
      <c r="D150" s="8">
        <v>41677</v>
      </c>
      <c r="E150" s="8">
        <v>41679</v>
      </c>
      <c r="F150" s="9">
        <v>760</v>
      </c>
      <c r="G150">
        <f t="shared" si="8"/>
        <v>3</v>
      </c>
      <c r="H150">
        <f t="shared" si="9"/>
        <v>78</v>
      </c>
      <c r="I150">
        <f t="shared" si="10"/>
        <v>2</v>
      </c>
      <c r="J150">
        <f t="shared" si="11"/>
        <v>2</v>
      </c>
    </row>
    <row r="151" spans="1:10" x14ac:dyDescent="0.25">
      <c r="A151" s="10" t="s">
        <v>143</v>
      </c>
      <c r="B151" s="11" t="s">
        <v>144</v>
      </c>
      <c r="C151" s="11" t="s">
        <v>27</v>
      </c>
      <c r="D151" s="12">
        <v>41677</v>
      </c>
      <c r="E151" s="12">
        <v>41678</v>
      </c>
      <c r="F151" s="13">
        <v>570</v>
      </c>
      <c r="G151">
        <f t="shared" si="8"/>
        <v>2</v>
      </c>
      <c r="H151">
        <f t="shared" si="9"/>
        <v>54</v>
      </c>
      <c r="I151">
        <f t="shared" si="10"/>
        <v>1</v>
      </c>
      <c r="J151">
        <f t="shared" si="11"/>
        <v>1</v>
      </c>
    </row>
    <row r="152" spans="1:10" x14ac:dyDescent="0.25">
      <c r="A152" s="6" t="s">
        <v>73</v>
      </c>
      <c r="B152" s="7" t="s">
        <v>104</v>
      </c>
      <c r="C152" s="7" t="s">
        <v>47</v>
      </c>
      <c r="D152" s="8">
        <v>41677</v>
      </c>
      <c r="E152" s="8">
        <v>41679</v>
      </c>
      <c r="F152" s="9">
        <v>689.8</v>
      </c>
      <c r="G152">
        <f t="shared" si="8"/>
        <v>3</v>
      </c>
      <c r="H152">
        <f t="shared" si="9"/>
        <v>78</v>
      </c>
      <c r="I152">
        <f t="shared" si="10"/>
        <v>2</v>
      </c>
      <c r="J152">
        <f t="shared" si="11"/>
        <v>2</v>
      </c>
    </row>
    <row r="153" spans="1:10" x14ac:dyDescent="0.25">
      <c r="A153" s="10" t="s">
        <v>93</v>
      </c>
      <c r="B153" s="11" t="s">
        <v>106</v>
      </c>
      <c r="C153" s="11" t="s">
        <v>66</v>
      </c>
      <c r="D153" s="12">
        <v>41677</v>
      </c>
      <c r="E153" s="12">
        <v>41681</v>
      </c>
      <c r="F153" s="13">
        <v>1019.7</v>
      </c>
      <c r="G153">
        <f t="shared" si="8"/>
        <v>5</v>
      </c>
      <c r="H153">
        <f t="shared" si="9"/>
        <v>126</v>
      </c>
      <c r="I153">
        <f t="shared" si="10"/>
        <v>4</v>
      </c>
      <c r="J153">
        <f t="shared" si="11"/>
        <v>4</v>
      </c>
    </row>
    <row r="154" spans="1:10" x14ac:dyDescent="0.25">
      <c r="A154" s="6" t="s">
        <v>145</v>
      </c>
      <c r="B154" s="7" t="s">
        <v>146</v>
      </c>
      <c r="C154" s="7" t="s">
        <v>8</v>
      </c>
      <c r="D154" s="8">
        <v>41677</v>
      </c>
      <c r="E154" s="8">
        <v>41678</v>
      </c>
      <c r="F154" s="9">
        <v>891</v>
      </c>
      <c r="G154">
        <f t="shared" si="8"/>
        <v>2</v>
      </c>
      <c r="H154">
        <f t="shared" si="9"/>
        <v>54</v>
      </c>
      <c r="I154">
        <f t="shared" si="10"/>
        <v>1</v>
      </c>
      <c r="J154">
        <f t="shared" si="11"/>
        <v>1</v>
      </c>
    </row>
    <row r="155" spans="1:10" x14ac:dyDescent="0.25">
      <c r="A155" s="10" t="s">
        <v>147</v>
      </c>
      <c r="B155" s="11" t="s">
        <v>148</v>
      </c>
      <c r="C155" s="11" t="s">
        <v>11</v>
      </c>
      <c r="D155" s="12">
        <v>41677</v>
      </c>
      <c r="E155" s="12">
        <v>41678</v>
      </c>
      <c r="F155" s="13">
        <v>295.39999999999998</v>
      </c>
      <c r="G155">
        <f t="shared" si="8"/>
        <v>2</v>
      </c>
      <c r="H155">
        <f t="shared" si="9"/>
        <v>54</v>
      </c>
      <c r="I155">
        <f t="shared" si="10"/>
        <v>1</v>
      </c>
      <c r="J155">
        <f t="shared" si="11"/>
        <v>1</v>
      </c>
    </row>
    <row r="156" spans="1:10" x14ac:dyDescent="0.25">
      <c r="A156" s="6" t="s">
        <v>119</v>
      </c>
      <c r="B156" s="7" t="s">
        <v>120</v>
      </c>
      <c r="C156" s="7" t="s">
        <v>8</v>
      </c>
      <c r="D156" s="8">
        <v>41677</v>
      </c>
      <c r="E156" s="8">
        <v>41678</v>
      </c>
      <c r="F156" s="9">
        <v>891</v>
      </c>
      <c r="G156">
        <f t="shared" si="8"/>
        <v>2</v>
      </c>
      <c r="H156">
        <f t="shared" si="9"/>
        <v>54</v>
      </c>
      <c r="I156">
        <f t="shared" si="10"/>
        <v>1</v>
      </c>
      <c r="J156">
        <f t="shared" si="11"/>
        <v>1</v>
      </c>
    </row>
    <row r="157" spans="1:10" x14ac:dyDescent="0.25">
      <c r="A157" s="10" t="s">
        <v>134</v>
      </c>
      <c r="B157" s="11" t="s">
        <v>149</v>
      </c>
      <c r="C157" s="11" t="s">
        <v>30</v>
      </c>
      <c r="D157" s="12">
        <v>41677</v>
      </c>
      <c r="E157" s="12">
        <v>41681</v>
      </c>
      <c r="F157" s="13">
        <v>688.5</v>
      </c>
      <c r="G157">
        <f t="shared" si="8"/>
        <v>5</v>
      </c>
      <c r="H157">
        <f t="shared" si="9"/>
        <v>126</v>
      </c>
      <c r="I157">
        <f t="shared" si="10"/>
        <v>4</v>
      </c>
      <c r="J157">
        <f t="shared" si="11"/>
        <v>4</v>
      </c>
    </row>
    <row r="158" spans="1:10" x14ac:dyDescent="0.25">
      <c r="A158" s="6" t="s">
        <v>111</v>
      </c>
      <c r="B158" s="7" t="s">
        <v>112</v>
      </c>
      <c r="C158" s="7" t="s">
        <v>66</v>
      </c>
      <c r="D158" s="8">
        <v>41677</v>
      </c>
      <c r="E158" s="8">
        <v>41679</v>
      </c>
      <c r="F158" s="9">
        <v>663.7</v>
      </c>
      <c r="G158">
        <f t="shared" si="8"/>
        <v>3</v>
      </c>
      <c r="H158">
        <f t="shared" si="9"/>
        <v>78</v>
      </c>
      <c r="I158">
        <f t="shared" si="10"/>
        <v>2</v>
      </c>
      <c r="J158">
        <f t="shared" si="11"/>
        <v>2</v>
      </c>
    </row>
    <row r="159" spans="1:10" x14ac:dyDescent="0.25">
      <c r="A159" s="10" t="s">
        <v>15</v>
      </c>
      <c r="B159" s="11" t="s">
        <v>16</v>
      </c>
      <c r="C159" s="11" t="s">
        <v>30</v>
      </c>
      <c r="D159" s="12">
        <v>41677</v>
      </c>
      <c r="E159" s="12">
        <v>41680</v>
      </c>
      <c r="F159" s="13">
        <v>569.5</v>
      </c>
      <c r="G159">
        <f t="shared" si="8"/>
        <v>4</v>
      </c>
      <c r="H159">
        <f t="shared" si="9"/>
        <v>102</v>
      </c>
      <c r="I159">
        <f t="shared" si="10"/>
        <v>3</v>
      </c>
      <c r="J159">
        <f t="shared" si="11"/>
        <v>3</v>
      </c>
    </row>
    <row r="160" spans="1:10" x14ac:dyDescent="0.25">
      <c r="A160" s="6" t="s">
        <v>54</v>
      </c>
      <c r="B160" s="7" t="s">
        <v>55</v>
      </c>
      <c r="C160" s="7" t="s">
        <v>27</v>
      </c>
      <c r="D160" s="8">
        <v>41680</v>
      </c>
      <c r="E160" s="8">
        <v>41680</v>
      </c>
      <c r="F160" s="9">
        <v>442</v>
      </c>
      <c r="G160">
        <f t="shared" si="8"/>
        <v>1</v>
      </c>
      <c r="H160">
        <f t="shared" si="9"/>
        <v>30</v>
      </c>
      <c r="I160">
        <f t="shared" si="10"/>
        <v>0</v>
      </c>
      <c r="J160" t="str">
        <f t="shared" si="11"/>
        <v/>
      </c>
    </row>
    <row r="161" spans="1:10" x14ac:dyDescent="0.25">
      <c r="A161" s="10" t="s">
        <v>33</v>
      </c>
      <c r="B161" s="11" t="s">
        <v>41</v>
      </c>
      <c r="C161" s="11" t="s">
        <v>19</v>
      </c>
      <c r="D161" s="12">
        <v>41680</v>
      </c>
      <c r="E161" s="12">
        <v>41680</v>
      </c>
      <c r="F161" s="13">
        <v>513.4</v>
      </c>
      <c r="G161">
        <f t="shared" si="8"/>
        <v>1</v>
      </c>
      <c r="H161">
        <f t="shared" si="9"/>
        <v>30</v>
      </c>
      <c r="I161">
        <f t="shared" si="10"/>
        <v>0</v>
      </c>
      <c r="J161" t="str">
        <f t="shared" si="11"/>
        <v/>
      </c>
    </row>
    <row r="162" spans="1:10" x14ac:dyDescent="0.25">
      <c r="A162" s="6" t="s">
        <v>107</v>
      </c>
      <c r="B162" s="7" t="s">
        <v>108</v>
      </c>
      <c r="C162" s="7" t="s">
        <v>30</v>
      </c>
      <c r="D162" s="8">
        <v>41680</v>
      </c>
      <c r="E162" s="8">
        <v>41681</v>
      </c>
      <c r="F162" s="9">
        <v>331.5</v>
      </c>
      <c r="G162">
        <f t="shared" si="8"/>
        <v>2</v>
      </c>
      <c r="H162">
        <f t="shared" si="9"/>
        <v>54</v>
      </c>
      <c r="I162">
        <f t="shared" si="10"/>
        <v>1</v>
      </c>
      <c r="J162">
        <f t="shared" si="11"/>
        <v>1</v>
      </c>
    </row>
    <row r="163" spans="1:10" x14ac:dyDescent="0.25">
      <c r="A163" s="10" t="s">
        <v>54</v>
      </c>
      <c r="B163" s="11" t="s">
        <v>81</v>
      </c>
      <c r="C163" s="11" t="s">
        <v>19</v>
      </c>
      <c r="D163" s="12">
        <v>41682</v>
      </c>
      <c r="E163" s="12">
        <v>41682</v>
      </c>
      <c r="F163" s="13">
        <v>513.4</v>
      </c>
      <c r="G163">
        <f t="shared" si="8"/>
        <v>1</v>
      </c>
      <c r="H163">
        <f t="shared" si="9"/>
        <v>30</v>
      </c>
      <c r="I163">
        <f t="shared" si="10"/>
        <v>0</v>
      </c>
      <c r="J163" t="str">
        <f t="shared" si="11"/>
        <v/>
      </c>
    </row>
    <row r="164" spans="1:10" x14ac:dyDescent="0.25">
      <c r="A164" s="6" t="s">
        <v>86</v>
      </c>
      <c r="B164" s="7" t="s">
        <v>150</v>
      </c>
      <c r="C164" s="7" t="s">
        <v>30</v>
      </c>
      <c r="D164" s="8">
        <v>41684</v>
      </c>
      <c r="E164" s="8">
        <v>41686</v>
      </c>
      <c r="F164" s="9">
        <v>450.5</v>
      </c>
      <c r="G164">
        <f t="shared" si="8"/>
        <v>3</v>
      </c>
      <c r="H164">
        <f t="shared" si="9"/>
        <v>78</v>
      </c>
      <c r="I164">
        <f t="shared" si="10"/>
        <v>2</v>
      </c>
      <c r="J164">
        <f t="shared" si="11"/>
        <v>2</v>
      </c>
    </row>
    <row r="165" spans="1:10" x14ac:dyDescent="0.25">
      <c r="A165" s="10" t="s">
        <v>99</v>
      </c>
      <c r="B165" s="11" t="s">
        <v>100</v>
      </c>
      <c r="C165" s="11" t="s">
        <v>19</v>
      </c>
      <c r="D165" s="12">
        <v>41684</v>
      </c>
      <c r="E165" s="12">
        <v>41686</v>
      </c>
      <c r="F165" s="13">
        <v>795.4</v>
      </c>
      <c r="G165">
        <f t="shared" si="8"/>
        <v>3</v>
      </c>
      <c r="H165">
        <f t="shared" si="9"/>
        <v>78</v>
      </c>
      <c r="I165">
        <f t="shared" si="10"/>
        <v>2</v>
      </c>
      <c r="J165">
        <f t="shared" si="11"/>
        <v>2</v>
      </c>
    </row>
    <row r="166" spans="1:10" x14ac:dyDescent="0.25">
      <c r="A166" s="6" t="s">
        <v>151</v>
      </c>
      <c r="B166" s="7" t="s">
        <v>152</v>
      </c>
      <c r="C166" s="7" t="s">
        <v>30</v>
      </c>
      <c r="D166" s="8">
        <v>41684</v>
      </c>
      <c r="E166" s="8">
        <v>41684</v>
      </c>
      <c r="F166" s="9">
        <v>212.5</v>
      </c>
      <c r="G166">
        <f t="shared" si="8"/>
        <v>1</v>
      </c>
      <c r="H166">
        <f t="shared" si="9"/>
        <v>30</v>
      </c>
      <c r="I166">
        <f t="shared" si="10"/>
        <v>0</v>
      </c>
      <c r="J166" t="str">
        <f t="shared" si="11"/>
        <v/>
      </c>
    </row>
    <row r="167" spans="1:10" x14ac:dyDescent="0.25">
      <c r="A167" s="10" t="s">
        <v>52</v>
      </c>
      <c r="B167" s="11" t="s">
        <v>53</v>
      </c>
      <c r="C167" s="11" t="s">
        <v>72</v>
      </c>
      <c r="D167" s="12">
        <v>41684</v>
      </c>
      <c r="E167" s="12">
        <v>41686</v>
      </c>
      <c r="F167" s="13">
        <v>892.7</v>
      </c>
      <c r="G167">
        <f t="shared" si="8"/>
        <v>3</v>
      </c>
      <c r="H167">
        <f t="shared" si="9"/>
        <v>78</v>
      </c>
      <c r="I167">
        <f t="shared" si="10"/>
        <v>2</v>
      </c>
      <c r="J167">
        <f t="shared" si="11"/>
        <v>2</v>
      </c>
    </row>
    <row r="168" spans="1:10" x14ac:dyDescent="0.25">
      <c r="A168" s="6" t="s">
        <v>31</v>
      </c>
      <c r="B168" s="7" t="s">
        <v>77</v>
      </c>
      <c r="C168" s="7" t="s">
        <v>66</v>
      </c>
      <c r="D168" s="8">
        <v>41684</v>
      </c>
      <c r="E168" s="8">
        <v>41688</v>
      </c>
      <c r="F168" s="9">
        <v>1019.7</v>
      </c>
      <c r="G168">
        <f t="shared" si="8"/>
        <v>5</v>
      </c>
      <c r="H168">
        <f t="shared" si="9"/>
        <v>126</v>
      </c>
      <c r="I168">
        <f t="shared" si="10"/>
        <v>4</v>
      </c>
      <c r="J168">
        <f t="shared" si="11"/>
        <v>4</v>
      </c>
    </row>
    <row r="169" spans="1:10" x14ac:dyDescent="0.25">
      <c r="A169" s="10" t="s">
        <v>113</v>
      </c>
      <c r="B169" s="11" t="s">
        <v>114</v>
      </c>
      <c r="C169" s="11" t="s">
        <v>11</v>
      </c>
      <c r="D169" s="12">
        <v>41684</v>
      </c>
      <c r="E169" s="12">
        <v>41687</v>
      </c>
      <c r="F169" s="13">
        <v>573.4</v>
      </c>
      <c r="G169">
        <f t="shared" si="8"/>
        <v>4</v>
      </c>
      <c r="H169">
        <f t="shared" si="9"/>
        <v>102</v>
      </c>
      <c r="I169">
        <f t="shared" si="10"/>
        <v>3</v>
      </c>
      <c r="J169">
        <f t="shared" si="11"/>
        <v>3</v>
      </c>
    </row>
    <row r="170" spans="1:10" x14ac:dyDescent="0.25">
      <c r="A170" s="6" t="s">
        <v>109</v>
      </c>
      <c r="B170" s="7" t="s">
        <v>110</v>
      </c>
      <c r="C170" s="7" t="s">
        <v>38</v>
      </c>
      <c r="D170" s="8">
        <v>41685</v>
      </c>
      <c r="E170" s="8">
        <v>41687</v>
      </c>
      <c r="F170" s="9">
        <v>536.79999999999995</v>
      </c>
      <c r="G170">
        <f t="shared" si="8"/>
        <v>3</v>
      </c>
      <c r="H170">
        <f t="shared" si="9"/>
        <v>78</v>
      </c>
      <c r="I170">
        <f t="shared" si="10"/>
        <v>2</v>
      </c>
      <c r="J170">
        <f t="shared" si="11"/>
        <v>2</v>
      </c>
    </row>
    <row r="171" spans="1:10" x14ac:dyDescent="0.25">
      <c r="A171" s="10" t="s">
        <v>64</v>
      </c>
      <c r="B171" s="11" t="s">
        <v>65</v>
      </c>
      <c r="C171" s="11" t="s">
        <v>17</v>
      </c>
      <c r="D171" s="12">
        <v>41685</v>
      </c>
      <c r="E171" s="12">
        <v>41686</v>
      </c>
      <c r="F171" s="13">
        <v>706.5</v>
      </c>
      <c r="G171">
        <f t="shared" si="8"/>
        <v>2</v>
      </c>
      <c r="H171">
        <f t="shared" si="9"/>
        <v>54</v>
      </c>
      <c r="I171">
        <f t="shared" si="10"/>
        <v>1</v>
      </c>
      <c r="J171">
        <f t="shared" si="11"/>
        <v>1</v>
      </c>
    </row>
    <row r="172" spans="1:10" x14ac:dyDescent="0.25">
      <c r="A172" s="6" t="s">
        <v>22</v>
      </c>
      <c r="B172" s="7" t="s">
        <v>23</v>
      </c>
      <c r="C172" s="7" t="s">
        <v>72</v>
      </c>
      <c r="D172" s="8">
        <v>41689</v>
      </c>
      <c r="E172" s="8">
        <v>41693</v>
      </c>
      <c r="F172" s="9">
        <v>1290.7</v>
      </c>
      <c r="G172">
        <f t="shared" si="8"/>
        <v>5</v>
      </c>
      <c r="H172">
        <f t="shared" si="9"/>
        <v>126</v>
      </c>
      <c r="I172">
        <f t="shared" si="10"/>
        <v>4</v>
      </c>
      <c r="J172">
        <f t="shared" si="11"/>
        <v>4</v>
      </c>
    </row>
    <row r="173" spans="1:10" x14ac:dyDescent="0.25">
      <c r="A173" s="10" t="s">
        <v>115</v>
      </c>
      <c r="B173" s="11" t="s">
        <v>153</v>
      </c>
      <c r="C173" s="11" t="s">
        <v>30</v>
      </c>
      <c r="D173" s="12">
        <v>41689</v>
      </c>
      <c r="E173" s="12">
        <v>41693</v>
      </c>
      <c r="F173" s="13">
        <v>688.5</v>
      </c>
      <c r="G173">
        <f t="shared" si="8"/>
        <v>5</v>
      </c>
      <c r="H173">
        <f t="shared" si="9"/>
        <v>126</v>
      </c>
      <c r="I173">
        <f t="shared" si="10"/>
        <v>4</v>
      </c>
      <c r="J173">
        <f t="shared" si="11"/>
        <v>4</v>
      </c>
    </row>
    <row r="174" spans="1:10" x14ac:dyDescent="0.25">
      <c r="A174" s="6" t="s">
        <v>131</v>
      </c>
      <c r="B174" s="7" t="s">
        <v>154</v>
      </c>
      <c r="C174" s="7" t="s">
        <v>27</v>
      </c>
      <c r="D174" s="8">
        <v>41689</v>
      </c>
      <c r="E174" s="8">
        <v>41690</v>
      </c>
      <c r="F174" s="9">
        <v>570</v>
      </c>
      <c r="G174">
        <f t="shared" si="8"/>
        <v>2</v>
      </c>
      <c r="H174">
        <f t="shared" si="9"/>
        <v>54</v>
      </c>
      <c r="I174">
        <f t="shared" si="10"/>
        <v>1</v>
      </c>
      <c r="J174">
        <f t="shared" si="11"/>
        <v>1</v>
      </c>
    </row>
    <row r="175" spans="1:10" x14ac:dyDescent="0.25">
      <c r="A175" s="10" t="s">
        <v>25</v>
      </c>
      <c r="B175" s="11" t="s">
        <v>67</v>
      </c>
      <c r="C175" s="11" t="s">
        <v>17</v>
      </c>
      <c r="D175" s="12">
        <v>41689</v>
      </c>
      <c r="E175" s="12">
        <v>41692</v>
      </c>
      <c r="F175" s="13">
        <v>1116.5</v>
      </c>
      <c r="G175">
        <f t="shared" si="8"/>
        <v>4</v>
      </c>
      <c r="H175">
        <f t="shared" si="9"/>
        <v>102</v>
      </c>
      <c r="I175">
        <f t="shared" si="10"/>
        <v>3</v>
      </c>
      <c r="J175">
        <f t="shared" si="11"/>
        <v>3</v>
      </c>
    </row>
    <row r="176" spans="1:10" x14ac:dyDescent="0.25">
      <c r="A176" s="6" t="s">
        <v>50</v>
      </c>
      <c r="B176" s="7" t="s">
        <v>51</v>
      </c>
      <c r="C176" s="7" t="s">
        <v>8</v>
      </c>
      <c r="D176" s="8">
        <v>41689</v>
      </c>
      <c r="E176" s="8">
        <v>41690</v>
      </c>
      <c r="F176" s="9">
        <v>891</v>
      </c>
      <c r="G176">
        <f t="shared" si="8"/>
        <v>2</v>
      </c>
      <c r="H176">
        <f t="shared" si="9"/>
        <v>54</v>
      </c>
      <c r="I176">
        <f t="shared" si="10"/>
        <v>1</v>
      </c>
      <c r="J176">
        <f t="shared" si="11"/>
        <v>1</v>
      </c>
    </row>
    <row r="177" spans="1:10" x14ac:dyDescent="0.25">
      <c r="A177" s="10" t="s">
        <v>70</v>
      </c>
      <c r="B177" s="11" t="s">
        <v>71</v>
      </c>
      <c r="C177" s="11" t="s">
        <v>38</v>
      </c>
      <c r="D177" s="12">
        <v>41689</v>
      </c>
      <c r="E177" s="12">
        <v>41692</v>
      </c>
      <c r="F177" s="13">
        <v>665.8</v>
      </c>
      <c r="G177">
        <f t="shared" si="8"/>
        <v>4</v>
      </c>
      <c r="H177">
        <f t="shared" si="9"/>
        <v>102</v>
      </c>
      <c r="I177">
        <f t="shared" si="10"/>
        <v>3</v>
      </c>
      <c r="J177">
        <f t="shared" si="11"/>
        <v>3</v>
      </c>
    </row>
    <row r="178" spans="1:10" x14ac:dyDescent="0.25">
      <c r="A178" s="6" t="s">
        <v>33</v>
      </c>
      <c r="B178" s="7" t="s">
        <v>41</v>
      </c>
      <c r="C178" s="7" t="s">
        <v>11</v>
      </c>
      <c r="D178" s="8">
        <v>41689</v>
      </c>
      <c r="E178" s="8">
        <v>41691</v>
      </c>
      <c r="F178" s="9">
        <v>434.4</v>
      </c>
      <c r="G178">
        <f t="shared" si="8"/>
        <v>3</v>
      </c>
      <c r="H178">
        <f t="shared" si="9"/>
        <v>78</v>
      </c>
      <c r="I178">
        <f t="shared" si="10"/>
        <v>2</v>
      </c>
      <c r="J178">
        <f t="shared" si="11"/>
        <v>2</v>
      </c>
    </row>
    <row r="179" spans="1:10" x14ac:dyDescent="0.25">
      <c r="A179" s="10" t="s">
        <v>9</v>
      </c>
      <c r="B179" s="11" t="s">
        <v>10</v>
      </c>
      <c r="C179" s="11" t="s">
        <v>24</v>
      </c>
      <c r="D179" s="12">
        <v>41689</v>
      </c>
      <c r="E179" s="12">
        <v>41691</v>
      </c>
      <c r="F179" s="13">
        <v>588.70000000000005</v>
      </c>
      <c r="G179">
        <f t="shared" si="8"/>
        <v>3</v>
      </c>
      <c r="H179">
        <f t="shared" si="9"/>
        <v>78</v>
      </c>
      <c r="I179">
        <f t="shared" si="10"/>
        <v>2</v>
      </c>
      <c r="J179">
        <f t="shared" si="11"/>
        <v>2</v>
      </c>
    </row>
    <row r="180" spans="1:10" x14ac:dyDescent="0.25">
      <c r="A180" s="6" t="s">
        <v>15</v>
      </c>
      <c r="B180" s="7" t="s">
        <v>105</v>
      </c>
      <c r="C180" s="7" t="s">
        <v>66</v>
      </c>
      <c r="D180" s="8">
        <v>41689</v>
      </c>
      <c r="E180" s="8">
        <v>41692</v>
      </c>
      <c r="F180" s="9">
        <v>841.7</v>
      </c>
      <c r="G180">
        <f t="shared" si="8"/>
        <v>4</v>
      </c>
      <c r="H180">
        <f t="shared" si="9"/>
        <v>102</v>
      </c>
      <c r="I180">
        <f t="shared" si="10"/>
        <v>3</v>
      </c>
      <c r="J180">
        <f t="shared" si="11"/>
        <v>3</v>
      </c>
    </row>
    <row r="181" spans="1:10" x14ac:dyDescent="0.25">
      <c r="A181" s="10" t="s">
        <v>73</v>
      </c>
      <c r="B181" s="11" t="s">
        <v>155</v>
      </c>
      <c r="C181" s="11" t="s">
        <v>19</v>
      </c>
      <c r="D181" s="12">
        <v>41689</v>
      </c>
      <c r="E181" s="12">
        <v>41690</v>
      </c>
      <c r="F181" s="13">
        <v>654.4</v>
      </c>
      <c r="G181">
        <f t="shared" si="8"/>
        <v>2</v>
      </c>
      <c r="H181">
        <f t="shared" si="9"/>
        <v>54</v>
      </c>
      <c r="I181">
        <f t="shared" si="10"/>
        <v>1</v>
      </c>
      <c r="J181">
        <f t="shared" si="11"/>
        <v>1</v>
      </c>
    </row>
    <row r="182" spans="1:10" x14ac:dyDescent="0.25">
      <c r="A182" s="6" t="s">
        <v>151</v>
      </c>
      <c r="B182" s="7" t="s">
        <v>152</v>
      </c>
      <c r="C182" s="7" t="s">
        <v>17</v>
      </c>
      <c r="D182" s="8">
        <v>41689</v>
      </c>
      <c r="E182" s="8">
        <v>41690</v>
      </c>
      <c r="F182" s="9">
        <v>706.5</v>
      </c>
      <c r="G182">
        <f t="shared" si="8"/>
        <v>2</v>
      </c>
      <c r="H182">
        <f t="shared" si="9"/>
        <v>54</v>
      </c>
      <c r="I182">
        <f t="shared" si="10"/>
        <v>1</v>
      </c>
      <c r="J182">
        <f t="shared" si="11"/>
        <v>1</v>
      </c>
    </row>
    <row r="183" spans="1:10" x14ac:dyDescent="0.25">
      <c r="A183" s="10" t="s">
        <v>156</v>
      </c>
      <c r="B183" s="11" t="s">
        <v>157</v>
      </c>
      <c r="C183" s="11" t="s">
        <v>17</v>
      </c>
      <c r="D183" s="12">
        <v>41689</v>
      </c>
      <c r="E183" s="12">
        <v>41693</v>
      </c>
      <c r="F183" s="13">
        <v>1321.5</v>
      </c>
      <c r="G183">
        <f t="shared" si="8"/>
        <v>5</v>
      </c>
      <c r="H183">
        <f t="shared" si="9"/>
        <v>126</v>
      </c>
      <c r="I183">
        <f t="shared" si="10"/>
        <v>4</v>
      </c>
      <c r="J183">
        <f t="shared" si="11"/>
        <v>4</v>
      </c>
    </row>
    <row r="184" spans="1:10" x14ac:dyDescent="0.25">
      <c r="A184" s="6" t="s">
        <v>158</v>
      </c>
      <c r="B184" s="7" t="s">
        <v>159</v>
      </c>
      <c r="C184" s="7" t="s">
        <v>24</v>
      </c>
      <c r="D184" s="8">
        <v>41689</v>
      </c>
      <c r="E184" s="8">
        <v>41693</v>
      </c>
      <c r="F184" s="9">
        <v>886.7</v>
      </c>
      <c r="G184">
        <f t="shared" si="8"/>
        <v>5</v>
      </c>
      <c r="H184">
        <f t="shared" si="9"/>
        <v>126</v>
      </c>
      <c r="I184">
        <f t="shared" si="10"/>
        <v>4</v>
      </c>
      <c r="J184">
        <f t="shared" si="11"/>
        <v>4</v>
      </c>
    </row>
    <row r="185" spans="1:10" x14ac:dyDescent="0.25">
      <c r="A185" s="10" t="s">
        <v>137</v>
      </c>
      <c r="B185" s="11" t="s">
        <v>138</v>
      </c>
      <c r="C185" s="11" t="s">
        <v>30</v>
      </c>
      <c r="D185" s="12">
        <v>41689</v>
      </c>
      <c r="E185" s="12">
        <v>41690</v>
      </c>
      <c r="F185" s="13">
        <v>331.5</v>
      </c>
      <c r="G185">
        <f t="shared" si="8"/>
        <v>2</v>
      </c>
      <c r="H185">
        <f t="shared" si="9"/>
        <v>54</v>
      </c>
      <c r="I185">
        <f t="shared" si="10"/>
        <v>1</v>
      </c>
      <c r="J185">
        <f t="shared" si="11"/>
        <v>1</v>
      </c>
    </row>
    <row r="186" spans="1:10" x14ac:dyDescent="0.25">
      <c r="A186" s="6" t="s">
        <v>12</v>
      </c>
      <c r="B186" s="7" t="s">
        <v>95</v>
      </c>
      <c r="C186" s="7" t="s">
        <v>8</v>
      </c>
      <c r="D186" s="8">
        <v>41689</v>
      </c>
      <c r="E186" s="8">
        <v>41690</v>
      </c>
      <c r="F186" s="9">
        <v>891</v>
      </c>
      <c r="G186">
        <f t="shared" si="8"/>
        <v>2</v>
      </c>
      <c r="H186">
        <f t="shared" si="9"/>
        <v>54</v>
      </c>
      <c r="I186">
        <f t="shared" si="10"/>
        <v>1</v>
      </c>
      <c r="J186">
        <f t="shared" si="11"/>
        <v>1</v>
      </c>
    </row>
    <row r="187" spans="1:10" x14ac:dyDescent="0.25">
      <c r="A187" s="10" t="s">
        <v>12</v>
      </c>
      <c r="B187" s="11" t="s">
        <v>95</v>
      </c>
      <c r="C187" s="11" t="s">
        <v>11</v>
      </c>
      <c r="D187" s="12">
        <v>41689</v>
      </c>
      <c r="E187" s="12">
        <v>41690</v>
      </c>
      <c r="F187" s="13">
        <v>295.39999999999998</v>
      </c>
      <c r="G187">
        <f t="shared" si="8"/>
        <v>2</v>
      </c>
      <c r="H187">
        <f t="shared" si="9"/>
        <v>54</v>
      </c>
      <c r="I187">
        <f t="shared" si="10"/>
        <v>1</v>
      </c>
      <c r="J187">
        <f t="shared" si="11"/>
        <v>1</v>
      </c>
    </row>
    <row r="188" spans="1:10" x14ac:dyDescent="0.25">
      <c r="A188" s="6" t="s">
        <v>15</v>
      </c>
      <c r="B188" s="7" t="s">
        <v>96</v>
      </c>
      <c r="C188" s="7" t="s">
        <v>27</v>
      </c>
      <c r="D188" s="8">
        <v>41689</v>
      </c>
      <c r="E188" s="8">
        <v>41692</v>
      </c>
      <c r="F188" s="9">
        <v>826</v>
      </c>
      <c r="G188">
        <f t="shared" si="8"/>
        <v>4</v>
      </c>
      <c r="H188">
        <f t="shared" si="9"/>
        <v>102</v>
      </c>
      <c r="I188">
        <f t="shared" si="10"/>
        <v>3</v>
      </c>
      <c r="J188">
        <f t="shared" si="11"/>
        <v>3</v>
      </c>
    </row>
    <row r="189" spans="1:10" x14ac:dyDescent="0.25">
      <c r="A189" s="10" t="s">
        <v>9</v>
      </c>
      <c r="B189" s="11" t="s">
        <v>18</v>
      </c>
      <c r="C189" s="11" t="s">
        <v>27</v>
      </c>
      <c r="D189" s="12">
        <v>41689</v>
      </c>
      <c r="E189" s="12">
        <v>41691</v>
      </c>
      <c r="F189" s="13">
        <v>698</v>
      </c>
      <c r="G189">
        <f t="shared" si="8"/>
        <v>3</v>
      </c>
      <c r="H189">
        <f t="shared" si="9"/>
        <v>78</v>
      </c>
      <c r="I189">
        <f t="shared" si="10"/>
        <v>2</v>
      </c>
      <c r="J189">
        <f t="shared" si="11"/>
        <v>2</v>
      </c>
    </row>
    <row r="190" spans="1:10" x14ac:dyDescent="0.25">
      <c r="A190" s="6" t="s">
        <v>64</v>
      </c>
      <c r="B190" s="7" t="s">
        <v>65</v>
      </c>
      <c r="C190" s="7" t="s">
        <v>47</v>
      </c>
      <c r="D190" s="8">
        <v>41689</v>
      </c>
      <c r="E190" s="8">
        <v>41689</v>
      </c>
      <c r="F190" s="9">
        <v>363.8</v>
      </c>
      <c r="G190">
        <f t="shared" si="8"/>
        <v>1</v>
      </c>
      <c r="H190">
        <f t="shared" si="9"/>
        <v>30</v>
      </c>
      <c r="I190">
        <f t="shared" si="10"/>
        <v>0</v>
      </c>
      <c r="J190" t="str">
        <f t="shared" si="11"/>
        <v/>
      </c>
    </row>
    <row r="191" spans="1:10" x14ac:dyDescent="0.25">
      <c r="A191" s="10" t="s">
        <v>86</v>
      </c>
      <c r="B191" s="11" t="s">
        <v>136</v>
      </c>
      <c r="C191" s="11" t="s">
        <v>38</v>
      </c>
      <c r="D191" s="12">
        <v>41689</v>
      </c>
      <c r="E191" s="12">
        <v>41691</v>
      </c>
      <c r="F191" s="13">
        <v>536.79999999999995</v>
      </c>
      <c r="G191">
        <f t="shared" si="8"/>
        <v>3</v>
      </c>
      <c r="H191">
        <f t="shared" si="9"/>
        <v>78</v>
      </c>
      <c r="I191">
        <f t="shared" si="10"/>
        <v>2</v>
      </c>
      <c r="J191">
        <f t="shared" si="11"/>
        <v>2</v>
      </c>
    </row>
    <row r="192" spans="1:10" x14ac:dyDescent="0.25">
      <c r="A192" s="6" t="s">
        <v>131</v>
      </c>
      <c r="B192" s="7" t="s">
        <v>154</v>
      </c>
      <c r="C192" s="7" t="s">
        <v>8</v>
      </c>
      <c r="D192" s="8">
        <v>41692</v>
      </c>
      <c r="E192" s="8">
        <v>41692</v>
      </c>
      <c r="F192" s="9">
        <v>680</v>
      </c>
      <c r="G192">
        <f t="shared" si="8"/>
        <v>1</v>
      </c>
      <c r="H192">
        <f t="shared" si="9"/>
        <v>30</v>
      </c>
      <c r="I192">
        <f t="shared" si="10"/>
        <v>0</v>
      </c>
      <c r="J192" t="str">
        <f t="shared" si="11"/>
        <v/>
      </c>
    </row>
    <row r="193" spans="1:10" x14ac:dyDescent="0.25">
      <c r="A193" s="10" t="s">
        <v>25</v>
      </c>
      <c r="B193" s="11" t="s">
        <v>68</v>
      </c>
      <c r="C193" s="11" t="s">
        <v>27</v>
      </c>
      <c r="D193" s="12">
        <v>41696</v>
      </c>
      <c r="E193" s="12">
        <v>41700</v>
      </c>
      <c r="F193" s="13">
        <v>954</v>
      </c>
      <c r="G193">
        <f t="shared" si="8"/>
        <v>5</v>
      </c>
      <c r="H193">
        <f t="shared" si="9"/>
        <v>126</v>
      </c>
      <c r="I193">
        <f t="shared" si="10"/>
        <v>4</v>
      </c>
      <c r="J193">
        <f t="shared" si="11"/>
        <v>4</v>
      </c>
    </row>
    <row r="194" spans="1:10" x14ac:dyDescent="0.25">
      <c r="A194" s="6" t="s">
        <v>73</v>
      </c>
      <c r="B194" s="7" t="s">
        <v>155</v>
      </c>
      <c r="C194" s="7" t="s">
        <v>19</v>
      </c>
      <c r="D194" s="8">
        <v>41696</v>
      </c>
      <c r="E194" s="8">
        <v>41698</v>
      </c>
      <c r="F194" s="9">
        <v>795.4</v>
      </c>
      <c r="G194">
        <f t="shared" si="8"/>
        <v>3</v>
      </c>
      <c r="H194">
        <f t="shared" si="9"/>
        <v>78</v>
      </c>
      <c r="I194">
        <f t="shared" si="10"/>
        <v>2</v>
      </c>
      <c r="J194">
        <f t="shared" si="11"/>
        <v>2</v>
      </c>
    </row>
    <row r="195" spans="1:10" x14ac:dyDescent="0.25">
      <c r="A195" s="10" t="s">
        <v>156</v>
      </c>
      <c r="B195" s="11" t="s">
        <v>157</v>
      </c>
      <c r="C195" s="11" t="s">
        <v>14</v>
      </c>
      <c r="D195" s="12">
        <v>41696</v>
      </c>
      <c r="E195" s="12">
        <v>41699</v>
      </c>
      <c r="F195" s="13">
        <v>550.5</v>
      </c>
      <c r="G195">
        <f t="shared" ref="G195:G258" si="12">E195-D195 + 1</f>
        <v>4</v>
      </c>
      <c r="H195">
        <f t="shared" ref="H195:H258" si="13">30+(G195-1)*24</f>
        <v>102</v>
      </c>
      <c r="I195">
        <f t="shared" ref="I195:I258" si="14">G195-1</f>
        <v>3</v>
      </c>
      <c r="J195">
        <f t="shared" ref="J195:J258" si="15">IF(G195&gt;=2,I195,"")</f>
        <v>3</v>
      </c>
    </row>
    <row r="196" spans="1:10" x14ac:dyDescent="0.25">
      <c r="A196" s="6" t="s">
        <v>137</v>
      </c>
      <c r="B196" s="7" t="s">
        <v>160</v>
      </c>
      <c r="C196" s="7" t="s">
        <v>24</v>
      </c>
      <c r="D196" s="8">
        <v>41696</v>
      </c>
      <c r="E196" s="8">
        <v>41697</v>
      </c>
      <c r="F196" s="9">
        <v>439.7</v>
      </c>
      <c r="G196">
        <f t="shared" si="12"/>
        <v>2</v>
      </c>
      <c r="H196">
        <f t="shared" si="13"/>
        <v>54</v>
      </c>
      <c r="I196">
        <f t="shared" si="14"/>
        <v>1</v>
      </c>
      <c r="J196">
        <f t="shared" si="15"/>
        <v>1</v>
      </c>
    </row>
    <row r="197" spans="1:10" x14ac:dyDescent="0.25">
      <c r="A197" s="10" t="s">
        <v>15</v>
      </c>
      <c r="B197" s="11" t="s">
        <v>16</v>
      </c>
      <c r="C197" s="11" t="s">
        <v>17</v>
      </c>
      <c r="D197" s="12">
        <v>41696</v>
      </c>
      <c r="E197" s="12">
        <v>41697</v>
      </c>
      <c r="F197" s="13">
        <v>706.5</v>
      </c>
      <c r="G197">
        <f t="shared" si="12"/>
        <v>2</v>
      </c>
      <c r="H197">
        <f t="shared" si="13"/>
        <v>54</v>
      </c>
      <c r="I197">
        <f t="shared" si="14"/>
        <v>1</v>
      </c>
      <c r="J197">
        <f t="shared" si="15"/>
        <v>1</v>
      </c>
    </row>
    <row r="198" spans="1:10" x14ac:dyDescent="0.25">
      <c r="A198" s="6" t="s">
        <v>91</v>
      </c>
      <c r="B198" s="7" t="s">
        <v>161</v>
      </c>
      <c r="C198" s="7" t="s">
        <v>66</v>
      </c>
      <c r="D198" s="8">
        <v>41696</v>
      </c>
      <c r="E198" s="8">
        <v>41697</v>
      </c>
      <c r="F198" s="9">
        <v>485.7</v>
      </c>
      <c r="G198">
        <f t="shared" si="12"/>
        <v>2</v>
      </c>
      <c r="H198">
        <f t="shared" si="13"/>
        <v>54</v>
      </c>
      <c r="I198">
        <f t="shared" si="14"/>
        <v>1</v>
      </c>
      <c r="J198">
        <f t="shared" si="15"/>
        <v>1</v>
      </c>
    </row>
    <row r="199" spans="1:10" x14ac:dyDescent="0.25">
      <c r="A199" s="10" t="s">
        <v>131</v>
      </c>
      <c r="B199" s="11" t="s">
        <v>154</v>
      </c>
      <c r="C199" s="11" t="s">
        <v>38</v>
      </c>
      <c r="D199" s="12">
        <v>41698</v>
      </c>
      <c r="E199" s="12">
        <v>41698</v>
      </c>
      <c r="F199" s="13">
        <v>278.8</v>
      </c>
      <c r="G199">
        <f t="shared" si="12"/>
        <v>1</v>
      </c>
      <c r="H199">
        <f t="shared" si="13"/>
        <v>30</v>
      </c>
      <c r="I199">
        <f t="shared" si="14"/>
        <v>0</v>
      </c>
      <c r="J199" t="str">
        <f t="shared" si="15"/>
        <v/>
      </c>
    </row>
    <row r="200" spans="1:10" x14ac:dyDescent="0.25">
      <c r="A200" s="6" t="s">
        <v>15</v>
      </c>
      <c r="B200" s="7" t="s">
        <v>44</v>
      </c>
      <c r="C200" s="7" t="s">
        <v>72</v>
      </c>
      <c r="D200" s="8">
        <v>41701</v>
      </c>
      <c r="E200" s="8">
        <v>41702</v>
      </c>
      <c r="F200" s="9">
        <v>693.7</v>
      </c>
      <c r="G200">
        <f t="shared" si="12"/>
        <v>2</v>
      </c>
      <c r="H200">
        <f t="shared" si="13"/>
        <v>54</v>
      </c>
      <c r="I200">
        <f t="shared" si="14"/>
        <v>1</v>
      </c>
      <c r="J200">
        <f t="shared" si="15"/>
        <v>1</v>
      </c>
    </row>
    <row r="201" spans="1:10" x14ac:dyDescent="0.25">
      <c r="A201" s="10" t="s">
        <v>54</v>
      </c>
      <c r="B201" s="11" t="s">
        <v>55</v>
      </c>
      <c r="C201" s="11" t="s">
        <v>72</v>
      </c>
      <c r="D201" s="12">
        <v>41701</v>
      </c>
      <c r="E201" s="12">
        <v>41701</v>
      </c>
      <c r="F201" s="13">
        <v>494.7</v>
      </c>
      <c r="G201">
        <f t="shared" si="12"/>
        <v>1</v>
      </c>
      <c r="H201">
        <f t="shared" si="13"/>
        <v>30</v>
      </c>
      <c r="I201">
        <f t="shared" si="14"/>
        <v>0</v>
      </c>
      <c r="J201" t="str">
        <f t="shared" si="15"/>
        <v/>
      </c>
    </row>
    <row r="202" spans="1:10" x14ac:dyDescent="0.25">
      <c r="A202" s="6" t="s">
        <v>99</v>
      </c>
      <c r="B202" s="7" t="s">
        <v>130</v>
      </c>
      <c r="C202" s="7" t="s">
        <v>17</v>
      </c>
      <c r="D202" s="8">
        <v>41701</v>
      </c>
      <c r="E202" s="8">
        <v>41703</v>
      </c>
      <c r="F202" s="9">
        <v>911.5</v>
      </c>
      <c r="G202">
        <f t="shared" si="12"/>
        <v>3</v>
      </c>
      <c r="H202">
        <f t="shared" si="13"/>
        <v>78</v>
      </c>
      <c r="I202">
        <f t="shared" si="14"/>
        <v>2</v>
      </c>
      <c r="J202">
        <f t="shared" si="15"/>
        <v>2</v>
      </c>
    </row>
    <row r="203" spans="1:10" x14ac:dyDescent="0.25">
      <c r="A203" s="10" t="s">
        <v>28</v>
      </c>
      <c r="B203" s="11" t="s">
        <v>29</v>
      </c>
      <c r="C203" s="11" t="s">
        <v>11</v>
      </c>
      <c r="D203" s="12">
        <v>41701</v>
      </c>
      <c r="E203" s="12">
        <v>41702</v>
      </c>
      <c r="F203" s="13">
        <v>295.39999999999998</v>
      </c>
      <c r="G203">
        <f t="shared" si="12"/>
        <v>2</v>
      </c>
      <c r="H203">
        <f t="shared" si="13"/>
        <v>54</v>
      </c>
      <c r="I203">
        <f t="shared" si="14"/>
        <v>1</v>
      </c>
      <c r="J203">
        <f t="shared" si="15"/>
        <v>1</v>
      </c>
    </row>
    <row r="204" spans="1:10" x14ac:dyDescent="0.25">
      <c r="A204" s="6" t="s">
        <v>73</v>
      </c>
      <c r="B204" s="7" t="s">
        <v>104</v>
      </c>
      <c r="C204" s="7" t="s">
        <v>11</v>
      </c>
      <c r="D204" s="8">
        <v>41701</v>
      </c>
      <c r="E204" s="8">
        <v>41705</v>
      </c>
      <c r="F204" s="9">
        <v>712.4</v>
      </c>
      <c r="G204">
        <f t="shared" si="12"/>
        <v>5</v>
      </c>
      <c r="H204">
        <f t="shared" si="13"/>
        <v>126</v>
      </c>
      <c r="I204">
        <f t="shared" si="14"/>
        <v>4</v>
      </c>
      <c r="J204">
        <f t="shared" si="15"/>
        <v>4</v>
      </c>
    </row>
    <row r="205" spans="1:10" x14ac:dyDescent="0.25">
      <c r="A205" s="10" t="s">
        <v>54</v>
      </c>
      <c r="B205" s="11" t="s">
        <v>121</v>
      </c>
      <c r="C205" s="11" t="s">
        <v>30</v>
      </c>
      <c r="D205" s="12">
        <v>41701</v>
      </c>
      <c r="E205" s="12">
        <v>41703</v>
      </c>
      <c r="F205" s="13">
        <v>450.5</v>
      </c>
      <c r="G205">
        <f t="shared" si="12"/>
        <v>3</v>
      </c>
      <c r="H205">
        <f t="shared" si="13"/>
        <v>78</v>
      </c>
      <c r="I205">
        <f t="shared" si="14"/>
        <v>2</v>
      </c>
      <c r="J205">
        <f t="shared" si="15"/>
        <v>2</v>
      </c>
    </row>
    <row r="206" spans="1:10" x14ac:dyDescent="0.25">
      <c r="A206" s="6" t="s">
        <v>73</v>
      </c>
      <c r="B206" s="7" t="s">
        <v>155</v>
      </c>
      <c r="C206" s="7" t="s">
        <v>14</v>
      </c>
      <c r="D206" s="8">
        <v>41701</v>
      </c>
      <c r="E206" s="8">
        <v>41704</v>
      </c>
      <c r="F206" s="9">
        <v>550.5</v>
      </c>
      <c r="G206">
        <f t="shared" si="12"/>
        <v>4</v>
      </c>
      <c r="H206">
        <f t="shared" si="13"/>
        <v>102</v>
      </c>
      <c r="I206">
        <f t="shared" si="14"/>
        <v>3</v>
      </c>
      <c r="J206">
        <f t="shared" si="15"/>
        <v>3</v>
      </c>
    </row>
    <row r="207" spans="1:10" x14ac:dyDescent="0.25">
      <c r="A207" s="10" t="s">
        <v>75</v>
      </c>
      <c r="B207" s="11" t="s">
        <v>88</v>
      </c>
      <c r="C207" s="11" t="s">
        <v>27</v>
      </c>
      <c r="D207" s="12">
        <v>41701</v>
      </c>
      <c r="E207" s="12">
        <v>41702</v>
      </c>
      <c r="F207" s="13">
        <v>570</v>
      </c>
      <c r="G207">
        <f t="shared" si="12"/>
        <v>2</v>
      </c>
      <c r="H207">
        <f t="shared" si="13"/>
        <v>54</v>
      </c>
      <c r="I207">
        <f t="shared" si="14"/>
        <v>1</v>
      </c>
      <c r="J207">
        <f t="shared" si="15"/>
        <v>1</v>
      </c>
    </row>
    <row r="208" spans="1:10" x14ac:dyDescent="0.25">
      <c r="A208" s="6" t="s">
        <v>137</v>
      </c>
      <c r="B208" s="7" t="s">
        <v>160</v>
      </c>
      <c r="C208" s="7" t="s">
        <v>27</v>
      </c>
      <c r="D208" s="8">
        <v>41701</v>
      </c>
      <c r="E208" s="8">
        <v>41703</v>
      </c>
      <c r="F208" s="9">
        <v>698</v>
      </c>
      <c r="G208">
        <f t="shared" si="12"/>
        <v>3</v>
      </c>
      <c r="H208">
        <f t="shared" si="13"/>
        <v>78</v>
      </c>
      <c r="I208">
        <f t="shared" si="14"/>
        <v>2</v>
      </c>
      <c r="J208">
        <f t="shared" si="15"/>
        <v>2</v>
      </c>
    </row>
    <row r="209" spans="1:10" x14ac:dyDescent="0.25">
      <c r="A209" s="10" t="s">
        <v>111</v>
      </c>
      <c r="B209" s="11" t="s">
        <v>112</v>
      </c>
      <c r="C209" s="11" t="s">
        <v>11</v>
      </c>
      <c r="D209" s="12">
        <v>41701</v>
      </c>
      <c r="E209" s="12">
        <v>41701</v>
      </c>
      <c r="F209" s="13">
        <v>156.4</v>
      </c>
      <c r="G209">
        <f t="shared" si="12"/>
        <v>1</v>
      </c>
      <c r="H209">
        <f t="shared" si="13"/>
        <v>30</v>
      </c>
      <c r="I209">
        <f t="shared" si="14"/>
        <v>0</v>
      </c>
      <c r="J209" t="str">
        <f t="shared" si="15"/>
        <v/>
      </c>
    </row>
    <row r="210" spans="1:10" x14ac:dyDescent="0.25">
      <c r="A210" s="6" t="s">
        <v>89</v>
      </c>
      <c r="B210" s="7" t="s">
        <v>90</v>
      </c>
      <c r="C210" s="7" t="s">
        <v>8</v>
      </c>
      <c r="D210" s="8">
        <v>41701</v>
      </c>
      <c r="E210" s="8">
        <v>41705</v>
      </c>
      <c r="F210" s="9">
        <v>1524</v>
      </c>
      <c r="G210">
        <f t="shared" si="12"/>
        <v>5</v>
      </c>
      <c r="H210">
        <f t="shared" si="13"/>
        <v>126</v>
      </c>
      <c r="I210">
        <f t="shared" si="14"/>
        <v>4</v>
      </c>
      <c r="J210">
        <f t="shared" si="15"/>
        <v>4</v>
      </c>
    </row>
    <row r="211" spans="1:10" x14ac:dyDescent="0.25">
      <c r="A211" s="10" t="s">
        <v>20</v>
      </c>
      <c r="B211" s="11" t="s">
        <v>162</v>
      </c>
      <c r="C211" s="11" t="s">
        <v>47</v>
      </c>
      <c r="D211" s="12">
        <v>41701</v>
      </c>
      <c r="E211" s="12">
        <v>41705</v>
      </c>
      <c r="F211" s="13">
        <v>1015.8</v>
      </c>
      <c r="G211">
        <f t="shared" si="12"/>
        <v>5</v>
      </c>
      <c r="H211">
        <f t="shared" si="13"/>
        <v>126</v>
      </c>
      <c r="I211">
        <f t="shared" si="14"/>
        <v>4</v>
      </c>
      <c r="J211">
        <f t="shared" si="15"/>
        <v>4</v>
      </c>
    </row>
    <row r="212" spans="1:10" x14ac:dyDescent="0.25">
      <c r="A212" s="6" t="s">
        <v>137</v>
      </c>
      <c r="B212" s="7" t="s">
        <v>138</v>
      </c>
      <c r="C212" s="7" t="s">
        <v>17</v>
      </c>
      <c r="D212" s="8">
        <v>41701</v>
      </c>
      <c r="E212" s="8">
        <v>41703</v>
      </c>
      <c r="F212" s="9">
        <v>911.5</v>
      </c>
      <c r="G212">
        <f t="shared" si="12"/>
        <v>3</v>
      </c>
      <c r="H212">
        <f t="shared" si="13"/>
        <v>78</v>
      </c>
      <c r="I212">
        <f t="shared" si="14"/>
        <v>2</v>
      </c>
      <c r="J212">
        <f t="shared" si="15"/>
        <v>2</v>
      </c>
    </row>
    <row r="213" spans="1:10" x14ac:dyDescent="0.25">
      <c r="A213" s="10" t="s">
        <v>64</v>
      </c>
      <c r="B213" s="11" t="s">
        <v>65</v>
      </c>
      <c r="C213" s="11" t="s">
        <v>47</v>
      </c>
      <c r="D213" s="12">
        <v>41701</v>
      </c>
      <c r="E213" s="12">
        <v>41705</v>
      </c>
      <c r="F213" s="13">
        <v>1015.8</v>
      </c>
      <c r="G213">
        <f t="shared" si="12"/>
        <v>5</v>
      </c>
      <c r="H213">
        <f t="shared" si="13"/>
        <v>126</v>
      </c>
      <c r="I213">
        <f t="shared" si="14"/>
        <v>4</v>
      </c>
      <c r="J213">
        <f t="shared" si="15"/>
        <v>4</v>
      </c>
    </row>
    <row r="214" spans="1:10" x14ac:dyDescent="0.25">
      <c r="A214" s="6" t="s">
        <v>86</v>
      </c>
      <c r="B214" s="7" t="s">
        <v>136</v>
      </c>
      <c r="C214" s="7" t="s">
        <v>38</v>
      </c>
      <c r="D214" s="8">
        <v>41701</v>
      </c>
      <c r="E214" s="8">
        <v>41701</v>
      </c>
      <c r="F214" s="9">
        <v>278.8</v>
      </c>
      <c r="G214">
        <f t="shared" si="12"/>
        <v>1</v>
      </c>
      <c r="H214">
        <f t="shared" si="13"/>
        <v>30</v>
      </c>
      <c r="I214">
        <f t="shared" si="14"/>
        <v>0</v>
      </c>
      <c r="J214" t="str">
        <f t="shared" si="15"/>
        <v/>
      </c>
    </row>
    <row r="215" spans="1:10" x14ac:dyDescent="0.25">
      <c r="A215" s="10" t="s">
        <v>20</v>
      </c>
      <c r="B215" s="11" t="s">
        <v>21</v>
      </c>
      <c r="C215" s="11" t="s">
        <v>14</v>
      </c>
      <c r="D215" s="12">
        <v>41701</v>
      </c>
      <c r="E215" s="12">
        <v>41704</v>
      </c>
      <c r="F215" s="13">
        <v>550.5</v>
      </c>
      <c r="G215">
        <f t="shared" si="12"/>
        <v>4</v>
      </c>
      <c r="H215">
        <f t="shared" si="13"/>
        <v>102</v>
      </c>
      <c r="I215">
        <f t="shared" si="14"/>
        <v>3</v>
      </c>
      <c r="J215">
        <f t="shared" si="15"/>
        <v>3</v>
      </c>
    </row>
    <row r="216" spans="1:10" x14ac:dyDescent="0.25">
      <c r="A216" s="6" t="s">
        <v>42</v>
      </c>
      <c r="B216" s="7" t="s">
        <v>43</v>
      </c>
      <c r="C216" s="7" t="s">
        <v>72</v>
      </c>
      <c r="D216" s="8">
        <v>41704</v>
      </c>
      <c r="E216" s="8">
        <v>41704</v>
      </c>
      <c r="F216" s="9">
        <v>494.7</v>
      </c>
      <c r="G216">
        <f t="shared" si="12"/>
        <v>1</v>
      </c>
      <c r="H216">
        <f t="shared" si="13"/>
        <v>30</v>
      </c>
      <c r="I216">
        <f t="shared" si="14"/>
        <v>0</v>
      </c>
      <c r="J216" t="str">
        <f t="shared" si="15"/>
        <v/>
      </c>
    </row>
    <row r="217" spans="1:10" x14ac:dyDescent="0.25">
      <c r="A217" s="10" t="s">
        <v>111</v>
      </c>
      <c r="B217" s="11" t="s">
        <v>112</v>
      </c>
      <c r="C217" s="11" t="s">
        <v>30</v>
      </c>
      <c r="D217" s="12">
        <v>41704</v>
      </c>
      <c r="E217" s="12">
        <v>41704</v>
      </c>
      <c r="F217" s="13">
        <v>212.5</v>
      </c>
      <c r="G217">
        <f t="shared" si="12"/>
        <v>1</v>
      </c>
      <c r="H217">
        <f t="shared" si="13"/>
        <v>30</v>
      </c>
      <c r="I217">
        <f t="shared" si="14"/>
        <v>0</v>
      </c>
      <c r="J217" t="str">
        <f t="shared" si="15"/>
        <v/>
      </c>
    </row>
    <row r="218" spans="1:10" x14ac:dyDescent="0.25">
      <c r="A218" s="6" t="s">
        <v>86</v>
      </c>
      <c r="B218" s="7" t="s">
        <v>136</v>
      </c>
      <c r="C218" s="7" t="s">
        <v>24</v>
      </c>
      <c r="D218" s="8">
        <v>41705</v>
      </c>
      <c r="E218" s="8">
        <v>41705</v>
      </c>
      <c r="F218" s="9">
        <v>290.7</v>
      </c>
      <c r="G218">
        <f t="shared" si="12"/>
        <v>1</v>
      </c>
      <c r="H218">
        <f t="shared" si="13"/>
        <v>30</v>
      </c>
      <c r="I218">
        <f t="shared" si="14"/>
        <v>0</v>
      </c>
      <c r="J218" t="str">
        <f t="shared" si="15"/>
        <v/>
      </c>
    </row>
    <row r="219" spans="1:10" x14ac:dyDescent="0.25">
      <c r="A219" s="10" t="s">
        <v>57</v>
      </c>
      <c r="B219" s="11" t="s">
        <v>163</v>
      </c>
      <c r="C219" s="11" t="s">
        <v>27</v>
      </c>
      <c r="D219" s="12">
        <v>41707</v>
      </c>
      <c r="E219" s="12">
        <v>41710</v>
      </c>
      <c r="F219" s="13">
        <v>826</v>
      </c>
      <c r="G219">
        <f t="shared" si="12"/>
        <v>4</v>
      </c>
      <c r="H219">
        <f t="shared" si="13"/>
        <v>102</v>
      </c>
      <c r="I219">
        <f t="shared" si="14"/>
        <v>3</v>
      </c>
      <c r="J219">
        <f t="shared" si="15"/>
        <v>3</v>
      </c>
    </row>
    <row r="220" spans="1:10" x14ac:dyDescent="0.25">
      <c r="A220" s="6" t="s">
        <v>131</v>
      </c>
      <c r="B220" s="7" t="s">
        <v>154</v>
      </c>
      <c r="C220" s="7" t="s">
        <v>24</v>
      </c>
      <c r="D220" s="8">
        <v>41708</v>
      </c>
      <c r="E220" s="8">
        <v>41708</v>
      </c>
      <c r="F220" s="9">
        <v>290.7</v>
      </c>
      <c r="G220">
        <f t="shared" si="12"/>
        <v>1</v>
      </c>
      <c r="H220">
        <f t="shared" si="13"/>
        <v>30</v>
      </c>
      <c r="I220">
        <f t="shared" si="14"/>
        <v>0</v>
      </c>
      <c r="J220" t="str">
        <f t="shared" si="15"/>
        <v/>
      </c>
    </row>
    <row r="221" spans="1:10" x14ac:dyDescent="0.25">
      <c r="A221" s="10" t="s">
        <v>99</v>
      </c>
      <c r="B221" s="11" t="s">
        <v>130</v>
      </c>
      <c r="C221" s="11" t="s">
        <v>30</v>
      </c>
      <c r="D221" s="12">
        <v>41708</v>
      </c>
      <c r="E221" s="12">
        <v>41710</v>
      </c>
      <c r="F221" s="13">
        <v>450.5</v>
      </c>
      <c r="G221">
        <f t="shared" si="12"/>
        <v>3</v>
      </c>
      <c r="H221">
        <f t="shared" si="13"/>
        <v>78</v>
      </c>
      <c r="I221">
        <f t="shared" si="14"/>
        <v>2</v>
      </c>
      <c r="J221">
        <f t="shared" si="15"/>
        <v>2</v>
      </c>
    </row>
    <row r="222" spans="1:10" x14ac:dyDescent="0.25">
      <c r="A222" s="6" t="s">
        <v>9</v>
      </c>
      <c r="B222" s="7" t="s">
        <v>10</v>
      </c>
      <c r="C222" s="7" t="s">
        <v>66</v>
      </c>
      <c r="D222" s="8">
        <v>41708</v>
      </c>
      <c r="E222" s="8">
        <v>41711</v>
      </c>
      <c r="F222" s="9">
        <v>841.7</v>
      </c>
      <c r="G222">
        <f t="shared" si="12"/>
        <v>4</v>
      </c>
      <c r="H222">
        <f t="shared" si="13"/>
        <v>102</v>
      </c>
      <c r="I222">
        <f t="shared" si="14"/>
        <v>3</v>
      </c>
      <c r="J222">
        <f t="shared" si="15"/>
        <v>3</v>
      </c>
    </row>
    <row r="223" spans="1:10" x14ac:dyDescent="0.25">
      <c r="A223" s="10" t="s">
        <v>164</v>
      </c>
      <c r="B223" s="11" t="s">
        <v>165</v>
      </c>
      <c r="C223" s="11" t="s">
        <v>14</v>
      </c>
      <c r="D223" s="12">
        <v>41708</v>
      </c>
      <c r="E223" s="12">
        <v>41710</v>
      </c>
      <c r="F223" s="13">
        <v>426.5</v>
      </c>
      <c r="G223">
        <f t="shared" si="12"/>
        <v>3</v>
      </c>
      <c r="H223">
        <f t="shared" si="13"/>
        <v>78</v>
      </c>
      <c r="I223">
        <f t="shared" si="14"/>
        <v>2</v>
      </c>
      <c r="J223">
        <f t="shared" si="15"/>
        <v>2</v>
      </c>
    </row>
    <row r="224" spans="1:10" x14ac:dyDescent="0.25">
      <c r="A224" s="6" t="s">
        <v>93</v>
      </c>
      <c r="B224" s="7" t="s">
        <v>94</v>
      </c>
      <c r="C224" s="7" t="s">
        <v>11</v>
      </c>
      <c r="D224" s="8">
        <v>41708</v>
      </c>
      <c r="E224" s="8">
        <v>41710</v>
      </c>
      <c r="F224" s="9">
        <v>434.4</v>
      </c>
      <c r="G224">
        <f t="shared" si="12"/>
        <v>3</v>
      </c>
      <c r="H224">
        <f t="shared" si="13"/>
        <v>78</v>
      </c>
      <c r="I224">
        <f t="shared" si="14"/>
        <v>2</v>
      </c>
      <c r="J224">
        <f t="shared" si="15"/>
        <v>2</v>
      </c>
    </row>
    <row r="225" spans="1:10" x14ac:dyDescent="0.25">
      <c r="A225" s="10" t="s">
        <v>54</v>
      </c>
      <c r="B225" s="11" t="s">
        <v>121</v>
      </c>
      <c r="C225" s="11" t="s">
        <v>47</v>
      </c>
      <c r="D225" s="12">
        <v>41709</v>
      </c>
      <c r="E225" s="12">
        <v>41709</v>
      </c>
      <c r="F225" s="13">
        <v>363.8</v>
      </c>
      <c r="G225">
        <f t="shared" si="12"/>
        <v>1</v>
      </c>
      <c r="H225">
        <f t="shared" si="13"/>
        <v>30</v>
      </c>
      <c r="I225">
        <f t="shared" si="14"/>
        <v>0</v>
      </c>
      <c r="J225" t="str">
        <f t="shared" si="15"/>
        <v/>
      </c>
    </row>
    <row r="226" spans="1:10" x14ac:dyDescent="0.25">
      <c r="A226" s="6" t="s">
        <v>137</v>
      </c>
      <c r="B226" s="7" t="s">
        <v>138</v>
      </c>
      <c r="C226" s="7" t="s">
        <v>27</v>
      </c>
      <c r="D226" s="8">
        <v>41709</v>
      </c>
      <c r="E226" s="8">
        <v>41711</v>
      </c>
      <c r="F226" s="9">
        <v>698</v>
      </c>
      <c r="G226">
        <f t="shared" si="12"/>
        <v>3</v>
      </c>
      <c r="H226">
        <f t="shared" si="13"/>
        <v>78</v>
      </c>
      <c r="I226">
        <f t="shared" si="14"/>
        <v>2</v>
      </c>
      <c r="J226">
        <f t="shared" si="15"/>
        <v>2</v>
      </c>
    </row>
    <row r="227" spans="1:10" x14ac:dyDescent="0.25">
      <c r="A227" s="10" t="s">
        <v>137</v>
      </c>
      <c r="B227" s="11" t="s">
        <v>160</v>
      </c>
      <c r="C227" s="11" t="s">
        <v>66</v>
      </c>
      <c r="D227" s="12">
        <v>41710</v>
      </c>
      <c r="E227" s="12">
        <v>41710</v>
      </c>
      <c r="F227" s="13">
        <v>307.7</v>
      </c>
      <c r="G227">
        <f t="shared" si="12"/>
        <v>1</v>
      </c>
      <c r="H227">
        <f t="shared" si="13"/>
        <v>30</v>
      </c>
      <c r="I227">
        <f t="shared" si="14"/>
        <v>0</v>
      </c>
      <c r="J227" t="str">
        <f t="shared" si="15"/>
        <v/>
      </c>
    </row>
    <row r="228" spans="1:10" x14ac:dyDescent="0.25">
      <c r="A228" s="6" t="s">
        <v>33</v>
      </c>
      <c r="B228" s="7" t="s">
        <v>141</v>
      </c>
      <c r="C228" s="7" t="s">
        <v>30</v>
      </c>
      <c r="D228" s="8">
        <v>41713</v>
      </c>
      <c r="E228" s="8">
        <v>41715</v>
      </c>
      <c r="F228" s="9">
        <v>450.5</v>
      </c>
      <c r="G228">
        <f t="shared" si="12"/>
        <v>3</v>
      </c>
      <c r="H228">
        <f t="shared" si="13"/>
        <v>78</v>
      </c>
      <c r="I228">
        <f t="shared" si="14"/>
        <v>2</v>
      </c>
      <c r="J228">
        <f t="shared" si="15"/>
        <v>2</v>
      </c>
    </row>
    <row r="229" spans="1:10" x14ac:dyDescent="0.25">
      <c r="A229" s="10" t="s">
        <v>6</v>
      </c>
      <c r="B229" s="11" t="s">
        <v>139</v>
      </c>
      <c r="C229" s="11" t="s">
        <v>19</v>
      </c>
      <c r="D229" s="12">
        <v>41713</v>
      </c>
      <c r="E229" s="12">
        <v>41717</v>
      </c>
      <c r="F229" s="13">
        <v>1077.4000000000001</v>
      </c>
      <c r="G229">
        <f t="shared" si="12"/>
        <v>5</v>
      </c>
      <c r="H229">
        <f t="shared" si="13"/>
        <v>126</v>
      </c>
      <c r="I229">
        <f t="shared" si="14"/>
        <v>4</v>
      </c>
      <c r="J229">
        <f t="shared" si="15"/>
        <v>4</v>
      </c>
    </row>
    <row r="230" spans="1:10" x14ac:dyDescent="0.25">
      <c r="A230" s="6" t="s">
        <v>15</v>
      </c>
      <c r="B230" s="7" t="s">
        <v>46</v>
      </c>
      <c r="C230" s="7" t="s">
        <v>38</v>
      </c>
      <c r="D230" s="8">
        <v>41713</v>
      </c>
      <c r="E230" s="8">
        <v>41714</v>
      </c>
      <c r="F230" s="9">
        <v>407.8</v>
      </c>
      <c r="G230">
        <f t="shared" si="12"/>
        <v>2</v>
      </c>
      <c r="H230">
        <f t="shared" si="13"/>
        <v>54</v>
      </c>
      <c r="I230">
        <f t="shared" si="14"/>
        <v>1</v>
      </c>
      <c r="J230">
        <f t="shared" si="15"/>
        <v>1</v>
      </c>
    </row>
    <row r="231" spans="1:10" x14ac:dyDescent="0.25">
      <c r="A231" s="10" t="s">
        <v>128</v>
      </c>
      <c r="B231" s="11" t="s">
        <v>129</v>
      </c>
      <c r="C231" s="11" t="s">
        <v>47</v>
      </c>
      <c r="D231" s="12">
        <v>41713</v>
      </c>
      <c r="E231" s="12">
        <v>41716</v>
      </c>
      <c r="F231" s="13">
        <v>852.8</v>
      </c>
      <c r="G231">
        <f t="shared" si="12"/>
        <v>4</v>
      </c>
      <c r="H231">
        <f t="shared" si="13"/>
        <v>102</v>
      </c>
      <c r="I231">
        <f t="shared" si="14"/>
        <v>3</v>
      </c>
      <c r="J231">
        <f t="shared" si="15"/>
        <v>3</v>
      </c>
    </row>
    <row r="232" spans="1:10" x14ac:dyDescent="0.25">
      <c r="A232" s="6" t="s">
        <v>131</v>
      </c>
      <c r="B232" s="7" t="s">
        <v>154</v>
      </c>
      <c r="C232" s="7" t="s">
        <v>27</v>
      </c>
      <c r="D232" s="8">
        <v>41713</v>
      </c>
      <c r="E232" s="8">
        <v>41715</v>
      </c>
      <c r="F232" s="9">
        <v>698</v>
      </c>
      <c r="G232">
        <f t="shared" si="12"/>
        <v>3</v>
      </c>
      <c r="H232">
        <f t="shared" si="13"/>
        <v>78</v>
      </c>
      <c r="I232">
        <f t="shared" si="14"/>
        <v>2</v>
      </c>
      <c r="J232">
        <f t="shared" si="15"/>
        <v>2</v>
      </c>
    </row>
    <row r="233" spans="1:10" x14ac:dyDescent="0.25">
      <c r="A233" s="10" t="s">
        <v>131</v>
      </c>
      <c r="B233" s="11" t="s">
        <v>142</v>
      </c>
      <c r="C233" s="11" t="s">
        <v>8</v>
      </c>
      <c r="D233" s="12">
        <v>41713</v>
      </c>
      <c r="E233" s="12">
        <v>41716</v>
      </c>
      <c r="F233" s="13">
        <v>1313</v>
      </c>
      <c r="G233">
        <f t="shared" si="12"/>
        <v>4</v>
      </c>
      <c r="H233">
        <f t="shared" si="13"/>
        <v>102</v>
      </c>
      <c r="I233">
        <f t="shared" si="14"/>
        <v>3</v>
      </c>
      <c r="J233">
        <f t="shared" si="15"/>
        <v>3</v>
      </c>
    </row>
    <row r="234" spans="1:10" x14ac:dyDescent="0.25">
      <c r="A234" s="6" t="s">
        <v>28</v>
      </c>
      <c r="B234" s="7" t="s">
        <v>60</v>
      </c>
      <c r="C234" s="7" t="s">
        <v>72</v>
      </c>
      <c r="D234" s="8">
        <v>41713</v>
      </c>
      <c r="E234" s="8">
        <v>41716</v>
      </c>
      <c r="F234" s="9">
        <v>1091.7</v>
      </c>
      <c r="G234">
        <f t="shared" si="12"/>
        <v>4</v>
      </c>
      <c r="H234">
        <f t="shared" si="13"/>
        <v>102</v>
      </c>
      <c r="I234">
        <f t="shared" si="14"/>
        <v>3</v>
      </c>
      <c r="J234">
        <f t="shared" si="15"/>
        <v>3</v>
      </c>
    </row>
    <row r="235" spans="1:10" x14ac:dyDescent="0.25">
      <c r="A235" s="10" t="s">
        <v>25</v>
      </c>
      <c r="B235" s="11" t="s">
        <v>68</v>
      </c>
      <c r="C235" s="11" t="s">
        <v>38</v>
      </c>
      <c r="D235" s="12">
        <v>41713</v>
      </c>
      <c r="E235" s="12">
        <v>41714</v>
      </c>
      <c r="F235" s="13">
        <v>407.8</v>
      </c>
      <c r="G235">
        <f t="shared" si="12"/>
        <v>2</v>
      </c>
      <c r="H235">
        <f t="shared" si="13"/>
        <v>54</v>
      </c>
      <c r="I235">
        <f t="shared" si="14"/>
        <v>1</v>
      </c>
      <c r="J235">
        <f t="shared" si="15"/>
        <v>1</v>
      </c>
    </row>
    <row r="236" spans="1:10" x14ac:dyDescent="0.25">
      <c r="A236" s="6" t="s">
        <v>33</v>
      </c>
      <c r="B236" s="7" t="s">
        <v>41</v>
      </c>
      <c r="C236" s="7" t="s">
        <v>72</v>
      </c>
      <c r="D236" s="8">
        <v>41713</v>
      </c>
      <c r="E236" s="8">
        <v>41717</v>
      </c>
      <c r="F236" s="9">
        <v>1290.7</v>
      </c>
      <c r="G236">
        <f t="shared" si="12"/>
        <v>5</v>
      </c>
      <c r="H236">
        <f t="shared" si="13"/>
        <v>126</v>
      </c>
      <c r="I236">
        <f t="shared" si="14"/>
        <v>4</v>
      </c>
      <c r="J236">
        <f t="shared" si="15"/>
        <v>4</v>
      </c>
    </row>
    <row r="237" spans="1:10" x14ac:dyDescent="0.25">
      <c r="A237" s="10" t="s">
        <v>9</v>
      </c>
      <c r="B237" s="11" t="s">
        <v>103</v>
      </c>
      <c r="C237" s="11" t="s">
        <v>27</v>
      </c>
      <c r="D237" s="12">
        <v>41713</v>
      </c>
      <c r="E237" s="12">
        <v>41717</v>
      </c>
      <c r="F237" s="13">
        <v>954</v>
      </c>
      <c r="G237">
        <f t="shared" si="12"/>
        <v>5</v>
      </c>
      <c r="H237">
        <f t="shared" si="13"/>
        <v>126</v>
      </c>
      <c r="I237">
        <f t="shared" si="14"/>
        <v>4</v>
      </c>
      <c r="J237">
        <f t="shared" si="15"/>
        <v>4</v>
      </c>
    </row>
    <row r="238" spans="1:10" x14ac:dyDescent="0.25">
      <c r="A238" s="6" t="s">
        <v>73</v>
      </c>
      <c r="B238" s="7" t="s">
        <v>104</v>
      </c>
      <c r="C238" s="7" t="s">
        <v>19</v>
      </c>
      <c r="D238" s="8">
        <v>41713</v>
      </c>
      <c r="E238" s="8">
        <v>41714</v>
      </c>
      <c r="F238" s="9">
        <v>654.4</v>
      </c>
      <c r="G238">
        <f t="shared" si="12"/>
        <v>2</v>
      </c>
      <c r="H238">
        <f t="shared" si="13"/>
        <v>54</v>
      </c>
      <c r="I238">
        <f t="shared" si="14"/>
        <v>1</v>
      </c>
      <c r="J238">
        <f t="shared" si="15"/>
        <v>1</v>
      </c>
    </row>
    <row r="239" spans="1:10" x14ac:dyDescent="0.25">
      <c r="A239" s="10" t="s">
        <v>73</v>
      </c>
      <c r="B239" s="11" t="s">
        <v>155</v>
      </c>
      <c r="C239" s="11" t="s">
        <v>27</v>
      </c>
      <c r="D239" s="12">
        <v>41713</v>
      </c>
      <c r="E239" s="12">
        <v>41713</v>
      </c>
      <c r="F239" s="13">
        <v>442</v>
      </c>
      <c r="G239">
        <f t="shared" si="12"/>
        <v>1</v>
      </c>
      <c r="H239">
        <f t="shared" si="13"/>
        <v>30</v>
      </c>
      <c r="I239">
        <f t="shared" si="14"/>
        <v>0</v>
      </c>
      <c r="J239" t="str">
        <f t="shared" si="15"/>
        <v/>
      </c>
    </row>
    <row r="240" spans="1:10" x14ac:dyDescent="0.25">
      <c r="A240" s="6" t="s">
        <v>166</v>
      </c>
      <c r="B240" s="7" t="s">
        <v>167</v>
      </c>
      <c r="C240" s="7" t="s">
        <v>8</v>
      </c>
      <c r="D240" s="8">
        <v>41713</v>
      </c>
      <c r="E240" s="8">
        <v>41715</v>
      </c>
      <c r="F240" s="9">
        <v>1102</v>
      </c>
      <c r="G240">
        <f t="shared" si="12"/>
        <v>3</v>
      </c>
      <c r="H240">
        <f t="shared" si="13"/>
        <v>78</v>
      </c>
      <c r="I240">
        <f t="shared" si="14"/>
        <v>2</v>
      </c>
      <c r="J240">
        <f t="shared" si="15"/>
        <v>2</v>
      </c>
    </row>
    <row r="241" spans="1:10" x14ac:dyDescent="0.25">
      <c r="A241" s="10" t="s">
        <v>6</v>
      </c>
      <c r="B241" s="11" t="s">
        <v>45</v>
      </c>
      <c r="C241" s="11" t="s">
        <v>17</v>
      </c>
      <c r="D241" s="12">
        <v>41713</v>
      </c>
      <c r="E241" s="12">
        <v>41715</v>
      </c>
      <c r="F241" s="13">
        <v>911.5</v>
      </c>
      <c r="G241">
        <f t="shared" si="12"/>
        <v>3</v>
      </c>
      <c r="H241">
        <f t="shared" si="13"/>
        <v>78</v>
      </c>
      <c r="I241">
        <f t="shared" si="14"/>
        <v>2</v>
      </c>
      <c r="J241">
        <f t="shared" si="15"/>
        <v>2</v>
      </c>
    </row>
    <row r="242" spans="1:10" x14ac:dyDescent="0.25">
      <c r="A242" s="6" t="s">
        <v>15</v>
      </c>
      <c r="B242" s="7" t="s">
        <v>96</v>
      </c>
      <c r="C242" s="7" t="s">
        <v>17</v>
      </c>
      <c r="D242" s="8">
        <v>41713</v>
      </c>
      <c r="E242" s="8">
        <v>41717</v>
      </c>
      <c r="F242" s="9">
        <v>1321.5</v>
      </c>
      <c r="G242">
        <f t="shared" si="12"/>
        <v>5</v>
      </c>
      <c r="H242">
        <f t="shared" si="13"/>
        <v>126</v>
      </c>
      <c r="I242">
        <f t="shared" si="14"/>
        <v>4</v>
      </c>
      <c r="J242">
        <f t="shared" si="15"/>
        <v>4</v>
      </c>
    </row>
    <row r="243" spans="1:10" x14ac:dyDescent="0.25">
      <c r="A243" s="10" t="s">
        <v>9</v>
      </c>
      <c r="B243" s="11" t="s">
        <v>18</v>
      </c>
      <c r="C243" s="11" t="s">
        <v>72</v>
      </c>
      <c r="D243" s="12">
        <v>41713</v>
      </c>
      <c r="E243" s="12">
        <v>41716</v>
      </c>
      <c r="F243" s="13">
        <v>1091.7</v>
      </c>
      <c r="G243">
        <f t="shared" si="12"/>
        <v>4</v>
      </c>
      <c r="H243">
        <f t="shared" si="13"/>
        <v>102</v>
      </c>
      <c r="I243">
        <f t="shared" si="14"/>
        <v>3</v>
      </c>
      <c r="J243">
        <f t="shared" si="15"/>
        <v>3</v>
      </c>
    </row>
    <row r="244" spans="1:10" x14ac:dyDescent="0.25">
      <c r="A244" s="6" t="s">
        <v>82</v>
      </c>
      <c r="B244" s="7" t="s">
        <v>125</v>
      </c>
      <c r="C244" s="7" t="s">
        <v>47</v>
      </c>
      <c r="D244" s="8">
        <v>41715</v>
      </c>
      <c r="E244" s="8">
        <v>41717</v>
      </c>
      <c r="F244" s="9">
        <v>689.8</v>
      </c>
      <c r="G244">
        <f t="shared" si="12"/>
        <v>3</v>
      </c>
      <c r="H244">
        <f t="shared" si="13"/>
        <v>78</v>
      </c>
      <c r="I244">
        <f t="shared" si="14"/>
        <v>2</v>
      </c>
      <c r="J244">
        <f t="shared" si="15"/>
        <v>2</v>
      </c>
    </row>
    <row r="245" spans="1:10" x14ac:dyDescent="0.25">
      <c r="A245" s="10" t="s">
        <v>39</v>
      </c>
      <c r="B245" s="11" t="s">
        <v>40</v>
      </c>
      <c r="C245" s="11" t="s">
        <v>47</v>
      </c>
      <c r="D245" s="12">
        <v>41715</v>
      </c>
      <c r="E245" s="12">
        <v>41716</v>
      </c>
      <c r="F245" s="13">
        <v>526.79999999999995</v>
      </c>
      <c r="G245">
        <f t="shared" si="12"/>
        <v>2</v>
      </c>
      <c r="H245">
        <f t="shared" si="13"/>
        <v>54</v>
      </c>
      <c r="I245">
        <f t="shared" si="14"/>
        <v>1</v>
      </c>
      <c r="J245">
        <f t="shared" si="15"/>
        <v>1</v>
      </c>
    </row>
    <row r="246" spans="1:10" x14ac:dyDescent="0.25">
      <c r="A246" s="6" t="s">
        <v>15</v>
      </c>
      <c r="B246" s="7" t="s">
        <v>63</v>
      </c>
      <c r="C246" s="7" t="s">
        <v>66</v>
      </c>
      <c r="D246" s="8">
        <v>41715</v>
      </c>
      <c r="E246" s="8">
        <v>41716</v>
      </c>
      <c r="F246" s="9">
        <v>485.7</v>
      </c>
      <c r="G246">
        <f t="shared" si="12"/>
        <v>2</v>
      </c>
      <c r="H246">
        <f t="shared" si="13"/>
        <v>54</v>
      </c>
      <c r="I246">
        <f t="shared" si="14"/>
        <v>1</v>
      </c>
      <c r="J246">
        <f t="shared" si="15"/>
        <v>1</v>
      </c>
    </row>
    <row r="247" spans="1:10" x14ac:dyDescent="0.25">
      <c r="A247" s="10" t="s">
        <v>57</v>
      </c>
      <c r="B247" s="11" t="s">
        <v>58</v>
      </c>
      <c r="C247" s="11" t="s">
        <v>8</v>
      </c>
      <c r="D247" s="12">
        <v>41715</v>
      </c>
      <c r="E247" s="12">
        <v>41715</v>
      </c>
      <c r="F247" s="13">
        <v>680</v>
      </c>
      <c r="G247">
        <f t="shared" si="12"/>
        <v>1</v>
      </c>
      <c r="H247">
        <f t="shared" si="13"/>
        <v>30</v>
      </c>
      <c r="I247">
        <f t="shared" si="14"/>
        <v>0</v>
      </c>
      <c r="J247" t="str">
        <f t="shared" si="15"/>
        <v/>
      </c>
    </row>
    <row r="248" spans="1:10" x14ac:dyDescent="0.25">
      <c r="A248" s="6" t="s">
        <v>61</v>
      </c>
      <c r="B248" s="7" t="s">
        <v>62</v>
      </c>
      <c r="C248" s="7" t="s">
        <v>72</v>
      </c>
      <c r="D248" s="8">
        <v>41716</v>
      </c>
      <c r="E248" s="8">
        <v>41716</v>
      </c>
      <c r="F248" s="9">
        <v>494.7</v>
      </c>
      <c r="G248">
        <f t="shared" si="12"/>
        <v>1</v>
      </c>
      <c r="H248">
        <f t="shared" si="13"/>
        <v>30</v>
      </c>
      <c r="I248">
        <f t="shared" si="14"/>
        <v>0</v>
      </c>
      <c r="J248" t="str">
        <f t="shared" si="15"/>
        <v/>
      </c>
    </row>
    <row r="249" spans="1:10" x14ac:dyDescent="0.25">
      <c r="A249" s="10" t="s">
        <v>126</v>
      </c>
      <c r="B249" s="11" t="s">
        <v>127</v>
      </c>
      <c r="C249" s="11" t="s">
        <v>14</v>
      </c>
      <c r="D249" s="12">
        <v>41716</v>
      </c>
      <c r="E249" s="12">
        <v>41716</v>
      </c>
      <c r="F249" s="13">
        <v>178.5</v>
      </c>
      <c r="G249">
        <f t="shared" si="12"/>
        <v>1</v>
      </c>
      <c r="H249">
        <f t="shared" si="13"/>
        <v>30</v>
      </c>
      <c r="I249">
        <f t="shared" si="14"/>
        <v>0</v>
      </c>
      <c r="J249" t="str">
        <f t="shared" si="15"/>
        <v/>
      </c>
    </row>
    <row r="250" spans="1:10" x14ac:dyDescent="0.25">
      <c r="A250" s="6" t="s">
        <v>12</v>
      </c>
      <c r="B250" s="7" t="s">
        <v>13</v>
      </c>
      <c r="C250" s="7" t="s">
        <v>30</v>
      </c>
      <c r="D250" s="8">
        <v>41716</v>
      </c>
      <c r="E250" s="8">
        <v>41717</v>
      </c>
      <c r="F250" s="9">
        <v>331.5</v>
      </c>
      <c r="G250">
        <f t="shared" si="12"/>
        <v>2</v>
      </c>
      <c r="H250">
        <f t="shared" si="13"/>
        <v>54</v>
      </c>
      <c r="I250">
        <f t="shared" si="14"/>
        <v>1</v>
      </c>
      <c r="J250">
        <f t="shared" si="15"/>
        <v>1</v>
      </c>
    </row>
    <row r="251" spans="1:10" x14ac:dyDescent="0.25">
      <c r="A251" s="10" t="s">
        <v>131</v>
      </c>
      <c r="B251" s="11" t="s">
        <v>142</v>
      </c>
      <c r="C251" s="11" t="s">
        <v>72</v>
      </c>
      <c r="D251" s="12">
        <v>41719</v>
      </c>
      <c r="E251" s="12">
        <v>41723</v>
      </c>
      <c r="F251" s="13">
        <v>1290.7</v>
      </c>
      <c r="G251">
        <f t="shared" si="12"/>
        <v>5</v>
      </c>
      <c r="H251">
        <f t="shared" si="13"/>
        <v>126</v>
      </c>
      <c r="I251">
        <f t="shared" si="14"/>
        <v>4</v>
      </c>
      <c r="J251">
        <f t="shared" si="15"/>
        <v>4</v>
      </c>
    </row>
    <row r="252" spans="1:10" x14ac:dyDescent="0.25">
      <c r="A252" s="6" t="s">
        <v>54</v>
      </c>
      <c r="B252" s="7" t="s">
        <v>133</v>
      </c>
      <c r="C252" s="7" t="s">
        <v>24</v>
      </c>
      <c r="D252" s="8">
        <v>41719</v>
      </c>
      <c r="E252" s="8">
        <v>41721</v>
      </c>
      <c r="F252" s="9">
        <v>588.70000000000005</v>
      </c>
      <c r="G252">
        <f t="shared" si="12"/>
        <v>3</v>
      </c>
      <c r="H252">
        <f t="shared" si="13"/>
        <v>78</v>
      </c>
      <c r="I252">
        <f t="shared" si="14"/>
        <v>2</v>
      </c>
      <c r="J252">
        <f t="shared" si="15"/>
        <v>2</v>
      </c>
    </row>
    <row r="253" spans="1:10" x14ac:dyDescent="0.25">
      <c r="A253" s="10" t="s">
        <v>25</v>
      </c>
      <c r="B253" s="11" t="s">
        <v>67</v>
      </c>
      <c r="C253" s="11" t="s">
        <v>72</v>
      </c>
      <c r="D253" s="12">
        <v>41719</v>
      </c>
      <c r="E253" s="12">
        <v>41723</v>
      </c>
      <c r="F253" s="13">
        <v>1290.7</v>
      </c>
      <c r="G253">
        <f t="shared" si="12"/>
        <v>5</v>
      </c>
      <c r="H253">
        <f t="shared" si="13"/>
        <v>126</v>
      </c>
      <c r="I253">
        <f t="shared" si="14"/>
        <v>4</v>
      </c>
      <c r="J253">
        <f t="shared" si="15"/>
        <v>4</v>
      </c>
    </row>
    <row r="254" spans="1:10" x14ac:dyDescent="0.25">
      <c r="A254" s="6" t="s">
        <v>70</v>
      </c>
      <c r="B254" s="7" t="s">
        <v>71</v>
      </c>
      <c r="C254" s="7" t="s">
        <v>11</v>
      </c>
      <c r="D254" s="8">
        <v>41719</v>
      </c>
      <c r="E254" s="8">
        <v>41720</v>
      </c>
      <c r="F254" s="9">
        <v>295.39999999999998</v>
      </c>
      <c r="G254">
        <f t="shared" si="12"/>
        <v>2</v>
      </c>
      <c r="H254">
        <f t="shared" si="13"/>
        <v>54</v>
      </c>
      <c r="I254">
        <f t="shared" si="14"/>
        <v>1</v>
      </c>
      <c r="J254">
        <f t="shared" si="15"/>
        <v>1</v>
      </c>
    </row>
    <row r="255" spans="1:10" x14ac:dyDescent="0.25">
      <c r="A255" s="10" t="s">
        <v>9</v>
      </c>
      <c r="B255" s="11" t="s">
        <v>69</v>
      </c>
      <c r="C255" s="11" t="s">
        <v>66</v>
      </c>
      <c r="D255" s="12">
        <v>41719</v>
      </c>
      <c r="E255" s="12">
        <v>41721</v>
      </c>
      <c r="F255" s="13">
        <v>663.7</v>
      </c>
      <c r="G255">
        <f t="shared" si="12"/>
        <v>3</v>
      </c>
      <c r="H255">
        <f t="shared" si="13"/>
        <v>78</v>
      </c>
      <c r="I255">
        <f t="shared" si="14"/>
        <v>2</v>
      </c>
      <c r="J255">
        <f t="shared" si="15"/>
        <v>2</v>
      </c>
    </row>
    <row r="256" spans="1:10" x14ac:dyDescent="0.25">
      <c r="A256" s="6" t="s">
        <v>113</v>
      </c>
      <c r="B256" s="7" t="s">
        <v>114</v>
      </c>
      <c r="C256" s="7" t="s">
        <v>59</v>
      </c>
      <c r="D256" s="8">
        <v>41719</v>
      </c>
      <c r="E256" s="8">
        <v>41720</v>
      </c>
      <c r="F256" s="9">
        <v>601</v>
      </c>
      <c r="G256">
        <f t="shared" si="12"/>
        <v>2</v>
      </c>
      <c r="H256">
        <f t="shared" si="13"/>
        <v>54</v>
      </c>
      <c r="I256">
        <f t="shared" si="14"/>
        <v>1</v>
      </c>
      <c r="J256">
        <f t="shared" si="15"/>
        <v>1</v>
      </c>
    </row>
    <row r="257" spans="1:10" x14ac:dyDescent="0.25">
      <c r="A257" s="10" t="s">
        <v>6</v>
      </c>
      <c r="B257" s="11" t="s">
        <v>56</v>
      </c>
      <c r="C257" s="11" t="s">
        <v>11</v>
      </c>
      <c r="D257" s="12">
        <v>41725</v>
      </c>
      <c r="E257" s="12">
        <v>41726</v>
      </c>
      <c r="F257" s="13">
        <v>295.39999999999998</v>
      </c>
      <c r="G257">
        <f t="shared" si="12"/>
        <v>2</v>
      </c>
      <c r="H257">
        <f t="shared" si="13"/>
        <v>54</v>
      </c>
      <c r="I257">
        <f t="shared" si="14"/>
        <v>1</v>
      </c>
      <c r="J257">
        <f t="shared" si="15"/>
        <v>1</v>
      </c>
    </row>
    <row r="258" spans="1:10" x14ac:dyDescent="0.25">
      <c r="A258" s="6" t="s">
        <v>33</v>
      </c>
      <c r="B258" s="7" t="s">
        <v>34</v>
      </c>
      <c r="C258" s="7" t="s">
        <v>72</v>
      </c>
      <c r="D258" s="8">
        <v>41725</v>
      </c>
      <c r="E258" s="8">
        <v>41729</v>
      </c>
      <c r="F258" s="9">
        <v>1290.7</v>
      </c>
      <c r="G258">
        <f t="shared" si="12"/>
        <v>5</v>
      </c>
      <c r="H258">
        <f t="shared" si="13"/>
        <v>126</v>
      </c>
      <c r="I258">
        <f t="shared" si="14"/>
        <v>4</v>
      </c>
      <c r="J258">
        <f t="shared" si="15"/>
        <v>4</v>
      </c>
    </row>
    <row r="259" spans="1:10" x14ac:dyDescent="0.25">
      <c r="A259" s="10" t="s">
        <v>134</v>
      </c>
      <c r="B259" s="11" t="s">
        <v>135</v>
      </c>
      <c r="C259" s="11" t="s">
        <v>38</v>
      </c>
      <c r="D259" s="12">
        <v>41725</v>
      </c>
      <c r="E259" s="12">
        <v>41729</v>
      </c>
      <c r="F259" s="13">
        <v>794.8</v>
      </c>
      <c r="G259">
        <f t="shared" ref="G259:G322" si="16">E259-D259 + 1</f>
        <v>5</v>
      </c>
      <c r="H259">
        <f t="shared" ref="H259:H322" si="17">30+(G259-1)*24</f>
        <v>126</v>
      </c>
      <c r="I259">
        <f t="shared" ref="I259:I322" si="18">G259-1</f>
        <v>4</v>
      </c>
      <c r="J259">
        <f t="shared" ref="J259:J322" si="19">IF(G259&gt;=2,I259,"")</f>
        <v>4</v>
      </c>
    </row>
    <row r="260" spans="1:10" x14ac:dyDescent="0.25">
      <c r="A260" s="6" t="s">
        <v>93</v>
      </c>
      <c r="B260" s="7" t="s">
        <v>94</v>
      </c>
      <c r="C260" s="7" t="s">
        <v>19</v>
      </c>
      <c r="D260" s="8">
        <v>41725</v>
      </c>
      <c r="E260" s="8">
        <v>41726</v>
      </c>
      <c r="F260" s="9">
        <v>654.4</v>
      </c>
      <c r="G260">
        <f t="shared" si="16"/>
        <v>2</v>
      </c>
      <c r="H260">
        <f t="shared" si="17"/>
        <v>54</v>
      </c>
      <c r="I260">
        <f t="shared" si="18"/>
        <v>1</v>
      </c>
      <c r="J260">
        <f t="shared" si="19"/>
        <v>1</v>
      </c>
    </row>
    <row r="261" spans="1:10" x14ac:dyDescent="0.25">
      <c r="A261" s="10" t="s">
        <v>137</v>
      </c>
      <c r="B261" s="11" t="s">
        <v>138</v>
      </c>
      <c r="C261" s="11" t="s">
        <v>72</v>
      </c>
      <c r="D261" s="12">
        <v>41725</v>
      </c>
      <c r="E261" s="12">
        <v>41726</v>
      </c>
      <c r="F261" s="13">
        <v>693.7</v>
      </c>
      <c r="G261">
        <f t="shared" si="16"/>
        <v>2</v>
      </c>
      <c r="H261">
        <f t="shared" si="17"/>
        <v>54</v>
      </c>
      <c r="I261">
        <f t="shared" si="18"/>
        <v>1</v>
      </c>
      <c r="J261">
        <f t="shared" si="19"/>
        <v>1</v>
      </c>
    </row>
    <row r="262" spans="1:10" x14ac:dyDescent="0.25">
      <c r="A262" s="6" t="s">
        <v>9</v>
      </c>
      <c r="B262" s="7" t="s">
        <v>18</v>
      </c>
      <c r="C262" s="7" t="s">
        <v>11</v>
      </c>
      <c r="D262" s="8">
        <v>41725</v>
      </c>
      <c r="E262" s="8">
        <v>41728</v>
      </c>
      <c r="F262" s="9">
        <v>573.4</v>
      </c>
      <c r="G262">
        <f t="shared" si="16"/>
        <v>4</v>
      </c>
      <c r="H262">
        <f t="shared" si="17"/>
        <v>102</v>
      </c>
      <c r="I262">
        <f t="shared" si="18"/>
        <v>3</v>
      </c>
      <c r="J262">
        <f t="shared" si="19"/>
        <v>3</v>
      </c>
    </row>
    <row r="263" spans="1:10" x14ac:dyDescent="0.25">
      <c r="A263" s="10" t="s">
        <v>115</v>
      </c>
      <c r="B263" s="11" t="s">
        <v>140</v>
      </c>
      <c r="C263" s="11" t="s">
        <v>38</v>
      </c>
      <c r="D263" s="12">
        <v>41731</v>
      </c>
      <c r="E263" s="12">
        <v>41733</v>
      </c>
      <c r="F263" s="13">
        <v>536.79999999999995</v>
      </c>
      <c r="G263">
        <f t="shared" si="16"/>
        <v>3</v>
      </c>
      <c r="H263">
        <f t="shared" si="17"/>
        <v>78</v>
      </c>
      <c r="I263">
        <f t="shared" si="18"/>
        <v>2</v>
      </c>
      <c r="J263">
        <f t="shared" si="19"/>
        <v>2</v>
      </c>
    </row>
    <row r="264" spans="1:10" x14ac:dyDescent="0.25">
      <c r="A264" s="6" t="s">
        <v>9</v>
      </c>
      <c r="B264" s="7" t="s">
        <v>103</v>
      </c>
      <c r="C264" s="7" t="s">
        <v>47</v>
      </c>
      <c r="D264" s="8">
        <v>41731</v>
      </c>
      <c r="E264" s="8">
        <v>41735</v>
      </c>
      <c r="F264" s="9">
        <v>1015.8</v>
      </c>
      <c r="G264">
        <f t="shared" si="16"/>
        <v>5</v>
      </c>
      <c r="H264">
        <f t="shared" si="17"/>
        <v>126</v>
      </c>
      <c r="I264">
        <f t="shared" si="18"/>
        <v>4</v>
      </c>
      <c r="J264">
        <f t="shared" si="19"/>
        <v>4</v>
      </c>
    </row>
    <row r="265" spans="1:10" x14ac:dyDescent="0.25">
      <c r="A265" s="10" t="s">
        <v>143</v>
      </c>
      <c r="B265" s="11" t="s">
        <v>144</v>
      </c>
      <c r="C265" s="11" t="s">
        <v>27</v>
      </c>
      <c r="D265" s="12">
        <v>41731</v>
      </c>
      <c r="E265" s="12">
        <v>41734</v>
      </c>
      <c r="F265" s="13">
        <v>826</v>
      </c>
      <c r="G265">
        <f t="shared" si="16"/>
        <v>4</v>
      </c>
      <c r="H265">
        <f t="shared" si="17"/>
        <v>102</v>
      </c>
      <c r="I265">
        <f t="shared" si="18"/>
        <v>3</v>
      </c>
      <c r="J265">
        <f t="shared" si="19"/>
        <v>3</v>
      </c>
    </row>
    <row r="266" spans="1:10" x14ac:dyDescent="0.25">
      <c r="A266" s="6" t="s">
        <v>147</v>
      </c>
      <c r="B266" s="7" t="s">
        <v>148</v>
      </c>
      <c r="C266" s="7" t="s">
        <v>17</v>
      </c>
      <c r="D266" s="8">
        <v>41731</v>
      </c>
      <c r="E266" s="8">
        <v>41735</v>
      </c>
      <c r="F266" s="9">
        <v>1321.5</v>
      </c>
      <c r="G266">
        <f t="shared" si="16"/>
        <v>5</v>
      </c>
      <c r="H266">
        <f t="shared" si="17"/>
        <v>126</v>
      </c>
      <c r="I266">
        <f t="shared" si="18"/>
        <v>4</v>
      </c>
      <c r="J266">
        <f t="shared" si="19"/>
        <v>4</v>
      </c>
    </row>
    <row r="267" spans="1:10" x14ac:dyDescent="0.25">
      <c r="A267" s="10" t="s">
        <v>166</v>
      </c>
      <c r="B267" s="11" t="s">
        <v>167</v>
      </c>
      <c r="C267" s="11" t="s">
        <v>72</v>
      </c>
      <c r="D267" s="12">
        <v>41731</v>
      </c>
      <c r="E267" s="12">
        <v>41733</v>
      </c>
      <c r="F267" s="13">
        <v>892.7</v>
      </c>
      <c r="G267">
        <f t="shared" si="16"/>
        <v>3</v>
      </c>
      <c r="H267">
        <f t="shared" si="17"/>
        <v>78</v>
      </c>
      <c r="I267">
        <f t="shared" si="18"/>
        <v>2</v>
      </c>
      <c r="J267">
        <f t="shared" si="19"/>
        <v>2</v>
      </c>
    </row>
    <row r="268" spans="1:10" x14ac:dyDescent="0.25">
      <c r="A268" s="6" t="s">
        <v>91</v>
      </c>
      <c r="B268" s="7" t="s">
        <v>161</v>
      </c>
      <c r="C268" s="7" t="s">
        <v>11</v>
      </c>
      <c r="D268" s="8">
        <v>41731</v>
      </c>
      <c r="E268" s="8">
        <v>41732</v>
      </c>
      <c r="F268" s="9">
        <v>295.39999999999998</v>
      </c>
      <c r="G268">
        <f t="shared" si="16"/>
        <v>2</v>
      </c>
      <c r="H268">
        <f t="shared" si="17"/>
        <v>54</v>
      </c>
      <c r="I268">
        <f t="shared" si="18"/>
        <v>1</v>
      </c>
      <c r="J268">
        <f t="shared" si="19"/>
        <v>1</v>
      </c>
    </row>
    <row r="269" spans="1:10" x14ac:dyDescent="0.25">
      <c r="A269" s="10" t="s">
        <v>137</v>
      </c>
      <c r="B269" s="11" t="s">
        <v>160</v>
      </c>
      <c r="C269" s="11" t="s">
        <v>38</v>
      </c>
      <c r="D269" s="12">
        <v>41732</v>
      </c>
      <c r="E269" s="12">
        <v>41736</v>
      </c>
      <c r="F269" s="13">
        <v>794.8</v>
      </c>
      <c r="G269">
        <f t="shared" si="16"/>
        <v>5</v>
      </c>
      <c r="H269">
        <f t="shared" si="17"/>
        <v>126</v>
      </c>
      <c r="I269">
        <f t="shared" si="18"/>
        <v>4</v>
      </c>
      <c r="J269">
        <f t="shared" si="19"/>
        <v>4</v>
      </c>
    </row>
    <row r="270" spans="1:10" x14ac:dyDescent="0.25">
      <c r="A270" s="6" t="s">
        <v>48</v>
      </c>
      <c r="B270" s="7" t="s">
        <v>49</v>
      </c>
      <c r="C270" s="7" t="s">
        <v>11</v>
      </c>
      <c r="D270" s="8">
        <v>41737</v>
      </c>
      <c r="E270" s="8">
        <v>41740</v>
      </c>
      <c r="F270" s="9">
        <v>573.4</v>
      </c>
      <c r="G270">
        <f t="shared" si="16"/>
        <v>4</v>
      </c>
      <c r="H270">
        <f t="shared" si="17"/>
        <v>102</v>
      </c>
      <c r="I270">
        <f t="shared" si="18"/>
        <v>3</v>
      </c>
      <c r="J270">
        <f t="shared" si="19"/>
        <v>3</v>
      </c>
    </row>
    <row r="271" spans="1:10" x14ac:dyDescent="0.25">
      <c r="A271" s="10" t="s">
        <v>15</v>
      </c>
      <c r="B271" s="11" t="s">
        <v>46</v>
      </c>
      <c r="C271" s="11" t="s">
        <v>59</v>
      </c>
      <c r="D271" s="12">
        <v>41737</v>
      </c>
      <c r="E271" s="12">
        <v>41739</v>
      </c>
      <c r="F271" s="13">
        <v>760</v>
      </c>
      <c r="G271">
        <f t="shared" si="16"/>
        <v>3</v>
      </c>
      <c r="H271">
        <f t="shared" si="17"/>
        <v>78</v>
      </c>
      <c r="I271">
        <f t="shared" si="18"/>
        <v>2</v>
      </c>
      <c r="J271">
        <f t="shared" si="19"/>
        <v>2</v>
      </c>
    </row>
    <row r="272" spans="1:10" x14ac:dyDescent="0.25">
      <c r="A272" s="6" t="s">
        <v>61</v>
      </c>
      <c r="B272" s="7" t="s">
        <v>62</v>
      </c>
      <c r="C272" s="7" t="s">
        <v>14</v>
      </c>
      <c r="D272" s="8">
        <v>41737</v>
      </c>
      <c r="E272" s="8">
        <v>41741</v>
      </c>
      <c r="F272" s="9">
        <v>674.5</v>
      </c>
      <c r="G272">
        <f t="shared" si="16"/>
        <v>5</v>
      </c>
      <c r="H272">
        <f t="shared" si="17"/>
        <v>126</v>
      </c>
      <c r="I272">
        <f t="shared" si="18"/>
        <v>4</v>
      </c>
      <c r="J272">
        <f t="shared" si="19"/>
        <v>4</v>
      </c>
    </row>
    <row r="273" spans="1:10" x14ac:dyDescent="0.25">
      <c r="A273" s="10" t="s">
        <v>12</v>
      </c>
      <c r="B273" s="11" t="s">
        <v>13</v>
      </c>
      <c r="C273" s="11" t="s">
        <v>14</v>
      </c>
      <c r="D273" s="12">
        <v>41737</v>
      </c>
      <c r="E273" s="12">
        <v>41740</v>
      </c>
      <c r="F273" s="13">
        <v>550.5</v>
      </c>
      <c r="G273">
        <f t="shared" si="16"/>
        <v>4</v>
      </c>
      <c r="H273">
        <f t="shared" si="17"/>
        <v>102</v>
      </c>
      <c r="I273">
        <f t="shared" si="18"/>
        <v>3</v>
      </c>
      <c r="J273">
        <f t="shared" si="19"/>
        <v>3</v>
      </c>
    </row>
    <row r="274" spans="1:10" x14ac:dyDescent="0.25">
      <c r="A274" s="6" t="s">
        <v>147</v>
      </c>
      <c r="B274" s="7" t="s">
        <v>148</v>
      </c>
      <c r="C274" s="7" t="s">
        <v>72</v>
      </c>
      <c r="D274" s="8">
        <v>41737</v>
      </c>
      <c r="E274" s="8">
        <v>41740</v>
      </c>
      <c r="F274" s="9">
        <v>1091.7</v>
      </c>
      <c r="G274">
        <f t="shared" si="16"/>
        <v>4</v>
      </c>
      <c r="H274">
        <f t="shared" si="17"/>
        <v>102</v>
      </c>
      <c r="I274">
        <f t="shared" si="18"/>
        <v>3</v>
      </c>
      <c r="J274">
        <f t="shared" si="19"/>
        <v>3</v>
      </c>
    </row>
    <row r="275" spans="1:10" x14ac:dyDescent="0.25">
      <c r="A275" s="10" t="s">
        <v>36</v>
      </c>
      <c r="B275" s="11" t="s">
        <v>37</v>
      </c>
      <c r="C275" s="11" t="s">
        <v>17</v>
      </c>
      <c r="D275" s="12">
        <v>41737</v>
      </c>
      <c r="E275" s="12">
        <v>41741</v>
      </c>
      <c r="F275" s="13">
        <v>1321.5</v>
      </c>
      <c r="G275">
        <f t="shared" si="16"/>
        <v>5</v>
      </c>
      <c r="H275">
        <f t="shared" si="17"/>
        <v>126</v>
      </c>
      <c r="I275">
        <f t="shared" si="18"/>
        <v>4</v>
      </c>
      <c r="J275">
        <f t="shared" si="19"/>
        <v>4</v>
      </c>
    </row>
    <row r="276" spans="1:10" x14ac:dyDescent="0.25">
      <c r="A276" s="6" t="s">
        <v>31</v>
      </c>
      <c r="B276" s="7" t="s">
        <v>78</v>
      </c>
      <c r="C276" s="7" t="s">
        <v>72</v>
      </c>
      <c r="D276" s="8">
        <v>41743</v>
      </c>
      <c r="E276" s="8">
        <v>41747</v>
      </c>
      <c r="F276" s="9">
        <v>1290.7</v>
      </c>
      <c r="G276">
        <f t="shared" si="16"/>
        <v>5</v>
      </c>
      <c r="H276">
        <f t="shared" si="17"/>
        <v>126</v>
      </c>
      <c r="I276">
        <f t="shared" si="18"/>
        <v>4</v>
      </c>
      <c r="J276">
        <f t="shared" si="19"/>
        <v>4</v>
      </c>
    </row>
    <row r="277" spans="1:10" x14ac:dyDescent="0.25">
      <c r="A277" s="10" t="s">
        <v>25</v>
      </c>
      <c r="B277" s="11" t="s">
        <v>67</v>
      </c>
      <c r="C277" s="11" t="s">
        <v>8</v>
      </c>
      <c r="D277" s="12">
        <v>41743</v>
      </c>
      <c r="E277" s="12">
        <v>41745</v>
      </c>
      <c r="F277" s="13">
        <v>1102</v>
      </c>
      <c r="G277">
        <f t="shared" si="16"/>
        <v>3</v>
      </c>
      <c r="H277">
        <f t="shared" si="17"/>
        <v>78</v>
      </c>
      <c r="I277">
        <f t="shared" si="18"/>
        <v>2</v>
      </c>
      <c r="J277">
        <f t="shared" si="19"/>
        <v>2</v>
      </c>
    </row>
    <row r="278" spans="1:10" x14ac:dyDescent="0.25">
      <c r="A278" s="6" t="s">
        <v>33</v>
      </c>
      <c r="B278" s="7" t="s">
        <v>41</v>
      </c>
      <c r="C278" s="7" t="s">
        <v>8</v>
      </c>
      <c r="D278" s="8">
        <v>41743</v>
      </c>
      <c r="E278" s="8">
        <v>41744</v>
      </c>
      <c r="F278" s="9">
        <v>891</v>
      </c>
      <c r="G278">
        <f t="shared" si="16"/>
        <v>2</v>
      </c>
      <c r="H278">
        <f t="shared" si="17"/>
        <v>54</v>
      </c>
      <c r="I278">
        <f t="shared" si="18"/>
        <v>1</v>
      </c>
      <c r="J278">
        <f t="shared" si="19"/>
        <v>1</v>
      </c>
    </row>
    <row r="279" spans="1:10" x14ac:dyDescent="0.25">
      <c r="A279" s="10" t="s">
        <v>54</v>
      </c>
      <c r="B279" s="11" t="s">
        <v>121</v>
      </c>
      <c r="C279" s="11" t="s">
        <v>8</v>
      </c>
      <c r="D279" s="12">
        <v>41743</v>
      </c>
      <c r="E279" s="12">
        <v>41746</v>
      </c>
      <c r="F279" s="13">
        <v>1313</v>
      </c>
      <c r="G279">
        <f t="shared" si="16"/>
        <v>4</v>
      </c>
      <c r="H279">
        <f t="shared" si="17"/>
        <v>102</v>
      </c>
      <c r="I279">
        <f t="shared" si="18"/>
        <v>3</v>
      </c>
      <c r="J279">
        <f t="shared" si="19"/>
        <v>3</v>
      </c>
    </row>
    <row r="280" spans="1:10" x14ac:dyDescent="0.25">
      <c r="A280" s="6" t="s">
        <v>111</v>
      </c>
      <c r="B280" s="7" t="s">
        <v>112</v>
      </c>
      <c r="C280" s="7" t="s">
        <v>17</v>
      </c>
      <c r="D280" s="8">
        <v>41743</v>
      </c>
      <c r="E280" s="8">
        <v>41744</v>
      </c>
      <c r="F280" s="9">
        <v>706.5</v>
      </c>
      <c r="G280">
        <f t="shared" si="16"/>
        <v>2</v>
      </c>
      <c r="H280">
        <f t="shared" si="17"/>
        <v>54</v>
      </c>
      <c r="I280">
        <f t="shared" si="18"/>
        <v>1</v>
      </c>
      <c r="J280">
        <f t="shared" si="19"/>
        <v>1</v>
      </c>
    </row>
    <row r="281" spans="1:10" x14ac:dyDescent="0.25">
      <c r="A281" s="10" t="s">
        <v>131</v>
      </c>
      <c r="B281" s="11" t="s">
        <v>132</v>
      </c>
      <c r="C281" s="11" t="s">
        <v>17</v>
      </c>
      <c r="D281" s="12">
        <v>41743</v>
      </c>
      <c r="E281" s="12">
        <v>41745</v>
      </c>
      <c r="F281" s="13">
        <v>911.5</v>
      </c>
      <c r="G281">
        <f t="shared" si="16"/>
        <v>3</v>
      </c>
      <c r="H281">
        <f t="shared" si="17"/>
        <v>78</v>
      </c>
      <c r="I281">
        <f t="shared" si="18"/>
        <v>2</v>
      </c>
      <c r="J281">
        <f t="shared" si="19"/>
        <v>2</v>
      </c>
    </row>
    <row r="282" spans="1:10" x14ac:dyDescent="0.25">
      <c r="A282" s="6" t="s">
        <v>9</v>
      </c>
      <c r="B282" s="7" t="s">
        <v>103</v>
      </c>
      <c r="C282" s="7" t="s">
        <v>19</v>
      </c>
      <c r="D282" s="8">
        <v>41747</v>
      </c>
      <c r="E282" s="8">
        <v>41747</v>
      </c>
      <c r="F282" s="9">
        <v>513.4</v>
      </c>
      <c r="G282">
        <f t="shared" si="16"/>
        <v>1</v>
      </c>
      <c r="H282">
        <f t="shared" si="17"/>
        <v>30</v>
      </c>
      <c r="I282">
        <f t="shared" si="18"/>
        <v>0</v>
      </c>
      <c r="J282" t="str">
        <f t="shared" si="19"/>
        <v/>
      </c>
    </row>
    <row r="283" spans="1:10" x14ac:dyDescent="0.25">
      <c r="A283" s="10" t="s">
        <v>122</v>
      </c>
      <c r="B283" s="11" t="s">
        <v>123</v>
      </c>
      <c r="C283" s="11" t="s">
        <v>72</v>
      </c>
      <c r="D283" s="12">
        <v>41749</v>
      </c>
      <c r="E283" s="12">
        <v>41751</v>
      </c>
      <c r="F283" s="13">
        <v>892.7</v>
      </c>
      <c r="G283">
        <f t="shared" si="16"/>
        <v>3</v>
      </c>
      <c r="H283">
        <f t="shared" si="17"/>
        <v>78</v>
      </c>
      <c r="I283">
        <f t="shared" si="18"/>
        <v>2</v>
      </c>
      <c r="J283">
        <f t="shared" si="19"/>
        <v>2</v>
      </c>
    </row>
    <row r="284" spans="1:10" x14ac:dyDescent="0.25">
      <c r="A284" s="6" t="s">
        <v>15</v>
      </c>
      <c r="B284" s="7" t="s">
        <v>105</v>
      </c>
      <c r="C284" s="7" t="s">
        <v>47</v>
      </c>
      <c r="D284" s="8">
        <v>41749</v>
      </c>
      <c r="E284" s="8">
        <v>41750</v>
      </c>
      <c r="F284" s="9">
        <v>526.79999999999995</v>
      </c>
      <c r="G284">
        <f t="shared" si="16"/>
        <v>2</v>
      </c>
      <c r="H284">
        <f t="shared" si="17"/>
        <v>54</v>
      </c>
      <c r="I284">
        <f t="shared" si="18"/>
        <v>1</v>
      </c>
      <c r="J284">
        <f t="shared" si="19"/>
        <v>1</v>
      </c>
    </row>
    <row r="285" spans="1:10" x14ac:dyDescent="0.25">
      <c r="A285" s="10" t="s">
        <v>9</v>
      </c>
      <c r="B285" s="11" t="s">
        <v>103</v>
      </c>
      <c r="C285" s="11" t="s">
        <v>59</v>
      </c>
      <c r="D285" s="12">
        <v>41752</v>
      </c>
      <c r="E285" s="12">
        <v>41753</v>
      </c>
      <c r="F285" s="13">
        <v>601</v>
      </c>
      <c r="G285">
        <f t="shared" si="16"/>
        <v>2</v>
      </c>
      <c r="H285">
        <f t="shared" si="17"/>
        <v>54</v>
      </c>
      <c r="I285">
        <f t="shared" si="18"/>
        <v>1</v>
      </c>
      <c r="J285">
        <f t="shared" si="19"/>
        <v>1</v>
      </c>
    </row>
    <row r="286" spans="1:10" x14ac:dyDescent="0.25">
      <c r="A286" s="6" t="s">
        <v>75</v>
      </c>
      <c r="B286" s="7" t="s">
        <v>76</v>
      </c>
      <c r="C286" s="7" t="s">
        <v>47</v>
      </c>
      <c r="D286" s="8">
        <v>41752</v>
      </c>
      <c r="E286" s="8">
        <v>41753</v>
      </c>
      <c r="F286" s="9">
        <v>526.79999999999995</v>
      </c>
      <c r="G286">
        <f t="shared" si="16"/>
        <v>2</v>
      </c>
      <c r="H286">
        <f t="shared" si="17"/>
        <v>54</v>
      </c>
      <c r="I286">
        <f t="shared" si="18"/>
        <v>1</v>
      </c>
      <c r="J286">
        <f t="shared" si="19"/>
        <v>1</v>
      </c>
    </row>
    <row r="287" spans="1:10" x14ac:dyDescent="0.25">
      <c r="A287" s="10" t="s">
        <v>131</v>
      </c>
      <c r="B287" s="11" t="s">
        <v>132</v>
      </c>
      <c r="C287" s="11" t="s">
        <v>38</v>
      </c>
      <c r="D287" s="12">
        <v>41753</v>
      </c>
      <c r="E287" s="12">
        <v>41753</v>
      </c>
      <c r="F287" s="13">
        <v>278.8</v>
      </c>
      <c r="G287">
        <f t="shared" si="16"/>
        <v>1</v>
      </c>
      <c r="H287">
        <f t="shared" si="17"/>
        <v>30</v>
      </c>
      <c r="I287">
        <f t="shared" si="18"/>
        <v>0</v>
      </c>
      <c r="J287" t="str">
        <f t="shared" si="19"/>
        <v/>
      </c>
    </row>
    <row r="288" spans="1:10" x14ac:dyDescent="0.25">
      <c r="A288" s="6" t="s">
        <v>28</v>
      </c>
      <c r="B288" s="7" t="s">
        <v>60</v>
      </c>
      <c r="C288" s="7" t="s">
        <v>38</v>
      </c>
      <c r="D288" s="8">
        <v>41755</v>
      </c>
      <c r="E288" s="8">
        <v>41759</v>
      </c>
      <c r="F288" s="9">
        <v>794.8</v>
      </c>
      <c r="G288">
        <f t="shared" si="16"/>
        <v>5</v>
      </c>
      <c r="H288">
        <f t="shared" si="17"/>
        <v>126</v>
      </c>
      <c r="I288">
        <f t="shared" si="18"/>
        <v>4</v>
      </c>
      <c r="J288">
        <f t="shared" si="19"/>
        <v>4</v>
      </c>
    </row>
    <row r="289" spans="1:10" x14ac:dyDescent="0.25">
      <c r="A289" s="10" t="s">
        <v>25</v>
      </c>
      <c r="B289" s="11" t="s">
        <v>26</v>
      </c>
      <c r="C289" s="11" t="s">
        <v>59</v>
      </c>
      <c r="D289" s="12">
        <v>41755</v>
      </c>
      <c r="E289" s="12">
        <v>41758</v>
      </c>
      <c r="F289" s="13">
        <v>919</v>
      </c>
      <c r="G289">
        <f t="shared" si="16"/>
        <v>4</v>
      </c>
      <c r="H289">
        <f t="shared" si="17"/>
        <v>102</v>
      </c>
      <c r="I289">
        <f t="shared" si="18"/>
        <v>3</v>
      </c>
      <c r="J289">
        <f t="shared" si="19"/>
        <v>3</v>
      </c>
    </row>
    <row r="290" spans="1:10" x14ac:dyDescent="0.25">
      <c r="A290" s="6" t="s">
        <v>168</v>
      </c>
      <c r="B290" s="7" t="s">
        <v>169</v>
      </c>
      <c r="C290" s="7" t="s">
        <v>11</v>
      </c>
      <c r="D290" s="8">
        <v>41755</v>
      </c>
      <c r="E290" s="8">
        <v>41756</v>
      </c>
      <c r="F290" s="9">
        <v>295.39999999999998</v>
      </c>
      <c r="G290">
        <f t="shared" si="16"/>
        <v>2</v>
      </c>
      <c r="H290">
        <f t="shared" si="17"/>
        <v>54</v>
      </c>
      <c r="I290">
        <f t="shared" si="18"/>
        <v>1</v>
      </c>
      <c r="J290">
        <f t="shared" si="19"/>
        <v>1</v>
      </c>
    </row>
    <row r="291" spans="1:10" x14ac:dyDescent="0.25">
      <c r="A291" s="10" t="s">
        <v>25</v>
      </c>
      <c r="B291" s="11" t="s">
        <v>35</v>
      </c>
      <c r="C291" s="11" t="s">
        <v>47</v>
      </c>
      <c r="D291" s="12">
        <v>41755</v>
      </c>
      <c r="E291" s="12">
        <v>41756</v>
      </c>
      <c r="F291" s="13">
        <v>526.79999999999995</v>
      </c>
      <c r="G291">
        <f t="shared" si="16"/>
        <v>2</v>
      </c>
      <c r="H291">
        <f t="shared" si="17"/>
        <v>54</v>
      </c>
      <c r="I291">
        <f t="shared" si="18"/>
        <v>1</v>
      </c>
      <c r="J291">
        <f t="shared" si="19"/>
        <v>1</v>
      </c>
    </row>
    <row r="292" spans="1:10" x14ac:dyDescent="0.25">
      <c r="A292" s="6" t="s">
        <v>113</v>
      </c>
      <c r="B292" s="7" t="s">
        <v>114</v>
      </c>
      <c r="C292" s="7" t="s">
        <v>19</v>
      </c>
      <c r="D292" s="8">
        <v>41755</v>
      </c>
      <c r="E292" s="8">
        <v>41758</v>
      </c>
      <c r="F292" s="9">
        <v>936.4</v>
      </c>
      <c r="G292">
        <f t="shared" si="16"/>
        <v>4</v>
      </c>
      <c r="H292">
        <f t="shared" si="17"/>
        <v>102</v>
      </c>
      <c r="I292">
        <f t="shared" si="18"/>
        <v>3</v>
      </c>
      <c r="J292">
        <f t="shared" si="19"/>
        <v>3</v>
      </c>
    </row>
    <row r="293" spans="1:10" x14ac:dyDescent="0.25">
      <c r="A293" s="10" t="s">
        <v>91</v>
      </c>
      <c r="B293" s="11" t="s">
        <v>92</v>
      </c>
      <c r="C293" s="11" t="s">
        <v>11</v>
      </c>
      <c r="D293" s="12">
        <v>41755</v>
      </c>
      <c r="E293" s="12">
        <v>41755</v>
      </c>
      <c r="F293" s="13">
        <v>156.4</v>
      </c>
      <c r="G293">
        <f t="shared" si="16"/>
        <v>1</v>
      </c>
      <c r="H293">
        <f t="shared" si="17"/>
        <v>30</v>
      </c>
      <c r="I293">
        <f t="shared" si="18"/>
        <v>0</v>
      </c>
      <c r="J293" t="str">
        <f t="shared" si="19"/>
        <v/>
      </c>
    </row>
    <row r="294" spans="1:10" x14ac:dyDescent="0.25">
      <c r="A294" s="6" t="s">
        <v>6</v>
      </c>
      <c r="B294" s="7" t="s">
        <v>139</v>
      </c>
      <c r="C294" s="7" t="s">
        <v>17</v>
      </c>
      <c r="D294" s="8">
        <v>41757</v>
      </c>
      <c r="E294" s="8">
        <v>41758</v>
      </c>
      <c r="F294" s="9">
        <v>706.5</v>
      </c>
      <c r="G294">
        <f t="shared" si="16"/>
        <v>2</v>
      </c>
      <c r="H294">
        <f t="shared" si="17"/>
        <v>54</v>
      </c>
      <c r="I294">
        <f t="shared" si="18"/>
        <v>1</v>
      </c>
      <c r="J294">
        <f t="shared" si="19"/>
        <v>1</v>
      </c>
    </row>
    <row r="295" spans="1:10" x14ac:dyDescent="0.25">
      <c r="A295" s="10" t="s">
        <v>28</v>
      </c>
      <c r="B295" s="11" t="s">
        <v>29</v>
      </c>
      <c r="C295" s="11" t="s">
        <v>19</v>
      </c>
      <c r="D295" s="12">
        <v>41761</v>
      </c>
      <c r="E295" s="12">
        <v>41765</v>
      </c>
      <c r="F295" s="13">
        <v>1077.4000000000001</v>
      </c>
      <c r="G295">
        <f t="shared" si="16"/>
        <v>5</v>
      </c>
      <c r="H295">
        <f t="shared" si="17"/>
        <v>126</v>
      </c>
      <c r="I295">
        <f t="shared" si="18"/>
        <v>4</v>
      </c>
      <c r="J295">
        <f t="shared" si="19"/>
        <v>4</v>
      </c>
    </row>
    <row r="296" spans="1:10" x14ac:dyDescent="0.25">
      <c r="A296" s="6" t="s">
        <v>31</v>
      </c>
      <c r="B296" s="7" t="s">
        <v>32</v>
      </c>
      <c r="C296" s="7" t="s">
        <v>14</v>
      </c>
      <c r="D296" s="8">
        <v>41761</v>
      </c>
      <c r="E296" s="8">
        <v>41763</v>
      </c>
      <c r="F296" s="9">
        <v>426.5</v>
      </c>
      <c r="G296">
        <f t="shared" si="16"/>
        <v>3</v>
      </c>
      <c r="H296">
        <f t="shared" si="17"/>
        <v>78</v>
      </c>
      <c r="I296">
        <f t="shared" si="18"/>
        <v>2</v>
      </c>
      <c r="J296">
        <f t="shared" si="19"/>
        <v>2</v>
      </c>
    </row>
    <row r="297" spans="1:10" x14ac:dyDescent="0.25">
      <c r="A297" s="10" t="s">
        <v>97</v>
      </c>
      <c r="B297" s="11" t="s">
        <v>98</v>
      </c>
      <c r="C297" s="11" t="s">
        <v>17</v>
      </c>
      <c r="D297" s="12">
        <v>41761</v>
      </c>
      <c r="E297" s="12">
        <v>41762</v>
      </c>
      <c r="F297" s="13">
        <v>706.5</v>
      </c>
      <c r="G297">
        <f t="shared" si="16"/>
        <v>2</v>
      </c>
      <c r="H297">
        <f t="shared" si="17"/>
        <v>54</v>
      </c>
      <c r="I297">
        <f t="shared" si="18"/>
        <v>1</v>
      </c>
      <c r="J297">
        <f t="shared" si="19"/>
        <v>1</v>
      </c>
    </row>
    <row r="298" spans="1:10" x14ac:dyDescent="0.25">
      <c r="A298" s="6" t="s">
        <v>22</v>
      </c>
      <c r="B298" s="7" t="s">
        <v>23</v>
      </c>
      <c r="C298" s="7" t="s">
        <v>19</v>
      </c>
      <c r="D298" s="8">
        <v>41764</v>
      </c>
      <c r="E298" s="8">
        <v>41765</v>
      </c>
      <c r="F298" s="9">
        <v>654.4</v>
      </c>
      <c r="G298">
        <f t="shared" si="16"/>
        <v>2</v>
      </c>
      <c r="H298">
        <f t="shared" si="17"/>
        <v>54</v>
      </c>
      <c r="I298">
        <f t="shared" si="18"/>
        <v>1</v>
      </c>
      <c r="J298">
        <f t="shared" si="19"/>
        <v>1</v>
      </c>
    </row>
    <row r="299" spans="1:10" x14ac:dyDescent="0.25">
      <c r="A299" s="10" t="s">
        <v>15</v>
      </c>
      <c r="B299" s="11" t="s">
        <v>44</v>
      </c>
      <c r="C299" s="11" t="s">
        <v>24</v>
      </c>
      <c r="D299" s="12">
        <v>41764</v>
      </c>
      <c r="E299" s="12">
        <v>41764</v>
      </c>
      <c r="F299" s="13">
        <v>290.7</v>
      </c>
      <c r="G299">
        <f t="shared" si="16"/>
        <v>1</v>
      </c>
      <c r="H299">
        <f t="shared" si="17"/>
        <v>30</v>
      </c>
      <c r="I299">
        <f t="shared" si="18"/>
        <v>0</v>
      </c>
      <c r="J299" t="str">
        <f t="shared" si="19"/>
        <v/>
      </c>
    </row>
    <row r="300" spans="1:10" x14ac:dyDescent="0.25">
      <c r="A300" s="6" t="s">
        <v>166</v>
      </c>
      <c r="B300" s="7" t="s">
        <v>167</v>
      </c>
      <c r="C300" s="7" t="s">
        <v>27</v>
      </c>
      <c r="D300" s="8">
        <v>41765</v>
      </c>
      <c r="E300" s="8">
        <v>41766</v>
      </c>
      <c r="F300" s="9">
        <v>570</v>
      </c>
      <c r="G300">
        <f t="shared" si="16"/>
        <v>2</v>
      </c>
      <c r="H300">
        <f t="shared" si="17"/>
        <v>54</v>
      </c>
      <c r="I300">
        <f t="shared" si="18"/>
        <v>1</v>
      </c>
      <c r="J300">
        <f t="shared" si="19"/>
        <v>1</v>
      </c>
    </row>
    <row r="301" spans="1:10" x14ac:dyDescent="0.25">
      <c r="A301" s="10" t="s">
        <v>82</v>
      </c>
      <c r="B301" s="11" t="s">
        <v>83</v>
      </c>
      <c r="C301" s="11" t="s">
        <v>17</v>
      </c>
      <c r="D301" s="12">
        <v>41767</v>
      </c>
      <c r="E301" s="12">
        <v>41770</v>
      </c>
      <c r="F301" s="13">
        <v>1116.5</v>
      </c>
      <c r="G301">
        <f t="shared" si="16"/>
        <v>4</v>
      </c>
      <c r="H301">
        <f t="shared" si="17"/>
        <v>102</v>
      </c>
      <c r="I301">
        <f t="shared" si="18"/>
        <v>3</v>
      </c>
      <c r="J301">
        <f t="shared" si="19"/>
        <v>3</v>
      </c>
    </row>
    <row r="302" spans="1:10" x14ac:dyDescent="0.25">
      <c r="A302" s="6" t="s">
        <v>84</v>
      </c>
      <c r="B302" s="7" t="s">
        <v>85</v>
      </c>
      <c r="C302" s="7" t="s">
        <v>8</v>
      </c>
      <c r="D302" s="8">
        <v>41767</v>
      </c>
      <c r="E302" s="8">
        <v>41769</v>
      </c>
      <c r="F302" s="9">
        <v>1102</v>
      </c>
      <c r="G302">
        <f t="shared" si="16"/>
        <v>3</v>
      </c>
      <c r="H302">
        <f t="shared" si="17"/>
        <v>78</v>
      </c>
      <c r="I302">
        <f t="shared" si="18"/>
        <v>2</v>
      </c>
      <c r="J302">
        <f t="shared" si="19"/>
        <v>2</v>
      </c>
    </row>
    <row r="303" spans="1:10" x14ac:dyDescent="0.25">
      <c r="A303" s="10" t="s">
        <v>99</v>
      </c>
      <c r="B303" s="11" t="s">
        <v>130</v>
      </c>
      <c r="C303" s="11" t="s">
        <v>14</v>
      </c>
      <c r="D303" s="12">
        <v>41767</v>
      </c>
      <c r="E303" s="12">
        <v>41768</v>
      </c>
      <c r="F303" s="13">
        <v>302.5</v>
      </c>
      <c r="G303">
        <f t="shared" si="16"/>
        <v>2</v>
      </c>
      <c r="H303">
        <f t="shared" si="17"/>
        <v>54</v>
      </c>
      <c r="I303">
        <f t="shared" si="18"/>
        <v>1</v>
      </c>
      <c r="J303">
        <f t="shared" si="19"/>
        <v>1</v>
      </c>
    </row>
    <row r="304" spans="1:10" x14ac:dyDescent="0.25">
      <c r="A304" s="6" t="s">
        <v>73</v>
      </c>
      <c r="B304" s="7" t="s">
        <v>74</v>
      </c>
      <c r="C304" s="7" t="s">
        <v>11</v>
      </c>
      <c r="D304" s="8">
        <v>41767</v>
      </c>
      <c r="E304" s="8">
        <v>41770</v>
      </c>
      <c r="F304" s="9">
        <v>573.4</v>
      </c>
      <c r="G304">
        <f t="shared" si="16"/>
        <v>4</v>
      </c>
      <c r="H304">
        <f t="shared" si="17"/>
        <v>102</v>
      </c>
      <c r="I304">
        <f t="shared" si="18"/>
        <v>3</v>
      </c>
      <c r="J304">
        <f t="shared" si="19"/>
        <v>3</v>
      </c>
    </row>
    <row r="305" spans="1:10" x14ac:dyDescent="0.25">
      <c r="A305" s="10" t="s">
        <v>36</v>
      </c>
      <c r="B305" s="11" t="s">
        <v>37</v>
      </c>
      <c r="C305" s="11" t="s">
        <v>19</v>
      </c>
      <c r="D305" s="12">
        <v>41767</v>
      </c>
      <c r="E305" s="12">
        <v>41770</v>
      </c>
      <c r="F305" s="13">
        <v>936.4</v>
      </c>
      <c r="G305">
        <f t="shared" si="16"/>
        <v>4</v>
      </c>
      <c r="H305">
        <f t="shared" si="17"/>
        <v>102</v>
      </c>
      <c r="I305">
        <f t="shared" si="18"/>
        <v>3</v>
      </c>
      <c r="J305">
        <f t="shared" si="19"/>
        <v>3</v>
      </c>
    </row>
    <row r="306" spans="1:10" x14ac:dyDescent="0.25">
      <c r="A306" s="6" t="s">
        <v>75</v>
      </c>
      <c r="B306" s="7" t="s">
        <v>76</v>
      </c>
      <c r="C306" s="7" t="s">
        <v>66</v>
      </c>
      <c r="D306" s="8">
        <v>41767</v>
      </c>
      <c r="E306" s="8">
        <v>41771</v>
      </c>
      <c r="F306" s="9">
        <v>1019.7</v>
      </c>
      <c r="G306">
        <f t="shared" si="16"/>
        <v>5</v>
      </c>
      <c r="H306">
        <f t="shared" si="17"/>
        <v>126</v>
      </c>
      <c r="I306">
        <f t="shared" si="18"/>
        <v>4</v>
      </c>
      <c r="J306">
        <f t="shared" si="19"/>
        <v>4</v>
      </c>
    </row>
    <row r="307" spans="1:10" x14ac:dyDescent="0.25">
      <c r="A307" s="10" t="s">
        <v>122</v>
      </c>
      <c r="B307" s="11" t="s">
        <v>123</v>
      </c>
      <c r="C307" s="11" t="s">
        <v>11</v>
      </c>
      <c r="D307" s="12">
        <v>41773</v>
      </c>
      <c r="E307" s="12">
        <v>41776</v>
      </c>
      <c r="F307" s="13">
        <v>573.4</v>
      </c>
      <c r="G307">
        <f t="shared" si="16"/>
        <v>4</v>
      </c>
      <c r="H307">
        <f t="shared" si="17"/>
        <v>102</v>
      </c>
      <c r="I307">
        <f t="shared" si="18"/>
        <v>3</v>
      </c>
      <c r="J307">
        <f t="shared" si="19"/>
        <v>3</v>
      </c>
    </row>
    <row r="308" spans="1:10" x14ac:dyDescent="0.25">
      <c r="A308" s="6" t="s">
        <v>15</v>
      </c>
      <c r="B308" s="7" t="s">
        <v>46</v>
      </c>
      <c r="C308" s="7" t="s">
        <v>24</v>
      </c>
      <c r="D308" s="8">
        <v>41773</v>
      </c>
      <c r="E308" s="8">
        <v>41777</v>
      </c>
      <c r="F308" s="9">
        <v>886.7</v>
      </c>
      <c r="G308">
        <f t="shared" si="16"/>
        <v>5</v>
      </c>
      <c r="H308">
        <f t="shared" si="17"/>
        <v>126</v>
      </c>
      <c r="I308">
        <f t="shared" si="18"/>
        <v>4</v>
      </c>
      <c r="J308">
        <f t="shared" si="19"/>
        <v>4</v>
      </c>
    </row>
    <row r="309" spans="1:10" x14ac:dyDescent="0.25">
      <c r="A309" s="10" t="s">
        <v>25</v>
      </c>
      <c r="B309" s="11" t="s">
        <v>67</v>
      </c>
      <c r="C309" s="11" t="s">
        <v>19</v>
      </c>
      <c r="D309" s="12">
        <v>41773</v>
      </c>
      <c r="E309" s="12">
        <v>41777</v>
      </c>
      <c r="F309" s="13">
        <v>1077.4000000000001</v>
      </c>
      <c r="G309">
        <f t="shared" si="16"/>
        <v>5</v>
      </c>
      <c r="H309">
        <f t="shared" si="17"/>
        <v>126</v>
      </c>
      <c r="I309">
        <f t="shared" si="18"/>
        <v>4</v>
      </c>
      <c r="J309">
        <f t="shared" si="19"/>
        <v>4</v>
      </c>
    </row>
    <row r="310" spans="1:10" x14ac:dyDescent="0.25">
      <c r="A310" s="6" t="s">
        <v>28</v>
      </c>
      <c r="B310" s="7" t="s">
        <v>60</v>
      </c>
      <c r="C310" s="7" t="s">
        <v>24</v>
      </c>
      <c r="D310" s="8">
        <v>41773</v>
      </c>
      <c r="E310" s="8">
        <v>41774</v>
      </c>
      <c r="F310" s="9">
        <v>439.7</v>
      </c>
      <c r="G310">
        <f t="shared" si="16"/>
        <v>2</v>
      </c>
      <c r="H310">
        <f t="shared" si="17"/>
        <v>54</v>
      </c>
      <c r="I310">
        <f t="shared" si="18"/>
        <v>1</v>
      </c>
      <c r="J310">
        <f t="shared" si="19"/>
        <v>1</v>
      </c>
    </row>
    <row r="311" spans="1:10" x14ac:dyDescent="0.25">
      <c r="A311" s="10" t="s">
        <v>31</v>
      </c>
      <c r="B311" s="11" t="s">
        <v>32</v>
      </c>
      <c r="C311" s="11" t="s">
        <v>24</v>
      </c>
      <c r="D311" s="12">
        <v>41773</v>
      </c>
      <c r="E311" s="12">
        <v>41775</v>
      </c>
      <c r="F311" s="13">
        <v>588.70000000000005</v>
      </c>
      <c r="G311">
        <f t="shared" si="16"/>
        <v>3</v>
      </c>
      <c r="H311">
        <f t="shared" si="17"/>
        <v>78</v>
      </c>
      <c r="I311">
        <f t="shared" si="18"/>
        <v>2</v>
      </c>
      <c r="J311">
        <f t="shared" si="19"/>
        <v>2</v>
      </c>
    </row>
    <row r="312" spans="1:10" x14ac:dyDescent="0.25">
      <c r="A312" s="6" t="s">
        <v>137</v>
      </c>
      <c r="B312" s="7" t="s">
        <v>160</v>
      </c>
      <c r="C312" s="7" t="s">
        <v>38</v>
      </c>
      <c r="D312" s="8">
        <v>41773</v>
      </c>
      <c r="E312" s="8">
        <v>41774</v>
      </c>
      <c r="F312" s="9">
        <v>407.8</v>
      </c>
      <c r="G312">
        <f t="shared" si="16"/>
        <v>2</v>
      </c>
      <c r="H312">
        <f t="shared" si="17"/>
        <v>54</v>
      </c>
      <c r="I312">
        <f t="shared" si="18"/>
        <v>1</v>
      </c>
      <c r="J312">
        <f t="shared" si="19"/>
        <v>1</v>
      </c>
    </row>
    <row r="313" spans="1:10" x14ac:dyDescent="0.25">
      <c r="A313" s="10" t="s">
        <v>31</v>
      </c>
      <c r="B313" s="11" t="s">
        <v>77</v>
      </c>
      <c r="C313" s="11" t="s">
        <v>24</v>
      </c>
      <c r="D313" s="12">
        <v>41773</v>
      </c>
      <c r="E313" s="12">
        <v>41775</v>
      </c>
      <c r="F313" s="13">
        <v>588.70000000000005</v>
      </c>
      <c r="G313">
        <f t="shared" si="16"/>
        <v>3</v>
      </c>
      <c r="H313">
        <f t="shared" si="17"/>
        <v>78</v>
      </c>
      <c r="I313">
        <f t="shared" si="18"/>
        <v>2</v>
      </c>
      <c r="J313">
        <f t="shared" si="19"/>
        <v>2</v>
      </c>
    </row>
    <row r="314" spans="1:10" x14ac:dyDescent="0.25">
      <c r="A314" s="6" t="s">
        <v>33</v>
      </c>
      <c r="B314" s="7" t="s">
        <v>41</v>
      </c>
      <c r="C314" s="7" t="s">
        <v>72</v>
      </c>
      <c r="D314" s="8">
        <v>41779</v>
      </c>
      <c r="E314" s="8">
        <v>41780</v>
      </c>
      <c r="F314" s="9">
        <v>693.7</v>
      </c>
      <c r="G314">
        <f t="shared" si="16"/>
        <v>2</v>
      </c>
      <c r="H314">
        <f t="shared" si="17"/>
        <v>54</v>
      </c>
      <c r="I314">
        <f t="shared" si="18"/>
        <v>1</v>
      </c>
      <c r="J314">
        <f t="shared" si="19"/>
        <v>1</v>
      </c>
    </row>
    <row r="315" spans="1:10" x14ac:dyDescent="0.25">
      <c r="A315" s="10" t="s">
        <v>15</v>
      </c>
      <c r="B315" s="11" t="s">
        <v>105</v>
      </c>
      <c r="C315" s="11" t="s">
        <v>14</v>
      </c>
      <c r="D315" s="12">
        <v>41779</v>
      </c>
      <c r="E315" s="12">
        <v>41783</v>
      </c>
      <c r="F315" s="13">
        <v>674.5</v>
      </c>
      <c r="G315">
        <f t="shared" si="16"/>
        <v>5</v>
      </c>
      <c r="H315">
        <f t="shared" si="17"/>
        <v>126</v>
      </c>
      <c r="I315">
        <f t="shared" si="18"/>
        <v>4</v>
      </c>
      <c r="J315">
        <f t="shared" si="19"/>
        <v>4</v>
      </c>
    </row>
    <row r="316" spans="1:10" x14ac:dyDescent="0.25">
      <c r="A316" s="6" t="s">
        <v>151</v>
      </c>
      <c r="B316" s="7" t="s">
        <v>152</v>
      </c>
      <c r="C316" s="7" t="s">
        <v>30</v>
      </c>
      <c r="D316" s="8">
        <v>41779</v>
      </c>
      <c r="E316" s="8">
        <v>41782</v>
      </c>
      <c r="F316" s="9">
        <v>569.5</v>
      </c>
      <c r="G316">
        <f t="shared" si="16"/>
        <v>4</v>
      </c>
      <c r="H316">
        <f t="shared" si="17"/>
        <v>102</v>
      </c>
      <c r="I316">
        <f t="shared" si="18"/>
        <v>3</v>
      </c>
      <c r="J316">
        <f t="shared" si="19"/>
        <v>3</v>
      </c>
    </row>
    <row r="317" spans="1:10" x14ac:dyDescent="0.25">
      <c r="A317" s="10" t="s">
        <v>166</v>
      </c>
      <c r="B317" s="11" t="s">
        <v>167</v>
      </c>
      <c r="C317" s="11" t="s">
        <v>27</v>
      </c>
      <c r="D317" s="12">
        <v>41779</v>
      </c>
      <c r="E317" s="12">
        <v>41782</v>
      </c>
      <c r="F317" s="13">
        <v>826</v>
      </c>
      <c r="G317">
        <f t="shared" si="16"/>
        <v>4</v>
      </c>
      <c r="H317">
        <f t="shared" si="17"/>
        <v>102</v>
      </c>
      <c r="I317">
        <f t="shared" si="18"/>
        <v>3</v>
      </c>
      <c r="J317">
        <f t="shared" si="19"/>
        <v>3</v>
      </c>
    </row>
    <row r="318" spans="1:10" x14ac:dyDescent="0.25">
      <c r="A318" s="6" t="s">
        <v>158</v>
      </c>
      <c r="B318" s="7" t="s">
        <v>159</v>
      </c>
      <c r="C318" s="7" t="s">
        <v>24</v>
      </c>
      <c r="D318" s="8">
        <v>41779</v>
      </c>
      <c r="E318" s="8">
        <v>41783</v>
      </c>
      <c r="F318" s="9">
        <v>886.7</v>
      </c>
      <c r="G318">
        <f t="shared" si="16"/>
        <v>5</v>
      </c>
      <c r="H318">
        <f t="shared" si="17"/>
        <v>126</v>
      </c>
      <c r="I318">
        <f t="shared" si="18"/>
        <v>4</v>
      </c>
      <c r="J318">
        <f t="shared" si="19"/>
        <v>4</v>
      </c>
    </row>
    <row r="319" spans="1:10" x14ac:dyDescent="0.25">
      <c r="A319" s="10" t="s">
        <v>91</v>
      </c>
      <c r="B319" s="11" t="s">
        <v>92</v>
      </c>
      <c r="C319" s="11" t="s">
        <v>66</v>
      </c>
      <c r="D319" s="12">
        <v>41779</v>
      </c>
      <c r="E319" s="12">
        <v>41782</v>
      </c>
      <c r="F319" s="13">
        <v>841.7</v>
      </c>
      <c r="G319">
        <f t="shared" si="16"/>
        <v>4</v>
      </c>
      <c r="H319">
        <f t="shared" si="17"/>
        <v>102</v>
      </c>
      <c r="I319">
        <f t="shared" si="18"/>
        <v>3</v>
      </c>
      <c r="J319">
        <f t="shared" si="19"/>
        <v>3</v>
      </c>
    </row>
    <row r="320" spans="1:10" x14ac:dyDescent="0.25">
      <c r="A320" s="6" t="s">
        <v>15</v>
      </c>
      <c r="B320" s="7" t="s">
        <v>44</v>
      </c>
      <c r="C320" s="7" t="s">
        <v>72</v>
      </c>
      <c r="D320" s="8">
        <v>41785</v>
      </c>
      <c r="E320" s="8">
        <v>41787</v>
      </c>
      <c r="F320" s="9">
        <v>892.7</v>
      </c>
      <c r="G320">
        <f t="shared" si="16"/>
        <v>3</v>
      </c>
      <c r="H320">
        <f t="shared" si="17"/>
        <v>78</v>
      </c>
      <c r="I320">
        <f t="shared" si="18"/>
        <v>2</v>
      </c>
      <c r="J320">
        <f t="shared" si="19"/>
        <v>2</v>
      </c>
    </row>
    <row r="321" spans="1:10" x14ac:dyDescent="0.25">
      <c r="A321" s="10" t="s">
        <v>131</v>
      </c>
      <c r="B321" s="11" t="s">
        <v>154</v>
      </c>
      <c r="C321" s="11" t="s">
        <v>66</v>
      </c>
      <c r="D321" s="12">
        <v>41785</v>
      </c>
      <c r="E321" s="12">
        <v>41789</v>
      </c>
      <c r="F321" s="13">
        <v>1019.7</v>
      </c>
      <c r="G321">
        <f t="shared" si="16"/>
        <v>5</v>
      </c>
      <c r="H321">
        <f t="shared" si="17"/>
        <v>126</v>
      </c>
      <c r="I321">
        <f t="shared" si="18"/>
        <v>4</v>
      </c>
      <c r="J321">
        <f t="shared" si="19"/>
        <v>4</v>
      </c>
    </row>
    <row r="322" spans="1:10" x14ac:dyDescent="0.25">
      <c r="A322" s="6" t="s">
        <v>79</v>
      </c>
      <c r="B322" s="7" t="s">
        <v>80</v>
      </c>
      <c r="C322" s="7" t="s">
        <v>11</v>
      </c>
      <c r="D322" s="8">
        <v>41785</v>
      </c>
      <c r="E322" s="8">
        <v>41787</v>
      </c>
      <c r="F322" s="9">
        <v>434.4</v>
      </c>
      <c r="G322">
        <f t="shared" si="16"/>
        <v>3</v>
      </c>
      <c r="H322">
        <f t="shared" si="17"/>
        <v>78</v>
      </c>
      <c r="I322">
        <f t="shared" si="18"/>
        <v>2</v>
      </c>
      <c r="J322">
        <f t="shared" si="19"/>
        <v>2</v>
      </c>
    </row>
    <row r="323" spans="1:10" x14ac:dyDescent="0.25">
      <c r="A323" s="10" t="s">
        <v>57</v>
      </c>
      <c r="B323" s="11" t="s">
        <v>163</v>
      </c>
      <c r="C323" s="11" t="s">
        <v>59</v>
      </c>
      <c r="D323" s="12">
        <v>41785</v>
      </c>
      <c r="E323" s="12">
        <v>41788</v>
      </c>
      <c r="F323" s="13">
        <v>919</v>
      </c>
      <c r="G323">
        <f t="shared" ref="G323:G386" si="20">E323-D323 + 1</f>
        <v>4</v>
      </c>
      <c r="H323">
        <f t="shared" ref="H323:H386" si="21">30+(G323-1)*24</f>
        <v>102</v>
      </c>
      <c r="I323">
        <f t="shared" ref="I323:I386" si="22">G323-1</f>
        <v>3</v>
      </c>
      <c r="J323">
        <f t="shared" ref="J323:J386" si="23">IF(G323&gt;=2,I323,"")</f>
        <v>3</v>
      </c>
    </row>
    <row r="324" spans="1:10" x14ac:dyDescent="0.25">
      <c r="A324" s="6" t="s">
        <v>25</v>
      </c>
      <c r="B324" s="7" t="s">
        <v>26</v>
      </c>
      <c r="C324" s="7" t="s">
        <v>59</v>
      </c>
      <c r="D324" s="8">
        <v>41785</v>
      </c>
      <c r="E324" s="8">
        <v>41788</v>
      </c>
      <c r="F324" s="9">
        <v>919</v>
      </c>
      <c r="G324">
        <f t="shared" si="20"/>
        <v>4</v>
      </c>
      <c r="H324">
        <f t="shared" si="21"/>
        <v>102</v>
      </c>
      <c r="I324">
        <f t="shared" si="22"/>
        <v>3</v>
      </c>
      <c r="J324">
        <f t="shared" si="23"/>
        <v>3</v>
      </c>
    </row>
    <row r="325" spans="1:10" x14ac:dyDescent="0.25">
      <c r="A325" s="10" t="s">
        <v>36</v>
      </c>
      <c r="B325" s="11" t="s">
        <v>37</v>
      </c>
      <c r="C325" s="11" t="s">
        <v>59</v>
      </c>
      <c r="D325" s="12">
        <v>41785</v>
      </c>
      <c r="E325" s="12">
        <v>41787</v>
      </c>
      <c r="F325" s="13">
        <v>760</v>
      </c>
      <c r="G325">
        <f t="shared" si="20"/>
        <v>3</v>
      </c>
      <c r="H325">
        <f t="shared" si="21"/>
        <v>78</v>
      </c>
      <c r="I325">
        <f t="shared" si="22"/>
        <v>2</v>
      </c>
      <c r="J325">
        <f t="shared" si="23"/>
        <v>2</v>
      </c>
    </row>
    <row r="326" spans="1:10" x14ac:dyDescent="0.25">
      <c r="A326" s="6" t="s">
        <v>15</v>
      </c>
      <c r="B326" s="7" t="s">
        <v>44</v>
      </c>
      <c r="C326" s="7" t="s">
        <v>19</v>
      </c>
      <c r="D326" s="8">
        <v>41791</v>
      </c>
      <c r="E326" s="8">
        <v>41794</v>
      </c>
      <c r="F326" s="9">
        <v>936.4</v>
      </c>
      <c r="G326">
        <f t="shared" si="20"/>
        <v>4</v>
      </c>
      <c r="H326">
        <f t="shared" si="21"/>
        <v>102</v>
      </c>
      <c r="I326">
        <f t="shared" si="22"/>
        <v>3</v>
      </c>
      <c r="J326">
        <f t="shared" si="23"/>
        <v>3</v>
      </c>
    </row>
    <row r="327" spans="1:10" x14ac:dyDescent="0.25">
      <c r="A327" s="10" t="s">
        <v>115</v>
      </c>
      <c r="B327" s="11" t="s">
        <v>153</v>
      </c>
      <c r="C327" s="11" t="s">
        <v>24</v>
      </c>
      <c r="D327" s="12">
        <v>41791</v>
      </c>
      <c r="E327" s="12">
        <v>41794</v>
      </c>
      <c r="F327" s="13">
        <v>737.7</v>
      </c>
      <c r="G327">
        <f t="shared" si="20"/>
        <v>4</v>
      </c>
      <c r="H327">
        <f t="shared" si="21"/>
        <v>102</v>
      </c>
      <c r="I327">
        <f t="shared" si="22"/>
        <v>3</v>
      </c>
      <c r="J327">
        <f t="shared" si="23"/>
        <v>3</v>
      </c>
    </row>
    <row r="328" spans="1:10" x14ac:dyDescent="0.25">
      <c r="A328" s="6" t="s">
        <v>93</v>
      </c>
      <c r="B328" s="7" t="s">
        <v>124</v>
      </c>
      <c r="C328" s="7" t="s">
        <v>24</v>
      </c>
      <c r="D328" s="8">
        <v>41791</v>
      </c>
      <c r="E328" s="8">
        <v>41795</v>
      </c>
      <c r="F328" s="9">
        <v>886.7</v>
      </c>
      <c r="G328">
        <f t="shared" si="20"/>
        <v>5</v>
      </c>
      <c r="H328">
        <f t="shared" si="21"/>
        <v>126</v>
      </c>
      <c r="I328">
        <f t="shared" si="22"/>
        <v>4</v>
      </c>
      <c r="J328">
        <f t="shared" si="23"/>
        <v>4</v>
      </c>
    </row>
    <row r="329" spans="1:10" x14ac:dyDescent="0.25">
      <c r="A329" s="10" t="s">
        <v>25</v>
      </c>
      <c r="B329" s="11" t="s">
        <v>67</v>
      </c>
      <c r="C329" s="11" t="s">
        <v>30</v>
      </c>
      <c r="D329" s="12">
        <v>41791</v>
      </c>
      <c r="E329" s="12">
        <v>41793</v>
      </c>
      <c r="F329" s="13">
        <v>450.5</v>
      </c>
      <c r="G329">
        <f t="shared" si="20"/>
        <v>3</v>
      </c>
      <c r="H329">
        <f t="shared" si="21"/>
        <v>78</v>
      </c>
      <c r="I329">
        <f t="shared" si="22"/>
        <v>2</v>
      </c>
      <c r="J329">
        <f t="shared" si="23"/>
        <v>2</v>
      </c>
    </row>
    <row r="330" spans="1:10" x14ac:dyDescent="0.25">
      <c r="A330" s="6" t="s">
        <v>84</v>
      </c>
      <c r="B330" s="7" t="s">
        <v>85</v>
      </c>
      <c r="C330" s="7" t="s">
        <v>19</v>
      </c>
      <c r="D330" s="8">
        <v>41791</v>
      </c>
      <c r="E330" s="8">
        <v>41794</v>
      </c>
      <c r="F330" s="9">
        <v>936.4</v>
      </c>
      <c r="G330">
        <f t="shared" si="20"/>
        <v>4</v>
      </c>
      <c r="H330">
        <f t="shared" si="21"/>
        <v>102</v>
      </c>
      <c r="I330">
        <f t="shared" si="22"/>
        <v>3</v>
      </c>
      <c r="J330">
        <f t="shared" si="23"/>
        <v>3</v>
      </c>
    </row>
    <row r="331" spans="1:10" x14ac:dyDescent="0.25">
      <c r="A331" s="10" t="s">
        <v>134</v>
      </c>
      <c r="B331" s="11" t="s">
        <v>149</v>
      </c>
      <c r="C331" s="11" t="s">
        <v>24</v>
      </c>
      <c r="D331" s="12">
        <v>41791</v>
      </c>
      <c r="E331" s="12">
        <v>41793</v>
      </c>
      <c r="F331" s="13">
        <v>588.70000000000005</v>
      </c>
      <c r="G331">
        <f t="shared" si="20"/>
        <v>3</v>
      </c>
      <c r="H331">
        <f t="shared" si="21"/>
        <v>78</v>
      </c>
      <c r="I331">
        <f t="shared" si="22"/>
        <v>2</v>
      </c>
      <c r="J331">
        <f t="shared" si="23"/>
        <v>2</v>
      </c>
    </row>
    <row r="332" spans="1:10" x14ac:dyDescent="0.25">
      <c r="A332" s="6" t="s">
        <v>15</v>
      </c>
      <c r="B332" s="7" t="s">
        <v>96</v>
      </c>
      <c r="C332" s="7" t="s">
        <v>59</v>
      </c>
      <c r="D332" s="8">
        <v>41791</v>
      </c>
      <c r="E332" s="8">
        <v>41793</v>
      </c>
      <c r="F332" s="9">
        <v>760</v>
      </c>
      <c r="G332">
        <f t="shared" si="20"/>
        <v>3</v>
      </c>
      <c r="H332">
        <f t="shared" si="21"/>
        <v>78</v>
      </c>
      <c r="I332">
        <f t="shared" si="22"/>
        <v>2</v>
      </c>
      <c r="J332">
        <f t="shared" si="23"/>
        <v>2</v>
      </c>
    </row>
    <row r="333" spans="1:10" x14ac:dyDescent="0.25">
      <c r="A333" s="10" t="s">
        <v>28</v>
      </c>
      <c r="B333" s="11" t="s">
        <v>60</v>
      </c>
      <c r="C333" s="11" t="s">
        <v>30</v>
      </c>
      <c r="D333" s="12">
        <v>41792</v>
      </c>
      <c r="E333" s="12">
        <v>41792</v>
      </c>
      <c r="F333" s="13">
        <v>212.5</v>
      </c>
      <c r="G333">
        <f t="shared" si="20"/>
        <v>1</v>
      </c>
      <c r="H333">
        <f t="shared" si="21"/>
        <v>30</v>
      </c>
      <c r="I333">
        <f t="shared" si="22"/>
        <v>0</v>
      </c>
      <c r="J333" t="str">
        <f t="shared" si="23"/>
        <v/>
      </c>
    </row>
    <row r="334" spans="1:10" x14ac:dyDescent="0.25">
      <c r="A334" s="6" t="s">
        <v>25</v>
      </c>
      <c r="B334" s="7" t="s">
        <v>26</v>
      </c>
      <c r="C334" s="7" t="s">
        <v>38</v>
      </c>
      <c r="D334" s="8">
        <v>41792</v>
      </c>
      <c r="E334" s="8">
        <v>41792</v>
      </c>
      <c r="F334" s="9">
        <v>278.8</v>
      </c>
      <c r="G334">
        <f t="shared" si="20"/>
        <v>1</v>
      </c>
      <c r="H334">
        <f t="shared" si="21"/>
        <v>30</v>
      </c>
      <c r="I334">
        <f t="shared" si="22"/>
        <v>0</v>
      </c>
      <c r="J334" t="str">
        <f t="shared" si="23"/>
        <v/>
      </c>
    </row>
    <row r="335" spans="1:10" x14ac:dyDescent="0.25">
      <c r="A335" s="10" t="s">
        <v>15</v>
      </c>
      <c r="B335" s="11" t="s">
        <v>63</v>
      </c>
      <c r="C335" s="11" t="s">
        <v>24</v>
      </c>
      <c r="D335" s="12">
        <v>41792</v>
      </c>
      <c r="E335" s="12">
        <v>41794</v>
      </c>
      <c r="F335" s="13">
        <v>588.70000000000005</v>
      </c>
      <c r="G335">
        <f t="shared" si="20"/>
        <v>3</v>
      </c>
      <c r="H335">
        <f t="shared" si="21"/>
        <v>78</v>
      </c>
      <c r="I335">
        <f t="shared" si="22"/>
        <v>2</v>
      </c>
      <c r="J335">
        <f t="shared" si="23"/>
        <v>2</v>
      </c>
    </row>
    <row r="336" spans="1:10" x14ac:dyDescent="0.25">
      <c r="A336" s="6" t="s">
        <v>91</v>
      </c>
      <c r="B336" s="7" t="s">
        <v>92</v>
      </c>
      <c r="C336" s="7" t="s">
        <v>38</v>
      </c>
      <c r="D336" s="8">
        <v>41792</v>
      </c>
      <c r="E336" s="8">
        <v>41792</v>
      </c>
      <c r="F336" s="9">
        <v>278.8</v>
      </c>
      <c r="G336">
        <f t="shared" si="20"/>
        <v>1</v>
      </c>
      <c r="H336">
        <f t="shared" si="21"/>
        <v>30</v>
      </c>
      <c r="I336">
        <f t="shared" si="22"/>
        <v>0</v>
      </c>
      <c r="J336" t="str">
        <f t="shared" si="23"/>
        <v/>
      </c>
    </row>
    <row r="337" spans="1:10" x14ac:dyDescent="0.25">
      <c r="A337" s="10" t="s">
        <v>170</v>
      </c>
      <c r="B337" s="11" t="s">
        <v>171</v>
      </c>
      <c r="C337" s="11" t="s">
        <v>14</v>
      </c>
      <c r="D337" s="12">
        <v>41793</v>
      </c>
      <c r="E337" s="12">
        <v>41793</v>
      </c>
      <c r="F337" s="13">
        <v>178.5</v>
      </c>
      <c r="G337">
        <f t="shared" si="20"/>
        <v>1</v>
      </c>
      <c r="H337">
        <f t="shared" si="21"/>
        <v>30</v>
      </c>
      <c r="I337">
        <f t="shared" si="22"/>
        <v>0</v>
      </c>
      <c r="J337" t="str">
        <f t="shared" si="23"/>
        <v/>
      </c>
    </row>
    <row r="338" spans="1:10" x14ac:dyDescent="0.25">
      <c r="A338" s="6" t="s">
        <v>31</v>
      </c>
      <c r="B338" s="7" t="s">
        <v>77</v>
      </c>
      <c r="C338" s="7" t="s">
        <v>17</v>
      </c>
      <c r="D338" s="8">
        <v>41793</v>
      </c>
      <c r="E338" s="8">
        <v>41794</v>
      </c>
      <c r="F338" s="9">
        <v>706.5</v>
      </c>
      <c r="G338">
        <f t="shared" si="20"/>
        <v>2</v>
      </c>
      <c r="H338">
        <f t="shared" si="21"/>
        <v>54</v>
      </c>
      <c r="I338">
        <f t="shared" si="22"/>
        <v>1</v>
      </c>
      <c r="J338">
        <f t="shared" si="23"/>
        <v>1</v>
      </c>
    </row>
    <row r="339" spans="1:10" x14ac:dyDescent="0.25">
      <c r="A339" s="10" t="s">
        <v>99</v>
      </c>
      <c r="B339" s="11" t="s">
        <v>130</v>
      </c>
      <c r="C339" s="11" t="s">
        <v>30</v>
      </c>
      <c r="D339" s="12">
        <v>41794</v>
      </c>
      <c r="E339" s="12">
        <v>41795</v>
      </c>
      <c r="F339" s="13">
        <v>331.5</v>
      </c>
      <c r="G339">
        <f t="shared" si="20"/>
        <v>2</v>
      </c>
      <c r="H339">
        <f t="shared" si="21"/>
        <v>54</v>
      </c>
      <c r="I339">
        <f t="shared" si="22"/>
        <v>1</v>
      </c>
      <c r="J339">
        <f t="shared" si="23"/>
        <v>1</v>
      </c>
    </row>
    <row r="340" spans="1:10" x14ac:dyDescent="0.25">
      <c r="A340" s="6" t="s">
        <v>164</v>
      </c>
      <c r="B340" s="7" t="s">
        <v>165</v>
      </c>
      <c r="C340" s="7" t="s">
        <v>27</v>
      </c>
      <c r="D340" s="8">
        <v>41794</v>
      </c>
      <c r="E340" s="8">
        <v>41795</v>
      </c>
      <c r="F340" s="9">
        <v>570</v>
      </c>
      <c r="G340">
        <f t="shared" si="20"/>
        <v>2</v>
      </c>
      <c r="H340">
        <f t="shared" si="21"/>
        <v>54</v>
      </c>
      <c r="I340">
        <f t="shared" si="22"/>
        <v>1</v>
      </c>
      <c r="J340">
        <f t="shared" si="23"/>
        <v>1</v>
      </c>
    </row>
    <row r="341" spans="1:10" x14ac:dyDescent="0.25">
      <c r="A341" s="10" t="s">
        <v>91</v>
      </c>
      <c r="B341" s="11" t="s">
        <v>92</v>
      </c>
      <c r="C341" s="11" t="s">
        <v>17</v>
      </c>
      <c r="D341" s="12">
        <v>41794</v>
      </c>
      <c r="E341" s="12">
        <v>41795</v>
      </c>
      <c r="F341" s="13">
        <v>706.5</v>
      </c>
      <c r="G341">
        <f t="shared" si="20"/>
        <v>2</v>
      </c>
      <c r="H341">
        <f t="shared" si="21"/>
        <v>54</v>
      </c>
      <c r="I341">
        <f t="shared" si="22"/>
        <v>1</v>
      </c>
      <c r="J341">
        <f t="shared" si="23"/>
        <v>1</v>
      </c>
    </row>
    <row r="342" spans="1:10" x14ac:dyDescent="0.25">
      <c r="A342" s="6" t="s">
        <v>25</v>
      </c>
      <c r="B342" s="7" t="s">
        <v>67</v>
      </c>
      <c r="C342" s="7" t="s">
        <v>17</v>
      </c>
      <c r="D342" s="8">
        <v>41795</v>
      </c>
      <c r="E342" s="8">
        <v>41795</v>
      </c>
      <c r="F342" s="9">
        <v>501.5</v>
      </c>
      <c r="G342">
        <f t="shared" si="20"/>
        <v>1</v>
      </c>
      <c r="H342">
        <f t="shared" si="21"/>
        <v>30</v>
      </c>
      <c r="I342">
        <f t="shared" si="22"/>
        <v>0</v>
      </c>
      <c r="J342" t="str">
        <f t="shared" si="23"/>
        <v/>
      </c>
    </row>
    <row r="343" spans="1:10" x14ac:dyDescent="0.25">
      <c r="A343" s="10" t="s">
        <v>22</v>
      </c>
      <c r="B343" s="11" t="s">
        <v>23</v>
      </c>
      <c r="C343" s="11" t="s">
        <v>11</v>
      </c>
      <c r="D343" s="12">
        <v>41797</v>
      </c>
      <c r="E343" s="12">
        <v>41797</v>
      </c>
      <c r="F343" s="13">
        <v>156.4</v>
      </c>
      <c r="G343">
        <f t="shared" si="20"/>
        <v>1</v>
      </c>
      <c r="H343">
        <f t="shared" si="21"/>
        <v>30</v>
      </c>
      <c r="I343">
        <f t="shared" si="22"/>
        <v>0</v>
      </c>
      <c r="J343" t="str">
        <f t="shared" si="23"/>
        <v/>
      </c>
    </row>
    <row r="344" spans="1:10" x14ac:dyDescent="0.25">
      <c r="A344" s="6" t="s">
        <v>93</v>
      </c>
      <c r="B344" s="7" t="s">
        <v>124</v>
      </c>
      <c r="C344" s="7" t="s">
        <v>66</v>
      </c>
      <c r="D344" s="8">
        <v>41797</v>
      </c>
      <c r="E344" s="8">
        <v>41799</v>
      </c>
      <c r="F344" s="9">
        <v>663.7</v>
      </c>
      <c r="G344">
        <f t="shared" si="20"/>
        <v>3</v>
      </c>
      <c r="H344">
        <f t="shared" si="21"/>
        <v>78</v>
      </c>
      <c r="I344">
        <f t="shared" si="22"/>
        <v>2</v>
      </c>
      <c r="J344">
        <f t="shared" si="23"/>
        <v>2</v>
      </c>
    </row>
    <row r="345" spans="1:10" x14ac:dyDescent="0.25">
      <c r="A345" s="10" t="s">
        <v>86</v>
      </c>
      <c r="B345" s="11" t="s">
        <v>150</v>
      </c>
      <c r="C345" s="11" t="s">
        <v>72</v>
      </c>
      <c r="D345" s="12">
        <v>41797</v>
      </c>
      <c r="E345" s="12">
        <v>41801</v>
      </c>
      <c r="F345" s="13">
        <v>1290.7</v>
      </c>
      <c r="G345">
        <f t="shared" si="20"/>
        <v>5</v>
      </c>
      <c r="H345">
        <f t="shared" si="21"/>
        <v>126</v>
      </c>
      <c r="I345">
        <f t="shared" si="22"/>
        <v>4</v>
      </c>
      <c r="J345">
        <f t="shared" si="23"/>
        <v>4</v>
      </c>
    </row>
    <row r="346" spans="1:10" x14ac:dyDescent="0.25">
      <c r="A346" s="6" t="s">
        <v>12</v>
      </c>
      <c r="B346" s="7" t="s">
        <v>13</v>
      </c>
      <c r="C346" s="7" t="s">
        <v>11</v>
      </c>
      <c r="D346" s="8">
        <v>41797</v>
      </c>
      <c r="E346" s="8">
        <v>41801</v>
      </c>
      <c r="F346" s="9">
        <v>712.4</v>
      </c>
      <c r="G346">
        <f t="shared" si="20"/>
        <v>5</v>
      </c>
      <c r="H346">
        <f t="shared" si="21"/>
        <v>126</v>
      </c>
      <c r="I346">
        <f t="shared" si="22"/>
        <v>4</v>
      </c>
      <c r="J346">
        <f t="shared" si="23"/>
        <v>4</v>
      </c>
    </row>
    <row r="347" spans="1:10" x14ac:dyDescent="0.25">
      <c r="A347" s="10" t="s">
        <v>91</v>
      </c>
      <c r="B347" s="11" t="s">
        <v>161</v>
      </c>
      <c r="C347" s="11" t="s">
        <v>19</v>
      </c>
      <c r="D347" s="12">
        <v>41797</v>
      </c>
      <c r="E347" s="12">
        <v>41799</v>
      </c>
      <c r="F347" s="13">
        <v>795.4</v>
      </c>
      <c r="G347">
        <f t="shared" si="20"/>
        <v>3</v>
      </c>
      <c r="H347">
        <f t="shared" si="21"/>
        <v>78</v>
      </c>
      <c r="I347">
        <f t="shared" si="22"/>
        <v>2</v>
      </c>
      <c r="J347">
        <f t="shared" si="23"/>
        <v>2</v>
      </c>
    </row>
    <row r="348" spans="1:10" x14ac:dyDescent="0.25">
      <c r="A348" s="6" t="s">
        <v>36</v>
      </c>
      <c r="B348" s="7" t="s">
        <v>37</v>
      </c>
      <c r="C348" s="7" t="s">
        <v>66</v>
      </c>
      <c r="D348" s="8">
        <v>41799</v>
      </c>
      <c r="E348" s="8">
        <v>41800</v>
      </c>
      <c r="F348" s="9">
        <v>485.7</v>
      </c>
      <c r="G348">
        <f t="shared" si="20"/>
        <v>2</v>
      </c>
      <c r="H348">
        <f t="shared" si="21"/>
        <v>54</v>
      </c>
      <c r="I348">
        <f t="shared" si="22"/>
        <v>1</v>
      </c>
      <c r="J348">
        <f t="shared" si="23"/>
        <v>1</v>
      </c>
    </row>
    <row r="349" spans="1:10" x14ac:dyDescent="0.25">
      <c r="A349" s="10" t="s">
        <v>54</v>
      </c>
      <c r="B349" s="11" t="s">
        <v>55</v>
      </c>
      <c r="C349" s="11" t="s">
        <v>66</v>
      </c>
      <c r="D349" s="12">
        <v>41803</v>
      </c>
      <c r="E349" s="12">
        <v>41805</v>
      </c>
      <c r="F349" s="13">
        <v>663.7</v>
      </c>
      <c r="G349">
        <f t="shared" si="20"/>
        <v>3</v>
      </c>
      <c r="H349">
        <f t="shared" si="21"/>
        <v>78</v>
      </c>
      <c r="I349">
        <f t="shared" si="22"/>
        <v>2</v>
      </c>
      <c r="J349">
        <f t="shared" si="23"/>
        <v>2</v>
      </c>
    </row>
    <row r="350" spans="1:10" x14ac:dyDescent="0.25">
      <c r="A350" s="6" t="s">
        <v>131</v>
      </c>
      <c r="B350" s="7" t="s">
        <v>154</v>
      </c>
      <c r="C350" s="7" t="s">
        <v>59</v>
      </c>
      <c r="D350" s="8">
        <v>41803</v>
      </c>
      <c r="E350" s="8">
        <v>41807</v>
      </c>
      <c r="F350" s="9">
        <v>1078</v>
      </c>
      <c r="G350">
        <f t="shared" si="20"/>
        <v>5</v>
      </c>
      <c r="H350">
        <f t="shared" si="21"/>
        <v>126</v>
      </c>
      <c r="I350">
        <f t="shared" si="22"/>
        <v>4</v>
      </c>
      <c r="J350">
        <f t="shared" si="23"/>
        <v>4</v>
      </c>
    </row>
    <row r="351" spans="1:10" x14ac:dyDescent="0.25">
      <c r="A351" s="10" t="s">
        <v>22</v>
      </c>
      <c r="B351" s="11" t="s">
        <v>172</v>
      </c>
      <c r="C351" s="11" t="s">
        <v>72</v>
      </c>
      <c r="D351" s="12">
        <v>41803</v>
      </c>
      <c r="E351" s="12">
        <v>41803</v>
      </c>
      <c r="F351" s="13">
        <v>494.7</v>
      </c>
      <c r="G351">
        <f t="shared" si="20"/>
        <v>1</v>
      </c>
      <c r="H351">
        <f t="shared" si="21"/>
        <v>30</v>
      </c>
      <c r="I351">
        <f t="shared" si="22"/>
        <v>0</v>
      </c>
      <c r="J351" t="str">
        <f t="shared" si="23"/>
        <v/>
      </c>
    </row>
    <row r="352" spans="1:10" x14ac:dyDescent="0.25">
      <c r="A352" s="6" t="s">
        <v>84</v>
      </c>
      <c r="B352" s="7" t="s">
        <v>85</v>
      </c>
      <c r="C352" s="7" t="s">
        <v>38</v>
      </c>
      <c r="D352" s="8">
        <v>41803</v>
      </c>
      <c r="E352" s="8">
        <v>41807</v>
      </c>
      <c r="F352" s="9">
        <v>794.8</v>
      </c>
      <c r="G352">
        <f t="shared" si="20"/>
        <v>5</v>
      </c>
      <c r="H352">
        <f t="shared" si="21"/>
        <v>126</v>
      </c>
      <c r="I352">
        <f t="shared" si="22"/>
        <v>4</v>
      </c>
      <c r="J352">
        <f t="shared" si="23"/>
        <v>4</v>
      </c>
    </row>
    <row r="353" spans="1:10" x14ac:dyDescent="0.25">
      <c r="A353" s="10" t="s">
        <v>6</v>
      </c>
      <c r="B353" s="11" t="s">
        <v>56</v>
      </c>
      <c r="C353" s="11" t="s">
        <v>72</v>
      </c>
      <c r="D353" s="12">
        <v>41803</v>
      </c>
      <c r="E353" s="12">
        <v>41806</v>
      </c>
      <c r="F353" s="13">
        <v>1091.7</v>
      </c>
      <c r="G353">
        <f t="shared" si="20"/>
        <v>4</v>
      </c>
      <c r="H353">
        <f t="shared" si="21"/>
        <v>102</v>
      </c>
      <c r="I353">
        <f t="shared" si="22"/>
        <v>3</v>
      </c>
      <c r="J353">
        <f t="shared" si="23"/>
        <v>3</v>
      </c>
    </row>
    <row r="354" spans="1:10" x14ac:dyDescent="0.25">
      <c r="A354" s="6" t="s">
        <v>33</v>
      </c>
      <c r="B354" s="7" t="s">
        <v>41</v>
      </c>
      <c r="C354" s="7" t="s">
        <v>72</v>
      </c>
      <c r="D354" s="8">
        <v>41803</v>
      </c>
      <c r="E354" s="8">
        <v>41806</v>
      </c>
      <c r="F354" s="9">
        <v>1091.7</v>
      </c>
      <c r="G354">
        <f t="shared" si="20"/>
        <v>4</v>
      </c>
      <c r="H354">
        <f t="shared" si="21"/>
        <v>102</v>
      </c>
      <c r="I354">
        <f t="shared" si="22"/>
        <v>3</v>
      </c>
      <c r="J354">
        <f t="shared" si="23"/>
        <v>3</v>
      </c>
    </row>
    <row r="355" spans="1:10" x14ac:dyDescent="0.25">
      <c r="A355" s="10" t="s">
        <v>134</v>
      </c>
      <c r="B355" s="11" t="s">
        <v>135</v>
      </c>
      <c r="C355" s="11" t="s">
        <v>38</v>
      </c>
      <c r="D355" s="12">
        <v>41803</v>
      </c>
      <c r="E355" s="12">
        <v>41807</v>
      </c>
      <c r="F355" s="13">
        <v>794.8</v>
      </c>
      <c r="G355">
        <f t="shared" si="20"/>
        <v>5</v>
      </c>
      <c r="H355">
        <f t="shared" si="21"/>
        <v>126</v>
      </c>
      <c r="I355">
        <f t="shared" si="22"/>
        <v>4</v>
      </c>
      <c r="J355">
        <f t="shared" si="23"/>
        <v>4</v>
      </c>
    </row>
    <row r="356" spans="1:10" x14ac:dyDescent="0.25">
      <c r="A356" s="6" t="s">
        <v>9</v>
      </c>
      <c r="B356" s="7" t="s">
        <v>69</v>
      </c>
      <c r="C356" s="7" t="s">
        <v>72</v>
      </c>
      <c r="D356" s="8">
        <v>41803</v>
      </c>
      <c r="E356" s="8">
        <v>41804</v>
      </c>
      <c r="F356" s="9">
        <v>693.7</v>
      </c>
      <c r="G356">
        <f t="shared" si="20"/>
        <v>2</v>
      </c>
      <c r="H356">
        <f t="shared" si="21"/>
        <v>54</v>
      </c>
      <c r="I356">
        <f t="shared" si="22"/>
        <v>1</v>
      </c>
      <c r="J356">
        <f t="shared" si="23"/>
        <v>1</v>
      </c>
    </row>
    <row r="357" spans="1:10" x14ac:dyDescent="0.25">
      <c r="A357" s="10" t="s">
        <v>99</v>
      </c>
      <c r="B357" s="11" t="s">
        <v>100</v>
      </c>
      <c r="C357" s="11" t="s">
        <v>72</v>
      </c>
      <c r="D357" s="12">
        <v>41803</v>
      </c>
      <c r="E357" s="12">
        <v>41805</v>
      </c>
      <c r="F357" s="13">
        <v>892.7</v>
      </c>
      <c r="G357">
        <f t="shared" si="20"/>
        <v>3</v>
      </c>
      <c r="H357">
        <f t="shared" si="21"/>
        <v>78</v>
      </c>
      <c r="I357">
        <f t="shared" si="22"/>
        <v>2</v>
      </c>
      <c r="J357">
        <f t="shared" si="23"/>
        <v>2</v>
      </c>
    </row>
    <row r="358" spans="1:10" x14ac:dyDescent="0.25">
      <c r="A358" s="6" t="s">
        <v>145</v>
      </c>
      <c r="B358" s="7" t="s">
        <v>146</v>
      </c>
      <c r="C358" s="7" t="s">
        <v>47</v>
      </c>
      <c r="D358" s="8">
        <v>41803</v>
      </c>
      <c r="E358" s="8">
        <v>41806</v>
      </c>
      <c r="F358" s="9">
        <v>852.8</v>
      </c>
      <c r="G358">
        <f t="shared" si="20"/>
        <v>4</v>
      </c>
      <c r="H358">
        <f t="shared" si="21"/>
        <v>102</v>
      </c>
      <c r="I358">
        <f t="shared" si="22"/>
        <v>3</v>
      </c>
      <c r="J358">
        <f t="shared" si="23"/>
        <v>3</v>
      </c>
    </row>
    <row r="359" spans="1:10" x14ac:dyDescent="0.25">
      <c r="A359" s="10" t="s">
        <v>151</v>
      </c>
      <c r="B359" s="11" t="s">
        <v>152</v>
      </c>
      <c r="C359" s="11" t="s">
        <v>72</v>
      </c>
      <c r="D359" s="12">
        <v>41803</v>
      </c>
      <c r="E359" s="12">
        <v>41803</v>
      </c>
      <c r="F359" s="13">
        <v>494.7</v>
      </c>
      <c r="G359">
        <f t="shared" si="20"/>
        <v>1</v>
      </c>
      <c r="H359">
        <f t="shared" si="21"/>
        <v>30</v>
      </c>
      <c r="I359">
        <f t="shared" si="22"/>
        <v>0</v>
      </c>
      <c r="J359" t="str">
        <f t="shared" si="23"/>
        <v/>
      </c>
    </row>
    <row r="360" spans="1:10" x14ac:dyDescent="0.25">
      <c r="A360" s="6" t="s">
        <v>75</v>
      </c>
      <c r="B360" s="7" t="s">
        <v>88</v>
      </c>
      <c r="C360" s="7" t="s">
        <v>27</v>
      </c>
      <c r="D360" s="8">
        <v>41803</v>
      </c>
      <c r="E360" s="8">
        <v>41803</v>
      </c>
      <c r="F360" s="9">
        <v>442</v>
      </c>
      <c r="G360">
        <f t="shared" si="20"/>
        <v>1</v>
      </c>
      <c r="H360">
        <f t="shared" si="21"/>
        <v>30</v>
      </c>
      <c r="I360">
        <f t="shared" si="22"/>
        <v>0</v>
      </c>
      <c r="J360" t="str">
        <f t="shared" si="23"/>
        <v/>
      </c>
    </row>
    <row r="361" spans="1:10" x14ac:dyDescent="0.25">
      <c r="A361" s="10" t="s">
        <v>137</v>
      </c>
      <c r="B361" s="11" t="s">
        <v>160</v>
      </c>
      <c r="C361" s="11" t="s">
        <v>66</v>
      </c>
      <c r="D361" s="12">
        <v>41803</v>
      </c>
      <c r="E361" s="12">
        <v>41805</v>
      </c>
      <c r="F361" s="13">
        <v>663.7</v>
      </c>
      <c r="G361">
        <f t="shared" si="20"/>
        <v>3</v>
      </c>
      <c r="H361">
        <f t="shared" si="21"/>
        <v>78</v>
      </c>
      <c r="I361">
        <f t="shared" si="22"/>
        <v>2</v>
      </c>
      <c r="J361">
        <f t="shared" si="23"/>
        <v>2</v>
      </c>
    </row>
    <row r="362" spans="1:10" x14ac:dyDescent="0.25">
      <c r="A362" s="6" t="s">
        <v>158</v>
      </c>
      <c r="B362" s="7" t="s">
        <v>159</v>
      </c>
      <c r="C362" s="7" t="s">
        <v>8</v>
      </c>
      <c r="D362" s="8">
        <v>41803</v>
      </c>
      <c r="E362" s="8">
        <v>41806</v>
      </c>
      <c r="F362" s="9">
        <v>1313</v>
      </c>
      <c r="G362">
        <f t="shared" si="20"/>
        <v>4</v>
      </c>
      <c r="H362">
        <f t="shared" si="21"/>
        <v>102</v>
      </c>
      <c r="I362">
        <f t="shared" si="22"/>
        <v>3</v>
      </c>
      <c r="J362">
        <f t="shared" si="23"/>
        <v>3</v>
      </c>
    </row>
    <row r="363" spans="1:10" x14ac:dyDescent="0.25">
      <c r="A363" s="10" t="s">
        <v>115</v>
      </c>
      <c r="B363" s="11" t="s">
        <v>116</v>
      </c>
      <c r="C363" s="11" t="s">
        <v>17</v>
      </c>
      <c r="D363" s="12">
        <v>41803</v>
      </c>
      <c r="E363" s="12">
        <v>41805</v>
      </c>
      <c r="F363" s="13">
        <v>911.5</v>
      </c>
      <c r="G363">
        <f t="shared" si="20"/>
        <v>3</v>
      </c>
      <c r="H363">
        <f t="shared" si="21"/>
        <v>78</v>
      </c>
      <c r="I363">
        <f t="shared" si="22"/>
        <v>2</v>
      </c>
      <c r="J363">
        <f t="shared" si="23"/>
        <v>2</v>
      </c>
    </row>
    <row r="364" spans="1:10" x14ac:dyDescent="0.25">
      <c r="A364" s="6" t="s">
        <v>164</v>
      </c>
      <c r="B364" s="7" t="s">
        <v>165</v>
      </c>
      <c r="C364" s="7" t="s">
        <v>59</v>
      </c>
      <c r="D364" s="8">
        <v>41806</v>
      </c>
      <c r="E364" s="8">
        <v>41807</v>
      </c>
      <c r="F364" s="9">
        <v>601</v>
      </c>
      <c r="G364">
        <f t="shared" si="20"/>
        <v>2</v>
      </c>
      <c r="H364">
        <f t="shared" si="21"/>
        <v>54</v>
      </c>
      <c r="I364">
        <f t="shared" si="22"/>
        <v>1</v>
      </c>
      <c r="J364">
        <f t="shared" si="23"/>
        <v>1</v>
      </c>
    </row>
    <row r="365" spans="1:10" x14ac:dyDescent="0.25">
      <c r="A365" s="10" t="s">
        <v>75</v>
      </c>
      <c r="B365" s="11" t="s">
        <v>76</v>
      </c>
      <c r="C365" s="11" t="s">
        <v>27</v>
      </c>
      <c r="D365" s="12">
        <v>41806</v>
      </c>
      <c r="E365" s="12">
        <v>41806</v>
      </c>
      <c r="F365" s="13">
        <v>442</v>
      </c>
      <c r="G365">
        <f t="shared" si="20"/>
        <v>1</v>
      </c>
      <c r="H365">
        <f t="shared" si="21"/>
        <v>30</v>
      </c>
      <c r="I365">
        <f t="shared" si="22"/>
        <v>0</v>
      </c>
      <c r="J365" t="str">
        <f t="shared" si="23"/>
        <v/>
      </c>
    </row>
    <row r="366" spans="1:10" x14ac:dyDescent="0.25">
      <c r="A366" s="6" t="s">
        <v>126</v>
      </c>
      <c r="B366" s="7" t="s">
        <v>127</v>
      </c>
      <c r="C366" s="7" t="s">
        <v>30</v>
      </c>
      <c r="D366" s="8">
        <v>41809</v>
      </c>
      <c r="E366" s="8">
        <v>41812</v>
      </c>
      <c r="F366" s="9">
        <v>569.5</v>
      </c>
      <c r="G366">
        <f t="shared" si="20"/>
        <v>4</v>
      </c>
      <c r="H366">
        <f t="shared" si="21"/>
        <v>102</v>
      </c>
      <c r="I366">
        <f t="shared" si="22"/>
        <v>3</v>
      </c>
      <c r="J366">
        <f t="shared" si="23"/>
        <v>3</v>
      </c>
    </row>
    <row r="367" spans="1:10" x14ac:dyDescent="0.25">
      <c r="A367" s="10" t="s">
        <v>145</v>
      </c>
      <c r="B367" s="11" t="s">
        <v>146</v>
      </c>
      <c r="C367" s="11" t="s">
        <v>24</v>
      </c>
      <c r="D367" s="12">
        <v>41809</v>
      </c>
      <c r="E367" s="12">
        <v>41810</v>
      </c>
      <c r="F367" s="13">
        <v>439.7</v>
      </c>
      <c r="G367">
        <f t="shared" si="20"/>
        <v>2</v>
      </c>
      <c r="H367">
        <f t="shared" si="21"/>
        <v>54</v>
      </c>
      <c r="I367">
        <f t="shared" si="22"/>
        <v>1</v>
      </c>
      <c r="J367">
        <f t="shared" si="23"/>
        <v>1</v>
      </c>
    </row>
    <row r="368" spans="1:10" x14ac:dyDescent="0.25">
      <c r="A368" s="6" t="s">
        <v>75</v>
      </c>
      <c r="B368" s="7" t="s">
        <v>88</v>
      </c>
      <c r="C368" s="7" t="s">
        <v>66</v>
      </c>
      <c r="D368" s="8">
        <v>41809</v>
      </c>
      <c r="E368" s="8">
        <v>41812</v>
      </c>
      <c r="F368" s="9">
        <v>841.7</v>
      </c>
      <c r="G368">
        <f t="shared" si="20"/>
        <v>4</v>
      </c>
      <c r="H368">
        <f t="shared" si="21"/>
        <v>102</v>
      </c>
      <c r="I368">
        <f t="shared" si="22"/>
        <v>3</v>
      </c>
      <c r="J368">
        <f t="shared" si="23"/>
        <v>3</v>
      </c>
    </row>
    <row r="369" spans="1:10" x14ac:dyDescent="0.25">
      <c r="A369" s="10" t="s">
        <v>109</v>
      </c>
      <c r="B369" s="11" t="s">
        <v>110</v>
      </c>
      <c r="C369" s="11" t="s">
        <v>19</v>
      </c>
      <c r="D369" s="12">
        <v>41809</v>
      </c>
      <c r="E369" s="12">
        <v>41811</v>
      </c>
      <c r="F369" s="13">
        <v>795.4</v>
      </c>
      <c r="G369">
        <f t="shared" si="20"/>
        <v>3</v>
      </c>
      <c r="H369">
        <f t="shared" si="21"/>
        <v>78</v>
      </c>
      <c r="I369">
        <f t="shared" si="22"/>
        <v>2</v>
      </c>
      <c r="J369">
        <f t="shared" si="23"/>
        <v>2</v>
      </c>
    </row>
    <row r="370" spans="1:10" x14ac:dyDescent="0.25">
      <c r="A370" s="6" t="s">
        <v>20</v>
      </c>
      <c r="B370" s="7" t="s">
        <v>162</v>
      </c>
      <c r="C370" s="7" t="s">
        <v>72</v>
      </c>
      <c r="D370" s="8">
        <v>41809</v>
      </c>
      <c r="E370" s="8">
        <v>41813</v>
      </c>
      <c r="F370" s="9">
        <v>1290.7</v>
      </c>
      <c r="G370">
        <f t="shared" si="20"/>
        <v>5</v>
      </c>
      <c r="H370">
        <f t="shared" si="21"/>
        <v>126</v>
      </c>
      <c r="I370">
        <f t="shared" si="22"/>
        <v>4</v>
      </c>
      <c r="J370">
        <f t="shared" si="23"/>
        <v>4</v>
      </c>
    </row>
    <row r="371" spans="1:10" x14ac:dyDescent="0.25">
      <c r="A371" s="10" t="s">
        <v>20</v>
      </c>
      <c r="B371" s="11" t="s">
        <v>21</v>
      </c>
      <c r="C371" s="11" t="s">
        <v>27</v>
      </c>
      <c r="D371" s="12">
        <v>41809</v>
      </c>
      <c r="E371" s="12">
        <v>41811</v>
      </c>
      <c r="F371" s="13">
        <v>698</v>
      </c>
      <c r="G371">
        <f t="shared" si="20"/>
        <v>3</v>
      </c>
      <c r="H371">
        <f t="shared" si="21"/>
        <v>78</v>
      </c>
      <c r="I371">
        <f t="shared" si="22"/>
        <v>2</v>
      </c>
      <c r="J371">
        <f t="shared" si="23"/>
        <v>2</v>
      </c>
    </row>
    <row r="372" spans="1:10" x14ac:dyDescent="0.25">
      <c r="A372" s="6" t="s">
        <v>48</v>
      </c>
      <c r="B372" s="7" t="s">
        <v>49</v>
      </c>
      <c r="C372" s="7" t="s">
        <v>24</v>
      </c>
      <c r="D372" s="8">
        <v>41815</v>
      </c>
      <c r="E372" s="8">
        <v>41816</v>
      </c>
      <c r="F372" s="9">
        <v>439.7</v>
      </c>
      <c r="G372">
        <f t="shared" si="20"/>
        <v>2</v>
      </c>
      <c r="H372">
        <f t="shared" si="21"/>
        <v>54</v>
      </c>
      <c r="I372">
        <f t="shared" si="22"/>
        <v>1</v>
      </c>
      <c r="J372">
        <f t="shared" si="23"/>
        <v>1</v>
      </c>
    </row>
    <row r="373" spans="1:10" x14ac:dyDescent="0.25">
      <c r="A373" s="10" t="s">
        <v>54</v>
      </c>
      <c r="B373" s="11" t="s">
        <v>133</v>
      </c>
      <c r="C373" s="11" t="s">
        <v>72</v>
      </c>
      <c r="D373" s="12">
        <v>41815</v>
      </c>
      <c r="E373" s="12">
        <v>41815</v>
      </c>
      <c r="F373" s="13">
        <v>494.7</v>
      </c>
      <c r="G373">
        <f t="shared" si="20"/>
        <v>1</v>
      </c>
      <c r="H373">
        <f t="shared" si="21"/>
        <v>30</v>
      </c>
      <c r="I373">
        <f t="shared" si="22"/>
        <v>0</v>
      </c>
      <c r="J373" t="str">
        <f t="shared" si="23"/>
        <v/>
      </c>
    </row>
    <row r="374" spans="1:10" x14ac:dyDescent="0.25">
      <c r="A374" s="6" t="s">
        <v>54</v>
      </c>
      <c r="B374" s="7" t="s">
        <v>133</v>
      </c>
      <c r="C374" s="7" t="s">
        <v>17</v>
      </c>
      <c r="D374" s="8">
        <v>41815</v>
      </c>
      <c r="E374" s="8">
        <v>41817</v>
      </c>
      <c r="F374" s="9">
        <v>911.5</v>
      </c>
      <c r="G374">
        <f t="shared" si="20"/>
        <v>3</v>
      </c>
      <c r="H374">
        <f t="shared" si="21"/>
        <v>78</v>
      </c>
      <c r="I374">
        <f t="shared" si="22"/>
        <v>2</v>
      </c>
      <c r="J374">
        <f t="shared" si="23"/>
        <v>2</v>
      </c>
    </row>
    <row r="375" spans="1:10" x14ac:dyDescent="0.25">
      <c r="A375" s="10" t="s">
        <v>50</v>
      </c>
      <c r="B375" s="11" t="s">
        <v>51</v>
      </c>
      <c r="C375" s="11" t="s">
        <v>8</v>
      </c>
      <c r="D375" s="12">
        <v>41815</v>
      </c>
      <c r="E375" s="12">
        <v>41816</v>
      </c>
      <c r="F375" s="13">
        <v>891</v>
      </c>
      <c r="G375">
        <f t="shared" si="20"/>
        <v>2</v>
      </c>
      <c r="H375">
        <f t="shared" si="21"/>
        <v>54</v>
      </c>
      <c r="I375">
        <f t="shared" si="22"/>
        <v>1</v>
      </c>
      <c r="J375">
        <f t="shared" si="23"/>
        <v>1</v>
      </c>
    </row>
    <row r="376" spans="1:10" x14ac:dyDescent="0.25">
      <c r="A376" s="6" t="s">
        <v>61</v>
      </c>
      <c r="B376" s="7" t="s">
        <v>62</v>
      </c>
      <c r="C376" s="7" t="s">
        <v>38</v>
      </c>
      <c r="D376" s="8">
        <v>41815</v>
      </c>
      <c r="E376" s="8">
        <v>41818</v>
      </c>
      <c r="F376" s="9">
        <v>665.8</v>
      </c>
      <c r="G376">
        <f t="shared" si="20"/>
        <v>4</v>
      </c>
      <c r="H376">
        <f t="shared" si="21"/>
        <v>102</v>
      </c>
      <c r="I376">
        <f t="shared" si="22"/>
        <v>3</v>
      </c>
      <c r="J376">
        <f t="shared" si="23"/>
        <v>3</v>
      </c>
    </row>
    <row r="377" spans="1:10" x14ac:dyDescent="0.25">
      <c r="A377" s="10" t="s">
        <v>126</v>
      </c>
      <c r="B377" s="11" t="s">
        <v>127</v>
      </c>
      <c r="C377" s="11" t="s">
        <v>19</v>
      </c>
      <c r="D377" s="12">
        <v>41815</v>
      </c>
      <c r="E377" s="12">
        <v>41817</v>
      </c>
      <c r="F377" s="13">
        <v>795.4</v>
      </c>
      <c r="G377">
        <f t="shared" si="20"/>
        <v>3</v>
      </c>
      <c r="H377">
        <f t="shared" si="21"/>
        <v>78</v>
      </c>
      <c r="I377">
        <f t="shared" si="22"/>
        <v>2</v>
      </c>
      <c r="J377">
        <f t="shared" si="23"/>
        <v>2</v>
      </c>
    </row>
    <row r="378" spans="1:10" x14ac:dyDescent="0.25">
      <c r="A378" s="6" t="s">
        <v>9</v>
      </c>
      <c r="B378" s="7" t="s">
        <v>103</v>
      </c>
      <c r="C378" s="7" t="s">
        <v>19</v>
      </c>
      <c r="D378" s="8">
        <v>41815</v>
      </c>
      <c r="E378" s="8">
        <v>41816</v>
      </c>
      <c r="F378" s="9">
        <v>654.4</v>
      </c>
      <c r="G378">
        <f t="shared" si="20"/>
        <v>2</v>
      </c>
      <c r="H378">
        <f t="shared" si="21"/>
        <v>54</v>
      </c>
      <c r="I378">
        <f t="shared" si="22"/>
        <v>1</v>
      </c>
      <c r="J378">
        <f t="shared" si="23"/>
        <v>1</v>
      </c>
    </row>
    <row r="379" spans="1:10" x14ac:dyDescent="0.25">
      <c r="A379" s="10" t="s">
        <v>156</v>
      </c>
      <c r="B379" s="11" t="s">
        <v>157</v>
      </c>
      <c r="C379" s="11" t="s">
        <v>24</v>
      </c>
      <c r="D379" s="12">
        <v>41815</v>
      </c>
      <c r="E379" s="12">
        <v>41818</v>
      </c>
      <c r="F379" s="13">
        <v>737.7</v>
      </c>
      <c r="G379">
        <f t="shared" si="20"/>
        <v>4</v>
      </c>
      <c r="H379">
        <f t="shared" si="21"/>
        <v>102</v>
      </c>
      <c r="I379">
        <f t="shared" si="22"/>
        <v>3</v>
      </c>
      <c r="J379">
        <f t="shared" si="23"/>
        <v>3</v>
      </c>
    </row>
    <row r="380" spans="1:10" x14ac:dyDescent="0.25">
      <c r="A380" s="6" t="s">
        <v>52</v>
      </c>
      <c r="B380" s="7" t="s">
        <v>53</v>
      </c>
      <c r="C380" s="7" t="s">
        <v>24</v>
      </c>
      <c r="D380" s="8">
        <v>41815</v>
      </c>
      <c r="E380" s="8">
        <v>41819</v>
      </c>
      <c r="F380" s="9">
        <v>886.7</v>
      </c>
      <c r="G380">
        <f t="shared" si="20"/>
        <v>5</v>
      </c>
      <c r="H380">
        <f t="shared" si="21"/>
        <v>126</v>
      </c>
      <c r="I380">
        <f t="shared" si="22"/>
        <v>4</v>
      </c>
      <c r="J380">
        <f t="shared" si="23"/>
        <v>4</v>
      </c>
    </row>
    <row r="381" spans="1:10" x14ac:dyDescent="0.25">
      <c r="A381" s="10" t="s">
        <v>158</v>
      </c>
      <c r="B381" s="11" t="s">
        <v>159</v>
      </c>
      <c r="C381" s="11" t="s">
        <v>11</v>
      </c>
      <c r="D381" s="12">
        <v>41815</v>
      </c>
      <c r="E381" s="12">
        <v>41816</v>
      </c>
      <c r="F381" s="13">
        <v>295.39999999999998</v>
      </c>
      <c r="G381">
        <f t="shared" si="20"/>
        <v>2</v>
      </c>
      <c r="H381">
        <f t="shared" si="21"/>
        <v>54</v>
      </c>
      <c r="I381">
        <f t="shared" si="22"/>
        <v>1</v>
      </c>
      <c r="J381">
        <f t="shared" si="23"/>
        <v>1</v>
      </c>
    </row>
    <row r="382" spans="1:10" x14ac:dyDescent="0.25">
      <c r="A382" s="6" t="s">
        <v>6</v>
      </c>
      <c r="B382" s="7" t="s">
        <v>45</v>
      </c>
      <c r="C382" s="7" t="s">
        <v>47</v>
      </c>
      <c r="D382" s="8">
        <v>41815</v>
      </c>
      <c r="E382" s="8">
        <v>41817</v>
      </c>
      <c r="F382" s="9">
        <v>689.8</v>
      </c>
      <c r="G382">
        <f t="shared" si="20"/>
        <v>3</v>
      </c>
      <c r="H382">
        <f t="shared" si="21"/>
        <v>78</v>
      </c>
      <c r="I382">
        <f t="shared" si="22"/>
        <v>2</v>
      </c>
      <c r="J382">
        <f t="shared" si="23"/>
        <v>2</v>
      </c>
    </row>
    <row r="383" spans="1:10" x14ac:dyDescent="0.25">
      <c r="A383" s="10" t="s">
        <v>31</v>
      </c>
      <c r="B383" s="11" t="s">
        <v>77</v>
      </c>
      <c r="C383" s="11" t="s">
        <v>8</v>
      </c>
      <c r="D383" s="12">
        <v>41815</v>
      </c>
      <c r="E383" s="12">
        <v>41819</v>
      </c>
      <c r="F383" s="13">
        <v>1524</v>
      </c>
      <c r="G383">
        <f t="shared" si="20"/>
        <v>5</v>
      </c>
      <c r="H383">
        <f t="shared" si="21"/>
        <v>126</v>
      </c>
      <c r="I383">
        <f t="shared" si="22"/>
        <v>4</v>
      </c>
      <c r="J383">
        <f t="shared" si="23"/>
        <v>4</v>
      </c>
    </row>
    <row r="384" spans="1:10" x14ac:dyDescent="0.25">
      <c r="A384" s="6" t="s">
        <v>15</v>
      </c>
      <c r="B384" s="7" t="s">
        <v>16</v>
      </c>
      <c r="C384" s="7" t="s">
        <v>11</v>
      </c>
      <c r="D384" s="8">
        <v>41815</v>
      </c>
      <c r="E384" s="8">
        <v>41816</v>
      </c>
      <c r="F384" s="9">
        <v>295.39999999999998</v>
      </c>
      <c r="G384">
        <f t="shared" si="20"/>
        <v>2</v>
      </c>
      <c r="H384">
        <f t="shared" si="21"/>
        <v>54</v>
      </c>
      <c r="I384">
        <f t="shared" si="22"/>
        <v>1</v>
      </c>
      <c r="J384">
        <f t="shared" si="23"/>
        <v>1</v>
      </c>
    </row>
    <row r="385" spans="1:10" x14ac:dyDescent="0.25">
      <c r="A385" s="10" t="s">
        <v>113</v>
      </c>
      <c r="B385" s="11" t="s">
        <v>114</v>
      </c>
      <c r="C385" s="11" t="s">
        <v>59</v>
      </c>
      <c r="D385" s="12">
        <v>41815</v>
      </c>
      <c r="E385" s="12">
        <v>41817</v>
      </c>
      <c r="F385" s="13">
        <v>760</v>
      </c>
      <c r="G385">
        <f t="shared" si="20"/>
        <v>3</v>
      </c>
      <c r="H385">
        <f t="shared" si="21"/>
        <v>78</v>
      </c>
      <c r="I385">
        <f t="shared" si="22"/>
        <v>2</v>
      </c>
      <c r="J385">
        <f t="shared" si="23"/>
        <v>2</v>
      </c>
    </row>
    <row r="386" spans="1:10" x14ac:dyDescent="0.25">
      <c r="A386" s="6" t="s">
        <v>115</v>
      </c>
      <c r="B386" s="7" t="s">
        <v>116</v>
      </c>
      <c r="C386" s="7" t="s">
        <v>19</v>
      </c>
      <c r="D386" s="8">
        <v>41815</v>
      </c>
      <c r="E386" s="8">
        <v>41817</v>
      </c>
      <c r="F386" s="9">
        <v>795.4</v>
      </c>
      <c r="G386">
        <f t="shared" si="20"/>
        <v>3</v>
      </c>
      <c r="H386">
        <f t="shared" si="21"/>
        <v>78</v>
      </c>
      <c r="I386">
        <f t="shared" si="22"/>
        <v>2</v>
      </c>
      <c r="J386">
        <f t="shared" si="23"/>
        <v>2</v>
      </c>
    </row>
    <row r="387" spans="1:10" x14ac:dyDescent="0.25">
      <c r="A387" s="10" t="s">
        <v>86</v>
      </c>
      <c r="B387" s="11" t="s">
        <v>136</v>
      </c>
      <c r="C387" s="11" t="s">
        <v>14</v>
      </c>
      <c r="D387" s="12">
        <v>41815</v>
      </c>
      <c r="E387" s="12">
        <v>41816</v>
      </c>
      <c r="F387" s="13">
        <v>302.5</v>
      </c>
      <c r="G387">
        <f t="shared" ref="G387:G450" si="24">E387-D387 + 1</f>
        <v>2</v>
      </c>
      <c r="H387">
        <f t="shared" ref="H387:H450" si="25">30+(G387-1)*24</f>
        <v>54</v>
      </c>
      <c r="I387">
        <f t="shared" ref="I387:I450" si="26">G387-1</f>
        <v>1</v>
      </c>
      <c r="J387">
        <f t="shared" ref="J387:J450" si="27">IF(G387&gt;=2,I387,"")</f>
        <v>1</v>
      </c>
    </row>
    <row r="388" spans="1:10" x14ac:dyDescent="0.25">
      <c r="A388" s="6" t="s">
        <v>9</v>
      </c>
      <c r="B388" s="7" t="s">
        <v>103</v>
      </c>
      <c r="C388" s="7" t="s">
        <v>47</v>
      </c>
      <c r="D388" s="8">
        <v>41818</v>
      </c>
      <c r="E388" s="8">
        <v>41818</v>
      </c>
      <c r="F388" s="9">
        <v>363.8</v>
      </c>
      <c r="G388">
        <f t="shared" si="24"/>
        <v>1</v>
      </c>
      <c r="H388">
        <f t="shared" si="25"/>
        <v>30</v>
      </c>
      <c r="I388">
        <f t="shared" si="26"/>
        <v>0</v>
      </c>
      <c r="J388" t="str">
        <f t="shared" si="27"/>
        <v/>
      </c>
    </row>
    <row r="389" spans="1:10" x14ac:dyDescent="0.25">
      <c r="A389" s="10" t="s">
        <v>15</v>
      </c>
      <c r="B389" s="11" t="s">
        <v>46</v>
      </c>
      <c r="C389" s="11" t="s">
        <v>72</v>
      </c>
      <c r="D389" s="12">
        <v>41821</v>
      </c>
      <c r="E389" s="12">
        <v>41825</v>
      </c>
      <c r="F389" s="13">
        <v>1290.7</v>
      </c>
      <c r="G389">
        <f t="shared" si="24"/>
        <v>5</v>
      </c>
      <c r="H389">
        <f t="shared" si="25"/>
        <v>126</v>
      </c>
      <c r="I389">
        <f t="shared" si="26"/>
        <v>4</v>
      </c>
      <c r="J389">
        <f t="shared" si="27"/>
        <v>4</v>
      </c>
    </row>
    <row r="390" spans="1:10" x14ac:dyDescent="0.25">
      <c r="A390" s="6" t="s">
        <v>33</v>
      </c>
      <c r="B390" s="7" t="s">
        <v>41</v>
      </c>
      <c r="C390" s="7" t="s">
        <v>19</v>
      </c>
      <c r="D390" s="8">
        <v>41821</v>
      </c>
      <c r="E390" s="8">
        <v>41825</v>
      </c>
      <c r="F390" s="9">
        <v>1077.4000000000001</v>
      </c>
      <c r="G390">
        <f t="shared" si="24"/>
        <v>5</v>
      </c>
      <c r="H390">
        <f t="shared" si="25"/>
        <v>126</v>
      </c>
      <c r="I390">
        <f t="shared" si="26"/>
        <v>4</v>
      </c>
      <c r="J390">
        <f t="shared" si="27"/>
        <v>4</v>
      </c>
    </row>
    <row r="391" spans="1:10" x14ac:dyDescent="0.25">
      <c r="A391" s="10" t="s">
        <v>101</v>
      </c>
      <c r="B391" s="11" t="s">
        <v>102</v>
      </c>
      <c r="C391" s="11" t="s">
        <v>66</v>
      </c>
      <c r="D391" s="12">
        <v>41821</v>
      </c>
      <c r="E391" s="12">
        <v>41823</v>
      </c>
      <c r="F391" s="13">
        <v>663.7</v>
      </c>
      <c r="G391">
        <f t="shared" si="24"/>
        <v>3</v>
      </c>
      <c r="H391">
        <f t="shared" si="25"/>
        <v>78</v>
      </c>
      <c r="I391">
        <f t="shared" si="26"/>
        <v>2</v>
      </c>
      <c r="J391">
        <f t="shared" si="27"/>
        <v>2</v>
      </c>
    </row>
    <row r="392" spans="1:10" x14ac:dyDescent="0.25">
      <c r="A392" s="6" t="s">
        <v>143</v>
      </c>
      <c r="B392" s="7" t="s">
        <v>144</v>
      </c>
      <c r="C392" s="7" t="s">
        <v>14</v>
      </c>
      <c r="D392" s="8">
        <v>41821</v>
      </c>
      <c r="E392" s="8">
        <v>41825</v>
      </c>
      <c r="F392" s="9">
        <v>674.5</v>
      </c>
      <c r="G392">
        <f t="shared" si="24"/>
        <v>5</v>
      </c>
      <c r="H392">
        <f t="shared" si="25"/>
        <v>126</v>
      </c>
      <c r="I392">
        <f t="shared" si="26"/>
        <v>4</v>
      </c>
      <c r="J392">
        <f t="shared" si="27"/>
        <v>4</v>
      </c>
    </row>
    <row r="393" spans="1:10" x14ac:dyDescent="0.25">
      <c r="A393" s="10" t="s">
        <v>151</v>
      </c>
      <c r="B393" s="11" t="s">
        <v>152</v>
      </c>
      <c r="C393" s="11" t="s">
        <v>17</v>
      </c>
      <c r="D393" s="12">
        <v>41821</v>
      </c>
      <c r="E393" s="12">
        <v>41823</v>
      </c>
      <c r="F393" s="13">
        <v>911.5</v>
      </c>
      <c r="G393">
        <f t="shared" si="24"/>
        <v>3</v>
      </c>
      <c r="H393">
        <f t="shared" si="25"/>
        <v>78</v>
      </c>
      <c r="I393">
        <f t="shared" si="26"/>
        <v>2</v>
      </c>
      <c r="J393">
        <f t="shared" si="27"/>
        <v>2</v>
      </c>
    </row>
    <row r="394" spans="1:10" x14ac:dyDescent="0.25">
      <c r="A394" s="6" t="s">
        <v>75</v>
      </c>
      <c r="B394" s="7" t="s">
        <v>76</v>
      </c>
      <c r="C394" s="7" t="s">
        <v>14</v>
      </c>
      <c r="D394" s="8">
        <v>41821</v>
      </c>
      <c r="E394" s="8">
        <v>41824</v>
      </c>
      <c r="F394" s="9">
        <v>550.5</v>
      </c>
      <c r="G394">
        <f t="shared" si="24"/>
        <v>4</v>
      </c>
      <c r="H394">
        <f t="shared" si="25"/>
        <v>102</v>
      </c>
      <c r="I394">
        <f t="shared" si="26"/>
        <v>3</v>
      </c>
      <c r="J394">
        <f t="shared" si="27"/>
        <v>3</v>
      </c>
    </row>
    <row r="395" spans="1:10" x14ac:dyDescent="0.25">
      <c r="A395" s="10" t="s">
        <v>115</v>
      </c>
      <c r="B395" s="11" t="s">
        <v>153</v>
      </c>
      <c r="C395" s="11" t="s">
        <v>72</v>
      </c>
      <c r="D395" s="12">
        <v>41827</v>
      </c>
      <c r="E395" s="12">
        <v>41829</v>
      </c>
      <c r="F395" s="13">
        <v>892.7</v>
      </c>
      <c r="G395">
        <f t="shared" si="24"/>
        <v>3</v>
      </c>
      <c r="H395">
        <f t="shared" si="25"/>
        <v>78</v>
      </c>
      <c r="I395">
        <f t="shared" si="26"/>
        <v>2</v>
      </c>
      <c r="J395">
        <f t="shared" si="27"/>
        <v>2</v>
      </c>
    </row>
    <row r="396" spans="1:10" x14ac:dyDescent="0.25">
      <c r="A396" s="6" t="s">
        <v>131</v>
      </c>
      <c r="B396" s="7" t="s">
        <v>142</v>
      </c>
      <c r="C396" s="7" t="s">
        <v>27</v>
      </c>
      <c r="D396" s="8">
        <v>41827</v>
      </c>
      <c r="E396" s="8">
        <v>41829</v>
      </c>
      <c r="F396" s="9">
        <v>698</v>
      </c>
      <c r="G396">
        <f t="shared" si="24"/>
        <v>3</v>
      </c>
      <c r="H396">
        <f t="shared" si="25"/>
        <v>78</v>
      </c>
      <c r="I396">
        <f t="shared" si="26"/>
        <v>2</v>
      </c>
      <c r="J396">
        <f t="shared" si="27"/>
        <v>2</v>
      </c>
    </row>
    <row r="397" spans="1:10" x14ac:dyDescent="0.25">
      <c r="A397" s="10" t="s">
        <v>25</v>
      </c>
      <c r="B397" s="11" t="s">
        <v>67</v>
      </c>
      <c r="C397" s="11" t="s">
        <v>24</v>
      </c>
      <c r="D397" s="12">
        <v>41827</v>
      </c>
      <c r="E397" s="12">
        <v>41830</v>
      </c>
      <c r="F397" s="13">
        <v>737.7</v>
      </c>
      <c r="G397">
        <f t="shared" si="24"/>
        <v>4</v>
      </c>
      <c r="H397">
        <f t="shared" si="25"/>
        <v>102</v>
      </c>
      <c r="I397">
        <f t="shared" si="26"/>
        <v>3</v>
      </c>
      <c r="J397">
        <f t="shared" si="27"/>
        <v>3</v>
      </c>
    </row>
    <row r="398" spans="1:10" x14ac:dyDescent="0.25">
      <c r="A398" s="6" t="s">
        <v>25</v>
      </c>
      <c r="B398" s="7" t="s">
        <v>26</v>
      </c>
      <c r="C398" s="7" t="s">
        <v>38</v>
      </c>
      <c r="D398" s="8">
        <v>41827</v>
      </c>
      <c r="E398" s="8">
        <v>41828</v>
      </c>
      <c r="F398" s="9">
        <v>407.8</v>
      </c>
      <c r="G398">
        <f t="shared" si="24"/>
        <v>2</v>
      </c>
      <c r="H398">
        <f t="shared" si="25"/>
        <v>54</v>
      </c>
      <c r="I398">
        <f t="shared" si="26"/>
        <v>1</v>
      </c>
      <c r="J398">
        <f t="shared" si="27"/>
        <v>1</v>
      </c>
    </row>
    <row r="399" spans="1:10" x14ac:dyDescent="0.25">
      <c r="A399" s="10" t="s">
        <v>61</v>
      </c>
      <c r="B399" s="11" t="s">
        <v>62</v>
      </c>
      <c r="C399" s="11" t="s">
        <v>59</v>
      </c>
      <c r="D399" s="12">
        <v>41827</v>
      </c>
      <c r="E399" s="12">
        <v>41830</v>
      </c>
      <c r="F399" s="13">
        <v>919</v>
      </c>
      <c r="G399">
        <f t="shared" si="24"/>
        <v>4</v>
      </c>
      <c r="H399">
        <f t="shared" si="25"/>
        <v>102</v>
      </c>
      <c r="I399">
        <f t="shared" si="26"/>
        <v>3</v>
      </c>
      <c r="J399">
        <f t="shared" si="27"/>
        <v>3</v>
      </c>
    </row>
    <row r="400" spans="1:10" x14ac:dyDescent="0.25">
      <c r="A400" s="6" t="s">
        <v>168</v>
      </c>
      <c r="B400" s="7" t="s">
        <v>169</v>
      </c>
      <c r="C400" s="7" t="s">
        <v>24</v>
      </c>
      <c r="D400" s="8">
        <v>41827</v>
      </c>
      <c r="E400" s="8">
        <v>41828</v>
      </c>
      <c r="F400" s="9">
        <v>439.7</v>
      </c>
      <c r="G400">
        <f t="shared" si="24"/>
        <v>2</v>
      </c>
      <c r="H400">
        <f t="shared" si="25"/>
        <v>54</v>
      </c>
      <c r="I400">
        <f t="shared" si="26"/>
        <v>1</v>
      </c>
      <c r="J400">
        <f t="shared" si="27"/>
        <v>1</v>
      </c>
    </row>
    <row r="401" spans="1:10" x14ac:dyDescent="0.25">
      <c r="A401" s="10" t="s">
        <v>33</v>
      </c>
      <c r="B401" s="11" t="s">
        <v>41</v>
      </c>
      <c r="C401" s="11" t="s">
        <v>19</v>
      </c>
      <c r="D401" s="12">
        <v>41827</v>
      </c>
      <c r="E401" s="12">
        <v>41829</v>
      </c>
      <c r="F401" s="13">
        <v>795.4</v>
      </c>
      <c r="G401">
        <f t="shared" si="24"/>
        <v>3</v>
      </c>
      <c r="H401">
        <f t="shared" si="25"/>
        <v>78</v>
      </c>
      <c r="I401">
        <f t="shared" si="26"/>
        <v>2</v>
      </c>
      <c r="J401">
        <f t="shared" si="27"/>
        <v>2</v>
      </c>
    </row>
    <row r="402" spans="1:10" x14ac:dyDescent="0.25">
      <c r="A402" s="6" t="s">
        <v>143</v>
      </c>
      <c r="B402" s="7" t="s">
        <v>144</v>
      </c>
      <c r="C402" s="7" t="s">
        <v>14</v>
      </c>
      <c r="D402" s="8">
        <v>41827</v>
      </c>
      <c r="E402" s="8">
        <v>41828</v>
      </c>
      <c r="F402" s="9">
        <v>302.5</v>
      </c>
      <c r="G402">
        <f t="shared" si="24"/>
        <v>2</v>
      </c>
      <c r="H402">
        <f t="shared" si="25"/>
        <v>54</v>
      </c>
      <c r="I402">
        <f t="shared" si="26"/>
        <v>1</v>
      </c>
      <c r="J402">
        <f t="shared" si="27"/>
        <v>1</v>
      </c>
    </row>
    <row r="403" spans="1:10" x14ac:dyDescent="0.25">
      <c r="A403" s="10" t="s">
        <v>164</v>
      </c>
      <c r="B403" s="11" t="s">
        <v>165</v>
      </c>
      <c r="C403" s="11" t="s">
        <v>47</v>
      </c>
      <c r="D403" s="12">
        <v>41827</v>
      </c>
      <c r="E403" s="12">
        <v>41827</v>
      </c>
      <c r="F403" s="13">
        <v>363.8</v>
      </c>
      <c r="G403">
        <f t="shared" si="24"/>
        <v>1</v>
      </c>
      <c r="H403">
        <f t="shared" si="25"/>
        <v>30</v>
      </c>
      <c r="I403">
        <f t="shared" si="26"/>
        <v>0</v>
      </c>
      <c r="J403" t="str">
        <f t="shared" si="27"/>
        <v/>
      </c>
    </row>
    <row r="404" spans="1:10" x14ac:dyDescent="0.25">
      <c r="A404" s="6" t="s">
        <v>52</v>
      </c>
      <c r="B404" s="7" t="s">
        <v>53</v>
      </c>
      <c r="C404" s="7" t="s">
        <v>38</v>
      </c>
      <c r="D404" s="8">
        <v>41827</v>
      </c>
      <c r="E404" s="8">
        <v>41831</v>
      </c>
      <c r="F404" s="9">
        <v>794.8</v>
      </c>
      <c r="G404">
        <f t="shared" si="24"/>
        <v>5</v>
      </c>
      <c r="H404">
        <f t="shared" si="25"/>
        <v>126</v>
      </c>
      <c r="I404">
        <f t="shared" si="26"/>
        <v>4</v>
      </c>
      <c r="J404">
        <f t="shared" si="27"/>
        <v>4</v>
      </c>
    </row>
    <row r="405" spans="1:10" x14ac:dyDescent="0.25">
      <c r="A405" s="10" t="s">
        <v>147</v>
      </c>
      <c r="B405" s="11" t="s">
        <v>148</v>
      </c>
      <c r="C405" s="11" t="s">
        <v>38</v>
      </c>
      <c r="D405" s="12">
        <v>41827</v>
      </c>
      <c r="E405" s="12">
        <v>41831</v>
      </c>
      <c r="F405" s="13">
        <v>794.8</v>
      </c>
      <c r="G405">
        <f t="shared" si="24"/>
        <v>5</v>
      </c>
      <c r="H405">
        <f t="shared" si="25"/>
        <v>126</v>
      </c>
      <c r="I405">
        <f t="shared" si="26"/>
        <v>4</v>
      </c>
      <c r="J405">
        <f t="shared" si="27"/>
        <v>4</v>
      </c>
    </row>
    <row r="406" spans="1:10" x14ac:dyDescent="0.25">
      <c r="A406" s="6" t="s">
        <v>89</v>
      </c>
      <c r="B406" s="7" t="s">
        <v>90</v>
      </c>
      <c r="C406" s="7" t="s">
        <v>11</v>
      </c>
      <c r="D406" s="8">
        <v>41827</v>
      </c>
      <c r="E406" s="8">
        <v>41828</v>
      </c>
      <c r="F406" s="9">
        <v>295.39999999999998</v>
      </c>
      <c r="G406">
        <f t="shared" si="24"/>
        <v>2</v>
      </c>
      <c r="H406">
        <f t="shared" si="25"/>
        <v>54</v>
      </c>
      <c r="I406">
        <f t="shared" si="26"/>
        <v>1</v>
      </c>
      <c r="J406">
        <f t="shared" si="27"/>
        <v>1</v>
      </c>
    </row>
    <row r="407" spans="1:10" x14ac:dyDescent="0.25">
      <c r="A407" s="10" t="s">
        <v>39</v>
      </c>
      <c r="B407" s="11" t="s">
        <v>40</v>
      </c>
      <c r="C407" s="11" t="s">
        <v>17</v>
      </c>
      <c r="D407" s="12">
        <v>41827</v>
      </c>
      <c r="E407" s="12">
        <v>41828</v>
      </c>
      <c r="F407" s="13">
        <v>706.5</v>
      </c>
      <c r="G407">
        <f t="shared" si="24"/>
        <v>2</v>
      </c>
      <c r="H407">
        <f t="shared" si="25"/>
        <v>54</v>
      </c>
      <c r="I407">
        <f t="shared" si="26"/>
        <v>1</v>
      </c>
      <c r="J407">
        <f t="shared" si="27"/>
        <v>1</v>
      </c>
    </row>
    <row r="408" spans="1:10" x14ac:dyDescent="0.25">
      <c r="A408" s="6" t="s">
        <v>15</v>
      </c>
      <c r="B408" s="7" t="s">
        <v>63</v>
      </c>
      <c r="C408" s="7" t="s">
        <v>66</v>
      </c>
      <c r="D408" s="8">
        <v>41827</v>
      </c>
      <c r="E408" s="8">
        <v>41828</v>
      </c>
      <c r="F408" s="9">
        <v>485.7</v>
      </c>
      <c r="G408">
        <f t="shared" si="24"/>
        <v>2</v>
      </c>
      <c r="H408">
        <f t="shared" si="25"/>
        <v>54</v>
      </c>
      <c r="I408">
        <f t="shared" si="26"/>
        <v>1</v>
      </c>
      <c r="J408">
        <f t="shared" si="27"/>
        <v>1</v>
      </c>
    </row>
    <row r="409" spans="1:10" x14ac:dyDescent="0.25">
      <c r="A409" s="10" t="s">
        <v>91</v>
      </c>
      <c r="B409" s="11" t="s">
        <v>92</v>
      </c>
      <c r="C409" s="11" t="s">
        <v>66</v>
      </c>
      <c r="D409" s="12">
        <v>41827</v>
      </c>
      <c r="E409" s="12">
        <v>41830</v>
      </c>
      <c r="F409" s="13">
        <v>841.7</v>
      </c>
      <c r="G409">
        <f t="shared" si="24"/>
        <v>4</v>
      </c>
      <c r="H409">
        <f t="shared" si="25"/>
        <v>102</v>
      </c>
      <c r="I409">
        <f t="shared" si="26"/>
        <v>3</v>
      </c>
      <c r="J409">
        <f t="shared" si="27"/>
        <v>3</v>
      </c>
    </row>
    <row r="410" spans="1:10" x14ac:dyDescent="0.25">
      <c r="A410" s="6" t="s">
        <v>164</v>
      </c>
      <c r="B410" s="7" t="s">
        <v>165</v>
      </c>
      <c r="C410" s="7" t="s">
        <v>59</v>
      </c>
      <c r="D410" s="8">
        <v>41830</v>
      </c>
      <c r="E410" s="8">
        <v>41830</v>
      </c>
      <c r="F410" s="9">
        <v>442</v>
      </c>
      <c r="G410">
        <f t="shared" si="24"/>
        <v>1</v>
      </c>
      <c r="H410">
        <f t="shared" si="25"/>
        <v>30</v>
      </c>
      <c r="I410">
        <f t="shared" si="26"/>
        <v>0</v>
      </c>
      <c r="J410" t="str">
        <f t="shared" si="27"/>
        <v/>
      </c>
    </row>
    <row r="411" spans="1:10" x14ac:dyDescent="0.25">
      <c r="A411" s="10" t="s">
        <v>131</v>
      </c>
      <c r="B411" s="11" t="s">
        <v>142</v>
      </c>
      <c r="C411" s="11" t="s">
        <v>14</v>
      </c>
      <c r="D411" s="12">
        <v>41831</v>
      </c>
      <c r="E411" s="12">
        <v>41831</v>
      </c>
      <c r="F411" s="13">
        <v>178.5</v>
      </c>
      <c r="G411">
        <f t="shared" si="24"/>
        <v>1</v>
      </c>
      <c r="H411">
        <f t="shared" si="25"/>
        <v>30</v>
      </c>
      <c r="I411">
        <f t="shared" si="26"/>
        <v>0</v>
      </c>
      <c r="J411" t="str">
        <f t="shared" si="27"/>
        <v/>
      </c>
    </row>
    <row r="412" spans="1:10" x14ac:dyDescent="0.25">
      <c r="A412" s="6" t="s">
        <v>31</v>
      </c>
      <c r="B412" s="7" t="s">
        <v>78</v>
      </c>
      <c r="C412" s="7" t="s">
        <v>47</v>
      </c>
      <c r="D412" s="8">
        <v>41833</v>
      </c>
      <c r="E412" s="8">
        <v>41836</v>
      </c>
      <c r="F412" s="9">
        <v>852.8</v>
      </c>
      <c r="G412">
        <f t="shared" si="24"/>
        <v>4</v>
      </c>
      <c r="H412">
        <f t="shared" si="25"/>
        <v>102</v>
      </c>
      <c r="I412">
        <f t="shared" si="26"/>
        <v>3</v>
      </c>
      <c r="J412">
        <f t="shared" si="27"/>
        <v>3</v>
      </c>
    </row>
    <row r="413" spans="1:10" x14ac:dyDescent="0.25">
      <c r="A413" s="10" t="s">
        <v>70</v>
      </c>
      <c r="B413" s="11" t="s">
        <v>117</v>
      </c>
      <c r="C413" s="11" t="s">
        <v>72</v>
      </c>
      <c r="D413" s="12">
        <v>41833</v>
      </c>
      <c r="E413" s="12">
        <v>41837</v>
      </c>
      <c r="F413" s="13">
        <v>1290.7</v>
      </c>
      <c r="G413">
        <f t="shared" si="24"/>
        <v>5</v>
      </c>
      <c r="H413">
        <f t="shared" si="25"/>
        <v>126</v>
      </c>
      <c r="I413">
        <f t="shared" si="26"/>
        <v>4</v>
      </c>
      <c r="J413">
        <f t="shared" si="27"/>
        <v>4</v>
      </c>
    </row>
    <row r="414" spans="1:10" x14ac:dyDescent="0.25">
      <c r="A414" s="6" t="s">
        <v>15</v>
      </c>
      <c r="B414" s="7" t="s">
        <v>63</v>
      </c>
      <c r="C414" s="7" t="s">
        <v>17</v>
      </c>
      <c r="D414" s="8">
        <v>41834</v>
      </c>
      <c r="E414" s="8">
        <v>41834</v>
      </c>
      <c r="F414" s="9">
        <v>501.5</v>
      </c>
      <c r="G414">
        <f t="shared" si="24"/>
        <v>1</v>
      </c>
      <c r="H414">
        <f t="shared" si="25"/>
        <v>30</v>
      </c>
      <c r="I414">
        <f t="shared" si="26"/>
        <v>0</v>
      </c>
      <c r="J414" t="str">
        <f t="shared" si="27"/>
        <v/>
      </c>
    </row>
    <row r="415" spans="1:10" x14ac:dyDescent="0.25">
      <c r="A415" s="10" t="s">
        <v>22</v>
      </c>
      <c r="B415" s="11" t="s">
        <v>172</v>
      </c>
      <c r="C415" s="11" t="s">
        <v>66</v>
      </c>
      <c r="D415" s="12">
        <v>41835</v>
      </c>
      <c r="E415" s="12">
        <v>41835</v>
      </c>
      <c r="F415" s="13">
        <v>307.7</v>
      </c>
      <c r="G415">
        <f t="shared" si="24"/>
        <v>1</v>
      </c>
      <c r="H415">
        <f t="shared" si="25"/>
        <v>30</v>
      </c>
      <c r="I415">
        <f t="shared" si="26"/>
        <v>0</v>
      </c>
      <c r="J415" t="str">
        <f t="shared" si="27"/>
        <v/>
      </c>
    </row>
    <row r="416" spans="1:10" x14ac:dyDescent="0.25">
      <c r="A416" s="6" t="s">
        <v>168</v>
      </c>
      <c r="B416" s="7" t="s">
        <v>169</v>
      </c>
      <c r="C416" s="7" t="s">
        <v>11</v>
      </c>
      <c r="D416" s="8">
        <v>41835</v>
      </c>
      <c r="E416" s="8">
        <v>41836</v>
      </c>
      <c r="F416" s="9">
        <v>295.39999999999998</v>
      </c>
      <c r="G416">
        <f t="shared" si="24"/>
        <v>2</v>
      </c>
      <c r="H416">
        <f t="shared" si="25"/>
        <v>54</v>
      </c>
      <c r="I416">
        <f t="shared" si="26"/>
        <v>1</v>
      </c>
      <c r="J416">
        <f t="shared" si="27"/>
        <v>1</v>
      </c>
    </row>
    <row r="417" spans="1:10" x14ac:dyDescent="0.25">
      <c r="A417" s="10" t="s">
        <v>73</v>
      </c>
      <c r="B417" s="11" t="s">
        <v>104</v>
      </c>
      <c r="C417" s="11" t="s">
        <v>19</v>
      </c>
      <c r="D417" s="12">
        <v>41835</v>
      </c>
      <c r="E417" s="12">
        <v>41835</v>
      </c>
      <c r="F417" s="13">
        <v>513.4</v>
      </c>
      <c r="G417">
        <f t="shared" si="24"/>
        <v>1</v>
      </c>
      <c r="H417">
        <f t="shared" si="25"/>
        <v>30</v>
      </c>
      <c r="I417">
        <f t="shared" si="26"/>
        <v>0</v>
      </c>
      <c r="J417" t="str">
        <f t="shared" si="27"/>
        <v/>
      </c>
    </row>
    <row r="418" spans="1:10" x14ac:dyDescent="0.25">
      <c r="A418" s="6" t="s">
        <v>54</v>
      </c>
      <c r="B418" s="7" t="s">
        <v>81</v>
      </c>
      <c r="C418" s="7" t="s">
        <v>27</v>
      </c>
      <c r="D418" s="8">
        <v>41837</v>
      </c>
      <c r="E418" s="8">
        <v>41837</v>
      </c>
      <c r="F418" s="9">
        <v>442</v>
      </c>
      <c r="G418">
        <f t="shared" si="24"/>
        <v>1</v>
      </c>
      <c r="H418">
        <f t="shared" si="25"/>
        <v>30</v>
      </c>
      <c r="I418">
        <f t="shared" si="26"/>
        <v>0</v>
      </c>
      <c r="J418" t="str">
        <f t="shared" si="27"/>
        <v/>
      </c>
    </row>
    <row r="419" spans="1:10" x14ac:dyDescent="0.25">
      <c r="A419" s="10" t="s">
        <v>128</v>
      </c>
      <c r="B419" s="11" t="s">
        <v>129</v>
      </c>
      <c r="C419" s="11" t="s">
        <v>38</v>
      </c>
      <c r="D419" s="12">
        <v>41839</v>
      </c>
      <c r="E419" s="12">
        <v>41843</v>
      </c>
      <c r="F419" s="13">
        <v>794.8</v>
      </c>
      <c r="G419">
        <f t="shared" si="24"/>
        <v>5</v>
      </c>
      <c r="H419">
        <f t="shared" si="25"/>
        <v>126</v>
      </c>
      <c r="I419">
        <f t="shared" si="26"/>
        <v>4</v>
      </c>
      <c r="J419">
        <f t="shared" si="27"/>
        <v>4</v>
      </c>
    </row>
    <row r="420" spans="1:10" x14ac:dyDescent="0.25">
      <c r="A420" s="6" t="s">
        <v>128</v>
      </c>
      <c r="B420" s="7" t="s">
        <v>129</v>
      </c>
      <c r="C420" s="7" t="s">
        <v>14</v>
      </c>
      <c r="D420" s="8">
        <v>41839</v>
      </c>
      <c r="E420" s="8">
        <v>41842</v>
      </c>
      <c r="F420" s="9">
        <v>550.5</v>
      </c>
      <c r="G420">
        <f t="shared" si="24"/>
        <v>4</v>
      </c>
      <c r="H420">
        <f t="shared" si="25"/>
        <v>102</v>
      </c>
      <c r="I420">
        <f t="shared" si="26"/>
        <v>3</v>
      </c>
      <c r="J420">
        <f t="shared" si="27"/>
        <v>3</v>
      </c>
    </row>
    <row r="421" spans="1:10" x14ac:dyDescent="0.25">
      <c r="A421" s="10" t="s">
        <v>93</v>
      </c>
      <c r="B421" s="11" t="s">
        <v>124</v>
      </c>
      <c r="C421" s="11" t="s">
        <v>47</v>
      </c>
      <c r="D421" s="12">
        <v>41839</v>
      </c>
      <c r="E421" s="12">
        <v>41840</v>
      </c>
      <c r="F421" s="13">
        <v>526.79999999999995</v>
      </c>
      <c r="G421">
        <f t="shared" si="24"/>
        <v>2</v>
      </c>
      <c r="H421">
        <f t="shared" si="25"/>
        <v>54</v>
      </c>
      <c r="I421">
        <f t="shared" si="26"/>
        <v>1</v>
      </c>
      <c r="J421">
        <f t="shared" si="27"/>
        <v>1</v>
      </c>
    </row>
    <row r="422" spans="1:10" x14ac:dyDescent="0.25">
      <c r="A422" s="6" t="s">
        <v>22</v>
      </c>
      <c r="B422" s="7" t="s">
        <v>172</v>
      </c>
      <c r="C422" s="7" t="s">
        <v>30</v>
      </c>
      <c r="D422" s="8">
        <v>41839</v>
      </c>
      <c r="E422" s="8">
        <v>41843</v>
      </c>
      <c r="F422" s="9">
        <v>688.5</v>
      </c>
      <c r="G422">
        <f t="shared" si="24"/>
        <v>5</v>
      </c>
      <c r="H422">
        <f t="shared" si="25"/>
        <v>126</v>
      </c>
      <c r="I422">
        <f t="shared" si="26"/>
        <v>4</v>
      </c>
      <c r="J422">
        <f t="shared" si="27"/>
        <v>4</v>
      </c>
    </row>
    <row r="423" spans="1:10" x14ac:dyDescent="0.25">
      <c r="A423" s="10" t="s">
        <v>54</v>
      </c>
      <c r="B423" s="11" t="s">
        <v>133</v>
      </c>
      <c r="C423" s="11" t="s">
        <v>19</v>
      </c>
      <c r="D423" s="12">
        <v>41839</v>
      </c>
      <c r="E423" s="12">
        <v>41840</v>
      </c>
      <c r="F423" s="13">
        <v>654.4</v>
      </c>
      <c r="G423">
        <f t="shared" si="24"/>
        <v>2</v>
      </c>
      <c r="H423">
        <f t="shared" si="25"/>
        <v>54</v>
      </c>
      <c r="I423">
        <f t="shared" si="26"/>
        <v>1</v>
      </c>
      <c r="J423">
        <f t="shared" si="27"/>
        <v>1</v>
      </c>
    </row>
    <row r="424" spans="1:10" x14ac:dyDescent="0.25">
      <c r="A424" s="6" t="s">
        <v>25</v>
      </c>
      <c r="B424" s="7" t="s">
        <v>67</v>
      </c>
      <c r="C424" s="7" t="s">
        <v>66</v>
      </c>
      <c r="D424" s="8">
        <v>41839</v>
      </c>
      <c r="E424" s="8">
        <v>41840</v>
      </c>
      <c r="F424" s="9">
        <v>485.7</v>
      </c>
      <c r="G424">
        <f t="shared" si="24"/>
        <v>2</v>
      </c>
      <c r="H424">
        <f t="shared" si="25"/>
        <v>54</v>
      </c>
      <c r="I424">
        <f t="shared" si="26"/>
        <v>1</v>
      </c>
      <c r="J424">
        <f t="shared" si="27"/>
        <v>1</v>
      </c>
    </row>
    <row r="425" spans="1:10" x14ac:dyDescent="0.25">
      <c r="A425" s="10" t="s">
        <v>84</v>
      </c>
      <c r="B425" s="11" t="s">
        <v>85</v>
      </c>
      <c r="C425" s="11" t="s">
        <v>11</v>
      </c>
      <c r="D425" s="12">
        <v>41839</v>
      </c>
      <c r="E425" s="12">
        <v>41840</v>
      </c>
      <c r="F425" s="13">
        <v>295.39999999999998</v>
      </c>
      <c r="G425">
        <f t="shared" si="24"/>
        <v>2</v>
      </c>
      <c r="H425">
        <f t="shared" si="25"/>
        <v>54</v>
      </c>
      <c r="I425">
        <f t="shared" si="26"/>
        <v>1</v>
      </c>
      <c r="J425">
        <f t="shared" si="27"/>
        <v>1</v>
      </c>
    </row>
    <row r="426" spans="1:10" x14ac:dyDescent="0.25">
      <c r="A426" s="6" t="s">
        <v>86</v>
      </c>
      <c r="B426" s="7" t="s">
        <v>150</v>
      </c>
      <c r="C426" s="7" t="s">
        <v>24</v>
      </c>
      <c r="D426" s="8">
        <v>41839</v>
      </c>
      <c r="E426" s="8">
        <v>41843</v>
      </c>
      <c r="F426" s="9">
        <v>886.7</v>
      </c>
      <c r="G426">
        <f t="shared" si="24"/>
        <v>5</v>
      </c>
      <c r="H426">
        <f t="shared" si="25"/>
        <v>126</v>
      </c>
      <c r="I426">
        <f t="shared" si="26"/>
        <v>4</v>
      </c>
      <c r="J426">
        <f t="shared" si="27"/>
        <v>4</v>
      </c>
    </row>
    <row r="427" spans="1:10" x14ac:dyDescent="0.25">
      <c r="A427" s="10" t="s">
        <v>9</v>
      </c>
      <c r="B427" s="11" t="s">
        <v>103</v>
      </c>
      <c r="C427" s="11" t="s">
        <v>24</v>
      </c>
      <c r="D427" s="12">
        <v>41839</v>
      </c>
      <c r="E427" s="12">
        <v>41840</v>
      </c>
      <c r="F427" s="13">
        <v>439.7</v>
      </c>
      <c r="G427">
        <f t="shared" si="24"/>
        <v>2</v>
      </c>
      <c r="H427">
        <f t="shared" si="25"/>
        <v>54</v>
      </c>
      <c r="I427">
        <f t="shared" si="26"/>
        <v>1</v>
      </c>
      <c r="J427">
        <f t="shared" si="27"/>
        <v>1</v>
      </c>
    </row>
    <row r="428" spans="1:10" x14ac:dyDescent="0.25">
      <c r="A428" s="6" t="s">
        <v>42</v>
      </c>
      <c r="B428" s="7" t="s">
        <v>43</v>
      </c>
      <c r="C428" s="7" t="s">
        <v>24</v>
      </c>
      <c r="D428" s="8">
        <v>41839</v>
      </c>
      <c r="E428" s="8">
        <v>41841</v>
      </c>
      <c r="F428" s="9">
        <v>588.70000000000005</v>
      </c>
      <c r="G428">
        <f t="shared" si="24"/>
        <v>3</v>
      </c>
      <c r="H428">
        <f t="shared" si="25"/>
        <v>78</v>
      </c>
      <c r="I428">
        <f t="shared" si="26"/>
        <v>2</v>
      </c>
      <c r="J428">
        <f t="shared" si="27"/>
        <v>2</v>
      </c>
    </row>
    <row r="429" spans="1:10" x14ac:dyDescent="0.25">
      <c r="A429" s="10" t="s">
        <v>156</v>
      </c>
      <c r="B429" s="11" t="s">
        <v>157</v>
      </c>
      <c r="C429" s="11" t="s">
        <v>19</v>
      </c>
      <c r="D429" s="12">
        <v>41839</v>
      </c>
      <c r="E429" s="12">
        <v>41841</v>
      </c>
      <c r="F429" s="13">
        <v>795.4</v>
      </c>
      <c r="G429">
        <f t="shared" si="24"/>
        <v>3</v>
      </c>
      <c r="H429">
        <f t="shared" si="25"/>
        <v>78</v>
      </c>
      <c r="I429">
        <f t="shared" si="26"/>
        <v>2</v>
      </c>
      <c r="J429">
        <f t="shared" si="27"/>
        <v>2</v>
      </c>
    </row>
    <row r="430" spans="1:10" x14ac:dyDescent="0.25">
      <c r="A430" s="6" t="s">
        <v>15</v>
      </c>
      <c r="B430" s="7" t="s">
        <v>63</v>
      </c>
      <c r="C430" s="7" t="s">
        <v>11</v>
      </c>
      <c r="D430" s="8">
        <v>41839</v>
      </c>
      <c r="E430" s="8">
        <v>41839</v>
      </c>
      <c r="F430" s="9">
        <v>156.4</v>
      </c>
      <c r="G430">
        <f t="shared" si="24"/>
        <v>1</v>
      </c>
      <c r="H430">
        <f t="shared" si="25"/>
        <v>30</v>
      </c>
      <c r="I430">
        <f t="shared" si="26"/>
        <v>0</v>
      </c>
      <c r="J430" t="str">
        <f t="shared" si="27"/>
        <v/>
      </c>
    </row>
    <row r="431" spans="1:10" x14ac:dyDescent="0.25">
      <c r="A431" s="10" t="s">
        <v>131</v>
      </c>
      <c r="B431" s="11" t="s">
        <v>132</v>
      </c>
      <c r="C431" s="11" t="s">
        <v>19</v>
      </c>
      <c r="D431" s="12">
        <v>41839</v>
      </c>
      <c r="E431" s="12">
        <v>41843</v>
      </c>
      <c r="F431" s="13">
        <v>1077.4000000000001</v>
      </c>
      <c r="G431">
        <f t="shared" si="24"/>
        <v>5</v>
      </c>
      <c r="H431">
        <f t="shared" si="25"/>
        <v>126</v>
      </c>
      <c r="I431">
        <f t="shared" si="26"/>
        <v>4</v>
      </c>
      <c r="J431">
        <f t="shared" si="27"/>
        <v>4</v>
      </c>
    </row>
    <row r="432" spans="1:10" x14ac:dyDescent="0.25">
      <c r="A432" s="6" t="s">
        <v>168</v>
      </c>
      <c r="B432" s="7" t="s">
        <v>169</v>
      </c>
      <c r="C432" s="7" t="s">
        <v>8</v>
      </c>
      <c r="D432" s="8">
        <v>41841</v>
      </c>
      <c r="E432" s="8">
        <v>41841</v>
      </c>
      <c r="F432" s="9">
        <v>680</v>
      </c>
      <c r="G432">
        <f t="shared" si="24"/>
        <v>1</v>
      </c>
      <c r="H432">
        <f t="shared" si="25"/>
        <v>30</v>
      </c>
      <c r="I432">
        <f t="shared" si="26"/>
        <v>0</v>
      </c>
      <c r="J432" t="str">
        <f t="shared" si="27"/>
        <v/>
      </c>
    </row>
    <row r="433" spans="1:10" x14ac:dyDescent="0.25">
      <c r="A433" s="10" t="s">
        <v>109</v>
      </c>
      <c r="B433" s="11" t="s">
        <v>110</v>
      </c>
      <c r="C433" s="11" t="s">
        <v>72</v>
      </c>
      <c r="D433" s="12">
        <v>41841</v>
      </c>
      <c r="E433" s="12">
        <v>41843</v>
      </c>
      <c r="F433" s="13">
        <v>892.7</v>
      </c>
      <c r="G433">
        <f t="shared" si="24"/>
        <v>3</v>
      </c>
      <c r="H433">
        <f t="shared" si="25"/>
        <v>78</v>
      </c>
      <c r="I433">
        <f t="shared" si="26"/>
        <v>2</v>
      </c>
      <c r="J433">
        <f t="shared" si="27"/>
        <v>2</v>
      </c>
    </row>
    <row r="434" spans="1:10" x14ac:dyDescent="0.25">
      <c r="A434" s="6" t="s">
        <v>137</v>
      </c>
      <c r="B434" s="7" t="s">
        <v>138</v>
      </c>
      <c r="C434" s="7" t="s">
        <v>66</v>
      </c>
      <c r="D434" s="8">
        <v>41841</v>
      </c>
      <c r="E434" s="8">
        <v>41841</v>
      </c>
      <c r="F434" s="9">
        <v>307.7</v>
      </c>
      <c r="G434">
        <f t="shared" si="24"/>
        <v>1</v>
      </c>
      <c r="H434">
        <f t="shared" si="25"/>
        <v>30</v>
      </c>
      <c r="I434">
        <f t="shared" si="26"/>
        <v>0</v>
      </c>
      <c r="J434" t="str">
        <f t="shared" si="27"/>
        <v/>
      </c>
    </row>
    <row r="435" spans="1:10" x14ac:dyDescent="0.25">
      <c r="A435" s="10" t="s">
        <v>115</v>
      </c>
      <c r="B435" s="11" t="s">
        <v>153</v>
      </c>
      <c r="C435" s="11" t="s">
        <v>24</v>
      </c>
      <c r="D435" s="12">
        <v>41845</v>
      </c>
      <c r="E435" s="12">
        <v>41848</v>
      </c>
      <c r="F435" s="13">
        <v>737.7</v>
      </c>
      <c r="G435">
        <f t="shared" si="24"/>
        <v>4</v>
      </c>
      <c r="H435">
        <f t="shared" si="25"/>
        <v>102</v>
      </c>
      <c r="I435">
        <f t="shared" si="26"/>
        <v>3</v>
      </c>
      <c r="J435">
        <f t="shared" si="27"/>
        <v>3</v>
      </c>
    </row>
    <row r="436" spans="1:10" x14ac:dyDescent="0.25">
      <c r="A436" s="6" t="s">
        <v>122</v>
      </c>
      <c r="B436" s="7" t="s">
        <v>123</v>
      </c>
      <c r="C436" s="7" t="s">
        <v>17</v>
      </c>
      <c r="D436" s="8">
        <v>41845</v>
      </c>
      <c r="E436" s="8">
        <v>41847</v>
      </c>
      <c r="F436" s="9">
        <v>911.5</v>
      </c>
      <c r="G436">
        <f t="shared" si="24"/>
        <v>3</v>
      </c>
      <c r="H436">
        <f t="shared" si="25"/>
        <v>78</v>
      </c>
      <c r="I436">
        <f t="shared" si="26"/>
        <v>2</v>
      </c>
      <c r="J436">
        <f t="shared" si="27"/>
        <v>2</v>
      </c>
    </row>
    <row r="437" spans="1:10" x14ac:dyDescent="0.25">
      <c r="A437" s="10" t="s">
        <v>82</v>
      </c>
      <c r="B437" s="11" t="s">
        <v>83</v>
      </c>
      <c r="C437" s="11" t="s">
        <v>30</v>
      </c>
      <c r="D437" s="12">
        <v>41845</v>
      </c>
      <c r="E437" s="12">
        <v>41849</v>
      </c>
      <c r="F437" s="13">
        <v>688.5</v>
      </c>
      <c r="G437">
        <f t="shared" si="24"/>
        <v>5</v>
      </c>
      <c r="H437">
        <f t="shared" si="25"/>
        <v>126</v>
      </c>
      <c r="I437">
        <f t="shared" si="26"/>
        <v>4</v>
      </c>
      <c r="J437">
        <f t="shared" si="27"/>
        <v>4</v>
      </c>
    </row>
    <row r="438" spans="1:10" x14ac:dyDescent="0.25">
      <c r="A438" s="6" t="s">
        <v>28</v>
      </c>
      <c r="B438" s="7" t="s">
        <v>60</v>
      </c>
      <c r="C438" s="7" t="s">
        <v>30</v>
      </c>
      <c r="D438" s="8">
        <v>41845</v>
      </c>
      <c r="E438" s="8">
        <v>41849</v>
      </c>
      <c r="F438" s="9">
        <v>688.5</v>
      </c>
      <c r="G438">
        <f t="shared" si="24"/>
        <v>5</v>
      </c>
      <c r="H438">
        <f t="shared" si="25"/>
        <v>126</v>
      </c>
      <c r="I438">
        <f t="shared" si="26"/>
        <v>4</v>
      </c>
      <c r="J438">
        <f t="shared" si="27"/>
        <v>4</v>
      </c>
    </row>
    <row r="439" spans="1:10" x14ac:dyDescent="0.25">
      <c r="A439" s="10" t="s">
        <v>54</v>
      </c>
      <c r="B439" s="11" t="s">
        <v>121</v>
      </c>
      <c r="C439" s="11" t="s">
        <v>11</v>
      </c>
      <c r="D439" s="12">
        <v>41845</v>
      </c>
      <c r="E439" s="12">
        <v>41849</v>
      </c>
      <c r="F439" s="13">
        <v>712.4</v>
      </c>
      <c r="G439">
        <f t="shared" si="24"/>
        <v>5</v>
      </c>
      <c r="H439">
        <f t="shared" si="25"/>
        <v>126</v>
      </c>
      <c r="I439">
        <f t="shared" si="26"/>
        <v>4</v>
      </c>
      <c r="J439">
        <f t="shared" si="27"/>
        <v>4</v>
      </c>
    </row>
    <row r="440" spans="1:10" x14ac:dyDescent="0.25">
      <c r="A440" s="6" t="s">
        <v>111</v>
      </c>
      <c r="B440" s="7" t="s">
        <v>112</v>
      </c>
      <c r="C440" s="7" t="s">
        <v>17</v>
      </c>
      <c r="D440" s="8">
        <v>41845</v>
      </c>
      <c r="E440" s="8">
        <v>41846</v>
      </c>
      <c r="F440" s="9">
        <v>706.5</v>
      </c>
      <c r="G440">
        <f t="shared" si="24"/>
        <v>2</v>
      </c>
      <c r="H440">
        <f t="shared" si="25"/>
        <v>54</v>
      </c>
      <c r="I440">
        <f t="shared" si="26"/>
        <v>1</v>
      </c>
      <c r="J440">
        <f t="shared" si="27"/>
        <v>1</v>
      </c>
    </row>
    <row r="441" spans="1:10" x14ac:dyDescent="0.25">
      <c r="A441" s="10" t="s">
        <v>15</v>
      </c>
      <c r="B441" s="11" t="s">
        <v>44</v>
      </c>
      <c r="C441" s="11" t="s">
        <v>38</v>
      </c>
      <c r="D441" s="12">
        <v>41851</v>
      </c>
      <c r="E441" s="12">
        <v>41855</v>
      </c>
      <c r="F441" s="13">
        <v>794.8</v>
      </c>
      <c r="G441">
        <f t="shared" si="24"/>
        <v>5</v>
      </c>
      <c r="H441">
        <f t="shared" si="25"/>
        <v>126</v>
      </c>
      <c r="I441">
        <f t="shared" si="26"/>
        <v>4</v>
      </c>
      <c r="J441">
        <f t="shared" si="27"/>
        <v>4</v>
      </c>
    </row>
    <row r="442" spans="1:10" x14ac:dyDescent="0.25">
      <c r="A442" s="6" t="s">
        <v>15</v>
      </c>
      <c r="B442" s="7" t="s">
        <v>46</v>
      </c>
      <c r="C442" s="7" t="s">
        <v>72</v>
      </c>
      <c r="D442" s="8">
        <v>41851</v>
      </c>
      <c r="E442" s="8">
        <v>41854</v>
      </c>
      <c r="F442" s="9">
        <v>1091.7</v>
      </c>
      <c r="G442">
        <f t="shared" si="24"/>
        <v>4</v>
      </c>
      <c r="H442">
        <f t="shared" si="25"/>
        <v>102</v>
      </c>
      <c r="I442">
        <f t="shared" si="26"/>
        <v>3</v>
      </c>
      <c r="J442">
        <f t="shared" si="27"/>
        <v>3</v>
      </c>
    </row>
    <row r="443" spans="1:10" x14ac:dyDescent="0.25">
      <c r="A443" s="10" t="s">
        <v>93</v>
      </c>
      <c r="B443" s="11" t="s">
        <v>124</v>
      </c>
      <c r="C443" s="11" t="s">
        <v>72</v>
      </c>
      <c r="D443" s="12">
        <v>41851</v>
      </c>
      <c r="E443" s="12">
        <v>41853</v>
      </c>
      <c r="F443" s="13">
        <v>892.7</v>
      </c>
      <c r="G443">
        <f t="shared" si="24"/>
        <v>3</v>
      </c>
      <c r="H443">
        <f t="shared" si="25"/>
        <v>78</v>
      </c>
      <c r="I443">
        <f t="shared" si="26"/>
        <v>2</v>
      </c>
      <c r="J443">
        <f t="shared" si="27"/>
        <v>2</v>
      </c>
    </row>
    <row r="444" spans="1:10" x14ac:dyDescent="0.25">
      <c r="A444" s="6" t="s">
        <v>82</v>
      </c>
      <c r="B444" s="7" t="s">
        <v>83</v>
      </c>
      <c r="C444" s="7" t="s">
        <v>27</v>
      </c>
      <c r="D444" s="8">
        <v>41851</v>
      </c>
      <c r="E444" s="8">
        <v>41852</v>
      </c>
      <c r="F444" s="9">
        <v>570</v>
      </c>
      <c r="G444">
        <f t="shared" si="24"/>
        <v>2</v>
      </c>
      <c r="H444">
        <f t="shared" si="25"/>
        <v>54</v>
      </c>
      <c r="I444">
        <f t="shared" si="26"/>
        <v>1</v>
      </c>
      <c r="J444">
        <f t="shared" si="27"/>
        <v>1</v>
      </c>
    </row>
    <row r="445" spans="1:10" x14ac:dyDescent="0.25">
      <c r="A445" s="10" t="s">
        <v>6</v>
      </c>
      <c r="B445" s="11" t="s">
        <v>56</v>
      </c>
      <c r="C445" s="11" t="s">
        <v>24</v>
      </c>
      <c r="D445" s="12">
        <v>41851</v>
      </c>
      <c r="E445" s="12">
        <v>41854</v>
      </c>
      <c r="F445" s="13">
        <v>737.7</v>
      </c>
      <c r="G445">
        <f t="shared" si="24"/>
        <v>4</v>
      </c>
      <c r="H445">
        <f t="shared" si="25"/>
        <v>102</v>
      </c>
      <c r="I445">
        <f t="shared" si="26"/>
        <v>3</v>
      </c>
      <c r="J445">
        <f t="shared" si="27"/>
        <v>3</v>
      </c>
    </row>
    <row r="446" spans="1:10" x14ac:dyDescent="0.25">
      <c r="A446" s="6" t="s">
        <v>33</v>
      </c>
      <c r="B446" s="7" t="s">
        <v>41</v>
      </c>
      <c r="C446" s="7" t="s">
        <v>30</v>
      </c>
      <c r="D446" s="8">
        <v>41851</v>
      </c>
      <c r="E446" s="8">
        <v>41855</v>
      </c>
      <c r="F446" s="9">
        <v>688.5</v>
      </c>
      <c r="G446">
        <f t="shared" si="24"/>
        <v>5</v>
      </c>
      <c r="H446">
        <f t="shared" si="25"/>
        <v>126</v>
      </c>
      <c r="I446">
        <f t="shared" si="26"/>
        <v>4</v>
      </c>
      <c r="J446">
        <f t="shared" si="27"/>
        <v>4</v>
      </c>
    </row>
    <row r="447" spans="1:10" x14ac:dyDescent="0.25">
      <c r="A447" s="10" t="s">
        <v>101</v>
      </c>
      <c r="B447" s="11" t="s">
        <v>102</v>
      </c>
      <c r="C447" s="11" t="s">
        <v>38</v>
      </c>
      <c r="D447" s="12">
        <v>41851</v>
      </c>
      <c r="E447" s="12">
        <v>41853</v>
      </c>
      <c r="F447" s="13">
        <v>536.79999999999995</v>
      </c>
      <c r="G447">
        <f t="shared" si="24"/>
        <v>3</v>
      </c>
      <c r="H447">
        <f t="shared" si="25"/>
        <v>78</v>
      </c>
      <c r="I447">
        <f t="shared" si="26"/>
        <v>2</v>
      </c>
      <c r="J447">
        <f t="shared" si="27"/>
        <v>2</v>
      </c>
    </row>
    <row r="448" spans="1:10" x14ac:dyDescent="0.25">
      <c r="A448" s="6" t="s">
        <v>164</v>
      </c>
      <c r="B448" s="7" t="s">
        <v>165</v>
      </c>
      <c r="C448" s="7" t="s">
        <v>47</v>
      </c>
      <c r="D448" s="8">
        <v>41851</v>
      </c>
      <c r="E448" s="8">
        <v>41852</v>
      </c>
      <c r="F448" s="9">
        <v>526.79999999999995</v>
      </c>
      <c r="G448">
        <f t="shared" si="24"/>
        <v>2</v>
      </c>
      <c r="H448">
        <f t="shared" si="25"/>
        <v>54</v>
      </c>
      <c r="I448">
        <f t="shared" si="26"/>
        <v>1</v>
      </c>
      <c r="J448">
        <f t="shared" si="27"/>
        <v>1</v>
      </c>
    </row>
    <row r="449" spans="1:10" x14ac:dyDescent="0.25">
      <c r="A449" s="10" t="s">
        <v>107</v>
      </c>
      <c r="B449" s="11" t="s">
        <v>108</v>
      </c>
      <c r="C449" s="11" t="s">
        <v>8</v>
      </c>
      <c r="D449" s="12">
        <v>41851</v>
      </c>
      <c r="E449" s="12">
        <v>41855</v>
      </c>
      <c r="F449" s="13">
        <v>1524</v>
      </c>
      <c r="G449">
        <f t="shared" si="24"/>
        <v>5</v>
      </c>
      <c r="H449">
        <f t="shared" si="25"/>
        <v>126</v>
      </c>
      <c r="I449">
        <f t="shared" si="26"/>
        <v>4</v>
      </c>
      <c r="J449">
        <f t="shared" si="27"/>
        <v>4</v>
      </c>
    </row>
    <row r="450" spans="1:10" x14ac:dyDescent="0.25">
      <c r="A450" s="6" t="s">
        <v>166</v>
      </c>
      <c r="B450" s="7" t="s">
        <v>167</v>
      </c>
      <c r="C450" s="7" t="s">
        <v>17</v>
      </c>
      <c r="D450" s="8">
        <v>41851</v>
      </c>
      <c r="E450" s="8">
        <v>41854</v>
      </c>
      <c r="F450" s="9">
        <v>1116.5</v>
      </c>
      <c r="G450">
        <f t="shared" si="24"/>
        <v>4</v>
      </c>
      <c r="H450">
        <f t="shared" si="25"/>
        <v>102</v>
      </c>
      <c r="I450">
        <f t="shared" si="26"/>
        <v>3</v>
      </c>
      <c r="J450">
        <f t="shared" si="27"/>
        <v>3</v>
      </c>
    </row>
    <row r="451" spans="1:10" x14ac:dyDescent="0.25">
      <c r="A451" s="10" t="s">
        <v>134</v>
      </c>
      <c r="B451" s="11" t="s">
        <v>149</v>
      </c>
      <c r="C451" s="11" t="s">
        <v>11</v>
      </c>
      <c r="D451" s="12">
        <v>41851</v>
      </c>
      <c r="E451" s="12">
        <v>41852</v>
      </c>
      <c r="F451" s="13">
        <v>295.39999999999998</v>
      </c>
      <c r="G451">
        <f t="shared" ref="G451:G514" si="28">E451-D451 + 1</f>
        <v>2</v>
      </c>
      <c r="H451">
        <f t="shared" ref="H451:H514" si="29">30+(G451-1)*24</f>
        <v>54</v>
      </c>
      <c r="I451">
        <f t="shared" ref="I451:I514" si="30">G451-1</f>
        <v>1</v>
      </c>
      <c r="J451">
        <f t="shared" ref="J451:J514" si="31">IF(G451&gt;=2,I451,"")</f>
        <v>1</v>
      </c>
    </row>
    <row r="452" spans="1:10" x14ac:dyDescent="0.25">
      <c r="A452" s="6" t="s">
        <v>111</v>
      </c>
      <c r="B452" s="7" t="s">
        <v>112</v>
      </c>
      <c r="C452" s="7" t="s">
        <v>72</v>
      </c>
      <c r="D452" s="8">
        <v>41851</v>
      </c>
      <c r="E452" s="8">
        <v>41852</v>
      </c>
      <c r="F452" s="9">
        <v>693.7</v>
      </c>
      <c r="G452">
        <f t="shared" si="28"/>
        <v>2</v>
      </c>
      <c r="H452">
        <f t="shared" si="29"/>
        <v>54</v>
      </c>
      <c r="I452">
        <f t="shared" si="30"/>
        <v>1</v>
      </c>
      <c r="J452">
        <f t="shared" si="31"/>
        <v>1</v>
      </c>
    </row>
    <row r="453" spans="1:10" x14ac:dyDescent="0.25">
      <c r="A453" s="10" t="s">
        <v>31</v>
      </c>
      <c r="B453" s="11" t="s">
        <v>77</v>
      </c>
      <c r="C453" s="11" t="s">
        <v>59</v>
      </c>
      <c r="D453" s="12">
        <v>41851</v>
      </c>
      <c r="E453" s="12">
        <v>41852</v>
      </c>
      <c r="F453" s="13">
        <v>601</v>
      </c>
      <c r="G453">
        <f t="shared" si="28"/>
        <v>2</v>
      </c>
      <c r="H453">
        <f t="shared" si="29"/>
        <v>54</v>
      </c>
      <c r="I453">
        <f t="shared" si="30"/>
        <v>1</v>
      </c>
      <c r="J453">
        <f t="shared" si="31"/>
        <v>1</v>
      </c>
    </row>
    <row r="454" spans="1:10" x14ac:dyDescent="0.25">
      <c r="A454" s="6" t="s">
        <v>15</v>
      </c>
      <c r="B454" s="7" t="s">
        <v>16</v>
      </c>
      <c r="C454" s="7" t="s">
        <v>8</v>
      </c>
      <c r="D454" s="8">
        <v>41851</v>
      </c>
      <c r="E454" s="8">
        <v>41854</v>
      </c>
      <c r="F454" s="9">
        <v>1313</v>
      </c>
      <c r="G454">
        <f t="shared" si="28"/>
        <v>4</v>
      </c>
      <c r="H454">
        <f t="shared" si="29"/>
        <v>102</v>
      </c>
      <c r="I454">
        <f t="shared" si="30"/>
        <v>3</v>
      </c>
      <c r="J454">
        <f t="shared" si="31"/>
        <v>3</v>
      </c>
    </row>
    <row r="455" spans="1:10" x14ac:dyDescent="0.25">
      <c r="A455" s="10" t="s">
        <v>113</v>
      </c>
      <c r="B455" s="11" t="s">
        <v>114</v>
      </c>
      <c r="C455" s="11" t="s">
        <v>38</v>
      </c>
      <c r="D455" s="12">
        <v>41851</v>
      </c>
      <c r="E455" s="12">
        <v>41852</v>
      </c>
      <c r="F455" s="13">
        <v>407.8</v>
      </c>
      <c r="G455">
        <f t="shared" si="28"/>
        <v>2</v>
      </c>
      <c r="H455">
        <f t="shared" si="29"/>
        <v>54</v>
      </c>
      <c r="I455">
        <f t="shared" si="30"/>
        <v>1</v>
      </c>
      <c r="J455">
        <f t="shared" si="31"/>
        <v>1</v>
      </c>
    </row>
    <row r="456" spans="1:10" x14ac:dyDescent="0.25">
      <c r="A456" s="6" t="s">
        <v>91</v>
      </c>
      <c r="B456" s="7" t="s">
        <v>92</v>
      </c>
      <c r="C456" s="7" t="s">
        <v>66</v>
      </c>
      <c r="D456" s="8">
        <v>41851</v>
      </c>
      <c r="E456" s="8">
        <v>41854</v>
      </c>
      <c r="F456" s="9">
        <v>841.7</v>
      </c>
      <c r="G456">
        <f t="shared" si="28"/>
        <v>4</v>
      </c>
      <c r="H456">
        <f t="shared" si="29"/>
        <v>102</v>
      </c>
      <c r="I456">
        <f t="shared" si="30"/>
        <v>3</v>
      </c>
      <c r="J456">
        <f t="shared" si="31"/>
        <v>3</v>
      </c>
    </row>
    <row r="457" spans="1:10" x14ac:dyDescent="0.25">
      <c r="A457" s="10" t="s">
        <v>93</v>
      </c>
      <c r="B457" s="11" t="s">
        <v>94</v>
      </c>
      <c r="C457" s="11" t="s">
        <v>27</v>
      </c>
      <c r="D457" s="12">
        <v>41851</v>
      </c>
      <c r="E457" s="12">
        <v>41855</v>
      </c>
      <c r="F457" s="13">
        <v>954</v>
      </c>
      <c r="G457">
        <f t="shared" si="28"/>
        <v>5</v>
      </c>
      <c r="H457">
        <f t="shared" si="29"/>
        <v>126</v>
      </c>
      <c r="I457">
        <f t="shared" si="30"/>
        <v>4</v>
      </c>
      <c r="J457">
        <f t="shared" si="31"/>
        <v>4</v>
      </c>
    </row>
    <row r="458" spans="1:10" x14ac:dyDescent="0.25">
      <c r="A458" s="6" t="s">
        <v>15</v>
      </c>
      <c r="B458" s="7" t="s">
        <v>96</v>
      </c>
      <c r="C458" s="7" t="s">
        <v>30</v>
      </c>
      <c r="D458" s="8">
        <v>41851</v>
      </c>
      <c r="E458" s="8">
        <v>41853</v>
      </c>
      <c r="F458" s="9">
        <v>450.5</v>
      </c>
      <c r="G458">
        <f t="shared" si="28"/>
        <v>3</v>
      </c>
      <c r="H458">
        <f t="shared" si="29"/>
        <v>78</v>
      </c>
      <c r="I458">
        <f t="shared" si="30"/>
        <v>2</v>
      </c>
      <c r="J458">
        <f t="shared" si="31"/>
        <v>2</v>
      </c>
    </row>
    <row r="459" spans="1:10" x14ac:dyDescent="0.25">
      <c r="A459" s="10" t="s">
        <v>54</v>
      </c>
      <c r="B459" s="11" t="s">
        <v>55</v>
      </c>
      <c r="C459" s="11" t="s">
        <v>38</v>
      </c>
      <c r="D459" s="12">
        <v>41857</v>
      </c>
      <c r="E459" s="12">
        <v>41858</v>
      </c>
      <c r="F459" s="13">
        <v>407.8</v>
      </c>
      <c r="G459">
        <f t="shared" si="28"/>
        <v>2</v>
      </c>
      <c r="H459">
        <f t="shared" si="29"/>
        <v>54</v>
      </c>
      <c r="I459">
        <f t="shared" si="30"/>
        <v>1</v>
      </c>
      <c r="J459">
        <f t="shared" si="31"/>
        <v>1</v>
      </c>
    </row>
    <row r="460" spans="1:10" x14ac:dyDescent="0.25">
      <c r="A460" s="6" t="s">
        <v>143</v>
      </c>
      <c r="B460" s="7" t="s">
        <v>144</v>
      </c>
      <c r="C460" s="7" t="s">
        <v>17</v>
      </c>
      <c r="D460" s="8">
        <v>41857</v>
      </c>
      <c r="E460" s="8">
        <v>41858</v>
      </c>
      <c r="F460" s="9">
        <v>706.5</v>
      </c>
      <c r="G460">
        <f t="shared" si="28"/>
        <v>2</v>
      </c>
      <c r="H460">
        <f t="shared" si="29"/>
        <v>54</v>
      </c>
      <c r="I460">
        <f t="shared" si="30"/>
        <v>1</v>
      </c>
      <c r="J460">
        <f t="shared" si="31"/>
        <v>1</v>
      </c>
    </row>
    <row r="461" spans="1:10" x14ac:dyDescent="0.25">
      <c r="A461" s="10" t="s">
        <v>25</v>
      </c>
      <c r="B461" s="11" t="s">
        <v>35</v>
      </c>
      <c r="C461" s="11" t="s">
        <v>27</v>
      </c>
      <c r="D461" s="12">
        <v>41857</v>
      </c>
      <c r="E461" s="12">
        <v>41861</v>
      </c>
      <c r="F461" s="13">
        <v>954</v>
      </c>
      <c r="G461">
        <f t="shared" si="28"/>
        <v>5</v>
      </c>
      <c r="H461">
        <f t="shared" si="29"/>
        <v>126</v>
      </c>
      <c r="I461">
        <f t="shared" si="30"/>
        <v>4</v>
      </c>
      <c r="J461">
        <f t="shared" si="31"/>
        <v>4</v>
      </c>
    </row>
    <row r="462" spans="1:10" x14ac:dyDescent="0.25">
      <c r="A462" s="6" t="s">
        <v>15</v>
      </c>
      <c r="B462" s="7" t="s">
        <v>63</v>
      </c>
      <c r="C462" s="7" t="s">
        <v>30</v>
      </c>
      <c r="D462" s="8">
        <v>41857</v>
      </c>
      <c r="E462" s="8">
        <v>41861</v>
      </c>
      <c r="F462" s="9">
        <v>688.5</v>
      </c>
      <c r="G462">
        <f t="shared" si="28"/>
        <v>5</v>
      </c>
      <c r="H462">
        <f t="shared" si="29"/>
        <v>126</v>
      </c>
      <c r="I462">
        <f t="shared" si="30"/>
        <v>4</v>
      </c>
      <c r="J462">
        <f t="shared" si="31"/>
        <v>4</v>
      </c>
    </row>
    <row r="463" spans="1:10" x14ac:dyDescent="0.25">
      <c r="A463" s="10" t="s">
        <v>93</v>
      </c>
      <c r="B463" s="11" t="s">
        <v>94</v>
      </c>
      <c r="C463" s="11" t="s">
        <v>47</v>
      </c>
      <c r="D463" s="12">
        <v>41857</v>
      </c>
      <c r="E463" s="12">
        <v>41860</v>
      </c>
      <c r="F463" s="13">
        <v>852.8</v>
      </c>
      <c r="G463">
        <f t="shared" si="28"/>
        <v>4</v>
      </c>
      <c r="H463">
        <f t="shared" si="29"/>
        <v>102</v>
      </c>
      <c r="I463">
        <f t="shared" si="30"/>
        <v>3</v>
      </c>
      <c r="J463">
        <f t="shared" si="31"/>
        <v>3</v>
      </c>
    </row>
    <row r="464" spans="1:10" x14ac:dyDescent="0.25">
      <c r="A464" s="6" t="s">
        <v>143</v>
      </c>
      <c r="B464" s="7" t="s">
        <v>144</v>
      </c>
      <c r="C464" s="7" t="s">
        <v>66</v>
      </c>
      <c r="D464" s="8">
        <v>41860</v>
      </c>
      <c r="E464" s="8">
        <v>41860</v>
      </c>
      <c r="F464" s="9">
        <v>307.7</v>
      </c>
      <c r="G464">
        <f t="shared" si="28"/>
        <v>1</v>
      </c>
      <c r="H464">
        <f t="shared" si="29"/>
        <v>30</v>
      </c>
      <c r="I464">
        <f t="shared" si="30"/>
        <v>0</v>
      </c>
      <c r="J464" t="str">
        <f t="shared" si="31"/>
        <v/>
      </c>
    </row>
    <row r="465" spans="1:10" x14ac:dyDescent="0.25">
      <c r="A465" s="10" t="s">
        <v>22</v>
      </c>
      <c r="B465" s="11" t="s">
        <v>23</v>
      </c>
      <c r="C465" s="11" t="s">
        <v>8</v>
      </c>
      <c r="D465" s="12">
        <v>41863</v>
      </c>
      <c r="E465" s="12">
        <v>41867</v>
      </c>
      <c r="F465" s="13">
        <v>1524</v>
      </c>
      <c r="G465">
        <f t="shared" si="28"/>
        <v>5</v>
      </c>
      <c r="H465">
        <f t="shared" si="29"/>
        <v>126</v>
      </c>
      <c r="I465">
        <f t="shared" si="30"/>
        <v>4</v>
      </c>
      <c r="J465">
        <f t="shared" si="31"/>
        <v>4</v>
      </c>
    </row>
    <row r="466" spans="1:10" x14ac:dyDescent="0.25">
      <c r="A466" s="6" t="s">
        <v>115</v>
      </c>
      <c r="B466" s="7" t="s">
        <v>153</v>
      </c>
      <c r="C466" s="7" t="s">
        <v>47</v>
      </c>
      <c r="D466" s="8">
        <v>41863</v>
      </c>
      <c r="E466" s="8">
        <v>41864</v>
      </c>
      <c r="F466" s="9">
        <v>526.79999999999995</v>
      </c>
      <c r="G466">
        <f t="shared" si="28"/>
        <v>2</v>
      </c>
      <c r="H466">
        <f t="shared" si="29"/>
        <v>54</v>
      </c>
      <c r="I466">
        <f t="shared" si="30"/>
        <v>1</v>
      </c>
      <c r="J466">
        <f t="shared" si="31"/>
        <v>1</v>
      </c>
    </row>
    <row r="467" spans="1:10" x14ac:dyDescent="0.25">
      <c r="A467" s="10" t="s">
        <v>93</v>
      </c>
      <c r="B467" s="11" t="s">
        <v>124</v>
      </c>
      <c r="C467" s="11" t="s">
        <v>24</v>
      </c>
      <c r="D467" s="12">
        <v>41863</v>
      </c>
      <c r="E467" s="12">
        <v>41865</v>
      </c>
      <c r="F467" s="13">
        <v>588.70000000000005</v>
      </c>
      <c r="G467">
        <f t="shared" si="28"/>
        <v>3</v>
      </c>
      <c r="H467">
        <f t="shared" si="29"/>
        <v>78</v>
      </c>
      <c r="I467">
        <f t="shared" si="30"/>
        <v>2</v>
      </c>
      <c r="J467">
        <f t="shared" si="31"/>
        <v>2</v>
      </c>
    </row>
    <row r="468" spans="1:10" x14ac:dyDescent="0.25">
      <c r="A468" s="6" t="s">
        <v>79</v>
      </c>
      <c r="B468" s="7" t="s">
        <v>80</v>
      </c>
      <c r="C468" s="7" t="s">
        <v>24</v>
      </c>
      <c r="D468" s="8">
        <v>41863</v>
      </c>
      <c r="E468" s="8">
        <v>41863</v>
      </c>
      <c r="F468" s="9">
        <v>290.7</v>
      </c>
      <c r="G468">
        <f t="shared" si="28"/>
        <v>1</v>
      </c>
      <c r="H468">
        <f t="shared" si="29"/>
        <v>30</v>
      </c>
      <c r="I468">
        <f t="shared" si="30"/>
        <v>0</v>
      </c>
      <c r="J468" t="str">
        <f t="shared" si="31"/>
        <v/>
      </c>
    </row>
    <row r="469" spans="1:10" x14ac:dyDescent="0.25">
      <c r="A469" s="10" t="s">
        <v>84</v>
      </c>
      <c r="B469" s="11" t="s">
        <v>85</v>
      </c>
      <c r="C469" s="11" t="s">
        <v>66</v>
      </c>
      <c r="D469" s="12">
        <v>41863</v>
      </c>
      <c r="E469" s="12">
        <v>41865</v>
      </c>
      <c r="F469" s="13">
        <v>663.7</v>
      </c>
      <c r="G469">
        <f t="shared" si="28"/>
        <v>3</v>
      </c>
      <c r="H469">
        <f t="shared" si="29"/>
        <v>78</v>
      </c>
      <c r="I469">
        <f t="shared" si="30"/>
        <v>2</v>
      </c>
      <c r="J469">
        <f t="shared" si="31"/>
        <v>2</v>
      </c>
    </row>
    <row r="470" spans="1:10" x14ac:dyDescent="0.25">
      <c r="A470" s="6" t="s">
        <v>28</v>
      </c>
      <c r="B470" s="7" t="s">
        <v>60</v>
      </c>
      <c r="C470" s="7" t="s">
        <v>38</v>
      </c>
      <c r="D470" s="8">
        <v>41863</v>
      </c>
      <c r="E470" s="8">
        <v>41865</v>
      </c>
      <c r="F470" s="9">
        <v>536.79999999999995</v>
      </c>
      <c r="G470">
        <f t="shared" si="28"/>
        <v>3</v>
      </c>
      <c r="H470">
        <f t="shared" si="29"/>
        <v>78</v>
      </c>
      <c r="I470">
        <f t="shared" si="30"/>
        <v>2</v>
      </c>
      <c r="J470">
        <f t="shared" si="31"/>
        <v>2</v>
      </c>
    </row>
    <row r="471" spans="1:10" x14ac:dyDescent="0.25">
      <c r="A471" s="10" t="s">
        <v>9</v>
      </c>
      <c r="B471" s="11" t="s">
        <v>10</v>
      </c>
      <c r="C471" s="11" t="s">
        <v>47</v>
      </c>
      <c r="D471" s="12">
        <v>41863</v>
      </c>
      <c r="E471" s="12">
        <v>41864</v>
      </c>
      <c r="F471" s="13">
        <v>526.79999999999995</v>
      </c>
      <c r="G471">
        <f t="shared" si="28"/>
        <v>2</v>
      </c>
      <c r="H471">
        <f t="shared" si="29"/>
        <v>54</v>
      </c>
      <c r="I471">
        <f t="shared" si="30"/>
        <v>1</v>
      </c>
      <c r="J471">
        <f t="shared" si="31"/>
        <v>1</v>
      </c>
    </row>
    <row r="472" spans="1:10" x14ac:dyDescent="0.25">
      <c r="A472" s="6" t="s">
        <v>73</v>
      </c>
      <c r="B472" s="7" t="s">
        <v>74</v>
      </c>
      <c r="C472" s="7" t="s">
        <v>8</v>
      </c>
      <c r="D472" s="8">
        <v>41863</v>
      </c>
      <c r="E472" s="8">
        <v>41864</v>
      </c>
      <c r="F472" s="9">
        <v>891</v>
      </c>
      <c r="G472">
        <f t="shared" si="28"/>
        <v>2</v>
      </c>
      <c r="H472">
        <f t="shared" si="29"/>
        <v>54</v>
      </c>
      <c r="I472">
        <f t="shared" si="30"/>
        <v>1</v>
      </c>
      <c r="J472">
        <f t="shared" si="31"/>
        <v>1</v>
      </c>
    </row>
    <row r="473" spans="1:10" x14ac:dyDescent="0.25">
      <c r="A473" s="10" t="s">
        <v>73</v>
      </c>
      <c r="B473" s="11" t="s">
        <v>104</v>
      </c>
      <c r="C473" s="11" t="s">
        <v>17</v>
      </c>
      <c r="D473" s="12">
        <v>41863</v>
      </c>
      <c r="E473" s="12">
        <v>41867</v>
      </c>
      <c r="F473" s="13">
        <v>1321.5</v>
      </c>
      <c r="G473">
        <f t="shared" si="28"/>
        <v>5</v>
      </c>
      <c r="H473">
        <f t="shared" si="29"/>
        <v>126</v>
      </c>
      <c r="I473">
        <f t="shared" si="30"/>
        <v>4</v>
      </c>
      <c r="J473">
        <f t="shared" si="31"/>
        <v>4</v>
      </c>
    </row>
    <row r="474" spans="1:10" x14ac:dyDescent="0.25">
      <c r="A474" s="6" t="s">
        <v>86</v>
      </c>
      <c r="B474" s="7" t="s">
        <v>87</v>
      </c>
      <c r="C474" s="7" t="s">
        <v>72</v>
      </c>
      <c r="D474" s="8">
        <v>41863</v>
      </c>
      <c r="E474" s="8">
        <v>41863</v>
      </c>
      <c r="F474" s="9">
        <v>494.7</v>
      </c>
      <c r="G474">
        <f t="shared" si="28"/>
        <v>1</v>
      </c>
      <c r="H474">
        <f t="shared" si="29"/>
        <v>30</v>
      </c>
      <c r="I474">
        <f t="shared" si="30"/>
        <v>0</v>
      </c>
      <c r="J474" t="str">
        <f t="shared" si="31"/>
        <v/>
      </c>
    </row>
    <row r="475" spans="1:10" x14ac:dyDescent="0.25">
      <c r="A475" s="10" t="s">
        <v>145</v>
      </c>
      <c r="B475" s="11" t="s">
        <v>146</v>
      </c>
      <c r="C475" s="11" t="s">
        <v>30</v>
      </c>
      <c r="D475" s="12">
        <v>41863</v>
      </c>
      <c r="E475" s="12">
        <v>41867</v>
      </c>
      <c r="F475" s="13">
        <v>688.5</v>
      </c>
      <c r="G475">
        <f t="shared" si="28"/>
        <v>5</v>
      </c>
      <c r="H475">
        <f t="shared" si="29"/>
        <v>126</v>
      </c>
      <c r="I475">
        <f t="shared" si="30"/>
        <v>4</v>
      </c>
      <c r="J475">
        <f t="shared" si="31"/>
        <v>4</v>
      </c>
    </row>
    <row r="476" spans="1:10" x14ac:dyDescent="0.25">
      <c r="A476" s="6" t="s">
        <v>25</v>
      </c>
      <c r="B476" s="7" t="s">
        <v>35</v>
      </c>
      <c r="C476" s="7" t="s">
        <v>72</v>
      </c>
      <c r="D476" s="8">
        <v>41863</v>
      </c>
      <c r="E476" s="8">
        <v>41863</v>
      </c>
      <c r="F476" s="9">
        <v>494.7</v>
      </c>
      <c r="G476">
        <f t="shared" si="28"/>
        <v>1</v>
      </c>
      <c r="H476">
        <f t="shared" si="29"/>
        <v>30</v>
      </c>
      <c r="I476">
        <f t="shared" si="30"/>
        <v>0</v>
      </c>
      <c r="J476" t="str">
        <f t="shared" si="31"/>
        <v/>
      </c>
    </row>
    <row r="477" spans="1:10" x14ac:dyDescent="0.25">
      <c r="A477" s="10" t="s">
        <v>119</v>
      </c>
      <c r="B477" s="11" t="s">
        <v>120</v>
      </c>
      <c r="C477" s="11" t="s">
        <v>47</v>
      </c>
      <c r="D477" s="12">
        <v>41863</v>
      </c>
      <c r="E477" s="12">
        <v>41865</v>
      </c>
      <c r="F477" s="13">
        <v>689.8</v>
      </c>
      <c r="G477">
        <f t="shared" si="28"/>
        <v>3</v>
      </c>
      <c r="H477">
        <f t="shared" si="29"/>
        <v>78</v>
      </c>
      <c r="I477">
        <f t="shared" si="30"/>
        <v>2</v>
      </c>
      <c r="J477">
        <f t="shared" si="31"/>
        <v>2</v>
      </c>
    </row>
    <row r="478" spans="1:10" x14ac:dyDescent="0.25">
      <c r="A478" s="6" t="s">
        <v>91</v>
      </c>
      <c r="B478" s="7" t="s">
        <v>92</v>
      </c>
      <c r="C478" s="7" t="s">
        <v>14</v>
      </c>
      <c r="D478" s="8">
        <v>41863</v>
      </c>
      <c r="E478" s="8">
        <v>41867</v>
      </c>
      <c r="F478" s="9">
        <v>674.5</v>
      </c>
      <c r="G478">
        <f t="shared" si="28"/>
        <v>5</v>
      </c>
      <c r="H478">
        <f t="shared" si="29"/>
        <v>126</v>
      </c>
      <c r="I478">
        <f t="shared" si="30"/>
        <v>4</v>
      </c>
      <c r="J478">
        <f t="shared" si="31"/>
        <v>4</v>
      </c>
    </row>
    <row r="479" spans="1:10" x14ac:dyDescent="0.25">
      <c r="A479" s="10" t="s">
        <v>93</v>
      </c>
      <c r="B479" s="11" t="s">
        <v>94</v>
      </c>
      <c r="C479" s="11" t="s">
        <v>66</v>
      </c>
      <c r="D479" s="12">
        <v>41863</v>
      </c>
      <c r="E479" s="12">
        <v>41865</v>
      </c>
      <c r="F479" s="13">
        <v>663.7</v>
      </c>
      <c r="G479">
        <f t="shared" si="28"/>
        <v>3</v>
      </c>
      <c r="H479">
        <f t="shared" si="29"/>
        <v>78</v>
      </c>
      <c r="I479">
        <f t="shared" si="30"/>
        <v>2</v>
      </c>
      <c r="J479">
        <f t="shared" si="31"/>
        <v>2</v>
      </c>
    </row>
    <row r="480" spans="1:10" x14ac:dyDescent="0.25">
      <c r="A480" s="6" t="s">
        <v>70</v>
      </c>
      <c r="B480" s="7" t="s">
        <v>117</v>
      </c>
      <c r="C480" s="7" t="s">
        <v>59</v>
      </c>
      <c r="D480" s="8">
        <v>41863</v>
      </c>
      <c r="E480" s="8">
        <v>41865</v>
      </c>
      <c r="F480" s="9">
        <v>760</v>
      </c>
      <c r="G480">
        <f t="shared" si="28"/>
        <v>3</v>
      </c>
      <c r="H480">
        <f t="shared" si="29"/>
        <v>78</v>
      </c>
      <c r="I480">
        <f t="shared" si="30"/>
        <v>2</v>
      </c>
      <c r="J480">
        <f t="shared" si="31"/>
        <v>2</v>
      </c>
    </row>
    <row r="481" spans="1:10" x14ac:dyDescent="0.25">
      <c r="A481" s="10" t="s">
        <v>20</v>
      </c>
      <c r="B481" s="11" t="s">
        <v>21</v>
      </c>
      <c r="C481" s="11" t="s">
        <v>47</v>
      </c>
      <c r="D481" s="12">
        <v>41863</v>
      </c>
      <c r="E481" s="12">
        <v>41867</v>
      </c>
      <c r="F481" s="13">
        <v>1015.8</v>
      </c>
      <c r="G481">
        <f t="shared" si="28"/>
        <v>5</v>
      </c>
      <c r="H481">
        <f t="shared" si="29"/>
        <v>126</v>
      </c>
      <c r="I481">
        <f t="shared" si="30"/>
        <v>4</v>
      </c>
      <c r="J481">
        <f t="shared" si="31"/>
        <v>4</v>
      </c>
    </row>
    <row r="482" spans="1:10" x14ac:dyDescent="0.25">
      <c r="A482" s="6" t="s">
        <v>25</v>
      </c>
      <c r="B482" s="7" t="s">
        <v>35</v>
      </c>
      <c r="C482" s="7" t="s">
        <v>47</v>
      </c>
      <c r="D482" s="8">
        <v>41865</v>
      </c>
      <c r="E482" s="8">
        <v>41865</v>
      </c>
      <c r="F482" s="9">
        <v>363.8</v>
      </c>
      <c r="G482">
        <f t="shared" si="28"/>
        <v>1</v>
      </c>
      <c r="H482">
        <f t="shared" si="29"/>
        <v>30</v>
      </c>
      <c r="I482">
        <f t="shared" si="30"/>
        <v>0</v>
      </c>
      <c r="J482" t="str">
        <f t="shared" si="31"/>
        <v/>
      </c>
    </row>
    <row r="483" spans="1:10" x14ac:dyDescent="0.25">
      <c r="A483" s="10" t="s">
        <v>93</v>
      </c>
      <c r="B483" s="11" t="s">
        <v>124</v>
      </c>
      <c r="C483" s="11" t="s">
        <v>8</v>
      </c>
      <c r="D483" s="12">
        <v>41869</v>
      </c>
      <c r="E483" s="12">
        <v>41871</v>
      </c>
      <c r="F483" s="13">
        <v>1102</v>
      </c>
      <c r="G483">
        <f t="shared" si="28"/>
        <v>3</v>
      </c>
      <c r="H483">
        <f t="shared" si="29"/>
        <v>78</v>
      </c>
      <c r="I483">
        <f t="shared" si="30"/>
        <v>2</v>
      </c>
      <c r="J483">
        <f t="shared" si="31"/>
        <v>2</v>
      </c>
    </row>
    <row r="484" spans="1:10" x14ac:dyDescent="0.25">
      <c r="A484" s="6" t="s">
        <v>54</v>
      </c>
      <c r="B484" s="7" t="s">
        <v>133</v>
      </c>
      <c r="C484" s="7" t="s">
        <v>24</v>
      </c>
      <c r="D484" s="8">
        <v>41869</v>
      </c>
      <c r="E484" s="8">
        <v>41873</v>
      </c>
      <c r="F484" s="9">
        <v>886.7</v>
      </c>
      <c r="G484">
        <f t="shared" si="28"/>
        <v>5</v>
      </c>
      <c r="H484">
        <f t="shared" si="29"/>
        <v>126</v>
      </c>
      <c r="I484">
        <f t="shared" si="30"/>
        <v>4</v>
      </c>
      <c r="J484">
        <f t="shared" si="31"/>
        <v>4</v>
      </c>
    </row>
    <row r="485" spans="1:10" x14ac:dyDescent="0.25">
      <c r="A485" s="10" t="s">
        <v>70</v>
      </c>
      <c r="B485" s="11" t="s">
        <v>71</v>
      </c>
      <c r="C485" s="11" t="s">
        <v>11</v>
      </c>
      <c r="D485" s="12">
        <v>41869</v>
      </c>
      <c r="E485" s="12">
        <v>41870</v>
      </c>
      <c r="F485" s="13">
        <v>295.39999999999998</v>
      </c>
      <c r="G485">
        <f t="shared" si="28"/>
        <v>2</v>
      </c>
      <c r="H485">
        <f t="shared" si="29"/>
        <v>54</v>
      </c>
      <c r="I485">
        <f t="shared" si="30"/>
        <v>1</v>
      </c>
      <c r="J485">
        <f t="shared" si="31"/>
        <v>1</v>
      </c>
    </row>
    <row r="486" spans="1:10" x14ac:dyDescent="0.25">
      <c r="A486" s="6" t="s">
        <v>86</v>
      </c>
      <c r="B486" s="7" t="s">
        <v>87</v>
      </c>
      <c r="C486" s="7" t="s">
        <v>8</v>
      </c>
      <c r="D486" s="8">
        <v>41869</v>
      </c>
      <c r="E486" s="8">
        <v>41870</v>
      </c>
      <c r="F486" s="9">
        <v>891</v>
      </c>
      <c r="G486">
        <f t="shared" si="28"/>
        <v>2</v>
      </c>
      <c r="H486">
        <f t="shared" si="29"/>
        <v>54</v>
      </c>
      <c r="I486">
        <f t="shared" si="30"/>
        <v>1</v>
      </c>
      <c r="J486">
        <f t="shared" si="31"/>
        <v>1</v>
      </c>
    </row>
    <row r="487" spans="1:10" x14ac:dyDescent="0.25">
      <c r="A487" s="10" t="s">
        <v>156</v>
      </c>
      <c r="B487" s="11" t="s">
        <v>157</v>
      </c>
      <c r="C487" s="11" t="s">
        <v>47</v>
      </c>
      <c r="D487" s="12">
        <v>41869</v>
      </c>
      <c r="E487" s="12">
        <v>41871</v>
      </c>
      <c r="F487" s="13">
        <v>689.8</v>
      </c>
      <c r="G487">
        <f t="shared" si="28"/>
        <v>3</v>
      </c>
      <c r="H487">
        <f t="shared" si="29"/>
        <v>78</v>
      </c>
      <c r="I487">
        <f t="shared" si="30"/>
        <v>2</v>
      </c>
      <c r="J487">
        <f t="shared" si="31"/>
        <v>2</v>
      </c>
    </row>
    <row r="488" spans="1:10" x14ac:dyDescent="0.25">
      <c r="A488" s="6" t="s">
        <v>113</v>
      </c>
      <c r="B488" s="7" t="s">
        <v>114</v>
      </c>
      <c r="C488" s="7" t="s">
        <v>17</v>
      </c>
      <c r="D488" s="8">
        <v>41869</v>
      </c>
      <c r="E488" s="8">
        <v>41871</v>
      </c>
      <c r="F488" s="9">
        <v>911.5</v>
      </c>
      <c r="G488">
        <f t="shared" si="28"/>
        <v>3</v>
      </c>
      <c r="H488">
        <f t="shared" si="29"/>
        <v>78</v>
      </c>
      <c r="I488">
        <f t="shared" si="30"/>
        <v>2</v>
      </c>
      <c r="J488">
        <f t="shared" si="31"/>
        <v>2</v>
      </c>
    </row>
    <row r="489" spans="1:10" x14ac:dyDescent="0.25">
      <c r="A489" s="10" t="s">
        <v>15</v>
      </c>
      <c r="B489" s="11" t="s">
        <v>44</v>
      </c>
      <c r="C489" s="11" t="s">
        <v>30</v>
      </c>
      <c r="D489" s="12">
        <v>41875</v>
      </c>
      <c r="E489" s="12">
        <v>41877</v>
      </c>
      <c r="F489" s="13">
        <v>450.5</v>
      </c>
      <c r="G489">
        <f t="shared" si="28"/>
        <v>3</v>
      </c>
      <c r="H489">
        <f t="shared" si="29"/>
        <v>78</v>
      </c>
      <c r="I489">
        <f t="shared" si="30"/>
        <v>2</v>
      </c>
      <c r="J489">
        <f t="shared" si="31"/>
        <v>2</v>
      </c>
    </row>
    <row r="490" spans="1:10" x14ac:dyDescent="0.25">
      <c r="A490" s="6" t="s">
        <v>6</v>
      </c>
      <c r="B490" s="7" t="s">
        <v>7</v>
      </c>
      <c r="C490" s="7" t="s">
        <v>8</v>
      </c>
      <c r="D490" s="8">
        <v>41875</v>
      </c>
      <c r="E490" s="8">
        <v>41879</v>
      </c>
      <c r="F490" s="9">
        <v>1524</v>
      </c>
      <c r="G490">
        <f t="shared" si="28"/>
        <v>5</v>
      </c>
      <c r="H490">
        <f t="shared" si="29"/>
        <v>126</v>
      </c>
      <c r="I490">
        <f t="shared" si="30"/>
        <v>4</v>
      </c>
      <c r="J490">
        <f t="shared" si="31"/>
        <v>4</v>
      </c>
    </row>
    <row r="491" spans="1:10" x14ac:dyDescent="0.25">
      <c r="A491" s="10" t="s">
        <v>33</v>
      </c>
      <c r="B491" s="11" t="s">
        <v>141</v>
      </c>
      <c r="C491" s="11" t="s">
        <v>17</v>
      </c>
      <c r="D491" s="12">
        <v>41875</v>
      </c>
      <c r="E491" s="12">
        <v>41876</v>
      </c>
      <c r="F491" s="13">
        <v>706.5</v>
      </c>
      <c r="G491">
        <f t="shared" si="28"/>
        <v>2</v>
      </c>
      <c r="H491">
        <f t="shared" si="29"/>
        <v>54</v>
      </c>
      <c r="I491">
        <f t="shared" si="30"/>
        <v>1</v>
      </c>
      <c r="J491">
        <f t="shared" si="31"/>
        <v>1</v>
      </c>
    </row>
    <row r="492" spans="1:10" x14ac:dyDescent="0.25">
      <c r="A492" s="6" t="s">
        <v>131</v>
      </c>
      <c r="B492" s="7" t="s">
        <v>154</v>
      </c>
      <c r="C492" s="7" t="s">
        <v>19</v>
      </c>
      <c r="D492" s="8">
        <v>41875</v>
      </c>
      <c r="E492" s="8">
        <v>41879</v>
      </c>
      <c r="F492" s="9">
        <v>1077.4000000000001</v>
      </c>
      <c r="G492">
        <f t="shared" si="28"/>
        <v>5</v>
      </c>
      <c r="H492">
        <f t="shared" si="29"/>
        <v>126</v>
      </c>
      <c r="I492">
        <f t="shared" si="30"/>
        <v>4</v>
      </c>
      <c r="J492">
        <f t="shared" si="31"/>
        <v>4</v>
      </c>
    </row>
    <row r="493" spans="1:10" x14ac:dyDescent="0.25">
      <c r="A493" s="10" t="s">
        <v>97</v>
      </c>
      <c r="B493" s="11" t="s">
        <v>98</v>
      </c>
      <c r="C493" s="11" t="s">
        <v>8</v>
      </c>
      <c r="D493" s="12">
        <v>41875</v>
      </c>
      <c r="E493" s="12">
        <v>41876</v>
      </c>
      <c r="F493" s="13">
        <v>891</v>
      </c>
      <c r="G493">
        <f t="shared" si="28"/>
        <v>2</v>
      </c>
      <c r="H493">
        <f t="shared" si="29"/>
        <v>54</v>
      </c>
      <c r="I493">
        <f t="shared" si="30"/>
        <v>1</v>
      </c>
      <c r="J493">
        <f t="shared" si="31"/>
        <v>1</v>
      </c>
    </row>
    <row r="494" spans="1:10" x14ac:dyDescent="0.25">
      <c r="A494" s="6" t="s">
        <v>126</v>
      </c>
      <c r="B494" s="7" t="s">
        <v>127</v>
      </c>
      <c r="C494" s="7" t="s">
        <v>17</v>
      </c>
      <c r="D494" s="8">
        <v>41875</v>
      </c>
      <c r="E494" s="8">
        <v>41878</v>
      </c>
      <c r="F494" s="9">
        <v>1116.5</v>
      </c>
      <c r="G494">
        <f t="shared" si="28"/>
        <v>4</v>
      </c>
      <c r="H494">
        <f t="shared" si="29"/>
        <v>102</v>
      </c>
      <c r="I494">
        <f t="shared" si="30"/>
        <v>3</v>
      </c>
      <c r="J494">
        <f t="shared" si="31"/>
        <v>3</v>
      </c>
    </row>
    <row r="495" spans="1:10" x14ac:dyDescent="0.25">
      <c r="A495" s="10" t="s">
        <v>9</v>
      </c>
      <c r="B495" s="11" t="s">
        <v>103</v>
      </c>
      <c r="C495" s="11" t="s">
        <v>30</v>
      </c>
      <c r="D495" s="12">
        <v>41875</v>
      </c>
      <c r="E495" s="12">
        <v>41879</v>
      </c>
      <c r="F495" s="13">
        <v>688.5</v>
      </c>
      <c r="G495">
        <f t="shared" si="28"/>
        <v>5</v>
      </c>
      <c r="H495">
        <f t="shared" si="29"/>
        <v>126</v>
      </c>
      <c r="I495">
        <f t="shared" si="30"/>
        <v>4</v>
      </c>
      <c r="J495">
        <f t="shared" si="31"/>
        <v>4</v>
      </c>
    </row>
    <row r="496" spans="1:10" x14ac:dyDescent="0.25">
      <c r="A496" s="6" t="s">
        <v>156</v>
      </c>
      <c r="B496" s="7" t="s">
        <v>157</v>
      </c>
      <c r="C496" s="7" t="s">
        <v>17</v>
      </c>
      <c r="D496" s="8">
        <v>41875</v>
      </c>
      <c r="E496" s="8">
        <v>41878</v>
      </c>
      <c r="F496" s="9">
        <v>1116.5</v>
      </c>
      <c r="G496">
        <f t="shared" si="28"/>
        <v>4</v>
      </c>
      <c r="H496">
        <f t="shared" si="29"/>
        <v>102</v>
      </c>
      <c r="I496">
        <f t="shared" si="30"/>
        <v>3</v>
      </c>
      <c r="J496">
        <f t="shared" si="31"/>
        <v>3</v>
      </c>
    </row>
    <row r="497" spans="1:10" x14ac:dyDescent="0.25">
      <c r="A497" s="10" t="s">
        <v>134</v>
      </c>
      <c r="B497" s="11" t="s">
        <v>149</v>
      </c>
      <c r="C497" s="11" t="s">
        <v>24</v>
      </c>
      <c r="D497" s="12">
        <v>41875</v>
      </c>
      <c r="E497" s="12">
        <v>41879</v>
      </c>
      <c r="F497" s="13">
        <v>886.7</v>
      </c>
      <c r="G497">
        <f t="shared" si="28"/>
        <v>5</v>
      </c>
      <c r="H497">
        <f t="shared" si="29"/>
        <v>126</v>
      </c>
      <c r="I497">
        <f t="shared" si="30"/>
        <v>4</v>
      </c>
      <c r="J497">
        <f t="shared" si="31"/>
        <v>4</v>
      </c>
    </row>
    <row r="498" spans="1:10" x14ac:dyDescent="0.25">
      <c r="A498" s="6" t="s">
        <v>113</v>
      </c>
      <c r="B498" s="7" t="s">
        <v>114</v>
      </c>
      <c r="C498" s="7" t="s">
        <v>72</v>
      </c>
      <c r="D498" s="8">
        <v>41875</v>
      </c>
      <c r="E498" s="8">
        <v>41877</v>
      </c>
      <c r="F498" s="9">
        <v>892.7</v>
      </c>
      <c r="G498">
        <f t="shared" si="28"/>
        <v>3</v>
      </c>
      <c r="H498">
        <f t="shared" si="29"/>
        <v>78</v>
      </c>
      <c r="I498">
        <f t="shared" si="30"/>
        <v>2</v>
      </c>
      <c r="J498">
        <f t="shared" si="31"/>
        <v>2</v>
      </c>
    </row>
    <row r="499" spans="1:10" x14ac:dyDescent="0.25">
      <c r="A499" s="10" t="s">
        <v>86</v>
      </c>
      <c r="B499" s="11" t="s">
        <v>136</v>
      </c>
      <c r="C499" s="11" t="s">
        <v>14</v>
      </c>
      <c r="D499" s="12">
        <v>41875</v>
      </c>
      <c r="E499" s="12">
        <v>41879</v>
      </c>
      <c r="F499" s="13">
        <v>674.5</v>
      </c>
      <c r="G499">
        <f t="shared" si="28"/>
        <v>5</v>
      </c>
      <c r="H499">
        <f t="shared" si="29"/>
        <v>126</v>
      </c>
      <c r="I499">
        <f t="shared" si="30"/>
        <v>4</v>
      </c>
      <c r="J499">
        <f t="shared" si="31"/>
        <v>4</v>
      </c>
    </row>
    <row r="500" spans="1:10" x14ac:dyDescent="0.25">
      <c r="A500" s="6" t="s">
        <v>50</v>
      </c>
      <c r="B500" s="7" t="s">
        <v>51</v>
      </c>
      <c r="C500" s="7" t="s">
        <v>8</v>
      </c>
      <c r="D500" s="8">
        <v>41876</v>
      </c>
      <c r="E500" s="8">
        <v>41877</v>
      </c>
      <c r="F500" s="9">
        <v>891</v>
      </c>
      <c r="G500">
        <f t="shared" si="28"/>
        <v>2</v>
      </c>
      <c r="H500">
        <f t="shared" si="29"/>
        <v>54</v>
      </c>
      <c r="I500">
        <f t="shared" si="30"/>
        <v>1</v>
      </c>
      <c r="J500">
        <f t="shared" si="31"/>
        <v>1</v>
      </c>
    </row>
    <row r="501" spans="1:10" x14ac:dyDescent="0.25">
      <c r="A501" s="10" t="s">
        <v>107</v>
      </c>
      <c r="B501" s="11" t="s">
        <v>108</v>
      </c>
      <c r="C501" s="11" t="s">
        <v>19</v>
      </c>
      <c r="D501" s="12">
        <v>41876</v>
      </c>
      <c r="E501" s="12">
        <v>41877</v>
      </c>
      <c r="F501" s="13">
        <v>654.4</v>
      </c>
      <c r="G501">
        <f t="shared" si="28"/>
        <v>2</v>
      </c>
      <c r="H501">
        <f t="shared" si="29"/>
        <v>54</v>
      </c>
      <c r="I501">
        <f t="shared" si="30"/>
        <v>1</v>
      </c>
      <c r="J501">
        <f t="shared" si="31"/>
        <v>1</v>
      </c>
    </row>
    <row r="502" spans="1:10" x14ac:dyDescent="0.25">
      <c r="A502" s="6" t="s">
        <v>20</v>
      </c>
      <c r="B502" s="7" t="s">
        <v>162</v>
      </c>
      <c r="C502" s="7" t="s">
        <v>59</v>
      </c>
      <c r="D502" s="8">
        <v>41876</v>
      </c>
      <c r="E502" s="8">
        <v>41878</v>
      </c>
      <c r="F502" s="9">
        <v>760</v>
      </c>
      <c r="G502">
        <f t="shared" si="28"/>
        <v>3</v>
      </c>
      <c r="H502">
        <f t="shared" si="29"/>
        <v>78</v>
      </c>
      <c r="I502">
        <f t="shared" si="30"/>
        <v>2</v>
      </c>
      <c r="J502">
        <f t="shared" si="31"/>
        <v>2</v>
      </c>
    </row>
    <row r="503" spans="1:10" x14ac:dyDescent="0.25">
      <c r="A503" s="10" t="s">
        <v>15</v>
      </c>
      <c r="B503" s="11" t="s">
        <v>16</v>
      </c>
      <c r="C503" s="11" t="s">
        <v>38</v>
      </c>
      <c r="D503" s="12">
        <v>41876</v>
      </c>
      <c r="E503" s="12">
        <v>41877</v>
      </c>
      <c r="F503" s="13">
        <v>407.8</v>
      </c>
      <c r="G503">
        <f t="shared" si="28"/>
        <v>2</v>
      </c>
      <c r="H503">
        <f t="shared" si="29"/>
        <v>54</v>
      </c>
      <c r="I503">
        <f t="shared" si="30"/>
        <v>1</v>
      </c>
      <c r="J503">
        <f t="shared" si="31"/>
        <v>1</v>
      </c>
    </row>
    <row r="504" spans="1:10" x14ac:dyDescent="0.25">
      <c r="A504" s="6" t="s">
        <v>20</v>
      </c>
      <c r="B504" s="7" t="s">
        <v>21</v>
      </c>
      <c r="C504" s="7" t="s">
        <v>19</v>
      </c>
      <c r="D504" s="8">
        <v>41876</v>
      </c>
      <c r="E504" s="8">
        <v>41877</v>
      </c>
      <c r="F504" s="9">
        <v>654.4</v>
      </c>
      <c r="G504">
        <f t="shared" si="28"/>
        <v>2</v>
      </c>
      <c r="H504">
        <f t="shared" si="29"/>
        <v>54</v>
      </c>
      <c r="I504">
        <f t="shared" si="30"/>
        <v>1</v>
      </c>
      <c r="J504">
        <f t="shared" si="31"/>
        <v>1</v>
      </c>
    </row>
    <row r="505" spans="1:10" x14ac:dyDescent="0.25">
      <c r="A505" s="10" t="s">
        <v>25</v>
      </c>
      <c r="B505" s="11" t="s">
        <v>26</v>
      </c>
      <c r="C505" s="11" t="s">
        <v>38</v>
      </c>
      <c r="D505" s="12">
        <v>41877</v>
      </c>
      <c r="E505" s="12">
        <v>41878</v>
      </c>
      <c r="F505" s="13">
        <v>407.8</v>
      </c>
      <c r="G505">
        <f t="shared" si="28"/>
        <v>2</v>
      </c>
      <c r="H505">
        <f t="shared" si="29"/>
        <v>54</v>
      </c>
      <c r="I505">
        <f t="shared" si="30"/>
        <v>1</v>
      </c>
      <c r="J505">
        <f t="shared" si="31"/>
        <v>1</v>
      </c>
    </row>
    <row r="506" spans="1:10" x14ac:dyDescent="0.25">
      <c r="A506" s="6" t="s">
        <v>93</v>
      </c>
      <c r="B506" s="7" t="s">
        <v>106</v>
      </c>
      <c r="C506" s="7" t="s">
        <v>72</v>
      </c>
      <c r="D506" s="8">
        <v>41878</v>
      </c>
      <c r="E506" s="8">
        <v>41878</v>
      </c>
      <c r="F506" s="9">
        <v>494.7</v>
      </c>
      <c r="G506">
        <f t="shared" si="28"/>
        <v>1</v>
      </c>
      <c r="H506">
        <f t="shared" si="29"/>
        <v>30</v>
      </c>
      <c r="I506">
        <f t="shared" si="30"/>
        <v>0</v>
      </c>
      <c r="J506" t="str">
        <f t="shared" si="31"/>
        <v/>
      </c>
    </row>
    <row r="507" spans="1:10" x14ac:dyDescent="0.25">
      <c r="A507" s="10" t="s">
        <v>79</v>
      </c>
      <c r="B507" s="11" t="s">
        <v>80</v>
      </c>
      <c r="C507" s="11" t="s">
        <v>47</v>
      </c>
      <c r="D507" s="12">
        <v>41881</v>
      </c>
      <c r="E507" s="12">
        <v>41884</v>
      </c>
      <c r="F507" s="13">
        <v>852.8</v>
      </c>
      <c r="G507">
        <f t="shared" si="28"/>
        <v>4</v>
      </c>
      <c r="H507">
        <f t="shared" si="29"/>
        <v>102</v>
      </c>
      <c r="I507">
        <f t="shared" si="30"/>
        <v>3</v>
      </c>
      <c r="J507">
        <f t="shared" si="31"/>
        <v>3</v>
      </c>
    </row>
    <row r="508" spans="1:10" x14ac:dyDescent="0.25">
      <c r="A508" s="6" t="s">
        <v>50</v>
      </c>
      <c r="B508" s="7" t="s">
        <v>51</v>
      </c>
      <c r="C508" s="7" t="s">
        <v>72</v>
      </c>
      <c r="D508" s="8">
        <v>41881</v>
      </c>
      <c r="E508" s="8">
        <v>41882</v>
      </c>
      <c r="F508" s="9">
        <v>693.7</v>
      </c>
      <c r="G508">
        <f t="shared" si="28"/>
        <v>2</v>
      </c>
      <c r="H508">
        <f t="shared" si="29"/>
        <v>54</v>
      </c>
      <c r="I508">
        <f t="shared" si="30"/>
        <v>1</v>
      </c>
      <c r="J508">
        <f t="shared" si="31"/>
        <v>1</v>
      </c>
    </row>
    <row r="509" spans="1:10" x14ac:dyDescent="0.25">
      <c r="A509" s="10" t="s">
        <v>25</v>
      </c>
      <c r="B509" s="11" t="s">
        <v>26</v>
      </c>
      <c r="C509" s="11" t="s">
        <v>11</v>
      </c>
      <c r="D509" s="12">
        <v>41881</v>
      </c>
      <c r="E509" s="12">
        <v>41883</v>
      </c>
      <c r="F509" s="13">
        <v>434.4</v>
      </c>
      <c r="G509">
        <f t="shared" si="28"/>
        <v>3</v>
      </c>
      <c r="H509">
        <f t="shared" si="29"/>
        <v>78</v>
      </c>
      <c r="I509">
        <f t="shared" si="30"/>
        <v>2</v>
      </c>
      <c r="J509">
        <f t="shared" si="31"/>
        <v>2</v>
      </c>
    </row>
    <row r="510" spans="1:10" x14ac:dyDescent="0.25">
      <c r="A510" s="6" t="s">
        <v>82</v>
      </c>
      <c r="B510" s="7" t="s">
        <v>125</v>
      </c>
      <c r="C510" s="7" t="s">
        <v>66</v>
      </c>
      <c r="D510" s="8">
        <v>41881</v>
      </c>
      <c r="E510" s="8">
        <v>41882</v>
      </c>
      <c r="F510" s="9">
        <v>485.7</v>
      </c>
      <c r="G510">
        <f t="shared" si="28"/>
        <v>2</v>
      </c>
      <c r="H510">
        <f t="shared" si="29"/>
        <v>54</v>
      </c>
      <c r="I510">
        <f t="shared" si="30"/>
        <v>1</v>
      </c>
      <c r="J510">
        <f t="shared" si="31"/>
        <v>1</v>
      </c>
    </row>
    <row r="511" spans="1:10" x14ac:dyDescent="0.25">
      <c r="A511" s="10" t="s">
        <v>134</v>
      </c>
      <c r="B511" s="11" t="s">
        <v>149</v>
      </c>
      <c r="C511" s="11" t="s">
        <v>8</v>
      </c>
      <c r="D511" s="12">
        <v>41881</v>
      </c>
      <c r="E511" s="12">
        <v>41882</v>
      </c>
      <c r="F511" s="13">
        <v>891</v>
      </c>
      <c r="G511">
        <f t="shared" si="28"/>
        <v>2</v>
      </c>
      <c r="H511">
        <f t="shared" si="29"/>
        <v>54</v>
      </c>
      <c r="I511">
        <f t="shared" si="30"/>
        <v>1</v>
      </c>
      <c r="J511">
        <f t="shared" si="31"/>
        <v>1</v>
      </c>
    </row>
    <row r="512" spans="1:10" x14ac:dyDescent="0.25">
      <c r="A512" s="6" t="s">
        <v>64</v>
      </c>
      <c r="B512" s="7" t="s">
        <v>65</v>
      </c>
      <c r="C512" s="7" t="s">
        <v>17</v>
      </c>
      <c r="D512" s="8">
        <v>41881</v>
      </c>
      <c r="E512" s="8">
        <v>41885</v>
      </c>
      <c r="F512" s="9">
        <v>1321.5</v>
      </c>
      <c r="G512">
        <f t="shared" si="28"/>
        <v>5</v>
      </c>
      <c r="H512">
        <f t="shared" si="29"/>
        <v>126</v>
      </c>
      <c r="I512">
        <f t="shared" si="30"/>
        <v>4</v>
      </c>
      <c r="J512">
        <f t="shared" si="31"/>
        <v>4</v>
      </c>
    </row>
    <row r="513" spans="1:10" x14ac:dyDescent="0.25">
      <c r="A513" s="10" t="s">
        <v>109</v>
      </c>
      <c r="B513" s="11" t="s">
        <v>110</v>
      </c>
      <c r="C513" s="11" t="s">
        <v>14</v>
      </c>
      <c r="D513" s="12">
        <v>41885</v>
      </c>
      <c r="E513" s="12">
        <v>41888</v>
      </c>
      <c r="F513" s="13">
        <v>550.5</v>
      </c>
      <c r="G513">
        <f t="shared" si="28"/>
        <v>4</v>
      </c>
      <c r="H513">
        <f t="shared" si="29"/>
        <v>102</v>
      </c>
      <c r="I513">
        <f t="shared" si="30"/>
        <v>3</v>
      </c>
      <c r="J513">
        <f t="shared" si="31"/>
        <v>3</v>
      </c>
    </row>
    <row r="514" spans="1:10" x14ac:dyDescent="0.25">
      <c r="A514" s="6" t="s">
        <v>31</v>
      </c>
      <c r="B514" s="7" t="s">
        <v>78</v>
      </c>
      <c r="C514" s="7" t="s">
        <v>24</v>
      </c>
      <c r="D514" s="8">
        <v>41886</v>
      </c>
      <c r="E514" s="8">
        <v>41887</v>
      </c>
      <c r="F514" s="9">
        <v>439.7</v>
      </c>
      <c r="G514">
        <f t="shared" si="28"/>
        <v>2</v>
      </c>
      <c r="H514">
        <f t="shared" si="29"/>
        <v>54</v>
      </c>
      <c r="I514">
        <f t="shared" si="30"/>
        <v>1</v>
      </c>
      <c r="J514">
        <f t="shared" si="31"/>
        <v>1</v>
      </c>
    </row>
    <row r="515" spans="1:10" x14ac:dyDescent="0.25">
      <c r="A515" s="10" t="s">
        <v>6</v>
      </c>
      <c r="B515" s="11" t="s">
        <v>7</v>
      </c>
      <c r="C515" s="11" t="s">
        <v>30</v>
      </c>
      <c r="D515" s="12">
        <v>41886</v>
      </c>
      <c r="E515" s="12">
        <v>41889</v>
      </c>
      <c r="F515" s="13">
        <v>569.5</v>
      </c>
      <c r="G515">
        <f t="shared" ref="G515:G578" si="32">E515-D515 + 1</f>
        <v>4</v>
      </c>
      <c r="H515">
        <f t="shared" ref="H515:H578" si="33">30+(G515-1)*24</f>
        <v>102</v>
      </c>
      <c r="I515">
        <f t="shared" ref="I515:I578" si="34">G515-1</f>
        <v>3</v>
      </c>
      <c r="J515">
        <f t="shared" ref="J515:J578" si="35">IF(G515&gt;=2,I515,"")</f>
        <v>3</v>
      </c>
    </row>
    <row r="516" spans="1:10" x14ac:dyDescent="0.25">
      <c r="A516" s="6" t="s">
        <v>122</v>
      </c>
      <c r="B516" s="7" t="s">
        <v>123</v>
      </c>
      <c r="C516" s="7" t="s">
        <v>14</v>
      </c>
      <c r="D516" s="8">
        <v>41886</v>
      </c>
      <c r="E516" s="8">
        <v>41889</v>
      </c>
      <c r="F516" s="9">
        <v>550.5</v>
      </c>
      <c r="G516">
        <f t="shared" si="32"/>
        <v>4</v>
      </c>
      <c r="H516">
        <f t="shared" si="33"/>
        <v>102</v>
      </c>
      <c r="I516">
        <f t="shared" si="34"/>
        <v>3</v>
      </c>
      <c r="J516">
        <f t="shared" si="35"/>
        <v>3</v>
      </c>
    </row>
    <row r="517" spans="1:10" x14ac:dyDescent="0.25">
      <c r="A517" s="10" t="s">
        <v>93</v>
      </c>
      <c r="B517" s="11" t="s">
        <v>124</v>
      </c>
      <c r="C517" s="11" t="s">
        <v>24</v>
      </c>
      <c r="D517" s="12">
        <v>41886</v>
      </c>
      <c r="E517" s="12">
        <v>41887</v>
      </c>
      <c r="F517" s="13">
        <v>439.7</v>
      </c>
      <c r="G517">
        <f t="shared" si="32"/>
        <v>2</v>
      </c>
      <c r="H517">
        <f t="shared" si="33"/>
        <v>54</v>
      </c>
      <c r="I517">
        <f t="shared" si="34"/>
        <v>1</v>
      </c>
      <c r="J517">
        <f t="shared" si="35"/>
        <v>1</v>
      </c>
    </row>
    <row r="518" spans="1:10" x14ac:dyDescent="0.25">
      <c r="A518" s="6" t="s">
        <v>22</v>
      </c>
      <c r="B518" s="7" t="s">
        <v>172</v>
      </c>
      <c r="C518" s="7" t="s">
        <v>24</v>
      </c>
      <c r="D518" s="8">
        <v>41886</v>
      </c>
      <c r="E518" s="8">
        <v>41886</v>
      </c>
      <c r="F518" s="9">
        <v>290.7</v>
      </c>
      <c r="G518">
        <f t="shared" si="32"/>
        <v>1</v>
      </c>
      <c r="H518">
        <f t="shared" si="33"/>
        <v>30</v>
      </c>
      <c r="I518">
        <f t="shared" si="34"/>
        <v>0</v>
      </c>
      <c r="J518" t="str">
        <f t="shared" si="35"/>
        <v/>
      </c>
    </row>
    <row r="519" spans="1:10" x14ac:dyDescent="0.25">
      <c r="A519" s="10" t="s">
        <v>84</v>
      </c>
      <c r="B519" s="11" t="s">
        <v>85</v>
      </c>
      <c r="C519" s="11" t="s">
        <v>19</v>
      </c>
      <c r="D519" s="12">
        <v>41886</v>
      </c>
      <c r="E519" s="12">
        <v>41890</v>
      </c>
      <c r="F519" s="13">
        <v>1077.4000000000001</v>
      </c>
      <c r="G519">
        <f t="shared" si="32"/>
        <v>5</v>
      </c>
      <c r="H519">
        <f t="shared" si="33"/>
        <v>126</v>
      </c>
      <c r="I519">
        <f t="shared" si="34"/>
        <v>4</v>
      </c>
      <c r="J519">
        <f t="shared" si="35"/>
        <v>4</v>
      </c>
    </row>
    <row r="520" spans="1:10" x14ac:dyDescent="0.25">
      <c r="A520" s="6" t="s">
        <v>82</v>
      </c>
      <c r="B520" s="7" t="s">
        <v>125</v>
      </c>
      <c r="C520" s="7" t="s">
        <v>14</v>
      </c>
      <c r="D520" s="8">
        <v>41886</v>
      </c>
      <c r="E520" s="8">
        <v>41888</v>
      </c>
      <c r="F520" s="9">
        <v>426.5</v>
      </c>
      <c r="G520">
        <f t="shared" si="32"/>
        <v>3</v>
      </c>
      <c r="H520">
        <f t="shared" si="33"/>
        <v>78</v>
      </c>
      <c r="I520">
        <f t="shared" si="34"/>
        <v>2</v>
      </c>
      <c r="J520">
        <f t="shared" si="35"/>
        <v>2</v>
      </c>
    </row>
    <row r="521" spans="1:10" x14ac:dyDescent="0.25">
      <c r="A521" s="10" t="s">
        <v>33</v>
      </c>
      <c r="B521" s="11" t="s">
        <v>34</v>
      </c>
      <c r="C521" s="11" t="s">
        <v>27</v>
      </c>
      <c r="D521" s="12">
        <v>41886</v>
      </c>
      <c r="E521" s="12">
        <v>41887</v>
      </c>
      <c r="F521" s="13">
        <v>570</v>
      </c>
      <c r="G521">
        <f t="shared" si="32"/>
        <v>2</v>
      </c>
      <c r="H521">
        <f t="shared" si="33"/>
        <v>54</v>
      </c>
      <c r="I521">
        <f t="shared" si="34"/>
        <v>1</v>
      </c>
      <c r="J521">
        <f t="shared" si="35"/>
        <v>1</v>
      </c>
    </row>
    <row r="522" spans="1:10" x14ac:dyDescent="0.25">
      <c r="A522" s="6" t="s">
        <v>9</v>
      </c>
      <c r="B522" s="7" t="s">
        <v>69</v>
      </c>
      <c r="C522" s="7" t="s">
        <v>24</v>
      </c>
      <c r="D522" s="8">
        <v>41886</v>
      </c>
      <c r="E522" s="8">
        <v>41886</v>
      </c>
      <c r="F522" s="9">
        <v>290.7</v>
      </c>
      <c r="G522">
        <f t="shared" si="32"/>
        <v>1</v>
      </c>
      <c r="H522">
        <f t="shared" si="33"/>
        <v>30</v>
      </c>
      <c r="I522">
        <f t="shared" si="34"/>
        <v>0</v>
      </c>
      <c r="J522" t="str">
        <f t="shared" si="35"/>
        <v/>
      </c>
    </row>
    <row r="523" spans="1:10" x14ac:dyDescent="0.25">
      <c r="A523" s="10" t="s">
        <v>143</v>
      </c>
      <c r="B523" s="11" t="s">
        <v>144</v>
      </c>
      <c r="C523" s="11" t="s">
        <v>19</v>
      </c>
      <c r="D523" s="12">
        <v>41886</v>
      </c>
      <c r="E523" s="12">
        <v>41887</v>
      </c>
      <c r="F523" s="13">
        <v>654.4</v>
      </c>
      <c r="G523">
        <f t="shared" si="32"/>
        <v>2</v>
      </c>
      <c r="H523">
        <f t="shared" si="33"/>
        <v>54</v>
      </c>
      <c r="I523">
        <f t="shared" si="34"/>
        <v>1</v>
      </c>
      <c r="J523">
        <f t="shared" si="35"/>
        <v>1</v>
      </c>
    </row>
    <row r="524" spans="1:10" x14ac:dyDescent="0.25">
      <c r="A524" s="6" t="s">
        <v>75</v>
      </c>
      <c r="B524" s="7" t="s">
        <v>88</v>
      </c>
      <c r="C524" s="7" t="s">
        <v>66</v>
      </c>
      <c r="D524" s="8">
        <v>41886</v>
      </c>
      <c r="E524" s="8">
        <v>41890</v>
      </c>
      <c r="F524" s="9">
        <v>1019.7</v>
      </c>
      <c r="G524">
        <f t="shared" si="32"/>
        <v>5</v>
      </c>
      <c r="H524">
        <f t="shared" si="33"/>
        <v>126</v>
      </c>
      <c r="I524">
        <f t="shared" si="34"/>
        <v>4</v>
      </c>
      <c r="J524">
        <f t="shared" si="35"/>
        <v>4</v>
      </c>
    </row>
    <row r="525" spans="1:10" x14ac:dyDescent="0.25">
      <c r="A525" s="10" t="s">
        <v>119</v>
      </c>
      <c r="B525" s="11" t="s">
        <v>120</v>
      </c>
      <c r="C525" s="11" t="s">
        <v>11</v>
      </c>
      <c r="D525" s="12">
        <v>41886</v>
      </c>
      <c r="E525" s="12">
        <v>41889</v>
      </c>
      <c r="F525" s="13">
        <v>573.4</v>
      </c>
      <c r="G525">
        <f t="shared" si="32"/>
        <v>4</v>
      </c>
      <c r="H525">
        <f t="shared" si="33"/>
        <v>102</v>
      </c>
      <c r="I525">
        <f t="shared" si="34"/>
        <v>3</v>
      </c>
      <c r="J525">
        <f t="shared" si="35"/>
        <v>3</v>
      </c>
    </row>
    <row r="526" spans="1:10" x14ac:dyDescent="0.25">
      <c r="A526" s="6" t="s">
        <v>36</v>
      </c>
      <c r="B526" s="7" t="s">
        <v>37</v>
      </c>
      <c r="C526" s="7" t="s">
        <v>17</v>
      </c>
      <c r="D526" s="8">
        <v>41886</v>
      </c>
      <c r="E526" s="8">
        <v>41889</v>
      </c>
      <c r="F526" s="9">
        <v>1116.5</v>
      </c>
      <c r="G526">
        <f t="shared" si="32"/>
        <v>4</v>
      </c>
      <c r="H526">
        <f t="shared" si="33"/>
        <v>102</v>
      </c>
      <c r="I526">
        <f t="shared" si="34"/>
        <v>3</v>
      </c>
      <c r="J526">
        <f t="shared" si="35"/>
        <v>3</v>
      </c>
    </row>
    <row r="527" spans="1:10" x14ac:dyDescent="0.25">
      <c r="A527" s="10" t="s">
        <v>75</v>
      </c>
      <c r="B527" s="11" t="s">
        <v>76</v>
      </c>
      <c r="C527" s="11" t="s">
        <v>11</v>
      </c>
      <c r="D527" s="12">
        <v>41886</v>
      </c>
      <c r="E527" s="12">
        <v>41888</v>
      </c>
      <c r="F527" s="13">
        <v>434.4</v>
      </c>
      <c r="G527">
        <f t="shared" si="32"/>
        <v>3</v>
      </c>
      <c r="H527">
        <f t="shared" si="33"/>
        <v>78</v>
      </c>
      <c r="I527">
        <f t="shared" si="34"/>
        <v>2</v>
      </c>
      <c r="J527">
        <f t="shared" si="35"/>
        <v>2</v>
      </c>
    </row>
    <row r="528" spans="1:10" x14ac:dyDescent="0.25">
      <c r="A528" s="6" t="s">
        <v>91</v>
      </c>
      <c r="B528" s="7" t="s">
        <v>92</v>
      </c>
      <c r="C528" s="7" t="s">
        <v>38</v>
      </c>
      <c r="D528" s="8">
        <v>41886</v>
      </c>
      <c r="E528" s="8">
        <v>41887</v>
      </c>
      <c r="F528" s="9">
        <v>407.8</v>
      </c>
      <c r="G528">
        <f t="shared" si="32"/>
        <v>2</v>
      </c>
      <c r="H528">
        <f t="shared" si="33"/>
        <v>54</v>
      </c>
      <c r="I528">
        <f t="shared" si="34"/>
        <v>1</v>
      </c>
      <c r="J528">
        <f t="shared" si="35"/>
        <v>1</v>
      </c>
    </row>
    <row r="529" spans="1:10" x14ac:dyDescent="0.25">
      <c r="A529" s="10" t="s">
        <v>12</v>
      </c>
      <c r="B529" s="11" t="s">
        <v>95</v>
      </c>
      <c r="C529" s="11" t="s">
        <v>66</v>
      </c>
      <c r="D529" s="12">
        <v>41886</v>
      </c>
      <c r="E529" s="12">
        <v>41889</v>
      </c>
      <c r="F529" s="13">
        <v>841.7</v>
      </c>
      <c r="G529">
        <f t="shared" si="32"/>
        <v>4</v>
      </c>
      <c r="H529">
        <f t="shared" si="33"/>
        <v>102</v>
      </c>
      <c r="I529">
        <f t="shared" si="34"/>
        <v>3</v>
      </c>
      <c r="J529">
        <f t="shared" si="35"/>
        <v>3</v>
      </c>
    </row>
    <row r="530" spans="1:10" x14ac:dyDescent="0.25">
      <c r="A530" s="6" t="s">
        <v>54</v>
      </c>
      <c r="B530" s="7" t="s">
        <v>118</v>
      </c>
      <c r="C530" s="7" t="s">
        <v>30</v>
      </c>
      <c r="D530" s="8">
        <v>41886</v>
      </c>
      <c r="E530" s="8">
        <v>41886</v>
      </c>
      <c r="F530" s="9">
        <v>212.5</v>
      </c>
      <c r="G530">
        <f t="shared" si="32"/>
        <v>1</v>
      </c>
      <c r="H530">
        <f t="shared" si="33"/>
        <v>30</v>
      </c>
      <c r="I530">
        <f t="shared" si="34"/>
        <v>0</v>
      </c>
      <c r="J530" t="str">
        <f t="shared" si="35"/>
        <v/>
      </c>
    </row>
    <row r="531" spans="1:10" x14ac:dyDescent="0.25">
      <c r="A531" s="10" t="s">
        <v>15</v>
      </c>
      <c r="B531" s="11" t="s">
        <v>46</v>
      </c>
      <c r="C531" s="11" t="s">
        <v>24</v>
      </c>
      <c r="D531" s="12">
        <v>41887</v>
      </c>
      <c r="E531" s="12">
        <v>41889</v>
      </c>
      <c r="F531" s="13">
        <v>588.70000000000005</v>
      </c>
      <c r="G531">
        <f t="shared" si="32"/>
        <v>3</v>
      </c>
      <c r="H531">
        <f t="shared" si="33"/>
        <v>78</v>
      </c>
      <c r="I531">
        <f t="shared" si="34"/>
        <v>2</v>
      </c>
      <c r="J531">
        <f t="shared" si="35"/>
        <v>2</v>
      </c>
    </row>
    <row r="532" spans="1:10" x14ac:dyDescent="0.25">
      <c r="A532" s="6" t="s">
        <v>25</v>
      </c>
      <c r="B532" s="7" t="s">
        <v>26</v>
      </c>
      <c r="C532" s="7" t="s">
        <v>17</v>
      </c>
      <c r="D532" s="8">
        <v>41887</v>
      </c>
      <c r="E532" s="8">
        <v>41887</v>
      </c>
      <c r="F532" s="9">
        <v>501.5</v>
      </c>
      <c r="G532">
        <f t="shared" si="32"/>
        <v>1</v>
      </c>
      <c r="H532">
        <f t="shared" si="33"/>
        <v>30</v>
      </c>
      <c r="I532">
        <f t="shared" si="34"/>
        <v>0</v>
      </c>
      <c r="J532" t="str">
        <f t="shared" si="35"/>
        <v/>
      </c>
    </row>
    <row r="533" spans="1:10" x14ac:dyDescent="0.25">
      <c r="A533" s="10" t="s">
        <v>70</v>
      </c>
      <c r="B533" s="11" t="s">
        <v>71</v>
      </c>
      <c r="C533" s="11" t="s">
        <v>14</v>
      </c>
      <c r="D533" s="12">
        <v>41887</v>
      </c>
      <c r="E533" s="12">
        <v>41888</v>
      </c>
      <c r="F533" s="13">
        <v>302.5</v>
      </c>
      <c r="G533">
        <f t="shared" si="32"/>
        <v>2</v>
      </c>
      <c r="H533">
        <f t="shared" si="33"/>
        <v>54</v>
      </c>
      <c r="I533">
        <f t="shared" si="34"/>
        <v>1</v>
      </c>
      <c r="J533">
        <f t="shared" si="35"/>
        <v>1</v>
      </c>
    </row>
    <row r="534" spans="1:10" x14ac:dyDescent="0.25">
      <c r="A534" s="6" t="s">
        <v>115</v>
      </c>
      <c r="B534" s="7" t="s">
        <v>140</v>
      </c>
      <c r="C534" s="7" t="s">
        <v>27</v>
      </c>
      <c r="D534" s="8">
        <v>41887</v>
      </c>
      <c r="E534" s="8">
        <v>41887</v>
      </c>
      <c r="F534" s="9">
        <v>442</v>
      </c>
      <c r="G534">
        <f t="shared" si="32"/>
        <v>1</v>
      </c>
      <c r="H534">
        <f t="shared" si="33"/>
        <v>30</v>
      </c>
      <c r="I534">
        <f t="shared" si="34"/>
        <v>0</v>
      </c>
      <c r="J534" t="str">
        <f t="shared" si="35"/>
        <v/>
      </c>
    </row>
    <row r="535" spans="1:10" x14ac:dyDescent="0.25">
      <c r="A535" s="10" t="s">
        <v>134</v>
      </c>
      <c r="B535" s="11" t="s">
        <v>135</v>
      </c>
      <c r="C535" s="11" t="s">
        <v>19</v>
      </c>
      <c r="D535" s="12">
        <v>41887</v>
      </c>
      <c r="E535" s="12">
        <v>41890</v>
      </c>
      <c r="F535" s="13">
        <v>936.4</v>
      </c>
      <c r="G535">
        <f t="shared" si="32"/>
        <v>4</v>
      </c>
      <c r="H535">
        <f t="shared" si="33"/>
        <v>102</v>
      </c>
      <c r="I535">
        <f t="shared" si="34"/>
        <v>3</v>
      </c>
      <c r="J535">
        <f t="shared" si="35"/>
        <v>3</v>
      </c>
    </row>
    <row r="536" spans="1:10" x14ac:dyDescent="0.25">
      <c r="A536" s="6" t="s">
        <v>99</v>
      </c>
      <c r="B536" s="7" t="s">
        <v>100</v>
      </c>
      <c r="C536" s="7" t="s">
        <v>19</v>
      </c>
      <c r="D536" s="8">
        <v>41887</v>
      </c>
      <c r="E536" s="8">
        <v>41887</v>
      </c>
      <c r="F536" s="9">
        <v>513.4</v>
      </c>
      <c r="G536">
        <f t="shared" si="32"/>
        <v>1</v>
      </c>
      <c r="H536">
        <f t="shared" si="33"/>
        <v>30</v>
      </c>
      <c r="I536">
        <f t="shared" si="34"/>
        <v>0</v>
      </c>
      <c r="J536" t="str">
        <f t="shared" si="35"/>
        <v/>
      </c>
    </row>
    <row r="537" spans="1:10" x14ac:dyDescent="0.25">
      <c r="A537" s="10" t="s">
        <v>101</v>
      </c>
      <c r="B537" s="11" t="s">
        <v>102</v>
      </c>
      <c r="C537" s="11" t="s">
        <v>11</v>
      </c>
      <c r="D537" s="12">
        <v>41887</v>
      </c>
      <c r="E537" s="12">
        <v>41888</v>
      </c>
      <c r="F537" s="13">
        <v>295.39999999999998</v>
      </c>
      <c r="G537">
        <f t="shared" si="32"/>
        <v>2</v>
      </c>
      <c r="H537">
        <f t="shared" si="33"/>
        <v>54</v>
      </c>
      <c r="I537">
        <f t="shared" si="34"/>
        <v>1</v>
      </c>
      <c r="J537">
        <f t="shared" si="35"/>
        <v>1</v>
      </c>
    </row>
    <row r="538" spans="1:10" x14ac:dyDescent="0.25">
      <c r="A538" s="6" t="s">
        <v>143</v>
      </c>
      <c r="B538" s="7" t="s">
        <v>144</v>
      </c>
      <c r="C538" s="7" t="s">
        <v>30</v>
      </c>
      <c r="D538" s="8">
        <v>41887</v>
      </c>
      <c r="E538" s="8">
        <v>41891</v>
      </c>
      <c r="F538" s="9">
        <v>688.5</v>
      </c>
      <c r="G538">
        <f t="shared" si="32"/>
        <v>5</v>
      </c>
      <c r="H538">
        <f t="shared" si="33"/>
        <v>126</v>
      </c>
      <c r="I538">
        <f t="shared" si="34"/>
        <v>4</v>
      </c>
      <c r="J538">
        <f t="shared" si="35"/>
        <v>4</v>
      </c>
    </row>
    <row r="539" spans="1:10" x14ac:dyDescent="0.25">
      <c r="A539" s="10" t="s">
        <v>93</v>
      </c>
      <c r="B539" s="11" t="s">
        <v>106</v>
      </c>
      <c r="C539" s="11" t="s">
        <v>17</v>
      </c>
      <c r="D539" s="12">
        <v>41887</v>
      </c>
      <c r="E539" s="12">
        <v>41890</v>
      </c>
      <c r="F539" s="13">
        <v>1116.5</v>
      </c>
      <c r="G539">
        <f t="shared" si="32"/>
        <v>4</v>
      </c>
      <c r="H539">
        <f t="shared" si="33"/>
        <v>102</v>
      </c>
      <c r="I539">
        <f t="shared" si="34"/>
        <v>3</v>
      </c>
      <c r="J539">
        <f t="shared" si="35"/>
        <v>3</v>
      </c>
    </row>
    <row r="540" spans="1:10" x14ac:dyDescent="0.25">
      <c r="A540" s="6" t="s">
        <v>93</v>
      </c>
      <c r="B540" s="7" t="s">
        <v>94</v>
      </c>
      <c r="C540" s="7" t="s">
        <v>14</v>
      </c>
      <c r="D540" s="8">
        <v>41887</v>
      </c>
      <c r="E540" s="8">
        <v>41889</v>
      </c>
      <c r="F540" s="9">
        <v>426.5</v>
      </c>
      <c r="G540">
        <f t="shared" si="32"/>
        <v>3</v>
      </c>
      <c r="H540">
        <f t="shared" si="33"/>
        <v>78</v>
      </c>
      <c r="I540">
        <f t="shared" si="34"/>
        <v>2</v>
      </c>
      <c r="J540">
        <f t="shared" si="35"/>
        <v>2</v>
      </c>
    </row>
    <row r="541" spans="1:10" x14ac:dyDescent="0.25">
      <c r="A541" s="10" t="s">
        <v>137</v>
      </c>
      <c r="B541" s="11" t="s">
        <v>138</v>
      </c>
      <c r="C541" s="11" t="s">
        <v>27</v>
      </c>
      <c r="D541" s="12">
        <v>41887</v>
      </c>
      <c r="E541" s="12">
        <v>41889</v>
      </c>
      <c r="F541" s="13">
        <v>698</v>
      </c>
      <c r="G541">
        <f t="shared" si="32"/>
        <v>3</v>
      </c>
      <c r="H541">
        <f t="shared" si="33"/>
        <v>78</v>
      </c>
      <c r="I541">
        <f t="shared" si="34"/>
        <v>2</v>
      </c>
      <c r="J541">
        <f t="shared" si="35"/>
        <v>2</v>
      </c>
    </row>
    <row r="542" spans="1:10" x14ac:dyDescent="0.25">
      <c r="A542" s="6" t="s">
        <v>115</v>
      </c>
      <c r="B542" s="7" t="s">
        <v>116</v>
      </c>
      <c r="C542" s="7" t="s">
        <v>30</v>
      </c>
      <c r="D542" s="8">
        <v>41887</v>
      </c>
      <c r="E542" s="8">
        <v>41888</v>
      </c>
      <c r="F542" s="9">
        <v>331.5</v>
      </c>
      <c r="G542">
        <f t="shared" si="32"/>
        <v>2</v>
      </c>
      <c r="H542">
        <f t="shared" si="33"/>
        <v>54</v>
      </c>
      <c r="I542">
        <f t="shared" si="34"/>
        <v>1</v>
      </c>
      <c r="J542">
        <f t="shared" si="35"/>
        <v>1</v>
      </c>
    </row>
    <row r="543" spans="1:10" x14ac:dyDescent="0.25">
      <c r="A543" s="10" t="s">
        <v>64</v>
      </c>
      <c r="B543" s="11" t="s">
        <v>65</v>
      </c>
      <c r="C543" s="11" t="s">
        <v>38</v>
      </c>
      <c r="D543" s="12">
        <v>41887</v>
      </c>
      <c r="E543" s="12">
        <v>41889</v>
      </c>
      <c r="F543" s="13">
        <v>536.79999999999995</v>
      </c>
      <c r="G543">
        <f t="shared" si="32"/>
        <v>3</v>
      </c>
      <c r="H543">
        <f t="shared" si="33"/>
        <v>78</v>
      </c>
      <c r="I543">
        <f t="shared" si="34"/>
        <v>2</v>
      </c>
      <c r="J543">
        <f t="shared" si="35"/>
        <v>2</v>
      </c>
    </row>
    <row r="544" spans="1:10" x14ac:dyDescent="0.25">
      <c r="A544" s="6" t="s">
        <v>86</v>
      </c>
      <c r="B544" s="7" t="s">
        <v>136</v>
      </c>
      <c r="C544" s="7" t="s">
        <v>72</v>
      </c>
      <c r="D544" s="8">
        <v>41887</v>
      </c>
      <c r="E544" s="8">
        <v>41888</v>
      </c>
      <c r="F544" s="9">
        <v>693.7</v>
      </c>
      <c r="G544">
        <f t="shared" si="32"/>
        <v>2</v>
      </c>
      <c r="H544">
        <f t="shared" si="33"/>
        <v>54</v>
      </c>
      <c r="I544">
        <f t="shared" si="34"/>
        <v>1</v>
      </c>
      <c r="J544">
        <f t="shared" si="35"/>
        <v>1</v>
      </c>
    </row>
    <row r="545" spans="1:10" x14ac:dyDescent="0.25">
      <c r="A545" s="10" t="s">
        <v>93</v>
      </c>
      <c r="B545" s="11" t="s">
        <v>124</v>
      </c>
      <c r="C545" s="11" t="s">
        <v>17</v>
      </c>
      <c r="D545" s="12">
        <v>41889</v>
      </c>
      <c r="E545" s="12">
        <v>41889</v>
      </c>
      <c r="F545" s="13">
        <v>501.5</v>
      </c>
      <c r="G545">
        <f t="shared" si="32"/>
        <v>1</v>
      </c>
      <c r="H545">
        <f t="shared" si="33"/>
        <v>30</v>
      </c>
      <c r="I545">
        <f t="shared" si="34"/>
        <v>0</v>
      </c>
      <c r="J545" t="str">
        <f t="shared" si="35"/>
        <v/>
      </c>
    </row>
    <row r="546" spans="1:10" x14ac:dyDescent="0.25">
      <c r="A546" s="6" t="s">
        <v>54</v>
      </c>
      <c r="B546" s="7" t="s">
        <v>55</v>
      </c>
      <c r="C546" s="7" t="s">
        <v>19</v>
      </c>
      <c r="D546" s="8">
        <v>41890</v>
      </c>
      <c r="E546" s="8">
        <v>41890</v>
      </c>
      <c r="F546" s="9">
        <v>513.4</v>
      </c>
      <c r="G546">
        <f t="shared" si="32"/>
        <v>1</v>
      </c>
      <c r="H546">
        <f t="shared" si="33"/>
        <v>30</v>
      </c>
      <c r="I546">
        <f t="shared" si="34"/>
        <v>0</v>
      </c>
      <c r="J546" t="str">
        <f t="shared" si="35"/>
        <v/>
      </c>
    </row>
    <row r="547" spans="1:10" x14ac:dyDescent="0.25">
      <c r="A547" s="10" t="s">
        <v>22</v>
      </c>
      <c r="B547" s="11" t="s">
        <v>172</v>
      </c>
      <c r="C547" s="11" t="s">
        <v>27</v>
      </c>
      <c r="D547" s="12">
        <v>41890</v>
      </c>
      <c r="E547" s="12">
        <v>41890</v>
      </c>
      <c r="F547" s="13">
        <v>442</v>
      </c>
      <c r="G547">
        <f t="shared" si="32"/>
        <v>1</v>
      </c>
      <c r="H547">
        <f t="shared" si="33"/>
        <v>30</v>
      </c>
      <c r="I547">
        <f t="shared" si="34"/>
        <v>0</v>
      </c>
      <c r="J547" t="str">
        <f t="shared" si="35"/>
        <v/>
      </c>
    </row>
    <row r="548" spans="1:10" x14ac:dyDescent="0.25">
      <c r="A548" s="6" t="s">
        <v>9</v>
      </c>
      <c r="B548" s="7" t="s">
        <v>69</v>
      </c>
      <c r="C548" s="7" t="s">
        <v>38</v>
      </c>
      <c r="D548" s="8">
        <v>41890</v>
      </c>
      <c r="E548" s="8">
        <v>41890</v>
      </c>
      <c r="F548" s="9">
        <v>278.8</v>
      </c>
      <c r="G548">
        <f t="shared" si="32"/>
        <v>1</v>
      </c>
      <c r="H548">
        <f t="shared" si="33"/>
        <v>30</v>
      </c>
      <c r="I548">
        <f t="shared" si="34"/>
        <v>0</v>
      </c>
      <c r="J548" t="str">
        <f t="shared" si="35"/>
        <v/>
      </c>
    </row>
    <row r="549" spans="1:10" x14ac:dyDescent="0.25">
      <c r="A549" s="10" t="s">
        <v>54</v>
      </c>
      <c r="B549" s="11" t="s">
        <v>118</v>
      </c>
      <c r="C549" s="11" t="s">
        <v>24</v>
      </c>
      <c r="D549" s="12">
        <v>41890</v>
      </c>
      <c r="E549" s="12">
        <v>41890</v>
      </c>
      <c r="F549" s="13">
        <v>290.7</v>
      </c>
      <c r="G549">
        <f t="shared" si="32"/>
        <v>1</v>
      </c>
      <c r="H549">
        <f t="shared" si="33"/>
        <v>30</v>
      </c>
      <c r="I549">
        <f t="shared" si="34"/>
        <v>0</v>
      </c>
      <c r="J549" t="str">
        <f t="shared" si="35"/>
        <v/>
      </c>
    </row>
    <row r="550" spans="1:10" x14ac:dyDescent="0.25">
      <c r="A550" s="6" t="s">
        <v>99</v>
      </c>
      <c r="B550" s="7" t="s">
        <v>130</v>
      </c>
      <c r="C550" s="7" t="s">
        <v>38</v>
      </c>
      <c r="D550" s="8">
        <v>41893</v>
      </c>
      <c r="E550" s="8">
        <v>41896</v>
      </c>
      <c r="F550" s="9">
        <v>665.8</v>
      </c>
      <c r="G550">
        <f t="shared" si="32"/>
        <v>4</v>
      </c>
      <c r="H550">
        <f t="shared" si="33"/>
        <v>102</v>
      </c>
      <c r="I550">
        <f t="shared" si="34"/>
        <v>3</v>
      </c>
      <c r="J550">
        <f t="shared" si="35"/>
        <v>3</v>
      </c>
    </row>
    <row r="551" spans="1:10" x14ac:dyDescent="0.25">
      <c r="A551" s="10" t="s">
        <v>115</v>
      </c>
      <c r="B551" s="11" t="s">
        <v>140</v>
      </c>
      <c r="C551" s="11" t="s">
        <v>8</v>
      </c>
      <c r="D551" s="12">
        <v>41893</v>
      </c>
      <c r="E551" s="12">
        <v>41896</v>
      </c>
      <c r="F551" s="13">
        <v>1313</v>
      </c>
      <c r="G551">
        <f t="shared" si="32"/>
        <v>4</v>
      </c>
      <c r="H551">
        <f t="shared" si="33"/>
        <v>102</v>
      </c>
      <c r="I551">
        <f t="shared" si="34"/>
        <v>3</v>
      </c>
      <c r="J551">
        <f t="shared" si="35"/>
        <v>3</v>
      </c>
    </row>
    <row r="552" spans="1:10" x14ac:dyDescent="0.25">
      <c r="A552" s="6" t="s">
        <v>109</v>
      </c>
      <c r="B552" s="7" t="s">
        <v>110</v>
      </c>
      <c r="C552" s="7" t="s">
        <v>8</v>
      </c>
      <c r="D552" s="8">
        <v>41893</v>
      </c>
      <c r="E552" s="8">
        <v>41894</v>
      </c>
      <c r="F552" s="9">
        <v>891</v>
      </c>
      <c r="G552">
        <f t="shared" si="32"/>
        <v>2</v>
      </c>
      <c r="H552">
        <f t="shared" si="33"/>
        <v>54</v>
      </c>
      <c r="I552">
        <f t="shared" si="34"/>
        <v>1</v>
      </c>
      <c r="J552">
        <f t="shared" si="35"/>
        <v>1</v>
      </c>
    </row>
    <row r="553" spans="1:10" x14ac:dyDescent="0.25">
      <c r="A553" s="10" t="s">
        <v>137</v>
      </c>
      <c r="B553" s="11" t="s">
        <v>138</v>
      </c>
      <c r="C553" s="11" t="s">
        <v>47</v>
      </c>
      <c r="D553" s="12">
        <v>41893</v>
      </c>
      <c r="E553" s="12">
        <v>41895</v>
      </c>
      <c r="F553" s="13">
        <v>689.8</v>
      </c>
      <c r="G553">
        <f t="shared" si="32"/>
        <v>3</v>
      </c>
      <c r="H553">
        <f t="shared" si="33"/>
        <v>78</v>
      </c>
      <c r="I553">
        <f t="shared" si="34"/>
        <v>2</v>
      </c>
      <c r="J553">
        <f t="shared" si="35"/>
        <v>2</v>
      </c>
    </row>
    <row r="554" spans="1:10" x14ac:dyDescent="0.25">
      <c r="A554" s="6" t="s">
        <v>12</v>
      </c>
      <c r="B554" s="7" t="s">
        <v>95</v>
      </c>
      <c r="C554" s="7" t="s">
        <v>47</v>
      </c>
      <c r="D554" s="8">
        <v>41893</v>
      </c>
      <c r="E554" s="8">
        <v>41894</v>
      </c>
      <c r="F554" s="9">
        <v>526.79999999999995</v>
      </c>
      <c r="G554">
        <f t="shared" si="32"/>
        <v>2</v>
      </c>
      <c r="H554">
        <f t="shared" si="33"/>
        <v>54</v>
      </c>
      <c r="I554">
        <f t="shared" si="34"/>
        <v>1</v>
      </c>
      <c r="J554">
        <f t="shared" si="35"/>
        <v>1</v>
      </c>
    </row>
    <row r="555" spans="1:10" x14ac:dyDescent="0.25">
      <c r="A555" s="10" t="s">
        <v>57</v>
      </c>
      <c r="B555" s="11" t="s">
        <v>58</v>
      </c>
      <c r="C555" s="11" t="s">
        <v>11</v>
      </c>
      <c r="D555" s="12">
        <v>41893</v>
      </c>
      <c r="E555" s="12">
        <v>41896</v>
      </c>
      <c r="F555" s="13">
        <v>573.4</v>
      </c>
      <c r="G555">
        <f t="shared" si="32"/>
        <v>4</v>
      </c>
      <c r="H555">
        <f t="shared" si="33"/>
        <v>102</v>
      </c>
      <c r="I555">
        <f t="shared" si="34"/>
        <v>3</v>
      </c>
      <c r="J555">
        <f t="shared" si="35"/>
        <v>3</v>
      </c>
    </row>
    <row r="556" spans="1:10" x14ac:dyDescent="0.25">
      <c r="A556" s="6" t="s">
        <v>6</v>
      </c>
      <c r="B556" s="7" t="s">
        <v>7</v>
      </c>
      <c r="C556" s="7" t="s">
        <v>38</v>
      </c>
      <c r="D556" s="8">
        <v>41897</v>
      </c>
      <c r="E556" s="8">
        <v>41897</v>
      </c>
      <c r="F556" s="9">
        <v>278.8</v>
      </c>
      <c r="G556">
        <f t="shared" si="32"/>
        <v>1</v>
      </c>
      <c r="H556">
        <f t="shared" si="33"/>
        <v>30</v>
      </c>
      <c r="I556">
        <f t="shared" si="34"/>
        <v>0</v>
      </c>
      <c r="J556" t="str">
        <f t="shared" si="35"/>
        <v/>
      </c>
    </row>
    <row r="557" spans="1:10" x14ac:dyDescent="0.25">
      <c r="A557" s="10" t="s">
        <v>54</v>
      </c>
      <c r="B557" s="11" t="s">
        <v>118</v>
      </c>
      <c r="C557" s="11" t="s">
        <v>17</v>
      </c>
      <c r="D557" s="12">
        <v>41897</v>
      </c>
      <c r="E557" s="12">
        <v>41898</v>
      </c>
      <c r="F557" s="13">
        <v>706.5</v>
      </c>
      <c r="G557">
        <f t="shared" si="32"/>
        <v>2</v>
      </c>
      <c r="H557">
        <f t="shared" si="33"/>
        <v>54</v>
      </c>
      <c r="I557">
        <f t="shared" si="34"/>
        <v>1</v>
      </c>
      <c r="J557">
        <f t="shared" si="35"/>
        <v>1</v>
      </c>
    </row>
    <row r="558" spans="1:10" x14ac:dyDescent="0.25">
      <c r="A558" s="6" t="s">
        <v>22</v>
      </c>
      <c r="B558" s="7" t="s">
        <v>23</v>
      </c>
      <c r="C558" s="7" t="s">
        <v>24</v>
      </c>
      <c r="D558" s="8">
        <v>41898</v>
      </c>
      <c r="E558" s="8">
        <v>41901</v>
      </c>
      <c r="F558" s="9">
        <v>737.7</v>
      </c>
      <c r="G558">
        <f t="shared" si="32"/>
        <v>4</v>
      </c>
      <c r="H558">
        <f t="shared" si="33"/>
        <v>102</v>
      </c>
      <c r="I558">
        <f t="shared" si="34"/>
        <v>3</v>
      </c>
      <c r="J558">
        <f t="shared" si="35"/>
        <v>3</v>
      </c>
    </row>
    <row r="559" spans="1:10" x14ac:dyDescent="0.25">
      <c r="A559" s="10" t="s">
        <v>22</v>
      </c>
      <c r="B559" s="11" t="s">
        <v>23</v>
      </c>
      <c r="C559" s="11" t="s">
        <v>27</v>
      </c>
      <c r="D559" s="12">
        <v>41898</v>
      </c>
      <c r="E559" s="12">
        <v>41900</v>
      </c>
      <c r="F559" s="13">
        <v>698</v>
      </c>
      <c r="G559">
        <f t="shared" si="32"/>
        <v>3</v>
      </c>
      <c r="H559">
        <f t="shared" si="33"/>
        <v>78</v>
      </c>
      <c r="I559">
        <f t="shared" si="34"/>
        <v>2</v>
      </c>
      <c r="J559">
        <f t="shared" si="35"/>
        <v>2</v>
      </c>
    </row>
    <row r="560" spans="1:10" x14ac:dyDescent="0.25">
      <c r="A560" s="6" t="s">
        <v>31</v>
      </c>
      <c r="B560" s="7" t="s">
        <v>78</v>
      </c>
      <c r="C560" s="7" t="s">
        <v>17</v>
      </c>
      <c r="D560" s="8">
        <v>41898</v>
      </c>
      <c r="E560" s="8">
        <v>41899</v>
      </c>
      <c r="F560" s="9">
        <v>706.5</v>
      </c>
      <c r="G560">
        <f t="shared" si="32"/>
        <v>2</v>
      </c>
      <c r="H560">
        <f t="shared" si="33"/>
        <v>54</v>
      </c>
      <c r="I560">
        <f t="shared" si="34"/>
        <v>1</v>
      </c>
      <c r="J560">
        <f t="shared" si="35"/>
        <v>1</v>
      </c>
    </row>
    <row r="561" spans="1:10" x14ac:dyDescent="0.25">
      <c r="A561" s="10" t="s">
        <v>6</v>
      </c>
      <c r="B561" s="11" t="s">
        <v>139</v>
      </c>
      <c r="C561" s="11" t="s">
        <v>38</v>
      </c>
      <c r="D561" s="12">
        <v>41898</v>
      </c>
      <c r="E561" s="12">
        <v>41900</v>
      </c>
      <c r="F561" s="13">
        <v>536.79999999999995</v>
      </c>
      <c r="G561">
        <f t="shared" si="32"/>
        <v>3</v>
      </c>
      <c r="H561">
        <f t="shared" si="33"/>
        <v>78</v>
      </c>
      <c r="I561">
        <f t="shared" si="34"/>
        <v>2</v>
      </c>
      <c r="J561">
        <f t="shared" si="35"/>
        <v>2</v>
      </c>
    </row>
    <row r="562" spans="1:10" x14ac:dyDescent="0.25">
      <c r="A562" s="6" t="s">
        <v>122</v>
      </c>
      <c r="B562" s="7" t="s">
        <v>123</v>
      </c>
      <c r="C562" s="7" t="s">
        <v>11</v>
      </c>
      <c r="D562" s="8">
        <v>41898</v>
      </c>
      <c r="E562" s="8">
        <v>41902</v>
      </c>
      <c r="F562" s="9">
        <v>712.4</v>
      </c>
      <c r="G562">
        <f t="shared" si="32"/>
        <v>5</v>
      </c>
      <c r="H562">
        <f t="shared" si="33"/>
        <v>126</v>
      </c>
      <c r="I562">
        <f t="shared" si="34"/>
        <v>4</v>
      </c>
      <c r="J562">
        <f t="shared" si="35"/>
        <v>4</v>
      </c>
    </row>
    <row r="563" spans="1:10" x14ac:dyDescent="0.25">
      <c r="A563" s="10" t="s">
        <v>57</v>
      </c>
      <c r="B563" s="11" t="s">
        <v>163</v>
      </c>
      <c r="C563" s="11" t="s">
        <v>19</v>
      </c>
      <c r="D563" s="12">
        <v>41898</v>
      </c>
      <c r="E563" s="12">
        <v>41901</v>
      </c>
      <c r="F563" s="13">
        <v>936.4</v>
      </c>
      <c r="G563">
        <f t="shared" si="32"/>
        <v>4</v>
      </c>
      <c r="H563">
        <f t="shared" si="33"/>
        <v>102</v>
      </c>
      <c r="I563">
        <f t="shared" si="34"/>
        <v>3</v>
      </c>
      <c r="J563">
        <f t="shared" si="35"/>
        <v>3</v>
      </c>
    </row>
    <row r="564" spans="1:10" x14ac:dyDescent="0.25">
      <c r="A564" s="6" t="s">
        <v>57</v>
      </c>
      <c r="B564" s="7" t="s">
        <v>163</v>
      </c>
      <c r="C564" s="7" t="s">
        <v>8</v>
      </c>
      <c r="D564" s="8">
        <v>41898</v>
      </c>
      <c r="E564" s="8">
        <v>41902</v>
      </c>
      <c r="F564" s="9">
        <v>1524</v>
      </c>
      <c r="G564">
        <f t="shared" si="32"/>
        <v>5</v>
      </c>
      <c r="H564">
        <f t="shared" si="33"/>
        <v>126</v>
      </c>
      <c r="I564">
        <f t="shared" si="34"/>
        <v>4</v>
      </c>
      <c r="J564">
        <f t="shared" si="35"/>
        <v>4</v>
      </c>
    </row>
    <row r="565" spans="1:10" x14ac:dyDescent="0.25">
      <c r="A565" s="10" t="s">
        <v>22</v>
      </c>
      <c r="B565" s="11" t="s">
        <v>172</v>
      </c>
      <c r="C565" s="11" t="s">
        <v>19</v>
      </c>
      <c r="D565" s="12">
        <v>41898</v>
      </c>
      <c r="E565" s="12">
        <v>41900</v>
      </c>
      <c r="F565" s="13">
        <v>795.4</v>
      </c>
      <c r="G565">
        <f t="shared" si="32"/>
        <v>3</v>
      </c>
      <c r="H565">
        <f t="shared" si="33"/>
        <v>78</v>
      </c>
      <c r="I565">
        <f t="shared" si="34"/>
        <v>2</v>
      </c>
      <c r="J565">
        <f t="shared" si="35"/>
        <v>2</v>
      </c>
    </row>
    <row r="566" spans="1:10" x14ac:dyDescent="0.25">
      <c r="A566" s="6" t="s">
        <v>50</v>
      </c>
      <c r="B566" s="7" t="s">
        <v>51</v>
      </c>
      <c r="C566" s="7" t="s">
        <v>17</v>
      </c>
      <c r="D566" s="8">
        <v>41898</v>
      </c>
      <c r="E566" s="8">
        <v>41901</v>
      </c>
      <c r="F566" s="9">
        <v>1116.5</v>
      </c>
      <c r="G566">
        <f t="shared" si="32"/>
        <v>4</v>
      </c>
      <c r="H566">
        <f t="shared" si="33"/>
        <v>102</v>
      </c>
      <c r="I566">
        <f t="shared" si="34"/>
        <v>3</v>
      </c>
      <c r="J566">
        <f t="shared" si="35"/>
        <v>3</v>
      </c>
    </row>
    <row r="567" spans="1:10" x14ac:dyDescent="0.25">
      <c r="A567" s="10" t="s">
        <v>115</v>
      </c>
      <c r="B567" s="11" t="s">
        <v>140</v>
      </c>
      <c r="C567" s="11" t="s">
        <v>72</v>
      </c>
      <c r="D567" s="12">
        <v>41898</v>
      </c>
      <c r="E567" s="12">
        <v>41899</v>
      </c>
      <c r="F567" s="13">
        <v>693.7</v>
      </c>
      <c r="G567">
        <f t="shared" si="32"/>
        <v>2</v>
      </c>
      <c r="H567">
        <f t="shared" si="33"/>
        <v>54</v>
      </c>
      <c r="I567">
        <f t="shared" si="34"/>
        <v>1</v>
      </c>
      <c r="J567">
        <f t="shared" si="35"/>
        <v>1</v>
      </c>
    </row>
    <row r="568" spans="1:10" x14ac:dyDescent="0.25">
      <c r="A568" s="6" t="s">
        <v>33</v>
      </c>
      <c r="B568" s="7" t="s">
        <v>34</v>
      </c>
      <c r="C568" s="7" t="s">
        <v>72</v>
      </c>
      <c r="D568" s="8">
        <v>41898</v>
      </c>
      <c r="E568" s="8">
        <v>41900</v>
      </c>
      <c r="F568" s="9">
        <v>892.7</v>
      </c>
      <c r="G568">
        <f t="shared" si="32"/>
        <v>3</v>
      </c>
      <c r="H568">
        <f t="shared" si="33"/>
        <v>78</v>
      </c>
      <c r="I568">
        <f t="shared" si="34"/>
        <v>2</v>
      </c>
      <c r="J568">
        <f t="shared" si="35"/>
        <v>2</v>
      </c>
    </row>
    <row r="569" spans="1:10" x14ac:dyDescent="0.25">
      <c r="A569" s="10" t="s">
        <v>33</v>
      </c>
      <c r="B569" s="11" t="s">
        <v>41</v>
      </c>
      <c r="C569" s="11" t="s">
        <v>17</v>
      </c>
      <c r="D569" s="12">
        <v>41898</v>
      </c>
      <c r="E569" s="12">
        <v>41898</v>
      </c>
      <c r="F569" s="13">
        <v>501.5</v>
      </c>
      <c r="G569">
        <f t="shared" si="32"/>
        <v>1</v>
      </c>
      <c r="H569">
        <f t="shared" si="33"/>
        <v>30</v>
      </c>
      <c r="I569">
        <f t="shared" si="34"/>
        <v>0</v>
      </c>
      <c r="J569" t="str">
        <f t="shared" si="35"/>
        <v/>
      </c>
    </row>
    <row r="570" spans="1:10" x14ac:dyDescent="0.25">
      <c r="A570" s="6" t="s">
        <v>93</v>
      </c>
      <c r="B570" s="7" t="s">
        <v>106</v>
      </c>
      <c r="C570" s="7" t="s">
        <v>27</v>
      </c>
      <c r="D570" s="8">
        <v>41898</v>
      </c>
      <c r="E570" s="8">
        <v>41899</v>
      </c>
      <c r="F570" s="9">
        <v>570</v>
      </c>
      <c r="G570">
        <f t="shared" si="32"/>
        <v>2</v>
      </c>
      <c r="H570">
        <f t="shared" si="33"/>
        <v>54</v>
      </c>
      <c r="I570">
        <f t="shared" si="34"/>
        <v>1</v>
      </c>
      <c r="J570">
        <f t="shared" si="35"/>
        <v>1</v>
      </c>
    </row>
    <row r="571" spans="1:10" x14ac:dyDescent="0.25">
      <c r="A571" s="10" t="s">
        <v>25</v>
      </c>
      <c r="B571" s="11" t="s">
        <v>35</v>
      </c>
      <c r="C571" s="11" t="s">
        <v>38</v>
      </c>
      <c r="D571" s="12">
        <v>41898</v>
      </c>
      <c r="E571" s="12">
        <v>41901</v>
      </c>
      <c r="F571" s="13">
        <v>665.8</v>
      </c>
      <c r="G571">
        <f t="shared" si="32"/>
        <v>4</v>
      </c>
      <c r="H571">
        <f t="shared" si="33"/>
        <v>102</v>
      </c>
      <c r="I571">
        <f t="shared" si="34"/>
        <v>3</v>
      </c>
      <c r="J571">
        <f t="shared" si="35"/>
        <v>3</v>
      </c>
    </row>
    <row r="572" spans="1:10" x14ac:dyDescent="0.25">
      <c r="A572" s="6" t="s">
        <v>119</v>
      </c>
      <c r="B572" s="7" t="s">
        <v>120</v>
      </c>
      <c r="C572" s="7" t="s">
        <v>30</v>
      </c>
      <c r="D572" s="8">
        <v>41898</v>
      </c>
      <c r="E572" s="8">
        <v>41899</v>
      </c>
      <c r="F572" s="9">
        <v>331.5</v>
      </c>
      <c r="G572">
        <f t="shared" si="32"/>
        <v>2</v>
      </c>
      <c r="H572">
        <f t="shared" si="33"/>
        <v>54</v>
      </c>
      <c r="I572">
        <f t="shared" si="34"/>
        <v>1</v>
      </c>
      <c r="J572">
        <f t="shared" si="35"/>
        <v>1</v>
      </c>
    </row>
    <row r="573" spans="1:10" x14ac:dyDescent="0.25">
      <c r="A573" s="10" t="s">
        <v>6</v>
      </c>
      <c r="B573" s="11" t="s">
        <v>45</v>
      </c>
      <c r="C573" s="11" t="s">
        <v>30</v>
      </c>
      <c r="D573" s="12">
        <v>41898</v>
      </c>
      <c r="E573" s="12">
        <v>41901</v>
      </c>
      <c r="F573" s="13">
        <v>569.5</v>
      </c>
      <c r="G573">
        <f t="shared" si="32"/>
        <v>4</v>
      </c>
      <c r="H573">
        <f t="shared" si="33"/>
        <v>102</v>
      </c>
      <c r="I573">
        <f t="shared" si="34"/>
        <v>3</v>
      </c>
      <c r="J573">
        <f t="shared" si="35"/>
        <v>3</v>
      </c>
    </row>
    <row r="574" spans="1:10" x14ac:dyDescent="0.25">
      <c r="A574" s="6" t="s">
        <v>15</v>
      </c>
      <c r="B574" s="7" t="s">
        <v>16</v>
      </c>
      <c r="C574" s="7" t="s">
        <v>24</v>
      </c>
      <c r="D574" s="8">
        <v>41898</v>
      </c>
      <c r="E574" s="8">
        <v>41902</v>
      </c>
      <c r="F574" s="9">
        <v>886.7</v>
      </c>
      <c r="G574">
        <f t="shared" si="32"/>
        <v>5</v>
      </c>
      <c r="H574">
        <f t="shared" si="33"/>
        <v>126</v>
      </c>
      <c r="I574">
        <f t="shared" si="34"/>
        <v>4</v>
      </c>
      <c r="J574">
        <f t="shared" si="35"/>
        <v>4</v>
      </c>
    </row>
    <row r="575" spans="1:10" x14ac:dyDescent="0.25">
      <c r="A575" s="10" t="s">
        <v>91</v>
      </c>
      <c r="B575" s="11" t="s">
        <v>92</v>
      </c>
      <c r="C575" s="11" t="s">
        <v>8</v>
      </c>
      <c r="D575" s="12">
        <v>41898</v>
      </c>
      <c r="E575" s="12">
        <v>41900</v>
      </c>
      <c r="F575" s="13">
        <v>1102</v>
      </c>
      <c r="G575">
        <f t="shared" si="32"/>
        <v>3</v>
      </c>
      <c r="H575">
        <f t="shared" si="33"/>
        <v>78</v>
      </c>
      <c r="I575">
        <f t="shared" si="34"/>
        <v>2</v>
      </c>
      <c r="J575">
        <f t="shared" si="35"/>
        <v>2</v>
      </c>
    </row>
    <row r="576" spans="1:10" x14ac:dyDescent="0.25">
      <c r="A576" s="6" t="s">
        <v>137</v>
      </c>
      <c r="B576" s="7" t="s">
        <v>138</v>
      </c>
      <c r="C576" s="7" t="s">
        <v>72</v>
      </c>
      <c r="D576" s="8">
        <v>41898</v>
      </c>
      <c r="E576" s="8">
        <v>41900</v>
      </c>
      <c r="F576" s="9">
        <v>892.7</v>
      </c>
      <c r="G576">
        <f t="shared" si="32"/>
        <v>3</v>
      </c>
      <c r="H576">
        <f t="shared" si="33"/>
        <v>78</v>
      </c>
      <c r="I576">
        <f t="shared" si="34"/>
        <v>2</v>
      </c>
      <c r="J576">
        <f t="shared" si="35"/>
        <v>2</v>
      </c>
    </row>
    <row r="577" spans="1:10" x14ac:dyDescent="0.25">
      <c r="A577" s="10" t="s">
        <v>6</v>
      </c>
      <c r="B577" s="11" t="s">
        <v>139</v>
      </c>
      <c r="C577" s="11" t="s">
        <v>24</v>
      </c>
      <c r="D577" s="12">
        <v>41899</v>
      </c>
      <c r="E577" s="12">
        <v>41902</v>
      </c>
      <c r="F577" s="13">
        <v>737.7</v>
      </c>
      <c r="G577">
        <f t="shared" si="32"/>
        <v>4</v>
      </c>
      <c r="H577">
        <f t="shared" si="33"/>
        <v>102</v>
      </c>
      <c r="I577">
        <f t="shared" si="34"/>
        <v>3</v>
      </c>
      <c r="J577">
        <f t="shared" si="35"/>
        <v>3</v>
      </c>
    </row>
    <row r="578" spans="1:10" x14ac:dyDescent="0.25">
      <c r="A578" s="6" t="s">
        <v>86</v>
      </c>
      <c r="B578" s="7" t="s">
        <v>150</v>
      </c>
      <c r="C578" s="7" t="s">
        <v>30</v>
      </c>
      <c r="D578" s="8">
        <v>41899</v>
      </c>
      <c r="E578" s="8">
        <v>41900</v>
      </c>
      <c r="F578" s="9">
        <v>331.5</v>
      </c>
      <c r="G578">
        <f t="shared" si="32"/>
        <v>2</v>
      </c>
      <c r="H578">
        <f t="shared" si="33"/>
        <v>54</v>
      </c>
      <c r="I578">
        <f t="shared" si="34"/>
        <v>1</v>
      </c>
      <c r="J578">
        <f t="shared" si="35"/>
        <v>1</v>
      </c>
    </row>
    <row r="579" spans="1:10" x14ac:dyDescent="0.25">
      <c r="A579" s="10" t="s">
        <v>99</v>
      </c>
      <c r="B579" s="11" t="s">
        <v>130</v>
      </c>
      <c r="C579" s="11" t="s">
        <v>27</v>
      </c>
      <c r="D579" s="12">
        <v>41899</v>
      </c>
      <c r="E579" s="12">
        <v>41900</v>
      </c>
      <c r="F579" s="13">
        <v>570</v>
      </c>
      <c r="G579">
        <f t="shared" ref="G579:G642" si="36">E579-D579 + 1</f>
        <v>2</v>
      </c>
      <c r="H579">
        <f t="shared" ref="H579:H642" si="37">30+(G579-1)*24</f>
        <v>54</v>
      </c>
      <c r="I579">
        <f t="shared" ref="I579:I642" si="38">G579-1</f>
        <v>1</v>
      </c>
      <c r="J579">
        <f t="shared" ref="J579:J642" si="39">IF(G579&gt;=2,I579,"")</f>
        <v>1</v>
      </c>
    </row>
    <row r="580" spans="1:10" x14ac:dyDescent="0.25">
      <c r="A580" s="6" t="s">
        <v>50</v>
      </c>
      <c r="B580" s="7" t="s">
        <v>51</v>
      </c>
      <c r="C580" s="7" t="s">
        <v>72</v>
      </c>
      <c r="D580" s="8">
        <v>41899</v>
      </c>
      <c r="E580" s="8">
        <v>41902</v>
      </c>
      <c r="F580" s="9">
        <v>1091.7</v>
      </c>
      <c r="G580">
        <f t="shared" si="36"/>
        <v>4</v>
      </c>
      <c r="H580">
        <f t="shared" si="37"/>
        <v>102</v>
      </c>
      <c r="I580">
        <f t="shared" si="38"/>
        <v>3</v>
      </c>
      <c r="J580">
        <f t="shared" si="39"/>
        <v>3</v>
      </c>
    </row>
    <row r="581" spans="1:10" x14ac:dyDescent="0.25">
      <c r="A581" s="10" t="s">
        <v>82</v>
      </c>
      <c r="B581" s="11" t="s">
        <v>125</v>
      </c>
      <c r="C581" s="11" t="s">
        <v>66</v>
      </c>
      <c r="D581" s="12">
        <v>41899</v>
      </c>
      <c r="E581" s="12">
        <v>41900</v>
      </c>
      <c r="F581" s="13">
        <v>485.7</v>
      </c>
      <c r="G581">
        <f t="shared" si="36"/>
        <v>2</v>
      </c>
      <c r="H581">
        <f t="shared" si="37"/>
        <v>54</v>
      </c>
      <c r="I581">
        <f t="shared" si="38"/>
        <v>1</v>
      </c>
      <c r="J581">
        <f t="shared" si="39"/>
        <v>1</v>
      </c>
    </row>
    <row r="582" spans="1:10" x14ac:dyDescent="0.25">
      <c r="A582" s="6" t="s">
        <v>99</v>
      </c>
      <c r="B582" s="7" t="s">
        <v>100</v>
      </c>
      <c r="C582" s="7" t="s">
        <v>11</v>
      </c>
      <c r="D582" s="8">
        <v>41899</v>
      </c>
      <c r="E582" s="8">
        <v>41903</v>
      </c>
      <c r="F582" s="9">
        <v>712.4</v>
      </c>
      <c r="G582">
        <f t="shared" si="36"/>
        <v>5</v>
      </c>
      <c r="H582">
        <f t="shared" si="37"/>
        <v>126</v>
      </c>
      <c r="I582">
        <f t="shared" si="38"/>
        <v>4</v>
      </c>
      <c r="J582">
        <f t="shared" si="39"/>
        <v>4</v>
      </c>
    </row>
    <row r="583" spans="1:10" x14ac:dyDescent="0.25">
      <c r="A583" s="10" t="s">
        <v>101</v>
      </c>
      <c r="B583" s="11" t="s">
        <v>102</v>
      </c>
      <c r="C583" s="11" t="s">
        <v>27</v>
      </c>
      <c r="D583" s="12">
        <v>41899</v>
      </c>
      <c r="E583" s="12">
        <v>41902</v>
      </c>
      <c r="F583" s="13">
        <v>826</v>
      </c>
      <c r="G583">
        <f t="shared" si="36"/>
        <v>4</v>
      </c>
      <c r="H583">
        <f t="shared" si="37"/>
        <v>102</v>
      </c>
      <c r="I583">
        <f t="shared" si="38"/>
        <v>3</v>
      </c>
      <c r="J583">
        <f t="shared" si="39"/>
        <v>3</v>
      </c>
    </row>
    <row r="584" spans="1:10" x14ac:dyDescent="0.25">
      <c r="A584" s="6" t="s">
        <v>73</v>
      </c>
      <c r="B584" s="7" t="s">
        <v>155</v>
      </c>
      <c r="C584" s="7" t="s">
        <v>17</v>
      </c>
      <c r="D584" s="8">
        <v>41899</v>
      </c>
      <c r="E584" s="8">
        <v>41900</v>
      </c>
      <c r="F584" s="9">
        <v>706.5</v>
      </c>
      <c r="G584">
        <f t="shared" si="36"/>
        <v>2</v>
      </c>
      <c r="H584">
        <f t="shared" si="37"/>
        <v>54</v>
      </c>
      <c r="I584">
        <f t="shared" si="38"/>
        <v>1</v>
      </c>
      <c r="J584">
        <f t="shared" si="39"/>
        <v>1</v>
      </c>
    </row>
    <row r="585" spans="1:10" x14ac:dyDescent="0.25">
      <c r="A585" s="10" t="s">
        <v>151</v>
      </c>
      <c r="B585" s="11" t="s">
        <v>152</v>
      </c>
      <c r="C585" s="11" t="s">
        <v>14</v>
      </c>
      <c r="D585" s="12">
        <v>41899</v>
      </c>
      <c r="E585" s="12">
        <v>41902</v>
      </c>
      <c r="F585" s="13">
        <v>550.5</v>
      </c>
      <c r="G585">
        <f t="shared" si="36"/>
        <v>4</v>
      </c>
      <c r="H585">
        <f t="shared" si="37"/>
        <v>102</v>
      </c>
      <c r="I585">
        <f t="shared" si="38"/>
        <v>3</v>
      </c>
      <c r="J585">
        <f t="shared" si="39"/>
        <v>3</v>
      </c>
    </row>
    <row r="586" spans="1:10" x14ac:dyDescent="0.25">
      <c r="A586" s="6" t="s">
        <v>119</v>
      </c>
      <c r="B586" s="7" t="s">
        <v>120</v>
      </c>
      <c r="C586" s="7" t="s">
        <v>47</v>
      </c>
      <c r="D586" s="8">
        <v>41899</v>
      </c>
      <c r="E586" s="8">
        <v>41900</v>
      </c>
      <c r="F586" s="9">
        <v>526.79999999999995</v>
      </c>
      <c r="G586">
        <f t="shared" si="36"/>
        <v>2</v>
      </c>
      <c r="H586">
        <f t="shared" si="37"/>
        <v>54</v>
      </c>
      <c r="I586">
        <f t="shared" si="38"/>
        <v>1</v>
      </c>
      <c r="J586">
        <f t="shared" si="39"/>
        <v>1</v>
      </c>
    </row>
    <row r="587" spans="1:10" x14ac:dyDescent="0.25">
      <c r="A587" s="10" t="s">
        <v>111</v>
      </c>
      <c r="B587" s="11" t="s">
        <v>112</v>
      </c>
      <c r="C587" s="11" t="s">
        <v>30</v>
      </c>
      <c r="D587" s="12">
        <v>41899</v>
      </c>
      <c r="E587" s="12">
        <v>41902</v>
      </c>
      <c r="F587" s="13">
        <v>569.5</v>
      </c>
      <c r="G587">
        <f t="shared" si="36"/>
        <v>4</v>
      </c>
      <c r="H587">
        <f t="shared" si="37"/>
        <v>102</v>
      </c>
      <c r="I587">
        <f t="shared" si="38"/>
        <v>3</v>
      </c>
      <c r="J587">
        <f t="shared" si="39"/>
        <v>3</v>
      </c>
    </row>
    <row r="588" spans="1:10" x14ac:dyDescent="0.25">
      <c r="A588" s="6" t="s">
        <v>75</v>
      </c>
      <c r="B588" s="7" t="s">
        <v>76</v>
      </c>
      <c r="C588" s="7" t="s">
        <v>47</v>
      </c>
      <c r="D588" s="8">
        <v>41899</v>
      </c>
      <c r="E588" s="8">
        <v>41903</v>
      </c>
      <c r="F588" s="9">
        <v>1015.8</v>
      </c>
      <c r="G588">
        <f t="shared" si="36"/>
        <v>5</v>
      </c>
      <c r="H588">
        <f t="shared" si="37"/>
        <v>126</v>
      </c>
      <c r="I588">
        <f t="shared" si="38"/>
        <v>4</v>
      </c>
      <c r="J588">
        <f t="shared" si="39"/>
        <v>4</v>
      </c>
    </row>
    <row r="589" spans="1:10" x14ac:dyDescent="0.25">
      <c r="A589" s="10" t="s">
        <v>113</v>
      </c>
      <c r="B589" s="11" t="s">
        <v>114</v>
      </c>
      <c r="C589" s="11" t="s">
        <v>8</v>
      </c>
      <c r="D589" s="12">
        <v>41899</v>
      </c>
      <c r="E589" s="12">
        <v>41901</v>
      </c>
      <c r="F589" s="13">
        <v>1102</v>
      </c>
      <c r="G589">
        <f t="shared" si="36"/>
        <v>3</v>
      </c>
      <c r="H589">
        <f t="shared" si="37"/>
        <v>78</v>
      </c>
      <c r="I589">
        <f t="shared" si="38"/>
        <v>2</v>
      </c>
      <c r="J589">
        <f t="shared" si="39"/>
        <v>2</v>
      </c>
    </row>
    <row r="590" spans="1:10" x14ac:dyDescent="0.25">
      <c r="A590" s="6" t="s">
        <v>70</v>
      </c>
      <c r="B590" s="7" t="s">
        <v>117</v>
      </c>
      <c r="C590" s="7" t="s">
        <v>27</v>
      </c>
      <c r="D590" s="8">
        <v>41899</v>
      </c>
      <c r="E590" s="8">
        <v>41902</v>
      </c>
      <c r="F590" s="9">
        <v>826</v>
      </c>
      <c r="G590">
        <f t="shared" si="36"/>
        <v>4</v>
      </c>
      <c r="H590">
        <f t="shared" si="37"/>
        <v>102</v>
      </c>
      <c r="I590">
        <f t="shared" si="38"/>
        <v>3</v>
      </c>
      <c r="J590">
        <f t="shared" si="39"/>
        <v>3</v>
      </c>
    </row>
    <row r="591" spans="1:10" x14ac:dyDescent="0.25">
      <c r="A591" s="10" t="s">
        <v>20</v>
      </c>
      <c r="B591" s="11" t="s">
        <v>21</v>
      </c>
      <c r="C591" s="11" t="s">
        <v>11</v>
      </c>
      <c r="D591" s="12">
        <v>41899</v>
      </c>
      <c r="E591" s="12">
        <v>41901</v>
      </c>
      <c r="F591" s="13">
        <v>434.4</v>
      </c>
      <c r="G591">
        <f t="shared" si="36"/>
        <v>3</v>
      </c>
      <c r="H591">
        <f t="shared" si="37"/>
        <v>78</v>
      </c>
      <c r="I591">
        <f t="shared" si="38"/>
        <v>2</v>
      </c>
      <c r="J591">
        <f t="shared" si="39"/>
        <v>2</v>
      </c>
    </row>
    <row r="592" spans="1:10" x14ac:dyDescent="0.25">
      <c r="A592" s="6" t="s">
        <v>33</v>
      </c>
      <c r="B592" s="7" t="s">
        <v>41</v>
      </c>
      <c r="C592" s="7" t="s">
        <v>11</v>
      </c>
      <c r="D592" s="8">
        <v>41900</v>
      </c>
      <c r="E592" s="8">
        <v>41902</v>
      </c>
      <c r="F592" s="9">
        <v>434.4</v>
      </c>
      <c r="G592">
        <f t="shared" si="36"/>
        <v>3</v>
      </c>
      <c r="H592">
        <f t="shared" si="37"/>
        <v>78</v>
      </c>
      <c r="I592">
        <f t="shared" si="38"/>
        <v>2</v>
      </c>
      <c r="J592">
        <f t="shared" si="39"/>
        <v>2</v>
      </c>
    </row>
    <row r="593" spans="1:10" x14ac:dyDescent="0.25">
      <c r="A593" s="10" t="s">
        <v>12</v>
      </c>
      <c r="B593" s="11" t="s">
        <v>13</v>
      </c>
      <c r="C593" s="11" t="s">
        <v>8</v>
      </c>
      <c r="D593" s="12">
        <v>41901</v>
      </c>
      <c r="E593" s="12">
        <v>41901</v>
      </c>
      <c r="F593" s="13">
        <v>680</v>
      </c>
      <c r="G593">
        <f t="shared" si="36"/>
        <v>1</v>
      </c>
      <c r="H593">
        <f t="shared" si="37"/>
        <v>30</v>
      </c>
      <c r="I593">
        <f t="shared" si="38"/>
        <v>0</v>
      </c>
      <c r="J593" t="str">
        <f t="shared" si="39"/>
        <v/>
      </c>
    </row>
    <row r="594" spans="1:10" x14ac:dyDescent="0.25">
      <c r="A594" s="6" t="s">
        <v>82</v>
      </c>
      <c r="B594" s="7" t="s">
        <v>125</v>
      </c>
      <c r="C594" s="7" t="s">
        <v>17</v>
      </c>
      <c r="D594" s="8">
        <v>41902</v>
      </c>
      <c r="E594" s="8">
        <v>41902</v>
      </c>
      <c r="F594" s="9">
        <v>501.5</v>
      </c>
      <c r="G594">
        <f t="shared" si="36"/>
        <v>1</v>
      </c>
      <c r="H594">
        <f t="shared" si="37"/>
        <v>30</v>
      </c>
      <c r="I594">
        <f t="shared" si="38"/>
        <v>0</v>
      </c>
      <c r="J594" t="str">
        <f t="shared" si="39"/>
        <v/>
      </c>
    </row>
    <row r="595" spans="1:10" x14ac:dyDescent="0.25">
      <c r="A595" s="10" t="s">
        <v>15</v>
      </c>
      <c r="B595" s="11" t="s">
        <v>44</v>
      </c>
      <c r="C595" s="11" t="s">
        <v>38</v>
      </c>
      <c r="D595" s="12">
        <v>41904</v>
      </c>
      <c r="E595" s="12">
        <v>41904</v>
      </c>
      <c r="F595" s="13">
        <v>278.8</v>
      </c>
      <c r="G595">
        <f t="shared" si="36"/>
        <v>1</v>
      </c>
      <c r="H595">
        <f t="shared" si="37"/>
        <v>30</v>
      </c>
      <c r="I595">
        <f t="shared" si="38"/>
        <v>0</v>
      </c>
      <c r="J595" t="str">
        <f t="shared" si="39"/>
        <v/>
      </c>
    </row>
    <row r="596" spans="1:10" x14ac:dyDescent="0.25">
      <c r="A596" s="6" t="s">
        <v>22</v>
      </c>
      <c r="B596" s="7" t="s">
        <v>23</v>
      </c>
      <c r="C596" s="7" t="s">
        <v>59</v>
      </c>
      <c r="D596" s="8">
        <v>41905</v>
      </c>
      <c r="E596" s="8">
        <v>41909</v>
      </c>
      <c r="F596" s="9">
        <v>1078</v>
      </c>
      <c r="G596">
        <f t="shared" si="36"/>
        <v>5</v>
      </c>
      <c r="H596">
        <f t="shared" si="37"/>
        <v>126</v>
      </c>
      <c r="I596">
        <f t="shared" si="38"/>
        <v>4</v>
      </c>
      <c r="J596">
        <f t="shared" si="39"/>
        <v>4</v>
      </c>
    </row>
    <row r="597" spans="1:10" x14ac:dyDescent="0.25">
      <c r="A597" s="10" t="s">
        <v>93</v>
      </c>
      <c r="B597" s="11" t="s">
        <v>124</v>
      </c>
      <c r="C597" s="11" t="s">
        <v>24</v>
      </c>
      <c r="D597" s="12">
        <v>41905</v>
      </c>
      <c r="E597" s="12">
        <v>41909</v>
      </c>
      <c r="F597" s="13">
        <v>886.7</v>
      </c>
      <c r="G597">
        <f t="shared" si="36"/>
        <v>5</v>
      </c>
      <c r="H597">
        <f t="shared" si="37"/>
        <v>126</v>
      </c>
      <c r="I597">
        <f t="shared" si="38"/>
        <v>4</v>
      </c>
      <c r="J597">
        <f t="shared" si="39"/>
        <v>4</v>
      </c>
    </row>
    <row r="598" spans="1:10" x14ac:dyDescent="0.25">
      <c r="A598" s="6" t="s">
        <v>52</v>
      </c>
      <c r="B598" s="7" t="s">
        <v>53</v>
      </c>
      <c r="C598" s="7" t="s">
        <v>19</v>
      </c>
      <c r="D598" s="8">
        <v>41905</v>
      </c>
      <c r="E598" s="8">
        <v>41905</v>
      </c>
      <c r="F598" s="9">
        <v>513.4</v>
      </c>
      <c r="G598">
        <f t="shared" si="36"/>
        <v>1</v>
      </c>
      <c r="H598">
        <f t="shared" si="37"/>
        <v>30</v>
      </c>
      <c r="I598">
        <f t="shared" si="38"/>
        <v>0</v>
      </c>
      <c r="J598" t="str">
        <f t="shared" si="39"/>
        <v/>
      </c>
    </row>
    <row r="599" spans="1:10" x14ac:dyDescent="0.25">
      <c r="A599" s="10" t="s">
        <v>107</v>
      </c>
      <c r="B599" s="11" t="s">
        <v>108</v>
      </c>
      <c r="C599" s="11" t="s">
        <v>17</v>
      </c>
      <c r="D599" s="12">
        <v>41905</v>
      </c>
      <c r="E599" s="12">
        <v>41907</v>
      </c>
      <c r="F599" s="13">
        <v>911.5</v>
      </c>
      <c r="G599">
        <f t="shared" si="36"/>
        <v>3</v>
      </c>
      <c r="H599">
        <f t="shared" si="37"/>
        <v>78</v>
      </c>
      <c r="I599">
        <f t="shared" si="38"/>
        <v>2</v>
      </c>
      <c r="J599">
        <f t="shared" si="39"/>
        <v>2</v>
      </c>
    </row>
    <row r="600" spans="1:10" x14ac:dyDescent="0.25">
      <c r="A600" s="6" t="s">
        <v>9</v>
      </c>
      <c r="B600" s="7" t="s">
        <v>18</v>
      </c>
      <c r="C600" s="7" t="s">
        <v>19</v>
      </c>
      <c r="D600" s="8">
        <v>41905</v>
      </c>
      <c r="E600" s="8">
        <v>41908</v>
      </c>
      <c r="F600" s="9">
        <v>936.4</v>
      </c>
      <c r="G600">
        <f t="shared" si="36"/>
        <v>4</v>
      </c>
      <c r="H600">
        <f t="shared" si="37"/>
        <v>102</v>
      </c>
      <c r="I600">
        <f t="shared" si="38"/>
        <v>3</v>
      </c>
      <c r="J600">
        <f t="shared" si="39"/>
        <v>3</v>
      </c>
    </row>
    <row r="601" spans="1:10" x14ac:dyDescent="0.25">
      <c r="A601" s="10" t="s">
        <v>20</v>
      </c>
      <c r="B601" s="11" t="s">
        <v>21</v>
      </c>
      <c r="C601" s="11" t="s">
        <v>17</v>
      </c>
      <c r="D601" s="12">
        <v>41905</v>
      </c>
      <c r="E601" s="12">
        <v>41905</v>
      </c>
      <c r="F601" s="13">
        <v>501.5</v>
      </c>
      <c r="G601">
        <f t="shared" si="36"/>
        <v>1</v>
      </c>
      <c r="H601">
        <f t="shared" si="37"/>
        <v>30</v>
      </c>
      <c r="I601">
        <f t="shared" si="38"/>
        <v>0</v>
      </c>
      <c r="J601" t="str">
        <f t="shared" si="39"/>
        <v/>
      </c>
    </row>
    <row r="602" spans="1:10" x14ac:dyDescent="0.25">
      <c r="A602" s="6" t="s">
        <v>15</v>
      </c>
      <c r="B602" s="7" t="s">
        <v>16</v>
      </c>
      <c r="C602" s="7" t="s">
        <v>8</v>
      </c>
      <c r="D602" s="8">
        <v>41906</v>
      </c>
      <c r="E602" s="8">
        <v>41908</v>
      </c>
      <c r="F602" s="9">
        <v>1102</v>
      </c>
      <c r="G602">
        <f t="shared" si="36"/>
        <v>3</v>
      </c>
      <c r="H602">
        <f t="shared" si="37"/>
        <v>78</v>
      </c>
      <c r="I602">
        <f t="shared" si="38"/>
        <v>2</v>
      </c>
      <c r="J602">
        <f t="shared" si="39"/>
        <v>2</v>
      </c>
    </row>
    <row r="603" spans="1:10" x14ac:dyDescent="0.25">
      <c r="A603" s="10" t="s">
        <v>52</v>
      </c>
      <c r="B603" s="11" t="s">
        <v>53</v>
      </c>
      <c r="C603" s="11" t="s">
        <v>24</v>
      </c>
      <c r="D603" s="12">
        <v>41908</v>
      </c>
      <c r="E603" s="12">
        <v>41908</v>
      </c>
      <c r="F603" s="13">
        <v>290.7</v>
      </c>
      <c r="G603">
        <f t="shared" si="36"/>
        <v>1</v>
      </c>
      <c r="H603">
        <f t="shared" si="37"/>
        <v>30</v>
      </c>
      <c r="I603">
        <f t="shared" si="38"/>
        <v>0</v>
      </c>
      <c r="J603" t="str">
        <f t="shared" si="39"/>
        <v/>
      </c>
    </row>
    <row r="604" spans="1:10" x14ac:dyDescent="0.25">
      <c r="A604" s="6" t="s">
        <v>48</v>
      </c>
      <c r="B604" s="7" t="s">
        <v>49</v>
      </c>
      <c r="C604" s="7" t="s">
        <v>14</v>
      </c>
      <c r="D604" s="8">
        <v>41910</v>
      </c>
      <c r="E604" s="8">
        <v>41910</v>
      </c>
      <c r="F604" s="9">
        <v>178.5</v>
      </c>
      <c r="G604">
        <f t="shared" si="36"/>
        <v>1</v>
      </c>
      <c r="H604">
        <f t="shared" si="37"/>
        <v>30</v>
      </c>
      <c r="I604">
        <f t="shared" si="38"/>
        <v>0</v>
      </c>
      <c r="J604" t="str">
        <f t="shared" si="39"/>
        <v/>
      </c>
    </row>
    <row r="605" spans="1:10" x14ac:dyDescent="0.25">
      <c r="A605" s="10" t="s">
        <v>6</v>
      </c>
      <c r="B605" s="11" t="s">
        <v>139</v>
      </c>
      <c r="C605" s="11" t="s">
        <v>8</v>
      </c>
      <c r="D605" s="12">
        <v>41910</v>
      </c>
      <c r="E605" s="12">
        <v>41912</v>
      </c>
      <c r="F605" s="13">
        <v>1102</v>
      </c>
      <c r="G605">
        <f t="shared" si="36"/>
        <v>3</v>
      </c>
      <c r="H605">
        <f t="shared" si="37"/>
        <v>78</v>
      </c>
      <c r="I605">
        <f t="shared" si="38"/>
        <v>2</v>
      </c>
      <c r="J605">
        <f t="shared" si="39"/>
        <v>2</v>
      </c>
    </row>
    <row r="606" spans="1:10" x14ac:dyDescent="0.25">
      <c r="A606" s="6" t="s">
        <v>57</v>
      </c>
      <c r="B606" s="7" t="s">
        <v>163</v>
      </c>
      <c r="C606" s="7" t="s">
        <v>24</v>
      </c>
      <c r="D606" s="8">
        <v>41910</v>
      </c>
      <c r="E606" s="8">
        <v>41914</v>
      </c>
      <c r="F606" s="9">
        <v>886.7</v>
      </c>
      <c r="G606">
        <f t="shared" si="36"/>
        <v>5</v>
      </c>
      <c r="H606">
        <f t="shared" si="37"/>
        <v>126</v>
      </c>
      <c r="I606">
        <f t="shared" si="38"/>
        <v>4</v>
      </c>
      <c r="J606">
        <f t="shared" si="39"/>
        <v>4</v>
      </c>
    </row>
    <row r="607" spans="1:10" x14ac:dyDescent="0.25">
      <c r="A607" s="10" t="s">
        <v>131</v>
      </c>
      <c r="B607" s="11" t="s">
        <v>142</v>
      </c>
      <c r="C607" s="11" t="s">
        <v>17</v>
      </c>
      <c r="D607" s="12">
        <v>41910</v>
      </c>
      <c r="E607" s="12">
        <v>41914</v>
      </c>
      <c r="F607" s="13">
        <v>1321.5</v>
      </c>
      <c r="G607">
        <f t="shared" si="36"/>
        <v>5</v>
      </c>
      <c r="H607">
        <f t="shared" si="37"/>
        <v>126</v>
      </c>
      <c r="I607">
        <f t="shared" si="38"/>
        <v>4</v>
      </c>
      <c r="J607">
        <f t="shared" si="39"/>
        <v>4</v>
      </c>
    </row>
    <row r="608" spans="1:10" x14ac:dyDescent="0.25">
      <c r="A608" s="6" t="s">
        <v>82</v>
      </c>
      <c r="B608" s="7" t="s">
        <v>83</v>
      </c>
      <c r="C608" s="7" t="s">
        <v>8</v>
      </c>
      <c r="D608" s="8">
        <v>41910</v>
      </c>
      <c r="E608" s="8">
        <v>41911</v>
      </c>
      <c r="F608" s="9">
        <v>891</v>
      </c>
      <c r="G608">
        <f t="shared" si="36"/>
        <v>2</v>
      </c>
      <c r="H608">
        <f t="shared" si="37"/>
        <v>54</v>
      </c>
      <c r="I608">
        <f t="shared" si="38"/>
        <v>1</v>
      </c>
      <c r="J608">
        <f t="shared" si="39"/>
        <v>1</v>
      </c>
    </row>
    <row r="609" spans="1:10" x14ac:dyDescent="0.25">
      <c r="A609" s="10" t="s">
        <v>84</v>
      </c>
      <c r="B609" s="11" t="s">
        <v>85</v>
      </c>
      <c r="C609" s="11" t="s">
        <v>30</v>
      </c>
      <c r="D609" s="12">
        <v>41910</v>
      </c>
      <c r="E609" s="12">
        <v>41911</v>
      </c>
      <c r="F609" s="13">
        <v>331.5</v>
      </c>
      <c r="G609">
        <f t="shared" si="36"/>
        <v>2</v>
      </c>
      <c r="H609">
        <f t="shared" si="37"/>
        <v>54</v>
      </c>
      <c r="I609">
        <f t="shared" si="38"/>
        <v>1</v>
      </c>
      <c r="J609">
        <f t="shared" si="39"/>
        <v>1</v>
      </c>
    </row>
    <row r="610" spans="1:10" x14ac:dyDescent="0.25">
      <c r="A610" s="6" t="s">
        <v>82</v>
      </c>
      <c r="B610" s="7" t="s">
        <v>125</v>
      </c>
      <c r="C610" s="7" t="s">
        <v>30</v>
      </c>
      <c r="D610" s="8">
        <v>41910</v>
      </c>
      <c r="E610" s="8">
        <v>41912</v>
      </c>
      <c r="F610" s="9">
        <v>450.5</v>
      </c>
      <c r="G610">
        <f t="shared" si="36"/>
        <v>3</v>
      </c>
      <c r="H610">
        <f t="shared" si="37"/>
        <v>78</v>
      </c>
      <c r="I610">
        <f t="shared" si="38"/>
        <v>2</v>
      </c>
      <c r="J610">
        <f t="shared" si="39"/>
        <v>2</v>
      </c>
    </row>
    <row r="611" spans="1:10" x14ac:dyDescent="0.25">
      <c r="A611" s="10" t="s">
        <v>134</v>
      </c>
      <c r="B611" s="11" t="s">
        <v>135</v>
      </c>
      <c r="C611" s="11" t="s">
        <v>38</v>
      </c>
      <c r="D611" s="12">
        <v>41910</v>
      </c>
      <c r="E611" s="12">
        <v>41911</v>
      </c>
      <c r="F611" s="13">
        <v>407.8</v>
      </c>
      <c r="G611">
        <f t="shared" si="36"/>
        <v>2</v>
      </c>
      <c r="H611">
        <f t="shared" si="37"/>
        <v>54</v>
      </c>
      <c r="I611">
        <f t="shared" si="38"/>
        <v>1</v>
      </c>
      <c r="J611">
        <f t="shared" si="39"/>
        <v>1</v>
      </c>
    </row>
    <row r="612" spans="1:10" x14ac:dyDescent="0.25">
      <c r="A612" s="6" t="s">
        <v>9</v>
      </c>
      <c r="B612" s="7" t="s">
        <v>18</v>
      </c>
      <c r="C612" s="7" t="s">
        <v>66</v>
      </c>
      <c r="D612" s="8">
        <v>41910</v>
      </c>
      <c r="E612" s="8">
        <v>41913</v>
      </c>
      <c r="F612" s="9">
        <v>841.7</v>
      </c>
      <c r="G612">
        <f t="shared" si="36"/>
        <v>4</v>
      </c>
      <c r="H612">
        <f t="shared" si="37"/>
        <v>102</v>
      </c>
      <c r="I612">
        <f t="shared" si="38"/>
        <v>3</v>
      </c>
      <c r="J612">
        <f t="shared" si="39"/>
        <v>3</v>
      </c>
    </row>
    <row r="613" spans="1:10" x14ac:dyDescent="0.25">
      <c r="A613" s="10" t="s">
        <v>54</v>
      </c>
      <c r="B613" s="11" t="s">
        <v>118</v>
      </c>
      <c r="C613" s="11" t="s">
        <v>30</v>
      </c>
      <c r="D613" s="12">
        <v>41910</v>
      </c>
      <c r="E613" s="12">
        <v>41912</v>
      </c>
      <c r="F613" s="13">
        <v>450.5</v>
      </c>
      <c r="G613">
        <f t="shared" si="36"/>
        <v>3</v>
      </c>
      <c r="H613">
        <f t="shared" si="37"/>
        <v>78</v>
      </c>
      <c r="I613">
        <f t="shared" si="38"/>
        <v>2</v>
      </c>
      <c r="J613">
        <f t="shared" si="39"/>
        <v>2</v>
      </c>
    </row>
    <row r="614" spans="1:10" x14ac:dyDescent="0.25">
      <c r="A614" s="6" t="s">
        <v>22</v>
      </c>
      <c r="B614" s="7" t="s">
        <v>23</v>
      </c>
      <c r="C614" s="7" t="s">
        <v>24</v>
      </c>
      <c r="D614" s="8">
        <v>41911</v>
      </c>
      <c r="E614" s="8">
        <v>41915</v>
      </c>
      <c r="F614" s="9">
        <v>886.7</v>
      </c>
      <c r="G614">
        <f t="shared" si="36"/>
        <v>5</v>
      </c>
      <c r="H614">
        <f t="shared" si="37"/>
        <v>126</v>
      </c>
      <c r="I614">
        <f t="shared" si="38"/>
        <v>4</v>
      </c>
      <c r="J614">
        <f t="shared" si="39"/>
        <v>4</v>
      </c>
    </row>
    <row r="615" spans="1:10" x14ac:dyDescent="0.25">
      <c r="A615" s="10" t="s">
        <v>15</v>
      </c>
      <c r="B615" s="11" t="s">
        <v>44</v>
      </c>
      <c r="C615" s="11" t="s">
        <v>27</v>
      </c>
      <c r="D615" s="12">
        <v>41911</v>
      </c>
      <c r="E615" s="12">
        <v>41913</v>
      </c>
      <c r="F615" s="13">
        <v>698</v>
      </c>
      <c r="G615">
        <f t="shared" si="36"/>
        <v>3</v>
      </c>
      <c r="H615">
        <f t="shared" si="37"/>
        <v>78</v>
      </c>
      <c r="I615">
        <f t="shared" si="38"/>
        <v>2</v>
      </c>
      <c r="J615">
        <f t="shared" si="39"/>
        <v>2</v>
      </c>
    </row>
    <row r="616" spans="1:10" x14ac:dyDescent="0.25">
      <c r="A616" s="6" t="s">
        <v>6</v>
      </c>
      <c r="B616" s="7" t="s">
        <v>7</v>
      </c>
      <c r="C616" s="7" t="s">
        <v>19</v>
      </c>
      <c r="D616" s="8">
        <v>41911</v>
      </c>
      <c r="E616" s="8">
        <v>41913</v>
      </c>
      <c r="F616" s="9">
        <v>795.4</v>
      </c>
      <c r="G616">
        <f t="shared" si="36"/>
        <v>3</v>
      </c>
      <c r="H616">
        <f t="shared" si="37"/>
        <v>78</v>
      </c>
      <c r="I616">
        <f t="shared" si="38"/>
        <v>2</v>
      </c>
      <c r="J616">
        <f t="shared" si="39"/>
        <v>2</v>
      </c>
    </row>
    <row r="617" spans="1:10" x14ac:dyDescent="0.25">
      <c r="A617" s="10" t="s">
        <v>22</v>
      </c>
      <c r="B617" s="11" t="s">
        <v>172</v>
      </c>
      <c r="C617" s="11" t="s">
        <v>11</v>
      </c>
      <c r="D617" s="12">
        <v>41911</v>
      </c>
      <c r="E617" s="12">
        <v>41915</v>
      </c>
      <c r="F617" s="13">
        <v>712.4</v>
      </c>
      <c r="G617">
        <f t="shared" si="36"/>
        <v>5</v>
      </c>
      <c r="H617">
        <f t="shared" si="37"/>
        <v>126</v>
      </c>
      <c r="I617">
        <f t="shared" si="38"/>
        <v>4</v>
      </c>
      <c r="J617">
        <f t="shared" si="39"/>
        <v>4</v>
      </c>
    </row>
    <row r="618" spans="1:10" x14ac:dyDescent="0.25">
      <c r="A618" s="6" t="s">
        <v>25</v>
      </c>
      <c r="B618" s="7" t="s">
        <v>67</v>
      </c>
      <c r="C618" s="7" t="s">
        <v>66</v>
      </c>
      <c r="D618" s="8">
        <v>41911</v>
      </c>
      <c r="E618" s="8">
        <v>41912</v>
      </c>
      <c r="F618" s="9">
        <v>485.7</v>
      </c>
      <c r="G618">
        <f t="shared" si="36"/>
        <v>2</v>
      </c>
      <c r="H618">
        <f t="shared" si="37"/>
        <v>54</v>
      </c>
      <c r="I618">
        <f t="shared" si="38"/>
        <v>1</v>
      </c>
      <c r="J618">
        <f t="shared" si="39"/>
        <v>1</v>
      </c>
    </row>
    <row r="619" spans="1:10" x14ac:dyDescent="0.25">
      <c r="A619" s="10" t="s">
        <v>61</v>
      </c>
      <c r="B619" s="11" t="s">
        <v>62</v>
      </c>
      <c r="C619" s="11" t="s">
        <v>47</v>
      </c>
      <c r="D619" s="12">
        <v>41911</v>
      </c>
      <c r="E619" s="12">
        <v>41913</v>
      </c>
      <c r="F619" s="13">
        <v>689.8</v>
      </c>
      <c r="G619">
        <f t="shared" si="36"/>
        <v>3</v>
      </c>
      <c r="H619">
        <f t="shared" si="37"/>
        <v>78</v>
      </c>
      <c r="I619">
        <f t="shared" si="38"/>
        <v>2</v>
      </c>
      <c r="J619">
        <f t="shared" si="39"/>
        <v>2</v>
      </c>
    </row>
    <row r="620" spans="1:10" x14ac:dyDescent="0.25">
      <c r="A620" s="6" t="s">
        <v>170</v>
      </c>
      <c r="B620" s="7" t="s">
        <v>171</v>
      </c>
      <c r="C620" s="7" t="s">
        <v>38</v>
      </c>
      <c r="D620" s="8">
        <v>41911</v>
      </c>
      <c r="E620" s="8">
        <v>41913</v>
      </c>
      <c r="F620" s="9">
        <v>536.79999999999995</v>
      </c>
      <c r="G620">
        <f t="shared" si="36"/>
        <v>3</v>
      </c>
      <c r="H620">
        <f t="shared" si="37"/>
        <v>78</v>
      </c>
      <c r="I620">
        <f t="shared" si="38"/>
        <v>2</v>
      </c>
      <c r="J620">
        <f t="shared" si="39"/>
        <v>2</v>
      </c>
    </row>
    <row r="621" spans="1:10" x14ac:dyDescent="0.25">
      <c r="A621" s="10" t="s">
        <v>126</v>
      </c>
      <c r="B621" s="11" t="s">
        <v>127</v>
      </c>
      <c r="C621" s="11" t="s">
        <v>47</v>
      </c>
      <c r="D621" s="12">
        <v>41911</v>
      </c>
      <c r="E621" s="12">
        <v>41913</v>
      </c>
      <c r="F621" s="13">
        <v>689.8</v>
      </c>
      <c r="G621">
        <f t="shared" si="36"/>
        <v>3</v>
      </c>
      <c r="H621">
        <f t="shared" si="37"/>
        <v>78</v>
      </c>
      <c r="I621">
        <f t="shared" si="38"/>
        <v>2</v>
      </c>
      <c r="J621">
        <f t="shared" si="39"/>
        <v>2</v>
      </c>
    </row>
    <row r="622" spans="1:10" x14ac:dyDescent="0.25">
      <c r="A622" s="6" t="s">
        <v>9</v>
      </c>
      <c r="B622" s="7" t="s">
        <v>103</v>
      </c>
      <c r="C622" s="7" t="s">
        <v>38</v>
      </c>
      <c r="D622" s="8">
        <v>41911</v>
      </c>
      <c r="E622" s="8">
        <v>41911</v>
      </c>
      <c r="F622" s="9">
        <v>278.8</v>
      </c>
      <c r="G622">
        <f t="shared" si="36"/>
        <v>1</v>
      </c>
      <c r="H622">
        <f t="shared" si="37"/>
        <v>30</v>
      </c>
      <c r="I622">
        <f t="shared" si="38"/>
        <v>0</v>
      </c>
      <c r="J622" t="str">
        <f t="shared" si="39"/>
        <v/>
      </c>
    </row>
    <row r="623" spans="1:10" x14ac:dyDescent="0.25">
      <c r="A623" s="10" t="s">
        <v>86</v>
      </c>
      <c r="B623" s="11" t="s">
        <v>87</v>
      </c>
      <c r="C623" s="11" t="s">
        <v>24</v>
      </c>
      <c r="D623" s="12">
        <v>41911</v>
      </c>
      <c r="E623" s="12">
        <v>41912</v>
      </c>
      <c r="F623" s="13">
        <v>439.7</v>
      </c>
      <c r="G623">
        <f t="shared" si="36"/>
        <v>2</v>
      </c>
      <c r="H623">
        <f t="shared" si="37"/>
        <v>54</v>
      </c>
      <c r="I623">
        <f t="shared" si="38"/>
        <v>1</v>
      </c>
      <c r="J623">
        <f t="shared" si="39"/>
        <v>1</v>
      </c>
    </row>
    <row r="624" spans="1:10" x14ac:dyDescent="0.25">
      <c r="A624" s="6" t="s">
        <v>12</v>
      </c>
      <c r="B624" s="7" t="s">
        <v>13</v>
      </c>
      <c r="C624" s="7" t="s">
        <v>17</v>
      </c>
      <c r="D624" s="8">
        <v>41911</v>
      </c>
      <c r="E624" s="8">
        <v>41912</v>
      </c>
      <c r="F624" s="9">
        <v>706.5</v>
      </c>
      <c r="G624">
        <f t="shared" si="36"/>
        <v>2</v>
      </c>
      <c r="H624">
        <f t="shared" si="37"/>
        <v>54</v>
      </c>
      <c r="I624">
        <f t="shared" si="38"/>
        <v>1</v>
      </c>
      <c r="J624">
        <f t="shared" si="39"/>
        <v>1</v>
      </c>
    </row>
    <row r="625" spans="1:10" x14ac:dyDescent="0.25">
      <c r="A625" s="10" t="s">
        <v>42</v>
      </c>
      <c r="B625" s="11" t="s">
        <v>43</v>
      </c>
      <c r="C625" s="11" t="s">
        <v>24</v>
      </c>
      <c r="D625" s="12">
        <v>41911</v>
      </c>
      <c r="E625" s="12">
        <v>41913</v>
      </c>
      <c r="F625" s="13">
        <v>588.70000000000005</v>
      </c>
      <c r="G625">
        <f t="shared" si="36"/>
        <v>3</v>
      </c>
      <c r="H625">
        <f t="shared" si="37"/>
        <v>78</v>
      </c>
      <c r="I625">
        <f t="shared" si="38"/>
        <v>2</v>
      </c>
      <c r="J625">
        <f t="shared" si="39"/>
        <v>2</v>
      </c>
    </row>
    <row r="626" spans="1:10" x14ac:dyDescent="0.25">
      <c r="A626" s="6" t="s">
        <v>166</v>
      </c>
      <c r="B626" s="7" t="s">
        <v>167</v>
      </c>
      <c r="C626" s="7" t="s">
        <v>47</v>
      </c>
      <c r="D626" s="8">
        <v>41911</v>
      </c>
      <c r="E626" s="8">
        <v>41915</v>
      </c>
      <c r="F626" s="9">
        <v>1015.8</v>
      </c>
      <c r="G626">
        <f t="shared" si="36"/>
        <v>5</v>
      </c>
      <c r="H626">
        <f t="shared" si="37"/>
        <v>126</v>
      </c>
      <c r="I626">
        <f t="shared" si="38"/>
        <v>4</v>
      </c>
      <c r="J626">
        <f t="shared" si="39"/>
        <v>4</v>
      </c>
    </row>
    <row r="627" spans="1:10" x14ac:dyDescent="0.25">
      <c r="A627" s="10" t="s">
        <v>134</v>
      </c>
      <c r="B627" s="11" t="s">
        <v>149</v>
      </c>
      <c r="C627" s="11" t="s">
        <v>27</v>
      </c>
      <c r="D627" s="12">
        <v>41911</v>
      </c>
      <c r="E627" s="12">
        <v>41913</v>
      </c>
      <c r="F627" s="13">
        <v>698</v>
      </c>
      <c r="G627">
        <f t="shared" si="36"/>
        <v>3</v>
      </c>
      <c r="H627">
        <f t="shared" si="37"/>
        <v>78</v>
      </c>
      <c r="I627">
        <f t="shared" si="38"/>
        <v>2</v>
      </c>
      <c r="J627">
        <f t="shared" si="39"/>
        <v>2</v>
      </c>
    </row>
    <row r="628" spans="1:10" x14ac:dyDescent="0.25">
      <c r="A628" s="6" t="s">
        <v>111</v>
      </c>
      <c r="B628" s="7" t="s">
        <v>112</v>
      </c>
      <c r="C628" s="7" t="s">
        <v>47</v>
      </c>
      <c r="D628" s="8">
        <v>41911</v>
      </c>
      <c r="E628" s="8">
        <v>41914</v>
      </c>
      <c r="F628" s="9">
        <v>852.8</v>
      </c>
      <c r="G628">
        <f t="shared" si="36"/>
        <v>4</v>
      </c>
      <c r="H628">
        <f t="shared" si="37"/>
        <v>102</v>
      </c>
      <c r="I628">
        <f t="shared" si="38"/>
        <v>3</v>
      </c>
      <c r="J628">
        <f t="shared" si="39"/>
        <v>3</v>
      </c>
    </row>
    <row r="629" spans="1:10" x14ac:dyDescent="0.25">
      <c r="A629" s="10" t="s">
        <v>20</v>
      </c>
      <c r="B629" s="11" t="s">
        <v>162</v>
      </c>
      <c r="C629" s="11" t="s">
        <v>30</v>
      </c>
      <c r="D629" s="12">
        <v>41911</v>
      </c>
      <c r="E629" s="12">
        <v>41914</v>
      </c>
      <c r="F629" s="13">
        <v>569.5</v>
      </c>
      <c r="G629">
        <f t="shared" si="36"/>
        <v>4</v>
      </c>
      <c r="H629">
        <f t="shared" si="37"/>
        <v>102</v>
      </c>
      <c r="I629">
        <f t="shared" si="38"/>
        <v>3</v>
      </c>
      <c r="J629">
        <f t="shared" si="39"/>
        <v>3</v>
      </c>
    </row>
    <row r="630" spans="1:10" x14ac:dyDescent="0.25">
      <c r="A630" s="6" t="s">
        <v>15</v>
      </c>
      <c r="B630" s="7" t="s">
        <v>63</v>
      </c>
      <c r="C630" s="7" t="s">
        <v>27</v>
      </c>
      <c r="D630" s="8">
        <v>41911</v>
      </c>
      <c r="E630" s="8">
        <v>41912</v>
      </c>
      <c r="F630" s="9">
        <v>570</v>
      </c>
      <c r="G630">
        <f t="shared" si="36"/>
        <v>2</v>
      </c>
      <c r="H630">
        <f t="shared" si="37"/>
        <v>54</v>
      </c>
      <c r="I630">
        <f t="shared" si="38"/>
        <v>1</v>
      </c>
      <c r="J630">
        <f t="shared" si="39"/>
        <v>1</v>
      </c>
    </row>
    <row r="631" spans="1:10" x14ac:dyDescent="0.25">
      <c r="A631" s="10" t="s">
        <v>91</v>
      </c>
      <c r="B631" s="11" t="s">
        <v>92</v>
      </c>
      <c r="C631" s="11" t="s">
        <v>66</v>
      </c>
      <c r="D631" s="12">
        <v>41911</v>
      </c>
      <c r="E631" s="12">
        <v>41915</v>
      </c>
      <c r="F631" s="13">
        <v>1019.7</v>
      </c>
      <c r="G631">
        <f t="shared" si="36"/>
        <v>5</v>
      </c>
      <c r="H631">
        <f t="shared" si="37"/>
        <v>126</v>
      </c>
      <c r="I631">
        <f t="shared" si="38"/>
        <v>4</v>
      </c>
      <c r="J631">
        <f t="shared" si="39"/>
        <v>4</v>
      </c>
    </row>
    <row r="632" spans="1:10" x14ac:dyDescent="0.25">
      <c r="A632" s="6" t="s">
        <v>131</v>
      </c>
      <c r="B632" s="7" t="s">
        <v>132</v>
      </c>
      <c r="C632" s="7" t="s">
        <v>59</v>
      </c>
      <c r="D632" s="8">
        <v>41911</v>
      </c>
      <c r="E632" s="8">
        <v>41911</v>
      </c>
      <c r="F632" s="9">
        <v>442</v>
      </c>
      <c r="G632">
        <f t="shared" si="36"/>
        <v>1</v>
      </c>
      <c r="H632">
        <f t="shared" si="37"/>
        <v>30</v>
      </c>
      <c r="I632">
        <f t="shared" si="38"/>
        <v>0</v>
      </c>
      <c r="J632" t="str">
        <f t="shared" si="39"/>
        <v/>
      </c>
    </row>
    <row r="633" spans="1:10" x14ac:dyDescent="0.25">
      <c r="A633" s="10" t="s">
        <v>50</v>
      </c>
      <c r="B633" s="11" t="s">
        <v>51</v>
      </c>
      <c r="C633" s="11" t="s">
        <v>30</v>
      </c>
      <c r="D633" s="12">
        <v>41912</v>
      </c>
      <c r="E633" s="12">
        <v>41912</v>
      </c>
      <c r="F633" s="13">
        <v>212.5</v>
      </c>
      <c r="G633">
        <f t="shared" si="36"/>
        <v>1</v>
      </c>
      <c r="H633">
        <f t="shared" si="37"/>
        <v>30</v>
      </c>
      <c r="I633">
        <f t="shared" si="38"/>
        <v>0</v>
      </c>
      <c r="J633" t="str">
        <f t="shared" si="39"/>
        <v/>
      </c>
    </row>
    <row r="634" spans="1:10" x14ac:dyDescent="0.25">
      <c r="A634" s="6" t="s">
        <v>82</v>
      </c>
      <c r="B634" s="7" t="s">
        <v>83</v>
      </c>
      <c r="C634" s="7" t="s">
        <v>27</v>
      </c>
      <c r="D634" s="8">
        <v>41913</v>
      </c>
      <c r="E634" s="8">
        <v>41913</v>
      </c>
      <c r="F634" s="9">
        <v>442</v>
      </c>
      <c r="G634">
        <f t="shared" si="36"/>
        <v>1</v>
      </c>
      <c r="H634">
        <f t="shared" si="37"/>
        <v>30</v>
      </c>
      <c r="I634">
        <f t="shared" si="38"/>
        <v>0</v>
      </c>
      <c r="J634" t="str">
        <f t="shared" si="39"/>
        <v/>
      </c>
    </row>
    <row r="635" spans="1:10" x14ac:dyDescent="0.25">
      <c r="A635" s="10" t="s">
        <v>84</v>
      </c>
      <c r="B635" s="11" t="s">
        <v>85</v>
      </c>
      <c r="C635" s="11" t="s">
        <v>59</v>
      </c>
      <c r="D635" s="12">
        <v>41913</v>
      </c>
      <c r="E635" s="12">
        <v>41913</v>
      </c>
      <c r="F635" s="13">
        <v>442</v>
      </c>
      <c r="G635">
        <f t="shared" si="36"/>
        <v>1</v>
      </c>
      <c r="H635">
        <f t="shared" si="37"/>
        <v>30</v>
      </c>
      <c r="I635">
        <f t="shared" si="38"/>
        <v>0</v>
      </c>
      <c r="J635" t="str">
        <f t="shared" si="39"/>
        <v/>
      </c>
    </row>
    <row r="636" spans="1:10" x14ac:dyDescent="0.25">
      <c r="A636" s="6" t="s">
        <v>143</v>
      </c>
      <c r="B636" s="7" t="s">
        <v>144</v>
      </c>
      <c r="C636" s="7" t="s">
        <v>66</v>
      </c>
      <c r="D636" s="8">
        <v>41914</v>
      </c>
      <c r="E636" s="8">
        <v>41914</v>
      </c>
      <c r="F636" s="9">
        <v>307.7</v>
      </c>
      <c r="G636">
        <f t="shared" si="36"/>
        <v>1</v>
      </c>
      <c r="H636">
        <f t="shared" si="37"/>
        <v>30</v>
      </c>
      <c r="I636">
        <f t="shared" si="38"/>
        <v>0</v>
      </c>
      <c r="J636" t="str">
        <f t="shared" si="39"/>
        <v/>
      </c>
    </row>
    <row r="637" spans="1:10" x14ac:dyDescent="0.25">
      <c r="A637" s="10" t="s">
        <v>113</v>
      </c>
      <c r="B637" s="11" t="s">
        <v>114</v>
      </c>
      <c r="C637" s="11" t="s">
        <v>24</v>
      </c>
      <c r="D637" s="12">
        <v>41914</v>
      </c>
      <c r="E637" s="12">
        <v>41915</v>
      </c>
      <c r="F637" s="13">
        <v>439.7</v>
      </c>
      <c r="G637">
        <f t="shared" si="36"/>
        <v>2</v>
      </c>
      <c r="H637">
        <f t="shared" si="37"/>
        <v>54</v>
      </c>
      <c r="I637">
        <f t="shared" si="38"/>
        <v>1</v>
      </c>
      <c r="J637">
        <f t="shared" si="39"/>
        <v>1</v>
      </c>
    </row>
    <row r="638" spans="1:10" x14ac:dyDescent="0.25">
      <c r="A638" s="6" t="s">
        <v>82</v>
      </c>
      <c r="B638" s="7" t="s">
        <v>125</v>
      </c>
      <c r="C638" s="7" t="s">
        <v>11</v>
      </c>
      <c r="D638" s="8">
        <v>41915</v>
      </c>
      <c r="E638" s="8">
        <v>41915</v>
      </c>
      <c r="F638" s="9">
        <v>156.4</v>
      </c>
      <c r="G638">
        <f t="shared" si="36"/>
        <v>1</v>
      </c>
      <c r="H638">
        <f t="shared" si="37"/>
        <v>30</v>
      </c>
      <c r="I638">
        <f t="shared" si="38"/>
        <v>0</v>
      </c>
      <c r="J638" t="str">
        <f t="shared" si="39"/>
        <v/>
      </c>
    </row>
    <row r="639" spans="1:10" x14ac:dyDescent="0.25">
      <c r="A639" s="10" t="s">
        <v>9</v>
      </c>
      <c r="B639" s="11" t="s">
        <v>103</v>
      </c>
      <c r="C639" s="11" t="s">
        <v>24</v>
      </c>
      <c r="D639" s="12">
        <v>41915</v>
      </c>
      <c r="E639" s="12">
        <v>41915</v>
      </c>
      <c r="F639" s="13">
        <v>290.7</v>
      </c>
      <c r="G639">
        <f t="shared" si="36"/>
        <v>1</v>
      </c>
      <c r="H639">
        <f t="shared" si="37"/>
        <v>30</v>
      </c>
      <c r="I639">
        <f t="shared" si="38"/>
        <v>0</v>
      </c>
      <c r="J639" t="str">
        <f t="shared" si="39"/>
        <v/>
      </c>
    </row>
    <row r="640" spans="1:10" x14ac:dyDescent="0.25">
      <c r="A640" s="6" t="s">
        <v>131</v>
      </c>
      <c r="B640" s="7" t="s">
        <v>132</v>
      </c>
      <c r="C640" s="7" t="s">
        <v>24</v>
      </c>
      <c r="D640" s="8">
        <v>41915</v>
      </c>
      <c r="E640" s="8">
        <v>41915</v>
      </c>
      <c r="F640" s="9">
        <v>290.7</v>
      </c>
      <c r="G640">
        <f t="shared" si="36"/>
        <v>1</v>
      </c>
      <c r="H640">
        <f t="shared" si="37"/>
        <v>30</v>
      </c>
      <c r="I640">
        <f t="shared" si="38"/>
        <v>0</v>
      </c>
      <c r="J640" t="str">
        <f t="shared" si="39"/>
        <v/>
      </c>
    </row>
    <row r="641" spans="1:10" x14ac:dyDescent="0.25">
      <c r="A641" s="10" t="s">
        <v>119</v>
      </c>
      <c r="B641" s="11" t="s">
        <v>120</v>
      </c>
      <c r="C641" s="11" t="s">
        <v>30</v>
      </c>
      <c r="D641" s="12">
        <v>41917</v>
      </c>
      <c r="E641" s="12">
        <v>41918</v>
      </c>
      <c r="F641" s="13">
        <v>331.5</v>
      </c>
      <c r="G641">
        <f t="shared" si="36"/>
        <v>2</v>
      </c>
      <c r="H641">
        <f t="shared" si="37"/>
        <v>54</v>
      </c>
      <c r="I641">
        <f t="shared" si="38"/>
        <v>1</v>
      </c>
      <c r="J641">
        <f t="shared" si="39"/>
        <v>1</v>
      </c>
    </row>
    <row r="642" spans="1:10" x14ac:dyDescent="0.25">
      <c r="A642" s="6" t="s">
        <v>137</v>
      </c>
      <c r="B642" s="7" t="s">
        <v>138</v>
      </c>
      <c r="C642" s="7" t="s">
        <v>8</v>
      </c>
      <c r="D642" s="8">
        <v>41917</v>
      </c>
      <c r="E642" s="8">
        <v>41918</v>
      </c>
      <c r="F642" s="9">
        <v>891</v>
      </c>
      <c r="G642">
        <f t="shared" si="36"/>
        <v>2</v>
      </c>
      <c r="H642">
        <f t="shared" si="37"/>
        <v>54</v>
      </c>
      <c r="I642">
        <f t="shared" si="38"/>
        <v>1</v>
      </c>
      <c r="J642">
        <f t="shared" si="39"/>
        <v>1</v>
      </c>
    </row>
    <row r="643" spans="1:10" x14ac:dyDescent="0.25">
      <c r="A643" s="10" t="s">
        <v>115</v>
      </c>
      <c r="B643" s="11" t="s">
        <v>116</v>
      </c>
      <c r="C643" s="11" t="s">
        <v>66</v>
      </c>
      <c r="D643" s="12">
        <v>41917</v>
      </c>
      <c r="E643" s="12">
        <v>41921</v>
      </c>
      <c r="F643" s="13">
        <v>1019.7</v>
      </c>
      <c r="G643">
        <f t="shared" ref="G643:G706" si="40">E643-D643 + 1</f>
        <v>5</v>
      </c>
      <c r="H643">
        <f t="shared" ref="H643:H706" si="41">30+(G643-1)*24</f>
        <v>126</v>
      </c>
      <c r="I643">
        <f t="shared" ref="I643:I706" si="42">G643-1</f>
        <v>4</v>
      </c>
      <c r="J643">
        <f t="shared" ref="J643:J706" si="43">IF(G643&gt;=2,I643,"")</f>
        <v>4</v>
      </c>
    </row>
    <row r="644" spans="1:10" x14ac:dyDescent="0.25">
      <c r="A644" s="6" t="s">
        <v>31</v>
      </c>
      <c r="B644" s="7" t="s">
        <v>32</v>
      </c>
      <c r="C644" s="7" t="s">
        <v>27</v>
      </c>
      <c r="D644" s="8">
        <v>41918</v>
      </c>
      <c r="E644" s="8">
        <v>41918</v>
      </c>
      <c r="F644" s="9">
        <v>442</v>
      </c>
      <c r="G644">
        <f t="shared" si="40"/>
        <v>1</v>
      </c>
      <c r="H644">
        <f t="shared" si="41"/>
        <v>30</v>
      </c>
      <c r="I644">
        <f t="shared" si="42"/>
        <v>0</v>
      </c>
      <c r="J644" t="str">
        <f t="shared" si="43"/>
        <v/>
      </c>
    </row>
    <row r="645" spans="1:10" x14ac:dyDescent="0.25">
      <c r="A645" s="10" t="s">
        <v>145</v>
      </c>
      <c r="B645" s="11" t="s">
        <v>146</v>
      </c>
      <c r="C645" s="11" t="s">
        <v>66</v>
      </c>
      <c r="D645" s="12">
        <v>41918</v>
      </c>
      <c r="E645" s="12">
        <v>41919</v>
      </c>
      <c r="F645" s="13">
        <v>485.7</v>
      </c>
      <c r="G645">
        <f t="shared" si="40"/>
        <v>2</v>
      </c>
      <c r="H645">
        <f t="shared" si="41"/>
        <v>54</v>
      </c>
      <c r="I645">
        <f t="shared" si="42"/>
        <v>1</v>
      </c>
      <c r="J645">
        <f t="shared" si="43"/>
        <v>1</v>
      </c>
    </row>
    <row r="646" spans="1:10" x14ac:dyDescent="0.25">
      <c r="A646" s="6" t="s">
        <v>75</v>
      </c>
      <c r="B646" s="7" t="s">
        <v>88</v>
      </c>
      <c r="C646" s="7" t="s">
        <v>59</v>
      </c>
      <c r="D646" s="8">
        <v>41918</v>
      </c>
      <c r="E646" s="8">
        <v>41925</v>
      </c>
      <c r="F646" s="9">
        <v>1555</v>
      </c>
      <c r="G646">
        <f t="shared" si="40"/>
        <v>8</v>
      </c>
      <c r="H646">
        <f t="shared" si="41"/>
        <v>198</v>
      </c>
      <c r="I646">
        <f t="shared" si="42"/>
        <v>7</v>
      </c>
      <c r="J646">
        <f t="shared" si="43"/>
        <v>7</v>
      </c>
    </row>
    <row r="647" spans="1:10" x14ac:dyDescent="0.25">
      <c r="A647" s="10" t="s">
        <v>107</v>
      </c>
      <c r="B647" s="11" t="s">
        <v>108</v>
      </c>
      <c r="C647" s="11" t="s">
        <v>38</v>
      </c>
      <c r="D647" s="12">
        <v>41918</v>
      </c>
      <c r="E647" s="12">
        <v>41920</v>
      </c>
      <c r="F647" s="13">
        <v>536.79999999999995</v>
      </c>
      <c r="G647">
        <f t="shared" si="40"/>
        <v>3</v>
      </c>
      <c r="H647">
        <f t="shared" si="41"/>
        <v>78</v>
      </c>
      <c r="I647">
        <f t="shared" si="42"/>
        <v>2</v>
      </c>
      <c r="J647">
        <f t="shared" si="43"/>
        <v>2</v>
      </c>
    </row>
    <row r="648" spans="1:10" x14ac:dyDescent="0.25">
      <c r="A648" s="6" t="s">
        <v>57</v>
      </c>
      <c r="B648" s="7" t="s">
        <v>58</v>
      </c>
      <c r="C648" s="7" t="s">
        <v>19</v>
      </c>
      <c r="D648" s="8">
        <v>41918</v>
      </c>
      <c r="E648" s="8">
        <v>41919</v>
      </c>
      <c r="F648" s="9">
        <v>654.4</v>
      </c>
      <c r="G648">
        <f t="shared" si="40"/>
        <v>2</v>
      </c>
      <c r="H648">
        <f t="shared" si="41"/>
        <v>54</v>
      </c>
      <c r="I648">
        <f t="shared" si="42"/>
        <v>1</v>
      </c>
      <c r="J648">
        <f t="shared" si="43"/>
        <v>1</v>
      </c>
    </row>
    <row r="649" spans="1:10" x14ac:dyDescent="0.25">
      <c r="A649" s="10" t="s">
        <v>82</v>
      </c>
      <c r="B649" s="11" t="s">
        <v>83</v>
      </c>
      <c r="C649" s="11" t="s">
        <v>72</v>
      </c>
      <c r="D649" s="12">
        <v>41922</v>
      </c>
      <c r="E649" s="12">
        <v>41924</v>
      </c>
      <c r="F649" s="13">
        <v>892.7</v>
      </c>
      <c r="G649">
        <f t="shared" si="40"/>
        <v>3</v>
      </c>
      <c r="H649">
        <f t="shared" si="41"/>
        <v>78</v>
      </c>
      <c r="I649">
        <f t="shared" si="42"/>
        <v>2</v>
      </c>
      <c r="J649">
        <f t="shared" si="43"/>
        <v>2</v>
      </c>
    </row>
    <row r="650" spans="1:10" x14ac:dyDescent="0.25">
      <c r="A650" s="6" t="s">
        <v>84</v>
      </c>
      <c r="B650" s="7" t="s">
        <v>85</v>
      </c>
      <c r="C650" s="7" t="s">
        <v>24</v>
      </c>
      <c r="D650" s="8">
        <v>41922</v>
      </c>
      <c r="E650" s="8">
        <v>41925</v>
      </c>
      <c r="F650" s="9">
        <v>737.7</v>
      </c>
      <c r="G650">
        <f t="shared" si="40"/>
        <v>4</v>
      </c>
      <c r="H650">
        <f t="shared" si="41"/>
        <v>102</v>
      </c>
      <c r="I650">
        <f t="shared" si="42"/>
        <v>3</v>
      </c>
      <c r="J650">
        <f t="shared" si="43"/>
        <v>3</v>
      </c>
    </row>
    <row r="651" spans="1:10" x14ac:dyDescent="0.25">
      <c r="A651" s="10" t="s">
        <v>50</v>
      </c>
      <c r="B651" s="11" t="s">
        <v>51</v>
      </c>
      <c r="C651" s="11" t="s">
        <v>27</v>
      </c>
      <c r="D651" s="12">
        <v>41922</v>
      </c>
      <c r="E651" s="12">
        <v>41922</v>
      </c>
      <c r="F651" s="13">
        <v>442</v>
      </c>
      <c r="G651">
        <f t="shared" si="40"/>
        <v>1</v>
      </c>
      <c r="H651">
        <f t="shared" si="41"/>
        <v>30</v>
      </c>
      <c r="I651">
        <f t="shared" si="42"/>
        <v>0</v>
      </c>
      <c r="J651" t="str">
        <f t="shared" si="43"/>
        <v/>
      </c>
    </row>
    <row r="652" spans="1:10" x14ac:dyDescent="0.25">
      <c r="A652" s="6" t="s">
        <v>170</v>
      </c>
      <c r="B652" s="7" t="s">
        <v>171</v>
      </c>
      <c r="C652" s="7" t="s">
        <v>59</v>
      </c>
      <c r="D652" s="8">
        <v>41922</v>
      </c>
      <c r="E652" s="8">
        <v>41926</v>
      </c>
      <c r="F652" s="9">
        <v>1078</v>
      </c>
      <c r="G652">
        <f t="shared" si="40"/>
        <v>5</v>
      </c>
      <c r="H652">
        <f t="shared" si="41"/>
        <v>126</v>
      </c>
      <c r="I652">
        <f t="shared" si="42"/>
        <v>4</v>
      </c>
      <c r="J652">
        <f t="shared" si="43"/>
        <v>4</v>
      </c>
    </row>
    <row r="653" spans="1:10" x14ac:dyDescent="0.25">
      <c r="A653" s="10" t="s">
        <v>168</v>
      </c>
      <c r="B653" s="11" t="s">
        <v>169</v>
      </c>
      <c r="C653" s="11" t="s">
        <v>17</v>
      </c>
      <c r="D653" s="12">
        <v>41922</v>
      </c>
      <c r="E653" s="12">
        <v>41922</v>
      </c>
      <c r="F653" s="13">
        <v>501.5</v>
      </c>
      <c r="G653">
        <f t="shared" si="40"/>
        <v>1</v>
      </c>
      <c r="H653">
        <f t="shared" si="41"/>
        <v>30</v>
      </c>
      <c r="I653">
        <f t="shared" si="42"/>
        <v>0</v>
      </c>
      <c r="J653" t="str">
        <f t="shared" si="43"/>
        <v/>
      </c>
    </row>
    <row r="654" spans="1:10" x14ac:dyDescent="0.25">
      <c r="A654" s="6" t="s">
        <v>115</v>
      </c>
      <c r="B654" s="7" t="s">
        <v>140</v>
      </c>
      <c r="C654" s="7" t="s">
        <v>11</v>
      </c>
      <c r="D654" s="8">
        <v>41922</v>
      </c>
      <c r="E654" s="8">
        <v>41922</v>
      </c>
      <c r="F654" s="9">
        <v>156.4</v>
      </c>
      <c r="G654">
        <f t="shared" si="40"/>
        <v>1</v>
      </c>
      <c r="H654">
        <f t="shared" si="41"/>
        <v>30</v>
      </c>
      <c r="I654">
        <f t="shared" si="42"/>
        <v>0</v>
      </c>
      <c r="J654" t="str">
        <f t="shared" si="43"/>
        <v/>
      </c>
    </row>
    <row r="655" spans="1:10" x14ac:dyDescent="0.25">
      <c r="A655" s="10" t="s">
        <v>33</v>
      </c>
      <c r="B655" s="11" t="s">
        <v>34</v>
      </c>
      <c r="C655" s="11" t="s">
        <v>17</v>
      </c>
      <c r="D655" s="12">
        <v>41922</v>
      </c>
      <c r="E655" s="12">
        <v>41922</v>
      </c>
      <c r="F655" s="13">
        <v>501.5</v>
      </c>
      <c r="G655">
        <f t="shared" si="40"/>
        <v>1</v>
      </c>
      <c r="H655">
        <f t="shared" si="41"/>
        <v>30</v>
      </c>
      <c r="I655">
        <f t="shared" si="42"/>
        <v>0</v>
      </c>
      <c r="J655" t="str">
        <f t="shared" si="43"/>
        <v/>
      </c>
    </row>
    <row r="656" spans="1:10" x14ac:dyDescent="0.25">
      <c r="A656" s="6" t="s">
        <v>33</v>
      </c>
      <c r="B656" s="7" t="s">
        <v>41</v>
      </c>
      <c r="C656" s="7" t="s">
        <v>11</v>
      </c>
      <c r="D656" s="8">
        <v>41922</v>
      </c>
      <c r="E656" s="8">
        <v>41925</v>
      </c>
      <c r="F656" s="9">
        <v>573.4</v>
      </c>
      <c r="G656">
        <f t="shared" si="40"/>
        <v>4</v>
      </c>
      <c r="H656">
        <f t="shared" si="41"/>
        <v>102</v>
      </c>
      <c r="I656">
        <f t="shared" si="42"/>
        <v>3</v>
      </c>
      <c r="J656">
        <f t="shared" si="43"/>
        <v>3</v>
      </c>
    </row>
    <row r="657" spans="1:10" x14ac:dyDescent="0.25">
      <c r="A657" s="10" t="s">
        <v>73</v>
      </c>
      <c r="B657" s="11" t="s">
        <v>104</v>
      </c>
      <c r="C657" s="11" t="s">
        <v>72</v>
      </c>
      <c r="D657" s="12">
        <v>41922</v>
      </c>
      <c r="E657" s="12">
        <v>41926</v>
      </c>
      <c r="F657" s="13">
        <v>1290.7</v>
      </c>
      <c r="G657">
        <f t="shared" si="40"/>
        <v>5</v>
      </c>
      <c r="H657">
        <f t="shared" si="41"/>
        <v>126</v>
      </c>
      <c r="I657">
        <f t="shared" si="42"/>
        <v>4</v>
      </c>
      <c r="J657">
        <f t="shared" si="43"/>
        <v>4</v>
      </c>
    </row>
    <row r="658" spans="1:10" x14ac:dyDescent="0.25">
      <c r="A658" s="6" t="s">
        <v>93</v>
      </c>
      <c r="B658" s="7" t="s">
        <v>106</v>
      </c>
      <c r="C658" s="7" t="s">
        <v>17</v>
      </c>
      <c r="D658" s="8">
        <v>41922</v>
      </c>
      <c r="E658" s="8">
        <v>41923</v>
      </c>
      <c r="F658" s="9">
        <v>706.5</v>
      </c>
      <c r="G658">
        <f t="shared" si="40"/>
        <v>2</v>
      </c>
      <c r="H658">
        <f t="shared" si="41"/>
        <v>54</v>
      </c>
      <c r="I658">
        <f t="shared" si="42"/>
        <v>1</v>
      </c>
      <c r="J658">
        <f t="shared" si="43"/>
        <v>1</v>
      </c>
    </row>
    <row r="659" spans="1:10" x14ac:dyDescent="0.25">
      <c r="A659" s="10" t="s">
        <v>54</v>
      </c>
      <c r="B659" s="11" t="s">
        <v>121</v>
      </c>
      <c r="C659" s="11" t="s">
        <v>27</v>
      </c>
      <c r="D659" s="12">
        <v>41922</v>
      </c>
      <c r="E659" s="12">
        <v>41925</v>
      </c>
      <c r="F659" s="13">
        <v>826</v>
      </c>
      <c r="G659">
        <f t="shared" si="40"/>
        <v>4</v>
      </c>
      <c r="H659">
        <f t="shared" si="41"/>
        <v>102</v>
      </c>
      <c r="I659">
        <f t="shared" si="42"/>
        <v>3</v>
      </c>
      <c r="J659">
        <f t="shared" si="43"/>
        <v>3</v>
      </c>
    </row>
    <row r="660" spans="1:10" x14ac:dyDescent="0.25">
      <c r="A660" s="6" t="s">
        <v>12</v>
      </c>
      <c r="B660" s="7" t="s">
        <v>13</v>
      </c>
      <c r="C660" s="7" t="s">
        <v>59</v>
      </c>
      <c r="D660" s="8">
        <v>41922</v>
      </c>
      <c r="E660" s="8">
        <v>41923</v>
      </c>
      <c r="F660" s="9">
        <v>601</v>
      </c>
      <c r="G660">
        <f t="shared" si="40"/>
        <v>2</v>
      </c>
      <c r="H660">
        <f t="shared" si="41"/>
        <v>54</v>
      </c>
      <c r="I660">
        <f t="shared" si="42"/>
        <v>1</v>
      </c>
      <c r="J660">
        <f t="shared" si="43"/>
        <v>1</v>
      </c>
    </row>
    <row r="661" spans="1:10" x14ac:dyDescent="0.25">
      <c r="A661" s="10" t="s">
        <v>15</v>
      </c>
      <c r="B661" s="11" t="s">
        <v>16</v>
      </c>
      <c r="C661" s="11" t="s">
        <v>38</v>
      </c>
      <c r="D661" s="12">
        <v>41922</v>
      </c>
      <c r="E661" s="12">
        <v>41926</v>
      </c>
      <c r="F661" s="13">
        <v>794.8</v>
      </c>
      <c r="G661">
        <f t="shared" si="40"/>
        <v>5</v>
      </c>
      <c r="H661">
        <f t="shared" si="41"/>
        <v>126</v>
      </c>
      <c r="I661">
        <f t="shared" si="42"/>
        <v>4</v>
      </c>
      <c r="J661">
        <f t="shared" si="43"/>
        <v>4</v>
      </c>
    </row>
    <row r="662" spans="1:10" x14ac:dyDescent="0.25">
      <c r="A662" s="6" t="s">
        <v>70</v>
      </c>
      <c r="B662" s="7" t="s">
        <v>117</v>
      </c>
      <c r="C662" s="7" t="s">
        <v>30</v>
      </c>
      <c r="D662" s="8">
        <v>41922</v>
      </c>
      <c r="E662" s="8">
        <v>41923</v>
      </c>
      <c r="F662" s="9">
        <v>331.5</v>
      </c>
      <c r="G662">
        <f t="shared" si="40"/>
        <v>2</v>
      </c>
      <c r="H662">
        <f t="shared" si="41"/>
        <v>54</v>
      </c>
      <c r="I662">
        <f t="shared" si="42"/>
        <v>1</v>
      </c>
      <c r="J662">
        <f t="shared" si="43"/>
        <v>1</v>
      </c>
    </row>
    <row r="663" spans="1:10" x14ac:dyDescent="0.25">
      <c r="A663" s="10" t="s">
        <v>54</v>
      </c>
      <c r="B663" s="11" t="s">
        <v>118</v>
      </c>
      <c r="C663" s="11" t="s">
        <v>17</v>
      </c>
      <c r="D663" s="12">
        <v>41922</v>
      </c>
      <c r="E663" s="12">
        <v>41923</v>
      </c>
      <c r="F663" s="13">
        <v>706.5</v>
      </c>
      <c r="G663">
        <f t="shared" si="40"/>
        <v>2</v>
      </c>
      <c r="H663">
        <f t="shared" si="41"/>
        <v>54</v>
      </c>
      <c r="I663">
        <f t="shared" si="42"/>
        <v>1</v>
      </c>
      <c r="J663">
        <f t="shared" si="43"/>
        <v>1</v>
      </c>
    </row>
    <row r="664" spans="1:10" x14ac:dyDescent="0.25">
      <c r="A664" s="6" t="s">
        <v>33</v>
      </c>
      <c r="B664" s="7" t="s">
        <v>141</v>
      </c>
      <c r="C664" s="7" t="s">
        <v>14</v>
      </c>
      <c r="D664" s="8">
        <v>41923</v>
      </c>
      <c r="E664" s="8">
        <v>41927</v>
      </c>
      <c r="F664" s="9">
        <v>674.5</v>
      </c>
      <c r="G664">
        <f t="shared" si="40"/>
        <v>5</v>
      </c>
      <c r="H664">
        <f t="shared" si="41"/>
        <v>126</v>
      </c>
      <c r="I664">
        <f t="shared" si="42"/>
        <v>4</v>
      </c>
      <c r="J664">
        <f t="shared" si="43"/>
        <v>4</v>
      </c>
    </row>
    <row r="665" spans="1:10" x14ac:dyDescent="0.25">
      <c r="A665" s="10" t="s">
        <v>93</v>
      </c>
      <c r="B665" s="11" t="s">
        <v>124</v>
      </c>
      <c r="C665" s="11" t="s">
        <v>47</v>
      </c>
      <c r="D665" s="12">
        <v>41923</v>
      </c>
      <c r="E665" s="12">
        <v>41925</v>
      </c>
      <c r="F665" s="13">
        <v>689.8</v>
      </c>
      <c r="G665">
        <f t="shared" si="40"/>
        <v>3</v>
      </c>
      <c r="H665">
        <f t="shared" si="41"/>
        <v>78</v>
      </c>
      <c r="I665">
        <f t="shared" si="42"/>
        <v>2</v>
      </c>
      <c r="J665">
        <f t="shared" si="43"/>
        <v>2</v>
      </c>
    </row>
    <row r="666" spans="1:10" x14ac:dyDescent="0.25">
      <c r="A666" s="6" t="s">
        <v>131</v>
      </c>
      <c r="B666" s="7" t="s">
        <v>142</v>
      </c>
      <c r="C666" s="7" t="s">
        <v>30</v>
      </c>
      <c r="D666" s="8">
        <v>41923</v>
      </c>
      <c r="E666" s="8">
        <v>41924</v>
      </c>
      <c r="F666" s="9">
        <v>331.5</v>
      </c>
      <c r="G666">
        <f t="shared" si="40"/>
        <v>2</v>
      </c>
      <c r="H666">
        <f t="shared" si="41"/>
        <v>54</v>
      </c>
      <c r="I666">
        <f t="shared" si="42"/>
        <v>1</v>
      </c>
      <c r="J666">
        <f t="shared" si="43"/>
        <v>1</v>
      </c>
    </row>
    <row r="667" spans="1:10" x14ac:dyDescent="0.25">
      <c r="A667" s="10" t="s">
        <v>9</v>
      </c>
      <c r="B667" s="11" t="s">
        <v>69</v>
      </c>
      <c r="C667" s="11" t="s">
        <v>14</v>
      </c>
      <c r="D667" s="12">
        <v>41923</v>
      </c>
      <c r="E667" s="12">
        <v>41925</v>
      </c>
      <c r="F667" s="13">
        <v>426.5</v>
      </c>
      <c r="G667">
        <f t="shared" si="40"/>
        <v>3</v>
      </c>
      <c r="H667">
        <f t="shared" si="41"/>
        <v>78</v>
      </c>
      <c r="I667">
        <f t="shared" si="42"/>
        <v>2</v>
      </c>
      <c r="J667">
        <f t="shared" si="43"/>
        <v>2</v>
      </c>
    </row>
    <row r="668" spans="1:10" x14ac:dyDescent="0.25">
      <c r="A668" s="6" t="s">
        <v>99</v>
      </c>
      <c r="B668" s="7" t="s">
        <v>100</v>
      </c>
      <c r="C668" s="7" t="s">
        <v>17</v>
      </c>
      <c r="D668" s="8">
        <v>41923</v>
      </c>
      <c r="E668" s="8">
        <v>41926</v>
      </c>
      <c r="F668" s="9">
        <v>1116.5</v>
      </c>
      <c r="G668">
        <f t="shared" si="40"/>
        <v>4</v>
      </c>
      <c r="H668">
        <f t="shared" si="41"/>
        <v>102</v>
      </c>
      <c r="I668">
        <f t="shared" si="42"/>
        <v>3</v>
      </c>
      <c r="J668">
        <f t="shared" si="43"/>
        <v>3</v>
      </c>
    </row>
    <row r="669" spans="1:10" x14ac:dyDescent="0.25">
      <c r="A669" s="10" t="s">
        <v>137</v>
      </c>
      <c r="B669" s="11" t="s">
        <v>138</v>
      </c>
      <c r="C669" s="11" t="s">
        <v>19</v>
      </c>
      <c r="D669" s="12">
        <v>41923</v>
      </c>
      <c r="E669" s="12">
        <v>41927</v>
      </c>
      <c r="F669" s="13">
        <v>1077.4000000000001</v>
      </c>
      <c r="G669">
        <f t="shared" si="40"/>
        <v>5</v>
      </c>
      <c r="H669">
        <f t="shared" si="41"/>
        <v>126</v>
      </c>
      <c r="I669">
        <f t="shared" si="42"/>
        <v>4</v>
      </c>
      <c r="J669">
        <f t="shared" si="43"/>
        <v>4</v>
      </c>
    </row>
    <row r="670" spans="1:10" x14ac:dyDescent="0.25">
      <c r="A670" s="6" t="s">
        <v>15</v>
      </c>
      <c r="B670" s="7" t="s">
        <v>96</v>
      </c>
      <c r="C670" s="7" t="s">
        <v>59</v>
      </c>
      <c r="D670" s="8">
        <v>41923</v>
      </c>
      <c r="E670" s="8">
        <v>41925</v>
      </c>
      <c r="F670" s="9">
        <v>760</v>
      </c>
      <c r="G670">
        <f t="shared" si="40"/>
        <v>3</v>
      </c>
      <c r="H670">
        <f t="shared" si="41"/>
        <v>78</v>
      </c>
      <c r="I670">
        <f t="shared" si="42"/>
        <v>2</v>
      </c>
      <c r="J670">
        <f t="shared" si="43"/>
        <v>2</v>
      </c>
    </row>
    <row r="671" spans="1:10" x14ac:dyDescent="0.25">
      <c r="A671" s="10" t="s">
        <v>9</v>
      </c>
      <c r="B671" s="11" t="s">
        <v>18</v>
      </c>
      <c r="C671" s="11" t="s">
        <v>24</v>
      </c>
      <c r="D671" s="12">
        <v>41923</v>
      </c>
      <c r="E671" s="12">
        <v>41926</v>
      </c>
      <c r="F671" s="13">
        <v>737.7</v>
      </c>
      <c r="G671">
        <f t="shared" si="40"/>
        <v>4</v>
      </c>
      <c r="H671">
        <f t="shared" si="41"/>
        <v>102</v>
      </c>
      <c r="I671">
        <f t="shared" si="42"/>
        <v>3</v>
      </c>
      <c r="J671">
        <f t="shared" si="43"/>
        <v>3</v>
      </c>
    </row>
    <row r="672" spans="1:10" x14ac:dyDescent="0.25">
      <c r="A672" s="6" t="s">
        <v>9</v>
      </c>
      <c r="B672" s="7" t="s">
        <v>18</v>
      </c>
      <c r="C672" s="7" t="s">
        <v>27</v>
      </c>
      <c r="D672" s="8">
        <v>41923</v>
      </c>
      <c r="E672" s="8">
        <v>41924</v>
      </c>
      <c r="F672" s="9">
        <v>570</v>
      </c>
      <c r="G672">
        <f t="shared" si="40"/>
        <v>2</v>
      </c>
      <c r="H672">
        <f t="shared" si="41"/>
        <v>54</v>
      </c>
      <c r="I672">
        <f t="shared" si="42"/>
        <v>1</v>
      </c>
      <c r="J672">
        <f t="shared" si="43"/>
        <v>1</v>
      </c>
    </row>
    <row r="673" spans="1:10" x14ac:dyDescent="0.25">
      <c r="A673" s="10" t="s">
        <v>54</v>
      </c>
      <c r="B673" s="11" t="s">
        <v>118</v>
      </c>
      <c r="C673" s="11" t="s">
        <v>59</v>
      </c>
      <c r="D673" s="12">
        <v>41923</v>
      </c>
      <c r="E673" s="12">
        <v>41926</v>
      </c>
      <c r="F673" s="13">
        <v>919</v>
      </c>
      <c r="G673">
        <f t="shared" si="40"/>
        <v>4</v>
      </c>
      <c r="H673">
        <f t="shared" si="41"/>
        <v>102</v>
      </c>
      <c r="I673">
        <f t="shared" si="42"/>
        <v>3</v>
      </c>
      <c r="J673">
        <f t="shared" si="43"/>
        <v>3</v>
      </c>
    </row>
    <row r="674" spans="1:10" x14ac:dyDescent="0.25">
      <c r="A674" s="6" t="s">
        <v>86</v>
      </c>
      <c r="B674" s="7" t="s">
        <v>136</v>
      </c>
      <c r="C674" s="7" t="s">
        <v>59</v>
      </c>
      <c r="D674" s="8">
        <v>41923</v>
      </c>
      <c r="E674" s="8">
        <v>41927</v>
      </c>
      <c r="F674" s="9">
        <v>1078</v>
      </c>
      <c r="G674">
        <f t="shared" si="40"/>
        <v>5</v>
      </c>
      <c r="H674">
        <f t="shared" si="41"/>
        <v>126</v>
      </c>
      <c r="I674">
        <f t="shared" si="42"/>
        <v>4</v>
      </c>
      <c r="J674">
        <f t="shared" si="43"/>
        <v>4</v>
      </c>
    </row>
    <row r="675" spans="1:10" x14ac:dyDescent="0.25">
      <c r="A675" s="10" t="s">
        <v>6</v>
      </c>
      <c r="B675" s="11" t="s">
        <v>139</v>
      </c>
      <c r="C675" s="11" t="s">
        <v>66</v>
      </c>
      <c r="D675" s="12">
        <v>41925</v>
      </c>
      <c r="E675" s="12">
        <v>41925</v>
      </c>
      <c r="F675" s="13">
        <v>307.7</v>
      </c>
      <c r="G675">
        <f t="shared" si="40"/>
        <v>1</v>
      </c>
      <c r="H675">
        <f t="shared" si="41"/>
        <v>30</v>
      </c>
      <c r="I675">
        <f t="shared" si="42"/>
        <v>0</v>
      </c>
      <c r="J675" t="str">
        <f t="shared" si="43"/>
        <v/>
      </c>
    </row>
    <row r="676" spans="1:10" x14ac:dyDescent="0.25">
      <c r="A676" s="6" t="s">
        <v>168</v>
      </c>
      <c r="B676" s="7" t="s">
        <v>169</v>
      </c>
      <c r="C676" s="7" t="s">
        <v>19</v>
      </c>
      <c r="D676" s="8">
        <v>41925</v>
      </c>
      <c r="E676" s="8">
        <v>41925</v>
      </c>
      <c r="F676" s="9">
        <v>513.4</v>
      </c>
      <c r="G676">
        <f t="shared" si="40"/>
        <v>1</v>
      </c>
      <c r="H676">
        <f t="shared" si="41"/>
        <v>30</v>
      </c>
      <c r="I676">
        <f t="shared" si="42"/>
        <v>0</v>
      </c>
      <c r="J676" t="str">
        <f t="shared" si="43"/>
        <v/>
      </c>
    </row>
    <row r="677" spans="1:10" x14ac:dyDescent="0.25">
      <c r="A677" s="10" t="s">
        <v>33</v>
      </c>
      <c r="B677" s="11" t="s">
        <v>34</v>
      </c>
      <c r="C677" s="11" t="s">
        <v>72</v>
      </c>
      <c r="D677" s="12">
        <v>41925</v>
      </c>
      <c r="E677" s="12">
        <v>41925</v>
      </c>
      <c r="F677" s="13">
        <v>494.7</v>
      </c>
      <c r="G677">
        <f t="shared" si="40"/>
        <v>1</v>
      </c>
      <c r="H677">
        <f t="shared" si="41"/>
        <v>30</v>
      </c>
      <c r="I677">
        <f t="shared" si="42"/>
        <v>0</v>
      </c>
      <c r="J677" t="str">
        <f t="shared" si="43"/>
        <v/>
      </c>
    </row>
    <row r="678" spans="1:10" x14ac:dyDescent="0.25">
      <c r="A678" s="6" t="s">
        <v>113</v>
      </c>
      <c r="B678" s="7" t="s">
        <v>114</v>
      </c>
      <c r="C678" s="7" t="s">
        <v>19</v>
      </c>
      <c r="D678" s="8">
        <v>41925</v>
      </c>
      <c r="E678" s="8">
        <v>41925</v>
      </c>
      <c r="F678" s="9">
        <v>513.4</v>
      </c>
      <c r="G678">
        <f t="shared" si="40"/>
        <v>1</v>
      </c>
      <c r="H678">
        <f t="shared" si="41"/>
        <v>30</v>
      </c>
      <c r="I678">
        <f t="shared" si="42"/>
        <v>0</v>
      </c>
      <c r="J678" t="str">
        <f t="shared" si="43"/>
        <v/>
      </c>
    </row>
    <row r="679" spans="1:10" x14ac:dyDescent="0.25">
      <c r="A679" s="10" t="s">
        <v>70</v>
      </c>
      <c r="B679" s="11" t="s">
        <v>117</v>
      </c>
      <c r="C679" s="11" t="s">
        <v>72</v>
      </c>
      <c r="D679" s="12">
        <v>41925</v>
      </c>
      <c r="E679" s="12">
        <v>41925</v>
      </c>
      <c r="F679" s="13">
        <v>494.7</v>
      </c>
      <c r="G679">
        <f t="shared" si="40"/>
        <v>1</v>
      </c>
      <c r="H679">
        <f t="shared" si="41"/>
        <v>30</v>
      </c>
      <c r="I679">
        <f t="shared" si="42"/>
        <v>0</v>
      </c>
      <c r="J679" t="str">
        <f t="shared" si="43"/>
        <v/>
      </c>
    </row>
    <row r="680" spans="1:10" x14ac:dyDescent="0.25">
      <c r="A680" s="6" t="s">
        <v>50</v>
      </c>
      <c r="B680" s="7" t="s">
        <v>51</v>
      </c>
      <c r="C680" s="7" t="s">
        <v>17</v>
      </c>
      <c r="D680" s="8">
        <v>41926</v>
      </c>
      <c r="E680" s="8">
        <v>41926</v>
      </c>
      <c r="F680" s="9">
        <v>501.5</v>
      </c>
      <c r="G680">
        <f t="shared" si="40"/>
        <v>1</v>
      </c>
      <c r="H680">
        <f t="shared" si="41"/>
        <v>30</v>
      </c>
      <c r="I680">
        <f t="shared" si="42"/>
        <v>0</v>
      </c>
      <c r="J680" t="str">
        <f t="shared" si="43"/>
        <v/>
      </c>
    </row>
    <row r="681" spans="1:10" x14ac:dyDescent="0.25">
      <c r="A681" s="10" t="s">
        <v>12</v>
      </c>
      <c r="B681" s="11" t="s">
        <v>13</v>
      </c>
      <c r="C681" s="11" t="s">
        <v>11</v>
      </c>
      <c r="D681" s="12">
        <v>41927</v>
      </c>
      <c r="E681" s="12">
        <v>41927</v>
      </c>
      <c r="F681" s="13">
        <v>156.4</v>
      </c>
      <c r="G681">
        <f t="shared" si="40"/>
        <v>1</v>
      </c>
      <c r="H681">
        <f t="shared" si="41"/>
        <v>30</v>
      </c>
      <c r="I681">
        <f t="shared" si="42"/>
        <v>0</v>
      </c>
      <c r="J681" t="str">
        <f t="shared" si="43"/>
        <v/>
      </c>
    </row>
    <row r="682" spans="1:10" x14ac:dyDescent="0.25">
      <c r="A682" s="6" t="s">
        <v>70</v>
      </c>
      <c r="B682" s="7" t="s">
        <v>117</v>
      </c>
      <c r="C682" s="7" t="s">
        <v>30</v>
      </c>
      <c r="D682" s="8">
        <v>41927</v>
      </c>
      <c r="E682" s="8">
        <v>41927</v>
      </c>
      <c r="F682" s="9">
        <v>212.5</v>
      </c>
      <c r="G682">
        <f t="shared" si="40"/>
        <v>1</v>
      </c>
      <c r="H682">
        <f t="shared" si="41"/>
        <v>30</v>
      </c>
      <c r="I682">
        <f t="shared" si="42"/>
        <v>0</v>
      </c>
      <c r="J682" t="str">
        <f t="shared" si="43"/>
        <v/>
      </c>
    </row>
    <row r="683" spans="1:10" x14ac:dyDescent="0.25">
      <c r="A683" s="10" t="s">
        <v>113</v>
      </c>
      <c r="B683" s="11" t="s">
        <v>114</v>
      </c>
      <c r="C683" s="11" t="s">
        <v>24</v>
      </c>
      <c r="D683" s="12">
        <v>41928</v>
      </c>
      <c r="E683" s="12">
        <v>41928</v>
      </c>
      <c r="F683" s="13">
        <v>290.7</v>
      </c>
      <c r="G683">
        <f t="shared" si="40"/>
        <v>1</v>
      </c>
      <c r="H683">
        <f t="shared" si="41"/>
        <v>30</v>
      </c>
      <c r="I683">
        <f t="shared" si="42"/>
        <v>0</v>
      </c>
      <c r="J683" t="str">
        <f t="shared" si="43"/>
        <v/>
      </c>
    </row>
    <row r="684" spans="1:10" x14ac:dyDescent="0.25">
      <c r="A684" s="6" t="s">
        <v>22</v>
      </c>
      <c r="B684" s="7" t="s">
        <v>172</v>
      </c>
      <c r="C684" s="7" t="s">
        <v>24</v>
      </c>
      <c r="D684" s="8">
        <v>41929</v>
      </c>
      <c r="E684" s="8">
        <v>41930</v>
      </c>
      <c r="F684" s="9">
        <v>439.7</v>
      </c>
      <c r="G684">
        <f t="shared" si="40"/>
        <v>2</v>
      </c>
      <c r="H684">
        <f t="shared" si="41"/>
        <v>54</v>
      </c>
      <c r="I684">
        <f t="shared" si="42"/>
        <v>1</v>
      </c>
      <c r="J684">
        <f t="shared" si="43"/>
        <v>1</v>
      </c>
    </row>
    <row r="685" spans="1:10" x14ac:dyDescent="0.25">
      <c r="A685" s="10" t="s">
        <v>33</v>
      </c>
      <c r="B685" s="11" t="s">
        <v>34</v>
      </c>
      <c r="C685" s="11" t="s">
        <v>59</v>
      </c>
      <c r="D685" s="12">
        <v>41929</v>
      </c>
      <c r="E685" s="12">
        <v>41932</v>
      </c>
      <c r="F685" s="13">
        <v>919</v>
      </c>
      <c r="G685">
        <f t="shared" si="40"/>
        <v>4</v>
      </c>
      <c r="H685">
        <f t="shared" si="41"/>
        <v>102</v>
      </c>
      <c r="I685">
        <f t="shared" si="42"/>
        <v>3</v>
      </c>
      <c r="J685">
        <f t="shared" si="43"/>
        <v>3</v>
      </c>
    </row>
    <row r="686" spans="1:10" x14ac:dyDescent="0.25">
      <c r="A686" s="6" t="s">
        <v>9</v>
      </c>
      <c r="B686" s="7" t="s">
        <v>103</v>
      </c>
      <c r="C686" s="7" t="s">
        <v>24</v>
      </c>
      <c r="D686" s="8">
        <v>41929</v>
      </c>
      <c r="E686" s="8">
        <v>41932</v>
      </c>
      <c r="F686" s="9">
        <v>737.7</v>
      </c>
      <c r="G686">
        <f t="shared" si="40"/>
        <v>4</v>
      </c>
      <c r="H686">
        <f t="shared" si="41"/>
        <v>102</v>
      </c>
      <c r="I686">
        <f t="shared" si="42"/>
        <v>3</v>
      </c>
      <c r="J686">
        <f t="shared" si="43"/>
        <v>3</v>
      </c>
    </row>
    <row r="687" spans="1:10" x14ac:dyDescent="0.25">
      <c r="A687" s="10" t="s">
        <v>115</v>
      </c>
      <c r="B687" s="11" t="s">
        <v>116</v>
      </c>
      <c r="C687" s="11" t="s">
        <v>30</v>
      </c>
      <c r="D687" s="12">
        <v>41929</v>
      </c>
      <c r="E687" s="12">
        <v>41930</v>
      </c>
      <c r="F687" s="13">
        <v>331.5</v>
      </c>
      <c r="G687">
        <f t="shared" si="40"/>
        <v>2</v>
      </c>
      <c r="H687">
        <f t="shared" si="41"/>
        <v>54</v>
      </c>
      <c r="I687">
        <f t="shared" si="42"/>
        <v>1</v>
      </c>
      <c r="J687">
        <f t="shared" si="43"/>
        <v>1</v>
      </c>
    </row>
    <row r="688" spans="1:10" x14ac:dyDescent="0.25">
      <c r="A688" s="6" t="s">
        <v>12</v>
      </c>
      <c r="B688" s="7" t="s">
        <v>95</v>
      </c>
      <c r="C688" s="7" t="s">
        <v>8</v>
      </c>
      <c r="D688" s="8">
        <v>41929</v>
      </c>
      <c r="E688" s="8">
        <v>41930</v>
      </c>
      <c r="F688" s="9">
        <v>891</v>
      </c>
      <c r="G688">
        <f t="shared" si="40"/>
        <v>2</v>
      </c>
      <c r="H688">
        <f t="shared" si="41"/>
        <v>54</v>
      </c>
      <c r="I688">
        <f t="shared" si="42"/>
        <v>1</v>
      </c>
      <c r="J688">
        <f t="shared" si="43"/>
        <v>1</v>
      </c>
    </row>
    <row r="689" spans="1:10" x14ac:dyDescent="0.25">
      <c r="A689" s="10" t="s">
        <v>9</v>
      </c>
      <c r="B689" s="11" t="s">
        <v>18</v>
      </c>
      <c r="C689" s="11" t="s">
        <v>38</v>
      </c>
      <c r="D689" s="12">
        <v>41929</v>
      </c>
      <c r="E689" s="12">
        <v>41932</v>
      </c>
      <c r="F689" s="13">
        <v>665.8</v>
      </c>
      <c r="G689">
        <f t="shared" si="40"/>
        <v>4</v>
      </c>
      <c r="H689">
        <f t="shared" si="41"/>
        <v>102</v>
      </c>
      <c r="I689">
        <f t="shared" si="42"/>
        <v>3</v>
      </c>
      <c r="J689">
        <f t="shared" si="43"/>
        <v>3</v>
      </c>
    </row>
    <row r="690" spans="1:10" x14ac:dyDescent="0.25">
      <c r="A690" s="6" t="s">
        <v>12</v>
      </c>
      <c r="B690" s="7" t="s">
        <v>13</v>
      </c>
      <c r="C690" s="7" t="s">
        <v>30</v>
      </c>
      <c r="D690" s="8">
        <v>41930</v>
      </c>
      <c r="E690" s="8">
        <v>41930</v>
      </c>
      <c r="F690" s="9">
        <v>212.5</v>
      </c>
      <c r="G690">
        <f t="shared" si="40"/>
        <v>1</v>
      </c>
      <c r="H690">
        <f t="shared" si="41"/>
        <v>30</v>
      </c>
      <c r="I690">
        <f t="shared" si="42"/>
        <v>0</v>
      </c>
      <c r="J690" t="str">
        <f t="shared" si="43"/>
        <v/>
      </c>
    </row>
    <row r="691" spans="1:10" x14ac:dyDescent="0.25">
      <c r="A691" s="10" t="s">
        <v>122</v>
      </c>
      <c r="B691" s="11" t="s">
        <v>123</v>
      </c>
      <c r="C691" s="11" t="s">
        <v>59</v>
      </c>
      <c r="D691" s="12">
        <v>41934</v>
      </c>
      <c r="E691" s="12">
        <v>41937</v>
      </c>
      <c r="F691" s="13">
        <v>919</v>
      </c>
      <c r="G691">
        <f t="shared" si="40"/>
        <v>4</v>
      </c>
      <c r="H691">
        <f t="shared" si="41"/>
        <v>102</v>
      </c>
      <c r="I691">
        <f t="shared" si="42"/>
        <v>3</v>
      </c>
      <c r="J691">
        <f t="shared" si="43"/>
        <v>3</v>
      </c>
    </row>
    <row r="692" spans="1:10" x14ac:dyDescent="0.25">
      <c r="A692" s="6" t="s">
        <v>93</v>
      </c>
      <c r="B692" s="7" t="s">
        <v>124</v>
      </c>
      <c r="C692" s="7" t="s">
        <v>72</v>
      </c>
      <c r="D692" s="8">
        <v>41934</v>
      </c>
      <c r="E692" s="8">
        <v>41935</v>
      </c>
      <c r="F692" s="9">
        <v>693.7</v>
      </c>
      <c r="G692">
        <f t="shared" si="40"/>
        <v>2</v>
      </c>
      <c r="H692">
        <f t="shared" si="41"/>
        <v>54</v>
      </c>
      <c r="I692">
        <f t="shared" si="42"/>
        <v>1</v>
      </c>
      <c r="J692">
        <f t="shared" si="43"/>
        <v>1</v>
      </c>
    </row>
    <row r="693" spans="1:10" x14ac:dyDescent="0.25">
      <c r="A693" s="10" t="s">
        <v>54</v>
      </c>
      <c r="B693" s="11" t="s">
        <v>81</v>
      </c>
      <c r="C693" s="11" t="s">
        <v>66</v>
      </c>
      <c r="D693" s="12">
        <v>41934</v>
      </c>
      <c r="E693" s="12">
        <v>41934</v>
      </c>
      <c r="F693" s="13">
        <v>307.7</v>
      </c>
      <c r="G693">
        <f t="shared" si="40"/>
        <v>1</v>
      </c>
      <c r="H693">
        <f t="shared" si="41"/>
        <v>30</v>
      </c>
      <c r="I693">
        <f t="shared" si="42"/>
        <v>0</v>
      </c>
      <c r="J693" t="str">
        <f t="shared" si="43"/>
        <v/>
      </c>
    </row>
    <row r="694" spans="1:10" x14ac:dyDescent="0.25">
      <c r="A694" s="6" t="s">
        <v>22</v>
      </c>
      <c r="B694" s="7" t="s">
        <v>172</v>
      </c>
      <c r="C694" s="7" t="s">
        <v>66</v>
      </c>
      <c r="D694" s="8">
        <v>41934</v>
      </c>
      <c r="E694" s="8">
        <v>41935</v>
      </c>
      <c r="F694" s="9">
        <v>485.7</v>
      </c>
      <c r="G694">
        <f t="shared" si="40"/>
        <v>2</v>
      </c>
      <c r="H694">
        <f t="shared" si="41"/>
        <v>54</v>
      </c>
      <c r="I694">
        <f t="shared" si="42"/>
        <v>1</v>
      </c>
      <c r="J694">
        <f t="shared" si="43"/>
        <v>1</v>
      </c>
    </row>
    <row r="695" spans="1:10" x14ac:dyDescent="0.25">
      <c r="A695" s="10" t="s">
        <v>131</v>
      </c>
      <c r="B695" s="11" t="s">
        <v>142</v>
      </c>
      <c r="C695" s="11" t="s">
        <v>24</v>
      </c>
      <c r="D695" s="12">
        <v>41934</v>
      </c>
      <c r="E695" s="12">
        <v>41937</v>
      </c>
      <c r="F695" s="13">
        <v>737.7</v>
      </c>
      <c r="G695">
        <f t="shared" si="40"/>
        <v>4</v>
      </c>
      <c r="H695">
        <f t="shared" si="41"/>
        <v>102</v>
      </c>
      <c r="I695">
        <f t="shared" si="42"/>
        <v>3</v>
      </c>
      <c r="J695">
        <f t="shared" si="43"/>
        <v>3</v>
      </c>
    </row>
    <row r="696" spans="1:10" x14ac:dyDescent="0.25">
      <c r="A696" s="6" t="s">
        <v>86</v>
      </c>
      <c r="B696" s="7" t="s">
        <v>150</v>
      </c>
      <c r="C696" s="7" t="s">
        <v>8</v>
      </c>
      <c r="D696" s="8">
        <v>41934</v>
      </c>
      <c r="E696" s="8">
        <v>41935</v>
      </c>
      <c r="F696" s="9">
        <v>891</v>
      </c>
      <c r="G696">
        <f t="shared" si="40"/>
        <v>2</v>
      </c>
      <c r="H696">
        <f t="shared" si="41"/>
        <v>54</v>
      </c>
      <c r="I696">
        <f t="shared" si="42"/>
        <v>1</v>
      </c>
      <c r="J696">
        <f t="shared" si="43"/>
        <v>1</v>
      </c>
    </row>
    <row r="697" spans="1:10" x14ac:dyDescent="0.25">
      <c r="A697" s="10" t="s">
        <v>50</v>
      </c>
      <c r="B697" s="11" t="s">
        <v>51</v>
      </c>
      <c r="C697" s="11" t="s">
        <v>47</v>
      </c>
      <c r="D697" s="12">
        <v>41934</v>
      </c>
      <c r="E697" s="12">
        <v>41936</v>
      </c>
      <c r="F697" s="13">
        <v>689.8</v>
      </c>
      <c r="G697">
        <f t="shared" si="40"/>
        <v>3</v>
      </c>
      <c r="H697">
        <f t="shared" si="41"/>
        <v>78</v>
      </c>
      <c r="I697">
        <f t="shared" si="42"/>
        <v>2</v>
      </c>
      <c r="J697">
        <f t="shared" si="43"/>
        <v>2</v>
      </c>
    </row>
    <row r="698" spans="1:10" x14ac:dyDescent="0.25">
      <c r="A698" s="6" t="s">
        <v>82</v>
      </c>
      <c r="B698" s="7" t="s">
        <v>125</v>
      </c>
      <c r="C698" s="7" t="s">
        <v>72</v>
      </c>
      <c r="D698" s="8">
        <v>41934</v>
      </c>
      <c r="E698" s="8">
        <v>41934</v>
      </c>
      <c r="F698" s="9">
        <v>494.7</v>
      </c>
      <c r="G698">
        <f t="shared" si="40"/>
        <v>1</v>
      </c>
      <c r="H698">
        <f t="shared" si="41"/>
        <v>30</v>
      </c>
      <c r="I698">
        <f t="shared" si="42"/>
        <v>0</v>
      </c>
      <c r="J698" t="str">
        <f t="shared" si="43"/>
        <v/>
      </c>
    </row>
    <row r="699" spans="1:10" x14ac:dyDescent="0.25">
      <c r="A699" s="10" t="s">
        <v>170</v>
      </c>
      <c r="B699" s="11" t="s">
        <v>171</v>
      </c>
      <c r="C699" s="11" t="s">
        <v>27</v>
      </c>
      <c r="D699" s="12">
        <v>41934</v>
      </c>
      <c r="E699" s="12">
        <v>41934</v>
      </c>
      <c r="F699" s="13">
        <v>442</v>
      </c>
      <c r="G699">
        <f t="shared" si="40"/>
        <v>1</v>
      </c>
      <c r="H699">
        <f t="shared" si="41"/>
        <v>30</v>
      </c>
      <c r="I699">
        <f t="shared" si="42"/>
        <v>0</v>
      </c>
      <c r="J699" t="str">
        <f t="shared" si="43"/>
        <v/>
      </c>
    </row>
    <row r="700" spans="1:10" x14ac:dyDescent="0.25">
      <c r="A700" s="6" t="s">
        <v>9</v>
      </c>
      <c r="B700" s="7" t="s">
        <v>10</v>
      </c>
      <c r="C700" s="7" t="s">
        <v>59</v>
      </c>
      <c r="D700" s="8">
        <v>41934</v>
      </c>
      <c r="E700" s="8">
        <v>41937</v>
      </c>
      <c r="F700" s="9">
        <v>919</v>
      </c>
      <c r="G700">
        <f t="shared" si="40"/>
        <v>4</v>
      </c>
      <c r="H700">
        <f t="shared" si="41"/>
        <v>102</v>
      </c>
      <c r="I700">
        <f t="shared" si="42"/>
        <v>3</v>
      </c>
      <c r="J700">
        <f t="shared" si="43"/>
        <v>3</v>
      </c>
    </row>
    <row r="701" spans="1:10" x14ac:dyDescent="0.25">
      <c r="A701" s="10" t="s">
        <v>73</v>
      </c>
      <c r="B701" s="11" t="s">
        <v>74</v>
      </c>
      <c r="C701" s="11" t="s">
        <v>59</v>
      </c>
      <c r="D701" s="12">
        <v>41934</v>
      </c>
      <c r="E701" s="12">
        <v>41938</v>
      </c>
      <c r="F701" s="13">
        <v>1078</v>
      </c>
      <c r="G701">
        <f t="shared" si="40"/>
        <v>5</v>
      </c>
      <c r="H701">
        <f t="shared" si="41"/>
        <v>126</v>
      </c>
      <c r="I701">
        <f t="shared" si="42"/>
        <v>4</v>
      </c>
      <c r="J701">
        <f t="shared" si="43"/>
        <v>4</v>
      </c>
    </row>
    <row r="702" spans="1:10" x14ac:dyDescent="0.25">
      <c r="A702" s="6" t="s">
        <v>54</v>
      </c>
      <c r="B702" s="7" t="s">
        <v>121</v>
      </c>
      <c r="C702" s="7" t="s">
        <v>38</v>
      </c>
      <c r="D702" s="8">
        <v>41934</v>
      </c>
      <c r="E702" s="8">
        <v>41934</v>
      </c>
      <c r="F702" s="9">
        <v>278.8</v>
      </c>
      <c r="G702">
        <f t="shared" si="40"/>
        <v>1</v>
      </c>
      <c r="H702">
        <f t="shared" si="41"/>
        <v>30</v>
      </c>
      <c r="I702">
        <f t="shared" si="42"/>
        <v>0</v>
      </c>
      <c r="J702" t="str">
        <f t="shared" si="43"/>
        <v/>
      </c>
    </row>
    <row r="703" spans="1:10" x14ac:dyDescent="0.25">
      <c r="A703" s="10" t="s">
        <v>12</v>
      </c>
      <c r="B703" s="11" t="s">
        <v>13</v>
      </c>
      <c r="C703" s="11" t="s">
        <v>38</v>
      </c>
      <c r="D703" s="12">
        <v>41934</v>
      </c>
      <c r="E703" s="12">
        <v>41936</v>
      </c>
      <c r="F703" s="13">
        <v>536.79999999999995</v>
      </c>
      <c r="G703">
        <f t="shared" si="40"/>
        <v>3</v>
      </c>
      <c r="H703">
        <f t="shared" si="41"/>
        <v>78</v>
      </c>
      <c r="I703">
        <f t="shared" si="42"/>
        <v>2</v>
      </c>
      <c r="J703">
        <f t="shared" si="43"/>
        <v>2</v>
      </c>
    </row>
    <row r="704" spans="1:10" x14ac:dyDescent="0.25">
      <c r="A704" s="6" t="s">
        <v>147</v>
      </c>
      <c r="B704" s="7" t="s">
        <v>148</v>
      </c>
      <c r="C704" s="7" t="s">
        <v>30</v>
      </c>
      <c r="D704" s="8">
        <v>41934</v>
      </c>
      <c r="E704" s="8">
        <v>41937</v>
      </c>
      <c r="F704" s="9">
        <v>569.5</v>
      </c>
      <c r="G704">
        <f t="shared" si="40"/>
        <v>4</v>
      </c>
      <c r="H704">
        <f t="shared" si="41"/>
        <v>102</v>
      </c>
      <c r="I704">
        <f t="shared" si="42"/>
        <v>3</v>
      </c>
      <c r="J704">
        <f t="shared" si="43"/>
        <v>3</v>
      </c>
    </row>
    <row r="705" spans="1:10" x14ac:dyDescent="0.25">
      <c r="A705" s="10" t="s">
        <v>89</v>
      </c>
      <c r="B705" s="11" t="s">
        <v>90</v>
      </c>
      <c r="C705" s="11" t="s">
        <v>59</v>
      </c>
      <c r="D705" s="12">
        <v>41934</v>
      </c>
      <c r="E705" s="12">
        <v>41936</v>
      </c>
      <c r="F705" s="13">
        <v>760</v>
      </c>
      <c r="G705">
        <f t="shared" si="40"/>
        <v>3</v>
      </c>
      <c r="H705">
        <f t="shared" si="41"/>
        <v>78</v>
      </c>
      <c r="I705">
        <f t="shared" si="42"/>
        <v>2</v>
      </c>
      <c r="J705">
        <f t="shared" si="43"/>
        <v>2</v>
      </c>
    </row>
    <row r="706" spans="1:10" x14ac:dyDescent="0.25">
      <c r="A706" s="6" t="s">
        <v>91</v>
      </c>
      <c r="B706" s="7" t="s">
        <v>161</v>
      </c>
      <c r="C706" s="7" t="s">
        <v>14</v>
      </c>
      <c r="D706" s="8">
        <v>41934</v>
      </c>
      <c r="E706" s="8">
        <v>41938</v>
      </c>
      <c r="F706" s="9">
        <v>674.5</v>
      </c>
      <c r="G706">
        <f t="shared" si="40"/>
        <v>5</v>
      </c>
      <c r="H706">
        <f t="shared" si="41"/>
        <v>126</v>
      </c>
      <c r="I706">
        <f t="shared" si="42"/>
        <v>4</v>
      </c>
      <c r="J706">
        <f t="shared" si="43"/>
        <v>4</v>
      </c>
    </row>
    <row r="707" spans="1:10" x14ac:dyDescent="0.25">
      <c r="A707" s="10" t="s">
        <v>9</v>
      </c>
      <c r="B707" s="11" t="s">
        <v>18</v>
      </c>
      <c r="C707" s="11" t="s">
        <v>38</v>
      </c>
      <c r="D707" s="12">
        <v>41934</v>
      </c>
      <c r="E707" s="12">
        <v>41934</v>
      </c>
      <c r="F707" s="13">
        <v>278.8</v>
      </c>
      <c r="G707">
        <f t="shared" ref="G707:G770" si="44">E707-D707 + 1</f>
        <v>1</v>
      </c>
      <c r="H707">
        <f t="shared" ref="H707:H770" si="45">30+(G707-1)*24</f>
        <v>30</v>
      </c>
      <c r="I707">
        <f t="shared" ref="I707:I770" si="46">G707-1</f>
        <v>0</v>
      </c>
      <c r="J707" t="str">
        <f t="shared" ref="J707:J770" si="47">IF(G707&gt;=2,I707,"")</f>
        <v/>
      </c>
    </row>
    <row r="708" spans="1:10" x14ac:dyDescent="0.25">
      <c r="A708" s="6" t="s">
        <v>57</v>
      </c>
      <c r="B708" s="7" t="s">
        <v>58</v>
      </c>
      <c r="C708" s="7" t="s">
        <v>30</v>
      </c>
      <c r="D708" s="8">
        <v>41934</v>
      </c>
      <c r="E708" s="8">
        <v>41935</v>
      </c>
      <c r="F708" s="9">
        <v>331.5</v>
      </c>
      <c r="G708">
        <f t="shared" si="44"/>
        <v>2</v>
      </c>
      <c r="H708">
        <f t="shared" si="45"/>
        <v>54</v>
      </c>
      <c r="I708">
        <f t="shared" si="46"/>
        <v>1</v>
      </c>
      <c r="J708">
        <f t="shared" si="47"/>
        <v>1</v>
      </c>
    </row>
    <row r="709" spans="1:10" x14ac:dyDescent="0.25">
      <c r="A709" s="10" t="s">
        <v>20</v>
      </c>
      <c r="B709" s="11" t="s">
        <v>21</v>
      </c>
      <c r="C709" s="11" t="s">
        <v>47</v>
      </c>
      <c r="D709" s="12">
        <v>41934</v>
      </c>
      <c r="E709" s="12">
        <v>41938</v>
      </c>
      <c r="F709" s="13">
        <v>1015.8</v>
      </c>
      <c r="G709">
        <f t="shared" si="44"/>
        <v>5</v>
      </c>
      <c r="H709">
        <f t="shared" si="45"/>
        <v>126</v>
      </c>
      <c r="I709">
        <f t="shared" si="46"/>
        <v>4</v>
      </c>
      <c r="J709">
        <f t="shared" si="47"/>
        <v>4</v>
      </c>
    </row>
    <row r="710" spans="1:10" x14ac:dyDescent="0.25">
      <c r="A710" s="6" t="s">
        <v>22</v>
      </c>
      <c r="B710" s="7" t="s">
        <v>23</v>
      </c>
      <c r="C710" s="7" t="s">
        <v>72</v>
      </c>
      <c r="D710" s="8">
        <v>41935</v>
      </c>
      <c r="E710" s="8">
        <v>41937</v>
      </c>
      <c r="F710" s="9">
        <v>892.7</v>
      </c>
      <c r="G710">
        <f t="shared" si="44"/>
        <v>3</v>
      </c>
      <c r="H710">
        <f t="shared" si="45"/>
        <v>78</v>
      </c>
      <c r="I710">
        <f t="shared" si="46"/>
        <v>2</v>
      </c>
      <c r="J710">
        <f t="shared" si="47"/>
        <v>2</v>
      </c>
    </row>
    <row r="711" spans="1:10" x14ac:dyDescent="0.25">
      <c r="A711" s="10" t="s">
        <v>31</v>
      </c>
      <c r="B711" s="11" t="s">
        <v>78</v>
      </c>
      <c r="C711" s="11" t="s">
        <v>59</v>
      </c>
      <c r="D711" s="12">
        <v>41935</v>
      </c>
      <c r="E711" s="12">
        <v>41938</v>
      </c>
      <c r="F711" s="13">
        <v>919</v>
      </c>
      <c r="G711">
        <f t="shared" si="44"/>
        <v>4</v>
      </c>
      <c r="H711">
        <f t="shared" si="45"/>
        <v>102</v>
      </c>
      <c r="I711">
        <f t="shared" si="46"/>
        <v>3</v>
      </c>
      <c r="J711">
        <f t="shared" si="47"/>
        <v>3</v>
      </c>
    </row>
    <row r="712" spans="1:10" x14ac:dyDescent="0.25">
      <c r="A712" s="6" t="s">
        <v>86</v>
      </c>
      <c r="B712" s="7" t="s">
        <v>150</v>
      </c>
      <c r="C712" s="7" t="s">
        <v>27</v>
      </c>
      <c r="D712" s="8">
        <v>41935</v>
      </c>
      <c r="E712" s="8">
        <v>41936</v>
      </c>
      <c r="F712" s="9">
        <v>570</v>
      </c>
      <c r="G712">
        <f t="shared" si="44"/>
        <v>2</v>
      </c>
      <c r="H712">
        <f t="shared" si="45"/>
        <v>54</v>
      </c>
      <c r="I712">
        <f t="shared" si="46"/>
        <v>1</v>
      </c>
      <c r="J712">
        <f t="shared" si="47"/>
        <v>1</v>
      </c>
    </row>
    <row r="713" spans="1:10" x14ac:dyDescent="0.25">
      <c r="A713" s="10" t="s">
        <v>25</v>
      </c>
      <c r="B713" s="11" t="s">
        <v>26</v>
      </c>
      <c r="C713" s="11" t="s">
        <v>11</v>
      </c>
      <c r="D713" s="12">
        <v>41935</v>
      </c>
      <c r="E713" s="12">
        <v>41936</v>
      </c>
      <c r="F713" s="13">
        <v>295.39999999999998</v>
      </c>
      <c r="G713">
        <f t="shared" si="44"/>
        <v>2</v>
      </c>
      <c r="H713">
        <f t="shared" si="45"/>
        <v>54</v>
      </c>
      <c r="I713">
        <f t="shared" si="46"/>
        <v>1</v>
      </c>
      <c r="J713">
        <f t="shared" si="47"/>
        <v>1</v>
      </c>
    </row>
    <row r="714" spans="1:10" x14ac:dyDescent="0.25">
      <c r="A714" s="6" t="s">
        <v>31</v>
      </c>
      <c r="B714" s="7" t="s">
        <v>32</v>
      </c>
      <c r="C714" s="7" t="s">
        <v>8</v>
      </c>
      <c r="D714" s="8">
        <v>41935</v>
      </c>
      <c r="E714" s="8">
        <v>41936</v>
      </c>
      <c r="F714" s="9">
        <v>891</v>
      </c>
      <c r="G714">
        <f t="shared" si="44"/>
        <v>2</v>
      </c>
      <c r="H714">
        <f t="shared" si="45"/>
        <v>54</v>
      </c>
      <c r="I714">
        <f t="shared" si="46"/>
        <v>1</v>
      </c>
      <c r="J714">
        <f t="shared" si="47"/>
        <v>1</v>
      </c>
    </row>
    <row r="715" spans="1:10" x14ac:dyDescent="0.25">
      <c r="A715" s="10" t="s">
        <v>168</v>
      </c>
      <c r="B715" s="11" t="s">
        <v>169</v>
      </c>
      <c r="C715" s="11" t="s">
        <v>27</v>
      </c>
      <c r="D715" s="12">
        <v>41935</v>
      </c>
      <c r="E715" s="12">
        <v>41936</v>
      </c>
      <c r="F715" s="13">
        <v>570</v>
      </c>
      <c r="G715">
        <f t="shared" si="44"/>
        <v>2</v>
      </c>
      <c r="H715">
        <f t="shared" si="45"/>
        <v>54</v>
      </c>
      <c r="I715">
        <f t="shared" si="46"/>
        <v>1</v>
      </c>
      <c r="J715">
        <f t="shared" si="47"/>
        <v>1</v>
      </c>
    </row>
    <row r="716" spans="1:10" x14ac:dyDescent="0.25">
      <c r="A716" s="6" t="s">
        <v>115</v>
      </c>
      <c r="B716" s="7" t="s">
        <v>140</v>
      </c>
      <c r="C716" s="7" t="s">
        <v>24</v>
      </c>
      <c r="D716" s="8">
        <v>41935</v>
      </c>
      <c r="E716" s="8">
        <v>41935</v>
      </c>
      <c r="F716" s="9">
        <v>290.7</v>
      </c>
      <c r="G716">
        <f t="shared" si="44"/>
        <v>1</v>
      </c>
      <c r="H716">
        <f t="shared" si="45"/>
        <v>30</v>
      </c>
      <c r="I716">
        <f t="shared" si="46"/>
        <v>0</v>
      </c>
      <c r="J716" t="str">
        <f t="shared" si="47"/>
        <v/>
      </c>
    </row>
    <row r="717" spans="1:10" x14ac:dyDescent="0.25">
      <c r="A717" s="10" t="s">
        <v>73</v>
      </c>
      <c r="B717" s="11" t="s">
        <v>74</v>
      </c>
      <c r="C717" s="11" t="s">
        <v>17</v>
      </c>
      <c r="D717" s="12">
        <v>41935</v>
      </c>
      <c r="E717" s="12">
        <v>41936</v>
      </c>
      <c r="F717" s="13">
        <v>706.5</v>
      </c>
      <c r="G717">
        <f t="shared" si="44"/>
        <v>2</v>
      </c>
      <c r="H717">
        <f t="shared" si="45"/>
        <v>54</v>
      </c>
      <c r="I717">
        <f t="shared" si="46"/>
        <v>1</v>
      </c>
      <c r="J717">
        <f t="shared" si="47"/>
        <v>1</v>
      </c>
    </row>
    <row r="718" spans="1:10" x14ac:dyDescent="0.25">
      <c r="A718" s="6" t="s">
        <v>119</v>
      </c>
      <c r="B718" s="7" t="s">
        <v>120</v>
      </c>
      <c r="C718" s="7" t="s">
        <v>17</v>
      </c>
      <c r="D718" s="8">
        <v>41935</v>
      </c>
      <c r="E718" s="8">
        <v>41937</v>
      </c>
      <c r="F718" s="9">
        <v>911.5</v>
      </c>
      <c r="G718">
        <f t="shared" si="44"/>
        <v>3</v>
      </c>
      <c r="H718">
        <f t="shared" si="45"/>
        <v>78</v>
      </c>
      <c r="I718">
        <f t="shared" si="46"/>
        <v>2</v>
      </c>
      <c r="J718">
        <f t="shared" si="47"/>
        <v>2</v>
      </c>
    </row>
    <row r="719" spans="1:10" x14ac:dyDescent="0.25">
      <c r="A719" s="10" t="s">
        <v>107</v>
      </c>
      <c r="B719" s="11" t="s">
        <v>108</v>
      </c>
      <c r="C719" s="11" t="s">
        <v>66</v>
      </c>
      <c r="D719" s="12">
        <v>41935</v>
      </c>
      <c r="E719" s="12">
        <v>41938</v>
      </c>
      <c r="F719" s="13">
        <v>841.7</v>
      </c>
      <c r="G719">
        <f t="shared" si="44"/>
        <v>4</v>
      </c>
      <c r="H719">
        <f t="shared" si="45"/>
        <v>102</v>
      </c>
      <c r="I719">
        <f t="shared" si="46"/>
        <v>3</v>
      </c>
      <c r="J719">
        <f t="shared" si="47"/>
        <v>3</v>
      </c>
    </row>
    <row r="720" spans="1:10" x14ac:dyDescent="0.25">
      <c r="A720" s="6" t="s">
        <v>39</v>
      </c>
      <c r="B720" s="7" t="s">
        <v>40</v>
      </c>
      <c r="C720" s="7" t="s">
        <v>8</v>
      </c>
      <c r="D720" s="8">
        <v>41935</v>
      </c>
      <c r="E720" s="8">
        <v>41937</v>
      </c>
      <c r="F720" s="9">
        <v>1102</v>
      </c>
      <c r="G720">
        <f t="shared" si="44"/>
        <v>3</v>
      </c>
      <c r="H720">
        <f t="shared" si="45"/>
        <v>78</v>
      </c>
      <c r="I720">
        <f t="shared" si="46"/>
        <v>2</v>
      </c>
      <c r="J720">
        <f t="shared" si="47"/>
        <v>2</v>
      </c>
    </row>
    <row r="721" spans="1:10" x14ac:dyDescent="0.25">
      <c r="A721" s="10" t="s">
        <v>12</v>
      </c>
      <c r="B721" s="11" t="s">
        <v>95</v>
      </c>
      <c r="C721" s="11" t="s">
        <v>8</v>
      </c>
      <c r="D721" s="12">
        <v>41935</v>
      </c>
      <c r="E721" s="12">
        <v>41935</v>
      </c>
      <c r="F721" s="13">
        <v>680</v>
      </c>
      <c r="G721">
        <f t="shared" si="44"/>
        <v>1</v>
      </c>
      <c r="H721">
        <f t="shared" si="45"/>
        <v>30</v>
      </c>
      <c r="I721">
        <f t="shared" si="46"/>
        <v>0</v>
      </c>
      <c r="J721" t="str">
        <f t="shared" si="47"/>
        <v/>
      </c>
    </row>
    <row r="722" spans="1:10" x14ac:dyDescent="0.25">
      <c r="A722" s="6" t="s">
        <v>170</v>
      </c>
      <c r="B722" s="7" t="s">
        <v>171</v>
      </c>
      <c r="C722" s="7" t="s">
        <v>66</v>
      </c>
      <c r="D722" s="8">
        <v>41936</v>
      </c>
      <c r="E722" s="8">
        <v>41936</v>
      </c>
      <c r="F722" s="9">
        <v>307.7</v>
      </c>
      <c r="G722">
        <f t="shared" si="44"/>
        <v>1</v>
      </c>
      <c r="H722">
        <f t="shared" si="45"/>
        <v>30</v>
      </c>
      <c r="I722">
        <f t="shared" si="46"/>
        <v>0</v>
      </c>
      <c r="J722" t="str">
        <f t="shared" si="47"/>
        <v/>
      </c>
    </row>
    <row r="723" spans="1:10" x14ac:dyDescent="0.25">
      <c r="A723" s="10" t="s">
        <v>9</v>
      </c>
      <c r="B723" s="11" t="s">
        <v>18</v>
      </c>
      <c r="C723" s="11" t="s">
        <v>24</v>
      </c>
      <c r="D723" s="12">
        <v>41936</v>
      </c>
      <c r="E723" s="12">
        <v>41936</v>
      </c>
      <c r="F723" s="13">
        <v>290.7</v>
      </c>
      <c r="G723">
        <f t="shared" si="44"/>
        <v>1</v>
      </c>
      <c r="H723">
        <f t="shared" si="45"/>
        <v>30</v>
      </c>
      <c r="I723">
        <f t="shared" si="46"/>
        <v>0</v>
      </c>
      <c r="J723" t="str">
        <f t="shared" si="47"/>
        <v/>
      </c>
    </row>
    <row r="724" spans="1:10" x14ac:dyDescent="0.25">
      <c r="A724" s="6" t="s">
        <v>82</v>
      </c>
      <c r="B724" s="7" t="s">
        <v>125</v>
      </c>
      <c r="C724" s="7" t="s">
        <v>66</v>
      </c>
      <c r="D724" s="8">
        <v>41937</v>
      </c>
      <c r="E724" s="8">
        <v>41937</v>
      </c>
      <c r="F724" s="9">
        <v>307.7</v>
      </c>
      <c r="G724">
        <f t="shared" si="44"/>
        <v>1</v>
      </c>
      <c r="H724">
        <f t="shared" si="45"/>
        <v>30</v>
      </c>
      <c r="I724">
        <f t="shared" si="46"/>
        <v>0</v>
      </c>
      <c r="J724" t="str">
        <f t="shared" si="47"/>
        <v/>
      </c>
    </row>
    <row r="725" spans="1:10" x14ac:dyDescent="0.25">
      <c r="A725" s="10" t="s">
        <v>54</v>
      </c>
      <c r="B725" s="11" t="s">
        <v>121</v>
      </c>
      <c r="C725" s="11" t="s">
        <v>38</v>
      </c>
      <c r="D725" s="12">
        <v>41937</v>
      </c>
      <c r="E725" s="12">
        <v>41937</v>
      </c>
      <c r="F725" s="13">
        <v>278.8</v>
      </c>
      <c r="G725">
        <f t="shared" si="44"/>
        <v>1</v>
      </c>
      <c r="H725">
        <f t="shared" si="45"/>
        <v>30</v>
      </c>
      <c r="I725">
        <f t="shared" si="46"/>
        <v>0</v>
      </c>
      <c r="J725" t="str">
        <f t="shared" si="47"/>
        <v/>
      </c>
    </row>
    <row r="726" spans="1:10" x14ac:dyDescent="0.25">
      <c r="A726" s="6" t="s">
        <v>12</v>
      </c>
      <c r="B726" s="7" t="s">
        <v>95</v>
      </c>
      <c r="C726" s="7" t="s">
        <v>27</v>
      </c>
      <c r="D726" s="8">
        <v>41937</v>
      </c>
      <c r="E726" s="8">
        <v>41938</v>
      </c>
      <c r="F726" s="9">
        <v>570</v>
      </c>
      <c r="G726">
        <f t="shared" si="44"/>
        <v>2</v>
      </c>
      <c r="H726">
        <f t="shared" si="45"/>
        <v>54</v>
      </c>
      <c r="I726">
        <f t="shared" si="46"/>
        <v>1</v>
      </c>
      <c r="J726">
        <f t="shared" si="47"/>
        <v>1</v>
      </c>
    </row>
    <row r="727" spans="1:10" x14ac:dyDescent="0.25">
      <c r="A727" s="10" t="s">
        <v>31</v>
      </c>
      <c r="B727" s="11" t="s">
        <v>32</v>
      </c>
      <c r="C727" s="11" t="s">
        <v>19</v>
      </c>
      <c r="D727" s="12">
        <v>41938</v>
      </c>
      <c r="E727" s="12">
        <v>41938</v>
      </c>
      <c r="F727" s="13">
        <v>513.4</v>
      </c>
      <c r="G727">
        <f t="shared" si="44"/>
        <v>1</v>
      </c>
      <c r="H727">
        <f t="shared" si="45"/>
        <v>30</v>
      </c>
      <c r="I727">
        <f t="shared" si="46"/>
        <v>0</v>
      </c>
      <c r="J727" t="str">
        <f t="shared" si="47"/>
        <v/>
      </c>
    </row>
    <row r="728" spans="1:10" x14ac:dyDescent="0.25">
      <c r="A728" s="6" t="s">
        <v>170</v>
      </c>
      <c r="B728" s="7" t="s">
        <v>171</v>
      </c>
      <c r="C728" s="7" t="s">
        <v>66</v>
      </c>
      <c r="D728" s="8">
        <v>41939</v>
      </c>
      <c r="E728" s="8">
        <v>41939</v>
      </c>
      <c r="F728" s="9">
        <v>307.7</v>
      </c>
      <c r="G728">
        <f t="shared" si="44"/>
        <v>1</v>
      </c>
      <c r="H728">
        <f t="shared" si="45"/>
        <v>30</v>
      </c>
      <c r="I728">
        <f t="shared" si="46"/>
        <v>0</v>
      </c>
      <c r="J728" t="str">
        <f t="shared" si="47"/>
        <v/>
      </c>
    </row>
    <row r="729" spans="1:10" x14ac:dyDescent="0.25">
      <c r="A729" s="10" t="s">
        <v>54</v>
      </c>
      <c r="B729" s="11" t="s">
        <v>55</v>
      </c>
      <c r="C729" s="11" t="s">
        <v>14</v>
      </c>
      <c r="D729" s="12">
        <v>41940</v>
      </c>
      <c r="E729" s="12">
        <v>41942</v>
      </c>
      <c r="F729" s="13">
        <v>426.5</v>
      </c>
      <c r="G729">
        <f t="shared" si="44"/>
        <v>3</v>
      </c>
      <c r="H729">
        <f t="shared" si="45"/>
        <v>78</v>
      </c>
      <c r="I729">
        <f t="shared" si="46"/>
        <v>2</v>
      </c>
      <c r="J729">
        <f t="shared" si="47"/>
        <v>2</v>
      </c>
    </row>
    <row r="730" spans="1:10" x14ac:dyDescent="0.25">
      <c r="A730" s="6" t="s">
        <v>82</v>
      </c>
      <c r="B730" s="7" t="s">
        <v>83</v>
      </c>
      <c r="C730" s="7" t="s">
        <v>38</v>
      </c>
      <c r="D730" s="8">
        <v>41941</v>
      </c>
      <c r="E730" s="8">
        <v>41942</v>
      </c>
      <c r="F730" s="9">
        <v>407.8</v>
      </c>
      <c r="G730">
        <f t="shared" si="44"/>
        <v>2</v>
      </c>
      <c r="H730">
        <f t="shared" si="45"/>
        <v>54</v>
      </c>
      <c r="I730">
        <f t="shared" si="46"/>
        <v>1</v>
      </c>
      <c r="J730">
        <f t="shared" si="47"/>
        <v>1</v>
      </c>
    </row>
    <row r="731" spans="1:10" x14ac:dyDescent="0.25">
      <c r="A731" s="10" t="s">
        <v>31</v>
      </c>
      <c r="B731" s="11" t="s">
        <v>32</v>
      </c>
      <c r="C731" s="11" t="s">
        <v>19</v>
      </c>
      <c r="D731" s="12">
        <v>41941</v>
      </c>
      <c r="E731" s="12">
        <v>41941</v>
      </c>
      <c r="F731" s="13">
        <v>513.4</v>
      </c>
      <c r="G731">
        <f t="shared" si="44"/>
        <v>1</v>
      </c>
      <c r="H731">
        <f t="shared" si="45"/>
        <v>30</v>
      </c>
      <c r="I731">
        <f t="shared" si="46"/>
        <v>0</v>
      </c>
      <c r="J731" t="str">
        <f t="shared" si="47"/>
        <v/>
      </c>
    </row>
    <row r="732" spans="1:10" x14ac:dyDescent="0.25">
      <c r="A732" s="6" t="s">
        <v>111</v>
      </c>
      <c r="B732" s="7" t="s">
        <v>112</v>
      </c>
      <c r="C732" s="7" t="s">
        <v>11</v>
      </c>
      <c r="D732" s="8">
        <v>41941</v>
      </c>
      <c r="E732" s="8">
        <v>41942</v>
      </c>
      <c r="F732" s="9">
        <v>295.39999999999998</v>
      </c>
      <c r="G732">
        <f t="shared" si="44"/>
        <v>2</v>
      </c>
      <c r="H732">
        <f t="shared" si="45"/>
        <v>54</v>
      </c>
      <c r="I732">
        <f t="shared" si="46"/>
        <v>1</v>
      </c>
      <c r="J732">
        <f t="shared" si="47"/>
        <v>1</v>
      </c>
    </row>
    <row r="733" spans="1:10" x14ac:dyDescent="0.25">
      <c r="A733" s="10" t="s">
        <v>113</v>
      </c>
      <c r="B733" s="11" t="s">
        <v>114</v>
      </c>
      <c r="C733" s="11" t="s">
        <v>24</v>
      </c>
      <c r="D733" s="12">
        <v>41941</v>
      </c>
      <c r="E733" s="12">
        <v>41942</v>
      </c>
      <c r="F733" s="13">
        <v>439.7</v>
      </c>
      <c r="G733">
        <f t="shared" si="44"/>
        <v>2</v>
      </c>
      <c r="H733">
        <f t="shared" si="45"/>
        <v>54</v>
      </c>
      <c r="I733">
        <f t="shared" si="46"/>
        <v>1</v>
      </c>
      <c r="J733">
        <f t="shared" si="47"/>
        <v>1</v>
      </c>
    </row>
    <row r="734" spans="1:10" x14ac:dyDescent="0.25">
      <c r="A734" s="6" t="s">
        <v>91</v>
      </c>
      <c r="B734" s="7" t="s">
        <v>92</v>
      </c>
      <c r="C734" s="7" t="s">
        <v>24</v>
      </c>
      <c r="D734" s="8">
        <v>41941</v>
      </c>
      <c r="E734" s="8">
        <v>41945</v>
      </c>
      <c r="F734" s="9">
        <v>886.7</v>
      </c>
      <c r="G734">
        <f t="shared" si="44"/>
        <v>5</v>
      </c>
      <c r="H734">
        <f t="shared" si="45"/>
        <v>126</v>
      </c>
      <c r="I734">
        <f t="shared" si="46"/>
        <v>4</v>
      </c>
      <c r="J734">
        <f t="shared" si="47"/>
        <v>4</v>
      </c>
    </row>
    <row r="735" spans="1:10" x14ac:dyDescent="0.25">
      <c r="A735" s="10" t="s">
        <v>12</v>
      </c>
      <c r="B735" s="11" t="s">
        <v>95</v>
      </c>
      <c r="C735" s="11" t="s">
        <v>27</v>
      </c>
      <c r="D735" s="12">
        <v>41941</v>
      </c>
      <c r="E735" s="12">
        <v>41943</v>
      </c>
      <c r="F735" s="13">
        <v>698</v>
      </c>
      <c r="G735">
        <f t="shared" si="44"/>
        <v>3</v>
      </c>
      <c r="H735">
        <f t="shared" si="45"/>
        <v>78</v>
      </c>
      <c r="I735">
        <f t="shared" si="46"/>
        <v>2</v>
      </c>
      <c r="J735">
        <f t="shared" si="47"/>
        <v>2</v>
      </c>
    </row>
    <row r="736" spans="1:10" x14ac:dyDescent="0.25">
      <c r="A736" s="6" t="s">
        <v>20</v>
      </c>
      <c r="B736" s="7" t="s">
        <v>21</v>
      </c>
      <c r="C736" s="7" t="s">
        <v>66</v>
      </c>
      <c r="D736" s="8">
        <v>41941</v>
      </c>
      <c r="E736" s="8">
        <v>41941</v>
      </c>
      <c r="F736" s="9">
        <v>307.7</v>
      </c>
      <c r="G736">
        <f t="shared" si="44"/>
        <v>1</v>
      </c>
      <c r="H736">
        <f t="shared" si="45"/>
        <v>30</v>
      </c>
      <c r="I736">
        <f t="shared" si="46"/>
        <v>0</v>
      </c>
      <c r="J736" t="str">
        <f t="shared" si="47"/>
        <v/>
      </c>
    </row>
    <row r="737" spans="1:10" x14ac:dyDescent="0.25">
      <c r="A737" s="10" t="s">
        <v>93</v>
      </c>
      <c r="B737" s="11" t="s">
        <v>124</v>
      </c>
      <c r="C737" s="11" t="s">
        <v>11</v>
      </c>
      <c r="D737" s="12">
        <v>41946</v>
      </c>
      <c r="E737" s="12">
        <v>41947</v>
      </c>
      <c r="F737" s="13">
        <v>295.39999999999998</v>
      </c>
      <c r="G737">
        <f t="shared" si="44"/>
        <v>2</v>
      </c>
      <c r="H737">
        <f t="shared" si="45"/>
        <v>54</v>
      </c>
      <c r="I737">
        <f t="shared" si="46"/>
        <v>1</v>
      </c>
      <c r="J737">
        <f t="shared" si="47"/>
        <v>1</v>
      </c>
    </row>
    <row r="738" spans="1:10" x14ac:dyDescent="0.25">
      <c r="A738" s="6" t="s">
        <v>54</v>
      </c>
      <c r="B738" s="7" t="s">
        <v>81</v>
      </c>
      <c r="C738" s="7" t="s">
        <v>17</v>
      </c>
      <c r="D738" s="8">
        <v>41946</v>
      </c>
      <c r="E738" s="8">
        <v>41946</v>
      </c>
      <c r="F738" s="9">
        <v>501.5</v>
      </c>
      <c r="G738">
        <f t="shared" si="44"/>
        <v>1</v>
      </c>
      <c r="H738">
        <f t="shared" si="45"/>
        <v>30</v>
      </c>
      <c r="I738">
        <f t="shared" si="46"/>
        <v>0</v>
      </c>
      <c r="J738" t="str">
        <f t="shared" si="47"/>
        <v/>
      </c>
    </row>
    <row r="739" spans="1:10" x14ac:dyDescent="0.25">
      <c r="A739" s="10" t="s">
        <v>131</v>
      </c>
      <c r="B739" s="11" t="s">
        <v>142</v>
      </c>
      <c r="C739" s="11" t="s">
        <v>38</v>
      </c>
      <c r="D739" s="12">
        <v>41946</v>
      </c>
      <c r="E739" s="12">
        <v>41949</v>
      </c>
      <c r="F739" s="13">
        <v>665.8</v>
      </c>
      <c r="G739">
        <f t="shared" si="44"/>
        <v>4</v>
      </c>
      <c r="H739">
        <f t="shared" si="45"/>
        <v>102</v>
      </c>
      <c r="I739">
        <f t="shared" si="46"/>
        <v>3</v>
      </c>
      <c r="J739">
        <f t="shared" si="47"/>
        <v>3</v>
      </c>
    </row>
    <row r="740" spans="1:10" x14ac:dyDescent="0.25">
      <c r="A740" s="6" t="s">
        <v>115</v>
      </c>
      <c r="B740" s="7" t="s">
        <v>140</v>
      </c>
      <c r="C740" s="7" t="s">
        <v>47</v>
      </c>
      <c r="D740" s="8">
        <v>41946</v>
      </c>
      <c r="E740" s="8">
        <v>41950</v>
      </c>
      <c r="F740" s="9">
        <v>1015.8</v>
      </c>
      <c r="G740">
        <f t="shared" si="44"/>
        <v>5</v>
      </c>
      <c r="H740">
        <f t="shared" si="45"/>
        <v>126</v>
      </c>
      <c r="I740">
        <f t="shared" si="46"/>
        <v>4</v>
      </c>
      <c r="J740">
        <f t="shared" si="47"/>
        <v>4</v>
      </c>
    </row>
    <row r="741" spans="1:10" x14ac:dyDescent="0.25">
      <c r="A741" s="10" t="s">
        <v>9</v>
      </c>
      <c r="B741" s="11" t="s">
        <v>10</v>
      </c>
      <c r="C741" s="11" t="s">
        <v>24</v>
      </c>
      <c r="D741" s="12">
        <v>41946</v>
      </c>
      <c r="E741" s="12">
        <v>41947</v>
      </c>
      <c r="F741" s="13">
        <v>439.7</v>
      </c>
      <c r="G741">
        <f t="shared" si="44"/>
        <v>2</v>
      </c>
      <c r="H741">
        <f t="shared" si="45"/>
        <v>54</v>
      </c>
      <c r="I741">
        <f t="shared" si="46"/>
        <v>1</v>
      </c>
      <c r="J741">
        <f t="shared" si="47"/>
        <v>1</v>
      </c>
    </row>
    <row r="742" spans="1:10" x14ac:dyDescent="0.25">
      <c r="A742" s="6" t="s">
        <v>9</v>
      </c>
      <c r="B742" s="7" t="s">
        <v>69</v>
      </c>
      <c r="C742" s="7" t="s">
        <v>47</v>
      </c>
      <c r="D742" s="8">
        <v>41946</v>
      </c>
      <c r="E742" s="8">
        <v>41946</v>
      </c>
      <c r="F742" s="9">
        <v>363.8</v>
      </c>
      <c r="G742">
        <f t="shared" si="44"/>
        <v>1</v>
      </c>
      <c r="H742">
        <f t="shared" si="45"/>
        <v>30</v>
      </c>
      <c r="I742">
        <f t="shared" si="46"/>
        <v>0</v>
      </c>
      <c r="J742" t="str">
        <f t="shared" si="47"/>
        <v/>
      </c>
    </row>
    <row r="743" spans="1:10" x14ac:dyDescent="0.25">
      <c r="A743" s="10" t="s">
        <v>101</v>
      </c>
      <c r="B743" s="11" t="s">
        <v>102</v>
      </c>
      <c r="C743" s="11" t="s">
        <v>59</v>
      </c>
      <c r="D743" s="12">
        <v>41946</v>
      </c>
      <c r="E743" s="12">
        <v>41947</v>
      </c>
      <c r="F743" s="13">
        <v>601</v>
      </c>
      <c r="G743">
        <f t="shared" si="44"/>
        <v>2</v>
      </c>
      <c r="H743">
        <f t="shared" si="45"/>
        <v>54</v>
      </c>
      <c r="I743">
        <f t="shared" si="46"/>
        <v>1</v>
      </c>
      <c r="J743">
        <f t="shared" si="47"/>
        <v>1</v>
      </c>
    </row>
    <row r="744" spans="1:10" x14ac:dyDescent="0.25">
      <c r="A744" s="6" t="s">
        <v>143</v>
      </c>
      <c r="B744" s="7" t="s">
        <v>144</v>
      </c>
      <c r="C744" s="7" t="s">
        <v>59</v>
      </c>
      <c r="D744" s="8">
        <v>41946</v>
      </c>
      <c r="E744" s="8">
        <v>41947</v>
      </c>
      <c r="F744" s="9">
        <v>601</v>
      </c>
      <c r="G744">
        <f t="shared" si="44"/>
        <v>2</v>
      </c>
      <c r="H744">
        <f t="shared" si="45"/>
        <v>54</v>
      </c>
      <c r="I744">
        <f t="shared" si="46"/>
        <v>1</v>
      </c>
      <c r="J744">
        <f t="shared" si="47"/>
        <v>1</v>
      </c>
    </row>
    <row r="745" spans="1:10" x14ac:dyDescent="0.25">
      <c r="A745" s="10" t="s">
        <v>164</v>
      </c>
      <c r="B745" s="11" t="s">
        <v>165</v>
      </c>
      <c r="C745" s="11" t="s">
        <v>72</v>
      </c>
      <c r="D745" s="12">
        <v>41946</v>
      </c>
      <c r="E745" s="12">
        <v>41946</v>
      </c>
      <c r="F745" s="13">
        <v>494.7</v>
      </c>
      <c r="G745">
        <f t="shared" si="44"/>
        <v>1</v>
      </c>
      <c r="H745">
        <f t="shared" si="45"/>
        <v>30</v>
      </c>
      <c r="I745">
        <f t="shared" si="46"/>
        <v>0</v>
      </c>
      <c r="J745" t="str">
        <f t="shared" si="47"/>
        <v/>
      </c>
    </row>
    <row r="746" spans="1:10" x14ac:dyDescent="0.25">
      <c r="A746" s="6" t="s">
        <v>54</v>
      </c>
      <c r="B746" s="7" t="s">
        <v>121</v>
      </c>
      <c r="C746" s="7" t="s">
        <v>24</v>
      </c>
      <c r="D746" s="8">
        <v>41946</v>
      </c>
      <c r="E746" s="8">
        <v>41950</v>
      </c>
      <c r="F746" s="9">
        <v>886.7</v>
      </c>
      <c r="G746">
        <f t="shared" si="44"/>
        <v>5</v>
      </c>
      <c r="H746">
        <f t="shared" si="45"/>
        <v>126</v>
      </c>
      <c r="I746">
        <f t="shared" si="46"/>
        <v>4</v>
      </c>
      <c r="J746">
        <f t="shared" si="47"/>
        <v>4</v>
      </c>
    </row>
    <row r="747" spans="1:10" x14ac:dyDescent="0.25">
      <c r="A747" s="10" t="s">
        <v>151</v>
      </c>
      <c r="B747" s="11" t="s">
        <v>152</v>
      </c>
      <c r="C747" s="11" t="s">
        <v>72</v>
      </c>
      <c r="D747" s="12">
        <v>41946</v>
      </c>
      <c r="E747" s="12">
        <v>41946</v>
      </c>
      <c r="F747" s="13">
        <v>494.7</v>
      </c>
      <c r="G747">
        <f t="shared" si="44"/>
        <v>1</v>
      </c>
      <c r="H747">
        <f t="shared" si="45"/>
        <v>30</v>
      </c>
      <c r="I747">
        <f t="shared" si="46"/>
        <v>0</v>
      </c>
      <c r="J747" t="str">
        <f t="shared" si="47"/>
        <v/>
      </c>
    </row>
    <row r="748" spans="1:10" x14ac:dyDescent="0.25">
      <c r="A748" s="6" t="s">
        <v>75</v>
      </c>
      <c r="B748" s="7" t="s">
        <v>88</v>
      </c>
      <c r="C748" s="7" t="s">
        <v>38</v>
      </c>
      <c r="D748" s="8">
        <v>41946</v>
      </c>
      <c r="E748" s="8">
        <v>41946</v>
      </c>
      <c r="F748" s="9">
        <v>278.8</v>
      </c>
      <c r="G748">
        <f t="shared" si="44"/>
        <v>1</v>
      </c>
      <c r="H748">
        <f t="shared" si="45"/>
        <v>30</v>
      </c>
      <c r="I748">
        <f t="shared" si="46"/>
        <v>0</v>
      </c>
      <c r="J748" t="str">
        <f t="shared" si="47"/>
        <v/>
      </c>
    </row>
    <row r="749" spans="1:10" x14ac:dyDescent="0.25">
      <c r="A749" s="10" t="s">
        <v>147</v>
      </c>
      <c r="B749" s="11" t="s">
        <v>148</v>
      </c>
      <c r="C749" s="11" t="s">
        <v>27</v>
      </c>
      <c r="D749" s="12">
        <v>41946</v>
      </c>
      <c r="E749" s="12">
        <v>41947</v>
      </c>
      <c r="F749" s="13">
        <v>570</v>
      </c>
      <c r="G749">
        <f t="shared" si="44"/>
        <v>2</v>
      </c>
      <c r="H749">
        <f t="shared" si="45"/>
        <v>54</v>
      </c>
      <c r="I749">
        <f t="shared" si="46"/>
        <v>1</v>
      </c>
      <c r="J749">
        <f t="shared" si="47"/>
        <v>1</v>
      </c>
    </row>
    <row r="750" spans="1:10" x14ac:dyDescent="0.25">
      <c r="A750" s="6" t="s">
        <v>166</v>
      </c>
      <c r="B750" s="7" t="s">
        <v>167</v>
      </c>
      <c r="C750" s="7" t="s">
        <v>24</v>
      </c>
      <c r="D750" s="8">
        <v>41946</v>
      </c>
      <c r="E750" s="8">
        <v>41947</v>
      </c>
      <c r="F750" s="9">
        <v>439.7</v>
      </c>
      <c r="G750">
        <f t="shared" si="44"/>
        <v>2</v>
      </c>
      <c r="H750">
        <f t="shared" si="45"/>
        <v>54</v>
      </c>
      <c r="I750">
        <f t="shared" si="46"/>
        <v>1</v>
      </c>
      <c r="J750">
        <f t="shared" si="47"/>
        <v>1</v>
      </c>
    </row>
    <row r="751" spans="1:10" x14ac:dyDescent="0.25">
      <c r="A751" s="10" t="s">
        <v>20</v>
      </c>
      <c r="B751" s="11" t="s">
        <v>162</v>
      </c>
      <c r="C751" s="11" t="s">
        <v>30</v>
      </c>
      <c r="D751" s="12">
        <v>41946</v>
      </c>
      <c r="E751" s="12">
        <v>41947</v>
      </c>
      <c r="F751" s="13">
        <v>331.5</v>
      </c>
      <c r="G751">
        <f t="shared" si="44"/>
        <v>2</v>
      </c>
      <c r="H751">
        <f t="shared" si="45"/>
        <v>54</v>
      </c>
      <c r="I751">
        <f t="shared" si="46"/>
        <v>1</v>
      </c>
      <c r="J751">
        <f t="shared" si="47"/>
        <v>1</v>
      </c>
    </row>
    <row r="752" spans="1:10" x14ac:dyDescent="0.25">
      <c r="A752" s="6" t="s">
        <v>39</v>
      </c>
      <c r="B752" s="7" t="s">
        <v>40</v>
      </c>
      <c r="C752" s="7" t="s">
        <v>11</v>
      </c>
      <c r="D752" s="8">
        <v>41946</v>
      </c>
      <c r="E752" s="8">
        <v>41950</v>
      </c>
      <c r="F752" s="9">
        <v>712.4</v>
      </c>
      <c r="G752">
        <f t="shared" si="44"/>
        <v>5</v>
      </c>
      <c r="H752">
        <f t="shared" si="45"/>
        <v>126</v>
      </c>
      <c r="I752">
        <f t="shared" si="46"/>
        <v>4</v>
      </c>
      <c r="J752">
        <f t="shared" si="47"/>
        <v>4</v>
      </c>
    </row>
    <row r="753" spans="1:10" x14ac:dyDescent="0.25">
      <c r="A753" s="10" t="s">
        <v>113</v>
      </c>
      <c r="B753" s="11" t="s">
        <v>114</v>
      </c>
      <c r="C753" s="11" t="s">
        <v>11</v>
      </c>
      <c r="D753" s="12">
        <v>41946</v>
      </c>
      <c r="E753" s="12">
        <v>41947</v>
      </c>
      <c r="F753" s="13">
        <v>295.39999999999998</v>
      </c>
      <c r="G753">
        <f t="shared" si="44"/>
        <v>2</v>
      </c>
      <c r="H753">
        <f t="shared" si="45"/>
        <v>54</v>
      </c>
      <c r="I753">
        <f t="shared" si="46"/>
        <v>1</v>
      </c>
      <c r="J753">
        <f t="shared" si="47"/>
        <v>1</v>
      </c>
    </row>
    <row r="754" spans="1:10" x14ac:dyDescent="0.25">
      <c r="A754" s="6" t="s">
        <v>64</v>
      </c>
      <c r="B754" s="7" t="s">
        <v>65</v>
      </c>
      <c r="C754" s="7" t="s">
        <v>11</v>
      </c>
      <c r="D754" s="8">
        <v>41946</v>
      </c>
      <c r="E754" s="8">
        <v>41950</v>
      </c>
      <c r="F754" s="9">
        <v>712.4</v>
      </c>
      <c r="G754">
        <f t="shared" si="44"/>
        <v>5</v>
      </c>
      <c r="H754">
        <f t="shared" si="45"/>
        <v>126</v>
      </c>
      <c r="I754">
        <f t="shared" si="46"/>
        <v>4</v>
      </c>
      <c r="J754">
        <f t="shared" si="47"/>
        <v>4</v>
      </c>
    </row>
    <row r="755" spans="1:10" x14ac:dyDescent="0.25">
      <c r="A755" s="10" t="s">
        <v>173</v>
      </c>
      <c r="B755" s="11" t="s">
        <v>174</v>
      </c>
      <c r="C755" s="11" t="s">
        <v>72</v>
      </c>
      <c r="D755" s="12">
        <v>41947</v>
      </c>
      <c r="E755" s="12">
        <v>41949</v>
      </c>
      <c r="F755" s="13">
        <v>892.7</v>
      </c>
      <c r="G755">
        <f t="shared" si="44"/>
        <v>3</v>
      </c>
      <c r="H755">
        <f t="shared" si="45"/>
        <v>78</v>
      </c>
      <c r="I755">
        <f t="shared" si="46"/>
        <v>2</v>
      </c>
      <c r="J755">
        <f t="shared" si="47"/>
        <v>2</v>
      </c>
    </row>
    <row r="756" spans="1:10" x14ac:dyDescent="0.25">
      <c r="A756" s="6" t="s">
        <v>6</v>
      </c>
      <c r="B756" s="7" t="s">
        <v>7</v>
      </c>
      <c r="C756" s="7" t="s">
        <v>14</v>
      </c>
      <c r="D756" s="8">
        <v>41947</v>
      </c>
      <c r="E756" s="8">
        <v>41949</v>
      </c>
      <c r="F756" s="9">
        <v>426.5</v>
      </c>
      <c r="G756">
        <f t="shared" si="44"/>
        <v>3</v>
      </c>
      <c r="H756">
        <f t="shared" si="45"/>
        <v>78</v>
      </c>
      <c r="I756">
        <f t="shared" si="46"/>
        <v>2</v>
      </c>
      <c r="J756">
        <f t="shared" si="47"/>
        <v>2</v>
      </c>
    </row>
    <row r="757" spans="1:10" x14ac:dyDescent="0.25">
      <c r="A757" s="10" t="s">
        <v>48</v>
      </c>
      <c r="B757" s="11" t="s">
        <v>49</v>
      </c>
      <c r="C757" s="11" t="s">
        <v>8</v>
      </c>
      <c r="D757" s="12">
        <v>41947</v>
      </c>
      <c r="E757" s="12">
        <v>41949</v>
      </c>
      <c r="F757" s="13">
        <v>1102</v>
      </c>
      <c r="G757">
        <f t="shared" si="44"/>
        <v>3</v>
      </c>
      <c r="H757">
        <f t="shared" si="45"/>
        <v>78</v>
      </c>
      <c r="I757">
        <f t="shared" si="46"/>
        <v>2</v>
      </c>
      <c r="J757">
        <f t="shared" si="47"/>
        <v>2</v>
      </c>
    </row>
    <row r="758" spans="1:10" x14ac:dyDescent="0.25">
      <c r="A758" s="6" t="s">
        <v>22</v>
      </c>
      <c r="B758" s="7" t="s">
        <v>172</v>
      </c>
      <c r="C758" s="7" t="s">
        <v>17</v>
      </c>
      <c r="D758" s="8">
        <v>41947</v>
      </c>
      <c r="E758" s="8">
        <v>41949</v>
      </c>
      <c r="F758" s="9">
        <v>911.5</v>
      </c>
      <c r="G758">
        <f t="shared" si="44"/>
        <v>3</v>
      </c>
      <c r="H758">
        <f t="shared" si="45"/>
        <v>78</v>
      </c>
      <c r="I758">
        <f t="shared" si="46"/>
        <v>2</v>
      </c>
      <c r="J758">
        <f t="shared" si="47"/>
        <v>2</v>
      </c>
    </row>
    <row r="759" spans="1:10" x14ac:dyDescent="0.25">
      <c r="A759" s="10" t="s">
        <v>28</v>
      </c>
      <c r="B759" s="11" t="s">
        <v>29</v>
      </c>
      <c r="C759" s="11" t="s">
        <v>47</v>
      </c>
      <c r="D759" s="12">
        <v>41947</v>
      </c>
      <c r="E759" s="12">
        <v>41948</v>
      </c>
      <c r="F759" s="13">
        <v>526.79999999999995</v>
      </c>
      <c r="G759">
        <f t="shared" si="44"/>
        <v>2</v>
      </c>
      <c r="H759">
        <f t="shared" si="45"/>
        <v>54</v>
      </c>
      <c r="I759">
        <f t="shared" si="46"/>
        <v>1</v>
      </c>
      <c r="J759">
        <f t="shared" si="47"/>
        <v>1</v>
      </c>
    </row>
    <row r="760" spans="1:10" x14ac:dyDescent="0.25">
      <c r="A760" s="6" t="s">
        <v>33</v>
      </c>
      <c r="B760" s="7" t="s">
        <v>34</v>
      </c>
      <c r="C760" s="7" t="s">
        <v>14</v>
      </c>
      <c r="D760" s="8">
        <v>41947</v>
      </c>
      <c r="E760" s="8">
        <v>41951</v>
      </c>
      <c r="F760" s="9">
        <v>674.5</v>
      </c>
      <c r="G760">
        <f t="shared" si="44"/>
        <v>5</v>
      </c>
      <c r="H760">
        <f t="shared" si="45"/>
        <v>126</v>
      </c>
      <c r="I760">
        <f t="shared" si="46"/>
        <v>4</v>
      </c>
      <c r="J760">
        <f t="shared" si="47"/>
        <v>4</v>
      </c>
    </row>
    <row r="761" spans="1:10" x14ac:dyDescent="0.25">
      <c r="A761" s="10" t="s">
        <v>73</v>
      </c>
      <c r="B761" s="11" t="s">
        <v>74</v>
      </c>
      <c r="C761" s="11" t="s">
        <v>47</v>
      </c>
      <c r="D761" s="12">
        <v>41947</v>
      </c>
      <c r="E761" s="12">
        <v>41950</v>
      </c>
      <c r="F761" s="13">
        <v>852.8</v>
      </c>
      <c r="G761">
        <f t="shared" si="44"/>
        <v>4</v>
      </c>
      <c r="H761">
        <f t="shared" si="45"/>
        <v>102</v>
      </c>
      <c r="I761">
        <f t="shared" si="46"/>
        <v>3</v>
      </c>
      <c r="J761">
        <f t="shared" si="47"/>
        <v>3</v>
      </c>
    </row>
    <row r="762" spans="1:10" x14ac:dyDescent="0.25">
      <c r="A762" s="6" t="s">
        <v>25</v>
      </c>
      <c r="B762" s="7" t="s">
        <v>35</v>
      </c>
      <c r="C762" s="7" t="s">
        <v>72</v>
      </c>
      <c r="D762" s="8">
        <v>41947</v>
      </c>
      <c r="E762" s="8">
        <v>41951</v>
      </c>
      <c r="F762" s="9">
        <v>1290.7</v>
      </c>
      <c r="G762">
        <f t="shared" si="44"/>
        <v>5</v>
      </c>
      <c r="H762">
        <f t="shared" si="45"/>
        <v>126</v>
      </c>
      <c r="I762">
        <f t="shared" si="46"/>
        <v>4</v>
      </c>
      <c r="J762">
        <f t="shared" si="47"/>
        <v>4</v>
      </c>
    </row>
    <row r="763" spans="1:10" x14ac:dyDescent="0.25">
      <c r="A763" s="10" t="s">
        <v>12</v>
      </c>
      <c r="B763" s="11" t="s">
        <v>13</v>
      </c>
      <c r="C763" s="11" t="s">
        <v>17</v>
      </c>
      <c r="D763" s="12">
        <v>41947</v>
      </c>
      <c r="E763" s="12">
        <v>41948</v>
      </c>
      <c r="F763" s="13">
        <v>706.5</v>
      </c>
      <c r="G763">
        <f t="shared" si="44"/>
        <v>2</v>
      </c>
      <c r="H763">
        <f t="shared" si="45"/>
        <v>54</v>
      </c>
      <c r="I763">
        <f t="shared" si="46"/>
        <v>1</v>
      </c>
      <c r="J763">
        <f t="shared" si="47"/>
        <v>1</v>
      </c>
    </row>
    <row r="764" spans="1:10" x14ac:dyDescent="0.25">
      <c r="A764" s="6" t="s">
        <v>156</v>
      </c>
      <c r="B764" s="7" t="s">
        <v>157</v>
      </c>
      <c r="C764" s="7" t="s">
        <v>17</v>
      </c>
      <c r="D764" s="8">
        <v>41947</v>
      </c>
      <c r="E764" s="8">
        <v>41948</v>
      </c>
      <c r="F764" s="9">
        <v>706.5</v>
      </c>
      <c r="G764">
        <f t="shared" si="44"/>
        <v>2</v>
      </c>
      <c r="H764">
        <f t="shared" si="45"/>
        <v>54</v>
      </c>
      <c r="I764">
        <f t="shared" si="46"/>
        <v>1</v>
      </c>
      <c r="J764">
        <f t="shared" si="47"/>
        <v>1</v>
      </c>
    </row>
    <row r="765" spans="1:10" x14ac:dyDescent="0.25">
      <c r="A765" s="10" t="s">
        <v>134</v>
      </c>
      <c r="B765" s="11" t="s">
        <v>149</v>
      </c>
      <c r="C765" s="11" t="s">
        <v>17</v>
      </c>
      <c r="D765" s="12">
        <v>41947</v>
      </c>
      <c r="E765" s="12">
        <v>41947</v>
      </c>
      <c r="F765" s="13">
        <v>501.5</v>
      </c>
      <c r="G765">
        <f t="shared" si="44"/>
        <v>1</v>
      </c>
      <c r="H765">
        <f t="shared" si="45"/>
        <v>30</v>
      </c>
      <c r="I765">
        <f t="shared" si="46"/>
        <v>0</v>
      </c>
      <c r="J765" t="str">
        <f t="shared" si="47"/>
        <v/>
      </c>
    </row>
    <row r="766" spans="1:10" x14ac:dyDescent="0.25">
      <c r="A766" s="6" t="s">
        <v>111</v>
      </c>
      <c r="B766" s="7" t="s">
        <v>112</v>
      </c>
      <c r="C766" s="7" t="s">
        <v>66</v>
      </c>
      <c r="D766" s="8">
        <v>41947</v>
      </c>
      <c r="E766" s="8">
        <v>41948</v>
      </c>
      <c r="F766" s="9">
        <v>485.7</v>
      </c>
      <c r="G766">
        <f t="shared" si="44"/>
        <v>2</v>
      </c>
      <c r="H766">
        <f t="shared" si="45"/>
        <v>54</v>
      </c>
      <c r="I766">
        <f t="shared" si="46"/>
        <v>1</v>
      </c>
      <c r="J766">
        <f t="shared" si="47"/>
        <v>1</v>
      </c>
    </row>
    <row r="767" spans="1:10" x14ac:dyDescent="0.25">
      <c r="A767" s="10" t="s">
        <v>31</v>
      </c>
      <c r="B767" s="11" t="s">
        <v>77</v>
      </c>
      <c r="C767" s="11" t="s">
        <v>47</v>
      </c>
      <c r="D767" s="12">
        <v>41947</v>
      </c>
      <c r="E767" s="12">
        <v>41948</v>
      </c>
      <c r="F767" s="13">
        <v>526.79999999999995</v>
      </c>
      <c r="G767">
        <f t="shared" si="44"/>
        <v>2</v>
      </c>
      <c r="H767">
        <f t="shared" si="45"/>
        <v>54</v>
      </c>
      <c r="I767">
        <f t="shared" si="46"/>
        <v>1</v>
      </c>
      <c r="J767">
        <f t="shared" si="47"/>
        <v>1</v>
      </c>
    </row>
    <row r="768" spans="1:10" x14ac:dyDescent="0.25">
      <c r="A768" s="6" t="s">
        <v>15</v>
      </c>
      <c r="B768" s="7" t="s">
        <v>96</v>
      </c>
      <c r="C768" s="7" t="s">
        <v>66</v>
      </c>
      <c r="D768" s="8">
        <v>41947</v>
      </c>
      <c r="E768" s="8">
        <v>41950</v>
      </c>
      <c r="F768" s="9">
        <v>841.7</v>
      </c>
      <c r="G768">
        <f t="shared" si="44"/>
        <v>4</v>
      </c>
      <c r="H768">
        <f t="shared" si="45"/>
        <v>102</v>
      </c>
      <c r="I768">
        <f t="shared" si="46"/>
        <v>3</v>
      </c>
      <c r="J768">
        <f t="shared" si="47"/>
        <v>3</v>
      </c>
    </row>
    <row r="769" spans="1:10" x14ac:dyDescent="0.25">
      <c r="A769" s="10" t="s">
        <v>166</v>
      </c>
      <c r="B769" s="11" t="s">
        <v>167</v>
      </c>
      <c r="C769" s="11" t="s">
        <v>59</v>
      </c>
      <c r="D769" s="12">
        <v>41949</v>
      </c>
      <c r="E769" s="12">
        <v>41949</v>
      </c>
      <c r="F769" s="13">
        <v>442</v>
      </c>
      <c r="G769">
        <f t="shared" si="44"/>
        <v>1</v>
      </c>
      <c r="H769">
        <f t="shared" si="45"/>
        <v>30</v>
      </c>
      <c r="I769">
        <f t="shared" si="46"/>
        <v>0</v>
      </c>
      <c r="J769" t="str">
        <f t="shared" si="47"/>
        <v/>
      </c>
    </row>
    <row r="770" spans="1:10" x14ac:dyDescent="0.25">
      <c r="A770" s="6" t="s">
        <v>134</v>
      </c>
      <c r="B770" s="7" t="s">
        <v>149</v>
      </c>
      <c r="C770" s="7" t="s">
        <v>72</v>
      </c>
      <c r="D770" s="8">
        <v>41949</v>
      </c>
      <c r="E770" s="8">
        <v>41951</v>
      </c>
      <c r="F770" s="9">
        <v>892.7</v>
      </c>
      <c r="G770">
        <f t="shared" si="44"/>
        <v>3</v>
      </c>
      <c r="H770">
        <f t="shared" si="45"/>
        <v>78</v>
      </c>
      <c r="I770">
        <f t="shared" si="46"/>
        <v>2</v>
      </c>
      <c r="J770">
        <f t="shared" si="47"/>
        <v>2</v>
      </c>
    </row>
    <row r="771" spans="1:10" x14ac:dyDescent="0.25">
      <c r="A771" s="10" t="s">
        <v>9</v>
      </c>
      <c r="B771" s="11" t="s">
        <v>69</v>
      </c>
      <c r="C771" s="11" t="s">
        <v>30</v>
      </c>
      <c r="D771" s="12">
        <v>41950</v>
      </c>
      <c r="E771" s="12">
        <v>41951</v>
      </c>
      <c r="F771" s="13">
        <v>331.5</v>
      </c>
      <c r="G771">
        <f t="shared" ref="G771:G834" si="48">E771-D771 + 1</f>
        <v>2</v>
      </c>
      <c r="H771">
        <f t="shared" ref="H771:H834" si="49">30+(G771-1)*24</f>
        <v>54</v>
      </c>
      <c r="I771">
        <f t="shared" ref="I771:I834" si="50">G771-1</f>
        <v>1</v>
      </c>
      <c r="J771">
        <f t="shared" ref="J771:J834" si="51">IF(G771&gt;=2,I771,"")</f>
        <v>1</v>
      </c>
    </row>
    <row r="772" spans="1:10" x14ac:dyDescent="0.25">
      <c r="A772" s="6" t="s">
        <v>164</v>
      </c>
      <c r="B772" s="7" t="s">
        <v>165</v>
      </c>
      <c r="C772" s="7" t="s">
        <v>66</v>
      </c>
      <c r="D772" s="8">
        <v>41950</v>
      </c>
      <c r="E772" s="8">
        <v>41950</v>
      </c>
      <c r="F772" s="9">
        <v>307.7</v>
      </c>
      <c r="G772">
        <f t="shared" si="48"/>
        <v>1</v>
      </c>
      <c r="H772">
        <f t="shared" si="49"/>
        <v>30</v>
      </c>
      <c r="I772">
        <f t="shared" si="50"/>
        <v>0</v>
      </c>
      <c r="J772" t="str">
        <f t="shared" si="51"/>
        <v/>
      </c>
    </row>
    <row r="773" spans="1:10" x14ac:dyDescent="0.25">
      <c r="A773" s="10" t="s">
        <v>151</v>
      </c>
      <c r="B773" s="11" t="s">
        <v>152</v>
      </c>
      <c r="C773" s="11" t="s">
        <v>38</v>
      </c>
      <c r="D773" s="12">
        <v>41950</v>
      </c>
      <c r="E773" s="12">
        <v>41950</v>
      </c>
      <c r="F773" s="13">
        <v>278.8</v>
      </c>
      <c r="G773">
        <f t="shared" si="48"/>
        <v>1</v>
      </c>
      <c r="H773">
        <f t="shared" si="49"/>
        <v>30</v>
      </c>
      <c r="I773">
        <f t="shared" si="50"/>
        <v>0</v>
      </c>
      <c r="J773" t="str">
        <f t="shared" si="51"/>
        <v/>
      </c>
    </row>
    <row r="774" spans="1:10" x14ac:dyDescent="0.25">
      <c r="A774" s="6" t="s">
        <v>75</v>
      </c>
      <c r="B774" s="7" t="s">
        <v>88</v>
      </c>
      <c r="C774" s="7" t="s">
        <v>27</v>
      </c>
      <c r="D774" s="8">
        <v>41950</v>
      </c>
      <c r="E774" s="8">
        <v>41950</v>
      </c>
      <c r="F774" s="9">
        <v>442</v>
      </c>
      <c r="G774">
        <f t="shared" si="48"/>
        <v>1</v>
      </c>
      <c r="H774">
        <f t="shared" si="49"/>
        <v>30</v>
      </c>
      <c r="I774">
        <f t="shared" si="50"/>
        <v>0</v>
      </c>
      <c r="J774" t="str">
        <f t="shared" si="51"/>
        <v/>
      </c>
    </row>
    <row r="775" spans="1:10" x14ac:dyDescent="0.25">
      <c r="A775" s="10" t="s">
        <v>113</v>
      </c>
      <c r="B775" s="11" t="s">
        <v>114</v>
      </c>
      <c r="C775" s="11" t="s">
        <v>59</v>
      </c>
      <c r="D775" s="12">
        <v>41950</v>
      </c>
      <c r="E775" s="12">
        <v>41950</v>
      </c>
      <c r="F775" s="13">
        <v>442</v>
      </c>
      <c r="G775">
        <f t="shared" si="48"/>
        <v>1</v>
      </c>
      <c r="H775">
        <f t="shared" si="49"/>
        <v>30</v>
      </c>
      <c r="I775">
        <f t="shared" si="50"/>
        <v>0</v>
      </c>
      <c r="J775" t="str">
        <f t="shared" si="51"/>
        <v/>
      </c>
    </row>
    <row r="776" spans="1:10" x14ac:dyDescent="0.25">
      <c r="A776" s="6" t="s">
        <v>122</v>
      </c>
      <c r="B776" s="7" t="s">
        <v>123</v>
      </c>
      <c r="C776" s="7" t="s">
        <v>8</v>
      </c>
      <c r="D776" s="8">
        <v>41953</v>
      </c>
      <c r="E776" s="8">
        <v>41956</v>
      </c>
      <c r="F776" s="9">
        <v>1313</v>
      </c>
      <c r="G776">
        <f t="shared" si="48"/>
        <v>4</v>
      </c>
      <c r="H776">
        <f t="shared" si="49"/>
        <v>102</v>
      </c>
      <c r="I776">
        <f t="shared" si="50"/>
        <v>3</v>
      </c>
      <c r="J776">
        <f t="shared" si="51"/>
        <v>3</v>
      </c>
    </row>
    <row r="777" spans="1:10" x14ac:dyDescent="0.25">
      <c r="A777" s="10" t="s">
        <v>134</v>
      </c>
      <c r="B777" s="11" t="s">
        <v>149</v>
      </c>
      <c r="C777" s="11" t="s">
        <v>38</v>
      </c>
      <c r="D777" s="12">
        <v>41956</v>
      </c>
      <c r="E777" s="12">
        <v>41957</v>
      </c>
      <c r="F777" s="13">
        <v>407.8</v>
      </c>
      <c r="G777">
        <f t="shared" si="48"/>
        <v>2</v>
      </c>
      <c r="H777">
        <f t="shared" si="49"/>
        <v>54</v>
      </c>
      <c r="I777">
        <f t="shared" si="50"/>
        <v>1</v>
      </c>
      <c r="J777">
        <f t="shared" si="51"/>
        <v>1</v>
      </c>
    </row>
    <row r="778" spans="1:10" x14ac:dyDescent="0.25">
      <c r="A778" s="6" t="s">
        <v>39</v>
      </c>
      <c r="B778" s="7" t="s">
        <v>40</v>
      </c>
      <c r="C778" s="7" t="s">
        <v>24</v>
      </c>
      <c r="D778" s="8">
        <v>41957</v>
      </c>
      <c r="E778" s="8">
        <v>41957</v>
      </c>
      <c r="F778" s="9">
        <v>290.7</v>
      </c>
      <c r="G778">
        <f t="shared" si="48"/>
        <v>1</v>
      </c>
      <c r="H778">
        <f t="shared" si="49"/>
        <v>30</v>
      </c>
      <c r="I778">
        <f t="shared" si="50"/>
        <v>0</v>
      </c>
      <c r="J778" t="str">
        <f t="shared" si="51"/>
        <v/>
      </c>
    </row>
    <row r="779" spans="1:10" x14ac:dyDescent="0.25">
      <c r="A779" s="10" t="s">
        <v>128</v>
      </c>
      <c r="B779" s="11" t="s">
        <v>129</v>
      </c>
      <c r="C779" s="11" t="s">
        <v>8</v>
      </c>
      <c r="D779" s="12">
        <v>41958</v>
      </c>
      <c r="E779" s="12">
        <v>41958</v>
      </c>
      <c r="F779" s="13">
        <v>680</v>
      </c>
      <c r="G779">
        <f t="shared" si="48"/>
        <v>1</v>
      </c>
      <c r="H779">
        <f t="shared" si="49"/>
        <v>30</v>
      </c>
      <c r="I779">
        <f t="shared" si="50"/>
        <v>0</v>
      </c>
      <c r="J779" t="str">
        <f t="shared" si="51"/>
        <v/>
      </c>
    </row>
    <row r="780" spans="1:10" x14ac:dyDescent="0.25">
      <c r="A780" s="6" t="s">
        <v>84</v>
      </c>
      <c r="B780" s="7" t="s">
        <v>85</v>
      </c>
      <c r="C780" s="7" t="s">
        <v>8</v>
      </c>
      <c r="D780" s="8">
        <v>41958</v>
      </c>
      <c r="E780" s="8">
        <v>41962</v>
      </c>
      <c r="F780" s="9">
        <v>1524</v>
      </c>
      <c r="G780">
        <f t="shared" si="48"/>
        <v>5</v>
      </c>
      <c r="H780">
        <f t="shared" si="49"/>
        <v>126</v>
      </c>
      <c r="I780">
        <f t="shared" si="50"/>
        <v>4</v>
      </c>
      <c r="J780">
        <f t="shared" si="51"/>
        <v>4</v>
      </c>
    </row>
    <row r="781" spans="1:10" x14ac:dyDescent="0.25">
      <c r="A781" s="10" t="s">
        <v>6</v>
      </c>
      <c r="B781" s="11" t="s">
        <v>56</v>
      </c>
      <c r="C781" s="11" t="s">
        <v>14</v>
      </c>
      <c r="D781" s="12">
        <v>41958</v>
      </c>
      <c r="E781" s="12">
        <v>41958</v>
      </c>
      <c r="F781" s="13">
        <v>178.5</v>
      </c>
      <c r="G781">
        <f t="shared" si="48"/>
        <v>1</v>
      </c>
      <c r="H781">
        <f t="shared" si="49"/>
        <v>30</v>
      </c>
      <c r="I781">
        <f t="shared" si="50"/>
        <v>0</v>
      </c>
      <c r="J781" t="str">
        <f t="shared" si="51"/>
        <v/>
      </c>
    </row>
    <row r="782" spans="1:10" x14ac:dyDescent="0.25">
      <c r="A782" s="6" t="s">
        <v>134</v>
      </c>
      <c r="B782" s="7" t="s">
        <v>135</v>
      </c>
      <c r="C782" s="7" t="s">
        <v>27</v>
      </c>
      <c r="D782" s="8">
        <v>41958</v>
      </c>
      <c r="E782" s="8">
        <v>41960</v>
      </c>
      <c r="F782" s="9">
        <v>698</v>
      </c>
      <c r="G782">
        <f t="shared" si="48"/>
        <v>3</v>
      </c>
      <c r="H782">
        <f t="shared" si="49"/>
        <v>78</v>
      </c>
      <c r="I782">
        <f t="shared" si="50"/>
        <v>2</v>
      </c>
      <c r="J782">
        <f t="shared" si="51"/>
        <v>2</v>
      </c>
    </row>
    <row r="783" spans="1:10" x14ac:dyDescent="0.25">
      <c r="A783" s="10" t="s">
        <v>9</v>
      </c>
      <c r="B783" s="11" t="s">
        <v>69</v>
      </c>
      <c r="C783" s="11" t="s">
        <v>59</v>
      </c>
      <c r="D783" s="12">
        <v>41958</v>
      </c>
      <c r="E783" s="12">
        <v>41958</v>
      </c>
      <c r="F783" s="13">
        <v>442</v>
      </c>
      <c r="G783">
        <f t="shared" si="48"/>
        <v>1</v>
      </c>
      <c r="H783">
        <f t="shared" si="49"/>
        <v>30</v>
      </c>
      <c r="I783">
        <f t="shared" si="50"/>
        <v>0</v>
      </c>
      <c r="J783" t="str">
        <f t="shared" si="51"/>
        <v/>
      </c>
    </row>
    <row r="784" spans="1:10" x14ac:dyDescent="0.25">
      <c r="A784" s="6" t="s">
        <v>73</v>
      </c>
      <c r="B784" s="7" t="s">
        <v>104</v>
      </c>
      <c r="C784" s="7" t="s">
        <v>30</v>
      </c>
      <c r="D784" s="8">
        <v>41958</v>
      </c>
      <c r="E784" s="8">
        <v>41962</v>
      </c>
      <c r="F784" s="9">
        <v>688.5</v>
      </c>
      <c r="G784">
        <f t="shared" si="48"/>
        <v>5</v>
      </c>
      <c r="H784">
        <f t="shared" si="49"/>
        <v>126</v>
      </c>
      <c r="I784">
        <f t="shared" si="50"/>
        <v>4</v>
      </c>
      <c r="J784">
        <f t="shared" si="51"/>
        <v>4</v>
      </c>
    </row>
    <row r="785" spans="1:10" x14ac:dyDescent="0.25">
      <c r="A785" s="10" t="s">
        <v>15</v>
      </c>
      <c r="B785" s="11" t="s">
        <v>105</v>
      </c>
      <c r="C785" s="11" t="s">
        <v>66</v>
      </c>
      <c r="D785" s="12">
        <v>41958</v>
      </c>
      <c r="E785" s="12">
        <v>41961</v>
      </c>
      <c r="F785" s="13">
        <v>841.7</v>
      </c>
      <c r="G785">
        <f t="shared" si="48"/>
        <v>4</v>
      </c>
      <c r="H785">
        <f t="shared" si="49"/>
        <v>102</v>
      </c>
      <c r="I785">
        <f t="shared" si="50"/>
        <v>3</v>
      </c>
      <c r="J785">
        <f t="shared" si="51"/>
        <v>3</v>
      </c>
    </row>
    <row r="786" spans="1:10" x14ac:dyDescent="0.25">
      <c r="A786" s="6" t="s">
        <v>93</v>
      </c>
      <c r="B786" s="7" t="s">
        <v>106</v>
      </c>
      <c r="C786" s="7" t="s">
        <v>27</v>
      </c>
      <c r="D786" s="8">
        <v>41958</v>
      </c>
      <c r="E786" s="8">
        <v>41958</v>
      </c>
      <c r="F786" s="9">
        <v>442</v>
      </c>
      <c r="G786">
        <f t="shared" si="48"/>
        <v>1</v>
      </c>
      <c r="H786">
        <f t="shared" si="49"/>
        <v>30</v>
      </c>
      <c r="I786">
        <f t="shared" si="50"/>
        <v>0</v>
      </c>
      <c r="J786" t="str">
        <f t="shared" si="51"/>
        <v/>
      </c>
    </row>
    <row r="787" spans="1:10" x14ac:dyDescent="0.25">
      <c r="A787" s="10" t="s">
        <v>54</v>
      </c>
      <c r="B787" s="11" t="s">
        <v>121</v>
      </c>
      <c r="C787" s="11" t="s">
        <v>17</v>
      </c>
      <c r="D787" s="12">
        <v>41958</v>
      </c>
      <c r="E787" s="12">
        <v>41961</v>
      </c>
      <c r="F787" s="13">
        <v>1116.5</v>
      </c>
      <c r="G787">
        <f t="shared" si="48"/>
        <v>4</v>
      </c>
      <c r="H787">
        <f t="shared" si="49"/>
        <v>102</v>
      </c>
      <c r="I787">
        <f t="shared" si="50"/>
        <v>3</v>
      </c>
      <c r="J787">
        <f t="shared" si="51"/>
        <v>3</v>
      </c>
    </row>
    <row r="788" spans="1:10" x14ac:dyDescent="0.25">
      <c r="A788" s="6" t="s">
        <v>107</v>
      </c>
      <c r="B788" s="7" t="s">
        <v>108</v>
      </c>
      <c r="C788" s="7" t="s">
        <v>27</v>
      </c>
      <c r="D788" s="8">
        <v>41958</v>
      </c>
      <c r="E788" s="8">
        <v>41958</v>
      </c>
      <c r="F788" s="9">
        <v>442</v>
      </c>
      <c r="G788">
        <f t="shared" si="48"/>
        <v>1</v>
      </c>
      <c r="H788">
        <f t="shared" si="49"/>
        <v>30</v>
      </c>
      <c r="I788">
        <f t="shared" si="50"/>
        <v>0</v>
      </c>
      <c r="J788" t="str">
        <f t="shared" si="51"/>
        <v/>
      </c>
    </row>
    <row r="789" spans="1:10" x14ac:dyDescent="0.25">
      <c r="A789" s="10" t="s">
        <v>166</v>
      </c>
      <c r="B789" s="11" t="s">
        <v>167</v>
      </c>
      <c r="C789" s="11" t="s">
        <v>47</v>
      </c>
      <c r="D789" s="12">
        <v>41958</v>
      </c>
      <c r="E789" s="12">
        <v>41959</v>
      </c>
      <c r="F789" s="13">
        <v>526.79999999999995</v>
      </c>
      <c r="G789">
        <f t="shared" si="48"/>
        <v>2</v>
      </c>
      <c r="H789">
        <f t="shared" si="49"/>
        <v>54</v>
      </c>
      <c r="I789">
        <f t="shared" si="50"/>
        <v>1</v>
      </c>
      <c r="J789">
        <f t="shared" si="51"/>
        <v>1</v>
      </c>
    </row>
    <row r="790" spans="1:10" x14ac:dyDescent="0.25">
      <c r="A790" s="6" t="s">
        <v>36</v>
      </c>
      <c r="B790" s="7" t="s">
        <v>37</v>
      </c>
      <c r="C790" s="7" t="s">
        <v>19</v>
      </c>
      <c r="D790" s="8">
        <v>41958</v>
      </c>
      <c r="E790" s="8">
        <v>41961</v>
      </c>
      <c r="F790" s="9">
        <v>936.4</v>
      </c>
      <c r="G790">
        <f t="shared" si="48"/>
        <v>4</v>
      </c>
      <c r="H790">
        <f t="shared" si="49"/>
        <v>102</v>
      </c>
      <c r="I790">
        <f t="shared" si="50"/>
        <v>3</v>
      </c>
      <c r="J790">
        <f t="shared" si="51"/>
        <v>3</v>
      </c>
    </row>
    <row r="791" spans="1:10" x14ac:dyDescent="0.25">
      <c r="A791" s="10" t="s">
        <v>111</v>
      </c>
      <c r="B791" s="11" t="s">
        <v>112</v>
      </c>
      <c r="C791" s="11" t="s">
        <v>38</v>
      </c>
      <c r="D791" s="12">
        <v>41958</v>
      </c>
      <c r="E791" s="12">
        <v>41959</v>
      </c>
      <c r="F791" s="13">
        <v>407.8</v>
      </c>
      <c r="G791">
        <f t="shared" si="48"/>
        <v>2</v>
      </c>
      <c r="H791">
        <f t="shared" si="49"/>
        <v>54</v>
      </c>
      <c r="I791">
        <f t="shared" si="50"/>
        <v>1</v>
      </c>
      <c r="J791">
        <f t="shared" si="51"/>
        <v>1</v>
      </c>
    </row>
    <row r="792" spans="1:10" x14ac:dyDescent="0.25">
      <c r="A792" s="6" t="s">
        <v>31</v>
      </c>
      <c r="B792" s="7" t="s">
        <v>77</v>
      </c>
      <c r="C792" s="7" t="s">
        <v>19</v>
      </c>
      <c r="D792" s="8">
        <v>41958</v>
      </c>
      <c r="E792" s="8">
        <v>41962</v>
      </c>
      <c r="F792" s="9">
        <v>1077.4000000000001</v>
      </c>
      <c r="G792">
        <f t="shared" si="48"/>
        <v>5</v>
      </c>
      <c r="H792">
        <f t="shared" si="49"/>
        <v>126</v>
      </c>
      <c r="I792">
        <f t="shared" si="50"/>
        <v>4</v>
      </c>
      <c r="J792">
        <f t="shared" si="51"/>
        <v>4</v>
      </c>
    </row>
    <row r="793" spans="1:10" x14ac:dyDescent="0.25">
      <c r="A793" s="10" t="s">
        <v>15</v>
      </c>
      <c r="B793" s="11" t="s">
        <v>96</v>
      </c>
      <c r="C793" s="11" t="s">
        <v>38</v>
      </c>
      <c r="D793" s="12">
        <v>41958</v>
      </c>
      <c r="E793" s="12">
        <v>41959</v>
      </c>
      <c r="F793" s="13">
        <v>407.8</v>
      </c>
      <c r="G793">
        <f t="shared" si="48"/>
        <v>2</v>
      </c>
      <c r="H793">
        <f t="shared" si="49"/>
        <v>54</v>
      </c>
      <c r="I793">
        <f t="shared" si="50"/>
        <v>1</v>
      </c>
      <c r="J793">
        <f t="shared" si="51"/>
        <v>1</v>
      </c>
    </row>
    <row r="794" spans="1:10" x14ac:dyDescent="0.25">
      <c r="A794" s="6" t="s">
        <v>122</v>
      </c>
      <c r="B794" s="7" t="s">
        <v>123</v>
      </c>
      <c r="C794" s="7" t="s">
        <v>30</v>
      </c>
      <c r="D794" s="8">
        <v>41959</v>
      </c>
      <c r="E794" s="8">
        <v>41960</v>
      </c>
      <c r="F794" s="9">
        <v>331.5</v>
      </c>
      <c r="G794">
        <f t="shared" si="48"/>
        <v>2</v>
      </c>
      <c r="H794">
        <f t="shared" si="49"/>
        <v>54</v>
      </c>
      <c r="I794">
        <f t="shared" si="50"/>
        <v>1</v>
      </c>
      <c r="J794">
        <f t="shared" si="51"/>
        <v>1</v>
      </c>
    </row>
    <row r="795" spans="1:10" x14ac:dyDescent="0.25">
      <c r="A795" s="10" t="s">
        <v>131</v>
      </c>
      <c r="B795" s="11" t="s">
        <v>154</v>
      </c>
      <c r="C795" s="11" t="s">
        <v>38</v>
      </c>
      <c r="D795" s="12">
        <v>41959</v>
      </c>
      <c r="E795" s="12">
        <v>41960</v>
      </c>
      <c r="F795" s="13">
        <v>407.8</v>
      </c>
      <c r="G795">
        <f t="shared" si="48"/>
        <v>2</v>
      </c>
      <c r="H795">
        <f t="shared" si="49"/>
        <v>54</v>
      </c>
      <c r="I795">
        <f t="shared" si="50"/>
        <v>1</v>
      </c>
      <c r="J795">
        <f t="shared" si="51"/>
        <v>1</v>
      </c>
    </row>
    <row r="796" spans="1:10" x14ac:dyDescent="0.25">
      <c r="A796" s="6" t="s">
        <v>54</v>
      </c>
      <c r="B796" s="7" t="s">
        <v>81</v>
      </c>
      <c r="C796" s="7" t="s">
        <v>66</v>
      </c>
      <c r="D796" s="8">
        <v>41959</v>
      </c>
      <c r="E796" s="8">
        <v>41960</v>
      </c>
      <c r="F796" s="9">
        <v>485.7</v>
      </c>
      <c r="G796">
        <f t="shared" si="48"/>
        <v>2</v>
      </c>
      <c r="H796">
        <f t="shared" si="49"/>
        <v>54</v>
      </c>
      <c r="I796">
        <f t="shared" si="50"/>
        <v>1</v>
      </c>
      <c r="J796">
        <f t="shared" si="51"/>
        <v>1</v>
      </c>
    </row>
    <row r="797" spans="1:10" x14ac:dyDescent="0.25">
      <c r="A797" s="10" t="s">
        <v>22</v>
      </c>
      <c r="B797" s="11" t="s">
        <v>172</v>
      </c>
      <c r="C797" s="11" t="s">
        <v>72</v>
      </c>
      <c r="D797" s="12">
        <v>41959</v>
      </c>
      <c r="E797" s="12">
        <v>41963</v>
      </c>
      <c r="F797" s="13">
        <v>1290.7</v>
      </c>
      <c r="G797">
        <f t="shared" si="48"/>
        <v>5</v>
      </c>
      <c r="H797">
        <f t="shared" si="49"/>
        <v>126</v>
      </c>
      <c r="I797">
        <f t="shared" si="50"/>
        <v>4</v>
      </c>
      <c r="J797">
        <f t="shared" si="51"/>
        <v>4</v>
      </c>
    </row>
    <row r="798" spans="1:10" x14ac:dyDescent="0.25">
      <c r="A798" s="6" t="s">
        <v>9</v>
      </c>
      <c r="B798" s="7" t="s">
        <v>10</v>
      </c>
      <c r="C798" s="7" t="s">
        <v>30</v>
      </c>
      <c r="D798" s="8">
        <v>41959</v>
      </c>
      <c r="E798" s="8">
        <v>41961</v>
      </c>
      <c r="F798" s="9">
        <v>450.5</v>
      </c>
      <c r="G798">
        <f t="shared" si="48"/>
        <v>3</v>
      </c>
      <c r="H798">
        <f t="shared" si="49"/>
        <v>78</v>
      </c>
      <c r="I798">
        <f t="shared" si="50"/>
        <v>2</v>
      </c>
      <c r="J798">
        <f t="shared" si="51"/>
        <v>2</v>
      </c>
    </row>
    <row r="799" spans="1:10" x14ac:dyDescent="0.25">
      <c r="A799" s="10" t="s">
        <v>9</v>
      </c>
      <c r="B799" s="11" t="s">
        <v>103</v>
      </c>
      <c r="C799" s="11" t="s">
        <v>17</v>
      </c>
      <c r="D799" s="12">
        <v>41959</v>
      </c>
      <c r="E799" s="12">
        <v>41961</v>
      </c>
      <c r="F799" s="13">
        <v>911.5</v>
      </c>
      <c r="G799">
        <f t="shared" si="48"/>
        <v>3</v>
      </c>
      <c r="H799">
        <f t="shared" si="49"/>
        <v>78</v>
      </c>
      <c r="I799">
        <f t="shared" si="50"/>
        <v>2</v>
      </c>
      <c r="J799">
        <f t="shared" si="51"/>
        <v>2</v>
      </c>
    </row>
    <row r="800" spans="1:10" x14ac:dyDescent="0.25">
      <c r="A800" s="6" t="s">
        <v>156</v>
      </c>
      <c r="B800" s="7" t="s">
        <v>157</v>
      </c>
      <c r="C800" s="7" t="s">
        <v>59</v>
      </c>
      <c r="D800" s="8">
        <v>41959</v>
      </c>
      <c r="E800" s="8">
        <v>41962</v>
      </c>
      <c r="F800" s="9">
        <v>919</v>
      </c>
      <c r="G800">
        <f t="shared" si="48"/>
        <v>4</v>
      </c>
      <c r="H800">
        <f t="shared" si="49"/>
        <v>102</v>
      </c>
      <c r="I800">
        <f t="shared" si="50"/>
        <v>3</v>
      </c>
      <c r="J800">
        <f t="shared" si="51"/>
        <v>3</v>
      </c>
    </row>
    <row r="801" spans="1:10" x14ac:dyDescent="0.25">
      <c r="A801" s="10" t="s">
        <v>158</v>
      </c>
      <c r="B801" s="11" t="s">
        <v>159</v>
      </c>
      <c r="C801" s="11" t="s">
        <v>19</v>
      </c>
      <c r="D801" s="12">
        <v>41959</v>
      </c>
      <c r="E801" s="12">
        <v>41960</v>
      </c>
      <c r="F801" s="13">
        <v>654.4</v>
      </c>
      <c r="G801">
        <f t="shared" si="48"/>
        <v>2</v>
      </c>
      <c r="H801">
        <f t="shared" si="49"/>
        <v>54</v>
      </c>
      <c r="I801">
        <f t="shared" si="50"/>
        <v>1</v>
      </c>
      <c r="J801">
        <f t="shared" si="51"/>
        <v>1</v>
      </c>
    </row>
    <row r="802" spans="1:10" x14ac:dyDescent="0.25">
      <c r="A802" s="6" t="s">
        <v>9</v>
      </c>
      <c r="B802" s="7" t="s">
        <v>18</v>
      </c>
      <c r="C802" s="7" t="s">
        <v>47</v>
      </c>
      <c r="D802" s="8">
        <v>41959</v>
      </c>
      <c r="E802" s="8">
        <v>41960</v>
      </c>
      <c r="F802" s="9">
        <v>526.79999999999995</v>
      </c>
      <c r="G802">
        <f t="shared" si="48"/>
        <v>2</v>
      </c>
      <c r="H802">
        <f t="shared" si="49"/>
        <v>54</v>
      </c>
      <c r="I802">
        <f t="shared" si="50"/>
        <v>1</v>
      </c>
      <c r="J802">
        <f t="shared" si="51"/>
        <v>1</v>
      </c>
    </row>
    <row r="803" spans="1:10" x14ac:dyDescent="0.25">
      <c r="A803" s="10" t="s">
        <v>115</v>
      </c>
      <c r="B803" s="11" t="s">
        <v>140</v>
      </c>
      <c r="C803" s="11" t="s">
        <v>66</v>
      </c>
      <c r="D803" s="12">
        <v>41960</v>
      </c>
      <c r="E803" s="12">
        <v>41960</v>
      </c>
      <c r="F803" s="13">
        <v>307.7</v>
      </c>
      <c r="G803">
        <f t="shared" si="48"/>
        <v>1</v>
      </c>
      <c r="H803">
        <f t="shared" si="49"/>
        <v>30</v>
      </c>
      <c r="I803">
        <f t="shared" si="50"/>
        <v>0</v>
      </c>
      <c r="J803" t="str">
        <f t="shared" si="51"/>
        <v/>
      </c>
    </row>
    <row r="804" spans="1:10" x14ac:dyDescent="0.25">
      <c r="A804" s="6" t="s">
        <v>164</v>
      </c>
      <c r="B804" s="7" t="s">
        <v>165</v>
      </c>
      <c r="C804" s="7" t="s">
        <v>38</v>
      </c>
      <c r="D804" s="8">
        <v>41960</v>
      </c>
      <c r="E804" s="8">
        <v>41960</v>
      </c>
      <c r="F804" s="9">
        <v>278.8</v>
      </c>
      <c r="G804">
        <f t="shared" si="48"/>
        <v>1</v>
      </c>
      <c r="H804">
        <f t="shared" si="49"/>
        <v>30</v>
      </c>
      <c r="I804">
        <f t="shared" si="50"/>
        <v>0</v>
      </c>
      <c r="J804" t="str">
        <f t="shared" si="51"/>
        <v/>
      </c>
    </row>
    <row r="805" spans="1:10" x14ac:dyDescent="0.25">
      <c r="A805" s="10" t="s">
        <v>113</v>
      </c>
      <c r="B805" s="11" t="s">
        <v>114</v>
      </c>
      <c r="C805" s="11" t="s">
        <v>8</v>
      </c>
      <c r="D805" s="12">
        <v>41960</v>
      </c>
      <c r="E805" s="12">
        <v>41962</v>
      </c>
      <c r="F805" s="13">
        <v>1102</v>
      </c>
      <c r="G805">
        <f t="shared" si="48"/>
        <v>3</v>
      </c>
      <c r="H805">
        <f t="shared" si="49"/>
        <v>78</v>
      </c>
      <c r="I805">
        <f t="shared" si="50"/>
        <v>2</v>
      </c>
      <c r="J805">
        <f t="shared" si="51"/>
        <v>2</v>
      </c>
    </row>
    <row r="806" spans="1:10" x14ac:dyDescent="0.25">
      <c r="A806" s="6" t="s">
        <v>93</v>
      </c>
      <c r="B806" s="7" t="s">
        <v>94</v>
      </c>
      <c r="C806" s="7" t="s">
        <v>11</v>
      </c>
      <c r="D806" s="8">
        <v>41960</v>
      </c>
      <c r="E806" s="8">
        <v>41962</v>
      </c>
      <c r="F806" s="9">
        <v>434.4</v>
      </c>
      <c r="G806">
        <f t="shared" si="48"/>
        <v>3</v>
      </c>
      <c r="H806">
        <f t="shared" si="49"/>
        <v>78</v>
      </c>
      <c r="I806">
        <f t="shared" si="50"/>
        <v>2</v>
      </c>
      <c r="J806">
        <f t="shared" si="51"/>
        <v>2</v>
      </c>
    </row>
    <row r="807" spans="1:10" x14ac:dyDescent="0.25">
      <c r="A807" s="10" t="s">
        <v>70</v>
      </c>
      <c r="B807" s="11" t="s">
        <v>117</v>
      </c>
      <c r="C807" s="11" t="s">
        <v>8</v>
      </c>
      <c r="D807" s="12">
        <v>41960</v>
      </c>
      <c r="E807" s="12">
        <v>41960</v>
      </c>
      <c r="F807" s="13">
        <v>680</v>
      </c>
      <c r="G807">
        <f t="shared" si="48"/>
        <v>1</v>
      </c>
      <c r="H807">
        <f t="shared" si="49"/>
        <v>30</v>
      </c>
      <c r="I807">
        <f t="shared" si="50"/>
        <v>0</v>
      </c>
      <c r="J807" t="str">
        <f t="shared" si="51"/>
        <v/>
      </c>
    </row>
    <row r="808" spans="1:10" x14ac:dyDescent="0.25">
      <c r="A808" s="6" t="s">
        <v>128</v>
      </c>
      <c r="B808" s="7" t="s">
        <v>129</v>
      </c>
      <c r="C808" s="7" t="s">
        <v>27</v>
      </c>
      <c r="D808" s="8">
        <v>41961</v>
      </c>
      <c r="E808" s="8">
        <v>41961</v>
      </c>
      <c r="F808" s="9">
        <v>442</v>
      </c>
      <c r="G808">
        <f t="shared" si="48"/>
        <v>1</v>
      </c>
      <c r="H808">
        <f t="shared" si="49"/>
        <v>30</v>
      </c>
      <c r="I808">
        <f t="shared" si="50"/>
        <v>0</v>
      </c>
      <c r="J808" t="str">
        <f t="shared" si="51"/>
        <v/>
      </c>
    </row>
    <row r="809" spans="1:10" x14ac:dyDescent="0.25">
      <c r="A809" s="10" t="s">
        <v>28</v>
      </c>
      <c r="B809" s="11" t="s">
        <v>60</v>
      </c>
      <c r="C809" s="11" t="s">
        <v>66</v>
      </c>
      <c r="D809" s="12">
        <v>41961</v>
      </c>
      <c r="E809" s="12">
        <v>41961</v>
      </c>
      <c r="F809" s="13">
        <v>307.7</v>
      </c>
      <c r="G809">
        <f t="shared" si="48"/>
        <v>1</v>
      </c>
      <c r="H809">
        <f t="shared" si="49"/>
        <v>30</v>
      </c>
      <c r="I809">
        <f t="shared" si="50"/>
        <v>0</v>
      </c>
      <c r="J809" t="str">
        <f t="shared" si="51"/>
        <v/>
      </c>
    </row>
    <row r="810" spans="1:10" x14ac:dyDescent="0.25">
      <c r="A810" s="6" t="s">
        <v>9</v>
      </c>
      <c r="B810" s="7" t="s">
        <v>69</v>
      </c>
      <c r="C810" s="7" t="s">
        <v>27</v>
      </c>
      <c r="D810" s="8">
        <v>41961</v>
      </c>
      <c r="E810" s="8">
        <v>41961</v>
      </c>
      <c r="F810" s="9">
        <v>442</v>
      </c>
      <c r="G810">
        <f t="shared" si="48"/>
        <v>1</v>
      </c>
      <c r="H810">
        <f t="shared" si="49"/>
        <v>30</v>
      </c>
      <c r="I810">
        <f t="shared" si="50"/>
        <v>0</v>
      </c>
      <c r="J810" t="str">
        <f t="shared" si="51"/>
        <v/>
      </c>
    </row>
    <row r="811" spans="1:10" x14ac:dyDescent="0.25">
      <c r="A811" s="10" t="s">
        <v>82</v>
      </c>
      <c r="B811" s="11" t="s">
        <v>125</v>
      </c>
      <c r="C811" s="11" t="s">
        <v>72</v>
      </c>
      <c r="D811" s="12">
        <v>41962</v>
      </c>
      <c r="E811" s="12">
        <v>41962</v>
      </c>
      <c r="F811" s="13">
        <v>494.7</v>
      </c>
      <c r="G811">
        <f t="shared" si="48"/>
        <v>1</v>
      </c>
      <c r="H811">
        <f t="shared" si="49"/>
        <v>30</v>
      </c>
      <c r="I811">
        <f t="shared" si="50"/>
        <v>0</v>
      </c>
      <c r="J811" t="str">
        <f t="shared" si="51"/>
        <v/>
      </c>
    </row>
    <row r="812" spans="1:10" x14ac:dyDescent="0.25">
      <c r="A812" s="6" t="s">
        <v>168</v>
      </c>
      <c r="B812" s="7" t="s">
        <v>169</v>
      </c>
      <c r="C812" s="7" t="s">
        <v>11</v>
      </c>
      <c r="D812" s="8">
        <v>41962</v>
      </c>
      <c r="E812" s="8">
        <v>41962</v>
      </c>
      <c r="F812" s="9">
        <v>156.4</v>
      </c>
      <c r="G812">
        <f t="shared" si="48"/>
        <v>1</v>
      </c>
      <c r="H812">
        <f t="shared" si="49"/>
        <v>30</v>
      </c>
      <c r="I812">
        <f t="shared" si="50"/>
        <v>0</v>
      </c>
      <c r="J812" t="str">
        <f t="shared" si="51"/>
        <v/>
      </c>
    </row>
    <row r="813" spans="1:10" x14ac:dyDescent="0.25">
      <c r="A813" s="10" t="s">
        <v>134</v>
      </c>
      <c r="B813" s="11" t="s">
        <v>135</v>
      </c>
      <c r="C813" s="11" t="s">
        <v>27</v>
      </c>
      <c r="D813" s="12">
        <v>41962</v>
      </c>
      <c r="E813" s="12">
        <v>41962</v>
      </c>
      <c r="F813" s="13">
        <v>442</v>
      </c>
      <c r="G813">
        <f t="shared" si="48"/>
        <v>1</v>
      </c>
      <c r="H813">
        <f t="shared" si="49"/>
        <v>30</v>
      </c>
      <c r="I813">
        <f t="shared" si="50"/>
        <v>0</v>
      </c>
      <c r="J813" t="str">
        <f t="shared" si="51"/>
        <v/>
      </c>
    </row>
    <row r="814" spans="1:10" x14ac:dyDescent="0.25">
      <c r="A814" s="6" t="s">
        <v>164</v>
      </c>
      <c r="B814" s="7" t="s">
        <v>165</v>
      </c>
      <c r="C814" s="7" t="s">
        <v>17</v>
      </c>
      <c r="D814" s="8">
        <v>41962</v>
      </c>
      <c r="E814" s="8">
        <v>41962</v>
      </c>
      <c r="F814" s="9">
        <v>501.5</v>
      </c>
      <c r="G814">
        <f t="shared" si="48"/>
        <v>1</v>
      </c>
      <c r="H814">
        <f t="shared" si="49"/>
        <v>30</v>
      </c>
      <c r="I814">
        <f t="shared" si="50"/>
        <v>0</v>
      </c>
      <c r="J814" t="str">
        <f t="shared" si="51"/>
        <v/>
      </c>
    </row>
    <row r="815" spans="1:10" x14ac:dyDescent="0.25">
      <c r="A815" s="10" t="s">
        <v>61</v>
      </c>
      <c r="B815" s="11" t="s">
        <v>62</v>
      </c>
      <c r="C815" s="11" t="s">
        <v>19</v>
      </c>
      <c r="D815" s="12">
        <v>41963</v>
      </c>
      <c r="E815" s="12">
        <v>41964</v>
      </c>
      <c r="F815" s="13">
        <v>654.4</v>
      </c>
      <c r="G815">
        <f t="shared" si="48"/>
        <v>2</v>
      </c>
      <c r="H815">
        <f t="shared" si="49"/>
        <v>54</v>
      </c>
      <c r="I815">
        <f t="shared" si="50"/>
        <v>1</v>
      </c>
      <c r="J815">
        <f t="shared" si="51"/>
        <v>1</v>
      </c>
    </row>
    <row r="816" spans="1:10" x14ac:dyDescent="0.25">
      <c r="A816" s="6" t="s">
        <v>6</v>
      </c>
      <c r="B816" s="7" t="s">
        <v>56</v>
      </c>
      <c r="C816" s="7" t="s">
        <v>59</v>
      </c>
      <c r="D816" s="8">
        <v>41963</v>
      </c>
      <c r="E816" s="8">
        <v>41963</v>
      </c>
      <c r="F816" s="9">
        <v>442</v>
      </c>
      <c r="G816">
        <f t="shared" si="48"/>
        <v>1</v>
      </c>
      <c r="H816">
        <f t="shared" si="49"/>
        <v>30</v>
      </c>
      <c r="I816">
        <f t="shared" si="50"/>
        <v>0</v>
      </c>
      <c r="J816" t="str">
        <f t="shared" si="51"/>
        <v/>
      </c>
    </row>
    <row r="817" spans="1:10" x14ac:dyDescent="0.25">
      <c r="A817" s="10" t="s">
        <v>15</v>
      </c>
      <c r="B817" s="11" t="s">
        <v>96</v>
      </c>
      <c r="C817" s="11" t="s">
        <v>30</v>
      </c>
      <c r="D817" s="12">
        <v>41963</v>
      </c>
      <c r="E817" s="12">
        <v>41963</v>
      </c>
      <c r="F817" s="13">
        <v>212.5</v>
      </c>
      <c r="G817">
        <f t="shared" si="48"/>
        <v>1</v>
      </c>
      <c r="H817">
        <f t="shared" si="49"/>
        <v>30</v>
      </c>
      <c r="I817">
        <f t="shared" si="50"/>
        <v>0</v>
      </c>
      <c r="J817" t="str">
        <f t="shared" si="51"/>
        <v/>
      </c>
    </row>
    <row r="818" spans="1:10" x14ac:dyDescent="0.25">
      <c r="A818" s="6" t="s">
        <v>54</v>
      </c>
      <c r="B818" s="7" t="s">
        <v>55</v>
      </c>
      <c r="C818" s="7" t="s">
        <v>27</v>
      </c>
      <c r="D818" s="8">
        <v>41964</v>
      </c>
      <c r="E818" s="8">
        <v>41965</v>
      </c>
      <c r="F818" s="9">
        <v>570</v>
      </c>
      <c r="G818">
        <f t="shared" si="48"/>
        <v>2</v>
      </c>
      <c r="H818">
        <f t="shared" si="49"/>
        <v>54</v>
      </c>
      <c r="I818">
        <f t="shared" si="50"/>
        <v>1</v>
      </c>
      <c r="J818">
        <f t="shared" si="51"/>
        <v>1</v>
      </c>
    </row>
    <row r="819" spans="1:10" x14ac:dyDescent="0.25">
      <c r="A819" s="10" t="s">
        <v>131</v>
      </c>
      <c r="B819" s="11" t="s">
        <v>154</v>
      </c>
      <c r="C819" s="11" t="s">
        <v>38</v>
      </c>
      <c r="D819" s="12">
        <v>41964</v>
      </c>
      <c r="E819" s="12">
        <v>41965</v>
      </c>
      <c r="F819" s="13">
        <v>407.8</v>
      </c>
      <c r="G819">
        <f t="shared" si="48"/>
        <v>2</v>
      </c>
      <c r="H819">
        <f t="shared" si="49"/>
        <v>54</v>
      </c>
      <c r="I819">
        <f t="shared" si="50"/>
        <v>1</v>
      </c>
      <c r="J819">
        <f t="shared" si="51"/>
        <v>1</v>
      </c>
    </row>
    <row r="820" spans="1:10" x14ac:dyDescent="0.25">
      <c r="A820" s="6" t="s">
        <v>25</v>
      </c>
      <c r="B820" s="7" t="s">
        <v>67</v>
      </c>
      <c r="C820" s="7" t="s">
        <v>30</v>
      </c>
      <c r="D820" s="8">
        <v>41965</v>
      </c>
      <c r="E820" s="8">
        <v>41969</v>
      </c>
      <c r="F820" s="9">
        <v>688.5</v>
      </c>
      <c r="G820">
        <f t="shared" si="48"/>
        <v>5</v>
      </c>
      <c r="H820">
        <f t="shared" si="49"/>
        <v>126</v>
      </c>
      <c r="I820">
        <f t="shared" si="50"/>
        <v>4</v>
      </c>
      <c r="J820">
        <f t="shared" si="51"/>
        <v>4</v>
      </c>
    </row>
    <row r="821" spans="1:10" x14ac:dyDescent="0.25">
      <c r="A821" s="10" t="s">
        <v>9</v>
      </c>
      <c r="B821" s="11" t="s">
        <v>103</v>
      </c>
      <c r="C821" s="11" t="s">
        <v>11</v>
      </c>
      <c r="D821" s="12">
        <v>41965</v>
      </c>
      <c r="E821" s="12">
        <v>41965</v>
      </c>
      <c r="F821" s="13">
        <v>156.4</v>
      </c>
      <c r="G821">
        <f t="shared" si="48"/>
        <v>1</v>
      </c>
      <c r="H821">
        <f t="shared" si="49"/>
        <v>30</v>
      </c>
      <c r="I821">
        <f t="shared" si="50"/>
        <v>0</v>
      </c>
      <c r="J821" t="str">
        <f t="shared" si="51"/>
        <v/>
      </c>
    </row>
    <row r="822" spans="1:10" x14ac:dyDescent="0.25">
      <c r="A822" s="6" t="s">
        <v>143</v>
      </c>
      <c r="B822" s="7" t="s">
        <v>144</v>
      </c>
      <c r="C822" s="7" t="s">
        <v>72</v>
      </c>
      <c r="D822" s="8">
        <v>41965</v>
      </c>
      <c r="E822" s="8">
        <v>41966</v>
      </c>
      <c r="F822" s="9">
        <v>693.7</v>
      </c>
      <c r="G822">
        <f t="shared" si="48"/>
        <v>2</v>
      </c>
      <c r="H822">
        <f t="shared" si="49"/>
        <v>54</v>
      </c>
      <c r="I822">
        <f t="shared" si="50"/>
        <v>1</v>
      </c>
      <c r="J822">
        <f t="shared" si="51"/>
        <v>1</v>
      </c>
    </row>
    <row r="823" spans="1:10" x14ac:dyDescent="0.25">
      <c r="A823" s="10" t="s">
        <v>164</v>
      </c>
      <c r="B823" s="11" t="s">
        <v>165</v>
      </c>
      <c r="C823" s="11" t="s">
        <v>72</v>
      </c>
      <c r="D823" s="12">
        <v>41965</v>
      </c>
      <c r="E823" s="12">
        <v>41965</v>
      </c>
      <c r="F823" s="13">
        <v>494.7</v>
      </c>
      <c r="G823">
        <f t="shared" si="48"/>
        <v>1</v>
      </c>
      <c r="H823">
        <f t="shared" si="49"/>
        <v>30</v>
      </c>
      <c r="I823">
        <f t="shared" si="50"/>
        <v>0</v>
      </c>
      <c r="J823" t="str">
        <f t="shared" si="51"/>
        <v/>
      </c>
    </row>
    <row r="824" spans="1:10" x14ac:dyDescent="0.25">
      <c r="A824" s="6" t="s">
        <v>158</v>
      </c>
      <c r="B824" s="7" t="s">
        <v>159</v>
      </c>
      <c r="C824" s="7" t="s">
        <v>17</v>
      </c>
      <c r="D824" s="8">
        <v>41965</v>
      </c>
      <c r="E824" s="8">
        <v>41968</v>
      </c>
      <c r="F824" s="9">
        <v>1116.5</v>
      </c>
      <c r="G824">
        <f t="shared" si="48"/>
        <v>4</v>
      </c>
      <c r="H824">
        <f t="shared" si="49"/>
        <v>102</v>
      </c>
      <c r="I824">
        <f t="shared" si="50"/>
        <v>3</v>
      </c>
      <c r="J824">
        <f t="shared" si="51"/>
        <v>3</v>
      </c>
    </row>
    <row r="825" spans="1:10" x14ac:dyDescent="0.25">
      <c r="A825" s="10" t="s">
        <v>89</v>
      </c>
      <c r="B825" s="11" t="s">
        <v>90</v>
      </c>
      <c r="C825" s="11" t="s">
        <v>8</v>
      </c>
      <c r="D825" s="12">
        <v>41965</v>
      </c>
      <c r="E825" s="12">
        <v>41966</v>
      </c>
      <c r="F825" s="13">
        <v>891</v>
      </c>
      <c r="G825">
        <f t="shared" si="48"/>
        <v>2</v>
      </c>
      <c r="H825">
        <f t="shared" si="49"/>
        <v>54</v>
      </c>
      <c r="I825">
        <f t="shared" si="50"/>
        <v>1</v>
      </c>
      <c r="J825">
        <f t="shared" si="51"/>
        <v>1</v>
      </c>
    </row>
    <row r="826" spans="1:10" x14ac:dyDescent="0.25">
      <c r="A826" s="6" t="s">
        <v>115</v>
      </c>
      <c r="B826" s="7" t="s">
        <v>116</v>
      </c>
      <c r="C826" s="7" t="s">
        <v>24</v>
      </c>
      <c r="D826" s="8">
        <v>41965</v>
      </c>
      <c r="E826" s="8">
        <v>41968</v>
      </c>
      <c r="F826" s="9">
        <v>737.7</v>
      </c>
      <c r="G826">
        <f t="shared" si="48"/>
        <v>4</v>
      </c>
      <c r="H826">
        <f t="shared" si="49"/>
        <v>102</v>
      </c>
      <c r="I826">
        <f t="shared" si="50"/>
        <v>3</v>
      </c>
      <c r="J826">
        <f t="shared" si="51"/>
        <v>3</v>
      </c>
    </row>
    <row r="827" spans="1:10" x14ac:dyDescent="0.25">
      <c r="A827" s="10" t="s">
        <v>115</v>
      </c>
      <c r="B827" s="11" t="s">
        <v>153</v>
      </c>
      <c r="C827" s="11" t="s">
        <v>19</v>
      </c>
      <c r="D827" s="12">
        <v>41966</v>
      </c>
      <c r="E827" s="12">
        <v>41966</v>
      </c>
      <c r="F827" s="13">
        <v>513.4</v>
      </c>
      <c r="G827">
        <f t="shared" si="48"/>
        <v>1</v>
      </c>
      <c r="H827">
        <f t="shared" si="49"/>
        <v>30</v>
      </c>
      <c r="I827">
        <f t="shared" si="50"/>
        <v>0</v>
      </c>
      <c r="J827" t="str">
        <f t="shared" si="51"/>
        <v/>
      </c>
    </row>
    <row r="828" spans="1:10" x14ac:dyDescent="0.25">
      <c r="A828" s="6" t="s">
        <v>61</v>
      </c>
      <c r="B828" s="7" t="s">
        <v>62</v>
      </c>
      <c r="C828" s="7" t="s">
        <v>8</v>
      </c>
      <c r="D828" s="8">
        <v>41967</v>
      </c>
      <c r="E828" s="8">
        <v>41968</v>
      </c>
      <c r="F828" s="9">
        <v>891</v>
      </c>
      <c r="G828">
        <f t="shared" si="48"/>
        <v>2</v>
      </c>
      <c r="H828">
        <f t="shared" si="49"/>
        <v>54</v>
      </c>
      <c r="I828">
        <f t="shared" si="50"/>
        <v>1</v>
      </c>
      <c r="J828">
        <f t="shared" si="51"/>
        <v>1</v>
      </c>
    </row>
    <row r="829" spans="1:10" x14ac:dyDescent="0.25">
      <c r="A829" s="10" t="s">
        <v>119</v>
      </c>
      <c r="B829" s="11" t="s">
        <v>120</v>
      </c>
      <c r="C829" s="11" t="s">
        <v>14</v>
      </c>
      <c r="D829" s="12">
        <v>41967</v>
      </c>
      <c r="E829" s="12">
        <v>41967</v>
      </c>
      <c r="F829" s="13">
        <v>178.5</v>
      </c>
      <c r="G829">
        <f t="shared" si="48"/>
        <v>1</v>
      </c>
      <c r="H829">
        <f t="shared" si="49"/>
        <v>30</v>
      </c>
      <c r="I829">
        <f t="shared" si="50"/>
        <v>0</v>
      </c>
      <c r="J829" t="str">
        <f t="shared" si="51"/>
        <v/>
      </c>
    </row>
    <row r="830" spans="1:10" x14ac:dyDescent="0.25">
      <c r="A830" s="6" t="s">
        <v>28</v>
      </c>
      <c r="B830" s="7" t="s">
        <v>60</v>
      </c>
      <c r="C830" s="7" t="s">
        <v>8</v>
      </c>
      <c r="D830" s="8">
        <v>41968</v>
      </c>
      <c r="E830" s="8">
        <v>41968</v>
      </c>
      <c r="F830" s="9">
        <v>680</v>
      </c>
      <c r="G830">
        <f t="shared" si="48"/>
        <v>1</v>
      </c>
      <c r="H830">
        <f t="shared" si="49"/>
        <v>30</v>
      </c>
      <c r="I830">
        <f t="shared" si="50"/>
        <v>0</v>
      </c>
      <c r="J830" t="str">
        <f t="shared" si="51"/>
        <v/>
      </c>
    </row>
    <row r="831" spans="1:10" x14ac:dyDescent="0.25">
      <c r="A831" s="10" t="s">
        <v>164</v>
      </c>
      <c r="B831" s="11" t="s">
        <v>165</v>
      </c>
      <c r="C831" s="11" t="s">
        <v>14</v>
      </c>
      <c r="D831" s="12">
        <v>41968</v>
      </c>
      <c r="E831" s="12">
        <v>41968</v>
      </c>
      <c r="F831" s="13">
        <v>178.5</v>
      </c>
      <c r="G831">
        <f t="shared" si="48"/>
        <v>1</v>
      </c>
      <c r="H831">
        <f t="shared" si="49"/>
        <v>30</v>
      </c>
      <c r="I831">
        <f t="shared" si="50"/>
        <v>0</v>
      </c>
      <c r="J831" t="str">
        <f t="shared" si="51"/>
        <v/>
      </c>
    </row>
    <row r="832" spans="1:10" x14ac:dyDescent="0.25">
      <c r="A832" s="6" t="s">
        <v>12</v>
      </c>
      <c r="B832" s="7" t="s">
        <v>95</v>
      </c>
      <c r="C832" s="7" t="s">
        <v>19</v>
      </c>
      <c r="D832" s="8">
        <v>41968</v>
      </c>
      <c r="E832" s="8">
        <v>41968</v>
      </c>
      <c r="F832" s="9">
        <v>513.4</v>
      </c>
      <c r="G832">
        <f t="shared" si="48"/>
        <v>1</v>
      </c>
      <c r="H832">
        <f t="shared" si="49"/>
        <v>30</v>
      </c>
      <c r="I832">
        <f t="shared" si="50"/>
        <v>0</v>
      </c>
      <c r="J832" t="str">
        <f t="shared" si="51"/>
        <v/>
      </c>
    </row>
    <row r="833" spans="1:10" x14ac:dyDescent="0.25">
      <c r="A833" s="10" t="s">
        <v>31</v>
      </c>
      <c r="B833" s="11" t="s">
        <v>78</v>
      </c>
      <c r="C833" s="11" t="s">
        <v>11</v>
      </c>
      <c r="D833" s="12">
        <v>41970</v>
      </c>
      <c r="E833" s="12">
        <v>41973</v>
      </c>
      <c r="F833" s="13">
        <v>573.4</v>
      </c>
      <c r="G833">
        <f t="shared" si="48"/>
        <v>4</v>
      </c>
      <c r="H833">
        <f t="shared" si="49"/>
        <v>102</v>
      </c>
      <c r="I833">
        <f t="shared" si="50"/>
        <v>3</v>
      </c>
      <c r="J833">
        <f t="shared" si="51"/>
        <v>3</v>
      </c>
    </row>
    <row r="834" spans="1:10" x14ac:dyDescent="0.25">
      <c r="A834" s="6" t="s">
        <v>82</v>
      </c>
      <c r="B834" s="7" t="s">
        <v>125</v>
      </c>
      <c r="C834" s="7" t="s">
        <v>17</v>
      </c>
      <c r="D834" s="8">
        <v>41970</v>
      </c>
      <c r="E834" s="8">
        <v>41970</v>
      </c>
      <c r="F834" s="9">
        <v>501.5</v>
      </c>
      <c r="G834">
        <f t="shared" si="48"/>
        <v>1</v>
      </c>
      <c r="H834">
        <f t="shared" si="49"/>
        <v>30</v>
      </c>
      <c r="I834">
        <f t="shared" si="50"/>
        <v>0</v>
      </c>
      <c r="J834" t="str">
        <f t="shared" si="51"/>
        <v/>
      </c>
    </row>
    <row r="835" spans="1:10" x14ac:dyDescent="0.25">
      <c r="A835" s="10" t="s">
        <v>70</v>
      </c>
      <c r="B835" s="11" t="s">
        <v>71</v>
      </c>
      <c r="C835" s="11" t="s">
        <v>14</v>
      </c>
      <c r="D835" s="12">
        <v>41970</v>
      </c>
      <c r="E835" s="12">
        <v>41974</v>
      </c>
      <c r="F835" s="13">
        <v>674.5</v>
      </c>
      <c r="G835">
        <f t="shared" ref="G835:G898" si="52">E835-D835 + 1</f>
        <v>5</v>
      </c>
      <c r="H835">
        <f t="shared" ref="H835:H898" si="53">30+(G835-1)*24</f>
        <v>126</v>
      </c>
      <c r="I835">
        <f t="shared" ref="I835:I898" si="54">G835-1</f>
        <v>4</v>
      </c>
      <c r="J835">
        <f t="shared" ref="J835:J898" si="55">IF(G835&gt;=2,I835,"")</f>
        <v>4</v>
      </c>
    </row>
    <row r="836" spans="1:10" x14ac:dyDescent="0.25">
      <c r="A836" s="6" t="s">
        <v>25</v>
      </c>
      <c r="B836" s="7" t="s">
        <v>68</v>
      </c>
      <c r="C836" s="7" t="s">
        <v>59</v>
      </c>
      <c r="D836" s="8">
        <v>41970</v>
      </c>
      <c r="E836" s="8">
        <v>41974</v>
      </c>
      <c r="F836" s="9">
        <v>1078</v>
      </c>
      <c r="G836">
        <f t="shared" si="52"/>
        <v>5</v>
      </c>
      <c r="H836">
        <f t="shared" si="53"/>
        <v>126</v>
      </c>
      <c r="I836">
        <f t="shared" si="54"/>
        <v>4</v>
      </c>
      <c r="J836">
        <f t="shared" si="55"/>
        <v>4</v>
      </c>
    </row>
    <row r="837" spans="1:10" x14ac:dyDescent="0.25">
      <c r="A837" s="10" t="s">
        <v>33</v>
      </c>
      <c r="B837" s="11" t="s">
        <v>34</v>
      </c>
      <c r="C837" s="11" t="s">
        <v>59</v>
      </c>
      <c r="D837" s="12">
        <v>41970</v>
      </c>
      <c r="E837" s="12">
        <v>41970</v>
      </c>
      <c r="F837" s="13">
        <v>442</v>
      </c>
      <c r="G837">
        <f t="shared" si="52"/>
        <v>1</v>
      </c>
      <c r="H837">
        <f t="shared" si="53"/>
        <v>30</v>
      </c>
      <c r="I837">
        <f t="shared" si="54"/>
        <v>0</v>
      </c>
      <c r="J837" t="str">
        <f t="shared" si="55"/>
        <v/>
      </c>
    </row>
    <row r="838" spans="1:10" x14ac:dyDescent="0.25">
      <c r="A838" s="6" t="s">
        <v>134</v>
      </c>
      <c r="B838" s="7" t="s">
        <v>135</v>
      </c>
      <c r="C838" s="7" t="s">
        <v>47</v>
      </c>
      <c r="D838" s="8">
        <v>41970</v>
      </c>
      <c r="E838" s="8">
        <v>41971</v>
      </c>
      <c r="F838" s="9">
        <v>526.79999999999995</v>
      </c>
      <c r="G838">
        <f t="shared" si="52"/>
        <v>2</v>
      </c>
      <c r="H838">
        <f t="shared" si="53"/>
        <v>54</v>
      </c>
      <c r="I838">
        <f t="shared" si="54"/>
        <v>1</v>
      </c>
      <c r="J838">
        <f t="shared" si="55"/>
        <v>1</v>
      </c>
    </row>
    <row r="839" spans="1:10" x14ac:dyDescent="0.25">
      <c r="A839" s="10" t="s">
        <v>73</v>
      </c>
      <c r="B839" s="11" t="s">
        <v>74</v>
      </c>
      <c r="C839" s="11" t="s">
        <v>59</v>
      </c>
      <c r="D839" s="12">
        <v>41970</v>
      </c>
      <c r="E839" s="12">
        <v>41970</v>
      </c>
      <c r="F839" s="13">
        <v>442</v>
      </c>
      <c r="G839">
        <f t="shared" si="52"/>
        <v>1</v>
      </c>
      <c r="H839">
        <f t="shared" si="53"/>
        <v>30</v>
      </c>
      <c r="I839">
        <f t="shared" si="54"/>
        <v>0</v>
      </c>
      <c r="J839" t="str">
        <f t="shared" si="55"/>
        <v/>
      </c>
    </row>
    <row r="840" spans="1:10" x14ac:dyDescent="0.25">
      <c r="A840" s="6" t="s">
        <v>164</v>
      </c>
      <c r="B840" s="7" t="s">
        <v>165</v>
      </c>
      <c r="C840" s="7" t="s">
        <v>17</v>
      </c>
      <c r="D840" s="8">
        <v>41970</v>
      </c>
      <c r="E840" s="8">
        <v>41973</v>
      </c>
      <c r="F840" s="9">
        <v>1116.5</v>
      </c>
      <c r="G840">
        <f t="shared" si="52"/>
        <v>4</v>
      </c>
      <c r="H840">
        <f t="shared" si="53"/>
        <v>102</v>
      </c>
      <c r="I840">
        <f t="shared" si="54"/>
        <v>3</v>
      </c>
      <c r="J840">
        <f t="shared" si="55"/>
        <v>3</v>
      </c>
    </row>
    <row r="841" spans="1:10" x14ac:dyDescent="0.25">
      <c r="A841" s="10" t="s">
        <v>54</v>
      </c>
      <c r="B841" s="11" t="s">
        <v>121</v>
      </c>
      <c r="C841" s="11" t="s">
        <v>72</v>
      </c>
      <c r="D841" s="12">
        <v>41970</v>
      </c>
      <c r="E841" s="12">
        <v>41974</v>
      </c>
      <c r="F841" s="13">
        <v>1290.7</v>
      </c>
      <c r="G841">
        <f t="shared" si="52"/>
        <v>5</v>
      </c>
      <c r="H841">
        <f t="shared" si="53"/>
        <v>126</v>
      </c>
      <c r="I841">
        <f t="shared" si="54"/>
        <v>4</v>
      </c>
      <c r="J841">
        <f t="shared" si="55"/>
        <v>4</v>
      </c>
    </row>
    <row r="842" spans="1:10" x14ac:dyDescent="0.25">
      <c r="A842" s="6" t="s">
        <v>25</v>
      </c>
      <c r="B842" s="7" t="s">
        <v>35</v>
      </c>
      <c r="C842" s="7" t="s">
        <v>72</v>
      </c>
      <c r="D842" s="8">
        <v>41970</v>
      </c>
      <c r="E842" s="8">
        <v>41972</v>
      </c>
      <c r="F842" s="9">
        <v>892.7</v>
      </c>
      <c r="G842">
        <f t="shared" si="52"/>
        <v>3</v>
      </c>
      <c r="H842">
        <f t="shared" si="53"/>
        <v>78</v>
      </c>
      <c r="I842">
        <f t="shared" si="54"/>
        <v>2</v>
      </c>
      <c r="J842">
        <f t="shared" si="55"/>
        <v>2</v>
      </c>
    </row>
    <row r="843" spans="1:10" x14ac:dyDescent="0.25">
      <c r="A843" s="10" t="s">
        <v>151</v>
      </c>
      <c r="B843" s="11" t="s">
        <v>152</v>
      </c>
      <c r="C843" s="11" t="s">
        <v>47</v>
      </c>
      <c r="D843" s="12">
        <v>41970</v>
      </c>
      <c r="E843" s="12">
        <v>41970</v>
      </c>
      <c r="F843" s="13">
        <v>363.8</v>
      </c>
      <c r="G843">
        <f t="shared" si="52"/>
        <v>1</v>
      </c>
      <c r="H843">
        <f t="shared" si="53"/>
        <v>30</v>
      </c>
      <c r="I843">
        <f t="shared" si="54"/>
        <v>0</v>
      </c>
      <c r="J843" t="str">
        <f t="shared" si="55"/>
        <v/>
      </c>
    </row>
    <row r="844" spans="1:10" x14ac:dyDescent="0.25">
      <c r="A844" s="6" t="s">
        <v>147</v>
      </c>
      <c r="B844" s="7" t="s">
        <v>148</v>
      </c>
      <c r="C844" s="7" t="s">
        <v>24</v>
      </c>
      <c r="D844" s="8">
        <v>41970</v>
      </c>
      <c r="E844" s="8">
        <v>41970</v>
      </c>
      <c r="F844" s="9">
        <v>290.7</v>
      </c>
      <c r="G844">
        <f t="shared" si="52"/>
        <v>1</v>
      </c>
      <c r="H844">
        <f t="shared" si="53"/>
        <v>30</v>
      </c>
      <c r="I844">
        <f t="shared" si="54"/>
        <v>0</v>
      </c>
      <c r="J844" t="str">
        <f t="shared" si="55"/>
        <v/>
      </c>
    </row>
    <row r="845" spans="1:10" x14ac:dyDescent="0.25">
      <c r="A845" s="10" t="s">
        <v>109</v>
      </c>
      <c r="B845" s="11" t="s">
        <v>110</v>
      </c>
      <c r="C845" s="11" t="s">
        <v>47</v>
      </c>
      <c r="D845" s="12">
        <v>41970</v>
      </c>
      <c r="E845" s="12">
        <v>41971</v>
      </c>
      <c r="F845" s="13">
        <v>526.79999999999995</v>
      </c>
      <c r="G845">
        <f t="shared" si="52"/>
        <v>2</v>
      </c>
      <c r="H845">
        <f t="shared" si="53"/>
        <v>54</v>
      </c>
      <c r="I845">
        <f t="shared" si="54"/>
        <v>1</v>
      </c>
      <c r="J845">
        <f t="shared" si="55"/>
        <v>1</v>
      </c>
    </row>
    <row r="846" spans="1:10" x14ac:dyDescent="0.25">
      <c r="A846" s="6" t="s">
        <v>93</v>
      </c>
      <c r="B846" s="7" t="s">
        <v>94</v>
      </c>
      <c r="C846" s="7" t="s">
        <v>30</v>
      </c>
      <c r="D846" s="8">
        <v>41970</v>
      </c>
      <c r="E846" s="8">
        <v>41970</v>
      </c>
      <c r="F846" s="9">
        <v>212.5</v>
      </c>
      <c r="G846">
        <f t="shared" si="52"/>
        <v>1</v>
      </c>
      <c r="H846">
        <f t="shared" si="53"/>
        <v>30</v>
      </c>
      <c r="I846">
        <f t="shared" si="54"/>
        <v>0</v>
      </c>
      <c r="J846" t="str">
        <f t="shared" si="55"/>
        <v/>
      </c>
    </row>
    <row r="847" spans="1:10" x14ac:dyDescent="0.25">
      <c r="A847" s="10" t="s">
        <v>115</v>
      </c>
      <c r="B847" s="11" t="s">
        <v>116</v>
      </c>
      <c r="C847" s="11" t="s">
        <v>59</v>
      </c>
      <c r="D847" s="12">
        <v>41970</v>
      </c>
      <c r="E847" s="12">
        <v>41971</v>
      </c>
      <c r="F847" s="13">
        <v>601</v>
      </c>
      <c r="G847">
        <f t="shared" si="52"/>
        <v>2</v>
      </c>
      <c r="H847">
        <f t="shared" si="53"/>
        <v>54</v>
      </c>
      <c r="I847">
        <f t="shared" si="54"/>
        <v>1</v>
      </c>
      <c r="J847">
        <f t="shared" si="55"/>
        <v>1</v>
      </c>
    </row>
    <row r="848" spans="1:10" x14ac:dyDescent="0.25">
      <c r="A848" s="6" t="s">
        <v>12</v>
      </c>
      <c r="B848" s="7" t="s">
        <v>95</v>
      </c>
      <c r="C848" s="7" t="s">
        <v>19</v>
      </c>
      <c r="D848" s="8">
        <v>41970</v>
      </c>
      <c r="E848" s="8">
        <v>41970</v>
      </c>
      <c r="F848" s="9">
        <v>513.4</v>
      </c>
      <c r="G848">
        <f t="shared" si="52"/>
        <v>1</v>
      </c>
      <c r="H848">
        <f t="shared" si="53"/>
        <v>30</v>
      </c>
      <c r="I848">
        <f t="shared" si="54"/>
        <v>0</v>
      </c>
      <c r="J848" t="str">
        <f t="shared" si="55"/>
        <v/>
      </c>
    </row>
    <row r="849" spans="1:10" x14ac:dyDescent="0.25">
      <c r="A849" s="10" t="s">
        <v>54</v>
      </c>
      <c r="B849" s="11" t="s">
        <v>118</v>
      </c>
      <c r="C849" s="11" t="s">
        <v>72</v>
      </c>
      <c r="D849" s="12">
        <v>41970</v>
      </c>
      <c r="E849" s="12">
        <v>41971</v>
      </c>
      <c r="F849" s="13">
        <v>693.7</v>
      </c>
      <c r="G849">
        <f t="shared" si="52"/>
        <v>2</v>
      </c>
      <c r="H849">
        <f t="shared" si="53"/>
        <v>54</v>
      </c>
      <c r="I849">
        <f t="shared" si="54"/>
        <v>1</v>
      </c>
      <c r="J849">
        <f t="shared" si="55"/>
        <v>1</v>
      </c>
    </row>
    <row r="850" spans="1:10" x14ac:dyDescent="0.25">
      <c r="A850" s="6" t="s">
        <v>20</v>
      </c>
      <c r="B850" s="7" t="s">
        <v>21</v>
      </c>
      <c r="C850" s="7" t="s">
        <v>14</v>
      </c>
      <c r="D850" s="8">
        <v>41970</v>
      </c>
      <c r="E850" s="8">
        <v>41972</v>
      </c>
      <c r="F850" s="9">
        <v>426.5</v>
      </c>
      <c r="G850">
        <f t="shared" si="52"/>
        <v>3</v>
      </c>
      <c r="H850">
        <f t="shared" si="53"/>
        <v>78</v>
      </c>
      <c r="I850">
        <f t="shared" si="54"/>
        <v>2</v>
      </c>
      <c r="J850">
        <f t="shared" si="55"/>
        <v>2</v>
      </c>
    </row>
    <row r="851" spans="1:10" x14ac:dyDescent="0.25">
      <c r="A851" s="10" t="s">
        <v>54</v>
      </c>
      <c r="B851" s="11" t="s">
        <v>81</v>
      </c>
      <c r="C851" s="11" t="s">
        <v>19</v>
      </c>
      <c r="D851" s="12">
        <v>41971</v>
      </c>
      <c r="E851" s="12">
        <v>41974</v>
      </c>
      <c r="F851" s="13">
        <v>936.4</v>
      </c>
      <c r="G851">
        <f t="shared" si="52"/>
        <v>4</v>
      </c>
      <c r="H851">
        <f t="shared" si="53"/>
        <v>102</v>
      </c>
      <c r="I851">
        <f t="shared" si="54"/>
        <v>3</v>
      </c>
      <c r="J851">
        <f t="shared" si="55"/>
        <v>3</v>
      </c>
    </row>
    <row r="852" spans="1:10" x14ac:dyDescent="0.25">
      <c r="A852" s="6" t="s">
        <v>22</v>
      </c>
      <c r="B852" s="7" t="s">
        <v>172</v>
      </c>
      <c r="C852" s="7" t="s">
        <v>72</v>
      </c>
      <c r="D852" s="8">
        <v>41971</v>
      </c>
      <c r="E852" s="8">
        <v>41973</v>
      </c>
      <c r="F852" s="9">
        <v>892.7</v>
      </c>
      <c r="G852">
        <f t="shared" si="52"/>
        <v>3</v>
      </c>
      <c r="H852">
        <f t="shared" si="53"/>
        <v>78</v>
      </c>
      <c r="I852">
        <f t="shared" si="54"/>
        <v>2</v>
      </c>
      <c r="J852">
        <f t="shared" si="55"/>
        <v>2</v>
      </c>
    </row>
    <row r="853" spans="1:10" x14ac:dyDescent="0.25">
      <c r="A853" s="10" t="s">
        <v>131</v>
      </c>
      <c r="B853" s="11" t="s">
        <v>142</v>
      </c>
      <c r="C853" s="11" t="s">
        <v>8</v>
      </c>
      <c r="D853" s="12">
        <v>41971</v>
      </c>
      <c r="E853" s="12">
        <v>41973</v>
      </c>
      <c r="F853" s="13">
        <v>1102</v>
      </c>
      <c r="G853">
        <f t="shared" si="52"/>
        <v>3</v>
      </c>
      <c r="H853">
        <f t="shared" si="53"/>
        <v>78</v>
      </c>
      <c r="I853">
        <f t="shared" si="54"/>
        <v>2</v>
      </c>
      <c r="J853">
        <f t="shared" si="55"/>
        <v>2</v>
      </c>
    </row>
    <row r="854" spans="1:10" x14ac:dyDescent="0.25">
      <c r="A854" s="6" t="s">
        <v>84</v>
      </c>
      <c r="B854" s="7" t="s">
        <v>85</v>
      </c>
      <c r="C854" s="7" t="s">
        <v>27</v>
      </c>
      <c r="D854" s="8">
        <v>41971</v>
      </c>
      <c r="E854" s="8">
        <v>41973</v>
      </c>
      <c r="F854" s="9">
        <v>698</v>
      </c>
      <c r="G854">
        <f t="shared" si="52"/>
        <v>3</v>
      </c>
      <c r="H854">
        <f t="shared" si="53"/>
        <v>78</v>
      </c>
      <c r="I854">
        <f t="shared" si="54"/>
        <v>2</v>
      </c>
      <c r="J854">
        <f t="shared" si="55"/>
        <v>2</v>
      </c>
    </row>
    <row r="855" spans="1:10" x14ac:dyDescent="0.25">
      <c r="A855" s="10" t="s">
        <v>86</v>
      </c>
      <c r="B855" s="11" t="s">
        <v>150</v>
      </c>
      <c r="C855" s="11" t="s">
        <v>72</v>
      </c>
      <c r="D855" s="12">
        <v>41971</v>
      </c>
      <c r="E855" s="12">
        <v>41972</v>
      </c>
      <c r="F855" s="13">
        <v>693.7</v>
      </c>
      <c r="G855">
        <f t="shared" si="52"/>
        <v>2</v>
      </c>
      <c r="H855">
        <f t="shared" si="53"/>
        <v>54</v>
      </c>
      <c r="I855">
        <f t="shared" si="54"/>
        <v>1</v>
      </c>
      <c r="J855">
        <f t="shared" si="55"/>
        <v>1</v>
      </c>
    </row>
    <row r="856" spans="1:10" x14ac:dyDescent="0.25">
      <c r="A856" s="6" t="s">
        <v>50</v>
      </c>
      <c r="B856" s="7" t="s">
        <v>51</v>
      </c>
      <c r="C856" s="7" t="s">
        <v>17</v>
      </c>
      <c r="D856" s="8">
        <v>41971</v>
      </c>
      <c r="E856" s="8">
        <v>41971</v>
      </c>
      <c r="F856" s="9">
        <v>501.5</v>
      </c>
      <c r="G856">
        <f t="shared" si="52"/>
        <v>1</v>
      </c>
      <c r="H856">
        <f t="shared" si="53"/>
        <v>30</v>
      </c>
      <c r="I856">
        <f t="shared" si="54"/>
        <v>0</v>
      </c>
      <c r="J856" t="str">
        <f t="shared" si="55"/>
        <v/>
      </c>
    </row>
    <row r="857" spans="1:10" x14ac:dyDescent="0.25">
      <c r="A857" s="10" t="s">
        <v>25</v>
      </c>
      <c r="B857" s="11" t="s">
        <v>26</v>
      </c>
      <c r="C857" s="11" t="s">
        <v>66</v>
      </c>
      <c r="D857" s="12">
        <v>41971</v>
      </c>
      <c r="E857" s="12">
        <v>41971</v>
      </c>
      <c r="F857" s="13">
        <v>307.7</v>
      </c>
      <c r="G857">
        <f t="shared" si="52"/>
        <v>1</v>
      </c>
      <c r="H857">
        <f t="shared" si="53"/>
        <v>30</v>
      </c>
      <c r="I857">
        <f t="shared" si="54"/>
        <v>0</v>
      </c>
      <c r="J857" t="str">
        <f t="shared" si="55"/>
        <v/>
      </c>
    </row>
    <row r="858" spans="1:10" x14ac:dyDescent="0.25">
      <c r="A858" s="6" t="s">
        <v>28</v>
      </c>
      <c r="B858" s="7" t="s">
        <v>29</v>
      </c>
      <c r="C858" s="7" t="s">
        <v>66</v>
      </c>
      <c r="D858" s="8">
        <v>41971</v>
      </c>
      <c r="E858" s="8">
        <v>41972</v>
      </c>
      <c r="F858" s="9">
        <v>485.7</v>
      </c>
      <c r="G858">
        <f t="shared" si="52"/>
        <v>2</v>
      </c>
      <c r="H858">
        <f t="shared" si="53"/>
        <v>54</v>
      </c>
      <c r="I858">
        <f t="shared" si="54"/>
        <v>1</v>
      </c>
      <c r="J858">
        <f t="shared" si="55"/>
        <v>1</v>
      </c>
    </row>
    <row r="859" spans="1:10" x14ac:dyDescent="0.25">
      <c r="A859" s="10" t="s">
        <v>168</v>
      </c>
      <c r="B859" s="11" t="s">
        <v>169</v>
      </c>
      <c r="C859" s="11" t="s">
        <v>59</v>
      </c>
      <c r="D859" s="12">
        <v>41971</v>
      </c>
      <c r="E859" s="12">
        <v>41975</v>
      </c>
      <c r="F859" s="13">
        <v>1078</v>
      </c>
      <c r="G859">
        <f t="shared" si="52"/>
        <v>5</v>
      </c>
      <c r="H859">
        <f t="shared" si="53"/>
        <v>126</v>
      </c>
      <c r="I859">
        <f t="shared" si="54"/>
        <v>4</v>
      </c>
      <c r="J859">
        <f t="shared" si="55"/>
        <v>4</v>
      </c>
    </row>
    <row r="860" spans="1:10" x14ac:dyDescent="0.25">
      <c r="A860" s="6" t="s">
        <v>115</v>
      </c>
      <c r="B860" s="7" t="s">
        <v>140</v>
      </c>
      <c r="C860" s="7" t="s">
        <v>47</v>
      </c>
      <c r="D860" s="8">
        <v>41971</v>
      </c>
      <c r="E860" s="8">
        <v>41971</v>
      </c>
      <c r="F860" s="9">
        <v>363.8</v>
      </c>
      <c r="G860">
        <f t="shared" si="52"/>
        <v>1</v>
      </c>
      <c r="H860">
        <f t="shared" si="53"/>
        <v>30</v>
      </c>
      <c r="I860">
        <f t="shared" si="54"/>
        <v>0</v>
      </c>
      <c r="J860" t="str">
        <f t="shared" si="55"/>
        <v/>
      </c>
    </row>
    <row r="861" spans="1:10" x14ac:dyDescent="0.25">
      <c r="A861" s="10" t="s">
        <v>126</v>
      </c>
      <c r="B861" s="11" t="s">
        <v>127</v>
      </c>
      <c r="C861" s="11" t="s">
        <v>19</v>
      </c>
      <c r="D861" s="12">
        <v>41971</v>
      </c>
      <c r="E861" s="12">
        <v>41971</v>
      </c>
      <c r="F861" s="13">
        <v>513.4</v>
      </c>
      <c r="G861">
        <f t="shared" si="52"/>
        <v>1</v>
      </c>
      <c r="H861">
        <f t="shared" si="53"/>
        <v>30</v>
      </c>
      <c r="I861">
        <f t="shared" si="54"/>
        <v>0</v>
      </c>
      <c r="J861" t="str">
        <f t="shared" si="55"/>
        <v/>
      </c>
    </row>
    <row r="862" spans="1:10" x14ac:dyDescent="0.25">
      <c r="A862" s="6" t="s">
        <v>9</v>
      </c>
      <c r="B862" s="7" t="s">
        <v>69</v>
      </c>
      <c r="C862" s="7" t="s">
        <v>38</v>
      </c>
      <c r="D862" s="8">
        <v>41971</v>
      </c>
      <c r="E862" s="8">
        <v>41972</v>
      </c>
      <c r="F862" s="9">
        <v>407.8</v>
      </c>
      <c r="G862">
        <f t="shared" si="52"/>
        <v>2</v>
      </c>
      <c r="H862">
        <f t="shared" si="53"/>
        <v>54</v>
      </c>
      <c r="I862">
        <f t="shared" si="54"/>
        <v>1</v>
      </c>
      <c r="J862">
        <f t="shared" si="55"/>
        <v>1</v>
      </c>
    </row>
    <row r="863" spans="1:10" x14ac:dyDescent="0.25">
      <c r="A863" s="10" t="s">
        <v>99</v>
      </c>
      <c r="B863" s="11" t="s">
        <v>100</v>
      </c>
      <c r="C863" s="11" t="s">
        <v>72</v>
      </c>
      <c r="D863" s="12">
        <v>41971</v>
      </c>
      <c r="E863" s="12">
        <v>41974</v>
      </c>
      <c r="F863" s="13">
        <v>1091.7</v>
      </c>
      <c r="G863">
        <f t="shared" si="52"/>
        <v>4</v>
      </c>
      <c r="H863">
        <f t="shared" si="53"/>
        <v>102</v>
      </c>
      <c r="I863">
        <f t="shared" si="54"/>
        <v>3</v>
      </c>
      <c r="J863">
        <f t="shared" si="55"/>
        <v>3</v>
      </c>
    </row>
    <row r="864" spans="1:10" x14ac:dyDescent="0.25">
      <c r="A864" s="6" t="s">
        <v>145</v>
      </c>
      <c r="B864" s="7" t="s">
        <v>146</v>
      </c>
      <c r="C864" s="7" t="s">
        <v>14</v>
      </c>
      <c r="D864" s="8">
        <v>41971</v>
      </c>
      <c r="E864" s="8">
        <v>41975</v>
      </c>
      <c r="F864" s="9">
        <v>674.5</v>
      </c>
      <c r="G864">
        <f t="shared" si="52"/>
        <v>5</v>
      </c>
      <c r="H864">
        <f t="shared" si="53"/>
        <v>126</v>
      </c>
      <c r="I864">
        <f t="shared" si="54"/>
        <v>4</v>
      </c>
      <c r="J864">
        <f t="shared" si="55"/>
        <v>4</v>
      </c>
    </row>
    <row r="865" spans="1:10" x14ac:dyDescent="0.25">
      <c r="A865" s="10" t="s">
        <v>156</v>
      </c>
      <c r="B865" s="11" t="s">
        <v>157</v>
      </c>
      <c r="C865" s="11" t="s">
        <v>8</v>
      </c>
      <c r="D865" s="12">
        <v>41971</v>
      </c>
      <c r="E865" s="12">
        <v>41975</v>
      </c>
      <c r="F865" s="13">
        <v>1524</v>
      </c>
      <c r="G865">
        <f t="shared" si="52"/>
        <v>5</v>
      </c>
      <c r="H865">
        <f t="shared" si="53"/>
        <v>126</v>
      </c>
      <c r="I865">
        <f t="shared" si="54"/>
        <v>4</v>
      </c>
      <c r="J865">
        <f t="shared" si="55"/>
        <v>4</v>
      </c>
    </row>
    <row r="866" spans="1:10" x14ac:dyDescent="0.25">
      <c r="A866" s="6" t="s">
        <v>137</v>
      </c>
      <c r="B866" s="7" t="s">
        <v>160</v>
      </c>
      <c r="C866" s="7" t="s">
        <v>30</v>
      </c>
      <c r="D866" s="8">
        <v>41971</v>
      </c>
      <c r="E866" s="8">
        <v>41975</v>
      </c>
      <c r="F866" s="9">
        <v>688.5</v>
      </c>
      <c r="G866">
        <f t="shared" si="52"/>
        <v>5</v>
      </c>
      <c r="H866">
        <f t="shared" si="53"/>
        <v>126</v>
      </c>
      <c r="I866">
        <f t="shared" si="54"/>
        <v>4</v>
      </c>
      <c r="J866">
        <f t="shared" si="55"/>
        <v>4</v>
      </c>
    </row>
    <row r="867" spans="1:10" x14ac:dyDescent="0.25">
      <c r="A867" s="10" t="s">
        <v>158</v>
      </c>
      <c r="B867" s="11" t="s">
        <v>159</v>
      </c>
      <c r="C867" s="11" t="s">
        <v>24</v>
      </c>
      <c r="D867" s="12">
        <v>41971</v>
      </c>
      <c r="E867" s="12">
        <v>41972</v>
      </c>
      <c r="F867" s="13">
        <v>439.7</v>
      </c>
      <c r="G867">
        <f t="shared" si="52"/>
        <v>2</v>
      </c>
      <c r="H867">
        <f t="shared" si="53"/>
        <v>54</v>
      </c>
      <c r="I867">
        <f t="shared" si="54"/>
        <v>1</v>
      </c>
      <c r="J867">
        <f t="shared" si="55"/>
        <v>1</v>
      </c>
    </row>
    <row r="868" spans="1:10" x14ac:dyDescent="0.25">
      <c r="A868" s="6" t="s">
        <v>31</v>
      </c>
      <c r="B868" s="7" t="s">
        <v>77</v>
      </c>
      <c r="C868" s="7" t="s">
        <v>72</v>
      </c>
      <c r="D868" s="8">
        <v>41971</v>
      </c>
      <c r="E868" s="8">
        <v>41972</v>
      </c>
      <c r="F868" s="9">
        <v>693.7</v>
      </c>
      <c r="G868">
        <f t="shared" si="52"/>
        <v>2</v>
      </c>
      <c r="H868">
        <f t="shared" si="53"/>
        <v>54</v>
      </c>
      <c r="I868">
        <f t="shared" si="54"/>
        <v>1</v>
      </c>
      <c r="J868">
        <f t="shared" si="55"/>
        <v>1</v>
      </c>
    </row>
    <row r="869" spans="1:10" x14ac:dyDescent="0.25">
      <c r="A869" s="10" t="s">
        <v>57</v>
      </c>
      <c r="B869" s="11" t="s">
        <v>58</v>
      </c>
      <c r="C869" s="11" t="s">
        <v>8</v>
      </c>
      <c r="D869" s="12">
        <v>41971</v>
      </c>
      <c r="E869" s="12">
        <v>41974</v>
      </c>
      <c r="F869" s="13">
        <v>1313</v>
      </c>
      <c r="G869">
        <f t="shared" si="52"/>
        <v>4</v>
      </c>
      <c r="H869">
        <f t="shared" si="53"/>
        <v>102</v>
      </c>
      <c r="I869">
        <f t="shared" si="54"/>
        <v>3</v>
      </c>
      <c r="J869">
        <f t="shared" si="55"/>
        <v>3</v>
      </c>
    </row>
    <row r="870" spans="1:10" x14ac:dyDescent="0.25">
      <c r="A870" s="6" t="s">
        <v>86</v>
      </c>
      <c r="B870" s="7" t="s">
        <v>136</v>
      </c>
      <c r="C870" s="7" t="s">
        <v>8</v>
      </c>
      <c r="D870" s="8">
        <v>41971</v>
      </c>
      <c r="E870" s="8">
        <v>41972</v>
      </c>
      <c r="F870" s="9">
        <v>891</v>
      </c>
      <c r="G870">
        <f t="shared" si="52"/>
        <v>2</v>
      </c>
      <c r="H870">
        <f t="shared" si="53"/>
        <v>54</v>
      </c>
      <c r="I870">
        <f t="shared" si="54"/>
        <v>1</v>
      </c>
      <c r="J870">
        <f t="shared" si="55"/>
        <v>1</v>
      </c>
    </row>
    <row r="871" spans="1:10" x14ac:dyDescent="0.25">
      <c r="A871" s="10" t="s">
        <v>170</v>
      </c>
      <c r="B871" s="11" t="s">
        <v>171</v>
      </c>
      <c r="C871" s="11" t="s">
        <v>24</v>
      </c>
      <c r="D871" s="12">
        <v>41972</v>
      </c>
      <c r="E871" s="12">
        <v>41973</v>
      </c>
      <c r="F871" s="13">
        <v>439.7</v>
      </c>
      <c r="G871">
        <f t="shared" si="52"/>
        <v>2</v>
      </c>
      <c r="H871">
        <f t="shared" si="53"/>
        <v>54</v>
      </c>
      <c r="I871">
        <f t="shared" si="54"/>
        <v>1</v>
      </c>
      <c r="J871">
        <f t="shared" si="55"/>
        <v>1</v>
      </c>
    </row>
    <row r="872" spans="1:10" x14ac:dyDescent="0.25">
      <c r="A872" s="6" t="s">
        <v>115</v>
      </c>
      <c r="B872" s="7" t="s">
        <v>140</v>
      </c>
      <c r="C872" s="7" t="s">
        <v>8</v>
      </c>
      <c r="D872" s="8">
        <v>41974</v>
      </c>
      <c r="E872" s="8">
        <v>41974</v>
      </c>
      <c r="F872" s="9">
        <v>680</v>
      </c>
      <c r="G872">
        <f t="shared" si="52"/>
        <v>1</v>
      </c>
      <c r="H872">
        <f t="shared" si="53"/>
        <v>30</v>
      </c>
      <c r="I872">
        <f t="shared" si="54"/>
        <v>0</v>
      </c>
      <c r="J872" t="str">
        <f t="shared" si="55"/>
        <v/>
      </c>
    </row>
    <row r="873" spans="1:10" x14ac:dyDescent="0.25">
      <c r="A873" s="10" t="s">
        <v>33</v>
      </c>
      <c r="B873" s="11" t="s">
        <v>34</v>
      </c>
      <c r="C873" s="11" t="s">
        <v>59</v>
      </c>
      <c r="D873" s="12">
        <v>41974</v>
      </c>
      <c r="E873" s="12">
        <v>41974</v>
      </c>
      <c r="F873" s="13">
        <v>442</v>
      </c>
      <c r="G873">
        <f t="shared" si="52"/>
        <v>1</v>
      </c>
      <c r="H873">
        <f t="shared" si="53"/>
        <v>30</v>
      </c>
      <c r="I873">
        <f t="shared" si="54"/>
        <v>0</v>
      </c>
      <c r="J873" t="str">
        <f t="shared" si="55"/>
        <v/>
      </c>
    </row>
    <row r="874" spans="1:10" x14ac:dyDescent="0.25">
      <c r="A874" s="6" t="s">
        <v>126</v>
      </c>
      <c r="B874" s="7" t="s">
        <v>127</v>
      </c>
      <c r="C874" s="7" t="s">
        <v>14</v>
      </c>
      <c r="D874" s="8">
        <v>41974</v>
      </c>
      <c r="E874" s="8">
        <v>41975</v>
      </c>
      <c r="F874" s="9">
        <v>302.5</v>
      </c>
      <c r="G874">
        <f t="shared" si="52"/>
        <v>2</v>
      </c>
      <c r="H874">
        <f t="shared" si="53"/>
        <v>54</v>
      </c>
      <c r="I874">
        <f t="shared" si="54"/>
        <v>1</v>
      </c>
      <c r="J874">
        <f t="shared" si="55"/>
        <v>1</v>
      </c>
    </row>
    <row r="875" spans="1:10" x14ac:dyDescent="0.25">
      <c r="A875" s="10" t="s">
        <v>73</v>
      </c>
      <c r="B875" s="11" t="s">
        <v>74</v>
      </c>
      <c r="C875" s="11" t="s">
        <v>19</v>
      </c>
      <c r="D875" s="12">
        <v>41974</v>
      </c>
      <c r="E875" s="12">
        <v>41974</v>
      </c>
      <c r="F875" s="13">
        <v>513.4</v>
      </c>
      <c r="G875">
        <f t="shared" si="52"/>
        <v>1</v>
      </c>
      <c r="H875">
        <f t="shared" si="53"/>
        <v>30</v>
      </c>
      <c r="I875">
        <f t="shared" si="54"/>
        <v>0</v>
      </c>
      <c r="J875" t="str">
        <f t="shared" si="55"/>
        <v/>
      </c>
    </row>
    <row r="876" spans="1:10" x14ac:dyDescent="0.25">
      <c r="A876" s="6" t="s">
        <v>151</v>
      </c>
      <c r="B876" s="7" t="s">
        <v>152</v>
      </c>
      <c r="C876" s="7" t="s">
        <v>59</v>
      </c>
      <c r="D876" s="8">
        <v>41974</v>
      </c>
      <c r="E876" s="8">
        <v>41974</v>
      </c>
      <c r="F876" s="9">
        <v>442</v>
      </c>
      <c r="G876">
        <f t="shared" si="52"/>
        <v>1</v>
      </c>
      <c r="H876">
        <f t="shared" si="53"/>
        <v>30</v>
      </c>
      <c r="I876">
        <f t="shared" si="54"/>
        <v>0</v>
      </c>
      <c r="J876" t="str">
        <f t="shared" si="55"/>
        <v/>
      </c>
    </row>
    <row r="877" spans="1:10" x14ac:dyDescent="0.25">
      <c r="A877" s="10" t="s">
        <v>147</v>
      </c>
      <c r="B877" s="11" t="s">
        <v>148</v>
      </c>
      <c r="C877" s="11" t="s">
        <v>72</v>
      </c>
      <c r="D877" s="12">
        <v>41974</v>
      </c>
      <c r="E877" s="12">
        <v>41974</v>
      </c>
      <c r="F877" s="13">
        <v>494.7</v>
      </c>
      <c r="G877">
        <f t="shared" si="52"/>
        <v>1</v>
      </c>
      <c r="H877">
        <f t="shared" si="53"/>
        <v>30</v>
      </c>
      <c r="I877">
        <f t="shared" si="54"/>
        <v>0</v>
      </c>
      <c r="J877" t="str">
        <f t="shared" si="55"/>
        <v/>
      </c>
    </row>
    <row r="878" spans="1:10" x14ac:dyDescent="0.25">
      <c r="A878" s="6" t="s">
        <v>93</v>
      </c>
      <c r="B878" s="7" t="s">
        <v>94</v>
      </c>
      <c r="C878" s="7" t="s">
        <v>19</v>
      </c>
      <c r="D878" s="8">
        <v>41974</v>
      </c>
      <c r="E878" s="8">
        <v>41974</v>
      </c>
      <c r="F878" s="9">
        <v>513.4</v>
      </c>
      <c r="G878">
        <f t="shared" si="52"/>
        <v>1</v>
      </c>
      <c r="H878">
        <f t="shared" si="53"/>
        <v>30</v>
      </c>
      <c r="I878">
        <f t="shared" si="54"/>
        <v>0</v>
      </c>
      <c r="J878" t="str">
        <f t="shared" si="55"/>
        <v/>
      </c>
    </row>
    <row r="879" spans="1:10" x14ac:dyDescent="0.25">
      <c r="A879" s="10" t="s">
        <v>131</v>
      </c>
      <c r="B879" s="11" t="s">
        <v>154</v>
      </c>
      <c r="C879" s="11" t="s">
        <v>59</v>
      </c>
      <c r="D879" s="12">
        <v>41975</v>
      </c>
      <c r="E879" s="12">
        <v>41975</v>
      </c>
      <c r="F879" s="13">
        <v>442</v>
      </c>
      <c r="G879">
        <f t="shared" si="52"/>
        <v>1</v>
      </c>
      <c r="H879">
        <f t="shared" si="53"/>
        <v>30</v>
      </c>
      <c r="I879">
        <f t="shared" si="54"/>
        <v>0</v>
      </c>
      <c r="J879" t="str">
        <f t="shared" si="55"/>
        <v/>
      </c>
    </row>
    <row r="880" spans="1:10" x14ac:dyDescent="0.25">
      <c r="A880" s="6" t="s">
        <v>22</v>
      </c>
      <c r="B880" s="7" t="s">
        <v>172</v>
      </c>
      <c r="C880" s="7" t="s">
        <v>30</v>
      </c>
      <c r="D880" s="8">
        <v>41975</v>
      </c>
      <c r="E880" s="8">
        <v>41976</v>
      </c>
      <c r="F880" s="9">
        <v>331.5</v>
      </c>
      <c r="G880">
        <f t="shared" si="52"/>
        <v>2</v>
      </c>
      <c r="H880">
        <f t="shared" si="53"/>
        <v>54</v>
      </c>
      <c r="I880">
        <f t="shared" si="54"/>
        <v>1</v>
      </c>
      <c r="J880">
        <f t="shared" si="55"/>
        <v>1</v>
      </c>
    </row>
    <row r="881" spans="1:10" x14ac:dyDescent="0.25">
      <c r="A881" s="10" t="s">
        <v>54</v>
      </c>
      <c r="B881" s="11" t="s">
        <v>133</v>
      </c>
      <c r="C881" s="11" t="s">
        <v>47</v>
      </c>
      <c r="D881" s="12">
        <v>41975</v>
      </c>
      <c r="E881" s="12">
        <v>41977</v>
      </c>
      <c r="F881" s="13">
        <v>689.8</v>
      </c>
      <c r="G881">
        <f t="shared" si="52"/>
        <v>3</v>
      </c>
      <c r="H881">
        <f t="shared" si="53"/>
        <v>78</v>
      </c>
      <c r="I881">
        <f t="shared" si="54"/>
        <v>2</v>
      </c>
      <c r="J881">
        <f t="shared" si="55"/>
        <v>2</v>
      </c>
    </row>
    <row r="882" spans="1:10" x14ac:dyDescent="0.25">
      <c r="A882" s="6" t="s">
        <v>50</v>
      </c>
      <c r="B882" s="7" t="s">
        <v>51</v>
      </c>
      <c r="C882" s="7" t="s">
        <v>38</v>
      </c>
      <c r="D882" s="8">
        <v>41975</v>
      </c>
      <c r="E882" s="8">
        <v>41975</v>
      </c>
      <c r="F882" s="9">
        <v>278.8</v>
      </c>
      <c r="G882">
        <f t="shared" si="52"/>
        <v>1</v>
      </c>
      <c r="H882">
        <f t="shared" si="53"/>
        <v>30</v>
      </c>
      <c r="I882">
        <f t="shared" si="54"/>
        <v>0</v>
      </c>
      <c r="J882" t="str">
        <f t="shared" si="55"/>
        <v/>
      </c>
    </row>
    <row r="883" spans="1:10" x14ac:dyDescent="0.25">
      <c r="A883" s="10" t="s">
        <v>158</v>
      </c>
      <c r="B883" s="11" t="s">
        <v>159</v>
      </c>
      <c r="C883" s="11" t="s">
        <v>11</v>
      </c>
      <c r="D883" s="12">
        <v>41975</v>
      </c>
      <c r="E883" s="12">
        <v>41975</v>
      </c>
      <c r="F883" s="13">
        <v>156.4</v>
      </c>
      <c r="G883">
        <f t="shared" si="52"/>
        <v>1</v>
      </c>
      <c r="H883">
        <f t="shared" si="53"/>
        <v>30</v>
      </c>
      <c r="I883">
        <f t="shared" si="54"/>
        <v>0</v>
      </c>
      <c r="J883" t="str">
        <f t="shared" si="55"/>
        <v/>
      </c>
    </row>
    <row r="884" spans="1:10" x14ac:dyDescent="0.25">
      <c r="A884" s="6" t="s">
        <v>115</v>
      </c>
      <c r="B884" s="7" t="s">
        <v>116</v>
      </c>
      <c r="C884" s="7" t="s">
        <v>24</v>
      </c>
      <c r="D884" s="8">
        <v>41975</v>
      </c>
      <c r="E884" s="8">
        <v>41975</v>
      </c>
      <c r="F884" s="9">
        <v>290.7</v>
      </c>
      <c r="G884">
        <f t="shared" si="52"/>
        <v>1</v>
      </c>
      <c r="H884">
        <f t="shared" si="53"/>
        <v>30</v>
      </c>
      <c r="I884">
        <f t="shared" si="54"/>
        <v>0</v>
      </c>
      <c r="J884" t="str">
        <f t="shared" si="55"/>
        <v/>
      </c>
    </row>
    <row r="885" spans="1:10" x14ac:dyDescent="0.25">
      <c r="A885" s="10" t="s">
        <v>170</v>
      </c>
      <c r="B885" s="11" t="s">
        <v>171</v>
      </c>
      <c r="C885" s="11" t="s">
        <v>38</v>
      </c>
      <c r="D885" s="12">
        <v>41976</v>
      </c>
      <c r="E885" s="12">
        <v>41976</v>
      </c>
      <c r="F885" s="13">
        <v>278.8</v>
      </c>
      <c r="G885">
        <f t="shared" si="52"/>
        <v>1</v>
      </c>
      <c r="H885">
        <f t="shared" si="53"/>
        <v>30</v>
      </c>
      <c r="I885">
        <f t="shared" si="54"/>
        <v>0</v>
      </c>
      <c r="J885" t="str">
        <f t="shared" si="55"/>
        <v/>
      </c>
    </row>
    <row r="886" spans="1:10" x14ac:dyDescent="0.25">
      <c r="A886" s="6" t="s">
        <v>54</v>
      </c>
      <c r="B886" s="7" t="s">
        <v>81</v>
      </c>
      <c r="C886" s="7" t="s">
        <v>19</v>
      </c>
      <c r="D886" s="8">
        <v>41977</v>
      </c>
      <c r="E886" s="8">
        <v>41977</v>
      </c>
      <c r="F886" s="9">
        <v>513.4</v>
      </c>
      <c r="G886">
        <f t="shared" si="52"/>
        <v>1</v>
      </c>
      <c r="H886">
        <f t="shared" si="53"/>
        <v>30</v>
      </c>
      <c r="I886">
        <f t="shared" si="54"/>
        <v>0</v>
      </c>
      <c r="J886" t="str">
        <f t="shared" si="55"/>
        <v/>
      </c>
    </row>
    <row r="887" spans="1:10" x14ac:dyDescent="0.25">
      <c r="A887" s="10" t="s">
        <v>99</v>
      </c>
      <c r="B887" s="11" t="s">
        <v>130</v>
      </c>
      <c r="C887" s="11" t="s">
        <v>24</v>
      </c>
      <c r="D887" s="12">
        <v>41977</v>
      </c>
      <c r="E887" s="12">
        <v>41978</v>
      </c>
      <c r="F887" s="13">
        <v>439.7</v>
      </c>
      <c r="G887">
        <f t="shared" si="52"/>
        <v>2</v>
      </c>
      <c r="H887">
        <f t="shared" si="53"/>
        <v>54</v>
      </c>
      <c r="I887">
        <f t="shared" si="54"/>
        <v>1</v>
      </c>
      <c r="J887">
        <f t="shared" si="55"/>
        <v>1</v>
      </c>
    </row>
    <row r="888" spans="1:10" x14ac:dyDescent="0.25">
      <c r="A888" s="6" t="s">
        <v>97</v>
      </c>
      <c r="B888" s="7" t="s">
        <v>98</v>
      </c>
      <c r="C888" s="7" t="s">
        <v>14</v>
      </c>
      <c r="D888" s="8">
        <v>41977</v>
      </c>
      <c r="E888" s="8">
        <v>41978</v>
      </c>
      <c r="F888" s="9">
        <v>302.5</v>
      </c>
      <c r="G888">
        <f t="shared" si="52"/>
        <v>2</v>
      </c>
      <c r="H888">
        <f t="shared" si="53"/>
        <v>54</v>
      </c>
      <c r="I888">
        <f t="shared" si="54"/>
        <v>1</v>
      </c>
      <c r="J888">
        <f t="shared" si="55"/>
        <v>1</v>
      </c>
    </row>
    <row r="889" spans="1:10" x14ac:dyDescent="0.25">
      <c r="A889" s="10" t="s">
        <v>73</v>
      </c>
      <c r="B889" s="11" t="s">
        <v>155</v>
      </c>
      <c r="C889" s="11" t="s">
        <v>11</v>
      </c>
      <c r="D889" s="12">
        <v>41977</v>
      </c>
      <c r="E889" s="12">
        <v>41978</v>
      </c>
      <c r="F889" s="13">
        <v>295.39999999999998</v>
      </c>
      <c r="G889">
        <f t="shared" si="52"/>
        <v>2</v>
      </c>
      <c r="H889">
        <f t="shared" si="53"/>
        <v>54</v>
      </c>
      <c r="I889">
        <f t="shared" si="54"/>
        <v>1</v>
      </c>
      <c r="J889">
        <f t="shared" si="55"/>
        <v>1</v>
      </c>
    </row>
    <row r="890" spans="1:10" x14ac:dyDescent="0.25">
      <c r="A890" s="6" t="s">
        <v>109</v>
      </c>
      <c r="B890" s="7" t="s">
        <v>110</v>
      </c>
      <c r="C890" s="7" t="s">
        <v>24</v>
      </c>
      <c r="D890" s="8">
        <v>41977</v>
      </c>
      <c r="E890" s="8">
        <v>41981</v>
      </c>
      <c r="F890" s="9">
        <v>886.7</v>
      </c>
      <c r="G890">
        <f t="shared" si="52"/>
        <v>5</v>
      </c>
      <c r="H890">
        <f t="shared" si="53"/>
        <v>126</v>
      </c>
      <c r="I890">
        <f t="shared" si="54"/>
        <v>4</v>
      </c>
      <c r="J890">
        <f t="shared" si="55"/>
        <v>4</v>
      </c>
    </row>
    <row r="891" spans="1:10" x14ac:dyDescent="0.25">
      <c r="A891" s="10" t="s">
        <v>20</v>
      </c>
      <c r="B891" s="11" t="s">
        <v>162</v>
      </c>
      <c r="C891" s="11" t="s">
        <v>72</v>
      </c>
      <c r="D891" s="12">
        <v>41977</v>
      </c>
      <c r="E891" s="12">
        <v>41981</v>
      </c>
      <c r="F891" s="13">
        <v>1290.7</v>
      </c>
      <c r="G891">
        <f t="shared" si="52"/>
        <v>5</v>
      </c>
      <c r="H891">
        <f t="shared" si="53"/>
        <v>126</v>
      </c>
      <c r="I891">
        <f t="shared" si="54"/>
        <v>4</v>
      </c>
      <c r="J891">
        <f t="shared" si="55"/>
        <v>4</v>
      </c>
    </row>
    <row r="892" spans="1:10" x14ac:dyDescent="0.25">
      <c r="A892" s="6" t="s">
        <v>15</v>
      </c>
      <c r="B892" s="7" t="s">
        <v>16</v>
      </c>
      <c r="C892" s="7" t="s">
        <v>38</v>
      </c>
      <c r="D892" s="8">
        <v>41977</v>
      </c>
      <c r="E892" s="8">
        <v>41979</v>
      </c>
      <c r="F892" s="9">
        <v>536.79999999999995</v>
      </c>
      <c r="G892">
        <f t="shared" si="52"/>
        <v>3</v>
      </c>
      <c r="H892">
        <f t="shared" si="53"/>
        <v>78</v>
      </c>
      <c r="I892">
        <f t="shared" si="54"/>
        <v>2</v>
      </c>
      <c r="J892">
        <f t="shared" si="55"/>
        <v>2</v>
      </c>
    </row>
    <row r="893" spans="1:10" x14ac:dyDescent="0.25">
      <c r="A893" s="10" t="s">
        <v>31</v>
      </c>
      <c r="B893" s="11" t="s">
        <v>78</v>
      </c>
      <c r="C893" s="11" t="s">
        <v>24</v>
      </c>
      <c r="D893" s="12">
        <v>41982</v>
      </c>
      <c r="E893" s="12">
        <v>41983</v>
      </c>
      <c r="F893" s="13">
        <v>439.7</v>
      </c>
      <c r="G893">
        <f t="shared" si="52"/>
        <v>2</v>
      </c>
      <c r="H893">
        <f t="shared" si="53"/>
        <v>54</v>
      </c>
      <c r="I893">
        <f t="shared" si="54"/>
        <v>1</v>
      </c>
      <c r="J893">
        <f t="shared" si="55"/>
        <v>1</v>
      </c>
    </row>
    <row r="894" spans="1:10" x14ac:dyDescent="0.25">
      <c r="A894" s="6" t="s">
        <v>33</v>
      </c>
      <c r="B894" s="7" t="s">
        <v>141</v>
      </c>
      <c r="C894" s="7" t="s">
        <v>38</v>
      </c>
      <c r="D894" s="8">
        <v>41982</v>
      </c>
      <c r="E894" s="8">
        <v>41982</v>
      </c>
      <c r="F894" s="9">
        <v>278.8</v>
      </c>
      <c r="G894">
        <f t="shared" si="52"/>
        <v>1</v>
      </c>
      <c r="H894">
        <f t="shared" si="53"/>
        <v>30</v>
      </c>
      <c r="I894">
        <f t="shared" si="54"/>
        <v>0</v>
      </c>
      <c r="J894" t="str">
        <f t="shared" si="55"/>
        <v/>
      </c>
    </row>
    <row r="895" spans="1:10" x14ac:dyDescent="0.25">
      <c r="A895" s="10" t="s">
        <v>48</v>
      </c>
      <c r="B895" s="11" t="s">
        <v>49</v>
      </c>
      <c r="C895" s="11" t="s">
        <v>24</v>
      </c>
      <c r="D895" s="12">
        <v>41982</v>
      </c>
      <c r="E895" s="12">
        <v>41985</v>
      </c>
      <c r="F895" s="13">
        <v>737.7</v>
      </c>
      <c r="G895">
        <f t="shared" si="52"/>
        <v>4</v>
      </c>
      <c r="H895">
        <f t="shared" si="53"/>
        <v>102</v>
      </c>
      <c r="I895">
        <f t="shared" si="54"/>
        <v>3</v>
      </c>
      <c r="J895">
        <f t="shared" si="55"/>
        <v>3</v>
      </c>
    </row>
    <row r="896" spans="1:10" x14ac:dyDescent="0.25">
      <c r="A896" s="6" t="s">
        <v>6</v>
      </c>
      <c r="B896" s="7" t="s">
        <v>139</v>
      </c>
      <c r="C896" s="7" t="s">
        <v>30</v>
      </c>
      <c r="D896" s="8">
        <v>41982</v>
      </c>
      <c r="E896" s="8">
        <v>41983</v>
      </c>
      <c r="F896" s="9">
        <v>331.5</v>
      </c>
      <c r="G896">
        <f t="shared" si="52"/>
        <v>2</v>
      </c>
      <c r="H896">
        <f t="shared" si="53"/>
        <v>54</v>
      </c>
      <c r="I896">
        <f t="shared" si="54"/>
        <v>1</v>
      </c>
      <c r="J896">
        <f t="shared" si="55"/>
        <v>1</v>
      </c>
    </row>
    <row r="897" spans="1:10" x14ac:dyDescent="0.25">
      <c r="A897" s="10" t="s">
        <v>122</v>
      </c>
      <c r="B897" s="11" t="s">
        <v>123</v>
      </c>
      <c r="C897" s="11" t="s">
        <v>59</v>
      </c>
      <c r="D897" s="12">
        <v>41982</v>
      </c>
      <c r="E897" s="12">
        <v>41982</v>
      </c>
      <c r="F897" s="13">
        <v>442</v>
      </c>
      <c r="G897">
        <f t="shared" si="52"/>
        <v>1</v>
      </c>
      <c r="H897">
        <f t="shared" si="53"/>
        <v>30</v>
      </c>
      <c r="I897">
        <f t="shared" si="54"/>
        <v>0</v>
      </c>
      <c r="J897" t="str">
        <f t="shared" si="55"/>
        <v/>
      </c>
    </row>
    <row r="898" spans="1:10" x14ac:dyDescent="0.25">
      <c r="A898" s="6" t="s">
        <v>93</v>
      </c>
      <c r="B898" s="7" t="s">
        <v>124</v>
      </c>
      <c r="C898" s="7" t="s">
        <v>72</v>
      </c>
      <c r="D898" s="8">
        <v>41982</v>
      </c>
      <c r="E898" s="8">
        <v>41982</v>
      </c>
      <c r="F898" s="9">
        <v>494.7</v>
      </c>
      <c r="G898">
        <f t="shared" si="52"/>
        <v>1</v>
      </c>
      <c r="H898">
        <f t="shared" si="53"/>
        <v>30</v>
      </c>
      <c r="I898">
        <f t="shared" si="54"/>
        <v>0</v>
      </c>
      <c r="J898" t="str">
        <f t="shared" si="55"/>
        <v/>
      </c>
    </row>
    <row r="899" spans="1:10" x14ac:dyDescent="0.25">
      <c r="A899" s="10" t="s">
        <v>31</v>
      </c>
      <c r="B899" s="11" t="s">
        <v>32</v>
      </c>
      <c r="C899" s="11" t="s">
        <v>8</v>
      </c>
      <c r="D899" s="12">
        <v>41982</v>
      </c>
      <c r="E899" s="12">
        <v>41984</v>
      </c>
      <c r="F899" s="13">
        <v>1102</v>
      </c>
      <c r="G899">
        <f t="shared" ref="G899:G962" si="56">E899-D899 + 1</f>
        <v>3</v>
      </c>
      <c r="H899">
        <f t="shared" ref="H899:H962" si="57">30+(G899-1)*24</f>
        <v>78</v>
      </c>
      <c r="I899">
        <f t="shared" ref="I899:I962" si="58">G899-1</f>
        <v>2</v>
      </c>
      <c r="J899">
        <f t="shared" ref="J899:J962" si="59">IF(G899&gt;=2,I899,"")</f>
        <v>2</v>
      </c>
    </row>
    <row r="900" spans="1:10" x14ac:dyDescent="0.25">
      <c r="A900" s="6" t="s">
        <v>61</v>
      </c>
      <c r="B900" s="7" t="s">
        <v>62</v>
      </c>
      <c r="C900" s="7" t="s">
        <v>30</v>
      </c>
      <c r="D900" s="8">
        <v>41982</v>
      </c>
      <c r="E900" s="8">
        <v>41986</v>
      </c>
      <c r="F900" s="9">
        <v>688.5</v>
      </c>
      <c r="G900">
        <f t="shared" si="56"/>
        <v>5</v>
      </c>
      <c r="H900">
        <f t="shared" si="57"/>
        <v>126</v>
      </c>
      <c r="I900">
        <f t="shared" si="58"/>
        <v>4</v>
      </c>
      <c r="J900">
        <f t="shared" si="59"/>
        <v>4</v>
      </c>
    </row>
    <row r="901" spans="1:10" x14ac:dyDescent="0.25">
      <c r="A901" s="10" t="s">
        <v>170</v>
      </c>
      <c r="B901" s="11" t="s">
        <v>171</v>
      </c>
      <c r="C901" s="11" t="s">
        <v>27</v>
      </c>
      <c r="D901" s="12">
        <v>41982</v>
      </c>
      <c r="E901" s="12">
        <v>41983</v>
      </c>
      <c r="F901" s="13">
        <v>570</v>
      </c>
      <c r="G901">
        <f t="shared" si="56"/>
        <v>2</v>
      </c>
      <c r="H901">
        <f t="shared" si="57"/>
        <v>54</v>
      </c>
      <c r="I901">
        <f t="shared" si="58"/>
        <v>1</v>
      </c>
      <c r="J901">
        <f t="shared" si="59"/>
        <v>1</v>
      </c>
    </row>
    <row r="902" spans="1:10" x14ac:dyDescent="0.25">
      <c r="A902" s="6" t="s">
        <v>168</v>
      </c>
      <c r="B902" s="7" t="s">
        <v>169</v>
      </c>
      <c r="C902" s="7" t="s">
        <v>59</v>
      </c>
      <c r="D902" s="8">
        <v>41982</v>
      </c>
      <c r="E902" s="8">
        <v>41984</v>
      </c>
      <c r="F902" s="9">
        <v>760</v>
      </c>
      <c r="G902">
        <f t="shared" si="56"/>
        <v>3</v>
      </c>
      <c r="H902">
        <f t="shared" si="57"/>
        <v>78</v>
      </c>
      <c r="I902">
        <f t="shared" si="58"/>
        <v>2</v>
      </c>
      <c r="J902">
        <f t="shared" si="59"/>
        <v>2</v>
      </c>
    </row>
    <row r="903" spans="1:10" x14ac:dyDescent="0.25">
      <c r="A903" s="10" t="s">
        <v>33</v>
      </c>
      <c r="B903" s="11" t="s">
        <v>34</v>
      </c>
      <c r="C903" s="11" t="s">
        <v>8</v>
      </c>
      <c r="D903" s="12">
        <v>41982</v>
      </c>
      <c r="E903" s="12">
        <v>41983</v>
      </c>
      <c r="F903" s="13">
        <v>891</v>
      </c>
      <c r="G903">
        <f t="shared" si="56"/>
        <v>2</v>
      </c>
      <c r="H903">
        <f t="shared" si="57"/>
        <v>54</v>
      </c>
      <c r="I903">
        <f t="shared" si="58"/>
        <v>1</v>
      </c>
      <c r="J903">
        <f t="shared" si="59"/>
        <v>1</v>
      </c>
    </row>
    <row r="904" spans="1:10" x14ac:dyDescent="0.25">
      <c r="A904" s="6" t="s">
        <v>9</v>
      </c>
      <c r="B904" s="7" t="s">
        <v>10</v>
      </c>
      <c r="C904" s="7" t="s">
        <v>72</v>
      </c>
      <c r="D904" s="8">
        <v>41982</v>
      </c>
      <c r="E904" s="8">
        <v>41984</v>
      </c>
      <c r="F904" s="9">
        <v>892.7</v>
      </c>
      <c r="G904">
        <f t="shared" si="56"/>
        <v>3</v>
      </c>
      <c r="H904">
        <f t="shared" si="57"/>
        <v>78</v>
      </c>
      <c r="I904">
        <f t="shared" si="58"/>
        <v>2</v>
      </c>
      <c r="J904">
        <f t="shared" si="59"/>
        <v>2</v>
      </c>
    </row>
    <row r="905" spans="1:10" x14ac:dyDescent="0.25">
      <c r="A905" s="10" t="s">
        <v>73</v>
      </c>
      <c r="B905" s="11" t="s">
        <v>74</v>
      </c>
      <c r="C905" s="11" t="s">
        <v>11</v>
      </c>
      <c r="D905" s="12">
        <v>41982</v>
      </c>
      <c r="E905" s="12">
        <v>41985</v>
      </c>
      <c r="F905" s="13">
        <v>573.4</v>
      </c>
      <c r="G905">
        <f t="shared" si="56"/>
        <v>4</v>
      </c>
      <c r="H905">
        <f t="shared" si="57"/>
        <v>102</v>
      </c>
      <c r="I905">
        <f t="shared" si="58"/>
        <v>3</v>
      </c>
      <c r="J905">
        <f t="shared" si="59"/>
        <v>3</v>
      </c>
    </row>
    <row r="906" spans="1:10" x14ac:dyDescent="0.25">
      <c r="A906" s="6" t="s">
        <v>101</v>
      </c>
      <c r="B906" s="7" t="s">
        <v>102</v>
      </c>
      <c r="C906" s="7" t="s">
        <v>30</v>
      </c>
      <c r="D906" s="8">
        <v>41982</v>
      </c>
      <c r="E906" s="8">
        <v>41985</v>
      </c>
      <c r="F906" s="9">
        <v>569.5</v>
      </c>
      <c r="G906">
        <f t="shared" si="56"/>
        <v>4</v>
      </c>
      <c r="H906">
        <f t="shared" si="57"/>
        <v>102</v>
      </c>
      <c r="I906">
        <f t="shared" si="58"/>
        <v>3</v>
      </c>
      <c r="J906">
        <f t="shared" si="59"/>
        <v>3</v>
      </c>
    </row>
    <row r="907" spans="1:10" x14ac:dyDescent="0.25">
      <c r="A907" s="10" t="s">
        <v>86</v>
      </c>
      <c r="B907" s="11" t="s">
        <v>87</v>
      </c>
      <c r="C907" s="11" t="s">
        <v>14</v>
      </c>
      <c r="D907" s="12">
        <v>41982</v>
      </c>
      <c r="E907" s="12">
        <v>41986</v>
      </c>
      <c r="F907" s="13">
        <v>674.5</v>
      </c>
      <c r="G907">
        <f t="shared" si="56"/>
        <v>5</v>
      </c>
      <c r="H907">
        <f t="shared" si="57"/>
        <v>126</v>
      </c>
      <c r="I907">
        <f t="shared" si="58"/>
        <v>4</v>
      </c>
      <c r="J907">
        <f t="shared" si="59"/>
        <v>4</v>
      </c>
    </row>
    <row r="908" spans="1:10" x14ac:dyDescent="0.25">
      <c r="A908" s="6" t="s">
        <v>107</v>
      </c>
      <c r="B908" s="7" t="s">
        <v>108</v>
      </c>
      <c r="C908" s="7" t="s">
        <v>19</v>
      </c>
      <c r="D908" s="8">
        <v>41982</v>
      </c>
      <c r="E908" s="8">
        <v>41983</v>
      </c>
      <c r="F908" s="9">
        <v>654.4</v>
      </c>
      <c r="G908">
        <f t="shared" si="56"/>
        <v>2</v>
      </c>
      <c r="H908">
        <f t="shared" si="57"/>
        <v>54</v>
      </c>
      <c r="I908">
        <f t="shared" si="58"/>
        <v>1</v>
      </c>
      <c r="J908">
        <f t="shared" si="59"/>
        <v>1</v>
      </c>
    </row>
    <row r="909" spans="1:10" x14ac:dyDescent="0.25">
      <c r="A909" s="10" t="s">
        <v>134</v>
      </c>
      <c r="B909" s="11" t="s">
        <v>149</v>
      </c>
      <c r="C909" s="11" t="s">
        <v>8</v>
      </c>
      <c r="D909" s="12">
        <v>41982</v>
      </c>
      <c r="E909" s="12">
        <v>41983</v>
      </c>
      <c r="F909" s="13">
        <v>891</v>
      </c>
      <c r="G909">
        <f t="shared" si="56"/>
        <v>2</v>
      </c>
      <c r="H909">
        <f t="shared" si="57"/>
        <v>54</v>
      </c>
      <c r="I909">
        <f t="shared" si="58"/>
        <v>1</v>
      </c>
      <c r="J909">
        <f t="shared" si="59"/>
        <v>1</v>
      </c>
    </row>
    <row r="910" spans="1:10" x14ac:dyDescent="0.25">
      <c r="A910" s="6" t="s">
        <v>111</v>
      </c>
      <c r="B910" s="7" t="s">
        <v>112</v>
      </c>
      <c r="C910" s="7" t="s">
        <v>59</v>
      </c>
      <c r="D910" s="8">
        <v>41982</v>
      </c>
      <c r="E910" s="8">
        <v>41984</v>
      </c>
      <c r="F910" s="9">
        <v>760</v>
      </c>
      <c r="G910">
        <f t="shared" si="56"/>
        <v>3</v>
      </c>
      <c r="H910">
        <f t="shared" si="57"/>
        <v>78</v>
      </c>
      <c r="I910">
        <f t="shared" si="58"/>
        <v>2</v>
      </c>
      <c r="J910">
        <f t="shared" si="59"/>
        <v>2</v>
      </c>
    </row>
    <row r="911" spans="1:10" x14ac:dyDescent="0.25">
      <c r="A911" s="10" t="s">
        <v>93</v>
      </c>
      <c r="B911" s="11" t="s">
        <v>94</v>
      </c>
      <c r="C911" s="11" t="s">
        <v>66</v>
      </c>
      <c r="D911" s="12">
        <v>41982</v>
      </c>
      <c r="E911" s="12">
        <v>41986</v>
      </c>
      <c r="F911" s="13">
        <v>1019.7</v>
      </c>
      <c r="G911">
        <f t="shared" si="56"/>
        <v>5</v>
      </c>
      <c r="H911">
        <f t="shared" si="57"/>
        <v>126</v>
      </c>
      <c r="I911">
        <f t="shared" si="58"/>
        <v>4</v>
      </c>
      <c r="J911">
        <f t="shared" si="59"/>
        <v>4</v>
      </c>
    </row>
    <row r="912" spans="1:10" x14ac:dyDescent="0.25">
      <c r="A912" s="6" t="s">
        <v>70</v>
      </c>
      <c r="B912" s="7" t="s">
        <v>117</v>
      </c>
      <c r="C912" s="7" t="s">
        <v>47</v>
      </c>
      <c r="D912" s="8">
        <v>41982</v>
      </c>
      <c r="E912" s="8">
        <v>41983</v>
      </c>
      <c r="F912" s="9">
        <v>526.79999999999995</v>
      </c>
      <c r="G912">
        <f t="shared" si="56"/>
        <v>2</v>
      </c>
      <c r="H912">
        <f t="shared" si="57"/>
        <v>54</v>
      </c>
      <c r="I912">
        <f t="shared" si="58"/>
        <v>1</v>
      </c>
      <c r="J912">
        <f t="shared" si="59"/>
        <v>1</v>
      </c>
    </row>
    <row r="913" spans="1:10" x14ac:dyDescent="0.25">
      <c r="A913" s="10" t="s">
        <v>86</v>
      </c>
      <c r="B913" s="11" t="s">
        <v>136</v>
      </c>
      <c r="C913" s="11" t="s">
        <v>47</v>
      </c>
      <c r="D913" s="12">
        <v>41982</v>
      </c>
      <c r="E913" s="12">
        <v>41983</v>
      </c>
      <c r="F913" s="13">
        <v>526.79999999999995</v>
      </c>
      <c r="G913">
        <f t="shared" si="56"/>
        <v>2</v>
      </c>
      <c r="H913">
        <f t="shared" si="57"/>
        <v>54</v>
      </c>
      <c r="I913">
        <f t="shared" si="58"/>
        <v>1</v>
      </c>
      <c r="J913">
        <f t="shared" si="59"/>
        <v>1</v>
      </c>
    </row>
    <row r="914" spans="1:10" x14ac:dyDescent="0.25">
      <c r="A914" s="6" t="s">
        <v>15</v>
      </c>
      <c r="B914" s="7" t="s">
        <v>44</v>
      </c>
      <c r="C914" s="7" t="s">
        <v>17</v>
      </c>
      <c r="D914" s="8">
        <v>41983</v>
      </c>
      <c r="E914" s="8">
        <v>41984</v>
      </c>
      <c r="F914" s="9">
        <v>706.5</v>
      </c>
      <c r="G914">
        <f t="shared" si="56"/>
        <v>2</v>
      </c>
      <c r="H914">
        <f t="shared" si="57"/>
        <v>54</v>
      </c>
      <c r="I914">
        <f t="shared" si="58"/>
        <v>1</v>
      </c>
      <c r="J914">
        <f t="shared" si="59"/>
        <v>1</v>
      </c>
    </row>
    <row r="915" spans="1:10" x14ac:dyDescent="0.25">
      <c r="A915" s="10" t="s">
        <v>6</v>
      </c>
      <c r="B915" s="11" t="s">
        <v>7</v>
      </c>
      <c r="C915" s="11" t="s">
        <v>30</v>
      </c>
      <c r="D915" s="12">
        <v>41983</v>
      </c>
      <c r="E915" s="12">
        <v>41984</v>
      </c>
      <c r="F915" s="13">
        <v>331.5</v>
      </c>
      <c r="G915">
        <f t="shared" si="56"/>
        <v>2</v>
      </c>
      <c r="H915">
        <f t="shared" si="57"/>
        <v>54</v>
      </c>
      <c r="I915">
        <f t="shared" si="58"/>
        <v>1</v>
      </c>
      <c r="J915">
        <f t="shared" si="59"/>
        <v>1</v>
      </c>
    </row>
    <row r="916" spans="1:10" x14ac:dyDescent="0.25">
      <c r="A916" s="6" t="s">
        <v>128</v>
      </c>
      <c r="B916" s="7" t="s">
        <v>129</v>
      </c>
      <c r="C916" s="7" t="s">
        <v>14</v>
      </c>
      <c r="D916" s="8">
        <v>41983</v>
      </c>
      <c r="E916" s="8">
        <v>41986</v>
      </c>
      <c r="F916" s="9">
        <v>550.5</v>
      </c>
      <c r="G916">
        <f t="shared" si="56"/>
        <v>4</v>
      </c>
      <c r="H916">
        <f t="shared" si="57"/>
        <v>102</v>
      </c>
      <c r="I916">
        <f t="shared" si="58"/>
        <v>3</v>
      </c>
      <c r="J916">
        <f t="shared" si="59"/>
        <v>3</v>
      </c>
    </row>
    <row r="917" spans="1:10" x14ac:dyDescent="0.25">
      <c r="A917" s="10" t="s">
        <v>82</v>
      </c>
      <c r="B917" s="11" t="s">
        <v>83</v>
      </c>
      <c r="C917" s="11" t="s">
        <v>17</v>
      </c>
      <c r="D917" s="12">
        <v>41983</v>
      </c>
      <c r="E917" s="12">
        <v>41986</v>
      </c>
      <c r="F917" s="13">
        <v>1116.5</v>
      </c>
      <c r="G917">
        <f t="shared" si="56"/>
        <v>4</v>
      </c>
      <c r="H917">
        <f t="shared" si="57"/>
        <v>102</v>
      </c>
      <c r="I917">
        <f t="shared" si="58"/>
        <v>3</v>
      </c>
      <c r="J917">
        <f t="shared" si="59"/>
        <v>3</v>
      </c>
    </row>
    <row r="918" spans="1:10" x14ac:dyDescent="0.25">
      <c r="A918" s="6" t="s">
        <v>25</v>
      </c>
      <c r="B918" s="7" t="s">
        <v>67</v>
      </c>
      <c r="C918" s="7" t="s">
        <v>24</v>
      </c>
      <c r="D918" s="8">
        <v>41983</v>
      </c>
      <c r="E918" s="8">
        <v>41984</v>
      </c>
      <c r="F918" s="9">
        <v>439.7</v>
      </c>
      <c r="G918">
        <f t="shared" si="56"/>
        <v>2</v>
      </c>
      <c r="H918">
        <f t="shared" si="57"/>
        <v>54</v>
      </c>
      <c r="I918">
        <f t="shared" si="58"/>
        <v>1</v>
      </c>
      <c r="J918">
        <f t="shared" si="59"/>
        <v>1</v>
      </c>
    </row>
    <row r="919" spans="1:10" x14ac:dyDescent="0.25">
      <c r="A919" s="10" t="s">
        <v>28</v>
      </c>
      <c r="B919" s="11" t="s">
        <v>60</v>
      </c>
      <c r="C919" s="11" t="s">
        <v>59</v>
      </c>
      <c r="D919" s="12">
        <v>41983</v>
      </c>
      <c r="E919" s="12">
        <v>41983</v>
      </c>
      <c r="F919" s="13">
        <v>442</v>
      </c>
      <c r="G919">
        <f t="shared" si="56"/>
        <v>1</v>
      </c>
      <c r="H919">
        <f t="shared" si="57"/>
        <v>30</v>
      </c>
      <c r="I919">
        <f t="shared" si="58"/>
        <v>0</v>
      </c>
      <c r="J919" t="str">
        <f t="shared" si="59"/>
        <v/>
      </c>
    </row>
    <row r="920" spans="1:10" x14ac:dyDescent="0.25">
      <c r="A920" s="6" t="s">
        <v>28</v>
      </c>
      <c r="B920" s="7" t="s">
        <v>29</v>
      </c>
      <c r="C920" s="7" t="s">
        <v>17</v>
      </c>
      <c r="D920" s="8">
        <v>41983</v>
      </c>
      <c r="E920" s="8">
        <v>41985</v>
      </c>
      <c r="F920" s="9">
        <v>911.5</v>
      </c>
      <c r="G920">
        <f t="shared" si="56"/>
        <v>3</v>
      </c>
      <c r="H920">
        <f t="shared" si="57"/>
        <v>78</v>
      </c>
      <c r="I920">
        <f t="shared" si="58"/>
        <v>2</v>
      </c>
      <c r="J920">
        <f t="shared" si="59"/>
        <v>2</v>
      </c>
    </row>
    <row r="921" spans="1:10" x14ac:dyDescent="0.25">
      <c r="A921" s="10" t="s">
        <v>82</v>
      </c>
      <c r="B921" s="11" t="s">
        <v>125</v>
      </c>
      <c r="C921" s="11" t="s">
        <v>47</v>
      </c>
      <c r="D921" s="12">
        <v>41983</v>
      </c>
      <c r="E921" s="12">
        <v>41987</v>
      </c>
      <c r="F921" s="13">
        <v>1015.8</v>
      </c>
      <c r="G921">
        <f t="shared" si="56"/>
        <v>5</v>
      </c>
      <c r="H921">
        <f t="shared" si="57"/>
        <v>126</v>
      </c>
      <c r="I921">
        <f t="shared" si="58"/>
        <v>4</v>
      </c>
      <c r="J921">
        <f t="shared" si="59"/>
        <v>4</v>
      </c>
    </row>
    <row r="922" spans="1:10" x14ac:dyDescent="0.25">
      <c r="A922" s="6" t="s">
        <v>70</v>
      </c>
      <c r="B922" s="7" t="s">
        <v>71</v>
      </c>
      <c r="C922" s="7" t="s">
        <v>30</v>
      </c>
      <c r="D922" s="8">
        <v>41983</v>
      </c>
      <c r="E922" s="8">
        <v>41984</v>
      </c>
      <c r="F922" s="9">
        <v>331.5</v>
      </c>
      <c r="G922">
        <f t="shared" si="56"/>
        <v>2</v>
      </c>
      <c r="H922">
        <f t="shared" si="57"/>
        <v>54</v>
      </c>
      <c r="I922">
        <f t="shared" si="58"/>
        <v>1</v>
      </c>
      <c r="J922">
        <f t="shared" si="59"/>
        <v>1</v>
      </c>
    </row>
    <row r="923" spans="1:10" x14ac:dyDescent="0.25">
      <c r="A923" s="10" t="s">
        <v>6</v>
      </c>
      <c r="B923" s="11" t="s">
        <v>56</v>
      </c>
      <c r="C923" s="11" t="s">
        <v>27</v>
      </c>
      <c r="D923" s="12">
        <v>41983</v>
      </c>
      <c r="E923" s="12">
        <v>41987</v>
      </c>
      <c r="F923" s="13">
        <v>954</v>
      </c>
      <c r="G923">
        <f t="shared" si="56"/>
        <v>5</v>
      </c>
      <c r="H923">
        <f t="shared" si="57"/>
        <v>126</v>
      </c>
      <c r="I923">
        <f t="shared" si="58"/>
        <v>4</v>
      </c>
      <c r="J923">
        <f t="shared" si="59"/>
        <v>4</v>
      </c>
    </row>
    <row r="924" spans="1:10" x14ac:dyDescent="0.25">
      <c r="A924" s="6" t="s">
        <v>9</v>
      </c>
      <c r="B924" s="7" t="s">
        <v>69</v>
      </c>
      <c r="C924" s="7" t="s">
        <v>8</v>
      </c>
      <c r="D924" s="8">
        <v>41983</v>
      </c>
      <c r="E924" s="8">
        <v>41985</v>
      </c>
      <c r="F924" s="9">
        <v>1102</v>
      </c>
      <c r="G924">
        <f t="shared" si="56"/>
        <v>3</v>
      </c>
      <c r="H924">
        <f t="shared" si="57"/>
        <v>78</v>
      </c>
      <c r="I924">
        <f t="shared" si="58"/>
        <v>2</v>
      </c>
      <c r="J924">
        <f t="shared" si="59"/>
        <v>2</v>
      </c>
    </row>
    <row r="925" spans="1:10" x14ac:dyDescent="0.25">
      <c r="A925" s="10" t="s">
        <v>93</v>
      </c>
      <c r="B925" s="11" t="s">
        <v>106</v>
      </c>
      <c r="C925" s="11" t="s">
        <v>66</v>
      </c>
      <c r="D925" s="12">
        <v>41983</v>
      </c>
      <c r="E925" s="12">
        <v>41984</v>
      </c>
      <c r="F925" s="13">
        <v>485.7</v>
      </c>
      <c r="G925">
        <f t="shared" si="56"/>
        <v>2</v>
      </c>
      <c r="H925">
        <f t="shared" si="57"/>
        <v>54</v>
      </c>
      <c r="I925">
        <f t="shared" si="58"/>
        <v>1</v>
      </c>
      <c r="J925">
        <f t="shared" si="59"/>
        <v>1</v>
      </c>
    </row>
    <row r="926" spans="1:10" x14ac:dyDescent="0.25">
      <c r="A926" s="6" t="s">
        <v>54</v>
      </c>
      <c r="B926" s="7" t="s">
        <v>121</v>
      </c>
      <c r="C926" s="7" t="s">
        <v>38</v>
      </c>
      <c r="D926" s="8">
        <v>41983</v>
      </c>
      <c r="E926" s="8">
        <v>41986</v>
      </c>
      <c r="F926" s="9">
        <v>665.8</v>
      </c>
      <c r="G926">
        <f t="shared" si="56"/>
        <v>4</v>
      </c>
      <c r="H926">
        <f t="shared" si="57"/>
        <v>102</v>
      </c>
      <c r="I926">
        <f t="shared" si="58"/>
        <v>3</v>
      </c>
      <c r="J926">
        <f t="shared" si="59"/>
        <v>3</v>
      </c>
    </row>
    <row r="927" spans="1:10" x14ac:dyDescent="0.25">
      <c r="A927" s="10" t="s">
        <v>145</v>
      </c>
      <c r="B927" s="11" t="s">
        <v>146</v>
      </c>
      <c r="C927" s="11" t="s">
        <v>24</v>
      </c>
      <c r="D927" s="12">
        <v>41983</v>
      </c>
      <c r="E927" s="12">
        <v>41985</v>
      </c>
      <c r="F927" s="13">
        <v>588.70000000000005</v>
      </c>
      <c r="G927">
        <f t="shared" si="56"/>
        <v>3</v>
      </c>
      <c r="H927">
        <f t="shared" si="57"/>
        <v>78</v>
      </c>
      <c r="I927">
        <f t="shared" si="58"/>
        <v>2</v>
      </c>
      <c r="J927">
        <f t="shared" si="59"/>
        <v>2</v>
      </c>
    </row>
    <row r="928" spans="1:10" x14ac:dyDescent="0.25">
      <c r="A928" s="6" t="s">
        <v>25</v>
      </c>
      <c r="B928" s="7" t="s">
        <v>35</v>
      </c>
      <c r="C928" s="7" t="s">
        <v>72</v>
      </c>
      <c r="D928" s="8">
        <v>41983</v>
      </c>
      <c r="E928" s="8">
        <v>41986</v>
      </c>
      <c r="F928" s="9">
        <v>1091.7</v>
      </c>
      <c r="G928">
        <f t="shared" si="56"/>
        <v>4</v>
      </c>
      <c r="H928">
        <f t="shared" si="57"/>
        <v>102</v>
      </c>
      <c r="I928">
        <f t="shared" si="58"/>
        <v>3</v>
      </c>
      <c r="J928">
        <f t="shared" si="59"/>
        <v>3</v>
      </c>
    </row>
    <row r="929" spans="1:10" x14ac:dyDescent="0.25">
      <c r="A929" s="10" t="s">
        <v>12</v>
      </c>
      <c r="B929" s="11" t="s">
        <v>13</v>
      </c>
      <c r="C929" s="11" t="s">
        <v>47</v>
      </c>
      <c r="D929" s="12">
        <v>41983</v>
      </c>
      <c r="E929" s="12">
        <v>41987</v>
      </c>
      <c r="F929" s="13">
        <v>1015.8</v>
      </c>
      <c r="G929">
        <f t="shared" si="56"/>
        <v>5</v>
      </c>
      <c r="H929">
        <f t="shared" si="57"/>
        <v>126</v>
      </c>
      <c r="I929">
        <f t="shared" si="58"/>
        <v>4</v>
      </c>
      <c r="J929">
        <f t="shared" si="59"/>
        <v>4</v>
      </c>
    </row>
    <row r="930" spans="1:10" x14ac:dyDescent="0.25">
      <c r="A930" s="6" t="s">
        <v>75</v>
      </c>
      <c r="B930" s="7" t="s">
        <v>88</v>
      </c>
      <c r="C930" s="7" t="s">
        <v>19</v>
      </c>
      <c r="D930" s="8">
        <v>41983</v>
      </c>
      <c r="E930" s="8">
        <v>41984</v>
      </c>
      <c r="F930" s="9">
        <v>654.4</v>
      </c>
      <c r="G930">
        <f t="shared" si="56"/>
        <v>2</v>
      </c>
      <c r="H930">
        <f t="shared" si="57"/>
        <v>54</v>
      </c>
      <c r="I930">
        <f t="shared" si="58"/>
        <v>1</v>
      </c>
      <c r="J930">
        <f t="shared" si="59"/>
        <v>1</v>
      </c>
    </row>
    <row r="931" spans="1:10" x14ac:dyDescent="0.25">
      <c r="A931" s="10" t="s">
        <v>166</v>
      </c>
      <c r="B931" s="11" t="s">
        <v>167</v>
      </c>
      <c r="C931" s="11" t="s">
        <v>38</v>
      </c>
      <c r="D931" s="12">
        <v>41983</v>
      </c>
      <c r="E931" s="12">
        <v>41984</v>
      </c>
      <c r="F931" s="13">
        <v>407.8</v>
      </c>
      <c r="G931">
        <f t="shared" si="56"/>
        <v>2</v>
      </c>
      <c r="H931">
        <f t="shared" si="57"/>
        <v>54</v>
      </c>
      <c r="I931">
        <f t="shared" si="58"/>
        <v>1</v>
      </c>
      <c r="J931">
        <f t="shared" si="59"/>
        <v>1</v>
      </c>
    </row>
    <row r="932" spans="1:10" x14ac:dyDescent="0.25">
      <c r="A932" s="6" t="s">
        <v>6</v>
      </c>
      <c r="B932" s="7" t="s">
        <v>45</v>
      </c>
      <c r="C932" s="7" t="s">
        <v>11</v>
      </c>
      <c r="D932" s="8">
        <v>41983</v>
      </c>
      <c r="E932" s="8">
        <v>41983</v>
      </c>
      <c r="F932" s="9">
        <v>156.4</v>
      </c>
      <c r="G932">
        <f t="shared" si="56"/>
        <v>1</v>
      </c>
      <c r="H932">
        <f t="shared" si="57"/>
        <v>30</v>
      </c>
      <c r="I932">
        <f t="shared" si="58"/>
        <v>0</v>
      </c>
      <c r="J932" t="str">
        <f t="shared" si="59"/>
        <v/>
      </c>
    </row>
    <row r="933" spans="1:10" x14ac:dyDescent="0.25">
      <c r="A933" s="10" t="s">
        <v>20</v>
      </c>
      <c r="B933" s="11" t="s">
        <v>162</v>
      </c>
      <c r="C933" s="11" t="s">
        <v>14</v>
      </c>
      <c r="D933" s="12">
        <v>41983</v>
      </c>
      <c r="E933" s="12">
        <v>41986</v>
      </c>
      <c r="F933" s="13">
        <v>550.5</v>
      </c>
      <c r="G933">
        <f t="shared" si="56"/>
        <v>4</v>
      </c>
      <c r="H933">
        <f t="shared" si="57"/>
        <v>102</v>
      </c>
      <c r="I933">
        <f t="shared" si="58"/>
        <v>3</v>
      </c>
      <c r="J933">
        <f t="shared" si="59"/>
        <v>3</v>
      </c>
    </row>
    <row r="934" spans="1:10" x14ac:dyDescent="0.25">
      <c r="A934" s="6" t="s">
        <v>15</v>
      </c>
      <c r="B934" s="7" t="s">
        <v>16</v>
      </c>
      <c r="C934" s="7" t="s">
        <v>8</v>
      </c>
      <c r="D934" s="8">
        <v>41983</v>
      </c>
      <c r="E934" s="8">
        <v>41987</v>
      </c>
      <c r="F934" s="9">
        <v>1524</v>
      </c>
      <c r="G934">
        <f t="shared" si="56"/>
        <v>5</v>
      </c>
      <c r="H934">
        <f t="shared" si="57"/>
        <v>126</v>
      </c>
      <c r="I934">
        <f t="shared" si="58"/>
        <v>4</v>
      </c>
      <c r="J934">
        <f t="shared" si="59"/>
        <v>4</v>
      </c>
    </row>
    <row r="935" spans="1:10" x14ac:dyDescent="0.25">
      <c r="A935" s="10" t="s">
        <v>20</v>
      </c>
      <c r="B935" s="11" t="s">
        <v>21</v>
      </c>
      <c r="C935" s="11" t="s">
        <v>38</v>
      </c>
      <c r="D935" s="12">
        <v>41983</v>
      </c>
      <c r="E935" s="12">
        <v>41984</v>
      </c>
      <c r="F935" s="13">
        <v>407.8</v>
      </c>
      <c r="G935">
        <f t="shared" si="56"/>
        <v>2</v>
      </c>
      <c r="H935">
        <f t="shared" si="57"/>
        <v>54</v>
      </c>
      <c r="I935">
        <f t="shared" si="58"/>
        <v>1</v>
      </c>
      <c r="J935">
        <f t="shared" si="59"/>
        <v>1</v>
      </c>
    </row>
    <row r="936" spans="1:10" x14ac:dyDescent="0.25">
      <c r="A936" s="6" t="s">
        <v>115</v>
      </c>
      <c r="B936" s="7" t="s">
        <v>140</v>
      </c>
      <c r="C936" s="7" t="s">
        <v>17</v>
      </c>
      <c r="D936" s="8">
        <v>41984</v>
      </c>
      <c r="E936" s="8">
        <v>41985</v>
      </c>
      <c r="F936" s="9">
        <v>706.5</v>
      </c>
      <c r="G936">
        <f t="shared" si="56"/>
        <v>2</v>
      </c>
      <c r="H936">
        <f t="shared" si="57"/>
        <v>54</v>
      </c>
      <c r="I936">
        <f t="shared" si="58"/>
        <v>1</v>
      </c>
      <c r="J936">
        <f t="shared" si="59"/>
        <v>1</v>
      </c>
    </row>
    <row r="937" spans="1:10" x14ac:dyDescent="0.25">
      <c r="A937" s="10" t="s">
        <v>33</v>
      </c>
      <c r="B937" s="11" t="s">
        <v>34</v>
      </c>
      <c r="C937" s="11" t="s">
        <v>24</v>
      </c>
      <c r="D937" s="12">
        <v>41984</v>
      </c>
      <c r="E937" s="12">
        <v>41984</v>
      </c>
      <c r="F937" s="13">
        <v>290.7</v>
      </c>
      <c r="G937">
        <f t="shared" si="56"/>
        <v>1</v>
      </c>
      <c r="H937">
        <f t="shared" si="57"/>
        <v>30</v>
      </c>
      <c r="I937">
        <f t="shared" si="58"/>
        <v>0</v>
      </c>
      <c r="J937" t="str">
        <f t="shared" si="59"/>
        <v/>
      </c>
    </row>
    <row r="938" spans="1:10" x14ac:dyDescent="0.25">
      <c r="A938" s="6" t="s">
        <v>33</v>
      </c>
      <c r="B938" s="7" t="s">
        <v>141</v>
      </c>
      <c r="C938" s="7" t="s">
        <v>27</v>
      </c>
      <c r="D938" s="8">
        <v>41985</v>
      </c>
      <c r="E938" s="8">
        <v>41985</v>
      </c>
      <c r="F938" s="9">
        <v>442</v>
      </c>
      <c r="G938">
        <f t="shared" si="56"/>
        <v>1</v>
      </c>
      <c r="H938">
        <f t="shared" si="57"/>
        <v>30</v>
      </c>
      <c r="I938">
        <f t="shared" si="58"/>
        <v>0</v>
      </c>
      <c r="J938" t="str">
        <f t="shared" si="59"/>
        <v/>
      </c>
    </row>
    <row r="939" spans="1:10" x14ac:dyDescent="0.25">
      <c r="A939" s="10" t="s">
        <v>6</v>
      </c>
      <c r="B939" s="11" t="s">
        <v>139</v>
      </c>
      <c r="C939" s="11" t="s">
        <v>59</v>
      </c>
      <c r="D939" s="12">
        <v>41985</v>
      </c>
      <c r="E939" s="12">
        <v>41985</v>
      </c>
      <c r="F939" s="13">
        <v>442</v>
      </c>
      <c r="G939">
        <f t="shared" si="56"/>
        <v>1</v>
      </c>
      <c r="H939">
        <f t="shared" si="57"/>
        <v>30</v>
      </c>
      <c r="I939">
        <f t="shared" si="58"/>
        <v>0</v>
      </c>
      <c r="J939" t="str">
        <f t="shared" si="59"/>
        <v/>
      </c>
    </row>
    <row r="940" spans="1:10" x14ac:dyDescent="0.25">
      <c r="A940" s="6" t="s">
        <v>122</v>
      </c>
      <c r="B940" s="7" t="s">
        <v>123</v>
      </c>
      <c r="C940" s="7" t="s">
        <v>38</v>
      </c>
      <c r="D940" s="8">
        <v>41985</v>
      </c>
      <c r="E940" s="8">
        <v>41985</v>
      </c>
      <c r="F940" s="9">
        <v>278.8</v>
      </c>
      <c r="G940">
        <f t="shared" si="56"/>
        <v>1</v>
      </c>
      <c r="H940">
        <f t="shared" si="57"/>
        <v>30</v>
      </c>
      <c r="I940">
        <f t="shared" si="58"/>
        <v>0</v>
      </c>
      <c r="J940" t="str">
        <f t="shared" si="59"/>
        <v/>
      </c>
    </row>
    <row r="941" spans="1:10" x14ac:dyDescent="0.25">
      <c r="A941" s="10" t="s">
        <v>93</v>
      </c>
      <c r="B941" s="11" t="s">
        <v>124</v>
      </c>
      <c r="C941" s="11" t="s">
        <v>38</v>
      </c>
      <c r="D941" s="12">
        <v>41985</v>
      </c>
      <c r="E941" s="12">
        <v>41985</v>
      </c>
      <c r="F941" s="13">
        <v>278.8</v>
      </c>
      <c r="G941">
        <f t="shared" si="56"/>
        <v>1</v>
      </c>
      <c r="H941">
        <f t="shared" si="57"/>
        <v>30</v>
      </c>
      <c r="I941">
        <f t="shared" si="58"/>
        <v>0</v>
      </c>
      <c r="J941" t="str">
        <f t="shared" si="59"/>
        <v/>
      </c>
    </row>
    <row r="942" spans="1:10" x14ac:dyDescent="0.25">
      <c r="A942" s="6" t="s">
        <v>86</v>
      </c>
      <c r="B942" s="7" t="s">
        <v>150</v>
      </c>
      <c r="C942" s="7" t="s">
        <v>14</v>
      </c>
      <c r="D942" s="8">
        <v>41985</v>
      </c>
      <c r="E942" s="8">
        <v>41985</v>
      </c>
      <c r="F942" s="9">
        <v>178.5</v>
      </c>
      <c r="G942">
        <f t="shared" si="56"/>
        <v>1</v>
      </c>
      <c r="H942">
        <f t="shared" si="57"/>
        <v>30</v>
      </c>
      <c r="I942">
        <f t="shared" si="58"/>
        <v>0</v>
      </c>
      <c r="J942" t="str">
        <f t="shared" si="59"/>
        <v/>
      </c>
    </row>
    <row r="943" spans="1:10" x14ac:dyDescent="0.25">
      <c r="A943" s="10" t="s">
        <v>119</v>
      </c>
      <c r="B943" s="11" t="s">
        <v>120</v>
      </c>
      <c r="C943" s="11" t="s">
        <v>11</v>
      </c>
      <c r="D943" s="12">
        <v>41985</v>
      </c>
      <c r="E943" s="12">
        <v>41988</v>
      </c>
      <c r="F943" s="13">
        <v>573.4</v>
      </c>
      <c r="G943">
        <f t="shared" si="56"/>
        <v>4</v>
      </c>
      <c r="H943">
        <f t="shared" si="57"/>
        <v>102</v>
      </c>
      <c r="I943">
        <f t="shared" si="58"/>
        <v>3</v>
      </c>
      <c r="J943">
        <f t="shared" si="59"/>
        <v>3</v>
      </c>
    </row>
    <row r="944" spans="1:10" x14ac:dyDescent="0.25">
      <c r="A944" s="6" t="s">
        <v>134</v>
      </c>
      <c r="B944" s="7" t="s">
        <v>149</v>
      </c>
      <c r="C944" s="7" t="s">
        <v>66</v>
      </c>
      <c r="D944" s="8">
        <v>41985</v>
      </c>
      <c r="E944" s="8">
        <v>41985</v>
      </c>
      <c r="F944" s="9">
        <v>307.7</v>
      </c>
      <c r="G944">
        <f t="shared" si="56"/>
        <v>1</v>
      </c>
      <c r="H944">
        <f t="shared" si="57"/>
        <v>30</v>
      </c>
      <c r="I944">
        <f t="shared" si="58"/>
        <v>0</v>
      </c>
      <c r="J944" t="str">
        <f t="shared" si="59"/>
        <v/>
      </c>
    </row>
    <row r="945" spans="1:10" x14ac:dyDescent="0.25">
      <c r="A945" s="10" t="s">
        <v>113</v>
      </c>
      <c r="B945" s="11" t="s">
        <v>114</v>
      </c>
      <c r="C945" s="11" t="s">
        <v>66</v>
      </c>
      <c r="D945" s="12">
        <v>41985</v>
      </c>
      <c r="E945" s="12">
        <v>41985</v>
      </c>
      <c r="F945" s="13">
        <v>307.7</v>
      </c>
      <c r="G945">
        <f t="shared" si="56"/>
        <v>1</v>
      </c>
      <c r="H945">
        <f t="shared" si="57"/>
        <v>30</v>
      </c>
      <c r="I945">
        <f t="shared" si="58"/>
        <v>0</v>
      </c>
      <c r="J945" t="str">
        <f t="shared" si="59"/>
        <v/>
      </c>
    </row>
    <row r="946" spans="1:10" x14ac:dyDescent="0.25">
      <c r="A946" s="6" t="s">
        <v>91</v>
      </c>
      <c r="B946" s="7" t="s">
        <v>161</v>
      </c>
      <c r="C946" s="7" t="s">
        <v>66</v>
      </c>
      <c r="D946" s="8">
        <v>41985</v>
      </c>
      <c r="E946" s="8">
        <v>41989</v>
      </c>
      <c r="F946" s="9">
        <v>1019.7</v>
      </c>
      <c r="G946">
        <f t="shared" si="56"/>
        <v>5</v>
      </c>
      <c r="H946">
        <f t="shared" si="57"/>
        <v>126</v>
      </c>
      <c r="I946">
        <f t="shared" si="58"/>
        <v>4</v>
      </c>
      <c r="J946">
        <f t="shared" si="59"/>
        <v>4</v>
      </c>
    </row>
    <row r="947" spans="1:10" x14ac:dyDescent="0.25">
      <c r="A947" s="10" t="s">
        <v>33</v>
      </c>
      <c r="B947" s="11" t="s">
        <v>34</v>
      </c>
      <c r="C947" s="11" t="s">
        <v>17</v>
      </c>
      <c r="D947" s="12">
        <v>41986</v>
      </c>
      <c r="E947" s="12">
        <v>41986</v>
      </c>
      <c r="F947" s="13">
        <v>501.5</v>
      </c>
      <c r="G947">
        <f t="shared" si="56"/>
        <v>1</v>
      </c>
      <c r="H947">
        <f t="shared" si="57"/>
        <v>30</v>
      </c>
      <c r="I947">
        <f t="shared" si="58"/>
        <v>0</v>
      </c>
      <c r="J947" t="str">
        <f t="shared" si="59"/>
        <v/>
      </c>
    </row>
    <row r="948" spans="1:10" x14ac:dyDescent="0.25">
      <c r="A948" s="6" t="s">
        <v>6</v>
      </c>
      <c r="B948" s="7" t="s">
        <v>45</v>
      </c>
      <c r="C948" s="7" t="s">
        <v>17</v>
      </c>
      <c r="D948" s="8">
        <v>41986</v>
      </c>
      <c r="E948" s="8">
        <v>41986</v>
      </c>
      <c r="F948" s="9">
        <v>501.5</v>
      </c>
      <c r="G948">
        <f t="shared" si="56"/>
        <v>1</v>
      </c>
      <c r="H948">
        <f t="shared" si="57"/>
        <v>30</v>
      </c>
      <c r="I948">
        <f t="shared" si="58"/>
        <v>0</v>
      </c>
      <c r="J948" t="str">
        <f t="shared" si="59"/>
        <v/>
      </c>
    </row>
    <row r="949" spans="1:10" x14ac:dyDescent="0.25">
      <c r="A949" s="10" t="s">
        <v>115</v>
      </c>
      <c r="B949" s="11" t="s">
        <v>153</v>
      </c>
      <c r="C949" s="11" t="s">
        <v>30</v>
      </c>
      <c r="D949" s="12">
        <v>41987</v>
      </c>
      <c r="E949" s="12">
        <v>41987</v>
      </c>
      <c r="F949" s="13">
        <v>212.5</v>
      </c>
      <c r="G949">
        <f t="shared" si="56"/>
        <v>1</v>
      </c>
      <c r="H949">
        <f t="shared" si="57"/>
        <v>30</v>
      </c>
      <c r="I949">
        <f t="shared" si="58"/>
        <v>0</v>
      </c>
      <c r="J949" t="str">
        <f t="shared" si="59"/>
        <v/>
      </c>
    </row>
    <row r="950" spans="1:10" x14ac:dyDescent="0.25">
      <c r="A950" s="6" t="s">
        <v>31</v>
      </c>
      <c r="B950" s="7" t="s">
        <v>32</v>
      </c>
      <c r="C950" s="7" t="s">
        <v>17</v>
      </c>
      <c r="D950" s="8">
        <v>41987</v>
      </c>
      <c r="E950" s="8">
        <v>41987</v>
      </c>
      <c r="F950" s="9">
        <v>501.5</v>
      </c>
      <c r="G950">
        <f t="shared" si="56"/>
        <v>1</v>
      </c>
      <c r="H950">
        <f t="shared" si="57"/>
        <v>30</v>
      </c>
      <c r="I950">
        <f t="shared" si="58"/>
        <v>0</v>
      </c>
      <c r="J950" t="str">
        <f t="shared" si="59"/>
        <v/>
      </c>
    </row>
    <row r="951" spans="1:10" x14ac:dyDescent="0.25">
      <c r="A951" s="10" t="s">
        <v>170</v>
      </c>
      <c r="B951" s="11" t="s">
        <v>171</v>
      </c>
      <c r="C951" s="11" t="s">
        <v>11</v>
      </c>
      <c r="D951" s="12">
        <v>41988</v>
      </c>
      <c r="E951" s="12">
        <v>41988</v>
      </c>
      <c r="F951" s="13">
        <v>156.4</v>
      </c>
      <c r="G951">
        <f t="shared" si="56"/>
        <v>1</v>
      </c>
      <c r="H951">
        <f t="shared" si="57"/>
        <v>30</v>
      </c>
      <c r="I951">
        <f t="shared" si="58"/>
        <v>0</v>
      </c>
      <c r="J951" t="str">
        <f t="shared" si="59"/>
        <v/>
      </c>
    </row>
    <row r="952" spans="1:10" x14ac:dyDescent="0.25">
      <c r="A952" s="6" t="s">
        <v>86</v>
      </c>
      <c r="B952" s="7" t="s">
        <v>87</v>
      </c>
      <c r="C952" s="7" t="s">
        <v>30</v>
      </c>
      <c r="D952" s="8">
        <v>41988</v>
      </c>
      <c r="E952" s="8">
        <v>41988</v>
      </c>
      <c r="F952" s="9">
        <v>212.5</v>
      </c>
      <c r="G952">
        <f t="shared" si="56"/>
        <v>1</v>
      </c>
      <c r="H952">
        <f t="shared" si="57"/>
        <v>30</v>
      </c>
      <c r="I952">
        <f t="shared" si="58"/>
        <v>0</v>
      </c>
      <c r="J952" t="str">
        <f t="shared" si="59"/>
        <v/>
      </c>
    </row>
    <row r="953" spans="1:10" x14ac:dyDescent="0.25">
      <c r="A953" s="10" t="s">
        <v>73</v>
      </c>
      <c r="B953" s="11" t="s">
        <v>155</v>
      </c>
      <c r="C953" s="11" t="s">
        <v>11</v>
      </c>
      <c r="D953" s="12">
        <v>41988</v>
      </c>
      <c r="E953" s="12">
        <v>41988</v>
      </c>
      <c r="F953" s="13">
        <v>156.4</v>
      </c>
      <c r="G953">
        <f t="shared" si="56"/>
        <v>1</v>
      </c>
      <c r="H953">
        <f t="shared" si="57"/>
        <v>30</v>
      </c>
      <c r="I953">
        <f t="shared" si="58"/>
        <v>0</v>
      </c>
      <c r="J953" t="str">
        <f t="shared" si="59"/>
        <v/>
      </c>
    </row>
    <row r="954" spans="1:10" x14ac:dyDescent="0.25">
      <c r="A954" s="6" t="s">
        <v>33</v>
      </c>
      <c r="B954" s="7" t="s">
        <v>141</v>
      </c>
      <c r="C954" s="7" t="s">
        <v>8</v>
      </c>
      <c r="D954" s="8">
        <v>41989</v>
      </c>
      <c r="E954" s="8">
        <v>41990</v>
      </c>
      <c r="F954" s="9">
        <v>891</v>
      </c>
      <c r="G954">
        <f t="shared" si="56"/>
        <v>2</v>
      </c>
      <c r="H954">
        <f t="shared" si="57"/>
        <v>54</v>
      </c>
      <c r="I954">
        <f t="shared" si="58"/>
        <v>1</v>
      </c>
      <c r="J954">
        <f t="shared" si="59"/>
        <v>1</v>
      </c>
    </row>
    <row r="955" spans="1:10" x14ac:dyDescent="0.25">
      <c r="A955" s="10" t="s">
        <v>22</v>
      </c>
      <c r="B955" s="11" t="s">
        <v>172</v>
      </c>
      <c r="C955" s="11" t="s">
        <v>47</v>
      </c>
      <c r="D955" s="12">
        <v>41989</v>
      </c>
      <c r="E955" s="12">
        <v>41992</v>
      </c>
      <c r="F955" s="13">
        <v>852.8</v>
      </c>
      <c r="G955">
        <f t="shared" si="56"/>
        <v>4</v>
      </c>
      <c r="H955">
        <f t="shared" si="57"/>
        <v>102</v>
      </c>
      <c r="I955">
        <f t="shared" si="58"/>
        <v>3</v>
      </c>
      <c r="J955">
        <f t="shared" si="59"/>
        <v>3</v>
      </c>
    </row>
    <row r="956" spans="1:10" x14ac:dyDescent="0.25">
      <c r="A956" s="6" t="s">
        <v>50</v>
      </c>
      <c r="B956" s="7" t="s">
        <v>51</v>
      </c>
      <c r="C956" s="7" t="s">
        <v>17</v>
      </c>
      <c r="D956" s="8">
        <v>41989</v>
      </c>
      <c r="E956" s="8">
        <v>41990</v>
      </c>
      <c r="F956" s="9">
        <v>706.5</v>
      </c>
      <c r="G956">
        <f t="shared" si="56"/>
        <v>2</v>
      </c>
      <c r="H956">
        <f t="shared" si="57"/>
        <v>54</v>
      </c>
      <c r="I956">
        <f t="shared" si="58"/>
        <v>1</v>
      </c>
      <c r="J956">
        <f t="shared" si="59"/>
        <v>1</v>
      </c>
    </row>
    <row r="957" spans="1:10" x14ac:dyDescent="0.25">
      <c r="A957" s="10" t="s">
        <v>107</v>
      </c>
      <c r="B957" s="11" t="s">
        <v>108</v>
      </c>
      <c r="C957" s="11" t="s">
        <v>59</v>
      </c>
      <c r="D957" s="12">
        <v>41989</v>
      </c>
      <c r="E957" s="12">
        <v>41989</v>
      </c>
      <c r="F957" s="13">
        <v>442</v>
      </c>
      <c r="G957">
        <f t="shared" si="56"/>
        <v>1</v>
      </c>
      <c r="H957">
        <f t="shared" si="57"/>
        <v>30</v>
      </c>
      <c r="I957">
        <f t="shared" si="58"/>
        <v>0</v>
      </c>
      <c r="J957" t="str">
        <f t="shared" si="59"/>
        <v/>
      </c>
    </row>
    <row r="958" spans="1:10" x14ac:dyDescent="0.25">
      <c r="A958" s="6" t="s">
        <v>109</v>
      </c>
      <c r="B958" s="7" t="s">
        <v>110</v>
      </c>
      <c r="C958" s="7" t="s">
        <v>38</v>
      </c>
      <c r="D958" s="8">
        <v>41989</v>
      </c>
      <c r="E958" s="8">
        <v>41989</v>
      </c>
      <c r="F958" s="9">
        <v>278.8</v>
      </c>
      <c r="G958">
        <f t="shared" si="56"/>
        <v>1</v>
      </c>
      <c r="H958">
        <f t="shared" si="57"/>
        <v>30</v>
      </c>
      <c r="I958">
        <f t="shared" si="58"/>
        <v>0</v>
      </c>
      <c r="J958" t="str">
        <f t="shared" si="59"/>
        <v/>
      </c>
    </row>
    <row r="959" spans="1:10" x14ac:dyDescent="0.25">
      <c r="A959" s="10" t="s">
        <v>15</v>
      </c>
      <c r="B959" s="11" t="s">
        <v>63</v>
      </c>
      <c r="C959" s="11" t="s">
        <v>11</v>
      </c>
      <c r="D959" s="12">
        <v>41989</v>
      </c>
      <c r="E959" s="12">
        <v>41990</v>
      </c>
      <c r="F959" s="13">
        <v>295.39999999999998</v>
      </c>
      <c r="G959">
        <f t="shared" si="56"/>
        <v>2</v>
      </c>
      <c r="H959">
        <f t="shared" si="57"/>
        <v>54</v>
      </c>
      <c r="I959">
        <f t="shared" si="58"/>
        <v>1</v>
      </c>
      <c r="J959">
        <f t="shared" si="59"/>
        <v>1</v>
      </c>
    </row>
    <row r="960" spans="1:10" x14ac:dyDescent="0.25">
      <c r="A960" s="6" t="s">
        <v>115</v>
      </c>
      <c r="B960" s="7" t="s">
        <v>153</v>
      </c>
      <c r="C960" s="7" t="s">
        <v>47</v>
      </c>
      <c r="D960" s="8">
        <v>41990</v>
      </c>
      <c r="E960" s="8">
        <v>41990</v>
      </c>
      <c r="F960" s="9">
        <v>363.8</v>
      </c>
      <c r="G960">
        <f t="shared" si="56"/>
        <v>1</v>
      </c>
      <c r="H960">
        <f t="shared" si="57"/>
        <v>30</v>
      </c>
      <c r="I960">
        <f t="shared" si="58"/>
        <v>0</v>
      </c>
      <c r="J960" t="str">
        <f t="shared" si="59"/>
        <v/>
      </c>
    </row>
    <row r="961" spans="1:10" x14ac:dyDescent="0.25">
      <c r="A961" s="10" t="s">
        <v>54</v>
      </c>
      <c r="B961" s="11" t="s">
        <v>121</v>
      </c>
      <c r="C961" s="11" t="s">
        <v>17</v>
      </c>
      <c r="D961" s="12">
        <v>41990</v>
      </c>
      <c r="E961" s="12">
        <v>41990</v>
      </c>
      <c r="F961" s="13">
        <v>501.5</v>
      </c>
      <c r="G961">
        <f t="shared" si="56"/>
        <v>1</v>
      </c>
      <c r="H961">
        <f t="shared" si="57"/>
        <v>30</v>
      </c>
      <c r="I961">
        <f t="shared" si="58"/>
        <v>0</v>
      </c>
      <c r="J961" t="str">
        <f t="shared" si="59"/>
        <v/>
      </c>
    </row>
    <row r="962" spans="1:10" x14ac:dyDescent="0.25">
      <c r="A962" s="6" t="s">
        <v>6</v>
      </c>
      <c r="B962" s="7" t="s">
        <v>45</v>
      </c>
      <c r="C962" s="7" t="s">
        <v>19</v>
      </c>
      <c r="D962" s="8">
        <v>41990</v>
      </c>
      <c r="E962" s="8">
        <v>41990</v>
      </c>
      <c r="F962" s="9">
        <v>513.4</v>
      </c>
      <c r="G962">
        <f t="shared" si="56"/>
        <v>1</v>
      </c>
      <c r="H962">
        <f t="shared" si="57"/>
        <v>30</v>
      </c>
      <c r="I962">
        <f t="shared" si="58"/>
        <v>0</v>
      </c>
      <c r="J962" t="str">
        <f t="shared" si="59"/>
        <v/>
      </c>
    </row>
    <row r="963" spans="1:10" x14ac:dyDescent="0.25">
      <c r="A963" s="10" t="s">
        <v>25</v>
      </c>
      <c r="B963" s="11" t="s">
        <v>67</v>
      </c>
      <c r="C963" s="11" t="s">
        <v>47</v>
      </c>
      <c r="D963" s="12">
        <v>41991</v>
      </c>
      <c r="E963" s="12">
        <v>41991</v>
      </c>
      <c r="F963" s="13">
        <v>363.8</v>
      </c>
      <c r="G963">
        <f t="shared" ref="G963:G1001" si="60">E963-D963 + 1</f>
        <v>1</v>
      </c>
      <c r="H963">
        <f t="shared" ref="H963:H1001" si="61">30+(G963-1)*24</f>
        <v>30</v>
      </c>
      <c r="I963">
        <f t="shared" ref="I963:I1001" si="62">G963-1</f>
        <v>0</v>
      </c>
      <c r="J963" t="str">
        <f t="shared" ref="J963:J1001" si="63">IF(G963&gt;=2,I963,"")</f>
        <v/>
      </c>
    </row>
    <row r="964" spans="1:10" x14ac:dyDescent="0.25">
      <c r="A964" s="6" t="s">
        <v>126</v>
      </c>
      <c r="B964" s="7" t="s">
        <v>127</v>
      </c>
      <c r="C964" s="7" t="s">
        <v>47</v>
      </c>
      <c r="D964" s="8">
        <v>41991</v>
      </c>
      <c r="E964" s="8">
        <v>41991</v>
      </c>
      <c r="F964" s="9">
        <v>363.8</v>
      </c>
      <c r="G964">
        <f t="shared" si="60"/>
        <v>1</v>
      </c>
      <c r="H964">
        <f t="shared" si="61"/>
        <v>30</v>
      </c>
      <c r="I964">
        <f t="shared" si="62"/>
        <v>0</v>
      </c>
      <c r="J964" t="str">
        <f t="shared" si="63"/>
        <v/>
      </c>
    </row>
    <row r="965" spans="1:10" x14ac:dyDescent="0.25">
      <c r="A965" s="10" t="s">
        <v>134</v>
      </c>
      <c r="B965" s="11" t="s">
        <v>149</v>
      </c>
      <c r="C965" s="11" t="s">
        <v>24</v>
      </c>
      <c r="D965" s="12">
        <v>41991</v>
      </c>
      <c r="E965" s="12">
        <v>41991</v>
      </c>
      <c r="F965" s="13">
        <v>290.7</v>
      </c>
      <c r="G965">
        <f t="shared" si="60"/>
        <v>1</v>
      </c>
      <c r="H965">
        <f t="shared" si="61"/>
        <v>30</v>
      </c>
      <c r="I965">
        <f t="shared" si="62"/>
        <v>0</v>
      </c>
      <c r="J965" t="str">
        <f t="shared" si="63"/>
        <v/>
      </c>
    </row>
    <row r="966" spans="1:10" x14ac:dyDescent="0.25">
      <c r="A966" s="6" t="s">
        <v>15</v>
      </c>
      <c r="B966" s="7" t="s">
        <v>16</v>
      </c>
      <c r="C966" s="7" t="s">
        <v>30</v>
      </c>
      <c r="D966" s="8">
        <v>41991</v>
      </c>
      <c r="E966" s="8">
        <v>41992</v>
      </c>
      <c r="F966" s="9">
        <v>331.5</v>
      </c>
      <c r="G966">
        <f t="shared" si="60"/>
        <v>2</v>
      </c>
      <c r="H966">
        <f t="shared" si="61"/>
        <v>54</v>
      </c>
      <c r="I966">
        <f t="shared" si="62"/>
        <v>1</v>
      </c>
      <c r="J966">
        <f t="shared" si="63"/>
        <v>1</v>
      </c>
    </row>
    <row r="967" spans="1:10" x14ac:dyDescent="0.25">
      <c r="A967" s="10" t="s">
        <v>20</v>
      </c>
      <c r="B967" s="11" t="s">
        <v>21</v>
      </c>
      <c r="C967" s="11" t="s">
        <v>72</v>
      </c>
      <c r="D967" s="12">
        <v>41991</v>
      </c>
      <c r="E967" s="12">
        <v>41991</v>
      </c>
      <c r="F967" s="13">
        <v>494.7</v>
      </c>
      <c r="G967">
        <f t="shared" si="60"/>
        <v>1</v>
      </c>
      <c r="H967">
        <f t="shared" si="61"/>
        <v>30</v>
      </c>
      <c r="I967">
        <f t="shared" si="62"/>
        <v>0</v>
      </c>
      <c r="J967" t="str">
        <f t="shared" si="63"/>
        <v/>
      </c>
    </row>
    <row r="968" spans="1:10" x14ac:dyDescent="0.25">
      <c r="A968" s="6" t="s">
        <v>25</v>
      </c>
      <c r="B968" s="7" t="s">
        <v>35</v>
      </c>
      <c r="C968" s="7" t="s">
        <v>11</v>
      </c>
      <c r="D968" s="8">
        <v>41992</v>
      </c>
      <c r="E968" s="8">
        <v>41992</v>
      </c>
      <c r="F968" s="9">
        <v>156.4</v>
      </c>
      <c r="G968">
        <f t="shared" si="60"/>
        <v>1</v>
      </c>
      <c r="H968">
        <f t="shared" si="61"/>
        <v>30</v>
      </c>
      <c r="I968">
        <f t="shared" si="62"/>
        <v>0</v>
      </c>
      <c r="J968" t="str">
        <f t="shared" si="63"/>
        <v/>
      </c>
    </row>
    <row r="969" spans="1:10" x14ac:dyDescent="0.25">
      <c r="A969" s="10" t="s">
        <v>151</v>
      </c>
      <c r="B969" s="11" t="s">
        <v>152</v>
      </c>
      <c r="C969" s="11" t="s">
        <v>72</v>
      </c>
      <c r="D969" s="12">
        <v>41992</v>
      </c>
      <c r="E969" s="12">
        <v>41992</v>
      </c>
      <c r="F969" s="13">
        <v>494.7</v>
      </c>
      <c r="G969">
        <f t="shared" si="60"/>
        <v>1</v>
      </c>
      <c r="H969">
        <f t="shared" si="61"/>
        <v>30</v>
      </c>
      <c r="I969">
        <f t="shared" si="62"/>
        <v>0</v>
      </c>
      <c r="J969" t="str">
        <f t="shared" si="63"/>
        <v/>
      </c>
    </row>
    <row r="970" spans="1:10" x14ac:dyDescent="0.25">
      <c r="A970" s="6" t="s">
        <v>6</v>
      </c>
      <c r="B970" s="7" t="s">
        <v>7</v>
      </c>
      <c r="C970" s="7" t="s">
        <v>66</v>
      </c>
      <c r="D970" s="8">
        <v>41993</v>
      </c>
      <c r="E970" s="8">
        <v>41993</v>
      </c>
      <c r="F970" s="9">
        <v>307.7</v>
      </c>
      <c r="G970">
        <f t="shared" si="60"/>
        <v>1</v>
      </c>
      <c r="H970">
        <f t="shared" si="61"/>
        <v>30</v>
      </c>
      <c r="I970">
        <f t="shared" si="62"/>
        <v>0</v>
      </c>
      <c r="J970" t="str">
        <f t="shared" si="63"/>
        <v/>
      </c>
    </row>
    <row r="971" spans="1:10" x14ac:dyDescent="0.25">
      <c r="A971" s="10" t="s">
        <v>15</v>
      </c>
      <c r="B971" s="11" t="s">
        <v>63</v>
      </c>
      <c r="C971" s="11" t="s">
        <v>8</v>
      </c>
      <c r="D971" s="12">
        <v>41993</v>
      </c>
      <c r="E971" s="12">
        <v>41993</v>
      </c>
      <c r="F971" s="13">
        <v>680</v>
      </c>
      <c r="G971">
        <f t="shared" si="60"/>
        <v>1</v>
      </c>
      <c r="H971">
        <f t="shared" si="61"/>
        <v>30</v>
      </c>
      <c r="I971">
        <f t="shared" si="62"/>
        <v>0</v>
      </c>
      <c r="J971" t="str">
        <f t="shared" si="63"/>
        <v/>
      </c>
    </row>
    <row r="972" spans="1:10" x14ac:dyDescent="0.25">
      <c r="A972" s="6" t="s">
        <v>122</v>
      </c>
      <c r="B972" s="7" t="s">
        <v>123</v>
      </c>
      <c r="C972" s="7" t="s">
        <v>27</v>
      </c>
      <c r="D972" s="8">
        <v>41994</v>
      </c>
      <c r="E972" s="8">
        <v>41994</v>
      </c>
      <c r="F972" s="9">
        <v>442</v>
      </c>
      <c r="G972">
        <f t="shared" si="60"/>
        <v>1</v>
      </c>
      <c r="H972">
        <f t="shared" si="61"/>
        <v>30</v>
      </c>
      <c r="I972">
        <f t="shared" si="62"/>
        <v>0</v>
      </c>
      <c r="J972" t="str">
        <f t="shared" si="63"/>
        <v/>
      </c>
    </row>
    <row r="973" spans="1:10" x14ac:dyDescent="0.25">
      <c r="A973" s="10" t="s">
        <v>15</v>
      </c>
      <c r="B973" s="11" t="s">
        <v>46</v>
      </c>
      <c r="C973" s="11" t="s">
        <v>19</v>
      </c>
      <c r="D973" s="12">
        <v>41994</v>
      </c>
      <c r="E973" s="12">
        <v>41994</v>
      </c>
      <c r="F973" s="13">
        <v>513.4</v>
      </c>
      <c r="G973">
        <f t="shared" si="60"/>
        <v>1</v>
      </c>
      <c r="H973">
        <f t="shared" si="61"/>
        <v>30</v>
      </c>
      <c r="I973">
        <f t="shared" si="62"/>
        <v>0</v>
      </c>
      <c r="J973" t="str">
        <f t="shared" si="63"/>
        <v/>
      </c>
    </row>
    <row r="974" spans="1:10" x14ac:dyDescent="0.25">
      <c r="A974" s="6" t="s">
        <v>57</v>
      </c>
      <c r="B974" s="7" t="s">
        <v>163</v>
      </c>
      <c r="C974" s="7" t="s">
        <v>8</v>
      </c>
      <c r="D974" s="8">
        <v>41994</v>
      </c>
      <c r="E974" s="8">
        <v>41994</v>
      </c>
      <c r="F974" s="9">
        <v>680</v>
      </c>
      <c r="G974">
        <f t="shared" si="60"/>
        <v>1</v>
      </c>
      <c r="H974">
        <f t="shared" si="61"/>
        <v>30</v>
      </c>
      <c r="I974">
        <f t="shared" si="62"/>
        <v>0</v>
      </c>
      <c r="J974" t="str">
        <f t="shared" si="63"/>
        <v/>
      </c>
    </row>
    <row r="975" spans="1:10" x14ac:dyDescent="0.25">
      <c r="A975" s="10" t="s">
        <v>22</v>
      </c>
      <c r="B975" s="11" t="s">
        <v>172</v>
      </c>
      <c r="C975" s="11" t="s">
        <v>17</v>
      </c>
      <c r="D975" s="12">
        <v>41994</v>
      </c>
      <c r="E975" s="12">
        <v>41994</v>
      </c>
      <c r="F975" s="13">
        <v>501.5</v>
      </c>
      <c r="G975">
        <f t="shared" si="60"/>
        <v>1</v>
      </c>
      <c r="H975">
        <f t="shared" si="61"/>
        <v>30</v>
      </c>
      <c r="I975">
        <f t="shared" si="62"/>
        <v>0</v>
      </c>
      <c r="J975" t="str">
        <f t="shared" si="63"/>
        <v/>
      </c>
    </row>
    <row r="976" spans="1:10" x14ac:dyDescent="0.25">
      <c r="A976" s="6" t="s">
        <v>50</v>
      </c>
      <c r="B976" s="7" t="s">
        <v>51</v>
      </c>
      <c r="C976" s="7" t="s">
        <v>24</v>
      </c>
      <c r="D976" s="8">
        <v>41994</v>
      </c>
      <c r="E976" s="8">
        <v>41994</v>
      </c>
      <c r="F976" s="9">
        <v>290.7</v>
      </c>
      <c r="G976">
        <f t="shared" si="60"/>
        <v>1</v>
      </c>
      <c r="H976">
        <f t="shared" si="61"/>
        <v>30</v>
      </c>
      <c r="I976">
        <f t="shared" si="62"/>
        <v>0</v>
      </c>
      <c r="J976" t="str">
        <f t="shared" si="63"/>
        <v/>
      </c>
    </row>
    <row r="977" spans="1:10" x14ac:dyDescent="0.25">
      <c r="A977" s="10" t="s">
        <v>6</v>
      </c>
      <c r="B977" s="11" t="s">
        <v>56</v>
      </c>
      <c r="C977" s="11" t="s">
        <v>59</v>
      </c>
      <c r="D977" s="12">
        <v>41994</v>
      </c>
      <c r="E977" s="12">
        <v>41995</v>
      </c>
      <c r="F977" s="13">
        <v>601</v>
      </c>
      <c r="G977">
        <f t="shared" si="60"/>
        <v>2</v>
      </c>
      <c r="H977">
        <f t="shared" si="61"/>
        <v>54</v>
      </c>
      <c r="I977">
        <f t="shared" si="62"/>
        <v>1</v>
      </c>
      <c r="J977">
        <f t="shared" si="63"/>
        <v>1</v>
      </c>
    </row>
    <row r="978" spans="1:10" x14ac:dyDescent="0.25">
      <c r="A978" s="6" t="s">
        <v>143</v>
      </c>
      <c r="B978" s="7" t="s">
        <v>144</v>
      </c>
      <c r="C978" s="7" t="s">
        <v>27</v>
      </c>
      <c r="D978" s="8">
        <v>41994</v>
      </c>
      <c r="E978" s="8">
        <v>41995</v>
      </c>
      <c r="F978" s="9">
        <v>570</v>
      </c>
      <c r="G978">
        <f t="shared" si="60"/>
        <v>2</v>
      </c>
      <c r="H978">
        <f t="shared" si="61"/>
        <v>54</v>
      </c>
      <c r="I978">
        <f t="shared" si="62"/>
        <v>1</v>
      </c>
      <c r="J978">
        <f t="shared" si="63"/>
        <v>1</v>
      </c>
    </row>
    <row r="979" spans="1:10" x14ac:dyDescent="0.25">
      <c r="A979" s="10" t="s">
        <v>54</v>
      </c>
      <c r="B979" s="11" t="s">
        <v>118</v>
      </c>
      <c r="C979" s="11" t="s">
        <v>30</v>
      </c>
      <c r="D979" s="12">
        <v>41994</v>
      </c>
      <c r="E979" s="12">
        <v>41995</v>
      </c>
      <c r="F979" s="13">
        <v>331.5</v>
      </c>
      <c r="G979">
        <f t="shared" si="60"/>
        <v>2</v>
      </c>
      <c r="H979">
        <f t="shared" si="61"/>
        <v>54</v>
      </c>
      <c r="I979">
        <f t="shared" si="62"/>
        <v>1</v>
      </c>
      <c r="J979">
        <f t="shared" si="63"/>
        <v>1</v>
      </c>
    </row>
    <row r="980" spans="1:10" x14ac:dyDescent="0.25">
      <c r="A980" s="6" t="s">
        <v>115</v>
      </c>
      <c r="B980" s="7" t="s">
        <v>153</v>
      </c>
      <c r="C980" s="7" t="s">
        <v>17</v>
      </c>
      <c r="D980" s="8">
        <v>41995</v>
      </c>
      <c r="E980" s="8">
        <v>41995</v>
      </c>
      <c r="F980" s="9">
        <v>501.5</v>
      </c>
      <c r="G980">
        <f t="shared" si="60"/>
        <v>1</v>
      </c>
      <c r="H980">
        <f t="shared" si="61"/>
        <v>30</v>
      </c>
      <c r="I980">
        <f t="shared" si="62"/>
        <v>0</v>
      </c>
      <c r="J980" t="str">
        <f t="shared" si="63"/>
        <v/>
      </c>
    </row>
    <row r="981" spans="1:10" x14ac:dyDescent="0.25">
      <c r="A981" s="10" t="s">
        <v>79</v>
      </c>
      <c r="B981" s="11" t="s">
        <v>80</v>
      </c>
      <c r="C981" s="11" t="s">
        <v>47</v>
      </c>
      <c r="D981" s="12">
        <v>41995</v>
      </c>
      <c r="E981" s="12">
        <v>41995</v>
      </c>
      <c r="F981" s="13">
        <v>363.8</v>
      </c>
      <c r="G981">
        <f t="shared" si="60"/>
        <v>1</v>
      </c>
      <c r="H981">
        <f t="shared" si="61"/>
        <v>30</v>
      </c>
      <c r="I981">
        <f t="shared" si="62"/>
        <v>0</v>
      </c>
      <c r="J981" t="str">
        <f t="shared" si="63"/>
        <v/>
      </c>
    </row>
    <row r="982" spans="1:10" x14ac:dyDescent="0.25">
      <c r="A982" s="6" t="s">
        <v>168</v>
      </c>
      <c r="B982" s="7" t="s">
        <v>169</v>
      </c>
      <c r="C982" s="7" t="s">
        <v>66</v>
      </c>
      <c r="D982" s="8">
        <v>41995</v>
      </c>
      <c r="E982" s="8">
        <v>41996</v>
      </c>
      <c r="F982" s="9">
        <v>485.7</v>
      </c>
      <c r="G982">
        <f t="shared" si="60"/>
        <v>2</v>
      </c>
      <c r="H982">
        <f t="shared" si="61"/>
        <v>54</v>
      </c>
      <c r="I982">
        <f t="shared" si="62"/>
        <v>1</v>
      </c>
      <c r="J982">
        <f t="shared" si="63"/>
        <v>1</v>
      </c>
    </row>
    <row r="983" spans="1:10" x14ac:dyDescent="0.25">
      <c r="A983" s="10" t="s">
        <v>97</v>
      </c>
      <c r="B983" s="11" t="s">
        <v>98</v>
      </c>
      <c r="C983" s="11" t="s">
        <v>24</v>
      </c>
      <c r="D983" s="12">
        <v>41995</v>
      </c>
      <c r="E983" s="12">
        <v>41995</v>
      </c>
      <c r="F983" s="13">
        <v>290.7</v>
      </c>
      <c r="G983">
        <f t="shared" si="60"/>
        <v>1</v>
      </c>
      <c r="H983">
        <f t="shared" si="61"/>
        <v>30</v>
      </c>
      <c r="I983">
        <f t="shared" si="62"/>
        <v>0</v>
      </c>
      <c r="J983" t="str">
        <f t="shared" si="63"/>
        <v/>
      </c>
    </row>
    <row r="984" spans="1:10" x14ac:dyDescent="0.25">
      <c r="A984" s="6" t="s">
        <v>115</v>
      </c>
      <c r="B984" s="7" t="s">
        <v>140</v>
      </c>
      <c r="C984" s="7" t="s">
        <v>11</v>
      </c>
      <c r="D984" s="8">
        <v>41995</v>
      </c>
      <c r="E984" s="8">
        <v>41996</v>
      </c>
      <c r="F984" s="9">
        <v>295.39999999999998</v>
      </c>
      <c r="G984">
        <f t="shared" si="60"/>
        <v>2</v>
      </c>
      <c r="H984">
        <f t="shared" si="61"/>
        <v>54</v>
      </c>
      <c r="I984">
        <f t="shared" si="62"/>
        <v>1</v>
      </c>
      <c r="J984">
        <f t="shared" si="63"/>
        <v>1</v>
      </c>
    </row>
    <row r="985" spans="1:10" x14ac:dyDescent="0.25">
      <c r="A985" s="10" t="s">
        <v>101</v>
      </c>
      <c r="B985" s="11" t="s">
        <v>102</v>
      </c>
      <c r="C985" s="11" t="s">
        <v>11</v>
      </c>
      <c r="D985" s="12">
        <v>41995</v>
      </c>
      <c r="E985" s="12">
        <v>41995</v>
      </c>
      <c r="F985" s="13">
        <v>156.4</v>
      </c>
      <c r="G985">
        <f t="shared" si="60"/>
        <v>1</v>
      </c>
      <c r="H985">
        <f t="shared" si="61"/>
        <v>30</v>
      </c>
      <c r="I985">
        <f t="shared" si="62"/>
        <v>0</v>
      </c>
      <c r="J985" t="str">
        <f t="shared" si="63"/>
        <v/>
      </c>
    </row>
    <row r="986" spans="1:10" x14ac:dyDescent="0.25">
      <c r="A986" s="6" t="s">
        <v>164</v>
      </c>
      <c r="B986" s="7" t="s">
        <v>165</v>
      </c>
      <c r="C986" s="7" t="s">
        <v>17</v>
      </c>
      <c r="D986" s="8">
        <v>41995</v>
      </c>
      <c r="E986" s="8">
        <v>41995</v>
      </c>
      <c r="F986" s="9">
        <v>501.5</v>
      </c>
      <c r="G986">
        <f t="shared" si="60"/>
        <v>1</v>
      </c>
      <c r="H986">
        <f t="shared" si="61"/>
        <v>30</v>
      </c>
      <c r="I986">
        <f t="shared" si="62"/>
        <v>0</v>
      </c>
      <c r="J986" t="str">
        <f t="shared" si="63"/>
        <v/>
      </c>
    </row>
    <row r="987" spans="1:10" x14ac:dyDescent="0.25">
      <c r="A987" s="10" t="s">
        <v>93</v>
      </c>
      <c r="B987" s="11" t="s">
        <v>106</v>
      </c>
      <c r="C987" s="11" t="s">
        <v>30</v>
      </c>
      <c r="D987" s="12">
        <v>41995</v>
      </c>
      <c r="E987" s="12">
        <v>41995</v>
      </c>
      <c r="F987" s="13">
        <v>212.5</v>
      </c>
      <c r="G987">
        <f t="shared" si="60"/>
        <v>1</v>
      </c>
      <c r="H987">
        <f t="shared" si="61"/>
        <v>30</v>
      </c>
      <c r="I987">
        <f t="shared" si="62"/>
        <v>0</v>
      </c>
      <c r="J987" t="str">
        <f t="shared" si="63"/>
        <v/>
      </c>
    </row>
    <row r="988" spans="1:10" x14ac:dyDescent="0.25">
      <c r="A988" s="6" t="s">
        <v>134</v>
      </c>
      <c r="B988" s="7" t="s">
        <v>149</v>
      </c>
      <c r="C988" s="7" t="s">
        <v>17</v>
      </c>
      <c r="D988" s="8">
        <v>41995</v>
      </c>
      <c r="E988" s="8">
        <v>41996</v>
      </c>
      <c r="F988" s="9">
        <v>706.5</v>
      </c>
      <c r="G988">
        <f t="shared" si="60"/>
        <v>2</v>
      </c>
      <c r="H988">
        <f t="shared" si="61"/>
        <v>54</v>
      </c>
      <c r="I988">
        <f t="shared" si="62"/>
        <v>1</v>
      </c>
      <c r="J988">
        <f t="shared" si="63"/>
        <v>1</v>
      </c>
    </row>
    <row r="989" spans="1:10" x14ac:dyDescent="0.25">
      <c r="A989" s="10" t="s">
        <v>134</v>
      </c>
      <c r="B989" s="11" t="s">
        <v>149</v>
      </c>
      <c r="C989" s="11" t="s">
        <v>27</v>
      </c>
      <c r="D989" s="12">
        <v>41995</v>
      </c>
      <c r="E989" s="12">
        <v>41995</v>
      </c>
      <c r="F989" s="13">
        <v>442</v>
      </c>
      <c r="G989">
        <f t="shared" si="60"/>
        <v>1</v>
      </c>
      <c r="H989">
        <f t="shared" si="61"/>
        <v>30</v>
      </c>
      <c r="I989">
        <f t="shared" si="62"/>
        <v>0</v>
      </c>
      <c r="J989" t="str">
        <f t="shared" si="63"/>
        <v/>
      </c>
    </row>
    <row r="990" spans="1:10" x14ac:dyDescent="0.25">
      <c r="A990" s="6" t="s">
        <v>109</v>
      </c>
      <c r="B990" s="7" t="s">
        <v>110</v>
      </c>
      <c r="C990" s="7" t="s">
        <v>30</v>
      </c>
      <c r="D990" s="8">
        <v>41995</v>
      </c>
      <c r="E990" s="8">
        <v>41996</v>
      </c>
      <c r="F990" s="9">
        <v>331.5</v>
      </c>
      <c r="G990">
        <f t="shared" si="60"/>
        <v>2</v>
      </c>
      <c r="H990">
        <f t="shared" si="61"/>
        <v>54</v>
      </c>
      <c r="I990">
        <f t="shared" si="62"/>
        <v>1</v>
      </c>
      <c r="J990">
        <f t="shared" si="63"/>
        <v>1</v>
      </c>
    </row>
    <row r="991" spans="1:10" x14ac:dyDescent="0.25">
      <c r="A991" s="10" t="s">
        <v>93</v>
      </c>
      <c r="B991" s="11" t="s">
        <v>94</v>
      </c>
      <c r="C991" s="11" t="s">
        <v>38</v>
      </c>
      <c r="D991" s="12">
        <v>41995</v>
      </c>
      <c r="E991" s="12">
        <v>41995</v>
      </c>
      <c r="F991" s="13">
        <v>278.8</v>
      </c>
      <c r="G991">
        <f t="shared" si="60"/>
        <v>1</v>
      </c>
      <c r="H991">
        <f t="shared" si="61"/>
        <v>30</v>
      </c>
      <c r="I991">
        <f t="shared" si="62"/>
        <v>0</v>
      </c>
      <c r="J991" t="str">
        <f t="shared" si="63"/>
        <v/>
      </c>
    </row>
    <row r="992" spans="1:10" x14ac:dyDescent="0.25">
      <c r="A992" s="6" t="s">
        <v>12</v>
      </c>
      <c r="B992" s="7" t="s">
        <v>95</v>
      </c>
      <c r="C992" s="7" t="s">
        <v>19</v>
      </c>
      <c r="D992" s="8">
        <v>41995</v>
      </c>
      <c r="E992" s="8">
        <v>41996</v>
      </c>
      <c r="F992" s="9">
        <v>654.4</v>
      </c>
      <c r="G992">
        <f t="shared" si="60"/>
        <v>2</v>
      </c>
      <c r="H992">
        <f t="shared" si="61"/>
        <v>54</v>
      </c>
      <c r="I992">
        <f t="shared" si="62"/>
        <v>1</v>
      </c>
      <c r="J992">
        <f t="shared" si="63"/>
        <v>1</v>
      </c>
    </row>
    <row r="993" spans="1:10" x14ac:dyDescent="0.25">
      <c r="A993" s="10" t="s">
        <v>131</v>
      </c>
      <c r="B993" s="11" t="s">
        <v>132</v>
      </c>
      <c r="C993" s="11" t="s">
        <v>14</v>
      </c>
      <c r="D993" s="12">
        <v>41995</v>
      </c>
      <c r="E993" s="12">
        <v>41995</v>
      </c>
      <c r="F993" s="13">
        <v>178.5</v>
      </c>
      <c r="G993">
        <f t="shared" si="60"/>
        <v>1</v>
      </c>
      <c r="H993">
        <f t="shared" si="61"/>
        <v>30</v>
      </c>
      <c r="I993">
        <f t="shared" si="62"/>
        <v>0</v>
      </c>
      <c r="J993" t="str">
        <f t="shared" si="63"/>
        <v/>
      </c>
    </row>
    <row r="994" spans="1:10" x14ac:dyDescent="0.25">
      <c r="A994" s="6" t="s">
        <v>131</v>
      </c>
      <c r="B994" s="7" t="s">
        <v>154</v>
      </c>
      <c r="C994" s="7" t="s">
        <v>11</v>
      </c>
      <c r="D994" s="8">
        <v>42001</v>
      </c>
      <c r="E994" s="8">
        <v>42002</v>
      </c>
      <c r="F994" s="9">
        <v>295.39999999999998</v>
      </c>
      <c r="G994">
        <f t="shared" si="60"/>
        <v>2</v>
      </c>
      <c r="H994">
        <f t="shared" si="61"/>
        <v>54</v>
      </c>
      <c r="I994">
        <f t="shared" si="62"/>
        <v>1</v>
      </c>
      <c r="J994">
        <f t="shared" si="63"/>
        <v>1</v>
      </c>
    </row>
    <row r="995" spans="1:10" x14ac:dyDescent="0.25">
      <c r="A995" s="10" t="s">
        <v>9</v>
      </c>
      <c r="B995" s="11" t="s">
        <v>103</v>
      </c>
      <c r="C995" s="11" t="s">
        <v>24</v>
      </c>
      <c r="D995" s="12">
        <v>42001</v>
      </c>
      <c r="E995" s="12">
        <v>42003</v>
      </c>
      <c r="F995" s="13">
        <v>588.70000000000005</v>
      </c>
      <c r="G995">
        <f t="shared" si="60"/>
        <v>3</v>
      </c>
      <c r="H995">
        <f t="shared" si="61"/>
        <v>78</v>
      </c>
      <c r="I995">
        <f t="shared" si="62"/>
        <v>2</v>
      </c>
      <c r="J995">
        <f t="shared" si="63"/>
        <v>2</v>
      </c>
    </row>
    <row r="996" spans="1:10" x14ac:dyDescent="0.25">
      <c r="A996" s="6" t="s">
        <v>28</v>
      </c>
      <c r="B996" s="7" t="s">
        <v>60</v>
      </c>
      <c r="C996" s="7" t="s">
        <v>59</v>
      </c>
      <c r="D996" s="8">
        <v>42002</v>
      </c>
      <c r="E996" s="8">
        <v>42003</v>
      </c>
      <c r="F996" s="9">
        <v>601</v>
      </c>
      <c r="G996">
        <f t="shared" si="60"/>
        <v>2</v>
      </c>
      <c r="H996">
        <f t="shared" si="61"/>
        <v>54</v>
      </c>
      <c r="I996">
        <f t="shared" si="62"/>
        <v>1</v>
      </c>
      <c r="J996">
        <f t="shared" si="63"/>
        <v>1</v>
      </c>
    </row>
    <row r="997" spans="1:10" x14ac:dyDescent="0.25">
      <c r="A997" s="10" t="s">
        <v>6</v>
      </c>
      <c r="B997" s="11" t="s">
        <v>56</v>
      </c>
      <c r="C997" s="11" t="s">
        <v>72</v>
      </c>
      <c r="D997" s="12">
        <v>42002</v>
      </c>
      <c r="E997" s="12">
        <v>42002</v>
      </c>
      <c r="F997" s="13">
        <v>494.7</v>
      </c>
      <c r="G997">
        <f t="shared" si="60"/>
        <v>1</v>
      </c>
      <c r="H997">
        <f t="shared" si="61"/>
        <v>30</v>
      </c>
      <c r="I997">
        <f t="shared" si="62"/>
        <v>0</v>
      </c>
      <c r="J997" t="str">
        <f t="shared" si="63"/>
        <v/>
      </c>
    </row>
    <row r="998" spans="1:10" x14ac:dyDescent="0.25">
      <c r="A998" s="6" t="s">
        <v>115</v>
      </c>
      <c r="B998" s="7" t="s">
        <v>140</v>
      </c>
      <c r="C998" s="7" t="s">
        <v>19</v>
      </c>
      <c r="D998" s="8">
        <v>42002</v>
      </c>
      <c r="E998" s="8">
        <v>42002</v>
      </c>
      <c r="F998" s="9">
        <v>513.4</v>
      </c>
      <c r="G998">
        <f t="shared" si="60"/>
        <v>1</v>
      </c>
      <c r="H998">
        <f t="shared" si="61"/>
        <v>30</v>
      </c>
      <c r="I998">
        <f t="shared" si="62"/>
        <v>0</v>
      </c>
      <c r="J998" t="str">
        <f t="shared" si="63"/>
        <v/>
      </c>
    </row>
    <row r="999" spans="1:10" x14ac:dyDescent="0.25">
      <c r="A999" s="10" t="s">
        <v>134</v>
      </c>
      <c r="B999" s="11" t="s">
        <v>149</v>
      </c>
      <c r="C999" s="11" t="s">
        <v>72</v>
      </c>
      <c r="D999" s="12">
        <v>42002</v>
      </c>
      <c r="E999" s="12">
        <v>42002</v>
      </c>
      <c r="F999" s="13">
        <v>494.7</v>
      </c>
      <c r="G999">
        <f t="shared" si="60"/>
        <v>1</v>
      </c>
      <c r="H999">
        <f t="shared" si="61"/>
        <v>30</v>
      </c>
      <c r="I999">
        <f t="shared" si="62"/>
        <v>0</v>
      </c>
      <c r="J999" t="str">
        <f t="shared" si="63"/>
        <v/>
      </c>
    </row>
    <row r="1000" spans="1:10" x14ac:dyDescent="0.25">
      <c r="A1000" s="6" t="s">
        <v>15</v>
      </c>
      <c r="B1000" s="7" t="s">
        <v>16</v>
      </c>
      <c r="C1000" s="7" t="s">
        <v>59</v>
      </c>
      <c r="D1000" s="8">
        <v>42002</v>
      </c>
      <c r="E1000" s="8">
        <v>42002</v>
      </c>
      <c r="F1000" s="9">
        <v>442</v>
      </c>
      <c r="G1000">
        <f t="shared" si="60"/>
        <v>1</v>
      </c>
      <c r="H1000">
        <f t="shared" si="61"/>
        <v>30</v>
      </c>
      <c r="I1000">
        <f t="shared" si="62"/>
        <v>0</v>
      </c>
      <c r="J1000" t="str">
        <f t="shared" si="63"/>
        <v/>
      </c>
    </row>
    <row r="1001" spans="1:10" x14ac:dyDescent="0.25">
      <c r="A1001" s="14" t="s">
        <v>86</v>
      </c>
      <c r="B1001" s="15" t="s">
        <v>136</v>
      </c>
      <c r="C1001" s="15" t="s">
        <v>30</v>
      </c>
      <c r="D1001" s="16">
        <v>42002</v>
      </c>
      <c r="E1001" s="16">
        <v>42003</v>
      </c>
      <c r="F1001" s="2">
        <v>331.5</v>
      </c>
      <c r="G1001">
        <f t="shared" si="60"/>
        <v>2</v>
      </c>
      <c r="H1001">
        <f t="shared" si="61"/>
        <v>54</v>
      </c>
      <c r="I1001">
        <f t="shared" si="62"/>
        <v>1</v>
      </c>
      <c r="J1001">
        <f t="shared" si="63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EE0967-F509-47DA-A6DD-BFA4B6017B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dane</vt:lpstr>
      <vt:lpstr>93.1</vt:lpstr>
      <vt:lpstr>93.2</vt:lpstr>
      <vt:lpstr>93.3</vt:lpstr>
      <vt:lpstr>93.4</vt:lpstr>
      <vt:lpstr>93.5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Bartek Starosta</dc:creator>
  <cp:lastModifiedBy>Bartlomiej Starosta</cp:lastModifiedBy>
  <dcterms:created xsi:type="dcterms:W3CDTF">2015-06-05T18:19:34Z</dcterms:created>
  <dcterms:modified xsi:type="dcterms:W3CDTF">2026-02-11T21:29:30Z</dcterms:modified>
</cp:coreProperties>
</file>