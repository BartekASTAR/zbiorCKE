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bartl\PycharmProjects\zbiorCKE\zbiorCKE\zad91\"/>
    </mc:Choice>
  </mc:AlternateContent>
  <xr:revisionPtr revIDLastSave="0" documentId="13_ncr:1_{4CBDB1B7-85A8-4E29-B803-C22620D69854}" xr6:coauthVersionLast="47" xr6:coauthVersionMax="47" xr10:uidLastSave="{00000000-0000-0000-0000-000000000000}"/>
  <bookViews>
    <workbookView xWindow="-120" yWindow="-120" windowWidth="38640" windowHeight="21120" activeTab="5" xr2:uid="{00000000-000D-0000-FFFF-FFFF00000000}"/>
  </bookViews>
  <sheets>
    <sheet name="dane" sheetId="2" r:id="rId1"/>
    <sheet name="91.1" sheetId="3" r:id="rId2"/>
    <sheet name="91.2" sheetId="4" r:id="rId3"/>
    <sheet name="91.3" sheetId="5" r:id="rId4"/>
    <sheet name="91.4" sheetId="6" r:id="rId5"/>
    <sheet name="91.5" sheetId="7" r:id="rId6"/>
  </sheets>
  <definedNames>
    <definedName name="_xlnm._FilterDatabase" localSheetId="2" hidden="1">'91.2'!$A$1:$D$956</definedName>
    <definedName name="_xlnm._FilterDatabase" localSheetId="3" hidden="1">'91.3'!$E$1:$E$495</definedName>
  </definedNames>
  <calcPr calcId="191029"/>
  <pivotCaches>
    <pivotCache cacheId="4" r:id="rId7"/>
    <pivotCache cacheId="14" r:id="rId8"/>
    <pivotCache cacheId="18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2" i="7"/>
  <c r="G3" i="7"/>
  <c r="G4" i="7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2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1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3" i="7"/>
  <c r="G464" i="7"/>
  <c r="G465" i="7"/>
  <c r="G466" i="7"/>
  <c r="G467" i="7"/>
  <c r="G468" i="7"/>
  <c r="G469" i="7"/>
  <c r="G470" i="7"/>
  <c r="G471" i="7"/>
  <c r="G472" i="7"/>
  <c r="G473" i="7"/>
  <c r="G474" i="7"/>
  <c r="G475" i="7"/>
  <c r="G476" i="7"/>
  <c r="G477" i="7"/>
  <c r="G478" i="7"/>
  <c r="G479" i="7"/>
  <c r="G480" i="7"/>
  <c r="G481" i="7"/>
  <c r="G482" i="7"/>
  <c r="G483" i="7"/>
  <c r="G484" i="7"/>
  <c r="G485" i="7"/>
  <c r="G486" i="7"/>
  <c r="G487" i="7"/>
  <c r="G488" i="7"/>
  <c r="G489" i="7"/>
  <c r="G490" i="7"/>
  <c r="G491" i="7"/>
  <c r="G492" i="7"/>
  <c r="G493" i="7"/>
  <c r="G494" i="7"/>
  <c r="G495" i="7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G2" i="7"/>
  <c r="F2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1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E169" i="7"/>
  <c r="E170" i="7"/>
  <c r="E171" i="7"/>
  <c r="E172" i="7"/>
  <c r="E173" i="7"/>
  <c r="E174" i="7"/>
  <c r="E175" i="7"/>
  <c r="E176" i="7"/>
  <c r="E177" i="7"/>
  <c r="E178" i="7"/>
  <c r="E179" i="7"/>
  <c r="E180" i="7"/>
  <c r="E181" i="7"/>
  <c r="E182" i="7"/>
  <c r="E183" i="7"/>
  <c r="E184" i="7"/>
  <c r="E185" i="7"/>
  <c r="E186" i="7"/>
  <c r="E187" i="7"/>
  <c r="E188" i="7"/>
  <c r="E189" i="7"/>
  <c r="E190" i="7"/>
  <c r="E191" i="7"/>
  <c r="E192" i="7"/>
  <c r="E193" i="7"/>
  <c r="E194" i="7"/>
  <c r="E195" i="7"/>
  <c r="E196" i="7"/>
  <c r="E197" i="7"/>
  <c r="E198" i="7"/>
  <c r="E199" i="7"/>
  <c r="E200" i="7"/>
  <c r="E201" i="7"/>
  <c r="E202" i="7"/>
  <c r="E203" i="7"/>
  <c r="E204" i="7"/>
  <c r="E205" i="7"/>
  <c r="E206" i="7"/>
  <c r="E207" i="7"/>
  <c r="E208" i="7"/>
  <c r="E209" i="7"/>
  <c r="E210" i="7"/>
  <c r="E211" i="7"/>
  <c r="E212" i="7"/>
  <c r="E213" i="7"/>
  <c r="E214" i="7"/>
  <c r="E215" i="7"/>
  <c r="E216" i="7"/>
  <c r="E217" i="7"/>
  <c r="E218" i="7"/>
  <c r="E219" i="7"/>
  <c r="E220" i="7"/>
  <c r="E221" i="7"/>
  <c r="E222" i="7"/>
  <c r="E223" i="7"/>
  <c r="E224" i="7"/>
  <c r="E225" i="7"/>
  <c r="E226" i="7"/>
  <c r="E227" i="7"/>
  <c r="E228" i="7"/>
  <c r="E229" i="7"/>
  <c r="E230" i="7"/>
  <c r="E231" i="7"/>
  <c r="E232" i="7"/>
  <c r="E233" i="7"/>
  <c r="E234" i="7"/>
  <c r="E235" i="7"/>
  <c r="E236" i="7"/>
  <c r="E237" i="7"/>
  <c r="E238" i="7"/>
  <c r="E239" i="7"/>
  <c r="E240" i="7"/>
  <c r="E241" i="7"/>
  <c r="E242" i="7"/>
  <c r="E243" i="7"/>
  <c r="E244" i="7"/>
  <c r="E245" i="7"/>
  <c r="E246" i="7"/>
  <c r="E247" i="7"/>
  <c r="E248" i="7"/>
  <c r="E249" i="7"/>
  <c r="E250" i="7"/>
  <c r="E251" i="7"/>
  <c r="E252" i="7"/>
  <c r="E253" i="7"/>
  <c r="E254" i="7"/>
  <c r="E255" i="7"/>
  <c r="E256" i="7"/>
  <c r="E257" i="7"/>
  <c r="E258" i="7"/>
  <c r="E259" i="7"/>
  <c r="E260" i="7"/>
  <c r="E261" i="7"/>
  <c r="E262" i="7"/>
  <c r="E263" i="7"/>
  <c r="E264" i="7"/>
  <c r="E265" i="7"/>
  <c r="E266" i="7"/>
  <c r="E267" i="7"/>
  <c r="E268" i="7"/>
  <c r="E269" i="7"/>
  <c r="E270" i="7"/>
  <c r="E271" i="7"/>
  <c r="E272" i="7"/>
  <c r="E273" i="7"/>
  <c r="E274" i="7"/>
  <c r="E275" i="7"/>
  <c r="E276" i="7"/>
  <c r="E277" i="7"/>
  <c r="E278" i="7"/>
  <c r="E279" i="7"/>
  <c r="E280" i="7"/>
  <c r="E281" i="7"/>
  <c r="E282" i="7"/>
  <c r="E283" i="7"/>
  <c r="E284" i="7"/>
  <c r="E285" i="7"/>
  <c r="E286" i="7"/>
  <c r="E287" i="7"/>
  <c r="E288" i="7"/>
  <c r="E289" i="7"/>
  <c r="E290" i="7"/>
  <c r="E291" i="7"/>
  <c r="E292" i="7"/>
  <c r="E293" i="7"/>
  <c r="E294" i="7"/>
  <c r="E295" i="7"/>
  <c r="E296" i="7"/>
  <c r="E297" i="7"/>
  <c r="E298" i="7"/>
  <c r="E299" i="7"/>
  <c r="E300" i="7"/>
  <c r="E301" i="7"/>
  <c r="E302" i="7"/>
  <c r="E303" i="7"/>
  <c r="E304" i="7"/>
  <c r="E305" i="7"/>
  <c r="E306" i="7"/>
  <c r="E307" i="7"/>
  <c r="E308" i="7"/>
  <c r="E309" i="7"/>
  <c r="E310" i="7"/>
  <c r="E311" i="7"/>
  <c r="E312" i="7"/>
  <c r="E313" i="7"/>
  <c r="E314" i="7"/>
  <c r="E315" i="7"/>
  <c r="E316" i="7"/>
  <c r="E317" i="7"/>
  <c r="E318" i="7"/>
  <c r="E319" i="7"/>
  <c r="E320" i="7"/>
  <c r="E321" i="7"/>
  <c r="E322" i="7"/>
  <c r="E323" i="7"/>
  <c r="E324" i="7"/>
  <c r="E325" i="7"/>
  <c r="E326" i="7"/>
  <c r="E327" i="7"/>
  <c r="E328" i="7"/>
  <c r="E329" i="7"/>
  <c r="E330" i="7"/>
  <c r="E331" i="7"/>
  <c r="E332" i="7"/>
  <c r="E333" i="7"/>
  <c r="E334" i="7"/>
  <c r="E335" i="7"/>
  <c r="E336" i="7"/>
  <c r="E337" i="7"/>
  <c r="E338" i="7"/>
  <c r="E339" i="7"/>
  <c r="E340" i="7"/>
  <c r="E341" i="7"/>
  <c r="E342" i="7"/>
  <c r="E343" i="7"/>
  <c r="E344" i="7"/>
  <c r="E345" i="7"/>
  <c r="E346" i="7"/>
  <c r="E347" i="7"/>
  <c r="E348" i="7"/>
  <c r="E349" i="7"/>
  <c r="E350" i="7"/>
  <c r="E351" i="7"/>
  <c r="E352" i="7"/>
  <c r="E353" i="7"/>
  <c r="E354" i="7"/>
  <c r="E355" i="7"/>
  <c r="E356" i="7"/>
  <c r="E357" i="7"/>
  <c r="E358" i="7"/>
  <c r="E359" i="7"/>
  <c r="E360" i="7"/>
  <c r="E361" i="7"/>
  <c r="E362" i="7"/>
  <c r="E363" i="7"/>
  <c r="E364" i="7"/>
  <c r="E365" i="7"/>
  <c r="E366" i="7"/>
  <c r="E367" i="7"/>
  <c r="E368" i="7"/>
  <c r="E369" i="7"/>
  <c r="E370" i="7"/>
  <c r="E371" i="7"/>
  <c r="E372" i="7"/>
  <c r="E373" i="7"/>
  <c r="E374" i="7"/>
  <c r="E375" i="7"/>
  <c r="E376" i="7"/>
  <c r="E377" i="7"/>
  <c r="E378" i="7"/>
  <c r="E379" i="7"/>
  <c r="E380" i="7"/>
  <c r="E381" i="7"/>
  <c r="E382" i="7"/>
  <c r="E383" i="7"/>
  <c r="E384" i="7"/>
  <c r="E385" i="7"/>
  <c r="E386" i="7"/>
  <c r="E387" i="7"/>
  <c r="E388" i="7"/>
  <c r="E389" i="7"/>
  <c r="E390" i="7"/>
  <c r="E391" i="7"/>
  <c r="E392" i="7"/>
  <c r="E393" i="7"/>
  <c r="E394" i="7"/>
  <c r="E395" i="7"/>
  <c r="E396" i="7"/>
  <c r="E397" i="7"/>
  <c r="E398" i="7"/>
  <c r="E399" i="7"/>
  <c r="E400" i="7"/>
  <c r="E401" i="7"/>
  <c r="E402" i="7"/>
  <c r="E403" i="7"/>
  <c r="E404" i="7"/>
  <c r="E405" i="7"/>
  <c r="E406" i="7"/>
  <c r="E407" i="7"/>
  <c r="E408" i="7"/>
  <c r="E409" i="7"/>
  <c r="E410" i="7"/>
  <c r="E411" i="7"/>
  <c r="E412" i="7"/>
  <c r="E413" i="7"/>
  <c r="E414" i="7"/>
  <c r="E415" i="7"/>
  <c r="E416" i="7"/>
  <c r="E417" i="7"/>
  <c r="E418" i="7"/>
  <c r="E419" i="7"/>
  <c r="E420" i="7"/>
  <c r="E421" i="7"/>
  <c r="E422" i="7"/>
  <c r="E423" i="7"/>
  <c r="E424" i="7"/>
  <c r="E425" i="7"/>
  <c r="E426" i="7"/>
  <c r="E427" i="7"/>
  <c r="E428" i="7"/>
  <c r="E429" i="7"/>
  <c r="E430" i="7"/>
  <c r="E431" i="7"/>
  <c r="E432" i="7"/>
  <c r="E433" i="7"/>
  <c r="E434" i="7"/>
  <c r="E435" i="7"/>
  <c r="E436" i="7"/>
  <c r="E437" i="7"/>
  <c r="E438" i="7"/>
  <c r="E439" i="7"/>
  <c r="E440" i="7"/>
  <c r="E441" i="7"/>
  <c r="E442" i="7"/>
  <c r="E443" i="7"/>
  <c r="E444" i="7"/>
  <c r="E445" i="7"/>
  <c r="E446" i="7"/>
  <c r="E447" i="7"/>
  <c r="E448" i="7"/>
  <c r="E449" i="7"/>
  <c r="E450" i="7"/>
  <c r="E451" i="7"/>
  <c r="E452" i="7"/>
  <c r="E453" i="7"/>
  <c r="E454" i="7"/>
  <c r="E455" i="7"/>
  <c r="E456" i="7"/>
  <c r="E457" i="7"/>
  <c r="E458" i="7"/>
  <c r="E459" i="7"/>
  <c r="E460" i="7"/>
  <c r="E461" i="7"/>
  <c r="E462" i="7"/>
  <c r="E463" i="7"/>
  <c r="E464" i="7"/>
  <c r="E465" i="7"/>
  <c r="E466" i="7"/>
  <c r="E467" i="7"/>
  <c r="E468" i="7"/>
  <c r="E469" i="7"/>
  <c r="E470" i="7"/>
  <c r="E471" i="7"/>
  <c r="E472" i="7"/>
  <c r="E473" i="7"/>
  <c r="E474" i="7"/>
  <c r="E475" i="7"/>
  <c r="E476" i="7"/>
  <c r="E477" i="7"/>
  <c r="E478" i="7"/>
  <c r="E479" i="7"/>
  <c r="E480" i="7"/>
  <c r="E481" i="7"/>
  <c r="E482" i="7"/>
  <c r="E483" i="7"/>
  <c r="E484" i="7"/>
  <c r="E485" i="7"/>
  <c r="E486" i="7"/>
  <c r="E487" i="7"/>
  <c r="E488" i="7"/>
  <c r="E489" i="7"/>
  <c r="E490" i="7"/>
  <c r="E491" i="7"/>
  <c r="E492" i="7"/>
  <c r="E493" i="7"/>
  <c r="E494" i="7"/>
  <c r="E495" i="7"/>
  <c r="E2" i="7"/>
  <c r="D495" i="7"/>
  <c r="D494" i="7"/>
  <c r="D493" i="7"/>
  <c r="D492" i="7"/>
  <c r="D491" i="7"/>
  <c r="D490" i="7"/>
  <c r="D489" i="7"/>
  <c r="D488" i="7"/>
  <c r="D487" i="7"/>
  <c r="D486" i="7"/>
  <c r="D485" i="7"/>
  <c r="D484" i="7"/>
  <c r="D483" i="7"/>
  <c r="D482" i="7"/>
  <c r="D481" i="7"/>
  <c r="D480" i="7"/>
  <c r="D479" i="7"/>
  <c r="D478" i="7"/>
  <c r="D477" i="7"/>
  <c r="D476" i="7"/>
  <c r="D475" i="7"/>
  <c r="D474" i="7"/>
  <c r="D473" i="7"/>
  <c r="D472" i="7"/>
  <c r="D471" i="7"/>
  <c r="D470" i="7"/>
  <c r="D469" i="7"/>
  <c r="D468" i="7"/>
  <c r="D467" i="7"/>
  <c r="D466" i="7"/>
  <c r="D465" i="7"/>
  <c r="D464" i="7"/>
  <c r="D463" i="7"/>
  <c r="D462" i="7"/>
  <c r="D461" i="7"/>
  <c r="D460" i="7"/>
  <c r="D459" i="7"/>
  <c r="D458" i="7"/>
  <c r="D457" i="7"/>
  <c r="D456" i="7"/>
  <c r="D455" i="7"/>
  <c r="D454" i="7"/>
  <c r="D453" i="7"/>
  <c r="D452" i="7"/>
  <c r="D451" i="7"/>
  <c r="D450" i="7"/>
  <c r="D449" i="7"/>
  <c r="D448" i="7"/>
  <c r="D447" i="7"/>
  <c r="D446" i="7"/>
  <c r="D445" i="7"/>
  <c r="D444" i="7"/>
  <c r="D443" i="7"/>
  <c r="D442" i="7"/>
  <c r="D441" i="7"/>
  <c r="D440" i="7"/>
  <c r="D439" i="7"/>
  <c r="D438" i="7"/>
  <c r="D437" i="7"/>
  <c r="D436" i="7"/>
  <c r="D435" i="7"/>
  <c r="D434" i="7"/>
  <c r="D433" i="7"/>
  <c r="D432" i="7"/>
  <c r="D431" i="7"/>
  <c r="D430" i="7"/>
  <c r="D429" i="7"/>
  <c r="D428" i="7"/>
  <c r="D427" i="7"/>
  <c r="D426" i="7"/>
  <c r="D425" i="7"/>
  <c r="D424" i="7"/>
  <c r="D423" i="7"/>
  <c r="D422" i="7"/>
  <c r="D421" i="7"/>
  <c r="D420" i="7"/>
  <c r="D419" i="7"/>
  <c r="D418" i="7"/>
  <c r="D417" i="7"/>
  <c r="D416" i="7"/>
  <c r="D415" i="7"/>
  <c r="D414" i="7"/>
  <c r="D413" i="7"/>
  <c r="D412" i="7"/>
  <c r="D411" i="7"/>
  <c r="D410" i="7"/>
  <c r="D409" i="7"/>
  <c r="D408" i="7"/>
  <c r="D407" i="7"/>
  <c r="D406" i="7"/>
  <c r="D405" i="7"/>
  <c r="D404" i="7"/>
  <c r="D403" i="7"/>
  <c r="D402" i="7"/>
  <c r="D401" i="7"/>
  <c r="D400" i="7"/>
  <c r="D399" i="7"/>
  <c r="D398" i="7"/>
  <c r="D397" i="7"/>
  <c r="D396" i="7"/>
  <c r="D395" i="7"/>
  <c r="D394" i="7"/>
  <c r="D393" i="7"/>
  <c r="D392" i="7"/>
  <c r="D391" i="7"/>
  <c r="D390" i="7"/>
  <c r="D389" i="7"/>
  <c r="D388" i="7"/>
  <c r="D387" i="7"/>
  <c r="D386" i="7"/>
  <c r="D385" i="7"/>
  <c r="D384" i="7"/>
  <c r="D383" i="7"/>
  <c r="D382" i="7"/>
  <c r="D381" i="7"/>
  <c r="D380" i="7"/>
  <c r="D379" i="7"/>
  <c r="D378" i="7"/>
  <c r="D377" i="7"/>
  <c r="D376" i="7"/>
  <c r="D375" i="7"/>
  <c r="D374" i="7"/>
  <c r="D373" i="7"/>
  <c r="D372" i="7"/>
  <c r="D371" i="7"/>
  <c r="D370" i="7"/>
  <c r="D369" i="7"/>
  <c r="D368" i="7"/>
  <c r="D367" i="7"/>
  <c r="D366" i="7"/>
  <c r="D365" i="7"/>
  <c r="D364" i="7"/>
  <c r="D363" i="7"/>
  <c r="D362" i="7"/>
  <c r="D361" i="7"/>
  <c r="D360" i="7"/>
  <c r="D359" i="7"/>
  <c r="D358" i="7"/>
  <c r="D357" i="7"/>
  <c r="D356" i="7"/>
  <c r="D355" i="7"/>
  <c r="D354" i="7"/>
  <c r="D353" i="7"/>
  <c r="D352" i="7"/>
  <c r="D351" i="7"/>
  <c r="D350" i="7"/>
  <c r="D349" i="7"/>
  <c r="D348" i="7"/>
  <c r="D347" i="7"/>
  <c r="D346" i="7"/>
  <c r="D345" i="7"/>
  <c r="D344" i="7"/>
  <c r="D343" i="7"/>
  <c r="D342" i="7"/>
  <c r="D341" i="7"/>
  <c r="D340" i="7"/>
  <c r="D339" i="7"/>
  <c r="D338" i="7"/>
  <c r="D337" i="7"/>
  <c r="D336" i="7"/>
  <c r="D335" i="7"/>
  <c r="D334" i="7"/>
  <c r="D333" i="7"/>
  <c r="D332" i="7"/>
  <c r="D331" i="7"/>
  <c r="D330" i="7"/>
  <c r="D329" i="7"/>
  <c r="D328" i="7"/>
  <c r="D327" i="7"/>
  <c r="D326" i="7"/>
  <c r="D325" i="7"/>
  <c r="D324" i="7"/>
  <c r="D323" i="7"/>
  <c r="D322" i="7"/>
  <c r="D321" i="7"/>
  <c r="D320" i="7"/>
  <c r="D319" i="7"/>
  <c r="D318" i="7"/>
  <c r="D317" i="7"/>
  <c r="D316" i="7"/>
  <c r="D315" i="7"/>
  <c r="D314" i="7"/>
  <c r="D313" i="7"/>
  <c r="D312" i="7"/>
  <c r="D311" i="7"/>
  <c r="D310" i="7"/>
  <c r="D309" i="7"/>
  <c r="D308" i="7"/>
  <c r="D307" i="7"/>
  <c r="D306" i="7"/>
  <c r="D305" i="7"/>
  <c r="D304" i="7"/>
  <c r="D303" i="7"/>
  <c r="D302" i="7"/>
  <c r="D301" i="7"/>
  <c r="D300" i="7"/>
  <c r="D299" i="7"/>
  <c r="D298" i="7"/>
  <c r="D297" i="7"/>
  <c r="D296" i="7"/>
  <c r="D295" i="7"/>
  <c r="D294" i="7"/>
  <c r="D293" i="7"/>
  <c r="D292" i="7"/>
  <c r="D291" i="7"/>
  <c r="D290" i="7"/>
  <c r="D289" i="7"/>
  <c r="D288" i="7"/>
  <c r="D287" i="7"/>
  <c r="D286" i="7"/>
  <c r="D285" i="7"/>
  <c r="D284" i="7"/>
  <c r="D283" i="7"/>
  <c r="D282" i="7"/>
  <c r="D281" i="7"/>
  <c r="D280" i="7"/>
  <c r="D279" i="7"/>
  <c r="D278" i="7"/>
  <c r="D277" i="7"/>
  <c r="D276" i="7"/>
  <c r="D275" i="7"/>
  <c r="D274" i="7"/>
  <c r="D273" i="7"/>
  <c r="D272" i="7"/>
  <c r="D271" i="7"/>
  <c r="D270" i="7"/>
  <c r="D269" i="7"/>
  <c r="D268" i="7"/>
  <c r="D267" i="7"/>
  <c r="D266" i="7"/>
  <c r="D265" i="7"/>
  <c r="D264" i="7"/>
  <c r="D263" i="7"/>
  <c r="D262" i="7"/>
  <c r="D261" i="7"/>
  <c r="D260" i="7"/>
  <c r="D259" i="7"/>
  <c r="D258" i="7"/>
  <c r="D257" i="7"/>
  <c r="D256" i="7"/>
  <c r="D255" i="7"/>
  <c r="D254" i="7"/>
  <c r="D253" i="7"/>
  <c r="D252" i="7"/>
  <c r="D251" i="7"/>
  <c r="D250" i="7"/>
  <c r="D249" i="7"/>
  <c r="D248" i="7"/>
  <c r="D247" i="7"/>
  <c r="D246" i="7"/>
  <c r="D245" i="7"/>
  <c r="D244" i="7"/>
  <c r="D243" i="7"/>
  <c r="D242" i="7"/>
  <c r="D241" i="7"/>
  <c r="D240" i="7"/>
  <c r="D239" i="7"/>
  <c r="D238" i="7"/>
  <c r="D237" i="7"/>
  <c r="D236" i="7"/>
  <c r="D235" i="7"/>
  <c r="D234" i="7"/>
  <c r="D233" i="7"/>
  <c r="D232" i="7"/>
  <c r="D231" i="7"/>
  <c r="D230" i="7"/>
  <c r="D229" i="7"/>
  <c r="D228" i="7"/>
  <c r="D227" i="7"/>
  <c r="D226" i="7"/>
  <c r="D225" i="7"/>
  <c r="D224" i="7"/>
  <c r="D223" i="7"/>
  <c r="D222" i="7"/>
  <c r="D221" i="7"/>
  <c r="D220" i="7"/>
  <c r="D219" i="7"/>
  <c r="D218" i="7"/>
  <c r="D217" i="7"/>
  <c r="D216" i="7"/>
  <c r="D215" i="7"/>
  <c r="D214" i="7"/>
  <c r="D213" i="7"/>
  <c r="D212" i="7"/>
  <c r="D211" i="7"/>
  <c r="D210" i="7"/>
  <c r="D209" i="7"/>
  <c r="D208" i="7"/>
  <c r="D207" i="7"/>
  <c r="D206" i="7"/>
  <c r="D205" i="7"/>
  <c r="D204" i="7"/>
  <c r="D203" i="7"/>
  <c r="D202" i="7"/>
  <c r="D201" i="7"/>
  <c r="D200" i="7"/>
  <c r="D199" i="7"/>
  <c r="D198" i="7"/>
  <c r="D197" i="7"/>
  <c r="D196" i="7"/>
  <c r="D195" i="7"/>
  <c r="D194" i="7"/>
  <c r="D193" i="7"/>
  <c r="D192" i="7"/>
  <c r="D191" i="7"/>
  <c r="D190" i="7"/>
  <c r="D189" i="7"/>
  <c r="D188" i="7"/>
  <c r="D187" i="7"/>
  <c r="D186" i="7"/>
  <c r="D185" i="7"/>
  <c r="D184" i="7"/>
  <c r="D183" i="7"/>
  <c r="D182" i="7"/>
  <c r="D181" i="7"/>
  <c r="D180" i="7"/>
  <c r="D179" i="7"/>
  <c r="D178" i="7"/>
  <c r="D177" i="7"/>
  <c r="D176" i="7"/>
  <c r="D175" i="7"/>
  <c r="D174" i="7"/>
  <c r="D173" i="7"/>
  <c r="D172" i="7"/>
  <c r="D171" i="7"/>
  <c r="D170" i="7"/>
  <c r="D169" i="7"/>
  <c r="D168" i="7"/>
  <c r="D167" i="7"/>
  <c r="D166" i="7"/>
  <c r="D165" i="7"/>
  <c r="D164" i="7"/>
  <c r="D163" i="7"/>
  <c r="D162" i="7"/>
  <c r="D161" i="7"/>
  <c r="D160" i="7"/>
  <c r="D159" i="7"/>
  <c r="D158" i="7"/>
  <c r="D157" i="7"/>
  <c r="D156" i="7"/>
  <c r="D155" i="7"/>
  <c r="D154" i="7"/>
  <c r="D153" i="7"/>
  <c r="D152" i="7"/>
  <c r="D151" i="7"/>
  <c r="D150" i="7"/>
  <c r="D149" i="7"/>
  <c r="D148" i="7"/>
  <c r="D147" i="7"/>
  <c r="D146" i="7"/>
  <c r="D145" i="7"/>
  <c r="D144" i="7"/>
  <c r="D143" i="7"/>
  <c r="D142" i="7"/>
  <c r="D141" i="7"/>
  <c r="D140" i="7"/>
  <c r="D139" i="7"/>
  <c r="D138" i="7"/>
  <c r="D137" i="7"/>
  <c r="D136" i="7"/>
  <c r="D135" i="7"/>
  <c r="D134" i="7"/>
  <c r="D133" i="7"/>
  <c r="D132" i="7"/>
  <c r="D131" i="7"/>
  <c r="D130" i="7"/>
  <c r="D129" i="7"/>
  <c r="D128" i="7"/>
  <c r="D127" i="7"/>
  <c r="D126" i="7"/>
  <c r="D125" i="7"/>
  <c r="D124" i="7"/>
  <c r="D123" i="7"/>
  <c r="D122" i="7"/>
  <c r="D121" i="7"/>
  <c r="D120" i="7"/>
  <c r="D119" i="7"/>
  <c r="D118" i="7"/>
  <c r="D117" i="7"/>
  <c r="D116" i="7"/>
  <c r="D115" i="7"/>
  <c r="D114" i="7"/>
  <c r="D113" i="7"/>
  <c r="D112" i="7"/>
  <c r="D111" i="7"/>
  <c r="D110" i="7"/>
  <c r="D109" i="7"/>
  <c r="D108" i="7"/>
  <c r="D107" i="7"/>
  <c r="D106" i="7"/>
  <c r="D105" i="7"/>
  <c r="D104" i="7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D8" i="7"/>
  <c r="D7" i="7"/>
  <c r="D6" i="7"/>
  <c r="D5" i="7"/>
  <c r="D4" i="7"/>
  <c r="D3" i="7"/>
  <c r="D2" i="7"/>
  <c r="F355" i="6"/>
  <c r="F356" i="6"/>
  <c r="F357" i="6"/>
  <c r="F358" i="6"/>
  <c r="F359" i="6"/>
  <c r="F360" i="6"/>
  <c r="F361" i="6"/>
  <c r="F362" i="6"/>
  <c r="G362" i="6" s="1"/>
  <c r="F363" i="6"/>
  <c r="F364" i="6"/>
  <c r="F365" i="6"/>
  <c r="F366" i="6"/>
  <c r="G366" i="6" s="1"/>
  <c r="F367" i="6"/>
  <c r="F368" i="6"/>
  <c r="G368" i="6" s="1"/>
  <c r="F369" i="6"/>
  <c r="F370" i="6"/>
  <c r="F371" i="6"/>
  <c r="G371" i="6" s="1"/>
  <c r="F372" i="6"/>
  <c r="F373" i="6"/>
  <c r="G373" i="6" s="1"/>
  <c r="F374" i="6"/>
  <c r="F375" i="6"/>
  <c r="F376" i="6"/>
  <c r="F377" i="6"/>
  <c r="G377" i="6" s="1"/>
  <c r="F378" i="6"/>
  <c r="G378" i="6" s="1"/>
  <c r="F379" i="6"/>
  <c r="G379" i="6" s="1"/>
  <c r="F380" i="6"/>
  <c r="G380" i="6" s="1"/>
  <c r="F381" i="6"/>
  <c r="F382" i="6"/>
  <c r="G382" i="6" s="1"/>
  <c r="F383" i="6"/>
  <c r="F384" i="6"/>
  <c r="F385" i="6"/>
  <c r="G385" i="6" s="1"/>
  <c r="F386" i="6"/>
  <c r="F387" i="6"/>
  <c r="G387" i="6" s="1"/>
  <c r="F388" i="6"/>
  <c r="G388" i="6" s="1"/>
  <c r="F389" i="6"/>
  <c r="G389" i="6" s="1"/>
  <c r="F390" i="6"/>
  <c r="G390" i="6" s="1"/>
  <c r="F391" i="6"/>
  <c r="G391" i="6" s="1"/>
  <c r="F392" i="6"/>
  <c r="G392" i="6" s="1"/>
  <c r="F393" i="6"/>
  <c r="G393" i="6" s="1"/>
  <c r="F394" i="6"/>
  <c r="G394" i="6" s="1"/>
  <c r="F395" i="6"/>
  <c r="G395" i="6" s="1"/>
  <c r="F396" i="6"/>
  <c r="G396" i="6" s="1"/>
  <c r="F397" i="6"/>
  <c r="G397" i="6" s="1"/>
  <c r="F398" i="6"/>
  <c r="G398" i="6" s="1"/>
  <c r="F399" i="6"/>
  <c r="G399" i="6" s="1"/>
  <c r="F400" i="6"/>
  <c r="F401" i="6"/>
  <c r="F402" i="6"/>
  <c r="F403" i="6"/>
  <c r="F404" i="6"/>
  <c r="F405" i="6"/>
  <c r="F406" i="6"/>
  <c r="G406" i="6" s="1"/>
  <c r="F407" i="6"/>
  <c r="G407" i="6" s="1"/>
  <c r="F408" i="6"/>
  <c r="G408" i="6" s="1"/>
  <c r="F409" i="6"/>
  <c r="G409" i="6" s="1"/>
  <c r="F410" i="6"/>
  <c r="G410" i="6" s="1"/>
  <c r="F411" i="6"/>
  <c r="F412" i="6"/>
  <c r="F413" i="6"/>
  <c r="F414" i="6"/>
  <c r="F415" i="6"/>
  <c r="F416" i="6"/>
  <c r="F417" i="6"/>
  <c r="F418" i="6"/>
  <c r="F419" i="6"/>
  <c r="F420" i="6"/>
  <c r="G420" i="6" s="1"/>
  <c r="F421" i="6"/>
  <c r="G421" i="6" s="1"/>
  <c r="F422" i="6"/>
  <c r="F423" i="6"/>
  <c r="G423" i="6" s="1"/>
  <c r="F424" i="6"/>
  <c r="F425" i="6"/>
  <c r="G425" i="6" s="1"/>
  <c r="F426" i="6"/>
  <c r="G426" i="6" s="1"/>
  <c r="F427" i="6"/>
  <c r="G427" i="6" s="1"/>
  <c r="F428" i="6"/>
  <c r="G428" i="6" s="1"/>
  <c r="F429" i="6"/>
  <c r="G429" i="6" s="1"/>
  <c r="F430" i="6"/>
  <c r="G430" i="6" s="1"/>
  <c r="F431" i="6"/>
  <c r="G431" i="6" s="1"/>
  <c r="F432" i="6"/>
  <c r="F433" i="6"/>
  <c r="F434" i="6"/>
  <c r="G434" i="6" s="1"/>
  <c r="F435" i="6"/>
  <c r="G435" i="6" s="1"/>
  <c r="F436" i="6"/>
  <c r="G436" i="6" s="1"/>
  <c r="F437" i="6"/>
  <c r="F438" i="6"/>
  <c r="G438" i="6" s="1"/>
  <c r="F439" i="6"/>
  <c r="F440" i="6"/>
  <c r="F441" i="6"/>
  <c r="F442" i="6"/>
  <c r="F443" i="6"/>
  <c r="F444" i="6"/>
  <c r="F445" i="6"/>
  <c r="F446" i="6"/>
  <c r="F447" i="6"/>
  <c r="G447" i="6" s="1"/>
  <c r="F448" i="6"/>
  <c r="F449" i="6"/>
  <c r="F450" i="6"/>
  <c r="G450" i="6" s="1"/>
  <c r="F451" i="6"/>
  <c r="F452" i="6"/>
  <c r="G452" i="6" s="1"/>
  <c r="F453" i="6"/>
  <c r="F454" i="6"/>
  <c r="G454" i="6" s="1"/>
  <c r="F455" i="6"/>
  <c r="G455" i="6" s="1"/>
  <c r="F456" i="6"/>
  <c r="F457" i="6"/>
  <c r="G457" i="6" s="1"/>
  <c r="F458" i="6"/>
  <c r="G458" i="6" s="1"/>
  <c r="F459" i="6"/>
  <c r="G459" i="6" s="1"/>
  <c r="F460" i="6"/>
  <c r="G460" i="6" s="1"/>
  <c r="F461" i="6"/>
  <c r="G461" i="6" s="1"/>
  <c r="F462" i="6"/>
  <c r="G462" i="6" s="1"/>
  <c r="F463" i="6"/>
  <c r="G463" i="6" s="1"/>
  <c r="F464" i="6"/>
  <c r="G464" i="6" s="1"/>
  <c r="F465" i="6"/>
  <c r="G465" i="6" s="1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G479" i="6" s="1"/>
  <c r="F480" i="6"/>
  <c r="G480" i="6" s="1"/>
  <c r="F481" i="6"/>
  <c r="G481" i="6" s="1"/>
  <c r="F482" i="6"/>
  <c r="G482" i="6" s="1"/>
  <c r="F483" i="6"/>
  <c r="G483" i="6" s="1"/>
  <c r="F484" i="6"/>
  <c r="G484" i="6" s="1"/>
  <c r="F485" i="6"/>
  <c r="G485" i="6" s="1"/>
  <c r="F486" i="6"/>
  <c r="F487" i="6"/>
  <c r="F488" i="6"/>
  <c r="F489" i="6"/>
  <c r="F490" i="6"/>
  <c r="F491" i="6"/>
  <c r="G491" i="6" s="1"/>
  <c r="F492" i="6"/>
  <c r="G492" i="6" s="1"/>
  <c r="F493" i="6"/>
  <c r="G493" i="6" s="1"/>
  <c r="F494" i="6"/>
  <c r="G494" i="6" s="1"/>
  <c r="F495" i="6"/>
  <c r="F354" i="6"/>
  <c r="G354" i="6" s="1"/>
  <c r="E354" i="6"/>
  <c r="G358" i="6"/>
  <c r="G386" i="6"/>
  <c r="G414" i="6"/>
  <c r="G417" i="6"/>
  <c r="G422" i="6"/>
  <c r="G424" i="6"/>
  <c r="G433" i="6"/>
  <c r="G442" i="6"/>
  <c r="G466" i="6"/>
  <c r="G470" i="6"/>
  <c r="G475" i="6"/>
  <c r="G478" i="6"/>
  <c r="G355" i="6"/>
  <c r="G356" i="6"/>
  <c r="G357" i="6"/>
  <c r="G359" i="6"/>
  <c r="G360" i="6"/>
  <c r="G361" i="6"/>
  <c r="G363" i="6"/>
  <c r="G364" i="6"/>
  <c r="G365" i="6"/>
  <c r="G367" i="6"/>
  <c r="G369" i="6"/>
  <c r="G370" i="6"/>
  <c r="G372" i="6"/>
  <c r="G374" i="6"/>
  <c r="G375" i="6"/>
  <c r="G376" i="6"/>
  <c r="G381" i="6"/>
  <c r="G383" i="6"/>
  <c r="G384" i="6"/>
  <c r="G400" i="6"/>
  <c r="G401" i="6"/>
  <c r="G402" i="6"/>
  <c r="G403" i="6"/>
  <c r="G404" i="6"/>
  <c r="G405" i="6"/>
  <c r="G411" i="6"/>
  <c r="G412" i="6"/>
  <c r="G413" i="6"/>
  <c r="G415" i="6"/>
  <c r="G416" i="6"/>
  <c r="G418" i="6"/>
  <c r="G419" i="6"/>
  <c r="G432" i="6"/>
  <c r="G437" i="6"/>
  <c r="G439" i="6"/>
  <c r="G440" i="6"/>
  <c r="G441" i="6"/>
  <c r="G443" i="6"/>
  <c r="G444" i="6"/>
  <c r="G445" i="6"/>
  <c r="G446" i="6"/>
  <c r="G448" i="6"/>
  <c r="G449" i="6"/>
  <c r="G451" i="6"/>
  <c r="G453" i="6"/>
  <c r="G456" i="6"/>
  <c r="G467" i="6"/>
  <c r="G468" i="6"/>
  <c r="G469" i="6"/>
  <c r="G471" i="6"/>
  <c r="G472" i="6"/>
  <c r="G473" i="6"/>
  <c r="G474" i="6"/>
  <c r="G476" i="6"/>
  <c r="G477" i="6"/>
  <c r="G486" i="6"/>
  <c r="G487" i="6"/>
  <c r="G488" i="6"/>
  <c r="G489" i="6"/>
  <c r="G490" i="6"/>
  <c r="G495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2" i="6"/>
  <c r="F13" i="6"/>
  <c r="F14" i="6"/>
  <c r="F15" i="6"/>
  <c r="F16" i="6"/>
  <c r="F17" i="6"/>
  <c r="F18" i="6"/>
  <c r="F19" i="6"/>
  <c r="F21" i="6"/>
  <c r="F22" i="6"/>
  <c r="F23" i="6"/>
  <c r="F24" i="6"/>
  <c r="F25" i="6"/>
  <c r="F26" i="6"/>
  <c r="F27" i="6"/>
  <c r="F28" i="6"/>
  <c r="F30" i="6"/>
  <c r="F41" i="6"/>
  <c r="F42" i="6"/>
  <c r="F43" i="6"/>
  <c r="F44" i="6"/>
  <c r="F45" i="6"/>
  <c r="F46" i="6"/>
  <c r="F47" i="6"/>
  <c r="F49" i="6"/>
  <c r="F50" i="6"/>
  <c r="F51" i="6"/>
  <c r="F52" i="6"/>
  <c r="F53" i="6"/>
  <c r="F54" i="6"/>
  <c r="F55" i="6"/>
  <c r="F56" i="6"/>
  <c r="F57" i="6"/>
  <c r="F58" i="6"/>
  <c r="F69" i="6"/>
  <c r="F70" i="6"/>
  <c r="F71" i="6"/>
  <c r="F72" i="6"/>
  <c r="F73" i="6"/>
  <c r="F74" i="6"/>
  <c r="F75" i="6"/>
  <c r="F77" i="6"/>
  <c r="F78" i="6"/>
  <c r="F79" i="6"/>
  <c r="F80" i="6"/>
  <c r="F81" i="6"/>
  <c r="F82" i="6"/>
  <c r="F83" i="6"/>
  <c r="F84" i="6"/>
  <c r="F85" i="6"/>
  <c r="F86" i="6"/>
  <c r="F97" i="6"/>
  <c r="F98" i="6"/>
  <c r="F99" i="6"/>
  <c r="F100" i="6"/>
  <c r="F101" i="6"/>
  <c r="F102" i="6"/>
  <c r="F103" i="6"/>
  <c r="F105" i="6"/>
  <c r="F106" i="6"/>
  <c r="F107" i="6"/>
  <c r="F108" i="6"/>
  <c r="F109" i="6"/>
  <c r="F110" i="6"/>
  <c r="F111" i="6"/>
  <c r="F112" i="6"/>
  <c r="F114" i="6"/>
  <c r="F125" i="6"/>
  <c r="F126" i="6"/>
  <c r="F127" i="6"/>
  <c r="F128" i="6"/>
  <c r="F129" i="6"/>
  <c r="F130" i="6"/>
  <c r="F131" i="6"/>
  <c r="F133" i="6"/>
  <c r="F134" i="6"/>
  <c r="F135" i="6"/>
  <c r="F136" i="6"/>
  <c r="F137" i="6"/>
  <c r="F138" i="6"/>
  <c r="F139" i="6"/>
  <c r="F140" i="6"/>
  <c r="F142" i="6"/>
  <c r="F153" i="6"/>
  <c r="F154" i="6"/>
  <c r="F155" i="6"/>
  <c r="F156" i="6"/>
  <c r="F157" i="6"/>
  <c r="F158" i="6"/>
  <c r="F159" i="6"/>
  <c r="F161" i="6"/>
  <c r="F162" i="6"/>
  <c r="F163" i="6"/>
  <c r="F164" i="6"/>
  <c r="F165" i="6"/>
  <c r="F166" i="6"/>
  <c r="F167" i="6"/>
  <c r="F168" i="6"/>
  <c r="F169" i="6"/>
  <c r="F170" i="6"/>
  <c r="F181" i="6"/>
  <c r="F182" i="6"/>
  <c r="F183" i="6"/>
  <c r="F184" i="6"/>
  <c r="F185" i="6"/>
  <c r="F186" i="6"/>
  <c r="F187" i="6"/>
  <c r="F189" i="6"/>
  <c r="F190" i="6"/>
  <c r="F191" i="6"/>
  <c r="F192" i="6"/>
  <c r="F193" i="6"/>
  <c r="F194" i="6"/>
  <c r="F195" i="6"/>
  <c r="F196" i="6"/>
  <c r="F198" i="6"/>
  <c r="F209" i="6"/>
  <c r="F210" i="6"/>
  <c r="F211" i="6"/>
  <c r="F212" i="6"/>
  <c r="F213" i="6"/>
  <c r="F214" i="6"/>
  <c r="F215" i="6"/>
  <c r="F217" i="6"/>
  <c r="F218" i="6"/>
  <c r="F219" i="6"/>
  <c r="F220" i="6"/>
  <c r="F221" i="6"/>
  <c r="F222" i="6"/>
  <c r="F223" i="6"/>
  <c r="F224" i="6"/>
  <c r="F226" i="6"/>
  <c r="F237" i="6"/>
  <c r="F238" i="6"/>
  <c r="F239" i="6"/>
  <c r="F240" i="6"/>
  <c r="F241" i="6"/>
  <c r="F242" i="6"/>
  <c r="F243" i="6"/>
  <c r="F245" i="6"/>
  <c r="F246" i="6"/>
  <c r="F247" i="6"/>
  <c r="F248" i="6"/>
  <c r="F249" i="6"/>
  <c r="F250" i="6"/>
  <c r="F251" i="6"/>
  <c r="F252" i="6"/>
  <c r="F253" i="6"/>
  <c r="F254" i="6"/>
  <c r="F265" i="6"/>
  <c r="F266" i="6"/>
  <c r="F267" i="6"/>
  <c r="F268" i="6"/>
  <c r="F269" i="6"/>
  <c r="F270" i="6"/>
  <c r="F271" i="6"/>
  <c r="F273" i="6"/>
  <c r="F274" i="6"/>
  <c r="F275" i="6"/>
  <c r="F276" i="6"/>
  <c r="F277" i="6"/>
  <c r="F278" i="6"/>
  <c r="F279" i="6"/>
  <c r="F280" i="6"/>
  <c r="F281" i="6"/>
  <c r="F282" i="6"/>
  <c r="F293" i="6"/>
  <c r="F294" i="6"/>
  <c r="F295" i="6"/>
  <c r="F296" i="6"/>
  <c r="F297" i="6"/>
  <c r="F298" i="6"/>
  <c r="F299" i="6"/>
  <c r="F301" i="6"/>
  <c r="F302" i="6"/>
  <c r="F303" i="6"/>
  <c r="F304" i="6"/>
  <c r="F305" i="6"/>
  <c r="F306" i="6"/>
  <c r="F307" i="6"/>
  <c r="F308" i="6"/>
  <c r="F309" i="6"/>
  <c r="F310" i="6"/>
  <c r="F321" i="6"/>
  <c r="F322" i="6"/>
  <c r="F323" i="6"/>
  <c r="F324" i="6"/>
  <c r="F325" i="6"/>
  <c r="F326" i="6"/>
  <c r="F327" i="6"/>
  <c r="F329" i="6"/>
  <c r="F330" i="6"/>
  <c r="F331" i="6"/>
  <c r="F332" i="6"/>
  <c r="F333" i="6"/>
  <c r="F334" i="6"/>
  <c r="F335" i="6"/>
  <c r="F336" i="6"/>
  <c r="F337" i="6"/>
  <c r="F338" i="6"/>
  <c r="F349" i="6"/>
  <c r="F350" i="6"/>
  <c r="F351" i="6"/>
  <c r="F352" i="6"/>
  <c r="F353" i="6"/>
  <c r="E3" i="6"/>
  <c r="F3" i="6" s="1"/>
  <c r="E4" i="6"/>
  <c r="F4" i="6" s="1"/>
  <c r="E5" i="6"/>
  <c r="F5" i="6" s="1"/>
  <c r="E6" i="6"/>
  <c r="F6" i="6" s="1"/>
  <c r="E7" i="6"/>
  <c r="F7" i="6" s="1"/>
  <c r="E8" i="6"/>
  <c r="F8" i="6" s="1"/>
  <c r="E9" i="6"/>
  <c r="F9" i="6" s="1"/>
  <c r="E10" i="6"/>
  <c r="F10" i="6" s="1"/>
  <c r="E11" i="6"/>
  <c r="F11" i="6" s="1"/>
  <c r="E12" i="6"/>
  <c r="F12" i="6" s="1"/>
  <c r="E13" i="6"/>
  <c r="E14" i="6"/>
  <c r="E15" i="6"/>
  <c r="E16" i="6"/>
  <c r="E17" i="6"/>
  <c r="E18" i="6"/>
  <c r="E19" i="6"/>
  <c r="E20" i="6"/>
  <c r="F20" i="6" s="1"/>
  <c r="E21" i="6"/>
  <c r="E22" i="6"/>
  <c r="E23" i="6"/>
  <c r="E24" i="6"/>
  <c r="E25" i="6"/>
  <c r="E26" i="6"/>
  <c r="E27" i="6"/>
  <c r="E28" i="6"/>
  <c r="E29" i="6"/>
  <c r="F29" i="6" s="1"/>
  <c r="E30" i="6"/>
  <c r="E31" i="6"/>
  <c r="F31" i="6" s="1"/>
  <c r="E32" i="6"/>
  <c r="F32" i="6" s="1"/>
  <c r="E33" i="6"/>
  <c r="F33" i="6" s="1"/>
  <c r="E34" i="6"/>
  <c r="F34" i="6" s="1"/>
  <c r="E35" i="6"/>
  <c r="F35" i="6" s="1"/>
  <c r="E36" i="6"/>
  <c r="F36" i="6" s="1"/>
  <c r="E37" i="6"/>
  <c r="F37" i="6" s="1"/>
  <c r="E38" i="6"/>
  <c r="F38" i="6" s="1"/>
  <c r="E39" i="6"/>
  <c r="F39" i="6" s="1"/>
  <c r="E40" i="6"/>
  <c r="F40" i="6" s="1"/>
  <c r="E41" i="6"/>
  <c r="E42" i="6"/>
  <c r="E43" i="6"/>
  <c r="E44" i="6"/>
  <c r="E45" i="6"/>
  <c r="E46" i="6"/>
  <c r="E47" i="6"/>
  <c r="E48" i="6"/>
  <c r="F48" i="6" s="1"/>
  <c r="E49" i="6"/>
  <c r="E50" i="6"/>
  <c r="E51" i="6"/>
  <c r="E52" i="6"/>
  <c r="E53" i="6"/>
  <c r="E54" i="6"/>
  <c r="E55" i="6"/>
  <c r="E56" i="6"/>
  <c r="E57" i="6"/>
  <c r="E58" i="6"/>
  <c r="E59" i="6"/>
  <c r="F59" i="6" s="1"/>
  <c r="E60" i="6"/>
  <c r="F60" i="6" s="1"/>
  <c r="E61" i="6"/>
  <c r="F61" i="6" s="1"/>
  <c r="E62" i="6"/>
  <c r="F62" i="6" s="1"/>
  <c r="E63" i="6"/>
  <c r="F63" i="6" s="1"/>
  <c r="E64" i="6"/>
  <c r="F64" i="6" s="1"/>
  <c r="E65" i="6"/>
  <c r="F65" i="6" s="1"/>
  <c r="E66" i="6"/>
  <c r="F66" i="6" s="1"/>
  <c r="E67" i="6"/>
  <c r="F67" i="6" s="1"/>
  <c r="E68" i="6"/>
  <c r="F68" i="6" s="1"/>
  <c r="E69" i="6"/>
  <c r="E70" i="6"/>
  <c r="E71" i="6"/>
  <c r="E72" i="6"/>
  <c r="E73" i="6"/>
  <c r="E74" i="6"/>
  <c r="E75" i="6"/>
  <c r="E76" i="6"/>
  <c r="F76" i="6" s="1"/>
  <c r="E77" i="6"/>
  <c r="E78" i="6"/>
  <c r="E79" i="6"/>
  <c r="E80" i="6"/>
  <c r="E81" i="6"/>
  <c r="E82" i="6"/>
  <c r="E83" i="6"/>
  <c r="E84" i="6"/>
  <c r="E85" i="6"/>
  <c r="E86" i="6"/>
  <c r="E87" i="6"/>
  <c r="F87" i="6" s="1"/>
  <c r="E88" i="6"/>
  <c r="F88" i="6" s="1"/>
  <c r="E89" i="6"/>
  <c r="F89" i="6" s="1"/>
  <c r="E90" i="6"/>
  <c r="F90" i="6" s="1"/>
  <c r="E91" i="6"/>
  <c r="F91" i="6" s="1"/>
  <c r="E92" i="6"/>
  <c r="F92" i="6" s="1"/>
  <c r="E93" i="6"/>
  <c r="F93" i="6" s="1"/>
  <c r="E94" i="6"/>
  <c r="F94" i="6" s="1"/>
  <c r="E95" i="6"/>
  <c r="F95" i="6" s="1"/>
  <c r="E96" i="6"/>
  <c r="F96" i="6" s="1"/>
  <c r="E97" i="6"/>
  <c r="E98" i="6"/>
  <c r="E99" i="6"/>
  <c r="E100" i="6"/>
  <c r="E101" i="6"/>
  <c r="E102" i="6"/>
  <c r="E103" i="6"/>
  <c r="E104" i="6"/>
  <c r="F104" i="6" s="1"/>
  <c r="E105" i="6"/>
  <c r="E106" i="6"/>
  <c r="E107" i="6"/>
  <c r="E108" i="6"/>
  <c r="E109" i="6"/>
  <c r="E110" i="6"/>
  <c r="E111" i="6"/>
  <c r="E112" i="6"/>
  <c r="E113" i="6"/>
  <c r="F113" i="6" s="1"/>
  <c r="E114" i="6"/>
  <c r="E115" i="6"/>
  <c r="F115" i="6" s="1"/>
  <c r="E116" i="6"/>
  <c r="F116" i="6" s="1"/>
  <c r="E117" i="6"/>
  <c r="F117" i="6" s="1"/>
  <c r="E118" i="6"/>
  <c r="F118" i="6" s="1"/>
  <c r="E119" i="6"/>
  <c r="F119" i="6" s="1"/>
  <c r="E120" i="6"/>
  <c r="F120" i="6" s="1"/>
  <c r="E121" i="6"/>
  <c r="F121" i="6" s="1"/>
  <c r="E122" i="6"/>
  <c r="F122" i="6" s="1"/>
  <c r="E123" i="6"/>
  <c r="F123" i="6" s="1"/>
  <c r="E124" i="6"/>
  <c r="F124" i="6" s="1"/>
  <c r="E125" i="6"/>
  <c r="E126" i="6"/>
  <c r="E127" i="6"/>
  <c r="E128" i="6"/>
  <c r="E129" i="6"/>
  <c r="E130" i="6"/>
  <c r="E131" i="6"/>
  <c r="E132" i="6"/>
  <c r="F132" i="6" s="1"/>
  <c r="E133" i="6"/>
  <c r="E134" i="6"/>
  <c r="E135" i="6"/>
  <c r="E136" i="6"/>
  <c r="E137" i="6"/>
  <c r="E138" i="6"/>
  <c r="E139" i="6"/>
  <c r="E140" i="6"/>
  <c r="E141" i="6"/>
  <c r="F141" i="6" s="1"/>
  <c r="E142" i="6"/>
  <c r="E143" i="6"/>
  <c r="F143" i="6" s="1"/>
  <c r="E144" i="6"/>
  <c r="F144" i="6" s="1"/>
  <c r="E145" i="6"/>
  <c r="F145" i="6" s="1"/>
  <c r="E146" i="6"/>
  <c r="F146" i="6" s="1"/>
  <c r="E147" i="6"/>
  <c r="F147" i="6" s="1"/>
  <c r="E148" i="6"/>
  <c r="F148" i="6" s="1"/>
  <c r="E149" i="6"/>
  <c r="F149" i="6" s="1"/>
  <c r="E150" i="6"/>
  <c r="F150" i="6" s="1"/>
  <c r="E151" i="6"/>
  <c r="F151" i="6" s="1"/>
  <c r="E152" i="6"/>
  <c r="F152" i="6" s="1"/>
  <c r="E153" i="6"/>
  <c r="E154" i="6"/>
  <c r="E155" i="6"/>
  <c r="E156" i="6"/>
  <c r="E157" i="6"/>
  <c r="E158" i="6"/>
  <c r="E159" i="6"/>
  <c r="E160" i="6"/>
  <c r="F160" i="6" s="1"/>
  <c r="E161" i="6"/>
  <c r="E162" i="6"/>
  <c r="E163" i="6"/>
  <c r="E164" i="6"/>
  <c r="E165" i="6"/>
  <c r="E166" i="6"/>
  <c r="E167" i="6"/>
  <c r="E168" i="6"/>
  <c r="E169" i="6"/>
  <c r="E170" i="6"/>
  <c r="E171" i="6"/>
  <c r="F171" i="6" s="1"/>
  <c r="E172" i="6"/>
  <c r="F172" i="6" s="1"/>
  <c r="E173" i="6"/>
  <c r="F173" i="6" s="1"/>
  <c r="E174" i="6"/>
  <c r="F174" i="6" s="1"/>
  <c r="E175" i="6"/>
  <c r="F175" i="6" s="1"/>
  <c r="E176" i="6"/>
  <c r="F176" i="6" s="1"/>
  <c r="E177" i="6"/>
  <c r="F177" i="6" s="1"/>
  <c r="E178" i="6"/>
  <c r="F178" i="6" s="1"/>
  <c r="E179" i="6"/>
  <c r="F179" i="6" s="1"/>
  <c r="E180" i="6"/>
  <c r="F180" i="6" s="1"/>
  <c r="E181" i="6"/>
  <c r="E182" i="6"/>
  <c r="E183" i="6"/>
  <c r="E184" i="6"/>
  <c r="E185" i="6"/>
  <c r="E186" i="6"/>
  <c r="E187" i="6"/>
  <c r="E188" i="6"/>
  <c r="F188" i="6" s="1"/>
  <c r="E189" i="6"/>
  <c r="E190" i="6"/>
  <c r="E191" i="6"/>
  <c r="E192" i="6"/>
  <c r="E193" i="6"/>
  <c r="E194" i="6"/>
  <c r="E195" i="6"/>
  <c r="E196" i="6"/>
  <c r="E197" i="6"/>
  <c r="F197" i="6" s="1"/>
  <c r="E198" i="6"/>
  <c r="E199" i="6"/>
  <c r="F199" i="6" s="1"/>
  <c r="E200" i="6"/>
  <c r="F200" i="6" s="1"/>
  <c r="E201" i="6"/>
  <c r="F201" i="6" s="1"/>
  <c r="E202" i="6"/>
  <c r="F202" i="6" s="1"/>
  <c r="E203" i="6"/>
  <c r="F203" i="6" s="1"/>
  <c r="E204" i="6"/>
  <c r="F204" i="6" s="1"/>
  <c r="E205" i="6"/>
  <c r="F205" i="6" s="1"/>
  <c r="E206" i="6"/>
  <c r="F206" i="6" s="1"/>
  <c r="E207" i="6"/>
  <c r="F207" i="6" s="1"/>
  <c r="E208" i="6"/>
  <c r="F208" i="6" s="1"/>
  <c r="E209" i="6"/>
  <c r="E210" i="6"/>
  <c r="E211" i="6"/>
  <c r="E212" i="6"/>
  <c r="E213" i="6"/>
  <c r="E214" i="6"/>
  <c r="E215" i="6"/>
  <c r="E216" i="6"/>
  <c r="F216" i="6" s="1"/>
  <c r="E217" i="6"/>
  <c r="E218" i="6"/>
  <c r="E219" i="6"/>
  <c r="E220" i="6"/>
  <c r="E221" i="6"/>
  <c r="E222" i="6"/>
  <c r="E223" i="6"/>
  <c r="E224" i="6"/>
  <c r="E225" i="6"/>
  <c r="F225" i="6" s="1"/>
  <c r="E226" i="6"/>
  <c r="E227" i="6"/>
  <c r="F227" i="6" s="1"/>
  <c r="E228" i="6"/>
  <c r="F228" i="6" s="1"/>
  <c r="E229" i="6"/>
  <c r="F229" i="6" s="1"/>
  <c r="E230" i="6"/>
  <c r="F230" i="6" s="1"/>
  <c r="E231" i="6"/>
  <c r="F231" i="6" s="1"/>
  <c r="E232" i="6"/>
  <c r="F232" i="6" s="1"/>
  <c r="E233" i="6"/>
  <c r="F233" i="6" s="1"/>
  <c r="E234" i="6"/>
  <c r="F234" i="6" s="1"/>
  <c r="E235" i="6"/>
  <c r="F235" i="6" s="1"/>
  <c r="E236" i="6"/>
  <c r="F236" i="6" s="1"/>
  <c r="E237" i="6"/>
  <c r="E238" i="6"/>
  <c r="E239" i="6"/>
  <c r="E240" i="6"/>
  <c r="E241" i="6"/>
  <c r="E242" i="6"/>
  <c r="E243" i="6"/>
  <c r="E244" i="6"/>
  <c r="F244" i="6" s="1"/>
  <c r="E245" i="6"/>
  <c r="E246" i="6"/>
  <c r="E247" i="6"/>
  <c r="E248" i="6"/>
  <c r="E249" i="6"/>
  <c r="E250" i="6"/>
  <c r="E251" i="6"/>
  <c r="E252" i="6"/>
  <c r="E253" i="6"/>
  <c r="E254" i="6"/>
  <c r="E255" i="6"/>
  <c r="F255" i="6" s="1"/>
  <c r="E256" i="6"/>
  <c r="F256" i="6" s="1"/>
  <c r="E257" i="6"/>
  <c r="F257" i="6" s="1"/>
  <c r="E258" i="6"/>
  <c r="F258" i="6" s="1"/>
  <c r="E259" i="6"/>
  <c r="F259" i="6" s="1"/>
  <c r="E260" i="6"/>
  <c r="F260" i="6" s="1"/>
  <c r="E261" i="6"/>
  <c r="F261" i="6" s="1"/>
  <c r="E262" i="6"/>
  <c r="F262" i="6" s="1"/>
  <c r="E263" i="6"/>
  <c r="F263" i="6" s="1"/>
  <c r="E264" i="6"/>
  <c r="F264" i="6" s="1"/>
  <c r="E265" i="6"/>
  <c r="E266" i="6"/>
  <c r="E267" i="6"/>
  <c r="E268" i="6"/>
  <c r="E269" i="6"/>
  <c r="E270" i="6"/>
  <c r="E271" i="6"/>
  <c r="E272" i="6"/>
  <c r="F272" i="6" s="1"/>
  <c r="E273" i="6"/>
  <c r="E274" i="6"/>
  <c r="E275" i="6"/>
  <c r="E276" i="6"/>
  <c r="E277" i="6"/>
  <c r="E278" i="6"/>
  <c r="E279" i="6"/>
  <c r="E280" i="6"/>
  <c r="E281" i="6"/>
  <c r="E282" i="6"/>
  <c r="E283" i="6"/>
  <c r="F283" i="6" s="1"/>
  <c r="E284" i="6"/>
  <c r="F284" i="6" s="1"/>
  <c r="E285" i="6"/>
  <c r="F285" i="6" s="1"/>
  <c r="E286" i="6"/>
  <c r="F286" i="6" s="1"/>
  <c r="E287" i="6"/>
  <c r="F287" i="6" s="1"/>
  <c r="E288" i="6"/>
  <c r="F288" i="6" s="1"/>
  <c r="E289" i="6"/>
  <c r="F289" i="6" s="1"/>
  <c r="E290" i="6"/>
  <c r="F290" i="6" s="1"/>
  <c r="E291" i="6"/>
  <c r="F291" i="6" s="1"/>
  <c r="E292" i="6"/>
  <c r="F292" i="6" s="1"/>
  <c r="E293" i="6"/>
  <c r="E294" i="6"/>
  <c r="E295" i="6"/>
  <c r="E296" i="6"/>
  <c r="E297" i="6"/>
  <c r="E298" i="6"/>
  <c r="E299" i="6"/>
  <c r="E300" i="6"/>
  <c r="F300" i="6" s="1"/>
  <c r="E301" i="6"/>
  <c r="E302" i="6"/>
  <c r="E303" i="6"/>
  <c r="E304" i="6"/>
  <c r="E305" i="6"/>
  <c r="E306" i="6"/>
  <c r="E307" i="6"/>
  <c r="E308" i="6"/>
  <c r="E309" i="6"/>
  <c r="E310" i="6"/>
  <c r="E311" i="6"/>
  <c r="F311" i="6" s="1"/>
  <c r="E312" i="6"/>
  <c r="F312" i="6" s="1"/>
  <c r="E313" i="6"/>
  <c r="F313" i="6" s="1"/>
  <c r="E314" i="6"/>
  <c r="F314" i="6" s="1"/>
  <c r="E315" i="6"/>
  <c r="F315" i="6" s="1"/>
  <c r="E316" i="6"/>
  <c r="F316" i="6" s="1"/>
  <c r="E317" i="6"/>
  <c r="F317" i="6" s="1"/>
  <c r="E318" i="6"/>
  <c r="F318" i="6" s="1"/>
  <c r="E319" i="6"/>
  <c r="F319" i="6" s="1"/>
  <c r="E320" i="6"/>
  <c r="F320" i="6" s="1"/>
  <c r="E321" i="6"/>
  <c r="E322" i="6"/>
  <c r="E323" i="6"/>
  <c r="E324" i="6"/>
  <c r="E325" i="6"/>
  <c r="E326" i="6"/>
  <c r="E327" i="6"/>
  <c r="E328" i="6"/>
  <c r="F328" i="6" s="1"/>
  <c r="E329" i="6"/>
  <c r="E330" i="6"/>
  <c r="E331" i="6"/>
  <c r="E332" i="6"/>
  <c r="E333" i="6"/>
  <c r="E334" i="6"/>
  <c r="E335" i="6"/>
  <c r="E336" i="6"/>
  <c r="E337" i="6"/>
  <c r="E338" i="6"/>
  <c r="E339" i="6"/>
  <c r="F339" i="6" s="1"/>
  <c r="E340" i="6"/>
  <c r="F340" i="6" s="1"/>
  <c r="E341" i="6"/>
  <c r="F341" i="6" s="1"/>
  <c r="E342" i="6"/>
  <c r="F342" i="6" s="1"/>
  <c r="E343" i="6"/>
  <c r="F343" i="6" s="1"/>
  <c r="E344" i="6"/>
  <c r="F344" i="6" s="1"/>
  <c r="E345" i="6"/>
  <c r="F345" i="6" s="1"/>
  <c r="E346" i="6"/>
  <c r="F346" i="6" s="1"/>
  <c r="E347" i="6"/>
  <c r="F347" i="6" s="1"/>
  <c r="E348" i="6"/>
  <c r="F348" i="6" s="1"/>
  <c r="E349" i="6"/>
  <c r="E350" i="6"/>
  <c r="E351" i="6"/>
  <c r="E352" i="6"/>
  <c r="E353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2" i="6"/>
  <c r="F2" i="6" s="1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L3" i="5"/>
  <c r="L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2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3" i="4"/>
  <c r="E2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2" i="3"/>
  <c r="D495" i="3"/>
  <c r="D494" i="3"/>
  <c r="D493" i="3"/>
  <c r="D492" i="3"/>
  <c r="D491" i="3"/>
  <c r="D490" i="3"/>
  <c r="D489" i="3"/>
  <c r="D488" i="3"/>
  <c r="D487" i="3"/>
  <c r="D486" i="3"/>
  <c r="D485" i="3"/>
  <c r="D484" i="3"/>
  <c r="D483" i="3"/>
  <c r="D482" i="3"/>
  <c r="D481" i="3"/>
  <c r="D480" i="3"/>
  <c r="D479" i="3"/>
  <c r="D478" i="3"/>
  <c r="D477" i="3"/>
  <c r="D476" i="3"/>
  <c r="D475" i="3"/>
  <c r="D474" i="3"/>
  <c r="D473" i="3"/>
  <c r="D472" i="3"/>
  <c r="D471" i="3"/>
  <c r="D470" i="3"/>
  <c r="D469" i="3"/>
  <c r="D468" i="3"/>
  <c r="D467" i="3"/>
  <c r="D466" i="3"/>
  <c r="D465" i="3"/>
  <c r="D464" i="3"/>
  <c r="D463" i="3"/>
  <c r="D462" i="3"/>
  <c r="D461" i="3"/>
  <c r="D460" i="3"/>
  <c r="D459" i="3"/>
  <c r="D458" i="3"/>
  <c r="D457" i="3"/>
  <c r="D456" i="3"/>
  <c r="D455" i="3"/>
  <c r="D454" i="3"/>
  <c r="D453" i="3"/>
  <c r="D452" i="3"/>
  <c r="D451" i="3"/>
  <c r="D450" i="3"/>
  <c r="D449" i="3"/>
  <c r="D448" i="3"/>
  <c r="D447" i="3"/>
  <c r="D446" i="3"/>
  <c r="D445" i="3"/>
  <c r="D444" i="3"/>
  <c r="D443" i="3"/>
  <c r="D442" i="3"/>
  <c r="D441" i="3"/>
  <c r="D440" i="3"/>
  <c r="D439" i="3"/>
  <c r="D438" i="3"/>
  <c r="D437" i="3"/>
  <c r="D436" i="3"/>
  <c r="D435" i="3"/>
  <c r="D434" i="3"/>
  <c r="D433" i="3"/>
  <c r="D432" i="3"/>
  <c r="D431" i="3"/>
  <c r="D430" i="3"/>
  <c r="D429" i="3"/>
  <c r="D428" i="3"/>
  <c r="D427" i="3"/>
  <c r="D426" i="3"/>
  <c r="D425" i="3"/>
  <c r="D424" i="3"/>
  <c r="D423" i="3"/>
  <c r="D422" i="3"/>
  <c r="D421" i="3"/>
  <c r="D420" i="3"/>
  <c r="D419" i="3"/>
  <c r="D418" i="3"/>
  <c r="D417" i="3"/>
  <c r="D416" i="3"/>
  <c r="D415" i="3"/>
  <c r="D414" i="3"/>
  <c r="D413" i="3"/>
  <c r="D412" i="3"/>
  <c r="D411" i="3"/>
  <c r="D410" i="3"/>
  <c r="D409" i="3"/>
  <c r="D408" i="3"/>
  <c r="D407" i="3"/>
  <c r="D406" i="3"/>
  <c r="D405" i="3"/>
  <c r="D404" i="3"/>
  <c r="D403" i="3"/>
  <c r="D402" i="3"/>
  <c r="D401" i="3"/>
  <c r="D400" i="3"/>
  <c r="D399" i="3"/>
  <c r="D398" i="3"/>
  <c r="D397" i="3"/>
  <c r="D396" i="3"/>
  <c r="D395" i="3"/>
  <c r="D394" i="3"/>
  <c r="D393" i="3"/>
  <c r="D392" i="3"/>
  <c r="D391" i="3"/>
  <c r="D390" i="3"/>
  <c r="D389" i="3"/>
  <c r="D388" i="3"/>
  <c r="D387" i="3"/>
  <c r="D386" i="3"/>
  <c r="D385" i="3"/>
  <c r="D384" i="3"/>
  <c r="D383" i="3"/>
  <c r="D382" i="3"/>
  <c r="D381" i="3"/>
  <c r="D380" i="3"/>
  <c r="D379" i="3"/>
  <c r="D378" i="3"/>
  <c r="D377" i="3"/>
  <c r="D376" i="3"/>
  <c r="D375" i="3"/>
  <c r="D374" i="3"/>
  <c r="D373" i="3"/>
  <c r="D372" i="3"/>
  <c r="D371" i="3"/>
  <c r="D370" i="3"/>
  <c r="D369" i="3"/>
  <c r="D368" i="3"/>
  <c r="D367" i="3"/>
  <c r="D366" i="3"/>
  <c r="D365" i="3"/>
  <c r="D364" i="3"/>
  <c r="D363" i="3"/>
  <c r="D362" i="3"/>
  <c r="D361" i="3"/>
  <c r="D360" i="3"/>
  <c r="D359" i="3"/>
  <c r="D358" i="3"/>
  <c r="D357" i="3"/>
  <c r="D356" i="3"/>
  <c r="D355" i="3"/>
  <c r="D354" i="3"/>
  <c r="D353" i="3"/>
  <c r="D352" i="3"/>
  <c r="D351" i="3"/>
  <c r="D350" i="3"/>
  <c r="D349" i="3"/>
  <c r="D348" i="3"/>
  <c r="D347" i="3"/>
  <c r="D346" i="3"/>
  <c r="D345" i="3"/>
  <c r="D344" i="3"/>
  <c r="D343" i="3"/>
  <c r="D342" i="3"/>
  <c r="D341" i="3"/>
  <c r="D340" i="3"/>
  <c r="D339" i="3"/>
  <c r="D338" i="3"/>
  <c r="D337" i="3"/>
  <c r="D336" i="3"/>
  <c r="D335" i="3"/>
  <c r="D334" i="3"/>
  <c r="D333" i="3"/>
  <c r="D332" i="3"/>
  <c r="D331" i="3"/>
  <c r="D330" i="3"/>
  <c r="D329" i="3"/>
  <c r="D328" i="3"/>
  <c r="D327" i="3"/>
  <c r="D326" i="3"/>
  <c r="D325" i="3"/>
  <c r="D324" i="3"/>
  <c r="D323" i="3"/>
  <c r="D322" i="3"/>
  <c r="D321" i="3"/>
  <c r="D320" i="3"/>
  <c r="D319" i="3"/>
  <c r="D318" i="3"/>
  <c r="D317" i="3"/>
  <c r="D316" i="3"/>
  <c r="D315" i="3"/>
  <c r="D314" i="3"/>
  <c r="D313" i="3"/>
  <c r="D312" i="3"/>
  <c r="D311" i="3"/>
  <c r="D310" i="3"/>
  <c r="D309" i="3"/>
  <c r="D308" i="3"/>
  <c r="D307" i="3"/>
  <c r="D306" i="3"/>
  <c r="D305" i="3"/>
  <c r="D304" i="3"/>
  <c r="D303" i="3"/>
  <c r="D302" i="3"/>
  <c r="D301" i="3"/>
  <c r="D300" i="3"/>
  <c r="D299" i="3"/>
  <c r="D298" i="3"/>
  <c r="D297" i="3"/>
  <c r="D296" i="3"/>
  <c r="D295" i="3"/>
  <c r="D294" i="3"/>
  <c r="D293" i="3"/>
  <c r="D292" i="3"/>
  <c r="D291" i="3"/>
  <c r="D290" i="3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2" i="2"/>
  <c r="D3" i="2"/>
  <c r="D4" i="2"/>
  <c r="D5" i="2"/>
  <c r="G3" i="5" l="1"/>
  <c r="G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25127B-31A2-43AF-8EAE-54BF4843F8C1}" keepAlive="1" name="Zapytanie — pesele" description="Połączenie z zapytaniem „pesele” w skoroszycie." type="5" refreshedVersion="0" background="1">
    <dbPr connection="Provider=Microsoft.Mashup.OleDb.1;Data Source=$Workbook$;Location=pesele;Extended Properties=&quot;&quot;" command="SELECT * FROM [pesele]"/>
  </connection>
</connections>
</file>

<file path=xl/sharedStrings.xml><?xml version="1.0" encoding="utf-8"?>
<sst xmlns="http://schemas.openxmlformats.org/spreadsheetml/2006/main" count="9460" uniqueCount="1172">
  <si>
    <t>PESEL</t>
  </si>
  <si>
    <t>Nazwisko</t>
  </si>
  <si>
    <t>Imie</t>
  </si>
  <si>
    <t>08242501475</t>
  </si>
  <si>
    <t>Micun</t>
  </si>
  <si>
    <t>Krzysztof</t>
  </si>
  <si>
    <t>08242809191</t>
  </si>
  <si>
    <t>Jablonski</t>
  </si>
  <si>
    <t>Nikodem</t>
  </si>
  <si>
    <t>08242912835</t>
  </si>
  <si>
    <t>Leoniuk</t>
  </si>
  <si>
    <t>Marcel</t>
  </si>
  <si>
    <t>08250606999</t>
  </si>
  <si>
    <t>Kurasik</t>
  </si>
  <si>
    <t>Marcin</t>
  </si>
  <si>
    <t>08251305958</t>
  </si>
  <si>
    <t>Krynicki</t>
  </si>
  <si>
    <t>Mateusz</t>
  </si>
  <si>
    <t>08252202698</t>
  </si>
  <si>
    <t>Gibas</t>
  </si>
  <si>
    <t>Patryk</t>
  </si>
  <si>
    <t>08260302636</t>
  </si>
  <si>
    <t>Jama</t>
  </si>
  <si>
    <t>08260401830</t>
  </si>
  <si>
    <t>Chojnacki</t>
  </si>
  <si>
    <t>Jacek</t>
  </si>
  <si>
    <t>08261009495</t>
  </si>
  <si>
    <t>Tomczyk</t>
  </si>
  <si>
    <t>Bruno</t>
  </si>
  <si>
    <t>08261204258</t>
  </si>
  <si>
    <t>Wojciechowski</t>
  </si>
  <si>
    <t>Alojzy</t>
  </si>
  <si>
    <t>08261403695</t>
  </si>
  <si>
    <t>Glac</t>
  </si>
  <si>
    <t>08261601819</t>
  </si>
  <si>
    <t>Lewita</t>
  </si>
  <si>
    <t>Maksymilian</t>
  </si>
  <si>
    <t>08261804557</t>
  </si>
  <si>
    <t>Lutczyk</t>
  </si>
  <si>
    <t>Maciej</t>
  </si>
  <si>
    <t>08261804595</t>
  </si>
  <si>
    <t>Laskowski</t>
  </si>
  <si>
    <t>08262307035</t>
  </si>
  <si>
    <t>Wolski</t>
  </si>
  <si>
    <t>Aleksander</t>
  </si>
  <si>
    <t>08262311957</t>
  </si>
  <si>
    <t>Dabrowa</t>
  </si>
  <si>
    <t>Szymon</t>
  </si>
  <si>
    <t>08270104291</t>
  </si>
  <si>
    <t>Iwanowski</t>
  </si>
  <si>
    <t>Olaf</t>
  </si>
  <si>
    <t>08270412255</t>
  </si>
  <si>
    <t>Arendt</t>
  </si>
  <si>
    <t>Wojciech</t>
  </si>
  <si>
    <t>08272207404</t>
  </si>
  <si>
    <t>Wieczerzak</t>
  </si>
  <si>
    <t>Amelia</t>
  </si>
  <si>
    <t>08272207572</t>
  </si>
  <si>
    <t>Jakudczyk</t>
  </si>
  <si>
    <t>08272312577</t>
  </si>
  <si>
    <t>Gryniewicz</t>
  </si>
  <si>
    <t>Oliwier</t>
  </si>
  <si>
    <t>08272703658</t>
  </si>
  <si>
    <t>Kaliszuk</t>
  </si>
  <si>
    <t>Mikolaj</t>
  </si>
  <si>
    <t>08272807246</t>
  </si>
  <si>
    <t>Majtas</t>
  </si>
  <si>
    <t>Lucja</t>
  </si>
  <si>
    <t>08272903041</t>
  </si>
  <si>
    <t>Grzesiak</t>
  </si>
  <si>
    <t>Nina</t>
  </si>
  <si>
    <t>08272911356</t>
  </si>
  <si>
    <t>Freda</t>
  </si>
  <si>
    <t>Piotr</t>
  </si>
  <si>
    <t>08280203076</t>
  </si>
  <si>
    <t>Janczynski</t>
  </si>
  <si>
    <t>08280707488</t>
  </si>
  <si>
    <t>Kossakowska</t>
  </si>
  <si>
    <t>Martyna</t>
  </si>
  <si>
    <t>08281204694</t>
  </si>
  <si>
    <t>Korda</t>
  </si>
  <si>
    <t>08281403420</t>
  </si>
  <si>
    <t>Klukowska</t>
  </si>
  <si>
    <t>Matylda</t>
  </si>
  <si>
    <t>08281807682</t>
  </si>
  <si>
    <t>Araucz</t>
  </si>
  <si>
    <t>Zuzanna</t>
  </si>
  <si>
    <t>08281903982</t>
  </si>
  <si>
    <t>Kuban</t>
  </si>
  <si>
    <t>Maja</t>
  </si>
  <si>
    <t>08282001818</t>
  </si>
  <si>
    <t>Rutkowski</t>
  </si>
  <si>
    <t>Igor</t>
  </si>
  <si>
    <t>08282003575</t>
  </si>
  <si>
    <t>Mazniewski</t>
  </si>
  <si>
    <t>08282108997</t>
  </si>
  <si>
    <t>Pawlak</t>
  </si>
  <si>
    <t>Jerzy</t>
  </si>
  <si>
    <t>08282712460</t>
  </si>
  <si>
    <t>Zasowska</t>
  </si>
  <si>
    <t>Agnieszka</t>
  </si>
  <si>
    <t>08291104230</t>
  </si>
  <si>
    <t>Korkosz</t>
  </si>
  <si>
    <t>08291402192</t>
  </si>
  <si>
    <t>Olczak</t>
  </si>
  <si>
    <t>Kacper</t>
  </si>
  <si>
    <t>08291402215</t>
  </si>
  <si>
    <t>Kaminski</t>
  </si>
  <si>
    <t>Michal</t>
  </si>
  <si>
    <t>08291801342</t>
  </si>
  <si>
    <t>Wlodarczyk</t>
  </si>
  <si>
    <t>Alicja</t>
  </si>
  <si>
    <t>08292314397</t>
  </si>
  <si>
    <t>Grubba</t>
  </si>
  <si>
    <t>Oskar</t>
  </si>
  <si>
    <t>08292412637</t>
  </si>
  <si>
    <t>Ligman</t>
  </si>
  <si>
    <t>08292507414</t>
  </si>
  <si>
    <t>Filbrandt</t>
  </si>
  <si>
    <t>08292507452</t>
  </si>
  <si>
    <t>Formela</t>
  </si>
  <si>
    <t>Jan</t>
  </si>
  <si>
    <t>08292514056</t>
  </si>
  <si>
    <t>Dabrowski</t>
  </si>
  <si>
    <t>08292600995</t>
  </si>
  <si>
    <t>Rowinski</t>
  </si>
  <si>
    <t>08292701702</t>
  </si>
  <si>
    <t>Szymanska</t>
  </si>
  <si>
    <t>Ariuna</t>
  </si>
  <si>
    <t>08292800524</t>
  </si>
  <si>
    <t>Gozdalik</t>
  </si>
  <si>
    <t>Oliwia</t>
  </si>
  <si>
    <t>08300104334</t>
  </si>
  <si>
    <t>Pinker</t>
  </si>
  <si>
    <t>08300502415</t>
  </si>
  <si>
    <t>Jaglowski</t>
  </si>
  <si>
    <t>08300705627</t>
  </si>
  <si>
    <t>Marika</t>
  </si>
  <si>
    <t>08301300067</t>
  </si>
  <si>
    <t>Wendt</t>
  </si>
  <si>
    <t>08301402608</t>
  </si>
  <si>
    <t>Obarowska</t>
  </si>
  <si>
    <t>Kornelia</t>
  </si>
  <si>
    <t>08301702005</t>
  </si>
  <si>
    <t>Baranowska</t>
  </si>
  <si>
    <t>08302500640</t>
  </si>
  <si>
    <t>Bonislawska</t>
  </si>
  <si>
    <t>Monika</t>
  </si>
  <si>
    <t>08302709032</t>
  </si>
  <si>
    <t>Jozwiak</t>
  </si>
  <si>
    <t>08303111102</t>
  </si>
  <si>
    <t>Wejner</t>
  </si>
  <si>
    <t>08310202460</t>
  </si>
  <si>
    <t>Wojcicka</t>
  </si>
  <si>
    <t>08310400776</t>
  </si>
  <si>
    <t>Koprowski</t>
  </si>
  <si>
    <t>Maurycy</t>
  </si>
  <si>
    <t>08310501576</t>
  </si>
  <si>
    <t>Cicherski</t>
  </si>
  <si>
    <t>08310501583</t>
  </si>
  <si>
    <t>Olitkowska</t>
  </si>
  <si>
    <t>Klaudia</t>
  </si>
  <si>
    <t>08310501637</t>
  </si>
  <si>
    <t>Majewski</t>
  </si>
  <si>
    <t>08310711054</t>
  </si>
  <si>
    <t>Podbereski</t>
  </si>
  <si>
    <t>Jakub</t>
  </si>
  <si>
    <t>08311008492</t>
  </si>
  <si>
    <t>Wojcik</t>
  </si>
  <si>
    <t>Alan</t>
  </si>
  <si>
    <t>08311107443</t>
  </si>
  <si>
    <t>Nowak</t>
  </si>
  <si>
    <t>Latika</t>
  </si>
  <si>
    <t>08311206692</t>
  </si>
  <si>
    <t>Piotrowski</t>
  </si>
  <si>
    <t>08311506181</t>
  </si>
  <si>
    <t>Bialek</t>
  </si>
  <si>
    <t>08311606225</t>
  </si>
  <si>
    <t>Galla</t>
  </si>
  <si>
    <t>Paulina</t>
  </si>
  <si>
    <t>08311907241</t>
  </si>
  <si>
    <t>Glasmann</t>
  </si>
  <si>
    <t>Paula</t>
  </si>
  <si>
    <t>08312007919</t>
  </si>
  <si>
    <t>Aniol</t>
  </si>
  <si>
    <t>08312405724</t>
  </si>
  <si>
    <t>Cuper</t>
  </si>
  <si>
    <t>Olga</t>
  </si>
  <si>
    <t>08312405830</t>
  </si>
  <si>
    <t>Becla</t>
  </si>
  <si>
    <t>08312605179</t>
  </si>
  <si>
    <t>Grodzki</t>
  </si>
  <si>
    <t>08312801124</t>
  </si>
  <si>
    <t>Ulwan</t>
  </si>
  <si>
    <t>Anna</t>
  </si>
  <si>
    <t>08320100899</t>
  </si>
  <si>
    <t>Goszczynski</t>
  </si>
  <si>
    <t>08320301627</t>
  </si>
  <si>
    <t>Bigos</t>
  </si>
  <si>
    <t>Zosia</t>
  </si>
  <si>
    <t>08320411573</t>
  </si>
  <si>
    <t>Waclawski</t>
  </si>
  <si>
    <t>Bartosz</t>
  </si>
  <si>
    <t>08321100430</t>
  </si>
  <si>
    <t>Wladyka</t>
  </si>
  <si>
    <t>Alexander</t>
  </si>
  <si>
    <t>08321103754</t>
  </si>
  <si>
    <t>Wizniewski</t>
  </si>
  <si>
    <t>Andrzej</t>
  </si>
  <si>
    <t>08321109460</t>
  </si>
  <si>
    <t>Florek</t>
  </si>
  <si>
    <t>Sandra</t>
  </si>
  <si>
    <t>08321202705</t>
  </si>
  <si>
    <t>Korbus</t>
  </si>
  <si>
    <t>Marta</t>
  </si>
  <si>
    <t>08321501774</t>
  </si>
  <si>
    <t>Piechalski</t>
  </si>
  <si>
    <t>08321501798</t>
  </si>
  <si>
    <t>Potocki</t>
  </si>
  <si>
    <t>Mariusz</t>
  </si>
  <si>
    <t>08321508733</t>
  </si>
  <si>
    <t>08321606950</t>
  </si>
  <si>
    <t>Depczynski</t>
  </si>
  <si>
    <t>Stanislaw</t>
  </si>
  <si>
    <t>08321706346</t>
  </si>
  <si>
    <t>Erbel</t>
  </si>
  <si>
    <t>Urszula</t>
  </si>
  <si>
    <t>08321803937</t>
  </si>
  <si>
    <t>Kutnik</t>
  </si>
  <si>
    <t>08321903095</t>
  </si>
  <si>
    <t>Szczepan</t>
  </si>
  <si>
    <t>08322001464</t>
  </si>
  <si>
    <t>Ciupa</t>
  </si>
  <si>
    <t>Wiktoria</t>
  </si>
  <si>
    <t>08322201772</t>
  </si>
  <si>
    <t>Michalak</t>
  </si>
  <si>
    <t>08322303078</t>
  </si>
  <si>
    <t>Mieczkowski</t>
  </si>
  <si>
    <t>Krystian</t>
  </si>
  <si>
    <t>08322802348</t>
  </si>
  <si>
    <t>Jaglowska</t>
  </si>
  <si>
    <t>Natalia</t>
  </si>
  <si>
    <t>08322806465</t>
  </si>
  <si>
    <t>Czechowska</t>
  </si>
  <si>
    <t>08323009317</t>
  </si>
  <si>
    <t>Domanski</t>
  </si>
  <si>
    <t>Sebastian</t>
  </si>
  <si>
    <t>08323101408</t>
  </si>
  <si>
    <t>Kotowska</t>
  </si>
  <si>
    <t>Marianna</t>
  </si>
  <si>
    <t>09210102757</t>
  </si>
  <si>
    <t>Nieradko</t>
  </si>
  <si>
    <t>Kajetan</t>
  </si>
  <si>
    <t>09210111032</t>
  </si>
  <si>
    <t>Mendrek</t>
  </si>
  <si>
    <t>09210200851</t>
  </si>
  <si>
    <t>Trawicki</t>
  </si>
  <si>
    <t>Borys</t>
  </si>
  <si>
    <t>09210205672</t>
  </si>
  <si>
    <t>Sobon</t>
  </si>
  <si>
    <t>Filip</t>
  </si>
  <si>
    <t>09210205924</t>
  </si>
  <si>
    <t>Cejnog</t>
  </si>
  <si>
    <t>Kamila</t>
  </si>
  <si>
    <t>09210301460</t>
  </si>
  <si>
    <t>Jazkowiec</t>
  </si>
  <si>
    <t>Nadia</t>
  </si>
  <si>
    <t>09210406097</t>
  </si>
  <si>
    <t>Jarosiewicz</t>
  </si>
  <si>
    <t>Milosz</t>
  </si>
  <si>
    <t>09210409205</t>
  </si>
  <si>
    <t>Kmiecik</t>
  </si>
  <si>
    <t>Malwina</t>
  </si>
  <si>
    <t>09210501167</t>
  </si>
  <si>
    <t>Kilanowska</t>
  </si>
  <si>
    <t>Michalina</t>
  </si>
  <si>
    <t>09210503817</t>
  </si>
  <si>
    <t>Markowiak</t>
  </si>
  <si>
    <t>Leon</t>
  </si>
  <si>
    <t>09210503831</t>
  </si>
  <si>
    <t>Sikora</t>
  </si>
  <si>
    <t>Hubert</t>
  </si>
  <si>
    <t>09210507040</t>
  </si>
  <si>
    <t>Szczuplinska</t>
  </si>
  <si>
    <t>Emilia</t>
  </si>
  <si>
    <t>09210507477</t>
  </si>
  <si>
    <t>Szubarczyk</t>
  </si>
  <si>
    <t>Dawid</t>
  </si>
  <si>
    <t>09210607412</t>
  </si>
  <si>
    <t>Krefta</t>
  </si>
  <si>
    <t>09210607436</t>
  </si>
  <si>
    <t>Malinowski</t>
  </si>
  <si>
    <t>Lukasz</t>
  </si>
  <si>
    <t>09210705127</t>
  </si>
  <si>
    <t>Czerlonek</t>
  </si>
  <si>
    <t>Weronika</t>
  </si>
  <si>
    <t>09210706548</t>
  </si>
  <si>
    <t>Szostakowska</t>
  </si>
  <si>
    <t>Dominika</t>
  </si>
  <si>
    <t>09210706999</t>
  </si>
  <si>
    <t>Kaleta</t>
  </si>
  <si>
    <t>09210804949</t>
  </si>
  <si>
    <t>Kocur</t>
  </si>
  <si>
    <t>09210904274</t>
  </si>
  <si>
    <t>Wit</t>
  </si>
  <si>
    <t>09210908216</t>
  </si>
  <si>
    <t>Rybienik</t>
  </si>
  <si>
    <t>09211003583</t>
  </si>
  <si>
    <t>Puzlecka</t>
  </si>
  <si>
    <t>Julia</t>
  </si>
  <si>
    <t>09211005936</t>
  </si>
  <si>
    <t>Juralewicz</t>
  </si>
  <si>
    <t>09211005974</t>
  </si>
  <si>
    <t>Piwowarek</t>
  </si>
  <si>
    <t>09211010019</t>
  </si>
  <si>
    <t>Jurczak</t>
  </si>
  <si>
    <t>09211104925</t>
  </si>
  <si>
    <t>Ogrodowczyk</t>
  </si>
  <si>
    <t>Konstancja</t>
  </si>
  <si>
    <t>09211212916</t>
  </si>
  <si>
    <t>Strojek</t>
  </si>
  <si>
    <t>09211302729</t>
  </si>
  <si>
    <t>Zaremba</t>
  </si>
  <si>
    <t>Aleksandra</t>
  </si>
  <si>
    <t>09211305227</t>
  </si>
  <si>
    <t>Gorska</t>
  </si>
  <si>
    <t>09211402009</t>
  </si>
  <si>
    <t>Kwidzinska</t>
  </si>
  <si>
    <t>09211404100</t>
  </si>
  <si>
    <t>Siemistkowska</t>
  </si>
  <si>
    <t>Jagoda</t>
  </si>
  <si>
    <t>09211411278</t>
  </si>
  <si>
    <t>Ulewicz</t>
  </si>
  <si>
    <t>09211412248</t>
  </si>
  <si>
    <t>Tokarska</t>
  </si>
  <si>
    <t>Antonia</t>
  </si>
  <si>
    <t>09211502310</t>
  </si>
  <si>
    <t>Krupa</t>
  </si>
  <si>
    <t>09211503908</t>
  </si>
  <si>
    <t>Swirk</t>
  </si>
  <si>
    <t>Antonina</t>
  </si>
  <si>
    <t>09211601354</t>
  </si>
  <si>
    <t>Kizielewicz</t>
  </si>
  <si>
    <t>09211601385</t>
  </si>
  <si>
    <t>Kecler</t>
  </si>
  <si>
    <t>Milena</t>
  </si>
  <si>
    <t>09211601408</t>
  </si>
  <si>
    <t>Zochowska</t>
  </si>
  <si>
    <t>Adriana</t>
  </si>
  <si>
    <t>09211700664</t>
  </si>
  <si>
    <t>Kozlowska</t>
  </si>
  <si>
    <t>Malgorzata</t>
  </si>
  <si>
    <t>09211700701</t>
  </si>
  <si>
    <t>Lewandowska</t>
  </si>
  <si>
    <t>09211700855</t>
  </si>
  <si>
    <t>Gorlikowski</t>
  </si>
  <si>
    <t>Patrick</t>
  </si>
  <si>
    <t>09211702024</t>
  </si>
  <si>
    <t>Kowalska</t>
  </si>
  <si>
    <t>Maria</t>
  </si>
  <si>
    <t>09211801440</t>
  </si>
  <si>
    <t>Katende</t>
  </si>
  <si>
    <t>09211801464</t>
  </si>
  <si>
    <t>Tokarz</t>
  </si>
  <si>
    <t>09211803947</t>
  </si>
  <si>
    <t>Radosz</t>
  </si>
  <si>
    <t>09211902011</t>
  </si>
  <si>
    <t>Komorowska</t>
  </si>
  <si>
    <t>09211906282</t>
  </si>
  <si>
    <t>Zakrzewska</t>
  </si>
  <si>
    <t>09211906305</t>
  </si>
  <si>
    <t>Ewa</t>
  </si>
  <si>
    <t>09211908451</t>
  </si>
  <si>
    <t>Rohde</t>
  </si>
  <si>
    <t>09211909674</t>
  </si>
  <si>
    <t>Smoliniec</t>
  </si>
  <si>
    <t>Franciszek</t>
  </si>
  <si>
    <t>09212001092</t>
  </si>
  <si>
    <t>Paluchowski</t>
  </si>
  <si>
    <t>Julian</t>
  </si>
  <si>
    <t>09212200408</t>
  </si>
  <si>
    <t>Pawlun</t>
  </si>
  <si>
    <t>Karolina</t>
  </si>
  <si>
    <t>09212300184</t>
  </si>
  <si>
    <t>Majchrzak</t>
  </si>
  <si>
    <t>09212509149</t>
  </si>
  <si>
    <t>Koczakowska</t>
  </si>
  <si>
    <t>09212610942</t>
  </si>
  <si>
    <t>Jakubczyk</t>
  </si>
  <si>
    <t>09212700984</t>
  </si>
  <si>
    <t>Krol</t>
  </si>
  <si>
    <t>09212704926</t>
  </si>
  <si>
    <t>Srokowska</t>
  </si>
  <si>
    <t>Helena</t>
  </si>
  <si>
    <t>09212704964</t>
  </si>
  <si>
    <t>Iga</t>
  </si>
  <si>
    <t>09213007141</t>
  </si>
  <si>
    <t>Stambuldzys</t>
  </si>
  <si>
    <t>09220204047</t>
  </si>
  <si>
    <t>Ostrowska</t>
  </si>
  <si>
    <t>Beatrycze</t>
  </si>
  <si>
    <t>09220305687</t>
  </si>
  <si>
    <t>Smiecinska</t>
  </si>
  <si>
    <t>09220307788</t>
  </si>
  <si>
    <t>Wanda</t>
  </si>
  <si>
    <t>09220404607</t>
  </si>
  <si>
    <t>Kmita</t>
  </si>
  <si>
    <t>09220404645</t>
  </si>
  <si>
    <t>Gachewicz</t>
  </si>
  <si>
    <t>Pola</t>
  </si>
  <si>
    <t>09220504024</t>
  </si>
  <si>
    <t>09220504048</t>
  </si>
  <si>
    <t>Paliniewicz</t>
  </si>
  <si>
    <t>Katarzyna</t>
  </si>
  <si>
    <t>09220704127</t>
  </si>
  <si>
    <t>Lubinska</t>
  </si>
  <si>
    <t>Magdalena</t>
  </si>
  <si>
    <t>09221103062</t>
  </si>
  <si>
    <t>Mrozek</t>
  </si>
  <si>
    <t>Lena</t>
  </si>
  <si>
    <t>09221200547</t>
  </si>
  <si>
    <t>Drapinska</t>
  </si>
  <si>
    <t>09221202204</t>
  </si>
  <si>
    <t>Dawidowska</t>
  </si>
  <si>
    <t>09221205443</t>
  </si>
  <si>
    <t>Szarmach</t>
  </si>
  <si>
    <t>09221205481</t>
  </si>
  <si>
    <t>Burghard</t>
  </si>
  <si>
    <t>Zofia</t>
  </si>
  <si>
    <t>09221205504</t>
  </si>
  <si>
    <t>Michalska</t>
  </si>
  <si>
    <t>09221205528</t>
  </si>
  <si>
    <t>Mezynska</t>
  </si>
  <si>
    <t>09221301682</t>
  </si>
  <si>
    <t>Kaminska</t>
  </si>
  <si>
    <t>09221302980</t>
  </si>
  <si>
    <t>Edel</t>
  </si>
  <si>
    <t>Vanessa</t>
  </si>
  <si>
    <t>09221304623</t>
  </si>
  <si>
    <t>Gadomska</t>
  </si>
  <si>
    <t>09221309963</t>
  </si>
  <si>
    <t>Krzywiec</t>
  </si>
  <si>
    <t>09221402888</t>
  </si>
  <si>
    <t>Mielcarz</t>
  </si>
  <si>
    <t>09221601003</t>
  </si>
  <si>
    <t>Janik</t>
  </si>
  <si>
    <t>09221608888</t>
  </si>
  <si>
    <t>Stawirej</t>
  </si>
  <si>
    <t>Hanna</t>
  </si>
  <si>
    <t>09221702025</t>
  </si>
  <si>
    <t>Brankiewicz</t>
  </si>
  <si>
    <t>09221804109</t>
  </si>
  <si>
    <t>Kuszner</t>
  </si>
  <si>
    <t>09291901773</t>
  </si>
  <si>
    <t>Luchowski</t>
  </si>
  <si>
    <t>09292008233</t>
  </si>
  <si>
    <t>Janiak</t>
  </si>
  <si>
    <t>Nico</t>
  </si>
  <si>
    <t>09292105855</t>
  </si>
  <si>
    <t>Pinkowski</t>
  </si>
  <si>
    <t>09292105879</t>
  </si>
  <si>
    <t>Prochniewicz</t>
  </si>
  <si>
    <t>09292213174</t>
  </si>
  <si>
    <t>Zaleski</t>
  </si>
  <si>
    <t>Adrian</t>
  </si>
  <si>
    <t>09292314615</t>
  </si>
  <si>
    <t>Pupp</t>
  </si>
  <si>
    <t>09292509833</t>
  </si>
  <si>
    <t>Gorazdowski</t>
  </si>
  <si>
    <t>09292604859</t>
  </si>
  <si>
    <t>Rodak</t>
  </si>
  <si>
    <t>09292604873</t>
  </si>
  <si>
    <t>Ukomski</t>
  </si>
  <si>
    <t>09292704191</t>
  </si>
  <si>
    <t>Janowski</t>
  </si>
  <si>
    <t>Nataniel</t>
  </si>
  <si>
    <t>09292707019</t>
  </si>
  <si>
    <t>Panow</t>
  </si>
  <si>
    <t>09292809391</t>
  </si>
  <si>
    <t>Muzyka</t>
  </si>
  <si>
    <t>Karol</t>
  </si>
  <si>
    <t>09292810890</t>
  </si>
  <si>
    <t>Plichta</t>
  </si>
  <si>
    <t>09292909312</t>
  </si>
  <si>
    <t>Zurawski</t>
  </si>
  <si>
    <t>Adam</t>
  </si>
  <si>
    <t>09293002410</t>
  </si>
  <si>
    <t>Bobel</t>
  </si>
  <si>
    <t>Tymon</t>
  </si>
  <si>
    <t>09300109015</t>
  </si>
  <si>
    <t>Sosnowski</t>
  </si>
  <si>
    <t>09300205292</t>
  </si>
  <si>
    <t>Degowski</t>
  </si>
  <si>
    <t>09300608057</t>
  </si>
  <si>
    <t>Snarski</t>
  </si>
  <si>
    <t>09300710196</t>
  </si>
  <si>
    <t>Paciorek</t>
  </si>
  <si>
    <t>09300804514</t>
  </si>
  <si>
    <t>Brzoskowski</t>
  </si>
  <si>
    <t>Tomasz</t>
  </si>
  <si>
    <t>09301004012</t>
  </si>
  <si>
    <t>09301206759</t>
  </si>
  <si>
    <t>Mystkowski</t>
  </si>
  <si>
    <t>09301206797</t>
  </si>
  <si>
    <t>Nagorski</t>
  </si>
  <si>
    <t>Kamil</t>
  </si>
  <si>
    <t>09301303371</t>
  </si>
  <si>
    <t>Sykus</t>
  </si>
  <si>
    <t>Fabian</t>
  </si>
  <si>
    <t>09301402414</t>
  </si>
  <si>
    <t>Baranowski</t>
  </si>
  <si>
    <t>Witold</t>
  </si>
  <si>
    <t>09301405172</t>
  </si>
  <si>
    <t>Trwoga</t>
  </si>
  <si>
    <t>09301500334</t>
  </si>
  <si>
    <t>Magulski</t>
  </si>
  <si>
    <t>09301601097</t>
  </si>
  <si>
    <t>Langiewicz</t>
  </si>
  <si>
    <t>09302001353</t>
  </si>
  <si>
    <t>Polonski</t>
  </si>
  <si>
    <t>09302011011</t>
  </si>
  <si>
    <t>Kubisiak</t>
  </si>
  <si>
    <t>09302100793</t>
  </si>
  <si>
    <t>09302201333</t>
  </si>
  <si>
    <t>Duraj</t>
  </si>
  <si>
    <t>09302304838</t>
  </si>
  <si>
    <t>Grabek</t>
  </si>
  <si>
    <t>09302308382</t>
  </si>
  <si>
    <t>Tarnacka</t>
  </si>
  <si>
    <t>09302400657</t>
  </si>
  <si>
    <t>Lunkiewicz</t>
  </si>
  <si>
    <t>09302502274</t>
  </si>
  <si>
    <t>09302602400</t>
  </si>
  <si>
    <t>Pochmara</t>
  </si>
  <si>
    <t>Kaja</t>
  </si>
  <si>
    <t>09302609421</t>
  </si>
  <si>
    <t>Leszczynska</t>
  </si>
  <si>
    <t>09302702421</t>
  </si>
  <si>
    <t>Lorenc</t>
  </si>
  <si>
    <t>09302711423</t>
  </si>
  <si>
    <t>Zalewska</t>
  </si>
  <si>
    <t>09302801182</t>
  </si>
  <si>
    <t>Gosiewska</t>
  </si>
  <si>
    <t>09302806088</t>
  </si>
  <si>
    <t>Mauruszewicz</t>
  </si>
  <si>
    <t>09302806613</t>
  </si>
  <si>
    <t>Buczkowski</t>
  </si>
  <si>
    <t>09302809661</t>
  </si>
  <si>
    <t>Mielewczyk</t>
  </si>
  <si>
    <t>09302909729</t>
  </si>
  <si>
    <t>Ramlo</t>
  </si>
  <si>
    <t>09302909767</t>
  </si>
  <si>
    <t>Rafinska</t>
  </si>
  <si>
    <t>09303003200</t>
  </si>
  <si>
    <t>Broszczak</t>
  </si>
  <si>
    <t>09303005042</t>
  </si>
  <si>
    <t>Bikonis</t>
  </si>
  <si>
    <t>09303005066</t>
  </si>
  <si>
    <t>Marczynska</t>
  </si>
  <si>
    <t>Liliana</t>
  </si>
  <si>
    <t>09303005080</t>
  </si>
  <si>
    <t>Krainska</t>
  </si>
  <si>
    <t>09303005141</t>
  </si>
  <si>
    <t>Oldakowska</t>
  </si>
  <si>
    <t>Kinga</t>
  </si>
  <si>
    <t>09303009855</t>
  </si>
  <si>
    <t>Gdaniec</t>
  </si>
  <si>
    <t>Pawel</t>
  </si>
  <si>
    <t>09310202696</t>
  </si>
  <si>
    <t>Skaluba</t>
  </si>
  <si>
    <t>Gabriel</t>
  </si>
  <si>
    <t>09310208166</t>
  </si>
  <si>
    <t>Klaus</t>
  </si>
  <si>
    <t>09310208432</t>
  </si>
  <si>
    <t>Kiryk</t>
  </si>
  <si>
    <t>09310302570</t>
  </si>
  <si>
    <t>Kowalski</t>
  </si>
  <si>
    <t>09310302617</t>
  </si>
  <si>
    <t>Wysokinski</t>
  </si>
  <si>
    <t>09310310236</t>
  </si>
  <si>
    <t>Szpak</t>
  </si>
  <si>
    <t>09310403981</t>
  </si>
  <si>
    <t>Madej</t>
  </si>
  <si>
    <t>09310407886</t>
  </si>
  <si>
    <t>Symoszyn</t>
  </si>
  <si>
    <t>09310408399</t>
  </si>
  <si>
    <t>Cieslik</t>
  </si>
  <si>
    <t>09310500954</t>
  </si>
  <si>
    <t>09310503841</t>
  </si>
  <si>
    <t>Sznejder</t>
  </si>
  <si>
    <t>09310600579</t>
  </si>
  <si>
    <t>Chmielewski</t>
  </si>
  <si>
    <t>09310705410</t>
  </si>
  <si>
    <t>Rysak</t>
  </si>
  <si>
    <t>09310804898</t>
  </si>
  <si>
    <t>Szumilewicz</t>
  </si>
  <si>
    <t>Dariusz</t>
  </si>
  <si>
    <t>09310901731</t>
  </si>
  <si>
    <t>Krosnowski</t>
  </si>
  <si>
    <t>09310906101</t>
  </si>
  <si>
    <t>Harris</t>
  </si>
  <si>
    <t>09310906125</t>
  </si>
  <si>
    <t>Koszucka</t>
  </si>
  <si>
    <t>09311000965</t>
  </si>
  <si>
    <t>Chmielewska</t>
  </si>
  <si>
    <t>09311005144</t>
  </si>
  <si>
    <t>Seredynska</t>
  </si>
  <si>
    <t>Joanna</t>
  </si>
  <si>
    <t>09311005632</t>
  </si>
  <si>
    <t>Afeltowicz</t>
  </si>
  <si>
    <t>09311009704</t>
  </si>
  <si>
    <t>Jakubowska</t>
  </si>
  <si>
    <t>09311103163</t>
  </si>
  <si>
    <t>09311103484</t>
  </si>
  <si>
    <t>Derosas</t>
  </si>
  <si>
    <t>09311204208</t>
  </si>
  <si>
    <t>Mucha</t>
  </si>
  <si>
    <t>Laura</t>
  </si>
  <si>
    <t>09311204284</t>
  </si>
  <si>
    <t>Szymichowska</t>
  </si>
  <si>
    <t>09311303426</t>
  </si>
  <si>
    <t>Janiszek</t>
  </si>
  <si>
    <t>09311303679</t>
  </si>
  <si>
    <t>Dombrowski</t>
  </si>
  <si>
    <t>Sambor</t>
  </si>
  <si>
    <t>09311303693</t>
  </si>
  <si>
    <t>Wieniarski</t>
  </si>
  <si>
    <t>Arkadiusz</t>
  </si>
  <si>
    <t>09311308469</t>
  </si>
  <si>
    <t>Marszalek</t>
  </si>
  <si>
    <t>Lidia</t>
  </si>
  <si>
    <t>09311310792</t>
  </si>
  <si>
    <t>09311505163</t>
  </si>
  <si>
    <t>Czartoryjska</t>
  </si>
  <si>
    <t>09311601388</t>
  </si>
  <si>
    <t>Tomanek</t>
  </si>
  <si>
    <t>09311601425</t>
  </si>
  <si>
    <t>Pawlowicz</t>
  </si>
  <si>
    <t>09311701118</t>
  </si>
  <si>
    <t>Szwast</t>
  </si>
  <si>
    <t>Daniel</t>
  </si>
  <si>
    <t>09311706359</t>
  </si>
  <si>
    <t>Zawizlak</t>
  </si>
  <si>
    <t>09311711463</t>
  </si>
  <si>
    <t>Wierzbicka</t>
  </si>
  <si>
    <t>09311806622</t>
  </si>
  <si>
    <t>Kielbowicz</t>
  </si>
  <si>
    <t>09311907224</t>
  </si>
  <si>
    <t>Steinhardt</t>
  </si>
  <si>
    <t>09311908720</t>
  </si>
  <si>
    <t>Forjasz</t>
  </si>
  <si>
    <t>Roxana</t>
  </si>
  <si>
    <t>09312003684</t>
  </si>
  <si>
    <t>Karwik</t>
  </si>
  <si>
    <t>09312003707</t>
  </si>
  <si>
    <t>Lupinska</t>
  </si>
  <si>
    <t>09312008337</t>
  </si>
  <si>
    <t>Pengiel</t>
  </si>
  <si>
    <t>09312103018</t>
  </si>
  <si>
    <t>Wojtaszewski</t>
  </si>
  <si>
    <t>09312104743</t>
  </si>
  <si>
    <t>Czarkowska</t>
  </si>
  <si>
    <t>09312106127</t>
  </si>
  <si>
    <t>Zacharska</t>
  </si>
  <si>
    <t>09312201877</t>
  </si>
  <si>
    <t>Bilmon</t>
  </si>
  <si>
    <t>Tymoteusz</t>
  </si>
  <si>
    <t>09312304525</t>
  </si>
  <si>
    <t>Gorczynska</t>
  </si>
  <si>
    <t>09312307276</t>
  </si>
  <si>
    <t>Budkowski</t>
  </si>
  <si>
    <t>Marek</t>
  </si>
  <si>
    <t>09312408236</t>
  </si>
  <si>
    <t>Dulak</t>
  </si>
  <si>
    <t>09312503412</t>
  </si>
  <si>
    <t>Kaczor</t>
  </si>
  <si>
    <t>09312505797</t>
  </si>
  <si>
    <t>Olszewski</t>
  </si>
  <si>
    <t>09312505810</t>
  </si>
  <si>
    <t>Polubinski</t>
  </si>
  <si>
    <t>09312605138</t>
  </si>
  <si>
    <t>Budny</t>
  </si>
  <si>
    <t>09312605176</t>
  </si>
  <si>
    <t>Fiebig</t>
  </si>
  <si>
    <t>09312704714</t>
  </si>
  <si>
    <t>Ziolkowski</t>
  </si>
  <si>
    <t>09312808395</t>
  </si>
  <si>
    <t>Rys</t>
  </si>
  <si>
    <t>09312902686</t>
  </si>
  <si>
    <t>Orczyk</t>
  </si>
  <si>
    <t>09313002170</t>
  </si>
  <si>
    <t>Modzelewski</t>
  </si>
  <si>
    <t>Konrad</t>
  </si>
  <si>
    <t>09313003584</t>
  </si>
  <si>
    <t>Cichowlas</t>
  </si>
  <si>
    <t>09313003607</t>
  </si>
  <si>
    <t>09313008381</t>
  </si>
  <si>
    <t>Wrona</t>
  </si>
  <si>
    <t>09313010294</t>
  </si>
  <si>
    <t>Podolszynski</t>
  </si>
  <si>
    <t>09320105440</t>
  </si>
  <si>
    <t>Piorkowska</t>
  </si>
  <si>
    <t>Kalina</t>
  </si>
  <si>
    <t>09320200961</t>
  </si>
  <si>
    <t>Mlodzianowska</t>
  </si>
  <si>
    <t>09320300586</t>
  </si>
  <si>
    <t>09320311214</t>
  </si>
  <si>
    <t>Kisiel</t>
  </si>
  <si>
    <t>09320401737</t>
  </si>
  <si>
    <t>Dolny</t>
  </si>
  <si>
    <t>09320408093</t>
  </si>
  <si>
    <t>Kisiela</t>
  </si>
  <si>
    <t>09320505837</t>
  </si>
  <si>
    <t>09320509077</t>
  </si>
  <si>
    <t>Kopiejc</t>
  </si>
  <si>
    <t>09320605025</t>
  </si>
  <si>
    <t>Oszmana</t>
  </si>
  <si>
    <t>09320805814</t>
  </si>
  <si>
    <t>Rozek</t>
  </si>
  <si>
    <t>09320905187</t>
  </si>
  <si>
    <t>Bajer</t>
  </si>
  <si>
    <t>Jadwiga</t>
  </si>
  <si>
    <t>09321008971</t>
  </si>
  <si>
    <t>Czapiewski</t>
  </si>
  <si>
    <t>09321103584</t>
  </si>
  <si>
    <t>Marynowska</t>
  </si>
  <si>
    <t>09321103607</t>
  </si>
  <si>
    <t>09321202085</t>
  </si>
  <si>
    <t>Horbaczewska</t>
  </si>
  <si>
    <t>Nicola</t>
  </si>
  <si>
    <t>09321202160</t>
  </si>
  <si>
    <t>Wroblewska</t>
  </si>
  <si>
    <t>09321202375</t>
  </si>
  <si>
    <t>Skabara</t>
  </si>
  <si>
    <t>Grzegorz</t>
  </si>
  <si>
    <t>09321202436</t>
  </si>
  <si>
    <t>09321208296</t>
  </si>
  <si>
    <t>09321301401</t>
  </si>
  <si>
    <t>Trocha</t>
  </si>
  <si>
    <t>09321305122</t>
  </si>
  <si>
    <t>Greszczuk</t>
  </si>
  <si>
    <t>09321401422</t>
  </si>
  <si>
    <t>Krupop</t>
  </si>
  <si>
    <t>09321407220</t>
  </si>
  <si>
    <t>Janiczek</t>
  </si>
  <si>
    <t>09321501160</t>
  </si>
  <si>
    <t>Kempka</t>
  </si>
  <si>
    <t>09321501177</t>
  </si>
  <si>
    <t>09321607125</t>
  </si>
  <si>
    <t>Pajsk</t>
  </si>
  <si>
    <t>09321611788</t>
  </si>
  <si>
    <t>Lewicka</t>
  </si>
  <si>
    <t>09321706992</t>
  </si>
  <si>
    <t>Swinianski</t>
  </si>
  <si>
    <t>Cyprian</t>
  </si>
  <si>
    <t>09321805936</t>
  </si>
  <si>
    <t>09321903900</t>
  </si>
  <si>
    <t>Kirwiel</t>
  </si>
  <si>
    <t>09321903917</t>
  </si>
  <si>
    <t>Werbowy</t>
  </si>
  <si>
    <t>Artur</t>
  </si>
  <si>
    <t>09321905469</t>
  </si>
  <si>
    <t>Bajurska</t>
  </si>
  <si>
    <t>09322003265</t>
  </si>
  <si>
    <t>Zaborowska</t>
  </si>
  <si>
    <t>09322103743</t>
  </si>
  <si>
    <t>Dunislawska</t>
  </si>
  <si>
    <t>Victoria</t>
  </si>
  <si>
    <t>09322103842</t>
  </si>
  <si>
    <t>Stachurska</t>
  </si>
  <si>
    <t>09322106333</t>
  </si>
  <si>
    <t>09322106357</t>
  </si>
  <si>
    <t>Zega</t>
  </si>
  <si>
    <t>09322109039</t>
  </si>
  <si>
    <t>Lukowski</t>
  </si>
  <si>
    <t>09322202879</t>
  </si>
  <si>
    <t>Pietraszczyk</t>
  </si>
  <si>
    <t>09322302180</t>
  </si>
  <si>
    <t>Jędrzejczak</t>
  </si>
  <si>
    <t>09322306528</t>
  </si>
  <si>
    <t>Wymyslowska</t>
  </si>
  <si>
    <t>09322402767</t>
  </si>
  <si>
    <t>Wicher</t>
  </si>
  <si>
    <t>09322501336</t>
  </si>
  <si>
    <t>Tusinski</t>
  </si>
  <si>
    <t>09322505941</t>
  </si>
  <si>
    <t>Walaszek</t>
  </si>
  <si>
    <t>Angelika</t>
  </si>
  <si>
    <t>09322602686</t>
  </si>
  <si>
    <t>Karolewska</t>
  </si>
  <si>
    <t>09322702454</t>
  </si>
  <si>
    <t>Stanulewicz</t>
  </si>
  <si>
    <t>09322705310</t>
  </si>
  <si>
    <t>Kuba</t>
  </si>
  <si>
    <t>09322705358</t>
  </si>
  <si>
    <t>Kieloch</t>
  </si>
  <si>
    <t>09322802260</t>
  </si>
  <si>
    <t>Marmelowska</t>
  </si>
  <si>
    <t>09322805690</t>
  </si>
  <si>
    <t>Nikolajew</t>
  </si>
  <si>
    <t>09322905758</t>
  </si>
  <si>
    <t>Okla</t>
  </si>
  <si>
    <t>09322907675</t>
  </si>
  <si>
    <t>Lademann</t>
  </si>
  <si>
    <t>09322909004</t>
  </si>
  <si>
    <t>Kowakczyk</t>
  </si>
  <si>
    <t>09323004647</t>
  </si>
  <si>
    <t>Pawelska</t>
  </si>
  <si>
    <t>09323004692</t>
  </si>
  <si>
    <t>Niemczyk</t>
  </si>
  <si>
    <t>09323004715</t>
  </si>
  <si>
    <t>Hazubski</t>
  </si>
  <si>
    <t>Olgierd</t>
  </si>
  <si>
    <t>09323004753</t>
  </si>
  <si>
    <t>Ryngwelski</t>
  </si>
  <si>
    <t>09323004777</t>
  </si>
  <si>
    <t>Ropiak</t>
  </si>
  <si>
    <t>09323004791</t>
  </si>
  <si>
    <t>Giemza</t>
  </si>
  <si>
    <t>09323103810</t>
  </si>
  <si>
    <t>Domzala</t>
  </si>
  <si>
    <t>Ryszard</t>
  </si>
  <si>
    <t>09323105621</t>
  </si>
  <si>
    <t>Pozarzycka</t>
  </si>
  <si>
    <t>Justyna</t>
  </si>
  <si>
    <t>50021011352</t>
  </si>
  <si>
    <t>Kowalik</t>
  </si>
  <si>
    <t>50101111305</t>
  </si>
  <si>
    <t>Hintzke</t>
  </si>
  <si>
    <t>Nikola</t>
  </si>
  <si>
    <t>50102636355</t>
  </si>
  <si>
    <t>Swistek</t>
  </si>
  <si>
    <t>Damian</t>
  </si>
  <si>
    <t>51011153311</t>
  </si>
  <si>
    <t>Grzelecki</t>
  </si>
  <si>
    <t>51102573842</t>
  </si>
  <si>
    <t>Hinz</t>
  </si>
  <si>
    <t>52101156863</t>
  </si>
  <si>
    <t>Kaftan</t>
  </si>
  <si>
    <t>52110446139</t>
  </si>
  <si>
    <t>Wasiluk</t>
  </si>
  <si>
    <t>Bartlomiej</t>
  </si>
  <si>
    <t>53082806059</t>
  </si>
  <si>
    <t>Wasilewski</t>
  </si>
  <si>
    <t>53122299122</t>
  </si>
  <si>
    <t>Lukasik</t>
  </si>
  <si>
    <t>54020837137</t>
  </si>
  <si>
    <t>Silakowski</t>
  </si>
  <si>
    <t>Henryk</t>
  </si>
  <si>
    <t>55022153432</t>
  </si>
  <si>
    <t>Zygmunt</t>
  </si>
  <si>
    <t>55110906690</t>
  </si>
  <si>
    <t>Pettka</t>
  </si>
  <si>
    <t>55123128973</t>
  </si>
  <si>
    <t>Hanczarek</t>
  </si>
  <si>
    <t>Olivier</t>
  </si>
  <si>
    <t>56111161549</t>
  </si>
  <si>
    <t>Samulczyk</t>
  </si>
  <si>
    <t>57073163051</t>
  </si>
  <si>
    <t>Berezniewicz</t>
  </si>
  <si>
    <t>Wiktor</t>
  </si>
  <si>
    <t>57102202414</t>
  </si>
  <si>
    <t>Bialaszewski</t>
  </si>
  <si>
    <t>58122188027</t>
  </si>
  <si>
    <t>Rutkiewicz</t>
  </si>
  <si>
    <t>59031152059</t>
  </si>
  <si>
    <t>Kowalczyk</t>
  </si>
  <si>
    <t>59042989686</t>
  </si>
  <si>
    <t>Sadowska</t>
  </si>
  <si>
    <t>59083036077</t>
  </si>
  <si>
    <t>Sobol</t>
  </si>
  <si>
    <t>59110570565</t>
  </si>
  <si>
    <t>Senger</t>
  </si>
  <si>
    <t>60102890107</t>
  </si>
  <si>
    <t>Stanislawska</t>
  </si>
  <si>
    <t>61032479116</t>
  </si>
  <si>
    <t>Szczepkowski</t>
  </si>
  <si>
    <t>Dorian</t>
  </si>
  <si>
    <t>61100157652</t>
  </si>
  <si>
    <t>Wojcicki</t>
  </si>
  <si>
    <t>Aleks</t>
  </si>
  <si>
    <t>61121020469</t>
  </si>
  <si>
    <t>Salanowska</t>
  </si>
  <si>
    <t>62033089803</t>
  </si>
  <si>
    <t>Skrzydlak</t>
  </si>
  <si>
    <t>Izabela</t>
  </si>
  <si>
    <t>62092569090</t>
  </si>
  <si>
    <t>Koszlaga</t>
  </si>
  <si>
    <t>63092608644</t>
  </si>
  <si>
    <t>Kowalczuk</t>
  </si>
  <si>
    <t>63102092944</t>
  </si>
  <si>
    <t>Glowinska</t>
  </si>
  <si>
    <t>Patrycja</t>
  </si>
  <si>
    <t>63122755182</t>
  </si>
  <si>
    <t>Sautycz</t>
  </si>
  <si>
    <t>64022301455</t>
  </si>
  <si>
    <t>Jakubowski</t>
  </si>
  <si>
    <t>64040919575</t>
  </si>
  <si>
    <t>Labuda</t>
  </si>
  <si>
    <t>64063159211</t>
  </si>
  <si>
    <t>Przestrzelski</t>
  </si>
  <si>
    <t>65062892381</t>
  </si>
  <si>
    <t>Sochacka</t>
  </si>
  <si>
    <t>Inka</t>
  </si>
  <si>
    <t>65092056892</t>
  </si>
  <si>
    <t>Wierzbicki</t>
  </si>
  <si>
    <t>Antoni</t>
  </si>
  <si>
    <t>65102086116</t>
  </si>
  <si>
    <t>Sarnowski</t>
  </si>
  <si>
    <t>Ignacy</t>
  </si>
  <si>
    <t>66063014631</t>
  </si>
  <si>
    <t>Machalski</t>
  </si>
  <si>
    <t>66100294134</t>
  </si>
  <si>
    <t>66100651663</t>
  </si>
  <si>
    <t>Broukin</t>
  </si>
  <si>
    <t>66111176164</t>
  </si>
  <si>
    <t>Filarska</t>
  </si>
  <si>
    <t>66113183995</t>
  </si>
  <si>
    <t>Siminski</t>
  </si>
  <si>
    <t>67103111042</t>
  </si>
  <si>
    <t>Riegel</t>
  </si>
  <si>
    <t>67112966668</t>
  </si>
  <si>
    <t>67113048790</t>
  </si>
  <si>
    <t>Porydzaj</t>
  </si>
  <si>
    <t>67120749923</t>
  </si>
  <si>
    <t>Sachse</t>
  </si>
  <si>
    <t>68112117597</t>
  </si>
  <si>
    <t>Spanowski</t>
  </si>
  <si>
    <t>69030626134</t>
  </si>
  <si>
    <t>Machol</t>
  </si>
  <si>
    <t>69122174118</t>
  </si>
  <si>
    <t>Zmurko</t>
  </si>
  <si>
    <t>70032057433</t>
  </si>
  <si>
    <t>Rembisz</t>
  </si>
  <si>
    <t>70053179170</t>
  </si>
  <si>
    <t>Szmitko</t>
  </si>
  <si>
    <t>Dominik</t>
  </si>
  <si>
    <t>70101195486</t>
  </si>
  <si>
    <t>Jurewicz</t>
  </si>
  <si>
    <t>70120794633</t>
  </si>
  <si>
    <t>Zurek</t>
  </si>
  <si>
    <t>71093058856</t>
  </si>
  <si>
    <t>Ręczmin</t>
  </si>
  <si>
    <t>71110410883</t>
  </si>
  <si>
    <t>Steinborn</t>
  </si>
  <si>
    <t>71112677514</t>
  </si>
  <si>
    <t>Swierszcz</t>
  </si>
  <si>
    <t>71123061643</t>
  </si>
  <si>
    <t>Sibiga</t>
  </si>
  <si>
    <t>72031096705</t>
  </si>
  <si>
    <t>Makowska</t>
  </si>
  <si>
    <t>Luiza</t>
  </si>
  <si>
    <t>73010399576</t>
  </si>
  <si>
    <t>Dzierzak</t>
  </si>
  <si>
    <t>73070871368</t>
  </si>
  <si>
    <t>Leman</t>
  </si>
  <si>
    <t>73103000844</t>
  </si>
  <si>
    <t>Stankiewicz</t>
  </si>
  <si>
    <t>73112328551</t>
  </si>
  <si>
    <t>74040249598</t>
  </si>
  <si>
    <t>Zawisza</t>
  </si>
  <si>
    <t>74120284541</t>
  </si>
  <si>
    <t>Adamiak</t>
  </si>
  <si>
    <t>74121108598</t>
  </si>
  <si>
    <t>Yuksek</t>
  </si>
  <si>
    <t>74123184206</t>
  </si>
  <si>
    <t>Perez</t>
  </si>
  <si>
    <t>75032006098</t>
  </si>
  <si>
    <t>Duszota</t>
  </si>
  <si>
    <t>75113162747</t>
  </si>
  <si>
    <t>Kulkowska</t>
  </si>
  <si>
    <t>75121005045</t>
  </si>
  <si>
    <t>Zylinska</t>
  </si>
  <si>
    <t>Adelajda</t>
  </si>
  <si>
    <t>75123199317</t>
  </si>
  <si>
    <t>76043054555</t>
  </si>
  <si>
    <t>Lyszcz</t>
  </si>
  <si>
    <t>76043169949</t>
  </si>
  <si>
    <t>Zdrojewska</t>
  </si>
  <si>
    <t>Agata</t>
  </si>
  <si>
    <t>76121186303</t>
  </si>
  <si>
    <t>Engel</t>
  </si>
  <si>
    <t>76122752028</t>
  </si>
  <si>
    <t>Zgadzaj</t>
  </si>
  <si>
    <t>77111084850</t>
  </si>
  <si>
    <t>Strack</t>
  </si>
  <si>
    <t>78011115028</t>
  </si>
  <si>
    <t>Reclaw</t>
  </si>
  <si>
    <t>78102945963</t>
  </si>
  <si>
    <t>Mazurkiewicz</t>
  </si>
  <si>
    <t>78103188695</t>
  </si>
  <si>
    <t>78123189018</t>
  </si>
  <si>
    <t>Furmaniak</t>
  </si>
  <si>
    <t>79012564484</t>
  </si>
  <si>
    <t>Marzec</t>
  </si>
  <si>
    <t>79070627831</t>
  </si>
  <si>
    <t>Tomaszewski</t>
  </si>
  <si>
    <t>79101146737</t>
  </si>
  <si>
    <t>Strupiechowski</t>
  </si>
  <si>
    <t>79110673709</t>
  </si>
  <si>
    <t>Szczepanska</t>
  </si>
  <si>
    <t>81081010863</t>
  </si>
  <si>
    <t>Wamka</t>
  </si>
  <si>
    <t>Anastazja</t>
  </si>
  <si>
    <t>81101148770</t>
  </si>
  <si>
    <t>Spychala</t>
  </si>
  <si>
    <t>82072219267</t>
  </si>
  <si>
    <t>Bialkowska</t>
  </si>
  <si>
    <t>83041947282</t>
  </si>
  <si>
    <t>Bsk</t>
  </si>
  <si>
    <t>Arleta</t>
  </si>
  <si>
    <t>84050694367</t>
  </si>
  <si>
    <t>Wojciechowska</t>
  </si>
  <si>
    <t>84051294894</t>
  </si>
  <si>
    <t>Szczucki</t>
  </si>
  <si>
    <t>84051840149</t>
  </si>
  <si>
    <t>Helinska</t>
  </si>
  <si>
    <t>Ines</t>
  </si>
  <si>
    <t>84112185145</t>
  </si>
  <si>
    <t>Felisiak</t>
  </si>
  <si>
    <t>Doris</t>
  </si>
  <si>
    <t>85031079443</t>
  </si>
  <si>
    <t>Mrozik</t>
  </si>
  <si>
    <t>85052135674</t>
  </si>
  <si>
    <t>Rembiewski</t>
  </si>
  <si>
    <t>85052568643</t>
  </si>
  <si>
    <t>Klein</t>
  </si>
  <si>
    <t>85052605175</t>
  </si>
  <si>
    <t>Geszczynski</t>
  </si>
  <si>
    <t>85111779283</t>
  </si>
  <si>
    <t>Frankowska</t>
  </si>
  <si>
    <t>Roksana</t>
  </si>
  <si>
    <t>86061995325</t>
  </si>
  <si>
    <t>Jurczyk</t>
  </si>
  <si>
    <t>86070511185</t>
  </si>
  <si>
    <t>86070630583</t>
  </si>
  <si>
    <t>Kolodziejczyk</t>
  </si>
  <si>
    <t>86072032543</t>
  </si>
  <si>
    <t>Procinska</t>
  </si>
  <si>
    <t>Julianna</t>
  </si>
  <si>
    <t>86080941169</t>
  </si>
  <si>
    <t>Ciesielska</t>
  </si>
  <si>
    <t>86081443325</t>
  </si>
  <si>
    <t>Lange</t>
  </si>
  <si>
    <t>87070895372</t>
  </si>
  <si>
    <t>Kulakowski</t>
  </si>
  <si>
    <t>Marcjusz</t>
  </si>
  <si>
    <t>87071164662</t>
  </si>
  <si>
    <t>Kluziak</t>
  </si>
  <si>
    <t>87072724289</t>
  </si>
  <si>
    <t>Trzebiatowska</t>
  </si>
  <si>
    <t>88080204509</t>
  </si>
  <si>
    <t>Tomaszewska</t>
  </si>
  <si>
    <t>88080416256</t>
  </si>
  <si>
    <t>Przytula</t>
  </si>
  <si>
    <t>88080601948</t>
  </si>
  <si>
    <t>Grzedzielska</t>
  </si>
  <si>
    <t>88103032931</t>
  </si>
  <si>
    <t>Derek</t>
  </si>
  <si>
    <t>88111094545</t>
  </si>
  <si>
    <t>Miszkin</t>
  </si>
  <si>
    <t>88120262427</t>
  </si>
  <si>
    <t>Kwidczynska</t>
  </si>
  <si>
    <t>89010293604</t>
  </si>
  <si>
    <t>Kado</t>
  </si>
  <si>
    <t>89010737704</t>
  </si>
  <si>
    <t>Nowakowska</t>
  </si>
  <si>
    <t>89011129700</t>
  </si>
  <si>
    <t>Wilk</t>
  </si>
  <si>
    <t>89011581319</t>
  </si>
  <si>
    <t>Strehlke</t>
  </si>
  <si>
    <t>89012630357</t>
  </si>
  <si>
    <t>Pistek</t>
  </si>
  <si>
    <t>89020265394</t>
  </si>
  <si>
    <t>Radomski</t>
  </si>
  <si>
    <t>89021468413</t>
  </si>
  <si>
    <t>Pieterson</t>
  </si>
  <si>
    <t>89021697637</t>
  </si>
  <si>
    <t>89022379914</t>
  </si>
  <si>
    <t>Beniuszys</t>
  </si>
  <si>
    <t>89032143350</t>
  </si>
  <si>
    <t>Kornatowski</t>
  </si>
  <si>
    <t>89040185241</t>
  </si>
  <si>
    <t>Jackowska</t>
  </si>
  <si>
    <t>Natasza</t>
  </si>
  <si>
    <t>89040205480</t>
  </si>
  <si>
    <t>Broszkow</t>
  </si>
  <si>
    <t>89040633348</t>
  </si>
  <si>
    <t>Klebba</t>
  </si>
  <si>
    <t>89040876453</t>
  </si>
  <si>
    <t>Ciosinski</t>
  </si>
  <si>
    <t>89041133472</t>
  </si>
  <si>
    <t>Brydzinski</t>
  </si>
  <si>
    <t>89042620494</t>
  </si>
  <si>
    <t>Witkowski</t>
  </si>
  <si>
    <t>Andrea</t>
  </si>
  <si>
    <t>89042750933</t>
  </si>
  <si>
    <t>Radziszewski</t>
  </si>
  <si>
    <t>89052085069</t>
  </si>
  <si>
    <t>Korenkiewicz</t>
  </si>
  <si>
    <t>89052295172</t>
  </si>
  <si>
    <t>Szreder</t>
  </si>
  <si>
    <t>89062644823</t>
  </si>
  <si>
    <t>Murczynska</t>
  </si>
  <si>
    <t>89081519801</t>
  </si>
  <si>
    <t>Kurowska</t>
  </si>
  <si>
    <t>89082179879</t>
  </si>
  <si>
    <t>Hrywniak</t>
  </si>
  <si>
    <t>89082608599</t>
  </si>
  <si>
    <t>89091482250</t>
  </si>
  <si>
    <t>Mierzejewski</t>
  </si>
  <si>
    <t>Kornel</t>
  </si>
  <si>
    <t>89100192752</t>
  </si>
  <si>
    <t>Lupa</t>
  </si>
  <si>
    <t>89102588171</t>
  </si>
  <si>
    <t>Wydrzynski</t>
  </si>
  <si>
    <t>89112466825</t>
  </si>
  <si>
    <t>Tarkowska</t>
  </si>
  <si>
    <t>89120952161</t>
  </si>
  <si>
    <t>Adamczyk</t>
  </si>
  <si>
    <t>90053120136</t>
  </si>
  <si>
    <t>Burza</t>
  </si>
  <si>
    <t>90112004373</t>
  </si>
  <si>
    <t>Rybinski</t>
  </si>
  <si>
    <t>91023191330</t>
  </si>
  <si>
    <t>92080709353</t>
  </si>
  <si>
    <t>Pawelec</t>
  </si>
  <si>
    <t>plec</t>
  </si>
  <si>
    <t>lit im</t>
  </si>
  <si>
    <t>Etykiety wierszy</t>
  </si>
  <si>
    <t>Suma końcowa</t>
  </si>
  <si>
    <t>Liczba z PESEL</t>
  </si>
  <si>
    <t>Min</t>
  </si>
  <si>
    <t>Max</t>
  </si>
  <si>
    <t>styczeń</t>
  </si>
  <si>
    <t>luty</t>
  </si>
  <si>
    <t>marzec</t>
  </si>
  <si>
    <t>kwiecień</t>
  </si>
  <si>
    <t>maj</t>
  </si>
  <si>
    <t>lipiec</t>
  </si>
  <si>
    <t>sierpień</t>
  </si>
  <si>
    <t>październik</t>
  </si>
  <si>
    <t>listopad</t>
  </si>
  <si>
    <t>grudzień</t>
  </si>
  <si>
    <t>czerwiec</t>
  </si>
  <si>
    <t>wrzesień</t>
  </si>
  <si>
    <t>mieisąc</t>
  </si>
  <si>
    <t>l1</t>
  </si>
  <si>
    <t>l2</t>
  </si>
  <si>
    <t>Ide</t>
  </si>
  <si>
    <t>q</t>
  </si>
  <si>
    <t>w</t>
  </si>
  <si>
    <t>e</t>
  </si>
  <si>
    <t>AWie3</t>
  </si>
  <si>
    <t>AWit4</t>
  </si>
  <si>
    <t>AWoj0</t>
  </si>
  <si>
    <t>AWoj2</t>
  </si>
  <si>
    <t>AWoj8</t>
  </si>
  <si>
    <t>BWas9</t>
  </si>
  <si>
    <t>JPod4</t>
  </si>
  <si>
    <t>KMic2</t>
  </si>
  <si>
    <t>LMar4</t>
  </si>
  <si>
    <t>MKoc9</t>
  </si>
  <si>
    <t>MKor0</t>
  </si>
  <si>
    <t>MKow4</t>
  </si>
  <si>
    <t>MLub7</t>
  </si>
  <si>
    <t>NJak2</t>
  </si>
  <si>
    <t>NJan3</t>
  </si>
  <si>
    <t>NJan6</t>
  </si>
  <si>
    <t>SCie9</t>
  </si>
  <si>
    <t>SDab7</t>
  </si>
  <si>
    <t>ZAda1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</si>
</sst>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NumberFormat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5" xfId="0" applyFont="1" applyFill="1" applyBorder="1"/>
    <xf numFmtId="0" fontId="0" fillId="3" borderId="3" xfId="0" applyNumberFormat="1" applyFont="1" applyFill="1" applyBorder="1"/>
    <xf numFmtId="0" fontId="0" fillId="3" borderId="4" xfId="0" applyNumberFormat="1" applyFont="1" applyFill="1" applyBorder="1"/>
    <xf numFmtId="0" fontId="0" fillId="3" borderId="5" xfId="0" applyNumberFormat="1" applyFont="1" applyFill="1" applyBorder="1"/>
    <xf numFmtId="0" fontId="0" fillId="0" borderId="3" xfId="0" applyNumberFormat="1" applyFont="1" applyBorder="1"/>
    <xf numFmtId="0" fontId="0" fillId="0" borderId="4" xfId="0" applyNumberFormat="1" applyFont="1" applyBorder="1"/>
    <xf numFmtId="0" fontId="0" fillId="0" borderId="1" xfId="0" applyNumberFormat="1" applyFont="1" applyBorder="1"/>
    <xf numFmtId="0" fontId="0" fillId="0" borderId="2" xfId="0" applyNumberFormat="1" applyFont="1" applyBorder="1"/>
    <xf numFmtId="0" fontId="2" fillId="2" borderId="0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6" xfId="0" applyFont="1" applyBorder="1" applyAlignment="1">
      <alignment horizontal="left"/>
    </xf>
    <xf numFmtId="2" fontId="0" fillId="0" borderId="0" xfId="0" applyNumberFormat="1"/>
    <xf numFmtId="2" fontId="0" fillId="0" borderId="0" xfId="1" applyNumberFormat="1" applyFont="1"/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[zad91.xlsx]91.4!Tabela przestawna4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 urodzeń w danym miesiącu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'91.4'!$M$3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'91.4'!$L$4:$L$16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'91.4'!$M$4:$M$16</c:f>
              <c:numCache>
                <c:formatCode>General</c:formatCode>
                <c:ptCount val="12"/>
                <c:pt idx="0">
                  <c:v>68</c:v>
                </c:pt>
                <c:pt idx="1">
                  <c:v>33</c:v>
                </c:pt>
                <c:pt idx="2">
                  <c:v>9</c:v>
                </c:pt>
                <c:pt idx="3">
                  <c:v>16</c:v>
                </c:pt>
                <c:pt idx="4">
                  <c:v>13</c:v>
                </c:pt>
                <c:pt idx="5">
                  <c:v>15</c:v>
                </c:pt>
                <c:pt idx="6">
                  <c:v>19</c:v>
                </c:pt>
                <c:pt idx="7">
                  <c:v>22</c:v>
                </c:pt>
                <c:pt idx="8">
                  <c:v>32</c:v>
                </c:pt>
                <c:pt idx="9">
                  <c:v>67</c:v>
                </c:pt>
                <c:pt idx="10">
                  <c:v>99</c:v>
                </c:pt>
                <c:pt idx="11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B0-478A-A5E6-72EA511381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66324496"/>
        <c:axId val="766324976"/>
      </c:barChart>
      <c:catAx>
        <c:axId val="76632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mieisące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6324976"/>
        <c:crosses val="autoZero"/>
        <c:auto val="1"/>
        <c:lblAlgn val="ctr"/>
        <c:lblOffset val="100"/>
        <c:noMultiLvlLbl val="0"/>
      </c:catAx>
      <c:valAx>
        <c:axId val="766324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liczba urodzeń	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66324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56555</xdr:colOff>
      <xdr:row>18</xdr:row>
      <xdr:rowOff>179189</xdr:rowOff>
    </xdr:from>
    <xdr:to>
      <xdr:col>14</xdr:col>
      <xdr:colOff>145852</xdr:colOff>
      <xdr:row>33</xdr:row>
      <xdr:rowOff>64889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50E0D30-28F9-D5B9-014B-AEA28261C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42.688603935188" createdVersion="8" refreshedVersion="8" minRefreshableVersion="3" recordCount="495" xr:uid="{B9A3BC64-6288-428E-B671-FDD5035AA22C}">
  <cacheSource type="worksheet">
    <worksheetSource ref="A1:C1048576" sheet="91.2"/>
  </cacheSource>
  <cacheFields count="3">
    <cacheField name="PESEL" numFmtId="0">
      <sharedItems containsBlank="1"/>
    </cacheField>
    <cacheField name="Nazwisko" numFmtId="0">
      <sharedItems containsBlank="1" count="463">
        <s v="Micun"/>
        <s v="Jablonski"/>
        <s v="Leoniuk"/>
        <s v="Kurasik"/>
        <s v="Krynicki"/>
        <s v="Gibas"/>
        <s v="Jama"/>
        <s v="Chojnacki"/>
        <s v="Tomczyk"/>
        <s v="Wojciechowski"/>
        <s v="Glac"/>
        <s v="Lewita"/>
        <s v="Lutczyk"/>
        <s v="Laskowski"/>
        <s v="Wolski"/>
        <s v="Dabrowa"/>
        <s v="Iwanowski"/>
        <s v="Arendt"/>
        <s v="Wieczerzak"/>
        <s v="Jakudczyk"/>
        <s v="Gryniewicz"/>
        <s v="Kaliszuk"/>
        <s v="Majtas"/>
        <s v="Grzesiak"/>
        <s v="Freda"/>
        <s v="Janczynski"/>
        <s v="Kossakowska"/>
        <s v="Korda"/>
        <s v="Klukowska"/>
        <s v="Araucz"/>
        <s v="Kuban"/>
        <s v="Rutkowski"/>
        <s v="Mazniewski"/>
        <s v="Pawlak"/>
        <s v="Zasowska"/>
        <s v="Korkosz"/>
        <s v="Olczak"/>
        <s v="Kaminski"/>
        <s v="Wlodarczyk"/>
        <s v="Grubba"/>
        <s v="Ligman"/>
        <s v="Filbrandt"/>
        <s v="Formela"/>
        <s v="Dabrowski"/>
        <s v="Rowinski"/>
        <s v="Szymanska"/>
        <s v="Gozdalik"/>
        <s v="Pinker"/>
        <s v="Jaglowski"/>
        <s v="Wendt"/>
        <s v="Obarowska"/>
        <s v="Baranowska"/>
        <s v="Bonislawska"/>
        <s v="Jozwiak"/>
        <s v="Wejner"/>
        <s v="Wojcicka"/>
        <s v="Koprowski"/>
        <s v="Cicherski"/>
        <s v="Olitkowska"/>
        <s v="Majewski"/>
        <s v="Podbereski"/>
        <s v="Wojcik"/>
        <s v="Nowak"/>
        <s v="Piotrowski"/>
        <s v="Bialek"/>
        <s v="Galla"/>
        <s v="Glasmann"/>
        <s v="Aniol"/>
        <s v="Cuper"/>
        <s v="Becla"/>
        <s v="Grodzki"/>
        <s v="Ulwan"/>
        <s v="Goszczynski"/>
        <s v="Bigos"/>
        <s v="Waclawski"/>
        <s v="Wladyka"/>
        <s v="Wizniewski"/>
        <s v="Florek"/>
        <s v="Korbus"/>
        <s v="Piechalski"/>
        <s v="Potocki"/>
        <s v="Depczynski"/>
        <s v="Erbel"/>
        <s v="Kutnik"/>
        <s v="Ciupa"/>
        <s v="Michalak"/>
        <s v="Mieczkowski"/>
        <s v="Jaglowska"/>
        <s v="Czechowska"/>
        <s v="Domanski"/>
        <s v="Kotowska"/>
        <s v="Nieradko"/>
        <s v="Mendrek"/>
        <s v="Trawicki"/>
        <s v="Sobon"/>
        <s v="Cejnog"/>
        <s v="Jazkowiec"/>
        <s v="Jarosiewicz"/>
        <s v="Kmiecik"/>
        <s v="Kilanowska"/>
        <s v="Markowiak"/>
        <s v="Sikora"/>
        <s v="Szczuplinska"/>
        <s v="Szubarczyk"/>
        <s v="Krefta"/>
        <s v="Malinowski"/>
        <s v="Czerlonek"/>
        <s v="Szostakowska"/>
        <s v="Kaleta"/>
        <s v="Kocur"/>
        <s v="Wit"/>
        <s v="Rybienik"/>
        <s v="Puzlecka"/>
        <s v="Juralewicz"/>
        <s v="Piwowarek"/>
        <s v="Jurczak"/>
        <s v="Ogrodowczyk"/>
        <s v="Strojek"/>
        <s v="Zaremba"/>
        <s v="Gorska"/>
        <s v="Kwidzinska"/>
        <s v="Siemistkowska"/>
        <s v="Ulewicz"/>
        <s v="Tokarska"/>
        <s v="Krupa"/>
        <s v="Swirk"/>
        <s v="Kizielewicz"/>
        <s v="Kecler"/>
        <s v="Zochowska"/>
        <s v="Kozlowska"/>
        <s v="Lewandowska"/>
        <s v="Gorlikowski"/>
        <s v="Kowalska"/>
        <s v="Katende"/>
        <s v="Tokarz"/>
        <s v="Radosz"/>
        <s v="Komorowska"/>
        <s v="Zakrzewska"/>
        <s v="Rohde"/>
        <s v="Smoliniec"/>
        <s v="Paluchowski"/>
        <s v="Pawlun"/>
        <s v="Majchrzak"/>
        <s v="Koczakowska"/>
        <s v="Jakubczyk"/>
        <s v="Krol"/>
        <s v="Srokowska"/>
        <s v="Stambuldzys"/>
        <s v="Ostrowska"/>
        <s v="Smiecinska"/>
        <s v="Kmita"/>
        <s v="Gachewicz"/>
        <s v="Paliniewicz"/>
        <s v="Lubinska"/>
        <s v="Mrozek"/>
        <s v="Drapinska"/>
        <s v="Dawidowska"/>
        <s v="Szarmach"/>
        <s v="Burghard"/>
        <s v="Michalska"/>
        <s v="Mezynska"/>
        <s v="Kaminska"/>
        <s v="Edel"/>
        <s v="Gadomska"/>
        <s v="Krzywiec"/>
        <s v="Mielcarz"/>
        <s v="Janik"/>
        <s v="Stawirej"/>
        <s v="Brankiewicz"/>
        <s v="Kuszner"/>
        <s v="Luchowski"/>
        <s v="Janiak"/>
        <s v="Pinkowski"/>
        <s v="Prochniewicz"/>
        <s v="Zaleski"/>
        <s v="Pupp"/>
        <s v="Gorazdowski"/>
        <s v="Rodak"/>
        <s v="Ukomski"/>
        <s v="Janowski"/>
        <s v="Panow"/>
        <s v="Muzyka"/>
        <s v="Plichta"/>
        <s v="Zurawski"/>
        <s v="Bobel"/>
        <s v="Sosnowski"/>
        <s v="Degowski"/>
        <s v="Snarski"/>
        <s v="Paciorek"/>
        <s v="Brzoskowski"/>
        <s v="Mystkowski"/>
        <s v="Nagorski"/>
        <s v="Sykus"/>
        <s v="Baranowski"/>
        <s v="Trwoga"/>
        <s v="Magulski"/>
        <s v="Langiewicz"/>
        <s v="Polonski"/>
        <s v="Kubisiak"/>
        <s v="Duraj"/>
        <s v="Grabek"/>
        <s v="Tarnacka"/>
        <s v="Lunkiewicz"/>
        <s v="Pochmara"/>
        <s v="Leszczynska"/>
        <s v="Lorenc"/>
        <s v="Zalewska"/>
        <s v="Gosiewska"/>
        <s v="Mauruszewicz"/>
        <s v="Buczkowski"/>
        <s v="Mielewczyk"/>
        <s v="Ramlo"/>
        <s v="Rafinska"/>
        <s v="Broszczak"/>
        <s v="Bikonis"/>
        <s v="Marczynska"/>
        <s v="Krainska"/>
        <s v="Oldakowska"/>
        <s v="Gdaniec"/>
        <s v="Skaluba"/>
        <s v="Klaus"/>
        <s v="Kiryk"/>
        <s v="Kowalski"/>
        <s v="Wysokinski"/>
        <s v="Szpak"/>
        <s v="Madej"/>
        <s v="Symoszyn"/>
        <s v="Cieslik"/>
        <s v="Sznejder"/>
        <s v="Chmielewski"/>
        <s v="Rysak"/>
        <s v="Szumilewicz"/>
        <s v="Krosnowski"/>
        <s v="Harris"/>
        <s v="Koszucka"/>
        <s v="Chmielewska"/>
        <s v="Seredynska"/>
        <s v="Afeltowicz"/>
        <s v="Jakubowska"/>
        <s v="Derosas"/>
        <s v="Mucha"/>
        <s v="Szymichowska"/>
        <s v="Janiszek"/>
        <s v="Dombrowski"/>
        <s v="Wieniarski"/>
        <s v="Marszalek"/>
        <s v="Czartoryjska"/>
        <s v="Tomanek"/>
        <s v="Pawlowicz"/>
        <s v="Szwast"/>
        <s v="Zawizlak"/>
        <s v="Wierzbicka"/>
        <s v="Kielbowicz"/>
        <s v="Steinhardt"/>
        <s v="Forjasz"/>
        <s v="Karwik"/>
        <s v="Lupinska"/>
        <s v="Pengiel"/>
        <s v="Wojtaszewski"/>
        <s v="Czarkowska"/>
        <s v="Zacharska"/>
        <s v="Bilmon"/>
        <s v="Gorczynska"/>
        <s v="Budkowski"/>
        <s v="Dulak"/>
        <s v="Kaczor"/>
        <s v="Olszewski"/>
        <s v="Polubinski"/>
        <s v="Budny"/>
        <s v="Fiebig"/>
        <s v="Ziolkowski"/>
        <s v="Rys"/>
        <s v="Orczyk"/>
        <s v="Modzelewski"/>
        <s v="Cichowlas"/>
        <s v="Wrona"/>
        <s v="Podolszynski"/>
        <s v="Piorkowska"/>
        <s v="Mlodzianowska"/>
        <s v="Kisiel"/>
        <s v="Dolny"/>
        <s v="Kisiela"/>
        <s v="Kopiejc"/>
        <s v="Oszmana"/>
        <s v="Rozek"/>
        <s v="Bajer"/>
        <s v="Czapiewski"/>
        <s v="Marynowska"/>
        <s v="Horbaczewska"/>
        <s v="Wroblewska"/>
        <s v="Skabara"/>
        <s v="Trocha"/>
        <s v="Greszczuk"/>
        <s v="Krupop"/>
        <s v="Janiczek"/>
        <s v="Kempka"/>
        <s v="Pajsk"/>
        <s v="Lewicka"/>
        <s v="Swinianski"/>
        <s v="Kirwiel"/>
        <s v="Werbowy"/>
        <s v="Bajurska"/>
        <s v="Zaborowska"/>
        <s v="Dunislawska"/>
        <s v="Stachurska"/>
        <s v="Zega"/>
        <s v="Lukowski"/>
        <s v="Pietraszczyk"/>
        <s v="Jędrzejczak"/>
        <s v="Wymyslowska"/>
        <s v="Wicher"/>
        <s v="Tusinski"/>
        <s v="Walaszek"/>
        <s v="Karolewska"/>
        <s v="Stanulewicz"/>
        <s v="Kieloch"/>
        <s v="Marmelowska"/>
        <s v="Nikolajew"/>
        <s v="Okla"/>
        <s v="Lademann"/>
        <s v="Kowakczyk"/>
        <s v="Pawelska"/>
        <s v="Niemczyk"/>
        <s v="Hazubski"/>
        <s v="Ryngwelski"/>
        <s v="Ropiak"/>
        <s v="Giemza"/>
        <s v="Domzala"/>
        <s v="Pozarzycka"/>
        <s v="Kowalik"/>
        <s v="Hintzke"/>
        <s v="Swistek"/>
        <s v="Grzelecki"/>
        <s v="Hinz"/>
        <s v="Kaftan"/>
        <s v="Wasiluk"/>
        <s v="Wasilewski"/>
        <s v="Lukasik"/>
        <s v="Silakowski"/>
        <s v="Zygmunt"/>
        <s v="Pettka"/>
        <s v="Hanczarek"/>
        <s v="Samulczyk"/>
        <s v="Berezniewicz"/>
        <s v="Bialaszewski"/>
        <s v="Rutkiewicz"/>
        <s v="Kowalczyk"/>
        <s v="Sadowska"/>
        <s v="Sobol"/>
        <s v="Senger"/>
        <s v="Stanislawska"/>
        <s v="Szczepkowski"/>
        <s v="Wojcicki"/>
        <s v="Salanowska"/>
        <s v="Skrzydlak"/>
        <s v="Koszlaga"/>
        <s v="Kowalczuk"/>
        <s v="Glowinska"/>
        <s v="Sautycz"/>
        <s v="Jakubowski"/>
        <s v="Labuda"/>
        <s v="Przestrzelski"/>
        <s v="Sochacka"/>
        <s v="Wierzbicki"/>
        <s v="Sarnowski"/>
        <s v="Machalski"/>
        <s v="Broukin"/>
        <s v="Filarska"/>
        <s v="Siminski"/>
        <s v="Riegel"/>
        <s v="Porydzaj"/>
        <s v="Sachse"/>
        <s v="Spanowski"/>
        <s v="Machol"/>
        <s v="Zmurko"/>
        <s v="Rembisz"/>
        <s v="Szmitko"/>
        <s v="Jurewicz"/>
        <s v="Zurek"/>
        <s v="Ręczmin"/>
        <s v="Steinborn"/>
        <s v="Swierszcz"/>
        <s v="Sibiga"/>
        <s v="Makowska"/>
        <s v="Dzierzak"/>
        <s v="Leman"/>
        <s v="Stankiewicz"/>
        <s v="Zawisza"/>
        <s v="Adamiak"/>
        <s v="Yuksek"/>
        <s v="Perez"/>
        <s v="Duszota"/>
        <s v="Kulkowska"/>
        <s v="Zylinska"/>
        <s v="Lyszcz"/>
        <s v="Zdrojewska"/>
        <s v="Engel"/>
        <s v="Zgadzaj"/>
        <s v="Strack"/>
        <s v="Reclaw"/>
        <s v="Mazurkiewicz"/>
        <s v="Furmaniak"/>
        <s v="Marzec"/>
        <s v="Tomaszewski"/>
        <s v="Strupiechowski"/>
        <s v="Szczepanska"/>
        <s v="Wamka"/>
        <s v="Spychala"/>
        <s v="Bialkowska"/>
        <s v="Bsk"/>
        <s v="Wojciechowska"/>
        <s v="Szczucki"/>
        <s v="Helinska"/>
        <s v="Felisiak"/>
        <s v="Mrozik"/>
        <s v="Rembiewski"/>
        <s v="Klein"/>
        <s v="Geszczynski"/>
        <s v="Frankowska"/>
        <s v="Jurczyk"/>
        <s v="Kolodziejczyk"/>
        <s v="Procinska"/>
        <s v="Ciesielska"/>
        <s v="Lange"/>
        <s v="Kulakowski"/>
        <s v="Kluziak"/>
        <s v="Trzebiatowska"/>
        <s v="Tomaszewska"/>
        <s v="Przytula"/>
        <s v="Grzedzielska"/>
        <s v="Derek"/>
        <s v="Miszkin"/>
        <s v="Kwidczynska"/>
        <s v="Kado"/>
        <s v="Nowakowska"/>
        <s v="Wilk"/>
        <s v="Strehlke"/>
        <s v="Pistek"/>
        <s v="Radomski"/>
        <s v="Pieterson"/>
        <s v="Beniuszys"/>
        <s v="Kornatowski"/>
        <s v="Jackowska"/>
        <s v="Broszkow"/>
        <s v="Klebba"/>
        <s v="Ciosinski"/>
        <s v="Brydzinski"/>
        <s v="Witkowski"/>
        <s v="Radziszewski"/>
        <s v="Korenkiewicz"/>
        <s v="Szreder"/>
        <s v="Murczynska"/>
        <s v="Kurowska"/>
        <s v="Hrywniak"/>
        <s v="Mierzejewski"/>
        <s v="Lupa"/>
        <s v="Wydrzynski"/>
        <s v="Tarkowska"/>
        <s v="Adamczyk"/>
        <s v="Burza"/>
        <s v="Rybinski"/>
        <s v="Pawelec"/>
        <m/>
      </sharedItems>
    </cacheField>
    <cacheField name="Imie" numFmtId="0">
      <sharedItems containsBlank="1" count="169">
        <s v="Krzysztof"/>
        <s v="Nikodem"/>
        <s v="Marcel"/>
        <s v="Marcin"/>
        <s v="Mateusz"/>
        <s v="Patryk"/>
        <s v="Jacek"/>
        <s v="Bruno"/>
        <s v="Alojzy"/>
        <s v="Maksymilian"/>
        <s v="Maciej"/>
        <s v="Aleksander"/>
        <s v="Szymon"/>
        <s v="Olaf"/>
        <s v="Wojciech"/>
        <s v="Amelia"/>
        <s v="Oliwier"/>
        <s v="Mikolaj"/>
        <s v="Lucja"/>
        <s v="Nina"/>
        <s v="Piotr"/>
        <s v="Martyna"/>
        <s v="Matylda"/>
        <s v="Zuzanna"/>
        <s v="Maja"/>
        <s v="Igor"/>
        <s v="Jerzy"/>
        <s v="Agnieszka"/>
        <s v="Kacper"/>
        <s v="Michal"/>
        <s v="Alicja"/>
        <s v="Oskar"/>
        <s v="Jan"/>
        <s v="Ariuna"/>
        <s v="Oliwia"/>
        <s v="Marika"/>
        <s v="Kornelia"/>
        <s v="Monika"/>
        <s v="Maurycy"/>
        <s v="Klaudia"/>
        <s v="Jakub"/>
        <s v="Alan"/>
        <s v="Latika"/>
        <s v="Paulina"/>
        <s v="Paula"/>
        <s v="Olga"/>
        <s v="Anna"/>
        <s v="Zosia"/>
        <s v="Bartosz"/>
        <s v="Alexander"/>
        <s v="Andrzej"/>
        <s v="Sandra"/>
        <s v="Marta"/>
        <s v="Mariusz"/>
        <s v="Stanislaw"/>
        <s v="Urszula"/>
        <s v="Szczepan"/>
        <s v="Wiktoria"/>
        <s v="Krystian"/>
        <s v="Natalia"/>
        <s v="Sebastian"/>
        <s v="Marianna"/>
        <s v="Kajetan"/>
        <s v="Borys"/>
        <s v="Filip"/>
        <s v="Kamila"/>
        <s v="Nadia"/>
        <s v="Milosz"/>
        <s v="Malwina"/>
        <s v="Michalina"/>
        <s v="Leon"/>
        <s v="Hubert"/>
        <s v="Emilia"/>
        <s v="Dawid"/>
        <s v="Lukasz"/>
        <s v="Weronika"/>
        <s v="Dominika"/>
        <s v="Julia"/>
        <s v="Konstancja"/>
        <s v="Aleksandra"/>
        <s v="Jagoda"/>
        <s v="Antonia"/>
        <s v="Antonina"/>
        <s v="Milena"/>
        <s v="Adriana"/>
        <s v="Malgorzata"/>
        <s v="Patrick"/>
        <s v="Maria"/>
        <s v="Ewa"/>
        <s v="Franciszek"/>
        <s v="Julian"/>
        <s v="Karolina"/>
        <s v="Helena"/>
        <s v="Iga"/>
        <s v="Beatrycze"/>
        <s v="Wanda"/>
        <s v="Pola"/>
        <s v="Katarzyna"/>
        <s v="Magdalena"/>
        <s v="Lena"/>
        <s v="Zofia"/>
        <s v="Vanessa"/>
        <s v="Hanna"/>
        <s v="Nico"/>
        <s v="Adrian"/>
        <s v="Nataniel"/>
        <s v="Karol"/>
        <s v="Adam"/>
        <s v="Tymon"/>
        <s v="Tomasz"/>
        <s v="Kamil"/>
        <s v="Fabian"/>
        <s v="Witold"/>
        <s v="Kaja"/>
        <s v="Liliana"/>
        <s v="Kinga"/>
        <s v="Pawel"/>
        <s v="Gabriel"/>
        <s v="Dariusz"/>
        <s v="Joanna"/>
        <s v="Laura"/>
        <s v="Sambor"/>
        <s v="Arkadiusz"/>
        <s v="Lidia"/>
        <s v="Daniel"/>
        <s v="Roxana"/>
        <s v="Tymoteusz"/>
        <s v="Marek"/>
        <s v="Konrad"/>
        <s v="Kalina"/>
        <s v="Jadwiga"/>
        <s v="Nicola"/>
        <s v="Grzegorz"/>
        <s v="Cyprian"/>
        <s v="Artur"/>
        <s v="Victoria"/>
        <s v="Angelika"/>
        <s v="Kuba"/>
        <s v="Olgierd"/>
        <s v="Ryszard"/>
        <s v="Justyna"/>
        <s v="Nikola"/>
        <s v="Damian"/>
        <s v="Bartlomiej"/>
        <s v="Henryk"/>
        <s v="Olivier"/>
        <s v="Wiktor"/>
        <s v="Dorian"/>
        <s v="Aleks"/>
        <s v="Izabela"/>
        <s v="Patrycja"/>
        <s v="Inka"/>
        <s v="Antoni"/>
        <s v="Ignacy"/>
        <s v="Dominik"/>
        <s v="Luiza"/>
        <s v="Adelajda"/>
        <s v="Agata"/>
        <s v="Anastazja"/>
        <s v="Arleta"/>
        <s v="Ines"/>
        <s v="Doris"/>
        <s v="Roksana"/>
        <s v="Julianna"/>
        <s v="Marcjusz"/>
        <s v="Natasza"/>
        <s v="Andrea"/>
        <s v="Kornel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42.706311458336" createdVersion="8" refreshedVersion="8" minRefreshableVersion="3" recordCount="494" xr:uid="{492A45CD-1122-4852-B998-29F1EA58642D}">
  <cacheSource type="worksheet">
    <worksheetSource ref="A1:G495" sheet="91.4"/>
  </cacheSource>
  <cacheFields count="7">
    <cacheField name="PESEL" numFmtId="0">
      <sharedItems/>
    </cacheField>
    <cacheField name="Nazwisko" numFmtId="0">
      <sharedItems/>
    </cacheField>
    <cacheField name="Imie" numFmtId="0">
      <sharedItems/>
    </cacheField>
    <cacheField name="plec" numFmtId="0">
      <sharedItems/>
    </cacheField>
    <cacheField name="l1" numFmtId="2">
      <sharedItems/>
    </cacheField>
    <cacheField name="l2" numFmtId="2">
      <sharedItems containsSemiMixedTypes="0" containsString="0" containsNumber="1" containsInteger="1" minValue="1" maxValue="12"/>
    </cacheField>
    <cacheField name="mieisąc" numFmtId="0">
      <sharedItems count="12">
        <s v="kwiecień"/>
        <s v="maj"/>
        <s v="czerwiec"/>
        <s v="lipiec"/>
        <s v="sierpień"/>
        <s v="wrzesień"/>
        <s v="październik"/>
        <s v="listopad"/>
        <s v="grudzień"/>
        <s v="styczeń"/>
        <s v="luty"/>
        <s v="marze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ek Starosta" refreshedDate="46042.708394560184" createdVersion="8" refreshedVersion="8" minRefreshableVersion="3" recordCount="494" xr:uid="{E2066F8C-3A8F-4DD1-80FD-8C2CA615B622}">
  <cacheSource type="worksheet">
    <worksheetSource ref="A1:H495" sheet="91.5"/>
  </cacheSource>
  <cacheFields count="8">
    <cacheField name="PESEL" numFmtId="0">
      <sharedItems/>
    </cacheField>
    <cacheField name="Nazwisko" numFmtId="0">
      <sharedItems/>
    </cacheField>
    <cacheField name="Imie" numFmtId="0">
      <sharedItems/>
    </cacheField>
    <cacheField name="plec" numFmtId="0">
      <sharedItems/>
    </cacheField>
    <cacheField name="q" numFmtId="0">
      <sharedItems/>
    </cacheField>
    <cacheField name="w" numFmtId="0">
      <sharedItems/>
    </cacheField>
    <cacheField name="e" numFmtId="0">
      <sharedItems/>
    </cacheField>
    <cacheField name="Ide" numFmtId="0">
      <sharedItems count="473">
        <s v="KMic5"/>
        <s v="NJab1"/>
        <s v="MLeo5"/>
        <s v="MKur9"/>
        <s v="MKry8"/>
        <s v="PGib8"/>
        <s v="NJam6"/>
        <s v="JCho0"/>
        <s v="BTom5"/>
        <s v="AWoj8"/>
        <s v="PGla5"/>
        <s v="MLew9"/>
        <s v="MLut7"/>
        <s v="MLas5"/>
        <s v="AWol5"/>
        <s v="SDab7"/>
        <s v="OIwa1"/>
        <s v="WAre5"/>
        <s v="AWie4"/>
        <s v="NJak2"/>
        <s v="OGry7"/>
        <s v="MKal8"/>
        <s v="LMaj6"/>
        <s v="NGrz1"/>
        <s v="PFre6"/>
        <s v="NJan6"/>
        <s v="MKos8"/>
        <s v="MKor4"/>
        <s v="MKlu0"/>
        <s v="ZAra2"/>
        <s v="MKub2"/>
        <s v="IRut8"/>
        <s v="KMaz5"/>
        <s v="JPaw7"/>
        <s v="AZas0"/>
        <s v="MKor0"/>
        <s v="KOlc2"/>
        <s v="MKam5"/>
        <s v="AWlo2"/>
        <s v="OGru7"/>
        <s v="MLig7"/>
        <s v="PFil4"/>
        <s v="JFor2"/>
        <s v="SDab6"/>
        <s v="JRow5"/>
        <s v="ASzy2"/>
        <s v="OGoz4"/>
        <s v="JPin4"/>
        <s v="NJag5"/>
        <s v="MKos7"/>
        <s v="AWen7"/>
        <s v="KOba8"/>
        <s v="ZBar5"/>
        <s v="MBon0"/>
        <s v="MJoz2"/>
        <s v="AWej2"/>
        <s v="AWoj0"/>
        <s v="MKop6"/>
        <s v="SCic6"/>
        <s v="KOli3"/>
        <s v="MMaj7"/>
        <s v="JPod4"/>
        <s v="AWoj2"/>
        <s v="LNow3"/>
        <s v="JPio2"/>
        <s v="ZBia1"/>
        <s v="PGal5"/>
        <s v="PGla1"/>
        <s v="WAni9"/>
        <s v="OCup4"/>
        <s v="ABec0"/>
        <s v="OGro9"/>
        <s v="AUlw4"/>
        <s v="PGos9"/>
        <s v="ZBig7"/>
        <s v="BWac3"/>
        <s v="AWla0"/>
        <s v="AWiz4"/>
        <s v="SFlo0"/>
        <s v="MKor5"/>
        <s v="JPie4"/>
        <s v="MPot8"/>
        <s v="MKor3"/>
        <s v="SDep0"/>
        <s v="UErb6"/>
        <s v="MKut7"/>
        <s v="SDab5"/>
        <s v="WCiu4"/>
        <s v="KMic2"/>
        <s v="KMie8"/>
        <s v="NJag8"/>
        <s v="WCze5"/>
        <s v="SDom7"/>
        <s v="MKot8"/>
        <s v="KNie7"/>
        <s v="KMen2"/>
        <s v="BTra1"/>
        <s v="FSob2"/>
        <s v="KCej4"/>
        <s v="NJaz0"/>
        <s v="MJar7"/>
        <s v="MKmi5"/>
        <s v="MKil7"/>
        <s v="LMar7"/>
        <s v="HSik1"/>
        <s v="ESzc0"/>
        <s v="DSzu7"/>
        <s v="MKre2"/>
        <s v="LMal6"/>
        <s v="WCze7"/>
        <s v="DSzo8"/>
        <s v="MKal9"/>
        <s v="MKoc9"/>
        <s v="AWit4"/>
        <s v="IRyb6"/>
        <s v="JPuz3"/>
        <s v="MJur6"/>
        <s v="JPiw4"/>
        <s v="MJur9"/>
        <s v="KOgr5"/>
        <s v="FStr6"/>
        <s v="AZar9"/>
        <s v="OGor7"/>
        <s v="PKwi9"/>
        <s v="JSie0"/>
        <s v="BUle8"/>
        <s v="ATok8"/>
        <s v="MKru0"/>
        <s v="ASwi8"/>
        <s v="MKiz4"/>
        <s v="MKec5"/>
        <s v="AZoc8"/>
        <s v="MKoz4"/>
        <s v="MLew1"/>
        <s v="PGor5"/>
        <s v="MKow4"/>
        <s v="MKat0"/>
        <s v="ATok4"/>
        <s v="JRad7"/>
        <s v="MKom1"/>
        <s v="OZak2"/>
        <s v="EZak5"/>
        <s v="JRoh1"/>
        <s v="FSmo4"/>
        <s v="JPal2"/>
        <s v="KPaw8"/>
        <s v="LMaj4"/>
        <s v="MKro4"/>
        <s v="HSro6"/>
        <s v="ISro4"/>
        <s v="HSta1"/>
        <s v="BOst7"/>
        <s v="ASmi7"/>
        <s v="WCze8"/>
        <s v="MKmi7"/>
        <s v="PGac5"/>
        <s v="ELew4"/>
        <s v="KPal8"/>
        <s v="MLub7"/>
        <s v="LMro2"/>
        <s v="WDra7"/>
        <s v="WDaw4"/>
        <s v="ESza3"/>
        <s v="ZBur1"/>
        <s v="LMic4"/>
        <s v="LMez8"/>
        <s v="MKam2"/>
        <s v="VEde0"/>
        <s v="PGad3"/>
        <s v="ZKrz3"/>
        <s v="LMie8"/>
        <s v="NJan3"/>
        <s v="HSta8"/>
        <s v="ABra5"/>
        <s v="MKus9"/>
        <s v="MLuc3"/>
        <s v="JPin5"/>
        <s v="JPro9"/>
        <s v="AZal4"/>
        <s v="JPup5"/>
        <s v="PGor3"/>
        <s v="JRod9"/>
        <s v="BUko3"/>
        <s v="NJan1"/>
        <s v="JPan9"/>
        <s v="KMuz1"/>
        <s v="JPli0"/>
        <s v="AZur2"/>
        <s v="TBob0"/>
        <s v="FSos5"/>
        <s v="SDeg2"/>
        <s v="FSna7"/>
        <s v="JPac6"/>
        <s v="TBrz4"/>
        <s v="MLas2"/>
        <s v="KMys9"/>
        <s v="KNag7"/>
        <s v="FSyk1"/>
        <s v="WBar4"/>
        <s v="BTrw2"/>
        <s v="MMag4"/>
        <s v="MLan7"/>
        <s v="JPol3"/>
        <s v="MKub1"/>
        <s v="MKub3"/>
        <s v="PDur3"/>
        <s v="OGra8"/>
        <s v="ATar2"/>
        <s v="MLun7"/>
        <s v="AWoj4"/>
        <s v="KPoc0"/>
        <s v="MLes1"/>
        <s v="MLor1"/>
        <s v="AZal3"/>
        <s v="PGos2"/>
        <s v="LMau8"/>
        <s v="MBuc3"/>
        <s v="LMie1"/>
        <s v="JRam9"/>
        <s v="JRaf7"/>
        <s v="OBro0"/>
        <s v="ZBik2"/>
        <s v="LMar6"/>
        <s v="MKra0"/>
        <s v="KOld1"/>
        <s v="PGda5"/>
        <s v="GSka6"/>
        <s v="MKla6"/>
        <s v="MKir2"/>
        <s v="MKow0"/>
        <s v="AWys7"/>
        <s v="DSzp6"/>
        <s v="LMad1"/>
        <s v="ESym6"/>
        <s v="SCie9"/>
        <s v="JPaw4"/>
        <s v="DSzn1"/>
        <s v="JChm9"/>
        <s v="IRys0"/>
        <s v="DSzu8"/>
        <s v="MKro1"/>
        <s v="NHar1"/>
        <s v="MKos5"/>
        <s v="WChm5"/>
        <s v="JSer4"/>
        <s v="WAfe2"/>
        <s v="NJak4"/>
        <s v="OLew3"/>
        <s v="WDer4"/>
        <s v="LMuc8"/>
        <s v="ASzy4"/>
        <s v="SDom9"/>
        <s v="AWie3"/>
        <s v="LMar9"/>
        <s v="WCza3"/>
        <s v="ATom8"/>
        <s v="KPaw5"/>
        <s v="DSzw8"/>
        <s v="AZaw9"/>
        <s v="MKie2"/>
        <s v="HSte4"/>
        <s v="RFor0"/>
        <s v="MKar4"/>
        <s v="MLup7"/>
        <s v="JPen7"/>
        <s v="KCza3"/>
        <s v="AZac7"/>
        <s v="TBil7"/>
        <s v="OGor5"/>
        <s v="MBud6"/>
        <s v="PDul6"/>
        <s v="MKac2"/>
        <s v="KOls7"/>
        <s v="PPol0"/>
        <s v="TBud8"/>
        <s v="PFie6"/>
        <s v="AZio4"/>
        <s v="IRys5"/>
        <s v="KOrc6"/>
        <s v="KMod0"/>
        <s v="MCic4"/>
        <s v="MKoz7"/>
        <s v="AWro1"/>
        <s v="KPio0"/>
        <s v="LMlo1"/>
        <s v="MKmi6"/>
        <s v="MKis4"/>
        <s v="SDol7"/>
        <s v="MKis3"/>
        <s v="MPio7"/>
        <s v="MKop7"/>
        <s v="KOsz5"/>
        <s v="JRoz4"/>
        <s v="JBaj7"/>
        <s v="SCza1"/>
        <s v="LMar4"/>
        <s v="NHor5"/>
        <s v="AWro0"/>
        <s v="GSka5"/>
        <s v="PFor6"/>
        <s v="MZio6"/>
        <s v="ATro1"/>
        <s v="OGre2"/>
        <s v="MKru2"/>
        <s v="NJan0"/>
        <s v="MKem0"/>
        <s v="AWiz7"/>
        <s v="KPaj5"/>
        <s v="MLew8"/>
        <s v="CSwi2"/>
        <s v="MKam6"/>
        <s v="MKir0"/>
        <s v="AWer7"/>
        <s v="ZBaj9"/>
        <s v="AZab5"/>
        <s v="VDun3"/>
        <s v="HSta2"/>
        <s v="MKir3"/>
        <s v="AZeg7"/>
        <s v="MLuk9"/>
        <s v="JPie9"/>
        <s v="NJęd0"/>
        <s v="AWym8"/>
        <s v="AWic7"/>
        <s v="BTus6"/>
        <s v="AWal1"/>
        <s v="MKar6"/>
        <s v="FSta4"/>
        <s v="KMar0"/>
        <s v="MKie8"/>
        <s v="MMar0"/>
        <s v="KNik0"/>
        <s v="KOkl8"/>
        <s v="MLad5"/>
        <s v="KPaw7"/>
        <s v="KNie2"/>
        <s v="OHaz5"/>
        <s v="IRyn3"/>
        <s v="JRop7"/>
        <s v="PGie1"/>
        <s v="RDom0"/>
        <s v="JPoz1"/>
        <s v="MKow2"/>
        <s v="NHin5"/>
        <s v="DSwi5"/>
        <s v="OGrz1"/>
        <s v="NHin2"/>
        <s v="MKaf3"/>
        <s v="BWas9"/>
        <s v="MLuk2"/>
        <s v="HSil7"/>
        <s v="AZyg2"/>
        <s v="JPet0"/>
        <s v="OHan3"/>
        <s v="JSam9"/>
        <s v="WBer1"/>
        <s v="PBia4"/>
        <s v="JRut7"/>
        <s v="MKow9"/>
        <s v="JSad6"/>
        <s v="FSob7"/>
        <s v="JSen5"/>
        <s v="HSta7"/>
        <s v="DSzc6"/>
        <s v="JSal9"/>
        <s v="ISkr3"/>
        <s v="MKos0"/>
        <s v="PGlo4"/>
        <s v="JSau2"/>
        <s v="NJak5"/>
        <s v="MLab5"/>
        <s v="JPrz1"/>
        <s v="ISoc1"/>
        <s v="AWie2"/>
        <s v="ISar6"/>
        <s v="MMac1"/>
        <s v="ZBro3"/>
        <s v="SFil4"/>
        <s v="HSim5"/>
        <s v="JRie2"/>
        <s v="MKoz8"/>
        <s v="JPor0"/>
        <s v="JSac3"/>
        <s v="FSpa7"/>
        <s v="MMac4"/>
        <s v="AZmu8"/>
        <s v="JRem3"/>
        <s v="DSzm0"/>
        <s v="NJur6"/>
        <s v="AZur3"/>
        <s v="JRęc6"/>
        <s v="HSte3"/>
        <s v="CSwi4"/>
        <s v="JSib3"/>
        <s v="LMak5"/>
        <s v="PDzi6"/>
        <s v="MLem8"/>
        <s v="HSta4"/>
        <s v="AWiz1"/>
        <s v="AZaw8"/>
        <s v="ZAda1"/>
        <s v="AYuk8"/>
        <s v="KPer6"/>
        <s v="PDus8"/>
        <s v="MKul7"/>
        <s v="AZyl5"/>
        <s v="KNow7"/>
        <s v="MLys5"/>
        <s v="AZdr9"/>
        <s v="UEng3"/>
        <s v="AZga8"/>
        <s v="FStr0"/>
        <s v="JRec8"/>
        <s v="LMaz3"/>
        <s v="JPot5"/>
        <s v="PFur8"/>
        <s v="BTom1"/>
        <s v="FStr7"/>
        <s v="ESzc9"/>
        <s v="AWam3"/>
        <s v="FSpy0"/>
        <s v="KBia7"/>
        <s v="ABsk2"/>
        <s v="AWoj7"/>
        <s v="DSzc4"/>
        <s v="IHel9"/>
        <s v="DFel5"/>
        <s v="LMro3"/>
        <s v="JRem4"/>
        <s v="MKle3"/>
        <s v="PGes5"/>
        <s v="RFra3"/>
        <s v="NJur5"/>
        <s v="KBia5"/>
        <s v="MKol3"/>
        <s v="JPro3"/>
        <s v="WCie9"/>
        <s v="MLan5"/>
        <s v="MKul2"/>
        <s v="MKlu2"/>
        <s v="ATrz9"/>
        <s v="ATom9"/>
        <s v="JPrz6"/>
        <s v="NGrz8"/>
        <s v="SDer1"/>
        <s v="LMis5"/>
        <s v="MKwi7"/>
        <s v="MKad4"/>
        <s v="KNow4"/>
        <s v="AWil0"/>
        <s v="FStr9"/>
        <s v="JPis7"/>
        <s v="JRad4"/>
        <s v="JPie3"/>
        <s v="MBen4"/>
        <s v="NJac1"/>
        <s v="ZBro0"/>
        <s v="MKle8"/>
        <s v="JCio3"/>
        <s v="MBry2"/>
        <s v="JRad3"/>
        <s v="MKor9"/>
        <s v="DSzr2"/>
        <s v="LMur3"/>
        <s v="MKur1"/>
        <s v="OHry9"/>
        <s v="KMie0"/>
        <s v="MLup2"/>
        <s v="AWyd1"/>
        <s v="ATar5"/>
        <s v="SBur6"/>
        <s v="IRyb3"/>
        <s v="JPaw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5">
  <r>
    <s v="08242501475"/>
    <x v="0"/>
    <x v="0"/>
  </r>
  <r>
    <s v="08242809191"/>
    <x v="1"/>
    <x v="1"/>
  </r>
  <r>
    <s v="08242912835"/>
    <x v="2"/>
    <x v="2"/>
  </r>
  <r>
    <s v="08250606999"/>
    <x v="3"/>
    <x v="3"/>
  </r>
  <r>
    <s v="08251305958"/>
    <x v="4"/>
    <x v="4"/>
  </r>
  <r>
    <s v="08252202698"/>
    <x v="5"/>
    <x v="5"/>
  </r>
  <r>
    <s v="08260302636"/>
    <x v="6"/>
    <x v="1"/>
  </r>
  <r>
    <s v="08260401830"/>
    <x v="7"/>
    <x v="6"/>
  </r>
  <r>
    <s v="08261009495"/>
    <x v="8"/>
    <x v="7"/>
  </r>
  <r>
    <s v="08261204258"/>
    <x v="9"/>
    <x v="8"/>
  </r>
  <r>
    <s v="08261403695"/>
    <x v="10"/>
    <x v="5"/>
  </r>
  <r>
    <s v="08261601819"/>
    <x v="11"/>
    <x v="9"/>
  </r>
  <r>
    <s v="08261804557"/>
    <x v="12"/>
    <x v="10"/>
  </r>
  <r>
    <s v="08261804595"/>
    <x v="13"/>
    <x v="10"/>
  </r>
  <r>
    <s v="08262307035"/>
    <x v="14"/>
    <x v="11"/>
  </r>
  <r>
    <s v="08262311957"/>
    <x v="15"/>
    <x v="12"/>
  </r>
  <r>
    <s v="08270104291"/>
    <x v="16"/>
    <x v="13"/>
  </r>
  <r>
    <s v="08270412255"/>
    <x v="17"/>
    <x v="14"/>
  </r>
  <r>
    <s v="08272207404"/>
    <x v="18"/>
    <x v="15"/>
  </r>
  <r>
    <s v="08272207572"/>
    <x v="19"/>
    <x v="1"/>
  </r>
  <r>
    <s v="08272312577"/>
    <x v="20"/>
    <x v="16"/>
  </r>
  <r>
    <s v="08272703658"/>
    <x v="21"/>
    <x v="17"/>
  </r>
  <r>
    <s v="08272807246"/>
    <x v="22"/>
    <x v="18"/>
  </r>
  <r>
    <s v="08272903041"/>
    <x v="23"/>
    <x v="19"/>
  </r>
  <r>
    <s v="08272911356"/>
    <x v="24"/>
    <x v="20"/>
  </r>
  <r>
    <s v="08280203076"/>
    <x v="25"/>
    <x v="1"/>
  </r>
  <r>
    <s v="08280707488"/>
    <x v="26"/>
    <x v="21"/>
  </r>
  <r>
    <s v="08281204694"/>
    <x v="27"/>
    <x v="10"/>
  </r>
  <r>
    <s v="08281403420"/>
    <x v="28"/>
    <x v="22"/>
  </r>
  <r>
    <s v="08281807682"/>
    <x v="29"/>
    <x v="23"/>
  </r>
  <r>
    <s v="08281903982"/>
    <x v="30"/>
    <x v="24"/>
  </r>
  <r>
    <s v="08282001818"/>
    <x v="31"/>
    <x v="25"/>
  </r>
  <r>
    <s v="08282003575"/>
    <x v="32"/>
    <x v="0"/>
  </r>
  <r>
    <s v="08282108997"/>
    <x v="33"/>
    <x v="26"/>
  </r>
  <r>
    <s v="08282712460"/>
    <x v="34"/>
    <x v="27"/>
  </r>
  <r>
    <s v="08291104230"/>
    <x v="35"/>
    <x v="4"/>
  </r>
  <r>
    <s v="08291402192"/>
    <x v="36"/>
    <x v="28"/>
  </r>
  <r>
    <s v="08291402215"/>
    <x v="37"/>
    <x v="29"/>
  </r>
  <r>
    <s v="08291801342"/>
    <x v="38"/>
    <x v="30"/>
  </r>
  <r>
    <s v="08292314397"/>
    <x v="39"/>
    <x v="31"/>
  </r>
  <r>
    <s v="08292412637"/>
    <x v="40"/>
    <x v="9"/>
  </r>
  <r>
    <s v="08292507414"/>
    <x v="41"/>
    <x v="20"/>
  </r>
  <r>
    <s v="08292507452"/>
    <x v="42"/>
    <x v="32"/>
  </r>
  <r>
    <s v="08292514056"/>
    <x v="43"/>
    <x v="12"/>
  </r>
  <r>
    <s v="08292600995"/>
    <x v="44"/>
    <x v="6"/>
  </r>
  <r>
    <s v="08292701702"/>
    <x v="45"/>
    <x v="33"/>
  </r>
  <r>
    <s v="08292800524"/>
    <x v="46"/>
    <x v="34"/>
  </r>
  <r>
    <s v="08300104334"/>
    <x v="47"/>
    <x v="32"/>
  </r>
  <r>
    <s v="08300502415"/>
    <x v="48"/>
    <x v="1"/>
  </r>
  <r>
    <s v="08300705627"/>
    <x v="26"/>
    <x v="35"/>
  </r>
  <r>
    <s v="08301300067"/>
    <x v="49"/>
    <x v="15"/>
  </r>
  <r>
    <s v="08301402608"/>
    <x v="50"/>
    <x v="36"/>
  </r>
  <r>
    <s v="08301702005"/>
    <x v="51"/>
    <x v="23"/>
  </r>
  <r>
    <s v="08302500640"/>
    <x v="52"/>
    <x v="37"/>
  </r>
  <r>
    <s v="08302709032"/>
    <x v="53"/>
    <x v="17"/>
  </r>
  <r>
    <s v="08303111102"/>
    <x v="54"/>
    <x v="15"/>
  </r>
  <r>
    <s v="08310202460"/>
    <x v="55"/>
    <x v="30"/>
  </r>
  <r>
    <s v="08310400776"/>
    <x v="56"/>
    <x v="38"/>
  </r>
  <r>
    <s v="08310501576"/>
    <x v="57"/>
    <x v="12"/>
  </r>
  <r>
    <s v="08310501583"/>
    <x v="58"/>
    <x v="39"/>
  </r>
  <r>
    <s v="08310501637"/>
    <x v="59"/>
    <x v="10"/>
  </r>
  <r>
    <s v="08310711054"/>
    <x v="60"/>
    <x v="40"/>
  </r>
  <r>
    <s v="08311008492"/>
    <x v="61"/>
    <x v="41"/>
  </r>
  <r>
    <s v="08311107443"/>
    <x v="62"/>
    <x v="42"/>
  </r>
  <r>
    <s v="08311206692"/>
    <x v="63"/>
    <x v="6"/>
  </r>
  <r>
    <s v="08311506181"/>
    <x v="64"/>
    <x v="23"/>
  </r>
  <r>
    <s v="08311606225"/>
    <x v="65"/>
    <x v="43"/>
  </r>
  <r>
    <s v="08311907241"/>
    <x v="66"/>
    <x v="44"/>
  </r>
  <r>
    <s v="08312007919"/>
    <x v="67"/>
    <x v="14"/>
  </r>
  <r>
    <s v="08312405724"/>
    <x v="68"/>
    <x v="45"/>
  </r>
  <r>
    <s v="08312405830"/>
    <x v="69"/>
    <x v="11"/>
  </r>
  <r>
    <s v="08312605179"/>
    <x v="70"/>
    <x v="31"/>
  </r>
  <r>
    <s v="08312801124"/>
    <x v="71"/>
    <x v="46"/>
  </r>
  <r>
    <s v="08320100899"/>
    <x v="72"/>
    <x v="5"/>
  </r>
  <r>
    <s v="08320301627"/>
    <x v="73"/>
    <x v="47"/>
  </r>
  <r>
    <s v="08320411573"/>
    <x v="74"/>
    <x v="48"/>
  </r>
  <r>
    <s v="08321100430"/>
    <x v="75"/>
    <x v="49"/>
  </r>
  <r>
    <s v="08321103754"/>
    <x v="76"/>
    <x v="50"/>
  </r>
  <r>
    <s v="08321109460"/>
    <x v="77"/>
    <x v="51"/>
  </r>
  <r>
    <s v="08321202705"/>
    <x v="78"/>
    <x v="52"/>
  </r>
  <r>
    <s v="08321501774"/>
    <x v="79"/>
    <x v="32"/>
  </r>
  <r>
    <s v="08321501798"/>
    <x v="80"/>
    <x v="53"/>
  </r>
  <r>
    <s v="08321508733"/>
    <x v="27"/>
    <x v="4"/>
  </r>
  <r>
    <s v="08321606950"/>
    <x v="81"/>
    <x v="54"/>
  </r>
  <r>
    <s v="08321706346"/>
    <x v="82"/>
    <x v="55"/>
  </r>
  <r>
    <s v="08321803937"/>
    <x v="83"/>
    <x v="3"/>
  </r>
  <r>
    <s v="08321903095"/>
    <x v="43"/>
    <x v="56"/>
  </r>
  <r>
    <s v="08322001464"/>
    <x v="84"/>
    <x v="57"/>
  </r>
  <r>
    <s v="08322201772"/>
    <x v="85"/>
    <x v="0"/>
  </r>
  <r>
    <s v="08322303078"/>
    <x v="86"/>
    <x v="58"/>
  </r>
  <r>
    <s v="08322802348"/>
    <x v="87"/>
    <x v="59"/>
  </r>
  <r>
    <s v="08322806465"/>
    <x v="88"/>
    <x v="57"/>
  </r>
  <r>
    <s v="08323009317"/>
    <x v="89"/>
    <x v="60"/>
  </r>
  <r>
    <s v="08323101408"/>
    <x v="90"/>
    <x v="61"/>
  </r>
  <r>
    <s v="09210102757"/>
    <x v="91"/>
    <x v="62"/>
  </r>
  <r>
    <s v="09210111032"/>
    <x v="92"/>
    <x v="0"/>
  </r>
  <r>
    <s v="09210200851"/>
    <x v="93"/>
    <x v="63"/>
  </r>
  <r>
    <s v="09210205672"/>
    <x v="94"/>
    <x v="64"/>
  </r>
  <r>
    <s v="09210205924"/>
    <x v="95"/>
    <x v="65"/>
  </r>
  <r>
    <s v="09210301460"/>
    <x v="96"/>
    <x v="66"/>
  </r>
  <r>
    <s v="09210406097"/>
    <x v="97"/>
    <x v="67"/>
  </r>
  <r>
    <s v="09210409205"/>
    <x v="98"/>
    <x v="68"/>
  </r>
  <r>
    <s v="09210501167"/>
    <x v="99"/>
    <x v="69"/>
  </r>
  <r>
    <s v="09210503817"/>
    <x v="100"/>
    <x v="70"/>
  </r>
  <r>
    <s v="09210503831"/>
    <x v="101"/>
    <x v="71"/>
  </r>
  <r>
    <s v="09210507040"/>
    <x v="102"/>
    <x v="72"/>
  </r>
  <r>
    <s v="09210507477"/>
    <x v="103"/>
    <x v="73"/>
  </r>
  <r>
    <s v="09210607412"/>
    <x v="104"/>
    <x v="4"/>
  </r>
  <r>
    <s v="09210607436"/>
    <x v="105"/>
    <x v="74"/>
  </r>
  <r>
    <s v="09210705127"/>
    <x v="106"/>
    <x v="75"/>
  </r>
  <r>
    <s v="09210706548"/>
    <x v="107"/>
    <x v="76"/>
  </r>
  <r>
    <s v="09210706999"/>
    <x v="108"/>
    <x v="17"/>
  </r>
  <r>
    <s v="09210804949"/>
    <x v="109"/>
    <x v="21"/>
  </r>
  <r>
    <s v="09210904274"/>
    <x v="110"/>
    <x v="50"/>
  </r>
  <r>
    <s v="09210908216"/>
    <x v="111"/>
    <x v="25"/>
  </r>
  <r>
    <s v="09211003583"/>
    <x v="112"/>
    <x v="77"/>
  </r>
  <r>
    <s v="09211005936"/>
    <x v="113"/>
    <x v="17"/>
  </r>
  <r>
    <s v="09211005974"/>
    <x v="114"/>
    <x v="32"/>
  </r>
  <r>
    <s v="09211010019"/>
    <x v="115"/>
    <x v="17"/>
  </r>
  <r>
    <s v="09211104925"/>
    <x v="116"/>
    <x v="78"/>
  </r>
  <r>
    <s v="09211212916"/>
    <x v="117"/>
    <x v="64"/>
  </r>
  <r>
    <s v="09211302729"/>
    <x v="118"/>
    <x v="79"/>
  </r>
  <r>
    <s v="09211305227"/>
    <x v="119"/>
    <x v="34"/>
  </r>
  <r>
    <s v="09211402009"/>
    <x v="120"/>
    <x v="43"/>
  </r>
  <r>
    <s v="09211404100"/>
    <x v="121"/>
    <x v="80"/>
  </r>
  <r>
    <s v="09211411278"/>
    <x v="122"/>
    <x v="48"/>
  </r>
  <r>
    <s v="09211412248"/>
    <x v="123"/>
    <x v="81"/>
  </r>
  <r>
    <s v="09211502310"/>
    <x v="124"/>
    <x v="4"/>
  </r>
  <r>
    <s v="09211503908"/>
    <x v="125"/>
    <x v="82"/>
  </r>
  <r>
    <s v="09211601354"/>
    <x v="126"/>
    <x v="29"/>
  </r>
  <r>
    <s v="09211601385"/>
    <x v="127"/>
    <x v="83"/>
  </r>
  <r>
    <s v="09211601408"/>
    <x v="128"/>
    <x v="84"/>
  </r>
  <r>
    <s v="09211700664"/>
    <x v="129"/>
    <x v="85"/>
  </r>
  <r>
    <s v="09211700701"/>
    <x v="130"/>
    <x v="24"/>
  </r>
  <r>
    <s v="09211700855"/>
    <x v="131"/>
    <x v="86"/>
  </r>
  <r>
    <s v="09211702024"/>
    <x v="132"/>
    <x v="87"/>
  </r>
  <r>
    <s v="09211801440"/>
    <x v="133"/>
    <x v="83"/>
  </r>
  <r>
    <s v="09211801464"/>
    <x v="134"/>
    <x v="46"/>
  </r>
  <r>
    <s v="09211803947"/>
    <x v="135"/>
    <x v="77"/>
  </r>
  <r>
    <s v="09211902011"/>
    <x v="136"/>
    <x v="29"/>
  </r>
  <r>
    <s v="09211906282"/>
    <x v="137"/>
    <x v="45"/>
  </r>
  <r>
    <s v="09211906305"/>
    <x v="137"/>
    <x v="88"/>
  </r>
  <r>
    <s v="09211908451"/>
    <x v="138"/>
    <x v="40"/>
  </r>
  <r>
    <s v="09211909674"/>
    <x v="139"/>
    <x v="89"/>
  </r>
  <r>
    <s v="09212001092"/>
    <x v="140"/>
    <x v="90"/>
  </r>
  <r>
    <s v="09212200408"/>
    <x v="141"/>
    <x v="91"/>
  </r>
  <r>
    <s v="09212300184"/>
    <x v="142"/>
    <x v="18"/>
  </r>
  <r>
    <s v="09212509149"/>
    <x v="143"/>
    <x v="52"/>
  </r>
  <r>
    <s v="09212610942"/>
    <x v="144"/>
    <x v="59"/>
  </r>
  <r>
    <s v="09212700984"/>
    <x v="145"/>
    <x v="85"/>
  </r>
  <r>
    <s v="09212704926"/>
    <x v="146"/>
    <x v="92"/>
  </r>
  <r>
    <s v="09212704964"/>
    <x v="146"/>
    <x v="93"/>
  </r>
  <r>
    <s v="09213007141"/>
    <x v="147"/>
    <x v="92"/>
  </r>
  <r>
    <s v="09220204047"/>
    <x v="148"/>
    <x v="94"/>
  </r>
  <r>
    <s v="09220305687"/>
    <x v="149"/>
    <x v="82"/>
  </r>
  <r>
    <s v="09220307788"/>
    <x v="88"/>
    <x v="95"/>
  </r>
  <r>
    <s v="09220404607"/>
    <x v="150"/>
    <x v="21"/>
  </r>
  <r>
    <s v="09220404645"/>
    <x v="151"/>
    <x v="96"/>
  </r>
  <r>
    <s v="09220504024"/>
    <x v="130"/>
    <x v="88"/>
  </r>
  <r>
    <s v="09220504048"/>
    <x v="152"/>
    <x v="97"/>
  </r>
  <r>
    <s v="09220704127"/>
    <x v="153"/>
    <x v="98"/>
  </r>
  <r>
    <s v="09221103062"/>
    <x v="154"/>
    <x v="99"/>
  </r>
  <r>
    <s v="09221200547"/>
    <x v="155"/>
    <x v="75"/>
  </r>
  <r>
    <s v="09221202204"/>
    <x v="156"/>
    <x v="75"/>
  </r>
  <r>
    <s v="09221205443"/>
    <x v="157"/>
    <x v="88"/>
  </r>
  <r>
    <s v="09221205481"/>
    <x v="158"/>
    <x v="100"/>
  </r>
  <r>
    <s v="09221205504"/>
    <x v="159"/>
    <x v="99"/>
  </r>
  <r>
    <s v="09221205528"/>
    <x v="160"/>
    <x v="99"/>
  </r>
  <r>
    <s v="09221301682"/>
    <x v="161"/>
    <x v="37"/>
  </r>
  <r>
    <s v="09221302980"/>
    <x v="162"/>
    <x v="101"/>
  </r>
  <r>
    <s v="09221304623"/>
    <x v="163"/>
    <x v="96"/>
  </r>
  <r>
    <s v="09221309963"/>
    <x v="164"/>
    <x v="23"/>
  </r>
  <r>
    <s v="09221402888"/>
    <x v="165"/>
    <x v="99"/>
  </r>
  <r>
    <s v="09221601003"/>
    <x v="166"/>
    <x v="59"/>
  </r>
  <r>
    <s v="09221608888"/>
    <x v="167"/>
    <x v="102"/>
  </r>
  <r>
    <s v="09221702025"/>
    <x v="168"/>
    <x v="46"/>
  </r>
  <r>
    <s v="09221804109"/>
    <x v="169"/>
    <x v="24"/>
  </r>
  <r>
    <s v="09291901773"/>
    <x v="170"/>
    <x v="9"/>
  </r>
  <r>
    <s v="09292008233"/>
    <x v="171"/>
    <x v="103"/>
  </r>
  <r>
    <s v="09292105855"/>
    <x v="172"/>
    <x v="32"/>
  </r>
  <r>
    <s v="09292105879"/>
    <x v="173"/>
    <x v="40"/>
  </r>
  <r>
    <s v="09292213174"/>
    <x v="174"/>
    <x v="104"/>
  </r>
  <r>
    <s v="09292314615"/>
    <x v="175"/>
    <x v="40"/>
  </r>
  <r>
    <s v="09292509833"/>
    <x v="176"/>
    <x v="5"/>
  </r>
  <r>
    <s v="09292604859"/>
    <x v="177"/>
    <x v="40"/>
  </r>
  <r>
    <s v="09292604873"/>
    <x v="178"/>
    <x v="48"/>
  </r>
  <r>
    <s v="09292704191"/>
    <x v="179"/>
    <x v="105"/>
  </r>
  <r>
    <s v="09292707019"/>
    <x v="180"/>
    <x v="90"/>
  </r>
  <r>
    <s v="09292809391"/>
    <x v="181"/>
    <x v="106"/>
  </r>
  <r>
    <s v="09292810890"/>
    <x v="182"/>
    <x v="40"/>
  </r>
  <r>
    <s v="09292909312"/>
    <x v="183"/>
    <x v="107"/>
  </r>
  <r>
    <s v="09293002410"/>
    <x v="184"/>
    <x v="108"/>
  </r>
  <r>
    <s v="09300109015"/>
    <x v="185"/>
    <x v="64"/>
  </r>
  <r>
    <s v="09300205292"/>
    <x v="186"/>
    <x v="54"/>
  </r>
  <r>
    <s v="09300608057"/>
    <x v="187"/>
    <x v="89"/>
  </r>
  <r>
    <s v="09300710196"/>
    <x v="188"/>
    <x v="90"/>
  </r>
  <r>
    <s v="09300804514"/>
    <x v="189"/>
    <x v="109"/>
  </r>
  <r>
    <s v="09301004012"/>
    <x v="13"/>
    <x v="53"/>
  </r>
  <r>
    <s v="09301206759"/>
    <x v="190"/>
    <x v="106"/>
  </r>
  <r>
    <s v="09301206797"/>
    <x v="191"/>
    <x v="110"/>
  </r>
  <r>
    <s v="09301303371"/>
    <x v="192"/>
    <x v="111"/>
  </r>
  <r>
    <s v="09301402414"/>
    <x v="193"/>
    <x v="112"/>
  </r>
  <r>
    <s v="09301405172"/>
    <x v="194"/>
    <x v="48"/>
  </r>
  <r>
    <s v="09301500334"/>
    <x v="195"/>
    <x v="10"/>
  </r>
  <r>
    <s v="09301601097"/>
    <x v="196"/>
    <x v="2"/>
  </r>
  <r>
    <s v="09302001353"/>
    <x v="197"/>
    <x v="40"/>
  </r>
  <r>
    <s v="09302011011"/>
    <x v="198"/>
    <x v="53"/>
  </r>
  <r>
    <s v="09302100793"/>
    <x v="198"/>
    <x v="4"/>
  </r>
  <r>
    <s v="09302201333"/>
    <x v="199"/>
    <x v="20"/>
  </r>
  <r>
    <s v="09302304838"/>
    <x v="200"/>
    <x v="31"/>
  </r>
  <r>
    <s v="09302308382"/>
    <x v="201"/>
    <x v="82"/>
  </r>
  <r>
    <s v="09302400657"/>
    <x v="202"/>
    <x v="10"/>
  </r>
  <r>
    <s v="09302502274"/>
    <x v="9"/>
    <x v="11"/>
  </r>
  <r>
    <s v="09302602400"/>
    <x v="203"/>
    <x v="113"/>
  </r>
  <r>
    <s v="09302609421"/>
    <x v="204"/>
    <x v="24"/>
  </r>
  <r>
    <s v="09302702421"/>
    <x v="205"/>
    <x v="98"/>
  </r>
  <r>
    <s v="09302711423"/>
    <x v="206"/>
    <x v="79"/>
  </r>
  <r>
    <s v="09302801182"/>
    <x v="207"/>
    <x v="43"/>
  </r>
  <r>
    <s v="09302806088"/>
    <x v="208"/>
    <x v="99"/>
  </r>
  <r>
    <s v="09302806613"/>
    <x v="209"/>
    <x v="4"/>
  </r>
  <r>
    <s v="09302809661"/>
    <x v="210"/>
    <x v="99"/>
  </r>
  <r>
    <s v="09302909729"/>
    <x v="211"/>
    <x v="77"/>
  </r>
  <r>
    <s v="09302909767"/>
    <x v="212"/>
    <x v="77"/>
  </r>
  <r>
    <s v="09303003200"/>
    <x v="213"/>
    <x v="45"/>
  </r>
  <r>
    <s v="09303005042"/>
    <x v="214"/>
    <x v="100"/>
  </r>
  <r>
    <s v="09303005066"/>
    <x v="215"/>
    <x v="114"/>
  </r>
  <r>
    <s v="09303005080"/>
    <x v="216"/>
    <x v="85"/>
  </r>
  <r>
    <s v="09303005141"/>
    <x v="217"/>
    <x v="115"/>
  </r>
  <r>
    <s v="09303009855"/>
    <x v="218"/>
    <x v="116"/>
  </r>
  <r>
    <s v="09310202696"/>
    <x v="219"/>
    <x v="117"/>
  </r>
  <r>
    <s v="09310208166"/>
    <x v="220"/>
    <x v="69"/>
  </r>
  <r>
    <s v="09310208432"/>
    <x v="221"/>
    <x v="29"/>
  </r>
  <r>
    <s v="09310302570"/>
    <x v="222"/>
    <x v="4"/>
  </r>
  <r>
    <s v="09310302617"/>
    <x v="223"/>
    <x v="104"/>
  </r>
  <r>
    <s v="09310310236"/>
    <x v="224"/>
    <x v="73"/>
  </r>
  <r>
    <s v="09310403981"/>
    <x v="225"/>
    <x v="18"/>
  </r>
  <r>
    <s v="09310407886"/>
    <x v="226"/>
    <x v="72"/>
  </r>
  <r>
    <s v="09310408399"/>
    <x v="227"/>
    <x v="12"/>
  </r>
  <r>
    <s v="09310500954"/>
    <x v="33"/>
    <x v="32"/>
  </r>
  <r>
    <s v="09310503841"/>
    <x v="228"/>
    <x v="76"/>
  </r>
  <r>
    <s v="09310600579"/>
    <x v="229"/>
    <x v="40"/>
  </r>
  <r>
    <s v="09310705410"/>
    <x v="230"/>
    <x v="25"/>
  </r>
  <r>
    <s v="09310804898"/>
    <x v="231"/>
    <x v="118"/>
  </r>
  <r>
    <s v="09310901731"/>
    <x v="232"/>
    <x v="4"/>
  </r>
  <r>
    <s v="09310906101"/>
    <x v="233"/>
    <x v="19"/>
  </r>
  <r>
    <s v="09310906125"/>
    <x v="234"/>
    <x v="35"/>
  </r>
  <r>
    <s v="09311000965"/>
    <x v="235"/>
    <x v="57"/>
  </r>
  <r>
    <s v="09311005144"/>
    <x v="236"/>
    <x v="119"/>
  </r>
  <r>
    <s v="09311005632"/>
    <x v="237"/>
    <x v="14"/>
  </r>
  <r>
    <s v="09311009704"/>
    <x v="238"/>
    <x v="59"/>
  </r>
  <r>
    <s v="09311103163"/>
    <x v="130"/>
    <x v="45"/>
  </r>
  <r>
    <s v="09311103484"/>
    <x v="239"/>
    <x v="75"/>
  </r>
  <r>
    <s v="09311204208"/>
    <x v="240"/>
    <x v="120"/>
  </r>
  <r>
    <s v="09311204284"/>
    <x v="241"/>
    <x v="82"/>
  </r>
  <r>
    <s v="09311303426"/>
    <x v="242"/>
    <x v="59"/>
  </r>
  <r>
    <s v="09311303679"/>
    <x v="243"/>
    <x v="121"/>
  </r>
  <r>
    <s v="09311303693"/>
    <x v="244"/>
    <x v="122"/>
  </r>
  <r>
    <s v="09311308469"/>
    <x v="245"/>
    <x v="123"/>
  </r>
  <r>
    <s v="09311310792"/>
    <x v="85"/>
    <x v="0"/>
  </r>
  <r>
    <s v="09311505163"/>
    <x v="246"/>
    <x v="57"/>
  </r>
  <r>
    <s v="09311601388"/>
    <x v="247"/>
    <x v="46"/>
  </r>
  <r>
    <s v="09311601425"/>
    <x v="248"/>
    <x v="91"/>
  </r>
  <r>
    <s v="09311701118"/>
    <x v="249"/>
    <x v="124"/>
  </r>
  <r>
    <s v="09311706359"/>
    <x v="250"/>
    <x v="107"/>
  </r>
  <r>
    <s v="09311711463"/>
    <x v="251"/>
    <x v="15"/>
  </r>
  <r>
    <s v="09311806622"/>
    <x v="252"/>
    <x v="83"/>
  </r>
  <r>
    <s v="09311907224"/>
    <x v="253"/>
    <x v="102"/>
  </r>
  <r>
    <s v="09311908720"/>
    <x v="254"/>
    <x v="125"/>
  </r>
  <r>
    <s v="09312003684"/>
    <x v="255"/>
    <x v="83"/>
  </r>
  <r>
    <s v="09312003707"/>
    <x v="256"/>
    <x v="98"/>
  </r>
  <r>
    <s v="09312008337"/>
    <x v="257"/>
    <x v="32"/>
  </r>
  <r>
    <s v="09312103018"/>
    <x v="258"/>
    <x v="11"/>
  </r>
  <r>
    <s v="09312104743"/>
    <x v="259"/>
    <x v="97"/>
  </r>
  <r>
    <s v="09312106127"/>
    <x v="260"/>
    <x v="79"/>
  </r>
  <r>
    <s v="09312201877"/>
    <x v="261"/>
    <x v="126"/>
  </r>
  <r>
    <s v="09312304525"/>
    <x v="262"/>
    <x v="34"/>
  </r>
  <r>
    <s v="09312307276"/>
    <x v="263"/>
    <x v="127"/>
  </r>
  <r>
    <s v="09312408236"/>
    <x v="264"/>
    <x v="20"/>
  </r>
  <r>
    <s v="09312503412"/>
    <x v="265"/>
    <x v="17"/>
  </r>
  <r>
    <s v="09312505797"/>
    <x v="266"/>
    <x v="28"/>
  </r>
  <r>
    <s v="09312505810"/>
    <x v="267"/>
    <x v="20"/>
  </r>
  <r>
    <s v="09312605138"/>
    <x v="268"/>
    <x v="109"/>
  </r>
  <r>
    <s v="09312605176"/>
    <x v="269"/>
    <x v="20"/>
  </r>
  <r>
    <s v="09312704714"/>
    <x v="270"/>
    <x v="107"/>
  </r>
  <r>
    <s v="09312808395"/>
    <x v="271"/>
    <x v="25"/>
  </r>
  <r>
    <s v="09312902686"/>
    <x v="272"/>
    <x v="115"/>
  </r>
  <r>
    <s v="09313002170"/>
    <x v="273"/>
    <x v="128"/>
  </r>
  <r>
    <s v="09313003584"/>
    <x v="274"/>
    <x v="52"/>
  </r>
  <r>
    <s v="09313003607"/>
    <x v="129"/>
    <x v="85"/>
  </r>
  <r>
    <s v="09313008381"/>
    <x v="275"/>
    <x v="30"/>
  </r>
  <r>
    <s v="09313010294"/>
    <x v="276"/>
    <x v="40"/>
  </r>
  <r>
    <s v="09320105440"/>
    <x v="277"/>
    <x v="129"/>
  </r>
  <r>
    <s v="09320200961"/>
    <x v="278"/>
    <x v="99"/>
  </r>
  <r>
    <s v="09320300586"/>
    <x v="98"/>
    <x v="21"/>
  </r>
  <r>
    <s v="09320311214"/>
    <x v="279"/>
    <x v="29"/>
  </r>
  <r>
    <s v="09320401737"/>
    <x v="280"/>
    <x v="60"/>
  </r>
  <r>
    <s v="09320408093"/>
    <x v="281"/>
    <x v="29"/>
  </r>
  <r>
    <s v="09320505837"/>
    <x v="63"/>
    <x v="53"/>
  </r>
  <r>
    <s v="09320509077"/>
    <x v="282"/>
    <x v="38"/>
  </r>
  <r>
    <s v="09320605025"/>
    <x v="283"/>
    <x v="97"/>
  </r>
  <r>
    <s v="09320805814"/>
    <x v="284"/>
    <x v="6"/>
  </r>
  <r>
    <s v="09320905187"/>
    <x v="285"/>
    <x v="130"/>
  </r>
  <r>
    <s v="09321008971"/>
    <x v="286"/>
    <x v="12"/>
  </r>
  <r>
    <s v="09321103584"/>
    <x v="287"/>
    <x v="99"/>
  </r>
  <r>
    <s v="09321103607"/>
    <x v="153"/>
    <x v="52"/>
  </r>
  <r>
    <s v="09321202085"/>
    <x v="288"/>
    <x v="131"/>
  </r>
  <r>
    <s v="09321202160"/>
    <x v="289"/>
    <x v="30"/>
  </r>
  <r>
    <s v="09321202375"/>
    <x v="290"/>
    <x v="132"/>
  </r>
  <r>
    <s v="09321202436"/>
    <x v="42"/>
    <x v="20"/>
  </r>
  <r>
    <s v="09321208296"/>
    <x v="270"/>
    <x v="53"/>
  </r>
  <r>
    <s v="09321301401"/>
    <x v="291"/>
    <x v="46"/>
  </r>
  <r>
    <s v="09321305122"/>
    <x v="292"/>
    <x v="34"/>
  </r>
  <r>
    <s v="09321401422"/>
    <x v="293"/>
    <x v="24"/>
  </r>
  <r>
    <s v="09321407220"/>
    <x v="294"/>
    <x v="59"/>
  </r>
  <r>
    <s v="09321501160"/>
    <x v="295"/>
    <x v="83"/>
  </r>
  <r>
    <s v="09321501177"/>
    <x v="76"/>
    <x v="50"/>
  </r>
  <r>
    <s v="09321607125"/>
    <x v="296"/>
    <x v="97"/>
  </r>
  <r>
    <s v="09321611788"/>
    <x v="297"/>
    <x v="98"/>
  </r>
  <r>
    <s v="09321706992"/>
    <x v="298"/>
    <x v="133"/>
  </r>
  <r>
    <s v="09321805936"/>
    <x v="37"/>
    <x v="17"/>
  </r>
  <r>
    <s v="09321903900"/>
    <x v="299"/>
    <x v="69"/>
  </r>
  <r>
    <s v="09321903917"/>
    <x v="300"/>
    <x v="134"/>
  </r>
  <r>
    <s v="09321905469"/>
    <x v="301"/>
    <x v="23"/>
  </r>
  <r>
    <s v="09322003265"/>
    <x v="302"/>
    <x v="79"/>
  </r>
  <r>
    <s v="09322103743"/>
    <x v="303"/>
    <x v="135"/>
  </r>
  <r>
    <s v="09322103842"/>
    <x v="304"/>
    <x v="92"/>
  </r>
  <r>
    <s v="09322106333"/>
    <x v="299"/>
    <x v="29"/>
  </r>
  <r>
    <s v="09322106357"/>
    <x v="305"/>
    <x v="107"/>
  </r>
  <r>
    <s v="09322109039"/>
    <x v="306"/>
    <x v="10"/>
  </r>
  <r>
    <s v="09322202879"/>
    <x v="307"/>
    <x v="32"/>
  </r>
  <r>
    <s v="09322302180"/>
    <x v="308"/>
    <x v="66"/>
  </r>
  <r>
    <s v="09322306528"/>
    <x v="309"/>
    <x v="30"/>
  </r>
  <r>
    <s v="09322402767"/>
    <x v="310"/>
    <x v="15"/>
  </r>
  <r>
    <s v="09322501336"/>
    <x v="311"/>
    <x v="48"/>
  </r>
  <r>
    <s v="09322505941"/>
    <x v="312"/>
    <x v="136"/>
  </r>
  <r>
    <s v="09322602686"/>
    <x v="313"/>
    <x v="83"/>
  </r>
  <r>
    <s v="09322702454"/>
    <x v="314"/>
    <x v="64"/>
  </r>
  <r>
    <s v="09322705310"/>
    <x v="245"/>
    <x v="137"/>
  </r>
  <r>
    <s v="09322705358"/>
    <x v="315"/>
    <x v="29"/>
  </r>
  <r>
    <s v="09322802260"/>
    <x v="316"/>
    <x v="21"/>
  </r>
  <r>
    <s v="09322805690"/>
    <x v="317"/>
    <x v="28"/>
  </r>
  <r>
    <s v="09322905758"/>
    <x v="318"/>
    <x v="28"/>
  </r>
  <r>
    <s v="09322907675"/>
    <x v="319"/>
    <x v="2"/>
  </r>
  <r>
    <s v="09322909004"/>
    <x v="320"/>
    <x v="87"/>
  </r>
  <r>
    <s v="09323004647"/>
    <x v="321"/>
    <x v="91"/>
  </r>
  <r>
    <s v="09323004692"/>
    <x v="322"/>
    <x v="110"/>
  </r>
  <r>
    <s v="09323004715"/>
    <x v="323"/>
    <x v="138"/>
  </r>
  <r>
    <s v="09323004753"/>
    <x v="324"/>
    <x v="25"/>
  </r>
  <r>
    <s v="09323004777"/>
    <x v="325"/>
    <x v="40"/>
  </r>
  <r>
    <s v="09323004791"/>
    <x v="326"/>
    <x v="5"/>
  </r>
  <r>
    <s v="09323103810"/>
    <x v="327"/>
    <x v="139"/>
  </r>
  <r>
    <s v="09323105621"/>
    <x v="328"/>
    <x v="140"/>
  </r>
  <r>
    <s v="50021011352"/>
    <x v="329"/>
    <x v="4"/>
  </r>
  <r>
    <s v="50101111305"/>
    <x v="330"/>
    <x v="141"/>
  </r>
  <r>
    <s v="50102636355"/>
    <x v="331"/>
    <x v="142"/>
  </r>
  <r>
    <s v="51011153311"/>
    <x v="332"/>
    <x v="16"/>
  </r>
  <r>
    <s v="51102573842"/>
    <x v="333"/>
    <x v="141"/>
  </r>
  <r>
    <s v="52101156863"/>
    <x v="334"/>
    <x v="37"/>
  </r>
  <r>
    <s v="52110446139"/>
    <x v="335"/>
    <x v="143"/>
  </r>
  <r>
    <s v="53082806059"/>
    <x v="336"/>
    <x v="143"/>
  </r>
  <r>
    <s v="53122299122"/>
    <x v="337"/>
    <x v="98"/>
  </r>
  <r>
    <s v="54020837137"/>
    <x v="338"/>
    <x v="144"/>
  </r>
  <r>
    <s v="55022153432"/>
    <x v="339"/>
    <x v="107"/>
  </r>
  <r>
    <s v="55110906690"/>
    <x v="340"/>
    <x v="32"/>
  </r>
  <r>
    <s v="55123128973"/>
    <x v="341"/>
    <x v="145"/>
  </r>
  <r>
    <s v="56111161549"/>
    <x v="342"/>
    <x v="77"/>
  </r>
  <r>
    <s v="57073163051"/>
    <x v="343"/>
    <x v="146"/>
  </r>
  <r>
    <s v="57102202414"/>
    <x v="344"/>
    <x v="20"/>
  </r>
  <r>
    <s v="58122188027"/>
    <x v="345"/>
    <x v="77"/>
  </r>
  <r>
    <s v="59031152059"/>
    <x v="346"/>
    <x v="4"/>
  </r>
  <r>
    <s v="59042989686"/>
    <x v="347"/>
    <x v="77"/>
  </r>
  <r>
    <s v="59083036077"/>
    <x v="348"/>
    <x v="64"/>
  </r>
  <r>
    <s v="59110570565"/>
    <x v="349"/>
    <x v="119"/>
  </r>
  <r>
    <s v="60102890107"/>
    <x v="350"/>
    <x v="102"/>
  </r>
  <r>
    <s v="61032479116"/>
    <x v="351"/>
    <x v="147"/>
  </r>
  <r>
    <s v="61100157652"/>
    <x v="352"/>
    <x v="148"/>
  </r>
  <r>
    <s v="61121020469"/>
    <x v="353"/>
    <x v="77"/>
  </r>
  <r>
    <s v="62033089803"/>
    <x v="354"/>
    <x v="149"/>
  </r>
  <r>
    <s v="62092569090"/>
    <x v="355"/>
    <x v="4"/>
  </r>
  <r>
    <s v="63092608644"/>
    <x v="356"/>
    <x v="87"/>
  </r>
  <r>
    <s v="63102092944"/>
    <x v="357"/>
    <x v="150"/>
  </r>
  <r>
    <s v="63122755182"/>
    <x v="358"/>
    <x v="77"/>
  </r>
  <r>
    <s v="64022301455"/>
    <x v="359"/>
    <x v="1"/>
  </r>
  <r>
    <s v="64040919575"/>
    <x v="360"/>
    <x v="2"/>
  </r>
  <r>
    <s v="64063159211"/>
    <x v="361"/>
    <x v="40"/>
  </r>
  <r>
    <s v="65062892381"/>
    <x v="362"/>
    <x v="151"/>
  </r>
  <r>
    <s v="65092056892"/>
    <x v="363"/>
    <x v="152"/>
  </r>
  <r>
    <s v="65102086116"/>
    <x v="364"/>
    <x v="153"/>
  </r>
  <r>
    <s v="66063014631"/>
    <x v="365"/>
    <x v="10"/>
  </r>
  <r>
    <s v="66100294134"/>
    <x v="346"/>
    <x v="4"/>
  </r>
  <r>
    <s v="66100651663"/>
    <x v="366"/>
    <x v="100"/>
  </r>
  <r>
    <s v="66111176164"/>
    <x v="367"/>
    <x v="51"/>
  </r>
  <r>
    <s v="66113183995"/>
    <x v="368"/>
    <x v="144"/>
  </r>
  <r>
    <s v="67103111042"/>
    <x v="369"/>
    <x v="77"/>
  </r>
  <r>
    <s v="67112966668"/>
    <x v="129"/>
    <x v="85"/>
  </r>
  <r>
    <s v="67113048790"/>
    <x v="370"/>
    <x v="40"/>
  </r>
  <r>
    <s v="67120749923"/>
    <x v="371"/>
    <x v="77"/>
  </r>
  <r>
    <s v="68112117597"/>
    <x v="372"/>
    <x v="64"/>
  </r>
  <r>
    <s v="69030626134"/>
    <x v="373"/>
    <x v="10"/>
  </r>
  <r>
    <s v="69122174118"/>
    <x v="374"/>
    <x v="107"/>
  </r>
  <r>
    <s v="70032057433"/>
    <x v="375"/>
    <x v="40"/>
  </r>
  <r>
    <s v="70053179170"/>
    <x v="376"/>
    <x v="154"/>
  </r>
  <r>
    <s v="70101195486"/>
    <x v="377"/>
    <x v="66"/>
  </r>
  <r>
    <s v="70120794633"/>
    <x v="378"/>
    <x v="107"/>
  </r>
  <r>
    <s v="71093058856"/>
    <x v="379"/>
    <x v="40"/>
  </r>
  <r>
    <s v="71110410883"/>
    <x v="380"/>
    <x v="102"/>
  </r>
  <r>
    <s v="71112677514"/>
    <x v="381"/>
    <x v="133"/>
  </r>
  <r>
    <s v="71123061643"/>
    <x v="382"/>
    <x v="119"/>
  </r>
  <r>
    <s v="72031096705"/>
    <x v="383"/>
    <x v="155"/>
  </r>
  <r>
    <s v="73010399576"/>
    <x v="384"/>
    <x v="20"/>
  </r>
  <r>
    <s v="73070871368"/>
    <x v="385"/>
    <x v="24"/>
  </r>
  <r>
    <s v="73103000844"/>
    <x v="386"/>
    <x v="102"/>
  </r>
  <r>
    <s v="73112328551"/>
    <x v="76"/>
    <x v="152"/>
  </r>
  <r>
    <s v="74040249598"/>
    <x v="387"/>
    <x v="104"/>
  </r>
  <r>
    <s v="74120284541"/>
    <x v="388"/>
    <x v="100"/>
  </r>
  <r>
    <s v="74121108598"/>
    <x v="389"/>
    <x v="104"/>
  </r>
  <r>
    <s v="74123184206"/>
    <x v="390"/>
    <x v="91"/>
  </r>
  <r>
    <s v="75032006098"/>
    <x v="391"/>
    <x v="20"/>
  </r>
  <r>
    <s v="75113162747"/>
    <x v="392"/>
    <x v="24"/>
  </r>
  <r>
    <s v="75121005045"/>
    <x v="393"/>
    <x v="156"/>
  </r>
  <r>
    <s v="75123199317"/>
    <x v="62"/>
    <x v="28"/>
  </r>
  <r>
    <s v="76043054555"/>
    <x v="394"/>
    <x v="10"/>
  </r>
  <r>
    <s v="76043169949"/>
    <x v="395"/>
    <x v="157"/>
  </r>
  <r>
    <s v="76121186303"/>
    <x v="396"/>
    <x v="55"/>
  </r>
  <r>
    <s v="76122752028"/>
    <x v="397"/>
    <x v="157"/>
  </r>
  <r>
    <s v="77111084850"/>
    <x v="398"/>
    <x v="64"/>
  </r>
  <r>
    <s v="78011115028"/>
    <x v="399"/>
    <x v="77"/>
  </r>
  <r>
    <s v="78102945963"/>
    <x v="400"/>
    <x v="99"/>
  </r>
  <r>
    <s v="78103188695"/>
    <x v="80"/>
    <x v="40"/>
  </r>
  <r>
    <s v="78123189018"/>
    <x v="401"/>
    <x v="116"/>
  </r>
  <r>
    <s v="79012564484"/>
    <x v="402"/>
    <x v="99"/>
  </r>
  <r>
    <s v="79070627831"/>
    <x v="403"/>
    <x v="7"/>
  </r>
  <r>
    <s v="79101146737"/>
    <x v="404"/>
    <x v="64"/>
  </r>
  <r>
    <s v="79110673709"/>
    <x v="405"/>
    <x v="72"/>
  </r>
  <r>
    <s v="81081010863"/>
    <x v="406"/>
    <x v="158"/>
  </r>
  <r>
    <s v="81101148770"/>
    <x v="407"/>
    <x v="64"/>
  </r>
  <r>
    <s v="82072219267"/>
    <x v="408"/>
    <x v="65"/>
  </r>
  <r>
    <s v="83041947282"/>
    <x v="409"/>
    <x v="159"/>
  </r>
  <r>
    <s v="84050694367"/>
    <x v="410"/>
    <x v="30"/>
  </r>
  <r>
    <s v="84051294894"/>
    <x v="411"/>
    <x v="154"/>
  </r>
  <r>
    <s v="84051840149"/>
    <x v="412"/>
    <x v="160"/>
  </r>
  <r>
    <s v="84112185145"/>
    <x v="413"/>
    <x v="161"/>
  </r>
  <r>
    <s v="85031079443"/>
    <x v="414"/>
    <x v="99"/>
  </r>
  <r>
    <s v="85052135674"/>
    <x v="415"/>
    <x v="40"/>
  </r>
  <r>
    <s v="85052568643"/>
    <x v="416"/>
    <x v="69"/>
  </r>
  <r>
    <s v="85052605175"/>
    <x v="417"/>
    <x v="5"/>
  </r>
  <r>
    <s v="85111779283"/>
    <x v="418"/>
    <x v="162"/>
  </r>
  <r>
    <s v="86061995325"/>
    <x v="419"/>
    <x v="66"/>
  </r>
  <r>
    <s v="86070511185"/>
    <x v="408"/>
    <x v="97"/>
  </r>
  <r>
    <s v="86070630583"/>
    <x v="420"/>
    <x v="52"/>
  </r>
  <r>
    <s v="86072032543"/>
    <x v="421"/>
    <x v="163"/>
  </r>
  <r>
    <s v="86080941169"/>
    <x v="422"/>
    <x v="57"/>
  </r>
  <r>
    <s v="86081443325"/>
    <x v="423"/>
    <x v="24"/>
  </r>
  <r>
    <s v="87070895372"/>
    <x v="424"/>
    <x v="164"/>
  </r>
  <r>
    <s v="87071164662"/>
    <x v="425"/>
    <x v="22"/>
  </r>
  <r>
    <s v="87072724289"/>
    <x v="426"/>
    <x v="46"/>
  </r>
  <r>
    <s v="88080204509"/>
    <x v="427"/>
    <x v="46"/>
  </r>
  <r>
    <s v="88080416256"/>
    <x v="428"/>
    <x v="40"/>
  </r>
  <r>
    <s v="88080601948"/>
    <x v="429"/>
    <x v="19"/>
  </r>
  <r>
    <s v="88103032931"/>
    <x v="430"/>
    <x v="54"/>
  </r>
  <r>
    <s v="88111094545"/>
    <x v="431"/>
    <x v="99"/>
  </r>
  <r>
    <s v="88120262427"/>
    <x v="432"/>
    <x v="24"/>
  </r>
  <r>
    <s v="89010293604"/>
    <x v="433"/>
    <x v="37"/>
  </r>
  <r>
    <s v="89010737704"/>
    <x v="434"/>
    <x v="36"/>
  </r>
  <r>
    <s v="89011129700"/>
    <x v="435"/>
    <x v="15"/>
  </r>
  <r>
    <s v="89011581319"/>
    <x v="436"/>
    <x v="64"/>
  </r>
  <r>
    <s v="89012630357"/>
    <x v="437"/>
    <x v="32"/>
  </r>
  <r>
    <s v="89020265394"/>
    <x v="438"/>
    <x v="40"/>
  </r>
  <r>
    <s v="89021468413"/>
    <x v="439"/>
    <x v="32"/>
  </r>
  <r>
    <s v="89021697637"/>
    <x v="43"/>
    <x v="54"/>
  </r>
  <r>
    <s v="89022379914"/>
    <x v="440"/>
    <x v="17"/>
  </r>
  <r>
    <s v="89032143350"/>
    <x v="441"/>
    <x v="4"/>
  </r>
  <r>
    <s v="89040185241"/>
    <x v="442"/>
    <x v="165"/>
  </r>
  <r>
    <s v="89040205480"/>
    <x v="443"/>
    <x v="100"/>
  </r>
  <r>
    <s v="89040633348"/>
    <x v="444"/>
    <x v="69"/>
  </r>
  <r>
    <s v="89040876453"/>
    <x v="445"/>
    <x v="6"/>
  </r>
  <r>
    <s v="89041133472"/>
    <x v="446"/>
    <x v="53"/>
  </r>
  <r>
    <s v="89042620494"/>
    <x v="447"/>
    <x v="166"/>
  </r>
  <r>
    <s v="89042750933"/>
    <x v="448"/>
    <x v="40"/>
  </r>
  <r>
    <s v="89052085069"/>
    <x v="449"/>
    <x v="35"/>
  </r>
  <r>
    <s v="89052295172"/>
    <x v="450"/>
    <x v="73"/>
  </r>
  <r>
    <s v="89062644823"/>
    <x v="451"/>
    <x v="120"/>
  </r>
  <r>
    <s v="89081519801"/>
    <x v="452"/>
    <x v="24"/>
  </r>
  <r>
    <s v="89082179879"/>
    <x v="453"/>
    <x v="13"/>
  </r>
  <r>
    <s v="89082608599"/>
    <x v="227"/>
    <x v="54"/>
  </r>
  <r>
    <s v="89091482250"/>
    <x v="454"/>
    <x v="167"/>
  </r>
  <r>
    <s v="89100192752"/>
    <x v="455"/>
    <x v="9"/>
  </r>
  <r>
    <s v="89102588171"/>
    <x v="456"/>
    <x v="104"/>
  </r>
  <r>
    <s v="89112466825"/>
    <x v="457"/>
    <x v="82"/>
  </r>
  <r>
    <s v="89120952161"/>
    <x v="458"/>
    <x v="23"/>
  </r>
  <r>
    <s v="90053120136"/>
    <x v="459"/>
    <x v="54"/>
  </r>
  <r>
    <s v="90112004373"/>
    <x v="460"/>
    <x v="25"/>
  </r>
  <r>
    <s v="91023191330"/>
    <x v="61"/>
    <x v="148"/>
  </r>
  <r>
    <s v="92080709353"/>
    <x v="461"/>
    <x v="32"/>
  </r>
  <r>
    <m/>
    <x v="462"/>
    <x v="16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s v="08242501475"/>
    <s v="Micun"/>
    <s v="Krzysztof"/>
    <s v="m"/>
    <s v="24"/>
    <n v="4"/>
    <x v="0"/>
  </r>
  <r>
    <s v="08242809191"/>
    <s v="Jablonski"/>
    <s v="Nikodem"/>
    <s v="m"/>
    <s v="24"/>
    <n v="4"/>
    <x v="0"/>
  </r>
  <r>
    <s v="08242912835"/>
    <s v="Leoniuk"/>
    <s v="Marcel"/>
    <s v="m"/>
    <s v="24"/>
    <n v="4"/>
    <x v="0"/>
  </r>
  <r>
    <s v="08250606999"/>
    <s v="Kurasik"/>
    <s v="Marcin"/>
    <s v="m"/>
    <s v="25"/>
    <n v="5"/>
    <x v="1"/>
  </r>
  <r>
    <s v="08251305958"/>
    <s v="Krynicki"/>
    <s v="Mateusz"/>
    <s v="m"/>
    <s v="25"/>
    <n v="5"/>
    <x v="1"/>
  </r>
  <r>
    <s v="08252202698"/>
    <s v="Gibas"/>
    <s v="Patryk"/>
    <s v="m"/>
    <s v="25"/>
    <n v="5"/>
    <x v="1"/>
  </r>
  <r>
    <s v="08260302636"/>
    <s v="Jama"/>
    <s v="Nikodem"/>
    <s v="m"/>
    <s v="26"/>
    <n v="6"/>
    <x v="2"/>
  </r>
  <r>
    <s v="08260401830"/>
    <s v="Chojnacki"/>
    <s v="Jacek"/>
    <s v="m"/>
    <s v="26"/>
    <n v="6"/>
    <x v="2"/>
  </r>
  <r>
    <s v="08261009495"/>
    <s v="Tomczyk"/>
    <s v="Bruno"/>
    <s v="m"/>
    <s v="26"/>
    <n v="6"/>
    <x v="2"/>
  </r>
  <r>
    <s v="08261204258"/>
    <s v="Wojciechowski"/>
    <s v="Alojzy"/>
    <s v="m"/>
    <s v="26"/>
    <n v="6"/>
    <x v="2"/>
  </r>
  <r>
    <s v="08261403695"/>
    <s v="Glac"/>
    <s v="Patryk"/>
    <s v="m"/>
    <s v="26"/>
    <n v="6"/>
    <x v="2"/>
  </r>
  <r>
    <s v="08261601819"/>
    <s v="Lewita"/>
    <s v="Maksymilian"/>
    <s v="m"/>
    <s v="26"/>
    <n v="6"/>
    <x v="2"/>
  </r>
  <r>
    <s v="08261804557"/>
    <s v="Lutczyk"/>
    <s v="Maciej"/>
    <s v="m"/>
    <s v="26"/>
    <n v="6"/>
    <x v="2"/>
  </r>
  <r>
    <s v="08261804595"/>
    <s v="Laskowski"/>
    <s v="Maciej"/>
    <s v="m"/>
    <s v="26"/>
    <n v="6"/>
    <x v="2"/>
  </r>
  <r>
    <s v="08262307035"/>
    <s v="Wolski"/>
    <s v="Aleksander"/>
    <s v="m"/>
    <s v="26"/>
    <n v="6"/>
    <x v="2"/>
  </r>
  <r>
    <s v="08262311957"/>
    <s v="Dabrowa"/>
    <s v="Szymon"/>
    <s v="m"/>
    <s v="26"/>
    <n v="6"/>
    <x v="2"/>
  </r>
  <r>
    <s v="08270104291"/>
    <s v="Iwanowski"/>
    <s v="Olaf"/>
    <s v="m"/>
    <s v="27"/>
    <n v="7"/>
    <x v="3"/>
  </r>
  <r>
    <s v="08270412255"/>
    <s v="Arendt"/>
    <s v="Wojciech"/>
    <s v="m"/>
    <s v="27"/>
    <n v="7"/>
    <x v="3"/>
  </r>
  <r>
    <s v="08272207404"/>
    <s v="Wieczerzak"/>
    <s v="Amelia"/>
    <s v="k"/>
    <s v="27"/>
    <n v="7"/>
    <x v="3"/>
  </r>
  <r>
    <s v="08272207572"/>
    <s v="Jakudczyk"/>
    <s v="Nikodem"/>
    <s v="m"/>
    <s v="27"/>
    <n v="7"/>
    <x v="3"/>
  </r>
  <r>
    <s v="08272312577"/>
    <s v="Gryniewicz"/>
    <s v="Oliwier"/>
    <s v="m"/>
    <s v="27"/>
    <n v="7"/>
    <x v="3"/>
  </r>
  <r>
    <s v="08272703658"/>
    <s v="Kaliszuk"/>
    <s v="Mikolaj"/>
    <s v="m"/>
    <s v="27"/>
    <n v="7"/>
    <x v="3"/>
  </r>
  <r>
    <s v="08272807246"/>
    <s v="Majtas"/>
    <s v="Lucja"/>
    <s v="k"/>
    <s v="27"/>
    <n v="7"/>
    <x v="3"/>
  </r>
  <r>
    <s v="08272903041"/>
    <s v="Grzesiak"/>
    <s v="Nina"/>
    <s v="k"/>
    <s v="27"/>
    <n v="7"/>
    <x v="3"/>
  </r>
  <r>
    <s v="08272911356"/>
    <s v="Freda"/>
    <s v="Piotr"/>
    <s v="m"/>
    <s v="27"/>
    <n v="7"/>
    <x v="3"/>
  </r>
  <r>
    <s v="08280203076"/>
    <s v="Janczynski"/>
    <s v="Nikodem"/>
    <s v="m"/>
    <s v="28"/>
    <n v="8"/>
    <x v="4"/>
  </r>
  <r>
    <s v="08280707488"/>
    <s v="Kossakowska"/>
    <s v="Martyna"/>
    <s v="k"/>
    <s v="28"/>
    <n v="8"/>
    <x v="4"/>
  </r>
  <r>
    <s v="08281204694"/>
    <s v="Korda"/>
    <s v="Maciej"/>
    <s v="m"/>
    <s v="28"/>
    <n v="8"/>
    <x v="4"/>
  </r>
  <r>
    <s v="08281403420"/>
    <s v="Klukowska"/>
    <s v="Matylda"/>
    <s v="k"/>
    <s v="28"/>
    <n v="8"/>
    <x v="4"/>
  </r>
  <r>
    <s v="08281807682"/>
    <s v="Araucz"/>
    <s v="Zuzanna"/>
    <s v="k"/>
    <s v="28"/>
    <n v="8"/>
    <x v="4"/>
  </r>
  <r>
    <s v="08281903982"/>
    <s v="Kuban"/>
    <s v="Maja"/>
    <s v="k"/>
    <s v="28"/>
    <n v="8"/>
    <x v="4"/>
  </r>
  <r>
    <s v="08282001818"/>
    <s v="Rutkowski"/>
    <s v="Igor"/>
    <s v="m"/>
    <s v="28"/>
    <n v="8"/>
    <x v="4"/>
  </r>
  <r>
    <s v="08282003575"/>
    <s v="Mazniewski"/>
    <s v="Krzysztof"/>
    <s v="m"/>
    <s v="28"/>
    <n v="8"/>
    <x v="4"/>
  </r>
  <r>
    <s v="08282108997"/>
    <s v="Pawlak"/>
    <s v="Jerzy"/>
    <s v="m"/>
    <s v="28"/>
    <n v="8"/>
    <x v="4"/>
  </r>
  <r>
    <s v="08282712460"/>
    <s v="Zasowska"/>
    <s v="Agnieszka"/>
    <s v="k"/>
    <s v="28"/>
    <n v="8"/>
    <x v="4"/>
  </r>
  <r>
    <s v="08291104230"/>
    <s v="Korkosz"/>
    <s v="Mateusz"/>
    <s v="m"/>
    <s v="29"/>
    <n v="9"/>
    <x v="5"/>
  </r>
  <r>
    <s v="08291402192"/>
    <s v="Olczak"/>
    <s v="Kacper"/>
    <s v="m"/>
    <s v="29"/>
    <n v="9"/>
    <x v="5"/>
  </r>
  <r>
    <s v="08291402215"/>
    <s v="Kaminski"/>
    <s v="Michal"/>
    <s v="m"/>
    <s v="29"/>
    <n v="9"/>
    <x v="5"/>
  </r>
  <r>
    <s v="08291801342"/>
    <s v="Wlodarczyk"/>
    <s v="Alicja"/>
    <s v="k"/>
    <s v="29"/>
    <n v="9"/>
    <x v="5"/>
  </r>
  <r>
    <s v="08292314397"/>
    <s v="Grubba"/>
    <s v="Oskar"/>
    <s v="m"/>
    <s v="29"/>
    <n v="9"/>
    <x v="5"/>
  </r>
  <r>
    <s v="08292412637"/>
    <s v="Ligman"/>
    <s v="Maksymilian"/>
    <s v="m"/>
    <s v="29"/>
    <n v="9"/>
    <x v="5"/>
  </r>
  <r>
    <s v="08292507414"/>
    <s v="Filbrandt"/>
    <s v="Piotr"/>
    <s v="m"/>
    <s v="29"/>
    <n v="9"/>
    <x v="5"/>
  </r>
  <r>
    <s v="08292507452"/>
    <s v="Formela"/>
    <s v="Jan"/>
    <s v="m"/>
    <s v="29"/>
    <n v="9"/>
    <x v="5"/>
  </r>
  <r>
    <s v="08292514056"/>
    <s v="Dabrowski"/>
    <s v="Szymon"/>
    <s v="m"/>
    <s v="29"/>
    <n v="9"/>
    <x v="5"/>
  </r>
  <r>
    <s v="08292600995"/>
    <s v="Rowinski"/>
    <s v="Jacek"/>
    <s v="m"/>
    <s v="29"/>
    <n v="9"/>
    <x v="5"/>
  </r>
  <r>
    <s v="08292701702"/>
    <s v="Szymanska"/>
    <s v="Ariuna"/>
    <s v="k"/>
    <s v="29"/>
    <n v="9"/>
    <x v="5"/>
  </r>
  <r>
    <s v="08292800524"/>
    <s v="Gozdalik"/>
    <s v="Oliwia"/>
    <s v="k"/>
    <s v="29"/>
    <n v="9"/>
    <x v="5"/>
  </r>
  <r>
    <s v="08300104334"/>
    <s v="Pinker"/>
    <s v="Jan"/>
    <s v="m"/>
    <s v="30"/>
    <n v="10"/>
    <x v="6"/>
  </r>
  <r>
    <s v="08300502415"/>
    <s v="Jaglowski"/>
    <s v="Nikodem"/>
    <s v="m"/>
    <s v="30"/>
    <n v="10"/>
    <x v="6"/>
  </r>
  <r>
    <s v="08300705627"/>
    <s v="Kossakowska"/>
    <s v="Marika"/>
    <s v="k"/>
    <s v="30"/>
    <n v="10"/>
    <x v="6"/>
  </r>
  <r>
    <s v="08301300067"/>
    <s v="Wendt"/>
    <s v="Amelia"/>
    <s v="k"/>
    <s v="30"/>
    <n v="10"/>
    <x v="6"/>
  </r>
  <r>
    <s v="08301402608"/>
    <s v="Obarowska"/>
    <s v="Kornelia"/>
    <s v="k"/>
    <s v="30"/>
    <n v="10"/>
    <x v="6"/>
  </r>
  <r>
    <s v="08301702005"/>
    <s v="Baranowska"/>
    <s v="Zuzanna"/>
    <s v="k"/>
    <s v="30"/>
    <n v="10"/>
    <x v="6"/>
  </r>
  <r>
    <s v="08302500640"/>
    <s v="Bonislawska"/>
    <s v="Monika"/>
    <s v="k"/>
    <s v="30"/>
    <n v="10"/>
    <x v="6"/>
  </r>
  <r>
    <s v="08302709032"/>
    <s v="Jozwiak"/>
    <s v="Mikolaj"/>
    <s v="m"/>
    <s v="30"/>
    <n v="10"/>
    <x v="6"/>
  </r>
  <r>
    <s v="08303111102"/>
    <s v="Wejner"/>
    <s v="Amelia"/>
    <s v="k"/>
    <s v="30"/>
    <n v="10"/>
    <x v="6"/>
  </r>
  <r>
    <s v="08310202460"/>
    <s v="Wojcicka"/>
    <s v="Alicja"/>
    <s v="k"/>
    <s v="31"/>
    <n v="11"/>
    <x v="7"/>
  </r>
  <r>
    <s v="08310400776"/>
    <s v="Koprowski"/>
    <s v="Maurycy"/>
    <s v="m"/>
    <s v="31"/>
    <n v="11"/>
    <x v="7"/>
  </r>
  <r>
    <s v="08310501576"/>
    <s v="Cicherski"/>
    <s v="Szymon"/>
    <s v="m"/>
    <s v="31"/>
    <n v="11"/>
    <x v="7"/>
  </r>
  <r>
    <s v="08310501583"/>
    <s v="Olitkowska"/>
    <s v="Klaudia"/>
    <s v="k"/>
    <s v="31"/>
    <n v="11"/>
    <x v="7"/>
  </r>
  <r>
    <s v="08310501637"/>
    <s v="Majewski"/>
    <s v="Maciej"/>
    <s v="m"/>
    <s v="31"/>
    <n v="11"/>
    <x v="7"/>
  </r>
  <r>
    <s v="08310711054"/>
    <s v="Podbereski"/>
    <s v="Jakub"/>
    <s v="m"/>
    <s v="31"/>
    <n v="11"/>
    <x v="7"/>
  </r>
  <r>
    <s v="08311008492"/>
    <s v="Wojcik"/>
    <s v="Alan"/>
    <s v="m"/>
    <s v="31"/>
    <n v="11"/>
    <x v="7"/>
  </r>
  <r>
    <s v="08311107443"/>
    <s v="Nowak"/>
    <s v="Latika"/>
    <s v="k"/>
    <s v="31"/>
    <n v="11"/>
    <x v="7"/>
  </r>
  <r>
    <s v="08311206692"/>
    <s v="Piotrowski"/>
    <s v="Jacek"/>
    <s v="m"/>
    <s v="31"/>
    <n v="11"/>
    <x v="7"/>
  </r>
  <r>
    <s v="08311506181"/>
    <s v="Bialek"/>
    <s v="Zuzanna"/>
    <s v="k"/>
    <s v="31"/>
    <n v="11"/>
    <x v="7"/>
  </r>
  <r>
    <s v="08311606225"/>
    <s v="Galla"/>
    <s v="Paulina"/>
    <s v="k"/>
    <s v="31"/>
    <n v="11"/>
    <x v="7"/>
  </r>
  <r>
    <s v="08311907241"/>
    <s v="Glasmann"/>
    <s v="Paula"/>
    <s v="k"/>
    <s v="31"/>
    <n v="11"/>
    <x v="7"/>
  </r>
  <r>
    <s v="08312007919"/>
    <s v="Aniol"/>
    <s v="Wojciech"/>
    <s v="m"/>
    <s v="31"/>
    <n v="11"/>
    <x v="7"/>
  </r>
  <r>
    <s v="08312405724"/>
    <s v="Cuper"/>
    <s v="Olga"/>
    <s v="k"/>
    <s v="31"/>
    <n v="11"/>
    <x v="7"/>
  </r>
  <r>
    <s v="08312405830"/>
    <s v="Becla"/>
    <s v="Aleksander"/>
    <s v="m"/>
    <s v="31"/>
    <n v="11"/>
    <x v="7"/>
  </r>
  <r>
    <s v="08312605179"/>
    <s v="Grodzki"/>
    <s v="Oskar"/>
    <s v="m"/>
    <s v="31"/>
    <n v="11"/>
    <x v="7"/>
  </r>
  <r>
    <s v="08312801124"/>
    <s v="Ulwan"/>
    <s v="Anna"/>
    <s v="k"/>
    <s v="31"/>
    <n v="11"/>
    <x v="7"/>
  </r>
  <r>
    <s v="08320100899"/>
    <s v="Goszczynski"/>
    <s v="Patryk"/>
    <s v="m"/>
    <s v="32"/>
    <n v="12"/>
    <x v="8"/>
  </r>
  <r>
    <s v="08320301627"/>
    <s v="Bigos"/>
    <s v="Zosia"/>
    <s v="k"/>
    <s v="32"/>
    <n v="12"/>
    <x v="8"/>
  </r>
  <r>
    <s v="08320411573"/>
    <s v="Waclawski"/>
    <s v="Bartosz"/>
    <s v="m"/>
    <s v="32"/>
    <n v="12"/>
    <x v="8"/>
  </r>
  <r>
    <s v="08321100430"/>
    <s v="Wladyka"/>
    <s v="Alexander"/>
    <s v="m"/>
    <s v="32"/>
    <n v="12"/>
    <x v="8"/>
  </r>
  <r>
    <s v="08321103754"/>
    <s v="Wizniewski"/>
    <s v="Andrzej"/>
    <s v="m"/>
    <s v="32"/>
    <n v="12"/>
    <x v="8"/>
  </r>
  <r>
    <s v="08321109460"/>
    <s v="Florek"/>
    <s v="Sandra"/>
    <s v="k"/>
    <s v="32"/>
    <n v="12"/>
    <x v="8"/>
  </r>
  <r>
    <s v="08321202705"/>
    <s v="Korbus"/>
    <s v="Marta"/>
    <s v="k"/>
    <s v="32"/>
    <n v="12"/>
    <x v="8"/>
  </r>
  <r>
    <s v="08321501774"/>
    <s v="Piechalski"/>
    <s v="Jan"/>
    <s v="m"/>
    <s v="32"/>
    <n v="12"/>
    <x v="8"/>
  </r>
  <r>
    <s v="08321501798"/>
    <s v="Potocki"/>
    <s v="Mariusz"/>
    <s v="m"/>
    <s v="32"/>
    <n v="12"/>
    <x v="8"/>
  </r>
  <r>
    <s v="08321508733"/>
    <s v="Korda"/>
    <s v="Mateusz"/>
    <s v="m"/>
    <s v="32"/>
    <n v="12"/>
    <x v="8"/>
  </r>
  <r>
    <s v="08321606950"/>
    <s v="Depczynski"/>
    <s v="Stanislaw"/>
    <s v="m"/>
    <s v="32"/>
    <n v="12"/>
    <x v="8"/>
  </r>
  <r>
    <s v="08321706346"/>
    <s v="Erbel"/>
    <s v="Urszula"/>
    <s v="k"/>
    <s v="32"/>
    <n v="12"/>
    <x v="8"/>
  </r>
  <r>
    <s v="08321803937"/>
    <s v="Kutnik"/>
    <s v="Marcin"/>
    <s v="m"/>
    <s v="32"/>
    <n v="12"/>
    <x v="8"/>
  </r>
  <r>
    <s v="08321903095"/>
    <s v="Dabrowski"/>
    <s v="Szczepan"/>
    <s v="m"/>
    <s v="32"/>
    <n v="12"/>
    <x v="8"/>
  </r>
  <r>
    <s v="08322001464"/>
    <s v="Ciupa"/>
    <s v="Wiktoria"/>
    <s v="k"/>
    <s v="32"/>
    <n v="12"/>
    <x v="8"/>
  </r>
  <r>
    <s v="08322201772"/>
    <s v="Michalak"/>
    <s v="Krzysztof"/>
    <s v="m"/>
    <s v="32"/>
    <n v="12"/>
    <x v="8"/>
  </r>
  <r>
    <s v="08322303078"/>
    <s v="Mieczkowski"/>
    <s v="Krystian"/>
    <s v="m"/>
    <s v="32"/>
    <n v="12"/>
    <x v="8"/>
  </r>
  <r>
    <s v="08322802348"/>
    <s v="Jaglowska"/>
    <s v="Natalia"/>
    <s v="k"/>
    <s v="32"/>
    <n v="12"/>
    <x v="8"/>
  </r>
  <r>
    <s v="08322806465"/>
    <s v="Czechowska"/>
    <s v="Wiktoria"/>
    <s v="k"/>
    <s v="32"/>
    <n v="12"/>
    <x v="8"/>
  </r>
  <r>
    <s v="08323009317"/>
    <s v="Domanski"/>
    <s v="Sebastian"/>
    <s v="m"/>
    <s v="32"/>
    <n v="12"/>
    <x v="8"/>
  </r>
  <r>
    <s v="08323101408"/>
    <s v="Kotowska"/>
    <s v="Marianna"/>
    <s v="k"/>
    <s v="32"/>
    <n v="12"/>
    <x v="8"/>
  </r>
  <r>
    <s v="09210102757"/>
    <s v="Nieradko"/>
    <s v="Kajetan"/>
    <s v="m"/>
    <s v="21"/>
    <n v="1"/>
    <x v="9"/>
  </r>
  <r>
    <s v="09210111032"/>
    <s v="Mendrek"/>
    <s v="Krzysztof"/>
    <s v="m"/>
    <s v="21"/>
    <n v="1"/>
    <x v="9"/>
  </r>
  <r>
    <s v="09210200851"/>
    <s v="Trawicki"/>
    <s v="Borys"/>
    <s v="m"/>
    <s v="21"/>
    <n v="1"/>
    <x v="9"/>
  </r>
  <r>
    <s v="09210205672"/>
    <s v="Sobon"/>
    <s v="Filip"/>
    <s v="m"/>
    <s v="21"/>
    <n v="1"/>
    <x v="9"/>
  </r>
  <r>
    <s v="09210205924"/>
    <s v="Cejnog"/>
    <s v="Kamila"/>
    <s v="k"/>
    <s v="21"/>
    <n v="1"/>
    <x v="9"/>
  </r>
  <r>
    <s v="09210301460"/>
    <s v="Jazkowiec"/>
    <s v="Nadia"/>
    <s v="k"/>
    <s v="21"/>
    <n v="1"/>
    <x v="9"/>
  </r>
  <r>
    <s v="09210406097"/>
    <s v="Jarosiewicz"/>
    <s v="Milosz"/>
    <s v="m"/>
    <s v="21"/>
    <n v="1"/>
    <x v="9"/>
  </r>
  <r>
    <s v="09210409205"/>
    <s v="Kmiecik"/>
    <s v="Malwina"/>
    <s v="k"/>
    <s v="21"/>
    <n v="1"/>
    <x v="9"/>
  </r>
  <r>
    <s v="09210501167"/>
    <s v="Kilanowska"/>
    <s v="Michalina"/>
    <s v="k"/>
    <s v="21"/>
    <n v="1"/>
    <x v="9"/>
  </r>
  <r>
    <s v="09210503817"/>
    <s v="Markowiak"/>
    <s v="Leon"/>
    <s v="m"/>
    <s v="21"/>
    <n v="1"/>
    <x v="9"/>
  </r>
  <r>
    <s v="09210503831"/>
    <s v="Sikora"/>
    <s v="Hubert"/>
    <s v="m"/>
    <s v="21"/>
    <n v="1"/>
    <x v="9"/>
  </r>
  <r>
    <s v="09210507040"/>
    <s v="Szczuplinska"/>
    <s v="Emilia"/>
    <s v="k"/>
    <s v="21"/>
    <n v="1"/>
    <x v="9"/>
  </r>
  <r>
    <s v="09210507477"/>
    <s v="Szubarczyk"/>
    <s v="Dawid"/>
    <s v="m"/>
    <s v="21"/>
    <n v="1"/>
    <x v="9"/>
  </r>
  <r>
    <s v="09210607412"/>
    <s v="Krefta"/>
    <s v="Mateusz"/>
    <s v="m"/>
    <s v="21"/>
    <n v="1"/>
    <x v="9"/>
  </r>
  <r>
    <s v="09210607436"/>
    <s v="Malinowski"/>
    <s v="Lukasz"/>
    <s v="m"/>
    <s v="21"/>
    <n v="1"/>
    <x v="9"/>
  </r>
  <r>
    <s v="09210705127"/>
    <s v="Czerlonek"/>
    <s v="Weronika"/>
    <s v="k"/>
    <s v="21"/>
    <n v="1"/>
    <x v="9"/>
  </r>
  <r>
    <s v="09210706548"/>
    <s v="Szostakowska"/>
    <s v="Dominika"/>
    <s v="k"/>
    <s v="21"/>
    <n v="1"/>
    <x v="9"/>
  </r>
  <r>
    <s v="09210706999"/>
    <s v="Kaleta"/>
    <s v="Mikolaj"/>
    <s v="m"/>
    <s v="21"/>
    <n v="1"/>
    <x v="9"/>
  </r>
  <r>
    <s v="09210804949"/>
    <s v="Kocur"/>
    <s v="Martyna"/>
    <s v="k"/>
    <s v="21"/>
    <n v="1"/>
    <x v="9"/>
  </r>
  <r>
    <s v="09210904274"/>
    <s v="Wit"/>
    <s v="Andrzej"/>
    <s v="m"/>
    <s v="21"/>
    <n v="1"/>
    <x v="9"/>
  </r>
  <r>
    <s v="09210908216"/>
    <s v="Rybienik"/>
    <s v="Igor"/>
    <s v="m"/>
    <s v="21"/>
    <n v="1"/>
    <x v="9"/>
  </r>
  <r>
    <s v="09211003583"/>
    <s v="Puzlecka"/>
    <s v="Julia"/>
    <s v="k"/>
    <s v="21"/>
    <n v="1"/>
    <x v="9"/>
  </r>
  <r>
    <s v="09211005936"/>
    <s v="Juralewicz"/>
    <s v="Mikolaj"/>
    <s v="m"/>
    <s v="21"/>
    <n v="1"/>
    <x v="9"/>
  </r>
  <r>
    <s v="09211005974"/>
    <s v="Piwowarek"/>
    <s v="Jan"/>
    <s v="m"/>
    <s v="21"/>
    <n v="1"/>
    <x v="9"/>
  </r>
  <r>
    <s v="09211010019"/>
    <s v="Jurczak"/>
    <s v="Mikolaj"/>
    <s v="m"/>
    <s v="21"/>
    <n v="1"/>
    <x v="9"/>
  </r>
  <r>
    <s v="09211104925"/>
    <s v="Ogrodowczyk"/>
    <s v="Konstancja"/>
    <s v="k"/>
    <s v="21"/>
    <n v="1"/>
    <x v="9"/>
  </r>
  <r>
    <s v="09211212916"/>
    <s v="Strojek"/>
    <s v="Filip"/>
    <s v="m"/>
    <s v="21"/>
    <n v="1"/>
    <x v="9"/>
  </r>
  <r>
    <s v="09211302729"/>
    <s v="Zaremba"/>
    <s v="Aleksandra"/>
    <s v="k"/>
    <s v="21"/>
    <n v="1"/>
    <x v="9"/>
  </r>
  <r>
    <s v="09211305227"/>
    <s v="Gorska"/>
    <s v="Oliwia"/>
    <s v="k"/>
    <s v="21"/>
    <n v="1"/>
    <x v="9"/>
  </r>
  <r>
    <s v="09211402009"/>
    <s v="Kwidzinska"/>
    <s v="Paulina"/>
    <s v="k"/>
    <s v="21"/>
    <n v="1"/>
    <x v="9"/>
  </r>
  <r>
    <s v="09211404100"/>
    <s v="Siemistkowska"/>
    <s v="Jagoda"/>
    <s v="k"/>
    <s v="21"/>
    <n v="1"/>
    <x v="9"/>
  </r>
  <r>
    <s v="09211411278"/>
    <s v="Ulewicz"/>
    <s v="Bartosz"/>
    <s v="m"/>
    <s v="21"/>
    <n v="1"/>
    <x v="9"/>
  </r>
  <r>
    <s v="09211412248"/>
    <s v="Tokarska"/>
    <s v="Antonia"/>
    <s v="k"/>
    <s v="21"/>
    <n v="1"/>
    <x v="9"/>
  </r>
  <r>
    <s v="09211502310"/>
    <s v="Krupa"/>
    <s v="Mateusz"/>
    <s v="m"/>
    <s v="21"/>
    <n v="1"/>
    <x v="9"/>
  </r>
  <r>
    <s v="09211503908"/>
    <s v="Swirk"/>
    <s v="Antonina"/>
    <s v="k"/>
    <s v="21"/>
    <n v="1"/>
    <x v="9"/>
  </r>
  <r>
    <s v="09211601354"/>
    <s v="Kizielewicz"/>
    <s v="Michal"/>
    <s v="m"/>
    <s v="21"/>
    <n v="1"/>
    <x v="9"/>
  </r>
  <r>
    <s v="09211601385"/>
    <s v="Kecler"/>
    <s v="Milena"/>
    <s v="k"/>
    <s v="21"/>
    <n v="1"/>
    <x v="9"/>
  </r>
  <r>
    <s v="09211601408"/>
    <s v="Zochowska"/>
    <s v="Adriana"/>
    <s v="k"/>
    <s v="21"/>
    <n v="1"/>
    <x v="9"/>
  </r>
  <r>
    <s v="09211700664"/>
    <s v="Kozlowska"/>
    <s v="Malgorzata"/>
    <s v="k"/>
    <s v="21"/>
    <n v="1"/>
    <x v="9"/>
  </r>
  <r>
    <s v="09211700701"/>
    <s v="Lewandowska"/>
    <s v="Maja"/>
    <s v="k"/>
    <s v="21"/>
    <n v="1"/>
    <x v="9"/>
  </r>
  <r>
    <s v="09211700855"/>
    <s v="Gorlikowski"/>
    <s v="Patrick"/>
    <s v="m"/>
    <s v="21"/>
    <n v="1"/>
    <x v="9"/>
  </r>
  <r>
    <s v="09211702024"/>
    <s v="Kowalska"/>
    <s v="Maria"/>
    <s v="k"/>
    <s v="21"/>
    <n v="1"/>
    <x v="9"/>
  </r>
  <r>
    <s v="09211801440"/>
    <s v="Katende"/>
    <s v="Milena"/>
    <s v="k"/>
    <s v="21"/>
    <n v="1"/>
    <x v="9"/>
  </r>
  <r>
    <s v="09211801464"/>
    <s v="Tokarz"/>
    <s v="Anna"/>
    <s v="k"/>
    <s v="21"/>
    <n v="1"/>
    <x v="9"/>
  </r>
  <r>
    <s v="09211803947"/>
    <s v="Radosz"/>
    <s v="Julia"/>
    <s v="k"/>
    <s v="21"/>
    <n v="1"/>
    <x v="9"/>
  </r>
  <r>
    <s v="09211902011"/>
    <s v="Komorowska"/>
    <s v="Michal"/>
    <s v="m"/>
    <s v="21"/>
    <n v="1"/>
    <x v="9"/>
  </r>
  <r>
    <s v="09211906282"/>
    <s v="Zakrzewska"/>
    <s v="Olga"/>
    <s v="k"/>
    <s v="21"/>
    <n v="1"/>
    <x v="9"/>
  </r>
  <r>
    <s v="09211906305"/>
    <s v="Zakrzewska"/>
    <s v="Ewa"/>
    <s v="k"/>
    <s v="21"/>
    <n v="1"/>
    <x v="9"/>
  </r>
  <r>
    <s v="09211908451"/>
    <s v="Rohde"/>
    <s v="Jakub"/>
    <s v="m"/>
    <s v="21"/>
    <n v="1"/>
    <x v="9"/>
  </r>
  <r>
    <s v="09211909674"/>
    <s v="Smoliniec"/>
    <s v="Franciszek"/>
    <s v="m"/>
    <s v="21"/>
    <n v="1"/>
    <x v="9"/>
  </r>
  <r>
    <s v="09212001092"/>
    <s v="Paluchowski"/>
    <s v="Julian"/>
    <s v="m"/>
    <s v="21"/>
    <n v="1"/>
    <x v="9"/>
  </r>
  <r>
    <s v="09212200408"/>
    <s v="Pawlun"/>
    <s v="Karolina"/>
    <s v="k"/>
    <s v="21"/>
    <n v="1"/>
    <x v="9"/>
  </r>
  <r>
    <s v="09212300184"/>
    <s v="Majchrzak"/>
    <s v="Lucja"/>
    <s v="k"/>
    <s v="21"/>
    <n v="1"/>
    <x v="9"/>
  </r>
  <r>
    <s v="09212509149"/>
    <s v="Koczakowska"/>
    <s v="Marta"/>
    <s v="k"/>
    <s v="21"/>
    <n v="1"/>
    <x v="9"/>
  </r>
  <r>
    <s v="09212610942"/>
    <s v="Jakubczyk"/>
    <s v="Natalia"/>
    <s v="k"/>
    <s v="21"/>
    <n v="1"/>
    <x v="9"/>
  </r>
  <r>
    <s v="09212700984"/>
    <s v="Krol"/>
    <s v="Malgorzata"/>
    <s v="k"/>
    <s v="21"/>
    <n v="1"/>
    <x v="9"/>
  </r>
  <r>
    <s v="09212704926"/>
    <s v="Srokowska"/>
    <s v="Helena"/>
    <s v="k"/>
    <s v="21"/>
    <n v="1"/>
    <x v="9"/>
  </r>
  <r>
    <s v="09212704964"/>
    <s v="Srokowska"/>
    <s v="Iga"/>
    <s v="k"/>
    <s v="21"/>
    <n v="1"/>
    <x v="9"/>
  </r>
  <r>
    <s v="09213007141"/>
    <s v="Stambuldzys"/>
    <s v="Helena"/>
    <s v="k"/>
    <s v="21"/>
    <n v="1"/>
    <x v="9"/>
  </r>
  <r>
    <s v="09220204047"/>
    <s v="Ostrowska"/>
    <s v="Beatrycze"/>
    <s v="k"/>
    <s v="22"/>
    <n v="2"/>
    <x v="10"/>
  </r>
  <r>
    <s v="09220305687"/>
    <s v="Smiecinska"/>
    <s v="Antonina"/>
    <s v="k"/>
    <s v="22"/>
    <n v="2"/>
    <x v="10"/>
  </r>
  <r>
    <s v="09220307788"/>
    <s v="Czechowska"/>
    <s v="Wanda"/>
    <s v="k"/>
    <s v="22"/>
    <n v="2"/>
    <x v="10"/>
  </r>
  <r>
    <s v="09220404607"/>
    <s v="Kmita"/>
    <s v="Martyna"/>
    <s v="k"/>
    <s v="22"/>
    <n v="2"/>
    <x v="10"/>
  </r>
  <r>
    <s v="09220404645"/>
    <s v="Gachewicz"/>
    <s v="Pola"/>
    <s v="k"/>
    <s v="22"/>
    <n v="2"/>
    <x v="10"/>
  </r>
  <r>
    <s v="09220504024"/>
    <s v="Lewandowska"/>
    <s v="Ewa"/>
    <s v="k"/>
    <s v="22"/>
    <n v="2"/>
    <x v="10"/>
  </r>
  <r>
    <s v="09220504048"/>
    <s v="Paliniewicz"/>
    <s v="Katarzyna"/>
    <s v="k"/>
    <s v="22"/>
    <n v="2"/>
    <x v="10"/>
  </r>
  <r>
    <s v="09220704127"/>
    <s v="Lubinska"/>
    <s v="Magdalena"/>
    <s v="k"/>
    <s v="22"/>
    <n v="2"/>
    <x v="10"/>
  </r>
  <r>
    <s v="09221103062"/>
    <s v="Mrozek"/>
    <s v="Lena"/>
    <s v="k"/>
    <s v="22"/>
    <n v="2"/>
    <x v="10"/>
  </r>
  <r>
    <s v="09221200547"/>
    <s v="Drapinska"/>
    <s v="Weronika"/>
    <s v="k"/>
    <s v="22"/>
    <n v="2"/>
    <x v="10"/>
  </r>
  <r>
    <s v="09221202204"/>
    <s v="Dawidowska"/>
    <s v="Weronika"/>
    <s v="k"/>
    <s v="22"/>
    <n v="2"/>
    <x v="10"/>
  </r>
  <r>
    <s v="09221205443"/>
    <s v="Szarmach"/>
    <s v="Ewa"/>
    <s v="k"/>
    <s v="22"/>
    <n v="2"/>
    <x v="10"/>
  </r>
  <r>
    <s v="09221205481"/>
    <s v="Burghard"/>
    <s v="Zofia"/>
    <s v="k"/>
    <s v="22"/>
    <n v="2"/>
    <x v="10"/>
  </r>
  <r>
    <s v="09221205504"/>
    <s v="Michalska"/>
    <s v="Lena"/>
    <s v="k"/>
    <s v="22"/>
    <n v="2"/>
    <x v="10"/>
  </r>
  <r>
    <s v="09221205528"/>
    <s v="Mezynska"/>
    <s v="Lena"/>
    <s v="k"/>
    <s v="22"/>
    <n v="2"/>
    <x v="10"/>
  </r>
  <r>
    <s v="09221301682"/>
    <s v="Kaminska"/>
    <s v="Monika"/>
    <s v="k"/>
    <s v="22"/>
    <n v="2"/>
    <x v="10"/>
  </r>
  <r>
    <s v="09221302980"/>
    <s v="Edel"/>
    <s v="Vanessa"/>
    <s v="k"/>
    <s v="22"/>
    <n v="2"/>
    <x v="10"/>
  </r>
  <r>
    <s v="09221304623"/>
    <s v="Gadomska"/>
    <s v="Pola"/>
    <s v="k"/>
    <s v="22"/>
    <n v="2"/>
    <x v="10"/>
  </r>
  <r>
    <s v="09221309963"/>
    <s v="Krzywiec"/>
    <s v="Zuzanna"/>
    <s v="k"/>
    <s v="22"/>
    <n v="2"/>
    <x v="10"/>
  </r>
  <r>
    <s v="09221402888"/>
    <s v="Mielcarz"/>
    <s v="Lena"/>
    <s v="k"/>
    <s v="22"/>
    <n v="2"/>
    <x v="10"/>
  </r>
  <r>
    <s v="09221601003"/>
    <s v="Janik"/>
    <s v="Natalia"/>
    <s v="k"/>
    <s v="22"/>
    <n v="2"/>
    <x v="10"/>
  </r>
  <r>
    <s v="09221608888"/>
    <s v="Stawirej"/>
    <s v="Hanna"/>
    <s v="k"/>
    <s v="22"/>
    <n v="2"/>
    <x v="10"/>
  </r>
  <r>
    <s v="09221702025"/>
    <s v="Brankiewicz"/>
    <s v="Anna"/>
    <s v="k"/>
    <s v="22"/>
    <n v="2"/>
    <x v="10"/>
  </r>
  <r>
    <s v="09221804109"/>
    <s v="Kuszner"/>
    <s v="Maja"/>
    <s v="k"/>
    <s v="22"/>
    <n v="2"/>
    <x v="10"/>
  </r>
  <r>
    <s v="09291901773"/>
    <s v="Luchowski"/>
    <s v="Maksymilian"/>
    <s v="m"/>
    <s v="29"/>
    <n v="9"/>
    <x v="5"/>
  </r>
  <r>
    <s v="09292008233"/>
    <s v="Janiak"/>
    <s v="Nico"/>
    <s v="m"/>
    <s v="29"/>
    <n v="9"/>
    <x v="5"/>
  </r>
  <r>
    <s v="09292105855"/>
    <s v="Pinkowski"/>
    <s v="Jan"/>
    <s v="m"/>
    <s v="29"/>
    <n v="9"/>
    <x v="5"/>
  </r>
  <r>
    <s v="09292105879"/>
    <s v="Prochniewicz"/>
    <s v="Jakub"/>
    <s v="m"/>
    <s v="29"/>
    <n v="9"/>
    <x v="5"/>
  </r>
  <r>
    <s v="09292213174"/>
    <s v="Zaleski"/>
    <s v="Adrian"/>
    <s v="m"/>
    <s v="29"/>
    <n v="9"/>
    <x v="5"/>
  </r>
  <r>
    <s v="09292314615"/>
    <s v="Pupp"/>
    <s v="Jakub"/>
    <s v="m"/>
    <s v="29"/>
    <n v="9"/>
    <x v="5"/>
  </r>
  <r>
    <s v="09292509833"/>
    <s v="Gorazdowski"/>
    <s v="Patryk"/>
    <s v="m"/>
    <s v="29"/>
    <n v="9"/>
    <x v="5"/>
  </r>
  <r>
    <s v="09292604859"/>
    <s v="Rodak"/>
    <s v="Jakub"/>
    <s v="m"/>
    <s v="29"/>
    <n v="9"/>
    <x v="5"/>
  </r>
  <r>
    <s v="09292604873"/>
    <s v="Ukomski"/>
    <s v="Bartosz"/>
    <s v="m"/>
    <s v="29"/>
    <n v="9"/>
    <x v="5"/>
  </r>
  <r>
    <s v="09292704191"/>
    <s v="Janowski"/>
    <s v="Nataniel"/>
    <s v="m"/>
    <s v="29"/>
    <n v="9"/>
    <x v="5"/>
  </r>
  <r>
    <s v="09292707019"/>
    <s v="Panow"/>
    <s v="Julian"/>
    <s v="m"/>
    <s v="29"/>
    <n v="9"/>
    <x v="5"/>
  </r>
  <r>
    <s v="09292809391"/>
    <s v="Muzyka"/>
    <s v="Karol"/>
    <s v="m"/>
    <s v="29"/>
    <n v="9"/>
    <x v="5"/>
  </r>
  <r>
    <s v="09292810890"/>
    <s v="Plichta"/>
    <s v="Jakub"/>
    <s v="m"/>
    <s v="29"/>
    <n v="9"/>
    <x v="5"/>
  </r>
  <r>
    <s v="09292909312"/>
    <s v="Zurawski"/>
    <s v="Adam"/>
    <s v="m"/>
    <s v="29"/>
    <n v="9"/>
    <x v="5"/>
  </r>
  <r>
    <s v="09293002410"/>
    <s v="Bobel"/>
    <s v="Tymon"/>
    <s v="m"/>
    <s v="29"/>
    <n v="9"/>
    <x v="5"/>
  </r>
  <r>
    <s v="09300109015"/>
    <s v="Sosnowski"/>
    <s v="Filip"/>
    <s v="m"/>
    <s v="30"/>
    <n v="10"/>
    <x v="6"/>
  </r>
  <r>
    <s v="09300205292"/>
    <s v="Degowski"/>
    <s v="Stanislaw"/>
    <s v="m"/>
    <s v="30"/>
    <n v="10"/>
    <x v="6"/>
  </r>
  <r>
    <s v="09300608057"/>
    <s v="Snarski"/>
    <s v="Franciszek"/>
    <s v="m"/>
    <s v="30"/>
    <n v="10"/>
    <x v="6"/>
  </r>
  <r>
    <s v="09300710196"/>
    <s v="Paciorek"/>
    <s v="Julian"/>
    <s v="m"/>
    <s v="30"/>
    <n v="10"/>
    <x v="6"/>
  </r>
  <r>
    <s v="09300804514"/>
    <s v="Brzoskowski"/>
    <s v="Tomasz"/>
    <s v="m"/>
    <s v="30"/>
    <n v="10"/>
    <x v="6"/>
  </r>
  <r>
    <s v="09301004012"/>
    <s v="Laskowski"/>
    <s v="Mariusz"/>
    <s v="m"/>
    <s v="30"/>
    <n v="10"/>
    <x v="6"/>
  </r>
  <r>
    <s v="09301206759"/>
    <s v="Mystkowski"/>
    <s v="Karol"/>
    <s v="m"/>
    <s v="30"/>
    <n v="10"/>
    <x v="6"/>
  </r>
  <r>
    <s v="09301206797"/>
    <s v="Nagorski"/>
    <s v="Kamil"/>
    <s v="m"/>
    <s v="30"/>
    <n v="10"/>
    <x v="6"/>
  </r>
  <r>
    <s v="09301303371"/>
    <s v="Sykus"/>
    <s v="Fabian"/>
    <s v="m"/>
    <s v="30"/>
    <n v="10"/>
    <x v="6"/>
  </r>
  <r>
    <s v="09301402414"/>
    <s v="Baranowski"/>
    <s v="Witold"/>
    <s v="m"/>
    <s v="30"/>
    <n v="10"/>
    <x v="6"/>
  </r>
  <r>
    <s v="09301405172"/>
    <s v="Trwoga"/>
    <s v="Bartosz"/>
    <s v="m"/>
    <s v="30"/>
    <n v="10"/>
    <x v="6"/>
  </r>
  <r>
    <s v="09301500334"/>
    <s v="Magulski"/>
    <s v="Maciej"/>
    <s v="m"/>
    <s v="30"/>
    <n v="10"/>
    <x v="6"/>
  </r>
  <r>
    <s v="09301601097"/>
    <s v="Langiewicz"/>
    <s v="Marcel"/>
    <s v="m"/>
    <s v="30"/>
    <n v="10"/>
    <x v="6"/>
  </r>
  <r>
    <s v="09302001353"/>
    <s v="Polonski"/>
    <s v="Jakub"/>
    <s v="m"/>
    <s v="30"/>
    <n v="10"/>
    <x v="6"/>
  </r>
  <r>
    <s v="09302011011"/>
    <s v="Kubisiak"/>
    <s v="Mariusz"/>
    <s v="m"/>
    <s v="30"/>
    <n v="10"/>
    <x v="6"/>
  </r>
  <r>
    <s v="09302100793"/>
    <s v="Kubisiak"/>
    <s v="Mateusz"/>
    <s v="m"/>
    <s v="30"/>
    <n v="10"/>
    <x v="6"/>
  </r>
  <r>
    <s v="09302201333"/>
    <s v="Duraj"/>
    <s v="Piotr"/>
    <s v="m"/>
    <s v="30"/>
    <n v="10"/>
    <x v="6"/>
  </r>
  <r>
    <s v="09302304838"/>
    <s v="Grabek"/>
    <s v="Oskar"/>
    <s v="m"/>
    <s v="30"/>
    <n v="10"/>
    <x v="6"/>
  </r>
  <r>
    <s v="09302308382"/>
    <s v="Tarnacka"/>
    <s v="Antonina"/>
    <s v="k"/>
    <s v="30"/>
    <n v="10"/>
    <x v="6"/>
  </r>
  <r>
    <s v="09302400657"/>
    <s v="Lunkiewicz"/>
    <s v="Maciej"/>
    <s v="m"/>
    <s v="30"/>
    <n v="10"/>
    <x v="6"/>
  </r>
  <r>
    <s v="09302502274"/>
    <s v="Wojciechowski"/>
    <s v="Aleksander"/>
    <s v="m"/>
    <s v="30"/>
    <n v="10"/>
    <x v="6"/>
  </r>
  <r>
    <s v="09302602400"/>
    <s v="Pochmara"/>
    <s v="Kaja"/>
    <s v="k"/>
    <s v="30"/>
    <n v="10"/>
    <x v="6"/>
  </r>
  <r>
    <s v="09302609421"/>
    <s v="Leszczynska"/>
    <s v="Maja"/>
    <s v="k"/>
    <s v="30"/>
    <n v="10"/>
    <x v="6"/>
  </r>
  <r>
    <s v="09302702421"/>
    <s v="Lorenc"/>
    <s v="Magdalena"/>
    <s v="k"/>
    <s v="30"/>
    <n v="10"/>
    <x v="6"/>
  </r>
  <r>
    <s v="09302711423"/>
    <s v="Zalewska"/>
    <s v="Aleksandra"/>
    <s v="k"/>
    <s v="30"/>
    <n v="10"/>
    <x v="6"/>
  </r>
  <r>
    <s v="09302801182"/>
    <s v="Gosiewska"/>
    <s v="Paulina"/>
    <s v="k"/>
    <s v="30"/>
    <n v="10"/>
    <x v="6"/>
  </r>
  <r>
    <s v="09302806088"/>
    <s v="Mauruszewicz"/>
    <s v="Lena"/>
    <s v="k"/>
    <s v="30"/>
    <n v="10"/>
    <x v="6"/>
  </r>
  <r>
    <s v="09302806613"/>
    <s v="Buczkowski"/>
    <s v="Mateusz"/>
    <s v="m"/>
    <s v="30"/>
    <n v="10"/>
    <x v="6"/>
  </r>
  <r>
    <s v="09302809661"/>
    <s v="Mielewczyk"/>
    <s v="Lena"/>
    <s v="k"/>
    <s v="30"/>
    <n v="10"/>
    <x v="6"/>
  </r>
  <r>
    <s v="09302909729"/>
    <s v="Ramlo"/>
    <s v="Julia"/>
    <s v="k"/>
    <s v="30"/>
    <n v="10"/>
    <x v="6"/>
  </r>
  <r>
    <s v="09302909767"/>
    <s v="Rafinska"/>
    <s v="Julia"/>
    <s v="k"/>
    <s v="30"/>
    <n v="10"/>
    <x v="6"/>
  </r>
  <r>
    <s v="09303003200"/>
    <s v="Broszczak"/>
    <s v="Olga"/>
    <s v="k"/>
    <s v="30"/>
    <n v="10"/>
    <x v="6"/>
  </r>
  <r>
    <s v="09303005042"/>
    <s v="Bikonis"/>
    <s v="Zofia"/>
    <s v="k"/>
    <s v="30"/>
    <n v="10"/>
    <x v="6"/>
  </r>
  <r>
    <s v="09303005066"/>
    <s v="Marczynska"/>
    <s v="Liliana"/>
    <s v="k"/>
    <s v="30"/>
    <n v="10"/>
    <x v="6"/>
  </r>
  <r>
    <s v="09303005080"/>
    <s v="Krainska"/>
    <s v="Malgorzata"/>
    <s v="k"/>
    <s v="30"/>
    <n v="10"/>
    <x v="6"/>
  </r>
  <r>
    <s v="09303005141"/>
    <s v="Oldakowska"/>
    <s v="Kinga"/>
    <s v="k"/>
    <s v="30"/>
    <n v="10"/>
    <x v="6"/>
  </r>
  <r>
    <s v="09303009855"/>
    <s v="Gdaniec"/>
    <s v="Pawel"/>
    <s v="m"/>
    <s v="30"/>
    <n v="10"/>
    <x v="6"/>
  </r>
  <r>
    <s v="09310202696"/>
    <s v="Skaluba"/>
    <s v="Gabriel"/>
    <s v="m"/>
    <s v="31"/>
    <n v="11"/>
    <x v="7"/>
  </r>
  <r>
    <s v="09310208166"/>
    <s v="Klaus"/>
    <s v="Michalina"/>
    <s v="k"/>
    <s v="31"/>
    <n v="11"/>
    <x v="7"/>
  </r>
  <r>
    <s v="09310208432"/>
    <s v="Kiryk"/>
    <s v="Michal"/>
    <s v="m"/>
    <s v="31"/>
    <n v="11"/>
    <x v="7"/>
  </r>
  <r>
    <s v="09310302570"/>
    <s v="Kowalski"/>
    <s v="Mateusz"/>
    <s v="m"/>
    <s v="31"/>
    <n v="11"/>
    <x v="7"/>
  </r>
  <r>
    <s v="09310302617"/>
    <s v="Wysokinski"/>
    <s v="Adrian"/>
    <s v="m"/>
    <s v="31"/>
    <n v="11"/>
    <x v="7"/>
  </r>
  <r>
    <s v="09310310236"/>
    <s v="Szpak"/>
    <s v="Dawid"/>
    <s v="m"/>
    <s v="31"/>
    <n v="11"/>
    <x v="7"/>
  </r>
  <r>
    <s v="09310403981"/>
    <s v="Madej"/>
    <s v="Lucja"/>
    <s v="k"/>
    <s v="31"/>
    <n v="11"/>
    <x v="7"/>
  </r>
  <r>
    <s v="09310407886"/>
    <s v="Symoszyn"/>
    <s v="Emilia"/>
    <s v="k"/>
    <s v="31"/>
    <n v="11"/>
    <x v="7"/>
  </r>
  <r>
    <s v="09310408399"/>
    <s v="Cieslik"/>
    <s v="Szymon"/>
    <s v="m"/>
    <s v="31"/>
    <n v="11"/>
    <x v="7"/>
  </r>
  <r>
    <s v="09310500954"/>
    <s v="Pawlak"/>
    <s v="Jan"/>
    <s v="m"/>
    <s v="31"/>
    <n v="11"/>
    <x v="7"/>
  </r>
  <r>
    <s v="09310503841"/>
    <s v="Sznejder"/>
    <s v="Dominika"/>
    <s v="k"/>
    <s v="31"/>
    <n v="11"/>
    <x v="7"/>
  </r>
  <r>
    <s v="09310600579"/>
    <s v="Chmielewski"/>
    <s v="Jakub"/>
    <s v="m"/>
    <s v="31"/>
    <n v="11"/>
    <x v="7"/>
  </r>
  <r>
    <s v="09310705410"/>
    <s v="Rysak"/>
    <s v="Igor"/>
    <s v="m"/>
    <s v="31"/>
    <n v="11"/>
    <x v="7"/>
  </r>
  <r>
    <s v="09310804898"/>
    <s v="Szumilewicz"/>
    <s v="Dariusz"/>
    <s v="m"/>
    <s v="31"/>
    <n v="11"/>
    <x v="7"/>
  </r>
  <r>
    <s v="09310901731"/>
    <s v="Krosnowski"/>
    <s v="Mateusz"/>
    <s v="m"/>
    <s v="31"/>
    <n v="11"/>
    <x v="7"/>
  </r>
  <r>
    <s v="09310906101"/>
    <s v="Harris"/>
    <s v="Nina"/>
    <s v="k"/>
    <s v="31"/>
    <n v="11"/>
    <x v="7"/>
  </r>
  <r>
    <s v="09310906125"/>
    <s v="Koszucka"/>
    <s v="Marika"/>
    <s v="k"/>
    <s v="31"/>
    <n v="11"/>
    <x v="7"/>
  </r>
  <r>
    <s v="09311000965"/>
    <s v="Chmielewska"/>
    <s v="Wiktoria"/>
    <s v="k"/>
    <s v="31"/>
    <n v="11"/>
    <x v="7"/>
  </r>
  <r>
    <s v="09311005144"/>
    <s v="Seredynska"/>
    <s v="Joanna"/>
    <s v="k"/>
    <s v="31"/>
    <n v="11"/>
    <x v="7"/>
  </r>
  <r>
    <s v="09311005632"/>
    <s v="Afeltowicz"/>
    <s v="Wojciech"/>
    <s v="m"/>
    <s v="31"/>
    <n v="11"/>
    <x v="7"/>
  </r>
  <r>
    <s v="09311009704"/>
    <s v="Jakubowska"/>
    <s v="Natalia"/>
    <s v="k"/>
    <s v="31"/>
    <n v="11"/>
    <x v="7"/>
  </r>
  <r>
    <s v="09311103163"/>
    <s v="Lewandowska"/>
    <s v="Olga"/>
    <s v="k"/>
    <s v="31"/>
    <n v="11"/>
    <x v="7"/>
  </r>
  <r>
    <s v="09311103484"/>
    <s v="Derosas"/>
    <s v="Weronika"/>
    <s v="k"/>
    <s v="31"/>
    <n v="11"/>
    <x v="7"/>
  </r>
  <r>
    <s v="09311204208"/>
    <s v="Mucha"/>
    <s v="Laura"/>
    <s v="k"/>
    <s v="31"/>
    <n v="11"/>
    <x v="7"/>
  </r>
  <r>
    <s v="09311204284"/>
    <s v="Szymichowska"/>
    <s v="Antonina"/>
    <s v="k"/>
    <s v="31"/>
    <n v="11"/>
    <x v="7"/>
  </r>
  <r>
    <s v="09311303426"/>
    <s v="Janiszek"/>
    <s v="Natalia"/>
    <s v="k"/>
    <s v="31"/>
    <n v="11"/>
    <x v="7"/>
  </r>
  <r>
    <s v="09311303679"/>
    <s v="Dombrowski"/>
    <s v="Sambor"/>
    <s v="m"/>
    <s v="31"/>
    <n v="11"/>
    <x v="7"/>
  </r>
  <r>
    <s v="09311303693"/>
    <s v="Wieniarski"/>
    <s v="Arkadiusz"/>
    <s v="m"/>
    <s v="31"/>
    <n v="11"/>
    <x v="7"/>
  </r>
  <r>
    <s v="09311308469"/>
    <s v="Marszalek"/>
    <s v="Lidia"/>
    <s v="k"/>
    <s v="31"/>
    <n v="11"/>
    <x v="7"/>
  </r>
  <r>
    <s v="09311310792"/>
    <s v="Michalak"/>
    <s v="Krzysztof"/>
    <s v="m"/>
    <s v="31"/>
    <n v="11"/>
    <x v="7"/>
  </r>
  <r>
    <s v="09311505163"/>
    <s v="Czartoryjska"/>
    <s v="Wiktoria"/>
    <s v="k"/>
    <s v="31"/>
    <n v="11"/>
    <x v="7"/>
  </r>
  <r>
    <s v="09311601388"/>
    <s v="Tomanek"/>
    <s v="Anna"/>
    <s v="k"/>
    <s v="31"/>
    <n v="11"/>
    <x v="7"/>
  </r>
  <r>
    <s v="09311601425"/>
    <s v="Pawlowicz"/>
    <s v="Karolina"/>
    <s v="k"/>
    <s v="31"/>
    <n v="11"/>
    <x v="7"/>
  </r>
  <r>
    <s v="09311701118"/>
    <s v="Szwast"/>
    <s v="Daniel"/>
    <s v="m"/>
    <s v="31"/>
    <n v="11"/>
    <x v="7"/>
  </r>
  <r>
    <s v="09311706359"/>
    <s v="Zawizlak"/>
    <s v="Adam"/>
    <s v="m"/>
    <s v="31"/>
    <n v="11"/>
    <x v="7"/>
  </r>
  <r>
    <s v="09311711463"/>
    <s v="Wierzbicka"/>
    <s v="Amelia"/>
    <s v="k"/>
    <s v="31"/>
    <n v="11"/>
    <x v="7"/>
  </r>
  <r>
    <s v="09311806622"/>
    <s v="Kielbowicz"/>
    <s v="Milena"/>
    <s v="k"/>
    <s v="31"/>
    <n v="11"/>
    <x v="7"/>
  </r>
  <r>
    <s v="09311907224"/>
    <s v="Steinhardt"/>
    <s v="Hanna"/>
    <s v="k"/>
    <s v="31"/>
    <n v="11"/>
    <x v="7"/>
  </r>
  <r>
    <s v="09311908720"/>
    <s v="Forjasz"/>
    <s v="Roxana"/>
    <s v="k"/>
    <s v="31"/>
    <n v="11"/>
    <x v="7"/>
  </r>
  <r>
    <s v="09312003684"/>
    <s v="Karwik"/>
    <s v="Milena"/>
    <s v="k"/>
    <s v="31"/>
    <n v="11"/>
    <x v="7"/>
  </r>
  <r>
    <s v="09312003707"/>
    <s v="Lupinska"/>
    <s v="Magdalena"/>
    <s v="k"/>
    <s v="31"/>
    <n v="11"/>
    <x v="7"/>
  </r>
  <r>
    <s v="09312008337"/>
    <s v="Pengiel"/>
    <s v="Jan"/>
    <s v="m"/>
    <s v="31"/>
    <n v="11"/>
    <x v="7"/>
  </r>
  <r>
    <s v="09312103018"/>
    <s v="Wojtaszewski"/>
    <s v="Aleksander"/>
    <s v="m"/>
    <s v="31"/>
    <n v="11"/>
    <x v="7"/>
  </r>
  <r>
    <s v="09312104743"/>
    <s v="Czarkowska"/>
    <s v="Katarzyna"/>
    <s v="k"/>
    <s v="31"/>
    <n v="11"/>
    <x v="7"/>
  </r>
  <r>
    <s v="09312106127"/>
    <s v="Zacharska"/>
    <s v="Aleksandra"/>
    <s v="k"/>
    <s v="31"/>
    <n v="11"/>
    <x v="7"/>
  </r>
  <r>
    <s v="09312201877"/>
    <s v="Bilmon"/>
    <s v="Tymoteusz"/>
    <s v="m"/>
    <s v="31"/>
    <n v="11"/>
    <x v="7"/>
  </r>
  <r>
    <s v="09312304525"/>
    <s v="Gorczynska"/>
    <s v="Oliwia"/>
    <s v="k"/>
    <s v="31"/>
    <n v="11"/>
    <x v="7"/>
  </r>
  <r>
    <s v="09312307276"/>
    <s v="Budkowski"/>
    <s v="Marek"/>
    <s v="m"/>
    <s v="31"/>
    <n v="11"/>
    <x v="7"/>
  </r>
  <r>
    <s v="09312408236"/>
    <s v="Dulak"/>
    <s v="Piotr"/>
    <s v="m"/>
    <s v="31"/>
    <n v="11"/>
    <x v="7"/>
  </r>
  <r>
    <s v="09312503412"/>
    <s v="Kaczor"/>
    <s v="Mikolaj"/>
    <s v="m"/>
    <s v="31"/>
    <n v="11"/>
    <x v="7"/>
  </r>
  <r>
    <s v="09312505797"/>
    <s v="Olszewski"/>
    <s v="Kacper"/>
    <s v="m"/>
    <s v="31"/>
    <n v="11"/>
    <x v="7"/>
  </r>
  <r>
    <s v="09312505810"/>
    <s v="Polubinski"/>
    <s v="Piotr"/>
    <s v="m"/>
    <s v="31"/>
    <n v="11"/>
    <x v="7"/>
  </r>
  <r>
    <s v="09312605138"/>
    <s v="Budny"/>
    <s v="Tomasz"/>
    <s v="m"/>
    <s v="31"/>
    <n v="11"/>
    <x v="7"/>
  </r>
  <r>
    <s v="09312605176"/>
    <s v="Fiebig"/>
    <s v="Piotr"/>
    <s v="m"/>
    <s v="31"/>
    <n v="11"/>
    <x v="7"/>
  </r>
  <r>
    <s v="09312704714"/>
    <s v="Ziolkowski"/>
    <s v="Adam"/>
    <s v="m"/>
    <s v="31"/>
    <n v="11"/>
    <x v="7"/>
  </r>
  <r>
    <s v="09312808395"/>
    <s v="Rys"/>
    <s v="Igor"/>
    <s v="m"/>
    <s v="31"/>
    <n v="11"/>
    <x v="7"/>
  </r>
  <r>
    <s v="09312902686"/>
    <s v="Orczyk"/>
    <s v="Kinga"/>
    <s v="k"/>
    <s v="31"/>
    <n v="11"/>
    <x v="7"/>
  </r>
  <r>
    <s v="09313002170"/>
    <s v="Modzelewski"/>
    <s v="Konrad"/>
    <s v="m"/>
    <s v="31"/>
    <n v="11"/>
    <x v="7"/>
  </r>
  <r>
    <s v="09313003584"/>
    <s v="Cichowlas"/>
    <s v="Marta"/>
    <s v="k"/>
    <s v="31"/>
    <n v="11"/>
    <x v="7"/>
  </r>
  <r>
    <s v="09313003607"/>
    <s v="Kozlowska"/>
    <s v="Malgorzata"/>
    <s v="k"/>
    <s v="31"/>
    <n v="11"/>
    <x v="7"/>
  </r>
  <r>
    <s v="09313008381"/>
    <s v="Wrona"/>
    <s v="Alicja"/>
    <s v="k"/>
    <s v="31"/>
    <n v="11"/>
    <x v="7"/>
  </r>
  <r>
    <s v="09313010294"/>
    <s v="Podolszynski"/>
    <s v="Jakub"/>
    <s v="m"/>
    <s v="31"/>
    <n v="11"/>
    <x v="7"/>
  </r>
  <r>
    <s v="09320105440"/>
    <s v="Piorkowska"/>
    <s v="Kalina"/>
    <s v="k"/>
    <s v="32"/>
    <n v="12"/>
    <x v="8"/>
  </r>
  <r>
    <s v="09320200961"/>
    <s v="Mlodzianowska"/>
    <s v="Lena"/>
    <s v="k"/>
    <s v="32"/>
    <n v="12"/>
    <x v="8"/>
  </r>
  <r>
    <s v="09320300586"/>
    <s v="Kmiecik"/>
    <s v="Martyna"/>
    <s v="k"/>
    <s v="32"/>
    <n v="12"/>
    <x v="8"/>
  </r>
  <r>
    <s v="09320311214"/>
    <s v="Kisiel"/>
    <s v="Michal"/>
    <s v="m"/>
    <s v="32"/>
    <n v="12"/>
    <x v="8"/>
  </r>
  <r>
    <s v="09320401737"/>
    <s v="Dolny"/>
    <s v="Sebastian"/>
    <s v="m"/>
    <s v="32"/>
    <n v="12"/>
    <x v="8"/>
  </r>
  <r>
    <s v="09320408093"/>
    <s v="Kisiela"/>
    <s v="Michal"/>
    <s v="m"/>
    <s v="32"/>
    <n v="12"/>
    <x v="8"/>
  </r>
  <r>
    <s v="09320505837"/>
    <s v="Piotrowski"/>
    <s v="Mariusz"/>
    <s v="m"/>
    <s v="32"/>
    <n v="12"/>
    <x v="8"/>
  </r>
  <r>
    <s v="09320509077"/>
    <s v="Kopiejc"/>
    <s v="Maurycy"/>
    <s v="m"/>
    <s v="32"/>
    <n v="12"/>
    <x v="8"/>
  </r>
  <r>
    <s v="09320605025"/>
    <s v="Oszmana"/>
    <s v="Katarzyna"/>
    <s v="k"/>
    <s v="32"/>
    <n v="12"/>
    <x v="8"/>
  </r>
  <r>
    <s v="09320805814"/>
    <s v="Rozek"/>
    <s v="Jacek"/>
    <s v="m"/>
    <s v="32"/>
    <n v="12"/>
    <x v="8"/>
  </r>
  <r>
    <s v="09320905187"/>
    <s v="Bajer"/>
    <s v="Jadwiga"/>
    <s v="k"/>
    <s v="32"/>
    <n v="12"/>
    <x v="8"/>
  </r>
  <r>
    <s v="09321008971"/>
    <s v="Czapiewski"/>
    <s v="Szymon"/>
    <s v="m"/>
    <s v="32"/>
    <n v="12"/>
    <x v="8"/>
  </r>
  <r>
    <s v="09321103584"/>
    <s v="Marynowska"/>
    <s v="Lena"/>
    <s v="k"/>
    <s v="32"/>
    <n v="12"/>
    <x v="8"/>
  </r>
  <r>
    <s v="09321103607"/>
    <s v="Lubinska"/>
    <s v="Marta"/>
    <s v="k"/>
    <s v="32"/>
    <n v="12"/>
    <x v="8"/>
  </r>
  <r>
    <s v="09321202085"/>
    <s v="Horbaczewska"/>
    <s v="Nicola"/>
    <s v="k"/>
    <s v="32"/>
    <n v="12"/>
    <x v="8"/>
  </r>
  <r>
    <s v="09321202160"/>
    <s v="Wroblewska"/>
    <s v="Alicja"/>
    <s v="k"/>
    <s v="32"/>
    <n v="12"/>
    <x v="8"/>
  </r>
  <r>
    <s v="09321202375"/>
    <s v="Skabara"/>
    <s v="Grzegorz"/>
    <s v="m"/>
    <s v="32"/>
    <n v="12"/>
    <x v="8"/>
  </r>
  <r>
    <s v="09321202436"/>
    <s v="Formela"/>
    <s v="Piotr"/>
    <s v="m"/>
    <s v="32"/>
    <n v="12"/>
    <x v="8"/>
  </r>
  <r>
    <s v="09321208296"/>
    <s v="Ziolkowski"/>
    <s v="Mariusz"/>
    <s v="m"/>
    <s v="32"/>
    <n v="12"/>
    <x v="8"/>
  </r>
  <r>
    <s v="09321301401"/>
    <s v="Trocha"/>
    <s v="Anna"/>
    <s v="k"/>
    <s v="32"/>
    <n v="12"/>
    <x v="8"/>
  </r>
  <r>
    <s v="09321305122"/>
    <s v="Greszczuk"/>
    <s v="Oliwia"/>
    <s v="k"/>
    <s v="32"/>
    <n v="12"/>
    <x v="8"/>
  </r>
  <r>
    <s v="09321401422"/>
    <s v="Krupop"/>
    <s v="Maja"/>
    <s v="k"/>
    <s v="32"/>
    <n v="12"/>
    <x v="8"/>
  </r>
  <r>
    <s v="09321407220"/>
    <s v="Janiczek"/>
    <s v="Natalia"/>
    <s v="k"/>
    <s v="32"/>
    <n v="12"/>
    <x v="8"/>
  </r>
  <r>
    <s v="09321501160"/>
    <s v="Kempka"/>
    <s v="Milena"/>
    <s v="k"/>
    <s v="32"/>
    <n v="12"/>
    <x v="8"/>
  </r>
  <r>
    <s v="09321501177"/>
    <s v="Wizniewski"/>
    <s v="Andrzej"/>
    <s v="m"/>
    <s v="32"/>
    <n v="12"/>
    <x v="8"/>
  </r>
  <r>
    <s v="09321607125"/>
    <s v="Pajsk"/>
    <s v="Katarzyna"/>
    <s v="k"/>
    <s v="32"/>
    <n v="12"/>
    <x v="8"/>
  </r>
  <r>
    <s v="09321611788"/>
    <s v="Lewicka"/>
    <s v="Magdalena"/>
    <s v="k"/>
    <s v="32"/>
    <n v="12"/>
    <x v="8"/>
  </r>
  <r>
    <s v="09321706992"/>
    <s v="Swinianski"/>
    <s v="Cyprian"/>
    <s v="m"/>
    <s v="32"/>
    <n v="12"/>
    <x v="8"/>
  </r>
  <r>
    <s v="09321805936"/>
    <s v="Kaminski"/>
    <s v="Mikolaj"/>
    <s v="m"/>
    <s v="32"/>
    <n v="12"/>
    <x v="8"/>
  </r>
  <r>
    <s v="09321903900"/>
    <s v="Kirwiel"/>
    <s v="Michalina"/>
    <s v="k"/>
    <s v="32"/>
    <n v="12"/>
    <x v="8"/>
  </r>
  <r>
    <s v="09321903917"/>
    <s v="Werbowy"/>
    <s v="Artur"/>
    <s v="m"/>
    <s v="32"/>
    <n v="12"/>
    <x v="8"/>
  </r>
  <r>
    <s v="09321905469"/>
    <s v="Bajurska"/>
    <s v="Zuzanna"/>
    <s v="k"/>
    <s v="32"/>
    <n v="12"/>
    <x v="8"/>
  </r>
  <r>
    <s v="09322003265"/>
    <s v="Zaborowska"/>
    <s v="Aleksandra"/>
    <s v="k"/>
    <s v="32"/>
    <n v="12"/>
    <x v="8"/>
  </r>
  <r>
    <s v="09322103743"/>
    <s v="Dunislawska"/>
    <s v="Victoria"/>
    <s v="k"/>
    <s v="32"/>
    <n v="12"/>
    <x v="8"/>
  </r>
  <r>
    <s v="09322103842"/>
    <s v="Stachurska"/>
    <s v="Helena"/>
    <s v="k"/>
    <s v="32"/>
    <n v="12"/>
    <x v="8"/>
  </r>
  <r>
    <s v="09322106333"/>
    <s v="Kirwiel"/>
    <s v="Michal"/>
    <s v="m"/>
    <s v="32"/>
    <n v="12"/>
    <x v="8"/>
  </r>
  <r>
    <s v="09322106357"/>
    <s v="Zega"/>
    <s v="Adam"/>
    <s v="m"/>
    <s v="32"/>
    <n v="12"/>
    <x v="8"/>
  </r>
  <r>
    <s v="09322109039"/>
    <s v="Lukowski"/>
    <s v="Maciej"/>
    <s v="m"/>
    <s v="32"/>
    <n v="12"/>
    <x v="8"/>
  </r>
  <r>
    <s v="09322202879"/>
    <s v="Pietraszczyk"/>
    <s v="Jan"/>
    <s v="m"/>
    <s v="32"/>
    <n v="12"/>
    <x v="8"/>
  </r>
  <r>
    <s v="09322302180"/>
    <s v="Jędrzejczak"/>
    <s v="Nadia"/>
    <s v="k"/>
    <s v="32"/>
    <n v="12"/>
    <x v="8"/>
  </r>
  <r>
    <s v="09322306528"/>
    <s v="Wymyslowska"/>
    <s v="Alicja"/>
    <s v="k"/>
    <s v="32"/>
    <n v="12"/>
    <x v="8"/>
  </r>
  <r>
    <s v="09322402767"/>
    <s v="Wicher"/>
    <s v="Amelia"/>
    <s v="k"/>
    <s v="32"/>
    <n v="12"/>
    <x v="8"/>
  </r>
  <r>
    <s v="09322501336"/>
    <s v="Tusinski"/>
    <s v="Bartosz"/>
    <s v="m"/>
    <s v="32"/>
    <n v="12"/>
    <x v="8"/>
  </r>
  <r>
    <s v="09322505941"/>
    <s v="Walaszek"/>
    <s v="Angelika"/>
    <s v="k"/>
    <s v="32"/>
    <n v="12"/>
    <x v="8"/>
  </r>
  <r>
    <s v="09322602686"/>
    <s v="Karolewska"/>
    <s v="Milena"/>
    <s v="k"/>
    <s v="32"/>
    <n v="12"/>
    <x v="8"/>
  </r>
  <r>
    <s v="09322702454"/>
    <s v="Stanulewicz"/>
    <s v="Filip"/>
    <s v="m"/>
    <s v="32"/>
    <n v="12"/>
    <x v="8"/>
  </r>
  <r>
    <s v="09322705310"/>
    <s v="Marszalek"/>
    <s v="Kuba"/>
    <s v="m"/>
    <s v="32"/>
    <n v="12"/>
    <x v="8"/>
  </r>
  <r>
    <s v="09322705358"/>
    <s v="Kieloch"/>
    <s v="Michal"/>
    <s v="m"/>
    <s v="32"/>
    <n v="12"/>
    <x v="8"/>
  </r>
  <r>
    <s v="09322802260"/>
    <s v="Marmelowska"/>
    <s v="Martyna"/>
    <s v="k"/>
    <s v="32"/>
    <n v="12"/>
    <x v="8"/>
  </r>
  <r>
    <s v="09322805690"/>
    <s v="Nikolajew"/>
    <s v="Kacper"/>
    <s v="m"/>
    <s v="32"/>
    <n v="12"/>
    <x v="8"/>
  </r>
  <r>
    <s v="09322905758"/>
    <s v="Okla"/>
    <s v="Kacper"/>
    <s v="m"/>
    <s v="32"/>
    <n v="12"/>
    <x v="8"/>
  </r>
  <r>
    <s v="09322907675"/>
    <s v="Lademann"/>
    <s v="Marcel"/>
    <s v="m"/>
    <s v="32"/>
    <n v="12"/>
    <x v="8"/>
  </r>
  <r>
    <s v="09322909004"/>
    <s v="Kowakczyk"/>
    <s v="Maria"/>
    <s v="k"/>
    <s v="32"/>
    <n v="12"/>
    <x v="8"/>
  </r>
  <r>
    <s v="09323004647"/>
    <s v="Pawelska"/>
    <s v="Karolina"/>
    <s v="k"/>
    <s v="32"/>
    <n v="12"/>
    <x v="8"/>
  </r>
  <r>
    <s v="09323004692"/>
    <s v="Niemczyk"/>
    <s v="Kamil"/>
    <s v="m"/>
    <s v="32"/>
    <n v="12"/>
    <x v="8"/>
  </r>
  <r>
    <s v="09323004715"/>
    <s v="Hazubski"/>
    <s v="Olgierd"/>
    <s v="m"/>
    <s v="32"/>
    <n v="12"/>
    <x v="8"/>
  </r>
  <r>
    <s v="09323004753"/>
    <s v="Ryngwelski"/>
    <s v="Igor"/>
    <s v="m"/>
    <s v="32"/>
    <n v="12"/>
    <x v="8"/>
  </r>
  <r>
    <s v="09323004777"/>
    <s v="Ropiak"/>
    <s v="Jakub"/>
    <s v="m"/>
    <s v="32"/>
    <n v="12"/>
    <x v="8"/>
  </r>
  <r>
    <s v="09323004791"/>
    <s v="Giemza"/>
    <s v="Patryk"/>
    <s v="m"/>
    <s v="32"/>
    <n v="12"/>
    <x v="8"/>
  </r>
  <r>
    <s v="09323103810"/>
    <s v="Domzala"/>
    <s v="Ryszard"/>
    <s v="m"/>
    <s v="32"/>
    <n v="12"/>
    <x v="8"/>
  </r>
  <r>
    <s v="09323105621"/>
    <s v="Pozarzycka"/>
    <s v="Justyna"/>
    <s v="k"/>
    <s v="32"/>
    <n v="12"/>
    <x v="8"/>
  </r>
  <r>
    <s v="50021011352"/>
    <s v="Kowalik"/>
    <s v="Mateusz"/>
    <s v="m"/>
    <s v="02"/>
    <n v="2"/>
    <x v="10"/>
  </r>
  <r>
    <s v="50101111305"/>
    <s v="Hintzke"/>
    <s v="Nikola"/>
    <s v="k"/>
    <s v="10"/>
    <n v="10"/>
    <x v="6"/>
  </r>
  <r>
    <s v="50102636355"/>
    <s v="Swistek"/>
    <s v="Damian"/>
    <s v="m"/>
    <s v="10"/>
    <n v="10"/>
    <x v="6"/>
  </r>
  <r>
    <s v="51011153311"/>
    <s v="Grzelecki"/>
    <s v="Oliwier"/>
    <s v="m"/>
    <s v="01"/>
    <n v="1"/>
    <x v="9"/>
  </r>
  <r>
    <s v="51102573842"/>
    <s v="Hinz"/>
    <s v="Nikola"/>
    <s v="k"/>
    <s v="10"/>
    <n v="10"/>
    <x v="6"/>
  </r>
  <r>
    <s v="52101156863"/>
    <s v="Kaftan"/>
    <s v="Monika"/>
    <s v="k"/>
    <s v="10"/>
    <n v="10"/>
    <x v="6"/>
  </r>
  <r>
    <s v="52110446139"/>
    <s v="Wasiluk"/>
    <s v="Bartlomiej"/>
    <s v="m"/>
    <s v="11"/>
    <n v="11"/>
    <x v="7"/>
  </r>
  <r>
    <s v="53082806059"/>
    <s v="Wasilewski"/>
    <s v="Bartlomiej"/>
    <s v="m"/>
    <s v="08"/>
    <n v="8"/>
    <x v="4"/>
  </r>
  <r>
    <s v="53122299122"/>
    <s v="Lukasik"/>
    <s v="Magdalena"/>
    <s v="k"/>
    <s v="12"/>
    <n v="12"/>
    <x v="8"/>
  </r>
  <r>
    <s v="54020837137"/>
    <s v="Silakowski"/>
    <s v="Henryk"/>
    <s v="m"/>
    <s v="02"/>
    <n v="2"/>
    <x v="10"/>
  </r>
  <r>
    <s v="55022153432"/>
    <s v="Zygmunt"/>
    <s v="Adam"/>
    <s v="m"/>
    <s v="02"/>
    <n v="2"/>
    <x v="10"/>
  </r>
  <r>
    <s v="55110906690"/>
    <s v="Pettka"/>
    <s v="Jan"/>
    <s v="m"/>
    <s v="11"/>
    <n v="11"/>
    <x v="7"/>
  </r>
  <r>
    <s v="55123128973"/>
    <s v="Hanczarek"/>
    <s v="Olivier"/>
    <s v="m"/>
    <s v="12"/>
    <n v="12"/>
    <x v="8"/>
  </r>
  <r>
    <s v="56111161549"/>
    <s v="Samulczyk"/>
    <s v="Julia"/>
    <s v="k"/>
    <s v="11"/>
    <n v="11"/>
    <x v="7"/>
  </r>
  <r>
    <s v="57073163051"/>
    <s v="Berezniewicz"/>
    <s v="Wiktor"/>
    <s v="m"/>
    <s v="07"/>
    <n v="7"/>
    <x v="3"/>
  </r>
  <r>
    <s v="57102202414"/>
    <s v="Bialaszewski"/>
    <s v="Piotr"/>
    <s v="m"/>
    <s v="10"/>
    <n v="10"/>
    <x v="6"/>
  </r>
  <r>
    <s v="58122188027"/>
    <s v="Rutkiewicz"/>
    <s v="Julia"/>
    <s v="k"/>
    <s v="12"/>
    <n v="12"/>
    <x v="8"/>
  </r>
  <r>
    <s v="59031152059"/>
    <s v="Kowalczyk"/>
    <s v="Mateusz"/>
    <s v="m"/>
    <s v="03"/>
    <n v="3"/>
    <x v="11"/>
  </r>
  <r>
    <s v="59042989686"/>
    <s v="Sadowska"/>
    <s v="Julia"/>
    <s v="k"/>
    <s v="04"/>
    <n v="4"/>
    <x v="0"/>
  </r>
  <r>
    <s v="59083036077"/>
    <s v="Sobol"/>
    <s v="Filip"/>
    <s v="m"/>
    <s v="08"/>
    <n v="8"/>
    <x v="4"/>
  </r>
  <r>
    <s v="59110570565"/>
    <s v="Senger"/>
    <s v="Joanna"/>
    <s v="k"/>
    <s v="11"/>
    <n v="11"/>
    <x v="7"/>
  </r>
  <r>
    <s v="60102890107"/>
    <s v="Stanislawska"/>
    <s v="Hanna"/>
    <s v="k"/>
    <s v="10"/>
    <n v="10"/>
    <x v="6"/>
  </r>
  <r>
    <s v="61032479116"/>
    <s v="Szczepkowski"/>
    <s v="Dorian"/>
    <s v="m"/>
    <s v="03"/>
    <n v="3"/>
    <x v="11"/>
  </r>
  <r>
    <s v="61100157652"/>
    <s v="Wojcicki"/>
    <s v="Aleks"/>
    <s v="m"/>
    <s v="10"/>
    <n v="10"/>
    <x v="6"/>
  </r>
  <r>
    <s v="61121020469"/>
    <s v="Salanowska"/>
    <s v="Julia"/>
    <s v="k"/>
    <s v="12"/>
    <n v="12"/>
    <x v="8"/>
  </r>
  <r>
    <s v="62033089803"/>
    <s v="Skrzydlak"/>
    <s v="Izabela"/>
    <s v="k"/>
    <s v="03"/>
    <n v="3"/>
    <x v="11"/>
  </r>
  <r>
    <s v="62092569090"/>
    <s v="Koszlaga"/>
    <s v="Mateusz"/>
    <s v="m"/>
    <s v="09"/>
    <n v="9"/>
    <x v="5"/>
  </r>
  <r>
    <s v="63092608644"/>
    <s v="Kowalczuk"/>
    <s v="Maria"/>
    <s v="k"/>
    <s v="09"/>
    <n v="9"/>
    <x v="5"/>
  </r>
  <r>
    <s v="63102092944"/>
    <s v="Glowinska"/>
    <s v="Patrycja"/>
    <s v="k"/>
    <s v="10"/>
    <n v="10"/>
    <x v="6"/>
  </r>
  <r>
    <s v="63122755182"/>
    <s v="Sautycz"/>
    <s v="Julia"/>
    <s v="k"/>
    <s v="12"/>
    <n v="12"/>
    <x v="8"/>
  </r>
  <r>
    <s v="64022301455"/>
    <s v="Jakubowski"/>
    <s v="Nikodem"/>
    <s v="m"/>
    <s v="02"/>
    <n v="2"/>
    <x v="10"/>
  </r>
  <r>
    <s v="64040919575"/>
    <s v="Labuda"/>
    <s v="Marcel"/>
    <s v="m"/>
    <s v="04"/>
    <n v="4"/>
    <x v="0"/>
  </r>
  <r>
    <s v="64063159211"/>
    <s v="Przestrzelski"/>
    <s v="Jakub"/>
    <s v="m"/>
    <s v="06"/>
    <n v="6"/>
    <x v="2"/>
  </r>
  <r>
    <s v="65062892381"/>
    <s v="Sochacka"/>
    <s v="Inka"/>
    <s v="k"/>
    <s v="06"/>
    <n v="6"/>
    <x v="2"/>
  </r>
  <r>
    <s v="65092056892"/>
    <s v="Wierzbicki"/>
    <s v="Antoni"/>
    <s v="m"/>
    <s v="09"/>
    <n v="9"/>
    <x v="5"/>
  </r>
  <r>
    <s v="65102086116"/>
    <s v="Sarnowski"/>
    <s v="Ignacy"/>
    <s v="m"/>
    <s v="10"/>
    <n v="10"/>
    <x v="6"/>
  </r>
  <r>
    <s v="66063014631"/>
    <s v="Machalski"/>
    <s v="Maciej"/>
    <s v="m"/>
    <s v="06"/>
    <n v="6"/>
    <x v="2"/>
  </r>
  <r>
    <s v="66100294134"/>
    <s v="Kowalczyk"/>
    <s v="Mateusz"/>
    <s v="m"/>
    <s v="10"/>
    <n v="10"/>
    <x v="6"/>
  </r>
  <r>
    <s v="66100651663"/>
    <s v="Broukin"/>
    <s v="Zofia"/>
    <s v="k"/>
    <s v="10"/>
    <n v="10"/>
    <x v="6"/>
  </r>
  <r>
    <s v="66111176164"/>
    <s v="Filarska"/>
    <s v="Sandra"/>
    <s v="k"/>
    <s v="11"/>
    <n v="11"/>
    <x v="7"/>
  </r>
  <r>
    <s v="66113183995"/>
    <s v="Siminski"/>
    <s v="Henryk"/>
    <s v="m"/>
    <s v="11"/>
    <n v="11"/>
    <x v="7"/>
  </r>
  <r>
    <s v="67103111042"/>
    <s v="Riegel"/>
    <s v="Julia"/>
    <s v="k"/>
    <s v="10"/>
    <n v="10"/>
    <x v="6"/>
  </r>
  <r>
    <s v="67112966668"/>
    <s v="Kozlowska"/>
    <s v="Malgorzata"/>
    <s v="k"/>
    <s v="11"/>
    <n v="11"/>
    <x v="7"/>
  </r>
  <r>
    <s v="67113048790"/>
    <s v="Porydzaj"/>
    <s v="Jakub"/>
    <s v="m"/>
    <s v="11"/>
    <n v="11"/>
    <x v="7"/>
  </r>
  <r>
    <s v="67120749923"/>
    <s v="Sachse"/>
    <s v="Julia"/>
    <s v="k"/>
    <s v="12"/>
    <n v="12"/>
    <x v="8"/>
  </r>
  <r>
    <s v="68112117597"/>
    <s v="Spanowski"/>
    <s v="Filip"/>
    <s v="m"/>
    <s v="11"/>
    <n v="11"/>
    <x v="7"/>
  </r>
  <r>
    <s v="69030626134"/>
    <s v="Machol"/>
    <s v="Maciej"/>
    <s v="m"/>
    <s v="03"/>
    <n v="3"/>
    <x v="11"/>
  </r>
  <r>
    <s v="69122174118"/>
    <s v="Zmurko"/>
    <s v="Adam"/>
    <s v="m"/>
    <s v="12"/>
    <n v="12"/>
    <x v="8"/>
  </r>
  <r>
    <s v="70032057433"/>
    <s v="Rembisz"/>
    <s v="Jakub"/>
    <s v="m"/>
    <s v="03"/>
    <n v="3"/>
    <x v="11"/>
  </r>
  <r>
    <s v="70053179170"/>
    <s v="Szmitko"/>
    <s v="Dominik"/>
    <s v="m"/>
    <s v="05"/>
    <n v="5"/>
    <x v="1"/>
  </r>
  <r>
    <s v="70101195486"/>
    <s v="Jurewicz"/>
    <s v="Nadia"/>
    <s v="k"/>
    <s v="10"/>
    <n v="10"/>
    <x v="6"/>
  </r>
  <r>
    <s v="70120794633"/>
    <s v="Zurek"/>
    <s v="Adam"/>
    <s v="m"/>
    <s v="12"/>
    <n v="12"/>
    <x v="8"/>
  </r>
  <r>
    <s v="71093058856"/>
    <s v="Ręczmin"/>
    <s v="Jakub"/>
    <s v="m"/>
    <s v="09"/>
    <n v="9"/>
    <x v="5"/>
  </r>
  <r>
    <s v="71110410883"/>
    <s v="Steinborn"/>
    <s v="Hanna"/>
    <s v="k"/>
    <s v="11"/>
    <n v="11"/>
    <x v="7"/>
  </r>
  <r>
    <s v="71112677514"/>
    <s v="Swierszcz"/>
    <s v="Cyprian"/>
    <s v="m"/>
    <s v="11"/>
    <n v="11"/>
    <x v="7"/>
  </r>
  <r>
    <s v="71123061643"/>
    <s v="Sibiga"/>
    <s v="Joanna"/>
    <s v="k"/>
    <s v="12"/>
    <n v="12"/>
    <x v="8"/>
  </r>
  <r>
    <s v="72031096705"/>
    <s v="Makowska"/>
    <s v="Luiza"/>
    <s v="k"/>
    <s v="03"/>
    <n v="3"/>
    <x v="11"/>
  </r>
  <r>
    <s v="73010399576"/>
    <s v="Dzierzak"/>
    <s v="Piotr"/>
    <s v="m"/>
    <s v="01"/>
    <n v="1"/>
    <x v="9"/>
  </r>
  <r>
    <s v="73070871368"/>
    <s v="Leman"/>
    <s v="Maja"/>
    <s v="k"/>
    <s v="07"/>
    <n v="7"/>
    <x v="3"/>
  </r>
  <r>
    <s v="73103000844"/>
    <s v="Stankiewicz"/>
    <s v="Hanna"/>
    <s v="k"/>
    <s v="10"/>
    <n v="10"/>
    <x v="6"/>
  </r>
  <r>
    <s v="73112328551"/>
    <s v="Wizniewski"/>
    <s v="Antoni"/>
    <s v="m"/>
    <s v="11"/>
    <n v="11"/>
    <x v="7"/>
  </r>
  <r>
    <s v="74040249598"/>
    <s v="Zawisza"/>
    <s v="Adrian"/>
    <s v="m"/>
    <s v="04"/>
    <n v="4"/>
    <x v="0"/>
  </r>
  <r>
    <s v="74120284541"/>
    <s v="Adamiak"/>
    <s v="Zofia"/>
    <s v="k"/>
    <s v="12"/>
    <n v="12"/>
    <x v="8"/>
  </r>
  <r>
    <s v="74121108598"/>
    <s v="Yuksek"/>
    <s v="Adrian"/>
    <s v="m"/>
    <s v="12"/>
    <n v="12"/>
    <x v="8"/>
  </r>
  <r>
    <s v="74123184206"/>
    <s v="Perez"/>
    <s v="Karolina"/>
    <s v="k"/>
    <s v="12"/>
    <n v="12"/>
    <x v="8"/>
  </r>
  <r>
    <s v="75032006098"/>
    <s v="Duszota"/>
    <s v="Piotr"/>
    <s v="m"/>
    <s v="03"/>
    <n v="3"/>
    <x v="11"/>
  </r>
  <r>
    <s v="75113162747"/>
    <s v="Kulkowska"/>
    <s v="Maja"/>
    <s v="k"/>
    <s v="11"/>
    <n v="11"/>
    <x v="7"/>
  </r>
  <r>
    <s v="75121005045"/>
    <s v="Zylinska"/>
    <s v="Adelajda"/>
    <s v="k"/>
    <s v="12"/>
    <n v="12"/>
    <x v="8"/>
  </r>
  <r>
    <s v="75123199317"/>
    <s v="Nowak"/>
    <s v="Kacper"/>
    <s v="m"/>
    <s v="12"/>
    <n v="12"/>
    <x v="8"/>
  </r>
  <r>
    <s v="76043054555"/>
    <s v="Lyszcz"/>
    <s v="Maciej"/>
    <s v="m"/>
    <s v="04"/>
    <n v="4"/>
    <x v="0"/>
  </r>
  <r>
    <s v="76043169949"/>
    <s v="Zdrojewska"/>
    <s v="Agata"/>
    <s v="k"/>
    <s v="04"/>
    <n v="4"/>
    <x v="0"/>
  </r>
  <r>
    <s v="76121186303"/>
    <s v="Engel"/>
    <s v="Urszula"/>
    <s v="k"/>
    <s v="12"/>
    <n v="12"/>
    <x v="8"/>
  </r>
  <r>
    <s v="76122752028"/>
    <s v="Zgadzaj"/>
    <s v="Agata"/>
    <s v="k"/>
    <s v="12"/>
    <n v="12"/>
    <x v="8"/>
  </r>
  <r>
    <s v="77111084850"/>
    <s v="Strack"/>
    <s v="Filip"/>
    <s v="m"/>
    <s v="11"/>
    <n v="11"/>
    <x v="7"/>
  </r>
  <r>
    <s v="78011115028"/>
    <s v="Reclaw"/>
    <s v="Julia"/>
    <s v="k"/>
    <s v="01"/>
    <n v="1"/>
    <x v="9"/>
  </r>
  <r>
    <s v="78102945963"/>
    <s v="Mazurkiewicz"/>
    <s v="Lena"/>
    <s v="k"/>
    <s v="10"/>
    <n v="10"/>
    <x v="6"/>
  </r>
  <r>
    <s v="78103188695"/>
    <s v="Potocki"/>
    <s v="Jakub"/>
    <s v="m"/>
    <s v="10"/>
    <n v="10"/>
    <x v="6"/>
  </r>
  <r>
    <s v="78123189018"/>
    <s v="Furmaniak"/>
    <s v="Pawel"/>
    <s v="m"/>
    <s v="12"/>
    <n v="12"/>
    <x v="8"/>
  </r>
  <r>
    <s v="79012564484"/>
    <s v="Marzec"/>
    <s v="Lena"/>
    <s v="k"/>
    <s v="01"/>
    <n v="1"/>
    <x v="9"/>
  </r>
  <r>
    <s v="79070627831"/>
    <s v="Tomaszewski"/>
    <s v="Bruno"/>
    <s v="m"/>
    <s v="07"/>
    <n v="7"/>
    <x v="3"/>
  </r>
  <r>
    <s v="79101146737"/>
    <s v="Strupiechowski"/>
    <s v="Filip"/>
    <s v="m"/>
    <s v="10"/>
    <n v="10"/>
    <x v="6"/>
  </r>
  <r>
    <s v="79110673709"/>
    <s v="Szczepanska"/>
    <s v="Emilia"/>
    <s v="k"/>
    <s v="11"/>
    <n v="11"/>
    <x v="7"/>
  </r>
  <r>
    <s v="81081010863"/>
    <s v="Wamka"/>
    <s v="Anastazja"/>
    <s v="k"/>
    <s v="08"/>
    <n v="8"/>
    <x v="4"/>
  </r>
  <r>
    <s v="81101148770"/>
    <s v="Spychala"/>
    <s v="Filip"/>
    <s v="m"/>
    <s v="10"/>
    <n v="10"/>
    <x v="6"/>
  </r>
  <r>
    <s v="82072219267"/>
    <s v="Bialkowska"/>
    <s v="Kamila"/>
    <s v="k"/>
    <s v="07"/>
    <n v="7"/>
    <x v="3"/>
  </r>
  <r>
    <s v="83041947282"/>
    <s v="Bsk"/>
    <s v="Arleta"/>
    <s v="k"/>
    <s v="04"/>
    <n v="4"/>
    <x v="0"/>
  </r>
  <r>
    <s v="84050694367"/>
    <s v="Wojciechowska"/>
    <s v="Alicja"/>
    <s v="k"/>
    <s v="05"/>
    <n v="5"/>
    <x v="1"/>
  </r>
  <r>
    <s v="84051294894"/>
    <s v="Szczucki"/>
    <s v="Dominik"/>
    <s v="m"/>
    <s v="05"/>
    <n v="5"/>
    <x v="1"/>
  </r>
  <r>
    <s v="84051840149"/>
    <s v="Helinska"/>
    <s v="Ines"/>
    <s v="k"/>
    <s v="05"/>
    <n v="5"/>
    <x v="1"/>
  </r>
  <r>
    <s v="84112185145"/>
    <s v="Felisiak"/>
    <s v="Doris"/>
    <s v="k"/>
    <s v="11"/>
    <n v="11"/>
    <x v="7"/>
  </r>
  <r>
    <s v="85031079443"/>
    <s v="Mrozik"/>
    <s v="Lena"/>
    <s v="k"/>
    <s v="03"/>
    <n v="3"/>
    <x v="11"/>
  </r>
  <r>
    <s v="85052135674"/>
    <s v="Rembiewski"/>
    <s v="Jakub"/>
    <s v="m"/>
    <s v="05"/>
    <n v="5"/>
    <x v="1"/>
  </r>
  <r>
    <s v="85052568643"/>
    <s v="Klein"/>
    <s v="Michalina"/>
    <s v="k"/>
    <s v="05"/>
    <n v="5"/>
    <x v="1"/>
  </r>
  <r>
    <s v="85052605175"/>
    <s v="Geszczynski"/>
    <s v="Patryk"/>
    <s v="m"/>
    <s v="05"/>
    <n v="5"/>
    <x v="1"/>
  </r>
  <r>
    <s v="85111779283"/>
    <s v="Frankowska"/>
    <s v="Roksana"/>
    <s v="k"/>
    <s v="11"/>
    <n v="11"/>
    <x v="7"/>
  </r>
  <r>
    <s v="86061995325"/>
    <s v="Jurczyk"/>
    <s v="Nadia"/>
    <s v="k"/>
    <s v="06"/>
    <n v="6"/>
    <x v="2"/>
  </r>
  <r>
    <s v="86070511185"/>
    <s v="Bialkowska"/>
    <s v="Katarzyna"/>
    <s v="k"/>
    <s v="07"/>
    <n v="7"/>
    <x v="3"/>
  </r>
  <r>
    <s v="86070630583"/>
    <s v="Kolodziejczyk"/>
    <s v="Marta"/>
    <s v="k"/>
    <s v="07"/>
    <n v="7"/>
    <x v="3"/>
  </r>
  <r>
    <s v="86072032543"/>
    <s v="Procinska"/>
    <s v="Julianna"/>
    <s v="k"/>
    <s v="07"/>
    <n v="7"/>
    <x v="3"/>
  </r>
  <r>
    <s v="86080941169"/>
    <s v="Ciesielska"/>
    <s v="Wiktoria"/>
    <s v="k"/>
    <s v="08"/>
    <n v="8"/>
    <x v="4"/>
  </r>
  <r>
    <s v="86081443325"/>
    <s v="Lange"/>
    <s v="Maja"/>
    <s v="k"/>
    <s v="08"/>
    <n v="8"/>
    <x v="4"/>
  </r>
  <r>
    <s v="87070895372"/>
    <s v="Kulakowski"/>
    <s v="Marcjusz"/>
    <s v="m"/>
    <s v="07"/>
    <n v="7"/>
    <x v="3"/>
  </r>
  <r>
    <s v="87071164662"/>
    <s v="Kluziak"/>
    <s v="Matylda"/>
    <s v="k"/>
    <s v="07"/>
    <n v="7"/>
    <x v="3"/>
  </r>
  <r>
    <s v="87072724289"/>
    <s v="Trzebiatowska"/>
    <s v="Anna"/>
    <s v="k"/>
    <s v="07"/>
    <n v="7"/>
    <x v="3"/>
  </r>
  <r>
    <s v="88080204509"/>
    <s v="Tomaszewska"/>
    <s v="Anna"/>
    <s v="k"/>
    <s v="08"/>
    <n v="8"/>
    <x v="4"/>
  </r>
  <r>
    <s v="88080416256"/>
    <s v="Przytula"/>
    <s v="Jakub"/>
    <s v="m"/>
    <s v="08"/>
    <n v="8"/>
    <x v="4"/>
  </r>
  <r>
    <s v="88080601948"/>
    <s v="Grzedzielska"/>
    <s v="Nina"/>
    <s v="k"/>
    <s v="08"/>
    <n v="8"/>
    <x v="4"/>
  </r>
  <r>
    <s v="88103032931"/>
    <s v="Derek"/>
    <s v="Stanislaw"/>
    <s v="m"/>
    <s v="10"/>
    <n v="10"/>
    <x v="6"/>
  </r>
  <r>
    <s v="88111094545"/>
    <s v="Miszkin"/>
    <s v="Lena"/>
    <s v="k"/>
    <s v="11"/>
    <n v="11"/>
    <x v="7"/>
  </r>
  <r>
    <s v="88120262427"/>
    <s v="Kwidczynska"/>
    <s v="Maja"/>
    <s v="k"/>
    <s v="12"/>
    <n v="12"/>
    <x v="8"/>
  </r>
  <r>
    <s v="89010293604"/>
    <s v="Kado"/>
    <s v="Monika"/>
    <s v="k"/>
    <s v="01"/>
    <n v="1"/>
    <x v="9"/>
  </r>
  <r>
    <s v="89010737704"/>
    <s v="Nowakowska"/>
    <s v="Kornelia"/>
    <s v="k"/>
    <s v="01"/>
    <n v="1"/>
    <x v="9"/>
  </r>
  <r>
    <s v="89011129700"/>
    <s v="Wilk"/>
    <s v="Amelia"/>
    <s v="k"/>
    <s v="01"/>
    <n v="1"/>
    <x v="9"/>
  </r>
  <r>
    <s v="89011581319"/>
    <s v="Strehlke"/>
    <s v="Filip"/>
    <s v="m"/>
    <s v="01"/>
    <n v="1"/>
    <x v="9"/>
  </r>
  <r>
    <s v="89012630357"/>
    <s v="Pistek"/>
    <s v="Jan"/>
    <s v="m"/>
    <s v="01"/>
    <n v="1"/>
    <x v="9"/>
  </r>
  <r>
    <s v="89020265394"/>
    <s v="Radomski"/>
    <s v="Jakub"/>
    <s v="m"/>
    <s v="02"/>
    <n v="2"/>
    <x v="10"/>
  </r>
  <r>
    <s v="89021468413"/>
    <s v="Pieterson"/>
    <s v="Jan"/>
    <s v="m"/>
    <s v="02"/>
    <n v="2"/>
    <x v="10"/>
  </r>
  <r>
    <s v="89021697637"/>
    <s v="Dabrowski"/>
    <s v="Stanislaw"/>
    <s v="m"/>
    <s v="02"/>
    <n v="2"/>
    <x v="10"/>
  </r>
  <r>
    <s v="89022379914"/>
    <s v="Beniuszys"/>
    <s v="Mikolaj"/>
    <s v="m"/>
    <s v="02"/>
    <n v="2"/>
    <x v="10"/>
  </r>
  <r>
    <s v="89032143350"/>
    <s v="Kornatowski"/>
    <s v="Mateusz"/>
    <s v="m"/>
    <s v="03"/>
    <n v="3"/>
    <x v="11"/>
  </r>
  <r>
    <s v="89040185241"/>
    <s v="Jackowska"/>
    <s v="Natasza"/>
    <s v="k"/>
    <s v="04"/>
    <n v="4"/>
    <x v="0"/>
  </r>
  <r>
    <s v="89040205480"/>
    <s v="Broszkow"/>
    <s v="Zofia"/>
    <s v="k"/>
    <s v="04"/>
    <n v="4"/>
    <x v="0"/>
  </r>
  <r>
    <s v="89040633348"/>
    <s v="Klebba"/>
    <s v="Michalina"/>
    <s v="k"/>
    <s v="04"/>
    <n v="4"/>
    <x v="0"/>
  </r>
  <r>
    <s v="89040876453"/>
    <s v="Ciosinski"/>
    <s v="Jacek"/>
    <s v="m"/>
    <s v="04"/>
    <n v="4"/>
    <x v="0"/>
  </r>
  <r>
    <s v="89041133472"/>
    <s v="Brydzinski"/>
    <s v="Mariusz"/>
    <s v="m"/>
    <s v="04"/>
    <n v="4"/>
    <x v="0"/>
  </r>
  <r>
    <s v="89042620494"/>
    <s v="Witkowski"/>
    <s v="Andrea"/>
    <s v="m"/>
    <s v="04"/>
    <n v="4"/>
    <x v="0"/>
  </r>
  <r>
    <s v="89042750933"/>
    <s v="Radziszewski"/>
    <s v="Jakub"/>
    <s v="m"/>
    <s v="04"/>
    <n v="4"/>
    <x v="0"/>
  </r>
  <r>
    <s v="89052085069"/>
    <s v="Korenkiewicz"/>
    <s v="Marika"/>
    <s v="k"/>
    <s v="05"/>
    <n v="5"/>
    <x v="1"/>
  </r>
  <r>
    <s v="89052295172"/>
    <s v="Szreder"/>
    <s v="Dawid"/>
    <s v="m"/>
    <s v="05"/>
    <n v="5"/>
    <x v="1"/>
  </r>
  <r>
    <s v="89062644823"/>
    <s v="Murczynska"/>
    <s v="Laura"/>
    <s v="k"/>
    <s v="06"/>
    <n v="6"/>
    <x v="2"/>
  </r>
  <r>
    <s v="89081519801"/>
    <s v="Kurowska"/>
    <s v="Maja"/>
    <s v="k"/>
    <s v="08"/>
    <n v="8"/>
    <x v="4"/>
  </r>
  <r>
    <s v="89082179879"/>
    <s v="Hrywniak"/>
    <s v="Olaf"/>
    <s v="m"/>
    <s v="08"/>
    <n v="8"/>
    <x v="4"/>
  </r>
  <r>
    <s v="89082608599"/>
    <s v="Cieslik"/>
    <s v="Stanislaw"/>
    <s v="m"/>
    <s v="08"/>
    <n v="8"/>
    <x v="4"/>
  </r>
  <r>
    <s v="89091482250"/>
    <s v="Mierzejewski"/>
    <s v="Kornel"/>
    <s v="m"/>
    <s v="09"/>
    <n v="9"/>
    <x v="5"/>
  </r>
  <r>
    <s v="89100192752"/>
    <s v="Lupa"/>
    <s v="Maksymilian"/>
    <s v="m"/>
    <s v="10"/>
    <n v="10"/>
    <x v="6"/>
  </r>
  <r>
    <s v="89102588171"/>
    <s v="Wydrzynski"/>
    <s v="Adrian"/>
    <s v="m"/>
    <s v="10"/>
    <n v="10"/>
    <x v="6"/>
  </r>
  <r>
    <s v="89112466825"/>
    <s v="Tarkowska"/>
    <s v="Antonina"/>
    <s v="k"/>
    <s v="11"/>
    <n v="11"/>
    <x v="7"/>
  </r>
  <r>
    <s v="89120952161"/>
    <s v="Adamczyk"/>
    <s v="Zuzanna"/>
    <s v="k"/>
    <s v="12"/>
    <n v="12"/>
    <x v="8"/>
  </r>
  <r>
    <s v="90053120136"/>
    <s v="Burza"/>
    <s v="Stanislaw"/>
    <s v="m"/>
    <s v="05"/>
    <n v="5"/>
    <x v="1"/>
  </r>
  <r>
    <s v="90112004373"/>
    <s v="Rybinski"/>
    <s v="Igor"/>
    <s v="m"/>
    <s v="11"/>
    <n v="11"/>
    <x v="7"/>
  </r>
  <r>
    <s v="91023191330"/>
    <s v="Wojcik"/>
    <s v="Aleks"/>
    <s v="m"/>
    <s v="02"/>
    <n v="2"/>
    <x v="10"/>
  </r>
  <r>
    <s v="92080709353"/>
    <s v="Pawelec"/>
    <s v="Jan"/>
    <s v="m"/>
    <s v="08"/>
    <n v="8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4">
  <r>
    <s v="08242501475"/>
    <s v="Micun"/>
    <s v="Krzysztof"/>
    <s v="m"/>
    <s v="K"/>
    <s v="Mic"/>
    <s v="5"/>
    <x v="0"/>
  </r>
  <r>
    <s v="08242809191"/>
    <s v="Jablonski"/>
    <s v="Nikodem"/>
    <s v="m"/>
    <s v="N"/>
    <s v="Jab"/>
    <s v="1"/>
    <x v="1"/>
  </r>
  <r>
    <s v="08242912835"/>
    <s v="Leoniuk"/>
    <s v="Marcel"/>
    <s v="m"/>
    <s v="M"/>
    <s v="Leo"/>
    <s v="5"/>
    <x v="2"/>
  </r>
  <r>
    <s v="08250606999"/>
    <s v="Kurasik"/>
    <s v="Marcin"/>
    <s v="m"/>
    <s v="M"/>
    <s v="Kur"/>
    <s v="9"/>
    <x v="3"/>
  </r>
  <r>
    <s v="08251305958"/>
    <s v="Krynicki"/>
    <s v="Mateusz"/>
    <s v="m"/>
    <s v="M"/>
    <s v="Kry"/>
    <s v="8"/>
    <x v="4"/>
  </r>
  <r>
    <s v="08252202698"/>
    <s v="Gibas"/>
    <s v="Patryk"/>
    <s v="m"/>
    <s v="P"/>
    <s v="Gib"/>
    <s v="8"/>
    <x v="5"/>
  </r>
  <r>
    <s v="08260302636"/>
    <s v="Jama"/>
    <s v="Nikodem"/>
    <s v="m"/>
    <s v="N"/>
    <s v="Jam"/>
    <s v="6"/>
    <x v="6"/>
  </r>
  <r>
    <s v="08260401830"/>
    <s v="Chojnacki"/>
    <s v="Jacek"/>
    <s v="m"/>
    <s v="J"/>
    <s v="Cho"/>
    <s v="0"/>
    <x v="7"/>
  </r>
  <r>
    <s v="08261009495"/>
    <s v="Tomczyk"/>
    <s v="Bruno"/>
    <s v="m"/>
    <s v="B"/>
    <s v="Tom"/>
    <s v="5"/>
    <x v="8"/>
  </r>
  <r>
    <s v="08261204258"/>
    <s v="Wojciechowski"/>
    <s v="Alojzy"/>
    <s v="m"/>
    <s v="A"/>
    <s v="Woj"/>
    <s v="8"/>
    <x v="9"/>
  </r>
  <r>
    <s v="08261403695"/>
    <s v="Glac"/>
    <s v="Patryk"/>
    <s v="m"/>
    <s v="P"/>
    <s v="Gla"/>
    <s v="5"/>
    <x v="10"/>
  </r>
  <r>
    <s v="08261601819"/>
    <s v="Lewita"/>
    <s v="Maksymilian"/>
    <s v="m"/>
    <s v="M"/>
    <s v="Lew"/>
    <s v="9"/>
    <x v="11"/>
  </r>
  <r>
    <s v="08261804557"/>
    <s v="Lutczyk"/>
    <s v="Maciej"/>
    <s v="m"/>
    <s v="M"/>
    <s v="Lut"/>
    <s v="7"/>
    <x v="12"/>
  </r>
  <r>
    <s v="08261804595"/>
    <s v="Laskowski"/>
    <s v="Maciej"/>
    <s v="m"/>
    <s v="M"/>
    <s v="Las"/>
    <s v="5"/>
    <x v="13"/>
  </r>
  <r>
    <s v="08262307035"/>
    <s v="Wolski"/>
    <s v="Aleksander"/>
    <s v="m"/>
    <s v="A"/>
    <s v="Wol"/>
    <s v="5"/>
    <x v="14"/>
  </r>
  <r>
    <s v="08262311957"/>
    <s v="Dabrowa"/>
    <s v="Szymon"/>
    <s v="m"/>
    <s v="S"/>
    <s v="Dab"/>
    <s v="7"/>
    <x v="15"/>
  </r>
  <r>
    <s v="08270104291"/>
    <s v="Iwanowski"/>
    <s v="Olaf"/>
    <s v="m"/>
    <s v="O"/>
    <s v="Iwa"/>
    <s v="1"/>
    <x v="16"/>
  </r>
  <r>
    <s v="08270412255"/>
    <s v="Arendt"/>
    <s v="Wojciech"/>
    <s v="m"/>
    <s v="W"/>
    <s v="Are"/>
    <s v="5"/>
    <x v="17"/>
  </r>
  <r>
    <s v="08272207404"/>
    <s v="Wieczerzak"/>
    <s v="Amelia"/>
    <s v="k"/>
    <s v="A"/>
    <s v="Wie"/>
    <s v="4"/>
    <x v="18"/>
  </r>
  <r>
    <s v="08272207572"/>
    <s v="Jakudczyk"/>
    <s v="Nikodem"/>
    <s v="m"/>
    <s v="N"/>
    <s v="Jak"/>
    <s v="2"/>
    <x v="19"/>
  </r>
  <r>
    <s v="08272312577"/>
    <s v="Gryniewicz"/>
    <s v="Oliwier"/>
    <s v="m"/>
    <s v="O"/>
    <s v="Gry"/>
    <s v="7"/>
    <x v="20"/>
  </r>
  <r>
    <s v="08272703658"/>
    <s v="Kaliszuk"/>
    <s v="Mikolaj"/>
    <s v="m"/>
    <s v="M"/>
    <s v="Kal"/>
    <s v="8"/>
    <x v="21"/>
  </r>
  <r>
    <s v="08272807246"/>
    <s v="Majtas"/>
    <s v="Lucja"/>
    <s v="k"/>
    <s v="L"/>
    <s v="Maj"/>
    <s v="6"/>
    <x v="22"/>
  </r>
  <r>
    <s v="08272903041"/>
    <s v="Grzesiak"/>
    <s v="Nina"/>
    <s v="k"/>
    <s v="N"/>
    <s v="Grz"/>
    <s v="1"/>
    <x v="23"/>
  </r>
  <r>
    <s v="08272911356"/>
    <s v="Freda"/>
    <s v="Piotr"/>
    <s v="m"/>
    <s v="P"/>
    <s v="Fre"/>
    <s v="6"/>
    <x v="24"/>
  </r>
  <r>
    <s v="08280203076"/>
    <s v="Janczynski"/>
    <s v="Nikodem"/>
    <s v="m"/>
    <s v="N"/>
    <s v="Jan"/>
    <s v="6"/>
    <x v="25"/>
  </r>
  <r>
    <s v="08280707488"/>
    <s v="Kossakowska"/>
    <s v="Martyna"/>
    <s v="k"/>
    <s v="M"/>
    <s v="Kos"/>
    <s v="8"/>
    <x v="26"/>
  </r>
  <r>
    <s v="08281204694"/>
    <s v="Korda"/>
    <s v="Maciej"/>
    <s v="m"/>
    <s v="M"/>
    <s v="Kor"/>
    <s v="4"/>
    <x v="27"/>
  </r>
  <r>
    <s v="08281403420"/>
    <s v="Klukowska"/>
    <s v="Matylda"/>
    <s v="k"/>
    <s v="M"/>
    <s v="Klu"/>
    <s v="0"/>
    <x v="28"/>
  </r>
  <r>
    <s v="08281807682"/>
    <s v="Araucz"/>
    <s v="Zuzanna"/>
    <s v="k"/>
    <s v="Z"/>
    <s v="Ara"/>
    <s v="2"/>
    <x v="29"/>
  </r>
  <r>
    <s v="08281903982"/>
    <s v="Kuban"/>
    <s v="Maja"/>
    <s v="k"/>
    <s v="M"/>
    <s v="Kub"/>
    <s v="2"/>
    <x v="30"/>
  </r>
  <r>
    <s v="08282001818"/>
    <s v="Rutkowski"/>
    <s v="Igor"/>
    <s v="m"/>
    <s v="I"/>
    <s v="Rut"/>
    <s v="8"/>
    <x v="31"/>
  </r>
  <r>
    <s v="08282003575"/>
    <s v="Mazniewski"/>
    <s v="Krzysztof"/>
    <s v="m"/>
    <s v="K"/>
    <s v="Maz"/>
    <s v="5"/>
    <x v="32"/>
  </r>
  <r>
    <s v="08282108997"/>
    <s v="Pawlak"/>
    <s v="Jerzy"/>
    <s v="m"/>
    <s v="J"/>
    <s v="Paw"/>
    <s v="7"/>
    <x v="33"/>
  </r>
  <r>
    <s v="08282712460"/>
    <s v="Zasowska"/>
    <s v="Agnieszka"/>
    <s v="k"/>
    <s v="A"/>
    <s v="Zas"/>
    <s v="0"/>
    <x v="34"/>
  </r>
  <r>
    <s v="08291104230"/>
    <s v="Korkosz"/>
    <s v="Mateusz"/>
    <s v="m"/>
    <s v="M"/>
    <s v="Kor"/>
    <s v="0"/>
    <x v="35"/>
  </r>
  <r>
    <s v="08291402192"/>
    <s v="Olczak"/>
    <s v="Kacper"/>
    <s v="m"/>
    <s v="K"/>
    <s v="Olc"/>
    <s v="2"/>
    <x v="36"/>
  </r>
  <r>
    <s v="08291402215"/>
    <s v="Kaminski"/>
    <s v="Michal"/>
    <s v="m"/>
    <s v="M"/>
    <s v="Kam"/>
    <s v="5"/>
    <x v="37"/>
  </r>
  <r>
    <s v="08291801342"/>
    <s v="Wlodarczyk"/>
    <s v="Alicja"/>
    <s v="k"/>
    <s v="A"/>
    <s v="Wlo"/>
    <s v="2"/>
    <x v="38"/>
  </r>
  <r>
    <s v="08292314397"/>
    <s v="Grubba"/>
    <s v="Oskar"/>
    <s v="m"/>
    <s v="O"/>
    <s v="Gru"/>
    <s v="7"/>
    <x v="39"/>
  </r>
  <r>
    <s v="08292412637"/>
    <s v="Ligman"/>
    <s v="Maksymilian"/>
    <s v="m"/>
    <s v="M"/>
    <s v="Lig"/>
    <s v="7"/>
    <x v="40"/>
  </r>
  <r>
    <s v="08292507414"/>
    <s v="Filbrandt"/>
    <s v="Piotr"/>
    <s v="m"/>
    <s v="P"/>
    <s v="Fil"/>
    <s v="4"/>
    <x v="41"/>
  </r>
  <r>
    <s v="08292507452"/>
    <s v="Formela"/>
    <s v="Jan"/>
    <s v="m"/>
    <s v="J"/>
    <s v="For"/>
    <s v="2"/>
    <x v="42"/>
  </r>
  <r>
    <s v="08292514056"/>
    <s v="Dabrowski"/>
    <s v="Szymon"/>
    <s v="m"/>
    <s v="S"/>
    <s v="Dab"/>
    <s v="6"/>
    <x v="43"/>
  </r>
  <r>
    <s v="08292600995"/>
    <s v="Rowinski"/>
    <s v="Jacek"/>
    <s v="m"/>
    <s v="J"/>
    <s v="Row"/>
    <s v="5"/>
    <x v="44"/>
  </r>
  <r>
    <s v="08292701702"/>
    <s v="Szymanska"/>
    <s v="Ariuna"/>
    <s v="k"/>
    <s v="A"/>
    <s v="Szy"/>
    <s v="2"/>
    <x v="45"/>
  </r>
  <r>
    <s v="08292800524"/>
    <s v="Gozdalik"/>
    <s v="Oliwia"/>
    <s v="k"/>
    <s v="O"/>
    <s v="Goz"/>
    <s v="4"/>
    <x v="46"/>
  </r>
  <r>
    <s v="08300104334"/>
    <s v="Pinker"/>
    <s v="Jan"/>
    <s v="m"/>
    <s v="J"/>
    <s v="Pin"/>
    <s v="4"/>
    <x v="47"/>
  </r>
  <r>
    <s v="08300502415"/>
    <s v="Jaglowski"/>
    <s v="Nikodem"/>
    <s v="m"/>
    <s v="N"/>
    <s v="Jag"/>
    <s v="5"/>
    <x v="48"/>
  </r>
  <r>
    <s v="08300705627"/>
    <s v="Kossakowska"/>
    <s v="Marika"/>
    <s v="k"/>
    <s v="M"/>
    <s v="Kos"/>
    <s v="7"/>
    <x v="49"/>
  </r>
  <r>
    <s v="08301300067"/>
    <s v="Wendt"/>
    <s v="Amelia"/>
    <s v="k"/>
    <s v="A"/>
    <s v="Wen"/>
    <s v="7"/>
    <x v="50"/>
  </r>
  <r>
    <s v="08301402608"/>
    <s v="Obarowska"/>
    <s v="Kornelia"/>
    <s v="k"/>
    <s v="K"/>
    <s v="Oba"/>
    <s v="8"/>
    <x v="51"/>
  </r>
  <r>
    <s v="08301702005"/>
    <s v="Baranowska"/>
    <s v="Zuzanna"/>
    <s v="k"/>
    <s v="Z"/>
    <s v="Bar"/>
    <s v="5"/>
    <x v="52"/>
  </r>
  <r>
    <s v="08302500640"/>
    <s v="Bonislawska"/>
    <s v="Monika"/>
    <s v="k"/>
    <s v="M"/>
    <s v="Bon"/>
    <s v="0"/>
    <x v="53"/>
  </r>
  <r>
    <s v="08302709032"/>
    <s v="Jozwiak"/>
    <s v="Mikolaj"/>
    <s v="m"/>
    <s v="M"/>
    <s v="Joz"/>
    <s v="2"/>
    <x v="54"/>
  </r>
  <r>
    <s v="08303111102"/>
    <s v="Wejner"/>
    <s v="Amelia"/>
    <s v="k"/>
    <s v="A"/>
    <s v="Wej"/>
    <s v="2"/>
    <x v="55"/>
  </r>
  <r>
    <s v="08310202460"/>
    <s v="Wojcicka"/>
    <s v="Alicja"/>
    <s v="k"/>
    <s v="A"/>
    <s v="Woj"/>
    <s v="0"/>
    <x v="56"/>
  </r>
  <r>
    <s v="08310400776"/>
    <s v="Koprowski"/>
    <s v="Maurycy"/>
    <s v="m"/>
    <s v="M"/>
    <s v="Kop"/>
    <s v="6"/>
    <x v="57"/>
  </r>
  <r>
    <s v="08310501576"/>
    <s v="Cicherski"/>
    <s v="Szymon"/>
    <s v="m"/>
    <s v="S"/>
    <s v="Cic"/>
    <s v="6"/>
    <x v="58"/>
  </r>
  <r>
    <s v="08310501583"/>
    <s v="Olitkowska"/>
    <s v="Klaudia"/>
    <s v="k"/>
    <s v="K"/>
    <s v="Oli"/>
    <s v="3"/>
    <x v="59"/>
  </r>
  <r>
    <s v="08310501637"/>
    <s v="Majewski"/>
    <s v="Maciej"/>
    <s v="m"/>
    <s v="M"/>
    <s v="Maj"/>
    <s v="7"/>
    <x v="60"/>
  </r>
  <r>
    <s v="08310711054"/>
    <s v="Podbereski"/>
    <s v="Jakub"/>
    <s v="m"/>
    <s v="J"/>
    <s v="Pod"/>
    <s v="4"/>
    <x v="61"/>
  </r>
  <r>
    <s v="08311008492"/>
    <s v="Wojcik"/>
    <s v="Alan"/>
    <s v="m"/>
    <s v="A"/>
    <s v="Woj"/>
    <s v="2"/>
    <x v="62"/>
  </r>
  <r>
    <s v="08311107443"/>
    <s v="Nowak"/>
    <s v="Latika"/>
    <s v="k"/>
    <s v="L"/>
    <s v="Now"/>
    <s v="3"/>
    <x v="63"/>
  </r>
  <r>
    <s v="08311206692"/>
    <s v="Piotrowski"/>
    <s v="Jacek"/>
    <s v="m"/>
    <s v="J"/>
    <s v="Pio"/>
    <s v="2"/>
    <x v="64"/>
  </r>
  <r>
    <s v="08311506181"/>
    <s v="Bialek"/>
    <s v="Zuzanna"/>
    <s v="k"/>
    <s v="Z"/>
    <s v="Bia"/>
    <s v="1"/>
    <x v="65"/>
  </r>
  <r>
    <s v="08311606225"/>
    <s v="Galla"/>
    <s v="Paulina"/>
    <s v="k"/>
    <s v="P"/>
    <s v="Gal"/>
    <s v="5"/>
    <x v="66"/>
  </r>
  <r>
    <s v="08311907241"/>
    <s v="Glasmann"/>
    <s v="Paula"/>
    <s v="k"/>
    <s v="P"/>
    <s v="Gla"/>
    <s v="1"/>
    <x v="67"/>
  </r>
  <r>
    <s v="08312007919"/>
    <s v="Aniol"/>
    <s v="Wojciech"/>
    <s v="m"/>
    <s v="W"/>
    <s v="Ani"/>
    <s v="9"/>
    <x v="68"/>
  </r>
  <r>
    <s v="08312405724"/>
    <s v="Cuper"/>
    <s v="Olga"/>
    <s v="k"/>
    <s v="O"/>
    <s v="Cup"/>
    <s v="4"/>
    <x v="69"/>
  </r>
  <r>
    <s v="08312405830"/>
    <s v="Becla"/>
    <s v="Aleksander"/>
    <s v="m"/>
    <s v="A"/>
    <s v="Bec"/>
    <s v="0"/>
    <x v="70"/>
  </r>
  <r>
    <s v="08312605179"/>
    <s v="Grodzki"/>
    <s v="Oskar"/>
    <s v="m"/>
    <s v="O"/>
    <s v="Gro"/>
    <s v="9"/>
    <x v="71"/>
  </r>
  <r>
    <s v="08312801124"/>
    <s v="Ulwan"/>
    <s v="Anna"/>
    <s v="k"/>
    <s v="A"/>
    <s v="Ulw"/>
    <s v="4"/>
    <x v="72"/>
  </r>
  <r>
    <s v="08320100899"/>
    <s v="Goszczynski"/>
    <s v="Patryk"/>
    <s v="m"/>
    <s v="P"/>
    <s v="Gos"/>
    <s v="9"/>
    <x v="73"/>
  </r>
  <r>
    <s v="08320301627"/>
    <s v="Bigos"/>
    <s v="Zosia"/>
    <s v="k"/>
    <s v="Z"/>
    <s v="Big"/>
    <s v="7"/>
    <x v="74"/>
  </r>
  <r>
    <s v="08320411573"/>
    <s v="Waclawski"/>
    <s v="Bartosz"/>
    <s v="m"/>
    <s v="B"/>
    <s v="Wac"/>
    <s v="3"/>
    <x v="75"/>
  </r>
  <r>
    <s v="08321100430"/>
    <s v="Wladyka"/>
    <s v="Alexander"/>
    <s v="m"/>
    <s v="A"/>
    <s v="Wla"/>
    <s v="0"/>
    <x v="76"/>
  </r>
  <r>
    <s v="08321103754"/>
    <s v="Wizniewski"/>
    <s v="Andrzej"/>
    <s v="m"/>
    <s v="A"/>
    <s v="Wiz"/>
    <s v="4"/>
    <x v="77"/>
  </r>
  <r>
    <s v="08321109460"/>
    <s v="Florek"/>
    <s v="Sandra"/>
    <s v="k"/>
    <s v="S"/>
    <s v="Flo"/>
    <s v="0"/>
    <x v="78"/>
  </r>
  <r>
    <s v="08321202705"/>
    <s v="Korbus"/>
    <s v="Marta"/>
    <s v="k"/>
    <s v="M"/>
    <s v="Kor"/>
    <s v="5"/>
    <x v="79"/>
  </r>
  <r>
    <s v="08321501774"/>
    <s v="Piechalski"/>
    <s v="Jan"/>
    <s v="m"/>
    <s v="J"/>
    <s v="Pie"/>
    <s v="4"/>
    <x v="80"/>
  </r>
  <r>
    <s v="08321501798"/>
    <s v="Potocki"/>
    <s v="Mariusz"/>
    <s v="m"/>
    <s v="M"/>
    <s v="Pot"/>
    <s v="8"/>
    <x v="81"/>
  </r>
  <r>
    <s v="08321508733"/>
    <s v="Korda"/>
    <s v="Mateusz"/>
    <s v="m"/>
    <s v="M"/>
    <s v="Kor"/>
    <s v="3"/>
    <x v="82"/>
  </r>
  <r>
    <s v="08321606950"/>
    <s v="Depczynski"/>
    <s v="Stanislaw"/>
    <s v="m"/>
    <s v="S"/>
    <s v="Dep"/>
    <s v="0"/>
    <x v="83"/>
  </r>
  <r>
    <s v="08321706346"/>
    <s v="Erbel"/>
    <s v="Urszula"/>
    <s v="k"/>
    <s v="U"/>
    <s v="Erb"/>
    <s v="6"/>
    <x v="84"/>
  </r>
  <r>
    <s v="08321803937"/>
    <s v="Kutnik"/>
    <s v="Marcin"/>
    <s v="m"/>
    <s v="M"/>
    <s v="Kut"/>
    <s v="7"/>
    <x v="85"/>
  </r>
  <r>
    <s v="08321903095"/>
    <s v="Dabrowski"/>
    <s v="Szczepan"/>
    <s v="m"/>
    <s v="S"/>
    <s v="Dab"/>
    <s v="5"/>
    <x v="86"/>
  </r>
  <r>
    <s v="08322001464"/>
    <s v="Ciupa"/>
    <s v="Wiktoria"/>
    <s v="k"/>
    <s v="W"/>
    <s v="Ciu"/>
    <s v="4"/>
    <x v="87"/>
  </r>
  <r>
    <s v="08322201772"/>
    <s v="Michalak"/>
    <s v="Krzysztof"/>
    <s v="m"/>
    <s v="K"/>
    <s v="Mic"/>
    <s v="2"/>
    <x v="88"/>
  </r>
  <r>
    <s v="08322303078"/>
    <s v="Mieczkowski"/>
    <s v="Krystian"/>
    <s v="m"/>
    <s v="K"/>
    <s v="Mie"/>
    <s v="8"/>
    <x v="89"/>
  </r>
  <r>
    <s v="08322802348"/>
    <s v="Jaglowska"/>
    <s v="Natalia"/>
    <s v="k"/>
    <s v="N"/>
    <s v="Jag"/>
    <s v="8"/>
    <x v="90"/>
  </r>
  <r>
    <s v="08322806465"/>
    <s v="Czechowska"/>
    <s v="Wiktoria"/>
    <s v="k"/>
    <s v="W"/>
    <s v="Cze"/>
    <s v="5"/>
    <x v="91"/>
  </r>
  <r>
    <s v="08323009317"/>
    <s v="Domanski"/>
    <s v="Sebastian"/>
    <s v="m"/>
    <s v="S"/>
    <s v="Dom"/>
    <s v="7"/>
    <x v="92"/>
  </r>
  <r>
    <s v="08323101408"/>
    <s v="Kotowska"/>
    <s v="Marianna"/>
    <s v="k"/>
    <s v="M"/>
    <s v="Kot"/>
    <s v="8"/>
    <x v="93"/>
  </r>
  <r>
    <s v="09210102757"/>
    <s v="Nieradko"/>
    <s v="Kajetan"/>
    <s v="m"/>
    <s v="K"/>
    <s v="Nie"/>
    <s v="7"/>
    <x v="94"/>
  </r>
  <r>
    <s v="09210111032"/>
    <s v="Mendrek"/>
    <s v="Krzysztof"/>
    <s v="m"/>
    <s v="K"/>
    <s v="Men"/>
    <s v="2"/>
    <x v="95"/>
  </r>
  <r>
    <s v="09210200851"/>
    <s v="Trawicki"/>
    <s v="Borys"/>
    <s v="m"/>
    <s v="B"/>
    <s v="Tra"/>
    <s v="1"/>
    <x v="96"/>
  </r>
  <r>
    <s v="09210205672"/>
    <s v="Sobon"/>
    <s v="Filip"/>
    <s v="m"/>
    <s v="F"/>
    <s v="Sob"/>
    <s v="2"/>
    <x v="97"/>
  </r>
  <r>
    <s v="09210205924"/>
    <s v="Cejnog"/>
    <s v="Kamila"/>
    <s v="k"/>
    <s v="K"/>
    <s v="Cej"/>
    <s v="4"/>
    <x v="98"/>
  </r>
  <r>
    <s v="09210301460"/>
    <s v="Jazkowiec"/>
    <s v="Nadia"/>
    <s v="k"/>
    <s v="N"/>
    <s v="Jaz"/>
    <s v="0"/>
    <x v="99"/>
  </r>
  <r>
    <s v="09210406097"/>
    <s v="Jarosiewicz"/>
    <s v="Milosz"/>
    <s v="m"/>
    <s v="M"/>
    <s v="Jar"/>
    <s v="7"/>
    <x v="100"/>
  </r>
  <r>
    <s v="09210409205"/>
    <s v="Kmiecik"/>
    <s v="Malwina"/>
    <s v="k"/>
    <s v="M"/>
    <s v="Kmi"/>
    <s v="5"/>
    <x v="101"/>
  </r>
  <r>
    <s v="09210501167"/>
    <s v="Kilanowska"/>
    <s v="Michalina"/>
    <s v="k"/>
    <s v="M"/>
    <s v="Kil"/>
    <s v="7"/>
    <x v="102"/>
  </r>
  <r>
    <s v="09210503817"/>
    <s v="Markowiak"/>
    <s v="Leon"/>
    <s v="m"/>
    <s v="L"/>
    <s v="Mar"/>
    <s v="7"/>
    <x v="103"/>
  </r>
  <r>
    <s v="09210503831"/>
    <s v="Sikora"/>
    <s v="Hubert"/>
    <s v="m"/>
    <s v="H"/>
    <s v="Sik"/>
    <s v="1"/>
    <x v="104"/>
  </r>
  <r>
    <s v="09210507040"/>
    <s v="Szczuplinska"/>
    <s v="Emilia"/>
    <s v="k"/>
    <s v="E"/>
    <s v="Szc"/>
    <s v="0"/>
    <x v="105"/>
  </r>
  <r>
    <s v="09210507477"/>
    <s v="Szubarczyk"/>
    <s v="Dawid"/>
    <s v="m"/>
    <s v="D"/>
    <s v="Szu"/>
    <s v="7"/>
    <x v="106"/>
  </r>
  <r>
    <s v="09210607412"/>
    <s v="Krefta"/>
    <s v="Mateusz"/>
    <s v="m"/>
    <s v="M"/>
    <s v="Kre"/>
    <s v="2"/>
    <x v="107"/>
  </r>
  <r>
    <s v="09210607436"/>
    <s v="Malinowski"/>
    <s v="Lukasz"/>
    <s v="m"/>
    <s v="L"/>
    <s v="Mal"/>
    <s v="6"/>
    <x v="108"/>
  </r>
  <r>
    <s v="09210705127"/>
    <s v="Czerlonek"/>
    <s v="Weronika"/>
    <s v="k"/>
    <s v="W"/>
    <s v="Cze"/>
    <s v="7"/>
    <x v="109"/>
  </r>
  <r>
    <s v="09210706548"/>
    <s v="Szostakowska"/>
    <s v="Dominika"/>
    <s v="k"/>
    <s v="D"/>
    <s v="Szo"/>
    <s v="8"/>
    <x v="110"/>
  </r>
  <r>
    <s v="09210706999"/>
    <s v="Kaleta"/>
    <s v="Mikolaj"/>
    <s v="m"/>
    <s v="M"/>
    <s v="Kal"/>
    <s v="9"/>
    <x v="111"/>
  </r>
  <r>
    <s v="09210804949"/>
    <s v="Kocur"/>
    <s v="Martyna"/>
    <s v="k"/>
    <s v="M"/>
    <s v="Koc"/>
    <s v="9"/>
    <x v="112"/>
  </r>
  <r>
    <s v="09210904274"/>
    <s v="Wit"/>
    <s v="Andrzej"/>
    <s v="m"/>
    <s v="A"/>
    <s v="Wit"/>
    <s v="4"/>
    <x v="113"/>
  </r>
  <r>
    <s v="09210908216"/>
    <s v="Rybienik"/>
    <s v="Igor"/>
    <s v="m"/>
    <s v="I"/>
    <s v="Ryb"/>
    <s v="6"/>
    <x v="114"/>
  </r>
  <r>
    <s v="09211003583"/>
    <s v="Puzlecka"/>
    <s v="Julia"/>
    <s v="k"/>
    <s v="J"/>
    <s v="Puz"/>
    <s v="3"/>
    <x v="115"/>
  </r>
  <r>
    <s v="09211005936"/>
    <s v="Juralewicz"/>
    <s v="Mikolaj"/>
    <s v="m"/>
    <s v="M"/>
    <s v="Jur"/>
    <s v="6"/>
    <x v="116"/>
  </r>
  <r>
    <s v="09211005974"/>
    <s v="Piwowarek"/>
    <s v="Jan"/>
    <s v="m"/>
    <s v="J"/>
    <s v="Piw"/>
    <s v="4"/>
    <x v="117"/>
  </r>
  <r>
    <s v="09211010019"/>
    <s v="Jurczak"/>
    <s v="Mikolaj"/>
    <s v="m"/>
    <s v="M"/>
    <s v="Jur"/>
    <s v="9"/>
    <x v="118"/>
  </r>
  <r>
    <s v="09211104925"/>
    <s v="Ogrodowczyk"/>
    <s v="Konstancja"/>
    <s v="k"/>
    <s v="K"/>
    <s v="Ogr"/>
    <s v="5"/>
    <x v="119"/>
  </r>
  <r>
    <s v="09211212916"/>
    <s v="Strojek"/>
    <s v="Filip"/>
    <s v="m"/>
    <s v="F"/>
    <s v="Str"/>
    <s v="6"/>
    <x v="120"/>
  </r>
  <r>
    <s v="09211302729"/>
    <s v="Zaremba"/>
    <s v="Aleksandra"/>
    <s v="k"/>
    <s v="A"/>
    <s v="Zar"/>
    <s v="9"/>
    <x v="121"/>
  </r>
  <r>
    <s v="09211305227"/>
    <s v="Gorska"/>
    <s v="Oliwia"/>
    <s v="k"/>
    <s v="O"/>
    <s v="Gor"/>
    <s v="7"/>
    <x v="122"/>
  </r>
  <r>
    <s v="09211402009"/>
    <s v="Kwidzinska"/>
    <s v="Paulina"/>
    <s v="k"/>
    <s v="P"/>
    <s v="Kwi"/>
    <s v="9"/>
    <x v="123"/>
  </r>
  <r>
    <s v="09211404100"/>
    <s v="Siemistkowska"/>
    <s v="Jagoda"/>
    <s v="k"/>
    <s v="J"/>
    <s v="Sie"/>
    <s v="0"/>
    <x v="124"/>
  </r>
  <r>
    <s v="09211411278"/>
    <s v="Ulewicz"/>
    <s v="Bartosz"/>
    <s v="m"/>
    <s v="B"/>
    <s v="Ule"/>
    <s v="8"/>
    <x v="125"/>
  </r>
  <r>
    <s v="09211412248"/>
    <s v="Tokarska"/>
    <s v="Antonia"/>
    <s v="k"/>
    <s v="A"/>
    <s v="Tok"/>
    <s v="8"/>
    <x v="126"/>
  </r>
  <r>
    <s v="09211502310"/>
    <s v="Krupa"/>
    <s v="Mateusz"/>
    <s v="m"/>
    <s v="M"/>
    <s v="Kru"/>
    <s v="0"/>
    <x v="127"/>
  </r>
  <r>
    <s v="09211503908"/>
    <s v="Swirk"/>
    <s v="Antonina"/>
    <s v="k"/>
    <s v="A"/>
    <s v="Swi"/>
    <s v="8"/>
    <x v="128"/>
  </r>
  <r>
    <s v="09211601354"/>
    <s v="Kizielewicz"/>
    <s v="Michal"/>
    <s v="m"/>
    <s v="M"/>
    <s v="Kiz"/>
    <s v="4"/>
    <x v="129"/>
  </r>
  <r>
    <s v="09211601385"/>
    <s v="Kecler"/>
    <s v="Milena"/>
    <s v="k"/>
    <s v="M"/>
    <s v="Kec"/>
    <s v="5"/>
    <x v="130"/>
  </r>
  <r>
    <s v="09211601408"/>
    <s v="Zochowska"/>
    <s v="Adriana"/>
    <s v="k"/>
    <s v="A"/>
    <s v="Zoc"/>
    <s v="8"/>
    <x v="131"/>
  </r>
  <r>
    <s v="09211700664"/>
    <s v="Kozlowska"/>
    <s v="Malgorzata"/>
    <s v="k"/>
    <s v="M"/>
    <s v="Koz"/>
    <s v="4"/>
    <x v="132"/>
  </r>
  <r>
    <s v="09211700701"/>
    <s v="Lewandowska"/>
    <s v="Maja"/>
    <s v="k"/>
    <s v="M"/>
    <s v="Lew"/>
    <s v="1"/>
    <x v="133"/>
  </r>
  <r>
    <s v="09211700855"/>
    <s v="Gorlikowski"/>
    <s v="Patrick"/>
    <s v="m"/>
    <s v="P"/>
    <s v="Gor"/>
    <s v="5"/>
    <x v="134"/>
  </r>
  <r>
    <s v="09211702024"/>
    <s v="Kowalska"/>
    <s v="Maria"/>
    <s v="k"/>
    <s v="M"/>
    <s v="Kow"/>
    <s v="4"/>
    <x v="135"/>
  </r>
  <r>
    <s v="09211801440"/>
    <s v="Katende"/>
    <s v="Milena"/>
    <s v="k"/>
    <s v="M"/>
    <s v="Kat"/>
    <s v="0"/>
    <x v="136"/>
  </r>
  <r>
    <s v="09211801464"/>
    <s v="Tokarz"/>
    <s v="Anna"/>
    <s v="k"/>
    <s v="A"/>
    <s v="Tok"/>
    <s v="4"/>
    <x v="137"/>
  </r>
  <r>
    <s v="09211803947"/>
    <s v="Radosz"/>
    <s v="Julia"/>
    <s v="k"/>
    <s v="J"/>
    <s v="Rad"/>
    <s v="7"/>
    <x v="138"/>
  </r>
  <r>
    <s v="09211902011"/>
    <s v="Komorowska"/>
    <s v="Michal"/>
    <s v="m"/>
    <s v="M"/>
    <s v="Kom"/>
    <s v="1"/>
    <x v="139"/>
  </r>
  <r>
    <s v="09211906282"/>
    <s v="Zakrzewska"/>
    <s v="Olga"/>
    <s v="k"/>
    <s v="O"/>
    <s v="Zak"/>
    <s v="2"/>
    <x v="140"/>
  </r>
  <r>
    <s v="09211906305"/>
    <s v="Zakrzewska"/>
    <s v="Ewa"/>
    <s v="k"/>
    <s v="E"/>
    <s v="Zak"/>
    <s v="5"/>
    <x v="141"/>
  </r>
  <r>
    <s v="09211908451"/>
    <s v="Rohde"/>
    <s v="Jakub"/>
    <s v="m"/>
    <s v="J"/>
    <s v="Roh"/>
    <s v="1"/>
    <x v="142"/>
  </r>
  <r>
    <s v="09211909674"/>
    <s v="Smoliniec"/>
    <s v="Franciszek"/>
    <s v="m"/>
    <s v="F"/>
    <s v="Smo"/>
    <s v="4"/>
    <x v="143"/>
  </r>
  <r>
    <s v="09212001092"/>
    <s v="Paluchowski"/>
    <s v="Julian"/>
    <s v="m"/>
    <s v="J"/>
    <s v="Pal"/>
    <s v="2"/>
    <x v="144"/>
  </r>
  <r>
    <s v="09212200408"/>
    <s v="Pawlun"/>
    <s v="Karolina"/>
    <s v="k"/>
    <s v="K"/>
    <s v="Paw"/>
    <s v="8"/>
    <x v="145"/>
  </r>
  <r>
    <s v="09212300184"/>
    <s v="Majchrzak"/>
    <s v="Lucja"/>
    <s v="k"/>
    <s v="L"/>
    <s v="Maj"/>
    <s v="4"/>
    <x v="146"/>
  </r>
  <r>
    <s v="09212509149"/>
    <s v="Koczakowska"/>
    <s v="Marta"/>
    <s v="k"/>
    <s v="M"/>
    <s v="Koc"/>
    <s v="9"/>
    <x v="112"/>
  </r>
  <r>
    <s v="09212610942"/>
    <s v="Jakubczyk"/>
    <s v="Natalia"/>
    <s v="k"/>
    <s v="N"/>
    <s v="Jak"/>
    <s v="2"/>
    <x v="19"/>
  </r>
  <r>
    <s v="09212700984"/>
    <s v="Krol"/>
    <s v="Malgorzata"/>
    <s v="k"/>
    <s v="M"/>
    <s v="Kro"/>
    <s v="4"/>
    <x v="147"/>
  </r>
  <r>
    <s v="09212704926"/>
    <s v="Srokowska"/>
    <s v="Helena"/>
    <s v="k"/>
    <s v="H"/>
    <s v="Sro"/>
    <s v="6"/>
    <x v="148"/>
  </r>
  <r>
    <s v="09212704964"/>
    <s v="Srokowska"/>
    <s v="Iga"/>
    <s v="k"/>
    <s v="I"/>
    <s v="Sro"/>
    <s v="4"/>
    <x v="149"/>
  </r>
  <r>
    <s v="09213007141"/>
    <s v="Stambuldzys"/>
    <s v="Helena"/>
    <s v="k"/>
    <s v="H"/>
    <s v="Sta"/>
    <s v="1"/>
    <x v="150"/>
  </r>
  <r>
    <s v="09220204047"/>
    <s v="Ostrowska"/>
    <s v="Beatrycze"/>
    <s v="k"/>
    <s v="B"/>
    <s v="Ost"/>
    <s v="7"/>
    <x v="151"/>
  </r>
  <r>
    <s v="09220305687"/>
    <s v="Smiecinska"/>
    <s v="Antonina"/>
    <s v="k"/>
    <s v="A"/>
    <s v="Smi"/>
    <s v="7"/>
    <x v="152"/>
  </r>
  <r>
    <s v="09220307788"/>
    <s v="Czechowska"/>
    <s v="Wanda"/>
    <s v="k"/>
    <s v="W"/>
    <s v="Cze"/>
    <s v="8"/>
    <x v="153"/>
  </r>
  <r>
    <s v="09220404607"/>
    <s v="Kmita"/>
    <s v="Martyna"/>
    <s v="k"/>
    <s v="M"/>
    <s v="Kmi"/>
    <s v="7"/>
    <x v="154"/>
  </r>
  <r>
    <s v="09220404645"/>
    <s v="Gachewicz"/>
    <s v="Pola"/>
    <s v="k"/>
    <s v="P"/>
    <s v="Gac"/>
    <s v="5"/>
    <x v="155"/>
  </r>
  <r>
    <s v="09220504024"/>
    <s v="Lewandowska"/>
    <s v="Ewa"/>
    <s v="k"/>
    <s v="E"/>
    <s v="Lew"/>
    <s v="4"/>
    <x v="156"/>
  </r>
  <r>
    <s v="09220504048"/>
    <s v="Paliniewicz"/>
    <s v="Katarzyna"/>
    <s v="k"/>
    <s v="K"/>
    <s v="Pal"/>
    <s v="8"/>
    <x v="157"/>
  </r>
  <r>
    <s v="09220704127"/>
    <s v="Lubinska"/>
    <s v="Magdalena"/>
    <s v="k"/>
    <s v="M"/>
    <s v="Lub"/>
    <s v="7"/>
    <x v="158"/>
  </r>
  <r>
    <s v="09221103062"/>
    <s v="Mrozek"/>
    <s v="Lena"/>
    <s v="k"/>
    <s v="L"/>
    <s v="Mro"/>
    <s v="2"/>
    <x v="159"/>
  </r>
  <r>
    <s v="09221200547"/>
    <s v="Drapinska"/>
    <s v="Weronika"/>
    <s v="k"/>
    <s v="W"/>
    <s v="Dra"/>
    <s v="7"/>
    <x v="160"/>
  </r>
  <r>
    <s v="09221202204"/>
    <s v="Dawidowska"/>
    <s v="Weronika"/>
    <s v="k"/>
    <s v="W"/>
    <s v="Daw"/>
    <s v="4"/>
    <x v="161"/>
  </r>
  <r>
    <s v="09221205443"/>
    <s v="Szarmach"/>
    <s v="Ewa"/>
    <s v="k"/>
    <s v="E"/>
    <s v="Sza"/>
    <s v="3"/>
    <x v="162"/>
  </r>
  <r>
    <s v="09221205481"/>
    <s v="Burghard"/>
    <s v="Zofia"/>
    <s v="k"/>
    <s v="Z"/>
    <s v="Bur"/>
    <s v="1"/>
    <x v="163"/>
  </r>
  <r>
    <s v="09221205504"/>
    <s v="Michalska"/>
    <s v="Lena"/>
    <s v="k"/>
    <s v="L"/>
    <s v="Mic"/>
    <s v="4"/>
    <x v="164"/>
  </r>
  <r>
    <s v="09221205528"/>
    <s v="Mezynska"/>
    <s v="Lena"/>
    <s v="k"/>
    <s v="L"/>
    <s v="Mez"/>
    <s v="8"/>
    <x v="165"/>
  </r>
  <r>
    <s v="09221301682"/>
    <s v="Kaminska"/>
    <s v="Monika"/>
    <s v="k"/>
    <s v="M"/>
    <s v="Kam"/>
    <s v="2"/>
    <x v="166"/>
  </r>
  <r>
    <s v="09221302980"/>
    <s v="Edel"/>
    <s v="Vanessa"/>
    <s v="k"/>
    <s v="V"/>
    <s v="Ede"/>
    <s v="0"/>
    <x v="167"/>
  </r>
  <r>
    <s v="09221304623"/>
    <s v="Gadomska"/>
    <s v="Pola"/>
    <s v="k"/>
    <s v="P"/>
    <s v="Gad"/>
    <s v="3"/>
    <x v="168"/>
  </r>
  <r>
    <s v="09221309963"/>
    <s v="Krzywiec"/>
    <s v="Zuzanna"/>
    <s v="k"/>
    <s v="Z"/>
    <s v="Krz"/>
    <s v="3"/>
    <x v="169"/>
  </r>
  <r>
    <s v="09221402888"/>
    <s v="Mielcarz"/>
    <s v="Lena"/>
    <s v="k"/>
    <s v="L"/>
    <s v="Mie"/>
    <s v="8"/>
    <x v="170"/>
  </r>
  <r>
    <s v="09221601003"/>
    <s v="Janik"/>
    <s v="Natalia"/>
    <s v="k"/>
    <s v="N"/>
    <s v="Jan"/>
    <s v="3"/>
    <x v="171"/>
  </r>
  <r>
    <s v="09221608888"/>
    <s v="Stawirej"/>
    <s v="Hanna"/>
    <s v="k"/>
    <s v="H"/>
    <s v="Sta"/>
    <s v="8"/>
    <x v="172"/>
  </r>
  <r>
    <s v="09221702025"/>
    <s v="Brankiewicz"/>
    <s v="Anna"/>
    <s v="k"/>
    <s v="A"/>
    <s v="Bra"/>
    <s v="5"/>
    <x v="173"/>
  </r>
  <r>
    <s v="09221804109"/>
    <s v="Kuszner"/>
    <s v="Maja"/>
    <s v="k"/>
    <s v="M"/>
    <s v="Kus"/>
    <s v="9"/>
    <x v="174"/>
  </r>
  <r>
    <s v="09291901773"/>
    <s v="Luchowski"/>
    <s v="Maksymilian"/>
    <s v="m"/>
    <s v="M"/>
    <s v="Luc"/>
    <s v="3"/>
    <x v="175"/>
  </r>
  <r>
    <s v="09292008233"/>
    <s v="Janiak"/>
    <s v="Nico"/>
    <s v="m"/>
    <s v="N"/>
    <s v="Jan"/>
    <s v="3"/>
    <x v="171"/>
  </r>
  <r>
    <s v="09292105855"/>
    <s v="Pinkowski"/>
    <s v="Jan"/>
    <s v="m"/>
    <s v="J"/>
    <s v="Pin"/>
    <s v="5"/>
    <x v="176"/>
  </r>
  <r>
    <s v="09292105879"/>
    <s v="Prochniewicz"/>
    <s v="Jakub"/>
    <s v="m"/>
    <s v="J"/>
    <s v="Pro"/>
    <s v="9"/>
    <x v="177"/>
  </r>
  <r>
    <s v="09292213174"/>
    <s v="Zaleski"/>
    <s v="Adrian"/>
    <s v="m"/>
    <s v="A"/>
    <s v="Zal"/>
    <s v="4"/>
    <x v="178"/>
  </r>
  <r>
    <s v="09292314615"/>
    <s v="Pupp"/>
    <s v="Jakub"/>
    <s v="m"/>
    <s v="J"/>
    <s v="Pup"/>
    <s v="5"/>
    <x v="179"/>
  </r>
  <r>
    <s v="09292509833"/>
    <s v="Gorazdowski"/>
    <s v="Patryk"/>
    <s v="m"/>
    <s v="P"/>
    <s v="Gor"/>
    <s v="3"/>
    <x v="180"/>
  </r>
  <r>
    <s v="09292604859"/>
    <s v="Rodak"/>
    <s v="Jakub"/>
    <s v="m"/>
    <s v="J"/>
    <s v="Rod"/>
    <s v="9"/>
    <x v="181"/>
  </r>
  <r>
    <s v="09292604873"/>
    <s v="Ukomski"/>
    <s v="Bartosz"/>
    <s v="m"/>
    <s v="B"/>
    <s v="Uko"/>
    <s v="3"/>
    <x v="182"/>
  </r>
  <r>
    <s v="09292704191"/>
    <s v="Janowski"/>
    <s v="Nataniel"/>
    <s v="m"/>
    <s v="N"/>
    <s v="Jan"/>
    <s v="1"/>
    <x v="183"/>
  </r>
  <r>
    <s v="09292707019"/>
    <s v="Panow"/>
    <s v="Julian"/>
    <s v="m"/>
    <s v="J"/>
    <s v="Pan"/>
    <s v="9"/>
    <x v="184"/>
  </r>
  <r>
    <s v="09292809391"/>
    <s v="Muzyka"/>
    <s v="Karol"/>
    <s v="m"/>
    <s v="K"/>
    <s v="Muz"/>
    <s v="1"/>
    <x v="185"/>
  </r>
  <r>
    <s v="09292810890"/>
    <s v="Plichta"/>
    <s v="Jakub"/>
    <s v="m"/>
    <s v="J"/>
    <s v="Pli"/>
    <s v="0"/>
    <x v="186"/>
  </r>
  <r>
    <s v="09292909312"/>
    <s v="Zurawski"/>
    <s v="Adam"/>
    <s v="m"/>
    <s v="A"/>
    <s v="Zur"/>
    <s v="2"/>
    <x v="187"/>
  </r>
  <r>
    <s v="09293002410"/>
    <s v="Bobel"/>
    <s v="Tymon"/>
    <s v="m"/>
    <s v="T"/>
    <s v="Bob"/>
    <s v="0"/>
    <x v="188"/>
  </r>
  <r>
    <s v="09300109015"/>
    <s v="Sosnowski"/>
    <s v="Filip"/>
    <s v="m"/>
    <s v="F"/>
    <s v="Sos"/>
    <s v="5"/>
    <x v="189"/>
  </r>
  <r>
    <s v="09300205292"/>
    <s v="Degowski"/>
    <s v="Stanislaw"/>
    <s v="m"/>
    <s v="S"/>
    <s v="Deg"/>
    <s v="2"/>
    <x v="190"/>
  </r>
  <r>
    <s v="09300608057"/>
    <s v="Snarski"/>
    <s v="Franciszek"/>
    <s v="m"/>
    <s v="F"/>
    <s v="Sna"/>
    <s v="7"/>
    <x v="191"/>
  </r>
  <r>
    <s v="09300710196"/>
    <s v="Paciorek"/>
    <s v="Julian"/>
    <s v="m"/>
    <s v="J"/>
    <s v="Pac"/>
    <s v="6"/>
    <x v="192"/>
  </r>
  <r>
    <s v="09300804514"/>
    <s v="Brzoskowski"/>
    <s v="Tomasz"/>
    <s v="m"/>
    <s v="T"/>
    <s v="Brz"/>
    <s v="4"/>
    <x v="193"/>
  </r>
  <r>
    <s v="09301004012"/>
    <s v="Laskowski"/>
    <s v="Mariusz"/>
    <s v="m"/>
    <s v="M"/>
    <s v="Las"/>
    <s v="2"/>
    <x v="194"/>
  </r>
  <r>
    <s v="09301206759"/>
    <s v="Mystkowski"/>
    <s v="Karol"/>
    <s v="m"/>
    <s v="K"/>
    <s v="Mys"/>
    <s v="9"/>
    <x v="195"/>
  </r>
  <r>
    <s v="09301206797"/>
    <s v="Nagorski"/>
    <s v="Kamil"/>
    <s v="m"/>
    <s v="K"/>
    <s v="Nag"/>
    <s v="7"/>
    <x v="196"/>
  </r>
  <r>
    <s v="09301303371"/>
    <s v="Sykus"/>
    <s v="Fabian"/>
    <s v="m"/>
    <s v="F"/>
    <s v="Syk"/>
    <s v="1"/>
    <x v="197"/>
  </r>
  <r>
    <s v="09301402414"/>
    <s v="Baranowski"/>
    <s v="Witold"/>
    <s v="m"/>
    <s v="W"/>
    <s v="Bar"/>
    <s v="4"/>
    <x v="198"/>
  </r>
  <r>
    <s v="09301405172"/>
    <s v="Trwoga"/>
    <s v="Bartosz"/>
    <s v="m"/>
    <s v="B"/>
    <s v="Trw"/>
    <s v="2"/>
    <x v="199"/>
  </r>
  <r>
    <s v="09301500334"/>
    <s v="Magulski"/>
    <s v="Maciej"/>
    <s v="m"/>
    <s v="M"/>
    <s v="Mag"/>
    <s v="4"/>
    <x v="200"/>
  </r>
  <r>
    <s v="09301601097"/>
    <s v="Langiewicz"/>
    <s v="Marcel"/>
    <s v="m"/>
    <s v="M"/>
    <s v="Lan"/>
    <s v="7"/>
    <x v="201"/>
  </r>
  <r>
    <s v="09302001353"/>
    <s v="Polonski"/>
    <s v="Jakub"/>
    <s v="m"/>
    <s v="J"/>
    <s v="Pol"/>
    <s v="3"/>
    <x v="202"/>
  </r>
  <r>
    <s v="09302011011"/>
    <s v="Kubisiak"/>
    <s v="Mariusz"/>
    <s v="m"/>
    <s v="M"/>
    <s v="Kub"/>
    <s v="1"/>
    <x v="203"/>
  </r>
  <r>
    <s v="09302100793"/>
    <s v="Kubisiak"/>
    <s v="Mateusz"/>
    <s v="m"/>
    <s v="M"/>
    <s v="Kub"/>
    <s v="3"/>
    <x v="204"/>
  </r>
  <r>
    <s v="09302201333"/>
    <s v="Duraj"/>
    <s v="Piotr"/>
    <s v="m"/>
    <s v="P"/>
    <s v="Dur"/>
    <s v="3"/>
    <x v="205"/>
  </r>
  <r>
    <s v="09302304838"/>
    <s v="Grabek"/>
    <s v="Oskar"/>
    <s v="m"/>
    <s v="O"/>
    <s v="Gra"/>
    <s v="8"/>
    <x v="206"/>
  </r>
  <r>
    <s v="09302308382"/>
    <s v="Tarnacka"/>
    <s v="Antonina"/>
    <s v="k"/>
    <s v="A"/>
    <s v="Tar"/>
    <s v="2"/>
    <x v="207"/>
  </r>
  <r>
    <s v="09302400657"/>
    <s v="Lunkiewicz"/>
    <s v="Maciej"/>
    <s v="m"/>
    <s v="M"/>
    <s v="Lun"/>
    <s v="7"/>
    <x v="208"/>
  </r>
  <r>
    <s v="09302502274"/>
    <s v="Wojciechowski"/>
    <s v="Aleksander"/>
    <s v="m"/>
    <s v="A"/>
    <s v="Woj"/>
    <s v="4"/>
    <x v="209"/>
  </r>
  <r>
    <s v="09302602400"/>
    <s v="Pochmara"/>
    <s v="Kaja"/>
    <s v="k"/>
    <s v="K"/>
    <s v="Poc"/>
    <s v="0"/>
    <x v="210"/>
  </r>
  <r>
    <s v="09302609421"/>
    <s v="Leszczynska"/>
    <s v="Maja"/>
    <s v="k"/>
    <s v="M"/>
    <s v="Les"/>
    <s v="1"/>
    <x v="211"/>
  </r>
  <r>
    <s v="09302702421"/>
    <s v="Lorenc"/>
    <s v="Magdalena"/>
    <s v="k"/>
    <s v="M"/>
    <s v="Lor"/>
    <s v="1"/>
    <x v="212"/>
  </r>
  <r>
    <s v="09302711423"/>
    <s v="Zalewska"/>
    <s v="Aleksandra"/>
    <s v="k"/>
    <s v="A"/>
    <s v="Zal"/>
    <s v="3"/>
    <x v="213"/>
  </r>
  <r>
    <s v="09302801182"/>
    <s v="Gosiewska"/>
    <s v="Paulina"/>
    <s v="k"/>
    <s v="P"/>
    <s v="Gos"/>
    <s v="2"/>
    <x v="214"/>
  </r>
  <r>
    <s v="09302806088"/>
    <s v="Mauruszewicz"/>
    <s v="Lena"/>
    <s v="k"/>
    <s v="L"/>
    <s v="Mau"/>
    <s v="8"/>
    <x v="215"/>
  </r>
  <r>
    <s v="09302806613"/>
    <s v="Buczkowski"/>
    <s v="Mateusz"/>
    <s v="m"/>
    <s v="M"/>
    <s v="Buc"/>
    <s v="3"/>
    <x v="216"/>
  </r>
  <r>
    <s v="09302809661"/>
    <s v="Mielewczyk"/>
    <s v="Lena"/>
    <s v="k"/>
    <s v="L"/>
    <s v="Mie"/>
    <s v="1"/>
    <x v="217"/>
  </r>
  <r>
    <s v="09302909729"/>
    <s v="Ramlo"/>
    <s v="Julia"/>
    <s v="k"/>
    <s v="J"/>
    <s v="Ram"/>
    <s v="9"/>
    <x v="218"/>
  </r>
  <r>
    <s v="09302909767"/>
    <s v="Rafinska"/>
    <s v="Julia"/>
    <s v="k"/>
    <s v="J"/>
    <s v="Raf"/>
    <s v="7"/>
    <x v="219"/>
  </r>
  <r>
    <s v="09303003200"/>
    <s v="Broszczak"/>
    <s v="Olga"/>
    <s v="k"/>
    <s v="O"/>
    <s v="Bro"/>
    <s v="0"/>
    <x v="220"/>
  </r>
  <r>
    <s v="09303005042"/>
    <s v="Bikonis"/>
    <s v="Zofia"/>
    <s v="k"/>
    <s v="Z"/>
    <s v="Bik"/>
    <s v="2"/>
    <x v="221"/>
  </r>
  <r>
    <s v="09303005066"/>
    <s v="Marczynska"/>
    <s v="Liliana"/>
    <s v="k"/>
    <s v="L"/>
    <s v="Mar"/>
    <s v="6"/>
    <x v="222"/>
  </r>
  <r>
    <s v="09303005080"/>
    <s v="Krainska"/>
    <s v="Malgorzata"/>
    <s v="k"/>
    <s v="M"/>
    <s v="Kra"/>
    <s v="0"/>
    <x v="223"/>
  </r>
  <r>
    <s v="09303005141"/>
    <s v="Oldakowska"/>
    <s v="Kinga"/>
    <s v="k"/>
    <s v="K"/>
    <s v="Old"/>
    <s v="1"/>
    <x v="224"/>
  </r>
  <r>
    <s v="09303009855"/>
    <s v="Gdaniec"/>
    <s v="Pawel"/>
    <s v="m"/>
    <s v="P"/>
    <s v="Gda"/>
    <s v="5"/>
    <x v="225"/>
  </r>
  <r>
    <s v="09310202696"/>
    <s v="Skaluba"/>
    <s v="Gabriel"/>
    <s v="m"/>
    <s v="G"/>
    <s v="Ska"/>
    <s v="6"/>
    <x v="226"/>
  </r>
  <r>
    <s v="09310208166"/>
    <s v="Klaus"/>
    <s v="Michalina"/>
    <s v="k"/>
    <s v="M"/>
    <s v="Kla"/>
    <s v="6"/>
    <x v="227"/>
  </r>
  <r>
    <s v="09310208432"/>
    <s v="Kiryk"/>
    <s v="Michal"/>
    <s v="m"/>
    <s v="M"/>
    <s v="Kir"/>
    <s v="2"/>
    <x v="228"/>
  </r>
  <r>
    <s v="09310302570"/>
    <s v="Kowalski"/>
    <s v="Mateusz"/>
    <s v="m"/>
    <s v="M"/>
    <s v="Kow"/>
    <s v="0"/>
    <x v="229"/>
  </r>
  <r>
    <s v="09310302617"/>
    <s v="Wysokinski"/>
    <s v="Adrian"/>
    <s v="m"/>
    <s v="A"/>
    <s v="Wys"/>
    <s v="7"/>
    <x v="230"/>
  </r>
  <r>
    <s v="09310310236"/>
    <s v="Szpak"/>
    <s v="Dawid"/>
    <s v="m"/>
    <s v="D"/>
    <s v="Szp"/>
    <s v="6"/>
    <x v="231"/>
  </r>
  <r>
    <s v="09310403981"/>
    <s v="Madej"/>
    <s v="Lucja"/>
    <s v="k"/>
    <s v="L"/>
    <s v="Mad"/>
    <s v="1"/>
    <x v="232"/>
  </r>
  <r>
    <s v="09310407886"/>
    <s v="Symoszyn"/>
    <s v="Emilia"/>
    <s v="k"/>
    <s v="E"/>
    <s v="Sym"/>
    <s v="6"/>
    <x v="233"/>
  </r>
  <r>
    <s v="09310408399"/>
    <s v="Cieslik"/>
    <s v="Szymon"/>
    <s v="m"/>
    <s v="S"/>
    <s v="Cie"/>
    <s v="9"/>
    <x v="234"/>
  </r>
  <r>
    <s v="09310500954"/>
    <s v="Pawlak"/>
    <s v="Jan"/>
    <s v="m"/>
    <s v="J"/>
    <s v="Paw"/>
    <s v="4"/>
    <x v="235"/>
  </r>
  <r>
    <s v="09310503841"/>
    <s v="Sznejder"/>
    <s v="Dominika"/>
    <s v="k"/>
    <s v="D"/>
    <s v="Szn"/>
    <s v="1"/>
    <x v="236"/>
  </r>
  <r>
    <s v="09310600579"/>
    <s v="Chmielewski"/>
    <s v="Jakub"/>
    <s v="m"/>
    <s v="J"/>
    <s v="Chm"/>
    <s v="9"/>
    <x v="237"/>
  </r>
  <r>
    <s v="09310705410"/>
    <s v="Rysak"/>
    <s v="Igor"/>
    <s v="m"/>
    <s v="I"/>
    <s v="Rys"/>
    <s v="0"/>
    <x v="238"/>
  </r>
  <r>
    <s v="09310804898"/>
    <s v="Szumilewicz"/>
    <s v="Dariusz"/>
    <s v="m"/>
    <s v="D"/>
    <s v="Szu"/>
    <s v="8"/>
    <x v="239"/>
  </r>
  <r>
    <s v="09310901731"/>
    <s v="Krosnowski"/>
    <s v="Mateusz"/>
    <s v="m"/>
    <s v="M"/>
    <s v="Kro"/>
    <s v="1"/>
    <x v="240"/>
  </r>
  <r>
    <s v="09310906101"/>
    <s v="Harris"/>
    <s v="Nina"/>
    <s v="k"/>
    <s v="N"/>
    <s v="Har"/>
    <s v="1"/>
    <x v="241"/>
  </r>
  <r>
    <s v="09310906125"/>
    <s v="Koszucka"/>
    <s v="Marika"/>
    <s v="k"/>
    <s v="M"/>
    <s v="Kos"/>
    <s v="5"/>
    <x v="242"/>
  </r>
  <r>
    <s v="09311000965"/>
    <s v="Chmielewska"/>
    <s v="Wiktoria"/>
    <s v="k"/>
    <s v="W"/>
    <s v="Chm"/>
    <s v="5"/>
    <x v="243"/>
  </r>
  <r>
    <s v="09311005144"/>
    <s v="Seredynska"/>
    <s v="Joanna"/>
    <s v="k"/>
    <s v="J"/>
    <s v="Ser"/>
    <s v="4"/>
    <x v="244"/>
  </r>
  <r>
    <s v="09311005632"/>
    <s v="Afeltowicz"/>
    <s v="Wojciech"/>
    <s v="m"/>
    <s v="W"/>
    <s v="Afe"/>
    <s v="2"/>
    <x v="245"/>
  </r>
  <r>
    <s v="09311009704"/>
    <s v="Jakubowska"/>
    <s v="Natalia"/>
    <s v="k"/>
    <s v="N"/>
    <s v="Jak"/>
    <s v="4"/>
    <x v="246"/>
  </r>
  <r>
    <s v="09311103163"/>
    <s v="Lewandowska"/>
    <s v="Olga"/>
    <s v="k"/>
    <s v="O"/>
    <s v="Lew"/>
    <s v="3"/>
    <x v="247"/>
  </r>
  <r>
    <s v="09311103484"/>
    <s v="Derosas"/>
    <s v="Weronika"/>
    <s v="k"/>
    <s v="W"/>
    <s v="Der"/>
    <s v="4"/>
    <x v="248"/>
  </r>
  <r>
    <s v="09311204208"/>
    <s v="Mucha"/>
    <s v="Laura"/>
    <s v="k"/>
    <s v="L"/>
    <s v="Muc"/>
    <s v="8"/>
    <x v="249"/>
  </r>
  <r>
    <s v="09311204284"/>
    <s v="Szymichowska"/>
    <s v="Antonina"/>
    <s v="k"/>
    <s v="A"/>
    <s v="Szy"/>
    <s v="4"/>
    <x v="250"/>
  </r>
  <r>
    <s v="09311303426"/>
    <s v="Janiszek"/>
    <s v="Natalia"/>
    <s v="k"/>
    <s v="N"/>
    <s v="Jan"/>
    <s v="6"/>
    <x v="25"/>
  </r>
  <r>
    <s v="09311303679"/>
    <s v="Dombrowski"/>
    <s v="Sambor"/>
    <s v="m"/>
    <s v="S"/>
    <s v="Dom"/>
    <s v="9"/>
    <x v="251"/>
  </r>
  <r>
    <s v="09311303693"/>
    <s v="Wieniarski"/>
    <s v="Arkadiusz"/>
    <s v="m"/>
    <s v="A"/>
    <s v="Wie"/>
    <s v="3"/>
    <x v="252"/>
  </r>
  <r>
    <s v="09311308469"/>
    <s v="Marszalek"/>
    <s v="Lidia"/>
    <s v="k"/>
    <s v="L"/>
    <s v="Mar"/>
    <s v="9"/>
    <x v="253"/>
  </r>
  <r>
    <s v="09311310792"/>
    <s v="Michalak"/>
    <s v="Krzysztof"/>
    <s v="m"/>
    <s v="K"/>
    <s v="Mic"/>
    <s v="2"/>
    <x v="88"/>
  </r>
  <r>
    <s v="09311505163"/>
    <s v="Czartoryjska"/>
    <s v="Wiktoria"/>
    <s v="k"/>
    <s v="W"/>
    <s v="Cza"/>
    <s v="3"/>
    <x v="254"/>
  </r>
  <r>
    <s v="09311601388"/>
    <s v="Tomanek"/>
    <s v="Anna"/>
    <s v="k"/>
    <s v="A"/>
    <s v="Tom"/>
    <s v="8"/>
    <x v="255"/>
  </r>
  <r>
    <s v="09311601425"/>
    <s v="Pawlowicz"/>
    <s v="Karolina"/>
    <s v="k"/>
    <s v="K"/>
    <s v="Paw"/>
    <s v="5"/>
    <x v="256"/>
  </r>
  <r>
    <s v="09311701118"/>
    <s v="Szwast"/>
    <s v="Daniel"/>
    <s v="m"/>
    <s v="D"/>
    <s v="Szw"/>
    <s v="8"/>
    <x v="257"/>
  </r>
  <r>
    <s v="09311706359"/>
    <s v="Zawizlak"/>
    <s v="Adam"/>
    <s v="m"/>
    <s v="A"/>
    <s v="Zaw"/>
    <s v="9"/>
    <x v="258"/>
  </r>
  <r>
    <s v="09311711463"/>
    <s v="Wierzbicka"/>
    <s v="Amelia"/>
    <s v="k"/>
    <s v="A"/>
    <s v="Wie"/>
    <s v="3"/>
    <x v="252"/>
  </r>
  <r>
    <s v="09311806622"/>
    <s v="Kielbowicz"/>
    <s v="Milena"/>
    <s v="k"/>
    <s v="M"/>
    <s v="Kie"/>
    <s v="2"/>
    <x v="259"/>
  </r>
  <r>
    <s v="09311907224"/>
    <s v="Steinhardt"/>
    <s v="Hanna"/>
    <s v="k"/>
    <s v="H"/>
    <s v="Ste"/>
    <s v="4"/>
    <x v="260"/>
  </r>
  <r>
    <s v="09311908720"/>
    <s v="Forjasz"/>
    <s v="Roxana"/>
    <s v="k"/>
    <s v="R"/>
    <s v="For"/>
    <s v="0"/>
    <x v="261"/>
  </r>
  <r>
    <s v="09312003684"/>
    <s v="Karwik"/>
    <s v="Milena"/>
    <s v="k"/>
    <s v="M"/>
    <s v="Kar"/>
    <s v="4"/>
    <x v="262"/>
  </r>
  <r>
    <s v="09312003707"/>
    <s v="Lupinska"/>
    <s v="Magdalena"/>
    <s v="k"/>
    <s v="M"/>
    <s v="Lup"/>
    <s v="7"/>
    <x v="263"/>
  </r>
  <r>
    <s v="09312008337"/>
    <s v="Pengiel"/>
    <s v="Jan"/>
    <s v="m"/>
    <s v="J"/>
    <s v="Pen"/>
    <s v="7"/>
    <x v="264"/>
  </r>
  <r>
    <s v="09312103018"/>
    <s v="Wojtaszewski"/>
    <s v="Aleksander"/>
    <s v="m"/>
    <s v="A"/>
    <s v="Woj"/>
    <s v="8"/>
    <x v="9"/>
  </r>
  <r>
    <s v="09312104743"/>
    <s v="Czarkowska"/>
    <s v="Katarzyna"/>
    <s v="k"/>
    <s v="K"/>
    <s v="Cza"/>
    <s v="3"/>
    <x v="265"/>
  </r>
  <r>
    <s v="09312106127"/>
    <s v="Zacharska"/>
    <s v="Aleksandra"/>
    <s v="k"/>
    <s v="A"/>
    <s v="Zac"/>
    <s v="7"/>
    <x v="266"/>
  </r>
  <r>
    <s v="09312201877"/>
    <s v="Bilmon"/>
    <s v="Tymoteusz"/>
    <s v="m"/>
    <s v="T"/>
    <s v="Bil"/>
    <s v="7"/>
    <x v="267"/>
  </r>
  <r>
    <s v="09312304525"/>
    <s v="Gorczynska"/>
    <s v="Oliwia"/>
    <s v="k"/>
    <s v="O"/>
    <s v="Gor"/>
    <s v="5"/>
    <x v="268"/>
  </r>
  <r>
    <s v="09312307276"/>
    <s v="Budkowski"/>
    <s v="Marek"/>
    <s v="m"/>
    <s v="M"/>
    <s v="Bud"/>
    <s v="6"/>
    <x v="269"/>
  </r>
  <r>
    <s v="09312408236"/>
    <s v="Dulak"/>
    <s v="Piotr"/>
    <s v="m"/>
    <s v="P"/>
    <s v="Dul"/>
    <s v="6"/>
    <x v="270"/>
  </r>
  <r>
    <s v="09312503412"/>
    <s v="Kaczor"/>
    <s v="Mikolaj"/>
    <s v="m"/>
    <s v="M"/>
    <s v="Kac"/>
    <s v="2"/>
    <x v="271"/>
  </r>
  <r>
    <s v="09312505797"/>
    <s v="Olszewski"/>
    <s v="Kacper"/>
    <s v="m"/>
    <s v="K"/>
    <s v="Ols"/>
    <s v="7"/>
    <x v="272"/>
  </r>
  <r>
    <s v="09312505810"/>
    <s v="Polubinski"/>
    <s v="Piotr"/>
    <s v="m"/>
    <s v="P"/>
    <s v="Pol"/>
    <s v="0"/>
    <x v="273"/>
  </r>
  <r>
    <s v="09312605138"/>
    <s v="Budny"/>
    <s v="Tomasz"/>
    <s v="m"/>
    <s v="T"/>
    <s v="Bud"/>
    <s v="8"/>
    <x v="274"/>
  </r>
  <r>
    <s v="09312605176"/>
    <s v="Fiebig"/>
    <s v="Piotr"/>
    <s v="m"/>
    <s v="P"/>
    <s v="Fie"/>
    <s v="6"/>
    <x v="275"/>
  </r>
  <r>
    <s v="09312704714"/>
    <s v="Ziolkowski"/>
    <s v="Adam"/>
    <s v="m"/>
    <s v="A"/>
    <s v="Zio"/>
    <s v="4"/>
    <x v="276"/>
  </r>
  <r>
    <s v="09312808395"/>
    <s v="Rys"/>
    <s v="Igor"/>
    <s v="m"/>
    <s v="I"/>
    <s v="Rys"/>
    <s v="5"/>
    <x v="277"/>
  </r>
  <r>
    <s v="09312902686"/>
    <s v="Orczyk"/>
    <s v="Kinga"/>
    <s v="k"/>
    <s v="K"/>
    <s v="Orc"/>
    <s v="6"/>
    <x v="278"/>
  </r>
  <r>
    <s v="09313002170"/>
    <s v="Modzelewski"/>
    <s v="Konrad"/>
    <s v="m"/>
    <s v="K"/>
    <s v="Mod"/>
    <s v="0"/>
    <x v="279"/>
  </r>
  <r>
    <s v="09313003584"/>
    <s v="Cichowlas"/>
    <s v="Marta"/>
    <s v="k"/>
    <s v="M"/>
    <s v="Cic"/>
    <s v="4"/>
    <x v="280"/>
  </r>
  <r>
    <s v="09313003607"/>
    <s v="Kozlowska"/>
    <s v="Malgorzata"/>
    <s v="k"/>
    <s v="M"/>
    <s v="Koz"/>
    <s v="7"/>
    <x v="281"/>
  </r>
  <r>
    <s v="09313008381"/>
    <s v="Wrona"/>
    <s v="Alicja"/>
    <s v="k"/>
    <s v="A"/>
    <s v="Wro"/>
    <s v="1"/>
    <x v="282"/>
  </r>
  <r>
    <s v="09313010294"/>
    <s v="Podolszynski"/>
    <s v="Jakub"/>
    <s v="m"/>
    <s v="J"/>
    <s v="Pod"/>
    <s v="4"/>
    <x v="61"/>
  </r>
  <r>
    <s v="09320105440"/>
    <s v="Piorkowska"/>
    <s v="Kalina"/>
    <s v="k"/>
    <s v="K"/>
    <s v="Pio"/>
    <s v="0"/>
    <x v="283"/>
  </r>
  <r>
    <s v="09320200961"/>
    <s v="Mlodzianowska"/>
    <s v="Lena"/>
    <s v="k"/>
    <s v="L"/>
    <s v="Mlo"/>
    <s v="1"/>
    <x v="284"/>
  </r>
  <r>
    <s v="09320300586"/>
    <s v="Kmiecik"/>
    <s v="Martyna"/>
    <s v="k"/>
    <s v="M"/>
    <s v="Kmi"/>
    <s v="6"/>
    <x v="285"/>
  </r>
  <r>
    <s v="09320311214"/>
    <s v="Kisiel"/>
    <s v="Michal"/>
    <s v="m"/>
    <s v="M"/>
    <s v="Kis"/>
    <s v="4"/>
    <x v="286"/>
  </r>
  <r>
    <s v="09320401737"/>
    <s v="Dolny"/>
    <s v="Sebastian"/>
    <s v="m"/>
    <s v="S"/>
    <s v="Dol"/>
    <s v="7"/>
    <x v="287"/>
  </r>
  <r>
    <s v="09320408093"/>
    <s v="Kisiela"/>
    <s v="Michal"/>
    <s v="m"/>
    <s v="M"/>
    <s v="Kis"/>
    <s v="3"/>
    <x v="288"/>
  </r>
  <r>
    <s v="09320505837"/>
    <s v="Piotrowski"/>
    <s v="Mariusz"/>
    <s v="m"/>
    <s v="M"/>
    <s v="Pio"/>
    <s v="7"/>
    <x v="289"/>
  </r>
  <r>
    <s v="09320509077"/>
    <s v="Kopiejc"/>
    <s v="Maurycy"/>
    <s v="m"/>
    <s v="M"/>
    <s v="Kop"/>
    <s v="7"/>
    <x v="290"/>
  </r>
  <r>
    <s v="09320605025"/>
    <s v="Oszmana"/>
    <s v="Katarzyna"/>
    <s v="k"/>
    <s v="K"/>
    <s v="Osz"/>
    <s v="5"/>
    <x v="291"/>
  </r>
  <r>
    <s v="09320805814"/>
    <s v="Rozek"/>
    <s v="Jacek"/>
    <s v="m"/>
    <s v="J"/>
    <s v="Roz"/>
    <s v="4"/>
    <x v="292"/>
  </r>
  <r>
    <s v="09320905187"/>
    <s v="Bajer"/>
    <s v="Jadwiga"/>
    <s v="k"/>
    <s v="J"/>
    <s v="Baj"/>
    <s v="7"/>
    <x v="293"/>
  </r>
  <r>
    <s v="09321008971"/>
    <s v="Czapiewski"/>
    <s v="Szymon"/>
    <s v="m"/>
    <s v="S"/>
    <s v="Cza"/>
    <s v="1"/>
    <x v="294"/>
  </r>
  <r>
    <s v="09321103584"/>
    <s v="Marynowska"/>
    <s v="Lena"/>
    <s v="k"/>
    <s v="L"/>
    <s v="Mar"/>
    <s v="4"/>
    <x v="295"/>
  </r>
  <r>
    <s v="09321103607"/>
    <s v="Lubinska"/>
    <s v="Marta"/>
    <s v="k"/>
    <s v="M"/>
    <s v="Lub"/>
    <s v="7"/>
    <x v="158"/>
  </r>
  <r>
    <s v="09321202085"/>
    <s v="Horbaczewska"/>
    <s v="Nicola"/>
    <s v="k"/>
    <s v="N"/>
    <s v="Hor"/>
    <s v="5"/>
    <x v="296"/>
  </r>
  <r>
    <s v="09321202160"/>
    <s v="Wroblewska"/>
    <s v="Alicja"/>
    <s v="k"/>
    <s v="A"/>
    <s v="Wro"/>
    <s v="0"/>
    <x v="297"/>
  </r>
  <r>
    <s v="09321202375"/>
    <s v="Skabara"/>
    <s v="Grzegorz"/>
    <s v="m"/>
    <s v="G"/>
    <s v="Ska"/>
    <s v="5"/>
    <x v="298"/>
  </r>
  <r>
    <s v="09321202436"/>
    <s v="Formela"/>
    <s v="Piotr"/>
    <s v="m"/>
    <s v="P"/>
    <s v="For"/>
    <s v="6"/>
    <x v="299"/>
  </r>
  <r>
    <s v="09321208296"/>
    <s v="Ziolkowski"/>
    <s v="Mariusz"/>
    <s v="m"/>
    <s v="M"/>
    <s v="Zio"/>
    <s v="6"/>
    <x v="300"/>
  </r>
  <r>
    <s v="09321301401"/>
    <s v="Trocha"/>
    <s v="Anna"/>
    <s v="k"/>
    <s v="A"/>
    <s v="Tro"/>
    <s v="1"/>
    <x v="301"/>
  </r>
  <r>
    <s v="09321305122"/>
    <s v="Greszczuk"/>
    <s v="Oliwia"/>
    <s v="k"/>
    <s v="O"/>
    <s v="Gre"/>
    <s v="2"/>
    <x v="302"/>
  </r>
  <r>
    <s v="09321401422"/>
    <s v="Krupop"/>
    <s v="Maja"/>
    <s v="k"/>
    <s v="M"/>
    <s v="Kru"/>
    <s v="2"/>
    <x v="303"/>
  </r>
  <r>
    <s v="09321407220"/>
    <s v="Janiczek"/>
    <s v="Natalia"/>
    <s v="k"/>
    <s v="N"/>
    <s v="Jan"/>
    <s v="0"/>
    <x v="304"/>
  </r>
  <r>
    <s v="09321501160"/>
    <s v="Kempka"/>
    <s v="Milena"/>
    <s v="k"/>
    <s v="M"/>
    <s v="Kem"/>
    <s v="0"/>
    <x v="305"/>
  </r>
  <r>
    <s v="09321501177"/>
    <s v="Wizniewski"/>
    <s v="Andrzej"/>
    <s v="m"/>
    <s v="A"/>
    <s v="Wiz"/>
    <s v="7"/>
    <x v="306"/>
  </r>
  <r>
    <s v="09321607125"/>
    <s v="Pajsk"/>
    <s v="Katarzyna"/>
    <s v="k"/>
    <s v="K"/>
    <s v="Paj"/>
    <s v="5"/>
    <x v="307"/>
  </r>
  <r>
    <s v="09321611788"/>
    <s v="Lewicka"/>
    <s v="Magdalena"/>
    <s v="k"/>
    <s v="M"/>
    <s v="Lew"/>
    <s v="8"/>
    <x v="308"/>
  </r>
  <r>
    <s v="09321706992"/>
    <s v="Swinianski"/>
    <s v="Cyprian"/>
    <s v="m"/>
    <s v="C"/>
    <s v="Swi"/>
    <s v="2"/>
    <x v="309"/>
  </r>
  <r>
    <s v="09321805936"/>
    <s v="Kaminski"/>
    <s v="Mikolaj"/>
    <s v="m"/>
    <s v="M"/>
    <s v="Kam"/>
    <s v="6"/>
    <x v="310"/>
  </r>
  <r>
    <s v="09321903900"/>
    <s v="Kirwiel"/>
    <s v="Michalina"/>
    <s v="k"/>
    <s v="M"/>
    <s v="Kir"/>
    <s v="0"/>
    <x v="311"/>
  </r>
  <r>
    <s v="09321903917"/>
    <s v="Werbowy"/>
    <s v="Artur"/>
    <s v="m"/>
    <s v="A"/>
    <s v="Wer"/>
    <s v="7"/>
    <x v="312"/>
  </r>
  <r>
    <s v="09321905469"/>
    <s v="Bajurska"/>
    <s v="Zuzanna"/>
    <s v="k"/>
    <s v="Z"/>
    <s v="Baj"/>
    <s v="9"/>
    <x v="313"/>
  </r>
  <r>
    <s v="09322003265"/>
    <s v="Zaborowska"/>
    <s v="Aleksandra"/>
    <s v="k"/>
    <s v="A"/>
    <s v="Zab"/>
    <s v="5"/>
    <x v="314"/>
  </r>
  <r>
    <s v="09322103743"/>
    <s v="Dunislawska"/>
    <s v="Victoria"/>
    <s v="k"/>
    <s v="V"/>
    <s v="Dun"/>
    <s v="3"/>
    <x v="315"/>
  </r>
  <r>
    <s v="09322103842"/>
    <s v="Stachurska"/>
    <s v="Helena"/>
    <s v="k"/>
    <s v="H"/>
    <s v="Sta"/>
    <s v="2"/>
    <x v="316"/>
  </r>
  <r>
    <s v="09322106333"/>
    <s v="Kirwiel"/>
    <s v="Michal"/>
    <s v="m"/>
    <s v="M"/>
    <s v="Kir"/>
    <s v="3"/>
    <x v="317"/>
  </r>
  <r>
    <s v="09322106357"/>
    <s v="Zega"/>
    <s v="Adam"/>
    <s v="m"/>
    <s v="A"/>
    <s v="Zeg"/>
    <s v="7"/>
    <x v="318"/>
  </r>
  <r>
    <s v="09322109039"/>
    <s v="Lukowski"/>
    <s v="Maciej"/>
    <s v="m"/>
    <s v="M"/>
    <s v="Luk"/>
    <s v="9"/>
    <x v="319"/>
  </r>
  <r>
    <s v="09322202879"/>
    <s v="Pietraszczyk"/>
    <s v="Jan"/>
    <s v="m"/>
    <s v="J"/>
    <s v="Pie"/>
    <s v="9"/>
    <x v="320"/>
  </r>
  <r>
    <s v="09322302180"/>
    <s v="Jędrzejczak"/>
    <s v="Nadia"/>
    <s v="k"/>
    <s v="N"/>
    <s v="Jęd"/>
    <s v="0"/>
    <x v="321"/>
  </r>
  <r>
    <s v="09322306528"/>
    <s v="Wymyslowska"/>
    <s v="Alicja"/>
    <s v="k"/>
    <s v="A"/>
    <s v="Wym"/>
    <s v="8"/>
    <x v="322"/>
  </r>
  <r>
    <s v="09322402767"/>
    <s v="Wicher"/>
    <s v="Amelia"/>
    <s v="k"/>
    <s v="A"/>
    <s v="Wic"/>
    <s v="7"/>
    <x v="323"/>
  </r>
  <r>
    <s v="09322501336"/>
    <s v="Tusinski"/>
    <s v="Bartosz"/>
    <s v="m"/>
    <s v="B"/>
    <s v="Tus"/>
    <s v="6"/>
    <x v="324"/>
  </r>
  <r>
    <s v="09322505941"/>
    <s v="Walaszek"/>
    <s v="Angelika"/>
    <s v="k"/>
    <s v="A"/>
    <s v="Wal"/>
    <s v="1"/>
    <x v="325"/>
  </r>
  <r>
    <s v="09322602686"/>
    <s v="Karolewska"/>
    <s v="Milena"/>
    <s v="k"/>
    <s v="M"/>
    <s v="Kar"/>
    <s v="6"/>
    <x v="326"/>
  </r>
  <r>
    <s v="09322702454"/>
    <s v="Stanulewicz"/>
    <s v="Filip"/>
    <s v="m"/>
    <s v="F"/>
    <s v="Sta"/>
    <s v="4"/>
    <x v="327"/>
  </r>
  <r>
    <s v="09322705310"/>
    <s v="Marszalek"/>
    <s v="Kuba"/>
    <s v="m"/>
    <s v="K"/>
    <s v="Mar"/>
    <s v="0"/>
    <x v="328"/>
  </r>
  <r>
    <s v="09322705358"/>
    <s v="Kieloch"/>
    <s v="Michal"/>
    <s v="m"/>
    <s v="M"/>
    <s v="Kie"/>
    <s v="8"/>
    <x v="329"/>
  </r>
  <r>
    <s v="09322802260"/>
    <s v="Marmelowska"/>
    <s v="Martyna"/>
    <s v="k"/>
    <s v="M"/>
    <s v="Mar"/>
    <s v="0"/>
    <x v="330"/>
  </r>
  <r>
    <s v="09322805690"/>
    <s v="Nikolajew"/>
    <s v="Kacper"/>
    <s v="m"/>
    <s v="K"/>
    <s v="Nik"/>
    <s v="0"/>
    <x v="331"/>
  </r>
  <r>
    <s v="09322905758"/>
    <s v="Okla"/>
    <s v="Kacper"/>
    <s v="m"/>
    <s v="K"/>
    <s v="Okl"/>
    <s v="8"/>
    <x v="332"/>
  </r>
  <r>
    <s v="09322907675"/>
    <s v="Lademann"/>
    <s v="Marcel"/>
    <s v="m"/>
    <s v="M"/>
    <s v="Lad"/>
    <s v="5"/>
    <x v="333"/>
  </r>
  <r>
    <s v="09322909004"/>
    <s v="Kowakczyk"/>
    <s v="Maria"/>
    <s v="k"/>
    <s v="M"/>
    <s v="Kow"/>
    <s v="4"/>
    <x v="135"/>
  </r>
  <r>
    <s v="09323004647"/>
    <s v="Pawelska"/>
    <s v="Karolina"/>
    <s v="k"/>
    <s v="K"/>
    <s v="Paw"/>
    <s v="7"/>
    <x v="334"/>
  </r>
  <r>
    <s v="09323004692"/>
    <s v="Niemczyk"/>
    <s v="Kamil"/>
    <s v="m"/>
    <s v="K"/>
    <s v="Nie"/>
    <s v="2"/>
    <x v="335"/>
  </r>
  <r>
    <s v="09323004715"/>
    <s v="Hazubski"/>
    <s v="Olgierd"/>
    <s v="m"/>
    <s v="O"/>
    <s v="Haz"/>
    <s v="5"/>
    <x v="336"/>
  </r>
  <r>
    <s v="09323004753"/>
    <s v="Ryngwelski"/>
    <s v="Igor"/>
    <s v="m"/>
    <s v="I"/>
    <s v="Ryn"/>
    <s v="3"/>
    <x v="337"/>
  </r>
  <r>
    <s v="09323004777"/>
    <s v="Ropiak"/>
    <s v="Jakub"/>
    <s v="m"/>
    <s v="J"/>
    <s v="Rop"/>
    <s v="7"/>
    <x v="338"/>
  </r>
  <r>
    <s v="09323004791"/>
    <s v="Giemza"/>
    <s v="Patryk"/>
    <s v="m"/>
    <s v="P"/>
    <s v="Gie"/>
    <s v="1"/>
    <x v="339"/>
  </r>
  <r>
    <s v="09323103810"/>
    <s v="Domzala"/>
    <s v="Ryszard"/>
    <s v="m"/>
    <s v="R"/>
    <s v="Dom"/>
    <s v="0"/>
    <x v="340"/>
  </r>
  <r>
    <s v="09323105621"/>
    <s v="Pozarzycka"/>
    <s v="Justyna"/>
    <s v="k"/>
    <s v="J"/>
    <s v="Poz"/>
    <s v="1"/>
    <x v="341"/>
  </r>
  <r>
    <s v="50021011352"/>
    <s v="Kowalik"/>
    <s v="Mateusz"/>
    <s v="m"/>
    <s v="M"/>
    <s v="Kow"/>
    <s v="2"/>
    <x v="342"/>
  </r>
  <r>
    <s v="50101111305"/>
    <s v="Hintzke"/>
    <s v="Nikola"/>
    <s v="k"/>
    <s v="N"/>
    <s v="Hin"/>
    <s v="5"/>
    <x v="343"/>
  </r>
  <r>
    <s v="50102636355"/>
    <s v="Swistek"/>
    <s v="Damian"/>
    <s v="m"/>
    <s v="D"/>
    <s v="Swi"/>
    <s v="5"/>
    <x v="344"/>
  </r>
  <r>
    <s v="51011153311"/>
    <s v="Grzelecki"/>
    <s v="Oliwier"/>
    <s v="m"/>
    <s v="O"/>
    <s v="Grz"/>
    <s v="1"/>
    <x v="345"/>
  </r>
  <r>
    <s v="51102573842"/>
    <s v="Hinz"/>
    <s v="Nikola"/>
    <s v="k"/>
    <s v="N"/>
    <s v="Hin"/>
    <s v="2"/>
    <x v="346"/>
  </r>
  <r>
    <s v="52101156863"/>
    <s v="Kaftan"/>
    <s v="Monika"/>
    <s v="k"/>
    <s v="M"/>
    <s v="Kaf"/>
    <s v="3"/>
    <x v="347"/>
  </r>
  <r>
    <s v="52110446139"/>
    <s v="Wasiluk"/>
    <s v="Bartlomiej"/>
    <s v="m"/>
    <s v="B"/>
    <s v="Was"/>
    <s v="9"/>
    <x v="348"/>
  </r>
  <r>
    <s v="53082806059"/>
    <s v="Wasilewski"/>
    <s v="Bartlomiej"/>
    <s v="m"/>
    <s v="B"/>
    <s v="Was"/>
    <s v="9"/>
    <x v="348"/>
  </r>
  <r>
    <s v="53122299122"/>
    <s v="Lukasik"/>
    <s v="Magdalena"/>
    <s v="k"/>
    <s v="M"/>
    <s v="Luk"/>
    <s v="2"/>
    <x v="349"/>
  </r>
  <r>
    <s v="54020837137"/>
    <s v="Silakowski"/>
    <s v="Henryk"/>
    <s v="m"/>
    <s v="H"/>
    <s v="Sil"/>
    <s v="7"/>
    <x v="350"/>
  </r>
  <r>
    <s v="55022153432"/>
    <s v="Zygmunt"/>
    <s v="Adam"/>
    <s v="m"/>
    <s v="A"/>
    <s v="Zyg"/>
    <s v="2"/>
    <x v="351"/>
  </r>
  <r>
    <s v="55110906690"/>
    <s v="Pettka"/>
    <s v="Jan"/>
    <s v="m"/>
    <s v="J"/>
    <s v="Pet"/>
    <s v="0"/>
    <x v="352"/>
  </r>
  <r>
    <s v="55123128973"/>
    <s v="Hanczarek"/>
    <s v="Olivier"/>
    <s v="m"/>
    <s v="O"/>
    <s v="Han"/>
    <s v="3"/>
    <x v="353"/>
  </r>
  <r>
    <s v="56111161549"/>
    <s v="Samulczyk"/>
    <s v="Julia"/>
    <s v="k"/>
    <s v="J"/>
    <s v="Sam"/>
    <s v="9"/>
    <x v="354"/>
  </r>
  <r>
    <s v="57073163051"/>
    <s v="Berezniewicz"/>
    <s v="Wiktor"/>
    <s v="m"/>
    <s v="W"/>
    <s v="Ber"/>
    <s v="1"/>
    <x v="355"/>
  </r>
  <r>
    <s v="57102202414"/>
    <s v="Bialaszewski"/>
    <s v="Piotr"/>
    <s v="m"/>
    <s v="P"/>
    <s v="Bia"/>
    <s v="4"/>
    <x v="356"/>
  </r>
  <r>
    <s v="58122188027"/>
    <s v="Rutkiewicz"/>
    <s v="Julia"/>
    <s v="k"/>
    <s v="J"/>
    <s v="Rut"/>
    <s v="7"/>
    <x v="357"/>
  </r>
  <r>
    <s v="59031152059"/>
    <s v="Kowalczyk"/>
    <s v="Mateusz"/>
    <s v="m"/>
    <s v="M"/>
    <s v="Kow"/>
    <s v="9"/>
    <x v="358"/>
  </r>
  <r>
    <s v="59042989686"/>
    <s v="Sadowska"/>
    <s v="Julia"/>
    <s v="k"/>
    <s v="J"/>
    <s v="Sad"/>
    <s v="6"/>
    <x v="359"/>
  </r>
  <r>
    <s v="59083036077"/>
    <s v="Sobol"/>
    <s v="Filip"/>
    <s v="m"/>
    <s v="F"/>
    <s v="Sob"/>
    <s v="7"/>
    <x v="360"/>
  </r>
  <r>
    <s v="59110570565"/>
    <s v="Senger"/>
    <s v="Joanna"/>
    <s v="k"/>
    <s v="J"/>
    <s v="Sen"/>
    <s v="5"/>
    <x v="361"/>
  </r>
  <r>
    <s v="60102890107"/>
    <s v="Stanislawska"/>
    <s v="Hanna"/>
    <s v="k"/>
    <s v="H"/>
    <s v="Sta"/>
    <s v="7"/>
    <x v="362"/>
  </r>
  <r>
    <s v="61032479116"/>
    <s v="Szczepkowski"/>
    <s v="Dorian"/>
    <s v="m"/>
    <s v="D"/>
    <s v="Szc"/>
    <s v="6"/>
    <x v="363"/>
  </r>
  <r>
    <s v="61100157652"/>
    <s v="Wojcicki"/>
    <s v="Aleks"/>
    <s v="m"/>
    <s v="A"/>
    <s v="Woj"/>
    <s v="2"/>
    <x v="62"/>
  </r>
  <r>
    <s v="61121020469"/>
    <s v="Salanowska"/>
    <s v="Julia"/>
    <s v="k"/>
    <s v="J"/>
    <s v="Sal"/>
    <s v="9"/>
    <x v="364"/>
  </r>
  <r>
    <s v="62033089803"/>
    <s v="Skrzydlak"/>
    <s v="Izabela"/>
    <s v="k"/>
    <s v="I"/>
    <s v="Skr"/>
    <s v="3"/>
    <x v="365"/>
  </r>
  <r>
    <s v="62092569090"/>
    <s v="Koszlaga"/>
    <s v="Mateusz"/>
    <s v="m"/>
    <s v="M"/>
    <s v="Kos"/>
    <s v="0"/>
    <x v="366"/>
  </r>
  <r>
    <s v="63092608644"/>
    <s v="Kowalczuk"/>
    <s v="Maria"/>
    <s v="k"/>
    <s v="M"/>
    <s v="Kow"/>
    <s v="4"/>
    <x v="135"/>
  </r>
  <r>
    <s v="63102092944"/>
    <s v="Glowinska"/>
    <s v="Patrycja"/>
    <s v="k"/>
    <s v="P"/>
    <s v="Glo"/>
    <s v="4"/>
    <x v="367"/>
  </r>
  <r>
    <s v="63122755182"/>
    <s v="Sautycz"/>
    <s v="Julia"/>
    <s v="k"/>
    <s v="J"/>
    <s v="Sau"/>
    <s v="2"/>
    <x v="368"/>
  </r>
  <r>
    <s v="64022301455"/>
    <s v="Jakubowski"/>
    <s v="Nikodem"/>
    <s v="m"/>
    <s v="N"/>
    <s v="Jak"/>
    <s v="5"/>
    <x v="369"/>
  </r>
  <r>
    <s v="64040919575"/>
    <s v="Labuda"/>
    <s v="Marcel"/>
    <s v="m"/>
    <s v="M"/>
    <s v="Lab"/>
    <s v="5"/>
    <x v="370"/>
  </r>
  <r>
    <s v="64063159211"/>
    <s v="Przestrzelski"/>
    <s v="Jakub"/>
    <s v="m"/>
    <s v="J"/>
    <s v="Prz"/>
    <s v="1"/>
    <x v="371"/>
  </r>
  <r>
    <s v="65062892381"/>
    <s v="Sochacka"/>
    <s v="Inka"/>
    <s v="k"/>
    <s v="I"/>
    <s v="Soc"/>
    <s v="1"/>
    <x v="372"/>
  </r>
  <r>
    <s v="65092056892"/>
    <s v="Wierzbicki"/>
    <s v="Antoni"/>
    <s v="m"/>
    <s v="A"/>
    <s v="Wie"/>
    <s v="2"/>
    <x v="373"/>
  </r>
  <r>
    <s v="65102086116"/>
    <s v="Sarnowski"/>
    <s v="Ignacy"/>
    <s v="m"/>
    <s v="I"/>
    <s v="Sar"/>
    <s v="6"/>
    <x v="374"/>
  </r>
  <r>
    <s v="66063014631"/>
    <s v="Machalski"/>
    <s v="Maciej"/>
    <s v="m"/>
    <s v="M"/>
    <s v="Mac"/>
    <s v="1"/>
    <x v="375"/>
  </r>
  <r>
    <s v="66100294134"/>
    <s v="Kowalczyk"/>
    <s v="Mateusz"/>
    <s v="m"/>
    <s v="M"/>
    <s v="Kow"/>
    <s v="4"/>
    <x v="135"/>
  </r>
  <r>
    <s v="66100651663"/>
    <s v="Broukin"/>
    <s v="Zofia"/>
    <s v="k"/>
    <s v="Z"/>
    <s v="Bro"/>
    <s v="3"/>
    <x v="376"/>
  </r>
  <r>
    <s v="66111176164"/>
    <s v="Filarska"/>
    <s v="Sandra"/>
    <s v="k"/>
    <s v="S"/>
    <s v="Fil"/>
    <s v="4"/>
    <x v="377"/>
  </r>
  <r>
    <s v="66113183995"/>
    <s v="Siminski"/>
    <s v="Henryk"/>
    <s v="m"/>
    <s v="H"/>
    <s v="Sim"/>
    <s v="5"/>
    <x v="378"/>
  </r>
  <r>
    <s v="67103111042"/>
    <s v="Riegel"/>
    <s v="Julia"/>
    <s v="k"/>
    <s v="J"/>
    <s v="Rie"/>
    <s v="2"/>
    <x v="379"/>
  </r>
  <r>
    <s v="67112966668"/>
    <s v="Kozlowska"/>
    <s v="Malgorzata"/>
    <s v="k"/>
    <s v="M"/>
    <s v="Koz"/>
    <s v="8"/>
    <x v="380"/>
  </r>
  <r>
    <s v="67113048790"/>
    <s v="Porydzaj"/>
    <s v="Jakub"/>
    <s v="m"/>
    <s v="J"/>
    <s v="Por"/>
    <s v="0"/>
    <x v="381"/>
  </r>
  <r>
    <s v="67120749923"/>
    <s v="Sachse"/>
    <s v="Julia"/>
    <s v="k"/>
    <s v="J"/>
    <s v="Sac"/>
    <s v="3"/>
    <x v="382"/>
  </r>
  <r>
    <s v="68112117597"/>
    <s v="Spanowski"/>
    <s v="Filip"/>
    <s v="m"/>
    <s v="F"/>
    <s v="Spa"/>
    <s v="7"/>
    <x v="383"/>
  </r>
  <r>
    <s v="69030626134"/>
    <s v="Machol"/>
    <s v="Maciej"/>
    <s v="m"/>
    <s v="M"/>
    <s v="Mac"/>
    <s v="4"/>
    <x v="384"/>
  </r>
  <r>
    <s v="69122174118"/>
    <s v="Zmurko"/>
    <s v="Adam"/>
    <s v="m"/>
    <s v="A"/>
    <s v="Zmu"/>
    <s v="8"/>
    <x v="385"/>
  </r>
  <r>
    <s v="70032057433"/>
    <s v="Rembisz"/>
    <s v="Jakub"/>
    <s v="m"/>
    <s v="J"/>
    <s v="Rem"/>
    <s v="3"/>
    <x v="386"/>
  </r>
  <r>
    <s v="70053179170"/>
    <s v="Szmitko"/>
    <s v="Dominik"/>
    <s v="m"/>
    <s v="D"/>
    <s v="Szm"/>
    <s v="0"/>
    <x v="387"/>
  </r>
  <r>
    <s v="70101195486"/>
    <s v="Jurewicz"/>
    <s v="Nadia"/>
    <s v="k"/>
    <s v="N"/>
    <s v="Jur"/>
    <s v="6"/>
    <x v="388"/>
  </r>
  <r>
    <s v="70120794633"/>
    <s v="Zurek"/>
    <s v="Adam"/>
    <s v="m"/>
    <s v="A"/>
    <s v="Zur"/>
    <s v="3"/>
    <x v="389"/>
  </r>
  <r>
    <s v="71093058856"/>
    <s v="Ręczmin"/>
    <s v="Jakub"/>
    <s v="m"/>
    <s v="J"/>
    <s v="Ręc"/>
    <s v="6"/>
    <x v="390"/>
  </r>
  <r>
    <s v="71110410883"/>
    <s v="Steinborn"/>
    <s v="Hanna"/>
    <s v="k"/>
    <s v="H"/>
    <s v="Ste"/>
    <s v="3"/>
    <x v="391"/>
  </r>
  <r>
    <s v="71112677514"/>
    <s v="Swierszcz"/>
    <s v="Cyprian"/>
    <s v="m"/>
    <s v="C"/>
    <s v="Swi"/>
    <s v="4"/>
    <x v="392"/>
  </r>
  <r>
    <s v="71123061643"/>
    <s v="Sibiga"/>
    <s v="Joanna"/>
    <s v="k"/>
    <s v="J"/>
    <s v="Sib"/>
    <s v="3"/>
    <x v="393"/>
  </r>
  <r>
    <s v="72031096705"/>
    <s v="Makowska"/>
    <s v="Luiza"/>
    <s v="k"/>
    <s v="L"/>
    <s v="Mak"/>
    <s v="5"/>
    <x v="394"/>
  </r>
  <r>
    <s v="73010399576"/>
    <s v="Dzierzak"/>
    <s v="Piotr"/>
    <s v="m"/>
    <s v="P"/>
    <s v="Dzi"/>
    <s v="6"/>
    <x v="395"/>
  </r>
  <r>
    <s v="73070871368"/>
    <s v="Leman"/>
    <s v="Maja"/>
    <s v="k"/>
    <s v="M"/>
    <s v="Lem"/>
    <s v="8"/>
    <x v="396"/>
  </r>
  <r>
    <s v="73103000844"/>
    <s v="Stankiewicz"/>
    <s v="Hanna"/>
    <s v="k"/>
    <s v="H"/>
    <s v="Sta"/>
    <s v="4"/>
    <x v="397"/>
  </r>
  <r>
    <s v="73112328551"/>
    <s v="Wizniewski"/>
    <s v="Antoni"/>
    <s v="m"/>
    <s v="A"/>
    <s v="Wiz"/>
    <s v="1"/>
    <x v="398"/>
  </r>
  <r>
    <s v="74040249598"/>
    <s v="Zawisza"/>
    <s v="Adrian"/>
    <s v="m"/>
    <s v="A"/>
    <s v="Zaw"/>
    <s v="8"/>
    <x v="399"/>
  </r>
  <r>
    <s v="74120284541"/>
    <s v="Adamiak"/>
    <s v="Zofia"/>
    <s v="k"/>
    <s v="Z"/>
    <s v="Ada"/>
    <s v="1"/>
    <x v="400"/>
  </r>
  <r>
    <s v="74121108598"/>
    <s v="Yuksek"/>
    <s v="Adrian"/>
    <s v="m"/>
    <s v="A"/>
    <s v="Yuk"/>
    <s v="8"/>
    <x v="401"/>
  </r>
  <r>
    <s v="74123184206"/>
    <s v="Perez"/>
    <s v="Karolina"/>
    <s v="k"/>
    <s v="K"/>
    <s v="Per"/>
    <s v="6"/>
    <x v="402"/>
  </r>
  <r>
    <s v="75032006098"/>
    <s v="Duszota"/>
    <s v="Piotr"/>
    <s v="m"/>
    <s v="P"/>
    <s v="Dus"/>
    <s v="8"/>
    <x v="403"/>
  </r>
  <r>
    <s v="75113162747"/>
    <s v="Kulkowska"/>
    <s v="Maja"/>
    <s v="k"/>
    <s v="M"/>
    <s v="Kul"/>
    <s v="7"/>
    <x v="404"/>
  </r>
  <r>
    <s v="75121005045"/>
    <s v="Zylinska"/>
    <s v="Adelajda"/>
    <s v="k"/>
    <s v="A"/>
    <s v="Zyl"/>
    <s v="5"/>
    <x v="405"/>
  </r>
  <r>
    <s v="75123199317"/>
    <s v="Nowak"/>
    <s v="Kacper"/>
    <s v="m"/>
    <s v="K"/>
    <s v="Now"/>
    <s v="7"/>
    <x v="406"/>
  </r>
  <r>
    <s v="76043054555"/>
    <s v="Lyszcz"/>
    <s v="Maciej"/>
    <s v="m"/>
    <s v="M"/>
    <s v="Lys"/>
    <s v="5"/>
    <x v="407"/>
  </r>
  <r>
    <s v="76043169949"/>
    <s v="Zdrojewska"/>
    <s v="Agata"/>
    <s v="k"/>
    <s v="A"/>
    <s v="Zdr"/>
    <s v="9"/>
    <x v="408"/>
  </r>
  <r>
    <s v="76121186303"/>
    <s v="Engel"/>
    <s v="Urszula"/>
    <s v="k"/>
    <s v="U"/>
    <s v="Eng"/>
    <s v="3"/>
    <x v="409"/>
  </r>
  <r>
    <s v="76122752028"/>
    <s v="Zgadzaj"/>
    <s v="Agata"/>
    <s v="k"/>
    <s v="A"/>
    <s v="Zga"/>
    <s v="8"/>
    <x v="410"/>
  </r>
  <r>
    <s v="77111084850"/>
    <s v="Strack"/>
    <s v="Filip"/>
    <s v="m"/>
    <s v="F"/>
    <s v="Str"/>
    <s v="0"/>
    <x v="411"/>
  </r>
  <r>
    <s v="78011115028"/>
    <s v="Reclaw"/>
    <s v="Julia"/>
    <s v="k"/>
    <s v="J"/>
    <s v="Rec"/>
    <s v="8"/>
    <x v="412"/>
  </r>
  <r>
    <s v="78102945963"/>
    <s v="Mazurkiewicz"/>
    <s v="Lena"/>
    <s v="k"/>
    <s v="L"/>
    <s v="Maz"/>
    <s v="3"/>
    <x v="413"/>
  </r>
  <r>
    <s v="78103188695"/>
    <s v="Potocki"/>
    <s v="Jakub"/>
    <s v="m"/>
    <s v="J"/>
    <s v="Pot"/>
    <s v="5"/>
    <x v="414"/>
  </r>
  <r>
    <s v="78123189018"/>
    <s v="Furmaniak"/>
    <s v="Pawel"/>
    <s v="m"/>
    <s v="P"/>
    <s v="Fur"/>
    <s v="8"/>
    <x v="415"/>
  </r>
  <r>
    <s v="79012564484"/>
    <s v="Marzec"/>
    <s v="Lena"/>
    <s v="k"/>
    <s v="L"/>
    <s v="Mar"/>
    <s v="4"/>
    <x v="295"/>
  </r>
  <r>
    <s v="79070627831"/>
    <s v="Tomaszewski"/>
    <s v="Bruno"/>
    <s v="m"/>
    <s v="B"/>
    <s v="Tom"/>
    <s v="1"/>
    <x v="416"/>
  </r>
  <r>
    <s v="79101146737"/>
    <s v="Strupiechowski"/>
    <s v="Filip"/>
    <s v="m"/>
    <s v="F"/>
    <s v="Str"/>
    <s v="7"/>
    <x v="417"/>
  </r>
  <r>
    <s v="79110673709"/>
    <s v="Szczepanska"/>
    <s v="Emilia"/>
    <s v="k"/>
    <s v="E"/>
    <s v="Szc"/>
    <s v="9"/>
    <x v="418"/>
  </r>
  <r>
    <s v="81081010863"/>
    <s v="Wamka"/>
    <s v="Anastazja"/>
    <s v="k"/>
    <s v="A"/>
    <s v="Wam"/>
    <s v="3"/>
    <x v="419"/>
  </r>
  <r>
    <s v="81101148770"/>
    <s v="Spychala"/>
    <s v="Filip"/>
    <s v="m"/>
    <s v="F"/>
    <s v="Spy"/>
    <s v="0"/>
    <x v="420"/>
  </r>
  <r>
    <s v="82072219267"/>
    <s v="Bialkowska"/>
    <s v="Kamila"/>
    <s v="k"/>
    <s v="K"/>
    <s v="Bia"/>
    <s v="7"/>
    <x v="421"/>
  </r>
  <r>
    <s v="83041947282"/>
    <s v="Bsk"/>
    <s v="Arleta"/>
    <s v="k"/>
    <s v="A"/>
    <s v="Bsk"/>
    <s v="2"/>
    <x v="422"/>
  </r>
  <r>
    <s v="84050694367"/>
    <s v="Wojciechowska"/>
    <s v="Alicja"/>
    <s v="k"/>
    <s v="A"/>
    <s v="Woj"/>
    <s v="7"/>
    <x v="423"/>
  </r>
  <r>
    <s v="84051294894"/>
    <s v="Szczucki"/>
    <s v="Dominik"/>
    <s v="m"/>
    <s v="D"/>
    <s v="Szc"/>
    <s v="4"/>
    <x v="424"/>
  </r>
  <r>
    <s v="84051840149"/>
    <s v="Helinska"/>
    <s v="Ines"/>
    <s v="k"/>
    <s v="I"/>
    <s v="Hel"/>
    <s v="9"/>
    <x v="425"/>
  </r>
  <r>
    <s v="84112185145"/>
    <s v="Felisiak"/>
    <s v="Doris"/>
    <s v="k"/>
    <s v="D"/>
    <s v="Fel"/>
    <s v="5"/>
    <x v="426"/>
  </r>
  <r>
    <s v="85031079443"/>
    <s v="Mrozik"/>
    <s v="Lena"/>
    <s v="k"/>
    <s v="L"/>
    <s v="Mro"/>
    <s v="3"/>
    <x v="427"/>
  </r>
  <r>
    <s v="85052135674"/>
    <s v="Rembiewski"/>
    <s v="Jakub"/>
    <s v="m"/>
    <s v="J"/>
    <s v="Rem"/>
    <s v="4"/>
    <x v="428"/>
  </r>
  <r>
    <s v="85052568643"/>
    <s v="Klein"/>
    <s v="Michalina"/>
    <s v="k"/>
    <s v="M"/>
    <s v="Kle"/>
    <s v="3"/>
    <x v="429"/>
  </r>
  <r>
    <s v="85052605175"/>
    <s v="Geszczynski"/>
    <s v="Patryk"/>
    <s v="m"/>
    <s v="P"/>
    <s v="Ges"/>
    <s v="5"/>
    <x v="430"/>
  </r>
  <r>
    <s v="85111779283"/>
    <s v="Frankowska"/>
    <s v="Roksana"/>
    <s v="k"/>
    <s v="R"/>
    <s v="Fra"/>
    <s v="3"/>
    <x v="431"/>
  </r>
  <r>
    <s v="86061995325"/>
    <s v="Jurczyk"/>
    <s v="Nadia"/>
    <s v="k"/>
    <s v="N"/>
    <s v="Jur"/>
    <s v="5"/>
    <x v="432"/>
  </r>
  <r>
    <s v="86070511185"/>
    <s v="Bialkowska"/>
    <s v="Katarzyna"/>
    <s v="k"/>
    <s v="K"/>
    <s v="Bia"/>
    <s v="5"/>
    <x v="433"/>
  </r>
  <r>
    <s v="86070630583"/>
    <s v="Kolodziejczyk"/>
    <s v="Marta"/>
    <s v="k"/>
    <s v="M"/>
    <s v="Kol"/>
    <s v="3"/>
    <x v="434"/>
  </r>
  <r>
    <s v="86072032543"/>
    <s v="Procinska"/>
    <s v="Julianna"/>
    <s v="k"/>
    <s v="J"/>
    <s v="Pro"/>
    <s v="3"/>
    <x v="435"/>
  </r>
  <r>
    <s v="86080941169"/>
    <s v="Ciesielska"/>
    <s v="Wiktoria"/>
    <s v="k"/>
    <s v="W"/>
    <s v="Cie"/>
    <s v="9"/>
    <x v="436"/>
  </r>
  <r>
    <s v="86081443325"/>
    <s v="Lange"/>
    <s v="Maja"/>
    <s v="k"/>
    <s v="M"/>
    <s v="Lan"/>
    <s v="5"/>
    <x v="437"/>
  </r>
  <r>
    <s v="87070895372"/>
    <s v="Kulakowski"/>
    <s v="Marcjusz"/>
    <s v="m"/>
    <s v="M"/>
    <s v="Kul"/>
    <s v="2"/>
    <x v="438"/>
  </r>
  <r>
    <s v="87071164662"/>
    <s v="Kluziak"/>
    <s v="Matylda"/>
    <s v="k"/>
    <s v="M"/>
    <s v="Klu"/>
    <s v="2"/>
    <x v="439"/>
  </r>
  <r>
    <s v="87072724289"/>
    <s v="Trzebiatowska"/>
    <s v="Anna"/>
    <s v="k"/>
    <s v="A"/>
    <s v="Trz"/>
    <s v="9"/>
    <x v="440"/>
  </r>
  <r>
    <s v="88080204509"/>
    <s v="Tomaszewska"/>
    <s v="Anna"/>
    <s v="k"/>
    <s v="A"/>
    <s v="Tom"/>
    <s v="9"/>
    <x v="441"/>
  </r>
  <r>
    <s v="88080416256"/>
    <s v="Przytula"/>
    <s v="Jakub"/>
    <s v="m"/>
    <s v="J"/>
    <s v="Prz"/>
    <s v="6"/>
    <x v="442"/>
  </r>
  <r>
    <s v="88080601948"/>
    <s v="Grzedzielska"/>
    <s v="Nina"/>
    <s v="k"/>
    <s v="N"/>
    <s v="Grz"/>
    <s v="8"/>
    <x v="443"/>
  </r>
  <r>
    <s v="88103032931"/>
    <s v="Derek"/>
    <s v="Stanislaw"/>
    <s v="m"/>
    <s v="S"/>
    <s v="Der"/>
    <s v="1"/>
    <x v="444"/>
  </r>
  <r>
    <s v="88111094545"/>
    <s v="Miszkin"/>
    <s v="Lena"/>
    <s v="k"/>
    <s v="L"/>
    <s v="Mis"/>
    <s v="5"/>
    <x v="445"/>
  </r>
  <r>
    <s v="88120262427"/>
    <s v="Kwidczynska"/>
    <s v="Maja"/>
    <s v="k"/>
    <s v="M"/>
    <s v="Kwi"/>
    <s v="7"/>
    <x v="446"/>
  </r>
  <r>
    <s v="89010293604"/>
    <s v="Kado"/>
    <s v="Monika"/>
    <s v="k"/>
    <s v="M"/>
    <s v="Kad"/>
    <s v="4"/>
    <x v="447"/>
  </r>
  <r>
    <s v="89010737704"/>
    <s v="Nowakowska"/>
    <s v="Kornelia"/>
    <s v="k"/>
    <s v="K"/>
    <s v="Now"/>
    <s v="4"/>
    <x v="448"/>
  </r>
  <r>
    <s v="89011129700"/>
    <s v="Wilk"/>
    <s v="Amelia"/>
    <s v="k"/>
    <s v="A"/>
    <s v="Wil"/>
    <s v="0"/>
    <x v="449"/>
  </r>
  <r>
    <s v="89011581319"/>
    <s v="Strehlke"/>
    <s v="Filip"/>
    <s v="m"/>
    <s v="F"/>
    <s v="Str"/>
    <s v="9"/>
    <x v="450"/>
  </r>
  <r>
    <s v="89012630357"/>
    <s v="Pistek"/>
    <s v="Jan"/>
    <s v="m"/>
    <s v="J"/>
    <s v="Pis"/>
    <s v="7"/>
    <x v="451"/>
  </r>
  <r>
    <s v="89020265394"/>
    <s v="Radomski"/>
    <s v="Jakub"/>
    <s v="m"/>
    <s v="J"/>
    <s v="Rad"/>
    <s v="4"/>
    <x v="452"/>
  </r>
  <r>
    <s v="89021468413"/>
    <s v="Pieterson"/>
    <s v="Jan"/>
    <s v="m"/>
    <s v="J"/>
    <s v="Pie"/>
    <s v="3"/>
    <x v="453"/>
  </r>
  <r>
    <s v="89021697637"/>
    <s v="Dabrowski"/>
    <s v="Stanislaw"/>
    <s v="m"/>
    <s v="S"/>
    <s v="Dab"/>
    <s v="7"/>
    <x v="15"/>
  </r>
  <r>
    <s v="89022379914"/>
    <s v="Beniuszys"/>
    <s v="Mikolaj"/>
    <s v="m"/>
    <s v="M"/>
    <s v="Ben"/>
    <s v="4"/>
    <x v="454"/>
  </r>
  <r>
    <s v="89032143350"/>
    <s v="Kornatowski"/>
    <s v="Mateusz"/>
    <s v="m"/>
    <s v="M"/>
    <s v="Kor"/>
    <s v="0"/>
    <x v="35"/>
  </r>
  <r>
    <s v="89040185241"/>
    <s v="Jackowska"/>
    <s v="Natasza"/>
    <s v="k"/>
    <s v="N"/>
    <s v="Jac"/>
    <s v="1"/>
    <x v="455"/>
  </r>
  <r>
    <s v="89040205480"/>
    <s v="Broszkow"/>
    <s v="Zofia"/>
    <s v="k"/>
    <s v="Z"/>
    <s v="Bro"/>
    <s v="0"/>
    <x v="456"/>
  </r>
  <r>
    <s v="89040633348"/>
    <s v="Klebba"/>
    <s v="Michalina"/>
    <s v="k"/>
    <s v="M"/>
    <s v="Kle"/>
    <s v="8"/>
    <x v="457"/>
  </r>
  <r>
    <s v="89040876453"/>
    <s v="Ciosinski"/>
    <s v="Jacek"/>
    <s v="m"/>
    <s v="J"/>
    <s v="Cio"/>
    <s v="3"/>
    <x v="458"/>
  </r>
  <r>
    <s v="89041133472"/>
    <s v="Brydzinski"/>
    <s v="Mariusz"/>
    <s v="m"/>
    <s v="M"/>
    <s v="Bry"/>
    <s v="2"/>
    <x v="459"/>
  </r>
  <r>
    <s v="89042620494"/>
    <s v="Witkowski"/>
    <s v="Andrea"/>
    <s v="m"/>
    <s v="A"/>
    <s v="Wit"/>
    <s v="4"/>
    <x v="113"/>
  </r>
  <r>
    <s v="89042750933"/>
    <s v="Radziszewski"/>
    <s v="Jakub"/>
    <s v="m"/>
    <s v="J"/>
    <s v="Rad"/>
    <s v="3"/>
    <x v="460"/>
  </r>
  <r>
    <s v="89052085069"/>
    <s v="Korenkiewicz"/>
    <s v="Marika"/>
    <s v="k"/>
    <s v="M"/>
    <s v="Kor"/>
    <s v="9"/>
    <x v="461"/>
  </r>
  <r>
    <s v="89052295172"/>
    <s v="Szreder"/>
    <s v="Dawid"/>
    <s v="m"/>
    <s v="D"/>
    <s v="Szr"/>
    <s v="2"/>
    <x v="462"/>
  </r>
  <r>
    <s v="89062644823"/>
    <s v="Murczynska"/>
    <s v="Laura"/>
    <s v="k"/>
    <s v="L"/>
    <s v="Mur"/>
    <s v="3"/>
    <x v="463"/>
  </r>
  <r>
    <s v="89081519801"/>
    <s v="Kurowska"/>
    <s v="Maja"/>
    <s v="k"/>
    <s v="M"/>
    <s v="Kur"/>
    <s v="1"/>
    <x v="464"/>
  </r>
  <r>
    <s v="89082179879"/>
    <s v="Hrywniak"/>
    <s v="Olaf"/>
    <s v="m"/>
    <s v="O"/>
    <s v="Hry"/>
    <s v="9"/>
    <x v="465"/>
  </r>
  <r>
    <s v="89082608599"/>
    <s v="Cieslik"/>
    <s v="Stanislaw"/>
    <s v="m"/>
    <s v="S"/>
    <s v="Cie"/>
    <s v="9"/>
    <x v="234"/>
  </r>
  <r>
    <s v="89091482250"/>
    <s v="Mierzejewski"/>
    <s v="Kornel"/>
    <s v="m"/>
    <s v="K"/>
    <s v="Mie"/>
    <s v="0"/>
    <x v="466"/>
  </r>
  <r>
    <s v="89100192752"/>
    <s v="Lupa"/>
    <s v="Maksymilian"/>
    <s v="m"/>
    <s v="M"/>
    <s v="Lup"/>
    <s v="2"/>
    <x v="467"/>
  </r>
  <r>
    <s v="89102588171"/>
    <s v="Wydrzynski"/>
    <s v="Adrian"/>
    <s v="m"/>
    <s v="A"/>
    <s v="Wyd"/>
    <s v="1"/>
    <x v="468"/>
  </r>
  <r>
    <s v="89112466825"/>
    <s v="Tarkowska"/>
    <s v="Antonina"/>
    <s v="k"/>
    <s v="A"/>
    <s v="Tar"/>
    <s v="5"/>
    <x v="469"/>
  </r>
  <r>
    <s v="89120952161"/>
    <s v="Adamczyk"/>
    <s v="Zuzanna"/>
    <s v="k"/>
    <s v="Z"/>
    <s v="Ada"/>
    <s v="1"/>
    <x v="400"/>
  </r>
  <r>
    <s v="90053120136"/>
    <s v="Burza"/>
    <s v="Stanislaw"/>
    <s v="m"/>
    <s v="S"/>
    <s v="Bur"/>
    <s v="6"/>
    <x v="470"/>
  </r>
  <r>
    <s v="90112004373"/>
    <s v="Rybinski"/>
    <s v="Igor"/>
    <s v="m"/>
    <s v="I"/>
    <s v="Ryb"/>
    <s v="3"/>
    <x v="471"/>
  </r>
  <r>
    <s v="91023191330"/>
    <s v="Wojcik"/>
    <s v="Aleks"/>
    <s v="m"/>
    <s v="A"/>
    <s v="Woj"/>
    <s v="0"/>
    <x v="56"/>
  </r>
  <r>
    <s v="92080709353"/>
    <s v="Pawelec"/>
    <s v="Jan"/>
    <s v="m"/>
    <s v="J"/>
    <s v="Paw"/>
    <s v="3"/>
    <x v="47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4D1B0C-64AB-44F7-8324-B32AC58E4567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2:G422" firstHeaderRow="1" firstDataRow="1" firstDataCol="1"/>
  <pivotFields count="3">
    <pivotField dataField="1" showAll="0"/>
    <pivotField axis="axisRow" showAll="0">
      <items count="464">
        <item x="402"/>
        <item x="458"/>
        <item x="388"/>
        <item x="237"/>
        <item x="67"/>
        <item x="29"/>
        <item x="17"/>
        <item x="285"/>
        <item x="301"/>
        <item x="51"/>
        <item x="193"/>
        <item x="69"/>
        <item x="440"/>
        <item x="343"/>
        <item x="344"/>
        <item x="64"/>
        <item x="408"/>
        <item x="73"/>
        <item x="214"/>
        <item x="261"/>
        <item x="184"/>
        <item x="52"/>
        <item x="168"/>
        <item x="213"/>
        <item x="443"/>
        <item x="366"/>
        <item x="446"/>
        <item x="189"/>
        <item x="409"/>
        <item x="209"/>
        <item x="263"/>
        <item x="268"/>
        <item x="158"/>
        <item x="459"/>
        <item x="95"/>
        <item x="235"/>
        <item x="229"/>
        <item x="7"/>
        <item x="57"/>
        <item x="274"/>
        <item x="422"/>
        <item x="227"/>
        <item x="445"/>
        <item x="84"/>
        <item x="68"/>
        <item x="286"/>
        <item x="259"/>
        <item x="246"/>
        <item x="88"/>
        <item x="106"/>
        <item x="15"/>
        <item x="43"/>
        <item x="156"/>
        <item x="186"/>
        <item x="81"/>
        <item x="430"/>
        <item x="239"/>
        <item x="280"/>
        <item x="89"/>
        <item x="243"/>
        <item x="327"/>
        <item x="155"/>
        <item x="264"/>
        <item x="303"/>
        <item x="199"/>
        <item x="391"/>
        <item x="384"/>
        <item x="162"/>
        <item x="396"/>
        <item x="82"/>
        <item x="413"/>
        <item x="269"/>
        <item x="367"/>
        <item x="41"/>
        <item x="77"/>
        <item x="254"/>
        <item x="42"/>
        <item x="418"/>
        <item x="24"/>
        <item x="401"/>
        <item x="151"/>
        <item x="163"/>
        <item x="65"/>
        <item x="218"/>
        <item x="417"/>
        <item x="5"/>
        <item x="326"/>
        <item x="10"/>
        <item x="66"/>
        <item x="357"/>
        <item x="176"/>
        <item x="262"/>
        <item x="131"/>
        <item x="119"/>
        <item x="207"/>
        <item x="72"/>
        <item x="46"/>
        <item x="200"/>
        <item x="292"/>
        <item x="70"/>
        <item x="39"/>
        <item x="20"/>
        <item x="429"/>
        <item x="332"/>
        <item x="23"/>
        <item x="341"/>
        <item x="233"/>
        <item x="323"/>
        <item x="412"/>
        <item x="330"/>
        <item x="333"/>
        <item x="288"/>
        <item x="453"/>
        <item x="16"/>
        <item x="1"/>
        <item x="442"/>
        <item x="87"/>
        <item x="48"/>
        <item x="144"/>
        <item x="238"/>
        <item x="359"/>
        <item x="19"/>
        <item x="6"/>
        <item x="25"/>
        <item x="171"/>
        <item x="294"/>
        <item x="166"/>
        <item x="242"/>
        <item x="179"/>
        <item x="97"/>
        <item x="96"/>
        <item x="308"/>
        <item x="53"/>
        <item x="113"/>
        <item x="115"/>
        <item x="419"/>
        <item x="377"/>
        <item x="265"/>
        <item x="433"/>
        <item x="334"/>
        <item x="108"/>
        <item x="21"/>
        <item x="161"/>
        <item x="37"/>
        <item x="313"/>
        <item x="255"/>
        <item x="133"/>
        <item x="127"/>
        <item x="295"/>
        <item x="252"/>
        <item x="315"/>
        <item x="99"/>
        <item x="299"/>
        <item x="221"/>
        <item x="279"/>
        <item x="281"/>
        <item x="126"/>
        <item x="220"/>
        <item x="444"/>
        <item x="416"/>
        <item x="28"/>
        <item x="425"/>
        <item x="98"/>
        <item x="150"/>
        <item x="109"/>
        <item x="143"/>
        <item x="420"/>
        <item x="136"/>
        <item x="282"/>
        <item x="56"/>
        <item x="78"/>
        <item x="27"/>
        <item x="449"/>
        <item x="35"/>
        <item x="441"/>
        <item x="26"/>
        <item x="355"/>
        <item x="234"/>
        <item x="90"/>
        <item x="320"/>
        <item x="356"/>
        <item x="346"/>
        <item x="329"/>
        <item x="132"/>
        <item x="222"/>
        <item x="129"/>
        <item x="216"/>
        <item x="104"/>
        <item x="145"/>
        <item x="232"/>
        <item x="124"/>
        <item x="293"/>
        <item x="4"/>
        <item x="164"/>
        <item x="30"/>
        <item x="198"/>
        <item x="424"/>
        <item x="392"/>
        <item x="3"/>
        <item x="452"/>
        <item x="169"/>
        <item x="83"/>
        <item x="432"/>
        <item x="120"/>
        <item x="360"/>
        <item x="319"/>
        <item x="423"/>
        <item x="196"/>
        <item x="13"/>
        <item x="385"/>
        <item x="2"/>
        <item x="204"/>
        <item x="130"/>
        <item x="297"/>
        <item x="11"/>
        <item x="40"/>
        <item x="205"/>
        <item x="153"/>
        <item x="170"/>
        <item x="337"/>
        <item x="306"/>
        <item x="202"/>
        <item x="455"/>
        <item x="256"/>
        <item x="12"/>
        <item x="394"/>
        <item x="365"/>
        <item x="373"/>
        <item x="225"/>
        <item x="195"/>
        <item x="142"/>
        <item x="59"/>
        <item x="22"/>
        <item x="383"/>
        <item x="105"/>
        <item x="215"/>
        <item x="100"/>
        <item x="316"/>
        <item x="245"/>
        <item x="287"/>
        <item x="208"/>
        <item x="32"/>
        <item x="400"/>
        <item x="92"/>
        <item x="160"/>
        <item x="85"/>
        <item x="159"/>
        <item x="0"/>
        <item x="86"/>
        <item x="165"/>
        <item x="210"/>
        <item x="454"/>
        <item x="431"/>
        <item x="278"/>
        <item x="273"/>
        <item x="154"/>
        <item x="414"/>
        <item x="240"/>
        <item x="451"/>
        <item x="181"/>
        <item x="190"/>
        <item x="191"/>
        <item x="322"/>
        <item x="91"/>
        <item x="317"/>
        <item x="62"/>
        <item x="434"/>
        <item x="50"/>
        <item x="116"/>
        <item x="318"/>
        <item x="36"/>
        <item x="217"/>
        <item x="58"/>
        <item x="266"/>
        <item x="272"/>
        <item x="148"/>
        <item x="283"/>
        <item x="188"/>
        <item x="296"/>
        <item x="152"/>
        <item x="140"/>
        <item x="180"/>
        <item x="461"/>
        <item x="321"/>
        <item x="33"/>
        <item x="248"/>
        <item x="141"/>
        <item x="257"/>
        <item x="390"/>
        <item x="340"/>
        <item x="79"/>
        <item x="439"/>
        <item x="307"/>
        <item x="47"/>
        <item x="172"/>
        <item x="277"/>
        <item x="63"/>
        <item x="437"/>
        <item x="114"/>
        <item x="182"/>
        <item x="203"/>
        <item x="60"/>
        <item x="276"/>
        <item x="197"/>
        <item x="267"/>
        <item x="370"/>
        <item x="80"/>
        <item x="328"/>
        <item x="173"/>
        <item x="421"/>
        <item x="361"/>
        <item x="428"/>
        <item x="175"/>
        <item x="112"/>
        <item x="438"/>
        <item x="135"/>
        <item x="448"/>
        <item x="212"/>
        <item x="211"/>
        <item x="399"/>
        <item x="415"/>
        <item x="375"/>
        <item x="379"/>
        <item x="369"/>
        <item x="177"/>
        <item x="138"/>
        <item x="325"/>
        <item x="44"/>
        <item x="284"/>
        <item x="345"/>
        <item x="31"/>
        <item x="111"/>
        <item x="460"/>
        <item x="324"/>
        <item x="271"/>
        <item x="230"/>
        <item x="371"/>
        <item x="347"/>
        <item x="353"/>
        <item x="342"/>
        <item x="364"/>
        <item x="358"/>
        <item x="349"/>
        <item x="236"/>
        <item x="382"/>
        <item x="121"/>
        <item x="101"/>
        <item x="338"/>
        <item x="368"/>
        <item x="290"/>
        <item x="219"/>
        <item x="354"/>
        <item x="149"/>
        <item x="139"/>
        <item x="187"/>
        <item x="348"/>
        <item x="94"/>
        <item x="362"/>
        <item x="185"/>
        <item x="372"/>
        <item x="407"/>
        <item x="146"/>
        <item x="304"/>
        <item x="147"/>
        <item x="350"/>
        <item x="386"/>
        <item x="314"/>
        <item x="167"/>
        <item x="380"/>
        <item x="253"/>
        <item x="398"/>
        <item x="436"/>
        <item x="117"/>
        <item x="404"/>
        <item x="381"/>
        <item x="298"/>
        <item x="125"/>
        <item x="331"/>
        <item x="192"/>
        <item x="226"/>
        <item x="157"/>
        <item x="405"/>
        <item x="351"/>
        <item x="411"/>
        <item x="102"/>
        <item x="376"/>
        <item x="228"/>
        <item x="107"/>
        <item x="224"/>
        <item x="450"/>
        <item x="103"/>
        <item x="231"/>
        <item x="249"/>
        <item x="45"/>
        <item x="241"/>
        <item x="457"/>
        <item x="201"/>
        <item x="123"/>
        <item x="134"/>
        <item x="247"/>
        <item x="427"/>
        <item x="403"/>
        <item x="8"/>
        <item x="93"/>
        <item x="291"/>
        <item x="194"/>
        <item x="426"/>
        <item x="311"/>
        <item x="178"/>
        <item x="122"/>
        <item x="71"/>
        <item x="74"/>
        <item x="312"/>
        <item x="406"/>
        <item x="336"/>
        <item x="335"/>
        <item x="54"/>
        <item x="49"/>
        <item x="300"/>
        <item x="310"/>
        <item x="18"/>
        <item x="244"/>
        <item x="251"/>
        <item x="363"/>
        <item x="435"/>
        <item x="110"/>
        <item x="447"/>
        <item x="76"/>
        <item x="75"/>
        <item x="38"/>
        <item x="55"/>
        <item x="352"/>
        <item x="410"/>
        <item x="9"/>
        <item x="61"/>
        <item x="258"/>
        <item x="14"/>
        <item x="289"/>
        <item x="275"/>
        <item x="456"/>
        <item x="309"/>
        <item x="223"/>
        <item x="389"/>
        <item x="302"/>
        <item x="260"/>
        <item x="137"/>
        <item x="174"/>
        <item x="206"/>
        <item x="118"/>
        <item x="34"/>
        <item x="387"/>
        <item x="250"/>
        <item x="395"/>
        <item x="305"/>
        <item x="397"/>
        <item x="270"/>
        <item x="374"/>
        <item x="128"/>
        <item x="183"/>
        <item x="378"/>
        <item x="339"/>
        <item x="393"/>
        <item x="462"/>
        <item t="default"/>
      </items>
    </pivotField>
    <pivotField axis="axisRow" showAll="0" measureFilter="1">
      <items count="170">
        <item x="107"/>
        <item x="156"/>
        <item x="104"/>
        <item x="84"/>
        <item x="157"/>
        <item x="27"/>
        <item x="41"/>
        <item x="148"/>
        <item x="11"/>
        <item x="79"/>
        <item x="49"/>
        <item x="30"/>
        <item x="8"/>
        <item x="15"/>
        <item x="158"/>
        <item x="166"/>
        <item x="50"/>
        <item x="136"/>
        <item x="46"/>
        <item x="152"/>
        <item x="81"/>
        <item x="82"/>
        <item x="33"/>
        <item x="122"/>
        <item x="159"/>
        <item x="134"/>
        <item x="143"/>
        <item x="48"/>
        <item x="94"/>
        <item x="63"/>
        <item x="7"/>
        <item x="133"/>
        <item x="142"/>
        <item x="124"/>
        <item x="118"/>
        <item x="73"/>
        <item x="154"/>
        <item x="76"/>
        <item x="147"/>
        <item x="161"/>
        <item x="72"/>
        <item x="88"/>
        <item x="111"/>
        <item x="64"/>
        <item x="89"/>
        <item x="117"/>
        <item x="132"/>
        <item x="102"/>
        <item x="92"/>
        <item x="144"/>
        <item x="71"/>
        <item x="93"/>
        <item x="153"/>
        <item x="25"/>
        <item x="160"/>
        <item x="151"/>
        <item x="149"/>
        <item x="6"/>
        <item x="130"/>
        <item x="80"/>
        <item x="40"/>
        <item x="32"/>
        <item x="26"/>
        <item x="119"/>
        <item x="77"/>
        <item x="90"/>
        <item x="163"/>
        <item x="140"/>
        <item x="28"/>
        <item x="113"/>
        <item x="62"/>
        <item x="129"/>
        <item x="110"/>
        <item x="65"/>
        <item x="106"/>
        <item x="91"/>
        <item x="97"/>
        <item x="115"/>
        <item x="39"/>
        <item x="128"/>
        <item x="78"/>
        <item x="167"/>
        <item x="36"/>
        <item x="58"/>
        <item x="0"/>
        <item x="137"/>
        <item x="42"/>
        <item x="120"/>
        <item x="99"/>
        <item x="70"/>
        <item x="123"/>
        <item x="114"/>
        <item x="18"/>
        <item x="155"/>
        <item x="74"/>
        <item x="10"/>
        <item x="98"/>
        <item x="24"/>
        <item x="9"/>
        <item x="85"/>
        <item x="68"/>
        <item x="2"/>
        <item x="3"/>
        <item x="164"/>
        <item x="127"/>
        <item x="87"/>
        <item x="61"/>
        <item x="35"/>
        <item x="53"/>
        <item x="52"/>
        <item x="21"/>
        <item x="4"/>
        <item x="22"/>
        <item x="38"/>
        <item x="29"/>
        <item x="69"/>
        <item x="17"/>
        <item x="83"/>
        <item x="67"/>
        <item x="37"/>
        <item x="66"/>
        <item x="59"/>
        <item x="105"/>
        <item x="165"/>
        <item x="103"/>
        <item x="131"/>
        <item x="1"/>
        <item x="141"/>
        <item x="19"/>
        <item x="13"/>
        <item x="45"/>
        <item x="138"/>
        <item x="145"/>
        <item x="34"/>
        <item x="16"/>
        <item x="31"/>
        <item x="86"/>
        <item x="150"/>
        <item x="5"/>
        <item x="44"/>
        <item x="43"/>
        <item x="116"/>
        <item x="20"/>
        <item x="96"/>
        <item x="162"/>
        <item x="125"/>
        <item x="139"/>
        <item x="121"/>
        <item x="51"/>
        <item x="60"/>
        <item x="54"/>
        <item x="56"/>
        <item x="12"/>
        <item x="109"/>
        <item x="108"/>
        <item x="126"/>
        <item x="55"/>
        <item x="101"/>
        <item x="135"/>
        <item x="95"/>
        <item x="75"/>
        <item x="146"/>
        <item x="57"/>
        <item x="112"/>
        <item x="14"/>
        <item x="100"/>
        <item x="47"/>
        <item x="23"/>
        <item x="168"/>
        <item t="default"/>
      </items>
    </pivotField>
  </pivotFields>
  <rowFields count="2">
    <field x="2"/>
    <field x="1"/>
  </rowFields>
  <rowItems count="420">
    <i>
      <x/>
    </i>
    <i r="1">
      <x v="451"/>
    </i>
    <i r="1">
      <x v="453"/>
    </i>
    <i r="1">
      <x v="455"/>
    </i>
    <i r="1">
      <x v="456"/>
    </i>
    <i r="1">
      <x v="458"/>
    </i>
    <i r="1">
      <x v="459"/>
    </i>
    <i r="1">
      <x v="460"/>
    </i>
    <i>
      <x v="2"/>
    </i>
    <i r="1">
      <x v="439"/>
    </i>
    <i r="1">
      <x v="441"/>
    </i>
    <i r="1">
      <x v="442"/>
    </i>
    <i r="1">
      <x v="446"/>
    </i>
    <i r="1">
      <x v="450"/>
    </i>
    <i>
      <x v="8"/>
    </i>
    <i r="1">
      <x v="11"/>
    </i>
    <i r="1">
      <x v="433"/>
    </i>
    <i r="1">
      <x v="435"/>
    </i>
    <i r="1">
      <x v="436"/>
    </i>
    <i>
      <x v="9"/>
    </i>
    <i r="1">
      <x v="443"/>
    </i>
    <i r="1">
      <x v="444"/>
    </i>
    <i r="1">
      <x v="447"/>
    </i>
    <i r="1">
      <x v="448"/>
    </i>
    <i>
      <x v="11"/>
    </i>
    <i r="1">
      <x v="429"/>
    </i>
    <i r="1">
      <x v="430"/>
    </i>
    <i r="1">
      <x v="432"/>
    </i>
    <i r="1">
      <x v="437"/>
    </i>
    <i r="1">
      <x v="438"/>
    </i>
    <i r="1">
      <x v="440"/>
    </i>
    <i>
      <x v="13"/>
    </i>
    <i r="1">
      <x v="416"/>
    </i>
    <i r="1">
      <x v="417"/>
    </i>
    <i r="1">
      <x v="419"/>
    </i>
    <i r="1">
      <x v="420"/>
    </i>
    <i r="1">
      <x v="422"/>
    </i>
    <i r="1">
      <x v="424"/>
    </i>
    <i>
      <x v="16"/>
    </i>
    <i r="1">
      <x v="425"/>
    </i>
    <i r="1">
      <x v="427"/>
    </i>
    <i>
      <x v="18"/>
    </i>
    <i r="1">
      <x v="22"/>
    </i>
    <i r="1">
      <x v="398"/>
    </i>
    <i r="1">
      <x v="399"/>
    </i>
    <i r="1">
      <x v="400"/>
    </i>
    <i r="1">
      <x v="404"/>
    </i>
    <i r="1">
      <x v="406"/>
    </i>
    <i r="1">
      <x v="410"/>
    </i>
    <i>
      <x v="21"/>
    </i>
    <i r="1">
      <x v="352"/>
    </i>
    <i r="1">
      <x v="376"/>
    </i>
    <i r="1">
      <x v="394"/>
    </i>
    <i r="1">
      <x v="395"/>
    </i>
    <i r="1">
      <x v="396"/>
    </i>
    <i>
      <x v="27"/>
    </i>
    <i r="1">
      <x v="405"/>
    </i>
    <i r="1">
      <x v="407"/>
    </i>
    <i r="1">
      <x v="408"/>
    </i>
    <i r="1">
      <x v="409"/>
    </i>
    <i r="1">
      <x v="411"/>
    </i>
    <i>
      <x v="35"/>
    </i>
    <i r="1">
      <x v="388"/>
    </i>
    <i r="1">
      <x v="389"/>
    </i>
    <i r="1">
      <x v="390"/>
    </i>
    <i>
      <x v="40"/>
    </i>
    <i r="1">
      <x v="379"/>
    </i>
    <i r="1">
      <x v="381"/>
    </i>
    <i r="1">
      <x v="384"/>
    </i>
    <i>
      <x v="41"/>
    </i>
    <i r="1">
      <x v="212"/>
    </i>
    <i r="1">
      <x v="380"/>
    </i>
    <i r="1">
      <x v="445"/>
    </i>
    <i>
      <x v="43"/>
    </i>
    <i r="1">
      <x v="355"/>
    </i>
    <i r="1">
      <x v="356"/>
    </i>
    <i r="1">
      <x v="358"/>
    </i>
    <i r="1">
      <x v="359"/>
    </i>
    <i r="1">
      <x v="360"/>
    </i>
    <i r="1">
      <x v="366"/>
    </i>
    <i r="1">
      <x v="370"/>
    </i>
    <i r="1">
      <x v="371"/>
    </i>
    <i r="1">
      <x v="372"/>
    </i>
    <i r="1">
      <x v="373"/>
    </i>
    <i>
      <x v="47"/>
    </i>
    <i r="1">
      <x v="364"/>
    </i>
    <i r="1">
      <x v="365"/>
    </i>
    <i r="1">
      <x v="367"/>
    </i>
    <i r="1">
      <x v="368"/>
    </i>
    <i r="1">
      <x v="369"/>
    </i>
    <i>
      <x v="48"/>
    </i>
    <i r="1">
      <x v="361"/>
    </i>
    <i r="1">
      <x v="362"/>
    </i>
    <i r="1">
      <x v="363"/>
    </i>
    <i>
      <x v="53"/>
    </i>
    <i r="1">
      <x v="330"/>
    </i>
    <i r="1">
      <x v="331"/>
    </i>
    <i r="1">
      <x v="332"/>
    </i>
    <i r="1">
      <x v="333"/>
    </i>
    <i r="1">
      <x v="334"/>
    </i>
    <i r="1">
      <x v="335"/>
    </i>
    <i>
      <x v="57"/>
    </i>
    <i r="1">
      <x v="37"/>
    </i>
    <i r="1">
      <x v="42"/>
    </i>
    <i r="1">
      <x v="296"/>
    </i>
    <i r="1">
      <x v="327"/>
    </i>
    <i r="1">
      <x v="328"/>
    </i>
    <i>
      <x v="60"/>
    </i>
    <i r="1">
      <x v="36"/>
    </i>
    <i r="1">
      <x v="299"/>
    </i>
    <i r="1">
      <x v="301"/>
    </i>
    <i r="1">
      <x v="302"/>
    </i>
    <i r="1">
      <x v="303"/>
    </i>
    <i r="1">
      <x v="305"/>
    </i>
    <i r="1">
      <x v="306"/>
    </i>
    <i r="1">
      <x v="308"/>
    </i>
    <i r="1">
      <x v="310"/>
    </i>
    <i r="1">
      <x v="311"/>
    </i>
    <i r="1">
      <x v="312"/>
    </i>
    <i r="1">
      <x v="314"/>
    </i>
    <i r="1">
      <x v="316"/>
    </i>
    <i r="1">
      <x v="320"/>
    </i>
    <i r="1">
      <x v="321"/>
    </i>
    <i r="1">
      <x v="322"/>
    </i>
    <i r="1">
      <x v="324"/>
    </i>
    <i r="1">
      <x v="325"/>
    </i>
    <i r="1">
      <x v="326"/>
    </i>
    <i>
      <x v="61"/>
    </i>
    <i r="1">
      <x v="76"/>
    </i>
    <i r="1">
      <x v="282"/>
    </i>
    <i r="1">
      <x v="284"/>
    </i>
    <i r="1">
      <x v="287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7"/>
    </i>
    <i r="1">
      <x v="298"/>
    </i>
    <i>
      <x v="63"/>
    </i>
    <i r="1">
      <x v="342"/>
    </i>
    <i r="1">
      <x v="343"/>
    </i>
    <i r="1">
      <x v="344"/>
    </i>
    <i>
      <x v="64"/>
    </i>
    <i r="1">
      <x v="313"/>
    </i>
    <i r="1">
      <x v="315"/>
    </i>
    <i r="1">
      <x v="317"/>
    </i>
    <i r="1">
      <x v="318"/>
    </i>
    <i r="1">
      <x v="319"/>
    </i>
    <i r="1">
      <x v="323"/>
    </i>
    <i r="1">
      <x v="329"/>
    </i>
    <i r="1">
      <x v="336"/>
    </i>
    <i r="1">
      <x v="337"/>
    </i>
    <i r="1">
      <x v="338"/>
    </i>
    <i r="1">
      <x v="339"/>
    </i>
    <i r="1">
      <x v="341"/>
    </i>
    <i>
      <x v="65"/>
    </i>
    <i r="1">
      <x v="277"/>
    </i>
    <i r="1">
      <x v="280"/>
    </i>
    <i r="1">
      <x v="281"/>
    </i>
    <i>
      <x v="68"/>
    </i>
    <i r="1">
      <x v="264"/>
    </i>
    <i r="1">
      <x v="265"/>
    </i>
    <i r="1">
      <x v="269"/>
    </i>
    <i r="1">
      <x v="270"/>
    </i>
    <i r="1">
      <x v="273"/>
    </i>
    <i>
      <x v="75"/>
    </i>
    <i r="1">
      <x v="283"/>
    </i>
    <i r="1">
      <x v="285"/>
    </i>
    <i r="1">
      <x v="286"/>
    </i>
    <i r="1">
      <x v="288"/>
    </i>
    <i>
      <x v="76"/>
    </i>
    <i r="1">
      <x v="16"/>
    </i>
    <i r="1">
      <x v="46"/>
    </i>
    <i r="1">
      <x v="276"/>
    </i>
    <i r="1">
      <x v="278"/>
    </i>
    <i r="1">
      <x v="279"/>
    </i>
    <i>
      <x v="84"/>
    </i>
    <i r="1">
      <x v="241"/>
    </i>
    <i r="1">
      <x v="243"/>
    </i>
    <i r="1">
      <x v="245"/>
    </i>
    <i r="1">
      <x v="247"/>
    </i>
    <i>
      <x v="88"/>
    </i>
    <i r="1">
      <x/>
    </i>
    <i r="1">
      <x v="239"/>
    </i>
    <i r="1">
      <x v="240"/>
    </i>
    <i r="1">
      <x v="242"/>
    </i>
    <i r="1">
      <x v="244"/>
    </i>
    <i r="1">
      <x v="246"/>
    </i>
    <i r="1">
      <x v="249"/>
    </i>
    <i r="1">
      <x v="250"/>
    </i>
    <i r="1">
      <x v="252"/>
    </i>
    <i r="1">
      <x v="253"/>
    </i>
    <i r="1">
      <x v="255"/>
    </i>
    <i r="1">
      <x v="256"/>
    </i>
    <i>
      <x v="92"/>
    </i>
    <i r="1">
      <x v="228"/>
    </i>
    <i r="1">
      <x v="230"/>
    </i>
    <i r="1">
      <x v="232"/>
    </i>
    <i>
      <x v="95"/>
    </i>
    <i r="1">
      <x v="171"/>
    </i>
    <i r="1">
      <x v="208"/>
    </i>
    <i r="1">
      <x v="220"/>
    </i>
    <i r="1">
      <x v="221"/>
    </i>
    <i r="1">
      <x v="224"/>
    </i>
    <i r="1">
      <x v="225"/>
    </i>
    <i r="1">
      <x v="226"/>
    </i>
    <i r="1">
      <x v="227"/>
    </i>
    <i r="1">
      <x v="229"/>
    </i>
    <i r="1">
      <x v="231"/>
    </i>
    <i>
      <x v="96"/>
    </i>
    <i r="1">
      <x v="213"/>
    </i>
    <i r="1">
      <x v="216"/>
    </i>
    <i r="1">
      <x v="217"/>
    </i>
    <i r="1">
      <x v="219"/>
    </i>
    <i r="1">
      <x v="223"/>
    </i>
    <i>
      <x v="97"/>
    </i>
    <i r="1">
      <x v="191"/>
    </i>
    <i r="1">
      <x v="194"/>
    </i>
    <i r="1">
      <x v="197"/>
    </i>
    <i r="1">
      <x v="199"/>
    </i>
    <i r="1">
      <x v="200"/>
    </i>
    <i r="1">
      <x v="202"/>
    </i>
    <i r="1">
      <x v="206"/>
    </i>
    <i r="1">
      <x v="209"/>
    </i>
    <i r="1">
      <x v="211"/>
    </i>
    <i r="1">
      <x v="212"/>
    </i>
    <i>
      <x v="98"/>
    </i>
    <i r="1">
      <x v="214"/>
    </i>
    <i r="1">
      <x v="215"/>
    </i>
    <i r="1">
      <x v="218"/>
    </i>
    <i r="1">
      <x v="222"/>
    </i>
    <i>
      <x v="99"/>
    </i>
    <i r="1">
      <x v="185"/>
    </i>
    <i r="1">
      <x v="186"/>
    </i>
    <i r="1">
      <x v="188"/>
    </i>
    <i>
      <x v="101"/>
    </i>
    <i r="1">
      <x v="204"/>
    </i>
    <i r="1">
      <x v="205"/>
    </i>
    <i r="1">
      <x v="207"/>
    </i>
    <i r="1">
      <x v="210"/>
    </i>
    <i>
      <x v="105"/>
    </i>
    <i r="1">
      <x v="179"/>
    </i>
    <i r="1">
      <x v="180"/>
    </i>
    <i r="1">
      <x v="183"/>
    </i>
    <i>
      <x v="107"/>
    </i>
    <i r="1">
      <x v="172"/>
    </i>
    <i r="1">
      <x v="175"/>
    </i>
    <i r="1">
      <x v="177"/>
    </i>
    <i>
      <x v="108"/>
    </i>
    <i r="1">
      <x v="26"/>
    </i>
    <i r="1">
      <x v="195"/>
    </i>
    <i r="1">
      <x v="208"/>
    </i>
    <i r="1">
      <x v="296"/>
    </i>
    <i r="1">
      <x v="306"/>
    </i>
    <i r="1">
      <x v="455"/>
    </i>
    <i>
      <x v="109"/>
    </i>
    <i r="1">
      <x v="39"/>
    </i>
    <i r="1">
      <x v="165"/>
    </i>
    <i r="1">
      <x v="166"/>
    </i>
    <i r="1">
      <x v="170"/>
    </i>
    <i r="1">
      <x v="217"/>
    </i>
    <i>
      <x v="110"/>
    </i>
    <i r="1">
      <x v="162"/>
    </i>
    <i r="1">
      <x v="163"/>
    </i>
    <i r="1">
      <x v="164"/>
    </i>
    <i r="1">
      <x v="175"/>
    </i>
    <i r="1">
      <x v="237"/>
    </i>
    <i>
      <x v="111"/>
    </i>
    <i r="1">
      <x v="29"/>
    </i>
    <i r="1">
      <x v="171"/>
    </i>
    <i r="1">
      <x v="173"/>
    </i>
    <i r="1">
      <x v="174"/>
    </i>
    <i r="1">
      <x v="176"/>
    </i>
    <i r="1">
      <x v="181"/>
    </i>
    <i r="1">
      <x v="182"/>
    </i>
    <i r="1">
      <x v="184"/>
    </i>
    <i r="1">
      <x v="187"/>
    </i>
    <i r="1">
      <x v="189"/>
    </i>
    <i r="1">
      <x v="190"/>
    </i>
    <i r="1">
      <x v="192"/>
    </i>
    <i r="1">
      <x v="195"/>
    </i>
    <i>
      <x v="114"/>
    </i>
    <i r="1">
      <x v="143"/>
    </i>
    <i r="1">
      <x v="150"/>
    </i>
    <i r="1">
      <x v="152"/>
    </i>
    <i r="1">
      <x v="153"/>
    </i>
    <i r="1">
      <x v="154"/>
    </i>
    <i r="1">
      <x v="155"/>
    </i>
    <i r="1">
      <x v="156"/>
    </i>
    <i r="1">
      <x v="167"/>
    </i>
    <i>
      <x v="115"/>
    </i>
    <i r="1">
      <x v="151"/>
    </i>
    <i r="1">
      <x v="152"/>
    </i>
    <i r="1">
      <x v="157"/>
    </i>
    <i r="1">
      <x v="158"/>
    </i>
    <i r="1">
      <x v="159"/>
    </i>
    <i>
      <x v="116"/>
    </i>
    <i r="1">
      <x v="12"/>
    </i>
    <i r="1">
      <x v="132"/>
    </i>
    <i r="1">
      <x v="133"/>
    </i>
    <i r="1">
      <x v="134"/>
    </i>
    <i r="1">
      <x v="137"/>
    </i>
    <i r="1">
      <x v="140"/>
    </i>
    <i r="1">
      <x v="141"/>
    </i>
    <i r="1">
      <x v="143"/>
    </i>
    <i>
      <x v="117"/>
    </i>
    <i r="1">
      <x v="144"/>
    </i>
    <i r="1">
      <x v="145"/>
    </i>
    <i r="1">
      <x v="146"/>
    </i>
    <i r="1">
      <x v="147"/>
    </i>
    <i r="1">
      <x v="148"/>
    </i>
    <i r="1">
      <x v="149"/>
    </i>
    <i>
      <x v="119"/>
    </i>
    <i r="1">
      <x v="21"/>
    </i>
    <i r="1">
      <x v="138"/>
    </i>
    <i r="1">
      <x v="139"/>
    </i>
    <i r="1">
      <x v="142"/>
    </i>
    <i>
      <x v="120"/>
    </i>
    <i r="1">
      <x v="130"/>
    </i>
    <i r="1">
      <x v="131"/>
    </i>
    <i r="1">
      <x v="135"/>
    </i>
    <i r="1">
      <x v="136"/>
    </i>
    <i>
      <x v="121"/>
    </i>
    <i r="1">
      <x v="116"/>
    </i>
    <i r="1">
      <x v="118"/>
    </i>
    <i r="1">
      <x v="119"/>
    </i>
    <i r="1">
      <x v="125"/>
    </i>
    <i r="1">
      <x v="126"/>
    </i>
    <i r="1">
      <x v="127"/>
    </i>
    <i>
      <x v="126"/>
    </i>
    <i r="1">
      <x v="114"/>
    </i>
    <i r="1">
      <x v="117"/>
    </i>
    <i r="1">
      <x v="120"/>
    </i>
    <i r="1">
      <x v="121"/>
    </i>
    <i r="1">
      <x v="122"/>
    </i>
    <i r="1">
      <x v="123"/>
    </i>
    <i>
      <x v="128"/>
    </i>
    <i r="1">
      <x v="102"/>
    </i>
    <i r="1">
      <x v="104"/>
    </i>
    <i r="1">
      <x v="106"/>
    </i>
    <i>
      <x v="130"/>
    </i>
    <i r="1">
      <x v="23"/>
    </i>
    <i r="1">
      <x v="44"/>
    </i>
    <i r="1">
      <x v="212"/>
    </i>
    <i r="1">
      <x v="445"/>
    </i>
    <i>
      <x v="133"/>
    </i>
    <i r="1">
      <x v="91"/>
    </i>
    <i r="1">
      <x v="93"/>
    </i>
    <i r="1">
      <x v="96"/>
    </i>
    <i r="1">
      <x v="98"/>
    </i>
    <i>
      <x v="135"/>
    </i>
    <i r="1">
      <x v="97"/>
    </i>
    <i r="1">
      <x v="99"/>
    </i>
    <i r="1">
      <x v="100"/>
    </i>
    <i>
      <x v="138"/>
    </i>
    <i r="1">
      <x v="84"/>
    </i>
    <i r="1">
      <x v="85"/>
    </i>
    <i r="1">
      <x v="86"/>
    </i>
    <i r="1">
      <x v="87"/>
    </i>
    <i r="1">
      <x v="90"/>
    </i>
    <i r="1">
      <x v="95"/>
    </i>
    <i>
      <x v="140"/>
    </i>
    <i r="1">
      <x v="82"/>
    </i>
    <i r="1">
      <x v="94"/>
    </i>
    <i r="1">
      <x v="203"/>
    </i>
    <i>
      <x v="142"/>
    </i>
    <i r="1">
      <x v="14"/>
    </i>
    <i r="1">
      <x v="62"/>
    </i>
    <i r="1">
      <x v="64"/>
    </i>
    <i r="1">
      <x v="65"/>
    </i>
    <i r="1">
      <x v="66"/>
    </i>
    <i r="1">
      <x v="71"/>
    </i>
    <i r="1">
      <x v="73"/>
    </i>
    <i r="1">
      <x v="76"/>
    </i>
    <i r="1">
      <x v="78"/>
    </i>
    <i r="1">
      <x v="304"/>
    </i>
    <i>
      <x v="150"/>
    </i>
    <i r="1">
      <x v="33"/>
    </i>
    <i r="1">
      <x v="41"/>
    </i>
    <i r="1">
      <x v="51"/>
    </i>
    <i r="1">
      <x v="53"/>
    </i>
    <i r="1">
      <x v="54"/>
    </i>
    <i r="1">
      <x v="55"/>
    </i>
    <i>
      <x v="152"/>
    </i>
    <i r="1">
      <x v="38"/>
    </i>
    <i r="1">
      <x v="41"/>
    </i>
    <i r="1">
      <x v="45"/>
    </i>
    <i r="1">
      <x v="50"/>
    </i>
    <i r="1">
      <x v="51"/>
    </i>
    <i>
      <x v="160"/>
    </i>
    <i r="1">
      <x v="49"/>
    </i>
    <i r="1">
      <x v="52"/>
    </i>
    <i r="1">
      <x v="56"/>
    </i>
    <i r="1">
      <x v="61"/>
    </i>
    <i>
      <x v="162"/>
    </i>
    <i r="1">
      <x v="35"/>
    </i>
    <i r="1">
      <x v="40"/>
    </i>
    <i r="1">
      <x v="43"/>
    </i>
    <i r="1">
      <x v="47"/>
    </i>
    <i r="1">
      <x v="48"/>
    </i>
    <i>
      <x v="164"/>
    </i>
    <i r="1">
      <x v="3"/>
    </i>
    <i r="1">
      <x v="4"/>
    </i>
    <i r="1">
      <x v="6"/>
    </i>
    <i>
      <x v="165"/>
    </i>
    <i r="1">
      <x v="2"/>
    </i>
    <i r="1">
      <x v="18"/>
    </i>
    <i r="1">
      <x v="24"/>
    </i>
    <i r="1">
      <x v="25"/>
    </i>
    <i r="1">
      <x v="32"/>
    </i>
    <i>
      <x v="167"/>
    </i>
    <i r="1">
      <x v="1"/>
    </i>
    <i r="1">
      <x v="5"/>
    </i>
    <i r="1">
      <x v="8"/>
    </i>
    <i r="1">
      <x v="9"/>
    </i>
    <i r="1">
      <x v="15"/>
    </i>
    <i r="1">
      <x v="193"/>
    </i>
    <i t="grand">
      <x/>
    </i>
  </rowItems>
  <colItems count="1">
    <i/>
  </colItems>
  <dataFields count="1">
    <dataField name="Liczba z PESEL" fld="0" subtotal="count" baseField="0" baseItem="0"/>
  </dataFields>
  <pivotTableStyleInfo name="PivotStyleLight16" showRowHeaders="1" showColHeaders="1" showRowStripes="0" showColStripes="0" showLastColumn="1"/>
  <filters count="1">
    <filter fld="2" type="valueGreaterThan" evalOrder="-1" id="1" iMeasureFld="0">
      <autoFilter ref="A1">
        <filterColumn colId="0">
          <customFilters>
            <customFilter operator="greaterThan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28B93-3D3D-48C9-9332-1D3E9B3AA4A0}" name="Tabela przestawna4" cacheId="1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L3:M16" firstHeaderRow="1" firstDataRow="1" firstDataCol="1"/>
  <pivotFields count="7">
    <pivotField dataField="1" showAll="0"/>
    <pivotField showAll="0"/>
    <pivotField showAll="0"/>
    <pivotField showAll="0"/>
    <pivotField showAll="0"/>
    <pivotField numFmtId="2" showAll="0"/>
    <pivotField axis="axisRow" showAll="0">
      <items count="13">
        <item x="9"/>
        <item x="10"/>
        <item x="11"/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Liczba z PESEL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426B48-EE39-4ACE-85B1-B820F309B57B}" name="Tabela przestawna5" cacheId="1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2:J22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474">
        <item x="70"/>
        <item x="173"/>
        <item x="422"/>
        <item x="152"/>
        <item x="128"/>
        <item x="45"/>
        <item x="250"/>
        <item x="207"/>
        <item x="469"/>
        <item x="137"/>
        <item x="126"/>
        <item x="255"/>
        <item x="441"/>
        <item x="301"/>
        <item x="440"/>
        <item x="72"/>
        <item x="325"/>
        <item x="419"/>
        <item x="55"/>
        <item x="50"/>
        <item x="312"/>
        <item x="323"/>
        <item x="373"/>
        <item x="252"/>
        <item x="18"/>
        <item x="449"/>
        <item x="113"/>
        <item x="398"/>
        <item x="77"/>
        <item x="306"/>
        <item x="76"/>
        <item x="38"/>
        <item x="56"/>
        <item x="62"/>
        <item x="209"/>
        <item x="423"/>
        <item x="9"/>
        <item x="14"/>
        <item x="297"/>
        <item x="282"/>
        <item x="468"/>
        <item x="322"/>
        <item x="230"/>
        <item x="401"/>
        <item x="314"/>
        <item x="266"/>
        <item x="213"/>
        <item x="178"/>
        <item x="121"/>
        <item x="34"/>
        <item x="399"/>
        <item x="258"/>
        <item x="408"/>
        <item x="318"/>
        <item x="410"/>
        <item x="276"/>
        <item x="385"/>
        <item x="131"/>
        <item x="187"/>
        <item x="389"/>
        <item x="351"/>
        <item x="405"/>
        <item x="151"/>
        <item x="416"/>
        <item x="8"/>
        <item x="96"/>
        <item x="199"/>
        <item x="324"/>
        <item x="182"/>
        <item x="125"/>
        <item x="75"/>
        <item x="348"/>
        <item x="309"/>
        <item x="392"/>
        <item x="426"/>
        <item x="344"/>
        <item x="424"/>
        <item x="363"/>
        <item x="387"/>
        <item x="236"/>
        <item x="110"/>
        <item x="231"/>
        <item x="462"/>
        <item x="106"/>
        <item x="239"/>
        <item x="257"/>
        <item x="156"/>
        <item x="233"/>
        <item x="162"/>
        <item x="105"/>
        <item x="418"/>
        <item x="141"/>
        <item x="143"/>
        <item x="191"/>
        <item x="97"/>
        <item x="360"/>
        <item x="189"/>
        <item x="383"/>
        <item x="420"/>
        <item x="327"/>
        <item x="411"/>
        <item x="120"/>
        <item x="417"/>
        <item x="450"/>
        <item x="197"/>
        <item x="298"/>
        <item x="226"/>
        <item x="104"/>
        <item x="350"/>
        <item x="378"/>
        <item x="148"/>
        <item x="150"/>
        <item x="316"/>
        <item x="397"/>
        <item x="362"/>
        <item x="172"/>
        <item x="391"/>
        <item x="260"/>
        <item x="425"/>
        <item x="31"/>
        <item x="471"/>
        <item x="114"/>
        <item x="337"/>
        <item x="238"/>
        <item x="277"/>
        <item x="374"/>
        <item x="365"/>
        <item x="372"/>
        <item x="149"/>
        <item x="293"/>
        <item x="237"/>
        <item x="7"/>
        <item x="458"/>
        <item x="42"/>
        <item x="192"/>
        <item x="144"/>
        <item x="184"/>
        <item x="472"/>
        <item x="235"/>
        <item x="33"/>
        <item x="264"/>
        <item x="352"/>
        <item x="453"/>
        <item x="80"/>
        <item x="320"/>
        <item x="47"/>
        <item x="176"/>
        <item x="64"/>
        <item x="451"/>
        <item x="117"/>
        <item x="186"/>
        <item x="61"/>
        <item x="202"/>
        <item x="381"/>
        <item x="414"/>
        <item x="341"/>
        <item x="435"/>
        <item x="177"/>
        <item x="371"/>
        <item x="442"/>
        <item x="179"/>
        <item x="115"/>
        <item x="460"/>
        <item x="452"/>
        <item x="138"/>
        <item x="219"/>
        <item x="218"/>
        <item x="412"/>
        <item x="386"/>
        <item x="428"/>
        <item x="390"/>
        <item x="379"/>
        <item x="181"/>
        <item x="142"/>
        <item x="338"/>
        <item x="44"/>
        <item x="292"/>
        <item x="357"/>
        <item x="382"/>
        <item x="359"/>
        <item x="364"/>
        <item x="354"/>
        <item x="368"/>
        <item x="361"/>
        <item x="244"/>
        <item x="393"/>
        <item x="124"/>
        <item x="433"/>
        <item x="421"/>
        <item x="98"/>
        <item x="265"/>
        <item x="328"/>
        <item x="32"/>
        <item x="95"/>
        <item x="88"/>
        <item x="0"/>
        <item x="466"/>
        <item x="89"/>
        <item x="279"/>
        <item x="185"/>
        <item x="195"/>
        <item x="196"/>
        <item x="335"/>
        <item x="94"/>
        <item x="331"/>
        <item x="448"/>
        <item x="406"/>
        <item x="51"/>
        <item x="119"/>
        <item x="332"/>
        <item x="36"/>
        <item x="224"/>
        <item x="59"/>
        <item x="272"/>
        <item x="278"/>
        <item x="291"/>
        <item x="307"/>
        <item x="157"/>
        <item x="256"/>
        <item x="334"/>
        <item x="145"/>
        <item x="402"/>
        <item x="283"/>
        <item x="210"/>
        <item x="232"/>
        <item x="146"/>
        <item x="22"/>
        <item x="394"/>
        <item x="108"/>
        <item x="295"/>
        <item x="222"/>
        <item x="103"/>
        <item x="253"/>
        <item x="215"/>
        <item x="413"/>
        <item x="165"/>
        <item x="164"/>
        <item x="217"/>
        <item x="170"/>
        <item x="445"/>
        <item x="284"/>
        <item x="159"/>
        <item x="427"/>
        <item x="249"/>
        <item x="463"/>
        <item x="63"/>
        <item x="454"/>
        <item x="53"/>
        <item x="459"/>
        <item x="216"/>
        <item x="269"/>
        <item x="280"/>
        <item x="100"/>
        <item x="54"/>
        <item x="116"/>
        <item x="118"/>
        <item x="271"/>
        <item x="447"/>
        <item x="347"/>
        <item x="21"/>
        <item x="111"/>
        <item x="166"/>
        <item x="37"/>
        <item x="310"/>
        <item x="262"/>
        <item x="326"/>
        <item x="136"/>
        <item x="130"/>
        <item x="305"/>
        <item x="259"/>
        <item x="329"/>
        <item x="102"/>
        <item x="311"/>
        <item x="228"/>
        <item x="317"/>
        <item x="288"/>
        <item x="286"/>
        <item x="129"/>
        <item x="227"/>
        <item x="429"/>
        <item x="457"/>
        <item x="28"/>
        <item x="439"/>
        <item x="101"/>
        <item x="285"/>
        <item x="154"/>
        <item x="112"/>
        <item x="434"/>
        <item x="139"/>
        <item x="57"/>
        <item x="290"/>
        <item x="35"/>
        <item x="82"/>
        <item x="27"/>
        <item x="79"/>
        <item x="461"/>
        <item x="366"/>
        <item x="242"/>
        <item x="49"/>
        <item x="26"/>
        <item x="93"/>
        <item x="229"/>
        <item x="342"/>
        <item x="135"/>
        <item x="358"/>
        <item x="132"/>
        <item x="281"/>
        <item x="380"/>
        <item x="223"/>
        <item x="107"/>
        <item x="240"/>
        <item x="147"/>
        <item x="127"/>
        <item x="303"/>
        <item x="4"/>
        <item x="203"/>
        <item x="30"/>
        <item x="204"/>
        <item x="438"/>
        <item x="404"/>
        <item x="464"/>
        <item x="3"/>
        <item x="174"/>
        <item x="85"/>
        <item x="446"/>
        <item x="370"/>
        <item x="333"/>
        <item x="437"/>
        <item x="201"/>
        <item x="194"/>
        <item x="13"/>
        <item x="396"/>
        <item x="2"/>
        <item x="211"/>
        <item x="133"/>
        <item x="308"/>
        <item x="11"/>
        <item x="40"/>
        <item x="212"/>
        <item x="158"/>
        <item x="175"/>
        <item x="349"/>
        <item x="319"/>
        <item x="208"/>
        <item x="467"/>
        <item x="263"/>
        <item x="12"/>
        <item x="407"/>
        <item x="375"/>
        <item x="384"/>
        <item x="200"/>
        <item x="60"/>
        <item x="330"/>
        <item x="289"/>
        <item x="81"/>
        <item x="300"/>
        <item x="23"/>
        <item x="443"/>
        <item x="241"/>
        <item x="346"/>
        <item x="343"/>
        <item x="296"/>
        <item x="1"/>
        <item x="455"/>
        <item x="48"/>
        <item x="90"/>
        <item x="19"/>
        <item x="246"/>
        <item x="369"/>
        <item x="6"/>
        <item x="304"/>
        <item x="183"/>
        <item x="171"/>
        <item x="25"/>
        <item x="99"/>
        <item x="321"/>
        <item x="432"/>
        <item x="388"/>
        <item x="220"/>
        <item x="69"/>
        <item x="268"/>
        <item x="122"/>
        <item x="46"/>
        <item x="206"/>
        <item x="302"/>
        <item x="71"/>
        <item x="39"/>
        <item x="20"/>
        <item x="345"/>
        <item x="353"/>
        <item x="336"/>
        <item x="465"/>
        <item x="16"/>
        <item x="247"/>
        <item x="140"/>
        <item x="356"/>
        <item x="270"/>
        <item x="205"/>
        <item x="403"/>
        <item x="395"/>
        <item x="275"/>
        <item x="41"/>
        <item x="299"/>
        <item x="24"/>
        <item x="415"/>
        <item x="155"/>
        <item x="168"/>
        <item x="66"/>
        <item x="225"/>
        <item x="430"/>
        <item x="5"/>
        <item x="339"/>
        <item x="67"/>
        <item x="10"/>
        <item x="367"/>
        <item x="180"/>
        <item x="134"/>
        <item x="214"/>
        <item x="73"/>
        <item x="123"/>
        <item x="273"/>
        <item x="340"/>
        <item x="261"/>
        <item x="431"/>
        <item x="470"/>
        <item x="58"/>
        <item x="234"/>
        <item x="294"/>
        <item x="86"/>
        <item x="43"/>
        <item x="15"/>
        <item x="190"/>
        <item x="83"/>
        <item x="444"/>
        <item x="287"/>
        <item x="92"/>
        <item x="251"/>
        <item x="377"/>
        <item x="78"/>
        <item x="267"/>
        <item x="188"/>
        <item x="193"/>
        <item x="274"/>
        <item x="409"/>
        <item x="84"/>
        <item x="315"/>
        <item x="167"/>
        <item x="245"/>
        <item x="68"/>
        <item x="17"/>
        <item x="198"/>
        <item x="355"/>
        <item x="243"/>
        <item x="436"/>
        <item x="87"/>
        <item x="254"/>
        <item x="91"/>
        <item x="109"/>
        <item x="153"/>
        <item x="161"/>
        <item x="248"/>
        <item x="160"/>
        <item x="400"/>
        <item x="29"/>
        <item x="313"/>
        <item x="52"/>
        <item x="65"/>
        <item x="74"/>
        <item x="221"/>
        <item x="456"/>
        <item x="376"/>
        <item x="163"/>
        <item x="169"/>
        <item t="default"/>
      </items>
    </pivotField>
  </pivotFields>
  <rowFields count="1">
    <field x="7"/>
  </rowFields>
  <rowItems count="20">
    <i>
      <x v="23"/>
    </i>
    <i>
      <x v="26"/>
    </i>
    <i>
      <x v="32"/>
    </i>
    <i>
      <x v="33"/>
    </i>
    <i>
      <x v="36"/>
    </i>
    <i>
      <x v="71"/>
    </i>
    <i>
      <x v="151"/>
    </i>
    <i>
      <x v="194"/>
    </i>
    <i>
      <x v="229"/>
    </i>
    <i>
      <x v="286"/>
    </i>
    <i>
      <x v="291"/>
    </i>
    <i>
      <x v="303"/>
    </i>
    <i>
      <x v="339"/>
    </i>
    <i>
      <x v="366"/>
    </i>
    <i>
      <x v="372"/>
    </i>
    <i>
      <x v="373"/>
    </i>
    <i>
      <x v="426"/>
    </i>
    <i>
      <x v="430"/>
    </i>
    <i>
      <x v="462"/>
    </i>
    <i t="grand">
      <x/>
    </i>
  </rowItems>
  <colItems count="1">
    <i/>
  </colItems>
  <dataFields count="1">
    <dataField name="Liczba z PESEL" fld="0" subtotal="count" baseField="0" baseItem="0"/>
  </dataFields>
  <pivotTableStyleInfo name="PivotStyleLight16" showRowHeaders="1" showColHeaders="1" showRowStripes="0" showColStripes="0" showLastColumn="1"/>
  <filters count="1">
    <filter fld="7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29A3E-276F-4861-9293-9475AA8CBA7E}">
  <dimension ref="A1:D495"/>
  <sheetViews>
    <sheetView zoomScale="310" zoomScaleNormal="310" workbookViewId="0">
      <selection activeCell="E1" sqref="E1"/>
    </sheetView>
  </sheetViews>
  <sheetFormatPr defaultRowHeight="15" x14ac:dyDescent="0.25"/>
  <cols>
    <col min="1" max="1" width="12" bestFit="1" customWidth="1"/>
    <col min="2" max="2" width="14.85546875" bestFit="1" customWidth="1"/>
    <col min="3" max="3" width="12.140625" bestFit="1" customWidth="1"/>
  </cols>
  <sheetData>
    <row r="1" spans="1:4" x14ac:dyDescent="0.25">
      <c r="A1" s="2" t="s">
        <v>0</v>
      </c>
      <c r="B1" s="3" t="s">
        <v>1</v>
      </c>
      <c r="C1" s="3" t="s">
        <v>2</v>
      </c>
      <c r="D1" s="4" t="s">
        <v>1127</v>
      </c>
    </row>
    <row r="2" spans="1:4" x14ac:dyDescent="0.25">
      <c r="A2" s="5" t="s">
        <v>3</v>
      </c>
      <c r="B2" s="6" t="s">
        <v>4</v>
      </c>
      <c r="C2" s="6" t="s">
        <v>5</v>
      </c>
      <c r="D2" s="7" t="str">
        <f t="shared" ref="D2:D65" si="0">IF(MOD(LEFT(RIGHT(A2,2),1),2)=0,"k","m")</f>
        <v>m</v>
      </c>
    </row>
    <row r="3" spans="1:4" x14ac:dyDescent="0.25">
      <c r="A3" s="8" t="s">
        <v>6</v>
      </c>
      <c r="B3" s="9" t="s">
        <v>7</v>
      </c>
      <c r="C3" s="9" t="s">
        <v>8</v>
      </c>
      <c r="D3" s="7" t="str">
        <f t="shared" si="0"/>
        <v>m</v>
      </c>
    </row>
    <row r="4" spans="1:4" x14ac:dyDescent="0.25">
      <c r="A4" s="5" t="s">
        <v>9</v>
      </c>
      <c r="B4" s="6" t="s">
        <v>10</v>
      </c>
      <c r="C4" s="6" t="s">
        <v>11</v>
      </c>
      <c r="D4" s="7" t="str">
        <f t="shared" si="0"/>
        <v>m</v>
      </c>
    </row>
    <row r="5" spans="1:4" x14ac:dyDescent="0.25">
      <c r="A5" s="8" t="s">
        <v>12</v>
      </c>
      <c r="B5" s="9" t="s">
        <v>13</v>
      </c>
      <c r="C5" s="9" t="s">
        <v>14</v>
      </c>
      <c r="D5" s="7" t="str">
        <f>IF(MOD(LEFT(RIGHT(A5,2),1),2)=0,"k","m")</f>
        <v>m</v>
      </c>
    </row>
    <row r="6" spans="1:4" x14ac:dyDescent="0.25">
      <c r="A6" s="5" t="s">
        <v>15</v>
      </c>
      <c r="B6" s="6" t="s">
        <v>16</v>
      </c>
      <c r="C6" s="6" t="s">
        <v>17</v>
      </c>
      <c r="D6" s="7" t="str">
        <f t="shared" si="0"/>
        <v>m</v>
      </c>
    </row>
    <row r="7" spans="1:4" x14ac:dyDescent="0.25">
      <c r="A7" s="8" t="s">
        <v>18</v>
      </c>
      <c r="B7" s="9" t="s">
        <v>19</v>
      </c>
      <c r="C7" s="9" t="s">
        <v>20</v>
      </c>
      <c r="D7" s="7" t="str">
        <f t="shared" si="0"/>
        <v>m</v>
      </c>
    </row>
    <row r="8" spans="1:4" x14ac:dyDescent="0.25">
      <c r="A8" s="5" t="s">
        <v>21</v>
      </c>
      <c r="B8" s="6" t="s">
        <v>22</v>
      </c>
      <c r="C8" s="6" t="s">
        <v>8</v>
      </c>
      <c r="D8" s="7" t="str">
        <f t="shared" si="0"/>
        <v>m</v>
      </c>
    </row>
    <row r="9" spans="1:4" x14ac:dyDescent="0.25">
      <c r="A9" s="8" t="s">
        <v>23</v>
      </c>
      <c r="B9" s="9" t="s">
        <v>24</v>
      </c>
      <c r="C9" s="9" t="s">
        <v>25</v>
      </c>
      <c r="D9" s="7" t="str">
        <f t="shared" si="0"/>
        <v>m</v>
      </c>
    </row>
    <row r="10" spans="1:4" x14ac:dyDescent="0.25">
      <c r="A10" s="5" t="s">
        <v>26</v>
      </c>
      <c r="B10" s="6" t="s">
        <v>27</v>
      </c>
      <c r="C10" s="6" t="s">
        <v>28</v>
      </c>
      <c r="D10" s="7" t="str">
        <f t="shared" si="0"/>
        <v>m</v>
      </c>
    </row>
    <row r="11" spans="1:4" x14ac:dyDescent="0.25">
      <c r="A11" s="8" t="s">
        <v>29</v>
      </c>
      <c r="B11" s="9" t="s">
        <v>30</v>
      </c>
      <c r="C11" s="9" t="s">
        <v>31</v>
      </c>
      <c r="D11" s="7" t="str">
        <f t="shared" si="0"/>
        <v>m</v>
      </c>
    </row>
    <row r="12" spans="1:4" x14ac:dyDescent="0.25">
      <c r="A12" s="5" t="s">
        <v>32</v>
      </c>
      <c r="B12" s="6" t="s">
        <v>33</v>
      </c>
      <c r="C12" s="6" t="s">
        <v>20</v>
      </c>
      <c r="D12" s="7" t="str">
        <f t="shared" si="0"/>
        <v>m</v>
      </c>
    </row>
    <row r="13" spans="1:4" x14ac:dyDescent="0.25">
      <c r="A13" s="8" t="s">
        <v>34</v>
      </c>
      <c r="B13" s="9" t="s">
        <v>35</v>
      </c>
      <c r="C13" s="9" t="s">
        <v>36</v>
      </c>
      <c r="D13" s="7" t="str">
        <f t="shared" si="0"/>
        <v>m</v>
      </c>
    </row>
    <row r="14" spans="1:4" x14ac:dyDescent="0.25">
      <c r="A14" s="5" t="s">
        <v>37</v>
      </c>
      <c r="B14" s="6" t="s">
        <v>38</v>
      </c>
      <c r="C14" s="6" t="s">
        <v>39</v>
      </c>
      <c r="D14" s="7" t="str">
        <f t="shared" si="0"/>
        <v>m</v>
      </c>
    </row>
    <row r="15" spans="1:4" x14ac:dyDescent="0.25">
      <c r="A15" s="8" t="s">
        <v>40</v>
      </c>
      <c r="B15" s="9" t="s">
        <v>41</v>
      </c>
      <c r="C15" s="9" t="s">
        <v>39</v>
      </c>
      <c r="D15" s="7" t="str">
        <f t="shared" si="0"/>
        <v>m</v>
      </c>
    </row>
    <row r="16" spans="1:4" x14ac:dyDescent="0.25">
      <c r="A16" s="5" t="s">
        <v>42</v>
      </c>
      <c r="B16" s="6" t="s">
        <v>43</v>
      </c>
      <c r="C16" s="6" t="s">
        <v>44</v>
      </c>
      <c r="D16" s="7" t="str">
        <f t="shared" si="0"/>
        <v>m</v>
      </c>
    </row>
    <row r="17" spans="1:4" x14ac:dyDescent="0.25">
      <c r="A17" s="8" t="s">
        <v>45</v>
      </c>
      <c r="B17" s="9" t="s">
        <v>46</v>
      </c>
      <c r="C17" s="9" t="s">
        <v>47</v>
      </c>
      <c r="D17" s="7" t="str">
        <f t="shared" si="0"/>
        <v>m</v>
      </c>
    </row>
    <row r="18" spans="1:4" x14ac:dyDescent="0.25">
      <c r="A18" s="5" t="s">
        <v>48</v>
      </c>
      <c r="B18" s="6" t="s">
        <v>49</v>
      </c>
      <c r="C18" s="6" t="s">
        <v>50</v>
      </c>
      <c r="D18" s="7" t="str">
        <f t="shared" si="0"/>
        <v>m</v>
      </c>
    </row>
    <row r="19" spans="1:4" x14ac:dyDescent="0.25">
      <c r="A19" s="8" t="s">
        <v>51</v>
      </c>
      <c r="B19" s="9" t="s">
        <v>52</v>
      </c>
      <c r="C19" s="9" t="s">
        <v>53</v>
      </c>
      <c r="D19" s="7" t="str">
        <f t="shared" si="0"/>
        <v>m</v>
      </c>
    </row>
    <row r="20" spans="1:4" x14ac:dyDescent="0.25">
      <c r="A20" s="5" t="s">
        <v>54</v>
      </c>
      <c r="B20" s="6" t="s">
        <v>55</v>
      </c>
      <c r="C20" s="6" t="s">
        <v>56</v>
      </c>
      <c r="D20" s="7" t="str">
        <f t="shared" si="0"/>
        <v>k</v>
      </c>
    </row>
    <row r="21" spans="1:4" x14ac:dyDescent="0.25">
      <c r="A21" s="8" t="s">
        <v>57</v>
      </c>
      <c r="B21" s="9" t="s">
        <v>58</v>
      </c>
      <c r="C21" s="9" t="s">
        <v>8</v>
      </c>
      <c r="D21" s="7" t="str">
        <f t="shared" si="0"/>
        <v>m</v>
      </c>
    </row>
    <row r="22" spans="1:4" x14ac:dyDescent="0.25">
      <c r="A22" s="5" t="s">
        <v>59</v>
      </c>
      <c r="B22" s="6" t="s">
        <v>60</v>
      </c>
      <c r="C22" s="6" t="s">
        <v>61</v>
      </c>
      <c r="D22" s="7" t="str">
        <f t="shared" si="0"/>
        <v>m</v>
      </c>
    </row>
    <row r="23" spans="1:4" x14ac:dyDescent="0.25">
      <c r="A23" s="8" t="s">
        <v>62</v>
      </c>
      <c r="B23" s="9" t="s">
        <v>63</v>
      </c>
      <c r="C23" s="9" t="s">
        <v>64</v>
      </c>
      <c r="D23" s="7" t="str">
        <f t="shared" si="0"/>
        <v>m</v>
      </c>
    </row>
    <row r="24" spans="1:4" x14ac:dyDescent="0.25">
      <c r="A24" s="5" t="s">
        <v>65</v>
      </c>
      <c r="B24" s="6" t="s">
        <v>66</v>
      </c>
      <c r="C24" s="6" t="s">
        <v>67</v>
      </c>
      <c r="D24" s="7" t="str">
        <f t="shared" si="0"/>
        <v>k</v>
      </c>
    </row>
    <row r="25" spans="1:4" x14ac:dyDescent="0.25">
      <c r="A25" s="8" t="s">
        <v>68</v>
      </c>
      <c r="B25" s="9" t="s">
        <v>69</v>
      </c>
      <c r="C25" s="9" t="s">
        <v>70</v>
      </c>
      <c r="D25" s="7" t="str">
        <f t="shared" si="0"/>
        <v>k</v>
      </c>
    </row>
    <row r="26" spans="1:4" x14ac:dyDescent="0.25">
      <c r="A26" s="5" t="s">
        <v>71</v>
      </c>
      <c r="B26" s="6" t="s">
        <v>72</v>
      </c>
      <c r="C26" s="6" t="s">
        <v>73</v>
      </c>
      <c r="D26" s="7" t="str">
        <f t="shared" si="0"/>
        <v>m</v>
      </c>
    </row>
    <row r="27" spans="1:4" x14ac:dyDescent="0.25">
      <c r="A27" s="8" t="s">
        <v>74</v>
      </c>
      <c r="B27" s="9" t="s">
        <v>75</v>
      </c>
      <c r="C27" s="9" t="s">
        <v>8</v>
      </c>
      <c r="D27" s="7" t="str">
        <f t="shared" si="0"/>
        <v>m</v>
      </c>
    </row>
    <row r="28" spans="1:4" x14ac:dyDescent="0.25">
      <c r="A28" s="5" t="s">
        <v>76</v>
      </c>
      <c r="B28" s="6" t="s">
        <v>77</v>
      </c>
      <c r="C28" s="6" t="s">
        <v>78</v>
      </c>
      <c r="D28" s="7" t="str">
        <f t="shared" si="0"/>
        <v>k</v>
      </c>
    </row>
    <row r="29" spans="1:4" x14ac:dyDescent="0.25">
      <c r="A29" s="8" t="s">
        <v>79</v>
      </c>
      <c r="B29" s="9" t="s">
        <v>80</v>
      </c>
      <c r="C29" s="9" t="s">
        <v>39</v>
      </c>
      <c r="D29" s="7" t="str">
        <f t="shared" si="0"/>
        <v>m</v>
      </c>
    </row>
    <row r="30" spans="1:4" x14ac:dyDescent="0.25">
      <c r="A30" s="5" t="s">
        <v>81</v>
      </c>
      <c r="B30" s="6" t="s">
        <v>82</v>
      </c>
      <c r="C30" s="6" t="s">
        <v>83</v>
      </c>
      <c r="D30" s="7" t="str">
        <f t="shared" si="0"/>
        <v>k</v>
      </c>
    </row>
    <row r="31" spans="1:4" x14ac:dyDescent="0.25">
      <c r="A31" s="8" t="s">
        <v>84</v>
      </c>
      <c r="B31" s="9" t="s">
        <v>85</v>
      </c>
      <c r="C31" s="9" t="s">
        <v>86</v>
      </c>
      <c r="D31" s="7" t="str">
        <f t="shared" si="0"/>
        <v>k</v>
      </c>
    </row>
    <row r="32" spans="1:4" x14ac:dyDescent="0.25">
      <c r="A32" s="5" t="s">
        <v>87</v>
      </c>
      <c r="B32" s="6" t="s">
        <v>88</v>
      </c>
      <c r="C32" s="6" t="s">
        <v>89</v>
      </c>
      <c r="D32" s="7" t="str">
        <f t="shared" si="0"/>
        <v>k</v>
      </c>
    </row>
    <row r="33" spans="1:4" x14ac:dyDescent="0.25">
      <c r="A33" s="8" t="s">
        <v>90</v>
      </c>
      <c r="B33" s="9" t="s">
        <v>91</v>
      </c>
      <c r="C33" s="9" t="s">
        <v>92</v>
      </c>
      <c r="D33" s="7" t="str">
        <f t="shared" si="0"/>
        <v>m</v>
      </c>
    </row>
    <row r="34" spans="1:4" x14ac:dyDescent="0.25">
      <c r="A34" s="5" t="s">
        <v>93</v>
      </c>
      <c r="B34" s="6" t="s">
        <v>94</v>
      </c>
      <c r="C34" s="6" t="s">
        <v>5</v>
      </c>
      <c r="D34" s="7" t="str">
        <f t="shared" si="0"/>
        <v>m</v>
      </c>
    </row>
    <row r="35" spans="1:4" x14ac:dyDescent="0.25">
      <c r="A35" s="8" t="s">
        <v>95</v>
      </c>
      <c r="B35" s="9" t="s">
        <v>96</v>
      </c>
      <c r="C35" s="9" t="s">
        <v>97</v>
      </c>
      <c r="D35" s="7" t="str">
        <f t="shared" si="0"/>
        <v>m</v>
      </c>
    </row>
    <row r="36" spans="1:4" x14ac:dyDescent="0.25">
      <c r="A36" s="5" t="s">
        <v>98</v>
      </c>
      <c r="B36" s="6" t="s">
        <v>99</v>
      </c>
      <c r="C36" s="6" t="s">
        <v>100</v>
      </c>
      <c r="D36" s="7" t="str">
        <f t="shared" si="0"/>
        <v>k</v>
      </c>
    </row>
    <row r="37" spans="1:4" x14ac:dyDescent="0.25">
      <c r="A37" s="8" t="s">
        <v>101</v>
      </c>
      <c r="B37" s="9" t="s">
        <v>102</v>
      </c>
      <c r="C37" s="9" t="s">
        <v>17</v>
      </c>
      <c r="D37" s="7" t="str">
        <f t="shared" si="0"/>
        <v>m</v>
      </c>
    </row>
    <row r="38" spans="1:4" x14ac:dyDescent="0.25">
      <c r="A38" s="5" t="s">
        <v>103</v>
      </c>
      <c r="B38" s="6" t="s">
        <v>104</v>
      </c>
      <c r="C38" s="6" t="s">
        <v>105</v>
      </c>
      <c r="D38" s="7" t="str">
        <f t="shared" si="0"/>
        <v>m</v>
      </c>
    </row>
    <row r="39" spans="1:4" x14ac:dyDescent="0.25">
      <c r="A39" s="8" t="s">
        <v>106</v>
      </c>
      <c r="B39" s="9" t="s">
        <v>107</v>
      </c>
      <c r="C39" s="9" t="s">
        <v>108</v>
      </c>
      <c r="D39" s="7" t="str">
        <f t="shared" si="0"/>
        <v>m</v>
      </c>
    </row>
    <row r="40" spans="1:4" x14ac:dyDescent="0.25">
      <c r="A40" s="5" t="s">
        <v>109</v>
      </c>
      <c r="B40" s="6" t="s">
        <v>110</v>
      </c>
      <c r="C40" s="6" t="s">
        <v>111</v>
      </c>
      <c r="D40" s="7" t="str">
        <f t="shared" si="0"/>
        <v>k</v>
      </c>
    </row>
    <row r="41" spans="1:4" x14ac:dyDescent="0.25">
      <c r="A41" s="8" t="s">
        <v>112</v>
      </c>
      <c r="B41" s="9" t="s">
        <v>113</v>
      </c>
      <c r="C41" s="9" t="s">
        <v>114</v>
      </c>
      <c r="D41" s="7" t="str">
        <f t="shared" si="0"/>
        <v>m</v>
      </c>
    </row>
    <row r="42" spans="1:4" x14ac:dyDescent="0.25">
      <c r="A42" s="5" t="s">
        <v>115</v>
      </c>
      <c r="B42" s="6" t="s">
        <v>116</v>
      </c>
      <c r="C42" s="6" t="s">
        <v>36</v>
      </c>
      <c r="D42" s="7" t="str">
        <f t="shared" si="0"/>
        <v>m</v>
      </c>
    </row>
    <row r="43" spans="1:4" x14ac:dyDescent="0.25">
      <c r="A43" s="8" t="s">
        <v>117</v>
      </c>
      <c r="B43" s="9" t="s">
        <v>118</v>
      </c>
      <c r="C43" s="9" t="s">
        <v>73</v>
      </c>
      <c r="D43" s="7" t="str">
        <f t="shared" si="0"/>
        <v>m</v>
      </c>
    </row>
    <row r="44" spans="1:4" x14ac:dyDescent="0.25">
      <c r="A44" s="5" t="s">
        <v>119</v>
      </c>
      <c r="B44" s="6" t="s">
        <v>120</v>
      </c>
      <c r="C44" s="6" t="s">
        <v>121</v>
      </c>
      <c r="D44" s="7" t="str">
        <f t="shared" si="0"/>
        <v>m</v>
      </c>
    </row>
    <row r="45" spans="1:4" x14ac:dyDescent="0.25">
      <c r="A45" s="8" t="s">
        <v>122</v>
      </c>
      <c r="B45" s="9" t="s">
        <v>123</v>
      </c>
      <c r="C45" s="9" t="s">
        <v>47</v>
      </c>
      <c r="D45" s="7" t="str">
        <f t="shared" si="0"/>
        <v>m</v>
      </c>
    </row>
    <row r="46" spans="1:4" x14ac:dyDescent="0.25">
      <c r="A46" s="5" t="s">
        <v>124</v>
      </c>
      <c r="B46" s="6" t="s">
        <v>125</v>
      </c>
      <c r="C46" s="6" t="s">
        <v>25</v>
      </c>
      <c r="D46" s="7" t="str">
        <f t="shared" si="0"/>
        <v>m</v>
      </c>
    </row>
    <row r="47" spans="1:4" x14ac:dyDescent="0.25">
      <c r="A47" s="8" t="s">
        <v>126</v>
      </c>
      <c r="B47" s="9" t="s">
        <v>127</v>
      </c>
      <c r="C47" s="9" t="s">
        <v>128</v>
      </c>
      <c r="D47" s="7" t="str">
        <f t="shared" si="0"/>
        <v>k</v>
      </c>
    </row>
    <row r="48" spans="1:4" x14ac:dyDescent="0.25">
      <c r="A48" s="5" t="s">
        <v>129</v>
      </c>
      <c r="B48" s="6" t="s">
        <v>130</v>
      </c>
      <c r="C48" s="6" t="s">
        <v>131</v>
      </c>
      <c r="D48" s="7" t="str">
        <f t="shared" si="0"/>
        <v>k</v>
      </c>
    </row>
    <row r="49" spans="1:4" x14ac:dyDescent="0.25">
      <c r="A49" s="8" t="s">
        <v>132</v>
      </c>
      <c r="B49" s="9" t="s">
        <v>133</v>
      </c>
      <c r="C49" s="9" t="s">
        <v>121</v>
      </c>
      <c r="D49" s="7" t="str">
        <f t="shared" si="0"/>
        <v>m</v>
      </c>
    </row>
    <row r="50" spans="1:4" x14ac:dyDescent="0.25">
      <c r="A50" s="5" t="s">
        <v>134</v>
      </c>
      <c r="B50" s="6" t="s">
        <v>135</v>
      </c>
      <c r="C50" s="6" t="s">
        <v>8</v>
      </c>
      <c r="D50" s="7" t="str">
        <f t="shared" si="0"/>
        <v>m</v>
      </c>
    </row>
    <row r="51" spans="1:4" x14ac:dyDescent="0.25">
      <c r="A51" s="8" t="s">
        <v>136</v>
      </c>
      <c r="B51" s="9" t="s">
        <v>77</v>
      </c>
      <c r="C51" s="9" t="s">
        <v>137</v>
      </c>
      <c r="D51" s="7" t="str">
        <f t="shared" si="0"/>
        <v>k</v>
      </c>
    </row>
    <row r="52" spans="1:4" x14ac:dyDescent="0.25">
      <c r="A52" s="5" t="s">
        <v>138</v>
      </c>
      <c r="B52" s="6" t="s">
        <v>139</v>
      </c>
      <c r="C52" s="6" t="s">
        <v>56</v>
      </c>
      <c r="D52" s="7" t="str">
        <f t="shared" si="0"/>
        <v>k</v>
      </c>
    </row>
    <row r="53" spans="1:4" x14ac:dyDescent="0.25">
      <c r="A53" s="8" t="s">
        <v>140</v>
      </c>
      <c r="B53" s="9" t="s">
        <v>141</v>
      </c>
      <c r="C53" s="9" t="s">
        <v>142</v>
      </c>
      <c r="D53" s="7" t="str">
        <f t="shared" si="0"/>
        <v>k</v>
      </c>
    </row>
    <row r="54" spans="1:4" x14ac:dyDescent="0.25">
      <c r="A54" s="5" t="s">
        <v>143</v>
      </c>
      <c r="B54" s="6" t="s">
        <v>144</v>
      </c>
      <c r="C54" s="6" t="s">
        <v>86</v>
      </c>
      <c r="D54" s="7" t="str">
        <f t="shared" si="0"/>
        <v>k</v>
      </c>
    </row>
    <row r="55" spans="1:4" x14ac:dyDescent="0.25">
      <c r="A55" s="8" t="s">
        <v>145</v>
      </c>
      <c r="B55" s="9" t="s">
        <v>146</v>
      </c>
      <c r="C55" s="9" t="s">
        <v>147</v>
      </c>
      <c r="D55" s="7" t="str">
        <f t="shared" si="0"/>
        <v>k</v>
      </c>
    </row>
    <row r="56" spans="1:4" x14ac:dyDescent="0.25">
      <c r="A56" s="5" t="s">
        <v>148</v>
      </c>
      <c r="B56" s="6" t="s">
        <v>149</v>
      </c>
      <c r="C56" s="6" t="s">
        <v>64</v>
      </c>
      <c r="D56" s="7" t="str">
        <f t="shared" si="0"/>
        <v>m</v>
      </c>
    </row>
    <row r="57" spans="1:4" x14ac:dyDescent="0.25">
      <c r="A57" s="8" t="s">
        <v>150</v>
      </c>
      <c r="B57" s="9" t="s">
        <v>151</v>
      </c>
      <c r="C57" s="9" t="s">
        <v>56</v>
      </c>
      <c r="D57" s="7" t="str">
        <f t="shared" si="0"/>
        <v>k</v>
      </c>
    </row>
    <row r="58" spans="1:4" x14ac:dyDescent="0.25">
      <c r="A58" s="5" t="s">
        <v>152</v>
      </c>
      <c r="B58" s="6" t="s">
        <v>153</v>
      </c>
      <c r="C58" s="6" t="s">
        <v>111</v>
      </c>
      <c r="D58" s="7" t="str">
        <f t="shared" si="0"/>
        <v>k</v>
      </c>
    </row>
    <row r="59" spans="1:4" x14ac:dyDescent="0.25">
      <c r="A59" s="8" t="s">
        <v>154</v>
      </c>
      <c r="B59" s="9" t="s">
        <v>155</v>
      </c>
      <c r="C59" s="9" t="s">
        <v>156</v>
      </c>
      <c r="D59" s="7" t="str">
        <f t="shared" si="0"/>
        <v>m</v>
      </c>
    </row>
    <row r="60" spans="1:4" x14ac:dyDescent="0.25">
      <c r="A60" s="5" t="s">
        <v>157</v>
      </c>
      <c r="B60" s="6" t="s">
        <v>158</v>
      </c>
      <c r="C60" s="6" t="s">
        <v>47</v>
      </c>
      <c r="D60" s="7" t="str">
        <f t="shared" si="0"/>
        <v>m</v>
      </c>
    </row>
    <row r="61" spans="1:4" x14ac:dyDescent="0.25">
      <c r="A61" s="8" t="s">
        <v>159</v>
      </c>
      <c r="B61" s="9" t="s">
        <v>160</v>
      </c>
      <c r="C61" s="9" t="s">
        <v>161</v>
      </c>
      <c r="D61" s="7" t="str">
        <f t="shared" si="0"/>
        <v>k</v>
      </c>
    </row>
    <row r="62" spans="1:4" x14ac:dyDescent="0.25">
      <c r="A62" s="5" t="s">
        <v>162</v>
      </c>
      <c r="B62" s="6" t="s">
        <v>163</v>
      </c>
      <c r="C62" s="6" t="s">
        <v>39</v>
      </c>
      <c r="D62" s="7" t="str">
        <f t="shared" si="0"/>
        <v>m</v>
      </c>
    </row>
    <row r="63" spans="1:4" x14ac:dyDescent="0.25">
      <c r="A63" s="8" t="s">
        <v>164</v>
      </c>
      <c r="B63" s="9" t="s">
        <v>165</v>
      </c>
      <c r="C63" s="9" t="s">
        <v>166</v>
      </c>
      <c r="D63" s="7" t="str">
        <f t="shared" si="0"/>
        <v>m</v>
      </c>
    </row>
    <row r="64" spans="1:4" x14ac:dyDescent="0.25">
      <c r="A64" s="5" t="s">
        <v>167</v>
      </c>
      <c r="B64" s="6" t="s">
        <v>168</v>
      </c>
      <c r="C64" s="6" t="s">
        <v>169</v>
      </c>
      <c r="D64" s="7" t="str">
        <f t="shared" si="0"/>
        <v>m</v>
      </c>
    </row>
    <row r="65" spans="1:4" x14ac:dyDescent="0.25">
      <c r="A65" s="8" t="s">
        <v>170</v>
      </c>
      <c r="B65" s="9" t="s">
        <v>171</v>
      </c>
      <c r="C65" s="9" t="s">
        <v>172</v>
      </c>
      <c r="D65" s="7" t="str">
        <f t="shared" si="0"/>
        <v>k</v>
      </c>
    </row>
    <row r="66" spans="1:4" x14ac:dyDescent="0.25">
      <c r="A66" s="5" t="s">
        <v>173</v>
      </c>
      <c r="B66" s="6" t="s">
        <v>174</v>
      </c>
      <c r="C66" s="6" t="s">
        <v>25</v>
      </c>
      <c r="D66" s="7" t="str">
        <f t="shared" ref="D66:D129" si="1">IF(MOD(LEFT(RIGHT(A66,2),1),2)=0,"k","m")</f>
        <v>m</v>
      </c>
    </row>
    <row r="67" spans="1:4" x14ac:dyDescent="0.25">
      <c r="A67" s="8" t="s">
        <v>175</v>
      </c>
      <c r="B67" s="9" t="s">
        <v>176</v>
      </c>
      <c r="C67" s="9" t="s">
        <v>86</v>
      </c>
      <c r="D67" s="7" t="str">
        <f t="shared" si="1"/>
        <v>k</v>
      </c>
    </row>
    <row r="68" spans="1:4" x14ac:dyDescent="0.25">
      <c r="A68" s="5" t="s">
        <v>177</v>
      </c>
      <c r="B68" s="6" t="s">
        <v>178</v>
      </c>
      <c r="C68" s="6" t="s">
        <v>179</v>
      </c>
      <c r="D68" s="7" t="str">
        <f t="shared" si="1"/>
        <v>k</v>
      </c>
    </row>
    <row r="69" spans="1:4" x14ac:dyDescent="0.25">
      <c r="A69" s="8" t="s">
        <v>180</v>
      </c>
      <c r="B69" s="9" t="s">
        <v>181</v>
      </c>
      <c r="C69" s="9" t="s">
        <v>182</v>
      </c>
      <c r="D69" s="7" t="str">
        <f t="shared" si="1"/>
        <v>k</v>
      </c>
    </row>
    <row r="70" spans="1:4" x14ac:dyDescent="0.25">
      <c r="A70" s="5" t="s">
        <v>183</v>
      </c>
      <c r="B70" s="6" t="s">
        <v>184</v>
      </c>
      <c r="C70" s="6" t="s">
        <v>53</v>
      </c>
      <c r="D70" s="7" t="str">
        <f t="shared" si="1"/>
        <v>m</v>
      </c>
    </row>
    <row r="71" spans="1:4" x14ac:dyDescent="0.25">
      <c r="A71" s="8" t="s">
        <v>185</v>
      </c>
      <c r="B71" s="9" t="s">
        <v>186</v>
      </c>
      <c r="C71" s="9" t="s">
        <v>187</v>
      </c>
      <c r="D71" s="7" t="str">
        <f t="shared" si="1"/>
        <v>k</v>
      </c>
    </row>
    <row r="72" spans="1:4" x14ac:dyDescent="0.25">
      <c r="A72" s="5" t="s">
        <v>188</v>
      </c>
      <c r="B72" s="6" t="s">
        <v>189</v>
      </c>
      <c r="C72" s="6" t="s">
        <v>44</v>
      </c>
      <c r="D72" s="7" t="str">
        <f t="shared" si="1"/>
        <v>m</v>
      </c>
    </row>
    <row r="73" spans="1:4" x14ac:dyDescent="0.25">
      <c r="A73" s="8" t="s">
        <v>190</v>
      </c>
      <c r="B73" s="9" t="s">
        <v>191</v>
      </c>
      <c r="C73" s="9" t="s">
        <v>114</v>
      </c>
      <c r="D73" s="7" t="str">
        <f t="shared" si="1"/>
        <v>m</v>
      </c>
    </row>
    <row r="74" spans="1:4" x14ac:dyDescent="0.25">
      <c r="A74" s="5" t="s">
        <v>192</v>
      </c>
      <c r="B74" s="6" t="s">
        <v>193</v>
      </c>
      <c r="C74" s="6" t="s">
        <v>194</v>
      </c>
      <c r="D74" s="7" t="str">
        <f t="shared" si="1"/>
        <v>k</v>
      </c>
    </row>
    <row r="75" spans="1:4" x14ac:dyDescent="0.25">
      <c r="A75" s="8" t="s">
        <v>195</v>
      </c>
      <c r="B75" s="9" t="s">
        <v>196</v>
      </c>
      <c r="C75" s="9" t="s">
        <v>20</v>
      </c>
      <c r="D75" s="7" t="str">
        <f t="shared" si="1"/>
        <v>m</v>
      </c>
    </row>
    <row r="76" spans="1:4" x14ac:dyDescent="0.25">
      <c r="A76" s="5" t="s">
        <v>197</v>
      </c>
      <c r="B76" s="6" t="s">
        <v>198</v>
      </c>
      <c r="C76" s="6" t="s">
        <v>199</v>
      </c>
      <c r="D76" s="7" t="str">
        <f t="shared" si="1"/>
        <v>k</v>
      </c>
    </row>
    <row r="77" spans="1:4" x14ac:dyDescent="0.25">
      <c r="A77" s="8" t="s">
        <v>200</v>
      </c>
      <c r="B77" s="9" t="s">
        <v>201</v>
      </c>
      <c r="C77" s="9" t="s">
        <v>202</v>
      </c>
      <c r="D77" s="7" t="str">
        <f t="shared" si="1"/>
        <v>m</v>
      </c>
    </row>
    <row r="78" spans="1:4" x14ac:dyDescent="0.25">
      <c r="A78" s="5" t="s">
        <v>203</v>
      </c>
      <c r="B78" s="6" t="s">
        <v>204</v>
      </c>
      <c r="C78" s="6" t="s">
        <v>205</v>
      </c>
      <c r="D78" s="7" t="str">
        <f t="shared" si="1"/>
        <v>m</v>
      </c>
    </row>
    <row r="79" spans="1:4" x14ac:dyDescent="0.25">
      <c r="A79" s="8" t="s">
        <v>206</v>
      </c>
      <c r="B79" s="9" t="s">
        <v>207</v>
      </c>
      <c r="C79" s="9" t="s">
        <v>208</v>
      </c>
      <c r="D79" s="7" t="str">
        <f t="shared" si="1"/>
        <v>m</v>
      </c>
    </row>
    <row r="80" spans="1:4" x14ac:dyDescent="0.25">
      <c r="A80" s="5" t="s">
        <v>209</v>
      </c>
      <c r="B80" s="6" t="s">
        <v>210</v>
      </c>
      <c r="C80" s="6" t="s">
        <v>211</v>
      </c>
      <c r="D80" s="7" t="str">
        <f t="shared" si="1"/>
        <v>k</v>
      </c>
    </row>
    <row r="81" spans="1:4" x14ac:dyDescent="0.25">
      <c r="A81" s="8" t="s">
        <v>212</v>
      </c>
      <c r="B81" s="9" t="s">
        <v>213</v>
      </c>
      <c r="C81" s="9" t="s">
        <v>214</v>
      </c>
      <c r="D81" s="7" t="str">
        <f t="shared" si="1"/>
        <v>k</v>
      </c>
    </row>
    <row r="82" spans="1:4" x14ac:dyDescent="0.25">
      <c r="A82" s="5" t="s">
        <v>215</v>
      </c>
      <c r="B82" s="6" t="s">
        <v>216</v>
      </c>
      <c r="C82" s="6" t="s">
        <v>121</v>
      </c>
      <c r="D82" s="7" t="str">
        <f t="shared" si="1"/>
        <v>m</v>
      </c>
    </row>
    <row r="83" spans="1:4" x14ac:dyDescent="0.25">
      <c r="A83" s="8" t="s">
        <v>217</v>
      </c>
      <c r="B83" s="9" t="s">
        <v>218</v>
      </c>
      <c r="C83" s="9" t="s">
        <v>219</v>
      </c>
      <c r="D83" s="7" t="str">
        <f t="shared" si="1"/>
        <v>m</v>
      </c>
    </row>
    <row r="84" spans="1:4" x14ac:dyDescent="0.25">
      <c r="A84" s="5" t="s">
        <v>220</v>
      </c>
      <c r="B84" s="6" t="s">
        <v>80</v>
      </c>
      <c r="C84" s="6" t="s">
        <v>17</v>
      </c>
      <c r="D84" s="7" t="str">
        <f t="shared" si="1"/>
        <v>m</v>
      </c>
    </row>
    <row r="85" spans="1:4" x14ac:dyDescent="0.25">
      <c r="A85" s="8" t="s">
        <v>221</v>
      </c>
      <c r="B85" s="9" t="s">
        <v>222</v>
      </c>
      <c r="C85" s="9" t="s">
        <v>223</v>
      </c>
      <c r="D85" s="7" t="str">
        <f t="shared" si="1"/>
        <v>m</v>
      </c>
    </row>
    <row r="86" spans="1:4" x14ac:dyDescent="0.25">
      <c r="A86" s="5" t="s">
        <v>224</v>
      </c>
      <c r="B86" s="6" t="s">
        <v>225</v>
      </c>
      <c r="C86" s="6" t="s">
        <v>226</v>
      </c>
      <c r="D86" s="7" t="str">
        <f t="shared" si="1"/>
        <v>k</v>
      </c>
    </row>
    <row r="87" spans="1:4" x14ac:dyDescent="0.25">
      <c r="A87" s="8" t="s">
        <v>227</v>
      </c>
      <c r="B87" s="9" t="s">
        <v>228</v>
      </c>
      <c r="C87" s="9" t="s">
        <v>14</v>
      </c>
      <c r="D87" s="7" t="str">
        <f t="shared" si="1"/>
        <v>m</v>
      </c>
    </row>
    <row r="88" spans="1:4" x14ac:dyDescent="0.25">
      <c r="A88" s="5" t="s">
        <v>229</v>
      </c>
      <c r="B88" s="6" t="s">
        <v>123</v>
      </c>
      <c r="C88" s="6" t="s">
        <v>230</v>
      </c>
      <c r="D88" s="7" t="str">
        <f t="shared" si="1"/>
        <v>m</v>
      </c>
    </row>
    <row r="89" spans="1:4" x14ac:dyDescent="0.25">
      <c r="A89" s="8" t="s">
        <v>231</v>
      </c>
      <c r="B89" s="9" t="s">
        <v>232</v>
      </c>
      <c r="C89" s="9" t="s">
        <v>233</v>
      </c>
      <c r="D89" s="7" t="str">
        <f t="shared" si="1"/>
        <v>k</v>
      </c>
    </row>
    <row r="90" spans="1:4" x14ac:dyDescent="0.25">
      <c r="A90" s="5" t="s">
        <v>234</v>
      </c>
      <c r="B90" s="6" t="s">
        <v>235</v>
      </c>
      <c r="C90" s="6" t="s">
        <v>5</v>
      </c>
      <c r="D90" s="7" t="str">
        <f t="shared" si="1"/>
        <v>m</v>
      </c>
    </row>
    <row r="91" spans="1:4" x14ac:dyDescent="0.25">
      <c r="A91" s="8" t="s">
        <v>236</v>
      </c>
      <c r="B91" s="9" t="s">
        <v>237</v>
      </c>
      <c r="C91" s="9" t="s">
        <v>238</v>
      </c>
      <c r="D91" s="7" t="str">
        <f t="shared" si="1"/>
        <v>m</v>
      </c>
    </row>
    <row r="92" spans="1:4" x14ac:dyDescent="0.25">
      <c r="A92" s="5" t="s">
        <v>239</v>
      </c>
      <c r="B92" s="6" t="s">
        <v>240</v>
      </c>
      <c r="C92" s="6" t="s">
        <v>241</v>
      </c>
      <c r="D92" s="7" t="str">
        <f t="shared" si="1"/>
        <v>k</v>
      </c>
    </row>
    <row r="93" spans="1:4" x14ac:dyDescent="0.25">
      <c r="A93" s="8" t="s">
        <v>242</v>
      </c>
      <c r="B93" s="9" t="s">
        <v>243</v>
      </c>
      <c r="C93" s="9" t="s">
        <v>233</v>
      </c>
      <c r="D93" s="7" t="str">
        <f t="shared" si="1"/>
        <v>k</v>
      </c>
    </row>
    <row r="94" spans="1:4" x14ac:dyDescent="0.25">
      <c r="A94" s="5" t="s">
        <v>244</v>
      </c>
      <c r="B94" s="6" t="s">
        <v>245</v>
      </c>
      <c r="C94" s="6" t="s">
        <v>246</v>
      </c>
      <c r="D94" s="7" t="str">
        <f t="shared" si="1"/>
        <v>m</v>
      </c>
    </row>
    <row r="95" spans="1:4" x14ac:dyDescent="0.25">
      <c r="A95" s="8" t="s">
        <v>247</v>
      </c>
      <c r="B95" s="9" t="s">
        <v>248</v>
      </c>
      <c r="C95" s="9" t="s">
        <v>249</v>
      </c>
      <c r="D95" s="7" t="str">
        <f t="shared" si="1"/>
        <v>k</v>
      </c>
    </row>
    <row r="96" spans="1:4" x14ac:dyDescent="0.25">
      <c r="A96" s="5" t="s">
        <v>250</v>
      </c>
      <c r="B96" s="6" t="s">
        <v>251</v>
      </c>
      <c r="C96" s="6" t="s">
        <v>252</v>
      </c>
      <c r="D96" s="7" t="str">
        <f t="shared" si="1"/>
        <v>m</v>
      </c>
    </row>
    <row r="97" spans="1:4" x14ac:dyDescent="0.25">
      <c r="A97" s="8" t="s">
        <v>253</v>
      </c>
      <c r="B97" s="9" t="s">
        <v>254</v>
      </c>
      <c r="C97" s="9" t="s">
        <v>5</v>
      </c>
      <c r="D97" s="7" t="str">
        <f t="shared" si="1"/>
        <v>m</v>
      </c>
    </row>
    <row r="98" spans="1:4" x14ac:dyDescent="0.25">
      <c r="A98" s="5" t="s">
        <v>255</v>
      </c>
      <c r="B98" s="6" t="s">
        <v>256</v>
      </c>
      <c r="C98" s="6" t="s">
        <v>257</v>
      </c>
      <c r="D98" s="7" t="str">
        <f t="shared" si="1"/>
        <v>m</v>
      </c>
    </row>
    <row r="99" spans="1:4" x14ac:dyDescent="0.25">
      <c r="A99" s="8" t="s">
        <v>258</v>
      </c>
      <c r="B99" s="9" t="s">
        <v>259</v>
      </c>
      <c r="C99" s="9" t="s">
        <v>260</v>
      </c>
      <c r="D99" s="7" t="str">
        <f t="shared" si="1"/>
        <v>m</v>
      </c>
    </row>
    <row r="100" spans="1:4" x14ac:dyDescent="0.25">
      <c r="A100" s="5" t="s">
        <v>261</v>
      </c>
      <c r="B100" s="6" t="s">
        <v>262</v>
      </c>
      <c r="C100" s="6" t="s">
        <v>263</v>
      </c>
      <c r="D100" s="7" t="str">
        <f t="shared" si="1"/>
        <v>k</v>
      </c>
    </row>
    <row r="101" spans="1:4" x14ac:dyDescent="0.25">
      <c r="A101" s="8" t="s">
        <v>264</v>
      </c>
      <c r="B101" s="9" t="s">
        <v>265</v>
      </c>
      <c r="C101" s="9" t="s">
        <v>266</v>
      </c>
      <c r="D101" s="7" t="str">
        <f t="shared" si="1"/>
        <v>k</v>
      </c>
    </row>
    <row r="102" spans="1:4" x14ac:dyDescent="0.25">
      <c r="A102" s="5" t="s">
        <v>267</v>
      </c>
      <c r="B102" s="6" t="s">
        <v>268</v>
      </c>
      <c r="C102" s="6" t="s">
        <v>269</v>
      </c>
      <c r="D102" s="7" t="str">
        <f t="shared" si="1"/>
        <v>m</v>
      </c>
    </row>
    <row r="103" spans="1:4" x14ac:dyDescent="0.25">
      <c r="A103" s="8" t="s">
        <v>270</v>
      </c>
      <c r="B103" s="9" t="s">
        <v>271</v>
      </c>
      <c r="C103" s="9" t="s">
        <v>272</v>
      </c>
      <c r="D103" s="7" t="str">
        <f t="shared" si="1"/>
        <v>k</v>
      </c>
    </row>
    <row r="104" spans="1:4" x14ac:dyDescent="0.25">
      <c r="A104" s="5" t="s">
        <v>273</v>
      </c>
      <c r="B104" s="6" t="s">
        <v>274</v>
      </c>
      <c r="C104" s="6" t="s">
        <v>275</v>
      </c>
      <c r="D104" s="7" t="str">
        <f t="shared" si="1"/>
        <v>k</v>
      </c>
    </row>
    <row r="105" spans="1:4" x14ac:dyDescent="0.25">
      <c r="A105" s="8" t="s">
        <v>276</v>
      </c>
      <c r="B105" s="9" t="s">
        <v>277</v>
      </c>
      <c r="C105" s="9" t="s">
        <v>278</v>
      </c>
      <c r="D105" s="7" t="str">
        <f t="shared" si="1"/>
        <v>m</v>
      </c>
    </row>
    <row r="106" spans="1:4" x14ac:dyDescent="0.25">
      <c r="A106" s="5" t="s">
        <v>279</v>
      </c>
      <c r="B106" s="6" t="s">
        <v>280</v>
      </c>
      <c r="C106" s="6" t="s">
        <v>281</v>
      </c>
      <c r="D106" s="7" t="str">
        <f t="shared" si="1"/>
        <v>m</v>
      </c>
    </row>
    <row r="107" spans="1:4" x14ac:dyDescent="0.25">
      <c r="A107" s="8" t="s">
        <v>282</v>
      </c>
      <c r="B107" s="9" t="s">
        <v>283</v>
      </c>
      <c r="C107" s="9" t="s">
        <v>284</v>
      </c>
      <c r="D107" s="7" t="str">
        <f t="shared" si="1"/>
        <v>k</v>
      </c>
    </row>
    <row r="108" spans="1:4" x14ac:dyDescent="0.25">
      <c r="A108" s="5" t="s">
        <v>285</v>
      </c>
      <c r="B108" s="6" t="s">
        <v>286</v>
      </c>
      <c r="C108" s="6" t="s">
        <v>287</v>
      </c>
      <c r="D108" s="7" t="str">
        <f t="shared" si="1"/>
        <v>m</v>
      </c>
    </row>
    <row r="109" spans="1:4" x14ac:dyDescent="0.25">
      <c r="A109" s="8" t="s">
        <v>288</v>
      </c>
      <c r="B109" s="9" t="s">
        <v>289</v>
      </c>
      <c r="C109" s="9" t="s">
        <v>17</v>
      </c>
      <c r="D109" s="7" t="str">
        <f t="shared" si="1"/>
        <v>m</v>
      </c>
    </row>
    <row r="110" spans="1:4" x14ac:dyDescent="0.25">
      <c r="A110" s="5" t="s">
        <v>290</v>
      </c>
      <c r="B110" s="6" t="s">
        <v>291</v>
      </c>
      <c r="C110" s="6" t="s">
        <v>292</v>
      </c>
      <c r="D110" s="7" t="str">
        <f t="shared" si="1"/>
        <v>m</v>
      </c>
    </row>
    <row r="111" spans="1:4" x14ac:dyDescent="0.25">
      <c r="A111" s="8" t="s">
        <v>293</v>
      </c>
      <c r="B111" s="9" t="s">
        <v>294</v>
      </c>
      <c r="C111" s="9" t="s">
        <v>295</v>
      </c>
      <c r="D111" s="7" t="str">
        <f t="shared" si="1"/>
        <v>k</v>
      </c>
    </row>
    <row r="112" spans="1:4" x14ac:dyDescent="0.25">
      <c r="A112" s="5" t="s">
        <v>296</v>
      </c>
      <c r="B112" s="6" t="s">
        <v>297</v>
      </c>
      <c r="C112" s="6" t="s">
        <v>298</v>
      </c>
      <c r="D112" s="7" t="str">
        <f t="shared" si="1"/>
        <v>k</v>
      </c>
    </row>
    <row r="113" spans="1:4" x14ac:dyDescent="0.25">
      <c r="A113" s="8" t="s">
        <v>299</v>
      </c>
      <c r="B113" s="9" t="s">
        <v>300</v>
      </c>
      <c r="C113" s="9" t="s">
        <v>64</v>
      </c>
      <c r="D113" s="7" t="str">
        <f t="shared" si="1"/>
        <v>m</v>
      </c>
    </row>
    <row r="114" spans="1:4" x14ac:dyDescent="0.25">
      <c r="A114" s="5" t="s">
        <v>301</v>
      </c>
      <c r="B114" s="6" t="s">
        <v>302</v>
      </c>
      <c r="C114" s="6" t="s">
        <v>78</v>
      </c>
      <c r="D114" s="7" t="str">
        <f t="shared" si="1"/>
        <v>k</v>
      </c>
    </row>
    <row r="115" spans="1:4" x14ac:dyDescent="0.25">
      <c r="A115" s="8" t="s">
        <v>303</v>
      </c>
      <c r="B115" s="9" t="s">
        <v>304</v>
      </c>
      <c r="C115" s="9" t="s">
        <v>208</v>
      </c>
      <c r="D115" s="7" t="str">
        <f t="shared" si="1"/>
        <v>m</v>
      </c>
    </row>
    <row r="116" spans="1:4" x14ac:dyDescent="0.25">
      <c r="A116" s="5" t="s">
        <v>305</v>
      </c>
      <c r="B116" s="6" t="s">
        <v>306</v>
      </c>
      <c r="C116" s="6" t="s">
        <v>92</v>
      </c>
      <c r="D116" s="7" t="str">
        <f t="shared" si="1"/>
        <v>m</v>
      </c>
    </row>
    <row r="117" spans="1:4" x14ac:dyDescent="0.25">
      <c r="A117" s="8" t="s">
        <v>307</v>
      </c>
      <c r="B117" s="9" t="s">
        <v>308</v>
      </c>
      <c r="C117" s="9" t="s">
        <v>309</v>
      </c>
      <c r="D117" s="7" t="str">
        <f t="shared" si="1"/>
        <v>k</v>
      </c>
    </row>
    <row r="118" spans="1:4" x14ac:dyDescent="0.25">
      <c r="A118" s="5" t="s">
        <v>310</v>
      </c>
      <c r="B118" s="6" t="s">
        <v>311</v>
      </c>
      <c r="C118" s="6" t="s">
        <v>64</v>
      </c>
      <c r="D118" s="7" t="str">
        <f t="shared" si="1"/>
        <v>m</v>
      </c>
    </row>
    <row r="119" spans="1:4" x14ac:dyDescent="0.25">
      <c r="A119" s="8" t="s">
        <v>312</v>
      </c>
      <c r="B119" s="9" t="s">
        <v>313</v>
      </c>
      <c r="C119" s="9" t="s">
        <v>121</v>
      </c>
      <c r="D119" s="7" t="str">
        <f t="shared" si="1"/>
        <v>m</v>
      </c>
    </row>
    <row r="120" spans="1:4" x14ac:dyDescent="0.25">
      <c r="A120" s="5" t="s">
        <v>314</v>
      </c>
      <c r="B120" s="6" t="s">
        <v>315</v>
      </c>
      <c r="C120" s="6" t="s">
        <v>64</v>
      </c>
      <c r="D120" s="7" t="str">
        <f t="shared" si="1"/>
        <v>m</v>
      </c>
    </row>
    <row r="121" spans="1:4" x14ac:dyDescent="0.25">
      <c r="A121" s="8" t="s">
        <v>316</v>
      </c>
      <c r="B121" s="9" t="s">
        <v>317</v>
      </c>
      <c r="C121" s="9" t="s">
        <v>318</v>
      </c>
      <c r="D121" s="7" t="str">
        <f t="shared" si="1"/>
        <v>k</v>
      </c>
    </row>
    <row r="122" spans="1:4" x14ac:dyDescent="0.25">
      <c r="A122" s="5" t="s">
        <v>319</v>
      </c>
      <c r="B122" s="6" t="s">
        <v>320</v>
      </c>
      <c r="C122" s="6" t="s">
        <v>260</v>
      </c>
      <c r="D122" s="7" t="str">
        <f t="shared" si="1"/>
        <v>m</v>
      </c>
    </row>
    <row r="123" spans="1:4" x14ac:dyDescent="0.25">
      <c r="A123" s="8" t="s">
        <v>321</v>
      </c>
      <c r="B123" s="9" t="s">
        <v>322</v>
      </c>
      <c r="C123" s="9" t="s">
        <v>323</v>
      </c>
      <c r="D123" s="7" t="str">
        <f t="shared" si="1"/>
        <v>k</v>
      </c>
    </row>
    <row r="124" spans="1:4" x14ac:dyDescent="0.25">
      <c r="A124" s="5" t="s">
        <v>324</v>
      </c>
      <c r="B124" s="6" t="s">
        <v>325</v>
      </c>
      <c r="C124" s="6" t="s">
        <v>131</v>
      </c>
      <c r="D124" s="7" t="str">
        <f t="shared" si="1"/>
        <v>k</v>
      </c>
    </row>
    <row r="125" spans="1:4" x14ac:dyDescent="0.25">
      <c r="A125" s="8" t="s">
        <v>326</v>
      </c>
      <c r="B125" s="9" t="s">
        <v>327</v>
      </c>
      <c r="C125" s="9" t="s">
        <v>179</v>
      </c>
      <c r="D125" s="7" t="str">
        <f t="shared" si="1"/>
        <v>k</v>
      </c>
    </row>
    <row r="126" spans="1:4" x14ac:dyDescent="0.25">
      <c r="A126" s="5" t="s">
        <v>328</v>
      </c>
      <c r="B126" s="6" t="s">
        <v>329</v>
      </c>
      <c r="C126" s="6" t="s">
        <v>330</v>
      </c>
      <c r="D126" s="7" t="str">
        <f t="shared" si="1"/>
        <v>k</v>
      </c>
    </row>
    <row r="127" spans="1:4" x14ac:dyDescent="0.25">
      <c r="A127" s="8" t="s">
        <v>331</v>
      </c>
      <c r="B127" s="9" t="s">
        <v>332</v>
      </c>
      <c r="C127" s="9" t="s">
        <v>202</v>
      </c>
      <c r="D127" s="7" t="str">
        <f t="shared" si="1"/>
        <v>m</v>
      </c>
    </row>
    <row r="128" spans="1:4" x14ac:dyDescent="0.25">
      <c r="A128" s="5" t="s">
        <v>333</v>
      </c>
      <c r="B128" s="6" t="s">
        <v>334</v>
      </c>
      <c r="C128" s="6" t="s">
        <v>335</v>
      </c>
      <c r="D128" s="7" t="str">
        <f t="shared" si="1"/>
        <v>k</v>
      </c>
    </row>
    <row r="129" spans="1:4" x14ac:dyDescent="0.25">
      <c r="A129" s="8" t="s">
        <v>336</v>
      </c>
      <c r="B129" s="9" t="s">
        <v>337</v>
      </c>
      <c r="C129" s="9" t="s">
        <v>17</v>
      </c>
      <c r="D129" s="7" t="str">
        <f t="shared" si="1"/>
        <v>m</v>
      </c>
    </row>
    <row r="130" spans="1:4" x14ac:dyDescent="0.25">
      <c r="A130" s="5" t="s">
        <v>338</v>
      </c>
      <c r="B130" s="6" t="s">
        <v>339</v>
      </c>
      <c r="C130" s="6" t="s">
        <v>340</v>
      </c>
      <c r="D130" s="7" t="str">
        <f t="shared" ref="D130:D193" si="2">IF(MOD(LEFT(RIGHT(A130,2),1),2)=0,"k","m")</f>
        <v>k</v>
      </c>
    </row>
    <row r="131" spans="1:4" x14ac:dyDescent="0.25">
      <c r="A131" s="8" t="s">
        <v>341</v>
      </c>
      <c r="B131" s="9" t="s">
        <v>342</v>
      </c>
      <c r="C131" s="9" t="s">
        <v>108</v>
      </c>
      <c r="D131" s="7" t="str">
        <f t="shared" si="2"/>
        <v>m</v>
      </c>
    </row>
    <row r="132" spans="1:4" x14ac:dyDescent="0.25">
      <c r="A132" s="5" t="s">
        <v>343</v>
      </c>
      <c r="B132" s="6" t="s">
        <v>344</v>
      </c>
      <c r="C132" s="6" t="s">
        <v>345</v>
      </c>
      <c r="D132" s="7" t="str">
        <f t="shared" si="2"/>
        <v>k</v>
      </c>
    </row>
    <row r="133" spans="1:4" x14ac:dyDescent="0.25">
      <c r="A133" s="8" t="s">
        <v>346</v>
      </c>
      <c r="B133" s="9" t="s">
        <v>347</v>
      </c>
      <c r="C133" s="9" t="s">
        <v>348</v>
      </c>
      <c r="D133" s="7" t="str">
        <f t="shared" si="2"/>
        <v>k</v>
      </c>
    </row>
    <row r="134" spans="1:4" x14ac:dyDescent="0.25">
      <c r="A134" s="5" t="s">
        <v>349</v>
      </c>
      <c r="B134" s="6" t="s">
        <v>350</v>
      </c>
      <c r="C134" s="6" t="s">
        <v>351</v>
      </c>
      <c r="D134" s="7" t="str">
        <f t="shared" si="2"/>
        <v>k</v>
      </c>
    </row>
    <row r="135" spans="1:4" x14ac:dyDescent="0.25">
      <c r="A135" s="8" t="s">
        <v>352</v>
      </c>
      <c r="B135" s="9" t="s">
        <v>353</v>
      </c>
      <c r="C135" s="9" t="s">
        <v>89</v>
      </c>
      <c r="D135" s="7" t="str">
        <f t="shared" si="2"/>
        <v>k</v>
      </c>
    </row>
    <row r="136" spans="1:4" x14ac:dyDescent="0.25">
      <c r="A136" s="5" t="s">
        <v>354</v>
      </c>
      <c r="B136" s="6" t="s">
        <v>355</v>
      </c>
      <c r="C136" s="6" t="s">
        <v>356</v>
      </c>
      <c r="D136" s="7" t="str">
        <f t="shared" si="2"/>
        <v>m</v>
      </c>
    </row>
    <row r="137" spans="1:4" x14ac:dyDescent="0.25">
      <c r="A137" s="8" t="s">
        <v>357</v>
      </c>
      <c r="B137" s="9" t="s">
        <v>358</v>
      </c>
      <c r="C137" s="9" t="s">
        <v>359</v>
      </c>
      <c r="D137" s="7" t="str">
        <f t="shared" si="2"/>
        <v>k</v>
      </c>
    </row>
    <row r="138" spans="1:4" x14ac:dyDescent="0.25">
      <c r="A138" s="5" t="s">
        <v>360</v>
      </c>
      <c r="B138" s="6" t="s">
        <v>361</v>
      </c>
      <c r="C138" s="6" t="s">
        <v>345</v>
      </c>
      <c r="D138" s="7" t="str">
        <f t="shared" si="2"/>
        <v>k</v>
      </c>
    </row>
    <row r="139" spans="1:4" x14ac:dyDescent="0.25">
      <c r="A139" s="8" t="s">
        <v>362</v>
      </c>
      <c r="B139" s="9" t="s">
        <v>363</v>
      </c>
      <c r="C139" s="9" t="s">
        <v>194</v>
      </c>
      <c r="D139" s="7" t="str">
        <f t="shared" si="2"/>
        <v>k</v>
      </c>
    </row>
    <row r="140" spans="1:4" x14ac:dyDescent="0.25">
      <c r="A140" s="5" t="s">
        <v>364</v>
      </c>
      <c r="B140" s="6" t="s">
        <v>365</v>
      </c>
      <c r="C140" s="6" t="s">
        <v>309</v>
      </c>
      <c r="D140" s="7" t="str">
        <f t="shared" si="2"/>
        <v>k</v>
      </c>
    </row>
    <row r="141" spans="1:4" x14ac:dyDescent="0.25">
      <c r="A141" s="8" t="s">
        <v>366</v>
      </c>
      <c r="B141" s="9" t="s">
        <v>367</v>
      </c>
      <c r="C141" s="9" t="s">
        <v>108</v>
      </c>
      <c r="D141" s="7" t="str">
        <f t="shared" si="2"/>
        <v>m</v>
      </c>
    </row>
    <row r="142" spans="1:4" x14ac:dyDescent="0.25">
      <c r="A142" s="5" t="s">
        <v>368</v>
      </c>
      <c r="B142" s="6" t="s">
        <v>369</v>
      </c>
      <c r="C142" s="6" t="s">
        <v>187</v>
      </c>
      <c r="D142" s="7" t="str">
        <f t="shared" si="2"/>
        <v>k</v>
      </c>
    </row>
    <row r="143" spans="1:4" x14ac:dyDescent="0.25">
      <c r="A143" s="8" t="s">
        <v>370</v>
      </c>
      <c r="B143" s="9" t="s">
        <v>369</v>
      </c>
      <c r="C143" s="9" t="s">
        <v>371</v>
      </c>
      <c r="D143" s="7" t="str">
        <f t="shared" si="2"/>
        <v>k</v>
      </c>
    </row>
    <row r="144" spans="1:4" x14ac:dyDescent="0.25">
      <c r="A144" s="5" t="s">
        <v>372</v>
      </c>
      <c r="B144" s="6" t="s">
        <v>373</v>
      </c>
      <c r="C144" s="6" t="s">
        <v>166</v>
      </c>
      <c r="D144" s="7" t="str">
        <f t="shared" si="2"/>
        <v>m</v>
      </c>
    </row>
    <row r="145" spans="1:4" x14ac:dyDescent="0.25">
      <c r="A145" s="8" t="s">
        <v>374</v>
      </c>
      <c r="B145" s="9" t="s">
        <v>375</v>
      </c>
      <c r="C145" s="9" t="s">
        <v>376</v>
      </c>
      <c r="D145" s="7" t="str">
        <f t="shared" si="2"/>
        <v>m</v>
      </c>
    </row>
    <row r="146" spans="1:4" x14ac:dyDescent="0.25">
      <c r="A146" s="5" t="s">
        <v>377</v>
      </c>
      <c r="B146" s="6" t="s">
        <v>378</v>
      </c>
      <c r="C146" s="6" t="s">
        <v>379</v>
      </c>
      <c r="D146" s="7" t="str">
        <f t="shared" si="2"/>
        <v>m</v>
      </c>
    </row>
    <row r="147" spans="1:4" x14ac:dyDescent="0.25">
      <c r="A147" s="8" t="s">
        <v>380</v>
      </c>
      <c r="B147" s="9" t="s">
        <v>381</v>
      </c>
      <c r="C147" s="9" t="s">
        <v>382</v>
      </c>
      <c r="D147" s="7" t="str">
        <f t="shared" si="2"/>
        <v>k</v>
      </c>
    </row>
    <row r="148" spans="1:4" x14ac:dyDescent="0.25">
      <c r="A148" s="5" t="s">
        <v>383</v>
      </c>
      <c r="B148" s="6" t="s">
        <v>384</v>
      </c>
      <c r="C148" s="6" t="s">
        <v>67</v>
      </c>
      <c r="D148" s="7" t="str">
        <f t="shared" si="2"/>
        <v>k</v>
      </c>
    </row>
    <row r="149" spans="1:4" x14ac:dyDescent="0.25">
      <c r="A149" s="8" t="s">
        <v>385</v>
      </c>
      <c r="B149" s="9" t="s">
        <v>386</v>
      </c>
      <c r="C149" s="9" t="s">
        <v>214</v>
      </c>
      <c r="D149" s="7" t="str">
        <f t="shared" si="2"/>
        <v>k</v>
      </c>
    </row>
    <row r="150" spans="1:4" x14ac:dyDescent="0.25">
      <c r="A150" s="5" t="s">
        <v>387</v>
      </c>
      <c r="B150" s="6" t="s">
        <v>388</v>
      </c>
      <c r="C150" s="6" t="s">
        <v>241</v>
      </c>
      <c r="D150" s="7" t="str">
        <f t="shared" si="2"/>
        <v>k</v>
      </c>
    </row>
    <row r="151" spans="1:4" x14ac:dyDescent="0.25">
      <c r="A151" s="8" t="s">
        <v>389</v>
      </c>
      <c r="B151" s="9" t="s">
        <v>390</v>
      </c>
      <c r="C151" s="9" t="s">
        <v>351</v>
      </c>
      <c r="D151" s="7" t="str">
        <f t="shared" si="2"/>
        <v>k</v>
      </c>
    </row>
    <row r="152" spans="1:4" x14ac:dyDescent="0.25">
      <c r="A152" s="5" t="s">
        <v>391</v>
      </c>
      <c r="B152" s="6" t="s">
        <v>392</v>
      </c>
      <c r="C152" s="6" t="s">
        <v>393</v>
      </c>
      <c r="D152" s="7" t="str">
        <f t="shared" si="2"/>
        <v>k</v>
      </c>
    </row>
    <row r="153" spans="1:4" x14ac:dyDescent="0.25">
      <c r="A153" s="8" t="s">
        <v>394</v>
      </c>
      <c r="B153" s="9" t="s">
        <v>392</v>
      </c>
      <c r="C153" s="9" t="s">
        <v>395</v>
      </c>
      <c r="D153" s="7" t="str">
        <f t="shared" si="2"/>
        <v>k</v>
      </c>
    </row>
    <row r="154" spans="1:4" x14ac:dyDescent="0.25">
      <c r="A154" s="5" t="s">
        <v>396</v>
      </c>
      <c r="B154" s="6" t="s">
        <v>397</v>
      </c>
      <c r="C154" s="6" t="s">
        <v>393</v>
      </c>
      <c r="D154" s="7" t="str">
        <f t="shared" si="2"/>
        <v>k</v>
      </c>
    </row>
    <row r="155" spans="1:4" x14ac:dyDescent="0.25">
      <c r="A155" s="8" t="s">
        <v>398</v>
      </c>
      <c r="B155" s="9" t="s">
        <v>399</v>
      </c>
      <c r="C155" s="9" t="s">
        <v>400</v>
      </c>
      <c r="D155" s="7" t="str">
        <f t="shared" si="2"/>
        <v>k</v>
      </c>
    </row>
    <row r="156" spans="1:4" x14ac:dyDescent="0.25">
      <c r="A156" s="5" t="s">
        <v>401</v>
      </c>
      <c r="B156" s="6" t="s">
        <v>402</v>
      </c>
      <c r="C156" s="6" t="s">
        <v>340</v>
      </c>
      <c r="D156" s="7" t="str">
        <f t="shared" si="2"/>
        <v>k</v>
      </c>
    </row>
    <row r="157" spans="1:4" x14ac:dyDescent="0.25">
      <c r="A157" s="8" t="s">
        <v>403</v>
      </c>
      <c r="B157" s="9" t="s">
        <v>243</v>
      </c>
      <c r="C157" s="9" t="s">
        <v>404</v>
      </c>
      <c r="D157" s="7" t="str">
        <f t="shared" si="2"/>
        <v>k</v>
      </c>
    </row>
    <row r="158" spans="1:4" x14ac:dyDescent="0.25">
      <c r="A158" s="5" t="s">
        <v>405</v>
      </c>
      <c r="B158" s="6" t="s">
        <v>406</v>
      </c>
      <c r="C158" s="6" t="s">
        <v>78</v>
      </c>
      <c r="D158" s="7" t="str">
        <f t="shared" si="2"/>
        <v>k</v>
      </c>
    </row>
    <row r="159" spans="1:4" x14ac:dyDescent="0.25">
      <c r="A159" s="8" t="s">
        <v>407</v>
      </c>
      <c r="B159" s="9" t="s">
        <v>408</v>
      </c>
      <c r="C159" s="9" t="s">
        <v>409</v>
      </c>
      <c r="D159" s="7" t="str">
        <f t="shared" si="2"/>
        <v>k</v>
      </c>
    </row>
    <row r="160" spans="1:4" x14ac:dyDescent="0.25">
      <c r="A160" s="5" t="s">
        <v>410</v>
      </c>
      <c r="B160" s="6" t="s">
        <v>353</v>
      </c>
      <c r="C160" s="6" t="s">
        <v>371</v>
      </c>
      <c r="D160" s="7" t="str">
        <f t="shared" si="2"/>
        <v>k</v>
      </c>
    </row>
    <row r="161" spans="1:4" x14ac:dyDescent="0.25">
      <c r="A161" s="8" t="s">
        <v>411</v>
      </c>
      <c r="B161" s="9" t="s">
        <v>412</v>
      </c>
      <c r="C161" s="9" t="s">
        <v>413</v>
      </c>
      <c r="D161" s="7" t="str">
        <f t="shared" si="2"/>
        <v>k</v>
      </c>
    </row>
    <row r="162" spans="1:4" x14ac:dyDescent="0.25">
      <c r="A162" s="5" t="s">
        <v>414</v>
      </c>
      <c r="B162" s="6" t="s">
        <v>415</v>
      </c>
      <c r="C162" s="6" t="s">
        <v>416</v>
      </c>
      <c r="D162" s="7" t="str">
        <f t="shared" si="2"/>
        <v>k</v>
      </c>
    </row>
    <row r="163" spans="1:4" x14ac:dyDescent="0.25">
      <c r="A163" s="8" t="s">
        <v>417</v>
      </c>
      <c r="B163" s="9" t="s">
        <v>418</v>
      </c>
      <c r="C163" s="9" t="s">
        <v>419</v>
      </c>
      <c r="D163" s="7" t="str">
        <f t="shared" si="2"/>
        <v>k</v>
      </c>
    </row>
    <row r="164" spans="1:4" x14ac:dyDescent="0.25">
      <c r="A164" s="5" t="s">
        <v>420</v>
      </c>
      <c r="B164" s="6" t="s">
        <v>421</v>
      </c>
      <c r="C164" s="6" t="s">
        <v>295</v>
      </c>
      <c r="D164" s="7" t="str">
        <f t="shared" si="2"/>
        <v>k</v>
      </c>
    </row>
    <row r="165" spans="1:4" x14ac:dyDescent="0.25">
      <c r="A165" s="8" t="s">
        <v>422</v>
      </c>
      <c r="B165" s="9" t="s">
        <v>423</v>
      </c>
      <c r="C165" s="9" t="s">
        <v>295</v>
      </c>
      <c r="D165" s="7" t="str">
        <f t="shared" si="2"/>
        <v>k</v>
      </c>
    </row>
    <row r="166" spans="1:4" x14ac:dyDescent="0.25">
      <c r="A166" s="5" t="s">
        <v>424</v>
      </c>
      <c r="B166" s="6" t="s">
        <v>425</v>
      </c>
      <c r="C166" s="6" t="s">
        <v>371</v>
      </c>
      <c r="D166" s="7" t="str">
        <f t="shared" si="2"/>
        <v>k</v>
      </c>
    </row>
    <row r="167" spans="1:4" x14ac:dyDescent="0.25">
      <c r="A167" s="8" t="s">
        <v>426</v>
      </c>
      <c r="B167" s="9" t="s">
        <v>427</v>
      </c>
      <c r="C167" s="9" t="s">
        <v>428</v>
      </c>
      <c r="D167" s="7" t="str">
        <f t="shared" si="2"/>
        <v>k</v>
      </c>
    </row>
    <row r="168" spans="1:4" x14ac:dyDescent="0.25">
      <c r="A168" s="5" t="s">
        <v>429</v>
      </c>
      <c r="B168" s="6" t="s">
        <v>430</v>
      </c>
      <c r="C168" s="6" t="s">
        <v>419</v>
      </c>
      <c r="D168" s="7" t="str">
        <f t="shared" si="2"/>
        <v>k</v>
      </c>
    </row>
    <row r="169" spans="1:4" x14ac:dyDescent="0.25">
      <c r="A169" s="8" t="s">
        <v>431</v>
      </c>
      <c r="B169" s="9" t="s">
        <v>432</v>
      </c>
      <c r="C169" s="9" t="s">
        <v>419</v>
      </c>
      <c r="D169" s="7" t="str">
        <f t="shared" si="2"/>
        <v>k</v>
      </c>
    </row>
    <row r="170" spans="1:4" x14ac:dyDescent="0.25">
      <c r="A170" s="5" t="s">
        <v>433</v>
      </c>
      <c r="B170" s="6" t="s">
        <v>434</v>
      </c>
      <c r="C170" s="6" t="s">
        <v>147</v>
      </c>
      <c r="D170" s="7" t="str">
        <f t="shared" si="2"/>
        <v>k</v>
      </c>
    </row>
    <row r="171" spans="1:4" x14ac:dyDescent="0.25">
      <c r="A171" s="8" t="s">
        <v>435</v>
      </c>
      <c r="B171" s="9" t="s">
        <v>436</v>
      </c>
      <c r="C171" s="9" t="s">
        <v>437</v>
      </c>
      <c r="D171" s="7" t="str">
        <f t="shared" si="2"/>
        <v>k</v>
      </c>
    </row>
    <row r="172" spans="1:4" x14ac:dyDescent="0.25">
      <c r="A172" s="5" t="s">
        <v>438</v>
      </c>
      <c r="B172" s="6" t="s">
        <v>439</v>
      </c>
      <c r="C172" s="6" t="s">
        <v>409</v>
      </c>
      <c r="D172" s="7" t="str">
        <f t="shared" si="2"/>
        <v>k</v>
      </c>
    </row>
    <row r="173" spans="1:4" x14ac:dyDescent="0.25">
      <c r="A173" s="8" t="s">
        <v>440</v>
      </c>
      <c r="B173" s="9" t="s">
        <v>441</v>
      </c>
      <c r="C173" s="9" t="s">
        <v>86</v>
      </c>
      <c r="D173" s="7" t="str">
        <f t="shared" si="2"/>
        <v>k</v>
      </c>
    </row>
    <row r="174" spans="1:4" x14ac:dyDescent="0.25">
      <c r="A174" s="5" t="s">
        <v>442</v>
      </c>
      <c r="B174" s="6" t="s">
        <v>443</v>
      </c>
      <c r="C174" s="6" t="s">
        <v>419</v>
      </c>
      <c r="D174" s="7" t="str">
        <f t="shared" si="2"/>
        <v>k</v>
      </c>
    </row>
    <row r="175" spans="1:4" x14ac:dyDescent="0.25">
      <c r="A175" s="8" t="s">
        <v>444</v>
      </c>
      <c r="B175" s="9" t="s">
        <v>445</v>
      </c>
      <c r="C175" s="9" t="s">
        <v>241</v>
      </c>
      <c r="D175" s="7" t="str">
        <f t="shared" si="2"/>
        <v>k</v>
      </c>
    </row>
    <row r="176" spans="1:4" x14ac:dyDescent="0.25">
      <c r="A176" s="5" t="s">
        <v>446</v>
      </c>
      <c r="B176" s="6" t="s">
        <v>447</v>
      </c>
      <c r="C176" s="6" t="s">
        <v>448</v>
      </c>
      <c r="D176" s="7" t="str">
        <f t="shared" si="2"/>
        <v>k</v>
      </c>
    </row>
    <row r="177" spans="1:4" x14ac:dyDescent="0.25">
      <c r="A177" s="8" t="s">
        <v>449</v>
      </c>
      <c r="B177" s="9" t="s">
        <v>450</v>
      </c>
      <c r="C177" s="9" t="s">
        <v>194</v>
      </c>
      <c r="D177" s="7" t="str">
        <f t="shared" si="2"/>
        <v>k</v>
      </c>
    </row>
    <row r="178" spans="1:4" x14ac:dyDescent="0.25">
      <c r="A178" s="5" t="s">
        <v>451</v>
      </c>
      <c r="B178" s="6" t="s">
        <v>452</v>
      </c>
      <c r="C178" s="6" t="s">
        <v>89</v>
      </c>
      <c r="D178" s="7" t="str">
        <f t="shared" si="2"/>
        <v>k</v>
      </c>
    </row>
    <row r="179" spans="1:4" x14ac:dyDescent="0.25">
      <c r="A179" s="8" t="s">
        <v>453</v>
      </c>
      <c r="B179" s="9" t="s">
        <v>454</v>
      </c>
      <c r="C179" s="9" t="s">
        <v>36</v>
      </c>
      <c r="D179" s="7" t="str">
        <f t="shared" si="2"/>
        <v>m</v>
      </c>
    </row>
    <row r="180" spans="1:4" x14ac:dyDescent="0.25">
      <c r="A180" s="5" t="s">
        <v>455</v>
      </c>
      <c r="B180" s="6" t="s">
        <v>456</v>
      </c>
      <c r="C180" s="6" t="s">
        <v>457</v>
      </c>
      <c r="D180" s="7" t="str">
        <f t="shared" si="2"/>
        <v>m</v>
      </c>
    </row>
    <row r="181" spans="1:4" x14ac:dyDescent="0.25">
      <c r="A181" s="8" t="s">
        <v>458</v>
      </c>
      <c r="B181" s="9" t="s">
        <v>459</v>
      </c>
      <c r="C181" s="9" t="s">
        <v>121</v>
      </c>
      <c r="D181" s="7" t="str">
        <f t="shared" si="2"/>
        <v>m</v>
      </c>
    </row>
    <row r="182" spans="1:4" x14ac:dyDescent="0.25">
      <c r="A182" s="5" t="s">
        <v>460</v>
      </c>
      <c r="B182" s="6" t="s">
        <v>461</v>
      </c>
      <c r="C182" s="6" t="s">
        <v>166</v>
      </c>
      <c r="D182" s="7" t="str">
        <f t="shared" si="2"/>
        <v>m</v>
      </c>
    </row>
    <row r="183" spans="1:4" x14ac:dyDescent="0.25">
      <c r="A183" s="8" t="s">
        <v>462</v>
      </c>
      <c r="B183" s="9" t="s">
        <v>463</v>
      </c>
      <c r="C183" s="9" t="s">
        <v>464</v>
      </c>
      <c r="D183" s="7" t="str">
        <f t="shared" si="2"/>
        <v>m</v>
      </c>
    </row>
    <row r="184" spans="1:4" x14ac:dyDescent="0.25">
      <c r="A184" s="5" t="s">
        <v>465</v>
      </c>
      <c r="B184" s="6" t="s">
        <v>466</v>
      </c>
      <c r="C184" s="6" t="s">
        <v>166</v>
      </c>
      <c r="D184" s="7" t="str">
        <f t="shared" si="2"/>
        <v>m</v>
      </c>
    </row>
    <row r="185" spans="1:4" x14ac:dyDescent="0.25">
      <c r="A185" s="8" t="s">
        <v>467</v>
      </c>
      <c r="B185" s="9" t="s">
        <v>468</v>
      </c>
      <c r="C185" s="9" t="s">
        <v>20</v>
      </c>
      <c r="D185" s="7" t="str">
        <f t="shared" si="2"/>
        <v>m</v>
      </c>
    </row>
    <row r="186" spans="1:4" x14ac:dyDescent="0.25">
      <c r="A186" s="5" t="s">
        <v>469</v>
      </c>
      <c r="B186" s="6" t="s">
        <v>470</v>
      </c>
      <c r="C186" s="6" t="s">
        <v>166</v>
      </c>
      <c r="D186" s="7" t="str">
        <f t="shared" si="2"/>
        <v>m</v>
      </c>
    </row>
    <row r="187" spans="1:4" x14ac:dyDescent="0.25">
      <c r="A187" s="8" t="s">
        <v>471</v>
      </c>
      <c r="B187" s="9" t="s">
        <v>472</v>
      </c>
      <c r="C187" s="9" t="s">
        <v>202</v>
      </c>
      <c r="D187" s="7" t="str">
        <f t="shared" si="2"/>
        <v>m</v>
      </c>
    </row>
    <row r="188" spans="1:4" x14ac:dyDescent="0.25">
      <c r="A188" s="5" t="s">
        <v>473</v>
      </c>
      <c r="B188" s="6" t="s">
        <v>474</v>
      </c>
      <c r="C188" s="6" t="s">
        <v>475</v>
      </c>
      <c r="D188" s="7" t="str">
        <f t="shared" si="2"/>
        <v>m</v>
      </c>
    </row>
    <row r="189" spans="1:4" x14ac:dyDescent="0.25">
      <c r="A189" s="8" t="s">
        <v>476</v>
      </c>
      <c r="B189" s="9" t="s">
        <v>477</v>
      </c>
      <c r="C189" s="9" t="s">
        <v>379</v>
      </c>
      <c r="D189" s="7" t="str">
        <f t="shared" si="2"/>
        <v>m</v>
      </c>
    </row>
    <row r="190" spans="1:4" x14ac:dyDescent="0.25">
      <c r="A190" s="5" t="s">
        <v>478</v>
      </c>
      <c r="B190" s="6" t="s">
        <v>479</v>
      </c>
      <c r="C190" s="6" t="s">
        <v>480</v>
      </c>
      <c r="D190" s="7" t="str">
        <f t="shared" si="2"/>
        <v>m</v>
      </c>
    </row>
    <row r="191" spans="1:4" x14ac:dyDescent="0.25">
      <c r="A191" s="8" t="s">
        <v>481</v>
      </c>
      <c r="B191" s="9" t="s">
        <v>482</v>
      </c>
      <c r="C191" s="9" t="s">
        <v>166</v>
      </c>
      <c r="D191" s="7" t="str">
        <f t="shared" si="2"/>
        <v>m</v>
      </c>
    </row>
    <row r="192" spans="1:4" x14ac:dyDescent="0.25">
      <c r="A192" s="5" t="s">
        <v>483</v>
      </c>
      <c r="B192" s="6" t="s">
        <v>484</v>
      </c>
      <c r="C192" s="6" t="s">
        <v>485</v>
      </c>
      <c r="D192" s="7" t="str">
        <f t="shared" si="2"/>
        <v>m</v>
      </c>
    </row>
    <row r="193" spans="1:4" x14ac:dyDescent="0.25">
      <c r="A193" s="8" t="s">
        <v>486</v>
      </c>
      <c r="B193" s="9" t="s">
        <v>487</v>
      </c>
      <c r="C193" s="9" t="s">
        <v>488</v>
      </c>
      <c r="D193" s="7" t="str">
        <f t="shared" si="2"/>
        <v>m</v>
      </c>
    </row>
    <row r="194" spans="1:4" x14ac:dyDescent="0.25">
      <c r="A194" s="5" t="s">
        <v>489</v>
      </c>
      <c r="B194" s="6" t="s">
        <v>490</v>
      </c>
      <c r="C194" s="6" t="s">
        <v>260</v>
      </c>
      <c r="D194" s="7" t="str">
        <f t="shared" ref="D194:D257" si="3">IF(MOD(LEFT(RIGHT(A194,2),1),2)=0,"k","m")</f>
        <v>m</v>
      </c>
    </row>
    <row r="195" spans="1:4" x14ac:dyDescent="0.25">
      <c r="A195" s="8" t="s">
        <v>491</v>
      </c>
      <c r="B195" s="9" t="s">
        <v>492</v>
      </c>
      <c r="C195" s="9" t="s">
        <v>223</v>
      </c>
      <c r="D195" s="7" t="str">
        <f t="shared" si="3"/>
        <v>m</v>
      </c>
    </row>
    <row r="196" spans="1:4" x14ac:dyDescent="0.25">
      <c r="A196" s="5" t="s">
        <v>493</v>
      </c>
      <c r="B196" s="6" t="s">
        <v>494</v>
      </c>
      <c r="C196" s="6" t="s">
        <v>376</v>
      </c>
      <c r="D196" s="7" t="str">
        <f t="shared" si="3"/>
        <v>m</v>
      </c>
    </row>
    <row r="197" spans="1:4" x14ac:dyDescent="0.25">
      <c r="A197" s="8" t="s">
        <v>495</v>
      </c>
      <c r="B197" s="9" t="s">
        <v>496</v>
      </c>
      <c r="C197" s="9" t="s">
        <v>379</v>
      </c>
      <c r="D197" s="7" t="str">
        <f t="shared" si="3"/>
        <v>m</v>
      </c>
    </row>
    <row r="198" spans="1:4" x14ac:dyDescent="0.25">
      <c r="A198" s="5" t="s">
        <v>497</v>
      </c>
      <c r="B198" s="6" t="s">
        <v>498</v>
      </c>
      <c r="C198" s="6" t="s">
        <v>499</v>
      </c>
      <c r="D198" s="7" t="str">
        <f t="shared" si="3"/>
        <v>m</v>
      </c>
    </row>
    <row r="199" spans="1:4" x14ac:dyDescent="0.25">
      <c r="A199" s="8" t="s">
        <v>500</v>
      </c>
      <c r="B199" s="9" t="s">
        <v>41</v>
      </c>
      <c r="C199" s="9" t="s">
        <v>219</v>
      </c>
      <c r="D199" s="7" t="str">
        <f t="shared" si="3"/>
        <v>m</v>
      </c>
    </row>
    <row r="200" spans="1:4" x14ac:dyDescent="0.25">
      <c r="A200" s="5" t="s">
        <v>501</v>
      </c>
      <c r="B200" s="6" t="s">
        <v>502</v>
      </c>
      <c r="C200" s="6" t="s">
        <v>480</v>
      </c>
      <c r="D200" s="7" t="str">
        <f t="shared" si="3"/>
        <v>m</v>
      </c>
    </row>
    <row r="201" spans="1:4" x14ac:dyDescent="0.25">
      <c r="A201" s="8" t="s">
        <v>503</v>
      </c>
      <c r="B201" s="9" t="s">
        <v>504</v>
      </c>
      <c r="C201" s="9" t="s">
        <v>505</v>
      </c>
      <c r="D201" s="7" t="str">
        <f t="shared" si="3"/>
        <v>m</v>
      </c>
    </row>
    <row r="202" spans="1:4" x14ac:dyDescent="0.25">
      <c r="A202" s="5" t="s">
        <v>506</v>
      </c>
      <c r="B202" s="6" t="s">
        <v>507</v>
      </c>
      <c r="C202" s="6" t="s">
        <v>508</v>
      </c>
      <c r="D202" s="7" t="str">
        <f t="shared" si="3"/>
        <v>m</v>
      </c>
    </row>
    <row r="203" spans="1:4" x14ac:dyDescent="0.25">
      <c r="A203" s="8" t="s">
        <v>509</v>
      </c>
      <c r="B203" s="9" t="s">
        <v>510</v>
      </c>
      <c r="C203" s="9" t="s">
        <v>511</v>
      </c>
      <c r="D203" s="7" t="str">
        <f t="shared" si="3"/>
        <v>m</v>
      </c>
    </row>
    <row r="204" spans="1:4" x14ac:dyDescent="0.25">
      <c r="A204" s="5" t="s">
        <v>512</v>
      </c>
      <c r="B204" s="6" t="s">
        <v>513</v>
      </c>
      <c r="C204" s="6" t="s">
        <v>202</v>
      </c>
      <c r="D204" s="7" t="str">
        <f t="shared" si="3"/>
        <v>m</v>
      </c>
    </row>
    <row r="205" spans="1:4" x14ac:dyDescent="0.25">
      <c r="A205" s="8" t="s">
        <v>514</v>
      </c>
      <c r="B205" s="9" t="s">
        <v>515</v>
      </c>
      <c r="C205" s="9" t="s">
        <v>39</v>
      </c>
      <c r="D205" s="7" t="str">
        <f t="shared" si="3"/>
        <v>m</v>
      </c>
    </row>
    <row r="206" spans="1:4" x14ac:dyDescent="0.25">
      <c r="A206" s="5" t="s">
        <v>516</v>
      </c>
      <c r="B206" s="6" t="s">
        <v>517</v>
      </c>
      <c r="C206" s="6" t="s">
        <v>11</v>
      </c>
      <c r="D206" s="7" t="str">
        <f t="shared" si="3"/>
        <v>m</v>
      </c>
    </row>
    <row r="207" spans="1:4" x14ac:dyDescent="0.25">
      <c r="A207" s="8" t="s">
        <v>518</v>
      </c>
      <c r="B207" s="9" t="s">
        <v>519</v>
      </c>
      <c r="C207" s="9" t="s">
        <v>166</v>
      </c>
      <c r="D207" s="7" t="str">
        <f t="shared" si="3"/>
        <v>m</v>
      </c>
    </row>
    <row r="208" spans="1:4" x14ac:dyDescent="0.25">
      <c r="A208" s="5" t="s">
        <v>520</v>
      </c>
      <c r="B208" s="6" t="s">
        <v>521</v>
      </c>
      <c r="C208" s="6" t="s">
        <v>219</v>
      </c>
      <c r="D208" s="7" t="str">
        <f t="shared" si="3"/>
        <v>m</v>
      </c>
    </row>
    <row r="209" spans="1:4" x14ac:dyDescent="0.25">
      <c r="A209" s="8" t="s">
        <v>522</v>
      </c>
      <c r="B209" s="9" t="s">
        <v>521</v>
      </c>
      <c r="C209" s="9" t="s">
        <v>17</v>
      </c>
      <c r="D209" s="7" t="str">
        <f t="shared" si="3"/>
        <v>m</v>
      </c>
    </row>
    <row r="210" spans="1:4" x14ac:dyDescent="0.25">
      <c r="A210" s="5" t="s">
        <v>523</v>
      </c>
      <c r="B210" s="6" t="s">
        <v>524</v>
      </c>
      <c r="C210" s="6" t="s">
        <v>73</v>
      </c>
      <c r="D210" s="7" t="str">
        <f t="shared" si="3"/>
        <v>m</v>
      </c>
    </row>
    <row r="211" spans="1:4" x14ac:dyDescent="0.25">
      <c r="A211" s="8" t="s">
        <v>525</v>
      </c>
      <c r="B211" s="9" t="s">
        <v>526</v>
      </c>
      <c r="C211" s="9" t="s">
        <v>114</v>
      </c>
      <c r="D211" s="7" t="str">
        <f t="shared" si="3"/>
        <v>m</v>
      </c>
    </row>
    <row r="212" spans="1:4" x14ac:dyDescent="0.25">
      <c r="A212" s="5" t="s">
        <v>527</v>
      </c>
      <c r="B212" s="6" t="s">
        <v>528</v>
      </c>
      <c r="C212" s="6" t="s">
        <v>340</v>
      </c>
      <c r="D212" s="7" t="str">
        <f t="shared" si="3"/>
        <v>k</v>
      </c>
    </row>
    <row r="213" spans="1:4" x14ac:dyDescent="0.25">
      <c r="A213" s="8" t="s">
        <v>529</v>
      </c>
      <c r="B213" s="9" t="s">
        <v>530</v>
      </c>
      <c r="C213" s="9" t="s">
        <v>39</v>
      </c>
      <c r="D213" s="7" t="str">
        <f t="shared" si="3"/>
        <v>m</v>
      </c>
    </row>
    <row r="214" spans="1:4" x14ac:dyDescent="0.25">
      <c r="A214" s="5" t="s">
        <v>531</v>
      </c>
      <c r="B214" s="6" t="s">
        <v>30</v>
      </c>
      <c r="C214" s="6" t="s">
        <v>44</v>
      </c>
      <c r="D214" s="7" t="str">
        <f t="shared" si="3"/>
        <v>m</v>
      </c>
    </row>
    <row r="215" spans="1:4" x14ac:dyDescent="0.25">
      <c r="A215" s="8" t="s">
        <v>532</v>
      </c>
      <c r="B215" s="9" t="s">
        <v>533</v>
      </c>
      <c r="C215" s="9" t="s">
        <v>534</v>
      </c>
      <c r="D215" s="7" t="str">
        <f t="shared" si="3"/>
        <v>k</v>
      </c>
    </row>
    <row r="216" spans="1:4" x14ac:dyDescent="0.25">
      <c r="A216" s="5" t="s">
        <v>535</v>
      </c>
      <c r="B216" s="6" t="s">
        <v>536</v>
      </c>
      <c r="C216" s="6" t="s">
        <v>89</v>
      </c>
      <c r="D216" s="7" t="str">
        <f t="shared" si="3"/>
        <v>k</v>
      </c>
    </row>
    <row r="217" spans="1:4" x14ac:dyDescent="0.25">
      <c r="A217" s="8" t="s">
        <v>537</v>
      </c>
      <c r="B217" s="9" t="s">
        <v>538</v>
      </c>
      <c r="C217" s="9" t="s">
        <v>416</v>
      </c>
      <c r="D217" s="7" t="str">
        <f t="shared" si="3"/>
        <v>k</v>
      </c>
    </row>
    <row r="218" spans="1:4" x14ac:dyDescent="0.25">
      <c r="A218" s="5" t="s">
        <v>539</v>
      </c>
      <c r="B218" s="6" t="s">
        <v>540</v>
      </c>
      <c r="C218" s="6" t="s">
        <v>323</v>
      </c>
      <c r="D218" s="7" t="str">
        <f t="shared" si="3"/>
        <v>k</v>
      </c>
    </row>
    <row r="219" spans="1:4" x14ac:dyDescent="0.25">
      <c r="A219" s="8" t="s">
        <v>541</v>
      </c>
      <c r="B219" s="9" t="s">
        <v>542</v>
      </c>
      <c r="C219" s="9" t="s">
        <v>179</v>
      </c>
      <c r="D219" s="7" t="str">
        <f t="shared" si="3"/>
        <v>k</v>
      </c>
    </row>
    <row r="220" spans="1:4" x14ac:dyDescent="0.25">
      <c r="A220" s="5" t="s">
        <v>543</v>
      </c>
      <c r="B220" s="6" t="s">
        <v>544</v>
      </c>
      <c r="C220" s="6" t="s">
        <v>419</v>
      </c>
      <c r="D220" s="7" t="str">
        <f t="shared" si="3"/>
        <v>k</v>
      </c>
    </row>
    <row r="221" spans="1:4" x14ac:dyDescent="0.25">
      <c r="A221" s="8" t="s">
        <v>545</v>
      </c>
      <c r="B221" s="9" t="s">
        <v>546</v>
      </c>
      <c r="C221" s="9" t="s">
        <v>17</v>
      </c>
      <c r="D221" s="7" t="str">
        <f t="shared" si="3"/>
        <v>m</v>
      </c>
    </row>
    <row r="222" spans="1:4" x14ac:dyDescent="0.25">
      <c r="A222" s="5" t="s">
        <v>547</v>
      </c>
      <c r="B222" s="6" t="s">
        <v>548</v>
      </c>
      <c r="C222" s="6" t="s">
        <v>419</v>
      </c>
      <c r="D222" s="7" t="str">
        <f t="shared" si="3"/>
        <v>k</v>
      </c>
    </row>
    <row r="223" spans="1:4" x14ac:dyDescent="0.25">
      <c r="A223" s="8" t="s">
        <v>549</v>
      </c>
      <c r="B223" s="9" t="s">
        <v>550</v>
      </c>
      <c r="C223" s="9" t="s">
        <v>309</v>
      </c>
      <c r="D223" s="7" t="str">
        <f t="shared" si="3"/>
        <v>k</v>
      </c>
    </row>
    <row r="224" spans="1:4" x14ac:dyDescent="0.25">
      <c r="A224" s="5" t="s">
        <v>551</v>
      </c>
      <c r="B224" s="6" t="s">
        <v>552</v>
      </c>
      <c r="C224" s="6" t="s">
        <v>309</v>
      </c>
      <c r="D224" s="7" t="str">
        <f t="shared" si="3"/>
        <v>k</v>
      </c>
    </row>
    <row r="225" spans="1:4" x14ac:dyDescent="0.25">
      <c r="A225" s="8" t="s">
        <v>553</v>
      </c>
      <c r="B225" s="9" t="s">
        <v>554</v>
      </c>
      <c r="C225" s="9" t="s">
        <v>187</v>
      </c>
      <c r="D225" s="7" t="str">
        <f t="shared" si="3"/>
        <v>k</v>
      </c>
    </row>
    <row r="226" spans="1:4" x14ac:dyDescent="0.25">
      <c r="A226" s="5" t="s">
        <v>555</v>
      </c>
      <c r="B226" s="6" t="s">
        <v>556</v>
      </c>
      <c r="C226" s="6" t="s">
        <v>428</v>
      </c>
      <c r="D226" s="7" t="str">
        <f t="shared" si="3"/>
        <v>k</v>
      </c>
    </row>
    <row r="227" spans="1:4" x14ac:dyDescent="0.25">
      <c r="A227" s="8" t="s">
        <v>557</v>
      </c>
      <c r="B227" s="9" t="s">
        <v>558</v>
      </c>
      <c r="C227" s="9" t="s">
        <v>559</v>
      </c>
      <c r="D227" s="7" t="str">
        <f t="shared" si="3"/>
        <v>k</v>
      </c>
    </row>
    <row r="228" spans="1:4" x14ac:dyDescent="0.25">
      <c r="A228" s="5" t="s">
        <v>560</v>
      </c>
      <c r="B228" s="6" t="s">
        <v>561</v>
      </c>
      <c r="C228" s="6" t="s">
        <v>351</v>
      </c>
      <c r="D228" s="7" t="str">
        <f t="shared" si="3"/>
        <v>k</v>
      </c>
    </row>
    <row r="229" spans="1:4" x14ac:dyDescent="0.25">
      <c r="A229" s="8" t="s">
        <v>562</v>
      </c>
      <c r="B229" s="9" t="s">
        <v>563</v>
      </c>
      <c r="C229" s="9" t="s">
        <v>564</v>
      </c>
      <c r="D229" s="7" t="str">
        <f t="shared" si="3"/>
        <v>k</v>
      </c>
    </row>
    <row r="230" spans="1:4" x14ac:dyDescent="0.25">
      <c r="A230" s="5" t="s">
        <v>565</v>
      </c>
      <c r="B230" s="6" t="s">
        <v>566</v>
      </c>
      <c r="C230" s="6" t="s">
        <v>567</v>
      </c>
      <c r="D230" s="7" t="str">
        <f t="shared" si="3"/>
        <v>m</v>
      </c>
    </row>
    <row r="231" spans="1:4" x14ac:dyDescent="0.25">
      <c r="A231" s="8" t="s">
        <v>568</v>
      </c>
      <c r="B231" s="9" t="s">
        <v>569</v>
      </c>
      <c r="C231" s="9" t="s">
        <v>570</v>
      </c>
      <c r="D231" s="7" t="str">
        <f t="shared" si="3"/>
        <v>m</v>
      </c>
    </row>
    <row r="232" spans="1:4" x14ac:dyDescent="0.25">
      <c r="A232" s="5" t="s">
        <v>571</v>
      </c>
      <c r="B232" s="6" t="s">
        <v>572</v>
      </c>
      <c r="C232" s="6" t="s">
        <v>275</v>
      </c>
      <c r="D232" s="7" t="str">
        <f t="shared" si="3"/>
        <v>k</v>
      </c>
    </row>
    <row r="233" spans="1:4" x14ac:dyDescent="0.25">
      <c r="A233" s="8" t="s">
        <v>573</v>
      </c>
      <c r="B233" s="9" t="s">
        <v>574</v>
      </c>
      <c r="C233" s="9" t="s">
        <v>108</v>
      </c>
      <c r="D233" s="7" t="str">
        <f t="shared" si="3"/>
        <v>m</v>
      </c>
    </row>
    <row r="234" spans="1:4" x14ac:dyDescent="0.25">
      <c r="A234" s="5" t="s">
        <v>575</v>
      </c>
      <c r="B234" s="6" t="s">
        <v>576</v>
      </c>
      <c r="C234" s="6" t="s">
        <v>17</v>
      </c>
      <c r="D234" s="7" t="str">
        <f t="shared" si="3"/>
        <v>m</v>
      </c>
    </row>
    <row r="235" spans="1:4" x14ac:dyDescent="0.25">
      <c r="A235" s="8" t="s">
        <v>577</v>
      </c>
      <c r="B235" s="9" t="s">
        <v>578</v>
      </c>
      <c r="C235" s="9" t="s">
        <v>464</v>
      </c>
      <c r="D235" s="7" t="str">
        <f t="shared" si="3"/>
        <v>m</v>
      </c>
    </row>
    <row r="236" spans="1:4" x14ac:dyDescent="0.25">
      <c r="A236" s="5" t="s">
        <v>579</v>
      </c>
      <c r="B236" s="6" t="s">
        <v>580</v>
      </c>
      <c r="C236" s="6" t="s">
        <v>287</v>
      </c>
      <c r="D236" s="7" t="str">
        <f t="shared" si="3"/>
        <v>m</v>
      </c>
    </row>
    <row r="237" spans="1:4" x14ac:dyDescent="0.25">
      <c r="A237" s="8" t="s">
        <v>581</v>
      </c>
      <c r="B237" s="9" t="s">
        <v>582</v>
      </c>
      <c r="C237" s="9" t="s">
        <v>67</v>
      </c>
      <c r="D237" s="7" t="str">
        <f t="shared" si="3"/>
        <v>k</v>
      </c>
    </row>
    <row r="238" spans="1:4" x14ac:dyDescent="0.25">
      <c r="A238" s="5" t="s">
        <v>583</v>
      </c>
      <c r="B238" s="6" t="s">
        <v>584</v>
      </c>
      <c r="C238" s="6" t="s">
        <v>284</v>
      </c>
      <c r="D238" s="7" t="str">
        <f t="shared" si="3"/>
        <v>k</v>
      </c>
    </row>
    <row r="239" spans="1:4" x14ac:dyDescent="0.25">
      <c r="A239" s="8" t="s">
        <v>585</v>
      </c>
      <c r="B239" s="9" t="s">
        <v>586</v>
      </c>
      <c r="C239" s="9" t="s">
        <v>47</v>
      </c>
      <c r="D239" s="7" t="str">
        <f t="shared" si="3"/>
        <v>m</v>
      </c>
    </row>
    <row r="240" spans="1:4" x14ac:dyDescent="0.25">
      <c r="A240" s="5" t="s">
        <v>587</v>
      </c>
      <c r="B240" s="6" t="s">
        <v>96</v>
      </c>
      <c r="C240" s="6" t="s">
        <v>121</v>
      </c>
      <c r="D240" s="7" t="str">
        <f t="shared" si="3"/>
        <v>m</v>
      </c>
    </row>
    <row r="241" spans="1:4" x14ac:dyDescent="0.25">
      <c r="A241" s="8" t="s">
        <v>588</v>
      </c>
      <c r="B241" s="9" t="s">
        <v>589</v>
      </c>
      <c r="C241" s="9" t="s">
        <v>298</v>
      </c>
      <c r="D241" s="7" t="str">
        <f t="shared" si="3"/>
        <v>k</v>
      </c>
    </row>
    <row r="242" spans="1:4" x14ac:dyDescent="0.25">
      <c r="A242" s="5" t="s">
        <v>590</v>
      </c>
      <c r="B242" s="6" t="s">
        <v>591</v>
      </c>
      <c r="C242" s="6" t="s">
        <v>166</v>
      </c>
      <c r="D242" s="7" t="str">
        <f t="shared" si="3"/>
        <v>m</v>
      </c>
    </row>
    <row r="243" spans="1:4" x14ac:dyDescent="0.25">
      <c r="A243" s="8" t="s">
        <v>592</v>
      </c>
      <c r="B243" s="9" t="s">
        <v>593</v>
      </c>
      <c r="C243" s="9" t="s">
        <v>92</v>
      </c>
      <c r="D243" s="7" t="str">
        <f t="shared" si="3"/>
        <v>m</v>
      </c>
    </row>
    <row r="244" spans="1:4" x14ac:dyDescent="0.25">
      <c r="A244" s="5" t="s">
        <v>594</v>
      </c>
      <c r="B244" s="6" t="s">
        <v>595</v>
      </c>
      <c r="C244" s="6" t="s">
        <v>596</v>
      </c>
      <c r="D244" s="7" t="str">
        <f t="shared" si="3"/>
        <v>m</v>
      </c>
    </row>
    <row r="245" spans="1:4" x14ac:dyDescent="0.25">
      <c r="A245" s="8" t="s">
        <v>597</v>
      </c>
      <c r="B245" s="9" t="s">
        <v>598</v>
      </c>
      <c r="C245" s="9" t="s">
        <v>17</v>
      </c>
      <c r="D245" s="7" t="str">
        <f t="shared" si="3"/>
        <v>m</v>
      </c>
    </row>
    <row r="246" spans="1:4" x14ac:dyDescent="0.25">
      <c r="A246" s="5" t="s">
        <v>599</v>
      </c>
      <c r="B246" s="6" t="s">
        <v>600</v>
      </c>
      <c r="C246" s="6" t="s">
        <v>70</v>
      </c>
      <c r="D246" s="7" t="str">
        <f t="shared" si="3"/>
        <v>k</v>
      </c>
    </row>
    <row r="247" spans="1:4" x14ac:dyDescent="0.25">
      <c r="A247" s="8" t="s">
        <v>601</v>
      </c>
      <c r="B247" s="9" t="s">
        <v>602</v>
      </c>
      <c r="C247" s="9" t="s">
        <v>137</v>
      </c>
      <c r="D247" s="7" t="str">
        <f t="shared" si="3"/>
        <v>k</v>
      </c>
    </row>
    <row r="248" spans="1:4" x14ac:dyDescent="0.25">
      <c r="A248" s="5" t="s">
        <v>603</v>
      </c>
      <c r="B248" s="6" t="s">
        <v>604</v>
      </c>
      <c r="C248" s="6" t="s">
        <v>233</v>
      </c>
      <c r="D248" s="7" t="str">
        <f t="shared" si="3"/>
        <v>k</v>
      </c>
    </row>
    <row r="249" spans="1:4" x14ac:dyDescent="0.25">
      <c r="A249" s="8" t="s">
        <v>605</v>
      </c>
      <c r="B249" s="9" t="s">
        <v>606</v>
      </c>
      <c r="C249" s="9" t="s">
        <v>607</v>
      </c>
      <c r="D249" s="7" t="str">
        <f t="shared" si="3"/>
        <v>k</v>
      </c>
    </row>
    <row r="250" spans="1:4" x14ac:dyDescent="0.25">
      <c r="A250" s="5" t="s">
        <v>608</v>
      </c>
      <c r="B250" s="6" t="s">
        <v>609</v>
      </c>
      <c r="C250" s="6" t="s">
        <v>53</v>
      </c>
      <c r="D250" s="7" t="str">
        <f t="shared" si="3"/>
        <v>m</v>
      </c>
    </row>
    <row r="251" spans="1:4" x14ac:dyDescent="0.25">
      <c r="A251" s="8" t="s">
        <v>610</v>
      </c>
      <c r="B251" s="9" t="s">
        <v>611</v>
      </c>
      <c r="C251" s="9" t="s">
        <v>241</v>
      </c>
      <c r="D251" s="7" t="str">
        <f t="shared" si="3"/>
        <v>k</v>
      </c>
    </row>
    <row r="252" spans="1:4" x14ac:dyDescent="0.25">
      <c r="A252" s="5" t="s">
        <v>612</v>
      </c>
      <c r="B252" s="6" t="s">
        <v>353</v>
      </c>
      <c r="C252" s="6" t="s">
        <v>187</v>
      </c>
      <c r="D252" s="7" t="str">
        <f t="shared" si="3"/>
        <v>k</v>
      </c>
    </row>
    <row r="253" spans="1:4" x14ac:dyDescent="0.25">
      <c r="A253" s="8" t="s">
        <v>613</v>
      </c>
      <c r="B253" s="9" t="s">
        <v>614</v>
      </c>
      <c r="C253" s="9" t="s">
        <v>295</v>
      </c>
      <c r="D253" s="7" t="str">
        <f t="shared" si="3"/>
        <v>k</v>
      </c>
    </row>
    <row r="254" spans="1:4" x14ac:dyDescent="0.25">
      <c r="A254" s="5" t="s">
        <v>615</v>
      </c>
      <c r="B254" s="6" t="s">
        <v>616</v>
      </c>
      <c r="C254" s="6" t="s">
        <v>617</v>
      </c>
      <c r="D254" s="7" t="str">
        <f t="shared" si="3"/>
        <v>k</v>
      </c>
    </row>
    <row r="255" spans="1:4" x14ac:dyDescent="0.25">
      <c r="A255" s="8" t="s">
        <v>618</v>
      </c>
      <c r="B255" s="9" t="s">
        <v>619</v>
      </c>
      <c r="C255" s="9" t="s">
        <v>340</v>
      </c>
      <c r="D255" s="7" t="str">
        <f t="shared" si="3"/>
        <v>k</v>
      </c>
    </row>
    <row r="256" spans="1:4" x14ac:dyDescent="0.25">
      <c r="A256" s="5" t="s">
        <v>620</v>
      </c>
      <c r="B256" s="6" t="s">
        <v>621</v>
      </c>
      <c r="C256" s="6" t="s">
        <v>241</v>
      </c>
      <c r="D256" s="7" t="str">
        <f t="shared" si="3"/>
        <v>k</v>
      </c>
    </row>
    <row r="257" spans="1:4" x14ac:dyDescent="0.25">
      <c r="A257" s="8" t="s">
        <v>622</v>
      </c>
      <c r="B257" s="9" t="s">
        <v>623</v>
      </c>
      <c r="C257" s="9" t="s">
        <v>624</v>
      </c>
      <c r="D257" s="7" t="str">
        <f t="shared" si="3"/>
        <v>m</v>
      </c>
    </row>
    <row r="258" spans="1:4" x14ac:dyDescent="0.25">
      <c r="A258" s="5" t="s">
        <v>625</v>
      </c>
      <c r="B258" s="6" t="s">
        <v>626</v>
      </c>
      <c r="C258" s="6" t="s">
        <v>627</v>
      </c>
      <c r="D258" s="7" t="str">
        <f t="shared" ref="D258:D321" si="4">IF(MOD(LEFT(RIGHT(A258,2),1),2)=0,"k","m")</f>
        <v>m</v>
      </c>
    </row>
    <row r="259" spans="1:4" x14ac:dyDescent="0.25">
      <c r="A259" s="8" t="s">
        <v>628</v>
      </c>
      <c r="B259" s="9" t="s">
        <v>629</v>
      </c>
      <c r="C259" s="9" t="s">
        <v>630</v>
      </c>
      <c r="D259" s="7" t="str">
        <f t="shared" si="4"/>
        <v>k</v>
      </c>
    </row>
    <row r="260" spans="1:4" x14ac:dyDescent="0.25">
      <c r="A260" s="5" t="s">
        <v>631</v>
      </c>
      <c r="B260" s="6" t="s">
        <v>235</v>
      </c>
      <c r="C260" s="6" t="s">
        <v>5</v>
      </c>
      <c r="D260" s="7" t="str">
        <f t="shared" si="4"/>
        <v>m</v>
      </c>
    </row>
    <row r="261" spans="1:4" x14ac:dyDescent="0.25">
      <c r="A261" s="8" t="s">
        <v>632</v>
      </c>
      <c r="B261" s="9" t="s">
        <v>633</v>
      </c>
      <c r="C261" s="9" t="s">
        <v>233</v>
      </c>
      <c r="D261" s="7" t="str">
        <f t="shared" si="4"/>
        <v>k</v>
      </c>
    </row>
    <row r="262" spans="1:4" x14ac:dyDescent="0.25">
      <c r="A262" s="5" t="s">
        <v>634</v>
      </c>
      <c r="B262" s="6" t="s">
        <v>635</v>
      </c>
      <c r="C262" s="6" t="s">
        <v>194</v>
      </c>
      <c r="D262" s="7" t="str">
        <f t="shared" si="4"/>
        <v>k</v>
      </c>
    </row>
    <row r="263" spans="1:4" x14ac:dyDescent="0.25">
      <c r="A263" s="8" t="s">
        <v>636</v>
      </c>
      <c r="B263" s="9" t="s">
        <v>637</v>
      </c>
      <c r="C263" s="9" t="s">
        <v>382</v>
      </c>
      <c r="D263" s="7" t="str">
        <f t="shared" si="4"/>
        <v>k</v>
      </c>
    </row>
    <row r="264" spans="1:4" x14ac:dyDescent="0.25">
      <c r="A264" s="5" t="s">
        <v>638</v>
      </c>
      <c r="B264" s="6" t="s">
        <v>639</v>
      </c>
      <c r="C264" s="6" t="s">
        <v>640</v>
      </c>
      <c r="D264" s="7" t="str">
        <f t="shared" si="4"/>
        <v>m</v>
      </c>
    </row>
    <row r="265" spans="1:4" x14ac:dyDescent="0.25">
      <c r="A265" s="8" t="s">
        <v>641</v>
      </c>
      <c r="B265" s="9" t="s">
        <v>642</v>
      </c>
      <c r="C265" s="9" t="s">
        <v>485</v>
      </c>
      <c r="D265" s="7" t="str">
        <f t="shared" si="4"/>
        <v>m</v>
      </c>
    </row>
    <row r="266" spans="1:4" x14ac:dyDescent="0.25">
      <c r="A266" s="5" t="s">
        <v>643</v>
      </c>
      <c r="B266" s="6" t="s">
        <v>644</v>
      </c>
      <c r="C266" s="6" t="s">
        <v>56</v>
      </c>
      <c r="D266" s="7" t="str">
        <f t="shared" si="4"/>
        <v>k</v>
      </c>
    </row>
    <row r="267" spans="1:4" x14ac:dyDescent="0.25">
      <c r="A267" s="8" t="s">
        <v>645</v>
      </c>
      <c r="B267" s="9" t="s">
        <v>646</v>
      </c>
      <c r="C267" s="9" t="s">
        <v>345</v>
      </c>
      <c r="D267" s="7" t="str">
        <f t="shared" si="4"/>
        <v>k</v>
      </c>
    </row>
    <row r="268" spans="1:4" x14ac:dyDescent="0.25">
      <c r="A268" s="5" t="s">
        <v>647</v>
      </c>
      <c r="B268" s="6" t="s">
        <v>648</v>
      </c>
      <c r="C268" s="6" t="s">
        <v>448</v>
      </c>
      <c r="D268" s="7" t="str">
        <f t="shared" si="4"/>
        <v>k</v>
      </c>
    </row>
    <row r="269" spans="1:4" x14ac:dyDescent="0.25">
      <c r="A269" s="8" t="s">
        <v>649</v>
      </c>
      <c r="B269" s="9" t="s">
        <v>650</v>
      </c>
      <c r="C269" s="9" t="s">
        <v>651</v>
      </c>
      <c r="D269" s="7" t="str">
        <f t="shared" si="4"/>
        <v>k</v>
      </c>
    </row>
    <row r="270" spans="1:4" x14ac:dyDescent="0.25">
      <c r="A270" s="5" t="s">
        <v>652</v>
      </c>
      <c r="B270" s="6" t="s">
        <v>653</v>
      </c>
      <c r="C270" s="6" t="s">
        <v>345</v>
      </c>
      <c r="D270" s="7" t="str">
        <f t="shared" si="4"/>
        <v>k</v>
      </c>
    </row>
    <row r="271" spans="1:4" x14ac:dyDescent="0.25">
      <c r="A271" s="8" t="s">
        <v>654</v>
      </c>
      <c r="B271" s="9" t="s">
        <v>655</v>
      </c>
      <c r="C271" s="9" t="s">
        <v>416</v>
      </c>
      <c r="D271" s="7" t="str">
        <f t="shared" si="4"/>
        <v>k</v>
      </c>
    </row>
    <row r="272" spans="1:4" x14ac:dyDescent="0.25">
      <c r="A272" s="5" t="s">
        <v>656</v>
      </c>
      <c r="B272" s="6" t="s">
        <v>657</v>
      </c>
      <c r="C272" s="6" t="s">
        <v>121</v>
      </c>
      <c r="D272" s="7" t="str">
        <f t="shared" si="4"/>
        <v>m</v>
      </c>
    </row>
    <row r="273" spans="1:4" x14ac:dyDescent="0.25">
      <c r="A273" s="8" t="s">
        <v>658</v>
      </c>
      <c r="B273" s="9" t="s">
        <v>659</v>
      </c>
      <c r="C273" s="9" t="s">
        <v>44</v>
      </c>
      <c r="D273" s="7" t="str">
        <f t="shared" si="4"/>
        <v>m</v>
      </c>
    </row>
    <row r="274" spans="1:4" x14ac:dyDescent="0.25">
      <c r="A274" s="5" t="s">
        <v>660</v>
      </c>
      <c r="B274" s="6" t="s">
        <v>661</v>
      </c>
      <c r="C274" s="6" t="s">
        <v>413</v>
      </c>
      <c r="D274" s="7" t="str">
        <f t="shared" si="4"/>
        <v>k</v>
      </c>
    </row>
    <row r="275" spans="1:4" x14ac:dyDescent="0.25">
      <c r="A275" s="8" t="s">
        <v>662</v>
      </c>
      <c r="B275" s="9" t="s">
        <v>663</v>
      </c>
      <c r="C275" s="9" t="s">
        <v>323</v>
      </c>
      <c r="D275" s="7" t="str">
        <f t="shared" si="4"/>
        <v>k</v>
      </c>
    </row>
    <row r="276" spans="1:4" x14ac:dyDescent="0.25">
      <c r="A276" s="5" t="s">
        <v>664</v>
      </c>
      <c r="B276" s="6" t="s">
        <v>665</v>
      </c>
      <c r="C276" s="6" t="s">
        <v>666</v>
      </c>
      <c r="D276" s="7" t="str">
        <f t="shared" si="4"/>
        <v>m</v>
      </c>
    </row>
    <row r="277" spans="1:4" x14ac:dyDescent="0.25">
      <c r="A277" s="8" t="s">
        <v>667</v>
      </c>
      <c r="B277" s="9" t="s">
        <v>668</v>
      </c>
      <c r="C277" s="9" t="s">
        <v>131</v>
      </c>
      <c r="D277" s="7" t="str">
        <f t="shared" si="4"/>
        <v>k</v>
      </c>
    </row>
    <row r="278" spans="1:4" x14ac:dyDescent="0.25">
      <c r="A278" s="5" t="s">
        <v>669</v>
      </c>
      <c r="B278" s="6" t="s">
        <v>670</v>
      </c>
      <c r="C278" s="6" t="s">
        <v>671</v>
      </c>
      <c r="D278" s="7" t="str">
        <f t="shared" si="4"/>
        <v>m</v>
      </c>
    </row>
    <row r="279" spans="1:4" x14ac:dyDescent="0.25">
      <c r="A279" s="8" t="s">
        <v>672</v>
      </c>
      <c r="B279" s="9" t="s">
        <v>673</v>
      </c>
      <c r="C279" s="9" t="s">
        <v>73</v>
      </c>
      <c r="D279" s="7" t="str">
        <f t="shared" si="4"/>
        <v>m</v>
      </c>
    </row>
    <row r="280" spans="1:4" x14ac:dyDescent="0.25">
      <c r="A280" s="5" t="s">
        <v>674</v>
      </c>
      <c r="B280" s="6" t="s">
        <v>675</v>
      </c>
      <c r="C280" s="6" t="s">
        <v>64</v>
      </c>
      <c r="D280" s="7" t="str">
        <f t="shared" si="4"/>
        <v>m</v>
      </c>
    </row>
    <row r="281" spans="1:4" x14ac:dyDescent="0.25">
      <c r="A281" s="8" t="s">
        <v>676</v>
      </c>
      <c r="B281" s="9" t="s">
        <v>677</v>
      </c>
      <c r="C281" s="9" t="s">
        <v>105</v>
      </c>
      <c r="D281" s="7" t="str">
        <f t="shared" si="4"/>
        <v>m</v>
      </c>
    </row>
    <row r="282" spans="1:4" x14ac:dyDescent="0.25">
      <c r="A282" s="5" t="s">
        <v>678</v>
      </c>
      <c r="B282" s="6" t="s">
        <v>679</v>
      </c>
      <c r="C282" s="6" t="s">
        <v>73</v>
      </c>
      <c r="D282" s="7" t="str">
        <f t="shared" si="4"/>
        <v>m</v>
      </c>
    </row>
    <row r="283" spans="1:4" x14ac:dyDescent="0.25">
      <c r="A283" s="8" t="s">
        <v>680</v>
      </c>
      <c r="B283" s="9" t="s">
        <v>681</v>
      </c>
      <c r="C283" s="9" t="s">
        <v>499</v>
      </c>
      <c r="D283" s="7" t="str">
        <f t="shared" si="4"/>
        <v>m</v>
      </c>
    </row>
    <row r="284" spans="1:4" x14ac:dyDescent="0.25">
      <c r="A284" s="5" t="s">
        <v>682</v>
      </c>
      <c r="B284" s="6" t="s">
        <v>683</v>
      </c>
      <c r="C284" s="6" t="s">
        <v>73</v>
      </c>
      <c r="D284" s="7" t="str">
        <f t="shared" si="4"/>
        <v>m</v>
      </c>
    </row>
    <row r="285" spans="1:4" x14ac:dyDescent="0.25">
      <c r="A285" s="8" t="s">
        <v>684</v>
      </c>
      <c r="B285" s="9" t="s">
        <v>685</v>
      </c>
      <c r="C285" s="9" t="s">
        <v>485</v>
      </c>
      <c r="D285" s="7" t="str">
        <f t="shared" si="4"/>
        <v>m</v>
      </c>
    </row>
    <row r="286" spans="1:4" x14ac:dyDescent="0.25">
      <c r="A286" s="5" t="s">
        <v>686</v>
      </c>
      <c r="B286" s="6" t="s">
        <v>687</v>
      </c>
      <c r="C286" s="6" t="s">
        <v>92</v>
      </c>
      <c r="D286" s="7" t="str">
        <f t="shared" si="4"/>
        <v>m</v>
      </c>
    </row>
    <row r="287" spans="1:4" x14ac:dyDescent="0.25">
      <c r="A287" s="8" t="s">
        <v>688</v>
      </c>
      <c r="B287" s="9" t="s">
        <v>689</v>
      </c>
      <c r="C287" s="9" t="s">
        <v>564</v>
      </c>
      <c r="D287" s="7" t="str">
        <f t="shared" si="4"/>
        <v>k</v>
      </c>
    </row>
    <row r="288" spans="1:4" x14ac:dyDescent="0.25">
      <c r="A288" s="5" t="s">
        <v>690</v>
      </c>
      <c r="B288" s="6" t="s">
        <v>691</v>
      </c>
      <c r="C288" s="6" t="s">
        <v>692</v>
      </c>
      <c r="D288" s="7" t="str">
        <f t="shared" si="4"/>
        <v>m</v>
      </c>
    </row>
    <row r="289" spans="1:4" x14ac:dyDescent="0.25">
      <c r="A289" s="8" t="s">
        <v>693</v>
      </c>
      <c r="B289" s="9" t="s">
        <v>694</v>
      </c>
      <c r="C289" s="9" t="s">
        <v>214</v>
      </c>
      <c r="D289" s="7" t="str">
        <f t="shared" si="4"/>
        <v>k</v>
      </c>
    </row>
    <row r="290" spans="1:4" x14ac:dyDescent="0.25">
      <c r="A290" s="5" t="s">
        <v>695</v>
      </c>
      <c r="B290" s="6" t="s">
        <v>350</v>
      </c>
      <c r="C290" s="6" t="s">
        <v>351</v>
      </c>
      <c r="D290" s="7" t="str">
        <f t="shared" si="4"/>
        <v>k</v>
      </c>
    </row>
    <row r="291" spans="1:4" x14ac:dyDescent="0.25">
      <c r="A291" s="8" t="s">
        <v>696</v>
      </c>
      <c r="B291" s="9" t="s">
        <v>697</v>
      </c>
      <c r="C291" s="9" t="s">
        <v>111</v>
      </c>
      <c r="D291" s="7" t="str">
        <f t="shared" si="4"/>
        <v>k</v>
      </c>
    </row>
    <row r="292" spans="1:4" x14ac:dyDescent="0.25">
      <c r="A292" s="5" t="s">
        <v>698</v>
      </c>
      <c r="B292" s="6" t="s">
        <v>699</v>
      </c>
      <c r="C292" s="6" t="s">
        <v>166</v>
      </c>
      <c r="D292" s="7" t="str">
        <f t="shared" si="4"/>
        <v>m</v>
      </c>
    </row>
    <row r="293" spans="1:4" x14ac:dyDescent="0.25">
      <c r="A293" s="8" t="s">
        <v>700</v>
      </c>
      <c r="B293" s="9" t="s">
        <v>701</v>
      </c>
      <c r="C293" s="9" t="s">
        <v>702</v>
      </c>
      <c r="D293" s="7" t="str">
        <f t="shared" si="4"/>
        <v>k</v>
      </c>
    </row>
    <row r="294" spans="1:4" x14ac:dyDescent="0.25">
      <c r="A294" s="5" t="s">
        <v>703</v>
      </c>
      <c r="B294" s="6" t="s">
        <v>704</v>
      </c>
      <c r="C294" s="6" t="s">
        <v>419</v>
      </c>
      <c r="D294" s="7" t="str">
        <f t="shared" si="4"/>
        <v>k</v>
      </c>
    </row>
    <row r="295" spans="1:4" x14ac:dyDescent="0.25">
      <c r="A295" s="8" t="s">
        <v>705</v>
      </c>
      <c r="B295" s="9" t="s">
        <v>271</v>
      </c>
      <c r="C295" s="9" t="s">
        <v>78</v>
      </c>
      <c r="D295" s="7" t="str">
        <f t="shared" si="4"/>
        <v>k</v>
      </c>
    </row>
    <row r="296" spans="1:4" x14ac:dyDescent="0.25">
      <c r="A296" s="5" t="s">
        <v>706</v>
      </c>
      <c r="B296" s="6" t="s">
        <v>707</v>
      </c>
      <c r="C296" s="6" t="s">
        <v>108</v>
      </c>
      <c r="D296" s="7" t="str">
        <f t="shared" si="4"/>
        <v>m</v>
      </c>
    </row>
    <row r="297" spans="1:4" x14ac:dyDescent="0.25">
      <c r="A297" s="8" t="s">
        <v>708</v>
      </c>
      <c r="B297" s="9" t="s">
        <v>709</v>
      </c>
      <c r="C297" s="9" t="s">
        <v>246</v>
      </c>
      <c r="D297" s="7" t="str">
        <f t="shared" si="4"/>
        <v>m</v>
      </c>
    </row>
    <row r="298" spans="1:4" x14ac:dyDescent="0.25">
      <c r="A298" s="5" t="s">
        <v>710</v>
      </c>
      <c r="B298" s="6" t="s">
        <v>711</v>
      </c>
      <c r="C298" s="6" t="s">
        <v>108</v>
      </c>
      <c r="D298" s="7" t="str">
        <f t="shared" si="4"/>
        <v>m</v>
      </c>
    </row>
    <row r="299" spans="1:4" x14ac:dyDescent="0.25">
      <c r="A299" s="8" t="s">
        <v>712</v>
      </c>
      <c r="B299" s="9" t="s">
        <v>174</v>
      </c>
      <c r="C299" s="9" t="s">
        <v>219</v>
      </c>
      <c r="D299" s="7" t="str">
        <f t="shared" si="4"/>
        <v>m</v>
      </c>
    </row>
    <row r="300" spans="1:4" x14ac:dyDescent="0.25">
      <c r="A300" s="5" t="s">
        <v>713</v>
      </c>
      <c r="B300" s="6" t="s">
        <v>714</v>
      </c>
      <c r="C300" s="6" t="s">
        <v>156</v>
      </c>
      <c r="D300" s="7" t="str">
        <f t="shared" si="4"/>
        <v>m</v>
      </c>
    </row>
    <row r="301" spans="1:4" x14ac:dyDescent="0.25">
      <c r="A301" s="8" t="s">
        <v>715</v>
      </c>
      <c r="B301" s="9" t="s">
        <v>716</v>
      </c>
      <c r="C301" s="9" t="s">
        <v>413</v>
      </c>
      <c r="D301" s="7" t="str">
        <f t="shared" si="4"/>
        <v>k</v>
      </c>
    </row>
    <row r="302" spans="1:4" x14ac:dyDescent="0.25">
      <c r="A302" s="5" t="s">
        <v>717</v>
      </c>
      <c r="B302" s="6" t="s">
        <v>718</v>
      </c>
      <c r="C302" s="6" t="s">
        <v>25</v>
      </c>
      <c r="D302" s="7" t="str">
        <f t="shared" si="4"/>
        <v>m</v>
      </c>
    </row>
    <row r="303" spans="1:4" x14ac:dyDescent="0.25">
      <c r="A303" s="8" t="s">
        <v>719</v>
      </c>
      <c r="B303" s="9" t="s">
        <v>720</v>
      </c>
      <c r="C303" s="9" t="s">
        <v>721</v>
      </c>
      <c r="D303" s="7" t="str">
        <f t="shared" si="4"/>
        <v>k</v>
      </c>
    </row>
    <row r="304" spans="1:4" x14ac:dyDescent="0.25">
      <c r="A304" s="5" t="s">
        <v>722</v>
      </c>
      <c r="B304" s="6" t="s">
        <v>723</v>
      </c>
      <c r="C304" s="6" t="s">
        <v>47</v>
      </c>
      <c r="D304" s="7" t="str">
        <f t="shared" si="4"/>
        <v>m</v>
      </c>
    </row>
    <row r="305" spans="1:4" x14ac:dyDescent="0.25">
      <c r="A305" s="8" t="s">
        <v>724</v>
      </c>
      <c r="B305" s="9" t="s">
        <v>725</v>
      </c>
      <c r="C305" s="9" t="s">
        <v>419</v>
      </c>
      <c r="D305" s="7" t="str">
        <f t="shared" si="4"/>
        <v>k</v>
      </c>
    </row>
    <row r="306" spans="1:4" x14ac:dyDescent="0.25">
      <c r="A306" s="5" t="s">
        <v>726</v>
      </c>
      <c r="B306" s="6" t="s">
        <v>415</v>
      </c>
      <c r="C306" s="6" t="s">
        <v>214</v>
      </c>
      <c r="D306" s="7" t="str">
        <f t="shared" si="4"/>
        <v>k</v>
      </c>
    </row>
    <row r="307" spans="1:4" x14ac:dyDescent="0.25">
      <c r="A307" s="8" t="s">
        <v>727</v>
      </c>
      <c r="B307" s="9" t="s">
        <v>728</v>
      </c>
      <c r="C307" s="9" t="s">
        <v>729</v>
      </c>
      <c r="D307" s="7" t="str">
        <f t="shared" si="4"/>
        <v>k</v>
      </c>
    </row>
    <row r="308" spans="1:4" x14ac:dyDescent="0.25">
      <c r="A308" s="5" t="s">
        <v>730</v>
      </c>
      <c r="B308" s="6" t="s">
        <v>731</v>
      </c>
      <c r="C308" s="6" t="s">
        <v>111</v>
      </c>
      <c r="D308" s="7" t="str">
        <f t="shared" si="4"/>
        <v>k</v>
      </c>
    </row>
    <row r="309" spans="1:4" x14ac:dyDescent="0.25">
      <c r="A309" s="8" t="s">
        <v>732</v>
      </c>
      <c r="B309" s="9" t="s">
        <v>733</v>
      </c>
      <c r="C309" s="9" t="s">
        <v>734</v>
      </c>
      <c r="D309" s="7" t="str">
        <f t="shared" si="4"/>
        <v>m</v>
      </c>
    </row>
    <row r="310" spans="1:4" x14ac:dyDescent="0.25">
      <c r="A310" s="5" t="s">
        <v>735</v>
      </c>
      <c r="B310" s="6" t="s">
        <v>120</v>
      </c>
      <c r="C310" s="6" t="s">
        <v>73</v>
      </c>
      <c r="D310" s="7" t="str">
        <f t="shared" si="4"/>
        <v>m</v>
      </c>
    </row>
    <row r="311" spans="1:4" x14ac:dyDescent="0.25">
      <c r="A311" s="8" t="s">
        <v>736</v>
      </c>
      <c r="B311" s="9" t="s">
        <v>685</v>
      </c>
      <c r="C311" s="9" t="s">
        <v>219</v>
      </c>
      <c r="D311" s="7" t="str">
        <f t="shared" si="4"/>
        <v>m</v>
      </c>
    </row>
    <row r="312" spans="1:4" x14ac:dyDescent="0.25">
      <c r="A312" s="5" t="s">
        <v>737</v>
      </c>
      <c r="B312" s="6" t="s">
        <v>738</v>
      </c>
      <c r="C312" s="6" t="s">
        <v>194</v>
      </c>
      <c r="D312" s="7" t="str">
        <f t="shared" si="4"/>
        <v>k</v>
      </c>
    </row>
    <row r="313" spans="1:4" x14ac:dyDescent="0.25">
      <c r="A313" s="8" t="s">
        <v>739</v>
      </c>
      <c r="B313" s="9" t="s">
        <v>740</v>
      </c>
      <c r="C313" s="9" t="s">
        <v>131</v>
      </c>
      <c r="D313" s="7" t="str">
        <f t="shared" si="4"/>
        <v>k</v>
      </c>
    </row>
    <row r="314" spans="1:4" x14ac:dyDescent="0.25">
      <c r="A314" s="5" t="s">
        <v>741</v>
      </c>
      <c r="B314" s="6" t="s">
        <v>742</v>
      </c>
      <c r="C314" s="6" t="s">
        <v>89</v>
      </c>
      <c r="D314" s="7" t="str">
        <f t="shared" si="4"/>
        <v>k</v>
      </c>
    </row>
    <row r="315" spans="1:4" x14ac:dyDescent="0.25">
      <c r="A315" s="8" t="s">
        <v>743</v>
      </c>
      <c r="B315" s="9" t="s">
        <v>744</v>
      </c>
      <c r="C315" s="9" t="s">
        <v>241</v>
      </c>
      <c r="D315" s="7" t="str">
        <f t="shared" si="4"/>
        <v>k</v>
      </c>
    </row>
    <row r="316" spans="1:4" x14ac:dyDescent="0.25">
      <c r="A316" s="5" t="s">
        <v>745</v>
      </c>
      <c r="B316" s="6" t="s">
        <v>746</v>
      </c>
      <c r="C316" s="6" t="s">
        <v>345</v>
      </c>
      <c r="D316" s="7" t="str">
        <f t="shared" si="4"/>
        <v>k</v>
      </c>
    </row>
    <row r="317" spans="1:4" x14ac:dyDescent="0.25">
      <c r="A317" s="8" t="s">
        <v>747</v>
      </c>
      <c r="B317" s="9" t="s">
        <v>207</v>
      </c>
      <c r="C317" s="9" t="s">
        <v>208</v>
      </c>
      <c r="D317" s="7" t="str">
        <f t="shared" si="4"/>
        <v>m</v>
      </c>
    </row>
    <row r="318" spans="1:4" x14ac:dyDescent="0.25">
      <c r="A318" s="5" t="s">
        <v>748</v>
      </c>
      <c r="B318" s="6" t="s">
        <v>749</v>
      </c>
      <c r="C318" s="6" t="s">
        <v>413</v>
      </c>
      <c r="D318" s="7" t="str">
        <f t="shared" si="4"/>
        <v>k</v>
      </c>
    </row>
    <row r="319" spans="1:4" x14ac:dyDescent="0.25">
      <c r="A319" s="8" t="s">
        <v>750</v>
      </c>
      <c r="B319" s="9" t="s">
        <v>751</v>
      </c>
      <c r="C319" s="9" t="s">
        <v>416</v>
      </c>
      <c r="D319" s="7" t="str">
        <f t="shared" si="4"/>
        <v>k</v>
      </c>
    </row>
    <row r="320" spans="1:4" x14ac:dyDescent="0.25">
      <c r="A320" s="5" t="s">
        <v>752</v>
      </c>
      <c r="B320" s="6" t="s">
        <v>753</v>
      </c>
      <c r="C320" s="6" t="s">
        <v>754</v>
      </c>
      <c r="D320" s="7" t="str">
        <f t="shared" si="4"/>
        <v>m</v>
      </c>
    </row>
    <row r="321" spans="1:4" x14ac:dyDescent="0.25">
      <c r="A321" s="8" t="s">
        <v>755</v>
      </c>
      <c r="B321" s="9" t="s">
        <v>107</v>
      </c>
      <c r="C321" s="9" t="s">
        <v>64</v>
      </c>
      <c r="D321" s="7" t="str">
        <f t="shared" si="4"/>
        <v>m</v>
      </c>
    </row>
    <row r="322" spans="1:4" x14ac:dyDescent="0.25">
      <c r="A322" s="5" t="s">
        <v>756</v>
      </c>
      <c r="B322" s="6" t="s">
        <v>757</v>
      </c>
      <c r="C322" s="6" t="s">
        <v>275</v>
      </c>
      <c r="D322" s="7" t="str">
        <f t="shared" ref="D322:D385" si="5">IF(MOD(LEFT(RIGHT(A322,2),1),2)=0,"k","m")</f>
        <v>k</v>
      </c>
    </row>
    <row r="323" spans="1:4" x14ac:dyDescent="0.25">
      <c r="A323" s="8" t="s">
        <v>758</v>
      </c>
      <c r="B323" s="9" t="s">
        <v>759</v>
      </c>
      <c r="C323" s="9" t="s">
        <v>760</v>
      </c>
      <c r="D323" s="7" t="str">
        <f t="shared" si="5"/>
        <v>m</v>
      </c>
    </row>
    <row r="324" spans="1:4" x14ac:dyDescent="0.25">
      <c r="A324" s="5" t="s">
        <v>761</v>
      </c>
      <c r="B324" s="6" t="s">
        <v>762</v>
      </c>
      <c r="C324" s="6" t="s">
        <v>86</v>
      </c>
      <c r="D324" s="7" t="str">
        <f t="shared" si="5"/>
        <v>k</v>
      </c>
    </row>
    <row r="325" spans="1:4" x14ac:dyDescent="0.25">
      <c r="A325" s="8" t="s">
        <v>763</v>
      </c>
      <c r="B325" s="9" t="s">
        <v>764</v>
      </c>
      <c r="C325" s="9" t="s">
        <v>323</v>
      </c>
      <c r="D325" s="7" t="str">
        <f t="shared" si="5"/>
        <v>k</v>
      </c>
    </row>
    <row r="326" spans="1:4" x14ac:dyDescent="0.25">
      <c r="A326" s="5" t="s">
        <v>765</v>
      </c>
      <c r="B326" s="6" t="s">
        <v>766</v>
      </c>
      <c r="C326" s="6" t="s">
        <v>767</v>
      </c>
      <c r="D326" s="7" t="str">
        <f t="shared" si="5"/>
        <v>k</v>
      </c>
    </row>
    <row r="327" spans="1:4" x14ac:dyDescent="0.25">
      <c r="A327" s="8" t="s">
        <v>768</v>
      </c>
      <c r="B327" s="9" t="s">
        <v>769</v>
      </c>
      <c r="C327" s="9" t="s">
        <v>393</v>
      </c>
      <c r="D327" s="7" t="str">
        <f t="shared" si="5"/>
        <v>k</v>
      </c>
    </row>
    <row r="328" spans="1:4" x14ac:dyDescent="0.25">
      <c r="A328" s="5" t="s">
        <v>770</v>
      </c>
      <c r="B328" s="6" t="s">
        <v>757</v>
      </c>
      <c r="C328" s="6" t="s">
        <v>108</v>
      </c>
      <c r="D328" s="7" t="str">
        <f t="shared" si="5"/>
        <v>m</v>
      </c>
    </row>
    <row r="329" spans="1:4" x14ac:dyDescent="0.25">
      <c r="A329" s="8" t="s">
        <v>771</v>
      </c>
      <c r="B329" s="9" t="s">
        <v>772</v>
      </c>
      <c r="C329" s="9" t="s">
        <v>485</v>
      </c>
      <c r="D329" s="7" t="str">
        <f t="shared" si="5"/>
        <v>m</v>
      </c>
    </row>
    <row r="330" spans="1:4" x14ac:dyDescent="0.25">
      <c r="A330" s="5" t="s">
        <v>773</v>
      </c>
      <c r="B330" s="6" t="s">
        <v>774</v>
      </c>
      <c r="C330" s="6" t="s">
        <v>39</v>
      </c>
      <c r="D330" s="7" t="str">
        <f t="shared" si="5"/>
        <v>m</v>
      </c>
    </row>
    <row r="331" spans="1:4" x14ac:dyDescent="0.25">
      <c r="A331" s="8" t="s">
        <v>775</v>
      </c>
      <c r="B331" s="9" t="s">
        <v>776</v>
      </c>
      <c r="C331" s="9" t="s">
        <v>121</v>
      </c>
      <c r="D331" s="7" t="str">
        <f t="shared" si="5"/>
        <v>m</v>
      </c>
    </row>
    <row r="332" spans="1:4" x14ac:dyDescent="0.25">
      <c r="A332" s="5" t="s">
        <v>777</v>
      </c>
      <c r="B332" s="6" t="s">
        <v>778</v>
      </c>
      <c r="C332" s="6" t="s">
        <v>266</v>
      </c>
      <c r="D332" s="7" t="str">
        <f t="shared" si="5"/>
        <v>k</v>
      </c>
    </row>
    <row r="333" spans="1:4" x14ac:dyDescent="0.25">
      <c r="A333" s="8" t="s">
        <v>779</v>
      </c>
      <c r="B333" s="9" t="s">
        <v>780</v>
      </c>
      <c r="C333" s="9" t="s">
        <v>111</v>
      </c>
      <c r="D333" s="7" t="str">
        <f t="shared" si="5"/>
        <v>k</v>
      </c>
    </row>
    <row r="334" spans="1:4" x14ac:dyDescent="0.25">
      <c r="A334" s="5" t="s">
        <v>781</v>
      </c>
      <c r="B334" s="6" t="s">
        <v>782</v>
      </c>
      <c r="C334" s="6" t="s">
        <v>56</v>
      </c>
      <c r="D334" s="7" t="str">
        <f t="shared" si="5"/>
        <v>k</v>
      </c>
    </row>
    <row r="335" spans="1:4" x14ac:dyDescent="0.25">
      <c r="A335" s="8" t="s">
        <v>783</v>
      </c>
      <c r="B335" s="9" t="s">
        <v>784</v>
      </c>
      <c r="C335" s="9" t="s">
        <v>202</v>
      </c>
      <c r="D335" s="7" t="str">
        <f t="shared" si="5"/>
        <v>m</v>
      </c>
    </row>
    <row r="336" spans="1:4" x14ac:dyDescent="0.25">
      <c r="A336" s="5" t="s">
        <v>785</v>
      </c>
      <c r="B336" s="6" t="s">
        <v>786</v>
      </c>
      <c r="C336" s="6" t="s">
        <v>787</v>
      </c>
      <c r="D336" s="7" t="str">
        <f t="shared" si="5"/>
        <v>k</v>
      </c>
    </row>
    <row r="337" spans="1:4" x14ac:dyDescent="0.25">
      <c r="A337" s="8" t="s">
        <v>788</v>
      </c>
      <c r="B337" s="9" t="s">
        <v>789</v>
      </c>
      <c r="C337" s="9" t="s">
        <v>345</v>
      </c>
      <c r="D337" s="7" t="str">
        <f t="shared" si="5"/>
        <v>k</v>
      </c>
    </row>
    <row r="338" spans="1:4" x14ac:dyDescent="0.25">
      <c r="A338" s="5" t="s">
        <v>790</v>
      </c>
      <c r="B338" s="6" t="s">
        <v>791</v>
      </c>
      <c r="C338" s="6" t="s">
        <v>260</v>
      </c>
      <c r="D338" s="7" t="str">
        <f t="shared" si="5"/>
        <v>m</v>
      </c>
    </row>
    <row r="339" spans="1:4" x14ac:dyDescent="0.25">
      <c r="A339" s="8" t="s">
        <v>792</v>
      </c>
      <c r="B339" s="9" t="s">
        <v>629</v>
      </c>
      <c r="C339" s="9" t="s">
        <v>793</v>
      </c>
      <c r="D339" s="7" t="str">
        <f t="shared" si="5"/>
        <v>m</v>
      </c>
    </row>
    <row r="340" spans="1:4" x14ac:dyDescent="0.25">
      <c r="A340" s="5" t="s">
        <v>794</v>
      </c>
      <c r="B340" s="6" t="s">
        <v>795</v>
      </c>
      <c r="C340" s="6" t="s">
        <v>108</v>
      </c>
      <c r="D340" s="7" t="str">
        <f t="shared" si="5"/>
        <v>m</v>
      </c>
    </row>
    <row r="341" spans="1:4" x14ac:dyDescent="0.25">
      <c r="A341" s="8" t="s">
        <v>796</v>
      </c>
      <c r="B341" s="9" t="s">
        <v>797</v>
      </c>
      <c r="C341" s="9" t="s">
        <v>78</v>
      </c>
      <c r="D341" s="7" t="str">
        <f t="shared" si="5"/>
        <v>k</v>
      </c>
    </row>
    <row r="342" spans="1:4" x14ac:dyDescent="0.25">
      <c r="A342" s="5" t="s">
        <v>798</v>
      </c>
      <c r="B342" s="6" t="s">
        <v>799</v>
      </c>
      <c r="C342" s="6" t="s">
        <v>105</v>
      </c>
      <c r="D342" s="7" t="str">
        <f t="shared" si="5"/>
        <v>m</v>
      </c>
    </row>
    <row r="343" spans="1:4" x14ac:dyDescent="0.25">
      <c r="A343" s="8" t="s">
        <v>800</v>
      </c>
      <c r="B343" s="9" t="s">
        <v>801</v>
      </c>
      <c r="C343" s="9" t="s">
        <v>105</v>
      </c>
      <c r="D343" s="7" t="str">
        <f t="shared" si="5"/>
        <v>m</v>
      </c>
    </row>
    <row r="344" spans="1:4" x14ac:dyDescent="0.25">
      <c r="A344" s="5" t="s">
        <v>802</v>
      </c>
      <c r="B344" s="6" t="s">
        <v>803</v>
      </c>
      <c r="C344" s="6" t="s">
        <v>11</v>
      </c>
      <c r="D344" s="7" t="str">
        <f t="shared" si="5"/>
        <v>m</v>
      </c>
    </row>
    <row r="345" spans="1:4" x14ac:dyDescent="0.25">
      <c r="A345" s="8" t="s">
        <v>804</v>
      </c>
      <c r="B345" s="9" t="s">
        <v>805</v>
      </c>
      <c r="C345" s="9" t="s">
        <v>359</v>
      </c>
      <c r="D345" s="7" t="str">
        <f t="shared" si="5"/>
        <v>k</v>
      </c>
    </row>
    <row r="346" spans="1:4" x14ac:dyDescent="0.25">
      <c r="A346" s="5" t="s">
        <v>806</v>
      </c>
      <c r="B346" s="6" t="s">
        <v>807</v>
      </c>
      <c r="C346" s="6" t="s">
        <v>382</v>
      </c>
      <c r="D346" s="7" t="str">
        <f t="shared" si="5"/>
        <v>k</v>
      </c>
    </row>
    <row r="347" spans="1:4" x14ac:dyDescent="0.25">
      <c r="A347" s="8" t="s">
        <v>808</v>
      </c>
      <c r="B347" s="9" t="s">
        <v>809</v>
      </c>
      <c r="C347" s="9" t="s">
        <v>505</v>
      </c>
      <c r="D347" s="7" t="str">
        <f t="shared" si="5"/>
        <v>m</v>
      </c>
    </row>
    <row r="348" spans="1:4" x14ac:dyDescent="0.25">
      <c r="A348" s="5" t="s">
        <v>810</v>
      </c>
      <c r="B348" s="6" t="s">
        <v>811</v>
      </c>
      <c r="C348" s="6" t="s">
        <v>812</v>
      </c>
      <c r="D348" s="7" t="str">
        <f t="shared" si="5"/>
        <v>m</v>
      </c>
    </row>
    <row r="349" spans="1:4" x14ac:dyDescent="0.25">
      <c r="A349" s="8" t="s">
        <v>813</v>
      </c>
      <c r="B349" s="9" t="s">
        <v>814</v>
      </c>
      <c r="C349" s="9" t="s">
        <v>92</v>
      </c>
      <c r="D349" s="7" t="str">
        <f t="shared" si="5"/>
        <v>m</v>
      </c>
    </row>
    <row r="350" spans="1:4" x14ac:dyDescent="0.25">
      <c r="A350" s="5" t="s">
        <v>815</v>
      </c>
      <c r="B350" s="6" t="s">
        <v>816</v>
      </c>
      <c r="C350" s="6" t="s">
        <v>166</v>
      </c>
      <c r="D350" s="7" t="str">
        <f t="shared" si="5"/>
        <v>m</v>
      </c>
    </row>
    <row r="351" spans="1:4" x14ac:dyDescent="0.25">
      <c r="A351" s="8" t="s">
        <v>817</v>
      </c>
      <c r="B351" s="9" t="s">
        <v>818</v>
      </c>
      <c r="C351" s="9" t="s">
        <v>20</v>
      </c>
      <c r="D351" s="7" t="str">
        <f t="shared" si="5"/>
        <v>m</v>
      </c>
    </row>
    <row r="352" spans="1:4" x14ac:dyDescent="0.25">
      <c r="A352" s="5" t="s">
        <v>819</v>
      </c>
      <c r="B352" s="6" t="s">
        <v>820</v>
      </c>
      <c r="C352" s="6" t="s">
        <v>821</v>
      </c>
      <c r="D352" s="7" t="str">
        <f t="shared" si="5"/>
        <v>m</v>
      </c>
    </row>
    <row r="353" spans="1:4" x14ac:dyDescent="0.25">
      <c r="A353" s="8" t="s">
        <v>822</v>
      </c>
      <c r="B353" s="9" t="s">
        <v>823</v>
      </c>
      <c r="C353" s="9" t="s">
        <v>824</v>
      </c>
      <c r="D353" s="7" t="str">
        <f t="shared" si="5"/>
        <v>k</v>
      </c>
    </row>
    <row r="354" spans="1:4" x14ac:dyDescent="0.25">
      <c r="A354" s="5" t="s">
        <v>825</v>
      </c>
      <c r="B354" s="6" t="s">
        <v>826</v>
      </c>
      <c r="C354" s="6" t="s">
        <v>17</v>
      </c>
      <c r="D354" s="7" t="str">
        <f t="shared" si="5"/>
        <v>m</v>
      </c>
    </row>
    <row r="355" spans="1:4" x14ac:dyDescent="0.25">
      <c r="A355" s="8" t="s">
        <v>827</v>
      </c>
      <c r="B355" s="9" t="s">
        <v>828</v>
      </c>
      <c r="C355" s="9" t="s">
        <v>829</v>
      </c>
      <c r="D355" s="7" t="str">
        <f t="shared" si="5"/>
        <v>k</v>
      </c>
    </row>
    <row r="356" spans="1:4" x14ac:dyDescent="0.25">
      <c r="A356" s="5" t="s">
        <v>830</v>
      </c>
      <c r="B356" s="6" t="s">
        <v>831</v>
      </c>
      <c r="C356" s="6" t="s">
        <v>832</v>
      </c>
      <c r="D356" s="7" t="str">
        <f t="shared" si="5"/>
        <v>m</v>
      </c>
    </row>
    <row r="357" spans="1:4" x14ac:dyDescent="0.25">
      <c r="A357" s="8" t="s">
        <v>833</v>
      </c>
      <c r="B357" s="9" t="s">
        <v>834</v>
      </c>
      <c r="C357" s="9" t="s">
        <v>61</v>
      </c>
      <c r="D357" s="7" t="str">
        <f t="shared" si="5"/>
        <v>m</v>
      </c>
    </row>
    <row r="358" spans="1:4" x14ac:dyDescent="0.25">
      <c r="A358" s="5" t="s">
        <v>835</v>
      </c>
      <c r="B358" s="6" t="s">
        <v>836</v>
      </c>
      <c r="C358" s="6" t="s">
        <v>829</v>
      </c>
      <c r="D358" s="7" t="str">
        <f t="shared" si="5"/>
        <v>k</v>
      </c>
    </row>
    <row r="359" spans="1:4" x14ac:dyDescent="0.25">
      <c r="A359" s="8" t="s">
        <v>837</v>
      </c>
      <c r="B359" s="9" t="s">
        <v>838</v>
      </c>
      <c r="C359" s="9" t="s">
        <v>147</v>
      </c>
      <c r="D359" s="7" t="str">
        <f t="shared" si="5"/>
        <v>k</v>
      </c>
    </row>
    <row r="360" spans="1:4" x14ac:dyDescent="0.25">
      <c r="A360" s="5" t="s">
        <v>839</v>
      </c>
      <c r="B360" s="6" t="s">
        <v>840</v>
      </c>
      <c r="C360" s="6" t="s">
        <v>841</v>
      </c>
      <c r="D360" s="7" t="str">
        <f t="shared" si="5"/>
        <v>m</v>
      </c>
    </row>
    <row r="361" spans="1:4" x14ac:dyDescent="0.25">
      <c r="A361" s="8" t="s">
        <v>842</v>
      </c>
      <c r="B361" s="9" t="s">
        <v>843</v>
      </c>
      <c r="C361" s="9" t="s">
        <v>841</v>
      </c>
      <c r="D361" s="7" t="str">
        <f t="shared" si="5"/>
        <v>m</v>
      </c>
    </row>
    <row r="362" spans="1:4" x14ac:dyDescent="0.25">
      <c r="A362" s="5" t="s">
        <v>844</v>
      </c>
      <c r="B362" s="6" t="s">
        <v>845</v>
      </c>
      <c r="C362" s="6" t="s">
        <v>416</v>
      </c>
      <c r="D362" s="7" t="str">
        <f t="shared" si="5"/>
        <v>k</v>
      </c>
    </row>
    <row r="363" spans="1:4" x14ac:dyDescent="0.25">
      <c r="A363" s="8" t="s">
        <v>846</v>
      </c>
      <c r="B363" s="9" t="s">
        <v>847</v>
      </c>
      <c r="C363" s="9" t="s">
        <v>848</v>
      </c>
      <c r="D363" s="7" t="str">
        <f t="shared" si="5"/>
        <v>m</v>
      </c>
    </row>
    <row r="364" spans="1:4" x14ac:dyDescent="0.25">
      <c r="A364" s="5" t="s">
        <v>849</v>
      </c>
      <c r="B364" s="6" t="s">
        <v>850</v>
      </c>
      <c r="C364" s="6" t="s">
        <v>485</v>
      </c>
      <c r="D364" s="7" t="str">
        <f t="shared" si="5"/>
        <v>m</v>
      </c>
    </row>
    <row r="365" spans="1:4" x14ac:dyDescent="0.25">
      <c r="A365" s="8" t="s">
        <v>851</v>
      </c>
      <c r="B365" s="9" t="s">
        <v>852</v>
      </c>
      <c r="C365" s="9" t="s">
        <v>121</v>
      </c>
      <c r="D365" s="7" t="str">
        <f t="shared" si="5"/>
        <v>m</v>
      </c>
    </row>
    <row r="366" spans="1:4" x14ac:dyDescent="0.25">
      <c r="A366" s="5" t="s">
        <v>853</v>
      </c>
      <c r="B366" s="6" t="s">
        <v>854</v>
      </c>
      <c r="C366" s="6" t="s">
        <v>855</v>
      </c>
      <c r="D366" s="7" t="str">
        <f t="shared" si="5"/>
        <v>m</v>
      </c>
    </row>
    <row r="367" spans="1:4" x14ac:dyDescent="0.25">
      <c r="A367" s="8" t="s">
        <v>856</v>
      </c>
      <c r="B367" s="9" t="s">
        <v>857</v>
      </c>
      <c r="C367" s="9" t="s">
        <v>309</v>
      </c>
      <c r="D367" s="7" t="str">
        <f t="shared" si="5"/>
        <v>k</v>
      </c>
    </row>
    <row r="368" spans="1:4" x14ac:dyDescent="0.25">
      <c r="A368" s="5" t="s">
        <v>858</v>
      </c>
      <c r="B368" s="6" t="s">
        <v>859</v>
      </c>
      <c r="C368" s="6" t="s">
        <v>860</v>
      </c>
      <c r="D368" s="7" t="str">
        <f t="shared" si="5"/>
        <v>m</v>
      </c>
    </row>
    <row r="369" spans="1:4" x14ac:dyDescent="0.25">
      <c r="A369" s="8" t="s">
        <v>861</v>
      </c>
      <c r="B369" s="9" t="s">
        <v>862</v>
      </c>
      <c r="C369" s="9" t="s">
        <v>73</v>
      </c>
      <c r="D369" s="7" t="str">
        <f t="shared" si="5"/>
        <v>m</v>
      </c>
    </row>
    <row r="370" spans="1:4" x14ac:dyDescent="0.25">
      <c r="A370" s="5" t="s">
        <v>863</v>
      </c>
      <c r="B370" s="6" t="s">
        <v>864</v>
      </c>
      <c r="C370" s="6" t="s">
        <v>309</v>
      </c>
      <c r="D370" s="7" t="str">
        <f t="shared" si="5"/>
        <v>k</v>
      </c>
    </row>
    <row r="371" spans="1:4" x14ac:dyDescent="0.25">
      <c r="A371" s="8" t="s">
        <v>865</v>
      </c>
      <c r="B371" s="9" t="s">
        <v>866</v>
      </c>
      <c r="C371" s="9" t="s">
        <v>17</v>
      </c>
      <c r="D371" s="7" t="str">
        <f t="shared" si="5"/>
        <v>m</v>
      </c>
    </row>
    <row r="372" spans="1:4" x14ac:dyDescent="0.25">
      <c r="A372" s="5" t="s">
        <v>867</v>
      </c>
      <c r="B372" s="6" t="s">
        <v>868</v>
      </c>
      <c r="C372" s="6" t="s">
        <v>309</v>
      </c>
      <c r="D372" s="7" t="str">
        <f t="shared" si="5"/>
        <v>k</v>
      </c>
    </row>
    <row r="373" spans="1:4" x14ac:dyDescent="0.25">
      <c r="A373" s="8" t="s">
        <v>869</v>
      </c>
      <c r="B373" s="9" t="s">
        <v>870</v>
      </c>
      <c r="C373" s="9" t="s">
        <v>260</v>
      </c>
      <c r="D373" s="7" t="str">
        <f t="shared" si="5"/>
        <v>m</v>
      </c>
    </row>
    <row r="374" spans="1:4" x14ac:dyDescent="0.25">
      <c r="A374" s="5" t="s">
        <v>871</v>
      </c>
      <c r="B374" s="6" t="s">
        <v>872</v>
      </c>
      <c r="C374" s="6" t="s">
        <v>607</v>
      </c>
      <c r="D374" s="7" t="str">
        <f t="shared" si="5"/>
        <v>k</v>
      </c>
    </row>
    <row r="375" spans="1:4" x14ac:dyDescent="0.25">
      <c r="A375" s="8" t="s">
        <v>873</v>
      </c>
      <c r="B375" s="9" t="s">
        <v>874</v>
      </c>
      <c r="C375" s="9" t="s">
        <v>448</v>
      </c>
      <c r="D375" s="7" t="str">
        <f t="shared" si="5"/>
        <v>k</v>
      </c>
    </row>
    <row r="376" spans="1:4" x14ac:dyDescent="0.25">
      <c r="A376" s="5" t="s">
        <v>875</v>
      </c>
      <c r="B376" s="6" t="s">
        <v>876</v>
      </c>
      <c r="C376" s="6" t="s">
        <v>877</v>
      </c>
      <c r="D376" s="7" t="str">
        <f t="shared" si="5"/>
        <v>m</v>
      </c>
    </row>
    <row r="377" spans="1:4" x14ac:dyDescent="0.25">
      <c r="A377" s="8" t="s">
        <v>878</v>
      </c>
      <c r="B377" s="9" t="s">
        <v>879</v>
      </c>
      <c r="C377" s="9" t="s">
        <v>880</v>
      </c>
      <c r="D377" s="7" t="str">
        <f t="shared" si="5"/>
        <v>m</v>
      </c>
    </row>
    <row r="378" spans="1:4" x14ac:dyDescent="0.25">
      <c r="A378" s="5" t="s">
        <v>881</v>
      </c>
      <c r="B378" s="6" t="s">
        <v>882</v>
      </c>
      <c r="C378" s="6" t="s">
        <v>309</v>
      </c>
      <c r="D378" s="7" t="str">
        <f t="shared" si="5"/>
        <v>k</v>
      </c>
    </row>
    <row r="379" spans="1:4" x14ac:dyDescent="0.25">
      <c r="A379" s="8" t="s">
        <v>883</v>
      </c>
      <c r="B379" s="9" t="s">
        <v>884</v>
      </c>
      <c r="C379" s="9" t="s">
        <v>885</v>
      </c>
      <c r="D379" s="7" t="str">
        <f t="shared" si="5"/>
        <v>k</v>
      </c>
    </row>
    <row r="380" spans="1:4" x14ac:dyDescent="0.25">
      <c r="A380" s="5" t="s">
        <v>886</v>
      </c>
      <c r="B380" s="6" t="s">
        <v>887</v>
      </c>
      <c r="C380" s="6" t="s">
        <v>17</v>
      </c>
      <c r="D380" s="7" t="str">
        <f t="shared" si="5"/>
        <v>m</v>
      </c>
    </row>
    <row r="381" spans="1:4" x14ac:dyDescent="0.25">
      <c r="A381" s="8" t="s">
        <v>888</v>
      </c>
      <c r="B381" s="9" t="s">
        <v>889</v>
      </c>
      <c r="C381" s="9" t="s">
        <v>359</v>
      </c>
      <c r="D381" s="7" t="str">
        <f t="shared" si="5"/>
        <v>k</v>
      </c>
    </row>
    <row r="382" spans="1:4" x14ac:dyDescent="0.25">
      <c r="A382" s="5" t="s">
        <v>890</v>
      </c>
      <c r="B382" s="6" t="s">
        <v>891</v>
      </c>
      <c r="C382" s="6" t="s">
        <v>892</v>
      </c>
      <c r="D382" s="7" t="str">
        <f t="shared" si="5"/>
        <v>k</v>
      </c>
    </row>
    <row r="383" spans="1:4" x14ac:dyDescent="0.25">
      <c r="A383" s="8" t="s">
        <v>893</v>
      </c>
      <c r="B383" s="9" t="s">
        <v>894</v>
      </c>
      <c r="C383" s="9" t="s">
        <v>309</v>
      </c>
      <c r="D383" s="7" t="str">
        <f t="shared" si="5"/>
        <v>k</v>
      </c>
    </row>
    <row r="384" spans="1:4" x14ac:dyDescent="0.25">
      <c r="A384" s="5" t="s">
        <v>895</v>
      </c>
      <c r="B384" s="6" t="s">
        <v>896</v>
      </c>
      <c r="C384" s="6" t="s">
        <v>8</v>
      </c>
      <c r="D384" s="7" t="str">
        <f t="shared" si="5"/>
        <v>m</v>
      </c>
    </row>
    <row r="385" spans="1:4" x14ac:dyDescent="0.25">
      <c r="A385" s="8" t="s">
        <v>897</v>
      </c>
      <c r="B385" s="9" t="s">
        <v>898</v>
      </c>
      <c r="C385" s="9" t="s">
        <v>11</v>
      </c>
      <c r="D385" s="7" t="str">
        <f t="shared" si="5"/>
        <v>m</v>
      </c>
    </row>
    <row r="386" spans="1:4" x14ac:dyDescent="0.25">
      <c r="A386" s="5" t="s">
        <v>899</v>
      </c>
      <c r="B386" s="6" t="s">
        <v>900</v>
      </c>
      <c r="C386" s="6" t="s">
        <v>166</v>
      </c>
      <c r="D386" s="7" t="str">
        <f t="shared" ref="D386:D449" si="6">IF(MOD(LEFT(RIGHT(A386,2),1),2)=0,"k","m")</f>
        <v>m</v>
      </c>
    </row>
    <row r="387" spans="1:4" x14ac:dyDescent="0.25">
      <c r="A387" s="8" t="s">
        <v>901</v>
      </c>
      <c r="B387" s="9" t="s">
        <v>902</v>
      </c>
      <c r="C387" s="9" t="s">
        <v>903</v>
      </c>
      <c r="D387" s="7" t="str">
        <f t="shared" si="6"/>
        <v>k</v>
      </c>
    </row>
    <row r="388" spans="1:4" x14ac:dyDescent="0.25">
      <c r="A388" s="5" t="s">
        <v>904</v>
      </c>
      <c r="B388" s="6" t="s">
        <v>905</v>
      </c>
      <c r="C388" s="6" t="s">
        <v>906</v>
      </c>
      <c r="D388" s="7" t="str">
        <f t="shared" si="6"/>
        <v>m</v>
      </c>
    </row>
    <row r="389" spans="1:4" x14ac:dyDescent="0.25">
      <c r="A389" s="8" t="s">
        <v>907</v>
      </c>
      <c r="B389" s="9" t="s">
        <v>908</v>
      </c>
      <c r="C389" s="9" t="s">
        <v>909</v>
      </c>
      <c r="D389" s="7" t="str">
        <f t="shared" si="6"/>
        <v>m</v>
      </c>
    </row>
    <row r="390" spans="1:4" x14ac:dyDescent="0.25">
      <c r="A390" s="5" t="s">
        <v>910</v>
      </c>
      <c r="B390" s="6" t="s">
        <v>911</v>
      </c>
      <c r="C390" s="6" t="s">
        <v>39</v>
      </c>
      <c r="D390" s="7" t="str">
        <f t="shared" si="6"/>
        <v>m</v>
      </c>
    </row>
    <row r="391" spans="1:4" x14ac:dyDescent="0.25">
      <c r="A391" s="8" t="s">
        <v>912</v>
      </c>
      <c r="B391" s="9" t="s">
        <v>866</v>
      </c>
      <c r="C391" s="9" t="s">
        <v>17</v>
      </c>
      <c r="D391" s="7" t="str">
        <f t="shared" si="6"/>
        <v>m</v>
      </c>
    </row>
    <row r="392" spans="1:4" x14ac:dyDescent="0.25">
      <c r="A392" s="5" t="s">
        <v>913</v>
      </c>
      <c r="B392" s="6" t="s">
        <v>914</v>
      </c>
      <c r="C392" s="6" t="s">
        <v>428</v>
      </c>
      <c r="D392" s="7" t="str">
        <f t="shared" si="6"/>
        <v>k</v>
      </c>
    </row>
    <row r="393" spans="1:4" x14ac:dyDescent="0.25">
      <c r="A393" s="8" t="s">
        <v>915</v>
      </c>
      <c r="B393" s="9" t="s">
        <v>916</v>
      </c>
      <c r="C393" s="9" t="s">
        <v>211</v>
      </c>
      <c r="D393" s="7" t="str">
        <f t="shared" si="6"/>
        <v>k</v>
      </c>
    </row>
    <row r="394" spans="1:4" x14ac:dyDescent="0.25">
      <c r="A394" s="5" t="s">
        <v>917</v>
      </c>
      <c r="B394" s="6" t="s">
        <v>918</v>
      </c>
      <c r="C394" s="6" t="s">
        <v>848</v>
      </c>
      <c r="D394" s="7" t="str">
        <f t="shared" si="6"/>
        <v>m</v>
      </c>
    </row>
    <row r="395" spans="1:4" x14ac:dyDescent="0.25">
      <c r="A395" s="8" t="s">
        <v>919</v>
      </c>
      <c r="B395" s="9" t="s">
        <v>920</v>
      </c>
      <c r="C395" s="9" t="s">
        <v>309</v>
      </c>
      <c r="D395" s="7" t="str">
        <f t="shared" si="6"/>
        <v>k</v>
      </c>
    </row>
    <row r="396" spans="1:4" x14ac:dyDescent="0.25">
      <c r="A396" s="5" t="s">
        <v>921</v>
      </c>
      <c r="B396" s="6" t="s">
        <v>350</v>
      </c>
      <c r="C396" s="6" t="s">
        <v>351</v>
      </c>
      <c r="D396" s="7" t="str">
        <f t="shared" si="6"/>
        <v>k</v>
      </c>
    </row>
    <row r="397" spans="1:4" x14ac:dyDescent="0.25">
      <c r="A397" s="8" t="s">
        <v>922</v>
      </c>
      <c r="B397" s="9" t="s">
        <v>923</v>
      </c>
      <c r="C397" s="9" t="s">
        <v>166</v>
      </c>
      <c r="D397" s="7" t="str">
        <f t="shared" si="6"/>
        <v>m</v>
      </c>
    </row>
    <row r="398" spans="1:4" x14ac:dyDescent="0.25">
      <c r="A398" s="5" t="s">
        <v>924</v>
      </c>
      <c r="B398" s="6" t="s">
        <v>925</v>
      </c>
      <c r="C398" s="6" t="s">
        <v>309</v>
      </c>
      <c r="D398" s="7" t="str">
        <f t="shared" si="6"/>
        <v>k</v>
      </c>
    </row>
    <row r="399" spans="1:4" x14ac:dyDescent="0.25">
      <c r="A399" s="8" t="s">
        <v>926</v>
      </c>
      <c r="B399" s="9" t="s">
        <v>927</v>
      </c>
      <c r="C399" s="9" t="s">
        <v>260</v>
      </c>
      <c r="D399" s="7" t="str">
        <f t="shared" si="6"/>
        <v>m</v>
      </c>
    </row>
    <row r="400" spans="1:4" x14ac:dyDescent="0.25">
      <c r="A400" s="5" t="s">
        <v>928</v>
      </c>
      <c r="B400" s="6" t="s">
        <v>929</v>
      </c>
      <c r="C400" s="6" t="s">
        <v>39</v>
      </c>
      <c r="D400" s="7" t="str">
        <f t="shared" si="6"/>
        <v>m</v>
      </c>
    </row>
    <row r="401" spans="1:4" x14ac:dyDescent="0.25">
      <c r="A401" s="8" t="s">
        <v>930</v>
      </c>
      <c r="B401" s="9" t="s">
        <v>931</v>
      </c>
      <c r="C401" s="9" t="s">
        <v>485</v>
      </c>
      <c r="D401" s="7" t="str">
        <f t="shared" si="6"/>
        <v>m</v>
      </c>
    </row>
    <row r="402" spans="1:4" x14ac:dyDescent="0.25">
      <c r="A402" s="5" t="s">
        <v>932</v>
      </c>
      <c r="B402" s="6" t="s">
        <v>933</v>
      </c>
      <c r="C402" s="6" t="s">
        <v>166</v>
      </c>
      <c r="D402" s="7" t="str">
        <f t="shared" si="6"/>
        <v>m</v>
      </c>
    </row>
    <row r="403" spans="1:4" x14ac:dyDescent="0.25">
      <c r="A403" s="8" t="s">
        <v>934</v>
      </c>
      <c r="B403" s="9" t="s">
        <v>935</v>
      </c>
      <c r="C403" s="9" t="s">
        <v>936</v>
      </c>
      <c r="D403" s="7" t="str">
        <f t="shared" si="6"/>
        <v>m</v>
      </c>
    </row>
    <row r="404" spans="1:4" x14ac:dyDescent="0.25">
      <c r="A404" s="5" t="s">
        <v>937</v>
      </c>
      <c r="B404" s="6" t="s">
        <v>938</v>
      </c>
      <c r="C404" s="6" t="s">
        <v>266</v>
      </c>
      <c r="D404" s="7" t="str">
        <f t="shared" si="6"/>
        <v>k</v>
      </c>
    </row>
    <row r="405" spans="1:4" x14ac:dyDescent="0.25">
      <c r="A405" s="8" t="s">
        <v>939</v>
      </c>
      <c r="B405" s="9" t="s">
        <v>940</v>
      </c>
      <c r="C405" s="9" t="s">
        <v>485</v>
      </c>
      <c r="D405" s="7" t="str">
        <f t="shared" si="6"/>
        <v>m</v>
      </c>
    </row>
    <row r="406" spans="1:4" x14ac:dyDescent="0.25">
      <c r="A406" s="5" t="s">
        <v>941</v>
      </c>
      <c r="B406" s="6" t="s">
        <v>942</v>
      </c>
      <c r="C406" s="6" t="s">
        <v>166</v>
      </c>
      <c r="D406" s="7" t="str">
        <f t="shared" si="6"/>
        <v>m</v>
      </c>
    </row>
    <row r="407" spans="1:4" x14ac:dyDescent="0.25">
      <c r="A407" s="8" t="s">
        <v>943</v>
      </c>
      <c r="B407" s="9" t="s">
        <v>944</v>
      </c>
      <c r="C407" s="9" t="s">
        <v>448</v>
      </c>
      <c r="D407" s="7" t="str">
        <f t="shared" si="6"/>
        <v>k</v>
      </c>
    </row>
    <row r="408" spans="1:4" x14ac:dyDescent="0.25">
      <c r="A408" s="5" t="s">
        <v>945</v>
      </c>
      <c r="B408" s="6" t="s">
        <v>946</v>
      </c>
      <c r="C408" s="6" t="s">
        <v>754</v>
      </c>
      <c r="D408" s="7" t="str">
        <f t="shared" si="6"/>
        <v>m</v>
      </c>
    </row>
    <row r="409" spans="1:4" x14ac:dyDescent="0.25">
      <c r="A409" s="8" t="s">
        <v>947</v>
      </c>
      <c r="B409" s="9" t="s">
        <v>948</v>
      </c>
      <c r="C409" s="9" t="s">
        <v>607</v>
      </c>
      <c r="D409" s="7" t="str">
        <f t="shared" si="6"/>
        <v>k</v>
      </c>
    </row>
    <row r="410" spans="1:4" x14ac:dyDescent="0.25">
      <c r="A410" s="5" t="s">
        <v>949</v>
      </c>
      <c r="B410" s="6" t="s">
        <v>950</v>
      </c>
      <c r="C410" s="6" t="s">
        <v>951</v>
      </c>
      <c r="D410" s="7" t="str">
        <f t="shared" si="6"/>
        <v>k</v>
      </c>
    </row>
    <row r="411" spans="1:4" x14ac:dyDescent="0.25">
      <c r="A411" s="8" t="s">
        <v>952</v>
      </c>
      <c r="B411" s="9" t="s">
        <v>953</v>
      </c>
      <c r="C411" s="9" t="s">
        <v>73</v>
      </c>
      <c r="D411" s="7" t="str">
        <f t="shared" si="6"/>
        <v>m</v>
      </c>
    </row>
    <row r="412" spans="1:4" x14ac:dyDescent="0.25">
      <c r="A412" s="5" t="s">
        <v>954</v>
      </c>
      <c r="B412" s="6" t="s">
        <v>955</v>
      </c>
      <c r="C412" s="6" t="s">
        <v>89</v>
      </c>
      <c r="D412" s="7" t="str">
        <f t="shared" si="6"/>
        <v>k</v>
      </c>
    </row>
    <row r="413" spans="1:4" x14ac:dyDescent="0.25">
      <c r="A413" s="8" t="s">
        <v>956</v>
      </c>
      <c r="B413" s="9" t="s">
        <v>957</v>
      </c>
      <c r="C413" s="9" t="s">
        <v>448</v>
      </c>
      <c r="D413" s="7" t="str">
        <f t="shared" si="6"/>
        <v>k</v>
      </c>
    </row>
    <row r="414" spans="1:4" x14ac:dyDescent="0.25">
      <c r="A414" s="5" t="s">
        <v>958</v>
      </c>
      <c r="B414" s="6" t="s">
        <v>207</v>
      </c>
      <c r="C414" s="6" t="s">
        <v>906</v>
      </c>
      <c r="D414" s="7" t="str">
        <f t="shared" si="6"/>
        <v>m</v>
      </c>
    </row>
    <row r="415" spans="1:4" x14ac:dyDescent="0.25">
      <c r="A415" s="8" t="s">
        <v>959</v>
      </c>
      <c r="B415" s="9" t="s">
        <v>960</v>
      </c>
      <c r="C415" s="9" t="s">
        <v>464</v>
      </c>
      <c r="D415" s="7" t="str">
        <f t="shared" si="6"/>
        <v>m</v>
      </c>
    </row>
    <row r="416" spans="1:4" x14ac:dyDescent="0.25">
      <c r="A416" s="5" t="s">
        <v>961</v>
      </c>
      <c r="B416" s="6" t="s">
        <v>962</v>
      </c>
      <c r="C416" s="6" t="s">
        <v>428</v>
      </c>
      <c r="D416" s="7" t="str">
        <f t="shared" si="6"/>
        <v>k</v>
      </c>
    </row>
    <row r="417" spans="1:4" x14ac:dyDescent="0.25">
      <c r="A417" s="8" t="s">
        <v>963</v>
      </c>
      <c r="B417" s="9" t="s">
        <v>964</v>
      </c>
      <c r="C417" s="9" t="s">
        <v>464</v>
      </c>
      <c r="D417" s="7" t="str">
        <f t="shared" si="6"/>
        <v>m</v>
      </c>
    </row>
    <row r="418" spans="1:4" x14ac:dyDescent="0.25">
      <c r="A418" s="5" t="s">
        <v>965</v>
      </c>
      <c r="B418" s="6" t="s">
        <v>966</v>
      </c>
      <c r="C418" s="6" t="s">
        <v>382</v>
      </c>
      <c r="D418" s="7" t="str">
        <f t="shared" si="6"/>
        <v>k</v>
      </c>
    </row>
    <row r="419" spans="1:4" x14ac:dyDescent="0.25">
      <c r="A419" s="8" t="s">
        <v>967</v>
      </c>
      <c r="B419" s="9" t="s">
        <v>968</v>
      </c>
      <c r="C419" s="9" t="s">
        <v>73</v>
      </c>
      <c r="D419" s="7" t="str">
        <f t="shared" si="6"/>
        <v>m</v>
      </c>
    </row>
    <row r="420" spans="1:4" x14ac:dyDescent="0.25">
      <c r="A420" s="5" t="s">
        <v>969</v>
      </c>
      <c r="B420" s="6" t="s">
        <v>970</v>
      </c>
      <c r="C420" s="6" t="s">
        <v>89</v>
      </c>
      <c r="D420" s="7" t="str">
        <f t="shared" si="6"/>
        <v>k</v>
      </c>
    </row>
    <row r="421" spans="1:4" x14ac:dyDescent="0.25">
      <c r="A421" s="8" t="s">
        <v>971</v>
      </c>
      <c r="B421" s="9" t="s">
        <v>972</v>
      </c>
      <c r="C421" s="9" t="s">
        <v>973</v>
      </c>
      <c r="D421" s="7" t="str">
        <f t="shared" si="6"/>
        <v>k</v>
      </c>
    </row>
    <row r="422" spans="1:4" x14ac:dyDescent="0.25">
      <c r="A422" s="5" t="s">
        <v>974</v>
      </c>
      <c r="B422" s="6" t="s">
        <v>171</v>
      </c>
      <c r="C422" s="6" t="s">
        <v>105</v>
      </c>
      <c r="D422" s="7" t="str">
        <f t="shared" si="6"/>
        <v>m</v>
      </c>
    </row>
    <row r="423" spans="1:4" x14ac:dyDescent="0.25">
      <c r="A423" s="8" t="s">
        <v>975</v>
      </c>
      <c r="B423" s="9" t="s">
        <v>976</v>
      </c>
      <c r="C423" s="9" t="s">
        <v>39</v>
      </c>
      <c r="D423" s="7" t="str">
        <f t="shared" si="6"/>
        <v>m</v>
      </c>
    </row>
    <row r="424" spans="1:4" x14ac:dyDescent="0.25">
      <c r="A424" s="5" t="s">
        <v>977</v>
      </c>
      <c r="B424" s="6" t="s">
        <v>978</v>
      </c>
      <c r="C424" s="6" t="s">
        <v>979</v>
      </c>
      <c r="D424" s="7" t="str">
        <f t="shared" si="6"/>
        <v>k</v>
      </c>
    </row>
    <row r="425" spans="1:4" x14ac:dyDescent="0.25">
      <c r="A425" s="8" t="s">
        <v>980</v>
      </c>
      <c r="B425" s="9" t="s">
        <v>981</v>
      </c>
      <c r="C425" s="9" t="s">
        <v>226</v>
      </c>
      <c r="D425" s="7" t="str">
        <f t="shared" si="6"/>
        <v>k</v>
      </c>
    </row>
    <row r="426" spans="1:4" x14ac:dyDescent="0.25">
      <c r="A426" s="5" t="s">
        <v>982</v>
      </c>
      <c r="B426" s="6" t="s">
        <v>983</v>
      </c>
      <c r="C426" s="6" t="s">
        <v>979</v>
      </c>
      <c r="D426" s="7" t="str">
        <f t="shared" si="6"/>
        <v>k</v>
      </c>
    </row>
    <row r="427" spans="1:4" x14ac:dyDescent="0.25">
      <c r="A427" s="8" t="s">
        <v>984</v>
      </c>
      <c r="B427" s="9" t="s">
        <v>985</v>
      </c>
      <c r="C427" s="9" t="s">
        <v>260</v>
      </c>
      <c r="D427" s="7" t="str">
        <f t="shared" si="6"/>
        <v>m</v>
      </c>
    </row>
    <row r="428" spans="1:4" x14ac:dyDescent="0.25">
      <c r="A428" s="5" t="s">
        <v>986</v>
      </c>
      <c r="B428" s="6" t="s">
        <v>987</v>
      </c>
      <c r="C428" s="6" t="s">
        <v>309</v>
      </c>
      <c r="D428" s="7" t="str">
        <f t="shared" si="6"/>
        <v>k</v>
      </c>
    </row>
    <row r="429" spans="1:4" x14ac:dyDescent="0.25">
      <c r="A429" s="8" t="s">
        <v>988</v>
      </c>
      <c r="B429" s="9" t="s">
        <v>989</v>
      </c>
      <c r="C429" s="9" t="s">
        <v>419</v>
      </c>
      <c r="D429" s="7" t="str">
        <f t="shared" si="6"/>
        <v>k</v>
      </c>
    </row>
    <row r="430" spans="1:4" x14ac:dyDescent="0.25">
      <c r="A430" s="5" t="s">
        <v>990</v>
      </c>
      <c r="B430" s="6" t="s">
        <v>218</v>
      </c>
      <c r="C430" s="6" t="s">
        <v>166</v>
      </c>
      <c r="D430" s="7" t="str">
        <f t="shared" si="6"/>
        <v>m</v>
      </c>
    </row>
    <row r="431" spans="1:4" x14ac:dyDescent="0.25">
      <c r="A431" s="8" t="s">
        <v>991</v>
      </c>
      <c r="B431" s="9" t="s">
        <v>992</v>
      </c>
      <c r="C431" s="9" t="s">
        <v>567</v>
      </c>
      <c r="D431" s="7" t="str">
        <f t="shared" si="6"/>
        <v>m</v>
      </c>
    </row>
    <row r="432" spans="1:4" x14ac:dyDescent="0.25">
      <c r="A432" s="5" t="s">
        <v>993</v>
      </c>
      <c r="B432" s="6" t="s">
        <v>994</v>
      </c>
      <c r="C432" s="6" t="s">
        <v>419</v>
      </c>
      <c r="D432" s="7" t="str">
        <f t="shared" si="6"/>
        <v>k</v>
      </c>
    </row>
    <row r="433" spans="1:4" x14ac:dyDescent="0.25">
      <c r="A433" s="8" t="s">
        <v>995</v>
      </c>
      <c r="B433" s="9" t="s">
        <v>996</v>
      </c>
      <c r="C433" s="9" t="s">
        <v>28</v>
      </c>
      <c r="D433" s="7" t="str">
        <f t="shared" si="6"/>
        <v>m</v>
      </c>
    </row>
    <row r="434" spans="1:4" x14ac:dyDescent="0.25">
      <c r="A434" s="5" t="s">
        <v>997</v>
      </c>
      <c r="B434" s="6" t="s">
        <v>998</v>
      </c>
      <c r="C434" s="6" t="s">
        <v>260</v>
      </c>
      <c r="D434" s="7" t="str">
        <f t="shared" si="6"/>
        <v>m</v>
      </c>
    </row>
    <row r="435" spans="1:4" x14ac:dyDescent="0.25">
      <c r="A435" s="8" t="s">
        <v>999</v>
      </c>
      <c r="B435" s="9" t="s">
        <v>1000</v>
      </c>
      <c r="C435" s="9" t="s">
        <v>284</v>
      </c>
      <c r="D435" s="7" t="str">
        <f t="shared" si="6"/>
        <v>k</v>
      </c>
    </row>
    <row r="436" spans="1:4" x14ac:dyDescent="0.25">
      <c r="A436" s="5" t="s">
        <v>1001</v>
      </c>
      <c r="B436" s="6" t="s">
        <v>1002</v>
      </c>
      <c r="C436" s="6" t="s">
        <v>1003</v>
      </c>
      <c r="D436" s="7" t="str">
        <f t="shared" si="6"/>
        <v>k</v>
      </c>
    </row>
    <row r="437" spans="1:4" x14ac:dyDescent="0.25">
      <c r="A437" s="8" t="s">
        <v>1004</v>
      </c>
      <c r="B437" s="9" t="s">
        <v>1005</v>
      </c>
      <c r="C437" s="9" t="s">
        <v>260</v>
      </c>
      <c r="D437" s="7" t="str">
        <f t="shared" si="6"/>
        <v>m</v>
      </c>
    </row>
    <row r="438" spans="1:4" x14ac:dyDescent="0.25">
      <c r="A438" s="5" t="s">
        <v>1006</v>
      </c>
      <c r="B438" s="6" t="s">
        <v>1007</v>
      </c>
      <c r="C438" s="6" t="s">
        <v>263</v>
      </c>
      <c r="D438" s="7" t="str">
        <f t="shared" si="6"/>
        <v>k</v>
      </c>
    </row>
    <row r="439" spans="1:4" x14ac:dyDescent="0.25">
      <c r="A439" s="8" t="s">
        <v>1008</v>
      </c>
      <c r="B439" s="9" t="s">
        <v>1009</v>
      </c>
      <c r="C439" s="9" t="s">
        <v>1010</v>
      </c>
      <c r="D439" s="7" t="str">
        <f t="shared" si="6"/>
        <v>k</v>
      </c>
    </row>
    <row r="440" spans="1:4" x14ac:dyDescent="0.25">
      <c r="A440" s="5" t="s">
        <v>1011</v>
      </c>
      <c r="B440" s="6" t="s">
        <v>1012</v>
      </c>
      <c r="C440" s="6" t="s">
        <v>111</v>
      </c>
      <c r="D440" s="7" t="str">
        <f t="shared" si="6"/>
        <v>k</v>
      </c>
    </row>
    <row r="441" spans="1:4" x14ac:dyDescent="0.25">
      <c r="A441" s="8" t="s">
        <v>1013</v>
      </c>
      <c r="B441" s="9" t="s">
        <v>1014</v>
      </c>
      <c r="C441" s="9" t="s">
        <v>936</v>
      </c>
      <c r="D441" s="7" t="str">
        <f t="shared" si="6"/>
        <v>m</v>
      </c>
    </row>
    <row r="442" spans="1:4" x14ac:dyDescent="0.25">
      <c r="A442" s="5" t="s">
        <v>1015</v>
      </c>
      <c r="B442" s="6" t="s">
        <v>1016</v>
      </c>
      <c r="C442" s="6" t="s">
        <v>1017</v>
      </c>
      <c r="D442" s="7" t="str">
        <f t="shared" si="6"/>
        <v>k</v>
      </c>
    </row>
    <row r="443" spans="1:4" x14ac:dyDescent="0.25">
      <c r="A443" s="8" t="s">
        <v>1018</v>
      </c>
      <c r="B443" s="9" t="s">
        <v>1019</v>
      </c>
      <c r="C443" s="9" t="s">
        <v>1020</v>
      </c>
      <c r="D443" s="7" t="str">
        <f t="shared" si="6"/>
        <v>k</v>
      </c>
    </row>
    <row r="444" spans="1:4" x14ac:dyDescent="0.25">
      <c r="A444" s="5" t="s">
        <v>1021</v>
      </c>
      <c r="B444" s="6" t="s">
        <v>1022</v>
      </c>
      <c r="C444" s="6" t="s">
        <v>419</v>
      </c>
      <c r="D444" s="7" t="str">
        <f t="shared" si="6"/>
        <v>k</v>
      </c>
    </row>
    <row r="445" spans="1:4" x14ac:dyDescent="0.25">
      <c r="A445" s="8" t="s">
        <v>1023</v>
      </c>
      <c r="B445" s="9" t="s">
        <v>1024</v>
      </c>
      <c r="C445" s="9" t="s">
        <v>166</v>
      </c>
      <c r="D445" s="7" t="str">
        <f t="shared" si="6"/>
        <v>m</v>
      </c>
    </row>
    <row r="446" spans="1:4" x14ac:dyDescent="0.25">
      <c r="A446" s="5" t="s">
        <v>1025</v>
      </c>
      <c r="B446" s="6" t="s">
        <v>1026</v>
      </c>
      <c r="C446" s="6" t="s">
        <v>275</v>
      </c>
      <c r="D446" s="7" t="str">
        <f t="shared" si="6"/>
        <v>k</v>
      </c>
    </row>
    <row r="447" spans="1:4" x14ac:dyDescent="0.25">
      <c r="A447" s="8" t="s">
        <v>1027</v>
      </c>
      <c r="B447" s="9" t="s">
        <v>1028</v>
      </c>
      <c r="C447" s="9" t="s">
        <v>20</v>
      </c>
      <c r="D447" s="7" t="str">
        <f t="shared" si="6"/>
        <v>m</v>
      </c>
    </row>
    <row r="448" spans="1:4" x14ac:dyDescent="0.25">
      <c r="A448" s="5" t="s">
        <v>1029</v>
      </c>
      <c r="B448" s="6" t="s">
        <v>1030</v>
      </c>
      <c r="C448" s="6" t="s">
        <v>1031</v>
      </c>
      <c r="D448" s="7" t="str">
        <f t="shared" si="6"/>
        <v>k</v>
      </c>
    </row>
    <row r="449" spans="1:4" x14ac:dyDescent="0.25">
      <c r="A449" s="8" t="s">
        <v>1032</v>
      </c>
      <c r="B449" s="9" t="s">
        <v>1033</v>
      </c>
      <c r="C449" s="9" t="s">
        <v>266</v>
      </c>
      <c r="D449" s="7" t="str">
        <f t="shared" si="6"/>
        <v>k</v>
      </c>
    </row>
    <row r="450" spans="1:4" x14ac:dyDescent="0.25">
      <c r="A450" s="5" t="s">
        <v>1034</v>
      </c>
      <c r="B450" s="6" t="s">
        <v>1007</v>
      </c>
      <c r="C450" s="6" t="s">
        <v>413</v>
      </c>
      <c r="D450" s="7" t="str">
        <f t="shared" ref="D450:D495" si="7">IF(MOD(LEFT(RIGHT(A450,2),1),2)=0,"k","m")</f>
        <v>k</v>
      </c>
    </row>
    <row r="451" spans="1:4" x14ac:dyDescent="0.25">
      <c r="A451" s="8" t="s">
        <v>1035</v>
      </c>
      <c r="B451" s="9" t="s">
        <v>1036</v>
      </c>
      <c r="C451" s="9" t="s">
        <v>214</v>
      </c>
      <c r="D451" s="7" t="str">
        <f t="shared" si="7"/>
        <v>k</v>
      </c>
    </row>
    <row r="452" spans="1:4" x14ac:dyDescent="0.25">
      <c r="A452" s="5" t="s">
        <v>1037</v>
      </c>
      <c r="B452" s="6" t="s">
        <v>1038</v>
      </c>
      <c r="C452" s="6" t="s">
        <v>1039</v>
      </c>
      <c r="D452" s="7" t="str">
        <f t="shared" si="7"/>
        <v>k</v>
      </c>
    </row>
    <row r="453" spans="1:4" x14ac:dyDescent="0.25">
      <c r="A453" s="8" t="s">
        <v>1040</v>
      </c>
      <c r="B453" s="9" t="s">
        <v>1041</v>
      </c>
      <c r="C453" s="9" t="s">
        <v>233</v>
      </c>
      <c r="D453" s="7" t="str">
        <f t="shared" si="7"/>
        <v>k</v>
      </c>
    </row>
    <row r="454" spans="1:4" x14ac:dyDescent="0.25">
      <c r="A454" s="5" t="s">
        <v>1042</v>
      </c>
      <c r="B454" s="6" t="s">
        <v>1043</v>
      </c>
      <c r="C454" s="6" t="s">
        <v>89</v>
      </c>
      <c r="D454" s="7" t="str">
        <f t="shared" si="7"/>
        <v>k</v>
      </c>
    </row>
    <row r="455" spans="1:4" x14ac:dyDescent="0.25">
      <c r="A455" s="8" t="s">
        <v>1044</v>
      </c>
      <c r="B455" s="9" t="s">
        <v>1045</v>
      </c>
      <c r="C455" s="9" t="s">
        <v>1046</v>
      </c>
      <c r="D455" s="7" t="str">
        <f t="shared" si="7"/>
        <v>m</v>
      </c>
    </row>
    <row r="456" spans="1:4" x14ac:dyDescent="0.25">
      <c r="A456" s="5" t="s">
        <v>1047</v>
      </c>
      <c r="B456" s="6" t="s">
        <v>1048</v>
      </c>
      <c r="C456" s="6" t="s">
        <v>83</v>
      </c>
      <c r="D456" s="7" t="str">
        <f t="shared" si="7"/>
        <v>k</v>
      </c>
    </row>
    <row r="457" spans="1:4" x14ac:dyDescent="0.25">
      <c r="A457" s="8" t="s">
        <v>1049</v>
      </c>
      <c r="B457" s="9" t="s">
        <v>1050</v>
      </c>
      <c r="C457" s="9" t="s">
        <v>194</v>
      </c>
      <c r="D457" s="7" t="str">
        <f t="shared" si="7"/>
        <v>k</v>
      </c>
    </row>
    <row r="458" spans="1:4" x14ac:dyDescent="0.25">
      <c r="A458" s="5" t="s">
        <v>1051</v>
      </c>
      <c r="B458" s="6" t="s">
        <v>1052</v>
      </c>
      <c r="C458" s="6" t="s">
        <v>194</v>
      </c>
      <c r="D458" s="7" t="str">
        <f t="shared" si="7"/>
        <v>k</v>
      </c>
    </row>
    <row r="459" spans="1:4" x14ac:dyDescent="0.25">
      <c r="A459" s="8" t="s">
        <v>1053</v>
      </c>
      <c r="B459" s="9" t="s">
        <v>1054</v>
      </c>
      <c r="C459" s="9" t="s">
        <v>166</v>
      </c>
      <c r="D459" s="7" t="str">
        <f t="shared" si="7"/>
        <v>m</v>
      </c>
    </row>
    <row r="460" spans="1:4" x14ac:dyDescent="0.25">
      <c r="A460" s="5" t="s">
        <v>1055</v>
      </c>
      <c r="B460" s="6" t="s">
        <v>1056</v>
      </c>
      <c r="C460" s="6" t="s">
        <v>70</v>
      </c>
      <c r="D460" s="7" t="str">
        <f t="shared" si="7"/>
        <v>k</v>
      </c>
    </row>
    <row r="461" spans="1:4" x14ac:dyDescent="0.25">
      <c r="A461" s="8" t="s">
        <v>1057</v>
      </c>
      <c r="B461" s="9" t="s">
        <v>1058</v>
      </c>
      <c r="C461" s="9" t="s">
        <v>223</v>
      </c>
      <c r="D461" s="7" t="str">
        <f t="shared" si="7"/>
        <v>m</v>
      </c>
    </row>
    <row r="462" spans="1:4" x14ac:dyDescent="0.25">
      <c r="A462" s="5" t="s">
        <v>1059</v>
      </c>
      <c r="B462" s="6" t="s">
        <v>1060</v>
      </c>
      <c r="C462" s="6" t="s">
        <v>419</v>
      </c>
      <c r="D462" s="7" t="str">
        <f t="shared" si="7"/>
        <v>k</v>
      </c>
    </row>
    <row r="463" spans="1:4" x14ac:dyDescent="0.25">
      <c r="A463" s="8" t="s">
        <v>1061</v>
      </c>
      <c r="B463" s="9" t="s">
        <v>1062</v>
      </c>
      <c r="C463" s="9" t="s">
        <v>89</v>
      </c>
      <c r="D463" s="7" t="str">
        <f t="shared" si="7"/>
        <v>k</v>
      </c>
    </row>
    <row r="464" spans="1:4" x14ac:dyDescent="0.25">
      <c r="A464" s="5" t="s">
        <v>1063</v>
      </c>
      <c r="B464" s="6" t="s">
        <v>1064</v>
      </c>
      <c r="C464" s="6" t="s">
        <v>147</v>
      </c>
      <c r="D464" s="7" t="str">
        <f t="shared" si="7"/>
        <v>k</v>
      </c>
    </row>
    <row r="465" spans="1:4" x14ac:dyDescent="0.25">
      <c r="A465" s="8" t="s">
        <v>1065</v>
      </c>
      <c r="B465" s="9" t="s">
        <v>1066</v>
      </c>
      <c r="C465" s="9" t="s">
        <v>142</v>
      </c>
      <c r="D465" s="7" t="str">
        <f t="shared" si="7"/>
        <v>k</v>
      </c>
    </row>
    <row r="466" spans="1:4" x14ac:dyDescent="0.25">
      <c r="A466" s="5" t="s">
        <v>1067</v>
      </c>
      <c r="B466" s="6" t="s">
        <v>1068</v>
      </c>
      <c r="C466" s="6" t="s">
        <v>56</v>
      </c>
      <c r="D466" s="7" t="str">
        <f t="shared" si="7"/>
        <v>k</v>
      </c>
    </row>
    <row r="467" spans="1:4" x14ac:dyDescent="0.25">
      <c r="A467" s="8" t="s">
        <v>1069</v>
      </c>
      <c r="B467" s="9" t="s">
        <v>1070</v>
      </c>
      <c r="C467" s="9" t="s">
        <v>260</v>
      </c>
      <c r="D467" s="7" t="str">
        <f t="shared" si="7"/>
        <v>m</v>
      </c>
    </row>
    <row r="468" spans="1:4" x14ac:dyDescent="0.25">
      <c r="A468" s="5" t="s">
        <v>1071</v>
      </c>
      <c r="B468" s="6" t="s">
        <v>1072</v>
      </c>
      <c r="C468" s="6" t="s">
        <v>121</v>
      </c>
      <c r="D468" s="7" t="str">
        <f t="shared" si="7"/>
        <v>m</v>
      </c>
    </row>
    <row r="469" spans="1:4" x14ac:dyDescent="0.25">
      <c r="A469" s="8" t="s">
        <v>1073</v>
      </c>
      <c r="B469" s="9" t="s">
        <v>1074</v>
      </c>
      <c r="C469" s="9" t="s">
        <v>166</v>
      </c>
      <c r="D469" s="7" t="str">
        <f t="shared" si="7"/>
        <v>m</v>
      </c>
    </row>
    <row r="470" spans="1:4" x14ac:dyDescent="0.25">
      <c r="A470" s="5" t="s">
        <v>1075</v>
      </c>
      <c r="B470" s="6" t="s">
        <v>1076</v>
      </c>
      <c r="C470" s="6" t="s">
        <v>121</v>
      </c>
      <c r="D470" s="7" t="str">
        <f t="shared" si="7"/>
        <v>m</v>
      </c>
    </row>
    <row r="471" spans="1:4" x14ac:dyDescent="0.25">
      <c r="A471" s="8" t="s">
        <v>1077</v>
      </c>
      <c r="B471" s="9" t="s">
        <v>123</v>
      </c>
      <c r="C471" s="9" t="s">
        <v>223</v>
      </c>
      <c r="D471" s="7" t="str">
        <f t="shared" si="7"/>
        <v>m</v>
      </c>
    </row>
    <row r="472" spans="1:4" x14ac:dyDescent="0.25">
      <c r="A472" s="5" t="s">
        <v>1078</v>
      </c>
      <c r="B472" s="6" t="s">
        <v>1079</v>
      </c>
      <c r="C472" s="6" t="s">
        <v>64</v>
      </c>
      <c r="D472" s="7" t="str">
        <f t="shared" si="7"/>
        <v>m</v>
      </c>
    </row>
    <row r="473" spans="1:4" x14ac:dyDescent="0.25">
      <c r="A473" s="8" t="s">
        <v>1080</v>
      </c>
      <c r="B473" s="9" t="s">
        <v>1081</v>
      </c>
      <c r="C473" s="9" t="s">
        <v>17</v>
      </c>
      <c r="D473" s="7" t="str">
        <f t="shared" si="7"/>
        <v>m</v>
      </c>
    </row>
    <row r="474" spans="1:4" x14ac:dyDescent="0.25">
      <c r="A474" s="5" t="s">
        <v>1082</v>
      </c>
      <c r="B474" s="6" t="s">
        <v>1083</v>
      </c>
      <c r="C474" s="6" t="s">
        <v>1084</v>
      </c>
      <c r="D474" s="7" t="str">
        <f t="shared" si="7"/>
        <v>k</v>
      </c>
    </row>
    <row r="475" spans="1:4" x14ac:dyDescent="0.25">
      <c r="A475" s="8" t="s">
        <v>1085</v>
      </c>
      <c r="B475" s="9" t="s">
        <v>1086</v>
      </c>
      <c r="C475" s="9" t="s">
        <v>428</v>
      </c>
      <c r="D475" s="7" t="str">
        <f t="shared" si="7"/>
        <v>k</v>
      </c>
    </row>
    <row r="476" spans="1:4" x14ac:dyDescent="0.25">
      <c r="A476" s="5" t="s">
        <v>1087</v>
      </c>
      <c r="B476" s="6" t="s">
        <v>1088</v>
      </c>
      <c r="C476" s="6" t="s">
        <v>275</v>
      </c>
      <c r="D476" s="7" t="str">
        <f t="shared" si="7"/>
        <v>k</v>
      </c>
    </row>
    <row r="477" spans="1:4" x14ac:dyDescent="0.25">
      <c r="A477" s="8" t="s">
        <v>1089</v>
      </c>
      <c r="B477" s="9" t="s">
        <v>1090</v>
      </c>
      <c r="C477" s="9" t="s">
        <v>25</v>
      </c>
      <c r="D477" s="7" t="str">
        <f t="shared" si="7"/>
        <v>m</v>
      </c>
    </row>
    <row r="478" spans="1:4" x14ac:dyDescent="0.25">
      <c r="A478" s="5" t="s">
        <v>1091</v>
      </c>
      <c r="B478" s="6" t="s">
        <v>1092</v>
      </c>
      <c r="C478" s="6" t="s">
        <v>219</v>
      </c>
      <c r="D478" s="7" t="str">
        <f t="shared" si="7"/>
        <v>m</v>
      </c>
    </row>
    <row r="479" spans="1:4" x14ac:dyDescent="0.25">
      <c r="A479" s="8" t="s">
        <v>1093</v>
      </c>
      <c r="B479" s="9" t="s">
        <v>1094</v>
      </c>
      <c r="C479" s="9" t="s">
        <v>1095</v>
      </c>
      <c r="D479" s="7" t="str">
        <f t="shared" si="7"/>
        <v>m</v>
      </c>
    </row>
    <row r="480" spans="1:4" x14ac:dyDescent="0.25">
      <c r="A480" s="5" t="s">
        <v>1096</v>
      </c>
      <c r="B480" s="6" t="s">
        <v>1097</v>
      </c>
      <c r="C480" s="6" t="s">
        <v>166</v>
      </c>
      <c r="D480" s="7" t="str">
        <f t="shared" si="7"/>
        <v>m</v>
      </c>
    </row>
    <row r="481" spans="1:4" x14ac:dyDescent="0.25">
      <c r="A481" s="8" t="s">
        <v>1098</v>
      </c>
      <c r="B481" s="9" t="s">
        <v>1099</v>
      </c>
      <c r="C481" s="9" t="s">
        <v>137</v>
      </c>
      <c r="D481" s="7" t="str">
        <f t="shared" si="7"/>
        <v>k</v>
      </c>
    </row>
    <row r="482" spans="1:4" x14ac:dyDescent="0.25">
      <c r="A482" s="5" t="s">
        <v>1100</v>
      </c>
      <c r="B482" s="6" t="s">
        <v>1101</v>
      </c>
      <c r="C482" s="6" t="s">
        <v>287</v>
      </c>
      <c r="D482" s="7" t="str">
        <f t="shared" si="7"/>
        <v>m</v>
      </c>
    </row>
    <row r="483" spans="1:4" x14ac:dyDescent="0.25">
      <c r="A483" s="8" t="s">
        <v>1102</v>
      </c>
      <c r="B483" s="9" t="s">
        <v>1103</v>
      </c>
      <c r="C483" s="9" t="s">
        <v>617</v>
      </c>
      <c r="D483" s="7" t="str">
        <f t="shared" si="7"/>
        <v>k</v>
      </c>
    </row>
    <row r="484" spans="1:4" x14ac:dyDescent="0.25">
      <c r="A484" s="5" t="s">
        <v>1104</v>
      </c>
      <c r="B484" s="6" t="s">
        <v>1105</v>
      </c>
      <c r="C484" s="6" t="s">
        <v>89</v>
      </c>
      <c r="D484" s="7" t="str">
        <f t="shared" si="7"/>
        <v>k</v>
      </c>
    </row>
    <row r="485" spans="1:4" x14ac:dyDescent="0.25">
      <c r="A485" s="8" t="s">
        <v>1106</v>
      </c>
      <c r="B485" s="9" t="s">
        <v>1107</v>
      </c>
      <c r="C485" s="9" t="s">
        <v>50</v>
      </c>
      <c r="D485" s="7" t="str">
        <f t="shared" si="7"/>
        <v>m</v>
      </c>
    </row>
    <row r="486" spans="1:4" x14ac:dyDescent="0.25">
      <c r="A486" s="5" t="s">
        <v>1108</v>
      </c>
      <c r="B486" s="6" t="s">
        <v>586</v>
      </c>
      <c r="C486" s="6" t="s">
        <v>223</v>
      </c>
      <c r="D486" s="7" t="str">
        <f t="shared" si="7"/>
        <v>m</v>
      </c>
    </row>
    <row r="487" spans="1:4" x14ac:dyDescent="0.25">
      <c r="A487" s="8" t="s">
        <v>1109</v>
      </c>
      <c r="B487" s="9" t="s">
        <v>1110</v>
      </c>
      <c r="C487" s="9" t="s">
        <v>1111</v>
      </c>
      <c r="D487" s="7" t="str">
        <f t="shared" si="7"/>
        <v>m</v>
      </c>
    </row>
    <row r="488" spans="1:4" x14ac:dyDescent="0.25">
      <c r="A488" s="5" t="s">
        <v>1112</v>
      </c>
      <c r="B488" s="6" t="s">
        <v>1113</v>
      </c>
      <c r="C488" s="6" t="s">
        <v>36</v>
      </c>
      <c r="D488" s="7" t="str">
        <f t="shared" si="7"/>
        <v>m</v>
      </c>
    </row>
    <row r="489" spans="1:4" x14ac:dyDescent="0.25">
      <c r="A489" s="8" t="s">
        <v>1114</v>
      </c>
      <c r="B489" s="9" t="s">
        <v>1115</v>
      </c>
      <c r="C489" s="9" t="s">
        <v>464</v>
      </c>
      <c r="D489" s="7" t="str">
        <f t="shared" si="7"/>
        <v>m</v>
      </c>
    </row>
    <row r="490" spans="1:4" x14ac:dyDescent="0.25">
      <c r="A490" s="5" t="s">
        <v>1116</v>
      </c>
      <c r="B490" s="6" t="s">
        <v>1117</v>
      </c>
      <c r="C490" s="6" t="s">
        <v>340</v>
      </c>
      <c r="D490" s="7" t="str">
        <f t="shared" si="7"/>
        <v>k</v>
      </c>
    </row>
    <row r="491" spans="1:4" x14ac:dyDescent="0.25">
      <c r="A491" s="8" t="s">
        <v>1118</v>
      </c>
      <c r="B491" s="9" t="s">
        <v>1119</v>
      </c>
      <c r="C491" s="9" t="s">
        <v>86</v>
      </c>
      <c r="D491" s="7" t="str">
        <f t="shared" si="7"/>
        <v>k</v>
      </c>
    </row>
    <row r="492" spans="1:4" x14ac:dyDescent="0.25">
      <c r="A492" s="5" t="s">
        <v>1120</v>
      </c>
      <c r="B492" s="6" t="s">
        <v>1121</v>
      </c>
      <c r="C492" s="6" t="s">
        <v>223</v>
      </c>
      <c r="D492" s="7" t="str">
        <f t="shared" si="7"/>
        <v>m</v>
      </c>
    </row>
    <row r="493" spans="1:4" x14ac:dyDescent="0.25">
      <c r="A493" s="8" t="s">
        <v>1122</v>
      </c>
      <c r="B493" s="9" t="s">
        <v>1123</v>
      </c>
      <c r="C493" s="9" t="s">
        <v>92</v>
      </c>
      <c r="D493" s="7" t="str">
        <f t="shared" si="7"/>
        <v>m</v>
      </c>
    </row>
    <row r="494" spans="1:4" x14ac:dyDescent="0.25">
      <c r="A494" s="5" t="s">
        <v>1124</v>
      </c>
      <c r="B494" s="6" t="s">
        <v>168</v>
      </c>
      <c r="C494" s="6" t="s">
        <v>880</v>
      </c>
      <c r="D494" s="7" t="str">
        <f t="shared" si="7"/>
        <v>m</v>
      </c>
    </row>
    <row r="495" spans="1:4" x14ac:dyDescent="0.25">
      <c r="A495" s="10" t="s">
        <v>1125</v>
      </c>
      <c r="B495" s="11" t="s">
        <v>1126</v>
      </c>
      <c r="C495" s="11" t="s">
        <v>121</v>
      </c>
      <c r="D495" s="7" t="str">
        <f t="shared" si="7"/>
        <v>m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B9236-E211-42D9-943E-38628F3822B9}">
  <dimension ref="A1:G495"/>
  <sheetViews>
    <sheetView topLeftCell="A274" zoomScale="25" zoomScaleNormal="25" workbookViewId="0">
      <selection activeCell="G4" sqref="G4"/>
    </sheetView>
  </sheetViews>
  <sheetFormatPr defaultRowHeight="15" x14ac:dyDescent="0.25"/>
  <cols>
    <col min="1" max="1" width="12" bestFit="1" customWidth="1"/>
    <col min="2" max="2" width="14.85546875" bestFit="1" customWidth="1"/>
    <col min="3" max="3" width="12.140625" bestFit="1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4" t="s">
        <v>1127</v>
      </c>
      <c r="E1" s="12" t="s">
        <v>1128</v>
      </c>
    </row>
    <row r="2" spans="1:7" x14ac:dyDescent="0.25">
      <c r="A2" s="5" t="s">
        <v>3</v>
      </c>
      <c r="B2" s="6" t="s">
        <v>4</v>
      </c>
      <c r="C2" s="6" t="s">
        <v>5</v>
      </c>
      <c r="D2" s="7" t="str">
        <f t="shared" ref="D2:D65" si="0">IF(MOD(LEFT(RIGHT(A2,2),1),2)=0,"k","m")</f>
        <v>m</v>
      </c>
      <c r="E2" t="str">
        <f>RIGHT(C2,1)</f>
        <v>f</v>
      </c>
      <c r="F2" t="str">
        <f>IF(AND(E2&lt;&gt;"a",D2="k"),C2,"")</f>
        <v/>
      </c>
      <c r="G2" s="6" t="s">
        <v>1017</v>
      </c>
    </row>
    <row r="3" spans="1:7" x14ac:dyDescent="0.25">
      <c r="A3" s="8" t="s">
        <v>6</v>
      </c>
      <c r="B3" s="9" t="s">
        <v>7</v>
      </c>
      <c r="C3" s="9" t="s">
        <v>8</v>
      </c>
      <c r="D3" s="7" t="str">
        <f t="shared" si="0"/>
        <v>m</v>
      </c>
      <c r="E3" t="str">
        <f t="shared" ref="E3:E66" si="1">RIGHT(C3,1)</f>
        <v>m</v>
      </c>
      <c r="F3" t="str">
        <f t="shared" ref="F3:F66" si="2">IF(AND(E3&lt;&gt;"a",D3="k"),C3,"")</f>
        <v/>
      </c>
      <c r="G3" s="9" t="s">
        <v>1020</v>
      </c>
    </row>
    <row r="4" spans="1:7" x14ac:dyDescent="0.25">
      <c r="A4" s="5" t="s">
        <v>9</v>
      </c>
      <c r="B4" s="6" t="s">
        <v>10</v>
      </c>
      <c r="C4" s="6" t="s">
        <v>11</v>
      </c>
      <c r="D4" s="7" t="str">
        <f t="shared" si="0"/>
        <v>m</v>
      </c>
      <c r="E4" t="str">
        <f t="shared" si="1"/>
        <v>l</v>
      </c>
      <c r="F4" t="str">
        <f t="shared" si="2"/>
        <v/>
      </c>
      <c r="G4" s="9" t="s">
        <v>400</v>
      </c>
    </row>
    <row r="5" spans="1:7" x14ac:dyDescent="0.25">
      <c r="A5" s="8" t="s">
        <v>12</v>
      </c>
      <c r="B5" s="9" t="s">
        <v>13</v>
      </c>
      <c r="C5" s="9" t="s">
        <v>14</v>
      </c>
      <c r="D5" s="7" t="str">
        <f>IF(MOD(LEFT(RIGHT(A5,2),1),2)=0,"k","m")</f>
        <v>m</v>
      </c>
      <c r="E5" t="str">
        <f t="shared" si="1"/>
        <v>n</v>
      </c>
      <c r="F5" t="str">
        <f t="shared" si="2"/>
        <v/>
      </c>
    </row>
    <row r="6" spans="1:7" x14ac:dyDescent="0.25">
      <c r="A6" s="5" t="s">
        <v>15</v>
      </c>
      <c r="B6" s="6" t="s">
        <v>16</v>
      </c>
      <c r="C6" s="6" t="s">
        <v>17</v>
      </c>
      <c r="D6" s="7" t="str">
        <f t="shared" si="0"/>
        <v>m</v>
      </c>
      <c r="E6" t="str">
        <f t="shared" si="1"/>
        <v>z</v>
      </c>
      <c r="F6" t="str">
        <f t="shared" si="2"/>
        <v/>
      </c>
    </row>
    <row r="7" spans="1:7" x14ac:dyDescent="0.25">
      <c r="A7" s="8" t="s">
        <v>18</v>
      </c>
      <c r="B7" s="9" t="s">
        <v>19</v>
      </c>
      <c r="C7" s="9" t="s">
        <v>20</v>
      </c>
      <c r="D7" s="7" t="str">
        <f t="shared" si="0"/>
        <v>m</v>
      </c>
      <c r="E7" t="str">
        <f t="shared" si="1"/>
        <v>k</v>
      </c>
      <c r="F7" t="str">
        <f t="shared" si="2"/>
        <v/>
      </c>
    </row>
    <row r="8" spans="1:7" x14ac:dyDescent="0.25">
      <c r="A8" s="5" t="s">
        <v>21</v>
      </c>
      <c r="B8" s="6" t="s">
        <v>22</v>
      </c>
      <c r="C8" s="6" t="s">
        <v>8</v>
      </c>
      <c r="D8" s="7" t="str">
        <f t="shared" si="0"/>
        <v>m</v>
      </c>
      <c r="E8" t="str">
        <f t="shared" si="1"/>
        <v>m</v>
      </c>
      <c r="F8" t="str">
        <f t="shared" si="2"/>
        <v/>
      </c>
    </row>
    <row r="9" spans="1:7" x14ac:dyDescent="0.25">
      <c r="A9" s="8" t="s">
        <v>23</v>
      </c>
      <c r="B9" s="9" t="s">
        <v>24</v>
      </c>
      <c r="C9" s="9" t="s">
        <v>25</v>
      </c>
      <c r="D9" s="7" t="str">
        <f t="shared" si="0"/>
        <v>m</v>
      </c>
      <c r="E9" t="str">
        <f t="shared" si="1"/>
        <v>k</v>
      </c>
      <c r="F9" t="str">
        <f t="shared" si="2"/>
        <v/>
      </c>
    </row>
    <row r="10" spans="1:7" x14ac:dyDescent="0.25">
      <c r="A10" s="5" t="s">
        <v>26</v>
      </c>
      <c r="B10" s="6" t="s">
        <v>27</v>
      </c>
      <c r="C10" s="6" t="s">
        <v>28</v>
      </c>
      <c r="D10" s="7" t="str">
        <f t="shared" si="0"/>
        <v>m</v>
      </c>
      <c r="E10" t="str">
        <f t="shared" si="1"/>
        <v>o</v>
      </c>
      <c r="F10" t="str">
        <f t="shared" si="2"/>
        <v/>
      </c>
    </row>
    <row r="11" spans="1:7" x14ac:dyDescent="0.25">
      <c r="A11" s="8" t="s">
        <v>29</v>
      </c>
      <c r="B11" s="9" t="s">
        <v>30</v>
      </c>
      <c r="C11" s="9" t="s">
        <v>31</v>
      </c>
      <c r="D11" s="7" t="str">
        <f t="shared" si="0"/>
        <v>m</v>
      </c>
      <c r="E11" t="str">
        <f t="shared" si="1"/>
        <v>y</v>
      </c>
      <c r="F11" t="str">
        <f t="shared" si="2"/>
        <v/>
      </c>
    </row>
    <row r="12" spans="1:7" x14ac:dyDescent="0.25">
      <c r="A12" s="5" t="s">
        <v>32</v>
      </c>
      <c r="B12" s="6" t="s">
        <v>33</v>
      </c>
      <c r="C12" s="6" t="s">
        <v>20</v>
      </c>
      <c r="D12" s="7" t="str">
        <f t="shared" si="0"/>
        <v>m</v>
      </c>
      <c r="E12" t="str">
        <f t="shared" si="1"/>
        <v>k</v>
      </c>
      <c r="F12" t="str">
        <f t="shared" si="2"/>
        <v/>
      </c>
    </row>
    <row r="13" spans="1:7" x14ac:dyDescent="0.25">
      <c r="A13" s="8" t="s">
        <v>34</v>
      </c>
      <c r="B13" s="9" t="s">
        <v>35</v>
      </c>
      <c r="C13" s="9" t="s">
        <v>36</v>
      </c>
      <c r="D13" s="7" t="str">
        <f t="shared" si="0"/>
        <v>m</v>
      </c>
      <c r="E13" t="str">
        <f t="shared" si="1"/>
        <v>n</v>
      </c>
      <c r="F13" t="str">
        <f t="shared" si="2"/>
        <v/>
      </c>
    </row>
    <row r="14" spans="1:7" x14ac:dyDescent="0.25">
      <c r="A14" s="5" t="s">
        <v>37</v>
      </c>
      <c r="B14" s="6" t="s">
        <v>38</v>
      </c>
      <c r="C14" s="6" t="s">
        <v>39</v>
      </c>
      <c r="D14" s="7" t="str">
        <f t="shared" si="0"/>
        <v>m</v>
      </c>
      <c r="E14" t="str">
        <f t="shared" si="1"/>
        <v>j</v>
      </c>
      <c r="F14" t="str">
        <f t="shared" si="2"/>
        <v/>
      </c>
    </row>
    <row r="15" spans="1:7" x14ac:dyDescent="0.25">
      <c r="A15" s="8" t="s">
        <v>40</v>
      </c>
      <c r="B15" s="9" t="s">
        <v>41</v>
      </c>
      <c r="C15" s="9" t="s">
        <v>39</v>
      </c>
      <c r="D15" s="7" t="str">
        <f t="shared" si="0"/>
        <v>m</v>
      </c>
      <c r="E15" t="str">
        <f t="shared" si="1"/>
        <v>j</v>
      </c>
      <c r="F15" t="str">
        <f t="shared" si="2"/>
        <v/>
      </c>
    </row>
    <row r="16" spans="1:7" x14ac:dyDescent="0.25">
      <c r="A16" s="5" t="s">
        <v>42</v>
      </c>
      <c r="B16" s="6" t="s">
        <v>43</v>
      </c>
      <c r="C16" s="6" t="s">
        <v>44</v>
      </c>
      <c r="D16" s="7" t="str">
        <f t="shared" si="0"/>
        <v>m</v>
      </c>
      <c r="E16" t="str">
        <f t="shared" si="1"/>
        <v>r</v>
      </c>
      <c r="F16" t="str">
        <f t="shared" si="2"/>
        <v/>
      </c>
    </row>
    <row r="17" spans="1:6" x14ac:dyDescent="0.25">
      <c r="A17" s="8" t="s">
        <v>45</v>
      </c>
      <c r="B17" s="9" t="s">
        <v>46</v>
      </c>
      <c r="C17" s="9" t="s">
        <v>47</v>
      </c>
      <c r="D17" s="7" t="str">
        <f t="shared" si="0"/>
        <v>m</v>
      </c>
      <c r="E17" t="str">
        <f t="shared" si="1"/>
        <v>n</v>
      </c>
      <c r="F17" t="str">
        <f t="shared" si="2"/>
        <v/>
      </c>
    </row>
    <row r="18" spans="1:6" x14ac:dyDescent="0.25">
      <c r="A18" s="5" t="s">
        <v>48</v>
      </c>
      <c r="B18" s="6" t="s">
        <v>49</v>
      </c>
      <c r="C18" s="6" t="s">
        <v>50</v>
      </c>
      <c r="D18" s="7" t="str">
        <f t="shared" si="0"/>
        <v>m</v>
      </c>
      <c r="E18" t="str">
        <f t="shared" si="1"/>
        <v>f</v>
      </c>
      <c r="F18" t="str">
        <f t="shared" si="2"/>
        <v/>
      </c>
    </row>
    <row r="19" spans="1:6" x14ac:dyDescent="0.25">
      <c r="A19" s="8" t="s">
        <v>51</v>
      </c>
      <c r="B19" s="9" t="s">
        <v>52</v>
      </c>
      <c r="C19" s="9" t="s">
        <v>53</v>
      </c>
      <c r="D19" s="7" t="str">
        <f t="shared" si="0"/>
        <v>m</v>
      </c>
      <c r="E19" t="str">
        <f t="shared" si="1"/>
        <v>h</v>
      </c>
      <c r="F19" t="str">
        <f t="shared" si="2"/>
        <v/>
      </c>
    </row>
    <row r="20" spans="1:6" x14ac:dyDescent="0.25">
      <c r="A20" s="5" t="s">
        <v>54</v>
      </c>
      <c r="B20" s="6" t="s">
        <v>55</v>
      </c>
      <c r="C20" s="6" t="s">
        <v>56</v>
      </c>
      <c r="D20" s="7" t="str">
        <f t="shared" si="0"/>
        <v>k</v>
      </c>
      <c r="E20" t="str">
        <f t="shared" si="1"/>
        <v>a</v>
      </c>
      <c r="F20" t="str">
        <f t="shared" si="2"/>
        <v/>
      </c>
    </row>
    <row r="21" spans="1:6" x14ac:dyDescent="0.25">
      <c r="A21" s="8" t="s">
        <v>57</v>
      </c>
      <c r="B21" s="9" t="s">
        <v>58</v>
      </c>
      <c r="C21" s="9" t="s">
        <v>8</v>
      </c>
      <c r="D21" s="7" t="str">
        <f t="shared" si="0"/>
        <v>m</v>
      </c>
      <c r="E21" t="str">
        <f t="shared" si="1"/>
        <v>m</v>
      </c>
      <c r="F21" t="str">
        <f t="shared" si="2"/>
        <v/>
      </c>
    </row>
    <row r="22" spans="1:6" x14ac:dyDescent="0.25">
      <c r="A22" s="5" t="s">
        <v>59</v>
      </c>
      <c r="B22" s="6" t="s">
        <v>60</v>
      </c>
      <c r="C22" s="6" t="s">
        <v>61</v>
      </c>
      <c r="D22" s="7" t="str">
        <f t="shared" si="0"/>
        <v>m</v>
      </c>
      <c r="E22" t="str">
        <f t="shared" si="1"/>
        <v>r</v>
      </c>
      <c r="F22" t="str">
        <f t="shared" si="2"/>
        <v/>
      </c>
    </row>
    <row r="23" spans="1:6" x14ac:dyDescent="0.25">
      <c r="A23" s="8" t="s">
        <v>62</v>
      </c>
      <c r="B23" s="9" t="s">
        <v>63</v>
      </c>
      <c r="C23" s="9" t="s">
        <v>64</v>
      </c>
      <c r="D23" s="7" t="str">
        <f t="shared" si="0"/>
        <v>m</v>
      </c>
      <c r="E23" t="str">
        <f t="shared" si="1"/>
        <v>j</v>
      </c>
      <c r="F23" t="str">
        <f t="shared" si="2"/>
        <v/>
      </c>
    </row>
    <row r="24" spans="1:6" x14ac:dyDescent="0.25">
      <c r="A24" s="5" t="s">
        <v>65</v>
      </c>
      <c r="B24" s="6" t="s">
        <v>66</v>
      </c>
      <c r="C24" s="6" t="s">
        <v>67</v>
      </c>
      <c r="D24" s="7" t="str">
        <f t="shared" si="0"/>
        <v>k</v>
      </c>
      <c r="E24" t="str">
        <f t="shared" si="1"/>
        <v>a</v>
      </c>
      <c r="F24" t="str">
        <f t="shared" si="2"/>
        <v/>
      </c>
    </row>
    <row r="25" spans="1:6" x14ac:dyDescent="0.25">
      <c r="A25" s="8" t="s">
        <v>68</v>
      </c>
      <c r="B25" s="9" t="s">
        <v>69</v>
      </c>
      <c r="C25" s="9" t="s">
        <v>70</v>
      </c>
      <c r="D25" s="7" t="str">
        <f t="shared" si="0"/>
        <v>k</v>
      </c>
      <c r="E25" t="str">
        <f t="shared" si="1"/>
        <v>a</v>
      </c>
      <c r="F25" t="str">
        <f t="shared" si="2"/>
        <v/>
      </c>
    </row>
    <row r="26" spans="1:6" x14ac:dyDescent="0.25">
      <c r="A26" s="5" t="s">
        <v>71</v>
      </c>
      <c r="B26" s="6" t="s">
        <v>72</v>
      </c>
      <c r="C26" s="6" t="s">
        <v>73</v>
      </c>
      <c r="D26" s="7" t="str">
        <f t="shared" si="0"/>
        <v>m</v>
      </c>
      <c r="E26" t="str">
        <f t="shared" si="1"/>
        <v>r</v>
      </c>
      <c r="F26" t="str">
        <f t="shared" si="2"/>
        <v/>
      </c>
    </row>
    <row r="27" spans="1:6" x14ac:dyDescent="0.25">
      <c r="A27" s="8" t="s">
        <v>74</v>
      </c>
      <c r="B27" s="9" t="s">
        <v>75</v>
      </c>
      <c r="C27" s="9" t="s">
        <v>8</v>
      </c>
      <c r="D27" s="7" t="str">
        <f t="shared" si="0"/>
        <v>m</v>
      </c>
      <c r="E27" t="str">
        <f t="shared" si="1"/>
        <v>m</v>
      </c>
      <c r="F27" t="str">
        <f t="shared" si="2"/>
        <v/>
      </c>
    </row>
    <row r="28" spans="1:6" x14ac:dyDescent="0.25">
      <c r="A28" s="5" t="s">
        <v>76</v>
      </c>
      <c r="B28" s="6" t="s">
        <v>77</v>
      </c>
      <c r="C28" s="6" t="s">
        <v>78</v>
      </c>
      <c r="D28" s="7" t="str">
        <f t="shared" si="0"/>
        <v>k</v>
      </c>
      <c r="E28" t="str">
        <f t="shared" si="1"/>
        <v>a</v>
      </c>
      <c r="F28" t="str">
        <f t="shared" si="2"/>
        <v/>
      </c>
    </row>
    <row r="29" spans="1:6" x14ac:dyDescent="0.25">
      <c r="A29" s="8" t="s">
        <v>79</v>
      </c>
      <c r="B29" s="9" t="s">
        <v>80</v>
      </c>
      <c r="C29" s="9" t="s">
        <v>39</v>
      </c>
      <c r="D29" s="7" t="str">
        <f t="shared" si="0"/>
        <v>m</v>
      </c>
      <c r="E29" t="str">
        <f t="shared" si="1"/>
        <v>j</v>
      </c>
      <c r="F29" t="str">
        <f t="shared" si="2"/>
        <v/>
      </c>
    </row>
    <row r="30" spans="1:6" x14ac:dyDescent="0.25">
      <c r="A30" s="5" t="s">
        <v>81</v>
      </c>
      <c r="B30" s="6" t="s">
        <v>82</v>
      </c>
      <c r="C30" s="6" t="s">
        <v>83</v>
      </c>
      <c r="D30" s="7" t="str">
        <f t="shared" si="0"/>
        <v>k</v>
      </c>
      <c r="E30" t="str">
        <f t="shared" si="1"/>
        <v>a</v>
      </c>
      <c r="F30" t="str">
        <f t="shared" si="2"/>
        <v/>
      </c>
    </row>
    <row r="31" spans="1:6" x14ac:dyDescent="0.25">
      <c r="A31" s="8" t="s">
        <v>84</v>
      </c>
      <c r="B31" s="9" t="s">
        <v>85</v>
      </c>
      <c r="C31" s="9" t="s">
        <v>86</v>
      </c>
      <c r="D31" s="7" t="str">
        <f t="shared" si="0"/>
        <v>k</v>
      </c>
      <c r="E31" t="str">
        <f t="shared" si="1"/>
        <v>a</v>
      </c>
      <c r="F31" t="str">
        <f t="shared" si="2"/>
        <v/>
      </c>
    </row>
    <row r="32" spans="1:6" x14ac:dyDescent="0.25">
      <c r="A32" s="5" t="s">
        <v>87</v>
      </c>
      <c r="B32" s="6" t="s">
        <v>88</v>
      </c>
      <c r="C32" s="6" t="s">
        <v>89</v>
      </c>
      <c r="D32" s="7" t="str">
        <f t="shared" si="0"/>
        <v>k</v>
      </c>
      <c r="E32" t="str">
        <f t="shared" si="1"/>
        <v>a</v>
      </c>
      <c r="F32" t="str">
        <f t="shared" si="2"/>
        <v/>
      </c>
    </row>
    <row r="33" spans="1:6" x14ac:dyDescent="0.25">
      <c r="A33" s="8" t="s">
        <v>90</v>
      </c>
      <c r="B33" s="9" t="s">
        <v>91</v>
      </c>
      <c r="C33" s="9" t="s">
        <v>92</v>
      </c>
      <c r="D33" s="7" t="str">
        <f t="shared" si="0"/>
        <v>m</v>
      </c>
      <c r="E33" t="str">
        <f t="shared" si="1"/>
        <v>r</v>
      </c>
      <c r="F33" t="str">
        <f t="shared" si="2"/>
        <v/>
      </c>
    </row>
    <row r="34" spans="1:6" x14ac:dyDescent="0.25">
      <c r="A34" s="5" t="s">
        <v>93</v>
      </c>
      <c r="B34" s="6" t="s">
        <v>94</v>
      </c>
      <c r="C34" s="6" t="s">
        <v>5</v>
      </c>
      <c r="D34" s="7" t="str">
        <f t="shared" si="0"/>
        <v>m</v>
      </c>
      <c r="E34" t="str">
        <f t="shared" si="1"/>
        <v>f</v>
      </c>
      <c r="F34" t="str">
        <f t="shared" si="2"/>
        <v/>
      </c>
    </row>
    <row r="35" spans="1:6" x14ac:dyDescent="0.25">
      <c r="A35" s="8" t="s">
        <v>95</v>
      </c>
      <c r="B35" s="9" t="s">
        <v>96</v>
      </c>
      <c r="C35" s="9" t="s">
        <v>97</v>
      </c>
      <c r="D35" s="7" t="str">
        <f t="shared" si="0"/>
        <v>m</v>
      </c>
      <c r="E35" t="str">
        <f t="shared" si="1"/>
        <v>y</v>
      </c>
      <c r="F35" t="str">
        <f t="shared" si="2"/>
        <v/>
      </c>
    </row>
    <row r="36" spans="1:6" x14ac:dyDescent="0.25">
      <c r="A36" s="5" t="s">
        <v>98</v>
      </c>
      <c r="B36" s="6" t="s">
        <v>99</v>
      </c>
      <c r="C36" s="6" t="s">
        <v>100</v>
      </c>
      <c r="D36" s="7" t="str">
        <f t="shared" si="0"/>
        <v>k</v>
      </c>
      <c r="E36" t="str">
        <f t="shared" si="1"/>
        <v>a</v>
      </c>
      <c r="F36" t="str">
        <f t="shared" si="2"/>
        <v/>
      </c>
    </row>
    <row r="37" spans="1:6" x14ac:dyDescent="0.25">
      <c r="A37" s="8" t="s">
        <v>101</v>
      </c>
      <c r="B37" s="9" t="s">
        <v>102</v>
      </c>
      <c r="C37" s="9" t="s">
        <v>17</v>
      </c>
      <c r="D37" s="7" t="str">
        <f t="shared" si="0"/>
        <v>m</v>
      </c>
      <c r="E37" t="str">
        <f t="shared" si="1"/>
        <v>z</v>
      </c>
      <c r="F37" t="str">
        <f t="shared" si="2"/>
        <v/>
      </c>
    </row>
    <row r="38" spans="1:6" x14ac:dyDescent="0.25">
      <c r="A38" s="5" t="s">
        <v>103</v>
      </c>
      <c r="B38" s="6" t="s">
        <v>104</v>
      </c>
      <c r="C38" s="6" t="s">
        <v>105</v>
      </c>
      <c r="D38" s="7" t="str">
        <f t="shared" si="0"/>
        <v>m</v>
      </c>
      <c r="E38" t="str">
        <f t="shared" si="1"/>
        <v>r</v>
      </c>
      <c r="F38" t="str">
        <f t="shared" si="2"/>
        <v/>
      </c>
    </row>
    <row r="39" spans="1:6" x14ac:dyDescent="0.25">
      <c r="A39" s="8" t="s">
        <v>106</v>
      </c>
      <c r="B39" s="9" t="s">
        <v>107</v>
      </c>
      <c r="C39" s="9" t="s">
        <v>108</v>
      </c>
      <c r="D39" s="7" t="str">
        <f t="shared" si="0"/>
        <v>m</v>
      </c>
      <c r="E39" t="str">
        <f t="shared" si="1"/>
        <v>l</v>
      </c>
      <c r="F39" t="str">
        <f t="shared" si="2"/>
        <v/>
      </c>
    </row>
    <row r="40" spans="1:6" x14ac:dyDescent="0.25">
      <c r="A40" s="5" t="s">
        <v>109</v>
      </c>
      <c r="B40" s="6" t="s">
        <v>110</v>
      </c>
      <c r="C40" s="6" t="s">
        <v>111</v>
      </c>
      <c r="D40" s="7" t="str">
        <f t="shared" si="0"/>
        <v>k</v>
      </c>
      <c r="E40" t="str">
        <f t="shared" si="1"/>
        <v>a</v>
      </c>
      <c r="F40" t="str">
        <f t="shared" si="2"/>
        <v/>
      </c>
    </row>
    <row r="41" spans="1:6" x14ac:dyDescent="0.25">
      <c r="A41" s="8" t="s">
        <v>112</v>
      </c>
      <c r="B41" s="9" t="s">
        <v>113</v>
      </c>
      <c r="C41" s="9" t="s">
        <v>114</v>
      </c>
      <c r="D41" s="7" t="str">
        <f t="shared" si="0"/>
        <v>m</v>
      </c>
      <c r="E41" t="str">
        <f t="shared" si="1"/>
        <v>r</v>
      </c>
      <c r="F41" t="str">
        <f t="shared" si="2"/>
        <v/>
      </c>
    </row>
    <row r="42" spans="1:6" x14ac:dyDescent="0.25">
      <c r="A42" s="5" t="s">
        <v>115</v>
      </c>
      <c r="B42" s="6" t="s">
        <v>116</v>
      </c>
      <c r="C42" s="6" t="s">
        <v>36</v>
      </c>
      <c r="D42" s="7" t="str">
        <f t="shared" si="0"/>
        <v>m</v>
      </c>
      <c r="E42" t="str">
        <f t="shared" si="1"/>
        <v>n</v>
      </c>
      <c r="F42" t="str">
        <f t="shared" si="2"/>
        <v/>
      </c>
    </row>
    <row r="43" spans="1:6" x14ac:dyDescent="0.25">
      <c r="A43" s="8" t="s">
        <v>117</v>
      </c>
      <c r="B43" s="9" t="s">
        <v>118</v>
      </c>
      <c r="C43" s="9" t="s">
        <v>73</v>
      </c>
      <c r="D43" s="7" t="str">
        <f t="shared" si="0"/>
        <v>m</v>
      </c>
      <c r="E43" t="str">
        <f t="shared" si="1"/>
        <v>r</v>
      </c>
      <c r="F43" t="str">
        <f t="shared" si="2"/>
        <v/>
      </c>
    </row>
    <row r="44" spans="1:6" x14ac:dyDescent="0.25">
      <c r="A44" s="5" t="s">
        <v>119</v>
      </c>
      <c r="B44" s="6" t="s">
        <v>120</v>
      </c>
      <c r="C44" s="6" t="s">
        <v>121</v>
      </c>
      <c r="D44" s="7" t="str">
        <f t="shared" si="0"/>
        <v>m</v>
      </c>
      <c r="E44" t="str">
        <f t="shared" si="1"/>
        <v>n</v>
      </c>
      <c r="F44" t="str">
        <f t="shared" si="2"/>
        <v/>
      </c>
    </row>
    <row r="45" spans="1:6" x14ac:dyDescent="0.25">
      <c r="A45" s="8" t="s">
        <v>122</v>
      </c>
      <c r="B45" s="9" t="s">
        <v>123</v>
      </c>
      <c r="C45" s="9" t="s">
        <v>47</v>
      </c>
      <c r="D45" s="7" t="str">
        <f t="shared" si="0"/>
        <v>m</v>
      </c>
      <c r="E45" t="str">
        <f t="shared" si="1"/>
        <v>n</v>
      </c>
      <c r="F45" t="str">
        <f t="shared" si="2"/>
        <v/>
      </c>
    </row>
    <row r="46" spans="1:6" x14ac:dyDescent="0.25">
      <c r="A46" s="5" t="s">
        <v>124</v>
      </c>
      <c r="B46" s="6" t="s">
        <v>125</v>
      </c>
      <c r="C46" s="6" t="s">
        <v>25</v>
      </c>
      <c r="D46" s="7" t="str">
        <f t="shared" si="0"/>
        <v>m</v>
      </c>
      <c r="E46" t="str">
        <f t="shared" si="1"/>
        <v>k</v>
      </c>
      <c r="F46" t="str">
        <f t="shared" si="2"/>
        <v/>
      </c>
    </row>
    <row r="47" spans="1:6" x14ac:dyDescent="0.25">
      <c r="A47" s="8" t="s">
        <v>126</v>
      </c>
      <c r="B47" s="9" t="s">
        <v>127</v>
      </c>
      <c r="C47" s="9" t="s">
        <v>128</v>
      </c>
      <c r="D47" s="7" t="str">
        <f t="shared" si="0"/>
        <v>k</v>
      </c>
      <c r="E47" t="str">
        <f t="shared" si="1"/>
        <v>a</v>
      </c>
      <c r="F47" t="str">
        <f t="shared" si="2"/>
        <v/>
      </c>
    </row>
    <row r="48" spans="1:6" x14ac:dyDescent="0.25">
      <c r="A48" s="5" t="s">
        <v>129</v>
      </c>
      <c r="B48" s="6" t="s">
        <v>130</v>
      </c>
      <c r="C48" s="6" t="s">
        <v>131</v>
      </c>
      <c r="D48" s="7" t="str">
        <f t="shared" si="0"/>
        <v>k</v>
      </c>
      <c r="E48" t="str">
        <f t="shared" si="1"/>
        <v>a</v>
      </c>
      <c r="F48" t="str">
        <f t="shared" si="2"/>
        <v/>
      </c>
    </row>
    <row r="49" spans="1:6" x14ac:dyDescent="0.25">
      <c r="A49" s="8" t="s">
        <v>132</v>
      </c>
      <c r="B49" s="9" t="s">
        <v>133</v>
      </c>
      <c r="C49" s="9" t="s">
        <v>121</v>
      </c>
      <c r="D49" s="7" t="str">
        <f t="shared" si="0"/>
        <v>m</v>
      </c>
      <c r="E49" t="str">
        <f t="shared" si="1"/>
        <v>n</v>
      </c>
      <c r="F49" t="str">
        <f t="shared" si="2"/>
        <v/>
      </c>
    </row>
    <row r="50" spans="1:6" x14ac:dyDescent="0.25">
      <c r="A50" s="5" t="s">
        <v>134</v>
      </c>
      <c r="B50" s="6" t="s">
        <v>135</v>
      </c>
      <c r="C50" s="6" t="s">
        <v>8</v>
      </c>
      <c r="D50" s="7" t="str">
        <f t="shared" si="0"/>
        <v>m</v>
      </c>
      <c r="E50" t="str">
        <f t="shared" si="1"/>
        <v>m</v>
      </c>
      <c r="F50" t="str">
        <f t="shared" si="2"/>
        <v/>
      </c>
    </row>
    <row r="51" spans="1:6" x14ac:dyDescent="0.25">
      <c r="A51" s="8" t="s">
        <v>136</v>
      </c>
      <c r="B51" s="9" t="s">
        <v>77</v>
      </c>
      <c r="C51" s="9" t="s">
        <v>137</v>
      </c>
      <c r="D51" s="7" t="str">
        <f t="shared" si="0"/>
        <v>k</v>
      </c>
      <c r="E51" t="str">
        <f t="shared" si="1"/>
        <v>a</v>
      </c>
      <c r="F51" t="str">
        <f t="shared" si="2"/>
        <v/>
      </c>
    </row>
    <row r="52" spans="1:6" x14ac:dyDescent="0.25">
      <c r="A52" s="5" t="s">
        <v>138</v>
      </c>
      <c r="B52" s="6" t="s">
        <v>139</v>
      </c>
      <c r="C52" s="6" t="s">
        <v>56</v>
      </c>
      <c r="D52" s="7" t="str">
        <f t="shared" si="0"/>
        <v>k</v>
      </c>
      <c r="E52" t="str">
        <f t="shared" si="1"/>
        <v>a</v>
      </c>
      <c r="F52" t="str">
        <f t="shared" si="2"/>
        <v/>
      </c>
    </row>
    <row r="53" spans="1:6" x14ac:dyDescent="0.25">
      <c r="A53" s="8" t="s">
        <v>140</v>
      </c>
      <c r="B53" s="9" t="s">
        <v>141</v>
      </c>
      <c r="C53" s="9" t="s">
        <v>142</v>
      </c>
      <c r="D53" s="7" t="str">
        <f t="shared" si="0"/>
        <v>k</v>
      </c>
      <c r="E53" t="str">
        <f t="shared" si="1"/>
        <v>a</v>
      </c>
      <c r="F53" t="str">
        <f t="shared" si="2"/>
        <v/>
      </c>
    </row>
    <row r="54" spans="1:6" x14ac:dyDescent="0.25">
      <c r="A54" s="5" t="s">
        <v>143</v>
      </c>
      <c r="B54" s="6" t="s">
        <v>144</v>
      </c>
      <c r="C54" s="6" t="s">
        <v>86</v>
      </c>
      <c r="D54" s="7" t="str">
        <f t="shared" si="0"/>
        <v>k</v>
      </c>
      <c r="E54" t="str">
        <f t="shared" si="1"/>
        <v>a</v>
      </c>
      <c r="F54" t="str">
        <f t="shared" si="2"/>
        <v/>
      </c>
    </row>
    <row r="55" spans="1:6" x14ac:dyDescent="0.25">
      <c r="A55" s="8" t="s">
        <v>145</v>
      </c>
      <c r="B55" s="9" t="s">
        <v>146</v>
      </c>
      <c r="C55" s="9" t="s">
        <v>147</v>
      </c>
      <c r="D55" s="7" t="str">
        <f t="shared" si="0"/>
        <v>k</v>
      </c>
      <c r="E55" t="str">
        <f t="shared" si="1"/>
        <v>a</v>
      </c>
      <c r="F55" t="str">
        <f t="shared" si="2"/>
        <v/>
      </c>
    </row>
    <row r="56" spans="1:6" x14ac:dyDescent="0.25">
      <c r="A56" s="5" t="s">
        <v>148</v>
      </c>
      <c r="B56" s="6" t="s">
        <v>149</v>
      </c>
      <c r="C56" s="6" t="s">
        <v>64</v>
      </c>
      <c r="D56" s="7" t="str">
        <f t="shared" si="0"/>
        <v>m</v>
      </c>
      <c r="E56" t="str">
        <f t="shared" si="1"/>
        <v>j</v>
      </c>
      <c r="F56" t="str">
        <f t="shared" si="2"/>
        <v/>
      </c>
    </row>
    <row r="57" spans="1:6" x14ac:dyDescent="0.25">
      <c r="A57" s="8" t="s">
        <v>150</v>
      </c>
      <c r="B57" s="9" t="s">
        <v>151</v>
      </c>
      <c r="C57" s="9" t="s">
        <v>56</v>
      </c>
      <c r="D57" s="7" t="str">
        <f t="shared" si="0"/>
        <v>k</v>
      </c>
      <c r="E57" t="str">
        <f t="shared" si="1"/>
        <v>a</v>
      </c>
      <c r="F57" t="str">
        <f t="shared" si="2"/>
        <v/>
      </c>
    </row>
    <row r="58" spans="1:6" x14ac:dyDescent="0.25">
      <c r="A58" s="5" t="s">
        <v>152</v>
      </c>
      <c r="B58" s="6" t="s">
        <v>153</v>
      </c>
      <c r="C58" s="6" t="s">
        <v>111</v>
      </c>
      <c r="D58" s="7" t="str">
        <f t="shared" si="0"/>
        <v>k</v>
      </c>
      <c r="E58" t="str">
        <f t="shared" si="1"/>
        <v>a</v>
      </c>
      <c r="F58" t="str">
        <f t="shared" si="2"/>
        <v/>
      </c>
    </row>
    <row r="59" spans="1:6" x14ac:dyDescent="0.25">
      <c r="A59" s="8" t="s">
        <v>154</v>
      </c>
      <c r="B59" s="9" t="s">
        <v>155</v>
      </c>
      <c r="C59" s="9" t="s">
        <v>156</v>
      </c>
      <c r="D59" s="7" t="str">
        <f t="shared" si="0"/>
        <v>m</v>
      </c>
      <c r="E59" t="str">
        <f t="shared" si="1"/>
        <v>y</v>
      </c>
      <c r="F59" t="str">
        <f t="shared" si="2"/>
        <v/>
      </c>
    </row>
    <row r="60" spans="1:6" x14ac:dyDescent="0.25">
      <c r="A60" s="5" t="s">
        <v>157</v>
      </c>
      <c r="B60" s="6" t="s">
        <v>158</v>
      </c>
      <c r="C60" s="6" t="s">
        <v>47</v>
      </c>
      <c r="D60" s="7" t="str">
        <f t="shared" si="0"/>
        <v>m</v>
      </c>
      <c r="E60" t="str">
        <f t="shared" si="1"/>
        <v>n</v>
      </c>
      <c r="F60" t="str">
        <f t="shared" si="2"/>
        <v/>
      </c>
    </row>
    <row r="61" spans="1:6" x14ac:dyDescent="0.25">
      <c r="A61" s="8" t="s">
        <v>159</v>
      </c>
      <c r="B61" s="9" t="s">
        <v>160</v>
      </c>
      <c r="C61" s="9" t="s">
        <v>161</v>
      </c>
      <c r="D61" s="7" t="str">
        <f t="shared" si="0"/>
        <v>k</v>
      </c>
      <c r="E61" t="str">
        <f t="shared" si="1"/>
        <v>a</v>
      </c>
      <c r="F61" t="str">
        <f t="shared" si="2"/>
        <v/>
      </c>
    </row>
    <row r="62" spans="1:6" x14ac:dyDescent="0.25">
      <c r="A62" s="5" t="s">
        <v>162</v>
      </c>
      <c r="B62" s="6" t="s">
        <v>163</v>
      </c>
      <c r="C62" s="6" t="s">
        <v>39</v>
      </c>
      <c r="D62" s="7" t="str">
        <f t="shared" si="0"/>
        <v>m</v>
      </c>
      <c r="E62" t="str">
        <f t="shared" si="1"/>
        <v>j</v>
      </c>
      <c r="F62" t="str">
        <f t="shared" si="2"/>
        <v/>
      </c>
    </row>
    <row r="63" spans="1:6" x14ac:dyDescent="0.25">
      <c r="A63" s="8" t="s">
        <v>164</v>
      </c>
      <c r="B63" s="9" t="s">
        <v>165</v>
      </c>
      <c r="C63" s="9" t="s">
        <v>166</v>
      </c>
      <c r="D63" s="7" t="str">
        <f t="shared" si="0"/>
        <v>m</v>
      </c>
      <c r="E63" t="str">
        <f t="shared" si="1"/>
        <v>b</v>
      </c>
      <c r="F63" t="str">
        <f t="shared" si="2"/>
        <v/>
      </c>
    </row>
    <row r="64" spans="1:6" x14ac:dyDescent="0.25">
      <c r="A64" s="5" t="s">
        <v>167</v>
      </c>
      <c r="B64" s="6" t="s">
        <v>168</v>
      </c>
      <c r="C64" s="6" t="s">
        <v>169</v>
      </c>
      <c r="D64" s="7" t="str">
        <f t="shared" si="0"/>
        <v>m</v>
      </c>
      <c r="E64" t="str">
        <f t="shared" si="1"/>
        <v>n</v>
      </c>
      <c r="F64" t="str">
        <f t="shared" si="2"/>
        <v/>
      </c>
    </row>
    <row r="65" spans="1:6" x14ac:dyDescent="0.25">
      <c r="A65" s="8" t="s">
        <v>170</v>
      </c>
      <c r="B65" s="9" t="s">
        <v>171</v>
      </c>
      <c r="C65" s="9" t="s">
        <v>172</v>
      </c>
      <c r="D65" s="7" t="str">
        <f t="shared" si="0"/>
        <v>k</v>
      </c>
      <c r="E65" t="str">
        <f t="shared" si="1"/>
        <v>a</v>
      </c>
      <c r="F65" t="str">
        <f t="shared" si="2"/>
        <v/>
      </c>
    </row>
    <row r="66" spans="1:6" x14ac:dyDescent="0.25">
      <c r="A66" s="5" t="s">
        <v>173</v>
      </c>
      <c r="B66" s="6" t="s">
        <v>174</v>
      </c>
      <c r="C66" s="6" t="s">
        <v>25</v>
      </c>
      <c r="D66" s="7" t="str">
        <f t="shared" ref="D66:D129" si="3">IF(MOD(LEFT(RIGHT(A66,2),1),2)=0,"k","m")</f>
        <v>m</v>
      </c>
      <c r="E66" t="str">
        <f t="shared" si="1"/>
        <v>k</v>
      </c>
      <c r="F66" t="str">
        <f t="shared" si="2"/>
        <v/>
      </c>
    </row>
    <row r="67" spans="1:6" x14ac:dyDescent="0.25">
      <c r="A67" s="8" t="s">
        <v>175</v>
      </c>
      <c r="B67" s="9" t="s">
        <v>176</v>
      </c>
      <c r="C67" s="9" t="s">
        <v>86</v>
      </c>
      <c r="D67" s="7" t="str">
        <f t="shared" si="3"/>
        <v>k</v>
      </c>
      <c r="E67" t="str">
        <f t="shared" ref="E67:E130" si="4">RIGHT(C67,1)</f>
        <v>a</v>
      </c>
      <c r="F67" t="str">
        <f t="shared" ref="F67:F130" si="5">IF(AND(E67&lt;&gt;"a",D67="k"),C67,"")</f>
        <v/>
      </c>
    </row>
    <row r="68" spans="1:6" x14ac:dyDescent="0.25">
      <c r="A68" s="5" t="s">
        <v>177</v>
      </c>
      <c r="B68" s="6" t="s">
        <v>178</v>
      </c>
      <c r="C68" s="6" t="s">
        <v>179</v>
      </c>
      <c r="D68" s="7" t="str">
        <f t="shared" si="3"/>
        <v>k</v>
      </c>
      <c r="E68" t="str">
        <f t="shared" si="4"/>
        <v>a</v>
      </c>
      <c r="F68" t="str">
        <f t="shared" si="5"/>
        <v/>
      </c>
    </row>
    <row r="69" spans="1:6" x14ac:dyDescent="0.25">
      <c r="A69" s="8" t="s">
        <v>180</v>
      </c>
      <c r="B69" s="9" t="s">
        <v>181</v>
      </c>
      <c r="C69" s="9" t="s">
        <v>182</v>
      </c>
      <c r="D69" s="7" t="str">
        <f t="shared" si="3"/>
        <v>k</v>
      </c>
      <c r="E69" t="str">
        <f t="shared" si="4"/>
        <v>a</v>
      </c>
      <c r="F69" t="str">
        <f t="shared" si="5"/>
        <v/>
      </c>
    </row>
    <row r="70" spans="1:6" x14ac:dyDescent="0.25">
      <c r="A70" s="5" t="s">
        <v>183</v>
      </c>
      <c r="B70" s="6" t="s">
        <v>184</v>
      </c>
      <c r="C70" s="6" t="s">
        <v>53</v>
      </c>
      <c r="D70" s="7" t="str">
        <f t="shared" si="3"/>
        <v>m</v>
      </c>
      <c r="E70" t="str">
        <f t="shared" si="4"/>
        <v>h</v>
      </c>
      <c r="F70" t="str">
        <f t="shared" si="5"/>
        <v/>
      </c>
    </row>
    <row r="71" spans="1:6" x14ac:dyDescent="0.25">
      <c r="A71" s="8" t="s">
        <v>185</v>
      </c>
      <c r="B71" s="9" t="s">
        <v>186</v>
      </c>
      <c r="C71" s="9" t="s">
        <v>187</v>
      </c>
      <c r="D71" s="7" t="str">
        <f t="shared" si="3"/>
        <v>k</v>
      </c>
      <c r="E71" t="str">
        <f t="shared" si="4"/>
        <v>a</v>
      </c>
      <c r="F71" t="str">
        <f t="shared" si="5"/>
        <v/>
      </c>
    </row>
    <row r="72" spans="1:6" x14ac:dyDescent="0.25">
      <c r="A72" s="5" t="s">
        <v>188</v>
      </c>
      <c r="B72" s="6" t="s">
        <v>189</v>
      </c>
      <c r="C72" s="6" t="s">
        <v>44</v>
      </c>
      <c r="D72" s="7" t="str">
        <f t="shared" si="3"/>
        <v>m</v>
      </c>
      <c r="E72" t="str">
        <f t="shared" si="4"/>
        <v>r</v>
      </c>
      <c r="F72" t="str">
        <f t="shared" si="5"/>
        <v/>
      </c>
    </row>
    <row r="73" spans="1:6" x14ac:dyDescent="0.25">
      <c r="A73" s="8" t="s">
        <v>190</v>
      </c>
      <c r="B73" s="9" t="s">
        <v>191</v>
      </c>
      <c r="C73" s="9" t="s">
        <v>114</v>
      </c>
      <c r="D73" s="7" t="str">
        <f t="shared" si="3"/>
        <v>m</v>
      </c>
      <c r="E73" t="str">
        <f t="shared" si="4"/>
        <v>r</v>
      </c>
      <c r="F73" t="str">
        <f t="shared" si="5"/>
        <v/>
      </c>
    </row>
    <row r="74" spans="1:6" x14ac:dyDescent="0.25">
      <c r="A74" s="5" t="s">
        <v>192</v>
      </c>
      <c r="B74" s="6" t="s">
        <v>193</v>
      </c>
      <c r="C74" s="6" t="s">
        <v>194</v>
      </c>
      <c r="D74" s="7" t="str">
        <f t="shared" si="3"/>
        <v>k</v>
      </c>
      <c r="E74" t="str">
        <f t="shared" si="4"/>
        <v>a</v>
      </c>
      <c r="F74" t="str">
        <f t="shared" si="5"/>
        <v/>
      </c>
    </row>
    <row r="75" spans="1:6" x14ac:dyDescent="0.25">
      <c r="A75" s="8" t="s">
        <v>195</v>
      </c>
      <c r="B75" s="9" t="s">
        <v>196</v>
      </c>
      <c r="C75" s="9" t="s">
        <v>20</v>
      </c>
      <c r="D75" s="7" t="str">
        <f t="shared" si="3"/>
        <v>m</v>
      </c>
      <c r="E75" t="str">
        <f t="shared" si="4"/>
        <v>k</v>
      </c>
      <c r="F75" t="str">
        <f t="shared" si="5"/>
        <v/>
      </c>
    </row>
    <row r="76" spans="1:6" x14ac:dyDescent="0.25">
      <c r="A76" s="5" t="s">
        <v>197</v>
      </c>
      <c r="B76" s="6" t="s">
        <v>198</v>
      </c>
      <c r="C76" s="6" t="s">
        <v>199</v>
      </c>
      <c r="D76" s="7" t="str">
        <f t="shared" si="3"/>
        <v>k</v>
      </c>
      <c r="E76" t="str">
        <f t="shared" si="4"/>
        <v>a</v>
      </c>
      <c r="F76" t="str">
        <f t="shared" si="5"/>
        <v/>
      </c>
    </row>
    <row r="77" spans="1:6" x14ac:dyDescent="0.25">
      <c r="A77" s="8" t="s">
        <v>200</v>
      </c>
      <c r="B77" s="9" t="s">
        <v>201</v>
      </c>
      <c r="C77" s="9" t="s">
        <v>202</v>
      </c>
      <c r="D77" s="7" t="str">
        <f t="shared" si="3"/>
        <v>m</v>
      </c>
      <c r="E77" t="str">
        <f t="shared" si="4"/>
        <v>z</v>
      </c>
      <c r="F77" t="str">
        <f t="shared" si="5"/>
        <v/>
      </c>
    </row>
    <row r="78" spans="1:6" x14ac:dyDescent="0.25">
      <c r="A78" s="5" t="s">
        <v>203</v>
      </c>
      <c r="B78" s="6" t="s">
        <v>204</v>
      </c>
      <c r="C78" s="6" t="s">
        <v>205</v>
      </c>
      <c r="D78" s="7" t="str">
        <f t="shared" si="3"/>
        <v>m</v>
      </c>
      <c r="E78" t="str">
        <f t="shared" si="4"/>
        <v>r</v>
      </c>
      <c r="F78" t="str">
        <f t="shared" si="5"/>
        <v/>
      </c>
    </row>
    <row r="79" spans="1:6" x14ac:dyDescent="0.25">
      <c r="A79" s="8" t="s">
        <v>206</v>
      </c>
      <c r="B79" s="9" t="s">
        <v>207</v>
      </c>
      <c r="C79" s="9" t="s">
        <v>208</v>
      </c>
      <c r="D79" s="7" t="str">
        <f t="shared" si="3"/>
        <v>m</v>
      </c>
      <c r="E79" t="str">
        <f t="shared" si="4"/>
        <v>j</v>
      </c>
      <c r="F79" t="str">
        <f t="shared" si="5"/>
        <v/>
      </c>
    </row>
    <row r="80" spans="1:6" x14ac:dyDescent="0.25">
      <c r="A80" s="5" t="s">
        <v>209</v>
      </c>
      <c r="B80" s="6" t="s">
        <v>210</v>
      </c>
      <c r="C80" s="6" t="s">
        <v>211</v>
      </c>
      <c r="D80" s="7" t="str">
        <f t="shared" si="3"/>
        <v>k</v>
      </c>
      <c r="E80" t="str">
        <f t="shared" si="4"/>
        <v>a</v>
      </c>
      <c r="F80" t="str">
        <f t="shared" si="5"/>
        <v/>
      </c>
    </row>
    <row r="81" spans="1:6" x14ac:dyDescent="0.25">
      <c r="A81" s="8" t="s">
        <v>212</v>
      </c>
      <c r="B81" s="9" t="s">
        <v>213</v>
      </c>
      <c r="C81" s="9" t="s">
        <v>214</v>
      </c>
      <c r="D81" s="7" t="str">
        <f t="shared" si="3"/>
        <v>k</v>
      </c>
      <c r="E81" t="str">
        <f t="shared" si="4"/>
        <v>a</v>
      </c>
      <c r="F81" t="str">
        <f t="shared" si="5"/>
        <v/>
      </c>
    </row>
    <row r="82" spans="1:6" x14ac:dyDescent="0.25">
      <c r="A82" s="5" t="s">
        <v>215</v>
      </c>
      <c r="B82" s="6" t="s">
        <v>216</v>
      </c>
      <c r="C82" s="6" t="s">
        <v>121</v>
      </c>
      <c r="D82" s="7" t="str">
        <f t="shared" si="3"/>
        <v>m</v>
      </c>
      <c r="E82" t="str">
        <f t="shared" si="4"/>
        <v>n</v>
      </c>
      <c r="F82" t="str">
        <f t="shared" si="5"/>
        <v/>
      </c>
    </row>
    <row r="83" spans="1:6" x14ac:dyDescent="0.25">
      <c r="A83" s="8" t="s">
        <v>217</v>
      </c>
      <c r="B83" s="9" t="s">
        <v>218</v>
      </c>
      <c r="C83" s="9" t="s">
        <v>219</v>
      </c>
      <c r="D83" s="7" t="str">
        <f t="shared" si="3"/>
        <v>m</v>
      </c>
      <c r="E83" t="str">
        <f t="shared" si="4"/>
        <v>z</v>
      </c>
      <c r="F83" t="str">
        <f t="shared" si="5"/>
        <v/>
      </c>
    </row>
    <row r="84" spans="1:6" x14ac:dyDescent="0.25">
      <c r="A84" s="5" t="s">
        <v>220</v>
      </c>
      <c r="B84" s="6" t="s">
        <v>80</v>
      </c>
      <c r="C84" s="6" t="s">
        <v>17</v>
      </c>
      <c r="D84" s="7" t="str">
        <f t="shared" si="3"/>
        <v>m</v>
      </c>
      <c r="E84" t="str">
        <f t="shared" si="4"/>
        <v>z</v>
      </c>
      <c r="F84" t="str">
        <f t="shared" si="5"/>
        <v/>
      </c>
    </row>
    <row r="85" spans="1:6" x14ac:dyDescent="0.25">
      <c r="A85" s="8" t="s">
        <v>221</v>
      </c>
      <c r="B85" s="9" t="s">
        <v>222</v>
      </c>
      <c r="C85" s="9" t="s">
        <v>223</v>
      </c>
      <c r="D85" s="7" t="str">
        <f t="shared" si="3"/>
        <v>m</v>
      </c>
      <c r="E85" t="str">
        <f t="shared" si="4"/>
        <v>w</v>
      </c>
      <c r="F85" t="str">
        <f t="shared" si="5"/>
        <v/>
      </c>
    </row>
    <row r="86" spans="1:6" x14ac:dyDescent="0.25">
      <c r="A86" s="5" t="s">
        <v>224</v>
      </c>
      <c r="B86" s="6" t="s">
        <v>225</v>
      </c>
      <c r="C86" s="6" t="s">
        <v>226</v>
      </c>
      <c r="D86" s="7" t="str">
        <f t="shared" si="3"/>
        <v>k</v>
      </c>
      <c r="E86" t="str">
        <f t="shared" si="4"/>
        <v>a</v>
      </c>
      <c r="F86" t="str">
        <f t="shared" si="5"/>
        <v/>
      </c>
    </row>
    <row r="87" spans="1:6" x14ac:dyDescent="0.25">
      <c r="A87" s="8" t="s">
        <v>227</v>
      </c>
      <c r="B87" s="9" t="s">
        <v>228</v>
      </c>
      <c r="C87" s="9" t="s">
        <v>14</v>
      </c>
      <c r="D87" s="7" t="str">
        <f t="shared" si="3"/>
        <v>m</v>
      </c>
      <c r="E87" t="str">
        <f t="shared" si="4"/>
        <v>n</v>
      </c>
      <c r="F87" t="str">
        <f t="shared" si="5"/>
        <v/>
      </c>
    </row>
    <row r="88" spans="1:6" x14ac:dyDescent="0.25">
      <c r="A88" s="5" t="s">
        <v>229</v>
      </c>
      <c r="B88" s="6" t="s">
        <v>123</v>
      </c>
      <c r="C88" s="6" t="s">
        <v>230</v>
      </c>
      <c r="D88" s="7" t="str">
        <f t="shared" si="3"/>
        <v>m</v>
      </c>
      <c r="E88" t="str">
        <f t="shared" si="4"/>
        <v>n</v>
      </c>
      <c r="F88" t="str">
        <f t="shared" si="5"/>
        <v/>
      </c>
    </row>
    <row r="89" spans="1:6" x14ac:dyDescent="0.25">
      <c r="A89" s="8" t="s">
        <v>231</v>
      </c>
      <c r="B89" s="9" t="s">
        <v>232</v>
      </c>
      <c r="C89" s="9" t="s">
        <v>233</v>
      </c>
      <c r="D89" s="7" t="str">
        <f t="shared" si="3"/>
        <v>k</v>
      </c>
      <c r="E89" t="str">
        <f t="shared" si="4"/>
        <v>a</v>
      </c>
      <c r="F89" t="str">
        <f t="shared" si="5"/>
        <v/>
      </c>
    </row>
    <row r="90" spans="1:6" x14ac:dyDescent="0.25">
      <c r="A90" s="5" t="s">
        <v>234</v>
      </c>
      <c r="B90" s="6" t="s">
        <v>235</v>
      </c>
      <c r="C90" s="6" t="s">
        <v>5</v>
      </c>
      <c r="D90" s="7" t="str">
        <f t="shared" si="3"/>
        <v>m</v>
      </c>
      <c r="E90" t="str">
        <f t="shared" si="4"/>
        <v>f</v>
      </c>
      <c r="F90" t="str">
        <f t="shared" si="5"/>
        <v/>
      </c>
    </row>
    <row r="91" spans="1:6" x14ac:dyDescent="0.25">
      <c r="A91" s="8" t="s">
        <v>236</v>
      </c>
      <c r="B91" s="9" t="s">
        <v>237</v>
      </c>
      <c r="C91" s="9" t="s">
        <v>238</v>
      </c>
      <c r="D91" s="7" t="str">
        <f t="shared" si="3"/>
        <v>m</v>
      </c>
      <c r="E91" t="str">
        <f t="shared" si="4"/>
        <v>n</v>
      </c>
      <c r="F91" t="str">
        <f t="shared" si="5"/>
        <v/>
      </c>
    </row>
    <row r="92" spans="1:6" x14ac:dyDescent="0.25">
      <c r="A92" s="5" t="s">
        <v>239</v>
      </c>
      <c r="B92" s="6" t="s">
        <v>240</v>
      </c>
      <c r="C92" s="6" t="s">
        <v>241</v>
      </c>
      <c r="D92" s="7" t="str">
        <f t="shared" si="3"/>
        <v>k</v>
      </c>
      <c r="E92" t="str">
        <f t="shared" si="4"/>
        <v>a</v>
      </c>
      <c r="F92" t="str">
        <f t="shared" si="5"/>
        <v/>
      </c>
    </row>
    <row r="93" spans="1:6" x14ac:dyDescent="0.25">
      <c r="A93" s="8" t="s">
        <v>242</v>
      </c>
      <c r="B93" s="9" t="s">
        <v>243</v>
      </c>
      <c r="C93" s="9" t="s">
        <v>233</v>
      </c>
      <c r="D93" s="7" t="str">
        <f t="shared" si="3"/>
        <v>k</v>
      </c>
      <c r="E93" t="str">
        <f t="shared" si="4"/>
        <v>a</v>
      </c>
      <c r="F93" t="str">
        <f t="shared" si="5"/>
        <v/>
      </c>
    </row>
    <row r="94" spans="1:6" x14ac:dyDescent="0.25">
      <c r="A94" s="5" t="s">
        <v>244</v>
      </c>
      <c r="B94" s="6" t="s">
        <v>245</v>
      </c>
      <c r="C94" s="6" t="s">
        <v>246</v>
      </c>
      <c r="D94" s="7" t="str">
        <f t="shared" si="3"/>
        <v>m</v>
      </c>
      <c r="E94" t="str">
        <f t="shared" si="4"/>
        <v>n</v>
      </c>
      <c r="F94" t="str">
        <f t="shared" si="5"/>
        <v/>
      </c>
    </row>
    <row r="95" spans="1:6" x14ac:dyDescent="0.25">
      <c r="A95" s="8" t="s">
        <v>247</v>
      </c>
      <c r="B95" s="9" t="s">
        <v>248</v>
      </c>
      <c r="C95" s="9" t="s">
        <v>249</v>
      </c>
      <c r="D95" s="7" t="str">
        <f t="shared" si="3"/>
        <v>k</v>
      </c>
      <c r="E95" t="str">
        <f t="shared" si="4"/>
        <v>a</v>
      </c>
      <c r="F95" t="str">
        <f t="shared" si="5"/>
        <v/>
      </c>
    </row>
    <row r="96" spans="1:6" x14ac:dyDescent="0.25">
      <c r="A96" s="5" t="s">
        <v>250</v>
      </c>
      <c r="B96" s="6" t="s">
        <v>251</v>
      </c>
      <c r="C96" s="6" t="s">
        <v>252</v>
      </c>
      <c r="D96" s="7" t="str">
        <f t="shared" si="3"/>
        <v>m</v>
      </c>
      <c r="E96" t="str">
        <f t="shared" si="4"/>
        <v>n</v>
      </c>
      <c r="F96" t="str">
        <f t="shared" si="5"/>
        <v/>
      </c>
    </row>
    <row r="97" spans="1:6" x14ac:dyDescent="0.25">
      <c r="A97" s="8" t="s">
        <v>253</v>
      </c>
      <c r="B97" s="9" t="s">
        <v>254</v>
      </c>
      <c r="C97" s="9" t="s">
        <v>5</v>
      </c>
      <c r="D97" s="7" t="str">
        <f t="shared" si="3"/>
        <v>m</v>
      </c>
      <c r="E97" t="str">
        <f t="shared" si="4"/>
        <v>f</v>
      </c>
      <c r="F97" t="str">
        <f t="shared" si="5"/>
        <v/>
      </c>
    </row>
    <row r="98" spans="1:6" x14ac:dyDescent="0.25">
      <c r="A98" s="5" t="s">
        <v>255</v>
      </c>
      <c r="B98" s="6" t="s">
        <v>256</v>
      </c>
      <c r="C98" s="6" t="s">
        <v>257</v>
      </c>
      <c r="D98" s="7" t="str">
        <f t="shared" si="3"/>
        <v>m</v>
      </c>
      <c r="E98" t="str">
        <f t="shared" si="4"/>
        <v>s</v>
      </c>
      <c r="F98" t="str">
        <f t="shared" si="5"/>
        <v/>
      </c>
    </row>
    <row r="99" spans="1:6" x14ac:dyDescent="0.25">
      <c r="A99" s="8" t="s">
        <v>258</v>
      </c>
      <c r="B99" s="9" t="s">
        <v>259</v>
      </c>
      <c r="C99" s="9" t="s">
        <v>260</v>
      </c>
      <c r="D99" s="7" t="str">
        <f t="shared" si="3"/>
        <v>m</v>
      </c>
      <c r="E99" t="str">
        <f t="shared" si="4"/>
        <v>p</v>
      </c>
      <c r="F99" t="str">
        <f t="shared" si="5"/>
        <v/>
      </c>
    </row>
    <row r="100" spans="1:6" x14ac:dyDescent="0.25">
      <c r="A100" s="5" t="s">
        <v>261</v>
      </c>
      <c r="B100" s="6" t="s">
        <v>262</v>
      </c>
      <c r="C100" s="6" t="s">
        <v>263</v>
      </c>
      <c r="D100" s="7" t="str">
        <f t="shared" si="3"/>
        <v>k</v>
      </c>
      <c r="E100" t="str">
        <f t="shared" si="4"/>
        <v>a</v>
      </c>
      <c r="F100" t="str">
        <f t="shared" si="5"/>
        <v/>
      </c>
    </row>
    <row r="101" spans="1:6" x14ac:dyDescent="0.25">
      <c r="A101" s="8" t="s">
        <v>264</v>
      </c>
      <c r="B101" s="9" t="s">
        <v>265</v>
      </c>
      <c r="C101" s="9" t="s">
        <v>266</v>
      </c>
      <c r="D101" s="7" t="str">
        <f t="shared" si="3"/>
        <v>k</v>
      </c>
      <c r="E101" t="str">
        <f t="shared" si="4"/>
        <v>a</v>
      </c>
      <c r="F101" t="str">
        <f t="shared" si="5"/>
        <v/>
      </c>
    </row>
    <row r="102" spans="1:6" x14ac:dyDescent="0.25">
      <c r="A102" s="5" t="s">
        <v>267</v>
      </c>
      <c r="B102" s="6" t="s">
        <v>268</v>
      </c>
      <c r="C102" s="6" t="s">
        <v>269</v>
      </c>
      <c r="D102" s="7" t="str">
        <f t="shared" si="3"/>
        <v>m</v>
      </c>
      <c r="E102" t="str">
        <f t="shared" si="4"/>
        <v>z</v>
      </c>
      <c r="F102" t="str">
        <f t="shared" si="5"/>
        <v/>
      </c>
    </row>
    <row r="103" spans="1:6" x14ac:dyDescent="0.25">
      <c r="A103" s="8" t="s">
        <v>270</v>
      </c>
      <c r="B103" s="9" t="s">
        <v>271</v>
      </c>
      <c r="C103" s="9" t="s">
        <v>272</v>
      </c>
      <c r="D103" s="7" t="str">
        <f t="shared" si="3"/>
        <v>k</v>
      </c>
      <c r="E103" t="str">
        <f t="shared" si="4"/>
        <v>a</v>
      </c>
      <c r="F103" t="str">
        <f t="shared" si="5"/>
        <v/>
      </c>
    </row>
    <row r="104" spans="1:6" x14ac:dyDescent="0.25">
      <c r="A104" s="5" t="s">
        <v>273</v>
      </c>
      <c r="B104" s="6" t="s">
        <v>274</v>
      </c>
      <c r="C104" s="6" t="s">
        <v>275</v>
      </c>
      <c r="D104" s="7" t="str">
        <f t="shared" si="3"/>
        <v>k</v>
      </c>
      <c r="E104" t="str">
        <f t="shared" si="4"/>
        <v>a</v>
      </c>
      <c r="F104" t="str">
        <f t="shared" si="5"/>
        <v/>
      </c>
    </row>
    <row r="105" spans="1:6" x14ac:dyDescent="0.25">
      <c r="A105" s="8" t="s">
        <v>276</v>
      </c>
      <c r="B105" s="9" t="s">
        <v>277</v>
      </c>
      <c r="C105" s="9" t="s">
        <v>278</v>
      </c>
      <c r="D105" s="7" t="str">
        <f t="shared" si="3"/>
        <v>m</v>
      </c>
      <c r="E105" t="str">
        <f t="shared" si="4"/>
        <v>n</v>
      </c>
      <c r="F105" t="str">
        <f t="shared" si="5"/>
        <v/>
      </c>
    </row>
    <row r="106" spans="1:6" x14ac:dyDescent="0.25">
      <c r="A106" s="5" t="s">
        <v>279</v>
      </c>
      <c r="B106" s="6" t="s">
        <v>280</v>
      </c>
      <c r="C106" s="6" t="s">
        <v>281</v>
      </c>
      <c r="D106" s="7" t="str">
        <f t="shared" si="3"/>
        <v>m</v>
      </c>
      <c r="E106" t="str">
        <f t="shared" si="4"/>
        <v>t</v>
      </c>
      <c r="F106" t="str">
        <f t="shared" si="5"/>
        <v/>
      </c>
    </row>
    <row r="107" spans="1:6" x14ac:dyDescent="0.25">
      <c r="A107" s="8" t="s">
        <v>282</v>
      </c>
      <c r="B107" s="9" t="s">
        <v>283</v>
      </c>
      <c r="C107" s="9" t="s">
        <v>284</v>
      </c>
      <c r="D107" s="7" t="str">
        <f t="shared" si="3"/>
        <v>k</v>
      </c>
      <c r="E107" t="str">
        <f t="shared" si="4"/>
        <v>a</v>
      </c>
      <c r="F107" t="str">
        <f t="shared" si="5"/>
        <v/>
      </c>
    </row>
    <row r="108" spans="1:6" x14ac:dyDescent="0.25">
      <c r="A108" s="5" t="s">
        <v>285</v>
      </c>
      <c r="B108" s="6" t="s">
        <v>286</v>
      </c>
      <c r="C108" s="6" t="s">
        <v>287</v>
      </c>
      <c r="D108" s="7" t="str">
        <f t="shared" si="3"/>
        <v>m</v>
      </c>
      <c r="E108" t="str">
        <f t="shared" si="4"/>
        <v>d</v>
      </c>
      <c r="F108" t="str">
        <f t="shared" si="5"/>
        <v/>
      </c>
    </row>
    <row r="109" spans="1:6" x14ac:dyDescent="0.25">
      <c r="A109" s="8" t="s">
        <v>288</v>
      </c>
      <c r="B109" s="9" t="s">
        <v>289</v>
      </c>
      <c r="C109" s="9" t="s">
        <v>17</v>
      </c>
      <c r="D109" s="7" t="str">
        <f t="shared" si="3"/>
        <v>m</v>
      </c>
      <c r="E109" t="str">
        <f t="shared" si="4"/>
        <v>z</v>
      </c>
      <c r="F109" t="str">
        <f t="shared" si="5"/>
        <v/>
      </c>
    </row>
    <row r="110" spans="1:6" x14ac:dyDescent="0.25">
      <c r="A110" s="5" t="s">
        <v>290</v>
      </c>
      <c r="B110" s="6" t="s">
        <v>291</v>
      </c>
      <c r="C110" s="6" t="s">
        <v>292</v>
      </c>
      <c r="D110" s="7" t="str">
        <f t="shared" si="3"/>
        <v>m</v>
      </c>
      <c r="E110" t="str">
        <f t="shared" si="4"/>
        <v>z</v>
      </c>
      <c r="F110" t="str">
        <f t="shared" si="5"/>
        <v/>
      </c>
    </row>
    <row r="111" spans="1:6" x14ac:dyDescent="0.25">
      <c r="A111" s="8" t="s">
        <v>293</v>
      </c>
      <c r="B111" s="9" t="s">
        <v>294</v>
      </c>
      <c r="C111" s="9" t="s">
        <v>295</v>
      </c>
      <c r="D111" s="7" t="str">
        <f t="shared" si="3"/>
        <v>k</v>
      </c>
      <c r="E111" t="str">
        <f t="shared" si="4"/>
        <v>a</v>
      </c>
      <c r="F111" t="str">
        <f t="shared" si="5"/>
        <v/>
      </c>
    </row>
    <row r="112" spans="1:6" x14ac:dyDescent="0.25">
      <c r="A112" s="5" t="s">
        <v>296</v>
      </c>
      <c r="B112" s="6" t="s">
        <v>297</v>
      </c>
      <c r="C112" s="6" t="s">
        <v>298</v>
      </c>
      <c r="D112" s="7" t="str">
        <f t="shared" si="3"/>
        <v>k</v>
      </c>
      <c r="E112" t="str">
        <f t="shared" si="4"/>
        <v>a</v>
      </c>
      <c r="F112" t="str">
        <f t="shared" si="5"/>
        <v/>
      </c>
    </row>
    <row r="113" spans="1:6" x14ac:dyDescent="0.25">
      <c r="A113" s="8" t="s">
        <v>299</v>
      </c>
      <c r="B113" s="9" t="s">
        <v>300</v>
      </c>
      <c r="C113" s="9" t="s">
        <v>64</v>
      </c>
      <c r="D113" s="7" t="str">
        <f t="shared" si="3"/>
        <v>m</v>
      </c>
      <c r="E113" t="str">
        <f t="shared" si="4"/>
        <v>j</v>
      </c>
      <c r="F113" t="str">
        <f t="shared" si="5"/>
        <v/>
      </c>
    </row>
    <row r="114" spans="1:6" x14ac:dyDescent="0.25">
      <c r="A114" s="5" t="s">
        <v>301</v>
      </c>
      <c r="B114" s="6" t="s">
        <v>302</v>
      </c>
      <c r="C114" s="6" t="s">
        <v>78</v>
      </c>
      <c r="D114" s="7" t="str">
        <f t="shared" si="3"/>
        <v>k</v>
      </c>
      <c r="E114" t="str">
        <f t="shared" si="4"/>
        <v>a</v>
      </c>
      <c r="F114" t="str">
        <f t="shared" si="5"/>
        <v/>
      </c>
    </row>
    <row r="115" spans="1:6" x14ac:dyDescent="0.25">
      <c r="A115" s="8" t="s">
        <v>303</v>
      </c>
      <c r="B115" s="9" t="s">
        <v>304</v>
      </c>
      <c r="C115" s="9" t="s">
        <v>208</v>
      </c>
      <c r="D115" s="7" t="str">
        <f t="shared" si="3"/>
        <v>m</v>
      </c>
      <c r="E115" t="str">
        <f t="shared" si="4"/>
        <v>j</v>
      </c>
      <c r="F115" t="str">
        <f t="shared" si="5"/>
        <v/>
      </c>
    </row>
    <row r="116" spans="1:6" x14ac:dyDescent="0.25">
      <c r="A116" s="5" t="s">
        <v>305</v>
      </c>
      <c r="B116" s="6" t="s">
        <v>306</v>
      </c>
      <c r="C116" s="6" t="s">
        <v>92</v>
      </c>
      <c r="D116" s="7" t="str">
        <f t="shared" si="3"/>
        <v>m</v>
      </c>
      <c r="E116" t="str">
        <f t="shared" si="4"/>
        <v>r</v>
      </c>
      <c r="F116" t="str">
        <f t="shared" si="5"/>
        <v/>
      </c>
    </row>
    <row r="117" spans="1:6" x14ac:dyDescent="0.25">
      <c r="A117" s="8" t="s">
        <v>307</v>
      </c>
      <c r="B117" s="9" t="s">
        <v>308</v>
      </c>
      <c r="C117" s="9" t="s">
        <v>309</v>
      </c>
      <c r="D117" s="7" t="str">
        <f t="shared" si="3"/>
        <v>k</v>
      </c>
      <c r="E117" t="str">
        <f t="shared" si="4"/>
        <v>a</v>
      </c>
      <c r="F117" t="str">
        <f t="shared" si="5"/>
        <v/>
      </c>
    </row>
    <row r="118" spans="1:6" x14ac:dyDescent="0.25">
      <c r="A118" s="5" t="s">
        <v>310</v>
      </c>
      <c r="B118" s="6" t="s">
        <v>311</v>
      </c>
      <c r="C118" s="6" t="s">
        <v>64</v>
      </c>
      <c r="D118" s="7" t="str">
        <f t="shared" si="3"/>
        <v>m</v>
      </c>
      <c r="E118" t="str">
        <f t="shared" si="4"/>
        <v>j</v>
      </c>
      <c r="F118" t="str">
        <f t="shared" si="5"/>
        <v/>
      </c>
    </row>
    <row r="119" spans="1:6" x14ac:dyDescent="0.25">
      <c r="A119" s="8" t="s">
        <v>312</v>
      </c>
      <c r="B119" s="9" t="s">
        <v>313</v>
      </c>
      <c r="C119" s="9" t="s">
        <v>121</v>
      </c>
      <c r="D119" s="7" t="str">
        <f t="shared" si="3"/>
        <v>m</v>
      </c>
      <c r="E119" t="str">
        <f t="shared" si="4"/>
        <v>n</v>
      </c>
      <c r="F119" t="str">
        <f t="shared" si="5"/>
        <v/>
      </c>
    </row>
    <row r="120" spans="1:6" x14ac:dyDescent="0.25">
      <c r="A120" s="5" t="s">
        <v>314</v>
      </c>
      <c r="B120" s="6" t="s">
        <v>315</v>
      </c>
      <c r="C120" s="6" t="s">
        <v>64</v>
      </c>
      <c r="D120" s="7" t="str">
        <f t="shared" si="3"/>
        <v>m</v>
      </c>
      <c r="E120" t="str">
        <f t="shared" si="4"/>
        <v>j</v>
      </c>
      <c r="F120" t="str">
        <f t="shared" si="5"/>
        <v/>
      </c>
    </row>
    <row r="121" spans="1:6" x14ac:dyDescent="0.25">
      <c r="A121" s="8" t="s">
        <v>316</v>
      </c>
      <c r="B121" s="9" t="s">
        <v>317</v>
      </c>
      <c r="C121" s="9" t="s">
        <v>318</v>
      </c>
      <c r="D121" s="7" t="str">
        <f t="shared" si="3"/>
        <v>k</v>
      </c>
      <c r="E121" t="str">
        <f t="shared" si="4"/>
        <v>a</v>
      </c>
      <c r="F121" t="str">
        <f t="shared" si="5"/>
        <v/>
      </c>
    </row>
    <row r="122" spans="1:6" x14ac:dyDescent="0.25">
      <c r="A122" s="5" t="s">
        <v>319</v>
      </c>
      <c r="B122" s="6" t="s">
        <v>320</v>
      </c>
      <c r="C122" s="6" t="s">
        <v>260</v>
      </c>
      <c r="D122" s="7" t="str">
        <f t="shared" si="3"/>
        <v>m</v>
      </c>
      <c r="E122" t="str">
        <f t="shared" si="4"/>
        <v>p</v>
      </c>
      <c r="F122" t="str">
        <f t="shared" si="5"/>
        <v/>
      </c>
    </row>
    <row r="123" spans="1:6" x14ac:dyDescent="0.25">
      <c r="A123" s="8" t="s">
        <v>321</v>
      </c>
      <c r="B123" s="9" t="s">
        <v>322</v>
      </c>
      <c r="C123" s="9" t="s">
        <v>323</v>
      </c>
      <c r="D123" s="7" t="str">
        <f t="shared" si="3"/>
        <v>k</v>
      </c>
      <c r="E123" t="str">
        <f t="shared" si="4"/>
        <v>a</v>
      </c>
      <c r="F123" t="str">
        <f t="shared" si="5"/>
        <v/>
      </c>
    </row>
    <row r="124" spans="1:6" x14ac:dyDescent="0.25">
      <c r="A124" s="5" t="s">
        <v>324</v>
      </c>
      <c r="B124" s="6" t="s">
        <v>325</v>
      </c>
      <c r="C124" s="6" t="s">
        <v>131</v>
      </c>
      <c r="D124" s="7" t="str">
        <f t="shared" si="3"/>
        <v>k</v>
      </c>
      <c r="E124" t="str">
        <f t="shared" si="4"/>
        <v>a</v>
      </c>
      <c r="F124" t="str">
        <f t="shared" si="5"/>
        <v/>
      </c>
    </row>
    <row r="125" spans="1:6" x14ac:dyDescent="0.25">
      <c r="A125" s="8" t="s">
        <v>326</v>
      </c>
      <c r="B125" s="9" t="s">
        <v>327</v>
      </c>
      <c r="C125" s="9" t="s">
        <v>179</v>
      </c>
      <c r="D125" s="7" t="str">
        <f t="shared" si="3"/>
        <v>k</v>
      </c>
      <c r="E125" t="str">
        <f t="shared" si="4"/>
        <v>a</v>
      </c>
      <c r="F125" t="str">
        <f t="shared" si="5"/>
        <v/>
      </c>
    </row>
    <row r="126" spans="1:6" x14ac:dyDescent="0.25">
      <c r="A126" s="5" t="s">
        <v>328</v>
      </c>
      <c r="B126" s="6" t="s">
        <v>329</v>
      </c>
      <c r="C126" s="6" t="s">
        <v>330</v>
      </c>
      <c r="D126" s="7" t="str">
        <f t="shared" si="3"/>
        <v>k</v>
      </c>
      <c r="E126" t="str">
        <f t="shared" si="4"/>
        <v>a</v>
      </c>
      <c r="F126" t="str">
        <f t="shared" si="5"/>
        <v/>
      </c>
    </row>
    <row r="127" spans="1:6" x14ac:dyDescent="0.25">
      <c r="A127" s="8" t="s">
        <v>331</v>
      </c>
      <c r="B127" s="9" t="s">
        <v>332</v>
      </c>
      <c r="C127" s="9" t="s">
        <v>202</v>
      </c>
      <c r="D127" s="7" t="str">
        <f t="shared" si="3"/>
        <v>m</v>
      </c>
      <c r="E127" t="str">
        <f t="shared" si="4"/>
        <v>z</v>
      </c>
      <c r="F127" t="str">
        <f t="shared" si="5"/>
        <v/>
      </c>
    </row>
    <row r="128" spans="1:6" x14ac:dyDescent="0.25">
      <c r="A128" s="5" t="s">
        <v>333</v>
      </c>
      <c r="B128" s="6" t="s">
        <v>334</v>
      </c>
      <c r="C128" s="6" t="s">
        <v>335</v>
      </c>
      <c r="D128" s="7" t="str">
        <f t="shared" si="3"/>
        <v>k</v>
      </c>
      <c r="E128" t="str">
        <f t="shared" si="4"/>
        <v>a</v>
      </c>
      <c r="F128" t="str">
        <f t="shared" si="5"/>
        <v/>
      </c>
    </row>
    <row r="129" spans="1:6" x14ac:dyDescent="0.25">
      <c r="A129" s="8" t="s">
        <v>336</v>
      </c>
      <c r="B129" s="9" t="s">
        <v>337</v>
      </c>
      <c r="C129" s="9" t="s">
        <v>17</v>
      </c>
      <c r="D129" s="7" t="str">
        <f t="shared" si="3"/>
        <v>m</v>
      </c>
      <c r="E129" t="str">
        <f t="shared" si="4"/>
        <v>z</v>
      </c>
      <c r="F129" t="str">
        <f t="shared" si="5"/>
        <v/>
      </c>
    </row>
    <row r="130" spans="1:6" x14ac:dyDescent="0.25">
      <c r="A130" s="5" t="s">
        <v>338</v>
      </c>
      <c r="B130" s="6" t="s">
        <v>339</v>
      </c>
      <c r="C130" s="6" t="s">
        <v>340</v>
      </c>
      <c r="D130" s="7" t="str">
        <f t="shared" ref="D130:D193" si="6">IF(MOD(LEFT(RIGHT(A130,2),1),2)=0,"k","m")</f>
        <v>k</v>
      </c>
      <c r="E130" t="str">
        <f t="shared" si="4"/>
        <v>a</v>
      </c>
      <c r="F130" t="str">
        <f t="shared" si="5"/>
        <v/>
      </c>
    </row>
    <row r="131" spans="1:6" x14ac:dyDescent="0.25">
      <c r="A131" s="8" t="s">
        <v>341</v>
      </c>
      <c r="B131" s="9" t="s">
        <v>342</v>
      </c>
      <c r="C131" s="9" t="s">
        <v>108</v>
      </c>
      <c r="D131" s="7" t="str">
        <f t="shared" si="6"/>
        <v>m</v>
      </c>
      <c r="E131" t="str">
        <f t="shared" ref="E131:E194" si="7">RIGHT(C131,1)</f>
        <v>l</v>
      </c>
      <c r="F131" t="str">
        <f t="shared" ref="F131:F194" si="8">IF(AND(E131&lt;&gt;"a",D131="k"),C131,"")</f>
        <v/>
      </c>
    </row>
    <row r="132" spans="1:6" x14ac:dyDescent="0.25">
      <c r="A132" s="5" t="s">
        <v>343</v>
      </c>
      <c r="B132" s="6" t="s">
        <v>344</v>
      </c>
      <c r="C132" s="6" t="s">
        <v>345</v>
      </c>
      <c r="D132" s="7" t="str">
        <f t="shared" si="6"/>
        <v>k</v>
      </c>
      <c r="E132" t="str">
        <f t="shared" si="7"/>
        <v>a</v>
      </c>
      <c r="F132" t="str">
        <f t="shared" si="8"/>
        <v/>
      </c>
    </row>
    <row r="133" spans="1:6" x14ac:dyDescent="0.25">
      <c r="A133" s="8" t="s">
        <v>346</v>
      </c>
      <c r="B133" s="9" t="s">
        <v>347</v>
      </c>
      <c r="C133" s="9" t="s">
        <v>348</v>
      </c>
      <c r="D133" s="7" t="str">
        <f t="shared" si="6"/>
        <v>k</v>
      </c>
      <c r="E133" t="str">
        <f t="shared" si="7"/>
        <v>a</v>
      </c>
      <c r="F133" t="str">
        <f t="shared" si="8"/>
        <v/>
      </c>
    </row>
    <row r="134" spans="1:6" x14ac:dyDescent="0.25">
      <c r="A134" s="5" t="s">
        <v>349</v>
      </c>
      <c r="B134" s="6" t="s">
        <v>350</v>
      </c>
      <c r="C134" s="6" t="s">
        <v>351</v>
      </c>
      <c r="D134" s="7" t="str">
        <f t="shared" si="6"/>
        <v>k</v>
      </c>
      <c r="E134" t="str">
        <f t="shared" si="7"/>
        <v>a</v>
      </c>
      <c r="F134" t="str">
        <f t="shared" si="8"/>
        <v/>
      </c>
    </row>
    <row r="135" spans="1:6" x14ac:dyDescent="0.25">
      <c r="A135" s="8" t="s">
        <v>352</v>
      </c>
      <c r="B135" s="9" t="s">
        <v>353</v>
      </c>
      <c r="C135" s="9" t="s">
        <v>89</v>
      </c>
      <c r="D135" s="7" t="str">
        <f t="shared" si="6"/>
        <v>k</v>
      </c>
      <c r="E135" t="str">
        <f t="shared" si="7"/>
        <v>a</v>
      </c>
      <c r="F135" t="str">
        <f t="shared" si="8"/>
        <v/>
      </c>
    </row>
    <row r="136" spans="1:6" x14ac:dyDescent="0.25">
      <c r="A136" s="5" t="s">
        <v>354</v>
      </c>
      <c r="B136" s="6" t="s">
        <v>355</v>
      </c>
      <c r="C136" s="6" t="s">
        <v>356</v>
      </c>
      <c r="D136" s="7" t="str">
        <f t="shared" si="6"/>
        <v>m</v>
      </c>
      <c r="E136" t="str">
        <f t="shared" si="7"/>
        <v>k</v>
      </c>
      <c r="F136" t="str">
        <f t="shared" si="8"/>
        <v/>
      </c>
    </row>
    <row r="137" spans="1:6" x14ac:dyDescent="0.25">
      <c r="A137" s="8" t="s">
        <v>357</v>
      </c>
      <c r="B137" s="9" t="s">
        <v>358</v>
      </c>
      <c r="C137" s="9" t="s">
        <v>359</v>
      </c>
      <c r="D137" s="7" t="str">
        <f t="shared" si="6"/>
        <v>k</v>
      </c>
      <c r="E137" t="str">
        <f t="shared" si="7"/>
        <v>a</v>
      </c>
      <c r="F137" t="str">
        <f t="shared" si="8"/>
        <v/>
      </c>
    </row>
    <row r="138" spans="1:6" x14ac:dyDescent="0.25">
      <c r="A138" s="5" t="s">
        <v>360</v>
      </c>
      <c r="B138" s="6" t="s">
        <v>361</v>
      </c>
      <c r="C138" s="6" t="s">
        <v>345</v>
      </c>
      <c r="D138" s="7" t="str">
        <f t="shared" si="6"/>
        <v>k</v>
      </c>
      <c r="E138" t="str">
        <f t="shared" si="7"/>
        <v>a</v>
      </c>
      <c r="F138" t="str">
        <f t="shared" si="8"/>
        <v/>
      </c>
    </row>
    <row r="139" spans="1:6" x14ac:dyDescent="0.25">
      <c r="A139" s="8" t="s">
        <v>362</v>
      </c>
      <c r="B139" s="9" t="s">
        <v>363</v>
      </c>
      <c r="C139" s="9" t="s">
        <v>194</v>
      </c>
      <c r="D139" s="7" t="str">
        <f t="shared" si="6"/>
        <v>k</v>
      </c>
      <c r="E139" t="str">
        <f t="shared" si="7"/>
        <v>a</v>
      </c>
      <c r="F139" t="str">
        <f t="shared" si="8"/>
        <v/>
      </c>
    </row>
    <row r="140" spans="1:6" x14ac:dyDescent="0.25">
      <c r="A140" s="5" t="s">
        <v>364</v>
      </c>
      <c r="B140" s="6" t="s">
        <v>365</v>
      </c>
      <c r="C140" s="6" t="s">
        <v>309</v>
      </c>
      <c r="D140" s="7" t="str">
        <f t="shared" si="6"/>
        <v>k</v>
      </c>
      <c r="E140" t="str">
        <f t="shared" si="7"/>
        <v>a</v>
      </c>
      <c r="F140" t="str">
        <f t="shared" si="8"/>
        <v/>
      </c>
    </row>
    <row r="141" spans="1:6" x14ac:dyDescent="0.25">
      <c r="A141" s="8" t="s">
        <v>366</v>
      </c>
      <c r="B141" s="9" t="s">
        <v>367</v>
      </c>
      <c r="C141" s="9" t="s">
        <v>108</v>
      </c>
      <c r="D141" s="7" t="str">
        <f t="shared" si="6"/>
        <v>m</v>
      </c>
      <c r="E141" t="str">
        <f t="shared" si="7"/>
        <v>l</v>
      </c>
      <c r="F141" t="str">
        <f t="shared" si="8"/>
        <v/>
      </c>
    </row>
    <row r="142" spans="1:6" x14ac:dyDescent="0.25">
      <c r="A142" s="5" t="s">
        <v>368</v>
      </c>
      <c r="B142" s="6" t="s">
        <v>369</v>
      </c>
      <c r="C142" s="6" t="s">
        <v>187</v>
      </c>
      <c r="D142" s="7" t="str">
        <f t="shared" si="6"/>
        <v>k</v>
      </c>
      <c r="E142" t="str">
        <f t="shared" si="7"/>
        <v>a</v>
      </c>
      <c r="F142" t="str">
        <f t="shared" si="8"/>
        <v/>
      </c>
    </row>
    <row r="143" spans="1:6" x14ac:dyDescent="0.25">
      <c r="A143" s="8" t="s">
        <v>370</v>
      </c>
      <c r="B143" s="9" t="s">
        <v>369</v>
      </c>
      <c r="C143" s="9" t="s">
        <v>371</v>
      </c>
      <c r="D143" s="7" t="str">
        <f t="shared" si="6"/>
        <v>k</v>
      </c>
      <c r="E143" t="str">
        <f t="shared" si="7"/>
        <v>a</v>
      </c>
      <c r="F143" t="str">
        <f t="shared" si="8"/>
        <v/>
      </c>
    </row>
    <row r="144" spans="1:6" x14ac:dyDescent="0.25">
      <c r="A144" s="5" t="s">
        <v>372</v>
      </c>
      <c r="B144" s="6" t="s">
        <v>373</v>
      </c>
      <c r="C144" s="6" t="s">
        <v>166</v>
      </c>
      <c r="D144" s="7" t="str">
        <f t="shared" si="6"/>
        <v>m</v>
      </c>
      <c r="E144" t="str">
        <f t="shared" si="7"/>
        <v>b</v>
      </c>
      <c r="F144" t="str">
        <f t="shared" si="8"/>
        <v/>
      </c>
    </row>
    <row r="145" spans="1:6" x14ac:dyDescent="0.25">
      <c r="A145" s="8" t="s">
        <v>374</v>
      </c>
      <c r="B145" s="9" t="s">
        <v>375</v>
      </c>
      <c r="C145" s="9" t="s">
        <v>376</v>
      </c>
      <c r="D145" s="7" t="str">
        <f t="shared" si="6"/>
        <v>m</v>
      </c>
      <c r="E145" t="str">
        <f t="shared" si="7"/>
        <v>k</v>
      </c>
      <c r="F145" t="str">
        <f t="shared" si="8"/>
        <v/>
      </c>
    </row>
    <row r="146" spans="1:6" x14ac:dyDescent="0.25">
      <c r="A146" s="5" t="s">
        <v>377</v>
      </c>
      <c r="B146" s="6" t="s">
        <v>378</v>
      </c>
      <c r="C146" s="6" t="s">
        <v>379</v>
      </c>
      <c r="D146" s="7" t="str">
        <f t="shared" si="6"/>
        <v>m</v>
      </c>
      <c r="E146" t="str">
        <f t="shared" si="7"/>
        <v>n</v>
      </c>
      <c r="F146" t="str">
        <f t="shared" si="8"/>
        <v/>
      </c>
    </row>
    <row r="147" spans="1:6" x14ac:dyDescent="0.25">
      <c r="A147" s="8" t="s">
        <v>380</v>
      </c>
      <c r="B147" s="9" t="s">
        <v>381</v>
      </c>
      <c r="C147" s="9" t="s">
        <v>382</v>
      </c>
      <c r="D147" s="7" t="str">
        <f t="shared" si="6"/>
        <v>k</v>
      </c>
      <c r="E147" t="str">
        <f t="shared" si="7"/>
        <v>a</v>
      </c>
      <c r="F147" t="str">
        <f t="shared" si="8"/>
        <v/>
      </c>
    </row>
    <row r="148" spans="1:6" x14ac:dyDescent="0.25">
      <c r="A148" s="5" t="s">
        <v>383</v>
      </c>
      <c r="B148" s="6" t="s">
        <v>384</v>
      </c>
      <c r="C148" s="6" t="s">
        <v>67</v>
      </c>
      <c r="D148" s="7" t="str">
        <f t="shared" si="6"/>
        <v>k</v>
      </c>
      <c r="E148" t="str">
        <f t="shared" si="7"/>
        <v>a</v>
      </c>
      <c r="F148" t="str">
        <f t="shared" si="8"/>
        <v/>
      </c>
    </row>
    <row r="149" spans="1:6" x14ac:dyDescent="0.25">
      <c r="A149" s="8" t="s">
        <v>385</v>
      </c>
      <c r="B149" s="9" t="s">
        <v>386</v>
      </c>
      <c r="C149" s="9" t="s">
        <v>214</v>
      </c>
      <c r="D149" s="7" t="str">
        <f t="shared" si="6"/>
        <v>k</v>
      </c>
      <c r="E149" t="str">
        <f t="shared" si="7"/>
        <v>a</v>
      </c>
      <c r="F149" t="str">
        <f t="shared" si="8"/>
        <v/>
      </c>
    </row>
    <row r="150" spans="1:6" x14ac:dyDescent="0.25">
      <c r="A150" s="5" t="s">
        <v>387</v>
      </c>
      <c r="B150" s="6" t="s">
        <v>388</v>
      </c>
      <c r="C150" s="6" t="s">
        <v>241</v>
      </c>
      <c r="D150" s="7" t="str">
        <f t="shared" si="6"/>
        <v>k</v>
      </c>
      <c r="E150" t="str">
        <f t="shared" si="7"/>
        <v>a</v>
      </c>
      <c r="F150" t="str">
        <f t="shared" si="8"/>
        <v/>
      </c>
    </row>
    <row r="151" spans="1:6" x14ac:dyDescent="0.25">
      <c r="A151" s="8" t="s">
        <v>389</v>
      </c>
      <c r="B151" s="9" t="s">
        <v>390</v>
      </c>
      <c r="C151" s="9" t="s">
        <v>351</v>
      </c>
      <c r="D151" s="7" t="str">
        <f t="shared" si="6"/>
        <v>k</v>
      </c>
      <c r="E151" t="str">
        <f t="shared" si="7"/>
        <v>a</v>
      </c>
      <c r="F151" t="str">
        <f t="shared" si="8"/>
        <v/>
      </c>
    </row>
    <row r="152" spans="1:6" x14ac:dyDescent="0.25">
      <c r="A152" s="5" t="s">
        <v>391</v>
      </c>
      <c r="B152" s="6" t="s">
        <v>392</v>
      </c>
      <c r="C152" s="6" t="s">
        <v>393</v>
      </c>
      <c r="D152" s="7" t="str">
        <f t="shared" si="6"/>
        <v>k</v>
      </c>
      <c r="E152" t="str">
        <f t="shared" si="7"/>
        <v>a</v>
      </c>
      <c r="F152" t="str">
        <f t="shared" si="8"/>
        <v/>
      </c>
    </row>
    <row r="153" spans="1:6" x14ac:dyDescent="0.25">
      <c r="A153" s="8" t="s">
        <v>394</v>
      </c>
      <c r="B153" s="9" t="s">
        <v>392</v>
      </c>
      <c r="C153" s="9" t="s">
        <v>395</v>
      </c>
      <c r="D153" s="7" t="str">
        <f t="shared" si="6"/>
        <v>k</v>
      </c>
      <c r="E153" t="str">
        <f t="shared" si="7"/>
        <v>a</v>
      </c>
      <c r="F153" t="str">
        <f t="shared" si="8"/>
        <v/>
      </c>
    </row>
    <row r="154" spans="1:6" x14ac:dyDescent="0.25">
      <c r="A154" s="5" t="s">
        <v>396</v>
      </c>
      <c r="B154" s="6" t="s">
        <v>397</v>
      </c>
      <c r="C154" s="6" t="s">
        <v>393</v>
      </c>
      <c r="D154" s="7" t="str">
        <f t="shared" si="6"/>
        <v>k</v>
      </c>
      <c r="E154" t="str">
        <f t="shared" si="7"/>
        <v>a</v>
      </c>
      <c r="F154" t="str">
        <f t="shared" si="8"/>
        <v/>
      </c>
    </row>
    <row r="155" spans="1:6" x14ac:dyDescent="0.25">
      <c r="A155" s="8" t="s">
        <v>398</v>
      </c>
      <c r="B155" s="9" t="s">
        <v>399</v>
      </c>
      <c r="C155" s="9" t="s">
        <v>400</v>
      </c>
      <c r="D155" s="7" t="str">
        <f t="shared" si="6"/>
        <v>k</v>
      </c>
      <c r="E155" t="str">
        <f t="shared" si="7"/>
        <v>e</v>
      </c>
      <c r="F155" t="str">
        <f t="shared" si="8"/>
        <v>Beatrycze</v>
      </c>
    </row>
    <row r="156" spans="1:6" x14ac:dyDescent="0.25">
      <c r="A156" s="5" t="s">
        <v>401</v>
      </c>
      <c r="B156" s="6" t="s">
        <v>402</v>
      </c>
      <c r="C156" s="6" t="s">
        <v>340</v>
      </c>
      <c r="D156" s="7" t="str">
        <f t="shared" si="6"/>
        <v>k</v>
      </c>
      <c r="E156" t="str">
        <f t="shared" si="7"/>
        <v>a</v>
      </c>
      <c r="F156" t="str">
        <f t="shared" si="8"/>
        <v/>
      </c>
    </row>
    <row r="157" spans="1:6" x14ac:dyDescent="0.25">
      <c r="A157" s="8" t="s">
        <v>403</v>
      </c>
      <c r="B157" s="9" t="s">
        <v>243</v>
      </c>
      <c r="C157" s="9" t="s">
        <v>404</v>
      </c>
      <c r="D157" s="7" t="str">
        <f t="shared" si="6"/>
        <v>k</v>
      </c>
      <c r="E157" t="str">
        <f t="shared" si="7"/>
        <v>a</v>
      </c>
      <c r="F157" t="str">
        <f t="shared" si="8"/>
        <v/>
      </c>
    </row>
    <row r="158" spans="1:6" x14ac:dyDescent="0.25">
      <c r="A158" s="5" t="s">
        <v>405</v>
      </c>
      <c r="B158" s="6" t="s">
        <v>406</v>
      </c>
      <c r="C158" s="6" t="s">
        <v>78</v>
      </c>
      <c r="D158" s="7" t="str">
        <f t="shared" si="6"/>
        <v>k</v>
      </c>
      <c r="E158" t="str">
        <f t="shared" si="7"/>
        <v>a</v>
      </c>
      <c r="F158" t="str">
        <f t="shared" si="8"/>
        <v/>
      </c>
    </row>
    <row r="159" spans="1:6" x14ac:dyDescent="0.25">
      <c r="A159" s="8" t="s">
        <v>407</v>
      </c>
      <c r="B159" s="9" t="s">
        <v>408</v>
      </c>
      <c r="C159" s="9" t="s">
        <v>409</v>
      </c>
      <c r="D159" s="7" t="str">
        <f t="shared" si="6"/>
        <v>k</v>
      </c>
      <c r="E159" t="str">
        <f t="shared" si="7"/>
        <v>a</v>
      </c>
      <c r="F159" t="str">
        <f t="shared" si="8"/>
        <v/>
      </c>
    </row>
    <row r="160" spans="1:6" x14ac:dyDescent="0.25">
      <c r="A160" s="5" t="s">
        <v>410</v>
      </c>
      <c r="B160" s="6" t="s">
        <v>353</v>
      </c>
      <c r="C160" s="6" t="s">
        <v>371</v>
      </c>
      <c r="D160" s="7" t="str">
        <f t="shared" si="6"/>
        <v>k</v>
      </c>
      <c r="E160" t="str">
        <f t="shared" si="7"/>
        <v>a</v>
      </c>
      <c r="F160" t="str">
        <f t="shared" si="8"/>
        <v/>
      </c>
    </row>
    <row r="161" spans="1:6" x14ac:dyDescent="0.25">
      <c r="A161" s="8" t="s">
        <v>411</v>
      </c>
      <c r="B161" s="9" t="s">
        <v>412</v>
      </c>
      <c r="C161" s="9" t="s">
        <v>413</v>
      </c>
      <c r="D161" s="7" t="str">
        <f t="shared" si="6"/>
        <v>k</v>
      </c>
      <c r="E161" t="str">
        <f t="shared" si="7"/>
        <v>a</v>
      </c>
      <c r="F161" t="str">
        <f t="shared" si="8"/>
        <v/>
      </c>
    </row>
    <row r="162" spans="1:6" x14ac:dyDescent="0.25">
      <c r="A162" s="5" t="s">
        <v>414</v>
      </c>
      <c r="B162" s="6" t="s">
        <v>415</v>
      </c>
      <c r="C162" s="6" t="s">
        <v>416</v>
      </c>
      <c r="D162" s="7" t="str">
        <f t="shared" si="6"/>
        <v>k</v>
      </c>
      <c r="E162" t="str">
        <f t="shared" si="7"/>
        <v>a</v>
      </c>
      <c r="F162" t="str">
        <f t="shared" si="8"/>
        <v/>
      </c>
    </row>
    <row r="163" spans="1:6" x14ac:dyDescent="0.25">
      <c r="A163" s="8" t="s">
        <v>417</v>
      </c>
      <c r="B163" s="9" t="s">
        <v>418</v>
      </c>
      <c r="C163" s="9" t="s">
        <v>419</v>
      </c>
      <c r="D163" s="7" t="str">
        <f t="shared" si="6"/>
        <v>k</v>
      </c>
      <c r="E163" t="str">
        <f t="shared" si="7"/>
        <v>a</v>
      </c>
      <c r="F163" t="str">
        <f t="shared" si="8"/>
        <v/>
      </c>
    </row>
    <row r="164" spans="1:6" x14ac:dyDescent="0.25">
      <c r="A164" s="5" t="s">
        <v>420</v>
      </c>
      <c r="B164" s="6" t="s">
        <v>421</v>
      </c>
      <c r="C164" s="6" t="s">
        <v>295</v>
      </c>
      <c r="D164" s="7" t="str">
        <f t="shared" si="6"/>
        <v>k</v>
      </c>
      <c r="E164" t="str">
        <f t="shared" si="7"/>
        <v>a</v>
      </c>
      <c r="F164" t="str">
        <f t="shared" si="8"/>
        <v/>
      </c>
    </row>
    <row r="165" spans="1:6" x14ac:dyDescent="0.25">
      <c r="A165" s="8" t="s">
        <v>422</v>
      </c>
      <c r="B165" s="9" t="s">
        <v>423</v>
      </c>
      <c r="C165" s="9" t="s">
        <v>295</v>
      </c>
      <c r="D165" s="7" t="str">
        <f t="shared" si="6"/>
        <v>k</v>
      </c>
      <c r="E165" t="str">
        <f t="shared" si="7"/>
        <v>a</v>
      </c>
      <c r="F165" t="str">
        <f t="shared" si="8"/>
        <v/>
      </c>
    </row>
    <row r="166" spans="1:6" x14ac:dyDescent="0.25">
      <c r="A166" s="5" t="s">
        <v>424</v>
      </c>
      <c r="B166" s="6" t="s">
        <v>425</v>
      </c>
      <c r="C166" s="6" t="s">
        <v>371</v>
      </c>
      <c r="D166" s="7" t="str">
        <f t="shared" si="6"/>
        <v>k</v>
      </c>
      <c r="E166" t="str">
        <f t="shared" si="7"/>
        <v>a</v>
      </c>
      <c r="F166" t="str">
        <f t="shared" si="8"/>
        <v/>
      </c>
    </row>
    <row r="167" spans="1:6" x14ac:dyDescent="0.25">
      <c r="A167" s="8" t="s">
        <v>426</v>
      </c>
      <c r="B167" s="9" t="s">
        <v>427</v>
      </c>
      <c r="C167" s="9" t="s">
        <v>428</v>
      </c>
      <c r="D167" s="7" t="str">
        <f t="shared" si="6"/>
        <v>k</v>
      </c>
      <c r="E167" t="str">
        <f t="shared" si="7"/>
        <v>a</v>
      </c>
      <c r="F167" t="str">
        <f t="shared" si="8"/>
        <v/>
      </c>
    </row>
    <row r="168" spans="1:6" x14ac:dyDescent="0.25">
      <c r="A168" s="5" t="s">
        <v>429</v>
      </c>
      <c r="B168" s="6" t="s">
        <v>430</v>
      </c>
      <c r="C168" s="6" t="s">
        <v>419</v>
      </c>
      <c r="D168" s="7" t="str">
        <f t="shared" si="6"/>
        <v>k</v>
      </c>
      <c r="E168" t="str">
        <f t="shared" si="7"/>
        <v>a</v>
      </c>
      <c r="F168" t="str">
        <f t="shared" si="8"/>
        <v/>
      </c>
    </row>
    <row r="169" spans="1:6" x14ac:dyDescent="0.25">
      <c r="A169" s="8" t="s">
        <v>431</v>
      </c>
      <c r="B169" s="9" t="s">
        <v>432</v>
      </c>
      <c r="C169" s="9" t="s">
        <v>419</v>
      </c>
      <c r="D169" s="7" t="str">
        <f t="shared" si="6"/>
        <v>k</v>
      </c>
      <c r="E169" t="str">
        <f t="shared" si="7"/>
        <v>a</v>
      </c>
      <c r="F169" t="str">
        <f t="shared" si="8"/>
        <v/>
      </c>
    </row>
    <row r="170" spans="1:6" x14ac:dyDescent="0.25">
      <c r="A170" s="5" t="s">
        <v>433</v>
      </c>
      <c r="B170" s="6" t="s">
        <v>434</v>
      </c>
      <c r="C170" s="6" t="s">
        <v>147</v>
      </c>
      <c r="D170" s="7" t="str">
        <f t="shared" si="6"/>
        <v>k</v>
      </c>
      <c r="E170" t="str">
        <f t="shared" si="7"/>
        <v>a</v>
      </c>
      <c r="F170" t="str">
        <f t="shared" si="8"/>
        <v/>
      </c>
    </row>
    <row r="171" spans="1:6" x14ac:dyDescent="0.25">
      <c r="A171" s="8" t="s">
        <v>435</v>
      </c>
      <c r="B171" s="9" t="s">
        <v>436</v>
      </c>
      <c r="C171" s="9" t="s">
        <v>437</v>
      </c>
      <c r="D171" s="7" t="str">
        <f t="shared" si="6"/>
        <v>k</v>
      </c>
      <c r="E171" t="str">
        <f t="shared" si="7"/>
        <v>a</v>
      </c>
      <c r="F171" t="str">
        <f t="shared" si="8"/>
        <v/>
      </c>
    </row>
    <row r="172" spans="1:6" x14ac:dyDescent="0.25">
      <c r="A172" s="5" t="s">
        <v>438</v>
      </c>
      <c r="B172" s="6" t="s">
        <v>439</v>
      </c>
      <c r="C172" s="6" t="s">
        <v>409</v>
      </c>
      <c r="D172" s="7" t="str">
        <f t="shared" si="6"/>
        <v>k</v>
      </c>
      <c r="E172" t="str">
        <f t="shared" si="7"/>
        <v>a</v>
      </c>
      <c r="F172" t="str">
        <f t="shared" si="8"/>
        <v/>
      </c>
    </row>
    <row r="173" spans="1:6" x14ac:dyDescent="0.25">
      <c r="A173" s="8" t="s">
        <v>440</v>
      </c>
      <c r="B173" s="9" t="s">
        <v>441</v>
      </c>
      <c r="C173" s="9" t="s">
        <v>86</v>
      </c>
      <c r="D173" s="7" t="str">
        <f t="shared" si="6"/>
        <v>k</v>
      </c>
      <c r="E173" t="str">
        <f t="shared" si="7"/>
        <v>a</v>
      </c>
      <c r="F173" t="str">
        <f t="shared" si="8"/>
        <v/>
      </c>
    </row>
    <row r="174" spans="1:6" x14ac:dyDescent="0.25">
      <c r="A174" s="5" t="s">
        <v>442</v>
      </c>
      <c r="B174" s="6" t="s">
        <v>443</v>
      </c>
      <c r="C174" s="6" t="s">
        <v>419</v>
      </c>
      <c r="D174" s="7" t="str">
        <f t="shared" si="6"/>
        <v>k</v>
      </c>
      <c r="E174" t="str">
        <f t="shared" si="7"/>
        <v>a</v>
      </c>
      <c r="F174" t="str">
        <f t="shared" si="8"/>
        <v/>
      </c>
    </row>
    <row r="175" spans="1:6" x14ac:dyDescent="0.25">
      <c r="A175" s="8" t="s">
        <v>444</v>
      </c>
      <c r="B175" s="9" t="s">
        <v>445</v>
      </c>
      <c r="C175" s="9" t="s">
        <v>241</v>
      </c>
      <c r="D175" s="7" t="str">
        <f t="shared" si="6"/>
        <v>k</v>
      </c>
      <c r="E175" t="str">
        <f t="shared" si="7"/>
        <v>a</v>
      </c>
      <c r="F175" t="str">
        <f t="shared" si="8"/>
        <v/>
      </c>
    </row>
    <row r="176" spans="1:6" x14ac:dyDescent="0.25">
      <c r="A176" s="5" t="s">
        <v>446</v>
      </c>
      <c r="B176" s="6" t="s">
        <v>447</v>
      </c>
      <c r="C176" s="6" t="s">
        <v>448</v>
      </c>
      <c r="D176" s="7" t="str">
        <f t="shared" si="6"/>
        <v>k</v>
      </c>
      <c r="E176" t="str">
        <f t="shared" si="7"/>
        <v>a</v>
      </c>
      <c r="F176" t="str">
        <f t="shared" si="8"/>
        <v/>
      </c>
    </row>
    <row r="177" spans="1:6" x14ac:dyDescent="0.25">
      <c r="A177" s="8" t="s">
        <v>449</v>
      </c>
      <c r="B177" s="9" t="s">
        <v>450</v>
      </c>
      <c r="C177" s="9" t="s">
        <v>194</v>
      </c>
      <c r="D177" s="7" t="str">
        <f t="shared" si="6"/>
        <v>k</v>
      </c>
      <c r="E177" t="str">
        <f t="shared" si="7"/>
        <v>a</v>
      </c>
      <c r="F177" t="str">
        <f t="shared" si="8"/>
        <v/>
      </c>
    </row>
    <row r="178" spans="1:6" x14ac:dyDescent="0.25">
      <c r="A178" s="5" t="s">
        <v>451</v>
      </c>
      <c r="B178" s="6" t="s">
        <v>452</v>
      </c>
      <c r="C178" s="6" t="s">
        <v>89</v>
      </c>
      <c r="D178" s="7" t="str">
        <f t="shared" si="6"/>
        <v>k</v>
      </c>
      <c r="E178" t="str">
        <f t="shared" si="7"/>
        <v>a</v>
      </c>
      <c r="F178" t="str">
        <f t="shared" si="8"/>
        <v/>
      </c>
    </row>
    <row r="179" spans="1:6" x14ac:dyDescent="0.25">
      <c r="A179" s="8" t="s">
        <v>453</v>
      </c>
      <c r="B179" s="9" t="s">
        <v>454</v>
      </c>
      <c r="C179" s="9" t="s">
        <v>36</v>
      </c>
      <c r="D179" s="7" t="str">
        <f t="shared" si="6"/>
        <v>m</v>
      </c>
      <c r="E179" t="str">
        <f t="shared" si="7"/>
        <v>n</v>
      </c>
      <c r="F179" t="str">
        <f t="shared" si="8"/>
        <v/>
      </c>
    </row>
    <row r="180" spans="1:6" x14ac:dyDescent="0.25">
      <c r="A180" s="5" t="s">
        <v>455</v>
      </c>
      <c r="B180" s="6" t="s">
        <v>456</v>
      </c>
      <c r="C180" s="6" t="s">
        <v>457</v>
      </c>
      <c r="D180" s="7" t="str">
        <f t="shared" si="6"/>
        <v>m</v>
      </c>
      <c r="E180" t="str">
        <f t="shared" si="7"/>
        <v>o</v>
      </c>
      <c r="F180" t="str">
        <f t="shared" si="8"/>
        <v/>
      </c>
    </row>
    <row r="181" spans="1:6" x14ac:dyDescent="0.25">
      <c r="A181" s="8" t="s">
        <v>458</v>
      </c>
      <c r="B181" s="9" t="s">
        <v>459</v>
      </c>
      <c r="C181" s="9" t="s">
        <v>121</v>
      </c>
      <c r="D181" s="7" t="str">
        <f t="shared" si="6"/>
        <v>m</v>
      </c>
      <c r="E181" t="str">
        <f t="shared" si="7"/>
        <v>n</v>
      </c>
      <c r="F181" t="str">
        <f t="shared" si="8"/>
        <v/>
      </c>
    </row>
    <row r="182" spans="1:6" x14ac:dyDescent="0.25">
      <c r="A182" s="5" t="s">
        <v>460</v>
      </c>
      <c r="B182" s="6" t="s">
        <v>461</v>
      </c>
      <c r="C182" s="6" t="s">
        <v>166</v>
      </c>
      <c r="D182" s="7" t="str">
        <f t="shared" si="6"/>
        <v>m</v>
      </c>
      <c r="E182" t="str">
        <f t="shared" si="7"/>
        <v>b</v>
      </c>
      <c r="F182" t="str">
        <f t="shared" si="8"/>
        <v/>
      </c>
    </row>
    <row r="183" spans="1:6" x14ac:dyDescent="0.25">
      <c r="A183" s="8" t="s">
        <v>462</v>
      </c>
      <c r="B183" s="9" t="s">
        <v>463</v>
      </c>
      <c r="C183" s="9" t="s">
        <v>464</v>
      </c>
      <c r="D183" s="7" t="str">
        <f t="shared" si="6"/>
        <v>m</v>
      </c>
      <c r="E183" t="str">
        <f t="shared" si="7"/>
        <v>n</v>
      </c>
      <c r="F183" t="str">
        <f t="shared" si="8"/>
        <v/>
      </c>
    </row>
    <row r="184" spans="1:6" x14ac:dyDescent="0.25">
      <c r="A184" s="5" t="s">
        <v>465</v>
      </c>
      <c r="B184" s="6" t="s">
        <v>466</v>
      </c>
      <c r="C184" s="6" t="s">
        <v>166</v>
      </c>
      <c r="D184" s="7" t="str">
        <f t="shared" si="6"/>
        <v>m</v>
      </c>
      <c r="E184" t="str">
        <f t="shared" si="7"/>
        <v>b</v>
      </c>
      <c r="F184" t="str">
        <f t="shared" si="8"/>
        <v/>
      </c>
    </row>
    <row r="185" spans="1:6" x14ac:dyDescent="0.25">
      <c r="A185" s="8" t="s">
        <v>467</v>
      </c>
      <c r="B185" s="9" t="s">
        <v>468</v>
      </c>
      <c r="C185" s="9" t="s">
        <v>20</v>
      </c>
      <c r="D185" s="7" t="str">
        <f t="shared" si="6"/>
        <v>m</v>
      </c>
      <c r="E185" t="str">
        <f t="shared" si="7"/>
        <v>k</v>
      </c>
      <c r="F185" t="str">
        <f t="shared" si="8"/>
        <v/>
      </c>
    </row>
    <row r="186" spans="1:6" x14ac:dyDescent="0.25">
      <c r="A186" s="5" t="s">
        <v>469</v>
      </c>
      <c r="B186" s="6" t="s">
        <v>470</v>
      </c>
      <c r="C186" s="6" t="s">
        <v>166</v>
      </c>
      <c r="D186" s="7" t="str">
        <f t="shared" si="6"/>
        <v>m</v>
      </c>
      <c r="E186" t="str">
        <f t="shared" si="7"/>
        <v>b</v>
      </c>
      <c r="F186" t="str">
        <f t="shared" si="8"/>
        <v/>
      </c>
    </row>
    <row r="187" spans="1:6" x14ac:dyDescent="0.25">
      <c r="A187" s="8" t="s">
        <v>471</v>
      </c>
      <c r="B187" s="9" t="s">
        <v>472</v>
      </c>
      <c r="C187" s="9" t="s">
        <v>202</v>
      </c>
      <c r="D187" s="7" t="str">
        <f t="shared" si="6"/>
        <v>m</v>
      </c>
      <c r="E187" t="str">
        <f t="shared" si="7"/>
        <v>z</v>
      </c>
      <c r="F187" t="str">
        <f t="shared" si="8"/>
        <v/>
      </c>
    </row>
    <row r="188" spans="1:6" x14ac:dyDescent="0.25">
      <c r="A188" s="5" t="s">
        <v>473</v>
      </c>
      <c r="B188" s="6" t="s">
        <v>474</v>
      </c>
      <c r="C188" s="6" t="s">
        <v>475</v>
      </c>
      <c r="D188" s="7" t="str">
        <f t="shared" si="6"/>
        <v>m</v>
      </c>
      <c r="E188" t="str">
        <f t="shared" si="7"/>
        <v>l</v>
      </c>
      <c r="F188" t="str">
        <f t="shared" si="8"/>
        <v/>
      </c>
    </row>
    <row r="189" spans="1:6" x14ac:dyDescent="0.25">
      <c r="A189" s="8" t="s">
        <v>476</v>
      </c>
      <c r="B189" s="9" t="s">
        <v>477</v>
      </c>
      <c r="C189" s="9" t="s">
        <v>379</v>
      </c>
      <c r="D189" s="7" t="str">
        <f t="shared" si="6"/>
        <v>m</v>
      </c>
      <c r="E189" t="str">
        <f t="shared" si="7"/>
        <v>n</v>
      </c>
      <c r="F189" t="str">
        <f t="shared" si="8"/>
        <v/>
      </c>
    </row>
    <row r="190" spans="1:6" x14ac:dyDescent="0.25">
      <c r="A190" s="5" t="s">
        <v>478</v>
      </c>
      <c r="B190" s="6" t="s">
        <v>479</v>
      </c>
      <c r="C190" s="6" t="s">
        <v>480</v>
      </c>
      <c r="D190" s="7" t="str">
        <f t="shared" si="6"/>
        <v>m</v>
      </c>
      <c r="E190" t="str">
        <f t="shared" si="7"/>
        <v>l</v>
      </c>
      <c r="F190" t="str">
        <f t="shared" si="8"/>
        <v/>
      </c>
    </row>
    <row r="191" spans="1:6" x14ac:dyDescent="0.25">
      <c r="A191" s="8" t="s">
        <v>481</v>
      </c>
      <c r="B191" s="9" t="s">
        <v>482</v>
      </c>
      <c r="C191" s="9" t="s">
        <v>166</v>
      </c>
      <c r="D191" s="7" t="str">
        <f t="shared" si="6"/>
        <v>m</v>
      </c>
      <c r="E191" t="str">
        <f t="shared" si="7"/>
        <v>b</v>
      </c>
      <c r="F191" t="str">
        <f t="shared" si="8"/>
        <v/>
      </c>
    </row>
    <row r="192" spans="1:6" x14ac:dyDescent="0.25">
      <c r="A192" s="5" t="s">
        <v>483</v>
      </c>
      <c r="B192" s="6" t="s">
        <v>484</v>
      </c>
      <c r="C192" s="6" t="s">
        <v>485</v>
      </c>
      <c r="D192" s="7" t="str">
        <f t="shared" si="6"/>
        <v>m</v>
      </c>
      <c r="E192" t="str">
        <f t="shared" si="7"/>
        <v>m</v>
      </c>
      <c r="F192" t="str">
        <f t="shared" si="8"/>
        <v/>
      </c>
    </row>
    <row r="193" spans="1:6" x14ac:dyDescent="0.25">
      <c r="A193" s="8" t="s">
        <v>486</v>
      </c>
      <c r="B193" s="9" t="s">
        <v>487</v>
      </c>
      <c r="C193" s="9" t="s">
        <v>488</v>
      </c>
      <c r="D193" s="7" t="str">
        <f t="shared" si="6"/>
        <v>m</v>
      </c>
      <c r="E193" t="str">
        <f t="shared" si="7"/>
        <v>n</v>
      </c>
      <c r="F193" t="str">
        <f t="shared" si="8"/>
        <v/>
      </c>
    </row>
    <row r="194" spans="1:6" x14ac:dyDescent="0.25">
      <c r="A194" s="5" t="s">
        <v>489</v>
      </c>
      <c r="B194" s="6" t="s">
        <v>490</v>
      </c>
      <c r="C194" s="6" t="s">
        <v>260</v>
      </c>
      <c r="D194" s="7" t="str">
        <f t="shared" ref="D194:D257" si="9">IF(MOD(LEFT(RIGHT(A194,2),1),2)=0,"k","m")</f>
        <v>m</v>
      </c>
      <c r="E194" t="str">
        <f t="shared" si="7"/>
        <v>p</v>
      </c>
      <c r="F194" t="str">
        <f t="shared" si="8"/>
        <v/>
      </c>
    </row>
    <row r="195" spans="1:6" x14ac:dyDescent="0.25">
      <c r="A195" s="8" t="s">
        <v>491</v>
      </c>
      <c r="B195" s="9" t="s">
        <v>492</v>
      </c>
      <c r="C195" s="9" t="s">
        <v>223</v>
      </c>
      <c r="D195" s="7" t="str">
        <f t="shared" si="9"/>
        <v>m</v>
      </c>
      <c r="E195" t="str">
        <f t="shared" ref="E195:E258" si="10">RIGHT(C195,1)</f>
        <v>w</v>
      </c>
      <c r="F195" t="str">
        <f t="shared" ref="F195:F258" si="11">IF(AND(E195&lt;&gt;"a",D195="k"),C195,"")</f>
        <v/>
      </c>
    </row>
    <row r="196" spans="1:6" x14ac:dyDescent="0.25">
      <c r="A196" s="5" t="s">
        <v>493</v>
      </c>
      <c r="B196" s="6" t="s">
        <v>494</v>
      </c>
      <c r="C196" s="6" t="s">
        <v>376</v>
      </c>
      <c r="D196" s="7" t="str">
        <f t="shared" si="9"/>
        <v>m</v>
      </c>
      <c r="E196" t="str">
        <f t="shared" si="10"/>
        <v>k</v>
      </c>
      <c r="F196" t="str">
        <f t="shared" si="11"/>
        <v/>
      </c>
    </row>
    <row r="197" spans="1:6" x14ac:dyDescent="0.25">
      <c r="A197" s="8" t="s">
        <v>495</v>
      </c>
      <c r="B197" s="9" t="s">
        <v>496</v>
      </c>
      <c r="C197" s="9" t="s">
        <v>379</v>
      </c>
      <c r="D197" s="7" t="str">
        <f t="shared" si="9"/>
        <v>m</v>
      </c>
      <c r="E197" t="str">
        <f t="shared" si="10"/>
        <v>n</v>
      </c>
      <c r="F197" t="str">
        <f t="shared" si="11"/>
        <v/>
      </c>
    </row>
    <row r="198" spans="1:6" x14ac:dyDescent="0.25">
      <c r="A198" s="5" t="s">
        <v>497</v>
      </c>
      <c r="B198" s="6" t="s">
        <v>498</v>
      </c>
      <c r="C198" s="6" t="s">
        <v>499</v>
      </c>
      <c r="D198" s="7" t="str">
        <f t="shared" si="9"/>
        <v>m</v>
      </c>
      <c r="E198" t="str">
        <f t="shared" si="10"/>
        <v>z</v>
      </c>
      <c r="F198" t="str">
        <f t="shared" si="11"/>
        <v/>
      </c>
    </row>
    <row r="199" spans="1:6" x14ac:dyDescent="0.25">
      <c r="A199" s="8" t="s">
        <v>500</v>
      </c>
      <c r="B199" s="9" t="s">
        <v>41</v>
      </c>
      <c r="C199" s="9" t="s">
        <v>219</v>
      </c>
      <c r="D199" s="7" t="str">
        <f t="shared" si="9"/>
        <v>m</v>
      </c>
      <c r="E199" t="str">
        <f t="shared" si="10"/>
        <v>z</v>
      </c>
      <c r="F199" t="str">
        <f t="shared" si="11"/>
        <v/>
      </c>
    </row>
    <row r="200" spans="1:6" x14ac:dyDescent="0.25">
      <c r="A200" s="5" t="s">
        <v>501</v>
      </c>
      <c r="B200" s="6" t="s">
        <v>502</v>
      </c>
      <c r="C200" s="6" t="s">
        <v>480</v>
      </c>
      <c r="D200" s="7" t="str">
        <f t="shared" si="9"/>
        <v>m</v>
      </c>
      <c r="E200" t="str">
        <f t="shared" si="10"/>
        <v>l</v>
      </c>
      <c r="F200" t="str">
        <f t="shared" si="11"/>
        <v/>
      </c>
    </row>
    <row r="201" spans="1:6" x14ac:dyDescent="0.25">
      <c r="A201" s="8" t="s">
        <v>503</v>
      </c>
      <c r="B201" s="9" t="s">
        <v>504</v>
      </c>
      <c r="C201" s="9" t="s">
        <v>505</v>
      </c>
      <c r="D201" s="7" t="str">
        <f t="shared" si="9"/>
        <v>m</v>
      </c>
      <c r="E201" t="str">
        <f t="shared" si="10"/>
        <v>l</v>
      </c>
      <c r="F201" t="str">
        <f t="shared" si="11"/>
        <v/>
      </c>
    </row>
    <row r="202" spans="1:6" x14ac:dyDescent="0.25">
      <c r="A202" s="5" t="s">
        <v>506</v>
      </c>
      <c r="B202" s="6" t="s">
        <v>507</v>
      </c>
      <c r="C202" s="6" t="s">
        <v>508</v>
      </c>
      <c r="D202" s="7" t="str">
        <f t="shared" si="9"/>
        <v>m</v>
      </c>
      <c r="E202" t="str">
        <f t="shared" si="10"/>
        <v>n</v>
      </c>
      <c r="F202" t="str">
        <f t="shared" si="11"/>
        <v/>
      </c>
    </row>
    <row r="203" spans="1:6" x14ac:dyDescent="0.25">
      <c r="A203" s="8" t="s">
        <v>509</v>
      </c>
      <c r="B203" s="9" t="s">
        <v>510</v>
      </c>
      <c r="C203" s="9" t="s">
        <v>511</v>
      </c>
      <c r="D203" s="7" t="str">
        <f t="shared" si="9"/>
        <v>m</v>
      </c>
      <c r="E203" t="str">
        <f t="shared" si="10"/>
        <v>d</v>
      </c>
      <c r="F203" t="str">
        <f t="shared" si="11"/>
        <v/>
      </c>
    </row>
    <row r="204" spans="1:6" x14ac:dyDescent="0.25">
      <c r="A204" s="5" t="s">
        <v>512</v>
      </c>
      <c r="B204" s="6" t="s">
        <v>513</v>
      </c>
      <c r="C204" s="6" t="s">
        <v>202</v>
      </c>
      <c r="D204" s="7" t="str">
        <f t="shared" si="9"/>
        <v>m</v>
      </c>
      <c r="E204" t="str">
        <f t="shared" si="10"/>
        <v>z</v>
      </c>
      <c r="F204" t="str">
        <f t="shared" si="11"/>
        <v/>
      </c>
    </row>
    <row r="205" spans="1:6" x14ac:dyDescent="0.25">
      <c r="A205" s="8" t="s">
        <v>514</v>
      </c>
      <c r="B205" s="9" t="s">
        <v>515</v>
      </c>
      <c r="C205" s="9" t="s">
        <v>39</v>
      </c>
      <c r="D205" s="7" t="str">
        <f t="shared" si="9"/>
        <v>m</v>
      </c>
      <c r="E205" t="str">
        <f t="shared" si="10"/>
        <v>j</v>
      </c>
      <c r="F205" t="str">
        <f t="shared" si="11"/>
        <v/>
      </c>
    </row>
    <row r="206" spans="1:6" x14ac:dyDescent="0.25">
      <c r="A206" s="5" t="s">
        <v>516</v>
      </c>
      <c r="B206" s="6" t="s">
        <v>517</v>
      </c>
      <c r="C206" s="6" t="s">
        <v>11</v>
      </c>
      <c r="D206" s="7" t="str">
        <f t="shared" si="9"/>
        <v>m</v>
      </c>
      <c r="E206" t="str">
        <f t="shared" si="10"/>
        <v>l</v>
      </c>
      <c r="F206" t="str">
        <f t="shared" si="11"/>
        <v/>
      </c>
    </row>
    <row r="207" spans="1:6" x14ac:dyDescent="0.25">
      <c r="A207" s="8" t="s">
        <v>518</v>
      </c>
      <c r="B207" s="9" t="s">
        <v>519</v>
      </c>
      <c r="C207" s="9" t="s">
        <v>166</v>
      </c>
      <c r="D207" s="7" t="str">
        <f t="shared" si="9"/>
        <v>m</v>
      </c>
      <c r="E207" t="str">
        <f t="shared" si="10"/>
        <v>b</v>
      </c>
      <c r="F207" t="str">
        <f t="shared" si="11"/>
        <v/>
      </c>
    </row>
    <row r="208" spans="1:6" x14ac:dyDescent="0.25">
      <c r="A208" s="5" t="s">
        <v>520</v>
      </c>
      <c r="B208" s="6" t="s">
        <v>521</v>
      </c>
      <c r="C208" s="6" t="s">
        <v>219</v>
      </c>
      <c r="D208" s="7" t="str">
        <f t="shared" si="9"/>
        <v>m</v>
      </c>
      <c r="E208" t="str">
        <f t="shared" si="10"/>
        <v>z</v>
      </c>
      <c r="F208" t="str">
        <f t="shared" si="11"/>
        <v/>
      </c>
    </row>
    <row r="209" spans="1:6" x14ac:dyDescent="0.25">
      <c r="A209" s="8" t="s">
        <v>522</v>
      </c>
      <c r="B209" s="9" t="s">
        <v>521</v>
      </c>
      <c r="C209" s="9" t="s">
        <v>17</v>
      </c>
      <c r="D209" s="7" t="str">
        <f t="shared" si="9"/>
        <v>m</v>
      </c>
      <c r="E209" t="str">
        <f t="shared" si="10"/>
        <v>z</v>
      </c>
      <c r="F209" t="str">
        <f t="shared" si="11"/>
        <v/>
      </c>
    </row>
    <row r="210" spans="1:6" x14ac:dyDescent="0.25">
      <c r="A210" s="5" t="s">
        <v>523</v>
      </c>
      <c r="B210" s="6" t="s">
        <v>524</v>
      </c>
      <c r="C210" s="6" t="s">
        <v>73</v>
      </c>
      <c r="D210" s="7" t="str">
        <f t="shared" si="9"/>
        <v>m</v>
      </c>
      <c r="E210" t="str">
        <f t="shared" si="10"/>
        <v>r</v>
      </c>
      <c r="F210" t="str">
        <f t="shared" si="11"/>
        <v/>
      </c>
    </row>
    <row r="211" spans="1:6" x14ac:dyDescent="0.25">
      <c r="A211" s="8" t="s">
        <v>525</v>
      </c>
      <c r="B211" s="9" t="s">
        <v>526</v>
      </c>
      <c r="C211" s="9" t="s">
        <v>114</v>
      </c>
      <c r="D211" s="7" t="str">
        <f t="shared" si="9"/>
        <v>m</v>
      </c>
      <c r="E211" t="str">
        <f t="shared" si="10"/>
        <v>r</v>
      </c>
      <c r="F211" t="str">
        <f t="shared" si="11"/>
        <v/>
      </c>
    </row>
    <row r="212" spans="1:6" x14ac:dyDescent="0.25">
      <c r="A212" s="5" t="s">
        <v>527</v>
      </c>
      <c r="B212" s="6" t="s">
        <v>528</v>
      </c>
      <c r="C212" s="6" t="s">
        <v>340</v>
      </c>
      <c r="D212" s="7" t="str">
        <f t="shared" si="9"/>
        <v>k</v>
      </c>
      <c r="E212" t="str">
        <f t="shared" si="10"/>
        <v>a</v>
      </c>
      <c r="F212" t="str">
        <f t="shared" si="11"/>
        <v/>
      </c>
    </row>
    <row r="213" spans="1:6" x14ac:dyDescent="0.25">
      <c r="A213" s="8" t="s">
        <v>529</v>
      </c>
      <c r="B213" s="9" t="s">
        <v>530</v>
      </c>
      <c r="C213" s="9" t="s">
        <v>39</v>
      </c>
      <c r="D213" s="7" t="str">
        <f t="shared" si="9"/>
        <v>m</v>
      </c>
      <c r="E213" t="str">
        <f t="shared" si="10"/>
        <v>j</v>
      </c>
      <c r="F213" t="str">
        <f t="shared" si="11"/>
        <v/>
      </c>
    </row>
    <row r="214" spans="1:6" x14ac:dyDescent="0.25">
      <c r="A214" s="5" t="s">
        <v>531</v>
      </c>
      <c r="B214" s="6" t="s">
        <v>30</v>
      </c>
      <c r="C214" s="6" t="s">
        <v>44</v>
      </c>
      <c r="D214" s="7" t="str">
        <f t="shared" si="9"/>
        <v>m</v>
      </c>
      <c r="E214" t="str">
        <f t="shared" si="10"/>
        <v>r</v>
      </c>
      <c r="F214" t="str">
        <f t="shared" si="11"/>
        <v/>
      </c>
    </row>
    <row r="215" spans="1:6" x14ac:dyDescent="0.25">
      <c r="A215" s="8" t="s">
        <v>532</v>
      </c>
      <c r="B215" s="9" t="s">
        <v>533</v>
      </c>
      <c r="C215" s="9" t="s">
        <v>534</v>
      </c>
      <c r="D215" s="7" t="str">
        <f t="shared" si="9"/>
        <v>k</v>
      </c>
      <c r="E215" t="str">
        <f t="shared" si="10"/>
        <v>a</v>
      </c>
      <c r="F215" t="str">
        <f t="shared" si="11"/>
        <v/>
      </c>
    </row>
    <row r="216" spans="1:6" x14ac:dyDescent="0.25">
      <c r="A216" s="5" t="s">
        <v>535</v>
      </c>
      <c r="B216" s="6" t="s">
        <v>536</v>
      </c>
      <c r="C216" s="6" t="s">
        <v>89</v>
      </c>
      <c r="D216" s="7" t="str">
        <f t="shared" si="9"/>
        <v>k</v>
      </c>
      <c r="E216" t="str">
        <f t="shared" si="10"/>
        <v>a</v>
      </c>
      <c r="F216" t="str">
        <f t="shared" si="11"/>
        <v/>
      </c>
    </row>
    <row r="217" spans="1:6" x14ac:dyDescent="0.25">
      <c r="A217" s="8" t="s">
        <v>537</v>
      </c>
      <c r="B217" s="9" t="s">
        <v>538</v>
      </c>
      <c r="C217" s="9" t="s">
        <v>416</v>
      </c>
      <c r="D217" s="7" t="str">
        <f t="shared" si="9"/>
        <v>k</v>
      </c>
      <c r="E217" t="str">
        <f t="shared" si="10"/>
        <v>a</v>
      </c>
      <c r="F217" t="str">
        <f t="shared" si="11"/>
        <v/>
      </c>
    </row>
    <row r="218" spans="1:6" x14ac:dyDescent="0.25">
      <c r="A218" s="5" t="s">
        <v>539</v>
      </c>
      <c r="B218" s="6" t="s">
        <v>540</v>
      </c>
      <c r="C218" s="6" t="s">
        <v>323</v>
      </c>
      <c r="D218" s="7" t="str">
        <f t="shared" si="9"/>
        <v>k</v>
      </c>
      <c r="E218" t="str">
        <f t="shared" si="10"/>
        <v>a</v>
      </c>
      <c r="F218" t="str">
        <f t="shared" si="11"/>
        <v/>
      </c>
    </row>
    <row r="219" spans="1:6" x14ac:dyDescent="0.25">
      <c r="A219" s="8" t="s">
        <v>541</v>
      </c>
      <c r="B219" s="9" t="s">
        <v>542</v>
      </c>
      <c r="C219" s="9" t="s">
        <v>179</v>
      </c>
      <c r="D219" s="7" t="str">
        <f t="shared" si="9"/>
        <v>k</v>
      </c>
      <c r="E219" t="str">
        <f t="shared" si="10"/>
        <v>a</v>
      </c>
      <c r="F219" t="str">
        <f t="shared" si="11"/>
        <v/>
      </c>
    </row>
    <row r="220" spans="1:6" x14ac:dyDescent="0.25">
      <c r="A220" s="5" t="s">
        <v>543</v>
      </c>
      <c r="B220" s="6" t="s">
        <v>544</v>
      </c>
      <c r="C220" s="6" t="s">
        <v>419</v>
      </c>
      <c r="D220" s="7" t="str">
        <f t="shared" si="9"/>
        <v>k</v>
      </c>
      <c r="E220" t="str">
        <f t="shared" si="10"/>
        <v>a</v>
      </c>
      <c r="F220" t="str">
        <f t="shared" si="11"/>
        <v/>
      </c>
    </row>
    <row r="221" spans="1:6" x14ac:dyDescent="0.25">
      <c r="A221" s="8" t="s">
        <v>545</v>
      </c>
      <c r="B221" s="9" t="s">
        <v>546</v>
      </c>
      <c r="C221" s="9" t="s">
        <v>17</v>
      </c>
      <c r="D221" s="7" t="str">
        <f t="shared" si="9"/>
        <v>m</v>
      </c>
      <c r="E221" t="str">
        <f t="shared" si="10"/>
        <v>z</v>
      </c>
      <c r="F221" t="str">
        <f t="shared" si="11"/>
        <v/>
      </c>
    </row>
    <row r="222" spans="1:6" x14ac:dyDescent="0.25">
      <c r="A222" s="5" t="s">
        <v>547</v>
      </c>
      <c r="B222" s="6" t="s">
        <v>548</v>
      </c>
      <c r="C222" s="6" t="s">
        <v>419</v>
      </c>
      <c r="D222" s="7" t="str">
        <f t="shared" si="9"/>
        <v>k</v>
      </c>
      <c r="E222" t="str">
        <f t="shared" si="10"/>
        <v>a</v>
      </c>
      <c r="F222" t="str">
        <f t="shared" si="11"/>
        <v/>
      </c>
    </row>
    <row r="223" spans="1:6" x14ac:dyDescent="0.25">
      <c r="A223" s="8" t="s">
        <v>549</v>
      </c>
      <c r="B223" s="9" t="s">
        <v>550</v>
      </c>
      <c r="C223" s="9" t="s">
        <v>309</v>
      </c>
      <c r="D223" s="7" t="str">
        <f t="shared" si="9"/>
        <v>k</v>
      </c>
      <c r="E223" t="str">
        <f t="shared" si="10"/>
        <v>a</v>
      </c>
      <c r="F223" t="str">
        <f t="shared" si="11"/>
        <v/>
      </c>
    </row>
    <row r="224" spans="1:6" x14ac:dyDescent="0.25">
      <c r="A224" s="5" t="s">
        <v>551</v>
      </c>
      <c r="B224" s="6" t="s">
        <v>552</v>
      </c>
      <c r="C224" s="6" t="s">
        <v>309</v>
      </c>
      <c r="D224" s="7" t="str">
        <f t="shared" si="9"/>
        <v>k</v>
      </c>
      <c r="E224" t="str">
        <f t="shared" si="10"/>
        <v>a</v>
      </c>
      <c r="F224" t="str">
        <f t="shared" si="11"/>
        <v/>
      </c>
    </row>
    <row r="225" spans="1:6" x14ac:dyDescent="0.25">
      <c r="A225" s="8" t="s">
        <v>553</v>
      </c>
      <c r="B225" s="9" t="s">
        <v>554</v>
      </c>
      <c r="C225" s="9" t="s">
        <v>187</v>
      </c>
      <c r="D225" s="7" t="str">
        <f t="shared" si="9"/>
        <v>k</v>
      </c>
      <c r="E225" t="str">
        <f t="shared" si="10"/>
        <v>a</v>
      </c>
      <c r="F225" t="str">
        <f t="shared" si="11"/>
        <v/>
      </c>
    </row>
    <row r="226" spans="1:6" x14ac:dyDescent="0.25">
      <c r="A226" s="5" t="s">
        <v>555</v>
      </c>
      <c r="B226" s="6" t="s">
        <v>556</v>
      </c>
      <c r="C226" s="6" t="s">
        <v>428</v>
      </c>
      <c r="D226" s="7" t="str">
        <f t="shared" si="9"/>
        <v>k</v>
      </c>
      <c r="E226" t="str">
        <f t="shared" si="10"/>
        <v>a</v>
      </c>
      <c r="F226" t="str">
        <f t="shared" si="11"/>
        <v/>
      </c>
    </row>
    <row r="227" spans="1:6" x14ac:dyDescent="0.25">
      <c r="A227" s="8" t="s">
        <v>557</v>
      </c>
      <c r="B227" s="9" t="s">
        <v>558</v>
      </c>
      <c r="C227" s="9" t="s">
        <v>559</v>
      </c>
      <c r="D227" s="7" t="str">
        <f t="shared" si="9"/>
        <v>k</v>
      </c>
      <c r="E227" t="str">
        <f t="shared" si="10"/>
        <v>a</v>
      </c>
      <c r="F227" t="str">
        <f t="shared" si="11"/>
        <v/>
      </c>
    </row>
    <row r="228" spans="1:6" x14ac:dyDescent="0.25">
      <c r="A228" s="5" t="s">
        <v>560</v>
      </c>
      <c r="B228" s="6" t="s">
        <v>561</v>
      </c>
      <c r="C228" s="6" t="s">
        <v>351</v>
      </c>
      <c r="D228" s="7" t="str">
        <f t="shared" si="9"/>
        <v>k</v>
      </c>
      <c r="E228" t="str">
        <f t="shared" si="10"/>
        <v>a</v>
      </c>
      <c r="F228" t="str">
        <f t="shared" si="11"/>
        <v/>
      </c>
    </row>
    <row r="229" spans="1:6" x14ac:dyDescent="0.25">
      <c r="A229" s="8" t="s">
        <v>562</v>
      </c>
      <c r="B229" s="9" t="s">
        <v>563</v>
      </c>
      <c r="C229" s="9" t="s">
        <v>564</v>
      </c>
      <c r="D229" s="7" t="str">
        <f t="shared" si="9"/>
        <v>k</v>
      </c>
      <c r="E229" t="str">
        <f t="shared" si="10"/>
        <v>a</v>
      </c>
      <c r="F229" t="str">
        <f t="shared" si="11"/>
        <v/>
      </c>
    </row>
    <row r="230" spans="1:6" x14ac:dyDescent="0.25">
      <c r="A230" s="5" t="s">
        <v>565</v>
      </c>
      <c r="B230" s="6" t="s">
        <v>566</v>
      </c>
      <c r="C230" s="6" t="s">
        <v>567</v>
      </c>
      <c r="D230" s="7" t="str">
        <f t="shared" si="9"/>
        <v>m</v>
      </c>
      <c r="E230" t="str">
        <f t="shared" si="10"/>
        <v>l</v>
      </c>
      <c r="F230" t="str">
        <f t="shared" si="11"/>
        <v/>
      </c>
    </row>
    <row r="231" spans="1:6" x14ac:dyDescent="0.25">
      <c r="A231" s="8" t="s">
        <v>568</v>
      </c>
      <c r="B231" s="9" t="s">
        <v>569</v>
      </c>
      <c r="C231" s="9" t="s">
        <v>570</v>
      </c>
      <c r="D231" s="7" t="str">
        <f t="shared" si="9"/>
        <v>m</v>
      </c>
      <c r="E231" t="str">
        <f t="shared" si="10"/>
        <v>l</v>
      </c>
      <c r="F231" t="str">
        <f t="shared" si="11"/>
        <v/>
      </c>
    </row>
    <row r="232" spans="1:6" x14ac:dyDescent="0.25">
      <c r="A232" s="5" t="s">
        <v>571</v>
      </c>
      <c r="B232" s="6" t="s">
        <v>572</v>
      </c>
      <c r="C232" s="6" t="s">
        <v>275</v>
      </c>
      <c r="D232" s="7" t="str">
        <f t="shared" si="9"/>
        <v>k</v>
      </c>
      <c r="E232" t="str">
        <f t="shared" si="10"/>
        <v>a</v>
      </c>
      <c r="F232" t="str">
        <f t="shared" si="11"/>
        <v/>
      </c>
    </row>
    <row r="233" spans="1:6" x14ac:dyDescent="0.25">
      <c r="A233" s="8" t="s">
        <v>573</v>
      </c>
      <c r="B233" s="9" t="s">
        <v>574</v>
      </c>
      <c r="C233" s="9" t="s">
        <v>108</v>
      </c>
      <c r="D233" s="7" t="str">
        <f t="shared" si="9"/>
        <v>m</v>
      </c>
      <c r="E233" t="str">
        <f t="shared" si="10"/>
        <v>l</v>
      </c>
      <c r="F233" t="str">
        <f t="shared" si="11"/>
        <v/>
      </c>
    </row>
    <row r="234" spans="1:6" x14ac:dyDescent="0.25">
      <c r="A234" s="5" t="s">
        <v>575</v>
      </c>
      <c r="B234" s="6" t="s">
        <v>576</v>
      </c>
      <c r="C234" s="6" t="s">
        <v>17</v>
      </c>
      <c r="D234" s="7" t="str">
        <f t="shared" si="9"/>
        <v>m</v>
      </c>
      <c r="E234" t="str">
        <f t="shared" si="10"/>
        <v>z</v>
      </c>
      <c r="F234" t="str">
        <f t="shared" si="11"/>
        <v/>
      </c>
    </row>
    <row r="235" spans="1:6" x14ac:dyDescent="0.25">
      <c r="A235" s="8" t="s">
        <v>577</v>
      </c>
      <c r="B235" s="9" t="s">
        <v>578</v>
      </c>
      <c r="C235" s="9" t="s">
        <v>464</v>
      </c>
      <c r="D235" s="7" t="str">
        <f t="shared" si="9"/>
        <v>m</v>
      </c>
      <c r="E235" t="str">
        <f t="shared" si="10"/>
        <v>n</v>
      </c>
      <c r="F235" t="str">
        <f t="shared" si="11"/>
        <v/>
      </c>
    </row>
    <row r="236" spans="1:6" x14ac:dyDescent="0.25">
      <c r="A236" s="5" t="s">
        <v>579</v>
      </c>
      <c r="B236" s="6" t="s">
        <v>580</v>
      </c>
      <c r="C236" s="6" t="s">
        <v>287</v>
      </c>
      <c r="D236" s="7" t="str">
        <f t="shared" si="9"/>
        <v>m</v>
      </c>
      <c r="E236" t="str">
        <f t="shared" si="10"/>
        <v>d</v>
      </c>
      <c r="F236" t="str">
        <f t="shared" si="11"/>
        <v/>
      </c>
    </row>
    <row r="237" spans="1:6" x14ac:dyDescent="0.25">
      <c r="A237" s="8" t="s">
        <v>581</v>
      </c>
      <c r="B237" s="9" t="s">
        <v>582</v>
      </c>
      <c r="C237" s="9" t="s">
        <v>67</v>
      </c>
      <c r="D237" s="7" t="str">
        <f t="shared" si="9"/>
        <v>k</v>
      </c>
      <c r="E237" t="str">
        <f t="shared" si="10"/>
        <v>a</v>
      </c>
      <c r="F237" t="str">
        <f t="shared" si="11"/>
        <v/>
      </c>
    </row>
    <row r="238" spans="1:6" x14ac:dyDescent="0.25">
      <c r="A238" s="5" t="s">
        <v>583</v>
      </c>
      <c r="B238" s="6" t="s">
        <v>584</v>
      </c>
      <c r="C238" s="6" t="s">
        <v>284</v>
      </c>
      <c r="D238" s="7" t="str">
        <f t="shared" si="9"/>
        <v>k</v>
      </c>
      <c r="E238" t="str">
        <f t="shared" si="10"/>
        <v>a</v>
      </c>
      <c r="F238" t="str">
        <f t="shared" si="11"/>
        <v/>
      </c>
    </row>
    <row r="239" spans="1:6" x14ac:dyDescent="0.25">
      <c r="A239" s="8" t="s">
        <v>585</v>
      </c>
      <c r="B239" s="9" t="s">
        <v>586</v>
      </c>
      <c r="C239" s="9" t="s">
        <v>47</v>
      </c>
      <c r="D239" s="7" t="str">
        <f t="shared" si="9"/>
        <v>m</v>
      </c>
      <c r="E239" t="str">
        <f t="shared" si="10"/>
        <v>n</v>
      </c>
      <c r="F239" t="str">
        <f t="shared" si="11"/>
        <v/>
      </c>
    </row>
    <row r="240" spans="1:6" x14ac:dyDescent="0.25">
      <c r="A240" s="5" t="s">
        <v>587</v>
      </c>
      <c r="B240" s="6" t="s">
        <v>96</v>
      </c>
      <c r="C240" s="6" t="s">
        <v>121</v>
      </c>
      <c r="D240" s="7" t="str">
        <f t="shared" si="9"/>
        <v>m</v>
      </c>
      <c r="E240" t="str">
        <f t="shared" si="10"/>
        <v>n</v>
      </c>
      <c r="F240" t="str">
        <f t="shared" si="11"/>
        <v/>
      </c>
    </row>
    <row r="241" spans="1:6" x14ac:dyDescent="0.25">
      <c r="A241" s="8" t="s">
        <v>588</v>
      </c>
      <c r="B241" s="9" t="s">
        <v>589</v>
      </c>
      <c r="C241" s="9" t="s">
        <v>298</v>
      </c>
      <c r="D241" s="7" t="str">
        <f t="shared" si="9"/>
        <v>k</v>
      </c>
      <c r="E241" t="str">
        <f t="shared" si="10"/>
        <v>a</v>
      </c>
      <c r="F241" t="str">
        <f t="shared" si="11"/>
        <v/>
      </c>
    </row>
    <row r="242" spans="1:6" x14ac:dyDescent="0.25">
      <c r="A242" s="5" t="s">
        <v>590</v>
      </c>
      <c r="B242" s="6" t="s">
        <v>591</v>
      </c>
      <c r="C242" s="6" t="s">
        <v>166</v>
      </c>
      <c r="D242" s="7" t="str">
        <f t="shared" si="9"/>
        <v>m</v>
      </c>
      <c r="E242" t="str">
        <f t="shared" si="10"/>
        <v>b</v>
      </c>
      <c r="F242" t="str">
        <f t="shared" si="11"/>
        <v/>
      </c>
    </row>
    <row r="243" spans="1:6" x14ac:dyDescent="0.25">
      <c r="A243" s="8" t="s">
        <v>592</v>
      </c>
      <c r="B243" s="9" t="s">
        <v>593</v>
      </c>
      <c r="C243" s="9" t="s">
        <v>92</v>
      </c>
      <c r="D243" s="7" t="str">
        <f t="shared" si="9"/>
        <v>m</v>
      </c>
      <c r="E243" t="str">
        <f t="shared" si="10"/>
        <v>r</v>
      </c>
      <c r="F243" t="str">
        <f t="shared" si="11"/>
        <v/>
      </c>
    </row>
    <row r="244" spans="1:6" x14ac:dyDescent="0.25">
      <c r="A244" s="5" t="s">
        <v>594</v>
      </c>
      <c r="B244" s="6" t="s">
        <v>595</v>
      </c>
      <c r="C244" s="6" t="s">
        <v>596</v>
      </c>
      <c r="D244" s="7" t="str">
        <f t="shared" si="9"/>
        <v>m</v>
      </c>
      <c r="E244" t="str">
        <f t="shared" si="10"/>
        <v>z</v>
      </c>
      <c r="F244" t="str">
        <f t="shared" si="11"/>
        <v/>
      </c>
    </row>
    <row r="245" spans="1:6" x14ac:dyDescent="0.25">
      <c r="A245" s="8" t="s">
        <v>597</v>
      </c>
      <c r="B245" s="9" t="s">
        <v>598</v>
      </c>
      <c r="C245" s="9" t="s">
        <v>17</v>
      </c>
      <c r="D245" s="7" t="str">
        <f t="shared" si="9"/>
        <v>m</v>
      </c>
      <c r="E245" t="str">
        <f t="shared" si="10"/>
        <v>z</v>
      </c>
      <c r="F245" t="str">
        <f t="shared" si="11"/>
        <v/>
      </c>
    </row>
    <row r="246" spans="1:6" x14ac:dyDescent="0.25">
      <c r="A246" s="5" t="s">
        <v>599</v>
      </c>
      <c r="B246" s="6" t="s">
        <v>600</v>
      </c>
      <c r="C246" s="6" t="s">
        <v>70</v>
      </c>
      <c r="D246" s="7" t="str">
        <f t="shared" si="9"/>
        <v>k</v>
      </c>
      <c r="E246" t="str">
        <f t="shared" si="10"/>
        <v>a</v>
      </c>
      <c r="F246" t="str">
        <f t="shared" si="11"/>
        <v/>
      </c>
    </row>
    <row r="247" spans="1:6" x14ac:dyDescent="0.25">
      <c r="A247" s="8" t="s">
        <v>601</v>
      </c>
      <c r="B247" s="9" t="s">
        <v>602</v>
      </c>
      <c r="C247" s="9" t="s">
        <v>137</v>
      </c>
      <c r="D247" s="7" t="str">
        <f t="shared" si="9"/>
        <v>k</v>
      </c>
      <c r="E247" t="str">
        <f t="shared" si="10"/>
        <v>a</v>
      </c>
      <c r="F247" t="str">
        <f t="shared" si="11"/>
        <v/>
      </c>
    </row>
    <row r="248" spans="1:6" x14ac:dyDescent="0.25">
      <c r="A248" s="5" t="s">
        <v>603</v>
      </c>
      <c r="B248" s="6" t="s">
        <v>604</v>
      </c>
      <c r="C248" s="6" t="s">
        <v>233</v>
      </c>
      <c r="D248" s="7" t="str">
        <f t="shared" si="9"/>
        <v>k</v>
      </c>
      <c r="E248" t="str">
        <f t="shared" si="10"/>
        <v>a</v>
      </c>
      <c r="F248" t="str">
        <f t="shared" si="11"/>
        <v/>
      </c>
    </row>
    <row r="249" spans="1:6" x14ac:dyDescent="0.25">
      <c r="A249" s="8" t="s">
        <v>605</v>
      </c>
      <c r="B249" s="9" t="s">
        <v>606</v>
      </c>
      <c r="C249" s="9" t="s">
        <v>607</v>
      </c>
      <c r="D249" s="7" t="str">
        <f t="shared" si="9"/>
        <v>k</v>
      </c>
      <c r="E249" t="str">
        <f t="shared" si="10"/>
        <v>a</v>
      </c>
      <c r="F249" t="str">
        <f t="shared" si="11"/>
        <v/>
      </c>
    </row>
    <row r="250" spans="1:6" x14ac:dyDescent="0.25">
      <c r="A250" s="5" t="s">
        <v>608</v>
      </c>
      <c r="B250" s="6" t="s">
        <v>609</v>
      </c>
      <c r="C250" s="6" t="s">
        <v>53</v>
      </c>
      <c r="D250" s="7" t="str">
        <f t="shared" si="9"/>
        <v>m</v>
      </c>
      <c r="E250" t="str">
        <f t="shared" si="10"/>
        <v>h</v>
      </c>
      <c r="F250" t="str">
        <f t="shared" si="11"/>
        <v/>
      </c>
    </row>
    <row r="251" spans="1:6" x14ac:dyDescent="0.25">
      <c r="A251" s="8" t="s">
        <v>610</v>
      </c>
      <c r="B251" s="9" t="s">
        <v>611</v>
      </c>
      <c r="C251" s="9" t="s">
        <v>241</v>
      </c>
      <c r="D251" s="7" t="str">
        <f t="shared" si="9"/>
        <v>k</v>
      </c>
      <c r="E251" t="str">
        <f t="shared" si="10"/>
        <v>a</v>
      </c>
      <c r="F251" t="str">
        <f t="shared" si="11"/>
        <v/>
      </c>
    </row>
    <row r="252" spans="1:6" x14ac:dyDescent="0.25">
      <c r="A252" s="5" t="s">
        <v>612</v>
      </c>
      <c r="B252" s="6" t="s">
        <v>353</v>
      </c>
      <c r="C252" s="6" t="s">
        <v>187</v>
      </c>
      <c r="D252" s="7" t="str">
        <f t="shared" si="9"/>
        <v>k</v>
      </c>
      <c r="E252" t="str">
        <f t="shared" si="10"/>
        <v>a</v>
      </c>
      <c r="F252" t="str">
        <f t="shared" si="11"/>
        <v/>
      </c>
    </row>
    <row r="253" spans="1:6" x14ac:dyDescent="0.25">
      <c r="A253" s="8" t="s">
        <v>613</v>
      </c>
      <c r="B253" s="9" t="s">
        <v>614</v>
      </c>
      <c r="C253" s="9" t="s">
        <v>295</v>
      </c>
      <c r="D253" s="7" t="str">
        <f t="shared" si="9"/>
        <v>k</v>
      </c>
      <c r="E253" t="str">
        <f t="shared" si="10"/>
        <v>a</v>
      </c>
      <c r="F253" t="str">
        <f t="shared" si="11"/>
        <v/>
      </c>
    </row>
    <row r="254" spans="1:6" x14ac:dyDescent="0.25">
      <c r="A254" s="5" t="s">
        <v>615</v>
      </c>
      <c r="B254" s="6" t="s">
        <v>616</v>
      </c>
      <c r="C254" s="6" t="s">
        <v>617</v>
      </c>
      <c r="D254" s="7" t="str">
        <f t="shared" si="9"/>
        <v>k</v>
      </c>
      <c r="E254" t="str">
        <f t="shared" si="10"/>
        <v>a</v>
      </c>
      <c r="F254" t="str">
        <f t="shared" si="11"/>
        <v/>
      </c>
    </row>
    <row r="255" spans="1:6" x14ac:dyDescent="0.25">
      <c r="A255" s="8" t="s">
        <v>618</v>
      </c>
      <c r="B255" s="9" t="s">
        <v>619</v>
      </c>
      <c r="C255" s="9" t="s">
        <v>340</v>
      </c>
      <c r="D255" s="7" t="str">
        <f t="shared" si="9"/>
        <v>k</v>
      </c>
      <c r="E255" t="str">
        <f t="shared" si="10"/>
        <v>a</v>
      </c>
      <c r="F255" t="str">
        <f t="shared" si="11"/>
        <v/>
      </c>
    </row>
    <row r="256" spans="1:6" x14ac:dyDescent="0.25">
      <c r="A256" s="5" t="s">
        <v>620</v>
      </c>
      <c r="B256" s="6" t="s">
        <v>621</v>
      </c>
      <c r="C256" s="6" t="s">
        <v>241</v>
      </c>
      <c r="D256" s="7" t="str">
        <f t="shared" si="9"/>
        <v>k</v>
      </c>
      <c r="E256" t="str">
        <f t="shared" si="10"/>
        <v>a</v>
      </c>
      <c r="F256" t="str">
        <f t="shared" si="11"/>
        <v/>
      </c>
    </row>
    <row r="257" spans="1:6" x14ac:dyDescent="0.25">
      <c r="A257" s="8" t="s">
        <v>622</v>
      </c>
      <c r="B257" s="9" t="s">
        <v>623</v>
      </c>
      <c r="C257" s="9" t="s">
        <v>624</v>
      </c>
      <c r="D257" s="7" t="str">
        <f t="shared" si="9"/>
        <v>m</v>
      </c>
      <c r="E257" t="str">
        <f t="shared" si="10"/>
        <v>r</v>
      </c>
      <c r="F257" t="str">
        <f t="shared" si="11"/>
        <v/>
      </c>
    </row>
    <row r="258" spans="1:6" x14ac:dyDescent="0.25">
      <c r="A258" s="5" t="s">
        <v>625</v>
      </c>
      <c r="B258" s="6" t="s">
        <v>626</v>
      </c>
      <c r="C258" s="6" t="s">
        <v>627</v>
      </c>
      <c r="D258" s="7" t="str">
        <f t="shared" ref="D258:D321" si="12">IF(MOD(LEFT(RIGHT(A258,2),1),2)=0,"k","m")</f>
        <v>m</v>
      </c>
      <c r="E258" t="str">
        <f t="shared" si="10"/>
        <v>z</v>
      </c>
      <c r="F258" t="str">
        <f t="shared" si="11"/>
        <v/>
      </c>
    </row>
    <row r="259" spans="1:6" x14ac:dyDescent="0.25">
      <c r="A259" s="8" t="s">
        <v>628</v>
      </c>
      <c r="B259" s="9" t="s">
        <v>629</v>
      </c>
      <c r="C259" s="9" t="s">
        <v>630</v>
      </c>
      <c r="D259" s="7" t="str">
        <f t="shared" si="12"/>
        <v>k</v>
      </c>
      <c r="E259" t="str">
        <f t="shared" ref="E259:E322" si="13">RIGHT(C259,1)</f>
        <v>a</v>
      </c>
      <c r="F259" t="str">
        <f t="shared" ref="F259:F322" si="14">IF(AND(E259&lt;&gt;"a",D259="k"),C259,"")</f>
        <v/>
      </c>
    </row>
    <row r="260" spans="1:6" x14ac:dyDescent="0.25">
      <c r="A260" s="5" t="s">
        <v>631</v>
      </c>
      <c r="B260" s="6" t="s">
        <v>235</v>
      </c>
      <c r="C260" s="6" t="s">
        <v>5</v>
      </c>
      <c r="D260" s="7" t="str">
        <f t="shared" si="12"/>
        <v>m</v>
      </c>
      <c r="E260" t="str">
        <f t="shared" si="13"/>
        <v>f</v>
      </c>
      <c r="F260" t="str">
        <f t="shared" si="14"/>
        <v/>
      </c>
    </row>
    <row r="261" spans="1:6" x14ac:dyDescent="0.25">
      <c r="A261" s="8" t="s">
        <v>632</v>
      </c>
      <c r="B261" s="9" t="s">
        <v>633</v>
      </c>
      <c r="C261" s="9" t="s">
        <v>233</v>
      </c>
      <c r="D261" s="7" t="str">
        <f t="shared" si="12"/>
        <v>k</v>
      </c>
      <c r="E261" t="str">
        <f t="shared" si="13"/>
        <v>a</v>
      </c>
      <c r="F261" t="str">
        <f t="shared" si="14"/>
        <v/>
      </c>
    </row>
    <row r="262" spans="1:6" x14ac:dyDescent="0.25">
      <c r="A262" s="5" t="s">
        <v>634</v>
      </c>
      <c r="B262" s="6" t="s">
        <v>635</v>
      </c>
      <c r="C262" s="6" t="s">
        <v>194</v>
      </c>
      <c r="D262" s="7" t="str">
        <f t="shared" si="12"/>
        <v>k</v>
      </c>
      <c r="E262" t="str">
        <f t="shared" si="13"/>
        <v>a</v>
      </c>
      <c r="F262" t="str">
        <f t="shared" si="14"/>
        <v/>
      </c>
    </row>
    <row r="263" spans="1:6" x14ac:dyDescent="0.25">
      <c r="A263" s="8" t="s">
        <v>636</v>
      </c>
      <c r="B263" s="9" t="s">
        <v>637</v>
      </c>
      <c r="C263" s="9" t="s">
        <v>382</v>
      </c>
      <c r="D263" s="7" t="str">
        <f t="shared" si="12"/>
        <v>k</v>
      </c>
      <c r="E263" t="str">
        <f t="shared" si="13"/>
        <v>a</v>
      </c>
      <c r="F263" t="str">
        <f t="shared" si="14"/>
        <v/>
      </c>
    </row>
    <row r="264" spans="1:6" x14ac:dyDescent="0.25">
      <c r="A264" s="5" t="s">
        <v>638</v>
      </c>
      <c r="B264" s="6" t="s">
        <v>639</v>
      </c>
      <c r="C264" s="6" t="s">
        <v>640</v>
      </c>
      <c r="D264" s="7" t="str">
        <f t="shared" si="12"/>
        <v>m</v>
      </c>
      <c r="E264" t="str">
        <f t="shared" si="13"/>
        <v>l</v>
      </c>
      <c r="F264" t="str">
        <f t="shared" si="14"/>
        <v/>
      </c>
    </row>
    <row r="265" spans="1:6" x14ac:dyDescent="0.25">
      <c r="A265" s="8" t="s">
        <v>641</v>
      </c>
      <c r="B265" s="9" t="s">
        <v>642</v>
      </c>
      <c r="C265" s="9" t="s">
        <v>485</v>
      </c>
      <c r="D265" s="7" t="str">
        <f t="shared" si="12"/>
        <v>m</v>
      </c>
      <c r="E265" t="str">
        <f t="shared" si="13"/>
        <v>m</v>
      </c>
      <c r="F265" t="str">
        <f t="shared" si="14"/>
        <v/>
      </c>
    </row>
    <row r="266" spans="1:6" x14ac:dyDescent="0.25">
      <c r="A266" s="5" t="s">
        <v>643</v>
      </c>
      <c r="B266" s="6" t="s">
        <v>644</v>
      </c>
      <c r="C266" s="6" t="s">
        <v>56</v>
      </c>
      <c r="D266" s="7" t="str">
        <f t="shared" si="12"/>
        <v>k</v>
      </c>
      <c r="E266" t="str">
        <f t="shared" si="13"/>
        <v>a</v>
      </c>
      <c r="F266" t="str">
        <f t="shared" si="14"/>
        <v/>
      </c>
    </row>
    <row r="267" spans="1:6" x14ac:dyDescent="0.25">
      <c r="A267" s="8" t="s">
        <v>645</v>
      </c>
      <c r="B267" s="9" t="s">
        <v>646</v>
      </c>
      <c r="C267" s="9" t="s">
        <v>345</v>
      </c>
      <c r="D267" s="7" t="str">
        <f t="shared" si="12"/>
        <v>k</v>
      </c>
      <c r="E267" t="str">
        <f t="shared" si="13"/>
        <v>a</v>
      </c>
      <c r="F267" t="str">
        <f t="shared" si="14"/>
        <v/>
      </c>
    </row>
    <row r="268" spans="1:6" x14ac:dyDescent="0.25">
      <c r="A268" s="5" t="s">
        <v>647</v>
      </c>
      <c r="B268" s="6" t="s">
        <v>648</v>
      </c>
      <c r="C268" s="6" t="s">
        <v>448</v>
      </c>
      <c r="D268" s="7" t="str">
        <f t="shared" si="12"/>
        <v>k</v>
      </c>
      <c r="E268" t="str">
        <f t="shared" si="13"/>
        <v>a</v>
      </c>
      <c r="F268" t="str">
        <f t="shared" si="14"/>
        <v/>
      </c>
    </row>
    <row r="269" spans="1:6" x14ac:dyDescent="0.25">
      <c r="A269" s="8" t="s">
        <v>649</v>
      </c>
      <c r="B269" s="9" t="s">
        <v>650</v>
      </c>
      <c r="C269" s="9" t="s">
        <v>651</v>
      </c>
      <c r="D269" s="7" t="str">
        <f t="shared" si="12"/>
        <v>k</v>
      </c>
      <c r="E269" t="str">
        <f t="shared" si="13"/>
        <v>a</v>
      </c>
      <c r="F269" t="str">
        <f t="shared" si="14"/>
        <v/>
      </c>
    </row>
    <row r="270" spans="1:6" x14ac:dyDescent="0.25">
      <c r="A270" s="5" t="s">
        <v>652</v>
      </c>
      <c r="B270" s="6" t="s">
        <v>653</v>
      </c>
      <c r="C270" s="6" t="s">
        <v>345</v>
      </c>
      <c r="D270" s="7" t="str">
        <f t="shared" si="12"/>
        <v>k</v>
      </c>
      <c r="E270" t="str">
        <f t="shared" si="13"/>
        <v>a</v>
      </c>
      <c r="F270" t="str">
        <f t="shared" si="14"/>
        <v/>
      </c>
    </row>
    <row r="271" spans="1:6" x14ac:dyDescent="0.25">
      <c r="A271" s="8" t="s">
        <v>654</v>
      </c>
      <c r="B271" s="9" t="s">
        <v>655</v>
      </c>
      <c r="C271" s="9" t="s">
        <v>416</v>
      </c>
      <c r="D271" s="7" t="str">
        <f t="shared" si="12"/>
        <v>k</v>
      </c>
      <c r="E271" t="str">
        <f t="shared" si="13"/>
        <v>a</v>
      </c>
      <c r="F271" t="str">
        <f t="shared" si="14"/>
        <v/>
      </c>
    </row>
    <row r="272" spans="1:6" x14ac:dyDescent="0.25">
      <c r="A272" s="5" t="s">
        <v>656</v>
      </c>
      <c r="B272" s="6" t="s">
        <v>657</v>
      </c>
      <c r="C272" s="6" t="s">
        <v>121</v>
      </c>
      <c r="D272" s="7" t="str">
        <f t="shared" si="12"/>
        <v>m</v>
      </c>
      <c r="E272" t="str">
        <f t="shared" si="13"/>
        <v>n</v>
      </c>
      <c r="F272" t="str">
        <f t="shared" si="14"/>
        <v/>
      </c>
    </row>
    <row r="273" spans="1:6" x14ac:dyDescent="0.25">
      <c r="A273" s="8" t="s">
        <v>658</v>
      </c>
      <c r="B273" s="9" t="s">
        <v>659</v>
      </c>
      <c r="C273" s="9" t="s">
        <v>44</v>
      </c>
      <c r="D273" s="7" t="str">
        <f t="shared" si="12"/>
        <v>m</v>
      </c>
      <c r="E273" t="str">
        <f t="shared" si="13"/>
        <v>r</v>
      </c>
      <c r="F273" t="str">
        <f t="shared" si="14"/>
        <v/>
      </c>
    </row>
    <row r="274" spans="1:6" x14ac:dyDescent="0.25">
      <c r="A274" s="5" t="s">
        <v>660</v>
      </c>
      <c r="B274" s="6" t="s">
        <v>661</v>
      </c>
      <c r="C274" s="6" t="s">
        <v>413</v>
      </c>
      <c r="D274" s="7" t="str">
        <f t="shared" si="12"/>
        <v>k</v>
      </c>
      <c r="E274" t="str">
        <f t="shared" si="13"/>
        <v>a</v>
      </c>
      <c r="F274" t="str">
        <f t="shared" si="14"/>
        <v/>
      </c>
    </row>
    <row r="275" spans="1:6" x14ac:dyDescent="0.25">
      <c r="A275" s="8" t="s">
        <v>662</v>
      </c>
      <c r="B275" s="9" t="s">
        <v>663</v>
      </c>
      <c r="C275" s="9" t="s">
        <v>323</v>
      </c>
      <c r="D275" s="7" t="str">
        <f t="shared" si="12"/>
        <v>k</v>
      </c>
      <c r="E275" t="str">
        <f t="shared" si="13"/>
        <v>a</v>
      </c>
      <c r="F275" t="str">
        <f t="shared" si="14"/>
        <v/>
      </c>
    </row>
    <row r="276" spans="1:6" x14ac:dyDescent="0.25">
      <c r="A276" s="5" t="s">
        <v>664</v>
      </c>
      <c r="B276" s="6" t="s">
        <v>665</v>
      </c>
      <c r="C276" s="6" t="s">
        <v>666</v>
      </c>
      <c r="D276" s="7" t="str">
        <f t="shared" si="12"/>
        <v>m</v>
      </c>
      <c r="E276" t="str">
        <f t="shared" si="13"/>
        <v>z</v>
      </c>
      <c r="F276" t="str">
        <f t="shared" si="14"/>
        <v/>
      </c>
    </row>
    <row r="277" spans="1:6" x14ac:dyDescent="0.25">
      <c r="A277" s="8" t="s">
        <v>667</v>
      </c>
      <c r="B277" s="9" t="s">
        <v>668</v>
      </c>
      <c r="C277" s="9" t="s">
        <v>131</v>
      </c>
      <c r="D277" s="7" t="str">
        <f t="shared" si="12"/>
        <v>k</v>
      </c>
      <c r="E277" t="str">
        <f t="shared" si="13"/>
        <v>a</v>
      </c>
      <c r="F277" t="str">
        <f t="shared" si="14"/>
        <v/>
      </c>
    </row>
    <row r="278" spans="1:6" x14ac:dyDescent="0.25">
      <c r="A278" s="5" t="s">
        <v>669</v>
      </c>
      <c r="B278" s="6" t="s">
        <v>670</v>
      </c>
      <c r="C278" s="6" t="s">
        <v>671</v>
      </c>
      <c r="D278" s="7" t="str">
        <f t="shared" si="12"/>
        <v>m</v>
      </c>
      <c r="E278" t="str">
        <f t="shared" si="13"/>
        <v>k</v>
      </c>
      <c r="F278" t="str">
        <f t="shared" si="14"/>
        <v/>
      </c>
    </row>
    <row r="279" spans="1:6" x14ac:dyDescent="0.25">
      <c r="A279" s="8" t="s">
        <v>672</v>
      </c>
      <c r="B279" s="9" t="s">
        <v>673</v>
      </c>
      <c r="C279" s="9" t="s">
        <v>73</v>
      </c>
      <c r="D279" s="7" t="str">
        <f t="shared" si="12"/>
        <v>m</v>
      </c>
      <c r="E279" t="str">
        <f t="shared" si="13"/>
        <v>r</v>
      </c>
      <c r="F279" t="str">
        <f t="shared" si="14"/>
        <v/>
      </c>
    </row>
    <row r="280" spans="1:6" x14ac:dyDescent="0.25">
      <c r="A280" s="5" t="s">
        <v>674</v>
      </c>
      <c r="B280" s="6" t="s">
        <v>675</v>
      </c>
      <c r="C280" s="6" t="s">
        <v>64</v>
      </c>
      <c r="D280" s="7" t="str">
        <f t="shared" si="12"/>
        <v>m</v>
      </c>
      <c r="E280" t="str">
        <f t="shared" si="13"/>
        <v>j</v>
      </c>
      <c r="F280" t="str">
        <f t="shared" si="14"/>
        <v/>
      </c>
    </row>
    <row r="281" spans="1:6" x14ac:dyDescent="0.25">
      <c r="A281" s="8" t="s">
        <v>676</v>
      </c>
      <c r="B281" s="9" t="s">
        <v>677</v>
      </c>
      <c r="C281" s="9" t="s">
        <v>105</v>
      </c>
      <c r="D281" s="7" t="str">
        <f t="shared" si="12"/>
        <v>m</v>
      </c>
      <c r="E281" t="str">
        <f t="shared" si="13"/>
        <v>r</v>
      </c>
      <c r="F281" t="str">
        <f t="shared" si="14"/>
        <v/>
      </c>
    </row>
    <row r="282" spans="1:6" x14ac:dyDescent="0.25">
      <c r="A282" s="5" t="s">
        <v>678</v>
      </c>
      <c r="B282" s="6" t="s">
        <v>679</v>
      </c>
      <c r="C282" s="6" t="s">
        <v>73</v>
      </c>
      <c r="D282" s="7" t="str">
        <f t="shared" si="12"/>
        <v>m</v>
      </c>
      <c r="E282" t="str">
        <f t="shared" si="13"/>
        <v>r</v>
      </c>
      <c r="F282" t="str">
        <f t="shared" si="14"/>
        <v/>
      </c>
    </row>
    <row r="283" spans="1:6" x14ac:dyDescent="0.25">
      <c r="A283" s="8" t="s">
        <v>680</v>
      </c>
      <c r="B283" s="9" t="s">
        <v>681</v>
      </c>
      <c r="C283" s="9" t="s">
        <v>499</v>
      </c>
      <c r="D283" s="7" t="str">
        <f t="shared" si="12"/>
        <v>m</v>
      </c>
      <c r="E283" t="str">
        <f t="shared" si="13"/>
        <v>z</v>
      </c>
      <c r="F283" t="str">
        <f t="shared" si="14"/>
        <v/>
      </c>
    </row>
    <row r="284" spans="1:6" x14ac:dyDescent="0.25">
      <c r="A284" s="5" t="s">
        <v>682</v>
      </c>
      <c r="B284" s="6" t="s">
        <v>683</v>
      </c>
      <c r="C284" s="6" t="s">
        <v>73</v>
      </c>
      <c r="D284" s="7" t="str">
        <f t="shared" si="12"/>
        <v>m</v>
      </c>
      <c r="E284" t="str">
        <f t="shared" si="13"/>
        <v>r</v>
      </c>
      <c r="F284" t="str">
        <f t="shared" si="14"/>
        <v/>
      </c>
    </row>
    <row r="285" spans="1:6" x14ac:dyDescent="0.25">
      <c r="A285" s="8" t="s">
        <v>684</v>
      </c>
      <c r="B285" s="9" t="s">
        <v>685</v>
      </c>
      <c r="C285" s="9" t="s">
        <v>485</v>
      </c>
      <c r="D285" s="7" t="str">
        <f t="shared" si="12"/>
        <v>m</v>
      </c>
      <c r="E285" t="str">
        <f t="shared" si="13"/>
        <v>m</v>
      </c>
      <c r="F285" t="str">
        <f t="shared" si="14"/>
        <v/>
      </c>
    </row>
    <row r="286" spans="1:6" x14ac:dyDescent="0.25">
      <c r="A286" s="5" t="s">
        <v>686</v>
      </c>
      <c r="B286" s="6" t="s">
        <v>687</v>
      </c>
      <c r="C286" s="6" t="s">
        <v>92</v>
      </c>
      <c r="D286" s="7" t="str">
        <f t="shared" si="12"/>
        <v>m</v>
      </c>
      <c r="E286" t="str">
        <f t="shared" si="13"/>
        <v>r</v>
      </c>
      <c r="F286" t="str">
        <f t="shared" si="14"/>
        <v/>
      </c>
    </row>
    <row r="287" spans="1:6" x14ac:dyDescent="0.25">
      <c r="A287" s="8" t="s">
        <v>688</v>
      </c>
      <c r="B287" s="9" t="s">
        <v>689</v>
      </c>
      <c r="C287" s="9" t="s">
        <v>564</v>
      </c>
      <c r="D287" s="7" t="str">
        <f t="shared" si="12"/>
        <v>k</v>
      </c>
      <c r="E287" t="str">
        <f t="shared" si="13"/>
        <v>a</v>
      </c>
      <c r="F287" t="str">
        <f t="shared" si="14"/>
        <v/>
      </c>
    </row>
    <row r="288" spans="1:6" x14ac:dyDescent="0.25">
      <c r="A288" s="5" t="s">
        <v>690</v>
      </c>
      <c r="B288" s="6" t="s">
        <v>691</v>
      </c>
      <c r="C288" s="6" t="s">
        <v>692</v>
      </c>
      <c r="D288" s="7" t="str">
        <f t="shared" si="12"/>
        <v>m</v>
      </c>
      <c r="E288" t="str">
        <f t="shared" si="13"/>
        <v>d</v>
      </c>
      <c r="F288" t="str">
        <f t="shared" si="14"/>
        <v/>
      </c>
    </row>
    <row r="289" spans="1:6" x14ac:dyDescent="0.25">
      <c r="A289" s="8" t="s">
        <v>693</v>
      </c>
      <c r="B289" s="9" t="s">
        <v>694</v>
      </c>
      <c r="C289" s="9" t="s">
        <v>214</v>
      </c>
      <c r="D289" s="7" t="str">
        <f t="shared" si="12"/>
        <v>k</v>
      </c>
      <c r="E289" t="str">
        <f t="shared" si="13"/>
        <v>a</v>
      </c>
      <c r="F289" t="str">
        <f t="shared" si="14"/>
        <v/>
      </c>
    </row>
    <row r="290" spans="1:6" x14ac:dyDescent="0.25">
      <c r="A290" s="5" t="s">
        <v>695</v>
      </c>
      <c r="B290" s="6" t="s">
        <v>350</v>
      </c>
      <c r="C290" s="6" t="s">
        <v>351</v>
      </c>
      <c r="D290" s="7" t="str">
        <f t="shared" si="12"/>
        <v>k</v>
      </c>
      <c r="E290" t="str">
        <f t="shared" si="13"/>
        <v>a</v>
      </c>
      <c r="F290" t="str">
        <f t="shared" si="14"/>
        <v/>
      </c>
    </row>
    <row r="291" spans="1:6" x14ac:dyDescent="0.25">
      <c r="A291" s="8" t="s">
        <v>696</v>
      </c>
      <c r="B291" s="9" t="s">
        <v>697</v>
      </c>
      <c r="C291" s="9" t="s">
        <v>111</v>
      </c>
      <c r="D291" s="7" t="str">
        <f t="shared" si="12"/>
        <v>k</v>
      </c>
      <c r="E291" t="str">
        <f t="shared" si="13"/>
        <v>a</v>
      </c>
      <c r="F291" t="str">
        <f t="shared" si="14"/>
        <v/>
      </c>
    </row>
    <row r="292" spans="1:6" x14ac:dyDescent="0.25">
      <c r="A292" s="5" t="s">
        <v>698</v>
      </c>
      <c r="B292" s="6" t="s">
        <v>699</v>
      </c>
      <c r="C292" s="6" t="s">
        <v>166</v>
      </c>
      <c r="D292" s="7" t="str">
        <f t="shared" si="12"/>
        <v>m</v>
      </c>
      <c r="E292" t="str">
        <f t="shared" si="13"/>
        <v>b</v>
      </c>
      <c r="F292" t="str">
        <f t="shared" si="14"/>
        <v/>
      </c>
    </row>
    <row r="293" spans="1:6" x14ac:dyDescent="0.25">
      <c r="A293" s="8" t="s">
        <v>700</v>
      </c>
      <c r="B293" s="9" t="s">
        <v>701</v>
      </c>
      <c r="C293" s="9" t="s">
        <v>702</v>
      </c>
      <c r="D293" s="7" t="str">
        <f t="shared" si="12"/>
        <v>k</v>
      </c>
      <c r="E293" t="str">
        <f t="shared" si="13"/>
        <v>a</v>
      </c>
      <c r="F293" t="str">
        <f t="shared" si="14"/>
        <v/>
      </c>
    </row>
    <row r="294" spans="1:6" x14ac:dyDescent="0.25">
      <c r="A294" s="5" t="s">
        <v>703</v>
      </c>
      <c r="B294" s="6" t="s">
        <v>704</v>
      </c>
      <c r="C294" s="6" t="s">
        <v>419</v>
      </c>
      <c r="D294" s="7" t="str">
        <f t="shared" si="12"/>
        <v>k</v>
      </c>
      <c r="E294" t="str">
        <f t="shared" si="13"/>
        <v>a</v>
      </c>
      <c r="F294" t="str">
        <f t="shared" si="14"/>
        <v/>
      </c>
    </row>
    <row r="295" spans="1:6" x14ac:dyDescent="0.25">
      <c r="A295" s="8" t="s">
        <v>705</v>
      </c>
      <c r="B295" s="9" t="s">
        <v>271</v>
      </c>
      <c r="C295" s="9" t="s">
        <v>78</v>
      </c>
      <c r="D295" s="7" t="str">
        <f t="shared" si="12"/>
        <v>k</v>
      </c>
      <c r="E295" t="str">
        <f t="shared" si="13"/>
        <v>a</v>
      </c>
      <c r="F295" t="str">
        <f t="shared" si="14"/>
        <v/>
      </c>
    </row>
    <row r="296" spans="1:6" x14ac:dyDescent="0.25">
      <c r="A296" s="5" t="s">
        <v>706</v>
      </c>
      <c r="B296" s="6" t="s">
        <v>707</v>
      </c>
      <c r="C296" s="6" t="s">
        <v>108</v>
      </c>
      <c r="D296" s="7" t="str">
        <f t="shared" si="12"/>
        <v>m</v>
      </c>
      <c r="E296" t="str">
        <f t="shared" si="13"/>
        <v>l</v>
      </c>
      <c r="F296" t="str">
        <f t="shared" si="14"/>
        <v/>
      </c>
    </row>
    <row r="297" spans="1:6" x14ac:dyDescent="0.25">
      <c r="A297" s="8" t="s">
        <v>708</v>
      </c>
      <c r="B297" s="9" t="s">
        <v>709</v>
      </c>
      <c r="C297" s="9" t="s">
        <v>246</v>
      </c>
      <c r="D297" s="7" t="str">
        <f t="shared" si="12"/>
        <v>m</v>
      </c>
      <c r="E297" t="str">
        <f t="shared" si="13"/>
        <v>n</v>
      </c>
      <c r="F297" t="str">
        <f t="shared" si="14"/>
        <v/>
      </c>
    </row>
    <row r="298" spans="1:6" x14ac:dyDescent="0.25">
      <c r="A298" s="5" t="s">
        <v>710</v>
      </c>
      <c r="B298" s="6" t="s">
        <v>711</v>
      </c>
      <c r="C298" s="6" t="s">
        <v>108</v>
      </c>
      <c r="D298" s="7" t="str">
        <f t="shared" si="12"/>
        <v>m</v>
      </c>
      <c r="E298" t="str">
        <f t="shared" si="13"/>
        <v>l</v>
      </c>
      <c r="F298" t="str">
        <f t="shared" si="14"/>
        <v/>
      </c>
    </row>
    <row r="299" spans="1:6" x14ac:dyDescent="0.25">
      <c r="A299" s="8" t="s">
        <v>712</v>
      </c>
      <c r="B299" s="9" t="s">
        <v>174</v>
      </c>
      <c r="C299" s="9" t="s">
        <v>219</v>
      </c>
      <c r="D299" s="7" t="str">
        <f t="shared" si="12"/>
        <v>m</v>
      </c>
      <c r="E299" t="str">
        <f t="shared" si="13"/>
        <v>z</v>
      </c>
      <c r="F299" t="str">
        <f t="shared" si="14"/>
        <v/>
      </c>
    </row>
    <row r="300" spans="1:6" x14ac:dyDescent="0.25">
      <c r="A300" s="5" t="s">
        <v>713</v>
      </c>
      <c r="B300" s="6" t="s">
        <v>714</v>
      </c>
      <c r="C300" s="6" t="s">
        <v>156</v>
      </c>
      <c r="D300" s="7" t="str">
        <f t="shared" si="12"/>
        <v>m</v>
      </c>
      <c r="E300" t="str">
        <f t="shared" si="13"/>
        <v>y</v>
      </c>
      <c r="F300" t="str">
        <f t="shared" si="14"/>
        <v/>
      </c>
    </row>
    <row r="301" spans="1:6" x14ac:dyDescent="0.25">
      <c r="A301" s="8" t="s">
        <v>715</v>
      </c>
      <c r="B301" s="9" t="s">
        <v>716</v>
      </c>
      <c r="C301" s="9" t="s">
        <v>413</v>
      </c>
      <c r="D301" s="7" t="str">
        <f t="shared" si="12"/>
        <v>k</v>
      </c>
      <c r="E301" t="str">
        <f t="shared" si="13"/>
        <v>a</v>
      </c>
      <c r="F301" t="str">
        <f t="shared" si="14"/>
        <v/>
      </c>
    </row>
    <row r="302" spans="1:6" x14ac:dyDescent="0.25">
      <c r="A302" s="5" t="s">
        <v>717</v>
      </c>
      <c r="B302" s="6" t="s">
        <v>718</v>
      </c>
      <c r="C302" s="6" t="s">
        <v>25</v>
      </c>
      <c r="D302" s="7" t="str">
        <f t="shared" si="12"/>
        <v>m</v>
      </c>
      <c r="E302" t="str">
        <f t="shared" si="13"/>
        <v>k</v>
      </c>
      <c r="F302" t="str">
        <f t="shared" si="14"/>
        <v/>
      </c>
    </row>
    <row r="303" spans="1:6" x14ac:dyDescent="0.25">
      <c r="A303" s="8" t="s">
        <v>719</v>
      </c>
      <c r="B303" s="9" t="s">
        <v>720</v>
      </c>
      <c r="C303" s="9" t="s">
        <v>721</v>
      </c>
      <c r="D303" s="7" t="str">
        <f t="shared" si="12"/>
        <v>k</v>
      </c>
      <c r="E303" t="str">
        <f t="shared" si="13"/>
        <v>a</v>
      </c>
      <c r="F303" t="str">
        <f t="shared" si="14"/>
        <v/>
      </c>
    </row>
    <row r="304" spans="1:6" x14ac:dyDescent="0.25">
      <c r="A304" s="5" t="s">
        <v>722</v>
      </c>
      <c r="B304" s="6" t="s">
        <v>723</v>
      </c>
      <c r="C304" s="6" t="s">
        <v>47</v>
      </c>
      <c r="D304" s="7" t="str">
        <f t="shared" si="12"/>
        <v>m</v>
      </c>
      <c r="E304" t="str">
        <f t="shared" si="13"/>
        <v>n</v>
      </c>
      <c r="F304" t="str">
        <f t="shared" si="14"/>
        <v/>
      </c>
    </row>
    <row r="305" spans="1:6" x14ac:dyDescent="0.25">
      <c r="A305" s="8" t="s">
        <v>724</v>
      </c>
      <c r="B305" s="9" t="s">
        <v>725</v>
      </c>
      <c r="C305" s="9" t="s">
        <v>419</v>
      </c>
      <c r="D305" s="7" t="str">
        <f t="shared" si="12"/>
        <v>k</v>
      </c>
      <c r="E305" t="str">
        <f t="shared" si="13"/>
        <v>a</v>
      </c>
      <c r="F305" t="str">
        <f t="shared" si="14"/>
        <v/>
      </c>
    </row>
    <row r="306" spans="1:6" x14ac:dyDescent="0.25">
      <c r="A306" s="5" t="s">
        <v>726</v>
      </c>
      <c r="B306" s="6" t="s">
        <v>415</v>
      </c>
      <c r="C306" s="6" t="s">
        <v>214</v>
      </c>
      <c r="D306" s="7" t="str">
        <f t="shared" si="12"/>
        <v>k</v>
      </c>
      <c r="E306" t="str">
        <f t="shared" si="13"/>
        <v>a</v>
      </c>
      <c r="F306" t="str">
        <f t="shared" si="14"/>
        <v/>
      </c>
    </row>
    <row r="307" spans="1:6" x14ac:dyDescent="0.25">
      <c r="A307" s="8" t="s">
        <v>727</v>
      </c>
      <c r="B307" s="9" t="s">
        <v>728</v>
      </c>
      <c r="C307" s="9" t="s">
        <v>729</v>
      </c>
      <c r="D307" s="7" t="str">
        <f t="shared" si="12"/>
        <v>k</v>
      </c>
      <c r="E307" t="str">
        <f t="shared" si="13"/>
        <v>a</v>
      </c>
      <c r="F307" t="str">
        <f t="shared" si="14"/>
        <v/>
      </c>
    </row>
    <row r="308" spans="1:6" x14ac:dyDescent="0.25">
      <c r="A308" s="5" t="s">
        <v>730</v>
      </c>
      <c r="B308" s="6" t="s">
        <v>731</v>
      </c>
      <c r="C308" s="6" t="s">
        <v>111</v>
      </c>
      <c r="D308" s="7" t="str">
        <f t="shared" si="12"/>
        <v>k</v>
      </c>
      <c r="E308" t="str">
        <f t="shared" si="13"/>
        <v>a</v>
      </c>
      <c r="F308" t="str">
        <f t="shared" si="14"/>
        <v/>
      </c>
    </row>
    <row r="309" spans="1:6" x14ac:dyDescent="0.25">
      <c r="A309" s="8" t="s">
        <v>732</v>
      </c>
      <c r="B309" s="9" t="s">
        <v>733</v>
      </c>
      <c r="C309" s="9" t="s">
        <v>734</v>
      </c>
      <c r="D309" s="7" t="str">
        <f t="shared" si="12"/>
        <v>m</v>
      </c>
      <c r="E309" t="str">
        <f t="shared" si="13"/>
        <v>z</v>
      </c>
      <c r="F309" t="str">
        <f t="shared" si="14"/>
        <v/>
      </c>
    </row>
    <row r="310" spans="1:6" x14ac:dyDescent="0.25">
      <c r="A310" s="5" t="s">
        <v>735</v>
      </c>
      <c r="B310" s="6" t="s">
        <v>120</v>
      </c>
      <c r="C310" s="6" t="s">
        <v>73</v>
      </c>
      <c r="D310" s="7" t="str">
        <f t="shared" si="12"/>
        <v>m</v>
      </c>
      <c r="E310" t="str">
        <f t="shared" si="13"/>
        <v>r</v>
      </c>
      <c r="F310" t="str">
        <f t="shared" si="14"/>
        <v/>
      </c>
    </row>
    <row r="311" spans="1:6" x14ac:dyDescent="0.25">
      <c r="A311" s="8" t="s">
        <v>736</v>
      </c>
      <c r="B311" s="9" t="s">
        <v>685</v>
      </c>
      <c r="C311" s="9" t="s">
        <v>219</v>
      </c>
      <c r="D311" s="7" t="str">
        <f t="shared" si="12"/>
        <v>m</v>
      </c>
      <c r="E311" t="str">
        <f t="shared" si="13"/>
        <v>z</v>
      </c>
      <c r="F311" t="str">
        <f t="shared" si="14"/>
        <v/>
      </c>
    </row>
    <row r="312" spans="1:6" x14ac:dyDescent="0.25">
      <c r="A312" s="5" t="s">
        <v>737</v>
      </c>
      <c r="B312" s="6" t="s">
        <v>738</v>
      </c>
      <c r="C312" s="6" t="s">
        <v>194</v>
      </c>
      <c r="D312" s="7" t="str">
        <f t="shared" si="12"/>
        <v>k</v>
      </c>
      <c r="E312" t="str">
        <f t="shared" si="13"/>
        <v>a</v>
      </c>
      <c r="F312" t="str">
        <f t="shared" si="14"/>
        <v/>
      </c>
    </row>
    <row r="313" spans="1:6" x14ac:dyDescent="0.25">
      <c r="A313" s="8" t="s">
        <v>739</v>
      </c>
      <c r="B313" s="9" t="s">
        <v>740</v>
      </c>
      <c r="C313" s="9" t="s">
        <v>131</v>
      </c>
      <c r="D313" s="7" t="str">
        <f t="shared" si="12"/>
        <v>k</v>
      </c>
      <c r="E313" t="str">
        <f t="shared" si="13"/>
        <v>a</v>
      </c>
      <c r="F313" t="str">
        <f t="shared" si="14"/>
        <v/>
      </c>
    </row>
    <row r="314" spans="1:6" x14ac:dyDescent="0.25">
      <c r="A314" s="5" t="s">
        <v>741</v>
      </c>
      <c r="B314" s="6" t="s">
        <v>742</v>
      </c>
      <c r="C314" s="6" t="s">
        <v>89</v>
      </c>
      <c r="D314" s="7" t="str">
        <f t="shared" si="12"/>
        <v>k</v>
      </c>
      <c r="E314" t="str">
        <f t="shared" si="13"/>
        <v>a</v>
      </c>
      <c r="F314" t="str">
        <f t="shared" si="14"/>
        <v/>
      </c>
    </row>
    <row r="315" spans="1:6" x14ac:dyDescent="0.25">
      <c r="A315" s="8" t="s">
        <v>743</v>
      </c>
      <c r="B315" s="9" t="s">
        <v>744</v>
      </c>
      <c r="C315" s="9" t="s">
        <v>241</v>
      </c>
      <c r="D315" s="7" t="str">
        <f t="shared" si="12"/>
        <v>k</v>
      </c>
      <c r="E315" t="str">
        <f t="shared" si="13"/>
        <v>a</v>
      </c>
      <c r="F315" t="str">
        <f t="shared" si="14"/>
        <v/>
      </c>
    </row>
    <row r="316" spans="1:6" x14ac:dyDescent="0.25">
      <c r="A316" s="5" t="s">
        <v>745</v>
      </c>
      <c r="B316" s="6" t="s">
        <v>746</v>
      </c>
      <c r="C316" s="6" t="s">
        <v>345</v>
      </c>
      <c r="D316" s="7" t="str">
        <f t="shared" si="12"/>
        <v>k</v>
      </c>
      <c r="E316" t="str">
        <f t="shared" si="13"/>
        <v>a</v>
      </c>
      <c r="F316" t="str">
        <f t="shared" si="14"/>
        <v/>
      </c>
    </row>
    <row r="317" spans="1:6" x14ac:dyDescent="0.25">
      <c r="A317" s="8" t="s">
        <v>747</v>
      </c>
      <c r="B317" s="9" t="s">
        <v>207</v>
      </c>
      <c r="C317" s="9" t="s">
        <v>208</v>
      </c>
      <c r="D317" s="7" t="str">
        <f t="shared" si="12"/>
        <v>m</v>
      </c>
      <c r="E317" t="str">
        <f t="shared" si="13"/>
        <v>j</v>
      </c>
      <c r="F317" t="str">
        <f t="shared" si="14"/>
        <v/>
      </c>
    </row>
    <row r="318" spans="1:6" x14ac:dyDescent="0.25">
      <c r="A318" s="5" t="s">
        <v>748</v>
      </c>
      <c r="B318" s="6" t="s">
        <v>749</v>
      </c>
      <c r="C318" s="6" t="s">
        <v>413</v>
      </c>
      <c r="D318" s="7" t="str">
        <f t="shared" si="12"/>
        <v>k</v>
      </c>
      <c r="E318" t="str">
        <f t="shared" si="13"/>
        <v>a</v>
      </c>
      <c r="F318" t="str">
        <f t="shared" si="14"/>
        <v/>
      </c>
    </row>
    <row r="319" spans="1:6" x14ac:dyDescent="0.25">
      <c r="A319" s="8" t="s">
        <v>750</v>
      </c>
      <c r="B319" s="9" t="s">
        <v>751</v>
      </c>
      <c r="C319" s="9" t="s">
        <v>416</v>
      </c>
      <c r="D319" s="7" t="str">
        <f t="shared" si="12"/>
        <v>k</v>
      </c>
      <c r="E319" t="str">
        <f t="shared" si="13"/>
        <v>a</v>
      </c>
      <c r="F319" t="str">
        <f t="shared" si="14"/>
        <v/>
      </c>
    </row>
    <row r="320" spans="1:6" x14ac:dyDescent="0.25">
      <c r="A320" s="5" t="s">
        <v>752</v>
      </c>
      <c r="B320" s="6" t="s">
        <v>753</v>
      </c>
      <c r="C320" s="6" t="s">
        <v>754</v>
      </c>
      <c r="D320" s="7" t="str">
        <f t="shared" si="12"/>
        <v>m</v>
      </c>
      <c r="E320" t="str">
        <f t="shared" si="13"/>
        <v>n</v>
      </c>
      <c r="F320" t="str">
        <f t="shared" si="14"/>
        <v/>
      </c>
    </row>
    <row r="321" spans="1:6" x14ac:dyDescent="0.25">
      <c r="A321" s="8" t="s">
        <v>755</v>
      </c>
      <c r="B321" s="9" t="s">
        <v>107</v>
      </c>
      <c r="C321" s="9" t="s">
        <v>64</v>
      </c>
      <c r="D321" s="7" t="str">
        <f t="shared" si="12"/>
        <v>m</v>
      </c>
      <c r="E321" t="str">
        <f t="shared" si="13"/>
        <v>j</v>
      </c>
      <c r="F321" t="str">
        <f t="shared" si="14"/>
        <v/>
      </c>
    </row>
    <row r="322" spans="1:6" x14ac:dyDescent="0.25">
      <c r="A322" s="5" t="s">
        <v>756</v>
      </c>
      <c r="B322" s="6" t="s">
        <v>757</v>
      </c>
      <c r="C322" s="6" t="s">
        <v>275</v>
      </c>
      <c r="D322" s="7" t="str">
        <f t="shared" ref="D322:D385" si="15">IF(MOD(LEFT(RIGHT(A322,2),1),2)=0,"k","m")</f>
        <v>k</v>
      </c>
      <c r="E322" t="str">
        <f t="shared" si="13"/>
        <v>a</v>
      </c>
      <c r="F322" t="str">
        <f t="shared" si="14"/>
        <v/>
      </c>
    </row>
    <row r="323" spans="1:6" x14ac:dyDescent="0.25">
      <c r="A323" s="8" t="s">
        <v>758</v>
      </c>
      <c r="B323" s="9" t="s">
        <v>759</v>
      </c>
      <c r="C323" s="9" t="s">
        <v>760</v>
      </c>
      <c r="D323" s="7" t="str">
        <f t="shared" si="15"/>
        <v>m</v>
      </c>
      <c r="E323" t="str">
        <f t="shared" ref="E323:E386" si="16">RIGHT(C323,1)</f>
        <v>r</v>
      </c>
      <c r="F323" t="str">
        <f t="shared" ref="F323:F386" si="17">IF(AND(E323&lt;&gt;"a",D323="k"),C323,"")</f>
        <v/>
      </c>
    </row>
    <row r="324" spans="1:6" x14ac:dyDescent="0.25">
      <c r="A324" s="5" t="s">
        <v>761</v>
      </c>
      <c r="B324" s="6" t="s">
        <v>762</v>
      </c>
      <c r="C324" s="6" t="s">
        <v>86</v>
      </c>
      <c r="D324" s="7" t="str">
        <f t="shared" si="15"/>
        <v>k</v>
      </c>
      <c r="E324" t="str">
        <f t="shared" si="16"/>
        <v>a</v>
      </c>
      <c r="F324" t="str">
        <f t="shared" si="17"/>
        <v/>
      </c>
    </row>
    <row r="325" spans="1:6" x14ac:dyDescent="0.25">
      <c r="A325" s="8" t="s">
        <v>763</v>
      </c>
      <c r="B325" s="9" t="s">
        <v>764</v>
      </c>
      <c r="C325" s="9" t="s">
        <v>323</v>
      </c>
      <c r="D325" s="7" t="str">
        <f t="shared" si="15"/>
        <v>k</v>
      </c>
      <c r="E325" t="str">
        <f t="shared" si="16"/>
        <v>a</v>
      </c>
      <c r="F325" t="str">
        <f t="shared" si="17"/>
        <v/>
      </c>
    </row>
    <row r="326" spans="1:6" x14ac:dyDescent="0.25">
      <c r="A326" s="5" t="s">
        <v>765</v>
      </c>
      <c r="B326" s="6" t="s">
        <v>766</v>
      </c>
      <c r="C326" s="6" t="s">
        <v>767</v>
      </c>
      <c r="D326" s="7" t="str">
        <f t="shared" si="15"/>
        <v>k</v>
      </c>
      <c r="E326" t="str">
        <f t="shared" si="16"/>
        <v>a</v>
      </c>
      <c r="F326" t="str">
        <f t="shared" si="17"/>
        <v/>
      </c>
    </row>
    <row r="327" spans="1:6" x14ac:dyDescent="0.25">
      <c r="A327" s="8" t="s">
        <v>768</v>
      </c>
      <c r="B327" s="9" t="s">
        <v>769</v>
      </c>
      <c r="C327" s="9" t="s">
        <v>393</v>
      </c>
      <c r="D327" s="7" t="str">
        <f t="shared" si="15"/>
        <v>k</v>
      </c>
      <c r="E327" t="str">
        <f t="shared" si="16"/>
        <v>a</v>
      </c>
      <c r="F327" t="str">
        <f t="shared" si="17"/>
        <v/>
      </c>
    </row>
    <row r="328" spans="1:6" x14ac:dyDescent="0.25">
      <c r="A328" s="5" t="s">
        <v>770</v>
      </c>
      <c r="B328" s="6" t="s">
        <v>757</v>
      </c>
      <c r="C328" s="6" t="s">
        <v>108</v>
      </c>
      <c r="D328" s="7" t="str">
        <f t="shared" si="15"/>
        <v>m</v>
      </c>
      <c r="E328" t="str">
        <f t="shared" si="16"/>
        <v>l</v>
      </c>
      <c r="F328" t="str">
        <f t="shared" si="17"/>
        <v/>
      </c>
    </row>
    <row r="329" spans="1:6" x14ac:dyDescent="0.25">
      <c r="A329" s="8" t="s">
        <v>771</v>
      </c>
      <c r="B329" s="9" t="s">
        <v>772</v>
      </c>
      <c r="C329" s="9" t="s">
        <v>485</v>
      </c>
      <c r="D329" s="7" t="str">
        <f t="shared" si="15"/>
        <v>m</v>
      </c>
      <c r="E329" t="str">
        <f t="shared" si="16"/>
        <v>m</v>
      </c>
      <c r="F329" t="str">
        <f t="shared" si="17"/>
        <v/>
      </c>
    </row>
    <row r="330" spans="1:6" x14ac:dyDescent="0.25">
      <c r="A330" s="5" t="s">
        <v>773</v>
      </c>
      <c r="B330" s="6" t="s">
        <v>774</v>
      </c>
      <c r="C330" s="6" t="s">
        <v>39</v>
      </c>
      <c r="D330" s="7" t="str">
        <f t="shared" si="15"/>
        <v>m</v>
      </c>
      <c r="E330" t="str">
        <f t="shared" si="16"/>
        <v>j</v>
      </c>
      <c r="F330" t="str">
        <f t="shared" si="17"/>
        <v/>
      </c>
    </row>
    <row r="331" spans="1:6" x14ac:dyDescent="0.25">
      <c r="A331" s="8" t="s">
        <v>775</v>
      </c>
      <c r="B331" s="9" t="s">
        <v>776</v>
      </c>
      <c r="C331" s="9" t="s">
        <v>121</v>
      </c>
      <c r="D331" s="7" t="str">
        <f t="shared" si="15"/>
        <v>m</v>
      </c>
      <c r="E331" t="str">
        <f t="shared" si="16"/>
        <v>n</v>
      </c>
      <c r="F331" t="str">
        <f t="shared" si="17"/>
        <v/>
      </c>
    </row>
    <row r="332" spans="1:6" x14ac:dyDescent="0.25">
      <c r="A332" s="5" t="s">
        <v>777</v>
      </c>
      <c r="B332" s="6" t="s">
        <v>778</v>
      </c>
      <c r="C332" s="6" t="s">
        <v>266</v>
      </c>
      <c r="D332" s="7" t="str">
        <f t="shared" si="15"/>
        <v>k</v>
      </c>
      <c r="E332" t="str">
        <f t="shared" si="16"/>
        <v>a</v>
      </c>
      <c r="F332" t="str">
        <f t="shared" si="17"/>
        <v/>
      </c>
    </row>
    <row r="333" spans="1:6" x14ac:dyDescent="0.25">
      <c r="A333" s="8" t="s">
        <v>779</v>
      </c>
      <c r="B333" s="9" t="s">
        <v>780</v>
      </c>
      <c r="C333" s="9" t="s">
        <v>111</v>
      </c>
      <c r="D333" s="7" t="str">
        <f t="shared" si="15"/>
        <v>k</v>
      </c>
      <c r="E333" t="str">
        <f t="shared" si="16"/>
        <v>a</v>
      </c>
      <c r="F333" t="str">
        <f t="shared" si="17"/>
        <v/>
      </c>
    </row>
    <row r="334" spans="1:6" x14ac:dyDescent="0.25">
      <c r="A334" s="5" t="s">
        <v>781</v>
      </c>
      <c r="B334" s="6" t="s">
        <v>782</v>
      </c>
      <c r="C334" s="6" t="s">
        <v>56</v>
      </c>
      <c r="D334" s="7" t="str">
        <f t="shared" si="15"/>
        <v>k</v>
      </c>
      <c r="E334" t="str">
        <f t="shared" si="16"/>
        <v>a</v>
      </c>
      <c r="F334" t="str">
        <f t="shared" si="17"/>
        <v/>
      </c>
    </row>
    <row r="335" spans="1:6" x14ac:dyDescent="0.25">
      <c r="A335" s="8" t="s">
        <v>783</v>
      </c>
      <c r="B335" s="9" t="s">
        <v>784</v>
      </c>
      <c r="C335" s="9" t="s">
        <v>202</v>
      </c>
      <c r="D335" s="7" t="str">
        <f t="shared" si="15"/>
        <v>m</v>
      </c>
      <c r="E335" t="str">
        <f t="shared" si="16"/>
        <v>z</v>
      </c>
      <c r="F335" t="str">
        <f t="shared" si="17"/>
        <v/>
      </c>
    </row>
    <row r="336" spans="1:6" x14ac:dyDescent="0.25">
      <c r="A336" s="5" t="s">
        <v>785</v>
      </c>
      <c r="B336" s="6" t="s">
        <v>786</v>
      </c>
      <c r="C336" s="6" t="s">
        <v>787</v>
      </c>
      <c r="D336" s="7" t="str">
        <f t="shared" si="15"/>
        <v>k</v>
      </c>
      <c r="E336" t="str">
        <f t="shared" si="16"/>
        <v>a</v>
      </c>
      <c r="F336" t="str">
        <f t="shared" si="17"/>
        <v/>
      </c>
    </row>
    <row r="337" spans="1:6" x14ac:dyDescent="0.25">
      <c r="A337" s="8" t="s">
        <v>788</v>
      </c>
      <c r="B337" s="9" t="s">
        <v>789</v>
      </c>
      <c r="C337" s="9" t="s">
        <v>345</v>
      </c>
      <c r="D337" s="7" t="str">
        <f t="shared" si="15"/>
        <v>k</v>
      </c>
      <c r="E337" t="str">
        <f t="shared" si="16"/>
        <v>a</v>
      </c>
      <c r="F337" t="str">
        <f t="shared" si="17"/>
        <v/>
      </c>
    </row>
    <row r="338" spans="1:6" x14ac:dyDescent="0.25">
      <c r="A338" s="5" t="s">
        <v>790</v>
      </c>
      <c r="B338" s="6" t="s">
        <v>791</v>
      </c>
      <c r="C338" s="6" t="s">
        <v>260</v>
      </c>
      <c r="D338" s="7" t="str">
        <f t="shared" si="15"/>
        <v>m</v>
      </c>
      <c r="E338" t="str">
        <f t="shared" si="16"/>
        <v>p</v>
      </c>
      <c r="F338" t="str">
        <f t="shared" si="17"/>
        <v/>
      </c>
    </row>
    <row r="339" spans="1:6" x14ac:dyDescent="0.25">
      <c r="A339" s="8" t="s">
        <v>792</v>
      </c>
      <c r="B339" s="9" t="s">
        <v>629</v>
      </c>
      <c r="C339" s="9" t="s">
        <v>793</v>
      </c>
      <c r="D339" s="7" t="str">
        <f t="shared" si="15"/>
        <v>m</v>
      </c>
      <c r="E339" t="str">
        <f t="shared" si="16"/>
        <v>a</v>
      </c>
      <c r="F339" t="str">
        <f t="shared" si="17"/>
        <v/>
      </c>
    </row>
    <row r="340" spans="1:6" x14ac:dyDescent="0.25">
      <c r="A340" s="5" t="s">
        <v>794</v>
      </c>
      <c r="B340" s="6" t="s">
        <v>795</v>
      </c>
      <c r="C340" s="6" t="s">
        <v>108</v>
      </c>
      <c r="D340" s="7" t="str">
        <f t="shared" si="15"/>
        <v>m</v>
      </c>
      <c r="E340" t="str">
        <f t="shared" si="16"/>
        <v>l</v>
      </c>
      <c r="F340" t="str">
        <f t="shared" si="17"/>
        <v/>
      </c>
    </row>
    <row r="341" spans="1:6" x14ac:dyDescent="0.25">
      <c r="A341" s="8" t="s">
        <v>796</v>
      </c>
      <c r="B341" s="9" t="s">
        <v>797</v>
      </c>
      <c r="C341" s="9" t="s">
        <v>78</v>
      </c>
      <c r="D341" s="7" t="str">
        <f t="shared" si="15"/>
        <v>k</v>
      </c>
      <c r="E341" t="str">
        <f t="shared" si="16"/>
        <v>a</v>
      </c>
      <c r="F341" t="str">
        <f t="shared" si="17"/>
        <v/>
      </c>
    </row>
    <row r="342" spans="1:6" x14ac:dyDescent="0.25">
      <c r="A342" s="5" t="s">
        <v>798</v>
      </c>
      <c r="B342" s="6" t="s">
        <v>799</v>
      </c>
      <c r="C342" s="6" t="s">
        <v>105</v>
      </c>
      <c r="D342" s="7" t="str">
        <f t="shared" si="15"/>
        <v>m</v>
      </c>
      <c r="E342" t="str">
        <f t="shared" si="16"/>
        <v>r</v>
      </c>
      <c r="F342" t="str">
        <f t="shared" si="17"/>
        <v/>
      </c>
    </row>
    <row r="343" spans="1:6" x14ac:dyDescent="0.25">
      <c r="A343" s="8" t="s">
        <v>800</v>
      </c>
      <c r="B343" s="9" t="s">
        <v>801</v>
      </c>
      <c r="C343" s="9" t="s">
        <v>105</v>
      </c>
      <c r="D343" s="7" t="str">
        <f t="shared" si="15"/>
        <v>m</v>
      </c>
      <c r="E343" t="str">
        <f t="shared" si="16"/>
        <v>r</v>
      </c>
      <c r="F343" t="str">
        <f t="shared" si="17"/>
        <v/>
      </c>
    </row>
    <row r="344" spans="1:6" x14ac:dyDescent="0.25">
      <c r="A344" s="5" t="s">
        <v>802</v>
      </c>
      <c r="B344" s="6" t="s">
        <v>803</v>
      </c>
      <c r="C344" s="6" t="s">
        <v>11</v>
      </c>
      <c r="D344" s="7" t="str">
        <f t="shared" si="15"/>
        <v>m</v>
      </c>
      <c r="E344" t="str">
        <f t="shared" si="16"/>
        <v>l</v>
      </c>
      <c r="F344" t="str">
        <f t="shared" si="17"/>
        <v/>
      </c>
    </row>
    <row r="345" spans="1:6" x14ac:dyDescent="0.25">
      <c r="A345" s="8" t="s">
        <v>804</v>
      </c>
      <c r="B345" s="9" t="s">
        <v>805</v>
      </c>
      <c r="C345" s="9" t="s">
        <v>359</v>
      </c>
      <c r="D345" s="7" t="str">
        <f t="shared" si="15"/>
        <v>k</v>
      </c>
      <c r="E345" t="str">
        <f t="shared" si="16"/>
        <v>a</v>
      </c>
      <c r="F345" t="str">
        <f t="shared" si="17"/>
        <v/>
      </c>
    </row>
    <row r="346" spans="1:6" x14ac:dyDescent="0.25">
      <c r="A346" s="5" t="s">
        <v>806</v>
      </c>
      <c r="B346" s="6" t="s">
        <v>807</v>
      </c>
      <c r="C346" s="6" t="s">
        <v>382</v>
      </c>
      <c r="D346" s="7" t="str">
        <f t="shared" si="15"/>
        <v>k</v>
      </c>
      <c r="E346" t="str">
        <f t="shared" si="16"/>
        <v>a</v>
      </c>
      <c r="F346" t="str">
        <f t="shared" si="17"/>
        <v/>
      </c>
    </row>
    <row r="347" spans="1:6" x14ac:dyDescent="0.25">
      <c r="A347" s="8" t="s">
        <v>808</v>
      </c>
      <c r="B347" s="9" t="s">
        <v>809</v>
      </c>
      <c r="C347" s="9" t="s">
        <v>505</v>
      </c>
      <c r="D347" s="7" t="str">
        <f t="shared" si="15"/>
        <v>m</v>
      </c>
      <c r="E347" t="str">
        <f t="shared" si="16"/>
        <v>l</v>
      </c>
      <c r="F347" t="str">
        <f t="shared" si="17"/>
        <v/>
      </c>
    </row>
    <row r="348" spans="1:6" x14ac:dyDescent="0.25">
      <c r="A348" s="5" t="s">
        <v>810</v>
      </c>
      <c r="B348" s="6" t="s">
        <v>811</v>
      </c>
      <c r="C348" s="6" t="s">
        <v>812</v>
      </c>
      <c r="D348" s="7" t="str">
        <f t="shared" si="15"/>
        <v>m</v>
      </c>
      <c r="E348" t="str">
        <f t="shared" si="16"/>
        <v>d</v>
      </c>
      <c r="F348" t="str">
        <f t="shared" si="17"/>
        <v/>
      </c>
    </row>
    <row r="349" spans="1:6" x14ac:dyDescent="0.25">
      <c r="A349" s="8" t="s">
        <v>813</v>
      </c>
      <c r="B349" s="9" t="s">
        <v>814</v>
      </c>
      <c r="C349" s="9" t="s">
        <v>92</v>
      </c>
      <c r="D349" s="7" t="str">
        <f t="shared" si="15"/>
        <v>m</v>
      </c>
      <c r="E349" t="str">
        <f t="shared" si="16"/>
        <v>r</v>
      </c>
      <c r="F349" t="str">
        <f t="shared" si="17"/>
        <v/>
      </c>
    </row>
    <row r="350" spans="1:6" x14ac:dyDescent="0.25">
      <c r="A350" s="5" t="s">
        <v>815</v>
      </c>
      <c r="B350" s="6" t="s">
        <v>816</v>
      </c>
      <c r="C350" s="6" t="s">
        <v>166</v>
      </c>
      <c r="D350" s="7" t="str">
        <f t="shared" si="15"/>
        <v>m</v>
      </c>
      <c r="E350" t="str">
        <f t="shared" si="16"/>
        <v>b</v>
      </c>
      <c r="F350" t="str">
        <f t="shared" si="17"/>
        <v/>
      </c>
    </row>
    <row r="351" spans="1:6" x14ac:dyDescent="0.25">
      <c r="A351" s="8" t="s">
        <v>817</v>
      </c>
      <c r="B351" s="9" t="s">
        <v>818</v>
      </c>
      <c r="C351" s="9" t="s">
        <v>20</v>
      </c>
      <c r="D351" s="7" t="str">
        <f t="shared" si="15"/>
        <v>m</v>
      </c>
      <c r="E351" t="str">
        <f t="shared" si="16"/>
        <v>k</v>
      </c>
      <c r="F351" t="str">
        <f t="shared" si="17"/>
        <v/>
      </c>
    </row>
    <row r="352" spans="1:6" x14ac:dyDescent="0.25">
      <c r="A352" s="5" t="s">
        <v>819</v>
      </c>
      <c r="B352" s="6" t="s">
        <v>820</v>
      </c>
      <c r="C352" s="6" t="s">
        <v>821</v>
      </c>
      <c r="D352" s="7" t="str">
        <f t="shared" si="15"/>
        <v>m</v>
      </c>
      <c r="E352" t="str">
        <f t="shared" si="16"/>
        <v>d</v>
      </c>
      <c r="F352" t="str">
        <f t="shared" si="17"/>
        <v/>
      </c>
    </row>
    <row r="353" spans="1:6" x14ac:dyDescent="0.25">
      <c r="A353" s="8" t="s">
        <v>822</v>
      </c>
      <c r="B353" s="9" t="s">
        <v>823</v>
      </c>
      <c r="C353" s="9" t="s">
        <v>824</v>
      </c>
      <c r="D353" s="7" t="str">
        <f t="shared" si="15"/>
        <v>k</v>
      </c>
      <c r="E353" t="str">
        <f t="shared" si="16"/>
        <v>a</v>
      </c>
      <c r="F353" t="str">
        <f t="shared" si="17"/>
        <v/>
      </c>
    </row>
    <row r="354" spans="1:6" x14ac:dyDescent="0.25">
      <c r="A354" s="5" t="s">
        <v>825</v>
      </c>
      <c r="B354" s="6" t="s">
        <v>826</v>
      </c>
      <c r="C354" s="6" t="s">
        <v>17</v>
      </c>
      <c r="D354" s="7" t="str">
        <f t="shared" si="15"/>
        <v>m</v>
      </c>
      <c r="E354" t="str">
        <f t="shared" si="16"/>
        <v>z</v>
      </c>
      <c r="F354" t="str">
        <f t="shared" si="17"/>
        <v/>
      </c>
    </row>
    <row r="355" spans="1:6" x14ac:dyDescent="0.25">
      <c r="A355" s="8" t="s">
        <v>827</v>
      </c>
      <c r="B355" s="9" t="s">
        <v>828</v>
      </c>
      <c r="C355" s="9" t="s">
        <v>829</v>
      </c>
      <c r="D355" s="7" t="str">
        <f t="shared" si="15"/>
        <v>k</v>
      </c>
      <c r="E355" t="str">
        <f t="shared" si="16"/>
        <v>a</v>
      </c>
      <c r="F355" t="str">
        <f t="shared" si="17"/>
        <v/>
      </c>
    </row>
    <row r="356" spans="1:6" x14ac:dyDescent="0.25">
      <c r="A356" s="5" t="s">
        <v>830</v>
      </c>
      <c r="B356" s="6" t="s">
        <v>831</v>
      </c>
      <c r="C356" s="6" t="s">
        <v>832</v>
      </c>
      <c r="D356" s="7" t="str">
        <f t="shared" si="15"/>
        <v>m</v>
      </c>
      <c r="E356" t="str">
        <f t="shared" si="16"/>
        <v>n</v>
      </c>
      <c r="F356" t="str">
        <f t="shared" si="17"/>
        <v/>
      </c>
    </row>
    <row r="357" spans="1:6" x14ac:dyDescent="0.25">
      <c r="A357" s="8" t="s">
        <v>833</v>
      </c>
      <c r="B357" s="9" t="s">
        <v>834</v>
      </c>
      <c r="C357" s="9" t="s">
        <v>61</v>
      </c>
      <c r="D357" s="7" t="str">
        <f t="shared" si="15"/>
        <v>m</v>
      </c>
      <c r="E357" t="str">
        <f t="shared" si="16"/>
        <v>r</v>
      </c>
      <c r="F357" t="str">
        <f t="shared" si="17"/>
        <v/>
      </c>
    </row>
    <row r="358" spans="1:6" x14ac:dyDescent="0.25">
      <c r="A358" s="5" t="s">
        <v>835</v>
      </c>
      <c r="B358" s="6" t="s">
        <v>836</v>
      </c>
      <c r="C358" s="6" t="s">
        <v>829</v>
      </c>
      <c r="D358" s="7" t="str">
        <f t="shared" si="15"/>
        <v>k</v>
      </c>
      <c r="E358" t="str">
        <f t="shared" si="16"/>
        <v>a</v>
      </c>
      <c r="F358" t="str">
        <f t="shared" si="17"/>
        <v/>
      </c>
    </row>
    <row r="359" spans="1:6" x14ac:dyDescent="0.25">
      <c r="A359" s="8" t="s">
        <v>837</v>
      </c>
      <c r="B359" s="9" t="s">
        <v>838</v>
      </c>
      <c r="C359" s="9" t="s">
        <v>147</v>
      </c>
      <c r="D359" s="7" t="str">
        <f t="shared" si="15"/>
        <v>k</v>
      </c>
      <c r="E359" t="str">
        <f t="shared" si="16"/>
        <v>a</v>
      </c>
      <c r="F359" t="str">
        <f t="shared" si="17"/>
        <v/>
      </c>
    </row>
    <row r="360" spans="1:6" x14ac:dyDescent="0.25">
      <c r="A360" s="5" t="s">
        <v>839</v>
      </c>
      <c r="B360" s="6" t="s">
        <v>840</v>
      </c>
      <c r="C360" s="6" t="s">
        <v>841</v>
      </c>
      <c r="D360" s="7" t="str">
        <f t="shared" si="15"/>
        <v>m</v>
      </c>
      <c r="E360" t="str">
        <f t="shared" si="16"/>
        <v>j</v>
      </c>
      <c r="F360" t="str">
        <f t="shared" si="17"/>
        <v/>
      </c>
    </row>
    <row r="361" spans="1:6" x14ac:dyDescent="0.25">
      <c r="A361" s="8" t="s">
        <v>842</v>
      </c>
      <c r="B361" s="9" t="s">
        <v>843</v>
      </c>
      <c r="C361" s="9" t="s">
        <v>841</v>
      </c>
      <c r="D361" s="7" t="str">
        <f t="shared" si="15"/>
        <v>m</v>
      </c>
      <c r="E361" t="str">
        <f t="shared" si="16"/>
        <v>j</v>
      </c>
      <c r="F361" t="str">
        <f t="shared" si="17"/>
        <v/>
      </c>
    </row>
    <row r="362" spans="1:6" x14ac:dyDescent="0.25">
      <c r="A362" s="5" t="s">
        <v>844</v>
      </c>
      <c r="B362" s="6" t="s">
        <v>845</v>
      </c>
      <c r="C362" s="6" t="s">
        <v>416</v>
      </c>
      <c r="D362" s="7" t="str">
        <f t="shared" si="15"/>
        <v>k</v>
      </c>
      <c r="E362" t="str">
        <f t="shared" si="16"/>
        <v>a</v>
      </c>
      <c r="F362" t="str">
        <f t="shared" si="17"/>
        <v/>
      </c>
    </row>
    <row r="363" spans="1:6" x14ac:dyDescent="0.25">
      <c r="A363" s="8" t="s">
        <v>846</v>
      </c>
      <c r="B363" s="9" t="s">
        <v>847</v>
      </c>
      <c r="C363" s="9" t="s">
        <v>848</v>
      </c>
      <c r="D363" s="7" t="str">
        <f t="shared" si="15"/>
        <v>m</v>
      </c>
      <c r="E363" t="str">
        <f t="shared" si="16"/>
        <v>k</v>
      </c>
      <c r="F363" t="str">
        <f t="shared" si="17"/>
        <v/>
      </c>
    </row>
    <row r="364" spans="1:6" x14ac:dyDescent="0.25">
      <c r="A364" s="5" t="s">
        <v>849</v>
      </c>
      <c r="B364" s="6" t="s">
        <v>850</v>
      </c>
      <c r="C364" s="6" t="s">
        <v>485</v>
      </c>
      <c r="D364" s="7" t="str">
        <f t="shared" si="15"/>
        <v>m</v>
      </c>
      <c r="E364" t="str">
        <f t="shared" si="16"/>
        <v>m</v>
      </c>
      <c r="F364" t="str">
        <f t="shared" si="17"/>
        <v/>
      </c>
    </row>
    <row r="365" spans="1:6" x14ac:dyDescent="0.25">
      <c r="A365" s="8" t="s">
        <v>851</v>
      </c>
      <c r="B365" s="9" t="s">
        <v>852</v>
      </c>
      <c r="C365" s="9" t="s">
        <v>121</v>
      </c>
      <c r="D365" s="7" t="str">
        <f t="shared" si="15"/>
        <v>m</v>
      </c>
      <c r="E365" t="str">
        <f t="shared" si="16"/>
        <v>n</v>
      </c>
      <c r="F365" t="str">
        <f t="shared" si="17"/>
        <v/>
      </c>
    </row>
    <row r="366" spans="1:6" x14ac:dyDescent="0.25">
      <c r="A366" s="5" t="s">
        <v>853</v>
      </c>
      <c r="B366" s="6" t="s">
        <v>854</v>
      </c>
      <c r="C366" s="6" t="s">
        <v>855</v>
      </c>
      <c r="D366" s="7" t="str">
        <f t="shared" si="15"/>
        <v>m</v>
      </c>
      <c r="E366" t="str">
        <f t="shared" si="16"/>
        <v>r</v>
      </c>
      <c r="F366" t="str">
        <f t="shared" si="17"/>
        <v/>
      </c>
    </row>
    <row r="367" spans="1:6" x14ac:dyDescent="0.25">
      <c r="A367" s="8" t="s">
        <v>856</v>
      </c>
      <c r="B367" s="9" t="s">
        <v>857</v>
      </c>
      <c r="C367" s="9" t="s">
        <v>309</v>
      </c>
      <c r="D367" s="7" t="str">
        <f t="shared" si="15"/>
        <v>k</v>
      </c>
      <c r="E367" t="str">
        <f t="shared" si="16"/>
        <v>a</v>
      </c>
      <c r="F367" t="str">
        <f t="shared" si="17"/>
        <v/>
      </c>
    </row>
    <row r="368" spans="1:6" x14ac:dyDescent="0.25">
      <c r="A368" s="5" t="s">
        <v>858</v>
      </c>
      <c r="B368" s="6" t="s">
        <v>859</v>
      </c>
      <c r="C368" s="6" t="s">
        <v>860</v>
      </c>
      <c r="D368" s="7" t="str">
        <f t="shared" si="15"/>
        <v>m</v>
      </c>
      <c r="E368" t="str">
        <f t="shared" si="16"/>
        <v>r</v>
      </c>
      <c r="F368" t="str">
        <f t="shared" si="17"/>
        <v/>
      </c>
    </row>
    <row r="369" spans="1:6" x14ac:dyDescent="0.25">
      <c r="A369" s="8" t="s">
        <v>861</v>
      </c>
      <c r="B369" s="9" t="s">
        <v>862</v>
      </c>
      <c r="C369" s="9" t="s">
        <v>73</v>
      </c>
      <c r="D369" s="7" t="str">
        <f t="shared" si="15"/>
        <v>m</v>
      </c>
      <c r="E369" t="str">
        <f t="shared" si="16"/>
        <v>r</v>
      </c>
      <c r="F369" t="str">
        <f t="shared" si="17"/>
        <v/>
      </c>
    </row>
    <row r="370" spans="1:6" x14ac:dyDescent="0.25">
      <c r="A370" s="5" t="s">
        <v>863</v>
      </c>
      <c r="B370" s="6" t="s">
        <v>864</v>
      </c>
      <c r="C370" s="6" t="s">
        <v>309</v>
      </c>
      <c r="D370" s="7" t="str">
        <f t="shared" si="15"/>
        <v>k</v>
      </c>
      <c r="E370" t="str">
        <f t="shared" si="16"/>
        <v>a</v>
      </c>
      <c r="F370" t="str">
        <f t="shared" si="17"/>
        <v/>
      </c>
    </row>
    <row r="371" spans="1:6" x14ac:dyDescent="0.25">
      <c r="A371" s="8" t="s">
        <v>865</v>
      </c>
      <c r="B371" s="9" t="s">
        <v>866</v>
      </c>
      <c r="C371" s="9" t="s">
        <v>17</v>
      </c>
      <c r="D371" s="7" t="str">
        <f t="shared" si="15"/>
        <v>m</v>
      </c>
      <c r="E371" t="str">
        <f t="shared" si="16"/>
        <v>z</v>
      </c>
      <c r="F371" t="str">
        <f t="shared" si="17"/>
        <v/>
      </c>
    </row>
    <row r="372" spans="1:6" x14ac:dyDescent="0.25">
      <c r="A372" s="5" t="s">
        <v>867</v>
      </c>
      <c r="B372" s="6" t="s">
        <v>868</v>
      </c>
      <c r="C372" s="6" t="s">
        <v>309</v>
      </c>
      <c r="D372" s="7" t="str">
        <f t="shared" si="15"/>
        <v>k</v>
      </c>
      <c r="E372" t="str">
        <f t="shared" si="16"/>
        <v>a</v>
      </c>
      <c r="F372" t="str">
        <f t="shared" si="17"/>
        <v/>
      </c>
    </row>
    <row r="373" spans="1:6" x14ac:dyDescent="0.25">
      <c r="A373" s="8" t="s">
        <v>869</v>
      </c>
      <c r="B373" s="9" t="s">
        <v>870</v>
      </c>
      <c r="C373" s="9" t="s">
        <v>260</v>
      </c>
      <c r="D373" s="7" t="str">
        <f t="shared" si="15"/>
        <v>m</v>
      </c>
      <c r="E373" t="str">
        <f t="shared" si="16"/>
        <v>p</v>
      </c>
      <c r="F373" t="str">
        <f t="shared" si="17"/>
        <v/>
      </c>
    </row>
    <row r="374" spans="1:6" x14ac:dyDescent="0.25">
      <c r="A374" s="5" t="s">
        <v>871</v>
      </c>
      <c r="B374" s="6" t="s">
        <v>872</v>
      </c>
      <c r="C374" s="6" t="s">
        <v>607</v>
      </c>
      <c r="D374" s="7" t="str">
        <f t="shared" si="15"/>
        <v>k</v>
      </c>
      <c r="E374" t="str">
        <f t="shared" si="16"/>
        <v>a</v>
      </c>
      <c r="F374" t="str">
        <f t="shared" si="17"/>
        <v/>
      </c>
    </row>
    <row r="375" spans="1:6" x14ac:dyDescent="0.25">
      <c r="A375" s="8" t="s">
        <v>873</v>
      </c>
      <c r="B375" s="9" t="s">
        <v>874</v>
      </c>
      <c r="C375" s="9" t="s">
        <v>448</v>
      </c>
      <c r="D375" s="7" t="str">
        <f t="shared" si="15"/>
        <v>k</v>
      </c>
      <c r="E375" t="str">
        <f t="shared" si="16"/>
        <v>a</v>
      </c>
      <c r="F375" t="str">
        <f t="shared" si="17"/>
        <v/>
      </c>
    </row>
    <row r="376" spans="1:6" x14ac:dyDescent="0.25">
      <c r="A376" s="5" t="s">
        <v>875</v>
      </c>
      <c r="B376" s="6" t="s">
        <v>876</v>
      </c>
      <c r="C376" s="6" t="s">
        <v>877</v>
      </c>
      <c r="D376" s="7" t="str">
        <f t="shared" si="15"/>
        <v>m</v>
      </c>
      <c r="E376" t="str">
        <f t="shared" si="16"/>
        <v>n</v>
      </c>
      <c r="F376" t="str">
        <f t="shared" si="17"/>
        <v/>
      </c>
    </row>
    <row r="377" spans="1:6" x14ac:dyDescent="0.25">
      <c r="A377" s="8" t="s">
        <v>878</v>
      </c>
      <c r="B377" s="9" t="s">
        <v>879</v>
      </c>
      <c r="C377" s="9" t="s">
        <v>880</v>
      </c>
      <c r="D377" s="7" t="str">
        <f t="shared" si="15"/>
        <v>m</v>
      </c>
      <c r="E377" t="str">
        <f t="shared" si="16"/>
        <v>s</v>
      </c>
      <c r="F377" t="str">
        <f t="shared" si="17"/>
        <v/>
      </c>
    </row>
    <row r="378" spans="1:6" x14ac:dyDescent="0.25">
      <c r="A378" s="5" t="s">
        <v>881</v>
      </c>
      <c r="B378" s="6" t="s">
        <v>882</v>
      </c>
      <c r="C378" s="6" t="s">
        <v>309</v>
      </c>
      <c r="D378" s="7" t="str">
        <f t="shared" si="15"/>
        <v>k</v>
      </c>
      <c r="E378" t="str">
        <f t="shared" si="16"/>
        <v>a</v>
      </c>
      <c r="F378" t="str">
        <f t="shared" si="17"/>
        <v/>
      </c>
    </row>
    <row r="379" spans="1:6" x14ac:dyDescent="0.25">
      <c r="A379" s="8" t="s">
        <v>883</v>
      </c>
      <c r="B379" s="9" t="s">
        <v>884</v>
      </c>
      <c r="C379" s="9" t="s">
        <v>885</v>
      </c>
      <c r="D379" s="7" t="str">
        <f t="shared" si="15"/>
        <v>k</v>
      </c>
      <c r="E379" t="str">
        <f t="shared" si="16"/>
        <v>a</v>
      </c>
      <c r="F379" t="str">
        <f t="shared" si="17"/>
        <v/>
      </c>
    </row>
    <row r="380" spans="1:6" x14ac:dyDescent="0.25">
      <c r="A380" s="5" t="s">
        <v>886</v>
      </c>
      <c r="B380" s="6" t="s">
        <v>887</v>
      </c>
      <c r="C380" s="6" t="s">
        <v>17</v>
      </c>
      <c r="D380" s="7" t="str">
        <f t="shared" si="15"/>
        <v>m</v>
      </c>
      <c r="E380" t="str">
        <f t="shared" si="16"/>
        <v>z</v>
      </c>
      <c r="F380" t="str">
        <f t="shared" si="17"/>
        <v/>
      </c>
    </row>
    <row r="381" spans="1:6" x14ac:dyDescent="0.25">
      <c r="A381" s="8" t="s">
        <v>888</v>
      </c>
      <c r="B381" s="9" t="s">
        <v>889</v>
      </c>
      <c r="C381" s="9" t="s">
        <v>359</v>
      </c>
      <c r="D381" s="7" t="str">
        <f t="shared" si="15"/>
        <v>k</v>
      </c>
      <c r="E381" t="str">
        <f t="shared" si="16"/>
        <v>a</v>
      </c>
      <c r="F381" t="str">
        <f t="shared" si="17"/>
        <v/>
      </c>
    </row>
    <row r="382" spans="1:6" x14ac:dyDescent="0.25">
      <c r="A382" s="5" t="s">
        <v>890</v>
      </c>
      <c r="B382" s="6" t="s">
        <v>891</v>
      </c>
      <c r="C382" s="6" t="s">
        <v>892</v>
      </c>
      <c r="D382" s="7" t="str">
        <f t="shared" si="15"/>
        <v>k</v>
      </c>
      <c r="E382" t="str">
        <f t="shared" si="16"/>
        <v>a</v>
      </c>
      <c r="F382" t="str">
        <f t="shared" si="17"/>
        <v/>
      </c>
    </row>
    <row r="383" spans="1:6" x14ac:dyDescent="0.25">
      <c r="A383" s="8" t="s">
        <v>893</v>
      </c>
      <c r="B383" s="9" t="s">
        <v>894</v>
      </c>
      <c r="C383" s="9" t="s">
        <v>309</v>
      </c>
      <c r="D383" s="7" t="str">
        <f t="shared" si="15"/>
        <v>k</v>
      </c>
      <c r="E383" t="str">
        <f t="shared" si="16"/>
        <v>a</v>
      </c>
      <c r="F383" t="str">
        <f t="shared" si="17"/>
        <v/>
      </c>
    </row>
    <row r="384" spans="1:6" x14ac:dyDescent="0.25">
      <c r="A384" s="5" t="s">
        <v>895</v>
      </c>
      <c r="B384" s="6" t="s">
        <v>896</v>
      </c>
      <c r="C384" s="6" t="s">
        <v>8</v>
      </c>
      <c r="D384" s="7" t="str">
        <f t="shared" si="15"/>
        <v>m</v>
      </c>
      <c r="E384" t="str">
        <f t="shared" si="16"/>
        <v>m</v>
      </c>
      <c r="F384" t="str">
        <f t="shared" si="17"/>
        <v/>
      </c>
    </row>
    <row r="385" spans="1:6" x14ac:dyDescent="0.25">
      <c r="A385" s="8" t="s">
        <v>897</v>
      </c>
      <c r="B385" s="9" t="s">
        <v>898</v>
      </c>
      <c r="C385" s="9" t="s">
        <v>11</v>
      </c>
      <c r="D385" s="7" t="str">
        <f t="shared" si="15"/>
        <v>m</v>
      </c>
      <c r="E385" t="str">
        <f t="shared" si="16"/>
        <v>l</v>
      </c>
      <c r="F385" t="str">
        <f t="shared" si="17"/>
        <v/>
      </c>
    </row>
    <row r="386" spans="1:6" x14ac:dyDescent="0.25">
      <c r="A386" s="5" t="s">
        <v>899</v>
      </c>
      <c r="B386" s="6" t="s">
        <v>900</v>
      </c>
      <c r="C386" s="6" t="s">
        <v>166</v>
      </c>
      <c r="D386" s="7" t="str">
        <f t="shared" ref="D386:D449" si="18">IF(MOD(LEFT(RIGHT(A386,2),1),2)=0,"k","m")</f>
        <v>m</v>
      </c>
      <c r="E386" t="str">
        <f t="shared" si="16"/>
        <v>b</v>
      </c>
      <c r="F386" t="str">
        <f t="shared" si="17"/>
        <v/>
      </c>
    </row>
    <row r="387" spans="1:6" x14ac:dyDescent="0.25">
      <c r="A387" s="8" t="s">
        <v>901</v>
      </c>
      <c r="B387" s="9" t="s">
        <v>902</v>
      </c>
      <c r="C387" s="9" t="s">
        <v>903</v>
      </c>
      <c r="D387" s="7" t="str">
        <f t="shared" si="18"/>
        <v>k</v>
      </c>
      <c r="E387" t="str">
        <f t="shared" ref="E387:E450" si="19">RIGHT(C387,1)</f>
        <v>a</v>
      </c>
      <c r="F387" t="str">
        <f t="shared" ref="F387:F450" si="20">IF(AND(E387&lt;&gt;"a",D387="k"),C387,"")</f>
        <v/>
      </c>
    </row>
    <row r="388" spans="1:6" x14ac:dyDescent="0.25">
      <c r="A388" s="5" t="s">
        <v>904</v>
      </c>
      <c r="B388" s="6" t="s">
        <v>905</v>
      </c>
      <c r="C388" s="6" t="s">
        <v>906</v>
      </c>
      <c r="D388" s="7" t="str">
        <f t="shared" si="18"/>
        <v>m</v>
      </c>
      <c r="E388" t="str">
        <f t="shared" si="19"/>
        <v>i</v>
      </c>
      <c r="F388" t="str">
        <f t="shared" si="20"/>
        <v/>
      </c>
    </row>
    <row r="389" spans="1:6" x14ac:dyDescent="0.25">
      <c r="A389" s="8" t="s">
        <v>907</v>
      </c>
      <c r="B389" s="9" t="s">
        <v>908</v>
      </c>
      <c r="C389" s="9" t="s">
        <v>909</v>
      </c>
      <c r="D389" s="7" t="str">
        <f t="shared" si="18"/>
        <v>m</v>
      </c>
      <c r="E389" t="str">
        <f t="shared" si="19"/>
        <v>y</v>
      </c>
      <c r="F389" t="str">
        <f t="shared" si="20"/>
        <v/>
      </c>
    </row>
    <row r="390" spans="1:6" x14ac:dyDescent="0.25">
      <c r="A390" s="5" t="s">
        <v>910</v>
      </c>
      <c r="B390" s="6" t="s">
        <v>911</v>
      </c>
      <c r="C390" s="6" t="s">
        <v>39</v>
      </c>
      <c r="D390" s="7" t="str">
        <f t="shared" si="18"/>
        <v>m</v>
      </c>
      <c r="E390" t="str">
        <f t="shared" si="19"/>
        <v>j</v>
      </c>
      <c r="F390" t="str">
        <f t="shared" si="20"/>
        <v/>
      </c>
    </row>
    <row r="391" spans="1:6" x14ac:dyDescent="0.25">
      <c r="A391" s="8" t="s">
        <v>912</v>
      </c>
      <c r="B391" s="9" t="s">
        <v>866</v>
      </c>
      <c r="C391" s="9" t="s">
        <v>17</v>
      </c>
      <c r="D391" s="7" t="str">
        <f t="shared" si="18"/>
        <v>m</v>
      </c>
      <c r="E391" t="str">
        <f t="shared" si="19"/>
        <v>z</v>
      </c>
      <c r="F391" t="str">
        <f t="shared" si="20"/>
        <v/>
      </c>
    </row>
    <row r="392" spans="1:6" x14ac:dyDescent="0.25">
      <c r="A392" s="5" t="s">
        <v>913</v>
      </c>
      <c r="B392" s="6" t="s">
        <v>914</v>
      </c>
      <c r="C392" s="6" t="s">
        <v>428</v>
      </c>
      <c r="D392" s="7" t="str">
        <f t="shared" si="18"/>
        <v>k</v>
      </c>
      <c r="E392" t="str">
        <f t="shared" si="19"/>
        <v>a</v>
      </c>
      <c r="F392" t="str">
        <f t="shared" si="20"/>
        <v/>
      </c>
    </row>
    <row r="393" spans="1:6" x14ac:dyDescent="0.25">
      <c r="A393" s="8" t="s">
        <v>915</v>
      </c>
      <c r="B393" s="9" t="s">
        <v>916</v>
      </c>
      <c r="C393" s="9" t="s">
        <v>211</v>
      </c>
      <c r="D393" s="7" t="str">
        <f t="shared" si="18"/>
        <v>k</v>
      </c>
      <c r="E393" t="str">
        <f t="shared" si="19"/>
        <v>a</v>
      </c>
      <c r="F393" t="str">
        <f t="shared" si="20"/>
        <v/>
      </c>
    </row>
    <row r="394" spans="1:6" x14ac:dyDescent="0.25">
      <c r="A394" s="5" t="s">
        <v>917</v>
      </c>
      <c r="B394" s="6" t="s">
        <v>918</v>
      </c>
      <c r="C394" s="6" t="s">
        <v>848</v>
      </c>
      <c r="D394" s="7" t="str">
        <f t="shared" si="18"/>
        <v>m</v>
      </c>
      <c r="E394" t="str">
        <f t="shared" si="19"/>
        <v>k</v>
      </c>
      <c r="F394" t="str">
        <f t="shared" si="20"/>
        <v/>
      </c>
    </row>
    <row r="395" spans="1:6" x14ac:dyDescent="0.25">
      <c r="A395" s="8" t="s">
        <v>919</v>
      </c>
      <c r="B395" s="9" t="s">
        <v>920</v>
      </c>
      <c r="C395" s="9" t="s">
        <v>309</v>
      </c>
      <c r="D395" s="7" t="str">
        <f t="shared" si="18"/>
        <v>k</v>
      </c>
      <c r="E395" t="str">
        <f t="shared" si="19"/>
        <v>a</v>
      </c>
      <c r="F395" t="str">
        <f t="shared" si="20"/>
        <v/>
      </c>
    </row>
    <row r="396" spans="1:6" x14ac:dyDescent="0.25">
      <c r="A396" s="5" t="s">
        <v>921</v>
      </c>
      <c r="B396" s="6" t="s">
        <v>350</v>
      </c>
      <c r="C396" s="6" t="s">
        <v>351</v>
      </c>
      <c r="D396" s="7" t="str">
        <f t="shared" si="18"/>
        <v>k</v>
      </c>
      <c r="E396" t="str">
        <f t="shared" si="19"/>
        <v>a</v>
      </c>
      <c r="F396" t="str">
        <f t="shared" si="20"/>
        <v/>
      </c>
    </row>
    <row r="397" spans="1:6" x14ac:dyDescent="0.25">
      <c r="A397" s="8" t="s">
        <v>922</v>
      </c>
      <c r="B397" s="9" t="s">
        <v>923</v>
      </c>
      <c r="C397" s="9" t="s">
        <v>166</v>
      </c>
      <c r="D397" s="7" t="str">
        <f t="shared" si="18"/>
        <v>m</v>
      </c>
      <c r="E397" t="str">
        <f t="shared" si="19"/>
        <v>b</v>
      </c>
      <c r="F397" t="str">
        <f t="shared" si="20"/>
        <v/>
      </c>
    </row>
    <row r="398" spans="1:6" x14ac:dyDescent="0.25">
      <c r="A398" s="5" t="s">
        <v>924</v>
      </c>
      <c r="B398" s="6" t="s">
        <v>925</v>
      </c>
      <c r="C398" s="6" t="s">
        <v>309</v>
      </c>
      <c r="D398" s="7" t="str">
        <f t="shared" si="18"/>
        <v>k</v>
      </c>
      <c r="E398" t="str">
        <f t="shared" si="19"/>
        <v>a</v>
      </c>
      <c r="F398" t="str">
        <f t="shared" si="20"/>
        <v/>
      </c>
    </row>
    <row r="399" spans="1:6" x14ac:dyDescent="0.25">
      <c r="A399" s="8" t="s">
        <v>926</v>
      </c>
      <c r="B399" s="9" t="s">
        <v>927</v>
      </c>
      <c r="C399" s="9" t="s">
        <v>260</v>
      </c>
      <c r="D399" s="7" t="str">
        <f t="shared" si="18"/>
        <v>m</v>
      </c>
      <c r="E399" t="str">
        <f t="shared" si="19"/>
        <v>p</v>
      </c>
      <c r="F399" t="str">
        <f t="shared" si="20"/>
        <v/>
      </c>
    </row>
    <row r="400" spans="1:6" x14ac:dyDescent="0.25">
      <c r="A400" s="5" t="s">
        <v>928</v>
      </c>
      <c r="B400" s="6" t="s">
        <v>929</v>
      </c>
      <c r="C400" s="6" t="s">
        <v>39</v>
      </c>
      <c r="D400" s="7" t="str">
        <f t="shared" si="18"/>
        <v>m</v>
      </c>
      <c r="E400" t="str">
        <f t="shared" si="19"/>
        <v>j</v>
      </c>
      <c r="F400" t="str">
        <f t="shared" si="20"/>
        <v/>
      </c>
    </row>
    <row r="401" spans="1:6" x14ac:dyDescent="0.25">
      <c r="A401" s="8" t="s">
        <v>930</v>
      </c>
      <c r="B401" s="9" t="s">
        <v>931</v>
      </c>
      <c r="C401" s="9" t="s">
        <v>485</v>
      </c>
      <c r="D401" s="7" t="str">
        <f t="shared" si="18"/>
        <v>m</v>
      </c>
      <c r="E401" t="str">
        <f t="shared" si="19"/>
        <v>m</v>
      </c>
      <c r="F401" t="str">
        <f t="shared" si="20"/>
        <v/>
      </c>
    </row>
    <row r="402" spans="1:6" x14ac:dyDescent="0.25">
      <c r="A402" s="5" t="s">
        <v>932</v>
      </c>
      <c r="B402" s="6" t="s">
        <v>933</v>
      </c>
      <c r="C402" s="6" t="s">
        <v>166</v>
      </c>
      <c r="D402" s="7" t="str">
        <f t="shared" si="18"/>
        <v>m</v>
      </c>
      <c r="E402" t="str">
        <f t="shared" si="19"/>
        <v>b</v>
      </c>
      <c r="F402" t="str">
        <f t="shared" si="20"/>
        <v/>
      </c>
    </row>
    <row r="403" spans="1:6" x14ac:dyDescent="0.25">
      <c r="A403" s="8" t="s">
        <v>934</v>
      </c>
      <c r="B403" s="9" t="s">
        <v>935</v>
      </c>
      <c r="C403" s="9" t="s">
        <v>936</v>
      </c>
      <c r="D403" s="7" t="str">
        <f t="shared" si="18"/>
        <v>m</v>
      </c>
      <c r="E403" t="str">
        <f t="shared" si="19"/>
        <v>k</v>
      </c>
      <c r="F403" t="str">
        <f t="shared" si="20"/>
        <v/>
      </c>
    </row>
    <row r="404" spans="1:6" x14ac:dyDescent="0.25">
      <c r="A404" s="5" t="s">
        <v>937</v>
      </c>
      <c r="B404" s="6" t="s">
        <v>938</v>
      </c>
      <c r="C404" s="6" t="s">
        <v>266</v>
      </c>
      <c r="D404" s="7" t="str">
        <f t="shared" si="18"/>
        <v>k</v>
      </c>
      <c r="E404" t="str">
        <f t="shared" si="19"/>
        <v>a</v>
      </c>
      <c r="F404" t="str">
        <f t="shared" si="20"/>
        <v/>
      </c>
    </row>
    <row r="405" spans="1:6" x14ac:dyDescent="0.25">
      <c r="A405" s="8" t="s">
        <v>939</v>
      </c>
      <c r="B405" s="9" t="s">
        <v>940</v>
      </c>
      <c r="C405" s="9" t="s">
        <v>485</v>
      </c>
      <c r="D405" s="7" t="str">
        <f t="shared" si="18"/>
        <v>m</v>
      </c>
      <c r="E405" t="str">
        <f t="shared" si="19"/>
        <v>m</v>
      </c>
      <c r="F405" t="str">
        <f t="shared" si="20"/>
        <v/>
      </c>
    </row>
    <row r="406" spans="1:6" x14ac:dyDescent="0.25">
      <c r="A406" s="5" t="s">
        <v>941</v>
      </c>
      <c r="B406" s="6" t="s">
        <v>942</v>
      </c>
      <c r="C406" s="6" t="s">
        <v>166</v>
      </c>
      <c r="D406" s="7" t="str">
        <f t="shared" si="18"/>
        <v>m</v>
      </c>
      <c r="E406" t="str">
        <f t="shared" si="19"/>
        <v>b</v>
      </c>
      <c r="F406" t="str">
        <f t="shared" si="20"/>
        <v/>
      </c>
    </row>
    <row r="407" spans="1:6" x14ac:dyDescent="0.25">
      <c r="A407" s="8" t="s">
        <v>943</v>
      </c>
      <c r="B407" s="9" t="s">
        <v>944</v>
      </c>
      <c r="C407" s="9" t="s">
        <v>448</v>
      </c>
      <c r="D407" s="7" t="str">
        <f t="shared" si="18"/>
        <v>k</v>
      </c>
      <c r="E407" t="str">
        <f t="shared" si="19"/>
        <v>a</v>
      </c>
      <c r="F407" t="str">
        <f t="shared" si="20"/>
        <v/>
      </c>
    </row>
    <row r="408" spans="1:6" x14ac:dyDescent="0.25">
      <c r="A408" s="5" t="s">
        <v>945</v>
      </c>
      <c r="B408" s="6" t="s">
        <v>946</v>
      </c>
      <c r="C408" s="6" t="s">
        <v>754</v>
      </c>
      <c r="D408" s="7" t="str">
        <f t="shared" si="18"/>
        <v>m</v>
      </c>
      <c r="E408" t="str">
        <f t="shared" si="19"/>
        <v>n</v>
      </c>
      <c r="F408" t="str">
        <f t="shared" si="20"/>
        <v/>
      </c>
    </row>
    <row r="409" spans="1:6" x14ac:dyDescent="0.25">
      <c r="A409" s="8" t="s">
        <v>947</v>
      </c>
      <c r="B409" s="9" t="s">
        <v>948</v>
      </c>
      <c r="C409" s="9" t="s">
        <v>607</v>
      </c>
      <c r="D409" s="7" t="str">
        <f t="shared" si="18"/>
        <v>k</v>
      </c>
      <c r="E409" t="str">
        <f t="shared" si="19"/>
        <v>a</v>
      </c>
      <c r="F409" t="str">
        <f t="shared" si="20"/>
        <v/>
      </c>
    </row>
    <row r="410" spans="1:6" x14ac:dyDescent="0.25">
      <c r="A410" s="5" t="s">
        <v>949</v>
      </c>
      <c r="B410" s="6" t="s">
        <v>950</v>
      </c>
      <c r="C410" s="6" t="s">
        <v>951</v>
      </c>
      <c r="D410" s="7" t="str">
        <f t="shared" si="18"/>
        <v>k</v>
      </c>
      <c r="E410" t="str">
        <f t="shared" si="19"/>
        <v>a</v>
      </c>
      <c r="F410" t="str">
        <f t="shared" si="20"/>
        <v/>
      </c>
    </row>
    <row r="411" spans="1:6" x14ac:dyDescent="0.25">
      <c r="A411" s="8" t="s">
        <v>952</v>
      </c>
      <c r="B411" s="9" t="s">
        <v>953</v>
      </c>
      <c r="C411" s="9" t="s">
        <v>73</v>
      </c>
      <c r="D411" s="7" t="str">
        <f t="shared" si="18"/>
        <v>m</v>
      </c>
      <c r="E411" t="str">
        <f t="shared" si="19"/>
        <v>r</v>
      </c>
      <c r="F411" t="str">
        <f t="shared" si="20"/>
        <v/>
      </c>
    </row>
    <row r="412" spans="1:6" x14ac:dyDescent="0.25">
      <c r="A412" s="5" t="s">
        <v>954</v>
      </c>
      <c r="B412" s="6" t="s">
        <v>955</v>
      </c>
      <c r="C412" s="6" t="s">
        <v>89</v>
      </c>
      <c r="D412" s="7" t="str">
        <f t="shared" si="18"/>
        <v>k</v>
      </c>
      <c r="E412" t="str">
        <f t="shared" si="19"/>
        <v>a</v>
      </c>
      <c r="F412" t="str">
        <f t="shared" si="20"/>
        <v/>
      </c>
    </row>
    <row r="413" spans="1:6" x14ac:dyDescent="0.25">
      <c r="A413" s="8" t="s">
        <v>956</v>
      </c>
      <c r="B413" s="9" t="s">
        <v>957</v>
      </c>
      <c r="C413" s="9" t="s">
        <v>448</v>
      </c>
      <c r="D413" s="7" t="str">
        <f t="shared" si="18"/>
        <v>k</v>
      </c>
      <c r="E413" t="str">
        <f t="shared" si="19"/>
        <v>a</v>
      </c>
      <c r="F413" t="str">
        <f t="shared" si="20"/>
        <v/>
      </c>
    </row>
    <row r="414" spans="1:6" x14ac:dyDescent="0.25">
      <c r="A414" s="5" t="s">
        <v>958</v>
      </c>
      <c r="B414" s="6" t="s">
        <v>207</v>
      </c>
      <c r="C414" s="6" t="s">
        <v>906</v>
      </c>
      <c r="D414" s="7" t="str">
        <f t="shared" si="18"/>
        <v>m</v>
      </c>
      <c r="E414" t="str">
        <f t="shared" si="19"/>
        <v>i</v>
      </c>
      <c r="F414" t="str">
        <f t="shared" si="20"/>
        <v/>
      </c>
    </row>
    <row r="415" spans="1:6" x14ac:dyDescent="0.25">
      <c r="A415" s="8" t="s">
        <v>959</v>
      </c>
      <c r="B415" s="9" t="s">
        <v>960</v>
      </c>
      <c r="C415" s="9" t="s">
        <v>464</v>
      </c>
      <c r="D415" s="7" t="str">
        <f t="shared" si="18"/>
        <v>m</v>
      </c>
      <c r="E415" t="str">
        <f t="shared" si="19"/>
        <v>n</v>
      </c>
      <c r="F415" t="str">
        <f t="shared" si="20"/>
        <v/>
      </c>
    </row>
    <row r="416" spans="1:6" x14ac:dyDescent="0.25">
      <c r="A416" s="5" t="s">
        <v>961</v>
      </c>
      <c r="B416" s="6" t="s">
        <v>962</v>
      </c>
      <c r="C416" s="6" t="s">
        <v>428</v>
      </c>
      <c r="D416" s="7" t="str">
        <f t="shared" si="18"/>
        <v>k</v>
      </c>
      <c r="E416" t="str">
        <f t="shared" si="19"/>
        <v>a</v>
      </c>
      <c r="F416" t="str">
        <f t="shared" si="20"/>
        <v/>
      </c>
    </row>
    <row r="417" spans="1:6" x14ac:dyDescent="0.25">
      <c r="A417" s="8" t="s">
        <v>963</v>
      </c>
      <c r="B417" s="9" t="s">
        <v>964</v>
      </c>
      <c r="C417" s="9" t="s">
        <v>464</v>
      </c>
      <c r="D417" s="7" t="str">
        <f t="shared" si="18"/>
        <v>m</v>
      </c>
      <c r="E417" t="str">
        <f t="shared" si="19"/>
        <v>n</v>
      </c>
      <c r="F417" t="str">
        <f t="shared" si="20"/>
        <v/>
      </c>
    </row>
    <row r="418" spans="1:6" x14ac:dyDescent="0.25">
      <c r="A418" s="5" t="s">
        <v>965</v>
      </c>
      <c r="B418" s="6" t="s">
        <v>966</v>
      </c>
      <c r="C418" s="6" t="s">
        <v>382</v>
      </c>
      <c r="D418" s="7" t="str">
        <f t="shared" si="18"/>
        <v>k</v>
      </c>
      <c r="E418" t="str">
        <f t="shared" si="19"/>
        <v>a</v>
      </c>
      <c r="F418" t="str">
        <f t="shared" si="20"/>
        <v/>
      </c>
    </row>
    <row r="419" spans="1:6" x14ac:dyDescent="0.25">
      <c r="A419" s="8" t="s">
        <v>967</v>
      </c>
      <c r="B419" s="9" t="s">
        <v>968</v>
      </c>
      <c r="C419" s="9" t="s">
        <v>73</v>
      </c>
      <c r="D419" s="7" t="str">
        <f t="shared" si="18"/>
        <v>m</v>
      </c>
      <c r="E419" t="str">
        <f t="shared" si="19"/>
        <v>r</v>
      </c>
      <c r="F419" t="str">
        <f t="shared" si="20"/>
        <v/>
      </c>
    </row>
    <row r="420" spans="1:6" x14ac:dyDescent="0.25">
      <c r="A420" s="5" t="s">
        <v>969</v>
      </c>
      <c r="B420" s="6" t="s">
        <v>970</v>
      </c>
      <c r="C420" s="6" t="s">
        <v>89</v>
      </c>
      <c r="D420" s="7" t="str">
        <f t="shared" si="18"/>
        <v>k</v>
      </c>
      <c r="E420" t="str">
        <f t="shared" si="19"/>
        <v>a</v>
      </c>
      <c r="F420" t="str">
        <f t="shared" si="20"/>
        <v/>
      </c>
    </row>
    <row r="421" spans="1:6" x14ac:dyDescent="0.25">
      <c r="A421" s="8" t="s">
        <v>971</v>
      </c>
      <c r="B421" s="9" t="s">
        <v>972</v>
      </c>
      <c r="C421" s="9" t="s">
        <v>973</v>
      </c>
      <c r="D421" s="7" t="str">
        <f t="shared" si="18"/>
        <v>k</v>
      </c>
      <c r="E421" t="str">
        <f t="shared" si="19"/>
        <v>a</v>
      </c>
      <c r="F421" t="str">
        <f t="shared" si="20"/>
        <v/>
      </c>
    </row>
    <row r="422" spans="1:6" x14ac:dyDescent="0.25">
      <c r="A422" s="5" t="s">
        <v>974</v>
      </c>
      <c r="B422" s="6" t="s">
        <v>171</v>
      </c>
      <c r="C422" s="6" t="s">
        <v>105</v>
      </c>
      <c r="D422" s="7" t="str">
        <f t="shared" si="18"/>
        <v>m</v>
      </c>
      <c r="E422" t="str">
        <f t="shared" si="19"/>
        <v>r</v>
      </c>
      <c r="F422" t="str">
        <f t="shared" si="20"/>
        <v/>
      </c>
    </row>
    <row r="423" spans="1:6" x14ac:dyDescent="0.25">
      <c r="A423" s="8" t="s">
        <v>975</v>
      </c>
      <c r="B423" s="9" t="s">
        <v>976</v>
      </c>
      <c r="C423" s="9" t="s">
        <v>39</v>
      </c>
      <c r="D423" s="7" t="str">
        <f t="shared" si="18"/>
        <v>m</v>
      </c>
      <c r="E423" t="str">
        <f t="shared" si="19"/>
        <v>j</v>
      </c>
      <c r="F423" t="str">
        <f t="shared" si="20"/>
        <v/>
      </c>
    </row>
    <row r="424" spans="1:6" x14ac:dyDescent="0.25">
      <c r="A424" s="5" t="s">
        <v>977</v>
      </c>
      <c r="B424" s="6" t="s">
        <v>978</v>
      </c>
      <c r="C424" s="6" t="s">
        <v>979</v>
      </c>
      <c r="D424" s="7" t="str">
        <f t="shared" si="18"/>
        <v>k</v>
      </c>
      <c r="E424" t="str">
        <f t="shared" si="19"/>
        <v>a</v>
      </c>
      <c r="F424" t="str">
        <f t="shared" si="20"/>
        <v/>
      </c>
    </row>
    <row r="425" spans="1:6" x14ac:dyDescent="0.25">
      <c r="A425" s="8" t="s">
        <v>980</v>
      </c>
      <c r="B425" s="9" t="s">
        <v>981</v>
      </c>
      <c r="C425" s="9" t="s">
        <v>226</v>
      </c>
      <c r="D425" s="7" t="str">
        <f t="shared" si="18"/>
        <v>k</v>
      </c>
      <c r="E425" t="str">
        <f t="shared" si="19"/>
        <v>a</v>
      </c>
      <c r="F425" t="str">
        <f t="shared" si="20"/>
        <v/>
      </c>
    </row>
    <row r="426" spans="1:6" x14ac:dyDescent="0.25">
      <c r="A426" s="5" t="s">
        <v>982</v>
      </c>
      <c r="B426" s="6" t="s">
        <v>983</v>
      </c>
      <c r="C426" s="6" t="s">
        <v>979</v>
      </c>
      <c r="D426" s="7" t="str">
        <f t="shared" si="18"/>
        <v>k</v>
      </c>
      <c r="E426" t="str">
        <f t="shared" si="19"/>
        <v>a</v>
      </c>
      <c r="F426" t="str">
        <f t="shared" si="20"/>
        <v/>
      </c>
    </row>
    <row r="427" spans="1:6" x14ac:dyDescent="0.25">
      <c r="A427" s="8" t="s">
        <v>984</v>
      </c>
      <c r="B427" s="9" t="s">
        <v>985</v>
      </c>
      <c r="C427" s="9" t="s">
        <v>260</v>
      </c>
      <c r="D427" s="7" t="str">
        <f t="shared" si="18"/>
        <v>m</v>
      </c>
      <c r="E427" t="str">
        <f t="shared" si="19"/>
        <v>p</v>
      </c>
      <c r="F427" t="str">
        <f t="shared" si="20"/>
        <v/>
      </c>
    </row>
    <row r="428" spans="1:6" x14ac:dyDescent="0.25">
      <c r="A428" s="5" t="s">
        <v>986</v>
      </c>
      <c r="B428" s="6" t="s">
        <v>987</v>
      </c>
      <c r="C428" s="6" t="s">
        <v>309</v>
      </c>
      <c r="D428" s="7" t="str">
        <f t="shared" si="18"/>
        <v>k</v>
      </c>
      <c r="E428" t="str">
        <f t="shared" si="19"/>
        <v>a</v>
      </c>
      <c r="F428" t="str">
        <f t="shared" si="20"/>
        <v/>
      </c>
    </row>
    <row r="429" spans="1:6" x14ac:dyDescent="0.25">
      <c r="A429" s="8" t="s">
        <v>988</v>
      </c>
      <c r="B429" s="9" t="s">
        <v>989</v>
      </c>
      <c r="C429" s="9" t="s">
        <v>419</v>
      </c>
      <c r="D429" s="7" t="str">
        <f t="shared" si="18"/>
        <v>k</v>
      </c>
      <c r="E429" t="str">
        <f t="shared" si="19"/>
        <v>a</v>
      </c>
      <c r="F429" t="str">
        <f t="shared" si="20"/>
        <v/>
      </c>
    </row>
    <row r="430" spans="1:6" x14ac:dyDescent="0.25">
      <c r="A430" s="5" t="s">
        <v>990</v>
      </c>
      <c r="B430" s="6" t="s">
        <v>218</v>
      </c>
      <c r="C430" s="6" t="s">
        <v>166</v>
      </c>
      <c r="D430" s="7" t="str">
        <f t="shared" si="18"/>
        <v>m</v>
      </c>
      <c r="E430" t="str">
        <f t="shared" si="19"/>
        <v>b</v>
      </c>
      <c r="F430" t="str">
        <f t="shared" si="20"/>
        <v/>
      </c>
    </row>
    <row r="431" spans="1:6" x14ac:dyDescent="0.25">
      <c r="A431" s="8" t="s">
        <v>991</v>
      </c>
      <c r="B431" s="9" t="s">
        <v>992</v>
      </c>
      <c r="C431" s="9" t="s">
        <v>567</v>
      </c>
      <c r="D431" s="7" t="str">
        <f t="shared" si="18"/>
        <v>m</v>
      </c>
      <c r="E431" t="str">
        <f t="shared" si="19"/>
        <v>l</v>
      </c>
      <c r="F431" t="str">
        <f t="shared" si="20"/>
        <v/>
      </c>
    </row>
    <row r="432" spans="1:6" x14ac:dyDescent="0.25">
      <c r="A432" s="5" t="s">
        <v>993</v>
      </c>
      <c r="B432" s="6" t="s">
        <v>994</v>
      </c>
      <c r="C432" s="6" t="s">
        <v>419</v>
      </c>
      <c r="D432" s="7" t="str">
        <f t="shared" si="18"/>
        <v>k</v>
      </c>
      <c r="E432" t="str">
        <f t="shared" si="19"/>
        <v>a</v>
      </c>
      <c r="F432" t="str">
        <f t="shared" si="20"/>
        <v/>
      </c>
    </row>
    <row r="433" spans="1:6" x14ac:dyDescent="0.25">
      <c r="A433" s="8" t="s">
        <v>995</v>
      </c>
      <c r="B433" s="9" t="s">
        <v>996</v>
      </c>
      <c r="C433" s="9" t="s">
        <v>28</v>
      </c>
      <c r="D433" s="7" t="str">
        <f t="shared" si="18"/>
        <v>m</v>
      </c>
      <c r="E433" t="str">
        <f t="shared" si="19"/>
        <v>o</v>
      </c>
      <c r="F433" t="str">
        <f t="shared" si="20"/>
        <v/>
      </c>
    </row>
    <row r="434" spans="1:6" x14ac:dyDescent="0.25">
      <c r="A434" s="5" t="s">
        <v>997</v>
      </c>
      <c r="B434" s="6" t="s">
        <v>998</v>
      </c>
      <c r="C434" s="6" t="s">
        <v>260</v>
      </c>
      <c r="D434" s="7" t="str">
        <f t="shared" si="18"/>
        <v>m</v>
      </c>
      <c r="E434" t="str">
        <f t="shared" si="19"/>
        <v>p</v>
      </c>
      <c r="F434" t="str">
        <f t="shared" si="20"/>
        <v/>
      </c>
    </row>
    <row r="435" spans="1:6" x14ac:dyDescent="0.25">
      <c r="A435" s="8" t="s">
        <v>999</v>
      </c>
      <c r="B435" s="9" t="s">
        <v>1000</v>
      </c>
      <c r="C435" s="9" t="s">
        <v>284</v>
      </c>
      <c r="D435" s="7" t="str">
        <f t="shared" si="18"/>
        <v>k</v>
      </c>
      <c r="E435" t="str">
        <f t="shared" si="19"/>
        <v>a</v>
      </c>
      <c r="F435" t="str">
        <f t="shared" si="20"/>
        <v/>
      </c>
    </row>
    <row r="436" spans="1:6" x14ac:dyDescent="0.25">
      <c r="A436" s="5" t="s">
        <v>1001</v>
      </c>
      <c r="B436" s="6" t="s">
        <v>1002</v>
      </c>
      <c r="C436" s="6" t="s">
        <v>1003</v>
      </c>
      <c r="D436" s="7" t="str">
        <f t="shared" si="18"/>
        <v>k</v>
      </c>
      <c r="E436" t="str">
        <f t="shared" si="19"/>
        <v>a</v>
      </c>
      <c r="F436" t="str">
        <f t="shared" si="20"/>
        <v/>
      </c>
    </row>
    <row r="437" spans="1:6" x14ac:dyDescent="0.25">
      <c r="A437" s="8" t="s">
        <v>1004</v>
      </c>
      <c r="B437" s="9" t="s">
        <v>1005</v>
      </c>
      <c r="C437" s="9" t="s">
        <v>260</v>
      </c>
      <c r="D437" s="7" t="str">
        <f t="shared" si="18"/>
        <v>m</v>
      </c>
      <c r="E437" t="str">
        <f t="shared" si="19"/>
        <v>p</v>
      </c>
      <c r="F437" t="str">
        <f t="shared" si="20"/>
        <v/>
      </c>
    </row>
    <row r="438" spans="1:6" x14ac:dyDescent="0.25">
      <c r="A438" s="5" t="s">
        <v>1006</v>
      </c>
      <c r="B438" s="6" t="s">
        <v>1007</v>
      </c>
      <c r="C438" s="6" t="s">
        <v>263</v>
      </c>
      <c r="D438" s="7" t="str">
        <f t="shared" si="18"/>
        <v>k</v>
      </c>
      <c r="E438" t="str">
        <f t="shared" si="19"/>
        <v>a</v>
      </c>
      <c r="F438" t="str">
        <f t="shared" si="20"/>
        <v/>
      </c>
    </row>
    <row r="439" spans="1:6" x14ac:dyDescent="0.25">
      <c r="A439" s="8" t="s">
        <v>1008</v>
      </c>
      <c r="B439" s="9" t="s">
        <v>1009</v>
      </c>
      <c r="C439" s="9" t="s">
        <v>1010</v>
      </c>
      <c r="D439" s="7" t="str">
        <f t="shared" si="18"/>
        <v>k</v>
      </c>
      <c r="E439" t="str">
        <f t="shared" si="19"/>
        <v>a</v>
      </c>
      <c r="F439" t="str">
        <f t="shared" si="20"/>
        <v/>
      </c>
    </row>
    <row r="440" spans="1:6" x14ac:dyDescent="0.25">
      <c r="A440" s="5" t="s">
        <v>1011</v>
      </c>
      <c r="B440" s="6" t="s">
        <v>1012</v>
      </c>
      <c r="C440" s="6" t="s">
        <v>111</v>
      </c>
      <c r="D440" s="7" t="str">
        <f t="shared" si="18"/>
        <v>k</v>
      </c>
      <c r="E440" t="str">
        <f t="shared" si="19"/>
        <v>a</v>
      </c>
      <c r="F440" t="str">
        <f t="shared" si="20"/>
        <v/>
      </c>
    </row>
    <row r="441" spans="1:6" x14ac:dyDescent="0.25">
      <c r="A441" s="8" t="s">
        <v>1013</v>
      </c>
      <c r="B441" s="9" t="s">
        <v>1014</v>
      </c>
      <c r="C441" s="9" t="s">
        <v>936</v>
      </c>
      <c r="D441" s="7" t="str">
        <f t="shared" si="18"/>
        <v>m</v>
      </c>
      <c r="E441" t="str">
        <f t="shared" si="19"/>
        <v>k</v>
      </c>
      <c r="F441" t="str">
        <f t="shared" si="20"/>
        <v/>
      </c>
    </row>
    <row r="442" spans="1:6" x14ac:dyDescent="0.25">
      <c r="A442" s="5" t="s">
        <v>1015</v>
      </c>
      <c r="B442" s="6" t="s">
        <v>1016</v>
      </c>
      <c r="C442" s="6" t="s">
        <v>1017</v>
      </c>
      <c r="D442" s="7" t="str">
        <f t="shared" si="18"/>
        <v>k</v>
      </c>
      <c r="E442" t="str">
        <f t="shared" si="19"/>
        <v>s</v>
      </c>
      <c r="F442" t="str">
        <f t="shared" si="20"/>
        <v>Ines</v>
      </c>
    </row>
    <row r="443" spans="1:6" x14ac:dyDescent="0.25">
      <c r="A443" s="8" t="s">
        <v>1018</v>
      </c>
      <c r="B443" s="9" t="s">
        <v>1019</v>
      </c>
      <c r="C443" s="9" t="s">
        <v>1020</v>
      </c>
      <c r="D443" s="7" t="str">
        <f t="shared" si="18"/>
        <v>k</v>
      </c>
      <c r="E443" t="str">
        <f t="shared" si="19"/>
        <v>s</v>
      </c>
      <c r="F443" t="str">
        <f t="shared" si="20"/>
        <v>Doris</v>
      </c>
    </row>
    <row r="444" spans="1:6" x14ac:dyDescent="0.25">
      <c r="A444" s="5" t="s">
        <v>1021</v>
      </c>
      <c r="B444" s="6" t="s">
        <v>1022</v>
      </c>
      <c r="C444" s="6" t="s">
        <v>419</v>
      </c>
      <c r="D444" s="7" t="str">
        <f t="shared" si="18"/>
        <v>k</v>
      </c>
      <c r="E444" t="str">
        <f t="shared" si="19"/>
        <v>a</v>
      </c>
      <c r="F444" t="str">
        <f t="shared" si="20"/>
        <v/>
      </c>
    </row>
    <row r="445" spans="1:6" x14ac:dyDescent="0.25">
      <c r="A445" s="8" t="s">
        <v>1023</v>
      </c>
      <c r="B445" s="9" t="s">
        <v>1024</v>
      </c>
      <c r="C445" s="9" t="s">
        <v>166</v>
      </c>
      <c r="D445" s="7" t="str">
        <f t="shared" si="18"/>
        <v>m</v>
      </c>
      <c r="E445" t="str">
        <f t="shared" si="19"/>
        <v>b</v>
      </c>
      <c r="F445" t="str">
        <f t="shared" si="20"/>
        <v/>
      </c>
    </row>
    <row r="446" spans="1:6" x14ac:dyDescent="0.25">
      <c r="A446" s="5" t="s">
        <v>1025</v>
      </c>
      <c r="B446" s="6" t="s">
        <v>1026</v>
      </c>
      <c r="C446" s="6" t="s">
        <v>275</v>
      </c>
      <c r="D446" s="7" t="str">
        <f t="shared" si="18"/>
        <v>k</v>
      </c>
      <c r="E446" t="str">
        <f t="shared" si="19"/>
        <v>a</v>
      </c>
      <c r="F446" t="str">
        <f t="shared" si="20"/>
        <v/>
      </c>
    </row>
    <row r="447" spans="1:6" x14ac:dyDescent="0.25">
      <c r="A447" s="8" t="s">
        <v>1027</v>
      </c>
      <c r="B447" s="9" t="s">
        <v>1028</v>
      </c>
      <c r="C447" s="9" t="s">
        <v>20</v>
      </c>
      <c r="D447" s="7" t="str">
        <f t="shared" si="18"/>
        <v>m</v>
      </c>
      <c r="E447" t="str">
        <f t="shared" si="19"/>
        <v>k</v>
      </c>
      <c r="F447" t="str">
        <f t="shared" si="20"/>
        <v/>
      </c>
    </row>
    <row r="448" spans="1:6" x14ac:dyDescent="0.25">
      <c r="A448" s="5" t="s">
        <v>1029</v>
      </c>
      <c r="B448" s="6" t="s">
        <v>1030</v>
      </c>
      <c r="C448" s="6" t="s">
        <v>1031</v>
      </c>
      <c r="D448" s="7" t="str">
        <f t="shared" si="18"/>
        <v>k</v>
      </c>
      <c r="E448" t="str">
        <f t="shared" si="19"/>
        <v>a</v>
      </c>
      <c r="F448" t="str">
        <f t="shared" si="20"/>
        <v/>
      </c>
    </row>
    <row r="449" spans="1:6" x14ac:dyDescent="0.25">
      <c r="A449" s="8" t="s">
        <v>1032</v>
      </c>
      <c r="B449" s="9" t="s">
        <v>1033</v>
      </c>
      <c r="C449" s="9" t="s">
        <v>266</v>
      </c>
      <c r="D449" s="7" t="str">
        <f t="shared" si="18"/>
        <v>k</v>
      </c>
      <c r="E449" t="str">
        <f t="shared" si="19"/>
        <v>a</v>
      </c>
      <c r="F449" t="str">
        <f t="shared" si="20"/>
        <v/>
      </c>
    </row>
    <row r="450" spans="1:6" x14ac:dyDescent="0.25">
      <c r="A450" s="5" t="s">
        <v>1034</v>
      </c>
      <c r="B450" s="6" t="s">
        <v>1007</v>
      </c>
      <c r="C450" s="6" t="s">
        <v>413</v>
      </c>
      <c r="D450" s="7" t="str">
        <f t="shared" ref="D450:D495" si="21">IF(MOD(LEFT(RIGHT(A450,2),1),2)=0,"k","m")</f>
        <v>k</v>
      </c>
      <c r="E450" t="str">
        <f t="shared" si="19"/>
        <v>a</v>
      </c>
      <c r="F450" t="str">
        <f t="shared" si="20"/>
        <v/>
      </c>
    </row>
    <row r="451" spans="1:6" x14ac:dyDescent="0.25">
      <c r="A451" s="8" t="s">
        <v>1035</v>
      </c>
      <c r="B451" s="9" t="s">
        <v>1036</v>
      </c>
      <c r="C451" s="9" t="s">
        <v>214</v>
      </c>
      <c r="D451" s="7" t="str">
        <f t="shared" si="21"/>
        <v>k</v>
      </c>
      <c r="E451" t="str">
        <f t="shared" ref="E451:E495" si="22">RIGHT(C451,1)</f>
        <v>a</v>
      </c>
      <c r="F451" t="str">
        <f t="shared" ref="F451:F495" si="23">IF(AND(E451&lt;&gt;"a",D451="k"),C451,"")</f>
        <v/>
      </c>
    </row>
    <row r="452" spans="1:6" x14ac:dyDescent="0.25">
      <c r="A452" s="5" t="s">
        <v>1037</v>
      </c>
      <c r="B452" s="6" t="s">
        <v>1038</v>
      </c>
      <c r="C452" s="6" t="s">
        <v>1039</v>
      </c>
      <c r="D452" s="7" t="str">
        <f t="shared" si="21"/>
        <v>k</v>
      </c>
      <c r="E452" t="str">
        <f t="shared" si="22"/>
        <v>a</v>
      </c>
      <c r="F452" t="str">
        <f t="shared" si="23"/>
        <v/>
      </c>
    </row>
    <row r="453" spans="1:6" x14ac:dyDescent="0.25">
      <c r="A453" s="8" t="s">
        <v>1040</v>
      </c>
      <c r="B453" s="9" t="s">
        <v>1041</v>
      </c>
      <c r="C453" s="9" t="s">
        <v>233</v>
      </c>
      <c r="D453" s="7" t="str">
        <f t="shared" si="21"/>
        <v>k</v>
      </c>
      <c r="E453" t="str">
        <f t="shared" si="22"/>
        <v>a</v>
      </c>
      <c r="F453" t="str">
        <f t="shared" si="23"/>
        <v/>
      </c>
    </row>
    <row r="454" spans="1:6" x14ac:dyDescent="0.25">
      <c r="A454" s="5" t="s">
        <v>1042</v>
      </c>
      <c r="B454" s="6" t="s">
        <v>1043</v>
      </c>
      <c r="C454" s="6" t="s">
        <v>89</v>
      </c>
      <c r="D454" s="7" t="str">
        <f t="shared" si="21"/>
        <v>k</v>
      </c>
      <c r="E454" t="str">
        <f t="shared" si="22"/>
        <v>a</v>
      </c>
      <c r="F454" t="str">
        <f t="shared" si="23"/>
        <v/>
      </c>
    </row>
    <row r="455" spans="1:6" x14ac:dyDescent="0.25">
      <c r="A455" s="8" t="s">
        <v>1044</v>
      </c>
      <c r="B455" s="9" t="s">
        <v>1045</v>
      </c>
      <c r="C455" s="9" t="s">
        <v>1046</v>
      </c>
      <c r="D455" s="7" t="str">
        <f t="shared" si="21"/>
        <v>m</v>
      </c>
      <c r="E455" t="str">
        <f t="shared" si="22"/>
        <v>z</v>
      </c>
      <c r="F455" t="str">
        <f t="shared" si="23"/>
        <v/>
      </c>
    </row>
    <row r="456" spans="1:6" x14ac:dyDescent="0.25">
      <c r="A456" s="5" t="s">
        <v>1047</v>
      </c>
      <c r="B456" s="6" t="s">
        <v>1048</v>
      </c>
      <c r="C456" s="6" t="s">
        <v>83</v>
      </c>
      <c r="D456" s="7" t="str">
        <f t="shared" si="21"/>
        <v>k</v>
      </c>
      <c r="E456" t="str">
        <f t="shared" si="22"/>
        <v>a</v>
      </c>
      <c r="F456" t="str">
        <f t="shared" si="23"/>
        <v/>
      </c>
    </row>
    <row r="457" spans="1:6" x14ac:dyDescent="0.25">
      <c r="A457" s="8" t="s">
        <v>1049</v>
      </c>
      <c r="B457" s="9" t="s">
        <v>1050</v>
      </c>
      <c r="C457" s="9" t="s">
        <v>194</v>
      </c>
      <c r="D457" s="7" t="str">
        <f t="shared" si="21"/>
        <v>k</v>
      </c>
      <c r="E457" t="str">
        <f t="shared" si="22"/>
        <v>a</v>
      </c>
      <c r="F457" t="str">
        <f t="shared" si="23"/>
        <v/>
      </c>
    </row>
    <row r="458" spans="1:6" x14ac:dyDescent="0.25">
      <c r="A458" s="5" t="s">
        <v>1051</v>
      </c>
      <c r="B458" s="6" t="s">
        <v>1052</v>
      </c>
      <c r="C458" s="6" t="s">
        <v>194</v>
      </c>
      <c r="D458" s="7" t="str">
        <f t="shared" si="21"/>
        <v>k</v>
      </c>
      <c r="E458" t="str">
        <f t="shared" si="22"/>
        <v>a</v>
      </c>
      <c r="F458" t="str">
        <f t="shared" si="23"/>
        <v/>
      </c>
    </row>
    <row r="459" spans="1:6" x14ac:dyDescent="0.25">
      <c r="A459" s="8" t="s">
        <v>1053</v>
      </c>
      <c r="B459" s="9" t="s">
        <v>1054</v>
      </c>
      <c r="C459" s="9" t="s">
        <v>166</v>
      </c>
      <c r="D459" s="7" t="str">
        <f t="shared" si="21"/>
        <v>m</v>
      </c>
      <c r="E459" t="str">
        <f t="shared" si="22"/>
        <v>b</v>
      </c>
      <c r="F459" t="str">
        <f t="shared" si="23"/>
        <v/>
      </c>
    </row>
    <row r="460" spans="1:6" x14ac:dyDescent="0.25">
      <c r="A460" s="5" t="s">
        <v>1055</v>
      </c>
      <c r="B460" s="6" t="s">
        <v>1056</v>
      </c>
      <c r="C460" s="6" t="s">
        <v>70</v>
      </c>
      <c r="D460" s="7" t="str">
        <f t="shared" si="21"/>
        <v>k</v>
      </c>
      <c r="E460" t="str">
        <f t="shared" si="22"/>
        <v>a</v>
      </c>
      <c r="F460" t="str">
        <f t="shared" si="23"/>
        <v/>
      </c>
    </row>
    <row r="461" spans="1:6" x14ac:dyDescent="0.25">
      <c r="A461" s="8" t="s">
        <v>1057</v>
      </c>
      <c r="B461" s="9" t="s">
        <v>1058</v>
      </c>
      <c r="C461" s="9" t="s">
        <v>223</v>
      </c>
      <c r="D461" s="7" t="str">
        <f t="shared" si="21"/>
        <v>m</v>
      </c>
      <c r="E461" t="str">
        <f t="shared" si="22"/>
        <v>w</v>
      </c>
      <c r="F461" t="str">
        <f t="shared" si="23"/>
        <v/>
      </c>
    </row>
    <row r="462" spans="1:6" x14ac:dyDescent="0.25">
      <c r="A462" s="5" t="s">
        <v>1059</v>
      </c>
      <c r="B462" s="6" t="s">
        <v>1060</v>
      </c>
      <c r="C462" s="6" t="s">
        <v>419</v>
      </c>
      <c r="D462" s="7" t="str">
        <f t="shared" si="21"/>
        <v>k</v>
      </c>
      <c r="E462" t="str">
        <f t="shared" si="22"/>
        <v>a</v>
      </c>
      <c r="F462" t="str">
        <f t="shared" si="23"/>
        <v/>
      </c>
    </row>
    <row r="463" spans="1:6" x14ac:dyDescent="0.25">
      <c r="A463" s="8" t="s">
        <v>1061</v>
      </c>
      <c r="B463" s="9" t="s">
        <v>1062</v>
      </c>
      <c r="C463" s="9" t="s">
        <v>89</v>
      </c>
      <c r="D463" s="7" t="str">
        <f t="shared" si="21"/>
        <v>k</v>
      </c>
      <c r="E463" t="str">
        <f t="shared" si="22"/>
        <v>a</v>
      </c>
      <c r="F463" t="str">
        <f t="shared" si="23"/>
        <v/>
      </c>
    </row>
    <row r="464" spans="1:6" x14ac:dyDescent="0.25">
      <c r="A464" s="5" t="s">
        <v>1063</v>
      </c>
      <c r="B464" s="6" t="s">
        <v>1064</v>
      </c>
      <c r="C464" s="6" t="s">
        <v>147</v>
      </c>
      <c r="D464" s="7" t="str">
        <f t="shared" si="21"/>
        <v>k</v>
      </c>
      <c r="E464" t="str">
        <f t="shared" si="22"/>
        <v>a</v>
      </c>
      <c r="F464" t="str">
        <f t="shared" si="23"/>
        <v/>
      </c>
    </row>
    <row r="465" spans="1:6" x14ac:dyDescent="0.25">
      <c r="A465" s="8" t="s">
        <v>1065</v>
      </c>
      <c r="B465" s="9" t="s">
        <v>1066</v>
      </c>
      <c r="C465" s="9" t="s">
        <v>142</v>
      </c>
      <c r="D465" s="7" t="str">
        <f t="shared" si="21"/>
        <v>k</v>
      </c>
      <c r="E465" t="str">
        <f t="shared" si="22"/>
        <v>a</v>
      </c>
      <c r="F465" t="str">
        <f t="shared" si="23"/>
        <v/>
      </c>
    </row>
    <row r="466" spans="1:6" x14ac:dyDescent="0.25">
      <c r="A466" s="5" t="s">
        <v>1067</v>
      </c>
      <c r="B466" s="6" t="s">
        <v>1068</v>
      </c>
      <c r="C466" s="6" t="s">
        <v>56</v>
      </c>
      <c r="D466" s="7" t="str">
        <f t="shared" si="21"/>
        <v>k</v>
      </c>
      <c r="E466" t="str">
        <f t="shared" si="22"/>
        <v>a</v>
      </c>
      <c r="F466" t="str">
        <f t="shared" si="23"/>
        <v/>
      </c>
    </row>
    <row r="467" spans="1:6" x14ac:dyDescent="0.25">
      <c r="A467" s="8" t="s">
        <v>1069</v>
      </c>
      <c r="B467" s="9" t="s">
        <v>1070</v>
      </c>
      <c r="C467" s="9" t="s">
        <v>260</v>
      </c>
      <c r="D467" s="7" t="str">
        <f t="shared" si="21"/>
        <v>m</v>
      </c>
      <c r="E467" t="str">
        <f t="shared" si="22"/>
        <v>p</v>
      </c>
      <c r="F467" t="str">
        <f t="shared" si="23"/>
        <v/>
      </c>
    </row>
    <row r="468" spans="1:6" x14ac:dyDescent="0.25">
      <c r="A468" s="5" t="s">
        <v>1071</v>
      </c>
      <c r="B468" s="6" t="s">
        <v>1072</v>
      </c>
      <c r="C468" s="6" t="s">
        <v>121</v>
      </c>
      <c r="D468" s="7" t="str">
        <f t="shared" si="21"/>
        <v>m</v>
      </c>
      <c r="E468" t="str">
        <f t="shared" si="22"/>
        <v>n</v>
      </c>
      <c r="F468" t="str">
        <f t="shared" si="23"/>
        <v/>
      </c>
    </row>
    <row r="469" spans="1:6" x14ac:dyDescent="0.25">
      <c r="A469" s="8" t="s">
        <v>1073</v>
      </c>
      <c r="B469" s="9" t="s">
        <v>1074</v>
      </c>
      <c r="C469" s="9" t="s">
        <v>166</v>
      </c>
      <c r="D469" s="7" t="str">
        <f t="shared" si="21"/>
        <v>m</v>
      </c>
      <c r="E469" t="str">
        <f t="shared" si="22"/>
        <v>b</v>
      </c>
      <c r="F469" t="str">
        <f t="shared" si="23"/>
        <v/>
      </c>
    </row>
    <row r="470" spans="1:6" x14ac:dyDescent="0.25">
      <c r="A470" s="5" t="s">
        <v>1075</v>
      </c>
      <c r="B470" s="6" t="s">
        <v>1076</v>
      </c>
      <c r="C470" s="6" t="s">
        <v>121</v>
      </c>
      <c r="D470" s="7" t="str">
        <f t="shared" si="21"/>
        <v>m</v>
      </c>
      <c r="E470" t="str">
        <f t="shared" si="22"/>
        <v>n</v>
      </c>
      <c r="F470" t="str">
        <f t="shared" si="23"/>
        <v/>
      </c>
    </row>
    <row r="471" spans="1:6" x14ac:dyDescent="0.25">
      <c r="A471" s="8" t="s">
        <v>1077</v>
      </c>
      <c r="B471" s="9" t="s">
        <v>123</v>
      </c>
      <c r="C471" s="9" t="s">
        <v>223</v>
      </c>
      <c r="D471" s="7" t="str">
        <f t="shared" si="21"/>
        <v>m</v>
      </c>
      <c r="E471" t="str">
        <f t="shared" si="22"/>
        <v>w</v>
      </c>
      <c r="F471" t="str">
        <f t="shared" si="23"/>
        <v/>
      </c>
    </row>
    <row r="472" spans="1:6" x14ac:dyDescent="0.25">
      <c r="A472" s="5" t="s">
        <v>1078</v>
      </c>
      <c r="B472" s="6" t="s">
        <v>1079</v>
      </c>
      <c r="C472" s="6" t="s">
        <v>64</v>
      </c>
      <c r="D472" s="7" t="str">
        <f t="shared" si="21"/>
        <v>m</v>
      </c>
      <c r="E472" t="str">
        <f t="shared" si="22"/>
        <v>j</v>
      </c>
      <c r="F472" t="str">
        <f t="shared" si="23"/>
        <v/>
      </c>
    </row>
    <row r="473" spans="1:6" x14ac:dyDescent="0.25">
      <c r="A473" s="8" t="s">
        <v>1080</v>
      </c>
      <c r="B473" s="9" t="s">
        <v>1081</v>
      </c>
      <c r="C473" s="9" t="s">
        <v>17</v>
      </c>
      <c r="D473" s="7" t="str">
        <f t="shared" si="21"/>
        <v>m</v>
      </c>
      <c r="E473" t="str">
        <f t="shared" si="22"/>
        <v>z</v>
      </c>
      <c r="F473" t="str">
        <f t="shared" si="23"/>
        <v/>
      </c>
    </row>
    <row r="474" spans="1:6" x14ac:dyDescent="0.25">
      <c r="A474" s="5" t="s">
        <v>1082</v>
      </c>
      <c r="B474" s="6" t="s">
        <v>1083</v>
      </c>
      <c r="C474" s="6" t="s">
        <v>1084</v>
      </c>
      <c r="D474" s="7" t="str">
        <f t="shared" si="21"/>
        <v>k</v>
      </c>
      <c r="E474" t="str">
        <f t="shared" si="22"/>
        <v>a</v>
      </c>
      <c r="F474" t="str">
        <f t="shared" si="23"/>
        <v/>
      </c>
    </row>
    <row r="475" spans="1:6" x14ac:dyDescent="0.25">
      <c r="A475" s="8" t="s">
        <v>1085</v>
      </c>
      <c r="B475" s="9" t="s">
        <v>1086</v>
      </c>
      <c r="C475" s="9" t="s">
        <v>428</v>
      </c>
      <c r="D475" s="7" t="str">
        <f t="shared" si="21"/>
        <v>k</v>
      </c>
      <c r="E475" t="str">
        <f t="shared" si="22"/>
        <v>a</v>
      </c>
      <c r="F475" t="str">
        <f t="shared" si="23"/>
        <v/>
      </c>
    </row>
    <row r="476" spans="1:6" x14ac:dyDescent="0.25">
      <c r="A476" s="5" t="s">
        <v>1087</v>
      </c>
      <c r="B476" s="6" t="s">
        <v>1088</v>
      </c>
      <c r="C476" s="6" t="s">
        <v>275</v>
      </c>
      <c r="D476" s="7" t="str">
        <f t="shared" si="21"/>
        <v>k</v>
      </c>
      <c r="E476" t="str">
        <f t="shared" si="22"/>
        <v>a</v>
      </c>
      <c r="F476" t="str">
        <f t="shared" si="23"/>
        <v/>
      </c>
    </row>
    <row r="477" spans="1:6" x14ac:dyDescent="0.25">
      <c r="A477" s="8" t="s">
        <v>1089</v>
      </c>
      <c r="B477" s="9" t="s">
        <v>1090</v>
      </c>
      <c r="C477" s="9" t="s">
        <v>25</v>
      </c>
      <c r="D477" s="7" t="str">
        <f t="shared" si="21"/>
        <v>m</v>
      </c>
      <c r="E477" t="str">
        <f t="shared" si="22"/>
        <v>k</v>
      </c>
      <c r="F477" t="str">
        <f t="shared" si="23"/>
        <v/>
      </c>
    </row>
    <row r="478" spans="1:6" x14ac:dyDescent="0.25">
      <c r="A478" s="5" t="s">
        <v>1091</v>
      </c>
      <c r="B478" s="6" t="s">
        <v>1092</v>
      </c>
      <c r="C478" s="6" t="s">
        <v>219</v>
      </c>
      <c r="D478" s="7" t="str">
        <f t="shared" si="21"/>
        <v>m</v>
      </c>
      <c r="E478" t="str">
        <f t="shared" si="22"/>
        <v>z</v>
      </c>
      <c r="F478" t="str">
        <f t="shared" si="23"/>
        <v/>
      </c>
    </row>
    <row r="479" spans="1:6" x14ac:dyDescent="0.25">
      <c r="A479" s="8" t="s">
        <v>1093</v>
      </c>
      <c r="B479" s="9" t="s">
        <v>1094</v>
      </c>
      <c r="C479" s="9" t="s">
        <v>1095</v>
      </c>
      <c r="D479" s="7" t="str">
        <f t="shared" si="21"/>
        <v>m</v>
      </c>
      <c r="E479" t="str">
        <f t="shared" si="22"/>
        <v>a</v>
      </c>
      <c r="F479" t="str">
        <f t="shared" si="23"/>
        <v/>
      </c>
    </row>
    <row r="480" spans="1:6" x14ac:dyDescent="0.25">
      <c r="A480" s="5" t="s">
        <v>1096</v>
      </c>
      <c r="B480" s="6" t="s">
        <v>1097</v>
      </c>
      <c r="C480" s="6" t="s">
        <v>166</v>
      </c>
      <c r="D480" s="7" t="str">
        <f t="shared" si="21"/>
        <v>m</v>
      </c>
      <c r="E480" t="str">
        <f t="shared" si="22"/>
        <v>b</v>
      </c>
      <c r="F480" t="str">
        <f t="shared" si="23"/>
        <v/>
      </c>
    </row>
    <row r="481" spans="1:6" x14ac:dyDescent="0.25">
      <c r="A481" s="8" t="s">
        <v>1098</v>
      </c>
      <c r="B481" s="9" t="s">
        <v>1099</v>
      </c>
      <c r="C481" s="9" t="s">
        <v>137</v>
      </c>
      <c r="D481" s="7" t="str">
        <f t="shared" si="21"/>
        <v>k</v>
      </c>
      <c r="E481" t="str">
        <f t="shared" si="22"/>
        <v>a</v>
      </c>
      <c r="F481" t="str">
        <f t="shared" si="23"/>
        <v/>
      </c>
    </row>
    <row r="482" spans="1:6" x14ac:dyDescent="0.25">
      <c r="A482" s="5" t="s">
        <v>1100</v>
      </c>
      <c r="B482" s="6" t="s">
        <v>1101</v>
      </c>
      <c r="C482" s="6" t="s">
        <v>287</v>
      </c>
      <c r="D482" s="7" t="str">
        <f t="shared" si="21"/>
        <v>m</v>
      </c>
      <c r="E482" t="str">
        <f t="shared" si="22"/>
        <v>d</v>
      </c>
      <c r="F482" t="str">
        <f t="shared" si="23"/>
        <v/>
      </c>
    </row>
    <row r="483" spans="1:6" x14ac:dyDescent="0.25">
      <c r="A483" s="8" t="s">
        <v>1102</v>
      </c>
      <c r="B483" s="9" t="s">
        <v>1103</v>
      </c>
      <c r="C483" s="9" t="s">
        <v>617</v>
      </c>
      <c r="D483" s="7" t="str">
        <f t="shared" si="21"/>
        <v>k</v>
      </c>
      <c r="E483" t="str">
        <f t="shared" si="22"/>
        <v>a</v>
      </c>
      <c r="F483" t="str">
        <f t="shared" si="23"/>
        <v/>
      </c>
    </row>
    <row r="484" spans="1:6" x14ac:dyDescent="0.25">
      <c r="A484" s="5" t="s">
        <v>1104</v>
      </c>
      <c r="B484" s="6" t="s">
        <v>1105</v>
      </c>
      <c r="C484" s="6" t="s">
        <v>89</v>
      </c>
      <c r="D484" s="7" t="str">
        <f t="shared" si="21"/>
        <v>k</v>
      </c>
      <c r="E484" t="str">
        <f t="shared" si="22"/>
        <v>a</v>
      </c>
      <c r="F484" t="str">
        <f t="shared" si="23"/>
        <v/>
      </c>
    </row>
    <row r="485" spans="1:6" x14ac:dyDescent="0.25">
      <c r="A485" s="8" t="s">
        <v>1106</v>
      </c>
      <c r="B485" s="9" t="s">
        <v>1107</v>
      </c>
      <c r="C485" s="9" t="s">
        <v>50</v>
      </c>
      <c r="D485" s="7" t="str">
        <f t="shared" si="21"/>
        <v>m</v>
      </c>
      <c r="E485" t="str">
        <f t="shared" si="22"/>
        <v>f</v>
      </c>
      <c r="F485" t="str">
        <f t="shared" si="23"/>
        <v/>
      </c>
    </row>
    <row r="486" spans="1:6" x14ac:dyDescent="0.25">
      <c r="A486" s="5" t="s">
        <v>1108</v>
      </c>
      <c r="B486" s="6" t="s">
        <v>586</v>
      </c>
      <c r="C486" s="6" t="s">
        <v>223</v>
      </c>
      <c r="D486" s="7" t="str">
        <f t="shared" si="21"/>
        <v>m</v>
      </c>
      <c r="E486" t="str">
        <f t="shared" si="22"/>
        <v>w</v>
      </c>
      <c r="F486" t="str">
        <f t="shared" si="23"/>
        <v/>
      </c>
    </row>
    <row r="487" spans="1:6" x14ac:dyDescent="0.25">
      <c r="A487" s="8" t="s">
        <v>1109</v>
      </c>
      <c r="B487" s="9" t="s">
        <v>1110</v>
      </c>
      <c r="C487" s="9" t="s">
        <v>1111</v>
      </c>
      <c r="D487" s="7" t="str">
        <f t="shared" si="21"/>
        <v>m</v>
      </c>
      <c r="E487" t="str">
        <f t="shared" si="22"/>
        <v>l</v>
      </c>
      <c r="F487" t="str">
        <f t="shared" si="23"/>
        <v/>
      </c>
    </row>
    <row r="488" spans="1:6" x14ac:dyDescent="0.25">
      <c r="A488" s="5" t="s">
        <v>1112</v>
      </c>
      <c r="B488" s="6" t="s">
        <v>1113</v>
      </c>
      <c r="C488" s="6" t="s">
        <v>36</v>
      </c>
      <c r="D488" s="7" t="str">
        <f t="shared" si="21"/>
        <v>m</v>
      </c>
      <c r="E488" t="str">
        <f t="shared" si="22"/>
        <v>n</v>
      </c>
      <c r="F488" t="str">
        <f t="shared" si="23"/>
        <v/>
      </c>
    </row>
    <row r="489" spans="1:6" x14ac:dyDescent="0.25">
      <c r="A489" s="8" t="s">
        <v>1114</v>
      </c>
      <c r="B489" s="9" t="s">
        <v>1115</v>
      </c>
      <c r="C489" s="9" t="s">
        <v>464</v>
      </c>
      <c r="D489" s="7" t="str">
        <f t="shared" si="21"/>
        <v>m</v>
      </c>
      <c r="E489" t="str">
        <f t="shared" si="22"/>
        <v>n</v>
      </c>
      <c r="F489" t="str">
        <f t="shared" si="23"/>
        <v/>
      </c>
    </row>
    <row r="490" spans="1:6" x14ac:dyDescent="0.25">
      <c r="A490" s="5" t="s">
        <v>1116</v>
      </c>
      <c r="B490" s="6" t="s">
        <v>1117</v>
      </c>
      <c r="C490" s="6" t="s">
        <v>340</v>
      </c>
      <c r="D490" s="7" t="str">
        <f t="shared" si="21"/>
        <v>k</v>
      </c>
      <c r="E490" t="str">
        <f t="shared" si="22"/>
        <v>a</v>
      </c>
      <c r="F490" t="str">
        <f t="shared" si="23"/>
        <v/>
      </c>
    </row>
    <row r="491" spans="1:6" x14ac:dyDescent="0.25">
      <c r="A491" s="8" t="s">
        <v>1118</v>
      </c>
      <c r="B491" s="9" t="s">
        <v>1119</v>
      </c>
      <c r="C491" s="9" t="s">
        <v>86</v>
      </c>
      <c r="D491" s="7" t="str">
        <f t="shared" si="21"/>
        <v>k</v>
      </c>
      <c r="E491" t="str">
        <f t="shared" si="22"/>
        <v>a</v>
      </c>
      <c r="F491" t="str">
        <f t="shared" si="23"/>
        <v/>
      </c>
    </row>
    <row r="492" spans="1:6" x14ac:dyDescent="0.25">
      <c r="A492" s="5" t="s">
        <v>1120</v>
      </c>
      <c r="B492" s="6" t="s">
        <v>1121</v>
      </c>
      <c r="C492" s="6" t="s">
        <v>223</v>
      </c>
      <c r="D492" s="7" t="str">
        <f t="shared" si="21"/>
        <v>m</v>
      </c>
      <c r="E492" t="str">
        <f t="shared" si="22"/>
        <v>w</v>
      </c>
      <c r="F492" t="str">
        <f t="shared" si="23"/>
        <v/>
      </c>
    </row>
    <row r="493" spans="1:6" x14ac:dyDescent="0.25">
      <c r="A493" s="8" t="s">
        <v>1122</v>
      </c>
      <c r="B493" s="9" t="s">
        <v>1123</v>
      </c>
      <c r="C493" s="9" t="s">
        <v>92</v>
      </c>
      <c r="D493" s="7" t="str">
        <f t="shared" si="21"/>
        <v>m</v>
      </c>
      <c r="E493" t="str">
        <f t="shared" si="22"/>
        <v>r</v>
      </c>
      <c r="F493" t="str">
        <f t="shared" si="23"/>
        <v/>
      </c>
    </row>
    <row r="494" spans="1:6" x14ac:dyDescent="0.25">
      <c r="A494" s="5" t="s">
        <v>1124</v>
      </c>
      <c r="B494" s="6" t="s">
        <v>168</v>
      </c>
      <c r="C494" s="6" t="s">
        <v>880</v>
      </c>
      <c r="D494" s="7" t="str">
        <f t="shared" si="21"/>
        <v>m</v>
      </c>
      <c r="E494" t="str">
        <f t="shared" si="22"/>
        <v>s</v>
      </c>
      <c r="F494" t="str">
        <f t="shared" si="23"/>
        <v/>
      </c>
    </row>
    <row r="495" spans="1:6" x14ac:dyDescent="0.25">
      <c r="A495" s="10" t="s">
        <v>1125</v>
      </c>
      <c r="B495" s="11" t="s">
        <v>1126</v>
      </c>
      <c r="C495" s="11" t="s">
        <v>121</v>
      </c>
      <c r="D495" s="7" t="str">
        <f t="shared" si="21"/>
        <v>m</v>
      </c>
      <c r="E495" t="str">
        <f t="shared" si="22"/>
        <v>n</v>
      </c>
      <c r="F495" t="str">
        <f t="shared" si="23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02CD6-B260-4666-8DC9-1C57D1120A41}">
  <dimension ref="A1:O495"/>
  <sheetViews>
    <sheetView zoomScaleNormal="100" workbookViewId="0">
      <selection activeCell="N10" sqref="N2:N10"/>
    </sheetView>
  </sheetViews>
  <sheetFormatPr defaultRowHeight="15" x14ac:dyDescent="0.25"/>
  <cols>
    <col min="1" max="1" width="12" bestFit="1" customWidth="1"/>
    <col min="2" max="2" width="14.85546875" customWidth="1"/>
    <col min="3" max="3" width="12.5703125" customWidth="1"/>
    <col min="6" max="6" width="18.5703125" bestFit="1" customWidth="1"/>
    <col min="7" max="7" width="13.140625" bestFit="1" customWidth="1"/>
    <col min="8" max="8" width="9.85546875" bestFit="1" customWidth="1"/>
    <col min="9" max="9" width="8.7109375" bestFit="1" customWidth="1"/>
    <col min="10" max="10" width="10.42578125" bestFit="1" customWidth="1"/>
    <col min="11" max="11" width="5.7109375" bestFit="1" customWidth="1"/>
    <col min="12" max="12" width="12" bestFit="1" customWidth="1"/>
    <col min="13" max="13" width="11.140625" bestFit="1" customWidth="1"/>
    <col min="14" max="14" width="10.7109375" bestFit="1" customWidth="1"/>
    <col min="15" max="15" width="8.42578125" bestFit="1" customWidth="1"/>
    <col min="16" max="16" width="11.5703125" bestFit="1" customWidth="1"/>
    <col min="17" max="17" width="11.140625" bestFit="1" customWidth="1"/>
    <col min="18" max="18" width="5.7109375" bestFit="1" customWidth="1"/>
    <col min="19" max="19" width="9.7109375" bestFit="1" customWidth="1"/>
    <col min="20" max="20" width="12.7109375" bestFit="1" customWidth="1"/>
    <col min="21" max="21" width="12.140625" bestFit="1" customWidth="1"/>
    <col min="22" max="22" width="6.42578125" bestFit="1" customWidth="1"/>
    <col min="23" max="23" width="10.85546875" bestFit="1" customWidth="1"/>
    <col min="24" max="24" width="5.7109375" bestFit="1" customWidth="1"/>
    <col min="25" max="25" width="7.42578125" bestFit="1" customWidth="1"/>
    <col min="26" max="26" width="7.28515625" bestFit="1" customWidth="1"/>
    <col min="27" max="27" width="6.140625" bestFit="1" customWidth="1"/>
    <col min="28" max="28" width="11.85546875" bestFit="1" customWidth="1"/>
    <col min="29" max="29" width="11.5703125" bestFit="1" customWidth="1"/>
    <col min="30" max="31" width="9.42578125" bestFit="1" customWidth="1"/>
    <col min="32" max="32" width="7.85546875" bestFit="1" customWidth="1"/>
    <col min="33" max="33" width="10" bestFit="1" customWidth="1"/>
    <col min="34" max="34" width="11.85546875" bestFit="1" customWidth="1"/>
    <col min="35" max="35" width="4" bestFit="1" customWidth="1"/>
    <col min="36" max="36" width="11.140625" bestFit="1" customWidth="1"/>
    <col min="37" max="37" width="10.5703125" bestFit="1" customWidth="1"/>
    <col min="38" max="38" width="6.5703125" bestFit="1" customWidth="1"/>
    <col min="39" max="39" width="9" bestFit="1" customWidth="1"/>
    <col min="40" max="40" width="5.85546875" bestFit="1" customWidth="1"/>
    <col min="41" max="41" width="7.140625" bestFit="1" customWidth="1"/>
    <col min="42" max="42" width="12.85546875" bestFit="1" customWidth="1"/>
    <col min="43" max="43" width="12.42578125" bestFit="1" customWidth="1"/>
    <col min="44" max="44" width="9.5703125" bestFit="1" customWidth="1"/>
    <col min="45" max="45" width="9" bestFit="1" customWidth="1"/>
    <col min="46" max="47" width="9.85546875" bestFit="1" customWidth="1"/>
    <col min="48" max="48" width="6.85546875" bestFit="1" customWidth="1"/>
    <col min="49" max="49" width="8.85546875" bestFit="1" customWidth="1"/>
    <col min="50" max="50" width="6" bestFit="1" customWidth="1"/>
    <col min="51" max="51" width="6.28515625" bestFit="1" customWidth="1"/>
    <col min="52" max="52" width="10.85546875" bestFit="1" customWidth="1"/>
    <col min="53" max="53" width="11.28515625" bestFit="1" customWidth="1"/>
    <col min="54" max="55" width="11.7109375" bestFit="1" customWidth="1"/>
    <col min="56" max="56" width="9.85546875" bestFit="1" customWidth="1"/>
    <col min="57" max="57" width="8.85546875" bestFit="1" customWidth="1"/>
    <col min="58" max="58" width="10.28515625" bestFit="1" customWidth="1"/>
    <col min="59" max="59" width="12.140625" bestFit="1" customWidth="1"/>
    <col min="60" max="60" width="9.5703125" bestFit="1" customWidth="1"/>
    <col min="61" max="61" width="10.85546875" bestFit="1" customWidth="1"/>
    <col min="62" max="62" width="6.28515625" bestFit="1" customWidth="1"/>
    <col min="63" max="63" width="8" bestFit="1" customWidth="1"/>
    <col min="64" max="64" width="6.140625" bestFit="1" customWidth="1"/>
    <col min="65" max="65" width="9.7109375" bestFit="1" customWidth="1"/>
    <col min="66" max="66" width="12.140625" bestFit="1" customWidth="1"/>
    <col min="67" max="67" width="8.5703125" bestFit="1" customWidth="1"/>
    <col min="68" max="68" width="9.7109375" bestFit="1" customWidth="1"/>
    <col min="69" max="69" width="6" bestFit="1" customWidth="1"/>
    <col min="70" max="70" width="12" bestFit="1" customWidth="1"/>
    <col min="71" max="71" width="5.7109375" bestFit="1" customWidth="1"/>
    <col min="72" max="72" width="8" bestFit="1" customWidth="1"/>
    <col min="73" max="73" width="8.42578125" bestFit="1" customWidth="1"/>
    <col min="74" max="74" width="4.85546875" bestFit="1" customWidth="1"/>
    <col min="75" max="75" width="5.85546875" bestFit="1" customWidth="1"/>
    <col min="76" max="76" width="5.5703125" bestFit="1" customWidth="1"/>
    <col min="77" max="77" width="7.7109375" bestFit="1" customWidth="1"/>
    <col min="78" max="78" width="6.42578125" bestFit="1" customWidth="1"/>
    <col min="79" max="79" width="7.7109375" bestFit="1" customWidth="1"/>
    <col min="80" max="80" width="9" bestFit="1" customWidth="1"/>
    <col min="81" max="81" width="6.5703125" bestFit="1" customWidth="1"/>
    <col min="82" max="82" width="7.140625" bestFit="1" customWidth="1"/>
    <col min="83" max="83" width="8.28515625" bestFit="1" customWidth="1"/>
    <col min="84" max="84" width="11.42578125" bestFit="1" customWidth="1"/>
    <col min="85" max="85" width="6" bestFit="1" customWidth="1"/>
    <col min="86" max="86" width="10.28515625" bestFit="1" customWidth="1"/>
    <col min="87" max="87" width="10.42578125" bestFit="1" customWidth="1"/>
    <col min="88" max="88" width="10.28515625" bestFit="1" customWidth="1"/>
    <col min="89" max="89" width="5.5703125" bestFit="1" customWidth="1"/>
    <col min="90" max="90" width="8.28515625" bestFit="1" customWidth="1"/>
    <col min="91" max="91" width="11.5703125" bestFit="1" customWidth="1"/>
    <col min="92" max="92" width="6" bestFit="1" customWidth="1"/>
    <col min="93" max="93" width="7.7109375" bestFit="1" customWidth="1"/>
    <col min="94" max="94" width="4.85546875" bestFit="1" customWidth="1"/>
    <col min="95" max="95" width="9.85546875" bestFit="1" customWidth="1"/>
    <col min="96" max="96" width="10.28515625" bestFit="1" customWidth="1"/>
    <col min="97" max="97" width="12.42578125" bestFit="1" customWidth="1"/>
    <col min="98" max="98" width="11" bestFit="1" customWidth="1"/>
    <col min="99" max="99" width="11.5703125" bestFit="1" customWidth="1"/>
    <col min="100" max="100" width="7.140625" bestFit="1" customWidth="1"/>
    <col min="101" max="101" width="10.5703125" bestFit="1" customWidth="1"/>
    <col min="102" max="102" width="11.5703125" bestFit="1" customWidth="1"/>
    <col min="103" max="103" width="8.7109375" bestFit="1" customWidth="1"/>
    <col min="104" max="104" width="7.42578125" bestFit="1" customWidth="1"/>
    <col min="105" max="105" width="9.85546875" bestFit="1" customWidth="1"/>
    <col min="106" max="106" width="7.85546875" bestFit="1" customWidth="1"/>
    <col min="107" max="107" width="7.5703125" bestFit="1" customWidth="1"/>
    <col min="108" max="108" width="10.85546875" bestFit="1" customWidth="1"/>
    <col min="109" max="109" width="12.28515625" bestFit="1" customWidth="1"/>
    <col min="110" max="110" width="9.28515625" bestFit="1" customWidth="1"/>
    <col min="111" max="111" width="8.5703125" bestFit="1" customWidth="1"/>
    <col min="112" max="112" width="10" bestFit="1" customWidth="1"/>
    <col min="113" max="113" width="6.140625" bestFit="1" customWidth="1"/>
    <col min="114" max="114" width="8.85546875" bestFit="1" customWidth="1"/>
    <col min="115" max="115" width="8.5703125" bestFit="1" customWidth="1"/>
    <col min="116" max="116" width="7.7109375" bestFit="1" customWidth="1"/>
    <col min="117" max="117" width="4.85546875" bestFit="1" customWidth="1"/>
    <col min="118" max="118" width="13.7109375" bestFit="1" customWidth="1"/>
    <col min="119" max="119" width="9.28515625" bestFit="1" customWidth="1"/>
    <col min="120" max="120" width="10.42578125" bestFit="1" customWidth="1"/>
    <col min="122" max="122" width="10.140625" bestFit="1" customWidth="1"/>
    <col min="123" max="123" width="9.85546875" bestFit="1" customWidth="1"/>
    <col min="124" max="124" width="9.42578125" bestFit="1" customWidth="1"/>
    <col min="125" max="125" width="9.7109375" bestFit="1" customWidth="1"/>
    <col min="126" max="126" width="11.5703125" bestFit="1" customWidth="1"/>
    <col min="127" max="127" width="11.140625" bestFit="1" customWidth="1"/>
    <col min="128" max="128" width="9.7109375" bestFit="1" customWidth="1"/>
    <col min="129" max="129" width="5.42578125" bestFit="1" customWidth="1"/>
    <col min="130" max="130" width="10.140625" bestFit="1" customWidth="1"/>
    <col min="131" max="131" width="6.42578125" bestFit="1" customWidth="1"/>
    <col min="132" max="132" width="8.28515625" bestFit="1" customWidth="1"/>
    <col min="133" max="133" width="5.42578125" bestFit="1" customWidth="1"/>
    <col min="134" max="134" width="8.28515625" bestFit="1" customWidth="1"/>
    <col min="135" max="135" width="9" bestFit="1" customWidth="1"/>
    <col min="136" max="136" width="11" bestFit="1" customWidth="1"/>
    <col min="137" max="137" width="9.85546875" bestFit="1" customWidth="1"/>
    <col min="138" max="138" width="11" bestFit="1" customWidth="1"/>
    <col min="139" max="139" width="7.85546875" bestFit="1" customWidth="1"/>
    <col min="140" max="140" width="10.140625" bestFit="1" customWidth="1"/>
    <col min="141" max="142" width="7.28515625" bestFit="1" customWidth="1"/>
    <col min="143" max="143" width="8.5703125" bestFit="1" customWidth="1"/>
    <col min="144" max="144" width="6.7109375" bestFit="1" customWidth="1"/>
    <col min="145" max="145" width="5.42578125" bestFit="1" customWidth="1"/>
    <col min="146" max="146" width="6.7109375" bestFit="1" customWidth="1"/>
    <col min="147" max="147" width="6.5703125" bestFit="1" customWidth="1"/>
    <col min="148" max="148" width="8.140625" bestFit="1" customWidth="1"/>
    <col min="149" max="149" width="9.42578125" bestFit="1" customWidth="1"/>
    <col min="150" max="150" width="9" bestFit="1" customWidth="1"/>
    <col min="151" max="151" width="11.140625" bestFit="1" customWidth="1"/>
    <col min="152" max="152" width="7" bestFit="1" customWidth="1"/>
    <col min="153" max="153" width="8.42578125" bestFit="1" customWidth="1"/>
    <col min="154" max="154" width="6.5703125" bestFit="1" customWidth="1"/>
    <col min="155" max="155" width="8.140625" bestFit="1" customWidth="1"/>
    <col min="156" max="156" width="10.5703125" bestFit="1" customWidth="1"/>
    <col min="157" max="157" width="7.5703125" bestFit="1" customWidth="1"/>
    <col min="158" max="158" width="11" bestFit="1" customWidth="1"/>
    <col min="159" max="159" width="7.28515625" bestFit="1" customWidth="1"/>
    <col min="160" max="160" width="5.42578125" bestFit="1" customWidth="1"/>
    <col min="161" max="161" width="5.85546875" bestFit="1" customWidth="1"/>
    <col min="162" max="162" width="6.85546875" bestFit="1" customWidth="1"/>
    <col min="163" max="163" width="10.85546875" bestFit="1" customWidth="1"/>
    <col min="164" max="164" width="5.7109375" bestFit="1" customWidth="1"/>
    <col min="165" max="165" width="7.140625" bestFit="1" customWidth="1"/>
    <col min="166" max="166" width="5.5703125" bestFit="1" customWidth="1"/>
    <col min="167" max="167" width="10.42578125" bestFit="1" customWidth="1"/>
    <col min="168" max="168" width="7.28515625" bestFit="1" customWidth="1"/>
    <col min="169" max="169" width="8" bestFit="1" customWidth="1"/>
    <col min="170" max="170" width="6.140625" bestFit="1" customWidth="1"/>
    <col min="171" max="171" width="6" bestFit="1" customWidth="1"/>
    <col min="172" max="172" width="12.5703125" bestFit="1" customWidth="1"/>
    <col min="173" max="173" width="13.140625" bestFit="1" customWidth="1"/>
    <col min="174" max="174" width="12.42578125" bestFit="1" customWidth="1"/>
    <col min="175" max="175" width="7.5703125" bestFit="1" customWidth="1"/>
    <col min="176" max="176" width="10.28515625" bestFit="1" customWidth="1"/>
    <col min="177" max="177" width="7.140625" bestFit="1" customWidth="1"/>
    <col min="178" max="178" width="6.140625" bestFit="1" customWidth="1"/>
    <col min="179" max="179" width="12.85546875" bestFit="1" customWidth="1"/>
    <col min="180" max="180" width="7.85546875" bestFit="1" customWidth="1"/>
    <col min="181" max="181" width="12" bestFit="1" customWidth="1"/>
    <col min="182" max="182" width="12.5703125" bestFit="1" customWidth="1"/>
    <col min="183" max="183" width="8.5703125" bestFit="1" customWidth="1"/>
    <col min="184" max="184" width="9" bestFit="1" customWidth="1"/>
    <col min="185" max="185" width="9.5703125" bestFit="1" customWidth="1"/>
    <col min="186" max="186" width="10.5703125" bestFit="1" customWidth="1"/>
    <col min="187" max="187" width="10.28515625" bestFit="1" customWidth="1"/>
    <col min="188" max="188" width="10.140625" bestFit="1" customWidth="1"/>
    <col min="189" max="189" width="8" bestFit="1" customWidth="1"/>
    <col min="190" max="190" width="9.28515625" bestFit="1" customWidth="1"/>
    <col min="191" max="191" width="8.85546875" bestFit="1" customWidth="1"/>
    <col min="192" max="192" width="10.28515625" bestFit="1" customWidth="1"/>
    <col min="193" max="193" width="8.42578125" bestFit="1" customWidth="1"/>
    <col min="194" max="194" width="6.42578125" bestFit="1" customWidth="1"/>
    <col min="195" max="195" width="4.5703125" bestFit="1" customWidth="1"/>
    <col min="196" max="196" width="11.140625" bestFit="1" customWidth="1"/>
    <col min="197" max="197" width="6.140625" bestFit="1" customWidth="1"/>
    <col min="198" max="198" width="7.42578125" bestFit="1" customWidth="1"/>
    <col min="199" max="199" width="8" bestFit="1" customWidth="1"/>
    <col min="200" max="200" width="8.85546875" bestFit="1" customWidth="1"/>
    <col min="201" max="201" width="6.5703125" bestFit="1" customWidth="1"/>
    <col min="202" max="202" width="8.42578125" bestFit="1" customWidth="1"/>
    <col min="203" max="203" width="11" bestFit="1" customWidth="1"/>
    <col min="204" max="204" width="10.42578125" bestFit="1" customWidth="1"/>
    <col min="205" max="205" width="7.42578125" bestFit="1" customWidth="1"/>
    <col min="206" max="206" width="9.5703125" bestFit="1" customWidth="1"/>
    <col min="207" max="207" width="8" bestFit="1" customWidth="1"/>
    <col min="208" max="208" width="6.7109375" bestFit="1" customWidth="1"/>
    <col min="209" max="209" width="12.140625" bestFit="1" customWidth="1"/>
    <col min="210" max="210" width="10.85546875" bestFit="1" customWidth="1"/>
    <col min="211" max="211" width="7.28515625" bestFit="1" customWidth="1"/>
    <col min="212" max="212" width="10.140625" bestFit="1" customWidth="1"/>
    <col min="213" max="213" width="6.140625" bestFit="1" customWidth="1"/>
    <col min="214" max="214" width="10.5703125" bestFit="1" customWidth="1"/>
    <col min="215" max="215" width="9.85546875" bestFit="1" customWidth="1"/>
    <col min="216" max="216" width="6.85546875" bestFit="1" customWidth="1"/>
    <col min="217" max="217" width="8" bestFit="1" customWidth="1"/>
    <col min="218" max="218" width="11.42578125" bestFit="1" customWidth="1"/>
    <col min="219" max="219" width="13.5703125" bestFit="1" customWidth="1"/>
    <col min="220" max="220" width="8" bestFit="1" customWidth="1"/>
    <col min="221" max="221" width="6.85546875" bestFit="1" customWidth="1"/>
    <col min="222" max="222" width="7.28515625" bestFit="1" customWidth="1"/>
    <col min="223" max="223" width="6.85546875" bestFit="1" customWidth="1"/>
    <col min="224" max="224" width="8.7109375" bestFit="1" customWidth="1"/>
    <col min="225" max="225" width="10.140625" bestFit="1" customWidth="1"/>
    <col min="226" max="226" width="7.42578125" bestFit="1" customWidth="1"/>
    <col min="228" max="228" width="10.7109375" bestFit="1" customWidth="1"/>
    <col min="229" max="229" width="5.140625" bestFit="1" customWidth="1"/>
    <col min="230" max="230" width="8.7109375" bestFit="1" customWidth="1"/>
    <col min="231" max="231" width="7.42578125" bestFit="1" customWidth="1"/>
    <col min="232" max="232" width="6.28515625" bestFit="1" customWidth="1"/>
    <col min="233" max="233" width="9.85546875" bestFit="1" customWidth="1"/>
    <col min="234" max="234" width="7.5703125" bestFit="1" customWidth="1"/>
    <col min="235" max="235" width="6.7109375" bestFit="1" customWidth="1"/>
    <col min="236" max="236" width="9" bestFit="1" customWidth="1"/>
    <col min="237" max="237" width="10" bestFit="1" customWidth="1"/>
    <col min="238" max="238" width="9.5703125" bestFit="1" customWidth="1"/>
    <col min="239" max="239" width="7" bestFit="1" customWidth="1"/>
    <col min="240" max="240" width="10.42578125" bestFit="1" customWidth="1"/>
    <col min="241" max="242" width="11.28515625" bestFit="1" customWidth="1"/>
    <col min="243" max="243" width="10.85546875" bestFit="1" customWidth="1"/>
    <col min="244" max="244" width="13.7109375" bestFit="1" customWidth="1"/>
    <col min="245" max="245" width="10" bestFit="1" customWidth="1"/>
    <col min="246" max="246" width="12.28515625" bestFit="1" customWidth="1"/>
    <col min="247" max="247" width="13.7109375" bestFit="1" customWidth="1"/>
    <col min="248" max="248" width="11.5703125" bestFit="1" customWidth="1"/>
    <col min="249" max="249" width="13.28515625" bestFit="1" customWidth="1"/>
    <col min="251" max="251" width="9.85546875" bestFit="1" customWidth="1"/>
    <col min="252" max="252" width="9" bestFit="1" customWidth="1"/>
    <col min="253" max="253" width="9.85546875" bestFit="1" customWidth="1"/>
    <col min="254" max="254" width="6.5703125" bestFit="1" customWidth="1"/>
    <col min="255" max="255" width="12.42578125" bestFit="1" customWidth="1"/>
    <col min="256" max="256" width="8.5703125" bestFit="1" customWidth="1"/>
    <col min="257" max="257" width="11.5703125" bestFit="1" customWidth="1"/>
    <col min="258" max="258" width="13.140625" bestFit="1" customWidth="1"/>
    <col min="259" max="259" width="7.85546875" bestFit="1" customWidth="1"/>
    <col min="260" max="260" width="15" bestFit="1" customWidth="1"/>
    <col min="261" max="261" width="12.85546875" bestFit="1" customWidth="1"/>
    <col min="262" max="262" width="7.7109375" bestFit="1" customWidth="1"/>
    <col min="263" max="263" width="7.140625" bestFit="1" customWidth="1"/>
    <col min="264" max="264" width="7" bestFit="1" customWidth="1"/>
    <col min="265" max="265" width="11.42578125" bestFit="1" customWidth="1"/>
    <col min="266" max="266" width="7.85546875" bestFit="1" customWidth="1"/>
    <col min="267" max="267" width="11.5703125" bestFit="1" customWidth="1"/>
    <col min="268" max="268" width="8.7109375" bestFit="1" customWidth="1"/>
    <col min="269" max="269" width="9.5703125" bestFit="1" customWidth="1"/>
    <col min="271" max="271" width="10" bestFit="1" customWidth="1"/>
    <col min="272" max="272" width="7.140625" bestFit="1" customWidth="1"/>
    <col min="273" max="273" width="12.7109375" bestFit="1" customWidth="1"/>
    <col min="274" max="274" width="10.85546875" bestFit="1" customWidth="1"/>
    <col min="275" max="275" width="12.85546875" bestFit="1" customWidth="1"/>
    <col min="276" max="276" width="5" bestFit="1" customWidth="1"/>
    <col min="277" max="277" width="6.7109375" bestFit="1" customWidth="1"/>
    <col min="278" max="278" width="11.7109375" bestFit="1" customWidth="1"/>
    <col min="279" max="279" width="10.85546875" bestFit="1" customWidth="1"/>
    <col min="280" max="280" width="9.85546875" bestFit="1" customWidth="1"/>
    <col min="281" max="281" width="6.85546875" bestFit="1" customWidth="1"/>
    <col min="282" max="282" width="10.28515625" bestFit="1" customWidth="1"/>
    <col min="283" max="283" width="9" bestFit="1" customWidth="1"/>
    <col min="284" max="284" width="8.5703125" bestFit="1" customWidth="1"/>
    <col min="285" max="285" width="5.5703125" bestFit="1" customWidth="1"/>
    <col min="286" max="286" width="11" bestFit="1" customWidth="1"/>
    <col min="287" max="287" width="12" bestFit="1" customWidth="1"/>
    <col min="288" max="288" width="7" bestFit="1" customWidth="1"/>
    <col min="289" max="289" width="8.42578125" bestFit="1" customWidth="1"/>
    <col min="290" max="290" width="9.28515625" bestFit="1" customWidth="1"/>
    <col min="291" max="291" width="7.28515625" bestFit="1" customWidth="1"/>
    <col min="292" max="292" width="10.28515625" bestFit="1" customWidth="1"/>
    <col min="293" max="293" width="7.5703125" bestFit="1" customWidth="1"/>
    <col min="294" max="294" width="7.7109375" bestFit="1" customWidth="1"/>
    <col min="295" max="295" width="6" bestFit="1" customWidth="1"/>
    <col min="296" max="296" width="6.7109375" bestFit="1" customWidth="1"/>
    <col min="297" max="297" width="9.85546875" bestFit="1" customWidth="1"/>
    <col min="298" max="298" width="9.5703125" bestFit="1" customWidth="1"/>
    <col min="299" max="299" width="11.7109375" bestFit="1" customWidth="1"/>
    <col min="300" max="300" width="6.7109375" bestFit="1" customWidth="1"/>
    <col min="301" max="301" width="10" bestFit="1" customWidth="1"/>
    <col min="302" max="302" width="11.140625" bestFit="1" customWidth="1"/>
    <col min="303" max="303" width="10.42578125" bestFit="1" customWidth="1"/>
    <col min="304" max="304" width="6.42578125" bestFit="1" customWidth="1"/>
    <col min="305" max="305" width="10.85546875" bestFit="1" customWidth="1"/>
    <col min="306" max="306" width="7" bestFit="1" customWidth="1"/>
    <col min="307" max="307" width="9.7109375" bestFit="1" customWidth="1"/>
    <col min="308" max="308" width="11" bestFit="1" customWidth="1"/>
    <col min="309" max="309" width="12.42578125" bestFit="1" customWidth="1"/>
    <col min="310" max="310" width="8.5703125" bestFit="1" customWidth="1"/>
    <col min="311" max="311" width="10.28515625" bestFit="1" customWidth="1"/>
    <col min="312" max="312" width="8.5703125" bestFit="1" customWidth="1"/>
    <col min="313" max="313" width="7.5703125" bestFit="1" customWidth="1"/>
    <col min="314" max="314" width="10.5703125" bestFit="1" customWidth="1"/>
    <col min="315" max="315" width="12.7109375" bestFit="1" customWidth="1"/>
    <col min="316" max="316" width="9.42578125" bestFit="1" customWidth="1"/>
    <col min="317" max="317" width="12.140625" bestFit="1" customWidth="1"/>
    <col min="318" max="318" width="8.140625" bestFit="1" customWidth="1"/>
    <col min="319" max="319" width="5.5703125" bestFit="1" customWidth="1"/>
    <col min="320" max="320" width="8.7109375" bestFit="1" customWidth="1"/>
    <col min="321" max="321" width="9.5703125" bestFit="1" customWidth="1"/>
    <col min="322" max="322" width="7.140625" bestFit="1" customWidth="1"/>
    <col min="323" max="323" width="12.5703125" bestFit="1" customWidth="1"/>
    <col min="324" max="324" width="8.42578125" bestFit="1" customWidth="1"/>
    <col min="325" max="325" width="6.5703125" bestFit="1" customWidth="1"/>
    <col min="326" max="326" width="7.28515625" bestFit="1" customWidth="1"/>
    <col min="327" max="327" width="11.85546875" bestFit="1" customWidth="1"/>
    <col min="328" max="329" width="8.42578125" bestFit="1" customWidth="1"/>
    <col min="330" max="330" width="6.5703125" bestFit="1" customWidth="1"/>
    <col min="331" max="331" width="6.42578125" bestFit="1" customWidth="1"/>
    <col min="332" max="332" width="6.7109375" bestFit="1" customWidth="1"/>
    <col min="333" max="333" width="7" bestFit="1" customWidth="1"/>
    <col min="334" max="334" width="9" bestFit="1" customWidth="1"/>
    <col min="335" max="335" width="6.28515625" bestFit="1" customWidth="1"/>
    <col min="336" max="336" width="10.5703125" bestFit="1" customWidth="1"/>
    <col min="337" max="337" width="10.140625" bestFit="1" customWidth="1"/>
    <col min="338" max="338" width="8.7109375" bestFit="1" customWidth="1"/>
    <col min="339" max="339" width="8.42578125" bestFit="1" customWidth="1"/>
    <col min="340" max="340" width="11" bestFit="1" customWidth="1"/>
    <col min="341" max="341" width="4" bestFit="1" customWidth="1"/>
    <col min="342" max="342" width="6" bestFit="1" customWidth="1"/>
    <col min="343" max="343" width="7" bestFit="1" customWidth="1"/>
    <col min="344" max="344" width="9.7109375" bestFit="1" customWidth="1"/>
    <col min="345" max="345" width="11.28515625" bestFit="1" customWidth="1"/>
    <col min="346" max="346" width="10.140625" bestFit="1" customWidth="1"/>
    <col min="347" max="347" width="10" bestFit="1" customWidth="1"/>
    <col min="348" max="348" width="7.5703125" bestFit="1" customWidth="1"/>
    <col min="349" max="349" width="7.140625" bestFit="1" customWidth="1"/>
    <col min="350" max="350" width="11.140625" bestFit="1" customWidth="1"/>
    <col min="351" max="351" width="6.28515625" bestFit="1" customWidth="1"/>
    <col min="352" max="352" width="14.28515625" bestFit="1" customWidth="1"/>
    <col min="353" max="353" width="6.42578125" bestFit="1" customWidth="1"/>
    <col min="354" max="354" width="10.28515625" bestFit="1" customWidth="1"/>
    <col min="355" max="355" width="8.42578125" bestFit="1" customWidth="1"/>
    <col min="356" max="357" width="7.85546875" bestFit="1" customWidth="1"/>
    <col min="358" max="358" width="9.28515625" bestFit="1" customWidth="1"/>
    <col min="359" max="359" width="10.85546875" bestFit="1" customWidth="1"/>
    <col min="360" max="360" width="9.7109375" bestFit="1" customWidth="1"/>
    <col min="361" max="361" width="7.28515625" bestFit="1" customWidth="1"/>
    <col min="362" max="362" width="6" bestFit="1" customWidth="1"/>
    <col min="363" max="363" width="6.5703125" bestFit="1" customWidth="1"/>
    <col min="364" max="364" width="9" bestFit="1" customWidth="1"/>
    <col min="365" max="365" width="10.28515625" bestFit="1" customWidth="1"/>
    <col min="366" max="366" width="10.42578125" bestFit="1" customWidth="1"/>
    <col min="367" max="367" width="8.7109375" bestFit="1" customWidth="1"/>
    <col min="368" max="369" width="10.42578125" bestFit="1" customWidth="1"/>
    <col min="370" max="370" width="12.140625" bestFit="1" customWidth="1"/>
    <col min="371" max="371" width="12.28515625" bestFit="1" customWidth="1"/>
    <col min="372" max="372" width="11.42578125" bestFit="1" customWidth="1"/>
    <col min="373" max="373" width="11.5703125" bestFit="1" customWidth="1"/>
    <col min="374" max="374" width="8.28515625" bestFit="1" customWidth="1"/>
    <col min="375" max="375" width="9.7109375" bestFit="1" customWidth="1"/>
    <col min="376" max="376" width="10.28515625" bestFit="1" customWidth="1"/>
    <col min="377" max="377" width="6.28515625" bestFit="1" customWidth="1"/>
    <col min="378" max="378" width="8.42578125" bestFit="1" customWidth="1"/>
    <col min="379" max="379" width="7.28515625" bestFit="1" customWidth="1"/>
    <col min="380" max="380" width="14.7109375" bestFit="1" customWidth="1"/>
    <col min="381" max="381" width="9.42578125" bestFit="1" customWidth="1"/>
    <col min="382" max="382" width="10.42578125" bestFit="1" customWidth="1"/>
    <col min="383" max="383" width="5.85546875" bestFit="1" customWidth="1"/>
    <col min="384" max="384" width="7.85546875" bestFit="1" customWidth="1"/>
    <col min="385" max="385" width="6" bestFit="1" customWidth="1"/>
    <col min="386" max="386" width="9.7109375" bestFit="1" customWidth="1"/>
    <col min="387" max="387" width="9.28515625" bestFit="1" customWidth="1"/>
    <col min="388" max="388" width="11.85546875" bestFit="1" customWidth="1"/>
    <col min="389" max="389" width="13.140625" bestFit="1" customWidth="1"/>
    <col min="390" max="390" width="8.140625" bestFit="1" customWidth="1"/>
    <col min="391" max="391" width="12" bestFit="1" customWidth="1"/>
    <col min="392" max="392" width="8" bestFit="1" customWidth="1"/>
    <col min="393" max="393" width="8.7109375" bestFit="1" customWidth="1"/>
    <col min="394" max="394" width="13.28515625" bestFit="1" customWidth="1"/>
    <col min="395" max="395" width="6" bestFit="1" customWidth="1"/>
    <col min="396" max="396" width="7.7109375" bestFit="1" customWidth="1"/>
    <col min="397" max="397" width="10.5703125" bestFit="1" customWidth="1"/>
    <col min="398" max="398" width="11.85546875" bestFit="1" customWidth="1"/>
    <col min="399" max="399" width="7" bestFit="1" customWidth="1"/>
    <col min="400" max="400" width="10.5703125" bestFit="1" customWidth="1"/>
    <col min="401" max="401" width="13.85546875" bestFit="1" customWidth="1"/>
    <col min="402" max="402" width="10.28515625" bestFit="1" customWidth="1"/>
    <col min="403" max="404" width="8.7109375" bestFit="1" customWidth="1"/>
    <col min="405" max="405" width="6.7109375" bestFit="1" customWidth="1"/>
    <col min="407" max="407" width="13.28515625" bestFit="1" customWidth="1"/>
    <col min="408" max="408" width="12.7109375" bestFit="1" customWidth="1"/>
    <col min="409" max="409" width="8.5703125" bestFit="1" customWidth="1"/>
    <col min="410" max="410" width="8.28515625" bestFit="1" customWidth="1"/>
    <col min="411" max="411" width="6.85546875" bestFit="1" customWidth="1"/>
    <col min="412" max="412" width="7.42578125" bestFit="1" customWidth="1"/>
    <col min="413" max="413" width="13.85546875" bestFit="1" customWidth="1"/>
    <col min="414" max="414" width="8.140625" bestFit="1" customWidth="1"/>
    <col min="415" max="415" width="8.7109375" bestFit="1" customWidth="1"/>
    <col min="416" max="416" width="8" bestFit="1" customWidth="1"/>
    <col min="417" max="417" width="6.7109375" bestFit="1" customWidth="1"/>
    <col min="418" max="418" width="10.42578125" bestFit="1" customWidth="1"/>
    <col min="419" max="419" width="9.42578125" bestFit="1" customWidth="1"/>
    <col min="420" max="420" width="7.7109375" bestFit="1" customWidth="1"/>
    <col min="421" max="421" width="11.140625" bestFit="1" customWidth="1"/>
    <col min="422" max="422" width="8.140625" bestFit="1" customWidth="1"/>
    <col min="423" max="423" width="7.7109375" bestFit="1" customWidth="1"/>
    <col min="424" max="424" width="7.140625" bestFit="1" customWidth="1"/>
    <col min="425" max="425" width="9.7109375" bestFit="1" customWidth="1"/>
    <col min="426" max="426" width="7.42578125" bestFit="1" customWidth="1"/>
    <col min="427" max="427" width="11.140625" bestFit="1" customWidth="1"/>
    <col min="428" max="428" width="10.5703125" bestFit="1" customWidth="1"/>
    <col min="429" max="429" width="10.85546875" bestFit="1" customWidth="1"/>
    <col min="430" max="430" width="10.42578125" bestFit="1" customWidth="1"/>
    <col min="431" max="431" width="5.140625" bestFit="1" customWidth="1"/>
    <col min="432" max="432" width="4.28515625" bestFit="1" customWidth="1"/>
    <col min="433" max="433" width="10.42578125" bestFit="1" customWidth="1"/>
    <col min="434" max="434" width="11.28515625" bestFit="1" customWidth="1"/>
    <col min="435" max="435" width="8.7109375" bestFit="1" customWidth="1"/>
    <col min="436" max="436" width="11.28515625" bestFit="1" customWidth="1"/>
    <col min="437" max="437" width="9" bestFit="1" customWidth="1"/>
    <col min="438" max="438" width="8.5703125" bestFit="1" customWidth="1"/>
    <col min="439" max="439" width="15" bestFit="1" customWidth="1"/>
    <col min="440" max="440" width="14.5703125" bestFit="1" customWidth="1"/>
    <col min="441" max="441" width="7.140625" bestFit="1" customWidth="1"/>
    <col min="442" max="442" width="13.42578125" bestFit="1" customWidth="1"/>
    <col min="443" max="443" width="7.140625" bestFit="1" customWidth="1"/>
    <col min="444" max="444" width="12.140625" bestFit="1" customWidth="1"/>
    <col min="445" max="445" width="7" bestFit="1" customWidth="1"/>
    <col min="446" max="446" width="11.28515625" bestFit="1" customWidth="1"/>
    <col min="447" max="447" width="13.85546875" bestFit="1" customWidth="1"/>
    <col min="448" max="448" width="11.140625" bestFit="1" customWidth="1"/>
    <col min="449" max="449" width="7.28515625" bestFit="1" customWidth="1"/>
    <col min="450" max="450" width="11.5703125" bestFit="1" customWidth="1"/>
    <col min="451" max="451" width="9.5703125" bestFit="1" customWidth="1"/>
    <col min="452" max="452" width="11.140625" bestFit="1" customWidth="1"/>
    <col min="453" max="453" width="7.140625" bestFit="1" customWidth="1"/>
    <col min="455" max="455" width="8.7109375" bestFit="1" customWidth="1"/>
    <col min="456" max="456" width="9.42578125" bestFit="1" customWidth="1"/>
    <col min="457" max="457" width="7.85546875" bestFit="1" customWidth="1"/>
    <col min="458" max="458" width="8.5703125" bestFit="1" customWidth="1"/>
    <col min="459" max="459" width="11.140625" bestFit="1" customWidth="1"/>
    <col min="460" max="460" width="5.140625" bestFit="1" customWidth="1"/>
    <col min="461" max="461" width="7.5703125" bestFit="1" customWidth="1"/>
    <col min="462" max="462" width="10.42578125" bestFit="1" customWidth="1"/>
    <col min="463" max="463" width="7.7109375" bestFit="1" customWidth="1"/>
    <col min="464" max="464" width="10.7109375" bestFit="1" customWidth="1"/>
    <col min="465" max="465" width="8.85546875" bestFit="1" customWidth="1"/>
    <col min="466" max="466" width="6" bestFit="1" customWidth="1"/>
    <col min="467" max="467" width="8.7109375" bestFit="1" customWidth="1"/>
    <col min="468" max="468" width="8.140625" bestFit="1" customWidth="1"/>
    <col min="469" max="469" width="7.42578125" bestFit="1" customWidth="1"/>
    <col min="470" max="470" width="14.28515625" bestFit="1" customWidth="1"/>
  </cols>
  <sheetData>
    <row r="1" spans="1:15" x14ac:dyDescent="0.25">
      <c r="A1" s="2" t="s">
        <v>0</v>
      </c>
      <c r="B1" s="3" t="s">
        <v>1</v>
      </c>
      <c r="C1" s="3" t="s">
        <v>2</v>
      </c>
      <c r="D1" s="4" t="s">
        <v>1127</v>
      </c>
    </row>
    <row r="2" spans="1:15" x14ac:dyDescent="0.25">
      <c r="A2" s="5" t="s">
        <v>3</v>
      </c>
      <c r="B2" s="6" t="s">
        <v>4</v>
      </c>
      <c r="C2" s="6" t="s">
        <v>5</v>
      </c>
      <c r="D2" s="7" t="str">
        <f t="shared" ref="D2:D65" si="0">IF(MOD(LEFT(RIGHT(A2,2),1),2)=0,"k","m")</f>
        <v>m</v>
      </c>
      <c r="E2" t="str">
        <f>IF(B2=C2,A2,"")</f>
        <v/>
      </c>
      <c r="F2" s="13" t="s">
        <v>1129</v>
      </c>
      <c r="G2" t="s">
        <v>1131</v>
      </c>
      <c r="L2" s="5" t="s">
        <v>349</v>
      </c>
      <c r="M2" s="6" t="s">
        <v>350</v>
      </c>
      <c r="N2" s="6" t="s">
        <v>351</v>
      </c>
      <c r="O2" s="7"/>
    </row>
    <row r="3" spans="1:15" x14ac:dyDescent="0.25">
      <c r="A3" s="8" t="s">
        <v>6</v>
      </c>
      <c r="B3" s="9" t="s">
        <v>7</v>
      </c>
      <c r="C3" s="9" t="s">
        <v>8</v>
      </c>
      <c r="D3" s="7" t="str">
        <f t="shared" si="0"/>
        <v>m</v>
      </c>
      <c r="E3" t="str">
        <f>IF(B3=C3,A3,"")</f>
        <v/>
      </c>
      <c r="F3" s="14" t="s">
        <v>485</v>
      </c>
      <c r="G3" s="1">
        <v>7</v>
      </c>
      <c r="L3" s="5" t="s">
        <v>695</v>
      </c>
      <c r="M3" s="6" t="s">
        <v>350</v>
      </c>
      <c r="N3" s="6" t="s">
        <v>351</v>
      </c>
      <c r="O3" s="7"/>
    </row>
    <row r="4" spans="1:15" x14ac:dyDescent="0.25">
      <c r="A4" s="5" t="s">
        <v>9</v>
      </c>
      <c r="B4" s="6" t="s">
        <v>10</v>
      </c>
      <c r="C4" s="6" t="s">
        <v>11</v>
      </c>
      <c r="D4" s="7" t="str">
        <f t="shared" si="0"/>
        <v>m</v>
      </c>
      <c r="E4" t="str">
        <f t="shared" ref="E4:E67" si="1">IF(B4=C4,A4,"")</f>
        <v/>
      </c>
      <c r="F4" s="15" t="s">
        <v>642</v>
      </c>
      <c r="G4" s="1">
        <v>1</v>
      </c>
      <c r="L4" s="5" t="s">
        <v>921</v>
      </c>
      <c r="M4" s="6" t="s">
        <v>350</v>
      </c>
      <c r="N4" s="6" t="s">
        <v>351</v>
      </c>
      <c r="O4" s="7"/>
    </row>
    <row r="5" spans="1:15" x14ac:dyDescent="0.25">
      <c r="A5" s="8" t="s">
        <v>12</v>
      </c>
      <c r="B5" s="9" t="s">
        <v>13</v>
      </c>
      <c r="C5" s="9" t="s">
        <v>14</v>
      </c>
      <c r="D5" s="7" t="str">
        <f>IF(MOD(LEFT(RIGHT(A5,2),1),2)=0,"k","m")</f>
        <v>m</v>
      </c>
      <c r="E5" t="str">
        <f t="shared" si="1"/>
        <v/>
      </c>
      <c r="F5" s="15" t="s">
        <v>772</v>
      </c>
      <c r="G5" s="1">
        <v>1</v>
      </c>
      <c r="H5" s="16" t="s">
        <v>351</v>
      </c>
      <c r="I5" s="15" t="s">
        <v>350</v>
      </c>
      <c r="L5" s="5" t="s">
        <v>234</v>
      </c>
      <c r="M5" s="6" t="s">
        <v>235</v>
      </c>
      <c r="N5" s="6" t="s">
        <v>5</v>
      </c>
      <c r="O5" s="7"/>
    </row>
    <row r="6" spans="1:15" x14ac:dyDescent="0.25">
      <c r="A6" s="5" t="s">
        <v>15</v>
      </c>
      <c r="B6" s="6" t="s">
        <v>16</v>
      </c>
      <c r="C6" s="6" t="s">
        <v>17</v>
      </c>
      <c r="D6" s="7" t="str">
        <f t="shared" si="0"/>
        <v>m</v>
      </c>
      <c r="E6" t="str">
        <f t="shared" si="1"/>
        <v/>
      </c>
      <c r="F6" s="15" t="s">
        <v>685</v>
      </c>
      <c r="G6" s="1">
        <v>1</v>
      </c>
      <c r="H6" s="16" t="s">
        <v>5</v>
      </c>
      <c r="I6" s="15" t="s">
        <v>235</v>
      </c>
      <c r="L6" s="5" t="s">
        <v>631</v>
      </c>
      <c r="M6" s="6" t="s">
        <v>235</v>
      </c>
      <c r="N6" s="6" t="s">
        <v>5</v>
      </c>
      <c r="O6" s="7"/>
    </row>
    <row r="7" spans="1:15" x14ac:dyDescent="0.25">
      <c r="A7" s="8" t="s">
        <v>18</v>
      </c>
      <c r="B7" s="9" t="s">
        <v>19</v>
      </c>
      <c r="C7" s="9" t="s">
        <v>20</v>
      </c>
      <c r="D7" s="7" t="str">
        <f t="shared" si="0"/>
        <v>m</v>
      </c>
      <c r="E7" t="str">
        <f t="shared" si="1"/>
        <v/>
      </c>
      <c r="F7" s="15" t="s">
        <v>931</v>
      </c>
      <c r="G7" s="1">
        <v>1</v>
      </c>
      <c r="H7" s="16" t="s">
        <v>208</v>
      </c>
      <c r="I7" s="15" t="s">
        <v>207</v>
      </c>
      <c r="L7" s="8" t="s">
        <v>206</v>
      </c>
      <c r="M7" s="9" t="s">
        <v>207</v>
      </c>
      <c r="N7" s="9" t="s">
        <v>208</v>
      </c>
      <c r="O7" s="7"/>
    </row>
    <row r="8" spans="1:15" x14ac:dyDescent="0.25">
      <c r="A8" s="5" t="s">
        <v>21</v>
      </c>
      <c r="B8" s="6" t="s">
        <v>22</v>
      </c>
      <c r="C8" s="6" t="s">
        <v>8</v>
      </c>
      <c r="D8" s="7" t="str">
        <f t="shared" si="0"/>
        <v>m</v>
      </c>
      <c r="E8" t="str">
        <f t="shared" si="1"/>
        <v/>
      </c>
      <c r="F8" s="15" t="s">
        <v>484</v>
      </c>
      <c r="G8" s="1">
        <v>1</v>
      </c>
      <c r="H8" s="16" t="s">
        <v>17</v>
      </c>
      <c r="I8" s="15" t="s">
        <v>866</v>
      </c>
      <c r="L8" s="8" t="s">
        <v>747</v>
      </c>
      <c r="M8" s="9" t="s">
        <v>207</v>
      </c>
      <c r="N8" s="9" t="s">
        <v>208</v>
      </c>
      <c r="O8" s="7"/>
    </row>
    <row r="9" spans="1:15" x14ac:dyDescent="0.25">
      <c r="A9" s="8" t="s">
        <v>23</v>
      </c>
      <c r="B9" s="9" t="s">
        <v>24</v>
      </c>
      <c r="C9" s="9" t="s">
        <v>25</v>
      </c>
      <c r="D9" s="7" t="str">
        <f t="shared" si="0"/>
        <v>m</v>
      </c>
      <c r="E9" t="str">
        <f t="shared" si="1"/>
        <v/>
      </c>
      <c r="F9" s="15" t="s">
        <v>940</v>
      </c>
      <c r="G9" s="1">
        <v>1</v>
      </c>
      <c r="H9" s="16"/>
      <c r="I9" s="15"/>
      <c r="L9" s="8" t="s">
        <v>865</v>
      </c>
      <c r="M9" s="9" t="s">
        <v>866</v>
      </c>
      <c r="N9" s="9" t="s">
        <v>17</v>
      </c>
      <c r="O9" s="7"/>
    </row>
    <row r="10" spans="1:15" x14ac:dyDescent="0.25">
      <c r="A10" s="5" t="s">
        <v>26</v>
      </c>
      <c r="B10" s="6" t="s">
        <v>27</v>
      </c>
      <c r="C10" s="6" t="s">
        <v>28</v>
      </c>
      <c r="D10" s="7" t="str">
        <f t="shared" si="0"/>
        <v>m</v>
      </c>
      <c r="E10" t="str">
        <f t="shared" si="1"/>
        <v/>
      </c>
      <c r="F10" s="15" t="s">
        <v>850</v>
      </c>
      <c r="G10" s="1">
        <v>1</v>
      </c>
      <c r="L10" s="8" t="s">
        <v>912</v>
      </c>
      <c r="M10" s="9" t="s">
        <v>866</v>
      </c>
      <c r="N10" s="9" t="s">
        <v>17</v>
      </c>
      <c r="O10" s="7"/>
    </row>
    <row r="11" spans="1:15" x14ac:dyDescent="0.25">
      <c r="A11" s="8" t="s">
        <v>29</v>
      </c>
      <c r="B11" s="9" t="s">
        <v>30</v>
      </c>
      <c r="C11" s="9" t="s">
        <v>31</v>
      </c>
      <c r="D11" s="7" t="str">
        <f t="shared" si="0"/>
        <v>m</v>
      </c>
      <c r="E11" t="str">
        <f t="shared" si="1"/>
        <v/>
      </c>
      <c r="F11" s="14" t="s">
        <v>464</v>
      </c>
      <c r="G11" s="1">
        <v>5</v>
      </c>
    </row>
    <row r="12" spans="1:15" x14ac:dyDescent="0.25">
      <c r="A12" s="5" t="s">
        <v>32</v>
      </c>
      <c r="B12" s="6" t="s">
        <v>33</v>
      </c>
      <c r="C12" s="6" t="s">
        <v>20</v>
      </c>
      <c r="D12" s="7" t="str">
        <f t="shared" si="0"/>
        <v>m</v>
      </c>
      <c r="E12" t="str">
        <f t="shared" si="1"/>
        <v/>
      </c>
      <c r="F12" s="15" t="s">
        <v>1115</v>
      </c>
      <c r="G12" s="1">
        <v>1</v>
      </c>
    </row>
    <row r="13" spans="1:15" x14ac:dyDescent="0.25">
      <c r="A13" s="8" t="s">
        <v>34</v>
      </c>
      <c r="B13" s="9" t="s">
        <v>35</v>
      </c>
      <c r="C13" s="9" t="s">
        <v>36</v>
      </c>
      <c r="D13" s="7" t="str">
        <f t="shared" si="0"/>
        <v>m</v>
      </c>
      <c r="E13" t="str">
        <f t="shared" si="1"/>
        <v/>
      </c>
      <c r="F13" s="15" t="s">
        <v>578</v>
      </c>
      <c r="G13" s="1">
        <v>1</v>
      </c>
    </row>
    <row r="14" spans="1:15" x14ac:dyDescent="0.25">
      <c r="A14" s="5" t="s">
        <v>37</v>
      </c>
      <c r="B14" s="6" t="s">
        <v>38</v>
      </c>
      <c r="C14" s="6" t="s">
        <v>39</v>
      </c>
      <c r="D14" s="7" t="str">
        <f t="shared" si="0"/>
        <v>m</v>
      </c>
      <c r="E14" t="str">
        <f t="shared" si="1"/>
        <v/>
      </c>
      <c r="F14" s="15" t="s">
        <v>964</v>
      </c>
      <c r="G14" s="1">
        <v>1</v>
      </c>
    </row>
    <row r="15" spans="1:15" x14ac:dyDescent="0.25">
      <c r="A15" s="8" t="s">
        <v>40</v>
      </c>
      <c r="B15" s="9" t="s">
        <v>41</v>
      </c>
      <c r="C15" s="9" t="s">
        <v>39</v>
      </c>
      <c r="D15" s="7" t="str">
        <f t="shared" si="0"/>
        <v>m</v>
      </c>
      <c r="E15" t="str">
        <f t="shared" si="1"/>
        <v/>
      </c>
      <c r="F15" s="15" t="s">
        <v>463</v>
      </c>
      <c r="G15" s="1">
        <v>1</v>
      </c>
    </row>
    <row r="16" spans="1:15" x14ac:dyDescent="0.25">
      <c r="A16" s="5" t="s">
        <v>42</v>
      </c>
      <c r="B16" s="6" t="s">
        <v>43</v>
      </c>
      <c r="C16" s="6" t="s">
        <v>44</v>
      </c>
      <c r="D16" s="7" t="str">
        <f t="shared" si="0"/>
        <v>m</v>
      </c>
      <c r="E16" t="str">
        <f t="shared" si="1"/>
        <v/>
      </c>
      <c r="F16" s="15" t="s">
        <v>960</v>
      </c>
      <c r="G16" s="1">
        <v>1</v>
      </c>
    </row>
    <row r="17" spans="1:7" x14ac:dyDescent="0.25">
      <c r="A17" s="8" t="s">
        <v>45</v>
      </c>
      <c r="B17" s="9" t="s">
        <v>46</v>
      </c>
      <c r="C17" s="9" t="s">
        <v>47</v>
      </c>
      <c r="D17" s="7" t="str">
        <f t="shared" si="0"/>
        <v>m</v>
      </c>
      <c r="E17" t="str">
        <f t="shared" si="1"/>
        <v/>
      </c>
      <c r="F17" s="14" t="s">
        <v>44</v>
      </c>
      <c r="G17" s="1">
        <v>4</v>
      </c>
    </row>
    <row r="18" spans="1:7" x14ac:dyDescent="0.25">
      <c r="A18" s="5" t="s">
        <v>48</v>
      </c>
      <c r="B18" s="6" t="s">
        <v>49</v>
      </c>
      <c r="C18" s="6" t="s">
        <v>50</v>
      </c>
      <c r="D18" s="7" t="str">
        <f t="shared" si="0"/>
        <v>m</v>
      </c>
      <c r="E18" t="str">
        <f t="shared" si="1"/>
        <v/>
      </c>
      <c r="F18" s="15" t="s">
        <v>189</v>
      </c>
      <c r="G18" s="1">
        <v>1</v>
      </c>
    </row>
    <row r="19" spans="1:7" x14ac:dyDescent="0.25">
      <c r="A19" s="8" t="s">
        <v>51</v>
      </c>
      <c r="B19" s="9" t="s">
        <v>52</v>
      </c>
      <c r="C19" s="9" t="s">
        <v>53</v>
      </c>
      <c r="D19" s="7" t="str">
        <f t="shared" si="0"/>
        <v>m</v>
      </c>
      <c r="E19" t="str">
        <f t="shared" si="1"/>
        <v/>
      </c>
      <c r="F19" s="15" t="s">
        <v>30</v>
      </c>
      <c r="G19" s="1">
        <v>1</v>
      </c>
    </row>
    <row r="20" spans="1:7" x14ac:dyDescent="0.25">
      <c r="A20" s="5" t="s">
        <v>54</v>
      </c>
      <c r="B20" s="6" t="s">
        <v>55</v>
      </c>
      <c r="C20" s="6" t="s">
        <v>56</v>
      </c>
      <c r="D20" s="7" t="str">
        <f t="shared" si="0"/>
        <v>k</v>
      </c>
      <c r="E20" t="str">
        <f t="shared" si="1"/>
        <v/>
      </c>
      <c r="F20" s="15" t="s">
        <v>659</v>
      </c>
      <c r="G20" s="1">
        <v>1</v>
      </c>
    </row>
    <row r="21" spans="1:7" x14ac:dyDescent="0.25">
      <c r="A21" s="8" t="s">
        <v>57</v>
      </c>
      <c r="B21" s="9" t="s">
        <v>58</v>
      </c>
      <c r="C21" s="9" t="s">
        <v>8</v>
      </c>
      <c r="D21" s="7" t="str">
        <f t="shared" si="0"/>
        <v>m</v>
      </c>
      <c r="E21" t="str">
        <f t="shared" si="1"/>
        <v/>
      </c>
      <c r="F21" s="15" t="s">
        <v>43</v>
      </c>
      <c r="G21" s="1">
        <v>1</v>
      </c>
    </row>
    <row r="22" spans="1:7" x14ac:dyDescent="0.25">
      <c r="A22" s="5" t="s">
        <v>59</v>
      </c>
      <c r="B22" s="6" t="s">
        <v>60</v>
      </c>
      <c r="C22" s="6" t="s">
        <v>61</v>
      </c>
      <c r="D22" s="7" t="str">
        <f t="shared" si="0"/>
        <v>m</v>
      </c>
      <c r="E22" t="str">
        <f t="shared" si="1"/>
        <v/>
      </c>
      <c r="F22" s="14" t="s">
        <v>323</v>
      </c>
      <c r="G22" s="1">
        <v>4</v>
      </c>
    </row>
    <row r="23" spans="1:7" x14ac:dyDescent="0.25">
      <c r="A23" s="8" t="s">
        <v>62</v>
      </c>
      <c r="B23" s="9" t="s">
        <v>63</v>
      </c>
      <c r="C23" s="9" t="s">
        <v>64</v>
      </c>
      <c r="D23" s="7" t="str">
        <f t="shared" si="0"/>
        <v>m</v>
      </c>
      <c r="E23" t="str">
        <f t="shared" si="1"/>
        <v/>
      </c>
      <c r="F23" s="15" t="s">
        <v>764</v>
      </c>
      <c r="G23" s="1">
        <v>1</v>
      </c>
    </row>
    <row r="24" spans="1:7" x14ac:dyDescent="0.25">
      <c r="A24" s="5" t="s">
        <v>65</v>
      </c>
      <c r="B24" s="6" t="s">
        <v>66</v>
      </c>
      <c r="C24" s="6" t="s">
        <v>67</v>
      </c>
      <c r="D24" s="7" t="str">
        <f t="shared" si="0"/>
        <v>k</v>
      </c>
      <c r="E24" t="str">
        <f t="shared" si="1"/>
        <v/>
      </c>
      <c r="F24" s="15" t="s">
        <v>663</v>
      </c>
      <c r="G24" s="1">
        <v>1</v>
      </c>
    </row>
    <row r="25" spans="1:7" x14ac:dyDescent="0.25">
      <c r="A25" s="8" t="s">
        <v>68</v>
      </c>
      <c r="B25" s="9" t="s">
        <v>69</v>
      </c>
      <c r="C25" s="9" t="s">
        <v>70</v>
      </c>
      <c r="D25" s="7" t="str">
        <f t="shared" si="0"/>
        <v>k</v>
      </c>
      <c r="E25" t="str">
        <f t="shared" si="1"/>
        <v/>
      </c>
      <c r="F25" s="15" t="s">
        <v>540</v>
      </c>
      <c r="G25" s="1">
        <v>1</v>
      </c>
    </row>
    <row r="26" spans="1:7" x14ac:dyDescent="0.25">
      <c r="A26" s="5" t="s">
        <v>71</v>
      </c>
      <c r="B26" s="6" t="s">
        <v>72</v>
      </c>
      <c r="C26" s="6" t="s">
        <v>73</v>
      </c>
      <c r="D26" s="7" t="str">
        <f t="shared" si="0"/>
        <v>m</v>
      </c>
      <c r="E26" t="str">
        <f t="shared" si="1"/>
        <v/>
      </c>
      <c r="F26" s="15" t="s">
        <v>322</v>
      </c>
      <c r="G26" s="1">
        <v>1</v>
      </c>
    </row>
    <row r="27" spans="1:7" x14ac:dyDescent="0.25">
      <c r="A27" s="8" t="s">
        <v>74</v>
      </c>
      <c r="B27" s="9" t="s">
        <v>75</v>
      </c>
      <c r="C27" s="9" t="s">
        <v>8</v>
      </c>
      <c r="D27" s="7" t="str">
        <f t="shared" si="0"/>
        <v>m</v>
      </c>
      <c r="E27" t="str">
        <f t="shared" si="1"/>
        <v/>
      </c>
      <c r="F27" s="14" t="s">
        <v>111</v>
      </c>
      <c r="G27" s="1">
        <v>6</v>
      </c>
    </row>
    <row r="28" spans="1:7" x14ac:dyDescent="0.25">
      <c r="A28" s="5" t="s">
        <v>76</v>
      </c>
      <c r="B28" s="6" t="s">
        <v>77</v>
      </c>
      <c r="C28" s="6" t="s">
        <v>78</v>
      </c>
      <c r="D28" s="7" t="str">
        <f t="shared" si="0"/>
        <v>k</v>
      </c>
      <c r="E28" t="str">
        <f t="shared" si="1"/>
        <v/>
      </c>
      <c r="F28" s="15" t="s">
        <v>110</v>
      </c>
      <c r="G28" s="1">
        <v>1</v>
      </c>
    </row>
    <row r="29" spans="1:7" x14ac:dyDescent="0.25">
      <c r="A29" s="8" t="s">
        <v>79</v>
      </c>
      <c r="B29" s="9" t="s">
        <v>80</v>
      </c>
      <c r="C29" s="9" t="s">
        <v>39</v>
      </c>
      <c r="D29" s="7" t="str">
        <f t="shared" si="0"/>
        <v>m</v>
      </c>
      <c r="E29" t="str">
        <f t="shared" si="1"/>
        <v/>
      </c>
      <c r="F29" s="15" t="s">
        <v>153</v>
      </c>
      <c r="G29" s="1">
        <v>1</v>
      </c>
    </row>
    <row r="30" spans="1:7" x14ac:dyDescent="0.25">
      <c r="A30" s="5" t="s">
        <v>81</v>
      </c>
      <c r="B30" s="6" t="s">
        <v>82</v>
      </c>
      <c r="C30" s="6" t="s">
        <v>83</v>
      </c>
      <c r="D30" s="7" t="str">
        <f t="shared" si="0"/>
        <v>k</v>
      </c>
      <c r="E30" t="str">
        <f t="shared" si="1"/>
        <v/>
      </c>
      <c r="F30" s="15" t="s">
        <v>1012</v>
      </c>
      <c r="G30" s="1">
        <v>1</v>
      </c>
    </row>
    <row r="31" spans="1:7" x14ac:dyDescent="0.25">
      <c r="A31" s="8" t="s">
        <v>84</v>
      </c>
      <c r="B31" s="9" t="s">
        <v>85</v>
      </c>
      <c r="C31" s="9" t="s">
        <v>86</v>
      </c>
      <c r="D31" s="7" t="str">
        <f t="shared" si="0"/>
        <v>k</v>
      </c>
      <c r="E31" t="str">
        <f t="shared" si="1"/>
        <v/>
      </c>
      <c r="F31" s="15" t="s">
        <v>731</v>
      </c>
      <c r="G31" s="1">
        <v>1</v>
      </c>
    </row>
    <row r="32" spans="1:7" x14ac:dyDescent="0.25">
      <c r="A32" s="5" t="s">
        <v>87</v>
      </c>
      <c r="B32" s="6" t="s">
        <v>88</v>
      </c>
      <c r="C32" s="6" t="s">
        <v>89</v>
      </c>
      <c r="D32" s="7" t="str">
        <f t="shared" si="0"/>
        <v>k</v>
      </c>
      <c r="E32" t="str">
        <f t="shared" si="1"/>
        <v/>
      </c>
      <c r="F32" s="15" t="s">
        <v>697</v>
      </c>
      <c r="G32" s="1">
        <v>1</v>
      </c>
    </row>
    <row r="33" spans="1:7" x14ac:dyDescent="0.25">
      <c r="A33" s="8" t="s">
        <v>90</v>
      </c>
      <c r="B33" s="9" t="s">
        <v>91</v>
      </c>
      <c r="C33" s="9" t="s">
        <v>92</v>
      </c>
      <c r="D33" s="7" t="str">
        <f t="shared" si="0"/>
        <v>m</v>
      </c>
      <c r="E33" t="str">
        <f t="shared" si="1"/>
        <v/>
      </c>
      <c r="F33" s="15" t="s">
        <v>780</v>
      </c>
      <c r="G33" s="1">
        <v>1</v>
      </c>
    </row>
    <row r="34" spans="1:7" x14ac:dyDescent="0.25">
      <c r="A34" s="5" t="s">
        <v>93</v>
      </c>
      <c r="B34" s="6" t="s">
        <v>94</v>
      </c>
      <c r="C34" s="6" t="s">
        <v>5</v>
      </c>
      <c r="D34" s="7" t="str">
        <f t="shared" si="0"/>
        <v>m</v>
      </c>
      <c r="E34" t="str">
        <f t="shared" si="1"/>
        <v/>
      </c>
      <c r="F34" s="14" t="s">
        <v>56</v>
      </c>
      <c r="G34" s="1">
        <v>6</v>
      </c>
    </row>
    <row r="35" spans="1:7" x14ac:dyDescent="0.25">
      <c r="A35" s="8" t="s">
        <v>95</v>
      </c>
      <c r="B35" s="9" t="s">
        <v>96</v>
      </c>
      <c r="C35" s="9" t="s">
        <v>97</v>
      </c>
      <c r="D35" s="7" t="str">
        <f t="shared" si="0"/>
        <v>m</v>
      </c>
      <c r="E35" t="str">
        <f t="shared" si="1"/>
        <v/>
      </c>
      <c r="F35" s="15" t="s">
        <v>151</v>
      </c>
      <c r="G35" s="1">
        <v>1</v>
      </c>
    </row>
    <row r="36" spans="1:7" x14ac:dyDescent="0.25">
      <c r="A36" s="5" t="s">
        <v>98</v>
      </c>
      <c r="B36" s="6" t="s">
        <v>99</v>
      </c>
      <c r="C36" s="6" t="s">
        <v>100</v>
      </c>
      <c r="D36" s="7" t="str">
        <f t="shared" si="0"/>
        <v>k</v>
      </c>
      <c r="E36" t="str">
        <f t="shared" si="1"/>
        <v/>
      </c>
      <c r="F36" s="15" t="s">
        <v>139</v>
      </c>
      <c r="G36" s="1">
        <v>1</v>
      </c>
    </row>
    <row r="37" spans="1:7" x14ac:dyDescent="0.25">
      <c r="A37" s="8" t="s">
        <v>101</v>
      </c>
      <c r="B37" s="9" t="s">
        <v>102</v>
      </c>
      <c r="C37" s="9" t="s">
        <v>17</v>
      </c>
      <c r="D37" s="7" t="str">
        <f t="shared" si="0"/>
        <v>m</v>
      </c>
      <c r="E37" t="str">
        <f t="shared" si="1"/>
        <v/>
      </c>
      <c r="F37" s="15" t="s">
        <v>782</v>
      </c>
      <c r="G37" s="1">
        <v>1</v>
      </c>
    </row>
    <row r="38" spans="1:7" x14ac:dyDescent="0.25">
      <c r="A38" s="5" t="s">
        <v>103</v>
      </c>
      <c r="B38" s="6" t="s">
        <v>104</v>
      </c>
      <c r="C38" s="6" t="s">
        <v>105</v>
      </c>
      <c r="D38" s="7" t="str">
        <f t="shared" si="0"/>
        <v>m</v>
      </c>
      <c r="E38" t="str">
        <f t="shared" si="1"/>
        <v/>
      </c>
      <c r="F38" s="15" t="s">
        <v>55</v>
      </c>
      <c r="G38" s="1">
        <v>1</v>
      </c>
    </row>
    <row r="39" spans="1:7" x14ac:dyDescent="0.25">
      <c r="A39" s="8" t="s">
        <v>106</v>
      </c>
      <c r="B39" s="9" t="s">
        <v>107</v>
      </c>
      <c r="C39" s="9" t="s">
        <v>108</v>
      </c>
      <c r="D39" s="7" t="str">
        <f t="shared" si="0"/>
        <v>m</v>
      </c>
      <c r="E39" t="str">
        <f t="shared" si="1"/>
        <v/>
      </c>
      <c r="F39" s="15" t="s">
        <v>644</v>
      </c>
      <c r="G39" s="1">
        <v>1</v>
      </c>
    </row>
    <row r="40" spans="1:7" x14ac:dyDescent="0.25">
      <c r="A40" s="5" t="s">
        <v>109</v>
      </c>
      <c r="B40" s="6" t="s">
        <v>110</v>
      </c>
      <c r="C40" s="6" t="s">
        <v>111</v>
      </c>
      <c r="D40" s="7" t="str">
        <f t="shared" si="0"/>
        <v>k</v>
      </c>
      <c r="E40" t="str">
        <f t="shared" si="1"/>
        <v/>
      </c>
      <c r="F40" s="15" t="s">
        <v>1068</v>
      </c>
      <c r="G40" s="1">
        <v>1</v>
      </c>
    </row>
    <row r="41" spans="1:7" x14ac:dyDescent="0.25">
      <c r="A41" s="8" t="s">
        <v>112</v>
      </c>
      <c r="B41" s="9" t="s">
        <v>113</v>
      </c>
      <c r="C41" s="9" t="s">
        <v>114</v>
      </c>
      <c r="D41" s="7" t="str">
        <f t="shared" si="0"/>
        <v>m</v>
      </c>
      <c r="E41" t="str">
        <f t="shared" si="1"/>
        <v/>
      </c>
      <c r="F41" s="14" t="s">
        <v>208</v>
      </c>
      <c r="G41" s="1">
        <v>3</v>
      </c>
    </row>
    <row r="42" spans="1:7" x14ac:dyDescent="0.25">
      <c r="A42" s="5" t="s">
        <v>115</v>
      </c>
      <c r="B42" s="6" t="s">
        <v>116</v>
      </c>
      <c r="C42" s="6" t="s">
        <v>36</v>
      </c>
      <c r="D42" s="7" t="str">
        <f t="shared" si="0"/>
        <v>m</v>
      </c>
      <c r="E42" t="str">
        <f t="shared" si="1"/>
        <v/>
      </c>
      <c r="F42" s="15" t="s">
        <v>304</v>
      </c>
      <c r="G42" s="1">
        <v>1</v>
      </c>
    </row>
    <row r="43" spans="1:7" x14ac:dyDescent="0.25">
      <c r="A43" s="8" t="s">
        <v>117</v>
      </c>
      <c r="B43" s="9" t="s">
        <v>118</v>
      </c>
      <c r="C43" s="9" t="s">
        <v>73</v>
      </c>
      <c r="D43" s="7" t="str">
        <f t="shared" si="0"/>
        <v>m</v>
      </c>
      <c r="E43" t="str">
        <f t="shared" si="1"/>
        <v/>
      </c>
      <c r="F43" s="15" t="s">
        <v>207</v>
      </c>
      <c r="G43" s="1">
        <v>2</v>
      </c>
    </row>
    <row r="44" spans="1:7" x14ac:dyDescent="0.25">
      <c r="A44" s="5" t="s">
        <v>119</v>
      </c>
      <c r="B44" s="6" t="s">
        <v>120</v>
      </c>
      <c r="C44" s="6" t="s">
        <v>121</v>
      </c>
      <c r="D44" s="7" t="str">
        <f t="shared" si="0"/>
        <v>m</v>
      </c>
      <c r="E44" t="str">
        <f t="shared" si="1"/>
        <v/>
      </c>
      <c r="F44" s="14" t="s">
        <v>194</v>
      </c>
      <c r="G44" s="1">
        <v>7</v>
      </c>
    </row>
    <row r="45" spans="1:7" x14ac:dyDescent="0.25">
      <c r="A45" s="8" t="s">
        <v>122</v>
      </c>
      <c r="B45" s="9" t="s">
        <v>123</v>
      </c>
      <c r="C45" s="9" t="s">
        <v>47</v>
      </c>
      <c r="D45" s="7" t="str">
        <f t="shared" si="0"/>
        <v>m</v>
      </c>
      <c r="E45" t="str">
        <f t="shared" si="1"/>
        <v/>
      </c>
      <c r="F45" s="15" t="s">
        <v>450</v>
      </c>
      <c r="G45" s="1">
        <v>1</v>
      </c>
    </row>
    <row r="46" spans="1:7" x14ac:dyDescent="0.25">
      <c r="A46" s="5" t="s">
        <v>124</v>
      </c>
      <c r="B46" s="6" t="s">
        <v>125</v>
      </c>
      <c r="C46" s="6" t="s">
        <v>25</v>
      </c>
      <c r="D46" s="7" t="str">
        <f t="shared" si="0"/>
        <v>m</v>
      </c>
      <c r="E46" t="str">
        <f t="shared" si="1"/>
        <v/>
      </c>
      <c r="F46" s="15" t="s">
        <v>363</v>
      </c>
      <c r="G46" s="1">
        <v>1</v>
      </c>
    </row>
    <row r="47" spans="1:7" x14ac:dyDescent="0.25">
      <c r="A47" s="8" t="s">
        <v>126</v>
      </c>
      <c r="B47" s="9" t="s">
        <v>127</v>
      </c>
      <c r="C47" s="9" t="s">
        <v>128</v>
      </c>
      <c r="D47" s="7" t="str">
        <f t="shared" si="0"/>
        <v>k</v>
      </c>
      <c r="E47" t="str">
        <f t="shared" si="1"/>
        <v/>
      </c>
      <c r="F47" s="15" t="s">
        <v>635</v>
      </c>
      <c r="G47" s="1">
        <v>1</v>
      </c>
    </row>
    <row r="48" spans="1:7" x14ac:dyDescent="0.25">
      <c r="A48" s="5" t="s">
        <v>129</v>
      </c>
      <c r="B48" s="6" t="s">
        <v>130</v>
      </c>
      <c r="C48" s="6" t="s">
        <v>131</v>
      </c>
      <c r="D48" s="7" t="str">
        <f t="shared" si="0"/>
        <v>k</v>
      </c>
      <c r="E48" t="str">
        <f t="shared" si="1"/>
        <v/>
      </c>
      <c r="F48" s="15" t="s">
        <v>1052</v>
      </c>
      <c r="G48" s="1">
        <v>1</v>
      </c>
    </row>
    <row r="49" spans="1:7" x14ac:dyDescent="0.25">
      <c r="A49" s="8" t="s">
        <v>132</v>
      </c>
      <c r="B49" s="9" t="s">
        <v>133</v>
      </c>
      <c r="C49" s="9" t="s">
        <v>121</v>
      </c>
      <c r="D49" s="7" t="str">
        <f t="shared" si="0"/>
        <v>m</v>
      </c>
      <c r="E49" t="str">
        <f t="shared" si="1"/>
        <v/>
      </c>
      <c r="F49" s="15" t="s">
        <v>738</v>
      </c>
      <c r="G49" s="1">
        <v>1</v>
      </c>
    </row>
    <row r="50" spans="1:7" x14ac:dyDescent="0.25">
      <c r="A50" s="5" t="s">
        <v>134</v>
      </c>
      <c r="B50" s="6" t="s">
        <v>135</v>
      </c>
      <c r="C50" s="6" t="s">
        <v>8</v>
      </c>
      <c r="D50" s="7" t="str">
        <f t="shared" si="0"/>
        <v>m</v>
      </c>
      <c r="E50" t="str">
        <f t="shared" si="1"/>
        <v/>
      </c>
      <c r="F50" s="15" t="s">
        <v>1050</v>
      </c>
      <c r="G50" s="1">
        <v>1</v>
      </c>
    </row>
    <row r="51" spans="1:7" x14ac:dyDescent="0.25">
      <c r="A51" s="8" t="s">
        <v>136</v>
      </c>
      <c r="B51" s="9" t="s">
        <v>77</v>
      </c>
      <c r="C51" s="9" t="s">
        <v>137</v>
      </c>
      <c r="D51" s="7" t="str">
        <f t="shared" si="0"/>
        <v>k</v>
      </c>
      <c r="E51" t="str">
        <f t="shared" si="1"/>
        <v/>
      </c>
      <c r="F51" s="15" t="s">
        <v>193</v>
      </c>
      <c r="G51" s="1">
        <v>1</v>
      </c>
    </row>
    <row r="52" spans="1:7" x14ac:dyDescent="0.25">
      <c r="A52" s="5" t="s">
        <v>138</v>
      </c>
      <c r="B52" s="6" t="s">
        <v>139</v>
      </c>
      <c r="C52" s="6" t="s">
        <v>56</v>
      </c>
      <c r="D52" s="7" t="str">
        <f t="shared" si="0"/>
        <v>k</v>
      </c>
      <c r="E52" t="str">
        <f t="shared" si="1"/>
        <v/>
      </c>
      <c r="F52" s="14" t="s">
        <v>340</v>
      </c>
      <c r="G52" s="1">
        <v>5</v>
      </c>
    </row>
    <row r="53" spans="1:7" x14ac:dyDescent="0.25">
      <c r="A53" s="8" t="s">
        <v>140</v>
      </c>
      <c r="B53" s="9" t="s">
        <v>141</v>
      </c>
      <c r="C53" s="9" t="s">
        <v>142</v>
      </c>
      <c r="D53" s="7" t="str">
        <f t="shared" si="0"/>
        <v>k</v>
      </c>
      <c r="E53" t="str">
        <f t="shared" si="1"/>
        <v/>
      </c>
      <c r="F53" s="15" t="s">
        <v>402</v>
      </c>
      <c r="G53" s="1">
        <v>1</v>
      </c>
    </row>
    <row r="54" spans="1:7" x14ac:dyDescent="0.25">
      <c r="A54" s="5" t="s">
        <v>143</v>
      </c>
      <c r="B54" s="6" t="s">
        <v>144</v>
      </c>
      <c r="C54" s="6" t="s">
        <v>86</v>
      </c>
      <c r="D54" s="7" t="str">
        <f t="shared" si="0"/>
        <v>k</v>
      </c>
      <c r="E54" t="str">
        <f t="shared" si="1"/>
        <v/>
      </c>
      <c r="F54" s="15" t="s">
        <v>339</v>
      </c>
      <c r="G54" s="1">
        <v>1</v>
      </c>
    </row>
    <row r="55" spans="1:7" x14ac:dyDescent="0.25">
      <c r="A55" s="8" t="s">
        <v>145</v>
      </c>
      <c r="B55" s="9" t="s">
        <v>146</v>
      </c>
      <c r="C55" s="9" t="s">
        <v>147</v>
      </c>
      <c r="D55" s="7" t="str">
        <f t="shared" si="0"/>
        <v>k</v>
      </c>
      <c r="E55" t="str">
        <f t="shared" si="1"/>
        <v/>
      </c>
      <c r="F55" s="15" t="s">
        <v>619</v>
      </c>
      <c r="G55" s="1">
        <v>1</v>
      </c>
    </row>
    <row r="56" spans="1:7" x14ac:dyDescent="0.25">
      <c r="A56" s="5" t="s">
        <v>148</v>
      </c>
      <c r="B56" s="6" t="s">
        <v>149</v>
      </c>
      <c r="C56" s="6" t="s">
        <v>64</v>
      </c>
      <c r="D56" s="7" t="str">
        <f t="shared" si="0"/>
        <v>m</v>
      </c>
      <c r="E56" t="str">
        <f t="shared" si="1"/>
        <v/>
      </c>
      <c r="F56" s="15" t="s">
        <v>1117</v>
      </c>
      <c r="G56" s="1">
        <v>1</v>
      </c>
    </row>
    <row r="57" spans="1:7" x14ac:dyDescent="0.25">
      <c r="A57" s="8" t="s">
        <v>150</v>
      </c>
      <c r="B57" s="9" t="s">
        <v>151</v>
      </c>
      <c r="C57" s="9" t="s">
        <v>56</v>
      </c>
      <c r="D57" s="7" t="str">
        <f t="shared" si="0"/>
        <v>k</v>
      </c>
      <c r="E57" t="str">
        <f t="shared" si="1"/>
        <v/>
      </c>
      <c r="F57" s="15" t="s">
        <v>528</v>
      </c>
      <c r="G57" s="1">
        <v>1</v>
      </c>
    </row>
    <row r="58" spans="1:7" x14ac:dyDescent="0.25">
      <c r="A58" s="5" t="s">
        <v>152</v>
      </c>
      <c r="B58" s="6" t="s">
        <v>153</v>
      </c>
      <c r="C58" s="6" t="s">
        <v>111</v>
      </c>
      <c r="D58" s="7" t="str">
        <f t="shared" si="0"/>
        <v>k</v>
      </c>
      <c r="E58" t="str">
        <f t="shared" si="1"/>
        <v/>
      </c>
      <c r="F58" s="14" t="s">
        <v>202</v>
      </c>
      <c r="G58" s="1">
        <v>5</v>
      </c>
    </row>
    <row r="59" spans="1:7" x14ac:dyDescent="0.25">
      <c r="A59" s="8" t="s">
        <v>154</v>
      </c>
      <c r="B59" s="9" t="s">
        <v>155</v>
      </c>
      <c r="C59" s="9" t="s">
        <v>156</v>
      </c>
      <c r="D59" s="7" t="str">
        <f t="shared" si="0"/>
        <v>m</v>
      </c>
      <c r="E59" t="str">
        <f t="shared" si="1"/>
        <v/>
      </c>
      <c r="F59" s="15" t="s">
        <v>513</v>
      </c>
      <c r="G59" s="1">
        <v>1</v>
      </c>
    </row>
    <row r="60" spans="1:7" x14ac:dyDescent="0.25">
      <c r="A60" s="5" t="s">
        <v>157</v>
      </c>
      <c r="B60" s="6" t="s">
        <v>158</v>
      </c>
      <c r="C60" s="6" t="s">
        <v>47</v>
      </c>
      <c r="D60" s="7" t="str">
        <f t="shared" si="0"/>
        <v>m</v>
      </c>
      <c r="E60" t="str">
        <f t="shared" si="1"/>
        <v/>
      </c>
      <c r="F60" s="15" t="s">
        <v>784</v>
      </c>
      <c r="G60" s="1">
        <v>1</v>
      </c>
    </row>
    <row r="61" spans="1:7" x14ac:dyDescent="0.25">
      <c r="A61" s="8" t="s">
        <v>159</v>
      </c>
      <c r="B61" s="9" t="s">
        <v>160</v>
      </c>
      <c r="C61" s="9" t="s">
        <v>161</v>
      </c>
      <c r="D61" s="7" t="str">
        <f t="shared" si="0"/>
        <v>k</v>
      </c>
      <c r="E61" t="str">
        <f t="shared" si="1"/>
        <v/>
      </c>
      <c r="F61" s="15" t="s">
        <v>472</v>
      </c>
      <c r="G61" s="1">
        <v>1</v>
      </c>
    </row>
    <row r="62" spans="1:7" x14ac:dyDescent="0.25">
      <c r="A62" s="5" t="s">
        <v>162</v>
      </c>
      <c r="B62" s="6" t="s">
        <v>163</v>
      </c>
      <c r="C62" s="6" t="s">
        <v>39</v>
      </c>
      <c r="D62" s="7" t="str">
        <f t="shared" si="0"/>
        <v>m</v>
      </c>
      <c r="E62" t="str">
        <f t="shared" si="1"/>
        <v/>
      </c>
      <c r="F62" s="15" t="s">
        <v>332</v>
      </c>
      <c r="G62" s="1">
        <v>1</v>
      </c>
    </row>
    <row r="63" spans="1:7" x14ac:dyDescent="0.25">
      <c r="A63" s="8" t="s">
        <v>164</v>
      </c>
      <c r="B63" s="9" t="s">
        <v>165</v>
      </c>
      <c r="C63" s="9" t="s">
        <v>166</v>
      </c>
      <c r="D63" s="7" t="str">
        <f t="shared" si="0"/>
        <v>m</v>
      </c>
      <c r="E63" t="str">
        <f t="shared" si="1"/>
        <v/>
      </c>
      <c r="F63" s="15" t="s">
        <v>201</v>
      </c>
      <c r="G63" s="1">
        <v>1</v>
      </c>
    </row>
    <row r="64" spans="1:7" x14ac:dyDescent="0.25">
      <c r="A64" s="5" t="s">
        <v>167</v>
      </c>
      <c r="B64" s="6" t="s">
        <v>168</v>
      </c>
      <c r="C64" s="6" t="s">
        <v>169</v>
      </c>
      <c r="D64" s="7" t="str">
        <f t="shared" si="0"/>
        <v>m</v>
      </c>
      <c r="E64" t="str">
        <f t="shared" si="1"/>
        <v/>
      </c>
      <c r="F64" s="14" t="s">
        <v>287</v>
      </c>
      <c r="G64" s="1">
        <v>3</v>
      </c>
    </row>
    <row r="65" spans="1:7" x14ac:dyDescent="0.25">
      <c r="A65" s="8" t="s">
        <v>170</v>
      </c>
      <c r="B65" s="9" t="s">
        <v>171</v>
      </c>
      <c r="C65" s="9" t="s">
        <v>172</v>
      </c>
      <c r="D65" s="7" t="str">
        <f t="shared" si="0"/>
        <v>k</v>
      </c>
      <c r="E65" t="str">
        <f t="shared" si="1"/>
        <v/>
      </c>
      <c r="F65" s="15" t="s">
        <v>580</v>
      </c>
      <c r="G65" s="1">
        <v>1</v>
      </c>
    </row>
    <row r="66" spans="1:7" x14ac:dyDescent="0.25">
      <c r="A66" s="5" t="s">
        <v>173</v>
      </c>
      <c r="B66" s="6" t="s">
        <v>174</v>
      </c>
      <c r="C66" s="6" t="s">
        <v>25</v>
      </c>
      <c r="D66" s="7" t="str">
        <f t="shared" ref="D66:D129" si="2">IF(MOD(LEFT(RIGHT(A66,2),1),2)=0,"k","m")</f>
        <v>m</v>
      </c>
      <c r="E66" t="str">
        <f t="shared" si="1"/>
        <v/>
      </c>
      <c r="F66" s="15" t="s">
        <v>1101</v>
      </c>
      <c r="G66" s="1">
        <v>1</v>
      </c>
    </row>
    <row r="67" spans="1:7" x14ac:dyDescent="0.25">
      <c r="A67" s="8" t="s">
        <v>175</v>
      </c>
      <c r="B67" s="9" t="s">
        <v>176</v>
      </c>
      <c r="C67" s="9" t="s">
        <v>86</v>
      </c>
      <c r="D67" s="7" t="str">
        <f t="shared" si="2"/>
        <v>k</v>
      </c>
      <c r="E67" t="str">
        <f t="shared" si="1"/>
        <v/>
      </c>
      <c r="F67" s="15" t="s">
        <v>286</v>
      </c>
      <c r="G67" s="1">
        <v>1</v>
      </c>
    </row>
    <row r="68" spans="1:7" x14ac:dyDescent="0.25">
      <c r="A68" s="5" t="s">
        <v>177</v>
      </c>
      <c r="B68" s="6" t="s">
        <v>178</v>
      </c>
      <c r="C68" s="6" t="s">
        <v>179</v>
      </c>
      <c r="D68" s="7" t="str">
        <f t="shared" si="2"/>
        <v>k</v>
      </c>
      <c r="E68" t="str">
        <f t="shared" ref="E68:E131" si="3">IF(B68=C68,A68,"")</f>
        <v/>
      </c>
      <c r="F68" s="14" t="s">
        <v>284</v>
      </c>
      <c r="G68" s="1">
        <v>3</v>
      </c>
    </row>
    <row r="69" spans="1:7" x14ac:dyDescent="0.25">
      <c r="A69" s="8" t="s">
        <v>180</v>
      </c>
      <c r="B69" s="9" t="s">
        <v>181</v>
      </c>
      <c r="C69" s="9" t="s">
        <v>182</v>
      </c>
      <c r="D69" s="7" t="str">
        <f t="shared" si="2"/>
        <v>k</v>
      </c>
      <c r="E69" t="str">
        <f t="shared" si="3"/>
        <v/>
      </c>
      <c r="F69" s="15" t="s">
        <v>584</v>
      </c>
      <c r="G69" s="1">
        <v>1</v>
      </c>
    </row>
    <row r="70" spans="1:7" x14ac:dyDescent="0.25">
      <c r="A70" s="5" t="s">
        <v>183</v>
      </c>
      <c r="B70" s="6" t="s">
        <v>184</v>
      </c>
      <c r="C70" s="6" t="s">
        <v>53</v>
      </c>
      <c r="D70" s="7" t="str">
        <f t="shared" si="2"/>
        <v>m</v>
      </c>
      <c r="E70" t="str">
        <f t="shared" si="3"/>
        <v/>
      </c>
      <c r="F70" s="15" t="s">
        <v>1000</v>
      </c>
      <c r="G70" s="1">
        <v>1</v>
      </c>
    </row>
    <row r="71" spans="1:7" x14ac:dyDescent="0.25">
      <c r="A71" s="8" t="s">
        <v>185</v>
      </c>
      <c r="B71" s="9" t="s">
        <v>186</v>
      </c>
      <c r="C71" s="9" t="s">
        <v>187</v>
      </c>
      <c r="D71" s="7" t="str">
        <f t="shared" si="2"/>
        <v>k</v>
      </c>
      <c r="E71" t="str">
        <f t="shared" si="3"/>
        <v/>
      </c>
      <c r="F71" s="15" t="s">
        <v>283</v>
      </c>
      <c r="G71" s="1">
        <v>1</v>
      </c>
    </row>
    <row r="72" spans="1:7" x14ac:dyDescent="0.25">
      <c r="A72" s="5" t="s">
        <v>188</v>
      </c>
      <c r="B72" s="6" t="s">
        <v>189</v>
      </c>
      <c r="C72" s="6" t="s">
        <v>44</v>
      </c>
      <c r="D72" s="7" t="str">
        <f t="shared" si="2"/>
        <v>m</v>
      </c>
      <c r="E72" t="str">
        <f t="shared" si="3"/>
        <v/>
      </c>
      <c r="F72" s="14" t="s">
        <v>371</v>
      </c>
      <c r="G72" s="1">
        <v>3</v>
      </c>
    </row>
    <row r="73" spans="1:7" x14ac:dyDescent="0.25">
      <c r="A73" s="8" t="s">
        <v>190</v>
      </c>
      <c r="B73" s="9" t="s">
        <v>191</v>
      </c>
      <c r="C73" s="9" t="s">
        <v>114</v>
      </c>
      <c r="D73" s="7" t="str">
        <f t="shared" si="2"/>
        <v>m</v>
      </c>
      <c r="E73" t="str">
        <f t="shared" si="3"/>
        <v/>
      </c>
      <c r="F73" s="15" t="s">
        <v>353</v>
      </c>
      <c r="G73" s="1">
        <v>1</v>
      </c>
    </row>
    <row r="74" spans="1:7" x14ac:dyDescent="0.25">
      <c r="A74" s="5" t="s">
        <v>192</v>
      </c>
      <c r="B74" s="6" t="s">
        <v>193</v>
      </c>
      <c r="C74" s="6" t="s">
        <v>194</v>
      </c>
      <c r="D74" s="7" t="str">
        <f t="shared" si="2"/>
        <v>k</v>
      </c>
      <c r="E74" t="str">
        <f t="shared" si="3"/>
        <v/>
      </c>
      <c r="F74" s="15" t="s">
        <v>425</v>
      </c>
      <c r="G74" s="1">
        <v>1</v>
      </c>
    </row>
    <row r="75" spans="1:7" x14ac:dyDescent="0.25">
      <c r="A75" s="8" t="s">
        <v>195</v>
      </c>
      <c r="B75" s="9" t="s">
        <v>196</v>
      </c>
      <c r="C75" s="9" t="s">
        <v>20</v>
      </c>
      <c r="D75" s="7" t="str">
        <f t="shared" si="2"/>
        <v>m</v>
      </c>
      <c r="E75" t="str">
        <f t="shared" si="3"/>
        <v/>
      </c>
      <c r="F75" s="15" t="s">
        <v>369</v>
      </c>
      <c r="G75" s="1">
        <v>1</v>
      </c>
    </row>
    <row r="76" spans="1:7" x14ac:dyDescent="0.25">
      <c r="A76" s="5" t="s">
        <v>197</v>
      </c>
      <c r="B76" s="6" t="s">
        <v>198</v>
      </c>
      <c r="C76" s="6" t="s">
        <v>199</v>
      </c>
      <c r="D76" s="7" t="str">
        <f t="shared" si="2"/>
        <v>k</v>
      </c>
      <c r="E76" t="str">
        <f t="shared" si="3"/>
        <v/>
      </c>
      <c r="F76" s="14" t="s">
        <v>260</v>
      </c>
      <c r="G76" s="1">
        <v>10</v>
      </c>
    </row>
    <row r="77" spans="1:7" x14ac:dyDescent="0.25">
      <c r="A77" s="8" t="s">
        <v>200</v>
      </c>
      <c r="B77" s="9" t="s">
        <v>201</v>
      </c>
      <c r="C77" s="9" t="s">
        <v>202</v>
      </c>
      <c r="D77" s="7" t="str">
        <f t="shared" si="2"/>
        <v>m</v>
      </c>
      <c r="E77" t="str">
        <f t="shared" si="3"/>
        <v/>
      </c>
      <c r="F77" s="15" t="s">
        <v>870</v>
      </c>
      <c r="G77" s="1">
        <v>1</v>
      </c>
    </row>
    <row r="78" spans="1:7" x14ac:dyDescent="0.25">
      <c r="A78" s="5" t="s">
        <v>203</v>
      </c>
      <c r="B78" s="6" t="s">
        <v>204</v>
      </c>
      <c r="C78" s="6" t="s">
        <v>205</v>
      </c>
      <c r="D78" s="7" t="str">
        <f t="shared" si="2"/>
        <v>m</v>
      </c>
      <c r="E78" t="str">
        <f t="shared" si="3"/>
        <v/>
      </c>
      <c r="F78" s="15" t="s">
        <v>259</v>
      </c>
      <c r="G78" s="1">
        <v>1</v>
      </c>
    </row>
    <row r="79" spans="1:7" x14ac:dyDescent="0.25">
      <c r="A79" s="8" t="s">
        <v>206</v>
      </c>
      <c r="B79" s="9" t="s">
        <v>207</v>
      </c>
      <c r="C79" s="9" t="s">
        <v>208</v>
      </c>
      <c r="D79" s="7" t="str">
        <f t="shared" si="2"/>
        <v>m</v>
      </c>
      <c r="E79" t="str">
        <f t="shared" si="3"/>
        <v/>
      </c>
      <c r="F79" s="15" t="s">
        <v>490</v>
      </c>
      <c r="G79" s="1">
        <v>1</v>
      </c>
    </row>
    <row r="80" spans="1:7" x14ac:dyDescent="0.25">
      <c r="A80" s="5" t="s">
        <v>209</v>
      </c>
      <c r="B80" s="6" t="s">
        <v>210</v>
      </c>
      <c r="C80" s="6" t="s">
        <v>211</v>
      </c>
      <c r="D80" s="7" t="str">
        <f t="shared" si="2"/>
        <v>k</v>
      </c>
      <c r="E80" t="str">
        <f t="shared" si="3"/>
        <v/>
      </c>
      <c r="F80" s="15" t="s">
        <v>927</v>
      </c>
      <c r="G80" s="1">
        <v>1</v>
      </c>
    </row>
    <row r="81" spans="1:7" x14ac:dyDescent="0.25">
      <c r="A81" s="8" t="s">
        <v>212</v>
      </c>
      <c r="B81" s="9" t="s">
        <v>213</v>
      </c>
      <c r="C81" s="9" t="s">
        <v>214</v>
      </c>
      <c r="D81" s="7" t="str">
        <f t="shared" si="2"/>
        <v>k</v>
      </c>
      <c r="E81" t="str">
        <f t="shared" si="3"/>
        <v/>
      </c>
      <c r="F81" s="15" t="s">
        <v>1005</v>
      </c>
      <c r="G81" s="1">
        <v>1</v>
      </c>
    </row>
    <row r="82" spans="1:7" x14ac:dyDescent="0.25">
      <c r="A82" s="5" t="s">
        <v>215</v>
      </c>
      <c r="B82" s="6" t="s">
        <v>216</v>
      </c>
      <c r="C82" s="6" t="s">
        <v>121</v>
      </c>
      <c r="D82" s="7" t="str">
        <f t="shared" si="2"/>
        <v>m</v>
      </c>
      <c r="E82" t="str">
        <f t="shared" si="3"/>
        <v/>
      </c>
      <c r="F82" s="15" t="s">
        <v>791</v>
      </c>
      <c r="G82" s="1">
        <v>1</v>
      </c>
    </row>
    <row r="83" spans="1:7" x14ac:dyDescent="0.25">
      <c r="A83" s="8" t="s">
        <v>217</v>
      </c>
      <c r="B83" s="9" t="s">
        <v>218</v>
      </c>
      <c r="C83" s="9" t="s">
        <v>219</v>
      </c>
      <c r="D83" s="7" t="str">
        <f t="shared" si="2"/>
        <v>m</v>
      </c>
      <c r="E83" t="str">
        <f t="shared" si="3"/>
        <v/>
      </c>
      <c r="F83" s="15" t="s">
        <v>985</v>
      </c>
      <c r="G83" s="1">
        <v>1</v>
      </c>
    </row>
    <row r="84" spans="1:7" x14ac:dyDescent="0.25">
      <c r="A84" s="5" t="s">
        <v>220</v>
      </c>
      <c r="B84" s="6" t="s">
        <v>80</v>
      </c>
      <c r="C84" s="6" t="s">
        <v>17</v>
      </c>
      <c r="D84" s="7" t="str">
        <f t="shared" si="2"/>
        <v>m</v>
      </c>
      <c r="E84" t="str">
        <f t="shared" si="3"/>
        <v/>
      </c>
      <c r="F84" s="15" t="s">
        <v>1070</v>
      </c>
      <c r="G84" s="1">
        <v>1</v>
      </c>
    </row>
    <row r="85" spans="1:7" x14ac:dyDescent="0.25">
      <c r="A85" s="8" t="s">
        <v>221</v>
      </c>
      <c r="B85" s="9" t="s">
        <v>222</v>
      </c>
      <c r="C85" s="9" t="s">
        <v>223</v>
      </c>
      <c r="D85" s="7" t="str">
        <f t="shared" si="2"/>
        <v>m</v>
      </c>
      <c r="E85" t="str">
        <f t="shared" si="3"/>
        <v/>
      </c>
      <c r="F85" s="15" t="s">
        <v>320</v>
      </c>
      <c r="G85" s="1">
        <v>1</v>
      </c>
    </row>
    <row r="86" spans="1:7" x14ac:dyDescent="0.25">
      <c r="A86" s="5" t="s">
        <v>224</v>
      </c>
      <c r="B86" s="6" t="s">
        <v>225</v>
      </c>
      <c r="C86" s="6" t="s">
        <v>226</v>
      </c>
      <c r="D86" s="7" t="str">
        <f t="shared" si="2"/>
        <v>k</v>
      </c>
      <c r="E86" t="str">
        <f t="shared" si="3"/>
        <v/>
      </c>
      <c r="F86" s="15" t="s">
        <v>998</v>
      </c>
      <c r="G86" s="1">
        <v>1</v>
      </c>
    </row>
    <row r="87" spans="1:7" x14ac:dyDescent="0.25">
      <c r="A87" s="8" t="s">
        <v>227</v>
      </c>
      <c r="B87" s="9" t="s">
        <v>228</v>
      </c>
      <c r="C87" s="9" t="s">
        <v>14</v>
      </c>
      <c r="D87" s="7" t="str">
        <f t="shared" si="2"/>
        <v>m</v>
      </c>
      <c r="E87" t="str">
        <f t="shared" si="3"/>
        <v/>
      </c>
      <c r="F87" s="14" t="s">
        <v>448</v>
      </c>
      <c r="G87" s="1">
        <v>5</v>
      </c>
    </row>
    <row r="88" spans="1:7" x14ac:dyDescent="0.25">
      <c r="A88" s="5" t="s">
        <v>229</v>
      </c>
      <c r="B88" s="6" t="s">
        <v>123</v>
      </c>
      <c r="C88" s="6" t="s">
        <v>230</v>
      </c>
      <c r="D88" s="7" t="str">
        <f t="shared" si="2"/>
        <v>m</v>
      </c>
      <c r="E88" t="str">
        <f t="shared" si="3"/>
        <v/>
      </c>
      <c r="F88" s="15" t="s">
        <v>874</v>
      </c>
      <c r="G88" s="1">
        <v>1</v>
      </c>
    </row>
    <row r="89" spans="1:7" x14ac:dyDescent="0.25">
      <c r="A89" s="8" t="s">
        <v>231</v>
      </c>
      <c r="B89" s="9" t="s">
        <v>232</v>
      </c>
      <c r="C89" s="9" t="s">
        <v>233</v>
      </c>
      <c r="D89" s="7" t="str">
        <f t="shared" si="2"/>
        <v>k</v>
      </c>
      <c r="E89" t="str">
        <f t="shared" si="3"/>
        <v/>
      </c>
      <c r="F89" s="15" t="s">
        <v>957</v>
      </c>
      <c r="G89" s="1">
        <v>1</v>
      </c>
    </row>
    <row r="90" spans="1:7" x14ac:dyDescent="0.25">
      <c r="A90" s="5" t="s">
        <v>234</v>
      </c>
      <c r="B90" s="6" t="s">
        <v>235</v>
      </c>
      <c r="C90" s="6" t="s">
        <v>5</v>
      </c>
      <c r="D90" s="7" t="str">
        <f t="shared" si="2"/>
        <v>m</v>
      </c>
      <c r="E90" t="str">
        <f t="shared" si="3"/>
        <v/>
      </c>
      <c r="F90" s="15" t="s">
        <v>447</v>
      </c>
      <c r="G90" s="1">
        <v>1</v>
      </c>
    </row>
    <row r="91" spans="1:7" x14ac:dyDescent="0.25">
      <c r="A91" s="8" t="s">
        <v>236</v>
      </c>
      <c r="B91" s="9" t="s">
        <v>237</v>
      </c>
      <c r="C91" s="9" t="s">
        <v>238</v>
      </c>
      <c r="D91" s="7" t="str">
        <f t="shared" si="2"/>
        <v>m</v>
      </c>
      <c r="E91" t="str">
        <f t="shared" si="3"/>
        <v/>
      </c>
      <c r="F91" s="15" t="s">
        <v>944</v>
      </c>
      <c r="G91" s="1">
        <v>1</v>
      </c>
    </row>
    <row r="92" spans="1:7" x14ac:dyDescent="0.25">
      <c r="A92" s="5" t="s">
        <v>239</v>
      </c>
      <c r="B92" s="6" t="s">
        <v>240</v>
      </c>
      <c r="C92" s="6" t="s">
        <v>241</v>
      </c>
      <c r="D92" s="7" t="str">
        <f t="shared" si="2"/>
        <v>k</v>
      </c>
      <c r="E92" t="str">
        <f t="shared" si="3"/>
        <v/>
      </c>
      <c r="F92" s="15" t="s">
        <v>648</v>
      </c>
      <c r="G92" s="1">
        <v>1</v>
      </c>
    </row>
    <row r="93" spans="1:7" x14ac:dyDescent="0.25">
      <c r="A93" s="8" t="s">
        <v>242</v>
      </c>
      <c r="B93" s="9" t="s">
        <v>243</v>
      </c>
      <c r="C93" s="9" t="s">
        <v>233</v>
      </c>
      <c r="D93" s="7" t="str">
        <f t="shared" si="2"/>
        <v>k</v>
      </c>
      <c r="E93" t="str">
        <f t="shared" si="3"/>
        <v/>
      </c>
      <c r="F93" s="14" t="s">
        <v>393</v>
      </c>
      <c r="G93" s="1">
        <v>3</v>
      </c>
    </row>
    <row r="94" spans="1:7" x14ac:dyDescent="0.25">
      <c r="A94" s="5" t="s">
        <v>244</v>
      </c>
      <c r="B94" s="6" t="s">
        <v>245</v>
      </c>
      <c r="C94" s="6" t="s">
        <v>246</v>
      </c>
      <c r="D94" s="7" t="str">
        <f t="shared" si="2"/>
        <v>m</v>
      </c>
      <c r="E94" t="str">
        <f t="shared" si="3"/>
        <v/>
      </c>
      <c r="F94" s="15" t="s">
        <v>392</v>
      </c>
      <c r="G94" s="1">
        <v>1</v>
      </c>
    </row>
    <row r="95" spans="1:7" x14ac:dyDescent="0.25">
      <c r="A95" s="8" t="s">
        <v>247</v>
      </c>
      <c r="B95" s="9" t="s">
        <v>248</v>
      </c>
      <c r="C95" s="9" t="s">
        <v>249</v>
      </c>
      <c r="D95" s="7" t="str">
        <f t="shared" si="2"/>
        <v>k</v>
      </c>
      <c r="E95" t="str">
        <f t="shared" si="3"/>
        <v/>
      </c>
      <c r="F95" s="15" t="s">
        <v>769</v>
      </c>
      <c r="G95" s="1">
        <v>1</v>
      </c>
    </row>
    <row r="96" spans="1:7" x14ac:dyDescent="0.25">
      <c r="A96" s="5" t="s">
        <v>250</v>
      </c>
      <c r="B96" s="6" t="s">
        <v>251</v>
      </c>
      <c r="C96" s="6" t="s">
        <v>252</v>
      </c>
      <c r="D96" s="7" t="str">
        <f t="shared" si="2"/>
        <v>m</v>
      </c>
      <c r="E96" t="str">
        <f t="shared" si="3"/>
        <v/>
      </c>
      <c r="F96" s="15" t="s">
        <v>397</v>
      </c>
      <c r="G96" s="1">
        <v>1</v>
      </c>
    </row>
    <row r="97" spans="1:7" x14ac:dyDescent="0.25">
      <c r="A97" s="8" t="s">
        <v>253</v>
      </c>
      <c r="B97" s="9" t="s">
        <v>254</v>
      </c>
      <c r="C97" s="9" t="s">
        <v>5</v>
      </c>
      <c r="D97" s="7" t="str">
        <f t="shared" si="2"/>
        <v>m</v>
      </c>
      <c r="E97" t="str">
        <f t="shared" si="3"/>
        <v/>
      </c>
      <c r="F97" s="14" t="s">
        <v>92</v>
      </c>
      <c r="G97" s="1">
        <v>6</v>
      </c>
    </row>
    <row r="98" spans="1:7" x14ac:dyDescent="0.25">
      <c r="A98" s="5" t="s">
        <v>255</v>
      </c>
      <c r="B98" s="6" t="s">
        <v>256</v>
      </c>
      <c r="C98" s="6" t="s">
        <v>257</v>
      </c>
      <c r="D98" s="7" t="str">
        <f t="shared" si="2"/>
        <v>m</v>
      </c>
      <c r="E98" t="str">
        <f t="shared" si="3"/>
        <v/>
      </c>
      <c r="F98" s="15" t="s">
        <v>91</v>
      </c>
      <c r="G98" s="1">
        <v>1</v>
      </c>
    </row>
    <row r="99" spans="1:7" x14ac:dyDescent="0.25">
      <c r="A99" s="8" t="s">
        <v>258</v>
      </c>
      <c r="B99" s="9" t="s">
        <v>259</v>
      </c>
      <c r="C99" s="9" t="s">
        <v>260</v>
      </c>
      <c r="D99" s="7" t="str">
        <f t="shared" si="2"/>
        <v>m</v>
      </c>
      <c r="E99" t="str">
        <f t="shared" si="3"/>
        <v/>
      </c>
      <c r="F99" s="15" t="s">
        <v>306</v>
      </c>
      <c r="G99" s="1">
        <v>1</v>
      </c>
    </row>
    <row r="100" spans="1:7" x14ac:dyDescent="0.25">
      <c r="A100" s="5" t="s">
        <v>261</v>
      </c>
      <c r="B100" s="6" t="s">
        <v>262</v>
      </c>
      <c r="C100" s="6" t="s">
        <v>263</v>
      </c>
      <c r="D100" s="7" t="str">
        <f t="shared" si="2"/>
        <v>k</v>
      </c>
      <c r="E100" t="str">
        <f t="shared" si="3"/>
        <v/>
      </c>
      <c r="F100" s="15" t="s">
        <v>1123</v>
      </c>
      <c r="G100" s="1">
        <v>1</v>
      </c>
    </row>
    <row r="101" spans="1:7" x14ac:dyDescent="0.25">
      <c r="A101" s="8" t="s">
        <v>264</v>
      </c>
      <c r="B101" s="9" t="s">
        <v>265</v>
      </c>
      <c r="C101" s="9" t="s">
        <v>266</v>
      </c>
      <c r="D101" s="7" t="str">
        <f t="shared" si="2"/>
        <v>k</v>
      </c>
      <c r="E101" t="str">
        <f t="shared" si="3"/>
        <v/>
      </c>
      <c r="F101" s="15" t="s">
        <v>814</v>
      </c>
      <c r="G101" s="1">
        <v>1</v>
      </c>
    </row>
    <row r="102" spans="1:7" x14ac:dyDescent="0.25">
      <c r="A102" s="5" t="s">
        <v>267</v>
      </c>
      <c r="B102" s="6" t="s">
        <v>268</v>
      </c>
      <c r="C102" s="6" t="s">
        <v>269</v>
      </c>
      <c r="D102" s="7" t="str">
        <f t="shared" si="2"/>
        <v>m</v>
      </c>
      <c r="E102" t="str">
        <f t="shared" si="3"/>
        <v/>
      </c>
      <c r="F102" s="15" t="s">
        <v>687</v>
      </c>
      <c r="G102" s="1">
        <v>1</v>
      </c>
    </row>
    <row r="103" spans="1:7" x14ac:dyDescent="0.25">
      <c r="A103" s="8" t="s">
        <v>270</v>
      </c>
      <c r="B103" s="9" t="s">
        <v>271</v>
      </c>
      <c r="C103" s="9" t="s">
        <v>272</v>
      </c>
      <c r="D103" s="7" t="str">
        <f t="shared" si="2"/>
        <v>k</v>
      </c>
      <c r="E103" t="str">
        <f t="shared" si="3"/>
        <v/>
      </c>
      <c r="F103" s="15" t="s">
        <v>593</v>
      </c>
      <c r="G103" s="1">
        <v>1</v>
      </c>
    </row>
    <row r="104" spans="1:7" x14ac:dyDescent="0.25">
      <c r="A104" s="5" t="s">
        <v>273</v>
      </c>
      <c r="B104" s="6" t="s">
        <v>274</v>
      </c>
      <c r="C104" s="6" t="s">
        <v>275</v>
      </c>
      <c r="D104" s="7" t="str">
        <f t="shared" si="2"/>
        <v>k</v>
      </c>
      <c r="E104" t="str">
        <f t="shared" si="3"/>
        <v/>
      </c>
      <c r="F104" s="14" t="s">
        <v>25</v>
      </c>
      <c r="G104" s="1">
        <v>5</v>
      </c>
    </row>
    <row r="105" spans="1:7" x14ac:dyDescent="0.25">
      <c r="A105" s="8" t="s">
        <v>276</v>
      </c>
      <c r="B105" s="9" t="s">
        <v>277</v>
      </c>
      <c r="C105" s="9" t="s">
        <v>278</v>
      </c>
      <c r="D105" s="7" t="str">
        <f t="shared" si="2"/>
        <v>m</v>
      </c>
      <c r="E105" t="str">
        <f t="shared" si="3"/>
        <v/>
      </c>
      <c r="F105" s="15" t="s">
        <v>24</v>
      </c>
      <c r="G105" s="1">
        <v>1</v>
      </c>
    </row>
    <row r="106" spans="1:7" x14ac:dyDescent="0.25">
      <c r="A106" s="5" t="s">
        <v>279</v>
      </c>
      <c r="B106" s="6" t="s">
        <v>280</v>
      </c>
      <c r="C106" s="6" t="s">
        <v>281</v>
      </c>
      <c r="D106" s="7" t="str">
        <f t="shared" si="2"/>
        <v>m</v>
      </c>
      <c r="E106" t="str">
        <f t="shared" si="3"/>
        <v/>
      </c>
      <c r="F106" s="15" t="s">
        <v>1090</v>
      </c>
      <c r="G106" s="1">
        <v>1</v>
      </c>
    </row>
    <row r="107" spans="1:7" x14ac:dyDescent="0.25">
      <c r="A107" s="8" t="s">
        <v>282</v>
      </c>
      <c r="B107" s="9" t="s">
        <v>283</v>
      </c>
      <c r="C107" s="9" t="s">
        <v>284</v>
      </c>
      <c r="D107" s="7" t="str">
        <f t="shared" si="2"/>
        <v>k</v>
      </c>
      <c r="E107" t="str">
        <f t="shared" si="3"/>
        <v/>
      </c>
      <c r="F107" s="15" t="s">
        <v>174</v>
      </c>
      <c r="G107" s="1">
        <v>1</v>
      </c>
    </row>
    <row r="108" spans="1:7" x14ac:dyDescent="0.25">
      <c r="A108" s="5" t="s">
        <v>285</v>
      </c>
      <c r="B108" s="6" t="s">
        <v>286</v>
      </c>
      <c r="C108" s="6" t="s">
        <v>287</v>
      </c>
      <c r="D108" s="7" t="str">
        <f t="shared" si="2"/>
        <v>m</v>
      </c>
      <c r="E108" t="str">
        <f t="shared" si="3"/>
        <v/>
      </c>
      <c r="F108" s="15" t="s">
        <v>125</v>
      </c>
      <c r="G108" s="1">
        <v>1</v>
      </c>
    </row>
    <row r="109" spans="1:7" x14ac:dyDescent="0.25">
      <c r="A109" s="8" t="s">
        <v>288</v>
      </c>
      <c r="B109" s="9" t="s">
        <v>289</v>
      </c>
      <c r="C109" s="9" t="s">
        <v>17</v>
      </c>
      <c r="D109" s="7" t="str">
        <f t="shared" si="2"/>
        <v>m</v>
      </c>
      <c r="E109" t="str">
        <f t="shared" si="3"/>
        <v/>
      </c>
      <c r="F109" s="15" t="s">
        <v>718</v>
      </c>
      <c r="G109" s="1">
        <v>1</v>
      </c>
    </row>
    <row r="110" spans="1:7" x14ac:dyDescent="0.25">
      <c r="A110" s="5" t="s">
        <v>290</v>
      </c>
      <c r="B110" s="6" t="s">
        <v>291</v>
      </c>
      <c r="C110" s="6" t="s">
        <v>292</v>
      </c>
      <c r="D110" s="7" t="str">
        <f t="shared" si="2"/>
        <v>m</v>
      </c>
      <c r="E110" t="str">
        <f t="shared" si="3"/>
        <v/>
      </c>
      <c r="F110" s="14" t="s">
        <v>166</v>
      </c>
      <c r="G110" s="1">
        <v>19</v>
      </c>
    </row>
    <row r="111" spans="1:7" x14ac:dyDescent="0.25">
      <c r="A111" s="8" t="s">
        <v>293</v>
      </c>
      <c r="B111" s="9" t="s">
        <v>294</v>
      </c>
      <c r="C111" s="9" t="s">
        <v>295</v>
      </c>
      <c r="D111" s="7" t="str">
        <f t="shared" si="2"/>
        <v>k</v>
      </c>
      <c r="E111" t="str">
        <f t="shared" si="3"/>
        <v/>
      </c>
      <c r="F111" s="15" t="s">
        <v>591</v>
      </c>
      <c r="G111" s="1">
        <v>1</v>
      </c>
    </row>
    <row r="112" spans="1:7" x14ac:dyDescent="0.25">
      <c r="A112" s="5" t="s">
        <v>296</v>
      </c>
      <c r="B112" s="6" t="s">
        <v>297</v>
      </c>
      <c r="C112" s="6" t="s">
        <v>298</v>
      </c>
      <c r="D112" s="7" t="str">
        <f t="shared" si="2"/>
        <v>k</v>
      </c>
      <c r="E112" t="str">
        <f t="shared" si="3"/>
        <v/>
      </c>
      <c r="F112" s="15" t="s">
        <v>482</v>
      </c>
      <c r="G112" s="1">
        <v>1</v>
      </c>
    </row>
    <row r="113" spans="1:7" x14ac:dyDescent="0.25">
      <c r="A113" s="8" t="s">
        <v>299</v>
      </c>
      <c r="B113" s="9" t="s">
        <v>300</v>
      </c>
      <c r="C113" s="9" t="s">
        <v>64</v>
      </c>
      <c r="D113" s="7" t="str">
        <f t="shared" si="2"/>
        <v>m</v>
      </c>
      <c r="E113" t="str">
        <f t="shared" si="3"/>
        <v/>
      </c>
      <c r="F113" s="15" t="s">
        <v>165</v>
      </c>
      <c r="G113" s="1">
        <v>1</v>
      </c>
    </row>
    <row r="114" spans="1:7" x14ac:dyDescent="0.25">
      <c r="A114" s="5" t="s">
        <v>301</v>
      </c>
      <c r="B114" s="6" t="s">
        <v>302</v>
      </c>
      <c r="C114" s="6" t="s">
        <v>78</v>
      </c>
      <c r="D114" s="7" t="str">
        <f t="shared" si="2"/>
        <v>k</v>
      </c>
      <c r="E114" t="str">
        <f t="shared" si="3"/>
        <v/>
      </c>
      <c r="F114" s="15" t="s">
        <v>699</v>
      </c>
      <c r="G114" s="1">
        <v>1</v>
      </c>
    </row>
    <row r="115" spans="1:7" x14ac:dyDescent="0.25">
      <c r="A115" s="8" t="s">
        <v>303</v>
      </c>
      <c r="B115" s="9" t="s">
        <v>304</v>
      </c>
      <c r="C115" s="9" t="s">
        <v>208</v>
      </c>
      <c r="D115" s="7" t="str">
        <f t="shared" si="2"/>
        <v>m</v>
      </c>
      <c r="E115" t="str">
        <f t="shared" si="3"/>
        <v/>
      </c>
      <c r="F115" s="15" t="s">
        <v>519</v>
      </c>
      <c r="G115" s="1">
        <v>1</v>
      </c>
    </row>
    <row r="116" spans="1:7" x14ac:dyDescent="0.25">
      <c r="A116" s="5" t="s">
        <v>305</v>
      </c>
      <c r="B116" s="6" t="s">
        <v>306</v>
      </c>
      <c r="C116" s="6" t="s">
        <v>92</v>
      </c>
      <c r="D116" s="7" t="str">
        <f t="shared" si="2"/>
        <v>m</v>
      </c>
      <c r="E116" t="str">
        <f t="shared" si="3"/>
        <v/>
      </c>
      <c r="F116" s="15" t="s">
        <v>923</v>
      </c>
      <c r="G116" s="1">
        <v>1</v>
      </c>
    </row>
    <row r="117" spans="1:7" x14ac:dyDescent="0.25">
      <c r="A117" s="8" t="s">
        <v>307</v>
      </c>
      <c r="B117" s="9" t="s">
        <v>308</v>
      </c>
      <c r="C117" s="9" t="s">
        <v>309</v>
      </c>
      <c r="D117" s="7" t="str">
        <f t="shared" si="2"/>
        <v>k</v>
      </c>
      <c r="E117" t="str">
        <f t="shared" si="3"/>
        <v/>
      </c>
      <c r="F117" s="15" t="s">
        <v>218</v>
      </c>
      <c r="G117" s="1">
        <v>1</v>
      </c>
    </row>
    <row r="118" spans="1:7" x14ac:dyDescent="0.25">
      <c r="A118" s="5" t="s">
        <v>310</v>
      </c>
      <c r="B118" s="6" t="s">
        <v>311</v>
      </c>
      <c r="C118" s="6" t="s">
        <v>64</v>
      </c>
      <c r="D118" s="7" t="str">
        <f t="shared" si="2"/>
        <v>m</v>
      </c>
      <c r="E118" t="str">
        <f t="shared" si="3"/>
        <v/>
      </c>
      <c r="F118" s="15" t="s">
        <v>461</v>
      </c>
      <c r="G118" s="1">
        <v>1</v>
      </c>
    </row>
    <row r="119" spans="1:7" x14ac:dyDescent="0.25">
      <c r="A119" s="8" t="s">
        <v>312</v>
      </c>
      <c r="B119" s="9" t="s">
        <v>313</v>
      </c>
      <c r="C119" s="9" t="s">
        <v>121</v>
      </c>
      <c r="D119" s="7" t="str">
        <f t="shared" si="2"/>
        <v>m</v>
      </c>
      <c r="E119" t="str">
        <f t="shared" si="3"/>
        <v/>
      </c>
      <c r="F119" s="15" t="s">
        <v>900</v>
      </c>
      <c r="G119" s="1">
        <v>1</v>
      </c>
    </row>
    <row r="120" spans="1:7" x14ac:dyDescent="0.25">
      <c r="A120" s="5" t="s">
        <v>314</v>
      </c>
      <c r="B120" s="6" t="s">
        <v>315</v>
      </c>
      <c r="C120" s="6" t="s">
        <v>64</v>
      </c>
      <c r="D120" s="7" t="str">
        <f t="shared" si="2"/>
        <v>m</v>
      </c>
      <c r="E120" t="str">
        <f t="shared" si="3"/>
        <v/>
      </c>
      <c r="F120" s="15" t="s">
        <v>1054</v>
      </c>
      <c r="G120" s="1">
        <v>1</v>
      </c>
    </row>
    <row r="121" spans="1:7" x14ac:dyDescent="0.25">
      <c r="A121" s="8" t="s">
        <v>316</v>
      </c>
      <c r="B121" s="9" t="s">
        <v>317</v>
      </c>
      <c r="C121" s="9" t="s">
        <v>318</v>
      </c>
      <c r="D121" s="7" t="str">
        <f t="shared" si="2"/>
        <v>k</v>
      </c>
      <c r="E121" t="str">
        <f t="shared" si="3"/>
        <v/>
      </c>
      <c r="F121" s="15" t="s">
        <v>466</v>
      </c>
      <c r="G121" s="1">
        <v>1</v>
      </c>
    </row>
    <row r="122" spans="1:7" x14ac:dyDescent="0.25">
      <c r="A122" s="5" t="s">
        <v>319</v>
      </c>
      <c r="B122" s="6" t="s">
        <v>320</v>
      </c>
      <c r="C122" s="6" t="s">
        <v>260</v>
      </c>
      <c r="D122" s="7" t="str">
        <f t="shared" si="2"/>
        <v>m</v>
      </c>
      <c r="E122" t="str">
        <f t="shared" si="3"/>
        <v/>
      </c>
      <c r="F122" s="15" t="s">
        <v>1074</v>
      </c>
      <c r="G122" s="1">
        <v>1</v>
      </c>
    </row>
    <row r="123" spans="1:7" x14ac:dyDescent="0.25">
      <c r="A123" s="8" t="s">
        <v>321</v>
      </c>
      <c r="B123" s="9" t="s">
        <v>322</v>
      </c>
      <c r="C123" s="9" t="s">
        <v>323</v>
      </c>
      <c r="D123" s="7" t="str">
        <f t="shared" si="2"/>
        <v>k</v>
      </c>
      <c r="E123" t="str">
        <f t="shared" si="3"/>
        <v/>
      </c>
      <c r="F123" s="15" t="s">
        <v>1097</v>
      </c>
      <c r="G123" s="1">
        <v>1</v>
      </c>
    </row>
    <row r="124" spans="1:7" x14ac:dyDescent="0.25">
      <c r="A124" s="5" t="s">
        <v>324</v>
      </c>
      <c r="B124" s="6" t="s">
        <v>325</v>
      </c>
      <c r="C124" s="6" t="s">
        <v>131</v>
      </c>
      <c r="D124" s="7" t="str">
        <f t="shared" si="2"/>
        <v>k</v>
      </c>
      <c r="E124" t="str">
        <f t="shared" si="3"/>
        <v/>
      </c>
      <c r="F124" s="15" t="s">
        <v>1024</v>
      </c>
      <c r="G124" s="1">
        <v>1</v>
      </c>
    </row>
    <row r="125" spans="1:7" x14ac:dyDescent="0.25">
      <c r="A125" s="8" t="s">
        <v>326</v>
      </c>
      <c r="B125" s="9" t="s">
        <v>327</v>
      </c>
      <c r="C125" s="9" t="s">
        <v>179</v>
      </c>
      <c r="D125" s="7" t="str">
        <f t="shared" si="2"/>
        <v>k</v>
      </c>
      <c r="E125" t="str">
        <f t="shared" si="3"/>
        <v/>
      </c>
      <c r="F125" s="15" t="s">
        <v>933</v>
      </c>
      <c r="G125" s="1">
        <v>1</v>
      </c>
    </row>
    <row r="126" spans="1:7" x14ac:dyDescent="0.25">
      <c r="A126" s="5" t="s">
        <v>328</v>
      </c>
      <c r="B126" s="6" t="s">
        <v>329</v>
      </c>
      <c r="C126" s="6" t="s">
        <v>330</v>
      </c>
      <c r="D126" s="7" t="str">
        <f t="shared" si="2"/>
        <v>k</v>
      </c>
      <c r="E126" t="str">
        <f t="shared" si="3"/>
        <v/>
      </c>
      <c r="F126" s="15" t="s">
        <v>942</v>
      </c>
      <c r="G126" s="1">
        <v>1</v>
      </c>
    </row>
    <row r="127" spans="1:7" x14ac:dyDescent="0.25">
      <c r="A127" s="8" t="s">
        <v>331</v>
      </c>
      <c r="B127" s="9" t="s">
        <v>332</v>
      </c>
      <c r="C127" s="9" t="s">
        <v>202</v>
      </c>
      <c r="D127" s="7" t="str">
        <f t="shared" si="2"/>
        <v>m</v>
      </c>
      <c r="E127" t="str">
        <f t="shared" si="3"/>
        <v/>
      </c>
      <c r="F127" s="15" t="s">
        <v>470</v>
      </c>
      <c r="G127" s="1">
        <v>1</v>
      </c>
    </row>
    <row r="128" spans="1:7" x14ac:dyDescent="0.25">
      <c r="A128" s="5" t="s">
        <v>333</v>
      </c>
      <c r="B128" s="6" t="s">
        <v>334</v>
      </c>
      <c r="C128" s="6" t="s">
        <v>335</v>
      </c>
      <c r="D128" s="7" t="str">
        <f t="shared" si="2"/>
        <v>k</v>
      </c>
      <c r="E128" t="str">
        <f t="shared" si="3"/>
        <v/>
      </c>
      <c r="F128" s="15" t="s">
        <v>373</v>
      </c>
      <c r="G128" s="1">
        <v>1</v>
      </c>
    </row>
    <row r="129" spans="1:7" x14ac:dyDescent="0.25">
      <c r="A129" s="8" t="s">
        <v>336</v>
      </c>
      <c r="B129" s="9" t="s">
        <v>337</v>
      </c>
      <c r="C129" s="9" t="s">
        <v>17</v>
      </c>
      <c r="D129" s="7" t="str">
        <f t="shared" si="2"/>
        <v>m</v>
      </c>
      <c r="E129" t="str">
        <f t="shared" si="3"/>
        <v/>
      </c>
      <c r="F129" s="15" t="s">
        <v>816</v>
      </c>
      <c r="G129" s="1">
        <v>1</v>
      </c>
    </row>
    <row r="130" spans="1:7" x14ac:dyDescent="0.25">
      <c r="A130" s="5" t="s">
        <v>338</v>
      </c>
      <c r="B130" s="6" t="s">
        <v>339</v>
      </c>
      <c r="C130" s="6" t="s">
        <v>340</v>
      </c>
      <c r="D130" s="7" t="str">
        <f t="shared" ref="D130:D193" si="4">IF(MOD(LEFT(RIGHT(A130,2),1),2)=0,"k","m")</f>
        <v>k</v>
      </c>
      <c r="E130" t="str">
        <f t="shared" si="3"/>
        <v/>
      </c>
      <c r="F130" s="14" t="s">
        <v>121</v>
      </c>
      <c r="G130" s="1">
        <v>12</v>
      </c>
    </row>
    <row r="131" spans="1:7" x14ac:dyDescent="0.25">
      <c r="A131" s="8" t="s">
        <v>341</v>
      </c>
      <c r="B131" s="9" t="s">
        <v>342</v>
      </c>
      <c r="C131" s="9" t="s">
        <v>108</v>
      </c>
      <c r="D131" s="7" t="str">
        <f t="shared" si="4"/>
        <v>m</v>
      </c>
      <c r="E131" t="str">
        <f t="shared" si="3"/>
        <v/>
      </c>
      <c r="F131" s="15" t="s">
        <v>120</v>
      </c>
      <c r="G131" s="1">
        <v>1</v>
      </c>
    </row>
    <row r="132" spans="1:7" x14ac:dyDescent="0.25">
      <c r="A132" s="5" t="s">
        <v>343</v>
      </c>
      <c r="B132" s="6" t="s">
        <v>344</v>
      </c>
      <c r="C132" s="6" t="s">
        <v>345</v>
      </c>
      <c r="D132" s="7" t="str">
        <f t="shared" si="4"/>
        <v>k</v>
      </c>
      <c r="E132" t="str">
        <f t="shared" ref="E132:E195" si="5">IF(B132=C132,A132,"")</f>
        <v/>
      </c>
      <c r="F132" s="15" t="s">
        <v>1126</v>
      </c>
      <c r="G132" s="1">
        <v>1</v>
      </c>
    </row>
    <row r="133" spans="1:7" x14ac:dyDescent="0.25">
      <c r="A133" s="8" t="s">
        <v>346</v>
      </c>
      <c r="B133" s="9" t="s">
        <v>347</v>
      </c>
      <c r="C133" s="9" t="s">
        <v>348</v>
      </c>
      <c r="D133" s="7" t="str">
        <f t="shared" si="4"/>
        <v>k</v>
      </c>
      <c r="E133" t="str">
        <f t="shared" si="5"/>
        <v/>
      </c>
      <c r="F133" s="15" t="s">
        <v>96</v>
      </c>
      <c r="G133" s="1">
        <v>1</v>
      </c>
    </row>
    <row r="134" spans="1:7" x14ac:dyDescent="0.25">
      <c r="A134" s="5" t="s">
        <v>349</v>
      </c>
      <c r="B134" s="6" t="s">
        <v>350</v>
      </c>
      <c r="C134" s="6" t="s">
        <v>351</v>
      </c>
      <c r="D134" s="7" t="str">
        <f t="shared" si="4"/>
        <v>k</v>
      </c>
      <c r="E134" t="str">
        <f t="shared" si="5"/>
        <v/>
      </c>
      <c r="F134" s="15" t="s">
        <v>657</v>
      </c>
      <c r="G134" s="1">
        <v>1</v>
      </c>
    </row>
    <row r="135" spans="1:7" x14ac:dyDescent="0.25">
      <c r="A135" s="8" t="s">
        <v>352</v>
      </c>
      <c r="B135" s="9" t="s">
        <v>353</v>
      </c>
      <c r="C135" s="9" t="s">
        <v>89</v>
      </c>
      <c r="D135" s="7" t="str">
        <f t="shared" si="4"/>
        <v>k</v>
      </c>
      <c r="E135" t="str">
        <f t="shared" si="5"/>
        <v/>
      </c>
      <c r="F135" s="15" t="s">
        <v>852</v>
      </c>
      <c r="G135" s="1">
        <v>1</v>
      </c>
    </row>
    <row r="136" spans="1:7" x14ac:dyDescent="0.25">
      <c r="A136" s="5" t="s">
        <v>354</v>
      </c>
      <c r="B136" s="6" t="s">
        <v>355</v>
      </c>
      <c r="C136" s="6" t="s">
        <v>356</v>
      </c>
      <c r="D136" s="7" t="str">
        <f t="shared" si="4"/>
        <v>m</v>
      </c>
      <c r="E136" t="str">
        <f t="shared" si="5"/>
        <v/>
      </c>
      <c r="F136" s="15" t="s">
        <v>216</v>
      </c>
      <c r="G136" s="1">
        <v>1</v>
      </c>
    </row>
    <row r="137" spans="1:7" x14ac:dyDescent="0.25">
      <c r="A137" s="8" t="s">
        <v>357</v>
      </c>
      <c r="B137" s="9" t="s">
        <v>358</v>
      </c>
      <c r="C137" s="9" t="s">
        <v>359</v>
      </c>
      <c r="D137" s="7" t="str">
        <f t="shared" si="4"/>
        <v>k</v>
      </c>
      <c r="E137" t="str">
        <f t="shared" si="5"/>
        <v/>
      </c>
      <c r="F137" s="15" t="s">
        <v>1076</v>
      </c>
      <c r="G137" s="1">
        <v>1</v>
      </c>
    </row>
    <row r="138" spans="1:7" x14ac:dyDescent="0.25">
      <c r="A138" s="5" t="s">
        <v>360</v>
      </c>
      <c r="B138" s="6" t="s">
        <v>361</v>
      </c>
      <c r="C138" s="6" t="s">
        <v>345</v>
      </c>
      <c r="D138" s="7" t="str">
        <f t="shared" si="4"/>
        <v>k</v>
      </c>
      <c r="E138" t="str">
        <f t="shared" si="5"/>
        <v/>
      </c>
      <c r="F138" s="15" t="s">
        <v>776</v>
      </c>
      <c r="G138" s="1">
        <v>1</v>
      </c>
    </row>
    <row r="139" spans="1:7" x14ac:dyDescent="0.25">
      <c r="A139" s="8" t="s">
        <v>362</v>
      </c>
      <c r="B139" s="9" t="s">
        <v>363</v>
      </c>
      <c r="C139" s="9" t="s">
        <v>194</v>
      </c>
      <c r="D139" s="7" t="str">
        <f t="shared" si="4"/>
        <v>k</v>
      </c>
      <c r="E139" t="str">
        <f t="shared" si="5"/>
        <v/>
      </c>
      <c r="F139" s="15" t="s">
        <v>133</v>
      </c>
      <c r="G139" s="1">
        <v>1</v>
      </c>
    </row>
    <row r="140" spans="1:7" x14ac:dyDescent="0.25">
      <c r="A140" s="5" t="s">
        <v>364</v>
      </c>
      <c r="B140" s="6" t="s">
        <v>365</v>
      </c>
      <c r="C140" s="6" t="s">
        <v>309</v>
      </c>
      <c r="D140" s="7" t="str">
        <f t="shared" si="4"/>
        <v>k</v>
      </c>
      <c r="E140" t="str">
        <f t="shared" si="5"/>
        <v/>
      </c>
      <c r="F140" s="15" t="s">
        <v>459</v>
      </c>
      <c r="G140" s="1">
        <v>1</v>
      </c>
    </row>
    <row r="141" spans="1:7" x14ac:dyDescent="0.25">
      <c r="A141" s="8" t="s">
        <v>366</v>
      </c>
      <c r="B141" s="9" t="s">
        <v>367</v>
      </c>
      <c r="C141" s="9" t="s">
        <v>108</v>
      </c>
      <c r="D141" s="7" t="str">
        <f t="shared" si="4"/>
        <v>m</v>
      </c>
      <c r="E141" t="str">
        <f t="shared" si="5"/>
        <v/>
      </c>
      <c r="F141" s="15" t="s">
        <v>1072</v>
      </c>
      <c r="G141" s="1">
        <v>1</v>
      </c>
    </row>
    <row r="142" spans="1:7" x14ac:dyDescent="0.25">
      <c r="A142" s="5" t="s">
        <v>368</v>
      </c>
      <c r="B142" s="6" t="s">
        <v>369</v>
      </c>
      <c r="C142" s="6" t="s">
        <v>187</v>
      </c>
      <c r="D142" s="7" t="str">
        <f t="shared" si="4"/>
        <v>k</v>
      </c>
      <c r="E142" t="str">
        <f t="shared" si="5"/>
        <v/>
      </c>
      <c r="F142" s="15" t="s">
        <v>313</v>
      </c>
      <c r="G142" s="1">
        <v>1</v>
      </c>
    </row>
    <row r="143" spans="1:7" x14ac:dyDescent="0.25">
      <c r="A143" s="8" t="s">
        <v>370</v>
      </c>
      <c r="B143" s="9" t="s">
        <v>369</v>
      </c>
      <c r="C143" s="9" t="s">
        <v>371</v>
      </c>
      <c r="D143" s="7" t="str">
        <f t="shared" si="4"/>
        <v>k</v>
      </c>
      <c r="E143" t="str">
        <f t="shared" si="5"/>
        <v/>
      </c>
      <c r="F143" s="14" t="s">
        <v>607</v>
      </c>
      <c r="G143" s="1">
        <v>3</v>
      </c>
    </row>
    <row r="144" spans="1:7" x14ac:dyDescent="0.25">
      <c r="A144" s="5" t="s">
        <v>372</v>
      </c>
      <c r="B144" s="6" t="s">
        <v>373</v>
      </c>
      <c r="C144" s="6" t="s">
        <v>166</v>
      </c>
      <c r="D144" s="7" t="str">
        <f t="shared" si="4"/>
        <v>m</v>
      </c>
      <c r="E144" t="str">
        <f t="shared" si="5"/>
        <v/>
      </c>
      <c r="F144" s="15" t="s">
        <v>872</v>
      </c>
      <c r="G144" s="1">
        <v>1</v>
      </c>
    </row>
    <row r="145" spans="1:7" x14ac:dyDescent="0.25">
      <c r="A145" s="8" t="s">
        <v>374</v>
      </c>
      <c r="B145" s="9" t="s">
        <v>375</v>
      </c>
      <c r="C145" s="9" t="s">
        <v>376</v>
      </c>
      <c r="D145" s="7" t="str">
        <f t="shared" si="4"/>
        <v>m</v>
      </c>
      <c r="E145" t="str">
        <f t="shared" si="5"/>
        <v/>
      </c>
      <c r="F145" s="15" t="s">
        <v>606</v>
      </c>
      <c r="G145" s="1">
        <v>1</v>
      </c>
    </row>
    <row r="146" spans="1:7" x14ac:dyDescent="0.25">
      <c r="A146" s="5" t="s">
        <v>377</v>
      </c>
      <c r="B146" s="6" t="s">
        <v>378</v>
      </c>
      <c r="C146" s="6" t="s">
        <v>379</v>
      </c>
      <c r="D146" s="7" t="str">
        <f t="shared" si="4"/>
        <v>m</v>
      </c>
      <c r="E146" t="str">
        <f t="shared" si="5"/>
        <v/>
      </c>
      <c r="F146" s="15" t="s">
        <v>948</v>
      </c>
      <c r="G146" s="1">
        <v>1</v>
      </c>
    </row>
    <row r="147" spans="1:7" x14ac:dyDescent="0.25">
      <c r="A147" s="8" t="s">
        <v>380</v>
      </c>
      <c r="B147" s="9" t="s">
        <v>381</v>
      </c>
      <c r="C147" s="9" t="s">
        <v>382</v>
      </c>
      <c r="D147" s="7" t="str">
        <f t="shared" si="4"/>
        <v>k</v>
      </c>
      <c r="E147" t="str">
        <f t="shared" si="5"/>
        <v/>
      </c>
      <c r="F147" s="14" t="s">
        <v>309</v>
      </c>
      <c r="G147" s="1">
        <v>12</v>
      </c>
    </row>
    <row r="148" spans="1:7" x14ac:dyDescent="0.25">
      <c r="A148" s="5" t="s">
        <v>383</v>
      </c>
      <c r="B148" s="6" t="s">
        <v>384</v>
      </c>
      <c r="C148" s="6" t="s">
        <v>67</v>
      </c>
      <c r="D148" s="7" t="str">
        <f t="shared" si="4"/>
        <v>k</v>
      </c>
      <c r="E148" t="str">
        <f t="shared" si="5"/>
        <v/>
      </c>
      <c r="F148" s="15" t="s">
        <v>308</v>
      </c>
      <c r="G148" s="1">
        <v>1</v>
      </c>
    </row>
    <row r="149" spans="1:7" x14ac:dyDescent="0.25">
      <c r="A149" s="8" t="s">
        <v>385</v>
      </c>
      <c r="B149" s="9" t="s">
        <v>386</v>
      </c>
      <c r="C149" s="9" t="s">
        <v>214</v>
      </c>
      <c r="D149" s="7" t="str">
        <f t="shared" si="4"/>
        <v>k</v>
      </c>
      <c r="E149" t="str">
        <f t="shared" si="5"/>
        <v/>
      </c>
      <c r="F149" s="15" t="s">
        <v>365</v>
      </c>
      <c r="G149" s="1">
        <v>1</v>
      </c>
    </row>
    <row r="150" spans="1:7" x14ac:dyDescent="0.25">
      <c r="A150" s="5" t="s">
        <v>387</v>
      </c>
      <c r="B150" s="6" t="s">
        <v>388</v>
      </c>
      <c r="C150" s="6" t="s">
        <v>241</v>
      </c>
      <c r="D150" s="7" t="str">
        <f t="shared" si="4"/>
        <v>k</v>
      </c>
      <c r="E150" t="str">
        <f t="shared" si="5"/>
        <v/>
      </c>
      <c r="F150" s="15" t="s">
        <v>552</v>
      </c>
      <c r="G150" s="1">
        <v>1</v>
      </c>
    </row>
    <row r="151" spans="1:7" x14ac:dyDescent="0.25">
      <c r="A151" s="8" t="s">
        <v>389</v>
      </c>
      <c r="B151" s="9" t="s">
        <v>390</v>
      </c>
      <c r="C151" s="9" t="s">
        <v>351</v>
      </c>
      <c r="D151" s="7" t="str">
        <f t="shared" si="4"/>
        <v>k</v>
      </c>
      <c r="E151" t="str">
        <f t="shared" si="5"/>
        <v/>
      </c>
      <c r="F151" s="15" t="s">
        <v>550</v>
      </c>
      <c r="G151" s="1">
        <v>1</v>
      </c>
    </row>
    <row r="152" spans="1:7" x14ac:dyDescent="0.25">
      <c r="A152" s="5" t="s">
        <v>391</v>
      </c>
      <c r="B152" s="6" t="s">
        <v>392</v>
      </c>
      <c r="C152" s="6" t="s">
        <v>393</v>
      </c>
      <c r="D152" s="7" t="str">
        <f t="shared" si="4"/>
        <v>k</v>
      </c>
      <c r="E152" t="str">
        <f t="shared" si="5"/>
        <v/>
      </c>
      <c r="F152" s="15" t="s">
        <v>987</v>
      </c>
      <c r="G152" s="1">
        <v>1</v>
      </c>
    </row>
    <row r="153" spans="1:7" x14ac:dyDescent="0.25">
      <c r="A153" s="8" t="s">
        <v>394</v>
      </c>
      <c r="B153" s="9" t="s">
        <v>392</v>
      </c>
      <c r="C153" s="9" t="s">
        <v>395</v>
      </c>
      <c r="D153" s="7" t="str">
        <f t="shared" si="4"/>
        <v>k</v>
      </c>
      <c r="E153" t="str">
        <f t="shared" si="5"/>
        <v/>
      </c>
      <c r="F153" s="15" t="s">
        <v>920</v>
      </c>
      <c r="G153" s="1">
        <v>1</v>
      </c>
    </row>
    <row r="154" spans="1:7" x14ac:dyDescent="0.25">
      <c r="A154" s="5" t="s">
        <v>396</v>
      </c>
      <c r="B154" s="6" t="s">
        <v>397</v>
      </c>
      <c r="C154" s="6" t="s">
        <v>393</v>
      </c>
      <c r="D154" s="7" t="str">
        <f t="shared" si="4"/>
        <v>k</v>
      </c>
      <c r="E154" t="str">
        <f t="shared" si="5"/>
        <v/>
      </c>
      <c r="F154" s="15" t="s">
        <v>864</v>
      </c>
      <c r="G154" s="1">
        <v>1</v>
      </c>
    </row>
    <row r="155" spans="1:7" x14ac:dyDescent="0.25">
      <c r="A155" s="8" t="s">
        <v>398</v>
      </c>
      <c r="B155" s="9" t="s">
        <v>399</v>
      </c>
      <c r="C155" s="9" t="s">
        <v>400</v>
      </c>
      <c r="D155" s="7" t="str">
        <f t="shared" si="4"/>
        <v>k</v>
      </c>
      <c r="E155" t="str">
        <f t="shared" si="5"/>
        <v/>
      </c>
      <c r="F155" s="15" t="s">
        <v>925</v>
      </c>
      <c r="G155" s="1">
        <v>1</v>
      </c>
    </row>
    <row r="156" spans="1:7" x14ac:dyDescent="0.25">
      <c r="A156" s="5" t="s">
        <v>401</v>
      </c>
      <c r="B156" s="6" t="s">
        <v>402</v>
      </c>
      <c r="C156" s="6" t="s">
        <v>340</v>
      </c>
      <c r="D156" s="7" t="str">
        <f t="shared" si="4"/>
        <v>k</v>
      </c>
      <c r="E156" t="str">
        <f t="shared" si="5"/>
        <v/>
      </c>
      <c r="F156" s="15" t="s">
        <v>868</v>
      </c>
      <c r="G156" s="1">
        <v>1</v>
      </c>
    </row>
    <row r="157" spans="1:7" x14ac:dyDescent="0.25">
      <c r="A157" s="8" t="s">
        <v>403</v>
      </c>
      <c r="B157" s="9" t="s">
        <v>243</v>
      </c>
      <c r="C157" s="9" t="s">
        <v>404</v>
      </c>
      <c r="D157" s="7" t="str">
        <f t="shared" si="4"/>
        <v>k</v>
      </c>
      <c r="E157" t="str">
        <f t="shared" si="5"/>
        <v/>
      </c>
      <c r="F157" s="15" t="s">
        <v>882</v>
      </c>
      <c r="G157" s="1">
        <v>1</v>
      </c>
    </row>
    <row r="158" spans="1:7" x14ac:dyDescent="0.25">
      <c r="A158" s="5" t="s">
        <v>405</v>
      </c>
      <c r="B158" s="6" t="s">
        <v>406</v>
      </c>
      <c r="C158" s="6" t="s">
        <v>78</v>
      </c>
      <c r="D158" s="7" t="str">
        <f t="shared" si="4"/>
        <v>k</v>
      </c>
      <c r="E158" t="str">
        <f t="shared" si="5"/>
        <v/>
      </c>
      <c r="F158" s="15" t="s">
        <v>857</v>
      </c>
      <c r="G158" s="1">
        <v>1</v>
      </c>
    </row>
    <row r="159" spans="1:7" x14ac:dyDescent="0.25">
      <c r="A159" s="8" t="s">
        <v>407</v>
      </c>
      <c r="B159" s="9" t="s">
        <v>408</v>
      </c>
      <c r="C159" s="9" t="s">
        <v>409</v>
      </c>
      <c r="D159" s="7" t="str">
        <f t="shared" si="4"/>
        <v>k</v>
      </c>
      <c r="E159" t="str">
        <f t="shared" si="5"/>
        <v/>
      </c>
      <c r="F159" s="15" t="s">
        <v>894</v>
      </c>
      <c r="G159" s="1">
        <v>1</v>
      </c>
    </row>
    <row r="160" spans="1:7" x14ac:dyDescent="0.25">
      <c r="A160" s="5" t="s">
        <v>410</v>
      </c>
      <c r="B160" s="6" t="s">
        <v>353</v>
      </c>
      <c r="C160" s="6" t="s">
        <v>371</v>
      </c>
      <c r="D160" s="7" t="str">
        <f t="shared" si="4"/>
        <v>k</v>
      </c>
      <c r="E160" t="str">
        <f t="shared" si="5"/>
        <v/>
      </c>
      <c r="F160" s="14" t="s">
        <v>379</v>
      </c>
      <c r="G160" s="1">
        <v>3</v>
      </c>
    </row>
    <row r="161" spans="1:7" x14ac:dyDescent="0.25">
      <c r="A161" s="8" t="s">
        <v>411</v>
      </c>
      <c r="B161" s="9" t="s">
        <v>412</v>
      </c>
      <c r="C161" s="9" t="s">
        <v>413</v>
      </c>
      <c r="D161" s="7" t="str">
        <f t="shared" si="4"/>
        <v>k</v>
      </c>
      <c r="E161" t="str">
        <f t="shared" si="5"/>
        <v/>
      </c>
      <c r="F161" s="15" t="s">
        <v>496</v>
      </c>
      <c r="G161" s="1">
        <v>1</v>
      </c>
    </row>
    <row r="162" spans="1:7" x14ac:dyDescent="0.25">
      <c r="A162" s="5" t="s">
        <v>414</v>
      </c>
      <c r="B162" s="6" t="s">
        <v>415</v>
      </c>
      <c r="C162" s="6" t="s">
        <v>416</v>
      </c>
      <c r="D162" s="7" t="str">
        <f t="shared" si="4"/>
        <v>k</v>
      </c>
      <c r="E162" t="str">
        <f t="shared" si="5"/>
        <v/>
      </c>
      <c r="F162" s="15" t="s">
        <v>378</v>
      </c>
      <c r="G162" s="1">
        <v>1</v>
      </c>
    </row>
    <row r="163" spans="1:7" x14ac:dyDescent="0.25">
      <c r="A163" s="8" t="s">
        <v>417</v>
      </c>
      <c r="B163" s="9" t="s">
        <v>418</v>
      </c>
      <c r="C163" s="9" t="s">
        <v>419</v>
      </c>
      <c r="D163" s="7" t="str">
        <f t="shared" si="4"/>
        <v>k</v>
      </c>
      <c r="E163" t="str">
        <f t="shared" si="5"/>
        <v/>
      </c>
      <c r="F163" s="15" t="s">
        <v>477</v>
      </c>
      <c r="G163" s="1">
        <v>1</v>
      </c>
    </row>
    <row r="164" spans="1:7" x14ac:dyDescent="0.25">
      <c r="A164" s="5" t="s">
        <v>420</v>
      </c>
      <c r="B164" s="6" t="s">
        <v>421</v>
      </c>
      <c r="C164" s="6" t="s">
        <v>295</v>
      </c>
      <c r="D164" s="7" t="str">
        <f t="shared" si="4"/>
        <v>k</v>
      </c>
      <c r="E164" t="str">
        <f t="shared" si="5"/>
        <v/>
      </c>
      <c r="F164" s="14" t="s">
        <v>105</v>
      </c>
      <c r="G164" s="1">
        <v>5</v>
      </c>
    </row>
    <row r="165" spans="1:7" x14ac:dyDescent="0.25">
      <c r="A165" s="8" t="s">
        <v>422</v>
      </c>
      <c r="B165" s="9" t="s">
        <v>423</v>
      </c>
      <c r="C165" s="9" t="s">
        <v>295</v>
      </c>
      <c r="D165" s="7" t="str">
        <f t="shared" si="4"/>
        <v>k</v>
      </c>
      <c r="E165" t="str">
        <f t="shared" si="5"/>
        <v/>
      </c>
      <c r="F165" s="15" t="s">
        <v>799</v>
      </c>
      <c r="G165" s="1">
        <v>1</v>
      </c>
    </row>
    <row r="166" spans="1:7" x14ac:dyDescent="0.25">
      <c r="A166" s="5" t="s">
        <v>424</v>
      </c>
      <c r="B166" s="6" t="s">
        <v>425</v>
      </c>
      <c r="C166" s="6" t="s">
        <v>371</v>
      </c>
      <c r="D166" s="7" t="str">
        <f t="shared" si="4"/>
        <v>k</v>
      </c>
      <c r="E166" t="str">
        <f t="shared" si="5"/>
        <v/>
      </c>
      <c r="F166" s="15" t="s">
        <v>171</v>
      </c>
      <c r="G166" s="1">
        <v>1</v>
      </c>
    </row>
    <row r="167" spans="1:7" x14ac:dyDescent="0.25">
      <c r="A167" s="8" t="s">
        <v>426</v>
      </c>
      <c r="B167" s="9" t="s">
        <v>427</v>
      </c>
      <c r="C167" s="9" t="s">
        <v>428</v>
      </c>
      <c r="D167" s="7" t="str">
        <f t="shared" si="4"/>
        <v>k</v>
      </c>
      <c r="E167" t="str">
        <f t="shared" si="5"/>
        <v/>
      </c>
      <c r="F167" s="15" t="s">
        <v>801</v>
      </c>
      <c r="G167" s="1">
        <v>1</v>
      </c>
    </row>
    <row r="168" spans="1:7" x14ac:dyDescent="0.25">
      <c r="A168" s="5" t="s">
        <v>429</v>
      </c>
      <c r="B168" s="6" t="s">
        <v>430</v>
      </c>
      <c r="C168" s="6" t="s">
        <v>419</v>
      </c>
      <c r="D168" s="7" t="str">
        <f t="shared" si="4"/>
        <v>k</v>
      </c>
      <c r="E168" t="str">
        <f t="shared" si="5"/>
        <v/>
      </c>
      <c r="F168" s="15" t="s">
        <v>104</v>
      </c>
      <c r="G168" s="1">
        <v>1</v>
      </c>
    </row>
    <row r="169" spans="1:7" x14ac:dyDescent="0.25">
      <c r="A169" s="8" t="s">
        <v>431</v>
      </c>
      <c r="B169" s="9" t="s">
        <v>432</v>
      </c>
      <c r="C169" s="9" t="s">
        <v>419</v>
      </c>
      <c r="D169" s="7" t="str">
        <f t="shared" si="4"/>
        <v>k</v>
      </c>
      <c r="E169" t="str">
        <f t="shared" si="5"/>
        <v/>
      </c>
      <c r="F169" s="15" t="s">
        <v>677</v>
      </c>
      <c r="G169" s="1">
        <v>1</v>
      </c>
    </row>
    <row r="170" spans="1:7" x14ac:dyDescent="0.25">
      <c r="A170" s="5" t="s">
        <v>433</v>
      </c>
      <c r="B170" s="6" t="s">
        <v>434</v>
      </c>
      <c r="C170" s="6" t="s">
        <v>147</v>
      </c>
      <c r="D170" s="7" t="str">
        <f t="shared" si="4"/>
        <v>k</v>
      </c>
      <c r="E170" t="str">
        <f t="shared" si="5"/>
        <v/>
      </c>
      <c r="F170" s="14" t="s">
        <v>382</v>
      </c>
      <c r="G170" s="1">
        <v>4</v>
      </c>
    </row>
    <row r="171" spans="1:7" x14ac:dyDescent="0.25">
      <c r="A171" s="8" t="s">
        <v>435</v>
      </c>
      <c r="B171" s="9" t="s">
        <v>436</v>
      </c>
      <c r="C171" s="9" t="s">
        <v>437</v>
      </c>
      <c r="D171" s="7" t="str">
        <f t="shared" si="4"/>
        <v>k</v>
      </c>
      <c r="E171" t="str">
        <f t="shared" si="5"/>
        <v/>
      </c>
      <c r="F171" s="15" t="s">
        <v>807</v>
      </c>
      <c r="G171" s="1">
        <v>1</v>
      </c>
    </row>
    <row r="172" spans="1:7" x14ac:dyDescent="0.25">
      <c r="A172" s="5" t="s">
        <v>438</v>
      </c>
      <c r="B172" s="6" t="s">
        <v>439</v>
      </c>
      <c r="C172" s="6" t="s">
        <v>409</v>
      </c>
      <c r="D172" s="7" t="str">
        <f t="shared" si="4"/>
        <v>k</v>
      </c>
      <c r="E172" t="str">
        <f t="shared" si="5"/>
        <v/>
      </c>
      <c r="F172" s="15" t="s">
        <v>637</v>
      </c>
      <c r="G172" s="1">
        <v>1</v>
      </c>
    </row>
    <row r="173" spans="1:7" x14ac:dyDescent="0.25">
      <c r="A173" s="8" t="s">
        <v>440</v>
      </c>
      <c r="B173" s="9" t="s">
        <v>441</v>
      </c>
      <c r="C173" s="9" t="s">
        <v>86</v>
      </c>
      <c r="D173" s="7" t="str">
        <f t="shared" si="4"/>
        <v>k</v>
      </c>
      <c r="E173" t="str">
        <f t="shared" si="5"/>
        <v/>
      </c>
      <c r="F173" s="15" t="s">
        <v>381</v>
      </c>
      <c r="G173" s="1">
        <v>1</v>
      </c>
    </row>
    <row r="174" spans="1:7" x14ac:dyDescent="0.25">
      <c r="A174" s="5" t="s">
        <v>442</v>
      </c>
      <c r="B174" s="6" t="s">
        <v>443</v>
      </c>
      <c r="C174" s="6" t="s">
        <v>419</v>
      </c>
      <c r="D174" s="7" t="str">
        <f t="shared" si="4"/>
        <v>k</v>
      </c>
      <c r="E174" t="str">
        <f t="shared" si="5"/>
        <v/>
      </c>
      <c r="F174" s="15" t="s">
        <v>966</v>
      </c>
      <c r="G174" s="1">
        <v>1</v>
      </c>
    </row>
    <row r="175" spans="1:7" x14ac:dyDescent="0.25">
      <c r="A175" s="8" t="s">
        <v>444</v>
      </c>
      <c r="B175" s="9" t="s">
        <v>445</v>
      </c>
      <c r="C175" s="9" t="s">
        <v>241</v>
      </c>
      <c r="D175" s="7" t="str">
        <f t="shared" si="4"/>
        <v>k</v>
      </c>
      <c r="E175" t="str">
        <f t="shared" si="5"/>
        <v/>
      </c>
      <c r="F175" s="14" t="s">
        <v>413</v>
      </c>
      <c r="G175" s="1">
        <v>5</v>
      </c>
    </row>
    <row r="176" spans="1:7" x14ac:dyDescent="0.25">
      <c r="A176" s="5" t="s">
        <v>446</v>
      </c>
      <c r="B176" s="6" t="s">
        <v>447</v>
      </c>
      <c r="C176" s="6" t="s">
        <v>448</v>
      </c>
      <c r="D176" s="7" t="str">
        <f t="shared" si="4"/>
        <v>k</v>
      </c>
      <c r="E176" t="str">
        <f t="shared" si="5"/>
        <v/>
      </c>
      <c r="F176" s="15" t="s">
        <v>1007</v>
      </c>
      <c r="G176" s="1">
        <v>1</v>
      </c>
    </row>
    <row r="177" spans="1:7" x14ac:dyDescent="0.25">
      <c r="A177" s="8" t="s">
        <v>449</v>
      </c>
      <c r="B177" s="9" t="s">
        <v>450</v>
      </c>
      <c r="C177" s="9" t="s">
        <v>194</v>
      </c>
      <c r="D177" s="7" t="str">
        <f t="shared" si="4"/>
        <v>k</v>
      </c>
      <c r="E177" t="str">
        <f t="shared" si="5"/>
        <v/>
      </c>
      <c r="F177" s="15" t="s">
        <v>661</v>
      </c>
      <c r="G177" s="1">
        <v>1</v>
      </c>
    </row>
    <row r="178" spans="1:7" x14ac:dyDescent="0.25">
      <c r="A178" s="5" t="s">
        <v>451</v>
      </c>
      <c r="B178" s="6" t="s">
        <v>452</v>
      </c>
      <c r="C178" s="6" t="s">
        <v>89</v>
      </c>
      <c r="D178" s="7" t="str">
        <f t="shared" si="4"/>
        <v>k</v>
      </c>
      <c r="E178" t="str">
        <f t="shared" si="5"/>
        <v/>
      </c>
      <c r="F178" s="15" t="s">
        <v>716</v>
      </c>
      <c r="G178" s="1">
        <v>1</v>
      </c>
    </row>
    <row r="179" spans="1:7" x14ac:dyDescent="0.25">
      <c r="A179" s="8" t="s">
        <v>453</v>
      </c>
      <c r="B179" s="9" t="s">
        <v>454</v>
      </c>
      <c r="C179" s="9" t="s">
        <v>36</v>
      </c>
      <c r="D179" s="7" t="str">
        <f t="shared" si="4"/>
        <v>m</v>
      </c>
      <c r="E179" t="str">
        <f t="shared" si="5"/>
        <v/>
      </c>
      <c r="F179" s="15" t="s">
        <v>749</v>
      </c>
      <c r="G179" s="1">
        <v>1</v>
      </c>
    </row>
    <row r="180" spans="1:7" x14ac:dyDescent="0.25">
      <c r="A180" s="5" t="s">
        <v>455</v>
      </c>
      <c r="B180" s="6" t="s">
        <v>456</v>
      </c>
      <c r="C180" s="6" t="s">
        <v>457</v>
      </c>
      <c r="D180" s="7" t="str">
        <f t="shared" si="4"/>
        <v>m</v>
      </c>
      <c r="E180" t="str">
        <f t="shared" si="5"/>
        <v/>
      </c>
      <c r="F180" s="15" t="s">
        <v>412</v>
      </c>
      <c r="G180" s="1">
        <v>1</v>
      </c>
    </row>
    <row r="181" spans="1:7" x14ac:dyDescent="0.25">
      <c r="A181" s="8" t="s">
        <v>458</v>
      </c>
      <c r="B181" s="9" t="s">
        <v>459</v>
      </c>
      <c r="C181" s="9" t="s">
        <v>121</v>
      </c>
      <c r="D181" s="7" t="str">
        <f t="shared" si="4"/>
        <v>m</v>
      </c>
      <c r="E181" t="str">
        <f t="shared" si="5"/>
        <v/>
      </c>
      <c r="F181" s="14" t="s">
        <v>5</v>
      </c>
      <c r="G181" s="1">
        <v>5</v>
      </c>
    </row>
    <row r="182" spans="1:7" x14ac:dyDescent="0.25">
      <c r="A182" s="5" t="s">
        <v>460</v>
      </c>
      <c r="B182" s="6" t="s">
        <v>461</v>
      </c>
      <c r="C182" s="6" t="s">
        <v>166</v>
      </c>
      <c r="D182" s="7" t="str">
        <f t="shared" si="4"/>
        <v>m</v>
      </c>
      <c r="E182" t="str">
        <f t="shared" si="5"/>
        <v/>
      </c>
      <c r="F182" s="15" t="s">
        <v>94</v>
      </c>
      <c r="G182" s="1">
        <v>1</v>
      </c>
    </row>
    <row r="183" spans="1:7" x14ac:dyDescent="0.25">
      <c r="A183" s="8" t="s">
        <v>462</v>
      </c>
      <c r="B183" s="9" t="s">
        <v>463</v>
      </c>
      <c r="C183" s="9" t="s">
        <v>464</v>
      </c>
      <c r="D183" s="7" t="str">
        <f t="shared" si="4"/>
        <v>m</v>
      </c>
      <c r="E183" t="str">
        <f t="shared" si="5"/>
        <v/>
      </c>
      <c r="F183" s="15" t="s">
        <v>254</v>
      </c>
      <c r="G183" s="1">
        <v>1</v>
      </c>
    </row>
    <row r="184" spans="1:7" x14ac:dyDescent="0.25">
      <c r="A184" s="5" t="s">
        <v>465</v>
      </c>
      <c r="B184" s="6" t="s">
        <v>466</v>
      </c>
      <c r="C184" s="6" t="s">
        <v>166</v>
      </c>
      <c r="D184" s="7" t="str">
        <f t="shared" si="4"/>
        <v>m</v>
      </c>
      <c r="E184" t="str">
        <f t="shared" si="5"/>
        <v/>
      </c>
      <c r="F184" s="15" t="s">
        <v>235</v>
      </c>
      <c r="G184" s="1">
        <v>2</v>
      </c>
    </row>
    <row r="185" spans="1:7" x14ac:dyDescent="0.25">
      <c r="A185" s="8" t="s">
        <v>467</v>
      </c>
      <c r="B185" s="9" t="s">
        <v>468</v>
      </c>
      <c r="C185" s="9" t="s">
        <v>20</v>
      </c>
      <c r="D185" s="7" t="str">
        <f t="shared" si="4"/>
        <v>m</v>
      </c>
      <c r="E185" t="str">
        <f t="shared" si="5"/>
        <v/>
      </c>
      <c r="F185" s="15" t="s">
        <v>4</v>
      </c>
      <c r="G185" s="1">
        <v>1</v>
      </c>
    </row>
    <row r="186" spans="1:7" x14ac:dyDescent="0.25">
      <c r="A186" s="5" t="s">
        <v>469</v>
      </c>
      <c r="B186" s="6" t="s">
        <v>470</v>
      </c>
      <c r="C186" s="6" t="s">
        <v>166</v>
      </c>
      <c r="D186" s="7" t="str">
        <f t="shared" si="4"/>
        <v>m</v>
      </c>
      <c r="E186" t="str">
        <f t="shared" si="5"/>
        <v/>
      </c>
      <c r="F186" s="14" t="s">
        <v>419</v>
      </c>
      <c r="G186" s="1">
        <v>12</v>
      </c>
    </row>
    <row r="187" spans="1:7" x14ac:dyDescent="0.25">
      <c r="A187" s="8" t="s">
        <v>471</v>
      </c>
      <c r="B187" s="9" t="s">
        <v>472</v>
      </c>
      <c r="C187" s="9" t="s">
        <v>202</v>
      </c>
      <c r="D187" s="7" t="str">
        <f t="shared" si="4"/>
        <v>m</v>
      </c>
      <c r="E187" t="str">
        <f t="shared" si="5"/>
        <v/>
      </c>
      <c r="F187" s="15" t="s">
        <v>994</v>
      </c>
      <c r="G187" s="1">
        <v>1</v>
      </c>
    </row>
    <row r="188" spans="1:7" x14ac:dyDescent="0.25">
      <c r="A188" s="5" t="s">
        <v>473</v>
      </c>
      <c r="B188" s="6" t="s">
        <v>474</v>
      </c>
      <c r="C188" s="6" t="s">
        <v>475</v>
      </c>
      <c r="D188" s="7" t="str">
        <f t="shared" si="4"/>
        <v>m</v>
      </c>
      <c r="E188" t="str">
        <f t="shared" si="5"/>
        <v/>
      </c>
      <c r="F188" s="15" t="s">
        <v>725</v>
      </c>
      <c r="G188" s="1">
        <v>1</v>
      </c>
    </row>
    <row r="189" spans="1:7" x14ac:dyDescent="0.25">
      <c r="A189" s="8" t="s">
        <v>476</v>
      </c>
      <c r="B189" s="9" t="s">
        <v>477</v>
      </c>
      <c r="C189" s="9" t="s">
        <v>379</v>
      </c>
      <c r="D189" s="7" t="str">
        <f t="shared" si="4"/>
        <v>m</v>
      </c>
      <c r="E189" t="str">
        <f t="shared" si="5"/>
        <v/>
      </c>
      <c r="F189" s="15" t="s">
        <v>544</v>
      </c>
      <c r="G189" s="1">
        <v>1</v>
      </c>
    </row>
    <row r="190" spans="1:7" x14ac:dyDescent="0.25">
      <c r="A190" s="5" t="s">
        <v>478</v>
      </c>
      <c r="B190" s="6" t="s">
        <v>479</v>
      </c>
      <c r="C190" s="6" t="s">
        <v>480</v>
      </c>
      <c r="D190" s="7" t="str">
        <f t="shared" si="4"/>
        <v>m</v>
      </c>
      <c r="E190" t="str">
        <f t="shared" si="5"/>
        <v/>
      </c>
      <c r="F190" s="15" t="s">
        <v>989</v>
      </c>
      <c r="G190" s="1">
        <v>1</v>
      </c>
    </row>
    <row r="191" spans="1:7" x14ac:dyDescent="0.25">
      <c r="A191" s="8" t="s">
        <v>481</v>
      </c>
      <c r="B191" s="9" t="s">
        <v>482</v>
      </c>
      <c r="C191" s="9" t="s">
        <v>166</v>
      </c>
      <c r="D191" s="7" t="str">
        <f t="shared" si="4"/>
        <v>m</v>
      </c>
      <c r="E191" t="str">
        <f t="shared" si="5"/>
        <v/>
      </c>
      <c r="F191" s="15" t="s">
        <v>432</v>
      </c>
      <c r="G191" s="1">
        <v>1</v>
      </c>
    </row>
    <row r="192" spans="1:7" x14ac:dyDescent="0.25">
      <c r="A192" s="5" t="s">
        <v>483</v>
      </c>
      <c r="B192" s="6" t="s">
        <v>484</v>
      </c>
      <c r="C192" s="6" t="s">
        <v>485</v>
      </c>
      <c r="D192" s="7" t="str">
        <f t="shared" si="4"/>
        <v>m</v>
      </c>
      <c r="E192" t="str">
        <f t="shared" si="5"/>
        <v/>
      </c>
      <c r="F192" s="15" t="s">
        <v>430</v>
      </c>
      <c r="G192" s="1">
        <v>1</v>
      </c>
    </row>
    <row r="193" spans="1:7" x14ac:dyDescent="0.25">
      <c r="A193" s="8" t="s">
        <v>486</v>
      </c>
      <c r="B193" s="9" t="s">
        <v>487</v>
      </c>
      <c r="C193" s="9" t="s">
        <v>488</v>
      </c>
      <c r="D193" s="7" t="str">
        <f t="shared" si="4"/>
        <v>m</v>
      </c>
      <c r="E193" t="str">
        <f t="shared" si="5"/>
        <v/>
      </c>
      <c r="F193" s="15" t="s">
        <v>443</v>
      </c>
      <c r="G193" s="1">
        <v>1</v>
      </c>
    </row>
    <row r="194" spans="1:7" x14ac:dyDescent="0.25">
      <c r="A194" s="5" t="s">
        <v>489</v>
      </c>
      <c r="B194" s="6" t="s">
        <v>490</v>
      </c>
      <c r="C194" s="6" t="s">
        <v>260</v>
      </c>
      <c r="D194" s="7" t="str">
        <f t="shared" ref="D194:D257" si="6">IF(MOD(LEFT(RIGHT(A194,2),1),2)=0,"k","m")</f>
        <v>m</v>
      </c>
      <c r="E194" t="str">
        <f t="shared" si="5"/>
        <v/>
      </c>
      <c r="F194" s="15" t="s">
        <v>548</v>
      </c>
      <c r="G194" s="1">
        <v>1</v>
      </c>
    </row>
    <row r="195" spans="1:7" x14ac:dyDescent="0.25">
      <c r="A195" s="8" t="s">
        <v>491</v>
      </c>
      <c r="B195" s="9" t="s">
        <v>492</v>
      </c>
      <c r="C195" s="9" t="s">
        <v>223</v>
      </c>
      <c r="D195" s="7" t="str">
        <f t="shared" si="6"/>
        <v>m</v>
      </c>
      <c r="E195" t="str">
        <f t="shared" si="5"/>
        <v/>
      </c>
      <c r="F195" s="15" t="s">
        <v>1060</v>
      </c>
      <c r="G195" s="1">
        <v>1</v>
      </c>
    </row>
    <row r="196" spans="1:7" x14ac:dyDescent="0.25">
      <c r="A196" s="5" t="s">
        <v>493</v>
      </c>
      <c r="B196" s="6" t="s">
        <v>494</v>
      </c>
      <c r="C196" s="6" t="s">
        <v>376</v>
      </c>
      <c r="D196" s="7" t="str">
        <f t="shared" si="6"/>
        <v>m</v>
      </c>
      <c r="E196" t="str">
        <f t="shared" ref="E196:E259" si="7">IF(B196=C196,A196,"")</f>
        <v/>
      </c>
      <c r="F196" s="15" t="s">
        <v>704</v>
      </c>
      <c r="G196" s="1">
        <v>1</v>
      </c>
    </row>
    <row r="197" spans="1:7" x14ac:dyDescent="0.25">
      <c r="A197" s="8" t="s">
        <v>495</v>
      </c>
      <c r="B197" s="9" t="s">
        <v>496</v>
      </c>
      <c r="C197" s="9" t="s">
        <v>379</v>
      </c>
      <c r="D197" s="7" t="str">
        <f t="shared" si="6"/>
        <v>m</v>
      </c>
      <c r="E197" t="str">
        <f t="shared" si="7"/>
        <v/>
      </c>
      <c r="F197" s="15" t="s">
        <v>418</v>
      </c>
      <c r="G197" s="1">
        <v>1</v>
      </c>
    </row>
    <row r="198" spans="1:7" x14ac:dyDescent="0.25">
      <c r="A198" s="5" t="s">
        <v>497</v>
      </c>
      <c r="B198" s="6" t="s">
        <v>498</v>
      </c>
      <c r="C198" s="6" t="s">
        <v>499</v>
      </c>
      <c r="D198" s="7" t="str">
        <f t="shared" si="6"/>
        <v>m</v>
      </c>
      <c r="E198" t="str">
        <f t="shared" si="7"/>
        <v/>
      </c>
      <c r="F198" s="15" t="s">
        <v>1022</v>
      </c>
      <c r="G198" s="1">
        <v>1</v>
      </c>
    </row>
    <row r="199" spans="1:7" x14ac:dyDescent="0.25">
      <c r="A199" s="8" t="s">
        <v>500</v>
      </c>
      <c r="B199" s="9" t="s">
        <v>41</v>
      </c>
      <c r="C199" s="9" t="s">
        <v>219</v>
      </c>
      <c r="D199" s="7" t="str">
        <f t="shared" si="6"/>
        <v>m</v>
      </c>
      <c r="E199" t="str">
        <f t="shared" si="7"/>
        <v/>
      </c>
      <c r="F199" s="14" t="s">
        <v>67</v>
      </c>
      <c r="G199" s="1">
        <v>3</v>
      </c>
    </row>
    <row r="200" spans="1:7" x14ac:dyDescent="0.25">
      <c r="A200" s="5" t="s">
        <v>501</v>
      </c>
      <c r="B200" s="6" t="s">
        <v>502</v>
      </c>
      <c r="C200" s="6" t="s">
        <v>480</v>
      </c>
      <c r="D200" s="7" t="str">
        <f t="shared" si="6"/>
        <v>m</v>
      </c>
      <c r="E200" t="str">
        <f t="shared" si="7"/>
        <v/>
      </c>
      <c r="F200" s="15" t="s">
        <v>582</v>
      </c>
      <c r="G200" s="1">
        <v>1</v>
      </c>
    </row>
    <row r="201" spans="1:7" x14ac:dyDescent="0.25">
      <c r="A201" s="8" t="s">
        <v>503</v>
      </c>
      <c r="B201" s="9" t="s">
        <v>504</v>
      </c>
      <c r="C201" s="9" t="s">
        <v>505</v>
      </c>
      <c r="D201" s="7" t="str">
        <f t="shared" si="6"/>
        <v>m</v>
      </c>
      <c r="E201" t="str">
        <f t="shared" si="7"/>
        <v/>
      </c>
      <c r="F201" s="15" t="s">
        <v>384</v>
      </c>
      <c r="G201" s="1">
        <v>1</v>
      </c>
    </row>
    <row r="202" spans="1:7" x14ac:dyDescent="0.25">
      <c r="A202" s="5" t="s">
        <v>506</v>
      </c>
      <c r="B202" s="6" t="s">
        <v>507</v>
      </c>
      <c r="C202" s="6" t="s">
        <v>508</v>
      </c>
      <c r="D202" s="7" t="str">
        <f t="shared" si="6"/>
        <v>m</v>
      </c>
      <c r="E202" t="str">
        <f t="shared" si="7"/>
        <v/>
      </c>
      <c r="F202" s="15" t="s">
        <v>66</v>
      </c>
      <c r="G202" s="1">
        <v>1</v>
      </c>
    </row>
    <row r="203" spans="1:7" x14ac:dyDescent="0.25">
      <c r="A203" s="8" t="s">
        <v>509</v>
      </c>
      <c r="B203" s="9" t="s">
        <v>510</v>
      </c>
      <c r="C203" s="9" t="s">
        <v>511</v>
      </c>
      <c r="D203" s="7" t="str">
        <f t="shared" si="6"/>
        <v>m</v>
      </c>
      <c r="E203" t="str">
        <f t="shared" si="7"/>
        <v/>
      </c>
      <c r="F203" s="14" t="s">
        <v>39</v>
      </c>
      <c r="G203" s="1">
        <v>10</v>
      </c>
    </row>
    <row r="204" spans="1:7" x14ac:dyDescent="0.25">
      <c r="A204" s="5" t="s">
        <v>512</v>
      </c>
      <c r="B204" s="6" t="s">
        <v>513</v>
      </c>
      <c r="C204" s="6" t="s">
        <v>202</v>
      </c>
      <c r="D204" s="7" t="str">
        <f t="shared" si="6"/>
        <v>m</v>
      </c>
      <c r="E204" t="str">
        <f t="shared" si="7"/>
        <v/>
      </c>
      <c r="F204" s="15" t="s">
        <v>80</v>
      </c>
      <c r="G204" s="1">
        <v>1</v>
      </c>
    </row>
    <row r="205" spans="1:7" x14ac:dyDescent="0.25">
      <c r="A205" s="8" t="s">
        <v>514</v>
      </c>
      <c r="B205" s="9" t="s">
        <v>515</v>
      </c>
      <c r="C205" s="9" t="s">
        <v>39</v>
      </c>
      <c r="D205" s="7" t="str">
        <f t="shared" si="6"/>
        <v>m</v>
      </c>
      <c r="E205" t="str">
        <f t="shared" si="7"/>
        <v/>
      </c>
      <c r="F205" s="15" t="s">
        <v>41</v>
      </c>
      <c r="G205" s="1">
        <v>1</v>
      </c>
    </row>
    <row r="206" spans="1:7" x14ac:dyDescent="0.25">
      <c r="A206" s="5" t="s">
        <v>516</v>
      </c>
      <c r="B206" s="6" t="s">
        <v>517</v>
      </c>
      <c r="C206" s="6" t="s">
        <v>11</v>
      </c>
      <c r="D206" s="7" t="str">
        <f t="shared" si="6"/>
        <v>m</v>
      </c>
      <c r="E206" t="str">
        <f t="shared" si="7"/>
        <v/>
      </c>
      <c r="F206" s="15" t="s">
        <v>774</v>
      </c>
      <c r="G206" s="1">
        <v>1</v>
      </c>
    </row>
    <row r="207" spans="1:7" x14ac:dyDescent="0.25">
      <c r="A207" s="8" t="s">
        <v>518</v>
      </c>
      <c r="B207" s="9" t="s">
        <v>519</v>
      </c>
      <c r="C207" s="9" t="s">
        <v>166</v>
      </c>
      <c r="D207" s="7" t="str">
        <f t="shared" si="6"/>
        <v>m</v>
      </c>
      <c r="E207" t="str">
        <f t="shared" si="7"/>
        <v/>
      </c>
      <c r="F207" s="15" t="s">
        <v>530</v>
      </c>
      <c r="G207" s="1">
        <v>1</v>
      </c>
    </row>
    <row r="208" spans="1:7" x14ac:dyDescent="0.25">
      <c r="A208" s="5" t="s">
        <v>520</v>
      </c>
      <c r="B208" s="6" t="s">
        <v>521</v>
      </c>
      <c r="C208" s="6" t="s">
        <v>219</v>
      </c>
      <c r="D208" s="7" t="str">
        <f t="shared" si="6"/>
        <v>m</v>
      </c>
      <c r="E208" t="str">
        <f t="shared" si="7"/>
        <v/>
      </c>
      <c r="F208" s="15" t="s">
        <v>38</v>
      </c>
      <c r="G208" s="1">
        <v>1</v>
      </c>
    </row>
    <row r="209" spans="1:7" x14ac:dyDescent="0.25">
      <c r="A209" s="8" t="s">
        <v>522</v>
      </c>
      <c r="B209" s="9" t="s">
        <v>521</v>
      </c>
      <c r="C209" s="9" t="s">
        <v>17</v>
      </c>
      <c r="D209" s="7" t="str">
        <f t="shared" si="6"/>
        <v>m</v>
      </c>
      <c r="E209" t="str">
        <f t="shared" si="7"/>
        <v/>
      </c>
      <c r="F209" s="15" t="s">
        <v>976</v>
      </c>
      <c r="G209" s="1">
        <v>1</v>
      </c>
    </row>
    <row r="210" spans="1:7" x14ac:dyDescent="0.25">
      <c r="A210" s="5" t="s">
        <v>523</v>
      </c>
      <c r="B210" s="6" t="s">
        <v>524</v>
      </c>
      <c r="C210" s="6" t="s">
        <v>73</v>
      </c>
      <c r="D210" s="7" t="str">
        <f t="shared" si="6"/>
        <v>m</v>
      </c>
      <c r="E210" t="str">
        <f t="shared" si="7"/>
        <v/>
      </c>
      <c r="F210" s="15" t="s">
        <v>911</v>
      </c>
      <c r="G210" s="1">
        <v>1</v>
      </c>
    </row>
    <row r="211" spans="1:7" x14ac:dyDescent="0.25">
      <c r="A211" s="8" t="s">
        <v>525</v>
      </c>
      <c r="B211" s="9" t="s">
        <v>526</v>
      </c>
      <c r="C211" s="9" t="s">
        <v>114</v>
      </c>
      <c r="D211" s="7" t="str">
        <f t="shared" si="6"/>
        <v>m</v>
      </c>
      <c r="E211" t="str">
        <f t="shared" si="7"/>
        <v/>
      </c>
      <c r="F211" s="15" t="s">
        <v>929</v>
      </c>
      <c r="G211" s="1">
        <v>1</v>
      </c>
    </row>
    <row r="212" spans="1:7" x14ac:dyDescent="0.25">
      <c r="A212" s="5" t="s">
        <v>527</v>
      </c>
      <c r="B212" s="6" t="s">
        <v>528</v>
      </c>
      <c r="C212" s="6" t="s">
        <v>340</v>
      </c>
      <c r="D212" s="7" t="str">
        <f t="shared" si="6"/>
        <v>k</v>
      </c>
      <c r="E212" t="str">
        <f t="shared" si="7"/>
        <v/>
      </c>
      <c r="F212" s="15" t="s">
        <v>515</v>
      </c>
      <c r="G212" s="1">
        <v>1</v>
      </c>
    </row>
    <row r="213" spans="1:7" x14ac:dyDescent="0.25">
      <c r="A213" s="8" t="s">
        <v>529</v>
      </c>
      <c r="B213" s="9" t="s">
        <v>530</v>
      </c>
      <c r="C213" s="9" t="s">
        <v>39</v>
      </c>
      <c r="D213" s="7" t="str">
        <f t="shared" si="6"/>
        <v>m</v>
      </c>
      <c r="E213" t="str">
        <f t="shared" si="7"/>
        <v/>
      </c>
      <c r="F213" s="15" t="s">
        <v>163</v>
      </c>
      <c r="G213" s="1">
        <v>1</v>
      </c>
    </row>
    <row r="214" spans="1:7" x14ac:dyDescent="0.25">
      <c r="A214" s="5" t="s">
        <v>531</v>
      </c>
      <c r="B214" s="6" t="s">
        <v>30</v>
      </c>
      <c r="C214" s="6" t="s">
        <v>44</v>
      </c>
      <c r="D214" s="7" t="str">
        <f t="shared" si="6"/>
        <v>m</v>
      </c>
      <c r="E214" t="str">
        <f t="shared" si="7"/>
        <v/>
      </c>
      <c r="F214" s="14" t="s">
        <v>416</v>
      </c>
      <c r="G214" s="1">
        <v>5</v>
      </c>
    </row>
    <row r="215" spans="1:7" x14ac:dyDescent="0.25">
      <c r="A215" s="8" t="s">
        <v>532</v>
      </c>
      <c r="B215" s="9" t="s">
        <v>533</v>
      </c>
      <c r="C215" s="9" t="s">
        <v>534</v>
      </c>
      <c r="D215" s="7" t="str">
        <f t="shared" si="6"/>
        <v>k</v>
      </c>
      <c r="E215" t="str">
        <f t="shared" si="7"/>
        <v/>
      </c>
      <c r="F215" s="15" t="s">
        <v>751</v>
      </c>
      <c r="G215" s="1">
        <v>1</v>
      </c>
    </row>
    <row r="216" spans="1:7" x14ac:dyDescent="0.25">
      <c r="A216" s="5" t="s">
        <v>535</v>
      </c>
      <c r="B216" s="6" t="s">
        <v>536</v>
      </c>
      <c r="C216" s="6" t="s">
        <v>89</v>
      </c>
      <c r="D216" s="7" t="str">
        <f t="shared" si="6"/>
        <v>k</v>
      </c>
      <c r="E216" t="str">
        <f t="shared" si="7"/>
        <v/>
      </c>
      <c r="F216" s="15" t="s">
        <v>538</v>
      </c>
      <c r="G216" s="1">
        <v>1</v>
      </c>
    </row>
    <row r="217" spans="1:7" x14ac:dyDescent="0.25">
      <c r="A217" s="8" t="s">
        <v>537</v>
      </c>
      <c r="B217" s="9" t="s">
        <v>538</v>
      </c>
      <c r="C217" s="9" t="s">
        <v>416</v>
      </c>
      <c r="D217" s="7" t="str">
        <f t="shared" si="6"/>
        <v>k</v>
      </c>
      <c r="E217" t="str">
        <f t="shared" si="7"/>
        <v/>
      </c>
      <c r="F217" s="15" t="s">
        <v>415</v>
      </c>
      <c r="G217" s="1">
        <v>1</v>
      </c>
    </row>
    <row r="218" spans="1:7" x14ac:dyDescent="0.25">
      <c r="A218" s="5" t="s">
        <v>539</v>
      </c>
      <c r="B218" s="6" t="s">
        <v>540</v>
      </c>
      <c r="C218" s="6" t="s">
        <v>323</v>
      </c>
      <c r="D218" s="7" t="str">
        <f t="shared" si="6"/>
        <v>k</v>
      </c>
      <c r="E218" t="str">
        <f t="shared" si="7"/>
        <v/>
      </c>
      <c r="F218" s="15" t="s">
        <v>845</v>
      </c>
      <c r="G218" s="1">
        <v>1</v>
      </c>
    </row>
    <row r="219" spans="1:7" x14ac:dyDescent="0.25">
      <c r="A219" s="8" t="s">
        <v>541</v>
      </c>
      <c r="B219" s="9" t="s">
        <v>542</v>
      </c>
      <c r="C219" s="9" t="s">
        <v>179</v>
      </c>
      <c r="D219" s="7" t="str">
        <f t="shared" si="6"/>
        <v>k</v>
      </c>
      <c r="E219" t="str">
        <f t="shared" si="7"/>
        <v/>
      </c>
      <c r="F219" s="15" t="s">
        <v>655</v>
      </c>
      <c r="G219" s="1">
        <v>1</v>
      </c>
    </row>
    <row r="220" spans="1:7" x14ac:dyDescent="0.25">
      <c r="A220" s="5" t="s">
        <v>543</v>
      </c>
      <c r="B220" s="6" t="s">
        <v>544</v>
      </c>
      <c r="C220" s="6" t="s">
        <v>419</v>
      </c>
      <c r="D220" s="7" t="str">
        <f t="shared" si="6"/>
        <v>k</v>
      </c>
      <c r="E220" t="str">
        <f t="shared" si="7"/>
        <v/>
      </c>
      <c r="F220" s="14" t="s">
        <v>89</v>
      </c>
      <c r="G220" s="1">
        <v>10</v>
      </c>
    </row>
    <row r="221" spans="1:7" x14ac:dyDescent="0.25">
      <c r="A221" s="8" t="s">
        <v>545</v>
      </c>
      <c r="B221" s="9" t="s">
        <v>546</v>
      </c>
      <c r="C221" s="9" t="s">
        <v>17</v>
      </c>
      <c r="D221" s="7" t="str">
        <f t="shared" si="6"/>
        <v>m</v>
      </c>
      <c r="E221" t="str">
        <f t="shared" si="7"/>
        <v/>
      </c>
      <c r="F221" s="15" t="s">
        <v>742</v>
      </c>
      <c r="G221" s="1">
        <v>1</v>
      </c>
    </row>
    <row r="222" spans="1:7" x14ac:dyDescent="0.25">
      <c r="A222" s="5" t="s">
        <v>547</v>
      </c>
      <c r="B222" s="6" t="s">
        <v>548</v>
      </c>
      <c r="C222" s="6" t="s">
        <v>419</v>
      </c>
      <c r="D222" s="7" t="str">
        <f t="shared" si="6"/>
        <v>k</v>
      </c>
      <c r="E222" t="str">
        <f t="shared" si="7"/>
        <v/>
      </c>
      <c r="F222" s="15" t="s">
        <v>88</v>
      </c>
      <c r="G222" s="1">
        <v>1</v>
      </c>
    </row>
    <row r="223" spans="1:7" x14ac:dyDescent="0.25">
      <c r="A223" s="8" t="s">
        <v>549</v>
      </c>
      <c r="B223" s="9" t="s">
        <v>550</v>
      </c>
      <c r="C223" s="9" t="s">
        <v>309</v>
      </c>
      <c r="D223" s="7" t="str">
        <f t="shared" si="6"/>
        <v>k</v>
      </c>
      <c r="E223" t="str">
        <f t="shared" si="7"/>
        <v/>
      </c>
      <c r="F223" s="15" t="s">
        <v>970</v>
      </c>
      <c r="G223" s="1">
        <v>1</v>
      </c>
    </row>
    <row r="224" spans="1:7" x14ac:dyDescent="0.25">
      <c r="A224" s="5" t="s">
        <v>551</v>
      </c>
      <c r="B224" s="6" t="s">
        <v>552</v>
      </c>
      <c r="C224" s="6" t="s">
        <v>309</v>
      </c>
      <c r="D224" s="7" t="str">
        <f t="shared" si="6"/>
        <v>k</v>
      </c>
      <c r="E224" t="str">
        <f t="shared" si="7"/>
        <v/>
      </c>
      <c r="F224" s="15" t="s">
        <v>1105</v>
      </c>
      <c r="G224" s="1">
        <v>1</v>
      </c>
    </row>
    <row r="225" spans="1:7" x14ac:dyDescent="0.25">
      <c r="A225" s="8" t="s">
        <v>553</v>
      </c>
      <c r="B225" s="9" t="s">
        <v>554</v>
      </c>
      <c r="C225" s="9" t="s">
        <v>187</v>
      </c>
      <c r="D225" s="7" t="str">
        <f t="shared" si="6"/>
        <v>k</v>
      </c>
      <c r="E225" t="str">
        <f t="shared" si="7"/>
        <v/>
      </c>
      <c r="F225" s="15" t="s">
        <v>452</v>
      </c>
      <c r="G225" s="1">
        <v>1</v>
      </c>
    </row>
    <row r="226" spans="1:7" x14ac:dyDescent="0.25">
      <c r="A226" s="5" t="s">
        <v>555</v>
      </c>
      <c r="B226" s="6" t="s">
        <v>556</v>
      </c>
      <c r="C226" s="6" t="s">
        <v>428</v>
      </c>
      <c r="D226" s="7" t="str">
        <f t="shared" si="6"/>
        <v>k</v>
      </c>
      <c r="E226" t="str">
        <f t="shared" si="7"/>
        <v/>
      </c>
      <c r="F226" s="15" t="s">
        <v>1062</v>
      </c>
      <c r="G226" s="1">
        <v>1</v>
      </c>
    </row>
    <row r="227" spans="1:7" x14ac:dyDescent="0.25">
      <c r="A227" s="8" t="s">
        <v>557</v>
      </c>
      <c r="B227" s="9" t="s">
        <v>558</v>
      </c>
      <c r="C227" s="9" t="s">
        <v>559</v>
      </c>
      <c r="D227" s="7" t="str">
        <f t="shared" si="6"/>
        <v>k</v>
      </c>
      <c r="E227" t="str">
        <f t="shared" si="7"/>
        <v/>
      </c>
      <c r="F227" s="15" t="s">
        <v>1043</v>
      </c>
      <c r="G227" s="1">
        <v>1</v>
      </c>
    </row>
    <row r="228" spans="1:7" x14ac:dyDescent="0.25">
      <c r="A228" s="5" t="s">
        <v>560</v>
      </c>
      <c r="B228" s="6" t="s">
        <v>561</v>
      </c>
      <c r="C228" s="6" t="s">
        <v>351</v>
      </c>
      <c r="D228" s="7" t="str">
        <f t="shared" si="6"/>
        <v>k</v>
      </c>
      <c r="E228" t="str">
        <f t="shared" si="7"/>
        <v/>
      </c>
      <c r="F228" s="15" t="s">
        <v>955</v>
      </c>
      <c r="G228" s="1">
        <v>1</v>
      </c>
    </row>
    <row r="229" spans="1:7" x14ac:dyDescent="0.25">
      <c r="A229" s="8" t="s">
        <v>562</v>
      </c>
      <c r="B229" s="9" t="s">
        <v>563</v>
      </c>
      <c r="C229" s="9" t="s">
        <v>564</v>
      </c>
      <c r="D229" s="7" t="str">
        <f t="shared" si="6"/>
        <v>k</v>
      </c>
      <c r="E229" t="str">
        <f t="shared" si="7"/>
        <v/>
      </c>
      <c r="F229" s="15" t="s">
        <v>536</v>
      </c>
      <c r="G229" s="1">
        <v>1</v>
      </c>
    </row>
    <row r="230" spans="1:7" x14ac:dyDescent="0.25">
      <c r="A230" s="5" t="s">
        <v>565</v>
      </c>
      <c r="B230" s="6" t="s">
        <v>566</v>
      </c>
      <c r="C230" s="6" t="s">
        <v>567</v>
      </c>
      <c r="D230" s="7" t="str">
        <f t="shared" si="6"/>
        <v>m</v>
      </c>
      <c r="E230" t="str">
        <f t="shared" si="7"/>
        <v/>
      </c>
      <c r="F230" s="15" t="s">
        <v>353</v>
      </c>
      <c r="G230" s="1">
        <v>1</v>
      </c>
    </row>
    <row r="231" spans="1:7" x14ac:dyDescent="0.25">
      <c r="A231" s="8" t="s">
        <v>568</v>
      </c>
      <c r="B231" s="9" t="s">
        <v>569</v>
      </c>
      <c r="C231" s="9" t="s">
        <v>570</v>
      </c>
      <c r="D231" s="7" t="str">
        <f t="shared" si="6"/>
        <v>m</v>
      </c>
      <c r="E231" t="str">
        <f t="shared" si="7"/>
        <v/>
      </c>
      <c r="F231" s="14" t="s">
        <v>36</v>
      </c>
      <c r="G231" s="1">
        <v>4</v>
      </c>
    </row>
    <row r="232" spans="1:7" x14ac:dyDescent="0.25">
      <c r="A232" s="5" t="s">
        <v>571</v>
      </c>
      <c r="B232" s="6" t="s">
        <v>572</v>
      </c>
      <c r="C232" s="6" t="s">
        <v>275</v>
      </c>
      <c r="D232" s="7" t="str">
        <f t="shared" si="6"/>
        <v>k</v>
      </c>
      <c r="E232" t="str">
        <f t="shared" si="7"/>
        <v/>
      </c>
      <c r="F232" s="15" t="s">
        <v>35</v>
      </c>
      <c r="G232" s="1">
        <v>1</v>
      </c>
    </row>
    <row r="233" spans="1:7" x14ac:dyDescent="0.25">
      <c r="A233" s="8" t="s">
        <v>573</v>
      </c>
      <c r="B233" s="9" t="s">
        <v>574</v>
      </c>
      <c r="C233" s="9" t="s">
        <v>108</v>
      </c>
      <c r="D233" s="7" t="str">
        <f t="shared" si="6"/>
        <v>m</v>
      </c>
      <c r="E233" t="str">
        <f t="shared" si="7"/>
        <v/>
      </c>
      <c r="F233" s="15" t="s">
        <v>116</v>
      </c>
      <c r="G233" s="1">
        <v>1</v>
      </c>
    </row>
    <row r="234" spans="1:7" x14ac:dyDescent="0.25">
      <c r="A234" s="5" t="s">
        <v>575</v>
      </c>
      <c r="B234" s="6" t="s">
        <v>576</v>
      </c>
      <c r="C234" s="6" t="s">
        <v>17</v>
      </c>
      <c r="D234" s="7" t="str">
        <f t="shared" si="6"/>
        <v>m</v>
      </c>
      <c r="E234" t="str">
        <f t="shared" si="7"/>
        <v/>
      </c>
      <c r="F234" s="15" t="s">
        <v>454</v>
      </c>
      <c r="G234" s="1">
        <v>1</v>
      </c>
    </row>
    <row r="235" spans="1:7" x14ac:dyDescent="0.25">
      <c r="A235" s="8" t="s">
        <v>577</v>
      </c>
      <c r="B235" s="9" t="s">
        <v>578</v>
      </c>
      <c r="C235" s="9" t="s">
        <v>464</v>
      </c>
      <c r="D235" s="7" t="str">
        <f t="shared" si="6"/>
        <v>m</v>
      </c>
      <c r="E235" t="str">
        <f t="shared" si="7"/>
        <v/>
      </c>
      <c r="F235" s="15" t="s">
        <v>1113</v>
      </c>
      <c r="G235" s="1">
        <v>1</v>
      </c>
    </row>
    <row r="236" spans="1:7" x14ac:dyDescent="0.25">
      <c r="A236" s="5" t="s">
        <v>579</v>
      </c>
      <c r="B236" s="6" t="s">
        <v>580</v>
      </c>
      <c r="C236" s="6" t="s">
        <v>287</v>
      </c>
      <c r="D236" s="7" t="str">
        <f t="shared" si="6"/>
        <v>m</v>
      </c>
      <c r="E236" t="str">
        <f t="shared" si="7"/>
        <v/>
      </c>
      <c r="F236" s="14" t="s">
        <v>351</v>
      </c>
      <c r="G236" s="1">
        <v>5</v>
      </c>
    </row>
    <row r="237" spans="1:7" x14ac:dyDescent="0.25">
      <c r="A237" s="8" t="s">
        <v>581</v>
      </c>
      <c r="B237" s="9" t="s">
        <v>582</v>
      </c>
      <c r="C237" s="9" t="s">
        <v>67</v>
      </c>
      <c r="D237" s="7" t="str">
        <f t="shared" si="6"/>
        <v>k</v>
      </c>
      <c r="E237" t="str">
        <f t="shared" si="7"/>
        <v/>
      </c>
      <c r="F237" s="15" t="s">
        <v>350</v>
      </c>
      <c r="G237" s="1">
        <v>3</v>
      </c>
    </row>
    <row r="238" spans="1:7" x14ac:dyDescent="0.25">
      <c r="A238" s="5" t="s">
        <v>583</v>
      </c>
      <c r="B238" s="6" t="s">
        <v>584</v>
      </c>
      <c r="C238" s="6" t="s">
        <v>284</v>
      </c>
      <c r="D238" s="7" t="str">
        <f t="shared" si="6"/>
        <v>k</v>
      </c>
      <c r="E238" t="str">
        <f t="shared" si="7"/>
        <v/>
      </c>
      <c r="F238" s="15" t="s">
        <v>561</v>
      </c>
      <c r="G238" s="1">
        <v>1</v>
      </c>
    </row>
    <row r="239" spans="1:7" x14ac:dyDescent="0.25">
      <c r="A239" s="8" t="s">
        <v>585</v>
      </c>
      <c r="B239" s="9" t="s">
        <v>586</v>
      </c>
      <c r="C239" s="9" t="s">
        <v>47</v>
      </c>
      <c r="D239" s="7" t="str">
        <f t="shared" si="6"/>
        <v>m</v>
      </c>
      <c r="E239" t="str">
        <f t="shared" si="7"/>
        <v/>
      </c>
      <c r="F239" s="15" t="s">
        <v>390</v>
      </c>
      <c r="G239" s="1">
        <v>1</v>
      </c>
    </row>
    <row r="240" spans="1:7" x14ac:dyDescent="0.25">
      <c r="A240" s="5" t="s">
        <v>587</v>
      </c>
      <c r="B240" s="6" t="s">
        <v>96</v>
      </c>
      <c r="C240" s="6" t="s">
        <v>121</v>
      </c>
      <c r="D240" s="7" t="str">
        <f t="shared" si="6"/>
        <v>m</v>
      </c>
      <c r="E240" t="str">
        <f t="shared" si="7"/>
        <v/>
      </c>
      <c r="F240" s="14" t="s">
        <v>11</v>
      </c>
      <c r="G240" s="1">
        <v>4</v>
      </c>
    </row>
    <row r="241" spans="1:7" x14ac:dyDescent="0.25">
      <c r="A241" s="8" t="s">
        <v>588</v>
      </c>
      <c r="B241" s="9" t="s">
        <v>589</v>
      </c>
      <c r="C241" s="9" t="s">
        <v>298</v>
      </c>
      <c r="D241" s="7" t="str">
        <f t="shared" si="6"/>
        <v>k</v>
      </c>
      <c r="E241" t="str">
        <f t="shared" si="7"/>
        <v/>
      </c>
      <c r="F241" s="15" t="s">
        <v>898</v>
      </c>
      <c r="G241" s="1">
        <v>1</v>
      </c>
    </row>
    <row r="242" spans="1:7" x14ac:dyDescent="0.25">
      <c r="A242" s="5" t="s">
        <v>590</v>
      </c>
      <c r="B242" s="6" t="s">
        <v>591</v>
      </c>
      <c r="C242" s="6" t="s">
        <v>166</v>
      </c>
      <c r="D242" s="7" t="str">
        <f t="shared" si="6"/>
        <v>m</v>
      </c>
      <c r="E242" t="str">
        <f t="shared" si="7"/>
        <v/>
      </c>
      <c r="F242" s="15" t="s">
        <v>803</v>
      </c>
      <c r="G242" s="1">
        <v>1</v>
      </c>
    </row>
    <row r="243" spans="1:7" x14ac:dyDescent="0.25">
      <c r="A243" s="8" t="s">
        <v>592</v>
      </c>
      <c r="B243" s="9" t="s">
        <v>593</v>
      </c>
      <c r="C243" s="9" t="s">
        <v>92</v>
      </c>
      <c r="D243" s="7" t="str">
        <f t="shared" si="6"/>
        <v>m</v>
      </c>
      <c r="E243" t="str">
        <f t="shared" si="7"/>
        <v/>
      </c>
      <c r="F243" s="15" t="s">
        <v>517</v>
      </c>
      <c r="G243" s="1">
        <v>1</v>
      </c>
    </row>
    <row r="244" spans="1:7" x14ac:dyDescent="0.25">
      <c r="A244" s="5" t="s">
        <v>594</v>
      </c>
      <c r="B244" s="6" t="s">
        <v>595</v>
      </c>
      <c r="C244" s="6" t="s">
        <v>596</v>
      </c>
      <c r="D244" s="7" t="str">
        <f t="shared" si="6"/>
        <v>m</v>
      </c>
      <c r="E244" t="str">
        <f t="shared" si="7"/>
        <v/>
      </c>
      <c r="F244" s="15" t="s">
        <v>10</v>
      </c>
      <c r="G244" s="1">
        <v>1</v>
      </c>
    </row>
    <row r="245" spans="1:7" x14ac:dyDescent="0.25">
      <c r="A245" s="8" t="s">
        <v>597</v>
      </c>
      <c r="B245" s="9" t="s">
        <v>598</v>
      </c>
      <c r="C245" s="9" t="s">
        <v>17</v>
      </c>
      <c r="D245" s="7" t="str">
        <f t="shared" si="6"/>
        <v>m</v>
      </c>
      <c r="E245" t="str">
        <f t="shared" si="7"/>
        <v/>
      </c>
      <c r="F245" s="14" t="s">
        <v>359</v>
      </c>
      <c r="G245" s="1">
        <v>3</v>
      </c>
    </row>
    <row r="246" spans="1:7" x14ac:dyDescent="0.25">
      <c r="A246" s="5" t="s">
        <v>599</v>
      </c>
      <c r="B246" s="6" t="s">
        <v>600</v>
      </c>
      <c r="C246" s="6" t="s">
        <v>70</v>
      </c>
      <c r="D246" s="7" t="str">
        <f t="shared" si="6"/>
        <v>k</v>
      </c>
      <c r="E246" t="str">
        <f t="shared" si="7"/>
        <v/>
      </c>
      <c r="F246" s="15" t="s">
        <v>805</v>
      </c>
      <c r="G246" s="1">
        <v>1</v>
      </c>
    </row>
    <row r="247" spans="1:7" x14ac:dyDescent="0.25">
      <c r="A247" s="8" t="s">
        <v>601</v>
      </c>
      <c r="B247" s="9" t="s">
        <v>602</v>
      </c>
      <c r="C247" s="9" t="s">
        <v>137</v>
      </c>
      <c r="D247" s="7" t="str">
        <f t="shared" si="6"/>
        <v>k</v>
      </c>
      <c r="E247" t="str">
        <f t="shared" si="7"/>
        <v/>
      </c>
      <c r="F247" s="15" t="s">
        <v>889</v>
      </c>
      <c r="G247" s="1">
        <v>1</v>
      </c>
    </row>
    <row r="248" spans="1:7" x14ac:dyDescent="0.25">
      <c r="A248" s="5" t="s">
        <v>603</v>
      </c>
      <c r="B248" s="6" t="s">
        <v>604</v>
      </c>
      <c r="C248" s="6" t="s">
        <v>233</v>
      </c>
      <c r="D248" s="7" t="str">
        <f t="shared" si="6"/>
        <v>k</v>
      </c>
      <c r="E248" t="str">
        <f t="shared" si="7"/>
        <v/>
      </c>
      <c r="F248" s="15" t="s">
        <v>358</v>
      </c>
      <c r="G248" s="1">
        <v>1</v>
      </c>
    </row>
    <row r="249" spans="1:7" x14ac:dyDescent="0.25">
      <c r="A249" s="8" t="s">
        <v>605</v>
      </c>
      <c r="B249" s="9" t="s">
        <v>606</v>
      </c>
      <c r="C249" s="9" t="s">
        <v>607</v>
      </c>
      <c r="D249" s="7" t="str">
        <f t="shared" si="6"/>
        <v>k</v>
      </c>
      <c r="E249" t="str">
        <f t="shared" si="7"/>
        <v/>
      </c>
      <c r="F249" s="14" t="s">
        <v>137</v>
      </c>
      <c r="G249" s="1">
        <v>3</v>
      </c>
    </row>
    <row r="250" spans="1:7" x14ac:dyDescent="0.25">
      <c r="A250" s="5" t="s">
        <v>608</v>
      </c>
      <c r="B250" s="6" t="s">
        <v>609</v>
      </c>
      <c r="C250" s="6" t="s">
        <v>53</v>
      </c>
      <c r="D250" s="7" t="str">
        <f t="shared" si="6"/>
        <v>m</v>
      </c>
      <c r="E250" t="str">
        <f t="shared" si="7"/>
        <v/>
      </c>
      <c r="F250" s="15" t="s">
        <v>1099</v>
      </c>
      <c r="G250" s="1">
        <v>1</v>
      </c>
    </row>
    <row r="251" spans="1:7" x14ac:dyDescent="0.25">
      <c r="A251" s="8" t="s">
        <v>610</v>
      </c>
      <c r="B251" s="9" t="s">
        <v>611</v>
      </c>
      <c r="C251" s="9" t="s">
        <v>241</v>
      </c>
      <c r="D251" s="7" t="str">
        <f t="shared" si="6"/>
        <v>k</v>
      </c>
      <c r="E251" t="str">
        <f t="shared" si="7"/>
        <v/>
      </c>
      <c r="F251" s="15" t="s">
        <v>77</v>
      </c>
      <c r="G251" s="1">
        <v>1</v>
      </c>
    </row>
    <row r="252" spans="1:7" x14ac:dyDescent="0.25">
      <c r="A252" s="5" t="s">
        <v>612</v>
      </c>
      <c r="B252" s="6" t="s">
        <v>353</v>
      </c>
      <c r="C252" s="6" t="s">
        <v>187</v>
      </c>
      <c r="D252" s="7" t="str">
        <f t="shared" si="6"/>
        <v>k</v>
      </c>
      <c r="E252" t="str">
        <f t="shared" si="7"/>
        <v/>
      </c>
      <c r="F252" s="15" t="s">
        <v>602</v>
      </c>
      <c r="G252" s="1">
        <v>1</v>
      </c>
    </row>
    <row r="253" spans="1:7" x14ac:dyDescent="0.25">
      <c r="A253" s="8" t="s">
        <v>613</v>
      </c>
      <c r="B253" s="9" t="s">
        <v>614</v>
      </c>
      <c r="C253" s="9" t="s">
        <v>295</v>
      </c>
      <c r="D253" s="7" t="str">
        <f t="shared" si="6"/>
        <v>k</v>
      </c>
      <c r="E253" t="str">
        <f t="shared" si="7"/>
        <v/>
      </c>
      <c r="F253" s="14" t="s">
        <v>219</v>
      </c>
      <c r="G253" s="1">
        <v>6</v>
      </c>
    </row>
    <row r="254" spans="1:7" x14ac:dyDescent="0.25">
      <c r="A254" s="5" t="s">
        <v>615</v>
      </c>
      <c r="B254" s="6" t="s">
        <v>616</v>
      </c>
      <c r="C254" s="6" t="s">
        <v>617</v>
      </c>
      <c r="D254" s="7" t="str">
        <f t="shared" si="6"/>
        <v>k</v>
      </c>
      <c r="E254" t="str">
        <f t="shared" si="7"/>
        <v/>
      </c>
      <c r="F254" s="15" t="s">
        <v>1092</v>
      </c>
      <c r="G254" s="1">
        <v>1</v>
      </c>
    </row>
    <row r="255" spans="1:7" x14ac:dyDescent="0.25">
      <c r="A255" s="8" t="s">
        <v>618</v>
      </c>
      <c r="B255" s="9" t="s">
        <v>619</v>
      </c>
      <c r="C255" s="9" t="s">
        <v>340</v>
      </c>
      <c r="D255" s="7" t="str">
        <f t="shared" si="6"/>
        <v>k</v>
      </c>
      <c r="E255" t="str">
        <f t="shared" si="7"/>
        <v/>
      </c>
      <c r="F255" s="15" t="s">
        <v>521</v>
      </c>
      <c r="G255" s="1">
        <v>1</v>
      </c>
    </row>
    <row r="256" spans="1:7" x14ac:dyDescent="0.25">
      <c r="A256" s="5" t="s">
        <v>620</v>
      </c>
      <c r="B256" s="6" t="s">
        <v>621</v>
      </c>
      <c r="C256" s="6" t="s">
        <v>241</v>
      </c>
      <c r="D256" s="7" t="str">
        <f t="shared" si="6"/>
        <v>k</v>
      </c>
      <c r="E256" t="str">
        <f t="shared" si="7"/>
        <v/>
      </c>
      <c r="F256" s="15" t="s">
        <v>41</v>
      </c>
      <c r="G256" s="1">
        <v>1</v>
      </c>
    </row>
    <row r="257" spans="1:7" x14ac:dyDescent="0.25">
      <c r="A257" s="8" t="s">
        <v>622</v>
      </c>
      <c r="B257" s="9" t="s">
        <v>623</v>
      </c>
      <c r="C257" s="9" t="s">
        <v>624</v>
      </c>
      <c r="D257" s="7" t="str">
        <f t="shared" si="6"/>
        <v>m</v>
      </c>
      <c r="E257" t="str">
        <f t="shared" si="7"/>
        <v/>
      </c>
      <c r="F257" s="15" t="s">
        <v>174</v>
      </c>
      <c r="G257" s="1">
        <v>1</v>
      </c>
    </row>
    <row r="258" spans="1:7" x14ac:dyDescent="0.25">
      <c r="A258" s="5" t="s">
        <v>625</v>
      </c>
      <c r="B258" s="6" t="s">
        <v>626</v>
      </c>
      <c r="C258" s="6" t="s">
        <v>627</v>
      </c>
      <c r="D258" s="7" t="str">
        <f t="shared" ref="D258:D321" si="8">IF(MOD(LEFT(RIGHT(A258,2),1),2)=0,"k","m")</f>
        <v>m</v>
      </c>
      <c r="E258" t="str">
        <f t="shared" si="7"/>
        <v/>
      </c>
      <c r="F258" s="15" t="s">
        <v>218</v>
      </c>
      <c r="G258" s="1">
        <v>1</v>
      </c>
    </row>
    <row r="259" spans="1:7" x14ac:dyDescent="0.25">
      <c r="A259" s="8" t="s">
        <v>628</v>
      </c>
      <c r="B259" s="9" t="s">
        <v>629</v>
      </c>
      <c r="C259" s="9" t="s">
        <v>630</v>
      </c>
      <c r="D259" s="7" t="str">
        <f t="shared" si="8"/>
        <v>k</v>
      </c>
      <c r="E259" t="str">
        <f t="shared" si="7"/>
        <v/>
      </c>
      <c r="F259" s="15" t="s">
        <v>685</v>
      </c>
      <c r="G259" s="1">
        <v>1</v>
      </c>
    </row>
    <row r="260" spans="1:7" x14ac:dyDescent="0.25">
      <c r="A260" s="5" t="s">
        <v>631</v>
      </c>
      <c r="B260" s="6" t="s">
        <v>235</v>
      </c>
      <c r="C260" s="6" t="s">
        <v>5</v>
      </c>
      <c r="D260" s="7" t="str">
        <f t="shared" si="8"/>
        <v>m</v>
      </c>
      <c r="E260" t="str">
        <f t="shared" ref="E260:E323" si="9">IF(B260=C260,A260,"")</f>
        <v/>
      </c>
      <c r="F260" s="14" t="s">
        <v>214</v>
      </c>
      <c r="G260" s="1">
        <v>5</v>
      </c>
    </row>
    <row r="261" spans="1:7" x14ac:dyDescent="0.25">
      <c r="A261" s="8" t="s">
        <v>632</v>
      </c>
      <c r="B261" s="9" t="s">
        <v>633</v>
      </c>
      <c r="C261" s="9" t="s">
        <v>233</v>
      </c>
      <c r="D261" s="7" t="str">
        <f t="shared" si="8"/>
        <v>k</v>
      </c>
      <c r="E261" t="str">
        <f t="shared" si="9"/>
        <v/>
      </c>
      <c r="F261" s="15" t="s">
        <v>694</v>
      </c>
      <c r="G261" s="1">
        <v>1</v>
      </c>
    </row>
    <row r="262" spans="1:7" x14ac:dyDescent="0.25">
      <c r="A262" s="5" t="s">
        <v>634</v>
      </c>
      <c r="B262" s="6" t="s">
        <v>635</v>
      </c>
      <c r="C262" s="6" t="s">
        <v>194</v>
      </c>
      <c r="D262" s="7" t="str">
        <f t="shared" si="8"/>
        <v>k</v>
      </c>
      <c r="E262" t="str">
        <f t="shared" si="9"/>
        <v/>
      </c>
      <c r="F262" s="15" t="s">
        <v>386</v>
      </c>
      <c r="G262" s="1">
        <v>1</v>
      </c>
    </row>
    <row r="263" spans="1:7" x14ac:dyDescent="0.25">
      <c r="A263" s="8" t="s">
        <v>636</v>
      </c>
      <c r="B263" s="9" t="s">
        <v>637</v>
      </c>
      <c r="C263" s="9" t="s">
        <v>382</v>
      </c>
      <c r="D263" s="7" t="str">
        <f t="shared" si="8"/>
        <v>k</v>
      </c>
      <c r="E263" t="str">
        <f t="shared" si="9"/>
        <v/>
      </c>
      <c r="F263" s="15" t="s">
        <v>1036</v>
      </c>
      <c r="G263" s="1">
        <v>1</v>
      </c>
    </row>
    <row r="264" spans="1:7" x14ac:dyDescent="0.25">
      <c r="A264" s="5" t="s">
        <v>638</v>
      </c>
      <c r="B264" s="6" t="s">
        <v>639</v>
      </c>
      <c r="C264" s="6" t="s">
        <v>640</v>
      </c>
      <c r="D264" s="7" t="str">
        <f t="shared" si="8"/>
        <v>m</v>
      </c>
      <c r="E264" t="str">
        <f t="shared" si="9"/>
        <v/>
      </c>
      <c r="F264" s="15" t="s">
        <v>213</v>
      </c>
      <c r="G264" s="1">
        <v>1</v>
      </c>
    </row>
    <row r="265" spans="1:7" x14ac:dyDescent="0.25">
      <c r="A265" s="8" t="s">
        <v>641</v>
      </c>
      <c r="B265" s="9" t="s">
        <v>642</v>
      </c>
      <c r="C265" s="9" t="s">
        <v>485</v>
      </c>
      <c r="D265" s="7" t="str">
        <f t="shared" si="8"/>
        <v>m</v>
      </c>
      <c r="E265" t="str">
        <f t="shared" si="9"/>
        <v/>
      </c>
      <c r="F265" s="15" t="s">
        <v>415</v>
      </c>
      <c r="G265" s="1">
        <v>1</v>
      </c>
    </row>
    <row r="266" spans="1:7" x14ac:dyDescent="0.25">
      <c r="A266" s="5" t="s">
        <v>643</v>
      </c>
      <c r="B266" s="6" t="s">
        <v>644</v>
      </c>
      <c r="C266" s="6" t="s">
        <v>56</v>
      </c>
      <c r="D266" s="7" t="str">
        <f t="shared" si="8"/>
        <v>k</v>
      </c>
      <c r="E266" t="str">
        <f t="shared" si="9"/>
        <v/>
      </c>
      <c r="F266" s="14" t="s">
        <v>78</v>
      </c>
      <c r="G266" s="1">
        <v>5</v>
      </c>
    </row>
    <row r="267" spans="1:7" x14ac:dyDescent="0.25">
      <c r="A267" s="8" t="s">
        <v>645</v>
      </c>
      <c r="B267" s="9" t="s">
        <v>646</v>
      </c>
      <c r="C267" s="9" t="s">
        <v>345</v>
      </c>
      <c r="D267" s="7" t="str">
        <f t="shared" si="8"/>
        <v>k</v>
      </c>
      <c r="E267" t="str">
        <f t="shared" si="9"/>
        <v/>
      </c>
      <c r="F267" s="15" t="s">
        <v>271</v>
      </c>
      <c r="G267" s="1">
        <v>1</v>
      </c>
    </row>
    <row r="268" spans="1:7" x14ac:dyDescent="0.25">
      <c r="A268" s="5" t="s">
        <v>647</v>
      </c>
      <c r="B268" s="6" t="s">
        <v>648</v>
      </c>
      <c r="C268" s="6" t="s">
        <v>448</v>
      </c>
      <c r="D268" s="7" t="str">
        <f t="shared" si="8"/>
        <v>k</v>
      </c>
      <c r="E268" t="str">
        <f t="shared" si="9"/>
        <v/>
      </c>
      <c r="F268" s="15" t="s">
        <v>406</v>
      </c>
      <c r="G268" s="1">
        <v>1</v>
      </c>
    </row>
    <row r="269" spans="1:7" x14ac:dyDescent="0.25">
      <c r="A269" s="8" t="s">
        <v>649</v>
      </c>
      <c r="B269" s="9" t="s">
        <v>650</v>
      </c>
      <c r="C269" s="9" t="s">
        <v>651</v>
      </c>
      <c r="D269" s="7" t="str">
        <f t="shared" si="8"/>
        <v>k</v>
      </c>
      <c r="E269" t="str">
        <f t="shared" si="9"/>
        <v/>
      </c>
      <c r="F269" s="15" t="s">
        <v>302</v>
      </c>
      <c r="G269" s="1">
        <v>1</v>
      </c>
    </row>
    <row r="270" spans="1:7" x14ac:dyDescent="0.25">
      <c r="A270" s="5" t="s">
        <v>652</v>
      </c>
      <c r="B270" s="6" t="s">
        <v>653</v>
      </c>
      <c r="C270" s="6" t="s">
        <v>345</v>
      </c>
      <c r="D270" s="7" t="str">
        <f t="shared" si="8"/>
        <v>k</v>
      </c>
      <c r="E270" t="str">
        <f t="shared" si="9"/>
        <v/>
      </c>
      <c r="F270" s="15" t="s">
        <v>77</v>
      </c>
      <c r="G270" s="1">
        <v>1</v>
      </c>
    </row>
    <row r="271" spans="1:7" x14ac:dyDescent="0.25">
      <c r="A271" s="8" t="s">
        <v>654</v>
      </c>
      <c r="B271" s="9" t="s">
        <v>655</v>
      </c>
      <c r="C271" s="9" t="s">
        <v>416</v>
      </c>
      <c r="D271" s="7" t="str">
        <f t="shared" si="8"/>
        <v>k</v>
      </c>
      <c r="E271" t="str">
        <f t="shared" si="9"/>
        <v/>
      </c>
      <c r="F271" s="15" t="s">
        <v>797</v>
      </c>
      <c r="G271" s="1">
        <v>1</v>
      </c>
    </row>
    <row r="272" spans="1:7" x14ac:dyDescent="0.25">
      <c r="A272" s="5" t="s">
        <v>656</v>
      </c>
      <c r="B272" s="6" t="s">
        <v>657</v>
      </c>
      <c r="C272" s="6" t="s">
        <v>121</v>
      </c>
      <c r="D272" s="7" t="str">
        <f t="shared" si="8"/>
        <v>m</v>
      </c>
      <c r="E272" t="str">
        <f t="shared" si="9"/>
        <v/>
      </c>
      <c r="F272" s="14" t="s">
        <v>17</v>
      </c>
      <c r="G272" s="1">
        <v>14</v>
      </c>
    </row>
    <row r="273" spans="1:7" x14ac:dyDescent="0.25">
      <c r="A273" s="8" t="s">
        <v>658</v>
      </c>
      <c r="B273" s="9" t="s">
        <v>659</v>
      </c>
      <c r="C273" s="9" t="s">
        <v>44</v>
      </c>
      <c r="D273" s="7" t="str">
        <f t="shared" si="8"/>
        <v>m</v>
      </c>
      <c r="E273" t="str">
        <f t="shared" si="9"/>
        <v/>
      </c>
      <c r="F273" s="15" t="s">
        <v>546</v>
      </c>
      <c r="G273" s="1">
        <v>1</v>
      </c>
    </row>
    <row r="274" spans="1:7" x14ac:dyDescent="0.25">
      <c r="A274" s="5" t="s">
        <v>660</v>
      </c>
      <c r="B274" s="6" t="s">
        <v>661</v>
      </c>
      <c r="C274" s="6" t="s">
        <v>413</v>
      </c>
      <c r="D274" s="7" t="str">
        <f t="shared" si="8"/>
        <v>k</v>
      </c>
      <c r="E274" t="str">
        <f t="shared" si="9"/>
        <v/>
      </c>
      <c r="F274" s="15" t="s">
        <v>80</v>
      </c>
      <c r="G274" s="1">
        <v>1</v>
      </c>
    </row>
    <row r="275" spans="1:7" x14ac:dyDescent="0.25">
      <c r="A275" s="8" t="s">
        <v>662</v>
      </c>
      <c r="B275" s="9" t="s">
        <v>663</v>
      </c>
      <c r="C275" s="9" t="s">
        <v>323</v>
      </c>
      <c r="D275" s="7" t="str">
        <f t="shared" si="8"/>
        <v>k</v>
      </c>
      <c r="E275" t="str">
        <f t="shared" si="9"/>
        <v/>
      </c>
      <c r="F275" s="15" t="s">
        <v>102</v>
      </c>
      <c r="G275" s="1">
        <v>1</v>
      </c>
    </row>
    <row r="276" spans="1:7" x14ac:dyDescent="0.25">
      <c r="A276" s="5" t="s">
        <v>664</v>
      </c>
      <c r="B276" s="6" t="s">
        <v>665</v>
      </c>
      <c r="C276" s="6" t="s">
        <v>666</v>
      </c>
      <c r="D276" s="7" t="str">
        <f t="shared" si="8"/>
        <v>m</v>
      </c>
      <c r="E276" t="str">
        <f t="shared" si="9"/>
        <v/>
      </c>
      <c r="F276" s="15" t="s">
        <v>1081</v>
      </c>
      <c r="G276" s="1">
        <v>1</v>
      </c>
    </row>
    <row r="277" spans="1:7" x14ac:dyDescent="0.25">
      <c r="A277" s="8" t="s">
        <v>667</v>
      </c>
      <c r="B277" s="9" t="s">
        <v>668</v>
      </c>
      <c r="C277" s="9" t="s">
        <v>131</v>
      </c>
      <c r="D277" s="7" t="str">
        <f t="shared" si="8"/>
        <v>k</v>
      </c>
      <c r="E277" t="str">
        <f t="shared" si="9"/>
        <v/>
      </c>
      <c r="F277" s="15" t="s">
        <v>887</v>
      </c>
      <c r="G277" s="1">
        <v>1</v>
      </c>
    </row>
    <row r="278" spans="1:7" x14ac:dyDescent="0.25">
      <c r="A278" s="5" t="s">
        <v>669</v>
      </c>
      <c r="B278" s="6" t="s">
        <v>670</v>
      </c>
      <c r="C278" s="6" t="s">
        <v>671</v>
      </c>
      <c r="D278" s="7" t="str">
        <f t="shared" si="8"/>
        <v>m</v>
      </c>
      <c r="E278" t="str">
        <f t="shared" si="9"/>
        <v/>
      </c>
      <c r="F278" s="15" t="s">
        <v>866</v>
      </c>
      <c r="G278" s="1">
        <v>2</v>
      </c>
    </row>
    <row r="279" spans="1:7" x14ac:dyDescent="0.25">
      <c r="A279" s="8" t="s">
        <v>672</v>
      </c>
      <c r="B279" s="9" t="s">
        <v>673</v>
      </c>
      <c r="C279" s="9" t="s">
        <v>73</v>
      </c>
      <c r="D279" s="7" t="str">
        <f t="shared" si="8"/>
        <v>m</v>
      </c>
      <c r="E279" t="str">
        <f t="shared" si="9"/>
        <v/>
      </c>
      <c r="F279" s="15" t="s">
        <v>826</v>
      </c>
      <c r="G279" s="1">
        <v>1</v>
      </c>
    </row>
    <row r="280" spans="1:7" x14ac:dyDescent="0.25">
      <c r="A280" s="5" t="s">
        <v>674</v>
      </c>
      <c r="B280" s="6" t="s">
        <v>675</v>
      </c>
      <c r="C280" s="6" t="s">
        <v>64</v>
      </c>
      <c r="D280" s="7" t="str">
        <f t="shared" si="8"/>
        <v>m</v>
      </c>
      <c r="E280" t="str">
        <f t="shared" si="9"/>
        <v/>
      </c>
      <c r="F280" s="15" t="s">
        <v>576</v>
      </c>
      <c r="G280" s="1">
        <v>1</v>
      </c>
    </row>
    <row r="281" spans="1:7" x14ac:dyDescent="0.25">
      <c r="A281" s="8" t="s">
        <v>676</v>
      </c>
      <c r="B281" s="9" t="s">
        <v>677</v>
      </c>
      <c r="C281" s="9" t="s">
        <v>105</v>
      </c>
      <c r="D281" s="7" t="str">
        <f t="shared" si="8"/>
        <v>m</v>
      </c>
      <c r="E281" t="str">
        <f t="shared" si="9"/>
        <v/>
      </c>
      <c r="F281" s="15" t="s">
        <v>289</v>
      </c>
      <c r="G281" s="1">
        <v>1</v>
      </c>
    </row>
    <row r="282" spans="1:7" x14ac:dyDescent="0.25">
      <c r="A282" s="5" t="s">
        <v>678</v>
      </c>
      <c r="B282" s="6" t="s">
        <v>679</v>
      </c>
      <c r="C282" s="6" t="s">
        <v>73</v>
      </c>
      <c r="D282" s="7" t="str">
        <f t="shared" si="8"/>
        <v>m</v>
      </c>
      <c r="E282" t="str">
        <f t="shared" si="9"/>
        <v/>
      </c>
      <c r="F282" s="15" t="s">
        <v>598</v>
      </c>
      <c r="G282" s="1">
        <v>1</v>
      </c>
    </row>
    <row r="283" spans="1:7" x14ac:dyDescent="0.25">
      <c r="A283" s="8" t="s">
        <v>680</v>
      </c>
      <c r="B283" s="9" t="s">
        <v>681</v>
      </c>
      <c r="C283" s="9" t="s">
        <v>499</v>
      </c>
      <c r="D283" s="7" t="str">
        <f t="shared" si="8"/>
        <v>m</v>
      </c>
      <c r="E283" t="str">
        <f t="shared" si="9"/>
        <v/>
      </c>
      <c r="F283" s="15" t="s">
        <v>337</v>
      </c>
      <c r="G283" s="1">
        <v>1</v>
      </c>
    </row>
    <row r="284" spans="1:7" x14ac:dyDescent="0.25">
      <c r="A284" s="5" t="s">
        <v>682</v>
      </c>
      <c r="B284" s="6" t="s">
        <v>683</v>
      </c>
      <c r="C284" s="6" t="s">
        <v>73</v>
      </c>
      <c r="D284" s="7" t="str">
        <f t="shared" si="8"/>
        <v>m</v>
      </c>
      <c r="E284" t="str">
        <f t="shared" si="9"/>
        <v/>
      </c>
      <c r="F284" s="15" t="s">
        <v>16</v>
      </c>
      <c r="G284" s="1">
        <v>1</v>
      </c>
    </row>
    <row r="285" spans="1:7" x14ac:dyDescent="0.25">
      <c r="A285" s="8" t="s">
        <v>684</v>
      </c>
      <c r="B285" s="9" t="s">
        <v>685</v>
      </c>
      <c r="C285" s="9" t="s">
        <v>485</v>
      </c>
      <c r="D285" s="7" t="str">
        <f t="shared" si="8"/>
        <v>m</v>
      </c>
      <c r="E285" t="str">
        <f t="shared" si="9"/>
        <v/>
      </c>
      <c r="F285" s="15" t="s">
        <v>521</v>
      </c>
      <c r="G285" s="1">
        <v>1</v>
      </c>
    </row>
    <row r="286" spans="1:7" x14ac:dyDescent="0.25">
      <c r="A286" s="5" t="s">
        <v>686</v>
      </c>
      <c r="B286" s="6" t="s">
        <v>687</v>
      </c>
      <c r="C286" s="6" t="s">
        <v>92</v>
      </c>
      <c r="D286" s="7" t="str">
        <f t="shared" si="8"/>
        <v>m</v>
      </c>
      <c r="E286" t="str">
        <f t="shared" si="9"/>
        <v/>
      </c>
      <c r="F286" s="14" t="s">
        <v>108</v>
      </c>
      <c r="G286" s="1">
        <v>8</v>
      </c>
    </row>
    <row r="287" spans="1:7" x14ac:dyDescent="0.25">
      <c r="A287" s="8" t="s">
        <v>688</v>
      </c>
      <c r="B287" s="9" t="s">
        <v>689</v>
      </c>
      <c r="C287" s="9" t="s">
        <v>564</v>
      </c>
      <c r="D287" s="7" t="str">
        <f t="shared" si="8"/>
        <v>k</v>
      </c>
      <c r="E287" t="str">
        <f t="shared" si="9"/>
        <v/>
      </c>
      <c r="F287" s="15" t="s">
        <v>107</v>
      </c>
      <c r="G287" s="1">
        <v>1</v>
      </c>
    </row>
    <row r="288" spans="1:7" x14ac:dyDescent="0.25">
      <c r="A288" s="5" t="s">
        <v>690</v>
      </c>
      <c r="B288" s="6" t="s">
        <v>691</v>
      </c>
      <c r="C288" s="6" t="s">
        <v>692</v>
      </c>
      <c r="D288" s="7" t="str">
        <f t="shared" si="8"/>
        <v>m</v>
      </c>
      <c r="E288" t="str">
        <f t="shared" si="9"/>
        <v/>
      </c>
      <c r="F288" s="15" t="s">
        <v>795</v>
      </c>
      <c r="G288" s="1">
        <v>1</v>
      </c>
    </row>
    <row r="289" spans="1:7" x14ac:dyDescent="0.25">
      <c r="A289" s="8" t="s">
        <v>693</v>
      </c>
      <c r="B289" s="9" t="s">
        <v>694</v>
      </c>
      <c r="C289" s="9" t="s">
        <v>214</v>
      </c>
      <c r="D289" s="7" t="str">
        <f t="shared" si="8"/>
        <v>k</v>
      </c>
      <c r="E289" t="str">
        <f t="shared" si="9"/>
        <v/>
      </c>
      <c r="F289" s="15" t="s">
        <v>757</v>
      </c>
      <c r="G289" s="1">
        <v>1</v>
      </c>
    </row>
    <row r="290" spans="1:7" x14ac:dyDescent="0.25">
      <c r="A290" s="5" t="s">
        <v>695</v>
      </c>
      <c r="B290" s="6" t="s">
        <v>350</v>
      </c>
      <c r="C290" s="6" t="s">
        <v>351</v>
      </c>
      <c r="D290" s="7" t="str">
        <f t="shared" si="8"/>
        <v>k</v>
      </c>
      <c r="E290" t="str">
        <f t="shared" si="9"/>
        <v/>
      </c>
      <c r="F290" s="15" t="s">
        <v>574</v>
      </c>
      <c r="G290" s="1">
        <v>1</v>
      </c>
    </row>
    <row r="291" spans="1:7" x14ac:dyDescent="0.25">
      <c r="A291" s="8" t="s">
        <v>696</v>
      </c>
      <c r="B291" s="9" t="s">
        <v>697</v>
      </c>
      <c r="C291" s="9" t="s">
        <v>111</v>
      </c>
      <c r="D291" s="7" t="str">
        <f t="shared" si="8"/>
        <v>k</v>
      </c>
      <c r="E291" t="str">
        <f t="shared" si="9"/>
        <v/>
      </c>
      <c r="F291" s="15" t="s">
        <v>707</v>
      </c>
      <c r="G291" s="1">
        <v>1</v>
      </c>
    </row>
    <row r="292" spans="1:7" x14ac:dyDescent="0.25">
      <c r="A292" s="5" t="s">
        <v>698</v>
      </c>
      <c r="B292" s="6" t="s">
        <v>699</v>
      </c>
      <c r="C292" s="6" t="s">
        <v>166</v>
      </c>
      <c r="D292" s="7" t="str">
        <f t="shared" si="8"/>
        <v>m</v>
      </c>
      <c r="E292" t="str">
        <f t="shared" si="9"/>
        <v/>
      </c>
      <c r="F292" s="15" t="s">
        <v>711</v>
      </c>
      <c r="G292" s="1">
        <v>1</v>
      </c>
    </row>
    <row r="293" spans="1:7" x14ac:dyDescent="0.25">
      <c r="A293" s="8" t="s">
        <v>700</v>
      </c>
      <c r="B293" s="9" t="s">
        <v>701</v>
      </c>
      <c r="C293" s="9" t="s">
        <v>702</v>
      </c>
      <c r="D293" s="7" t="str">
        <f t="shared" si="8"/>
        <v>k</v>
      </c>
      <c r="E293" t="str">
        <f t="shared" si="9"/>
        <v/>
      </c>
      <c r="F293" s="15" t="s">
        <v>342</v>
      </c>
      <c r="G293" s="1">
        <v>1</v>
      </c>
    </row>
    <row r="294" spans="1:7" x14ac:dyDescent="0.25">
      <c r="A294" s="5" t="s">
        <v>703</v>
      </c>
      <c r="B294" s="6" t="s">
        <v>704</v>
      </c>
      <c r="C294" s="6" t="s">
        <v>419</v>
      </c>
      <c r="D294" s="7" t="str">
        <f t="shared" si="8"/>
        <v>k</v>
      </c>
      <c r="E294" t="str">
        <f t="shared" si="9"/>
        <v/>
      </c>
      <c r="F294" s="15" t="s">
        <v>367</v>
      </c>
      <c r="G294" s="1">
        <v>1</v>
      </c>
    </row>
    <row r="295" spans="1:7" x14ac:dyDescent="0.25">
      <c r="A295" s="8" t="s">
        <v>705</v>
      </c>
      <c r="B295" s="9" t="s">
        <v>271</v>
      </c>
      <c r="C295" s="9" t="s">
        <v>78</v>
      </c>
      <c r="D295" s="7" t="str">
        <f t="shared" si="8"/>
        <v>k</v>
      </c>
      <c r="E295" t="str">
        <f t="shared" si="9"/>
        <v/>
      </c>
      <c r="F295" s="14" t="s">
        <v>275</v>
      </c>
      <c r="G295" s="1">
        <v>5</v>
      </c>
    </row>
    <row r="296" spans="1:7" x14ac:dyDescent="0.25">
      <c r="A296" s="5" t="s">
        <v>706</v>
      </c>
      <c r="B296" s="6" t="s">
        <v>707</v>
      </c>
      <c r="C296" s="6" t="s">
        <v>108</v>
      </c>
      <c r="D296" s="7" t="str">
        <f t="shared" si="8"/>
        <v>m</v>
      </c>
      <c r="E296" t="str">
        <f t="shared" si="9"/>
        <v/>
      </c>
      <c r="F296" s="15" t="s">
        <v>274</v>
      </c>
      <c r="G296" s="1">
        <v>1</v>
      </c>
    </row>
    <row r="297" spans="1:7" x14ac:dyDescent="0.25">
      <c r="A297" s="8" t="s">
        <v>708</v>
      </c>
      <c r="B297" s="9" t="s">
        <v>709</v>
      </c>
      <c r="C297" s="9" t="s">
        <v>246</v>
      </c>
      <c r="D297" s="7" t="str">
        <f t="shared" si="8"/>
        <v>m</v>
      </c>
      <c r="E297" t="str">
        <f t="shared" si="9"/>
        <v/>
      </c>
      <c r="F297" s="15" t="s">
        <v>757</v>
      </c>
      <c r="G297" s="1">
        <v>1</v>
      </c>
    </row>
    <row r="298" spans="1:7" x14ac:dyDescent="0.25">
      <c r="A298" s="5" t="s">
        <v>710</v>
      </c>
      <c r="B298" s="6" t="s">
        <v>711</v>
      </c>
      <c r="C298" s="6" t="s">
        <v>108</v>
      </c>
      <c r="D298" s="7" t="str">
        <f t="shared" si="8"/>
        <v>m</v>
      </c>
      <c r="E298" t="str">
        <f t="shared" si="9"/>
        <v/>
      </c>
      <c r="F298" s="15" t="s">
        <v>572</v>
      </c>
      <c r="G298" s="1">
        <v>1</v>
      </c>
    </row>
    <row r="299" spans="1:7" x14ac:dyDescent="0.25">
      <c r="A299" s="8" t="s">
        <v>712</v>
      </c>
      <c r="B299" s="9" t="s">
        <v>174</v>
      </c>
      <c r="C299" s="9" t="s">
        <v>219</v>
      </c>
      <c r="D299" s="7" t="str">
        <f t="shared" si="8"/>
        <v>m</v>
      </c>
      <c r="E299" t="str">
        <f t="shared" si="9"/>
        <v/>
      </c>
      <c r="F299" s="15" t="s">
        <v>1088</v>
      </c>
      <c r="G299" s="1">
        <v>1</v>
      </c>
    </row>
    <row r="300" spans="1:7" x14ac:dyDescent="0.25">
      <c r="A300" s="5" t="s">
        <v>713</v>
      </c>
      <c r="B300" s="6" t="s">
        <v>714</v>
      </c>
      <c r="C300" s="6" t="s">
        <v>156</v>
      </c>
      <c r="D300" s="7" t="str">
        <f t="shared" si="8"/>
        <v>m</v>
      </c>
      <c r="E300" t="str">
        <f t="shared" si="9"/>
        <v/>
      </c>
      <c r="F300" s="15" t="s">
        <v>1026</v>
      </c>
      <c r="G300" s="1">
        <v>1</v>
      </c>
    </row>
    <row r="301" spans="1:7" x14ac:dyDescent="0.25">
      <c r="A301" s="8" t="s">
        <v>715</v>
      </c>
      <c r="B301" s="9" t="s">
        <v>716</v>
      </c>
      <c r="C301" s="9" t="s">
        <v>413</v>
      </c>
      <c r="D301" s="7" t="str">
        <f t="shared" si="8"/>
        <v>k</v>
      </c>
      <c r="E301" t="str">
        <f t="shared" si="9"/>
        <v/>
      </c>
      <c r="F301" s="14" t="s">
        <v>64</v>
      </c>
      <c r="G301" s="1">
        <v>8</v>
      </c>
    </row>
    <row r="302" spans="1:7" x14ac:dyDescent="0.25">
      <c r="A302" s="5" t="s">
        <v>717</v>
      </c>
      <c r="B302" s="6" t="s">
        <v>718</v>
      </c>
      <c r="C302" s="6" t="s">
        <v>25</v>
      </c>
      <c r="D302" s="7" t="str">
        <f t="shared" si="8"/>
        <v>m</v>
      </c>
      <c r="E302" t="str">
        <f t="shared" si="9"/>
        <v/>
      </c>
      <c r="F302" s="15" t="s">
        <v>1079</v>
      </c>
      <c r="G302" s="1">
        <v>1</v>
      </c>
    </row>
    <row r="303" spans="1:7" x14ac:dyDescent="0.25">
      <c r="A303" s="8" t="s">
        <v>719</v>
      </c>
      <c r="B303" s="9" t="s">
        <v>720</v>
      </c>
      <c r="C303" s="9" t="s">
        <v>721</v>
      </c>
      <c r="D303" s="7" t="str">
        <f t="shared" si="8"/>
        <v>k</v>
      </c>
      <c r="E303" t="str">
        <f t="shared" si="9"/>
        <v/>
      </c>
      <c r="F303" s="15" t="s">
        <v>149</v>
      </c>
      <c r="G303" s="1">
        <v>1</v>
      </c>
    </row>
    <row r="304" spans="1:7" x14ac:dyDescent="0.25">
      <c r="A304" s="5" t="s">
        <v>722</v>
      </c>
      <c r="B304" s="6" t="s">
        <v>723</v>
      </c>
      <c r="C304" s="6" t="s">
        <v>47</v>
      </c>
      <c r="D304" s="7" t="str">
        <f t="shared" si="8"/>
        <v>m</v>
      </c>
      <c r="E304" t="str">
        <f t="shared" si="9"/>
        <v/>
      </c>
      <c r="F304" s="15" t="s">
        <v>311</v>
      </c>
      <c r="G304" s="1">
        <v>1</v>
      </c>
    </row>
    <row r="305" spans="1:7" x14ac:dyDescent="0.25">
      <c r="A305" s="8" t="s">
        <v>724</v>
      </c>
      <c r="B305" s="9" t="s">
        <v>725</v>
      </c>
      <c r="C305" s="9" t="s">
        <v>419</v>
      </c>
      <c r="D305" s="7" t="str">
        <f t="shared" si="8"/>
        <v>k</v>
      </c>
      <c r="E305" t="str">
        <f t="shared" si="9"/>
        <v/>
      </c>
      <c r="F305" s="15" t="s">
        <v>315</v>
      </c>
      <c r="G305" s="1">
        <v>1</v>
      </c>
    </row>
    <row r="306" spans="1:7" x14ac:dyDescent="0.25">
      <c r="A306" s="5" t="s">
        <v>726</v>
      </c>
      <c r="B306" s="6" t="s">
        <v>415</v>
      </c>
      <c r="C306" s="6" t="s">
        <v>214</v>
      </c>
      <c r="D306" s="7" t="str">
        <f t="shared" si="8"/>
        <v>k</v>
      </c>
      <c r="E306" t="str">
        <f t="shared" si="9"/>
        <v/>
      </c>
      <c r="F306" s="15" t="s">
        <v>675</v>
      </c>
      <c r="G306" s="1">
        <v>1</v>
      </c>
    </row>
    <row r="307" spans="1:7" x14ac:dyDescent="0.25">
      <c r="A307" s="8" t="s">
        <v>727</v>
      </c>
      <c r="B307" s="9" t="s">
        <v>728</v>
      </c>
      <c r="C307" s="9" t="s">
        <v>729</v>
      </c>
      <c r="D307" s="7" t="str">
        <f t="shared" si="8"/>
        <v>k</v>
      </c>
      <c r="E307" t="str">
        <f t="shared" si="9"/>
        <v/>
      </c>
      <c r="F307" s="15" t="s">
        <v>300</v>
      </c>
      <c r="G307" s="1">
        <v>1</v>
      </c>
    </row>
    <row r="308" spans="1:7" x14ac:dyDescent="0.25">
      <c r="A308" s="5" t="s">
        <v>730</v>
      </c>
      <c r="B308" s="6" t="s">
        <v>731</v>
      </c>
      <c r="C308" s="6" t="s">
        <v>111</v>
      </c>
      <c r="D308" s="7" t="str">
        <f t="shared" si="8"/>
        <v>k</v>
      </c>
      <c r="E308" t="str">
        <f t="shared" si="9"/>
        <v/>
      </c>
      <c r="F308" s="15" t="s">
        <v>63</v>
      </c>
      <c r="G308" s="1">
        <v>1</v>
      </c>
    </row>
    <row r="309" spans="1:7" x14ac:dyDescent="0.25">
      <c r="A309" s="8" t="s">
        <v>732</v>
      </c>
      <c r="B309" s="9" t="s">
        <v>733</v>
      </c>
      <c r="C309" s="9" t="s">
        <v>734</v>
      </c>
      <c r="D309" s="7" t="str">
        <f t="shared" si="8"/>
        <v>m</v>
      </c>
      <c r="E309" t="str">
        <f t="shared" si="9"/>
        <v/>
      </c>
      <c r="F309" s="15" t="s">
        <v>107</v>
      </c>
      <c r="G309" s="1">
        <v>1</v>
      </c>
    </row>
    <row r="310" spans="1:7" x14ac:dyDescent="0.25">
      <c r="A310" s="5" t="s">
        <v>735</v>
      </c>
      <c r="B310" s="6" t="s">
        <v>120</v>
      </c>
      <c r="C310" s="6" t="s">
        <v>73</v>
      </c>
      <c r="D310" s="7" t="str">
        <f t="shared" si="8"/>
        <v>m</v>
      </c>
      <c r="E310" t="str">
        <f t="shared" si="9"/>
        <v/>
      </c>
      <c r="F310" s="14" t="s">
        <v>345</v>
      </c>
      <c r="G310" s="1">
        <v>6</v>
      </c>
    </row>
    <row r="311" spans="1:7" x14ac:dyDescent="0.25">
      <c r="A311" s="8" t="s">
        <v>736</v>
      </c>
      <c r="B311" s="9" t="s">
        <v>685</v>
      </c>
      <c r="C311" s="9" t="s">
        <v>219</v>
      </c>
      <c r="D311" s="7" t="str">
        <f t="shared" si="8"/>
        <v>m</v>
      </c>
      <c r="E311" t="str">
        <f t="shared" si="9"/>
        <v/>
      </c>
      <c r="F311" s="15" t="s">
        <v>789</v>
      </c>
      <c r="G311" s="1">
        <v>1</v>
      </c>
    </row>
    <row r="312" spans="1:7" x14ac:dyDescent="0.25">
      <c r="A312" s="5" t="s">
        <v>737</v>
      </c>
      <c r="B312" s="6" t="s">
        <v>738</v>
      </c>
      <c r="C312" s="6" t="s">
        <v>194</v>
      </c>
      <c r="D312" s="7" t="str">
        <f t="shared" si="8"/>
        <v>k</v>
      </c>
      <c r="E312" t="str">
        <f t="shared" si="9"/>
        <v/>
      </c>
      <c r="F312" s="15" t="s">
        <v>653</v>
      </c>
      <c r="G312" s="1">
        <v>1</v>
      </c>
    </row>
    <row r="313" spans="1:7" x14ac:dyDescent="0.25">
      <c r="A313" s="8" t="s">
        <v>739</v>
      </c>
      <c r="B313" s="9" t="s">
        <v>740</v>
      </c>
      <c r="C313" s="9" t="s">
        <v>131</v>
      </c>
      <c r="D313" s="7" t="str">
        <f t="shared" si="8"/>
        <v>k</v>
      </c>
      <c r="E313" t="str">
        <f t="shared" si="9"/>
        <v/>
      </c>
      <c r="F313" s="15" t="s">
        <v>361</v>
      </c>
      <c r="G313" s="1">
        <v>1</v>
      </c>
    </row>
    <row r="314" spans="1:7" x14ac:dyDescent="0.25">
      <c r="A314" s="5" t="s">
        <v>741</v>
      </c>
      <c r="B314" s="6" t="s">
        <v>742</v>
      </c>
      <c r="C314" s="6" t="s">
        <v>89</v>
      </c>
      <c r="D314" s="7" t="str">
        <f t="shared" si="8"/>
        <v>k</v>
      </c>
      <c r="E314" t="str">
        <f t="shared" si="9"/>
        <v/>
      </c>
      <c r="F314" s="15" t="s">
        <v>344</v>
      </c>
      <c r="G314" s="1">
        <v>1</v>
      </c>
    </row>
    <row r="315" spans="1:7" x14ac:dyDescent="0.25">
      <c r="A315" s="8" t="s">
        <v>743</v>
      </c>
      <c r="B315" s="9" t="s">
        <v>744</v>
      </c>
      <c r="C315" s="9" t="s">
        <v>241</v>
      </c>
      <c r="D315" s="7" t="str">
        <f t="shared" si="8"/>
        <v>k</v>
      </c>
      <c r="E315" t="str">
        <f t="shared" si="9"/>
        <v/>
      </c>
      <c r="F315" s="15" t="s">
        <v>746</v>
      </c>
      <c r="G315" s="1">
        <v>1</v>
      </c>
    </row>
    <row r="316" spans="1:7" x14ac:dyDescent="0.25">
      <c r="A316" s="5" t="s">
        <v>745</v>
      </c>
      <c r="B316" s="6" t="s">
        <v>746</v>
      </c>
      <c r="C316" s="6" t="s">
        <v>345</v>
      </c>
      <c r="D316" s="7" t="str">
        <f t="shared" si="8"/>
        <v>k</v>
      </c>
      <c r="E316" t="str">
        <f t="shared" si="9"/>
        <v/>
      </c>
      <c r="F316" s="15" t="s">
        <v>646</v>
      </c>
      <c r="G316" s="1">
        <v>1</v>
      </c>
    </row>
    <row r="317" spans="1:7" x14ac:dyDescent="0.25">
      <c r="A317" s="8" t="s">
        <v>747</v>
      </c>
      <c r="B317" s="9" t="s">
        <v>207</v>
      </c>
      <c r="C317" s="9" t="s">
        <v>208</v>
      </c>
      <c r="D317" s="7" t="str">
        <f t="shared" si="8"/>
        <v>m</v>
      </c>
      <c r="E317" t="str">
        <f t="shared" si="9"/>
        <v/>
      </c>
      <c r="F317" s="14" t="s">
        <v>147</v>
      </c>
      <c r="G317" s="1">
        <v>4</v>
      </c>
    </row>
    <row r="318" spans="1:7" x14ac:dyDescent="0.25">
      <c r="A318" s="5" t="s">
        <v>748</v>
      </c>
      <c r="B318" s="6" t="s">
        <v>749</v>
      </c>
      <c r="C318" s="6" t="s">
        <v>413</v>
      </c>
      <c r="D318" s="7" t="str">
        <f t="shared" si="8"/>
        <v>k</v>
      </c>
      <c r="E318" t="str">
        <f t="shared" si="9"/>
        <v/>
      </c>
      <c r="F318" s="15" t="s">
        <v>146</v>
      </c>
      <c r="G318" s="1">
        <v>1</v>
      </c>
    </row>
    <row r="319" spans="1:7" x14ac:dyDescent="0.25">
      <c r="A319" s="8" t="s">
        <v>750</v>
      </c>
      <c r="B319" s="9" t="s">
        <v>751</v>
      </c>
      <c r="C319" s="9" t="s">
        <v>416</v>
      </c>
      <c r="D319" s="7" t="str">
        <f t="shared" si="8"/>
        <v>k</v>
      </c>
      <c r="E319" t="str">
        <f t="shared" si="9"/>
        <v/>
      </c>
      <c r="F319" s="15" t="s">
        <v>1064</v>
      </c>
      <c r="G319" s="1">
        <v>1</v>
      </c>
    </row>
    <row r="320" spans="1:7" x14ac:dyDescent="0.25">
      <c r="A320" s="5" t="s">
        <v>752</v>
      </c>
      <c r="B320" s="6" t="s">
        <v>753</v>
      </c>
      <c r="C320" s="6" t="s">
        <v>754</v>
      </c>
      <c r="D320" s="7" t="str">
        <f t="shared" si="8"/>
        <v>m</v>
      </c>
      <c r="E320" t="str">
        <f t="shared" si="9"/>
        <v/>
      </c>
      <c r="F320" s="15" t="s">
        <v>838</v>
      </c>
      <c r="G320" s="1">
        <v>1</v>
      </c>
    </row>
    <row r="321" spans="1:7" x14ac:dyDescent="0.25">
      <c r="A321" s="8" t="s">
        <v>755</v>
      </c>
      <c r="B321" s="9" t="s">
        <v>107</v>
      </c>
      <c r="C321" s="9" t="s">
        <v>64</v>
      </c>
      <c r="D321" s="7" t="str">
        <f t="shared" si="8"/>
        <v>m</v>
      </c>
      <c r="E321" t="str">
        <f t="shared" si="9"/>
        <v/>
      </c>
      <c r="F321" s="15" t="s">
        <v>434</v>
      </c>
      <c r="G321" s="1">
        <v>1</v>
      </c>
    </row>
    <row r="322" spans="1:7" x14ac:dyDescent="0.25">
      <c r="A322" s="5" t="s">
        <v>756</v>
      </c>
      <c r="B322" s="6" t="s">
        <v>757</v>
      </c>
      <c r="C322" s="6" t="s">
        <v>275</v>
      </c>
      <c r="D322" s="7" t="str">
        <f t="shared" ref="D322:D385" si="10">IF(MOD(LEFT(RIGHT(A322,2),1),2)=0,"k","m")</f>
        <v>k</v>
      </c>
      <c r="E322" t="str">
        <f t="shared" si="9"/>
        <v/>
      </c>
      <c r="F322" s="14" t="s">
        <v>266</v>
      </c>
      <c r="G322" s="1">
        <v>4</v>
      </c>
    </row>
    <row r="323" spans="1:7" x14ac:dyDescent="0.25">
      <c r="A323" s="8" t="s">
        <v>758</v>
      </c>
      <c r="B323" s="9" t="s">
        <v>759</v>
      </c>
      <c r="C323" s="9" t="s">
        <v>760</v>
      </c>
      <c r="D323" s="7" t="str">
        <f t="shared" si="10"/>
        <v>m</v>
      </c>
      <c r="E323" t="str">
        <f t="shared" si="9"/>
        <v/>
      </c>
      <c r="F323" s="15" t="s">
        <v>265</v>
      </c>
      <c r="G323" s="1">
        <v>1</v>
      </c>
    </row>
    <row r="324" spans="1:7" x14ac:dyDescent="0.25">
      <c r="A324" s="5" t="s">
        <v>761</v>
      </c>
      <c r="B324" s="6" t="s">
        <v>762</v>
      </c>
      <c r="C324" s="6" t="s">
        <v>86</v>
      </c>
      <c r="D324" s="7" t="str">
        <f t="shared" si="10"/>
        <v>k</v>
      </c>
      <c r="E324" t="str">
        <f t="shared" ref="E324:E387" si="11">IF(B324=C324,A324,"")</f>
        <v/>
      </c>
      <c r="F324" s="15" t="s">
        <v>778</v>
      </c>
      <c r="G324" s="1">
        <v>1</v>
      </c>
    </row>
    <row r="325" spans="1:7" x14ac:dyDescent="0.25">
      <c r="A325" s="8" t="s">
        <v>763</v>
      </c>
      <c r="B325" s="9" t="s">
        <v>764</v>
      </c>
      <c r="C325" s="9" t="s">
        <v>323</v>
      </c>
      <c r="D325" s="7" t="str">
        <f t="shared" si="10"/>
        <v>k</v>
      </c>
      <c r="E325" t="str">
        <f t="shared" si="11"/>
        <v/>
      </c>
      <c r="F325" s="15" t="s">
        <v>1033</v>
      </c>
      <c r="G325" s="1">
        <v>1</v>
      </c>
    </row>
    <row r="326" spans="1:7" x14ac:dyDescent="0.25">
      <c r="A326" s="5" t="s">
        <v>765</v>
      </c>
      <c r="B326" s="6" t="s">
        <v>766</v>
      </c>
      <c r="C326" s="6" t="s">
        <v>767</v>
      </c>
      <c r="D326" s="7" t="str">
        <f t="shared" si="10"/>
        <v>k</v>
      </c>
      <c r="E326" t="str">
        <f t="shared" si="11"/>
        <v/>
      </c>
      <c r="F326" s="15" t="s">
        <v>938</v>
      </c>
      <c r="G326" s="1">
        <v>1</v>
      </c>
    </row>
    <row r="327" spans="1:7" x14ac:dyDescent="0.25">
      <c r="A327" s="8" t="s">
        <v>768</v>
      </c>
      <c r="B327" s="9" t="s">
        <v>769</v>
      </c>
      <c r="C327" s="9" t="s">
        <v>393</v>
      </c>
      <c r="D327" s="7" t="str">
        <f t="shared" si="10"/>
        <v>k</v>
      </c>
      <c r="E327" t="str">
        <f t="shared" si="11"/>
        <v/>
      </c>
      <c r="F327" s="14" t="s">
        <v>241</v>
      </c>
      <c r="G327" s="1">
        <v>6</v>
      </c>
    </row>
    <row r="328" spans="1:7" x14ac:dyDescent="0.25">
      <c r="A328" s="5" t="s">
        <v>770</v>
      </c>
      <c r="B328" s="6" t="s">
        <v>757</v>
      </c>
      <c r="C328" s="6" t="s">
        <v>108</v>
      </c>
      <c r="D328" s="7" t="str">
        <f t="shared" si="10"/>
        <v>m</v>
      </c>
      <c r="E328" t="str">
        <f t="shared" si="11"/>
        <v/>
      </c>
      <c r="F328" s="15" t="s">
        <v>240</v>
      </c>
      <c r="G328" s="1">
        <v>1</v>
      </c>
    </row>
    <row r="329" spans="1:7" x14ac:dyDescent="0.25">
      <c r="A329" s="8" t="s">
        <v>771</v>
      </c>
      <c r="B329" s="9" t="s">
        <v>772</v>
      </c>
      <c r="C329" s="9" t="s">
        <v>485</v>
      </c>
      <c r="D329" s="7" t="str">
        <f t="shared" si="10"/>
        <v>m</v>
      </c>
      <c r="E329" t="str">
        <f t="shared" si="11"/>
        <v/>
      </c>
      <c r="F329" s="15" t="s">
        <v>388</v>
      </c>
      <c r="G329" s="1">
        <v>1</v>
      </c>
    </row>
    <row r="330" spans="1:7" x14ac:dyDescent="0.25">
      <c r="A330" s="5" t="s">
        <v>773</v>
      </c>
      <c r="B330" s="6" t="s">
        <v>774</v>
      </c>
      <c r="C330" s="6" t="s">
        <v>39</v>
      </c>
      <c r="D330" s="7" t="str">
        <f t="shared" si="10"/>
        <v>m</v>
      </c>
      <c r="E330" t="str">
        <f t="shared" si="11"/>
        <v/>
      </c>
      <c r="F330" s="15" t="s">
        <v>611</v>
      </c>
      <c r="G330" s="1">
        <v>1</v>
      </c>
    </row>
    <row r="331" spans="1:7" x14ac:dyDescent="0.25">
      <c r="A331" s="8" t="s">
        <v>775</v>
      </c>
      <c r="B331" s="9" t="s">
        <v>776</v>
      </c>
      <c r="C331" s="9" t="s">
        <v>121</v>
      </c>
      <c r="D331" s="7" t="str">
        <f t="shared" si="10"/>
        <v>m</v>
      </c>
      <c r="E331" t="str">
        <f t="shared" si="11"/>
        <v/>
      </c>
      <c r="F331" s="15" t="s">
        <v>744</v>
      </c>
      <c r="G331" s="1">
        <v>1</v>
      </c>
    </row>
    <row r="332" spans="1:7" x14ac:dyDescent="0.25">
      <c r="A332" s="5" t="s">
        <v>777</v>
      </c>
      <c r="B332" s="6" t="s">
        <v>778</v>
      </c>
      <c r="C332" s="6" t="s">
        <v>266</v>
      </c>
      <c r="D332" s="7" t="str">
        <f t="shared" si="10"/>
        <v>k</v>
      </c>
      <c r="E332" t="str">
        <f t="shared" si="11"/>
        <v/>
      </c>
      <c r="F332" s="15" t="s">
        <v>445</v>
      </c>
      <c r="G332" s="1">
        <v>1</v>
      </c>
    </row>
    <row r="333" spans="1:7" x14ac:dyDescent="0.25">
      <c r="A333" s="8" t="s">
        <v>779</v>
      </c>
      <c r="B333" s="9" t="s">
        <v>780</v>
      </c>
      <c r="C333" s="9" t="s">
        <v>111</v>
      </c>
      <c r="D333" s="7" t="str">
        <f t="shared" si="10"/>
        <v>k</v>
      </c>
      <c r="E333" t="str">
        <f t="shared" si="11"/>
        <v/>
      </c>
      <c r="F333" s="15" t="s">
        <v>621</v>
      </c>
      <c r="G333" s="1">
        <v>1</v>
      </c>
    </row>
    <row r="334" spans="1:7" x14ac:dyDescent="0.25">
      <c r="A334" s="5" t="s">
        <v>781</v>
      </c>
      <c r="B334" s="6" t="s">
        <v>782</v>
      </c>
      <c r="C334" s="6" t="s">
        <v>56</v>
      </c>
      <c r="D334" s="7" t="str">
        <f t="shared" si="10"/>
        <v>k</v>
      </c>
      <c r="E334" t="str">
        <f t="shared" si="11"/>
        <v/>
      </c>
      <c r="F334" s="14" t="s">
        <v>8</v>
      </c>
      <c r="G334" s="1">
        <v>6</v>
      </c>
    </row>
    <row r="335" spans="1:7" x14ac:dyDescent="0.25">
      <c r="A335" s="8" t="s">
        <v>783</v>
      </c>
      <c r="B335" s="9" t="s">
        <v>784</v>
      </c>
      <c r="C335" s="9" t="s">
        <v>202</v>
      </c>
      <c r="D335" s="7" t="str">
        <f t="shared" si="10"/>
        <v>m</v>
      </c>
      <c r="E335" t="str">
        <f t="shared" si="11"/>
        <v/>
      </c>
      <c r="F335" s="15" t="s">
        <v>7</v>
      </c>
      <c r="G335" s="1">
        <v>1</v>
      </c>
    </row>
    <row r="336" spans="1:7" x14ac:dyDescent="0.25">
      <c r="A336" s="5" t="s">
        <v>785</v>
      </c>
      <c r="B336" s="6" t="s">
        <v>786</v>
      </c>
      <c r="C336" s="6" t="s">
        <v>787</v>
      </c>
      <c r="D336" s="7" t="str">
        <f t="shared" si="10"/>
        <v>k</v>
      </c>
      <c r="E336" t="str">
        <f t="shared" si="11"/>
        <v/>
      </c>
      <c r="F336" s="15" t="s">
        <v>135</v>
      </c>
      <c r="G336" s="1">
        <v>1</v>
      </c>
    </row>
    <row r="337" spans="1:7" x14ac:dyDescent="0.25">
      <c r="A337" s="8" t="s">
        <v>788</v>
      </c>
      <c r="B337" s="9" t="s">
        <v>789</v>
      </c>
      <c r="C337" s="9" t="s">
        <v>345</v>
      </c>
      <c r="D337" s="7" t="str">
        <f t="shared" si="10"/>
        <v>k</v>
      </c>
      <c r="E337" t="str">
        <f t="shared" si="11"/>
        <v/>
      </c>
      <c r="F337" s="15" t="s">
        <v>896</v>
      </c>
      <c r="G337" s="1">
        <v>1</v>
      </c>
    </row>
    <row r="338" spans="1:7" x14ac:dyDescent="0.25">
      <c r="A338" s="5" t="s">
        <v>790</v>
      </c>
      <c r="B338" s="6" t="s">
        <v>791</v>
      </c>
      <c r="C338" s="6" t="s">
        <v>260</v>
      </c>
      <c r="D338" s="7" t="str">
        <f t="shared" si="10"/>
        <v>m</v>
      </c>
      <c r="E338" t="str">
        <f t="shared" si="11"/>
        <v/>
      </c>
      <c r="F338" s="15" t="s">
        <v>58</v>
      </c>
      <c r="G338" s="1">
        <v>1</v>
      </c>
    </row>
    <row r="339" spans="1:7" x14ac:dyDescent="0.25">
      <c r="A339" s="8" t="s">
        <v>792</v>
      </c>
      <c r="B339" s="9" t="s">
        <v>629</v>
      </c>
      <c r="C339" s="9" t="s">
        <v>793</v>
      </c>
      <c r="D339" s="7" t="str">
        <f t="shared" si="10"/>
        <v>m</v>
      </c>
      <c r="E339" t="str">
        <f t="shared" si="11"/>
        <v/>
      </c>
      <c r="F339" s="15" t="s">
        <v>22</v>
      </c>
      <c r="G339" s="1">
        <v>1</v>
      </c>
    </row>
    <row r="340" spans="1:7" x14ac:dyDescent="0.25">
      <c r="A340" s="5" t="s">
        <v>794</v>
      </c>
      <c r="B340" s="6" t="s">
        <v>795</v>
      </c>
      <c r="C340" s="6" t="s">
        <v>108</v>
      </c>
      <c r="D340" s="7" t="str">
        <f t="shared" si="10"/>
        <v>m</v>
      </c>
      <c r="E340" t="str">
        <f t="shared" si="11"/>
        <v/>
      </c>
      <c r="F340" s="15" t="s">
        <v>75</v>
      </c>
      <c r="G340" s="1">
        <v>1</v>
      </c>
    </row>
    <row r="341" spans="1:7" x14ac:dyDescent="0.25">
      <c r="A341" s="8" t="s">
        <v>796</v>
      </c>
      <c r="B341" s="9" t="s">
        <v>797</v>
      </c>
      <c r="C341" s="9" t="s">
        <v>78</v>
      </c>
      <c r="D341" s="7" t="str">
        <f t="shared" si="10"/>
        <v>k</v>
      </c>
      <c r="E341" t="str">
        <f t="shared" si="11"/>
        <v/>
      </c>
      <c r="F341" s="14" t="s">
        <v>70</v>
      </c>
      <c r="G341" s="1">
        <v>3</v>
      </c>
    </row>
    <row r="342" spans="1:7" x14ac:dyDescent="0.25">
      <c r="A342" s="5" t="s">
        <v>798</v>
      </c>
      <c r="B342" s="6" t="s">
        <v>799</v>
      </c>
      <c r="C342" s="6" t="s">
        <v>105</v>
      </c>
      <c r="D342" s="7" t="str">
        <f t="shared" si="10"/>
        <v>m</v>
      </c>
      <c r="E342" t="str">
        <f t="shared" si="11"/>
        <v/>
      </c>
      <c r="F342" s="15" t="s">
        <v>1056</v>
      </c>
      <c r="G342" s="1">
        <v>1</v>
      </c>
    </row>
    <row r="343" spans="1:7" x14ac:dyDescent="0.25">
      <c r="A343" s="8" t="s">
        <v>800</v>
      </c>
      <c r="B343" s="9" t="s">
        <v>801</v>
      </c>
      <c r="C343" s="9" t="s">
        <v>105</v>
      </c>
      <c r="D343" s="7" t="str">
        <f t="shared" si="10"/>
        <v>m</v>
      </c>
      <c r="E343" t="str">
        <f t="shared" si="11"/>
        <v/>
      </c>
      <c r="F343" s="15" t="s">
        <v>69</v>
      </c>
      <c r="G343" s="1">
        <v>1</v>
      </c>
    </row>
    <row r="344" spans="1:7" x14ac:dyDescent="0.25">
      <c r="A344" s="5" t="s">
        <v>802</v>
      </c>
      <c r="B344" s="6" t="s">
        <v>803</v>
      </c>
      <c r="C344" s="6" t="s">
        <v>11</v>
      </c>
      <c r="D344" s="7" t="str">
        <f t="shared" si="10"/>
        <v>m</v>
      </c>
      <c r="E344" t="str">
        <f t="shared" si="11"/>
        <v/>
      </c>
      <c r="F344" s="15" t="s">
        <v>600</v>
      </c>
      <c r="G344" s="1">
        <v>1</v>
      </c>
    </row>
    <row r="345" spans="1:7" x14ac:dyDescent="0.25">
      <c r="A345" s="8" t="s">
        <v>804</v>
      </c>
      <c r="B345" s="9" t="s">
        <v>805</v>
      </c>
      <c r="C345" s="9" t="s">
        <v>359</v>
      </c>
      <c r="D345" s="7" t="str">
        <f t="shared" si="10"/>
        <v>k</v>
      </c>
      <c r="E345" t="str">
        <f t="shared" si="11"/>
        <v/>
      </c>
      <c r="F345" s="14" t="s">
        <v>187</v>
      </c>
      <c r="G345" s="1">
        <v>4</v>
      </c>
    </row>
    <row r="346" spans="1:7" x14ac:dyDescent="0.25">
      <c r="A346" s="5" t="s">
        <v>806</v>
      </c>
      <c r="B346" s="6" t="s">
        <v>807</v>
      </c>
      <c r="C346" s="6" t="s">
        <v>382</v>
      </c>
      <c r="D346" s="7" t="str">
        <f t="shared" si="10"/>
        <v>k</v>
      </c>
      <c r="E346" t="str">
        <f t="shared" si="11"/>
        <v/>
      </c>
      <c r="F346" s="15" t="s">
        <v>554</v>
      </c>
      <c r="G346" s="1">
        <v>1</v>
      </c>
    </row>
    <row r="347" spans="1:7" x14ac:dyDescent="0.25">
      <c r="A347" s="8" t="s">
        <v>808</v>
      </c>
      <c r="B347" s="9" t="s">
        <v>809</v>
      </c>
      <c r="C347" s="9" t="s">
        <v>505</v>
      </c>
      <c r="D347" s="7" t="str">
        <f t="shared" si="10"/>
        <v>m</v>
      </c>
      <c r="E347" t="str">
        <f t="shared" si="11"/>
        <v/>
      </c>
      <c r="F347" s="15" t="s">
        <v>186</v>
      </c>
      <c r="G347" s="1">
        <v>1</v>
      </c>
    </row>
    <row r="348" spans="1:7" x14ac:dyDescent="0.25">
      <c r="A348" s="5" t="s">
        <v>810</v>
      </c>
      <c r="B348" s="6" t="s">
        <v>811</v>
      </c>
      <c r="C348" s="6" t="s">
        <v>812</v>
      </c>
      <c r="D348" s="7" t="str">
        <f t="shared" si="10"/>
        <v>m</v>
      </c>
      <c r="E348" t="str">
        <f t="shared" si="11"/>
        <v/>
      </c>
      <c r="F348" s="15" t="s">
        <v>353</v>
      </c>
      <c r="G348" s="1">
        <v>1</v>
      </c>
    </row>
    <row r="349" spans="1:7" x14ac:dyDescent="0.25">
      <c r="A349" s="8" t="s">
        <v>813</v>
      </c>
      <c r="B349" s="9" t="s">
        <v>814</v>
      </c>
      <c r="C349" s="9" t="s">
        <v>92</v>
      </c>
      <c r="D349" s="7" t="str">
        <f t="shared" si="10"/>
        <v>m</v>
      </c>
      <c r="E349" t="str">
        <f t="shared" si="11"/>
        <v/>
      </c>
      <c r="F349" s="15" t="s">
        <v>369</v>
      </c>
      <c r="G349" s="1">
        <v>1</v>
      </c>
    </row>
    <row r="350" spans="1:7" x14ac:dyDescent="0.25">
      <c r="A350" s="5" t="s">
        <v>815</v>
      </c>
      <c r="B350" s="6" t="s">
        <v>816</v>
      </c>
      <c r="C350" s="6" t="s">
        <v>166</v>
      </c>
      <c r="D350" s="7" t="str">
        <f t="shared" si="10"/>
        <v>m</v>
      </c>
      <c r="E350" t="str">
        <f t="shared" si="11"/>
        <v/>
      </c>
      <c r="F350" s="14" t="s">
        <v>131</v>
      </c>
      <c r="G350" s="1">
        <v>4</v>
      </c>
    </row>
    <row r="351" spans="1:7" x14ac:dyDescent="0.25">
      <c r="A351" s="8" t="s">
        <v>817</v>
      </c>
      <c r="B351" s="9" t="s">
        <v>818</v>
      </c>
      <c r="C351" s="9" t="s">
        <v>20</v>
      </c>
      <c r="D351" s="7" t="str">
        <f t="shared" si="10"/>
        <v>m</v>
      </c>
      <c r="E351" t="str">
        <f t="shared" si="11"/>
        <v/>
      </c>
      <c r="F351" s="15" t="s">
        <v>668</v>
      </c>
      <c r="G351" s="1">
        <v>1</v>
      </c>
    </row>
    <row r="352" spans="1:7" x14ac:dyDescent="0.25">
      <c r="A352" s="5" t="s">
        <v>819</v>
      </c>
      <c r="B352" s="6" t="s">
        <v>820</v>
      </c>
      <c r="C352" s="6" t="s">
        <v>821</v>
      </c>
      <c r="D352" s="7" t="str">
        <f t="shared" si="10"/>
        <v>m</v>
      </c>
      <c r="E352" t="str">
        <f t="shared" si="11"/>
        <v/>
      </c>
      <c r="F352" s="15" t="s">
        <v>325</v>
      </c>
      <c r="G352" s="1">
        <v>1</v>
      </c>
    </row>
    <row r="353" spans="1:7" x14ac:dyDescent="0.25">
      <c r="A353" s="8" t="s">
        <v>822</v>
      </c>
      <c r="B353" s="9" t="s">
        <v>823</v>
      </c>
      <c r="C353" s="9" t="s">
        <v>824</v>
      </c>
      <c r="D353" s="7" t="str">
        <f t="shared" si="10"/>
        <v>k</v>
      </c>
      <c r="E353" t="str">
        <f t="shared" si="11"/>
        <v/>
      </c>
      <c r="F353" s="15" t="s">
        <v>130</v>
      </c>
      <c r="G353" s="1">
        <v>1</v>
      </c>
    </row>
    <row r="354" spans="1:7" x14ac:dyDescent="0.25">
      <c r="A354" s="5" t="s">
        <v>825</v>
      </c>
      <c r="B354" s="6" t="s">
        <v>826</v>
      </c>
      <c r="C354" s="6" t="s">
        <v>17</v>
      </c>
      <c r="D354" s="7" t="str">
        <f t="shared" si="10"/>
        <v>m</v>
      </c>
      <c r="E354" t="str">
        <f t="shared" si="11"/>
        <v/>
      </c>
      <c r="F354" s="15" t="s">
        <v>740</v>
      </c>
      <c r="G354" s="1">
        <v>1</v>
      </c>
    </row>
    <row r="355" spans="1:7" x14ac:dyDescent="0.25">
      <c r="A355" s="8" t="s">
        <v>827</v>
      </c>
      <c r="B355" s="9" t="s">
        <v>828</v>
      </c>
      <c r="C355" s="9" t="s">
        <v>829</v>
      </c>
      <c r="D355" s="7" t="str">
        <f t="shared" si="10"/>
        <v>k</v>
      </c>
      <c r="E355" t="str">
        <f t="shared" si="11"/>
        <v/>
      </c>
      <c r="F355" s="14" t="s">
        <v>114</v>
      </c>
      <c r="G355" s="1">
        <v>3</v>
      </c>
    </row>
    <row r="356" spans="1:7" x14ac:dyDescent="0.25">
      <c r="A356" s="5" t="s">
        <v>830</v>
      </c>
      <c r="B356" s="6" t="s">
        <v>831</v>
      </c>
      <c r="C356" s="6" t="s">
        <v>832</v>
      </c>
      <c r="D356" s="7" t="str">
        <f t="shared" si="10"/>
        <v>m</v>
      </c>
      <c r="E356" t="str">
        <f t="shared" si="11"/>
        <v/>
      </c>
      <c r="F356" s="15" t="s">
        <v>526</v>
      </c>
      <c r="G356" s="1">
        <v>1</v>
      </c>
    </row>
    <row r="357" spans="1:7" x14ac:dyDescent="0.25">
      <c r="A357" s="8" t="s">
        <v>833</v>
      </c>
      <c r="B357" s="9" t="s">
        <v>834</v>
      </c>
      <c r="C357" s="9" t="s">
        <v>61</v>
      </c>
      <c r="D357" s="7" t="str">
        <f t="shared" si="10"/>
        <v>m</v>
      </c>
      <c r="E357" t="str">
        <f t="shared" si="11"/>
        <v/>
      </c>
      <c r="F357" s="15" t="s">
        <v>191</v>
      </c>
      <c r="G357" s="1">
        <v>1</v>
      </c>
    </row>
    <row r="358" spans="1:7" x14ac:dyDescent="0.25">
      <c r="A358" s="5" t="s">
        <v>835</v>
      </c>
      <c r="B358" s="6" t="s">
        <v>836</v>
      </c>
      <c r="C358" s="6" t="s">
        <v>829</v>
      </c>
      <c r="D358" s="7" t="str">
        <f t="shared" si="10"/>
        <v>k</v>
      </c>
      <c r="E358" t="str">
        <f t="shared" si="11"/>
        <v/>
      </c>
      <c r="F358" s="15" t="s">
        <v>113</v>
      </c>
      <c r="G358" s="1">
        <v>1</v>
      </c>
    </row>
    <row r="359" spans="1:7" x14ac:dyDescent="0.25">
      <c r="A359" s="8" t="s">
        <v>837</v>
      </c>
      <c r="B359" s="9" t="s">
        <v>838</v>
      </c>
      <c r="C359" s="9" t="s">
        <v>147</v>
      </c>
      <c r="D359" s="7" t="str">
        <f t="shared" si="10"/>
        <v>k</v>
      </c>
      <c r="E359" t="str">
        <f t="shared" si="11"/>
        <v/>
      </c>
      <c r="F359" s="14" t="s">
        <v>20</v>
      </c>
      <c r="G359" s="1">
        <v>6</v>
      </c>
    </row>
    <row r="360" spans="1:7" x14ac:dyDescent="0.25">
      <c r="A360" s="5" t="s">
        <v>839</v>
      </c>
      <c r="B360" s="6" t="s">
        <v>840</v>
      </c>
      <c r="C360" s="6" t="s">
        <v>841</v>
      </c>
      <c r="D360" s="7" t="str">
        <f t="shared" si="10"/>
        <v>m</v>
      </c>
      <c r="E360" t="str">
        <f t="shared" si="11"/>
        <v/>
      </c>
      <c r="F360" s="15" t="s">
        <v>1028</v>
      </c>
      <c r="G360" s="1">
        <v>1</v>
      </c>
    </row>
    <row r="361" spans="1:7" x14ac:dyDescent="0.25">
      <c r="A361" s="8" t="s">
        <v>842</v>
      </c>
      <c r="B361" s="9" t="s">
        <v>843</v>
      </c>
      <c r="C361" s="9" t="s">
        <v>841</v>
      </c>
      <c r="D361" s="7" t="str">
        <f t="shared" si="10"/>
        <v>m</v>
      </c>
      <c r="E361" t="str">
        <f t="shared" si="11"/>
        <v/>
      </c>
      <c r="F361" s="15" t="s">
        <v>19</v>
      </c>
      <c r="G361" s="1">
        <v>1</v>
      </c>
    </row>
    <row r="362" spans="1:7" x14ac:dyDescent="0.25">
      <c r="A362" s="5" t="s">
        <v>844</v>
      </c>
      <c r="B362" s="6" t="s">
        <v>845</v>
      </c>
      <c r="C362" s="6" t="s">
        <v>416</v>
      </c>
      <c r="D362" s="7" t="str">
        <f t="shared" si="10"/>
        <v>k</v>
      </c>
      <c r="E362" t="str">
        <f t="shared" si="11"/>
        <v/>
      </c>
      <c r="F362" s="15" t="s">
        <v>818</v>
      </c>
      <c r="G362" s="1">
        <v>1</v>
      </c>
    </row>
    <row r="363" spans="1:7" x14ac:dyDescent="0.25">
      <c r="A363" s="8" t="s">
        <v>846</v>
      </c>
      <c r="B363" s="9" t="s">
        <v>847</v>
      </c>
      <c r="C363" s="9" t="s">
        <v>848</v>
      </c>
      <c r="D363" s="7" t="str">
        <f t="shared" si="10"/>
        <v>m</v>
      </c>
      <c r="E363" t="str">
        <f t="shared" si="11"/>
        <v/>
      </c>
      <c r="F363" s="15" t="s">
        <v>33</v>
      </c>
      <c r="G363" s="1">
        <v>1</v>
      </c>
    </row>
    <row r="364" spans="1:7" x14ac:dyDescent="0.25">
      <c r="A364" s="5" t="s">
        <v>849</v>
      </c>
      <c r="B364" s="6" t="s">
        <v>850</v>
      </c>
      <c r="C364" s="6" t="s">
        <v>485</v>
      </c>
      <c r="D364" s="7" t="str">
        <f t="shared" si="10"/>
        <v>m</v>
      </c>
      <c r="E364" t="str">
        <f t="shared" si="11"/>
        <v/>
      </c>
      <c r="F364" s="15" t="s">
        <v>468</v>
      </c>
      <c r="G364" s="1">
        <v>1</v>
      </c>
    </row>
    <row r="365" spans="1:7" x14ac:dyDescent="0.25">
      <c r="A365" s="8" t="s">
        <v>851</v>
      </c>
      <c r="B365" s="9" t="s">
        <v>852</v>
      </c>
      <c r="C365" s="9" t="s">
        <v>121</v>
      </c>
      <c r="D365" s="7" t="str">
        <f t="shared" si="10"/>
        <v>m</v>
      </c>
      <c r="E365" t="str">
        <f t="shared" si="11"/>
        <v/>
      </c>
      <c r="F365" s="15" t="s">
        <v>196</v>
      </c>
      <c r="G365" s="1">
        <v>1</v>
      </c>
    </row>
    <row r="366" spans="1:7" x14ac:dyDescent="0.25">
      <c r="A366" s="5" t="s">
        <v>853</v>
      </c>
      <c r="B366" s="6" t="s">
        <v>854</v>
      </c>
      <c r="C366" s="6" t="s">
        <v>855</v>
      </c>
      <c r="D366" s="7" t="str">
        <f t="shared" si="10"/>
        <v>m</v>
      </c>
      <c r="E366" t="str">
        <f t="shared" si="11"/>
        <v/>
      </c>
      <c r="F366" s="14" t="s">
        <v>179</v>
      </c>
      <c r="G366" s="1">
        <v>3</v>
      </c>
    </row>
    <row r="367" spans="1:7" x14ac:dyDescent="0.25">
      <c r="A367" s="8" t="s">
        <v>856</v>
      </c>
      <c r="B367" s="9" t="s">
        <v>857</v>
      </c>
      <c r="C367" s="9" t="s">
        <v>309</v>
      </c>
      <c r="D367" s="7" t="str">
        <f t="shared" si="10"/>
        <v>k</v>
      </c>
      <c r="E367" t="str">
        <f t="shared" si="11"/>
        <v/>
      </c>
      <c r="F367" s="15" t="s">
        <v>178</v>
      </c>
      <c r="G367" s="1">
        <v>1</v>
      </c>
    </row>
    <row r="368" spans="1:7" x14ac:dyDescent="0.25">
      <c r="A368" s="5" t="s">
        <v>858</v>
      </c>
      <c r="B368" s="6" t="s">
        <v>859</v>
      </c>
      <c r="C368" s="6" t="s">
        <v>860</v>
      </c>
      <c r="D368" s="7" t="str">
        <f t="shared" si="10"/>
        <v>m</v>
      </c>
      <c r="E368" t="str">
        <f t="shared" si="11"/>
        <v/>
      </c>
      <c r="F368" s="15" t="s">
        <v>542</v>
      </c>
      <c r="G368" s="1">
        <v>1</v>
      </c>
    </row>
    <row r="369" spans="1:7" x14ac:dyDescent="0.25">
      <c r="A369" s="8" t="s">
        <v>861</v>
      </c>
      <c r="B369" s="9" t="s">
        <v>862</v>
      </c>
      <c r="C369" s="9" t="s">
        <v>73</v>
      </c>
      <c r="D369" s="7" t="str">
        <f t="shared" si="10"/>
        <v>m</v>
      </c>
      <c r="E369" t="str">
        <f t="shared" si="11"/>
        <v/>
      </c>
      <c r="F369" s="15" t="s">
        <v>327</v>
      </c>
      <c r="G369" s="1">
        <v>1</v>
      </c>
    </row>
    <row r="370" spans="1:7" x14ac:dyDescent="0.25">
      <c r="A370" s="5" t="s">
        <v>863</v>
      </c>
      <c r="B370" s="6" t="s">
        <v>864</v>
      </c>
      <c r="C370" s="6" t="s">
        <v>309</v>
      </c>
      <c r="D370" s="7" t="str">
        <f t="shared" si="10"/>
        <v>k</v>
      </c>
      <c r="E370" t="str">
        <f t="shared" si="11"/>
        <v/>
      </c>
      <c r="F370" s="14" t="s">
        <v>73</v>
      </c>
      <c r="G370" s="1">
        <v>10</v>
      </c>
    </row>
    <row r="371" spans="1:7" x14ac:dyDescent="0.25">
      <c r="A371" s="8" t="s">
        <v>865</v>
      </c>
      <c r="B371" s="9" t="s">
        <v>866</v>
      </c>
      <c r="C371" s="9" t="s">
        <v>17</v>
      </c>
      <c r="D371" s="7" t="str">
        <f t="shared" si="10"/>
        <v>m</v>
      </c>
      <c r="E371" t="str">
        <f t="shared" si="11"/>
        <v/>
      </c>
      <c r="F371" s="15" t="s">
        <v>862</v>
      </c>
      <c r="G371" s="1">
        <v>1</v>
      </c>
    </row>
    <row r="372" spans="1:7" x14ac:dyDescent="0.25">
      <c r="A372" s="5" t="s">
        <v>867</v>
      </c>
      <c r="B372" s="6" t="s">
        <v>868</v>
      </c>
      <c r="C372" s="6" t="s">
        <v>309</v>
      </c>
      <c r="D372" s="7" t="str">
        <f t="shared" si="10"/>
        <v>k</v>
      </c>
      <c r="E372" t="str">
        <f t="shared" si="11"/>
        <v/>
      </c>
      <c r="F372" s="15" t="s">
        <v>673</v>
      </c>
      <c r="G372" s="1">
        <v>1</v>
      </c>
    </row>
    <row r="373" spans="1:7" x14ac:dyDescent="0.25">
      <c r="A373" s="8" t="s">
        <v>869</v>
      </c>
      <c r="B373" s="9" t="s">
        <v>870</v>
      </c>
      <c r="C373" s="9" t="s">
        <v>260</v>
      </c>
      <c r="D373" s="7" t="str">
        <f t="shared" si="10"/>
        <v>m</v>
      </c>
      <c r="E373" t="str">
        <f t="shared" si="11"/>
        <v/>
      </c>
      <c r="F373" s="15" t="s">
        <v>524</v>
      </c>
      <c r="G373" s="1">
        <v>1</v>
      </c>
    </row>
    <row r="374" spans="1:7" x14ac:dyDescent="0.25">
      <c r="A374" s="5" t="s">
        <v>871</v>
      </c>
      <c r="B374" s="6" t="s">
        <v>872</v>
      </c>
      <c r="C374" s="6" t="s">
        <v>607</v>
      </c>
      <c r="D374" s="7" t="str">
        <f t="shared" si="10"/>
        <v>k</v>
      </c>
      <c r="E374" t="str">
        <f t="shared" si="11"/>
        <v/>
      </c>
      <c r="F374" s="15" t="s">
        <v>968</v>
      </c>
      <c r="G374" s="1">
        <v>1</v>
      </c>
    </row>
    <row r="375" spans="1:7" x14ac:dyDescent="0.25">
      <c r="A375" s="8" t="s">
        <v>873</v>
      </c>
      <c r="B375" s="9" t="s">
        <v>874</v>
      </c>
      <c r="C375" s="9" t="s">
        <v>448</v>
      </c>
      <c r="D375" s="7" t="str">
        <f t="shared" si="10"/>
        <v>k</v>
      </c>
      <c r="E375" t="str">
        <f t="shared" si="11"/>
        <v/>
      </c>
      <c r="F375" s="15" t="s">
        <v>953</v>
      </c>
      <c r="G375" s="1">
        <v>1</v>
      </c>
    </row>
    <row r="376" spans="1:7" x14ac:dyDescent="0.25">
      <c r="A376" s="5" t="s">
        <v>875</v>
      </c>
      <c r="B376" s="6" t="s">
        <v>876</v>
      </c>
      <c r="C376" s="6" t="s">
        <v>877</v>
      </c>
      <c r="D376" s="7" t="str">
        <f t="shared" si="10"/>
        <v>m</v>
      </c>
      <c r="E376" t="str">
        <f t="shared" si="11"/>
        <v/>
      </c>
      <c r="F376" s="15" t="s">
        <v>683</v>
      </c>
      <c r="G376" s="1">
        <v>1</v>
      </c>
    </row>
    <row r="377" spans="1:7" x14ac:dyDescent="0.25">
      <c r="A377" s="8" t="s">
        <v>878</v>
      </c>
      <c r="B377" s="9" t="s">
        <v>879</v>
      </c>
      <c r="C377" s="9" t="s">
        <v>880</v>
      </c>
      <c r="D377" s="7" t="str">
        <f t="shared" si="10"/>
        <v>m</v>
      </c>
      <c r="E377" t="str">
        <f t="shared" si="11"/>
        <v/>
      </c>
      <c r="F377" s="15" t="s">
        <v>118</v>
      </c>
      <c r="G377" s="1">
        <v>1</v>
      </c>
    </row>
    <row r="378" spans="1:7" x14ac:dyDescent="0.25">
      <c r="A378" s="5" t="s">
        <v>881</v>
      </c>
      <c r="B378" s="6" t="s">
        <v>882</v>
      </c>
      <c r="C378" s="6" t="s">
        <v>309</v>
      </c>
      <c r="D378" s="7" t="str">
        <f t="shared" si="10"/>
        <v>k</v>
      </c>
      <c r="E378" t="str">
        <f t="shared" si="11"/>
        <v/>
      </c>
      <c r="F378" s="15" t="s">
        <v>120</v>
      </c>
      <c r="G378" s="1">
        <v>1</v>
      </c>
    </row>
    <row r="379" spans="1:7" x14ac:dyDescent="0.25">
      <c r="A379" s="8" t="s">
        <v>883</v>
      </c>
      <c r="B379" s="9" t="s">
        <v>884</v>
      </c>
      <c r="C379" s="9" t="s">
        <v>885</v>
      </c>
      <c r="D379" s="7" t="str">
        <f t="shared" si="10"/>
        <v>k</v>
      </c>
      <c r="E379" t="str">
        <f t="shared" si="11"/>
        <v/>
      </c>
      <c r="F379" s="15" t="s">
        <v>72</v>
      </c>
      <c r="G379" s="1">
        <v>1</v>
      </c>
    </row>
    <row r="380" spans="1:7" x14ac:dyDescent="0.25">
      <c r="A380" s="5" t="s">
        <v>886</v>
      </c>
      <c r="B380" s="6" t="s">
        <v>887</v>
      </c>
      <c r="C380" s="6" t="s">
        <v>17</v>
      </c>
      <c r="D380" s="7" t="str">
        <f t="shared" si="10"/>
        <v>m</v>
      </c>
      <c r="E380" t="str">
        <f t="shared" si="11"/>
        <v/>
      </c>
      <c r="F380" s="15" t="s">
        <v>679</v>
      </c>
      <c r="G380" s="1">
        <v>1</v>
      </c>
    </row>
    <row r="381" spans="1:7" x14ac:dyDescent="0.25">
      <c r="A381" s="8" t="s">
        <v>888</v>
      </c>
      <c r="B381" s="9" t="s">
        <v>889</v>
      </c>
      <c r="C381" s="9" t="s">
        <v>359</v>
      </c>
      <c r="D381" s="7" t="str">
        <f t="shared" si="10"/>
        <v>k</v>
      </c>
      <c r="E381" t="str">
        <f t="shared" si="11"/>
        <v/>
      </c>
      <c r="F381" s="14" t="s">
        <v>223</v>
      </c>
      <c r="G381" s="1">
        <v>6</v>
      </c>
    </row>
    <row r="382" spans="1:7" x14ac:dyDescent="0.25">
      <c r="A382" s="5" t="s">
        <v>890</v>
      </c>
      <c r="B382" s="6" t="s">
        <v>891</v>
      </c>
      <c r="C382" s="6" t="s">
        <v>892</v>
      </c>
      <c r="D382" s="7" t="str">
        <f t="shared" si="10"/>
        <v>k</v>
      </c>
      <c r="E382" t="str">
        <f t="shared" si="11"/>
        <v/>
      </c>
      <c r="F382" s="15" t="s">
        <v>1121</v>
      </c>
      <c r="G382" s="1">
        <v>1</v>
      </c>
    </row>
    <row r="383" spans="1:7" x14ac:dyDescent="0.25">
      <c r="A383" s="8" t="s">
        <v>893</v>
      </c>
      <c r="B383" s="9" t="s">
        <v>894</v>
      </c>
      <c r="C383" s="9" t="s">
        <v>309</v>
      </c>
      <c r="D383" s="7" t="str">
        <f t="shared" si="10"/>
        <v>k</v>
      </c>
      <c r="E383" t="str">
        <f t="shared" si="11"/>
        <v/>
      </c>
      <c r="F383" s="15" t="s">
        <v>586</v>
      </c>
      <c r="G383" s="1">
        <v>1</v>
      </c>
    </row>
    <row r="384" spans="1:7" x14ac:dyDescent="0.25">
      <c r="A384" s="5" t="s">
        <v>895</v>
      </c>
      <c r="B384" s="6" t="s">
        <v>896</v>
      </c>
      <c r="C384" s="6" t="s">
        <v>8</v>
      </c>
      <c r="D384" s="7" t="str">
        <f t="shared" si="10"/>
        <v>m</v>
      </c>
      <c r="E384" t="str">
        <f t="shared" si="11"/>
        <v/>
      </c>
      <c r="F384" s="15" t="s">
        <v>123</v>
      </c>
      <c r="G384" s="1">
        <v>1</v>
      </c>
    </row>
    <row r="385" spans="1:7" x14ac:dyDescent="0.25">
      <c r="A385" s="8" t="s">
        <v>897</v>
      </c>
      <c r="B385" s="9" t="s">
        <v>898</v>
      </c>
      <c r="C385" s="9" t="s">
        <v>11</v>
      </c>
      <c r="D385" s="7" t="str">
        <f t="shared" si="10"/>
        <v>m</v>
      </c>
      <c r="E385" t="str">
        <f t="shared" si="11"/>
        <v/>
      </c>
      <c r="F385" s="15" t="s">
        <v>492</v>
      </c>
      <c r="G385" s="1">
        <v>1</v>
      </c>
    </row>
    <row r="386" spans="1:7" x14ac:dyDescent="0.25">
      <c r="A386" s="5" t="s">
        <v>899</v>
      </c>
      <c r="B386" s="6" t="s">
        <v>900</v>
      </c>
      <c r="C386" s="6" t="s">
        <v>166</v>
      </c>
      <c r="D386" s="7" t="str">
        <f t="shared" ref="D386:D449" si="12">IF(MOD(LEFT(RIGHT(A386,2),1),2)=0,"k","m")</f>
        <v>m</v>
      </c>
      <c r="E386" t="str">
        <f t="shared" si="11"/>
        <v/>
      </c>
      <c r="F386" s="15" t="s">
        <v>222</v>
      </c>
      <c r="G386" s="1">
        <v>1</v>
      </c>
    </row>
    <row r="387" spans="1:7" x14ac:dyDescent="0.25">
      <c r="A387" s="8" t="s">
        <v>901</v>
      </c>
      <c r="B387" s="9" t="s">
        <v>902</v>
      </c>
      <c r="C387" s="9" t="s">
        <v>903</v>
      </c>
      <c r="D387" s="7" t="str">
        <f t="shared" si="12"/>
        <v>k</v>
      </c>
      <c r="E387" t="str">
        <f t="shared" si="11"/>
        <v/>
      </c>
      <c r="F387" s="15" t="s">
        <v>1058</v>
      </c>
      <c r="G387" s="1">
        <v>1</v>
      </c>
    </row>
    <row r="388" spans="1:7" x14ac:dyDescent="0.25">
      <c r="A388" s="5" t="s">
        <v>904</v>
      </c>
      <c r="B388" s="6" t="s">
        <v>905</v>
      </c>
      <c r="C388" s="6" t="s">
        <v>906</v>
      </c>
      <c r="D388" s="7" t="str">
        <f t="shared" si="12"/>
        <v>m</v>
      </c>
      <c r="E388" t="str">
        <f t="shared" ref="E388:E451" si="13">IF(B388=C388,A388,"")</f>
        <v/>
      </c>
      <c r="F388" s="14" t="s">
        <v>47</v>
      </c>
      <c r="G388" s="1">
        <v>5</v>
      </c>
    </row>
    <row r="389" spans="1:7" x14ac:dyDescent="0.25">
      <c r="A389" s="8" t="s">
        <v>907</v>
      </c>
      <c r="B389" s="9" t="s">
        <v>908</v>
      </c>
      <c r="C389" s="9" t="s">
        <v>909</v>
      </c>
      <c r="D389" s="7" t="str">
        <f t="shared" si="12"/>
        <v>m</v>
      </c>
      <c r="E389" t="str">
        <f t="shared" si="13"/>
        <v/>
      </c>
      <c r="F389" s="15" t="s">
        <v>158</v>
      </c>
      <c r="G389" s="1">
        <v>1</v>
      </c>
    </row>
    <row r="390" spans="1:7" x14ac:dyDescent="0.25">
      <c r="A390" s="5" t="s">
        <v>910</v>
      </c>
      <c r="B390" s="6" t="s">
        <v>911</v>
      </c>
      <c r="C390" s="6" t="s">
        <v>39</v>
      </c>
      <c r="D390" s="7" t="str">
        <f t="shared" si="12"/>
        <v>m</v>
      </c>
      <c r="E390" t="str">
        <f t="shared" si="13"/>
        <v/>
      </c>
      <c r="F390" s="15" t="s">
        <v>586</v>
      </c>
      <c r="G390" s="1">
        <v>1</v>
      </c>
    </row>
    <row r="391" spans="1:7" x14ac:dyDescent="0.25">
      <c r="A391" s="8" t="s">
        <v>912</v>
      </c>
      <c r="B391" s="9" t="s">
        <v>866</v>
      </c>
      <c r="C391" s="9" t="s">
        <v>17</v>
      </c>
      <c r="D391" s="7" t="str">
        <f t="shared" si="12"/>
        <v>m</v>
      </c>
      <c r="E391" t="str">
        <f t="shared" si="13"/>
        <v/>
      </c>
      <c r="F391" s="15" t="s">
        <v>723</v>
      </c>
      <c r="G391" s="1">
        <v>1</v>
      </c>
    </row>
    <row r="392" spans="1:7" x14ac:dyDescent="0.25">
      <c r="A392" s="5" t="s">
        <v>913</v>
      </c>
      <c r="B392" s="6" t="s">
        <v>914</v>
      </c>
      <c r="C392" s="6" t="s">
        <v>428</v>
      </c>
      <c r="D392" s="7" t="str">
        <f t="shared" si="12"/>
        <v>k</v>
      </c>
      <c r="E392" t="str">
        <f t="shared" si="13"/>
        <v/>
      </c>
      <c r="F392" s="15" t="s">
        <v>46</v>
      </c>
      <c r="G392" s="1">
        <v>1</v>
      </c>
    </row>
    <row r="393" spans="1:7" x14ac:dyDescent="0.25">
      <c r="A393" s="8" t="s">
        <v>915</v>
      </c>
      <c r="B393" s="9" t="s">
        <v>916</v>
      </c>
      <c r="C393" s="9" t="s">
        <v>211</v>
      </c>
      <c r="D393" s="7" t="str">
        <f t="shared" si="12"/>
        <v>k</v>
      </c>
      <c r="E393" t="str">
        <f t="shared" si="13"/>
        <v/>
      </c>
      <c r="F393" s="15" t="s">
        <v>123</v>
      </c>
      <c r="G393" s="1">
        <v>1</v>
      </c>
    </row>
    <row r="394" spans="1:7" x14ac:dyDescent="0.25">
      <c r="A394" s="5" t="s">
        <v>917</v>
      </c>
      <c r="B394" s="6" t="s">
        <v>918</v>
      </c>
      <c r="C394" s="6" t="s">
        <v>848</v>
      </c>
      <c r="D394" s="7" t="str">
        <f t="shared" si="12"/>
        <v>m</v>
      </c>
      <c r="E394" t="str">
        <f t="shared" si="13"/>
        <v/>
      </c>
      <c r="F394" s="14" t="s">
        <v>295</v>
      </c>
      <c r="G394" s="1">
        <v>4</v>
      </c>
    </row>
    <row r="395" spans="1:7" x14ac:dyDescent="0.25">
      <c r="A395" s="8" t="s">
        <v>919</v>
      </c>
      <c r="B395" s="9" t="s">
        <v>920</v>
      </c>
      <c r="C395" s="9" t="s">
        <v>309</v>
      </c>
      <c r="D395" s="7" t="str">
        <f t="shared" si="12"/>
        <v>k</v>
      </c>
      <c r="E395" t="str">
        <f t="shared" si="13"/>
        <v/>
      </c>
      <c r="F395" s="15" t="s">
        <v>294</v>
      </c>
      <c r="G395" s="1">
        <v>1</v>
      </c>
    </row>
    <row r="396" spans="1:7" x14ac:dyDescent="0.25">
      <c r="A396" s="5" t="s">
        <v>921</v>
      </c>
      <c r="B396" s="6" t="s">
        <v>350</v>
      </c>
      <c r="C396" s="6" t="s">
        <v>351</v>
      </c>
      <c r="D396" s="7" t="str">
        <f t="shared" si="12"/>
        <v>k</v>
      </c>
      <c r="E396" t="str">
        <f t="shared" si="13"/>
        <v/>
      </c>
      <c r="F396" s="15" t="s">
        <v>423</v>
      </c>
      <c r="G396" s="1">
        <v>1</v>
      </c>
    </row>
    <row r="397" spans="1:7" x14ac:dyDescent="0.25">
      <c r="A397" s="8" t="s">
        <v>922</v>
      </c>
      <c r="B397" s="9" t="s">
        <v>923</v>
      </c>
      <c r="C397" s="9" t="s">
        <v>166</v>
      </c>
      <c r="D397" s="7" t="str">
        <f t="shared" si="12"/>
        <v>m</v>
      </c>
      <c r="E397" t="str">
        <f t="shared" si="13"/>
        <v/>
      </c>
      <c r="F397" s="15" t="s">
        <v>614</v>
      </c>
      <c r="G397" s="1">
        <v>1</v>
      </c>
    </row>
    <row r="398" spans="1:7" x14ac:dyDescent="0.25">
      <c r="A398" s="5" t="s">
        <v>924</v>
      </c>
      <c r="B398" s="6" t="s">
        <v>925</v>
      </c>
      <c r="C398" s="6" t="s">
        <v>309</v>
      </c>
      <c r="D398" s="7" t="str">
        <f t="shared" si="12"/>
        <v>k</v>
      </c>
      <c r="E398" t="str">
        <f t="shared" si="13"/>
        <v/>
      </c>
      <c r="F398" s="15" t="s">
        <v>421</v>
      </c>
      <c r="G398" s="1">
        <v>1</v>
      </c>
    </row>
    <row r="399" spans="1:7" x14ac:dyDescent="0.25">
      <c r="A399" s="8" t="s">
        <v>926</v>
      </c>
      <c r="B399" s="9" t="s">
        <v>927</v>
      </c>
      <c r="C399" s="9" t="s">
        <v>260</v>
      </c>
      <c r="D399" s="7" t="str">
        <f t="shared" si="12"/>
        <v>m</v>
      </c>
      <c r="E399" t="str">
        <f t="shared" si="13"/>
        <v/>
      </c>
      <c r="F399" s="14" t="s">
        <v>233</v>
      </c>
      <c r="G399" s="1">
        <v>5</v>
      </c>
    </row>
    <row r="400" spans="1:7" x14ac:dyDescent="0.25">
      <c r="A400" s="5" t="s">
        <v>928</v>
      </c>
      <c r="B400" s="6" t="s">
        <v>929</v>
      </c>
      <c r="C400" s="6" t="s">
        <v>39</v>
      </c>
      <c r="D400" s="7" t="str">
        <f t="shared" si="12"/>
        <v>m</v>
      </c>
      <c r="E400" t="str">
        <f t="shared" si="13"/>
        <v/>
      </c>
      <c r="F400" s="15" t="s">
        <v>604</v>
      </c>
      <c r="G400" s="1">
        <v>1</v>
      </c>
    </row>
    <row r="401" spans="1:7" x14ac:dyDescent="0.25">
      <c r="A401" s="8" t="s">
        <v>930</v>
      </c>
      <c r="B401" s="9" t="s">
        <v>931</v>
      </c>
      <c r="C401" s="9" t="s">
        <v>485</v>
      </c>
      <c r="D401" s="7" t="str">
        <f t="shared" si="12"/>
        <v>m</v>
      </c>
      <c r="E401" t="str">
        <f t="shared" si="13"/>
        <v/>
      </c>
      <c r="F401" s="15" t="s">
        <v>1041</v>
      </c>
      <c r="G401" s="1">
        <v>1</v>
      </c>
    </row>
    <row r="402" spans="1:7" x14ac:dyDescent="0.25">
      <c r="A402" s="5" t="s">
        <v>932</v>
      </c>
      <c r="B402" s="6" t="s">
        <v>933</v>
      </c>
      <c r="C402" s="6" t="s">
        <v>166</v>
      </c>
      <c r="D402" s="7" t="str">
        <f t="shared" si="12"/>
        <v>m</v>
      </c>
      <c r="E402" t="str">
        <f t="shared" si="13"/>
        <v/>
      </c>
      <c r="F402" s="15" t="s">
        <v>232</v>
      </c>
      <c r="G402" s="1">
        <v>1</v>
      </c>
    </row>
    <row r="403" spans="1:7" x14ac:dyDescent="0.25">
      <c r="A403" s="8" t="s">
        <v>934</v>
      </c>
      <c r="B403" s="9" t="s">
        <v>935</v>
      </c>
      <c r="C403" s="9" t="s">
        <v>936</v>
      </c>
      <c r="D403" s="7" t="str">
        <f t="shared" si="12"/>
        <v>m</v>
      </c>
      <c r="E403" t="str">
        <f t="shared" si="13"/>
        <v/>
      </c>
      <c r="F403" s="15" t="s">
        <v>633</v>
      </c>
      <c r="G403" s="1">
        <v>1</v>
      </c>
    </row>
    <row r="404" spans="1:7" x14ac:dyDescent="0.25">
      <c r="A404" s="5" t="s">
        <v>937</v>
      </c>
      <c r="B404" s="6" t="s">
        <v>938</v>
      </c>
      <c r="C404" s="6" t="s">
        <v>266</v>
      </c>
      <c r="D404" s="7" t="str">
        <f t="shared" si="12"/>
        <v>k</v>
      </c>
      <c r="E404" t="str">
        <f t="shared" si="13"/>
        <v/>
      </c>
      <c r="F404" s="15" t="s">
        <v>243</v>
      </c>
      <c r="G404" s="1">
        <v>1</v>
      </c>
    </row>
    <row r="405" spans="1:7" x14ac:dyDescent="0.25">
      <c r="A405" s="8" t="s">
        <v>939</v>
      </c>
      <c r="B405" s="9" t="s">
        <v>940</v>
      </c>
      <c r="C405" s="9" t="s">
        <v>485</v>
      </c>
      <c r="D405" s="7" t="str">
        <f t="shared" si="12"/>
        <v>m</v>
      </c>
      <c r="E405" t="str">
        <f t="shared" si="13"/>
        <v/>
      </c>
      <c r="F405" s="14" t="s">
        <v>53</v>
      </c>
      <c r="G405" s="1">
        <v>3</v>
      </c>
    </row>
    <row r="406" spans="1:7" x14ac:dyDescent="0.25">
      <c r="A406" s="5" t="s">
        <v>941</v>
      </c>
      <c r="B406" s="6" t="s">
        <v>942</v>
      </c>
      <c r="C406" s="6" t="s">
        <v>166</v>
      </c>
      <c r="D406" s="7" t="str">
        <f t="shared" si="12"/>
        <v>m</v>
      </c>
      <c r="E406" t="str">
        <f t="shared" si="13"/>
        <v/>
      </c>
      <c r="F406" s="15" t="s">
        <v>609</v>
      </c>
      <c r="G406" s="1">
        <v>1</v>
      </c>
    </row>
    <row r="407" spans="1:7" x14ac:dyDescent="0.25">
      <c r="A407" s="8" t="s">
        <v>943</v>
      </c>
      <c r="B407" s="9" t="s">
        <v>944</v>
      </c>
      <c r="C407" s="9" t="s">
        <v>448</v>
      </c>
      <c r="D407" s="7" t="str">
        <f t="shared" si="12"/>
        <v>k</v>
      </c>
      <c r="E407" t="str">
        <f t="shared" si="13"/>
        <v/>
      </c>
      <c r="F407" s="15" t="s">
        <v>184</v>
      </c>
      <c r="G407" s="1">
        <v>1</v>
      </c>
    </row>
    <row r="408" spans="1:7" x14ac:dyDescent="0.25">
      <c r="A408" s="5" t="s">
        <v>945</v>
      </c>
      <c r="B408" s="6" t="s">
        <v>946</v>
      </c>
      <c r="C408" s="6" t="s">
        <v>754</v>
      </c>
      <c r="D408" s="7" t="str">
        <f t="shared" si="12"/>
        <v>m</v>
      </c>
      <c r="E408" t="str">
        <f t="shared" si="13"/>
        <v/>
      </c>
      <c r="F408" s="15" t="s">
        <v>52</v>
      </c>
      <c r="G408" s="1">
        <v>1</v>
      </c>
    </row>
    <row r="409" spans="1:7" x14ac:dyDescent="0.25">
      <c r="A409" s="8" t="s">
        <v>947</v>
      </c>
      <c r="B409" s="9" t="s">
        <v>948</v>
      </c>
      <c r="C409" s="9" t="s">
        <v>607</v>
      </c>
      <c r="D409" s="7" t="str">
        <f t="shared" si="12"/>
        <v>k</v>
      </c>
      <c r="E409" t="str">
        <f t="shared" si="13"/>
        <v/>
      </c>
      <c r="F409" s="14" t="s">
        <v>428</v>
      </c>
      <c r="G409" s="1">
        <v>5</v>
      </c>
    </row>
    <row r="410" spans="1:7" x14ac:dyDescent="0.25">
      <c r="A410" s="5" t="s">
        <v>949</v>
      </c>
      <c r="B410" s="6" t="s">
        <v>950</v>
      </c>
      <c r="C410" s="6" t="s">
        <v>951</v>
      </c>
      <c r="D410" s="7" t="str">
        <f t="shared" si="12"/>
        <v>k</v>
      </c>
      <c r="E410" t="str">
        <f t="shared" si="13"/>
        <v/>
      </c>
      <c r="F410" s="15" t="s">
        <v>962</v>
      </c>
      <c r="G410" s="1">
        <v>1</v>
      </c>
    </row>
    <row r="411" spans="1:7" x14ac:dyDescent="0.25">
      <c r="A411" s="8" t="s">
        <v>952</v>
      </c>
      <c r="B411" s="9" t="s">
        <v>953</v>
      </c>
      <c r="C411" s="9" t="s">
        <v>73</v>
      </c>
      <c r="D411" s="7" t="str">
        <f t="shared" si="12"/>
        <v>m</v>
      </c>
      <c r="E411" t="str">
        <f t="shared" si="13"/>
        <v/>
      </c>
      <c r="F411" s="15" t="s">
        <v>556</v>
      </c>
      <c r="G411" s="1">
        <v>1</v>
      </c>
    </row>
    <row r="412" spans="1:7" x14ac:dyDescent="0.25">
      <c r="A412" s="5" t="s">
        <v>954</v>
      </c>
      <c r="B412" s="6" t="s">
        <v>955</v>
      </c>
      <c r="C412" s="6" t="s">
        <v>89</v>
      </c>
      <c r="D412" s="7" t="str">
        <f t="shared" si="12"/>
        <v>k</v>
      </c>
      <c r="E412" t="str">
        <f t="shared" si="13"/>
        <v/>
      </c>
      <c r="F412" s="15" t="s">
        <v>1086</v>
      </c>
      <c r="G412" s="1">
        <v>1</v>
      </c>
    </row>
    <row r="413" spans="1:7" x14ac:dyDescent="0.25">
      <c r="A413" s="8" t="s">
        <v>956</v>
      </c>
      <c r="B413" s="9" t="s">
        <v>957</v>
      </c>
      <c r="C413" s="9" t="s">
        <v>448</v>
      </c>
      <c r="D413" s="7" t="str">
        <f t="shared" si="12"/>
        <v>k</v>
      </c>
      <c r="E413" t="str">
        <f t="shared" si="13"/>
        <v/>
      </c>
      <c r="F413" s="15" t="s">
        <v>914</v>
      </c>
      <c r="G413" s="1">
        <v>1</v>
      </c>
    </row>
    <row r="414" spans="1:7" x14ac:dyDescent="0.25">
      <c r="A414" s="5" t="s">
        <v>958</v>
      </c>
      <c r="B414" s="6" t="s">
        <v>207</v>
      </c>
      <c r="C414" s="6" t="s">
        <v>906</v>
      </c>
      <c r="D414" s="7" t="str">
        <f t="shared" si="12"/>
        <v>m</v>
      </c>
      <c r="E414" t="str">
        <f t="shared" si="13"/>
        <v/>
      </c>
      <c r="F414" s="15" t="s">
        <v>427</v>
      </c>
      <c r="G414" s="1">
        <v>1</v>
      </c>
    </row>
    <row r="415" spans="1:7" x14ac:dyDescent="0.25">
      <c r="A415" s="8" t="s">
        <v>959</v>
      </c>
      <c r="B415" s="9" t="s">
        <v>960</v>
      </c>
      <c r="C415" s="9" t="s">
        <v>464</v>
      </c>
      <c r="D415" s="7" t="str">
        <f t="shared" si="12"/>
        <v>m</v>
      </c>
      <c r="E415" t="str">
        <f t="shared" si="13"/>
        <v/>
      </c>
      <c r="F415" s="14" t="s">
        <v>86</v>
      </c>
      <c r="G415" s="1">
        <v>6</v>
      </c>
    </row>
    <row r="416" spans="1:7" x14ac:dyDescent="0.25">
      <c r="A416" s="5" t="s">
        <v>961</v>
      </c>
      <c r="B416" s="6" t="s">
        <v>962</v>
      </c>
      <c r="C416" s="6" t="s">
        <v>428</v>
      </c>
      <c r="D416" s="7" t="str">
        <f t="shared" si="12"/>
        <v>k</v>
      </c>
      <c r="E416" t="str">
        <f t="shared" si="13"/>
        <v/>
      </c>
      <c r="F416" s="15" t="s">
        <v>1119</v>
      </c>
      <c r="G416" s="1">
        <v>1</v>
      </c>
    </row>
    <row r="417" spans="1:7" x14ac:dyDescent="0.25">
      <c r="A417" s="8" t="s">
        <v>963</v>
      </c>
      <c r="B417" s="9" t="s">
        <v>964</v>
      </c>
      <c r="C417" s="9" t="s">
        <v>464</v>
      </c>
      <c r="D417" s="7" t="str">
        <f t="shared" si="12"/>
        <v>m</v>
      </c>
      <c r="E417" t="str">
        <f t="shared" si="13"/>
        <v/>
      </c>
      <c r="F417" s="15" t="s">
        <v>85</v>
      </c>
      <c r="G417" s="1">
        <v>1</v>
      </c>
    </row>
    <row r="418" spans="1:7" x14ac:dyDescent="0.25">
      <c r="A418" s="5" t="s">
        <v>965</v>
      </c>
      <c r="B418" s="6" t="s">
        <v>966</v>
      </c>
      <c r="C418" s="6" t="s">
        <v>382</v>
      </c>
      <c r="D418" s="7" t="str">
        <f t="shared" si="12"/>
        <v>k</v>
      </c>
      <c r="E418" t="str">
        <f t="shared" si="13"/>
        <v/>
      </c>
      <c r="F418" s="15" t="s">
        <v>762</v>
      </c>
      <c r="G418" s="1">
        <v>1</v>
      </c>
    </row>
    <row r="419" spans="1:7" x14ac:dyDescent="0.25">
      <c r="A419" s="8" t="s">
        <v>967</v>
      </c>
      <c r="B419" s="9" t="s">
        <v>968</v>
      </c>
      <c r="C419" s="9" t="s">
        <v>73</v>
      </c>
      <c r="D419" s="7" t="str">
        <f t="shared" si="12"/>
        <v>m</v>
      </c>
      <c r="E419" t="str">
        <f t="shared" si="13"/>
        <v/>
      </c>
      <c r="F419" s="15" t="s">
        <v>144</v>
      </c>
      <c r="G419" s="1">
        <v>1</v>
      </c>
    </row>
    <row r="420" spans="1:7" x14ac:dyDescent="0.25">
      <c r="A420" s="5" t="s">
        <v>969</v>
      </c>
      <c r="B420" s="6" t="s">
        <v>970</v>
      </c>
      <c r="C420" s="6" t="s">
        <v>89</v>
      </c>
      <c r="D420" s="7" t="str">
        <f t="shared" si="12"/>
        <v>k</v>
      </c>
      <c r="E420" t="str">
        <f t="shared" si="13"/>
        <v/>
      </c>
      <c r="F420" s="15" t="s">
        <v>176</v>
      </c>
      <c r="G420" s="1">
        <v>1</v>
      </c>
    </row>
    <row r="421" spans="1:7" x14ac:dyDescent="0.25">
      <c r="A421" s="8" t="s">
        <v>971</v>
      </c>
      <c r="B421" s="9" t="s">
        <v>972</v>
      </c>
      <c r="C421" s="9" t="s">
        <v>973</v>
      </c>
      <c r="D421" s="7" t="str">
        <f t="shared" si="12"/>
        <v>k</v>
      </c>
      <c r="E421" t="str">
        <f t="shared" si="13"/>
        <v/>
      </c>
      <c r="F421" s="15" t="s">
        <v>441</v>
      </c>
      <c r="G421" s="1">
        <v>1</v>
      </c>
    </row>
    <row r="422" spans="1:7" x14ac:dyDescent="0.25">
      <c r="A422" s="5" t="s">
        <v>974</v>
      </c>
      <c r="B422" s="6" t="s">
        <v>171</v>
      </c>
      <c r="C422" s="6" t="s">
        <v>105</v>
      </c>
      <c r="D422" s="7" t="str">
        <f t="shared" si="12"/>
        <v>m</v>
      </c>
      <c r="E422" t="str">
        <f t="shared" si="13"/>
        <v/>
      </c>
      <c r="F422" s="14" t="s">
        <v>1130</v>
      </c>
      <c r="G422" s="1">
        <v>361</v>
      </c>
    </row>
    <row r="423" spans="1:7" x14ac:dyDescent="0.25">
      <c r="A423" s="8" t="s">
        <v>975</v>
      </c>
      <c r="B423" s="9" t="s">
        <v>976</v>
      </c>
      <c r="C423" s="9" t="s">
        <v>39</v>
      </c>
      <c r="D423" s="7" t="str">
        <f t="shared" si="12"/>
        <v>m</v>
      </c>
      <c r="E423" t="str">
        <f t="shared" si="13"/>
        <v/>
      </c>
    </row>
    <row r="424" spans="1:7" x14ac:dyDescent="0.25">
      <c r="A424" s="5" t="s">
        <v>977</v>
      </c>
      <c r="B424" s="6" t="s">
        <v>978</v>
      </c>
      <c r="C424" s="6" t="s">
        <v>979</v>
      </c>
      <c r="D424" s="7" t="str">
        <f t="shared" si="12"/>
        <v>k</v>
      </c>
      <c r="E424" t="str">
        <f t="shared" si="13"/>
        <v/>
      </c>
    </row>
    <row r="425" spans="1:7" x14ac:dyDescent="0.25">
      <c r="A425" s="8" t="s">
        <v>980</v>
      </c>
      <c r="B425" s="9" t="s">
        <v>981</v>
      </c>
      <c r="C425" s="9" t="s">
        <v>226</v>
      </c>
      <c r="D425" s="7" t="str">
        <f t="shared" si="12"/>
        <v>k</v>
      </c>
      <c r="E425" t="str">
        <f t="shared" si="13"/>
        <v/>
      </c>
    </row>
    <row r="426" spans="1:7" x14ac:dyDescent="0.25">
      <c r="A426" s="5" t="s">
        <v>982</v>
      </c>
      <c r="B426" s="6" t="s">
        <v>983</v>
      </c>
      <c r="C426" s="6" t="s">
        <v>979</v>
      </c>
      <c r="D426" s="7" t="str">
        <f t="shared" si="12"/>
        <v>k</v>
      </c>
      <c r="E426" t="str">
        <f t="shared" si="13"/>
        <v/>
      </c>
    </row>
    <row r="427" spans="1:7" x14ac:dyDescent="0.25">
      <c r="A427" s="8" t="s">
        <v>984</v>
      </c>
      <c r="B427" s="9" t="s">
        <v>985</v>
      </c>
      <c r="C427" s="9" t="s">
        <v>260</v>
      </c>
      <c r="D427" s="7" t="str">
        <f t="shared" si="12"/>
        <v>m</v>
      </c>
      <c r="E427" t="str">
        <f t="shared" si="13"/>
        <v/>
      </c>
    </row>
    <row r="428" spans="1:7" x14ac:dyDescent="0.25">
      <c r="A428" s="5" t="s">
        <v>986</v>
      </c>
      <c r="B428" s="6" t="s">
        <v>987</v>
      </c>
      <c r="C428" s="6" t="s">
        <v>309</v>
      </c>
      <c r="D428" s="7" t="str">
        <f t="shared" si="12"/>
        <v>k</v>
      </c>
      <c r="E428" t="str">
        <f t="shared" si="13"/>
        <v/>
      </c>
    </row>
    <row r="429" spans="1:7" x14ac:dyDescent="0.25">
      <c r="A429" s="8" t="s">
        <v>988</v>
      </c>
      <c r="B429" s="9" t="s">
        <v>989</v>
      </c>
      <c r="C429" s="9" t="s">
        <v>419</v>
      </c>
      <c r="D429" s="7" t="str">
        <f t="shared" si="12"/>
        <v>k</v>
      </c>
      <c r="E429" t="str">
        <f t="shared" si="13"/>
        <v/>
      </c>
    </row>
    <row r="430" spans="1:7" x14ac:dyDescent="0.25">
      <c r="A430" s="5" t="s">
        <v>990</v>
      </c>
      <c r="B430" s="6" t="s">
        <v>218</v>
      </c>
      <c r="C430" s="6" t="s">
        <v>166</v>
      </c>
      <c r="D430" s="7" t="str">
        <f t="shared" si="12"/>
        <v>m</v>
      </c>
      <c r="E430" t="str">
        <f t="shared" si="13"/>
        <v/>
      </c>
    </row>
    <row r="431" spans="1:7" x14ac:dyDescent="0.25">
      <c r="A431" s="8" t="s">
        <v>991</v>
      </c>
      <c r="B431" s="9" t="s">
        <v>992</v>
      </c>
      <c r="C431" s="9" t="s">
        <v>567</v>
      </c>
      <c r="D431" s="7" t="str">
        <f t="shared" si="12"/>
        <v>m</v>
      </c>
      <c r="E431" t="str">
        <f t="shared" si="13"/>
        <v/>
      </c>
    </row>
    <row r="432" spans="1:7" x14ac:dyDescent="0.25">
      <c r="A432" s="5" t="s">
        <v>993</v>
      </c>
      <c r="B432" s="6" t="s">
        <v>994</v>
      </c>
      <c r="C432" s="6" t="s">
        <v>419</v>
      </c>
      <c r="D432" s="7" t="str">
        <f t="shared" si="12"/>
        <v>k</v>
      </c>
      <c r="E432" t="str">
        <f t="shared" si="13"/>
        <v/>
      </c>
    </row>
    <row r="433" spans="1:5" x14ac:dyDescent="0.25">
      <c r="A433" s="8" t="s">
        <v>995</v>
      </c>
      <c r="B433" s="9" t="s">
        <v>996</v>
      </c>
      <c r="C433" s="9" t="s">
        <v>28</v>
      </c>
      <c r="D433" s="7" t="str">
        <f t="shared" si="12"/>
        <v>m</v>
      </c>
      <c r="E433" t="str">
        <f t="shared" si="13"/>
        <v/>
      </c>
    </row>
    <row r="434" spans="1:5" x14ac:dyDescent="0.25">
      <c r="A434" s="5" t="s">
        <v>997</v>
      </c>
      <c r="B434" s="6" t="s">
        <v>998</v>
      </c>
      <c r="C434" s="6" t="s">
        <v>260</v>
      </c>
      <c r="D434" s="7" t="str">
        <f t="shared" si="12"/>
        <v>m</v>
      </c>
      <c r="E434" t="str">
        <f t="shared" si="13"/>
        <v/>
      </c>
    </row>
    <row r="435" spans="1:5" x14ac:dyDescent="0.25">
      <c r="A435" s="8" t="s">
        <v>999</v>
      </c>
      <c r="B435" s="9" t="s">
        <v>1000</v>
      </c>
      <c r="C435" s="9" t="s">
        <v>284</v>
      </c>
      <c r="D435" s="7" t="str">
        <f t="shared" si="12"/>
        <v>k</v>
      </c>
      <c r="E435" t="str">
        <f t="shared" si="13"/>
        <v/>
      </c>
    </row>
    <row r="436" spans="1:5" x14ac:dyDescent="0.25">
      <c r="A436" s="5" t="s">
        <v>1001</v>
      </c>
      <c r="B436" s="6" t="s">
        <v>1002</v>
      </c>
      <c r="C436" s="6" t="s">
        <v>1003</v>
      </c>
      <c r="D436" s="7" t="str">
        <f t="shared" si="12"/>
        <v>k</v>
      </c>
      <c r="E436" t="str">
        <f t="shared" si="13"/>
        <v/>
      </c>
    </row>
    <row r="437" spans="1:5" x14ac:dyDescent="0.25">
      <c r="A437" s="8" t="s">
        <v>1004</v>
      </c>
      <c r="B437" s="9" t="s">
        <v>1005</v>
      </c>
      <c r="C437" s="9" t="s">
        <v>260</v>
      </c>
      <c r="D437" s="7" t="str">
        <f t="shared" si="12"/>
        <v>m</v>
      </c>
      <c r="E437" t="str">
        <f t="shared" si="13"/>
        <v/>
      </c>
    </row>
    <row r="438" spans="1:5" x14ac:dyDescent="0.25">
      <c r="A438" s="5" t="s">
        <v>1006</v>
      </c>
      <c r="B438" s="6" t="s">
        <v>1007</v>
      </c>
      <c r="C438" s="6" t="s">
        <v>263</v>
      </c>
      <c r="D438" s="7" t="str">
        <f t="shared" si="12"/>
        <v>k</v>
      </c>
      <c r="E438" t="str">
        <f t="shared" si="13"/>
        <v/>
      </c>
    </row>
    <row r="439" spans="1:5" x14ac:dyDescent="0.25">
      <c r="A439" s="8" t="s">
        <v>1008</v>
      </c>
      <c r="B439" s="9" t="s">
        <v>1009</v>
      </c>
      <c r="C439" s="9" t="s">
        <v>1010</v>
      </c>
      <c r="D439" s="7" t="str">
        <f t="shared" si="12"/>
        <v>k</v>
      </c>
      <c r="E439" t="str">
        <f t="shared" si="13"/>
        <v/>
      </c>
    </row>
    <row r="440" spans="1:5" x14ac:dyDescent="0.25">
      <c r="A440" s="5" t="s">
        <v>1011</v>
      </c>
      <c r="B440" s="6" t="s">
        <v>1012</v>
      </c>
      <c r="C440" s="6" t="s">
        <v>111</v>
      </c>
      <c r="D440" s="7" t="str">
        <f t="shared" si="12"/>
        <v>k</v>
      </c>
      <c r="E440" t="str">
        <f t="shared" si="13"/>
        <v/>
      </c>
    </row>
    <row r="441" spans="1:5" x14ac:dyDescent="0.25">
      <c r="A441" s="8" t="s">
        <v>1013</v>
      </c>
      <c r="B441" s="9" t="s">
        <v>1014</v>
      </c>
      <c r="C441" s="9" t="s">
        <v>936</v>
      </c>
      <c r="D441" s="7" t="str">
        <f t="shared" si="12"/>
        <v>m</v>
      </c>
      <c r="E441" t="str">
        <f t="shared" si="13"/>
        <v/>
      </c>
    </row>
    <row r="442" spans="1:5" x14ac:dyDescent="0.25">
      <c r="A442" s="5" t="s">
        <v>1015</v>
      </c>
      <c r="B442" s="6" t="s">
        <v>1016</v>
      </c>
      <c r="C442" s="6" t="s">
        <v>1017</v>
      </c>
      <c r="D442" s="7" t="str">
        <f t="shared" si="12"/>
        <v>k</v>
      </c>
      <c r="E442" t="str">
        <f t="shared" si="13"/>
        <v/>
      </c>
    </row>
    <row r="443" spans="1:5" x14ac:dyDescent="0.25">
      <c r="A443" s="8" t="s">
        <v>1018</v>
      </c>
      <c r="B443" s="9" t="s">
        <v>1019</v>
      </c>
      <c r="C443" s="9" t="s">
        <v>1020</v>
      </c>
      <c r="D443" s="7" t="str">
        <f t="shared" si="12"/>
        <v>k</v>
      </c>
      <c r="E443" t="str">
        <f t="shared" si="13"/>
        <v/>
      </c>
    </row>
    <row r="444" spans="1:5" x14ac:dyDescent="0.25">
      <c r="A444" s="5" t="s">
        <v>1021</v>
      </c>
      <c r="B444" s="6" t="s">
        <v>1022</v>
      </c>
      <c r="C444" s="6" t="s">
        <v>419</v>
      </c>
      <c r="D444" s="7" t="str">
        <f t="shared" si="12"/>
        <v>k</v>
      </c>
      <c r="E444" t="str">
        <f t="shared" si="13"/>
        <v/>
      </c>
    </row>
    <row r="445" spans="1:5" x14ac:dyDescent="0.25">
      <c r="A445" s="8" t="s">
        <v>1023</v>
      </c>
      <c r="B445" s="9" t="s">
        <v>1024</v>
      </c>
      <c r="C445" s="9" t="s">
        <v>166</v>
      </c>
      <c r="D445" s="7" t="str">
        <f t="shared" si="12"/>
        <v>m</v>
      </c>
      <c r="E445" t="str">
        <f t="shared" si="13"/>
        <v/>
      </c>
    </row>
    <row r="446" spans="1:5" x14ac:dyDescent="0.25">
      <c r="A446" s="5" t="s">
        <v>1025</v>
      </c>
      <c r="B446" s="6" t="s">
        <v>1026</v>
      </c>
      <c r="C446" s="6" t="s">
        <v>275</v>
      </c>
      <c r="D446" s="7" t="str">
        <f t="shared" si="12"/>
        <v>k</v>
      </c>
      <c r="E446" t="str">
        <f t="shared" si="13"/>
        <v/>
      </c>
    </row>
    <row r="447" spans="1:5" x14ac:dyDescent="0.25">
      <c r="A447" s="8" t="s">
        <v>1027</v>
      </c>
      <c r="B447" s="9" t="s">
        <v>1028</v>
      </c>
      <c r="C447" s="9" t="s">
        <v>20</v>
      </c>
      <c r="D447" s="7" t="str">
        <f t="shared" si="12"/>
        <v>m</v>
      </c>
      <c r="E447" t="str">
        <f t="shared" si="13"/>
        <v/>
      </c>
    </row>
    <row r="448" spans="1:5" x14ac:dyDescent="0.25">
      <c r="A448" s="5" t="s">
        <v>1029</v>
      </c>
      <c r="B448" s="6" t="s">
        <v>1030</v>
      </c>
      <c r="C448" s="6" t="s">
        <v>1031</v>
      </c>
      <c r="D448" s="7" t="str">
        <f t="shared" si="12"/>
        <v>k</v>
      </c>
      <c r="E448" t="str">
        <f t="shared" si="13"/>
        <v/>
      </c>
    </row>
    <row r="449" spans="1:5" x14ac:dyDescent="0.25">
      <c r="A449" s="8" t="s">
        <v>1032</v>
      </c>
      <c r="B449" s="9" t="s">
        <v>1033</v>
      </c>
      <c r="C449" s="9" t="s">
        <v>266</v>
      </c>
      <c r="D449" s="7" t="str">
        <f t="shared" si="12"/>
        <v>k</v>
      </c>
      <c r="E449" t="str">
        <f t="shared" si="13"/>
        <v/>
      </c>
    </row>
    <row r="450" spans="1:5" x14ac:dyDescent="0.25">
      <c r="A450" s="5" t="s">
        <v>1034</v>
      </c>
      <c r="B450" s="6" t="s">
        <v>1007</v>
      </c>
      <c r="C450" s="6" t="s">
        <v>413</v>
      </c>
      <c r="D450" s="7" t="str">
        <f t="shared" ref="D450:D495" si="14">IF(MOD(LEFT(RIGHT(A450,2),1),2)=0,"k","m")</f>
        <v>k</v>
      </c>
      <c r="E450" t="str">
        <f t="shared" si="13"/>
        <v/>
      </c>
    </row>
    <row r="451" spans="1:5" x14ac:dyDescent="0.25">
      <c r="A451" s="8" t="s">
        <v>1035</v>
      </c>
      <c r="B451" s="9" t="s">
        <v>1036</v>
      </c>
      <c r="C451" s="9" t="s">
        <v>214</v>
      </c>
      <c r="D451" s="7" t="str">
        <f t="shared" si="14"/>
        <v>k</v>
      </c>
      <c r="E451" t="str">
        <f t="shared" si="13"/>
        <v/>
      </c>
    </row>
    <row r="452" spans="1:5" x14ac:dyDescent="0.25">
      <c r="A452" s="5" t="s">
        <v>1037</v>
      </c>
      <c r="B452" s="6" t="s">
        <v>1038</v>
      </c>
      <c r="C452" s="6" t="s">
        <v>1039</v>
      </c>
      <c r="D452" s="7" t="str">
        <f t="shared" si="14"/>
        <v>k</v>
      </c>
      <c r="E452" t="str">
        <f t="shared" ref="E452:E495" si="15">IF(B452=C452,A452,"")</f>
        <v/>
      </c>
    </row>
    <row r="453" spans="1:5" x14ac:dyDescent="0.25">
      <c r="A453" s="8" t="s">
        <v>1040</v>
      </c>
      <c r="B453" s="9" t="s">
        <v>1041</v>
      </c>
      <c r="C453" s="9" t="s">
        <v>233</v>
      </c>
      <c r="D453" s="7" t="str">
        <f t="shared" si="14"/>
        <v>k</v>
      </c>
      <c r="E453" t="str">
        <f t="shared" si="15"/>
        <v/>
      </c>
    </row>
    <row r="454" spans="1:5" x14ac:dyDescent="0.25">
      <c r="A454" s="5" t="s">
        <v>1042</v>
      </c>
      <c r="B454" s="6" t="s">
        <v>1043</v>
      </c>
      <c r="C454" s="6" t="s">
        <v>89</v>
      </c>
      <c r="D454" s="7" t="str">
        <f t="shared" si="14"/>
        <v>k</v>
      </c>
      <c r="E454" t="str">
        <f t="shared" si="15"/>
        <v/>
      </c>
    </row>
    <row r="455" spans="1:5" x14ac:dyDescent="0.25">
      <c r="A455" s="8" t="s">
        <v>1044</v>
      </c>
      <c r="B455" s="9" t="s">
        <v>1045</v>
      </c>
      <c r="C455" s="9" t="s">
        <v>1046</v>
      </c>
      <c r="D455" s="7" t="str">
        <f t="shared" si="14"/>
        <v>m</v>
      </c>
      <c r="E455" t="str">
        <f t="shared" si="15"/>
        <v/>
      </c>
    </row>
    <row r="456" spans="1:5" x14ac:dyDescent="0.25">
      <c r="A456" s="5" t="s">
        <v>1047</v>
      </c>
      <c r="B456" s="6" t="s">
        <v>1048</v>
      </c>
      <c r="C456" s="6" t="s">
        <v>83</v>
      </c>
      <c r="D456" s="7" t="str">
        <f t="shared" si="14"/>
        <v>k</v>
      </c>
      <c r="E456" t="str">
        <f t="shared" si="15"/>
        <v/>
      </c>
    </row>
    <row r="457" spans="1:5" x14ac:dyDescent="0.25">
      <c r="A457" s="8" t="s">
        <v>1049</v>
      </c>
      <c r="B457" s="9" t="s">
        <v>1050</v>
      </c>
      <c r="C457" s="9" t="s">
        <v>194</v>
      </c>
      <c r="D457" s="7" t="str">
        <f t="shared" si="14"/>
        <v>k</v>
      </c>
      <c r="E457" t="str">
        <f t="shared" si="15"/>
        <v/>
      </c>
    </row>
    <row r="458" spans="1:5" x14ac:dyDescent="0.25">
      <c r="A458" s="5" t="s">
        <v>1051</v>
      </c>
      <c r="B458" s="6" t="s">
        <v>1052</v>
      </c>
      <c r="C458" s="6" t="s">
        <v>194</v>
      </c>
      <c r="D458" s="7" t="str">
        <f t="shared" si="14"/>
        <v>k</v>
      </c>
      <c r="E458" t="str">
        <f t="shared" si="15"/>
        <v/>
      </c>
    </row>
    <row r="459" spans="1:5" x14ac:dyDescent="0.25">
      <c r="A459" s="8" t="s">
        <v>1053</v>
      </c>
      <c r="B459" s="9" t="s">
        <v>1054</v>
      </c>
      <c r="C459" s="9" t="s">
        <v>166</v>
      </c>
      <c r="D459" s="7" t="str">
        <f t="shared" si="14"/>
        <v>m</v>
      </c>
      <c r="E459" t="str">
        <f t="shared" si="15"/>
        <v/>
      </c>
    </row>
    <row r="460" spans="1:5" x14ac:dyDescent="0.25">
      <c r="A460" s="5" t="s">
        <v>1055</v>
      </c>
      <c r="B460" s="6" t="s">
        <v>1056</v>
      </c>
      <c r="C460" s="6" t="s">
        <v>70</v>
      </c>
      <c r="D460" s="7" t="str">
        <f t="shared" si="14"/>
        <v>k</v>
      </c>
      <c r="E460" t="str">
        <f t="shared" si="15"/>
        <v/>
      </c>
    </row>
    <row r="461" spans="1:5" x14ac:dyDescent="0.25">
      <c r="A461" s="8" t="s">
        <v>1057</v>
      </c>
      <c r="B461" s="9" t="s">
        <v>1058</v>
      </c>
      <c r="C461" s="9" t="s">
        <v>223</v>
      </c>
      <c r="D461" s="7" t="str">
        <f t="shared" si="14"/>
        <v>m</v>
      </c>
      <c r="E461" t="str">
        <f t="shared" si="15"/>
        <v/>
      </c>
    </row>
    <row r="462" spans="1:5" x14ac:dyDescent="0.25">
      <c r="A462" s="5" t="s">
        <v>1059</v>
      </c>
      <c r="B462" s="6" t="s">
        <v>1060</v>
      </c>
      <c r="C462" s="6" t="s">
        <v>419</v>
      </c>
      <c r="D462" s="7" t="str">
        <f t="shared" si="14"/>
        <v>k</v>
      </c>
      <c r="E462" t="str">
        <f t="shared" si="15"/>
        <v/>
      </c>
    </row>
    <row r="463" spans="1:5" x14ac:dyDescent="0.25">
      <c r="A463" s="8" t="s">
        <v>1061</v>
      </c>
      <c r="B463" s="9" t="s">
        <v>1062</v>
      </c>
      <c r="C463" s="9" t="s">
        <v>89</v>
      </c>
      <c r="D463" s="7" t="str">
        <f t="shared" si="14"/>
        <v>k</v>
      </c>
      <c r="E463" t="str">
        <f t="shared" si="15"/>
        <v/>
      </c>
    </row>
    <row r="464" spans="1:5" x14ac:dyDescent="0.25">
      <c r="A464" s="5" t="s">
        <v>1063</v>
      </c>
      <c r="B464" s="6" t="s">
        <v>1064</v>
      </c>
      <c r="C464" s="6" t="s">
        <v>147</v>
      </c>
      <c r="D464" s="7" t="str">
        <f t="shared" si="14"/>
        <v>k</v>
      </c>
      <c r="E464" t="str">
        <f t="shared" si="15"/>
        <v/>
      </c>
    </row>
    <row r="465" spans="1:5" x14ac:dyDescent="0.25">
      <c r="A465" s="8" t="s">
        <v>1065</v>
      </c>
      <c r="B465" s="9" t="s">
        <v>1066</v>
      </c>
      <c r="C465" s="9" t="s">
        <v>142</v>
      </c>
      <c r="D465" s="7" t="str">
        <f t="shared" si="14"/>
        <v>k</v>
      </c>
      <c r="E465" t="str">
        <f t="shared" si="15"/>
        <v/>
      </c>
    </row>
    <row r="466" spans="1:5" x14ac:dyDescent="0.25">
      <c r="A466" s="5" t="s">
        <v>1067</v>
      </c>
      <c r="B466" s="6" t="s">
        <v>1068</v>
      </c>
      <c r="C466" s="6" t="s">
        <v>56</v>
      </c>
      <c r="D466" s="7" t="str">
        <f t="shared" si="14"/>
        <v>k</v>
      </c>
      <c r="E466" t="str">
        <f t="shared" si="15"/>
        <v/>
      </c>
    </row>
    <row r="467" spans="1:5" x14ac:dyDescent="0.25">
      <c r="A467" s="8" t="s">
        <v>1069</v>
      </c>
      <c r="B467" s="9" t="s">
        <v>1070</v>
      </c>
      <c r="C467" s="9" t="s">
        <v>260</v>
      </c>
      <c r="D467" s="7" t="str">
        <f t="shared" si="14"/>
        <v>m</v>
      </c>
      <c r="E467" t="str">
        <f t="shared" si="15"/>
        <v/>
      </c>
    </row>
    <row r="468" spans="1:5" x14ac:dyDescent="0.25">
      <c r="A468" s="5" t="s">
        <v>1071</v>
      </c>
      <c r="B468" s="6" t="s">
        <v>1072</v>
      </c>
      <c r="C468" s="6" t="s">
        <v>121</v>
      </c>
      <c r="D468" s="7" t="str">
        <f t="shared" si="14"/>
        <v>m</v>
      </c>
      <c r="E468" t="str">
        <f t="shared" si="15"/>
        <v/>
      </c>
    </row>
    <row r="469" spans="1:5" x14ac:dyDescent="0.25">
      <c r="A469" s="8" t="s">
        <v>1073</v>
      </c>
      <c r="B469" s="9" t="s">
        <v>1074</v>
      </c>
      <c r="C469" s="9" t="s">
        <v>166</v>
      </c>
      <c r="D469" s="7" t="str">
        <f t="shared" si="14"/>
        <v>m</v>
      </c>
      <c r="E469" t="str">
        <f t="shared" si="15"/>
        <v/>
      </c>
    </row>
    <row r="470" spans="1:5" x14ac:dyDescent="0.25">
      <c r="A470" s="5" t="s">
        <v>1075</v>
      </c>
      <c r="B470" s="6" t="s">
        <v>1076</v>
      </c>
      <c r="C470" s="6" t="s">
        <v>121</v>
      </c>
      <c r="D470" s="7" t="str">
        <f t="shared" si="14"/>
        <v>m</v>
      </c>
      <c r="E470" t="str">
        <f t="shared" si="15"/>
        <v/>
      </c>
    </row>
    <row r="471" spans="1:5" x14ac:dyDescent="0.25">
      <c r="A471" s="8" t="s">
        <v>1077</v>
      </c>
      <c r="B471" s="9" t="s">
        <v>123</v>
      </c>
      <c r="C471" s="9" t="s">
        <v>223</v>
      </c>
      <c r="D471" s="7" t="str">
        <f t="shared" si="14"/>
        <v>m</v>
      </c>
      <c r="E471" t="str">
        <f t="shared" si="15"/>
        <v/>
      </c>
    </row>
    <row r="472" spans="1:5" x14ac:dyDescent="0.25">
      <c r="A472" s="5" t="s">
        <v>1078</v>
      </c>
      <c r="B472" s="6" t="s">
        <v>1079</v>
      </c>
      <c r="C472" s="6" t="s">
        <v>64</v>
      </c>
      <c r="D472" s="7" t="str">
        <f t="shared" si="14"/>
        <v>m</v>
      </c>
      <c r="E472" t="str">
        <f t="shared" si="15"/>
        <v/>
      </c>
    </row>
    <row r="473" spans="1:5" x14ac:dyDescent="0.25">
      <c r="A473" s="8" t="s">
        <v>1080</v>
      </c>
      <c r="B473" s="9" t="s">
        <v>1081</v>
      </c>
      <c r="C473" s="9" t="s">
        <v>17</v>
      </c>
      <c r="D473" s="7" t="str">
        <f t="shared" si="14"/>
        <v>m</v>
      </c>
      <c r="E473" t="str">
        <f t="shared" si="15"/>
        <v/>
      </c>
    </row>
    <row r="474" spans="1:5" x14ac:dyDescent="0.25">
      <c r="A474" s="5" t="s">
        <v>1082</v>
      </c>
      <c r="B474" s="6" t="s">
        <v>1083</v>
      </c>
      <c r="C474" s="6" t="s">
        <v>1084</v>
      </c>
      <c r="D474" s="7" t="str">
        <f t="shared" si="14"/>
        <v>k</v>
      </c>
      <c r="E474" t="str">
        <f t="shared" si="15"/>
        <v/>
      </c>
    </row>
    <row r="475" spans="1:5" x14ac:dyDescent="0.25">
      <c r="A475" s="8" t="s">
        <v>1085</v>
      </c>
      <c r="B475" s="9" t="s">
        <v>1086</v>
      </c>
      <c r="C475" s="9" t="s">
        <v>428</v>
      </c>
      <c r="D475" s="7" t="str">
        <f t="shared" si="14"/>
        <v>k</v>
      </c>
      <c r="E475" t="str">
        <f t="shared" si="15"/>
        <v/>
      </c>
    </row>
    <row r="476" spans="1:5" x14ac:dyDescent="0.25">
      <c r="A476" s="5" t="s">
        <v>1087</v>
      </c>
      <c r="B476" s="6" t="s">
        <v>1088</v>
      </c>
      <c r="C476" s="6" t="s">
        <v>275</v>
      </c>
      <c r="D476" s="7" t="str">
        <f t="shared" si="14"/>
        <v>k</v>
      </c>
      <c r="E476" t="str">
        <f t="shared" si="15"/>
        <v/>
      </c>
    </row>
    <row r="477" spans="1:5" x14ac:dyDescent="0.25">
      <c r="A477" s="8" t="s">
        <v>1089</v>
      </c>
      <c r="B477" s="9" t="s">
        <v>1090</v>
      </c>
      <c r="C477" s="9" t="s">
        <v>25</v>
      </c>
      <c r="D477" s="7" t="str">
        <f t="shared" si="14"/>
        <v>m</v>
      </c>
      <c r="E477" t="str">
        <f t="shared" si="15"/>
        <v/>
      </c>
    </row>
    <row r="478" spans="1:5" x14ac:dyDescent="0.25">
      <c r="A478" s="5" t="s">
        <v>1091</v>
      </c>
      <c r="B478" s="6" t="s">
        <v>1092</v>
      </c>
      <c r="C478" s="6" t="s">
        <v>219</v>
      </c>
      <c r="D478" s="7" t="str">
        <f t="shared" si="14"/>
        <v>m</v>
      </c>
      <c r="E478" t="str">
        <f t="shared" si="15"/>
        <v/>
      </c>
    </row>
    <row r="479" spans="1:5" x14ac:dyDescent="0.25">
      <c r="A479" s="8" t="s">
        <v>1093</v>
      </c>
      <c r="B479" s="9" t="s">
        <v>1094</v>
      </c>
      <c r="C479" s="9" t="s">
        <v>1095</v>
      </c>
      <c r="D479" s="7" t="str">
        <f t="shared" si="14"/>
        <v>m</v>
      </c>
      <c r="E479" t="str">
        <f t="shared" si="15"/>
        <v/>
      </c>
    </row>
    <row r="480" spans="1:5" x14ac:dyDescent="0.25">
      <c r="A480" s="5" t="s">
        <v>1096</v>
      </c>
      <c r="B480" s="6" t="s">
        <v>1097</v>
      </c>
      <c r="C480" s="6" t="s">
        <v>166</v>
      </c>
      <c r="D480" s="7" t="str">
        <f t="shared" si="14"/>
        <v>m</v>
      </c>
      <c r="E480" t="str">
        <f t="shared" si="15"/>
        <v/>
      </c>
    </row>
    <row r="481" spans="1:5" x14ac:dyDescent="0.25">
      <c r="A481" s="8" t="s">
        <v>1098</v>
      </c>
      <c r="B481" s="9" t="s">
        <v>1099</v>
      </c>
      <c r="C481" s="9" t="s">
        <v>137</v>
      </c>
      <c r="D481" s="7" t="str">
        <f t="shared" si="14"/>
        <v>k</v>
      </c>
      <c r="E481" t="str">
        <f t="shared" si="15"/>
        <v/>
      </c>
    </row>
    <row r="482" spans="1:5" x14ac:dyDescent="0.25">
      <c r="A482" s="5" t="s">
        <v>1100</v>
      </c>
      <c r="B482" s="6" t="s">
        <v>1101</v>
      </c>
      <c r="C482" s="6" t="s">
        <v>287</v>
      </c>
      <c r="D482" s="7" t="str">
        <f t="shared" si="14"/>
        <v>m</v>
      </c>
      <c r="E482" t="str">
        <f t="shared" si="15"/>
        <v/>
      </c>
    </row>
    <row r="483" spans="1:5" x14ac:dyDescent="0.25">
      <c r="A483" s="8" t="s">
        <v>1102</v>
      </c>
      <c r="B483" s="9" t="s">
        <v>1103</v>
      </c>
      <c r="C483" s="9" t="s">
        <v>617</v>
      </c>
      <c r="D483" s="7" t="str">
        <f t="shared" si="14"/>
        <v>k</v>
      </c>
      <c r="E483" t="str">
        <f t="shared" si="15"/>
        <v/>
      </c>
    </row>
    <row r="484" spans="1:5" x14ac:dyDescent="0.25">
      <c r="A484" s="5" t="s">
        <v>1104</v>
      </c>
      <c r="B484" s="6" t="s">
        <v>1105</v>
      </c>
      <c r="C484" s="6" t="s">
        <v>89</v>
      </c>
      <c r="D484" s="7" t="str">
        <f t="shared" si="14"/>
        <v>k</v>
      </c>
      <c r="E484" t="str">
        <f t="shared" si="15"/>
        <v/>
      </c>
    </row>
    <row r="485" spans="1:5" x14ac:dyDescent="0.25">
      <c r="A485" s="8" t="s">
        <v>1106</v>
      </c>
      <c r="B485" s="9" t="s">
        <v>1107</v>
      </c>
      <c r="C485" s="9" t="s">
        <v>50</v>
      </c>
      <c r="D485" s="7" t="str">
        <f t="shared" si="14"/>
        <v>m</v>
      </c>
      <c r="E485" t="str">
        <f t="shared" si="15"/>
        <v/>
      </c>
    </row>
    <row r="486" spans="1:5" x14ac:dyDescent="0.25">
      <c r="A486" s="5" t="s">
        <v>1108</v>
      </c>
      <c r="B486" s="6" t="s">
        <v>586</v>
      </c>
      <c r="C486" s="6" t="s">
        <v>223</v>
      </c>
      <c r="D486" s="7" t="str">
        <f t="shared" si="14"/>
        <v>m</v>
      </c>
      <c r="E486" t="str">
        <f t="shared" si="15"/>
        <v/>
      </c>
    </row>
    <row r="487" spans="1:5" x14ac:dyDescent="0.25">
      <c r="A487" s="8" t="s">
        <v>1109</v>
      </c>
      <c r="B487" s="9" t="s">
        <v>1110</v>
      </c>
      <c r="C487" s="9" t="s">
        <v>1111</v>
      </c>
      <c r="D487" s="7" t="str">
        <f t="shared" si="14"/>
        <v>m</v>
      </c>
      <c r="E487" t="str">
        <f t="shared" si="15"/>
        <v/>
      </c>
    </row>
    <row r="488" spans="1:5" x14ac:dyDescent="0.25">
      <c r="A488" s="5" t="s">
        <v>1112</v>
      </c>
      <c r="B488" s="6" t="s">
        <v>1113</v>
      </c>
      <c r="C488" s="6" t="s">
        <v>36</v>
      </c>
      <c r="D488" s="7" t="str">
        <f t="shared" si="14"/>
        <v>m</v>
      </c>
      <c r="E488" t="str">
        <f t="shared" si="15"/>
        <v/>
      </c>
    </row>
    <row r="489" spans="1:5" x14ac:dyDescent="0.25">
      <c r="A489" s="8" t="s">
        <v>1114</v>
      </c>
      <c r="B489" s="9" t="s">
        <v>1115</v>
      </c>
      <c r="C489" s="9" t="s">
        <v>464</v>
      </c>
      <c r="D489" s="7" t="str">
        <f t="shared" si="14"/>
        <v>m</v>
      </c>
      <c r="E489" t="str">
        <f t="shared" si="15"/>
        <v/>
      </c>
    </row>
    <row r="490" spans="1:5" x14ac:dyDescent="0.25">
      <c r="A490" s="5" t="s">
        <v>1116</v>
      </c>
      <c r="B490" s="6" t="s">
        <v>1117</v>
      </c>
      <c r="C490" s="6" t="s">
        <v>340</v>
      </c>
      <c r="D490" s="7" t="str">
        <f t="shared" si="14"/>
        <v>k</v>
      </c>
      <c r="E490" t="str">
        <f t="shared" si="15"/>
        <v/>
      </c>
    </row>
    <row r="491" spans="1:5" x14ac:dyDescent="0.25">
      <c r="A491" s="8" t="s">
        <v>1118</v>
      </c>
      <c r="B491" s="9" t="s">
        <v>1119</v>
      </c>
      <c r="C491" s="9" t="s">
        <v>86</v>
      </c>
      <c r="D491" s="7" t="str">
        <f t="shared" si="14"/>
        <v>k</v>
      </c>
      <c r="E491" t="str">
        <f t="shared" si="15"/>
        <v/>
      </c>
    </row>
    <row r="492" spans="1:5" x14ac:dyDescent="0.25">
      <c r="A492" s="5" t="s">
        <v>1120</v>
      </c>
      <c r="B492" s="6" t="s">
        <v>1121</v>
      </c>
      <c r="C492" s="6" t="s">
        <v>223</v>
      </c>
      <c r="D492" s="7" t="str">
        <f t="shared" si="14"/>
        <v>m</v>
      </c>
      <c r="E492" t="str">
        <f t="shared" si="15"/>
        <v/>
      </c>
    </row>
    <row r="493" spans="1:5" x14ac:dyDescent="0.25">
      <c r="A493" s="8" t="s">
        <v>1122</v>
      </c>
      <c r="B493" s="9" t="s">
        <v>1123</v>
      </c>
      <c r="C493" s="9" t="s">
        <v>92</v>
      </c>
      <c r="D493" s="7" t="str">
        <f t="shared" si="14"/>
        <v>m</v>
      </c>
      <c r="E493" t="str">
        <f t="shared" si="15"/>
        <v/>
      </c>
    </row>
    <row r="494" spans="1:5" x14ac:dyDescent="0.25">
      <c r="A494" s="5" t="s">
        <v>1124</v>
      </c>
      <c r="B494" s="6" t="s">
        <v>168</v>
      </c>
      <c r="C494" s="6" t="s">
        <v>880</v>
      </c>
      <c r="D494" s="7" t="str">
        <f t="shared" si="14"/>
        <v>m</v>
      </c>
      <c r="E494" t="str">
        <f t="shared" si="15"/>
        <v/>
      </c>
    </row>
    <row r="495" spans="1:5" x14ac:dyDescent="0.25">
      <c r="A495" s="10" t="s">
        <v>1125</v>
      </c>
      <c r="B495" s="11" t="s">
        <v>1126</v>
      </c>
      <c r="C495" s="11" t="s">
        <v>121</v>
      </c>
      <c r="D495" s="7" t="str">
        <f t="shared" si="14"/>
        <v>m</v>
      </c>
      <c r="E495" t="str">
        <f t="shared" si="15"/>
        <v/>
      </c>
    </row>
  </sheetData>
  <autoFilter ref="A1:D956" xr:uid="{3C702CD6-B260-4666-8DC9-1C57D1120A41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9202-D0C2-4AFE-B53A-70C83ECC6E96}">
  <dimension ref="A1:L495"/>
  <sheetViews>
    <sheetView zoomScale="235" zoomScaleNormal="235" workbookViewId="0">
      <selection activeCell="I3" sqref="I3:L3"/>
    </sheetView>
  </sheetViews>
  <sheetFormatPr defaultRowHeight="15" x14ac:dyDescent="0.25"/>
  <cols>
    <col min="1" max="1" width="12" bestFit="1" customWidth="1"/>
    <col min="2" max="2" width="14.85546875" bestFit="1" customWidth="1"/>
    <col min="3" max="3" width="12.140625" bestFit="1" customWidth="1"/>
    <col min="5" max="5" width="9.140625" style="17"/>
    <col min="7" max="7" width="9.85546875" bestFit="1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4" t="s">
        <v>1127</v>
      </c>
    </row>
    <row r="2" spans="1:12" x14ac:dyDescent="0.25">
      <c r="A2" s="5" t="s">
        <v>3</v>
      </c>
      <c r="B2" s="6" t="s">
        <v>4</v>
      </c>
      <c r="C2" s="6" t="s">
        <v>5</v>
      </c>
      <c r="D2" s="7" t="str">
        <f t="shared" ref="D2:D65" si="0">IF(MOD(LEFT(RIGHT(A2,2),1),2)=0,"k","m")</f>
        <v>m</v>
      </c>
      <c r="E2" s="17" t="str">
        <f>LEFT(RIGHT(A2,5),3)</f>
        <v>014</v>
      </c>
      <c r="G2" s="17">
        <f>MIN(E2:E495)</f>
        <v>0</v>
      </c>
      <c r="H2" t="s">
        <v>1132</v>
      </c>
      <c r="I2" s="5" t="s">
        <v>138</v>
      </c>
      <c r="J2" s="6" t="s">
        <v>139</v>
      </c>
      <c r="K2" s="6" t="s">
        <v>56</v>
      </c>
      <c r="L2" s="7" t="str">
        <f t="shared" ref="L2:L3" si="1">IF(MOD(LEFT(RIGHT(I2,2),1),2)=0,"k","m")</f>
        <v>k</v>
      </c>
    </row>
    <row r="3" spans="1:12" x14ac:dyDescent="0.25">
      <c r="A3" s="8" t="s">
        <v>6</v>
      </c>
      <c r="B3" s="9" t="s">
        <v>7</v>
      </c>
      <c r="C3" s="9" t="s">
        <v>8</v>
      </c>
      <c r="D3" s="7" t="str">
        <f t="shared" si="0"/>
        <v>m</v>
      </c>
      <c r="E3" s="17" t="str">
        <f t="shared" ref="E3:E66" si="2">LEFT(RIGHT(A3,5),3)</f>
        <v>091</v>
      </c>
      <c r="G3" s="17">
        <f>MAX(E2:E495)</f>
        <v>0</v>
      </c>
      <c r="H3" t="s">
        <v>1133</v>
      </c>
      <c r="I3" s="8" t="s">
        <v>952</v>
      </c>
      <c r="J3" s="9" t="s">
        <v>953</v>
      </c>
      <c r="K3" s="9" t="s">
        <v>73</v>
      </c>
      <c r="L3" s="7" t="str">
        <f t="shared" si="1"/>
        <v>m</v>
      </c>
    </row>
    <row r="4" spans="1:12" x14ac:dyDescent="0.25">
      <c r="A4" s="5" t="s">
        <v>9</v>
      </c>
      <c r="B4" s="6" t="s">
        <v>10</v>
      </c>
      <c r="C4" s="6" t="s">
        <v>11</v>
      </c>
      <c r="D4" s="7" t="str">
        <f t="shared" si="0"/>
        <v>m</v>
      </c>
      <c r="E4" s="17" t="str">
        <f t="shared" si="2"/>
        <v>128</v>
      </c>
    </row>
    <row r="5" spans="1:12" x14ac:dyDescent="0.25">
      <c r="A5" s="8" t="s">
        <v>12</v>
      </c>
      <c r="B5" s="9" t="s">
        <v>13</v>
      </c>
      <c r="C5" s="9" t="s">
        <v>14</v>
      </c>
      <c r="D5" s="7" t="str">
        <f>IF(MOD(LEFT(RIGHT(A5,2),1),2)=0,"k","m")</f>
        <v>m</v>
      </c>
      <c r="E5" s="17" t="str">
        <f t="shared" si="2"/>
        <v>069</v>
      </c>
    </row>
    <row r="6" spans="1:12" x14ac:dyDescent="0.25">
      <c r="A6" s="5" t="s">
        <v>15</v>
      </c>
      <c r="B6" s="6" t="s">
        <v>16</v>
      </c>
      <c r="C6" s="6" t="s">
        <v>17</v>
      </c>
      <c r="D6" s="7" t="str">
        <f t="shared" si="0"/>
        <v>m</v>
      </c>
      <c r="E6" s="17" t="str">
        <f t="shared" si="2"/>
        <v>059</v>
      </c>
    </row>
    <row r="7" spans="1:12" x14ac:dyDescent="0.25">
      <c r="A7" s="8" t="s">
        <v>18</v>
      </c>
      <c r="B7" s="9" t="s">
        <v>19</v>
      </c>
      <c r="C7" s="9" t="s">
        <v>20</v>
      </c>
      <c r="D7" s="7" t="str">
        <f t="shared" si="0"/>
        <v>m</v>
      </c>
      <c r="E7" s="17" t="str">
        <f t="shared" si="2"/>
        <v>026</v>
      </c>
    </row>
    <row r="8" spans="1:12" x14ac:dyDescent="0.25">
      <c r="A8" s="5" t="s">
        <v>21</v>
      </c>
      <c r="B8" s="6" t="s">
        <v>22</v>
      </c>
      <c r="C8" s="6" t="s">
        <v>8</v>
      </c>
      <c r="D8" s="7" t="str">
        <f t="shared" si="0"/>
        <v>m</v>
      </c>
      <c r="E8" s="17" t="str">
        <f t="shared" si="2"/>
        <v>026</v>
      </c>
    </row>
    <row r="9" spans="1:12" x14ac:dyDescent="0.25">
      <c r="A9" s="8" t="s">
        <v>23</v>
      </c>
      <c r="B9" s="9" t="s">
        <v>24</v>
      </c>
      <c r="C9" s="9" t="s">
        <v>25</v>
      </c>
      <c r="D9" s="7" t="str">
        <f t="shared" si="0"/>
        <v>m</v>
      </c>
      <c r="E9" s="17" t="str">
        <f t="shared" si="2"/>
        <v>018</v>
      </c>
    </row>
    <row r="10" spans="1:12" x14ac:dyDescent="0.25">
      <c r="A10" s="5" t="s">
        <v>26</v>
      </c>
      <c r="B10" s="6" t="s">
        <v>27</v>
      </c>
      <c r="C10" s="6" t="s">
        <v>28</v>
      </c>
      <c r="D10" s="7" t="str">
        <f t="shared" si="0"/>
        <v>m</v>
      </c>
      <c r="E10" s="17" t="str">
        <f t="shared" si="2"/>
        <v>094</v>
      </c>
    </row>
    <row r="11" spans="1:12" x14ac:dyDescent="0.25">
      <c r="A11" s="8" t="s">
        <v>29</v>
      </c>
      <c r="B11" s="9" t="s">
        <v>30</v>
      </c>
      <c r="C11" s="9" t="s">
        <v>31</v>
      </c>
      <c r="D11" s="7" t="str">
        <f t="shared" si="0"/>
        <v>m</v>
      </c>
      <c r="E11" s="17" t="str">
        <f t="shared" si="2"/>
        <v>042</v>
      </c>
    </row>
    <row r="12" spans="1:12" x14ac:dyDescent="0.25">
      <c r="A12" s="5" t="s">
        <v>32</v>
      </c>
      <c r="B12" s="6" t="s">
        <v>33</v>
      </c>
      <c r="C12" s="6" t="s">
        <v>20</v>
      </c>
      <c r="D12" s="7" t="str">
        <f t="shared" si="0"/>
        <v>m</v>
      </c>
      <c r="E12" s="17" t="str">
        <f t="shared" si="2"/>
        <v>036</v>
      </c>
    </row>
    <row r="13" spans="1:12" x14ac:dyDescent="0.25">
      <c r="A13" s="8" t="s">
        <v>34</v>
      </c>
      <c r="B13" s="9" t="s">
        <v>35</v>
      </c>
      <c r="C13" s="9" t="s">
        <v>36</v>
      </c>
      <c r="D13" s="7" t="str">
        <f t="shared" si="0"/>
        <v>m</v>
      </c>
      <c r="E13" s="17" t="str">
        <f t="shared" si="2"/>
        <v>018</v>
      </c>
    </row>
    <row r="14" spans="1:12" x14ac:dyDescent="0.25">
      <c r="A14" s="5" t="s">
        <v>37</v>
      </c>
      <c r="B14" s="6" t="s">
        <v>38</v>
      </c>
      <c r="C14" s="6" t="s">
        <v>39</v>
      </c>
      <c r="D14" s="7" t="str">
        <f t="shared" si="0"/>
        <v>m</v>
      </c>
      <c r="E14" s="17" t="str">
        <f t="shared" si="2"/>
        <v>045</v>
      </c>
    </row>
    <row r="15" spans="1:12" x14ac:dyDescent="0.25">
      <c r="A15" s="8" t="s">
        <v>40</v>
      </c>
      <c r="B15" s="9" t="s">
        <v>41</v>
      </c>
      <c r="C15" s="9" t="s">
        <v>39</v>
      </c>
      <c r="D15" s="7" t="str">
        <f t="shared" si="0"/>
        <v>m</v>
      </c>
      <c r="E15" s="17" t="str">
        <f t="shared" si="2"/>
        <v>045</v>
      </c>
    </row>
    <row r="16" spans="1:12" x14ac:dyDescent="0.25">
      <c r="A16" s="5" t="s">
        <v>42</v>
      </c>
      <c r="B16" s="6" t="s">
        <v>43</v>
      </c>
      <c r="C16" s="6" t="s">
        <v>44</v>
      </c>
      <c r="D16" s="7" t="str">
        <f t="shared" si="0"/>
        <v>m</v>
      </c>
      <c r="E16" s="17" t="str">
        <f t="shared" si="2"/>
        <v>070</v>
      </c>
    </row>
    <row r="17" spans="1:5" x14ac:dyDescent="0.25">
      <c r="A17" s="8" t="s">
        <v>45</v>
      </c>
      <c r="B17" s="9" t="s">
        <v>46</v>
      </c>
      <c r="C17" s="9" t="s">
        <v>47</v>
      </c>
      <c r="D17" s="7" t="str">
        <f t="shared" si="0"/>
        <v>m</v>
      </c>
      <c r="E17" s="17" t="str">
        <f t="shared" si="2"/>
        <v>119</v>
      </c>
    </row>
    <row r="18" spans="1:5" x14ac:dyDescent="0.25">
      <c r="A18" s="5" t="s">
        <v>48</v>
      </c>
      <c r="B18" s="6" t="s">
        <v>49</v>
      </c>
      <c r="C18" s="6" t="s">
        <v>50</v>
      </c>
      <c r="D18" s="7" t="str">
        <f t="shared" si="0"/>
        <v>m</v>
      </c>
      <c r="E18" s="17" t="str">
        <f t="shared" si="2"/>
        <v>042</v>
      </c>
    </row>
    <row r="19" spans="1:5" x14ac:dyDescent="0.25">
      <c r="A19" s="8" t="s">
        <v>51</v>
      </c>
      <c r="B19" s="9" t="s">
        <v>52</v>
      </c>
      <c r="C19" s="9" t="s">
        <v>53</v>
      </c>
      <c r="D19" s="7" t="str">
        <f t="shared" si="0"/>
        <v>m</v>
      </c>
      <c r="E19" s="17" t="str">
        <f t="shared" si="2"/>
        <v>122</v>
      </c>
    </row>
    <row r="20" spans="1:5" x14ac:dyDescent="0.25">
      <c r="A20" s="5" t="s">
        <v>54</v>
      </c>
      <c r="B20" s="6" t="s">
        <v>55</v>
      </c>
      <c r="C20" s="6" t="s">
        <v>56</v>
      </c>
      <c r="D20" s="7" t="str">
        <f t="shared" si="0"/>
        <v>k</v>
      </c>
      <c r="E20" s="17" t="str">
        <f t="shared" si="2"/>
        <v>074</v>
      </c>
    </row>
    <row r="21" spans="1:5" x14ac:dyDescent="0.25">
      <c r="A21" s="8" t="s">
        <v>57</v>
      </c>
      <c r="B21" s="9" t="s">
        <v>58</v>
      </c>
      <c r="C21" s="9" t="s">
        <v>8</v>
      </c>
      <c r="D21" s="7" t="str">
        <f t="shared" si="0"/>
        <v>m</v>
      </c>
      <c r="E21" s="17" t="str">
        <f t="shared" si="2"/>
        <v>075</v>
      </c>
    </row>
    <row r="22" spans="1:5" x14ac:dyDescent="0.25">
      <c r="A22" s="5" t="s">
        <v>59</v>
      </c>
      <c r="B22" s="6" t="s">
        <v>60</v>
      </c>
      <c r="C22" s="6" t="s">
        <v>61</v>
      </c>
      <c r="D22" s="7" t="str">
        <f t="shared" si="0"/>
        <v>m</v>
      </c>
      <c r="E22" s="17" t="str">
        <f t="shared" si="2"/>
        <v>125</v>
      </c>
    </row>
    <row r="23" spans="1:5" x14ac:dyDescent="0.25">
      <c r="A23" s="8" t="s">
        <v>62</v>
      </c>
      <c r="B23" s="9" t="s">
        <v>63</v>
      </c>
      <c r="C23" s="9" t="s">
        <v>64</v>
      </c>
      <c r="D23" s="7" t="str">
        <f t="shared" si="0"/>
        <v>m</v>
      </c>
      <c r="E23" s="17" t="str">
        <f t="shared" si="2"/>
        <v>036</v>
      </c>
    </row>
    <row r="24" spans="1:5" x14ac:dyDescent="0.25">
      <c r="A24" s="5" t="s">
        <v>65</v>
      </c>
      <c r="B24" s="6" t="s">
        <v>66</v>
      </c>
      <c r="C24" s="6" t="s">
        <v>67</v>
      </c>
      <c r="D24" s="7" t="str">
        <f t="shared" si="0"/>
        <v>k</v>
      </c>
      <c r="E24" s="17" t="str">
        <f t="shared" si="2"/>
        <v>072</v>
      </c>
    </row>
    <row r="25" spans="1:5" x14ac:dyDescent="0.25">
      <c r="A25" s="8" t="s">
        <v>68</v>
      </c>
      <c r="B25" s="9" t="s">
        <v>69</v>
      </c>
      <c r="C25" s="9" t="s">
        <v>70</v>
      </c>
      <c r="D25" s="7" t="str">
        <f t="shared" si="0"/>
        <v>k</v>
      </c>
      <c r="E25" s="17" t="str">
        <f t="shared" si="2"/>
        <v>030</v>
      </c>
    </row>
    <row r="26" spans="1:5" x14ac:dyDescent="0.25">
      <c r="A26" s="5" t="s">
        <v>71</v>
      </c>
      <c r="B26" s="6" t="s">
        <v>72</v>
      </c>
      <c r="C26" s="6" t="s">
        <v>73</v>
      </c>
      <c r="D26" s="7" t="str">
        <f t="shared" si="0"/>
        <v>m</v>
      </c>
      <c r="E26" s="17" t="str">
        <f t="shared" si="2"/>
        <v>113</v>
      </c>
    </row>
    <row r="27" spans="1:5" x14ac:dyDescent="0.25">
      <c r="A27" s="8" t="s">
        <v>74</v>
      </c>
      <c r="B27" s="9" t="s">
        <v>75</v>
      </c>
      <c r="C27" s="9" t="s">
        <v>8</v>
      </c>
      <c r="D27" s="7" t="str">
        <f t="shared" si="0"/>
        <v>m</v>
      </c>
      <c r="E27" s="17" t="str">
        <f t="shared" si="2"/>
        <v>030</v>
      </c>
    </row>
    <row r="28" spans="1:5" x14ac:dyDescent="0.25">
      <c r="A28" s="5" t="s">
        <v>76</v>
      </c>
      <c r="B28" s="6" t="s">
        <v>77</v>
      </c>
      <c r="C28" s="6" t="s">
        <v>78</v>
      </c>
      <c r="D28" s="7" t="str">
        <f t="shared" si="0"/>
        <v>k</v>
      </c>
      <c r="E28" s="17" t="str">
        <f t="shared" si="2"/>
        <v>074</v>
      </c>
    </row>
    <row r="29" spans="1:5" x14ac:dyDescent="0.25">
      <c r="A29" s="8" t="s">
        <v>79</v>
      </c>
      <c r="B29" s="9" t="s">
        <v>80</v>
      </c>
      <c r="C29" s="9" t="s">
        <v>39</v>
      </c>
      <c r="D29" s="7" t="str">
        <f t="shared" si="0"/>
        <v>m</v>
      </c>
      <c r="E29" s="17" t="str">
        <f t="shared" si="2"/>
        <v>046</v>
      </c>
    </row>
    <row r="30" spans="1:5" x14ac:dyDescent="0.25">
      <c r="A30" s="5" t="s">
        <v>81</v>
      </c>
      <c r="B30" s="6" t="s">
        <v>82</v>
      </c>
      <c r="C30" s="6" t="s">
        <v>83</v>
      </c>
      <c r="D30" s="7" t="str">
        <f t="shared" si="0"/>
        <v>k</v>
      </c>
      <c r="E30" s="17" t="str">
        <f t="shared" si="2"/>
        <v>034</v>
      </c>
    </row>
    <row r="31" spans="1:5" x14ac:dyDescent="0.25">
      <c r="A31" s="8" t="s">
        <v>84</v>
      </c>
      <c r="B31" s="9" t="s">
        <v>85</v>
      </c>
      <c r="C31" s="9" t="s">
        <v>86</v>
      </c>
      <c r="D31" s="7" t="str">
        <f t="shared" si="0"/>
        <v>k</v>
      </c>
      <c r="E31" s="17" t="str">
        <f t="shared" si="2"/>
        <v>076</v>
      </c>
    </row>
    <row r="32" spans="1:5" x14ac:dyDescent="0.25">
      <c r="A32" s="5" t="s">
        <v>87</v>
      </c>
      <c r="B32" s="6" t="s">
        <v>88</v>
      </c>
      <c r="C32" s="6" t="s">
        <v>89</v>
      </c>
      <c r="D32" s="7" t="str">
        <f t="shared" si="0"/>
        <v>k</v>
      </c>
      <c r="E32" s="17" t="str">
        <f t="shared" si="2"/>
        <v>039</v>
      </c>
    </row>
    <row r="33" spans="1:5" x14ac:dyDescent="0.25">
      <c r="A33" s="8" t="s">
        <v>90</v>
      </c>
      <c r="B33" s="9" t="s">
        <v>91</v>
      </c>
      <c r="C33" s="9" t="s">
        <v>92</v>
      </c>
      <c r="D33" s="7" t="str">
        <f t="shared" si="0"/>
        <v>m</v>
      </c>
      <c r="E33" s="17" t="str">
        <f t="shared" si="2"/>
        <v>018</v>
      </c>
    </row>
    <row r="34" spans="1:5" x14ac:dyDescent="0.25">
      <c r="A34" s="5" t="s">
        <v>93</v>
      </c>
      <c r="B34" s="6" t="s">
        <v>94</v>
      </c>
      <c r="C34" s="6" t="s">
        <v>5</v>
      </c>
      <c r="D34" s="7" t="str">
        <f t="shared" si="0"/>
        <v>m</v>
      </c>
      <c r="E34" s="17" t="str">
        <f t="shared" si="2"/>
        <v>035</v>
      </c>
    </row>
    <row r="35" spans="1:5" x14ac:dyDescent="0.25">
      <c r="A35" s="8" t="s">
        <v>95</v>
      </c>
      <c r="B35" s="9" t="s">
        <v>96</v>
      </c>
      <c r="C35" s="9" t="s">
        <v>97</v>
      </c>
      <c r="D35" s="7" t="str">
        <f t="shared" si="0"/>
        <v>m</v>
      </c>
      <c r="E35" s="17" t="str">
        <f t="shared" si="2"/>
        <v>089</v>
      </c>
    </row>
    <row r="36" spans="1:5" x14ac:dyDescent="0.25">
      <c r="A36" s="5" t="s">
        <v>98</v>
      </c>
      <c r="B36" s="6" t="s">
        <v>99</v>
      </c>
      <c r="C36" s="6" t="s">
        <v>100</v>
      </c>
      <c r="D36" s="7" t="str">
        <f t="shared" si="0"/>
        <v>k</v>
      </c>
      <c r="E36" s="17" t="str">
        <f t="shared" si="2"/>
        <v>124</v>
      </c>
    </row>
    <row r="37" spans="1:5" x14ac:dyDescent="0.25">
      <c r="A37" s="8" t="s">
        <v>101</v>
      </c>
      <c r="B37" s="9" t="s">
        <v>102</v>
      </c>
      <c r="C37" s="9" t="s">
        <v>17</v>
      </c>
      <c r="D37" s="7" t="str">
        <f t="shared" si="0"/>
        <v>m</v>
      </c>
      <c r="E37" s="17" t="str">
        <f t="shared" si="2"/>
        <v>042</v>
      </c>
    </row>
    <row r="38" spans="1:5" x14ac:dyDescent="0.25">
      <c r="A38" s="5" t="s">
        <v>103</v>
      </c>
      <c r="B38" s="6" t="s">
        <v>104</v>
      </c>
      <c r="C38" s="6" t="s">
        <v>105</v>
      </c>
      <c r="D38" s="7" t="str">
        <f t="shared" si="0"/>
        <v>m</v>
      </c>
      <c r="E38" s="17" t="str">
        <f t="shared" si="2"/>
        <v>021</v>
      </c>
    </row>
    <row r="39" spans="1:5" x14ac:dyDescent="0.25">
      <c r="A39" s="8" t="s">
        <v>106</v>
      </c>
      <c r="B39" s="9" t="s">
        <v>107</v>
      </c>
      <c r="C39" s="9" t="s">
        <v>108</v>
      </c>
      <c r="D39" s="7" t="str">
        <f t="shared" si="0"/>
        <v>m</v>
      </c>
      <c r="E39" s="17" t="str">
        <f t="shared" si="2"/>
        <v>022</v>
      </c>
    </row>
    <row r="40" spans="1:5" x14ac:dyDescent="0.25">
      <c r="A40" s="5" t="s">
        <v>109</v>
      </c>
      <c r="B40" s="6" t="s">
        <v>110</v>
      </c>
      <c r="C40" s="6" t="s">
        <v>111</v>
      </c>
      <c r="D40" s="7" t="str">
        <f t="shared" si="0"/>
        <v>k</v>
      </c>
      <c r="E40" s="17" t="str">
        <f t="shared" si="2"/>
        <v>013</v>
      </c>
    </row>
    <row r="41" spans="1:5" x14ac:dyDescent="0.25">
      <c r="A41" s="8" t="s">
        <v>112</v>
      </c>
      <c r="B41" s="9" t="s">
        <v>113</v>
      </c>
      <c r="C41" s="9" t="s">
        <v>114</v>
      </c>
      <c r="D41" s="7" t="str">
        <f t="shared" si="0"/>
        <v>m</v>
      </c>
      <c r="E41" s="17" t="str">
        <f t="shared" si="2"/>
        <v>143</v>
      </c>
    </row>
    <row r="42" spans="1:5" x14ac:dyDescent="0.25">
      <c r="A42" s="5" t="s">
        <v>115</v>
      </c>
      <c r="B42" s="6" t="s">
        <v>116</v>
      </c>
      <c r="C42" s="6" t="s">
        <v>36</v>
      </c>
      <c r="D42" s="7" t="str">
        <f t="shared" si="0"/>
        <v>m</v>
      </c>
      <c r="E42" s="17" t="str">
        <f t="shared" si="2"/>
        <v>126</v>
      </c>
    </row>
    <row r="43" spans="1:5" x14ac:dyDescent="0.25">
      <c r="A43" s="8" t="s">
        <v>117</v>
      </c>
      <c r="B43" s="9" t="s">
        <v>118</v>
      </c>
      <c r="C43" s="9" t="s">
        <v>73</v>
      </c>
      <c r="D43" s="7" t="str">
        <f t="shared" si="0"/>
        <v>m</v>
      </c>
      <c r="E43" s="17" t="str">
        <f t="shared" si="2"/>
        <v>074</v>
      </c>
    </row>
    <row r="44" spans="1:5" x14ac:dyDescent="0.25">
      <c r="A44" s="5" t="s">
        <v>119</v>
      </c>
      <c r="B44" s="6" t="s">
        <v>120</v>
      </c>
      <c r="C44" s="6" t="s">
        <v>121</v>
      </c>
      <c r="D44" s="7" t="str">
        <f t="shared" si="0"/>
        <v>m</v>
      </c>
      <c r="E44" s="17" t="str">
        <f t="shared" si="2"/>
        <v>074</v>
      </c>
    </row>
    <row r="45" spans="1:5" x14ac:dyDescent="0.25">
      <c r="A45" s="8" t="s">
        <v>122</v>
      </c>
      <c r="B45" s="9" t="s">
        <v>123</v>
      </c>
      <c r="C45" s="9" t="s">
        <v>47</v>
      </c>
      <c r="D45" s="7" t="str">
        <f t="shared" si="0"/>
        <v>m</v>
      </c>
      <c r="E45" s="17" t="str">
        <f t="shared" si="2"/>
        <v>140</v>
      </c>
    </row>
    <row r="46" spans="1:5" x14ac:dyDescent="0.25">
      <c r="A46" s="5" t="s">
        <v>124</v>
      </c>
      <c r="B46" s="6" t="s">
        <v>125</v>
      </c>
      <c r="C46" s="6" t="s">
        <v>25</v>
      </c>
      <c r="D46" s="7" t="str">
        <f t="shared" si="0"/>
        <v>m</v>
      </c>
      <c r="E46" s="17" t="str">
        <f t="shared" si="2"/>
        <v>009</v>
      </c>
    </row>
    <row r="47" spans="1:5" x14ac:dyDescent="0.25">
      <c r="A47" s="8" t="s">
        <v>126</v>
      </c>
      <c r="B47" s="9" t="s">
        <v>127</v>
      </c>
      <c r="C47" s="9" t="s">
        <v>128</v>
      </c>
      <c r="D47" s="7" t="str">
        <f t="shared" si="0"/>
        <v>k</v>
      </c>
      <c r="E47" s="17" t="str">
        <f t="shared" si="2"/>
        <v>017</v>
      </c>
    </row>
    <row r="48" spans="1:5" x14ac:dyDescent="0.25">
      <c r="A48" s="5" t="s">
        <v>129</v>
      </c>
      <c r="B48" s="6" t="s">
        <v>130</v>
      </c>
      <c r="C48" s="6" t="s">
        <v>131</v>
      </c>
      <c r="D48" s="7" t="str">
        <f t="shared" si="0"/>
        <v>k</v>
      </c>
      <c r="E48" s="17" t="str">
        <f t="shared" si="2"/>
        <v>005</v>
      </c>
    </row>
    <row r="49" spans="1:5" x14ac:dyDescent="0.25">
      <c r="A49" s="8" t="s">
        <v>132</v>
      </c>
      <c r="B49" s="9" t="s">
        <v>133</v>
      </c>
      <c r="C49" s="9" t="s">
        <v>121</v>
      </c>
      <c r="D49" s="7" t="str">
        <f t="shared" si="0"/>
        <v>m</v>
      </c>
      <c r="E49" s="17" t="str">
        <f t="shared" si="2"/>
        <v>043</v>
      </c>
    </row>
    <row r="50" spans="1:5" x14ac:dyDescent="0.25">
      <c r="A50" s="5" t="s">
        <v>134</v>
      </c>
      <c r="B50" s="6" t="s">
        <v>135</v>
      </c>
      <c r="C50" s="6" t="s">
        <v>8</v>
      </c>
      <c r="D50" s="7" t="str">
        <f t="shared" si="0"/>
        <v>m</v>
      </c>
      <c r="E50" s="17" t="str">
        <f t="shared" si="2"/>
        <v>024</v>
      </c>
    </row>
    <row r="51" spans="1:5" x14ac:dyDescent="0.25">
      <c r="A51" s="8" t="s">
        <v>136</v>
      </c>
      <c r="B51" s="9" t="s">
        <v>77</v>
      </c>
      <c r="C51" s="9" t="s">
        <v>137</v>
      </c>
      <c r="D51" s="7" t="str">
        <f t="shared" si="0"/>
        <v>k</v>
      </c>
      <c r="E51" s="17" t="str">
        <f t="shared" si="2"/>
        <v>056</v>
      </c>
    </row>
    <row r="52" spans="1:5" x14ac:dyDescent="0.25">
      <c r="A52" s="5" t="s">
        <v>138</v>
      </c>
      <c r="B52" s="6" t="s">
        <v>139</v>
      </c>
      <c r="C52" s="6" t="s">
        <v>56</v>
      </c>
      <c r="D52" s="7" t="str">
        <f t="shared" si="0"/>
        <v>k</v>
      </c>
      <c r="E52" s="17" t="str">
        <f t="shared" si="2"/>
        <v>000</v>
      </c>
    </row>
    <row r="53" spans="1:5" x14ac:dyDescent="0.25">
      <c r="A53" s="8" t="s">
        <v>140</v>
      </c>
      <c r="B53" s="9" t="s">
        <v>141</v>
      </c>
      <c r="C53" s="9" t="s">
        <v>142</v>
      </c>
      <c r="D53" s="7" t="str">
        <f t="shared" si="0"/>
        <v>k</v>
      </c>
      <c r="E53" s="17" t="str">
        <f t="shared" si="2"/>
        <v>026</v>
      </c>
    </row>
    <row r="54" spans="1:5" x14ac:dyDescent="0.25">
      <c r="A54" s="5" t="s">
        <v>143</v>
      </c>
      <c r="B54" s="6" t="s">
        <v>144</v>
      </c>
      <c r="C54" s="6" t="s">
        <v>86</v>
      </c>
      <c r="D54" s="7" t="str">
        <f t="shared" si="0"/>
        <v>k</v>
      </c>
      <c r="E54" s="17" t="str">
        <f t="shared" si="2"/>
        <v>020</v>
      </c>
    </row>
    <row r="55" spans="1:5" x14ac:dyDescent="0.25">
      <c r="A55" s="8" t="s">
        <v>145</v>
      </c>
      <c r="B55" s="9" t="s">
        <v>146</v>
      </c>
      <c r="C55" s="9" t="s">
        <v>147</v>
      </c>
      <c r="D55" s="7" t="str">
        <f t="shared" si="0"/>
        <v>k</v>
      </c>
      <c r="E55" s="17" t="str">
        <f t="shared" si="2"/>
        <v>006</v>
      </c>
    </row>
    <row r="56" spans="1:5" x14ac:dyDescent="0.25">
      <c r="A56" s="5" t="s">
        <v>148</v>
      </c>
      <c r="B56" s="6" t="s">
        <v>149</v>
      </c>
      <c r="C56" s="6" t="s">
        <v>64</v>
      </c>
      <c r="D56" s="7" t="str">
        <f t="shared" si="0"/>
        <v>m</v>
      </c>
      <c r="E56" s="17" t="str">
        <f t="shared" si="2"/>
        <v>090</v>
      </c>
    </row>
    <row r="57" spans="1:5" x14ac:dyDescent="0.25">
      <c r="A57" s="8" t="s">
        <v>150</v>
      </c>
      <c r="B57" s="9" t="s">
        <v>151</v>
      </c>
      <c r="C57" s="9" t="s">
        <v>56</v>
      </c>
      <c r="D57" s="7" t="str">
        <f t="shared" si="0"/>
        <v>k</v>
      </c>
      <c r="E57" s="17" t="str">
        <f t="shared" si="2"/>
        <v>111</v>
      </c>
    </row>
    <row r="58" spans="1:5" x14ac:dyDescent="0.25">
      <c r="A58" s="5" t="s">
        <v>152</v>
      </c>
      <c r="B58" s="6" t="s">
        <v>153</v>
      </c>
      <c r="C58" s="6" t="s">
        <v>111</v>
      </c>
      <c r="D58" s="7" t="str">
        <f t="shared" si="0"/>
        <v>k</v>
      </c>
      <c r="E58" s="17" t="str">
        <f t="shared" si="2"/>
        <v>024</v>
      </c>
    </row>
    <row r="59" spans="1:5" x14ac:dyDescent="0.25">
      <c r="A59" s="8" t="s">
        <v>154</v>
      </c>
      <c r="B59" s="9" t="s">
        <v>155</v>
      </c>
      <c r="C59" s="9" t="s">
        <v>156</v>
      </c>
      <c r="D59" s="7" t="str">
        <f t="shared" si="0"/>
        <v>m</v>
      </c>
      <c r="E59" s="17" t="str">
        <f t="shared" si="2"/>
        <v>007</v>
      </c>
    </row>
    <row r="60" spans="1:5" x14ac:dyDescent="0.25">
      <c r="A60" s="5" t="s">
        <v>157</v>
      </c>
      <c r="B60" s="6" t="s">
        <v>158</v>
      </c>
      <c r="C60" s="6" t="s">
        <v>47</v>
      </c>
      <c r="D60" s="7" t="str">
        <f t="shared" si="0"/>
        <v>m</v>
      </c>
      <c r="E60" s="17" t="str">
        <f t="shared" si="2"/>
        <v>015</v>
      </c>
    </row>
    <row r="61" spans="1:5" x14ac:dyDescent="0.25">
      <c r="A61" s="8" t="s">
        <v>159</v>
      </c>
      <c r="B61" s="9" t="s">
        <v>160</v>
      </c>
      <c r="C61" s="9" t="s">
        <v>161</v>
      </c>
      <c r="D61" s="7" t="str">
        <f t="shared" si="0"/>
        <v>k</v>
      </c>
      <c r="E61" s="17" t="str">
        <f t="shared" si="2"/>
        <v>015</v>
      </c>
    </row>
    <row r="62" spans="1:5" x14ac:dyDescent="0.25">
      <c r="A62" s="5" t="s">
        <v>162</v>
      </c>
      <c r="B62" s="6" t="s">
        <v>163</v>
      </c>
      <c r="C62" s="6" t="s">
        <v>39</v>
      </c>
      <c r="D62" s="7" t="str">
        <f t="shared" si="0"/>
        <v>m</v>
      </c>
      <c r="E62" s="17" t="str">
        <f t="shared" si="2"/>
        <v>016</v>
      </c>
    </row>
    <row r="63" spans="1:5" x14ac:dyDescent="0.25">
      <c r="A63" s="8" t="s">
        <v>164</v>
      </c>
      <c r="B63" s="9" t="s">
        <v>165</v>
      </c>
      <c r="C63" s="9" t="s">
        <v>166</v>
      </c>
      <c r="D63" s="7" t="str">
        <f t="shared" si="0"/>
        <v>m</v>
      </c>
      <c r="E63" s="17" t="str">
        <f t="shared" si="2"/>
        <v>110</v>
      </c>
    </row>
    <row r="64" spans="1:5" x14ac:dyDescent="0.25">
      <c r="A64" s="5" t="s">
        <v>167</v>
      </c>
      <c r="B64" s="6" t="s">
        <v>168</v>
      </c>
      <c r="C64" s="6" t="s">
        <v>169</v>
      </c>
      <c r="D64" s="7" t="str">
        <f t="shared" si="0"/>
        <v>m</v>
      </c>
      <c r="E64" s="17" t="str">
        <f t="shared" si="2"/>
        <v>084</v>
      </c>
    </row>
    <row r="65" spans="1:5" x14ac:dyDescent="0.25">
      <c r="A65" s="8" t="s">
        <v>170</v>
      </c>
      <c r="B65" s="9" t="s">
        <v>171</v>
      </c>
      <c r="C65" s="9" t="s">
        <v>172</v>
      </c>
      <c r="D65" s="7" t="str">
        <f t="shared" si="0"/>
        <v>k</v>
      </c>
      <c r="E65" s="17" t="str">
        <f t="shared" si="2"/>
        <v>074</v>
      </c>
    </row>
    <row r="66" spans="1:5" x14ac:dyDescent="0.25">
      <c r="A66" s="5" t="s">
        <v>173</v>
      </c>
      <c r="B66" s="6" t="s">
        <v>174</v>
      </c>
      <c r="C66" s="6" t="s">
        <v>25</v>
      </c>
      <c r="D66" s="7" t="str">
        <f t="shared" ref="D66:D129" si="3">IF(MOD(LEFT(RIGHT(A66,2),1),2)=0,"k","m")</f>
        <v>m</v>
      </c>
      <c r="E66" s="17" t="str">
        <f t="shared" si="2"/>
        <v>066</v>
      </c>
    </row>
    <row r="67" spans="1:5" x14ac:dyDescent="0.25">
      <c r="A67" s="8" t="s">
        <v>175</v>
      </c>
      <c r="B67" s="9" t="s">
        <v>176</v>
      </c>
      <c r="C67" s="9" t="s">
        <v>86</v>
      </c>
      <c r="D67" s="7" t="str">
        <f t="shared" si="3"/>
        <v>k</v>
      </c>
      <c r="E67" s="17" t="str">
        <f t="shared" ref="E67:E130" si="4">LEFT(RIGHT(A67,5),3)</f>
        <v>061</v>
      </c>
    </row>
    <row r="68" spans="1:5" x14ac:dyDescent="0.25">
      <c r="A68" s="5" t="s">
        <v>177</v>
      </c>
      <c r="B68" s="6" t="s">
        <v>178</v>
      </c>
      <c r="C68" s="6" t="s">
        <v>179</v>
      </c>
      <c r="D68" s="7" t="str">
        <f t="shared" si="3"/>
        <v>k</v>
      </c>
      <c r="E68" s="17" t="str">
        <f t="shared" si="4"/>
        <v>062</v>
      </c>
    </row>
    <row r="69" spans="1:5" x14ac:dyDescent="0.25">
      <c r="A69" s="8" t="s">
        <v>180</v>
      </c>
      <c r="B69" s="9" t="s">
        <v>181</v>
      </c>
      <c r="C69" s="9" t="s">
        <v>182</v>
      </c>
      <c r="D69" s="7" t="str">
        <f t="shared" si="3"/>
        <v>k</v>
      </c>
      <c r="E69" s="17" t="str">
        <f t="shared" si="4"/>
        <v>072</v>
      </c>
    </row>
    <row r="70" spans="1:5" x14ac:dyDescent="0.25">
      <c r="A70" s="5" t="s">
        <v>183</v>
      </c>
      <c r="B70" s="6" t="s">
        <v>184</v>
      </c>
      <c r="C70" s="6" t="s">
        <v>53</v>
      </c>
      <c r="D70" s="7" t="str">
        <f t="shared" si="3"/>
        <v>m</v>
      </c>
      <c r="E70" s="17" t="str">
        <f t="shared" si="4"/>
        <v>079</v>
      </c>
    </row>
    <row r="71" spans="1:5" x14ac:dyDescent="0.25">
      <c r="A71" s="8" t="s">
        <v>185</v>
      </c>
      <c r="B71" s="9" t="s">
        <v>186</v>
      </c>
      <c r="C71" s="9" t="s">
        <v>187</v>
      </c>
      <c r="D71" s="7" t="str">
        <f t="shared" si="3"/>
        <v>k</v>
      </c>
      <c r="E71" s="17" t="str">
        <f t="shared" si="4"/>
        <v>057</v>
      </c>
    </row>
    <row r="72" spans="1:5" x14ac:dyDescent="0.25">
      <c r="A72" s="5" t="s">
        <v>188</v>
      </c>
      <c r="B72" s="6" t="s">
        <v>189</v>
      </c>
      <c r="C72" s="6" t="s">
        <v>44</v>
      </c>
      <c r="D72" s="7" t="str">
        <f t="shared" si="3"/>
        <v>m</v>
      </c>
      <c r="E72" s="17" t="str">
        <f t="shared" si="4"/>
        <v>058</v>
      </c>
    </row>
    <row r="73" spans="1:5" x14ac:dyDescent="0.25">
      <c r="A73" s="8" t="s">
        <v>190</v>
      </c>
      <c r="B73" s="9" t="s">
        <v>191</v>
      </c>
      <c r="C73" s="9" t="s">
        <v>114</v>
      </c>
      <c r="D73" s="7" t="str">
        <f t="shared" si="3"/>
        <v>m</v>
      </c>
      <c r="E73" s="17" t="str">
        <f t="shared" si="4"/>
        <v>051</v>
      </c>
    </row>
    <row r="74" spans="1:5" x14ac:dyDescent="0.25">
      <c r="A74" s="5" t="s">
        <v>192</v>
      </c>
      <c r="B74" s="6" t="s">
        <v>193</v>
      </c>
      <c r="C74" s="6" t="s">
        <v>194</v>
      </c>
      <c r="D74" s="7" t="str">
        <f t="shared" si="3"/>
        <v>k</v>
      </c>
      <c r="E74" s="17" t="str">
        <f t="shared" si="4"/>
        <v>011</v>
      </c>
    </row>
    <row r="75" spans="1:5" x14ac:dyDescent="0.25">
      <c r="A75" s="8" t="s">
        <v>195</v>
      </c>
      <c r="B75" s="9" t="s">
        <v>196</v>
      </c>
      <c r="C75" s="9" t="s">
        <v>20</v>
      </c>
      <c r="D75" s="7" t="str">
        <f t="shared" si="3"/>
        <v>m</v>
      </c>
      <c r="E75" s="17" t="str">
        <f t="shared" si="4"/>
        <v>008</v>
      </c>
    </row>
    <row r="76" spans="1:5" x14ac:dyDescent="0.25">
      <c r="A76" s="5" t="s">
        <v>197</v>
      </c>
      <c r="B76" s="6" t="s">
        <v>198</v>
      </c>
      <c r="C76" s="6" t="s">
        <v>199</v>
      </c>
      <c r="D76" s="7" t="str">
        <f t="shared" si="3"/>
        <v>k</v>
      </c>
      <c r="E76" s="17" t="str">
        <f t="shared" si="4"/>
        <v>016</v>
      </c>
    </row>
    <row r="77" spans="1:5" x14ac:dyDescent="0.25">
      <c r="A77" s="8" t="s">
        <v>200</v>
      </c>
      <c r="B77" s="9" t="s">
        <v>201</v>
      </c>
      <c r="C77" s="9" t="s">
        <v>202</v>
      </c>
      <c r="D77" s="7" t="str">
        <f t="shared" si="3"/>
        <v>m</v>
      </c>
      <c r="E77" s="17" t="str">
        <f t="shared" si="4"/>
        <v>115</v>
      </c>
    </row>
    <row r="78" spans="1:5" x14ac:dyDescent="0.25">
      <c r="A78" s="5" t="s">
        <v>203</v>
      </c>
      <c r="B78" s="6" t="s">
        <v>204</v>
      </c>
      <c r="C78" s="6" t="s">
        <v>205</v>
      </c>
      <c r="D78" s="7" t="str">
        <f t="shared" si="3"/>
        <v>m</v>
      </c>
      <c r="E78" s="17" t="str">
        <f t="shared" si="4"/>
        <v>004</v>
      </c>
    </row>
    <row r="79" spans="1:5" x14ac:dyDescent="0.25">
      <c r="A79" s="8" t="s">
        <v>206</v>
      </c>
      <c r="B79" s="9" t="s">
        <v>207</v>
      </c>
      <c r="C79" s="9" t="s">
        <v>208</v>
      </c>
      <c r="D79" s="7" t="str">
        <f t="shared" si="3"/>
        <v>m</v>
      </c>
      <c r="E79" s="17" t="str">
        <f t="shared" si="4"/>
        <v>037</v>
      </c>
    </row>
    <row r="80" spans="1:5" x14ac:dyDescent="0.25">
      <c r="A80" s="5" t="s">
        <v>209</v>
      </c>
      <c r="B80" s="6" t="s">
        <v>210</v>
      </c>
      <c r="C80" s="6" t="s">
        <v>211</v>
      </c>
      <c r="D80" s="7" t="str">
        <f t="shared" si="3"/>
        <v>k</v>
      </c>
      <c r="E80" s="17" t="str">
        <f t="shared" si="4"/>
        <v>094</v>
      </c>
    </row>
    <row r="81" spans="1:5" x14ac:dyDescent="0.25">
      <c r="A81" s="8" t="s">
        <v>212</v>
      </c>
      <c r="B81" s="9" t="s">
        <v>213</v>
      </c>
      <c r="C81" s="9" t="s">
        <v>214</v>
      </c>
      <c r="D81" s="7" t="str">
        <f t="shared" si="3"/>
        <v>k</v>
      </c>
      <c r="E81" s="17" t="str">
        <f t="shared" si="4"/>
        <v>027</v>
      </c>
    </row>
    <row r="82" spans="1:5" x14ac:dyDescent="0.25">
      <c r="A82" s="5" t="s">
        <v>215</v>
      </c>
      <c r="B82" s="6" t="s">
        <v>216</v>
      </c>
      <c r="C82" s="6" t="s">
        <v>121</v>
      </c>
      <c r="D82" s="7" t="str">
        <f t="shared" si="3"/>
        <v>m</v>
      </c>
      <c r="E82" s="17" t="str">
        <f t="shared" si="4"/>
        <v>017</v>
      </c>
    </row>
    <row r="83" spans="1:5" x14ac:dyDescent="0.25">
      <c r="A83" s="8" t="s">
        <v>217</v>
      </c>
      <c r="B83" s="9" t="s">
        <v>218</v>
      </c>
      <c r="C83" s="9" t="s">
        <v>219</v>
      </c>
      <c r="D83" s="7" t="str">
        <f t="shared" si="3"/>
        <v>m</v>
      </c>
      <c r="E83" s="17" t="str">
        <f t="shared" si="4"/>
        <v>017</v>
      </c>
    </row>
    <row r="84" spans="1:5" x14ac:dyDescent="0.25">
      <c r="A84" s="5" t="s">
        <v>220</v>
      </c>
      <c r="B84" s="6" t="s">
        <v>80</v>
      </c>
      <c r="C84" s="6" t="s">
        <v>17</v>
      </c>
      <c r="D84" s="7" t="str">
        <f t="shared" si="3"/>
        <v>m</v>
      </c>
      <c r="E84" s="17" t="str">
        <f t="shared" si="4"/>
        <v>087</v>
      </c>
    </row>
    <row r="85" spans="1:5" x14ac:dyDescent="0.25">
      <c r="A85" s="8" t="s">
        <v>221</v>
      </c>
      <c r="B85" s="9" t="s">
        <v>222</v>
      </c>
      <c r="C85" s="9" t="s">
        <v>223</v>
      </c>
      <c r="D85" s="7" t="str">
        <f t="shared" si="3"/>
        <v>m</v>
      </c>
      <c r="E85" s="17" t="str">
        <f t="shared" si="4"/>
        <v>069</v>
      </c>
    </row>
    <row r="86" spans="1:5" x14ac:dyDescent="0.25">
      <c r="A86" s="5" t="s">
        <v>224</v>
      </c>
      <c r="B86" s="6" t="s">
        <v>225</v>
      </c>
      <c r="C86" s="6" t="s">
        <v>226</v>
      </c>
      <c r="D86" s="7" t="str">
        <f t="shared" si="3"/>
        <v>k</v>
      </c>
      <c r="E86" s="17" t="str">
        <f t="shared" si="4"/>
        <v>063</v>
      </c>
    </row>
    <row r="87" spans="1:5" x14ac:dyDescent="0.25">
      <c r="A87" s="8" t="s">
        <v>227</v>
      </c>
      <c r="B87" s="9" t="s">
        <v>228</v>
      </c>
      <c r="C87" s="9" t="s">
        <v>14</v>
      </c>
      <c r="D87" s="7" t="str">
        <f t="shared" si="3"/>
        <v>m</v>
      </c>
      <c r="E87" s="17" t="str">
        <f t="shared" si="4"/>
        <v>039</v>
      </c>
    </row>
    <row r="88" spans="1:5" x14ac:dyDescent="0.25">
      <c r="A88" s="5" t="s">
        <v>229</v>
      </c>
      <c r="B88" s="6" t="s">
        <v>123</v>
      </c>
      <c r="C88" s="6" t="s">
        <v>230</v>
      </c>
      <c r="D88" s="7" t="str">
        <f t="shared" si="3"/>
        <v>m</v>
      </c>
      <c r="E88" s="17" t="str">
        <f t="shared" si="4"/>
        <v>030</v>
      </c>
    </row>
    <row r="89" spans="1:5" x14ac:dyDescent="0.25">
      <c r="A89" s="8" t="s">
        <v>231</v>
      </c>
      <c r="B89" s="9" t="s">
        <v>232</v>
      </c>
      <c r="C89" s="9" t="s">
        <v>233</v>
      </c>
      <c r="D89" s="7" t="str">
        <f t="shared" si="3"/>
        <v>k</v>
      </c>
      <c r="E89" s="17" t="str">
        <f t="shared" si="4"/>
        <v>014</v>
      </c>
    </row>
    <row r="90" spans="1:5" x14ac:dyDescent="0.25">
      <c r="A90" s="5" t="s">
        <v>234</v>
      </c>
      <c r="B90" s="6" t="s">
        <v>235</v>
      </c>
      <c r="C90" s="6" t="s">
        <v>5</v>
      </c>
      <c r="D90" s="7" t="str">
        <f t="shared" si="3"/>
        <v>m</v>
      </c>
      <c r="E90" s="17" t="str">
        <f t="shared" si="4"/>
        <v>017</v>
      </c>
    </row>
    <row r="91" spans="1:5" x14ac:dyDescent="0.25">
      <c r="A91" s="8" t="s">
        <v>236</v>
      </c>
      <c r="B91" s="9" t="s">
        <v>237</v>
      </c>
      <c r="C91" s="9" t="s">
        <v>238</v>
      </c>
      <c r="D91" s="7" t="str">
        <f t="shared" si="3"/>
        <v>m</v>
      </c>
      <c r="E91" s="17" t="str">
        <f t="shared" si="4"/>
        <v>030</v>
      </c>
    </row>
    <row r="92" spans="1:5" x14ac:dyDescent="0.25">
      <c r="A92" s="5" t="s">
        <v>239</v>
      </c>
      <c r="B92" s="6" t="s">
        <v>240</v>
      </c>
      <c r="C92" s="6" t="s">
        <v>241</v>
      </c>
      <c r="D92" s="7" t="str">
        <f t="shared" si="3"/>
        <v>k</v>
      </c>
      <c r="E92" s="17" t="str">
        <f t="shared" si="4"/>
        <v>023</v>
      </c>
    </row>
    <row r="93" spans="1:5" x14ac:dyDescent="0.25">
      <c r="A93" s="8" t="s">
        <v>242</v>
      </c>
      <c r="B93" s="9" t="s">
        <v>243</v>
      </c>
      <c r="C93" s="9" t="s">
        <v>233</v>
      </c>
      <c r="D93" s="7" t="str">
        <f t="shared" si="3"/>
        <v>k</v>
      </c>
      <c r="E93" s="17" t="str">
        <f t="shared" si="4"/>
        <v>064</v>
      </c>
    </row>
    <row r="94" spans="1:5" x14ac:dyDescent="0.25">
      <c r="A94" s="5" t="s">
        <v>244</v>
      </c>
      <c r="B94" s="6" t="s">
        <v>245</v>
      </c>
      <c r="C94" s="6" t="s">
        <v>246</v>
      </c>
      <c r="D94" s="7" t="str">
        <f t="shared" si="3"/>
        <v>m</v>
      </c>
      <c r="E94" s="17" t="str">
        <f t="shared" si="4"/>
        <v>093</v>
      </c>
    </row>
    <row r="95" spans="1:5" x14ac:dyDescent="0.25">
      <c r="A95" s="8" t="s">
        <v>247</v>
      </c>
      <c r="B95" s="9" t="s">
        <v>248</v>
      </c>
      <c r="C95" s="9" t="s">
        <v>249</v>
      </c>
      <c r="D95" s="7" t="str">
        <f t="shared" si="3"/>
        <v>k</v>
      </c>
      <c r="E95" s="17" t="str">
        <f t="shared" si="4"/>
        <v>014</v>
      </c>
    </row>
    <row r="96" spans="1:5" x14ac:dyDescent="0.25">
      <c r="A96" s="5" t="s">
        <v>250</v>
      </c>
      <c r="B96" s="6" t="s">
        <v>251</v>
      </c>
      <c r="C96" s="6" t="s">
        <v>252</v>
      </c>
      <c r="D96" s="7" t="str">
        <f t="shared" si="3"/>
        <v>m</v>
      </c>
      <c r="E96" s="17" t="str">
        <f t="shared" si="4"/>
        <v>027</v>
      </c>
    </row>
    <row r="97" spans="1:5" x14ac:dyDescent="0.25">
      <c r="A97" s="8" t="s">
        <v>253</v>
      </c>
      <c r="B97" s="9" t="s">
        <v>254</v>
      </c>
      <c r="C97" s="9" t="s">
        <v>5</v>
      </c>
      <c r="D97" s="7" t="str">
        <f t="shared" si="3"/>
        <v>m</v>
      </c>
      <c r="E97" s="17" t="str">
        <f t="shared" si="4"/>
        <v>110</v>
      </c>
    </row>
    <row r="98" spans="1:5" x14ac:dyDescent="0.25">
      <c r="A98" s="5" t="s">
        <v>255</v>
      </c>
      <c r="B98" s="6" t="s">
        <v>256</v>
      </c>
      <c r="C98" s="6" t="s">
        <v>257</v>
      </c>
      <c r="D98" s="7" t="str">
        <f t="shared" si="3"/>
        <v>m</v>
      </c>
      <c r="E98" s="17" t="str">
        <f t="shared" si="4"/>
        <v>008</v>
      </c>
    </row>
    <row r="99" spans="1:5" x14ac:dyDescent="0.25">
      <c r="A99" s="8" t="s">
        <v>258</v>
      </c>
      <c r="B99" s="9" t="s">
        <v>259</v>
      </c>
      <c r="C99" s="9" t="s">
        <v>260</v>
      </c>
      <c r="D99" s="7" t="str">
        <f t="shared" si="3"/>
        <v>m</v>
      </c>
      <c r="E99" s="17" t="str">
        <f t="shared" si="4"/>
        <v>056</v>
      </c>
    </row>
    <row r="100" spans="1:5" x14ac:dyDescent="0.25">
      <c r="A100" s="5" t="s">
        <v>261</v>
      </c>
      <c r="B100" s="6" t="s">
        <v>262</v>
      </c>
      <c r="C100" s="6" t="s">
        <v>263</v>
      </c>
      <c r="D100" s="7" t="str">
        <f t="shared" si="3"/>
        <v>k</v>
      </c>
      <c r="E100" s="17" t="str">
        <f t="shared" si="4"/>
        <v>059</v>
      </c>
    </row>
    <row r="101" spans="1:5" x14ac:dyDescent="0.25">
      <c r="A101" s="8" t="s">
        <v>264</v>
      </c>
      <c r="B101" s="9" t="s">
        <v>265</v>
      </c>
      <c r="C101" s="9" t="s">
        <v>266</v>
      </c>
      <c r="D101" s="7" t="str">
        <f t="shared" si="3"/>
        <v>k</v>
      </c>
      <c r="E101" s="17" t="str">
        <f t="shared" si="4"/>
        <v>014</v>
      </c>
    </row>
    <row r="102" spans="1:5" x14ac:dyDescent="0.25">
      <c r="A102" s="5" t="s">
        <v>267</v>
      </c>
      <c r="B102" s="6" t="s">
        <v>268</v>
      </c>
      <c r="C102" s="6" t="s">
        <v>269</v>
      </c>
      <c r="D102" s="7" t="str">
        <f t="shared" si="3"/>
        <v>m</v>
      </c>
      <c r="E102" s="17" t="str">
        <f t="shared" si="4"/>
        <v>060</v>
      </c>
    </row>
    <row r="103" spans="1:5" x14ac:dyDescent="0.25">
      <c r="A103" s="8" t="s">
        <v>270</v>
      </c>
      <c r="B103" s="9" t="s">
        <v>271</v>
      </c>
      <c r="C103" s="9" t="s">
        <v>272</v>
      </c>
      <c r="D103" s="7" t="str">
        <f t="shared" si="3"/>
        <v>k</v>
      </c>
      <c r="E103" s="17" t="str">
        <f t="shared" si="4"/>
        <v>092</v>
      </c>
    </row>
    <row r="104" spans="1:5" x14ac:dyDescent="0.25">
      <c r="A104" s="5" t="s">
        <v>273</v>
      </c>
      <c r="B104" s="6" t="s">
        <v>274</v>
      </c>
      <c r="C104" s="6" t="s">
        <v>275</v>
      </c>
      <c r="D104" s="7" t="str">
        <f t="shared" si="3"/>
        <v>k</v>
      </c>
      <c r="E104" s="17" t="str">
        <f t="shared" si="4"/>
        <v>011</v>
      </c>
    </row>
    <row r="105" spans="1:5" x14ac:dyDescent="0.25">
      <c r="A105" s="8" t="s">
        <v>276</v>
      </c>
      <c r="B105" s="9" t="s">
        <v>277</v>
      </c>
      <c r="C105" s="9" t="s">
        <v>278</v>
      </c>
      <c r="D105" s="7" t="str">
        <f t="shared" si="3"/>
        <v>m</v>
      </c>
      <c r="E105" s="17" t="str">
        <f t="shared" si="4"/>
        <v>038</v>
      </c>
    </row>
    <row r="106" spans="1:5" x14ac:dyDescent="0.25">
      <c r="A106" s="5" t="s">
        <v>279</v>
      </c>
      <c r="B106" s="6" t="s">
        <v>280</v>
      </c>
      <c r="C106" s="6" t="s">
        <v>281</v>
      </c>
      <c r="D106" s="7" t="str">
        <f t="shared" si="3"/>
        <v>m</v>
      </c>
      <c r="E106" s="17" t="str">
        <f t="shared" si="4"/>
        <v>038</v>
      </c>
    </row>
    <row r="107" spans="1:5" x14ac:dyDescent="0.25">
      <c r="A107" s="8" t="s">
        <v>282</v>
      </c>
      <c r="B107" s="9" t="s">
        <v>283</v>
      </c>
      <c r="C107" s="9" t="s">
        <v>284</v>
      </c>
      <c r="D107" s="7" t="str">
        <f t="shared" si="3"/>
        <v>k</v>
      </c>
      <c r="E107" s="17" t="str">
        <f t="shared" si="4"/>
        <v>070</v>
      </c>
    </row>
    <row r="108" spans="1:5" x14ac:dyDescent="0.25">
      <c r="A108" s="5" t="s">
        <v>285</v>
      </c>
      <c r="B108" s="6" t="s">
        <v>286</v>
      </c>
      <c r="C108" s="6" t="s">
        <v>287</v>
      </c>
      <c r="D108" s="7" t="str">
        <f t="shared" si="3"/>
        <v>m</v>
      </c>
      <c r="E108" s="17" t="str">
        <f t="shared" si="4"/>
        <v>074</v>
      </c>
    </row>
    <row r="109" spans="1:5" x14ac:dyDescent="0.25">
      <c r="A109" s="8" t="s">
        <v>288</v>
      </c>
      <c r="B109" s="9" t="s">
        <v>289</v>
      </c>
      <c r="C109" s="9" t="s">
        <v>17</v>
      </c>
      <c r="D109" s="7" t="str">
        <f t="shared" si="3"/>
        <v>m</v>
      </c>
      <c r="E109" s="17" t="str">
        <f t="shared" si="4"/>
        <v>074</v>
      </c>
    </row>
    <row r="110" spans="1:5" x14ac:dyDescent="0.25">
      <c r="A110" s="5" t="s">
        <v>290</v>
      </c>
      <c r="B110" s="6" t="s">
        <v>291</v>
      </c>
      <c r="C110" s="6" t="s">
        <v>292</v>
      </c>
      <c r="D110" s="7" t="str">
        <f t="shared" si="3"/>
        <v>m</v>
      </c>
      <c r="E110" s="17" t="str">
        <f t="shared" si="4"/>
        <v>074</v>
      </c>
    </row>
    <row r="111" spans="1:5" x14ac:dyDescent="0.25">
      <c r="A111" s="8" t="s">
        <v>293</v>
      </c>
      <c r="B111" s="9" t="s">
        <v>294</v>
      </c>
      <c r="C111" s="9" t="s">
        <v>295</v>
      </c>
      <c r="D111" s="7" t="str">
        <f t="shared" si="3"/>
        <v>k</v>
      </c>
      <c r="E111" s="17" t="str">
        <f t="shared" si="4"/>
        <v>051</v>
      </c>
    </row>
    <row r="112" spans="1:5" x14ac:dyDescent="0.25">
      <c r="A112" s="5" t="s">
        <v>296</v>
      </c>
      <c r="B112" s="6" t="s">
        <v>297</v>
      </c>
      <c r="C112" s="6" t="s">
        <v>298</v>
      </c>
      <c r="D112" s="7" t="str">
        <f t="shared" si="3"/>
        <v>k</v>
      </c>
      <c r="E112" s="17" t="str">
        <f t="shared" si="4"/>
        <v>065</v>
      </c>
    </row>
    <row r="113" spans="1:5" x14ac:dyDescent="0.25">
      <c r="A113" s="8" t="s">
        <v>299</v>
      </c>
      <c r="B113" s="9" t="s">
        <v>300</v>
      </c>
      <c r="C113" s="9" t="s">
        <v>64</v>
      </c>
      <c r="D113" s="7" t="str">
        <f t="shared" si="3"/>
        <v>m</v>
      </c>
      <c r="E113" s="17" t="str">
        <f t="shared" si="4"/>
        <v>069</v>
      </c>
    </row>
    <row r="114" spans="1:5" x14ac:dyDescent="0.25">
      <c r="A114" s="5" t="s">
        <v>301</v>
      </c>
      <c r="B114" s="6" t="s">
        <v>302</v>
      </c>
      <c r="C114" s="6" t="s">
        <v>78</v>
      </c>
      <c r="D114" s="7" t="str">
        <f t="shared" si="3"/>
        <v>k</v>
      </c>
      <c r="E114" s="17" t="str">
        <f t="shared" si="4"/>
        <v>049</v>
      </c>
    </row>
    <row r="115" spans="1:5" x14ac:dyDescent="0.25">
      <c r="A115" s="8" t="s">
        <v>303</v>
      </c>
      <c r="B115" s="9" t="s">
        <v>304</v>
      </c>
      <c r="C115" s="9" t="s">
        <v>208</v>
      </c>
      <c r="D115" s="7" t="str">
        <f t="shared" si="3"/>
        <v>m</v>
      </c>
      <c r="E115" s="17" t="str">
        <f t="shared" si="4"/>
        <v>042</v>
      </c>
    </row>
    <row r="116" spans="1:5" x14ac:dyDescent="0.25">
      <c r="A116" s="5" t="s">
        <v>305</v>
      </c>
      <c r="B116" s="6" t="s">
        <v>306</v>
      </c>
      <c r="C116" s="6" t="s">
        <v>92</v>
      </c>
      <c r="D116" s="7" t="str">
        <f t="shared" si="3"/>
        <v>m</v>
      </c>
      <c r="E116" s="17" t="str">
        <f t="shared" si="4"/>
        <v>082</v>
      </c>
    </row>
    <row r="117" spans="1:5" x14ac:dyDescent="0.25">
      <c r="A117" s="8" t="s">
        <v>307</v>
      </c>
      <c r="B117" s="9" t="s">
        <v>308</v>
      </c>
      <c r="C117" s="9" t="s">
        <v>309</v>
      </c>
      <c r="D117" s="7" t="str">
        <f t="shared" si="3"/>
        <v>k</v>
      </c>
      <c r="E117" s="17" t="str">
        <f t="shared" si="4"/>
        <v>035</v>
      </c>
    </row>
    <row r="118" spans="1:5" x14ac:dyDescent="0.25">
      <c r="A118" s="5" t="s">
        <v>310</v>
      </c>
      <c r="B118" s="6" t="s">
        <v>311</v>
      </c>
      <c r="C118" s="6" t="s">
        <v>64</v>
      </c>
      <c r="D118" s="7" t="str">
        <f t="shared" si="3"/>
        <v>m</v>
      </c>
      <c r="E118" s="17" t="str">
        <f t="shared" si="4"/>
        <v>059</v>
      </c>
    </row>
    <row r="119" spans="1:5" x14ac:dyDescent="0.25">
      <c r="A119" s="8" t="s">
        <v>312</v>
      </c>
      <c r="B119" s="9" t="s">
        <v>313</v>
      </c>
      <c r="C119" s="9" t="s">
        <v>121</v>
      </c>
      <c r="D119" s="7" t="str">
        <f t="shared" si="3"/>
        <v>m</v>
      </c>
      <c r="E119" s="17" t="str">
        <f t="shared" si="4"/>
        <v>059</v>
      </c>
    </row>
    <row r="120" spans="1:5" x14ac:dyDescent="0.25">
      <c r="A120" s="5" t="s">
        <v>314</v>
      </c>
      <c r="B120" s="6" t="s">
        <v>315</v>
      </c>
      <c r="C120" s="6" t="s">
        <v>64</v>
      </c>
      <c r="D120" s="7" t="str">
        <f t="shared" si="3"/>
        <v>m</v>
      </c>
      <c r="E120" s="17" t="str">
        <f t="shared" si="4"/>
        <v>100</v>
      </c>
    </row>
    <row r="121" spans="1:5" x14ac:dyDescent="0.25">
      <c r="A121" s="8" t="s">
        <v>316</v>
      </c>
      <c r="B121" s="9" t="s">
        <v>317</v>
      </c>
      <c r="C121" s="9" t="s">
        <v>318</v>
      </c>
      <c r="D121" s="7" t="str">
        <f t="shared" si="3"/>
        <v>k</v>
      </c>
      <c r="E121" s="17" t="str">
        <f t="shared" si="4"/>
        <v>049</v>
      </c>
    </row>
    <row r="122" spans="1:5" x14ac:dyDescent="0.25">
      <c r="A122" s="5" t="s">
        <v>319</v>
      </c>
      <c r="B122" s="6" t="s">
        <v>320</v>
      </c>
      <c r="C122" s="6" t="s">
        <v>260</v>
      </c>
      <c r="D122" s="7" t="str">
        <f t="shared" si="3"/>
        <v>m</v>
      </c>
      <c r="E122" s="17" t="str">
        <f t="shared" si="4"/>
        <v>129</v>
      </c>
    </row>
    <row r="123" spans="1:5" x14ac:dyDescent="0.25">
      <c r="A123" s="8" t="s">
        <v>321</v>
      </c>
      <c r="B123" s="9" t="s">
        <v>322</v>
      </c>
      <c r="C123" s="9" t="s">
        <v>323</v>
      </c>
      <c r="D123" s="7" t="str">
        <f t="shared" si="3"/>
        <v>k</v>
      </c>
      <c r="E123" s="17" t="str">
        <f t="shared" si="4"/>
        <v>027</v>
      </c>
    </row>
    <row r="124" spans="1:5" x14ac:dyDescent="0.25">
      <c r="A124" s="5" t="s">
        <v>324</v>
      </c>
      <c r="B124" s="6" t="s">
        <v>325</v>
      </c>
      <c r="C124" s="6" t="s">
        <v>131</v>
      </c>
      <c r="D124" s="7" t="str">
        <f t="shared" si="3"/>
        <v>k</v>
      </c>
      <c r="E124" s="17" t="str">
        <f t="shared" si="4"/>
        <v>052</v>
      </c>
    </row>
    <row r="125" spans="1:5" x14ac:dyDescent="0.25">
      <c r="A125" s="8" t="s">
        <v>326</v>
      </c>
      <c r="B125" s="9" t="s">
        <v>327</v>
      </c>
      <c r="C125" s="9" t="s">
        <v>179</v>
      </c>
      <c r="D125" s="7" t="str">
        <f t="shared" si="3"/>
        <v>k</v>
      </c>
      <c r="E125" s="17" t="str">
        <f t="shared" si="4"/>
        <v>020</v>
      </c>
    </row>
    <row r="126" spans="1:5" x14ac:dyDescent="0.25">
      <c r="A126" s="5" t="s">
        <v>328</v>
      </c>
      <c r="B126" s="6" t="s">
        <v>329</v>
      </c>
      <c r="C126" s="6" t="s">
        <v>330</v>
      </c>
      <c r="D126" s="7" t="str">
        <f t="shared" si="3"/>
        <v>k</v>
      </c>
      <c r="E126" s="17" t="str">
        <f t="shared" si="4"/>
        <v>041</v>
      </c>
    </row>
    <row r="127" spans="1:5" x14ac:dyDescent="0.25">
      <c r="A127" s="8" t="s">
        <v>331</v>
      </c>
      <c r="B127" s="9" t="s">
        <v>332</v>
      </c>
      <c r="C127" s="9" t="s">
        <v>202</v>
      </c>
      <c r="D127" s="7" t="str">
        <f t="shared" si="3"/>
        <v>m</v>
      </c>
      <c r="E127" s="17" t="str">
        <f t="shared" si="4"/>
        <v>112</v>
      </c>
    </row>
    <row r="128" spans="1:5" x14ac:dyDescent="0.25">
      <c r="A128" s="5" t="s">
        <v>333</v>
      </c>
      <c r="B128" s="6" t="s">
        <v>334</v>
      </c>
      <c r="C128" s="6" t="s">
        <v>335</v>
      </c>
      <c r="D128" s="7" t="str">
        <f t="shared" si="3"/>
        <v>k</v>
      </c>
      <c r="E128" s="17" t="str">
        <f t="shared" si="4"/>
        <v>122</v>
      </c>
    </row>
    <row r="129" spans="1:5" x14ac:dyDescent="0.25">
      <c r="A129" s="8" t="s">
        <v>336</v>
      </c>
      <c r="B129" s="9" t="s">
        <v>337</v>
      </c>
      <c r="C129" s="9" t="s">
        <v>17</v>
      </c>
      <c r="D129" s="7" t="str">
        <f t="shared" si="3"/>
        <v>m</v>
      </c>
      <c r="E129" s="17" t="str">
        <f t="shared" si="4"/>
        <v>023</v>
      </c>
    </row>
    <row r="130" spans="1:5" x14ac:dyDescent="0.25">
      <c r="A130" s="5" t="s">
        <v>338</v>
      </c>
      <c r="B130" s="6" t="s">
        <v>339</v>
      </c>
      <c r="C130" s="6" t="s">
        <v>340</v>
      </c>
      <c r="D130" s="7" t="str">
        <f t="shared" ref="D130:D193" si="5">IF(MOD(LEFT(RIGHT(A130,2),1),2)=0,"k","m")</f>
        <v>k</v>
      </c>
      <c r="E130" s="17" t="str">
        <f t="shared" si="4"/>
        <v>039</v>
      </c>
    </row>
    <row r="131" spans="1:5" x14ac:dyDescent="0.25">
      <c r="A131" s="8" t="s">
        <v>341</v>
      </c>
      <c r="B131" s="9" t="s">
        <v>342</v>
      </c>
      <c r="C131" s="9" t="s">
        <v>108</v>
      </c>
      <c r="D131" s="7" t="str">
        <f t="shared" si="5"/>
        <v>m</v>
      </c>
      <c r="E131" s="17" t="str">
        <f t="shared" ref="E131:E194" si="6">LEFT(RIGHT(A131,5),3)</f>
        <v>013</v>
      </c>
    </row>
    <row r="132" spans="1:5" x14ac:dyDescent="0.25">
      <c r="A132" s="5" t="s">
        <v>343</v>
      </c>
      <c r="B132" s="6" t="s">
        <v>344</v>
      </c>
      <c r="C132" s="6" t="s">
        <v>345</v>
      </c>
      <c r="D132" s="7" t="str">
        <f t="shared" si="5"/>
        <v>k</v>
      </c>
      <c r="E132" s="17" t="str">
        <f t="shared" si="6"/>
        <v>013</v>
      </c>
    </row>
    <row r="133" spans="1:5" x14ac:dyDescent="0.25">
      <c r="A133" s="8" t="s">
        <v>346</v>
      </c>
      <c r="B133" s="9" t="s">
        <v>347</v>
      </c>
      <c r="C133" s="9" t="s">
        <v>348</v>
      </c>
      <c r="D133" s="7" t="str">
        <f t="shared" si="5"/>
        <v>k</v>
      </c>
      <c r="E133" s="17" t="str">
        <f t="shared" si="6"/>
        <v>014</v>
      </c>
    </row>
    <row r="134" spans="1:5" x14ac:dyDescent="0.25">
      <c r="A134" s="5" t="s">
        <v>349</v>
      </c>
      <c r="B134" s="6" t="s">
        <v>350</v>
      </c>
      <c r="C134" s="6" t="s">
        <v>351</v>
      </c>
      <c r="D134" s="7" t="str">
        <f t="shared" si="5"/>
        <v>k</v>
      </c>
      <c r="E134" s="17" t="str">
        <f t="shared" si="6"/>
        <v>006</v>
      </c>
    </row>
    <row r="135" spans="1:5" x14ac:dyDescent="0.25">
      <c r="A135" s="8" t="s">
        <v>352</v>
      </c>
      <c r="B135" s="9" t="s">
        <v>353</v>
      </c>
      <c r="C135" s="9" t="s">
        <v>89</v>
      </c>
      <c r="D135" s="7" t="str">
        <f t="shared" si="5"/>
        <v>k</v>
      </c>
      <c r="E135" s="17" t="str">
        <f t="shared" si="6"/>
        <v>007</v>
      </c>
    </row>
    <row r="136" spans="1:5" x14ac:dyDescent="0.25">
      <c r="A136" s="5" t="s">
        <v>354</v>
      </c>
      <c r="B136" s="6" t="s">
        <v>355</v>
      </c>
      <c r="C136" s="6" t="s">
        <v>356</v>
      </c>
      <c r="D136" s="7" t="str">
        <f t="shared" si="5"/>
        <v>m</v>
      </c>
      <c r="E136" s="17" t="str">
        <f t="shared" si="6"/>
        <v>008</v>
      </c>
    </row>
    <row r="137" spans="1:5" x14ac:dyDescent="0.25">
      <c r="A137" s="8" t="s">
        <v>357</v>
      </c>
      <c r="B137" s="9" t="s">
        <v>358</v>
      </c>
      <c r="C137" s="9" t="s">
        <v>359</v>
      </c>
      <c r="D137" s="7" t="str">
        <f t="shared" si="5"/>
        <v>k</v>
      </c>
      <c r="E137" s="17" t="str">
        <f t="shared" si="6"/>
        <v>020</v>
      </c>
    </row>
    <row r="138" spans="1:5" x14ac:dyDescent="0.25">
      <c r="A138" s="5" t="s">
        <v>360</v>
      </c>
      <c r="B138" s="6" t="s">
        <v>361</v>
      </c>
      <c r="C138" s="6" t="s">
        <v>345</v>
      </c>
      <c r="D138" s="7" t="str">
        <f t="shared" si="5"/>
        <v>k</v>
      </c>
      <c r="E138" s="17" t="str">
        <f t="shared" si="6"/>
        <v>014</v>
      </c>
    </row>
    <row r="139" spans="1:5" x14ac:dyDescent="0.25">
      <c r="A139" s="8" t="s">
        <v>362</v>
      </c>
      <c r="B139" s="9" t="s">
        <v>363</v>
      </c>
      <c r="C139" s="9" t="s">
        <v>194</v>
      </c>
      <c r="D139" s="7" t="str">
        <f t="shared" si="5"/>
        <v>k</v>
      </c>
      <c r="E139" s="17" t="str">
        <f t="shared" si="6"/>
        <v>014</v>
      </c>
    </row>
    <row r="140" spans="1:5" x14ac:dyDescent="0.25">
      <c r="A140" s="5" t="s">
        <v>364</v>
      </c>
      <c r="B140" s="6" t="s">
        <v>365</v>
      </c>
      <c r="C140" s="6" t="s">
        <v>309</v>
      </c>
      <c r="D140" s="7" t="str">
        <f t="shared" si="5"/>
        <v>k</v>
      </c>
      <c r="E140" s="17" t="str">
        <f t="shared" si="6"/>
        <v>039</v>
      </c>
    </row>
    <row r="141" spans="1:5" x14ac:dyDescent="0.25">
      <c r="A141" s="8" t="s">
        <v>366</v>
      </c>
      <c r="B141" s="9" t="s">
        <v>367</v>
      </c>
      <c r="C141" s="9" t="s">
        <v>108</v>
      </c>
      <c r="D141" s="7" t="str">
        <f t="shared" si="5"/>
        <v>m</v>
      </c>
      <c r="E141" s="17" t="str">
        <f t="shared" si="6"/>
        <v>020</v>
      </c>
    </row>
    <row r="142" spans="1:5" x14ac:dyDescent="0.25">
      <c r="A142" s="5" t="s">
        <v>368</v>
      </c>
      <c r="B142" s="6" t="s">
        <v>369</v>
      </c>
      <c r="C142" s="6" t="s">
        <v>187</v>
      </c>
      <c r="D142" s="7" t="str">
        <f t="shared" si="5"/>
        <v>k</v>
      </c>
      <c r="E142" s="17" t="str">
        <f t="shared" si="6"/>
        <v>062</v>
      </c>
    </row>
    <row r="143" spans="1:5" x14ac:dyDescent="0.25">
      <c r="A143" s="8" t="s">
        <v>370</v>
      </c>
      <c r="B143" s="9" t="s">
        <v>369</v>
      </c>
      <c r="C143" s="9" t="s">
        <v>371</v>
      </c>
      <c r="D143" s="7" t="str">
        <f t="shared" si="5"/>
        <v>k</v>
      </c>
      <c r="E143" s="17" t="str">
        <f t="shared" si="6"/>
        <v>063</v>
      </c>
    </row>
    <row r="144" spans="1:5" x14ac:dyDescent="0.25">
      <c r="A144" s="5" t="s">
        <v>372</v>
      </c>
      <c r="B144" s="6" t="s">
        <v>373</v>
      </c>
      <c r="C144" s="6" t="s">
        <v>166</v>
      </c>
      <c r="D144" s="7" t="str">
        <f t="shared" si="5"/>
        <v>m</v>
      </c>
      <c r="E144" s="17" t="str">
        <f t="shared" si="6"/>
        <v>084</v>
      </c>
    </row>
    <row r="145" spans="1:5" x14ac:dyDescent="0.25">
      <c r="A145" s="8" t="s">
        <v>374</v>
      </c>
      <c r="B145" s="9" t="s">
        <v>375</v>
      </c>
      <c r="C145" s="9" t="s">
        <v>376</v>
      </c>
      <c r="D145" s="7" t="str">
        <f t="shared" si="5"/>
        <v>m</v>
      </c>
      <c r="E145" s="17" t="str">
        <f t="shared" si="6"/>
        <v>096</v>
      </c>
    </row>
    <row r="146" spans="1:5" x14ac:dyDescent="0.25">
      <c r="A146" s="5" t="s">
        <v>377</v>
      </c>
      <c r="B146" s="6" t="s">
        <v>378</v>
      </c>
      <c r="C146" s="6" t="s">
        <v>379</v>
      </c>
      <c r="D146" s="7" t="str">
        <f t="shared" si="5"/>
        <v>m</v>
      </c>
      <c r="E146" s="17" t="str">
        <f t="shared" si="6"/>
        <v>010</v>
      </c>
    </row>
    <row r="147" spans="1:5" x14ac:dyDescent="0.25">
      <c r="A147" s="8" t="s">
        <v>380</v>
      </c>
      <c r="B147" s="9" t="s">
        <v>381</v>
      </c>
      <c r="C147" s="9" t="s">
        <v>382</v>
      </c>
      <c r="D147" s="7" t="str">
        <f t="shared" si="5"/>
        <v>k</v>
      </c>
      <c r="E147" s="17" t="str">
        <f t="shared" si="6"/>
        <v>004</v>
      </c>
    </row>
    <row r="148" spans="1:5" x14ac:dyDescent="0.25">
      <c r="A148" s="5" t="s">
        <v>383</v>
      </c>
      <c r="B148" s="6" t="s">
        <v>384</v>
      </c>
      <c r="C148" s="6" t="s">
        <v>67</v>
      </c>
      <c r="D148" s="7" t="str">
        <f t="shared" si="5"/>
        <v>k</v>
      </c>
      <c r="E148" s="17" t="str">
        <f t="shared" si="6"/>
        <v>001</v>
      </c>
    </row>
    <row r="149" spans="1:5" x14ac:dyDescent="0.25">
      <c r="A149" s="8" t="s">
        <v>385</v>
      </c>
      <c r="B149" s="9" t="s">
        <v>386</v>
      </c>
      <c r="C149" s="9" t="s">
        <v>214</v>
      </c>
      <c r="D149" s="7" t="str">
        <f t="shared" si="5"/>
        <v>k</v>
      </c>
      <c r="E149" s="17" t="str">
        <f t="shared" si="6"/>
        <v>091</v>
      </c>
    </row>
    <row r="150" spans="1:5" x14ac:dyDescent="0.25">
      <c r="A150" s="5" t="s">
        <v>387</v>
      </c>
      <c r="B150" s="6" t="s">
        <v>388</v>
      </c>
      <c r="C150" s="6" t="s">
        <v>241</v>
      </c>
      <c r="D150" s="7" t="str">
        <f t="shared" si="5"/>
        <v>k</v>
      </c>
      <c r="E150" s="17" t="str">
        <f t="shared" si="6"/>
        <v>109</v>
      </c>
    </row>
    <row r="151" spans="1:5" x14ac:dyDescent="0.25">
      <c r="A151" s="8" t="s">
        <v>389</v>
      </c>
      <c r="B151" s="9" t="s">
        <v>390</v>
      </c>
      <c r="C151" s="9" t="s">
        <v>351</v>
      </c>
      <c r="D151" s="7" t="str">
        <f t="shared" si="5"/>
        <v>k</v>
      </c>
      <c r="E151" s="17" t="str">
        <f t="shared" si="6"/>
        <v>009</v>
      </c>
    </row>
    <row r="152" spans="1:5" x14ac:dyDescent="0.25">
      <c r="A152" s="5" t="s">
        <v>391</v>
      </c>
      <c r="B152" s="6" t="s">
        <v>392</v>
      </c>
      <c r="C152" s="6" t="s">
        <v>393</v>
      </c>
      <c r="D152" s="7" t="str">
        <f t="shared" si="5"/>
        <v>k</v>
      </c>
      <c r="E152" s="17" t="str">
        <f t="shared" si="6"/>
        <v>049</v>
      </c>
    </row>
    <row r="153" spans="1:5" x14ac:dyDescent="0.25">
      <c r="A153" s="8" t="s">
        <v>394</v>
      </c>
      <c r="B153" s="9" t="s">
        <v>392</v>
      </c>
      <c r="C153" s="9" t="s">
        <v>395</v>
      </c>
      <c r="D153" s="7" t="str">
        <f t="shared" si="5"/>
        <v>k</v>
      </c>
      <c r="E153" s="17" t="str">
        <f t="shared" si="6"/>
        <v>049</v>
      </c>
    </row>
    <row r="154" spans="1:5" x14ac:dyDescent="0.25">
      <c r="A154" s="5" t="s">
        <v>396</v>
      </c>
      <c r="B154" s="6" t="s">
        <v>397</v>
      </c>
      <c r="C154" s="6" t="s">
        <v>393</v>
      </c>
      <c r="D154" s="7" t="str">
        <f t="shared" si="5"/>
        <v>k</v>
      </c>
      <c r="E154" s="17" t="str">
        <f t="shared" si="6"/>
        <v>071</v>
      </c>
    </row>
    <row r="155" spans="1:5" x14ac:dyDescent="0.25">
      <c r="A155" s="8" t="s">
        <v>398</v>
      </c>
      <c r="B155" s="9" t="s">
        <v>399</v>
      </c>
      <c r="C155" s="9" t="s">
        <v>400</v>
      </c>
      <c r="D155" s="7" t="str">
        <f t="shared" si="5"/>
        <v>k</v>
      </c>
      <c r="E155" s="17" t="str">
        <f t="shared" si="6"/>
        <v>040</v>
      </c>
    </row>
    <row r="156" spans="1:5" x14ac:dyDescent="0.25">
      <c r="A156" s="5" t="s">
        <v>401</v>
      </c>
      <c r="B156" s="6" t="s">
        <v>402</v>
      </c>
      <c r="C156" s="6" t="s">
        <v>340</v>
      </c>
      <c r="D156" s="7" t="str">
        <f t="shared" si="5"/>
        <v>k</v>
      </c>
      <c r="E156" s="17" t="str">
        <f t="shared" si="6"/>
        <v>056</v>
      </c>
    </row>
    <row r="157" spans="1:5" x14ac:dyDescent="0.25">
      <c r="A157" s="8" t="s">
        <v>403</v>
      </c>
      <c r="B157" s="9" t="s">
        <v>243</v>
      </c>
      <c r="C157" s="9" t="s">
        <v>404</v>
      </c>
      <c r="D157" s="7" t="str">
        <f t="shared" si="5"/>
        <v>k</v>
      </c>
      <c r="E157" s="17" t="str">
        <f t="shared" si="6"/>
        <v>077</v>
      </c>
    </row>
    <row r="158" spans="1:5" x14ac:dyDescent="0.25">
      <c r="A158" s="5" t="s">
        <v>405</v>
      </c>
      <c r="B158" s="6" t="s">
        <v>406</v>
      </c>
      <c r="C158" s="6" t="s">
        <v>78</v>
      </c>
      <c r="D158" s="7" t="str">
        <f t="shared" si="5"/>
        <v>k</v>
      </c>
      <c r="E158" s="17" t="str">
        <f t="shared" si="6"/>
        <v>046</v>
      </c>
    </row>
    <row r="159" spans="1:5" x14ac:dyDescent="0.25">
      <c r="A159" s="8" t="s">
        <v>407</v>
      </c>
      <c r="B159" s="9" t="s">
        <v>408</v>
      </c>
      <c r="C159" s="9" t="s">
        <v>409</v>
      </c>
      <c r="D159" s="7" t="str">
        <f t="shared" si="5"/>
        <v>k</v>
      </c>
      <c r="E159" s="17" t="str">
        <f t="shared" si="6"/>
        <v>046</v>
      </c>
    </row>
    <row r="160" spans="1:5" x14ac:dyDescent="0.25">
      <c r="A160" s="5" t="s">
        <v>410</v>
      </c>
      <c r="B160" s="6" t="s">
        <v>353</v>
      </c>
      <c r="C160" s="6" t="s">
        <v>371</v>
      </c>
      <c r="D160" s="7" t="str">
        <f t="shared" si="5"/>
        <v>k</v>
      </c>
      <c r="E160" s="17" t="str">
        <f t="shared" si="6"/>
        <v>040</v>
      </c>
    </row>
    <row r="161" spans="1:5" x14ac:dyDescent="0.25">
      <c r="A161" s="8" t="s">
        <v>411</v>
      </c>
      <c r="B161" s="9" t="s">
        <v>412</v>
      </c>
      <c r="C161" s="9" t="s">
        <v>413</v>
      </c>
      <c r="D161" s="7" t="str">
        <f t="shared" si="5"/>
        <v>k</v>
      </c>
      <c r="E161" s="17" t="str">
        <f t="shared" si="6"/>
        <v>040</v>
      </c>
    </row>
    <row r="162" spans="1:5" x14ac:dyDescent="0.25">
      <c r="A162" s="5" t="s">
        <v>414</v>
      </c>
      <c r="B162" s="6" t="s">
        <v>415</v>
      </c>
      <c r="C162" s="6" t="s">
        <v>416</v>
      </c>
      <c r="D162" s="7" t="str">
        <f t="shared" si="5"/>
        <v>k</v>
      </c>
      <c r="E162" s="17" t="str">
        <f t="shared" si="6"/>
        <v>041</v>
      </c>
    </row>
    <row r="163" spans="1:5" x14ac:dyDescent="0.25">
      <c r="A163" s="8" t="s">
        <v>417</v>
      </c>
      <c r="B163" s="9" t="s">
        <v>418</v>
      </c>
      <c r="C163" s="9" t="s">
        <v>419</v>
      </c>
      <c r="D163" s="7" t="str">
        <f t="shared" si="5"/>
        <v>k</v>
      </c>
      <c r="E163" s="17" t="str">
        <f t="shared" si="6"/>
        <v>030</v>
      </c>
    </row>
    <row r="164" spans="1:5" x14ac:dyDescent="0.25">
      <c r="A164" s="5" t="s">
        <v>420</v>
      </c>
      <c r="B164" s="6" t="s">
        <v>421</v>
      </c>
      <c r="C164" s="6" t="s">
        <v>295</v>
      </c>
      <c r="D164" s="7" t="str">
        <f t="shared" si="5"/>
        <v>k</v>
      </c>
      <c r="E164" s="17" t="str">
        <f t="shared" si="6"/>
        <v>005</v>
      </c>
    </row>
    <row r="165" spans="1:5" x14ac:dyDescent="0.25">
      <c r="A165" s="8" t="s">
        <v>422</v>
      </c>
      <c r="B165" s="9" t="s">
        <v>423</v>
      </c>
      <c r="C165" s="9" t="s">
        <v>295</v>
      </c>
      <c r="D165" s="7" t="str">
        <f t="shared" si="5"/>
        <v>k</v>
      </c>
      <c r="E165" s="17" t="str">
        <f t="shared" si="6"/>
        <v>022</v>
      </c>
    </row>
    <row r="166" spans="1:5" x14ac:dyDescent="0.25">
      <c r="A166" s="5" t="s">
        <v>424</v>
      </c>
      <c r="B166" s="6" t="s">
        <v>425</v>
      </c>
      <c r="C166" s="6" t="s">
        <v>371</v>
      </c>
      <c r="D166" s="7" t="str">
        <f t="shared" si="5"/>
        <v>k</v>
      </c>
      <c r="E166" s="17" t="str">
        <f t="shared" si="6"/>
        <v>054</v>
      </c>
    </row>
    <row r="167" spans="1:5" x14ac:dyDescent="0.25">
      <c r="A167" s="8" t="s">
        <v>426</v>
      </c>
      <c r="B167" s="9" t="s">
        <v>427</v>
      </c>
      <c r="C167" s="9" t="s">
        <v>428</v>
      </c>
      <c r="D167" s="7" t="str">
        <f t="shared" si="5"/>
        <v>k</v>
      </c>
      <c r="E167" s="17" t="str">
        <f t="shared" si="6"/>
        <v>054</v>
      </c>
    </row>
    <row r="168" spans="1:5" x14ac:dyDescent="0.25">
      <c r="A168" s="5" t="s">
        <v>429</v>
      </c>
      <c r="B168" s="6" t="s">
        <v>430</v>
      </c>
      <c r="C168" s="6" t="s">
        <v>419</v>
      </c>
      <c r="D168" s="7" t="str">
        <f t="shared" si="5"/>
        <v>k</v>
      </c>
      <c r="E168" s="17" t="str">
        <f t="shared" si="6"/>
        <v>055</v>
      </c>
    </row>
    <row r="169" spans="1:5" x14ac:dyDescent="0.25">
      <c r="A169" s="8" t="s">
        <v>431</v>
      </c>
      <c r="B169" s="9" t="s">
        <v>432</v>
      </c>
      <c r="C169" s="9" t="s">
        <v>419</v>
      </c>
      <c r="D169" s="7" t="str">
        <f t="shared" si="5"/>
        <v>k</v>
      </c>
      <c r="E169" s="17" t="str">
        <f t="shared" si="6"/>
        <v>055</v>
      </c>
    </row>
    <row r="170" spans="1:5" x14ac:dyDescent="0.25">
      <c r="A170" s="5" t="s">
        <v>433</v>
      </c>
      <c r="B170" s="6" t="s">
        <v>434</v>
      </c>
      <c r="C170" s="6" t="s">
        <v>147</v>
      </c>
      <c r="D170" s="7" t="str">
        <f t="shared" si="5"/>
        <v>k</v>
      </c>
      <c r="E170" s="17" t="str">
        <f t="shared" si="6"/>
        <v>016</v>
      </c>
    </row>
    <row r="171" spans="1:5" x14ac:dyDescent="0.25">
      <c r="A171" s="8" t="s">
        <v>435</v>
      </c>
      <c r="B171" s="9" t="s">
        <v>436</v>
      </c>
      <c r="C171" s="9" t="s">
        <v>437</v>
      </c>
      <c r="D171" s="7" t="str">
        <f t="shared" si="5"/>
        <v>k</v>
      </c>
      <c r="E171" s="17" t="str">
        <f t="shared" si="6"/>
        <v>029</v>
      </c>
    </row>
    <row r="172" spans="1:5" x14ac:dyDescent="0.25">
      <c r="A172" s="5" t="s">
        <v>438</v>
      </c>
      <c r="B172" s="6" t="s">
        <v>439</v>
      </c>
      <c r="C172" s="6" t="s">
        <v>409</v>
      </c>
      <c r="D172" s="7" t="str">
        <f t="shared" si="5"/>
        <v>k</v>
      </c>
      <c r="E172" s="17" t="str">
        <f t="shared" si="6"/>
        <v>046</v>
      </c>
    </row>
    <row r="173" spans="1:5" x14ac:dyDescent="0.25">
      <c r="A173" s="8" t="s">
        <v>440</v>
      </c>
      <c r="B173" s="9" t="s">
        <v>441</v>
      </c>
      <c r="C173" s="9" t="s">
        <v>86</v>
      </c>
      <c r="D173" s="7" t="str">
        <f t="shared" si="5"/>
        <v>k</v>
      </c>
      <c r="E173" s="17" t="str">
        <f t="shared" si="6"/>
        <v>099</v>
      </c>
    </row>
    <row r="174" spans="1:5" x14ac:dyDescent="0.25">
      <c r="A174" s="5" t="s">
        <v>442</v>
      </c>
      <c r="B174" s="6" t="s">
        <v>443</v>
      </c>
      <c r="C174" s="6" t="s">
        <v>419</v>
      </c>
      <c r="D174" s="7" t="str">
        <f t="shared" si="5"/>
        <v>k</v>
      </c>
      <c r="E174" s="17" t="str">
        <f t="shared" si="6"/>
        <v>028</v>
      </c>
    </row>
    <row r="175" spans="1:5" x14ac:dyDescent="0.25">
      <c r="A175" s="8" t="s">
        <v>444</v>
      </c>
      <c r="B175" s="9" t="s">
        <v>445</v>
      </c>
      <c r="C175" s="9" t="s">
        <v>241</v>
      </c>
      <c r="D175" s="7" t="str">
        <f t="shared" si="5"/>
        <v>k</v>
      </c>
      <c r="E175" s="17" t="str">
        <f t="shared" si="6"/>
        <v>010</v>
      </c>
    </row>
    <row r="176" spans="1:5" x14ac:dyDescent="0.25">
      <c r="A176" s="5" t="s">
        <v>446</v>
      </c>
      <c r="B176" s="6" t="s">
        <v>447</v>
      </c>
      <c r="C176" s="6" t="s">
        <v>448</v>
      </c>
      <c r="D176" s="7" t="str">
        <f t="shared" si="5"/>
        <v>k</v>
      </c>
      <c r="E176" s="17" t="str">
        <f t="shared" si="6"/>
        <v>088</v>
      </c>
    </row>
    <row r="177" spans="1:5" x14ac:dyDescent="0.25">
      <c r="A177" s="8" t="s">
        <v>449</v>
      </c>
      <c r="B177" s="9" t="s">
        <v>450</v>
      </c>
      <c r="C177" s="9" t="s">
        <v>194</v>
      </c>
      <c r="D177" s="7" t="str">
        <f t="shared" si="5"/>
        <v>k</v>
      </c>
      <c r="E177" s="17" t="str">
        <f t="shared" si="6"/>
        <v>020</v>
      </c>
    </row>
    <row r="178" spans="1:5" x14ac:dyDescent="0.25">
      <c r="A178" s="5" t="s">
        <v>451</v>
      </c>
      <c r="B178" s="6" t="s">
        <v>452</v>
      </c>
      <c r="C178" s="6" t="s">
        <v>89</v>
      </c>
      <c r="D178" s="7" t="str">
        <f t="shared" si="5"/>
        <v>k</v>
      </c>
      <c r="E178" s="17" t="str">
        <f t="shared" si="6"/>
        <v>041</v>
      </c>
    </row>
    <row r="179" spans="1:5" x14ac:dyDescent="0.25">
      <c r="A179" s="8" t="s">
        <v>453</v>
      </c>
      <c r="B179" s="9" t="s">
        <v>454</v>
      </c>
      <c r="C179" s="9" t="s">
        <v>36</v>
      </c>
      <c r="D179" s="7" t="str">
        <f t="shared" si="5"/>
        <v>m</v>
      </c>
      <c r="E179" s="17" t="str">
        <f t="shared" si="6"/>
        <v>017</v>
      </c>
    </row>
    <row r="180" spans="1:5" x14ac:dyDescent="0.25">
      <c r="A180" s="5" t="s">
        <v>455</v>
      </c>
      <c r="B180" s="6" t="s">
        <v>456</v>
      </c>
      <c r="C180" s="6" t="s">
        <v>457</v>
      </c>
      <c r="D180" s="7" t="str">
        <f t="shared" si="5"/>
        <v>m</v>
      </c>
      <c r="E180" s="17" t="str">
        <f t="shared" si="6"/>
        <v>082</v>
      </c>
    </row>
    <row r="181" spans="1:5" x14ac:dyDescent="0.25">
      <c r="A181" s="8" t="s">
        <v>458</v>
      </c>
      <c r="B181" s="9" t="s">
        <v>459</v>
      </c>
      <c r="C181" s="9" t="s">
        <v>121</v>
      </c>
      <c r="D181" s="7" t="str">
        <f t="shared" si="5"/>
        <v>m</v>
      </c>
      <c r="E181" s="17" t="str">
        <f t="shared" si="6"/>
        <v>058</v>
      </c>
    </row>
    <row r="182" spans="1:5" x14ac:dyDescent="0.25">
      <c r="A182" s="5" t="s">
        <v>460</v>
      </c>
      <c r="B182" s="6" t="s">
        <v>461</v>
      </c>
      <c r="C182" s="6" t="s">
        <v>166</v>
      </c>
      <c r="D182" s="7" t="str">
        <f t="shared" si="5"/>
        <v>m</v>
      </c>
      <c r="E182" s="17" t="str">
        <f t="shared" si="6"/>
        <v>058</v>
      </c>
    </row>
    <row r="183" spans="1:5" x14ac:dyDescent="0.25">
      <c r="A183" s="8" t="s">
        <v>462</v>
      </c>
      <c r="B183" s="9" t="s">
        <v>463</v>
      </c>
      <c r="C183" s="9" t="s">
        <v>464</v>
      </c>
      <c r="D183" s="7" t="str">
        <f t="shared" si="5"/>
        <v>m</v>
      </c>
      <c r="E183" s="17" t="str">
        <f t="shared" si="6"/>
        <v>131</v>
      </c>
    </row>
    <row r="184" spans="1:5" x14ac:dyDescent="0.25">
      <c r="A184" s="5" t="s">
        <v>465</v>
      </c>
      <c r="B184" s="6" t="s">
        <v>466</v>
      </c>
      <c r="C184" s="6" t="s">
        <v>166</v>
      </c>
      <c r="D184" s="7" t="str">
        <f t="shared" si="5"/>
        <v>m</v>
      </c>
      <c r="E184" s="17" t="str">
        <f t="shared" si="6"/>
        <v>146</v>
      </c>
    </row>
    <row r="185" spans="1:5" x14ac:dyDescent="0.25">
      <c r="A185" s="8" t="s">
        <v>467</v>
      </c>
      <c r="B185" s="9" t="s">
        <v>468</v>
      </c>
      <c r="C185" s="9" t="s">
        <v>20</v>
      </c>
      <c r="D185" s="7" t="str">
        <f t="shared" si="5"/>
        <v>m</v>
      </c>
      <c r="E185" s="17" t="str">
        <f t="shared" si="6"/>
        <v>098</v>
      </c>
    </row>
    <row r="186" spans="1:5" x14ac:dyDescent="0.25">
      <c r="A186" s="5" t="s">
        <v>469</v>
      </c>
      <c r="B186" s="6" t="s">
        <v>470</v>
      </c>
      <c r="C186" s="6" t="s">
        <v>166</v>
      </c>
      <c r="D186" s="7" t="str">
        <f t="shared" si="5"/>
        <v>m</v>
      </c>
      <c r="E186" s="17" t="str">
        <f t="shared" si="6"/>
        <v>048</v>
      </c>
    </row>
    <row r="187" spans="1:5" x14ac:dyDescent="0.25">
      <c r="A187" s="8" t="s">
        <v>471</v>
      </c>
      <c r="B187" s="9" t="s">
        <v>472</v>
      </c>
      <c r="C187" s="9" t="s">
        <v>202</v>
      </c>
      <c r="D187" s="7" t="str">
        <f t="shared" si="5"/>
        <v>m</v>
      </c>
      <c r="E187" s="17" t="str">
        <f t="shared" si="6"/>
        <v>048</v>
      </c>
    </row>
    <row r="188" spans="1:5" x14ac:dyDescent="0.25">
      <c r="A188" s="5" t="s">
        <v>473</v>
      </c>
      <c r="B188" s="6" t="s">
        <v>474</v>
      </c>
      <c r="C188" s="6" t="s">
        <v>475</v>
      </c>
      <c r="D188" s="7" t="str">
        <f t="shared" si="5"/>
        <v>m</v>
      </c>
      <c r="E188" s="17" t="str">
        <f t="shared" si="6"/>
        <v>041</v>
      </c>
    </row>
    <row r="189" spans="1:5" x14ac:dyDescent="0.25">
      <c r="A189" s="8" t="s">
        <v>476</v>
      </c>
      <c r="B189" s="9" t="s">
        <v>477</v>
      </c>
      <c r="C189" s="9" t="s">
        <v>379</v>
      </c>
      <c r="D189" s="7" t="str">
        <f t="shared" si="5"/>
        <v>m</v>
      </c>
      <c r="E189" s="17" t="str">
        <f t="shared" si="6"/>
        <v>070</v>
      </c>
    </row>
    <row r="190" spans="1:5" x14ac:dyDescent="0.25">
      <c r="A190" s="5" t="s">
        <v>478</v>
      </c>
      <c r="B190" s="6" t="s">
        <v>479</v>
      </c>
      <c r="C190" s="6" t="s">
        <v>480</v>
      </c>
      <c r="D190" s="7" t="str">
        <f t="shared" si="5"/>
        <v>m</v>
      </c>
      <c r="E190" s="17" t="str">
        <f t="shared" si="6"/>
        <v>093</v>
      </c>
    </row>
    <row r="191" spans="1:5" x14ac:dyDescent="0.25">
      <c r="A191" s="8" t="s">
        <v>481</v>
      </c>
      <c r="B191" s="9" t="s">
        <v>482</v>
      </c>
      <c r="C191" s="9" t="s">
        <v>166</v>
      </c>
      <c r="D191" s="7" t="str">
        <f t="shared" si="5"/>
        <v>m</v>
      </c>
      <c r="E191" s="17" t="str">
        <f t="shared" si="6"/>
        <v>108</v>
      </c>
    </row>
    <row r="192" spans="1:5" x14ac:dyDescent="0.25">
      <c r="A192" s="5" t="s">
        <v>483</v>
      </c>
      <c r="B192" s="6" t="s">
        <v>484</v>
      </c>
      <c r="C192" s="6" t="s">
        <v>485</v>
      </c>
      <c r="D192" s="7" t="str">
        <f t="shared" si="5"/>
        <v>m</v>
      </c>
      <c r="E192" s="17" t="str">
        <f t="shared" si="6"/>
        <v>093</v>
      </c>
    </row>
    <row r="193" spans="1:5" x14ac:dyDescent="0.25">
      <c r="A193" s="8" t="s">
        <v>486</v>
      </c>
      <c r="B193" s="9" t="s">
        <v>487</v>
      </c>
      <c r="C193" s="9" t="s">
        <v>488</v>
      </c>
      <c r="D193" s="7" t="str">
        <f t="shared" si="5"/>
        <v>m</v>
      </c>
      <c r="E193" s="17" t="str">
        <f t="shared" si="6"/>
        <v>024</v>
      </c>
    </row>
    <row r="194" spans="1:5" x14ac:dyDescent="0.25">
      <c r="A194" s="5" t="s">
        <v>489</v>
      </c>
      <c r="B194" s="6" t="s">
        <v>490</v>
      </c>
      <c r="C194" s="6" t="s">
        <v>260</v>
      </c>
      <c r="D194" s="7" t="str">
        <f t="shared" ref="D194:D257" si="7">IF(MOD(LEFT(RIGHT(A194,2),1),2)=0,"k","m")</f>
        <v>m</v>
      </c>
      <c r="E194" s="17" t="str">
        <f t="shared" si="6"/>
        <v>090</v>
      </c>
    </row>
    <row r="195" spans="1:5" x14ac:dyDescent="0.25">
      <c r="A195" s="8" t="s">
        <v>491</v>
      </c>
      <c r="B195" s="9" t="s">
        <v>492</v>
      </c>
      <c r="C195" s="9" t="s">
        <v>223</v>
      </c>
      <c r="D195" s="7" t="str">
        <f t="shared" si="7"/>
        <v>m</v>
      </c>
      <c r="E195" s="17" t="str">
        <f t="shared" ref="E195:E258" si="8">LEFT(RIGHT(A195,5),3)</f>
        <v>052</v>
      </c>
    </row>
    <row r="196" spans="1:5" x14ac:dyDescent="0.25">
      <c r="A196" s="5" t="s">
        <v>493</v>
      </c>
      <c r="B196" s="6" t="s">
        <v>494</v>
      </c>
      <c r="C196" s="6" t="s">
        <v>376</v>
      </c>
      <c r="D196" s="7" t="str">
        <f t="shared" si="7"/>
        <v>m</v>
      </c>
      <c r="E196" s="17" t="str">
        <f t="shared" si="8"/>
        <v>080</v>
      </c>
    </row>
    <row r="197" spans="1:5" x14ac:dyDescent="0.25">
      <c r="A197" s="8" t="s">
        <v>495</v>
      </c>
      <c r="B197" s="9" t="s">
        <v>496</v>
      </c>
      <c r="C197" s="9" t="s">
        <v>379</v>
      </c>
      <c r="D197" s="7" t="str">
        <f t="shared" si="7"/>
        <v>m</v>
      </c>
      <c r="E197" s="17" t="str">
        <f t="shared" si="8"/>
        <v>101</v>
      </c>
    </row>
    <row r="198" spans="1:5" x14ac:dyDescent="0.25">
      <c r="A198" s="5" t="s">
        <v>497</v>
      </c>
      <c r="B198" s="6" t="s">
        <v>498</v>
      </c>
      <c r="C198" s="6" t="s">
        <v>499</v>
      </c>
      <c r="D198" s="7" t="str">
        <f t="shared" si="7"/>
        <v>m</v>
      </c>
      <c r="E198" s="17" t="str">
        <f t="shared" si="8"/>
        <v>045</v>
      </c>
    </row>
    <row r="199" spans="1:5" x14ac:dyDescent="0.25">
      <c r="A199" s="8" t="s">
        <v>500</v>
      </c>
      <c r="B199" s="9" t="s">
        <v>41</v>
      </c>
      <c r="C199" s="9" t="s">
        <v>219</v>
      </c>
      <c r="D199" s="7" t="str">
        <f t="shared" si="7"/>
        <v>m</v>
      </c>
      <c r="E199" s="17" t="str">
        <f t="shared" si="8"/>
        <v>040</v>
      </c>
    </row>
    <row r="200" spans="1:5" x14ac:dyDescent="0.25">
      <c r="A200" s="5" t="s">
        <v>501</v>
      </c>
      <c r="B200" s="6" t="s">
        <v>502</v>
      </c>
      <c r="C200" s="6" t="s">
        <v>480</v>
      </c>
      <c r="D200" s="7" t="str">
        <f t="shared" si="7"/>
        <v>m</v>
      </c>
      <c r="E200" s="17" t="str">
        <f t="shared" si="8"/>
        <v>067</v>
      </c>
    </row>
    <row r="201" spans="1:5" x14ac:dyDescent="0.25">
      <c r="A201" s="8" t="s">
        <v>503</v>
      </c>
      <c r="B201" s="9" t="s">
        <v>504</v>
      </c>
      <c r="C201" s="9" t="s">
        <v>505</v>
      </c>
      <c r="D201" s="7" t="str">
        <f t="shared" si="7"/>
        <v>m</v>
      </c>
      <c r="E201" s="17" t="str">
        <f t="shared" si="8"/>
        <v>067</v>
      </c>
    </row>
    <row r="202" spans="1:5" x14ac:dyDescent="0.25">
      <c r="A202" s="5" t="s">
        <v>506</v>
      </c>
      <c r="B202" s="6" t="s">
        <v>507</v>
      </c>
      <c r="C202" s="6" t="s">
        <v>508</v>
      </c>
      <c r="D202" s="7" t="str">
        <f t="shared" si="7"/>
        <v>m</v>
      </c>
      <c r="E202" s="17" t="str">
        <f t="shared" si="8"/>
        <v>033</v>
      </c>
    </row>
    <row r="203" spans="1:5" x14ac:dyDescent="0.25">
      <c r="A203" s="8" t="s">
        <v>509</v>
      </c>
      <c r="B203" s="9" t="s">
        <v>510</v>
      </c>
      <c r="C203" s="9" t="s">
        <v>511</v>
      </c>
      <c r="D203" s="7" t="str">
        <f t="shared" si="7"/>
        <v>m</v>
      </c>
      <c r="E203" s="17" t="str">
        <f t="shared" si="8"/>
        <v>024</v>
      </c>
    </row>
    <row r="204" spans="1:5" x14ac:dyDescent="0.25">
      <c r="A204" s="5" t="s">
        <v>512</v>
      </c>
      <c r="B204" s="6" t="s">
        <v>513</v>
      </c>
      <c r="C204" s="6" t="s">
        <v>202</v>
      </c>
      <c r="D204" s="7" t="str">
        <f t="shared" si="7"/>
        <v>m</v>
      </c>
      <c r="E204" s="17" t="str">
        <f t="shared" si="8"/>
        <v>051</v>
      </c>
    </row>
    <row r="205" spans="1:5" x14ac:dyDescent="0.25">
      <c r="A205" s="8" t="s">
        <v>514</v>
      </c>
      <c r="B205" s="9" t="s">
        <v>515</v>
      </c>
      <c r="C205" s="9" t="s">
        <v>39</v>
      </c>
      <c r="D205" s="7" t="str">
        <f t="shared" si="7"/>
        <v>m</v>
      </c>
      <c r="E205" s="17" t="str">
        <f t="shared" si="8"/>
        <v>003</v>
      </c>
    </row>
    <row r="206" spans="1:5" x14ac:dyDescent="0.25">
      <c r="A206" s="5" t="s">
        <v>516</v>
      </c>
      <c r="B206" s="6" t="s">
        <v>517</v>
      </c>
      <c r="C206" s="6" t="s">
        <v>11</v>
      </c>
      <c r="D206" s="7" t="str">
        <f t="shared" si="7"/>
        <v>m</v>
      </c>
      <c r="E206" s="17" t="str">
        <f t="shared" si="8"/>
        <v>010</v>
      </c>
    </row>
    <row r="207" spans="1:5" x14ac:dyDescent="0.25">
      <c r="A207" s="8" t="s">
        <v>518</v>
      </c>
      <c r="B207" s="9" t="s">
        <v>519</v>
      </c>
      <c r="C207" s="9" t="s">
        <v>166</v>
      </c>
      <c r="D207" s="7" t="str">
        <f t="shared" si="7"/>
        <v>m</v>
      </c>
      <c r="E207" s="17" t="str">
        <f t="shared" si="8"/>
        <v>013</v>
      </c>
    </row>
    <row r="208" spans="1:5" x14ac:dyDescent="0.25">
      <c r="A208" s="5" t="s">
        <v>520</v>
      </c>
      <c r="B208" s="6" t="s">
        <v>521</v>
      </c>
      <c r="C208" s="6" t="s">
        <v>219</v>
      </c>
      <c r="D208" s="7" t="str">
        <f t="shared" si="7"/>
        <v>m</v>
      </c>
      <c r="E208" s="17" t="str">
        <f t="shared" si="8"/>
        <v>110</v>
      </c>
    </row>
    <row r="209" spans="1:5" x14ac:dyDescent="0.25">
      <c r="A209" s="8" t="s">
        <v>522</v>
      </c>
      <c r="B209" s="9" t="s">
        <v>521</v>
      </c>
      <c r="C209" s="9" t="s">
        <v>17</v>
      </c>
      <c r="D209" s="7" t="str">
        <f t="shared" si="7"/>
        <v>m</v>
      </c>
      <c r="E209" s="17" t="str">
        <f t="shared" si="8"/>
        <v>007</v>
      </c>
    </row>
    <row r="210" spans="1:5" x14ac:dyDescent="0.25">
      <c r="A210" s="5" t="s">
        <v>523</v>
      </c>
      <c r="B210" s="6" t="s">
        <v>524</v>
      </c>
      <c r="C210" s="6" t="s">
        <v>73</v>
      </c>
      <c r="D210" s="7" t="str">
        <f t="shared" si="7"/>
        <v>m</v>
      </c>
      <c r="E210" s="17" t="str">
        <f t="shared" si="8"/>
        <v>013</v>
      </c>
    </row>
    <row r="211" spans="1:5" x14ac:dyDescent="0.25">
      <c r="A211" s="8" t="s">
        <v>525</v>
      </c>
      <c r="B211" s="9" t="s">
        <v>526</v>
      </c>
      <c r="C211" s="9" t="s">
        <v>114</v>
      </c>
      <c r="D211" s="7" t="str">
        <f t="shared" si="7"/>
        <v>m</v>
      </c>
      <c r="E211" s="17" t="str">
        <f t="shared" si="8"/>
        <v>048</v>
      </c>
    </row>
    <row r="212" spans="1:5" x14ac:dyDescent="0.25">
      <c r="A212" s="5" t="s">
        <v>527</v>
      </c>
      <c r="B212" s="6" t="s">
        <v>528</v>
      </c>
      <c r="C212" s="6" t="s">
        <v>340</v>
      </c>
      <c r="D212" s="7" t="str">
        <f t="shared" si="7"/>
        <v>k</v>
      </c>
      <c r="E212" s="17" t="str">
        <f t="shared" si="8"/>
        <v>083</v>
      </c>
    </row>
    <row r="213" spans="1:5" x14ac:dyDescent="0.25">
      <c r="A213" s="8" t="s">
        <v>529</v>
      </c>
      <c r="B213" s="9" t="s">
        <v>530</v>
      </c>
      <c r="C213" s="9" t="s">
        <v>39</v>
      </c>
      <c r="D213" s="7" t="str">
        <f t="shared" si="7"/>
        <v>m</v>
      </c>
      <c r="E213" s="17" t="str">
        <f t="shared" si="8"/>
        <v>006</v>
      </c>
    </row>
    <row r="214" spans="1:5" x14ac:dyDescent="0.25">
      <c r="A214" s="5" t="s">
        <v>531</v>
      </c>
      <c r="B214" s="6" t="s">
        <v>30</v>
      </c>
      <c r="C214" s="6" t="s">
        <v>44</v>
      </c>
      <c r="D214" s="7" t="str">
        <f t="shared" si="7"/>
        <v>m</v>
      </c>
      <c r="E214" s="17" t="str">
        <f t="shared" si="8"/>
        <v>022</v>
      </c>
    </row>
    <row r="215" spans="1:5" x14ac:dyDescent="0.25">
      <c r="A215" s="8" t="s">
        <v>532</v>
      </c>
      <c r="B215" s="9" t="s">
        <v>533</v>
      </c>
      <c r="C215" s="9" t="s">
        <v>534</v>
      </c>
      <c r="D215" s="7" t="str">
        <f t="shared" si="7"/>
        <v>k</v>
      </c>
      <c r="E215" s="17" t="str">
        <f t="shared" si="8"/>
        <v>024</v>
      </c>
    </row>
    <row r="216" spans="1:5" x14ac:dyDescent="0.25">
      <c r="A216" s="5" t="s">
        <v>535</v>
      </c>
      <c r="B216" s="6" t="s">
        <v>536</v>
      </c>
      <c r="C216" s="6" t="s">
        <v>89</v>
      </c>
      <c r="D216" s="7" t="str">
        <f t="shared" si="7"/>
        <v>k</v>
      </c>
      <c r="E216" s="17" t="str">
        <f t="shared" si="8"/>
        <v>094</v>
      </c>
    </row>
    <row r="217" spans="1:5" x14ac:dyDescent="0.25">
      <c r="A217" s="8" t="s">
        <v>537</v>
      </c>
      <c r="B217" s="9" t="s">
        <v>538</v>
      </c>
      <c r="C217" s="9" t="s">
        <v>416</v>
      </c>
      <c r="D217" s="7" t="str">
        <f t="shared" si="7"/>
        <v>k</v>
      </c>
      <c r="E217" s="17" t="str">
        <f t="shared" si="8"/>
        <v>024</v>
      </c>
    </row>
    <row r="218" spans="1:5" x14ac:dyDescent="0.25">
      <c r="A218" s="5" t="s">
        <v>539</v>
      </c>
      <c r="B218" s="6" t="s">
        <v>540</v>
      </c>
      <c r="C218" s="6" t="s">
        <v>323</v>
      </c>
      <c r="D218" s="7" t="str">
        <f t="shared" si="7"/>
        <v>k</v>
      </c>
      <c r="E218" s="17" t="str">
        <f t="shared" si="8"/>
        <v>114</v>
      </c>
    </row>
    <row r="219" spans="1:5" x14ac:dyDescent="0.25">
      <c r="A219" s="8" t="s">
        <v>541</v>
      </c>
      <c r="B219" s="9" t="s">
        <v>542</v>
      </c>
      <c r="C219" s="9" t="s">
        <v>179</v>
      </c>
      <c r="D219" s="7" t="str">
        <f t="shared" si="7"/>
        <v>k</v>
      </c>
      <c r="E219" s="17" t="str">
        <f t="shared" si="8"/>
        <v>011</v>
      </c>
    </row>
    <row r="220" spans="1:5" x14ac:dyDescent="0.25">
      <c r="A220" s="5" t="s">
        <v>543</v>
      </c>
      <c r="B220" s="6" t="s">
        <v>544</v>
      </c>
      <c r="C220" s="6" t="s">
        <v>419</v>
      </c>
      <c r="D220" s="7" t="str">
        <f t="shared" si="7"/>
        <v>k</v>
      </c>
      <c r="E220" s="17" t="str">
        <f t="shared" si="8"/>
        <v>060</v>
      </c>
    </row>
    <row r="221" spans="1:5" x14ac:dyDescent="0.25">
      <c r="A221" s="8" t="s">
        <v>545</v>
      </c>
      <c r="B221" s="9" t="s">
        <v>546</v>
      </c>
      <c r="C221" s="9" t="s">
        <v>17</v>
      </c>
      <c r="D221" s="7" t="str">
        <f t="shared" si="7"/>
        <v>m</v>
      </c>
      <c r="E221" s="17" t="str">
        <f t="shared" si="8"/>
        <v>066</v>
      </c>
    </row>
    <row r="222" spans="1:5" x14ac:dyDescent="0.25">
      <c r="A222" s="5" t="s">
        <v>547</v>
      </c>
      <c r="B222" s="6" t="s">
        <v>548</v>
      </c>
      <c r="C222" s="6" t="s">
        <v>419</v>
      </c>
      <c r="D222" s="7" t="str">
        <f t="shared" si="7"/>
        <v>k</v>
      </c>
      <c r="E222" s="17" t="str">
        <f t="shared" si="8"/>
        <v>096</v>
      </c>
    </row>
    <row r="223" spans="1:5" x14ac:dyDescent="0.25">
      <c r="A223" s="8" t="s">
        <v>549</v>
      </c>
      <c r="B223" s="9" t="s">
        <v>550</v>
      </c>
      <c r="C223" s="9" t="s">
        <v>309</v>
      </c>
      <c r="D223" s="7" t="str">
        <f t="shared" si="7"/>
        <v>k</v>
      </c>
      <c r="E223" s="17" t="str">
        <f t="shared" si="8"/>
        <v>097</v>
      </c>
    </row>
    <row r="224" spans="1:5" x14ac:dyDescent="0.25">
      <c r="A224" s="5" t="s">
        <v>551</v>
      </c>
      <c r="B224" s="6" t="s">
        <v>552</v>
      </c>
      <c r="C224" s="6" t="s">
        <v>309</v>
      </c>
      <c r="D224" s="7" t="str">
        <f t="shared" si="7"/>
        <v>k</v>
      </c>
      <c r="E224" s="17" t="str">
        <f t="shared" si="8"/>
        <v>097</v>
      </c>
    </row>
    <row r="225" spans="1:5" x14ac:dyDescent="0.25">
      <c r="A225" s="8" t="s">
        <v>553</v>
      </c>
      <c r="B225" s="9" t="s">
        <v>554</v>
      </c>
      <c r="C225" s="9" t="s">
        <v>187</v>
      </c>
      <c r="D225" s="7" t="str">
        <f t="shared" si="7"/>
        <v>k</v>
      </c>
      <c r="E225" s="17" t="str">
        <f t="shared" si="8"/>
        <v>032</v>
      </c>
    </row>
    <row r="226" spans="1:5" x14ac:dyDescent="0.25">
      <c r="A226" s="5" t="s">
        <v>555</v>
      </c>
      <c r="B226" s="6" t="s">
        <v>556</v>
      </c>
      <c r="C226" s="6" t="s">
        <v>428</v>
      </c>
      <c r="D226" s="7" t="str">
        <f t="shared" si="7"/>
        <v>k</v>
      </c>
      <c r="E226" s="17" t="str">
        <f t="shared" si="8"/>
        <v>050</v>
      </c>
    </row>
    <row r="227" spans="1:5" x14ac:dyDescent="0.25">
      <c r="A227" s="8" t="s">
        <v>557</v>
      </c>
      <c r="B227" s="9" t="s">
        <v>558</v>
      </c>
      <c r="C227" s="9" t="s">
        <v>559</v>
      </c>
      <c r="D227" s="7" t="str">
        <f t="shared" si="7"/>
        <v>k</v>
      </c>
      <c r="E227" s="17" t="str">
        <f t="shared" si="8"/>
        <v>050</v>
      </c>
    </row>
    <row r="228" spans="1:5" x14ac:dyDescent="0.25">
      <c r="A228" s="5" t="s">
        <v>560</v>
      </c>
      <c r="B228" s="6" t="s">
        <v>561</v>
      </c>
      <c r="C228" s="6" t="s">
        <v>351</v>
      </c>
      <c r="D228" s="7" t="str">
        <f t="shared" si="7"/>
        <v>k</v>
      </c>
      <c r="E228" s="17" t="str">
        <f t="shared" si="8"/>
        <v>050</v>
      </c>
    </row>
    <row r="229" spans="1:5" x14ac:dyDescent="0.25">
      <c r="A229" s="8" t="s">
        <v>562</v>
      </c>
      <c r="B229" s="9" t="s">
        <v>563</v>
      </c>
      <c r="C229" s="9" t="s">
        <v>564</v>
      </c>
      <c r="D229" s="7" t="str">
        <f t="shared" si="7"/>
        <v>k</v>
      </c>
      <c r="E229" s="17" t="str">
        <f t="shared" si="8"/>
        <v>051</v>
      </c>
    </row>
    <row r="230" spans="1:5" x14ac:dyDescent="0.25">
      <c r="A230" s="5" t="s">
        <v>565</v>
      </c>
      <c r="B230" s="6" t="s">
        <v>566</v>
      </c>
      <c r="C230" s="6" t="s">
        <v>567</v>
      </c>
      <c r="D230" s="7" t="str">
        <f t="shared" si="7"/>
        <v>m</v>
      </c>
      <c r="E230" s="17" t="str">
        <f t="shared" si="8"/>
        <v>098</v>
      </c>
    </row>
    <row r="231" spans="1:5" x14ac:dyDescent="0.25">
      <c r="A231" s="8" t="s">
        <v>568</v>
      </c>
      <c r="B231" s="9" t="s">
        <v>569</v>
      </c>
      <c r="C231" s="9" t="s">
        <v>570</v>
      </c>
      <c r="D231" s="7" t="str">
        <f t="shared" si="7"/>
        <v>m</v>
      </c>
      <c r="E231" s="17" t="str">
        <f t="shared" si="8"/>
        <v>026</v>
      </c>
    </row>
    <row r="232" spans="1:5" x14ac:dyDescent="0.25">
      <c r="A232" s="5" t="s">
        <v>571</v>
      </c>
      <c r="B232" s="6" t="s">
        <v>572</v>
      </c>
      <c r="C232" s="6" t="s">
        <v>275</v>
      </c>
      <c r="D232" s="7" t="str">
        <f t="shared" si="7"/>
        <v>k</v>
      </c>
      <c r="E232" s="17" t="str">
        <f t="shared" si="8"/>
        <v>081</v>
      </c>
    </row>
    <row r="233" spans="1:5" x14ac:dyDescent="0.25">
      <c r="A233" s="8" t="s">
        <v>573</v>
      </c>
      <c r="B233" s="9" t="s">
        <v>574</v>
      </c>
      <c r="C233" s="9" t="s">
        <v>108</v>
      </c>
      <c r="D233" s="7" t="str">
        <f t="shared" si="7"/>
        <v>m</v>
      </c>
      <c r="E233" s="17" t="str">
        <f t="shared" si="8"/>
        <v>084</v>
      </c>
    </row>
    <row r="234" spans="1:5" x14ac:dyDescent="0.25">
      <c r="A234" s="5" t="s">
        <v>575</v>
      </c>
      <c r="B234" s="6" t="s">
        <v>576</v>
      </c>
      <c r="C234" s="6" t="s">
        <v>17</v>
      </c>
      <c r="D234" s="7" t="str">
        <f t="shared" si="7"/>
        <v>m</v>
      </c>
      <c r="E234" s="17" t="str">
        <f t="shared" si="8"/>
        <v>025</v>
      </c>
    </row>
    <row r="235" spans="1:5" x14ac:dyDescent="0.25">
      <c r="A235" s="8" t="s">
        <v>577</v>
      </c>
      <c r="B235" s="9" t="s">
        <v>578</v>
      </c>
      <c r="C235" s="9" t="s">
        <v>464</v>
      </c>
      <c r="D235" s="7" t="str">
        <f t="shared" si="7"/>
        <v>m</v>
      </c>
      <c r="E235" s="17" t="str">
        <f t="shared" si="8"/>
        <v>026</v>
      </c>
    </row>
    <row r="236" spans="1:5" x14ac:dyDescent="0.25">
      <c r="A236" s="5" t="s">
        <v>579</v>
      </c>
      <c r="B236" s="6" t="s">
        <v>580</v>
      </c>
      <c r="C236" s="6" t="s">
        <v>287</v>
      </c>
      <c r="D236" s="7" t="str">
        <f t="shared" si="7"/>
        <v>m</v>
      </c>
      <c r="E236" s="17" t="str">
        <f t="shared" si="8"/>
        <v>102</v>
      </c>
    </row>
    <row r="237" spans="1:5" x14ac:dyDescent="0.25">
      <c r="A237" s="8" t="s">
        <v>581</v>
      </c>
      <c r="B237" s="9" t="s">
        <v>582</v>
      </c>
      <c r="C237" s="9" t="s">
        <v>67</v>
      </c>
      <c r="D237" s="7" t="str">
        <f t="shared" si="7"/>
        <v>k</v>
      </c>
      <c r="E237" s="17" t="str">
        <f t="shared" si="8"/>
        <v>039</v>
      </c>
    </row>
    <row r="238" spans="1:5" x14ac:dyDescent="0.25">
      <c r="A238" s="5" t="s">
        <v>583</v>
      </c>
      <c r="B238" s="6" t="s">
        <v>584</v>
      </c>
      <c r="C238" s="6" t="s">
        <v>284</v>
      </c>
      <c r="D238" s="7" t="str">
        <f t="shared" si="7"/>
        <v>k</v>
      </c>
      <c r="E238" s="17" t="str">
        <f t="shared" si="8"/>
        <v>078</v>
      </c>
    </row>
    <row r="239" spans="1:5" x14ac:dyDescent="0.25">
      <c r="A239" s="8" t="s">
        <v>585</v>
      </c>
      <c r="B239" s="9" t="s">
        <v>586</v>
      </c>
      <c r="C239" s="9" t="s">
        <v>47</v>
      </c>
      <c r="D239" s="7" t="str">
        <f t="shared" si="7"/>
        <v>m</v>
      </c>
      <c r="E239" s="17" t="str">
        <f t="shared" si="8"/>
        <v>083</v>
      </c>
    </row>
    <row r="240" spans="1:5" x14ac:dyDescent="0.25">
      <c r="A240" s="5" t="s">
        <v>587</v>
      </c>
      <c r="B240" s="6" t="s">
        <v>96</v>
      </c>
      <c r="C240" s="6" t="s">
        <v>121</v>
      </c>
      <c r="D240" s="7" t="str">
        <f t="shared" si="7"/>
        <v>m</v>
      </c>
      <c r="E240" s="17" t="str">
        <f t="shared" si="8"/>
        <v>009</v>
      </c>
    </row>
    <row r="241" spans="1:5" x14ac:dyDescent="0.25">
      <c r="A241" s="8" t="s">
        <v>588</v>
      </c>
      <c r="B241" s="9" t="s">
        <v>589</v>
      </c>
      <c r="C241" s="9" t="s">
        <v>298</v>
      </c>
      <c r="D241" s="7" t="str">
        <f t="shared" si="7"/>
        <v>k</v>
      </c>
      <c r="E241" s="17" t="str">
        <f t="shared" si="8"/>
        <v>038</v>
      </c>
    </row>
    <row r="242" spans="1:5" x14ac:dyDescent="0.25">
      <c r="A242" s="5" t="s">
        <v>590</v>
      </c>
      <c r="B242" s="6" t="s">
        <v>591</v>
      </c>
      <c r="C242" s="6" t="s">
        <v>166</v>
      </c>
      <c r="D242" s="7" t="str">
        <f t="shared" si="7"/>
        <v>m</v>
      </c>
      <c r="E242" s="17" t="str">
        <f t="shared" si="8"/>
        <v>005</v>
      </c>
    </row>
    <row r="243" spans="1:5" x14ac:dyDescent="0.25">
      <c r="A243" s="8" t="s">
        <v>592</v>
      </c>
      <c r="B243" s="9" t="s">
        <v>593</v>
      </c>
      <c r="C243" s="9" t="s">
        <v>92</v>
      </c>
      <c r="D243" s="7" t="str">
        <f t="shared" si="7"/>
        <v>m</v>
      </c>
      <c r="E243" s="17" t="str">
        <f t="shared" si="8"/>
        <v>054</v>
      </c>
    </row>
    <row r="244" spans="1:5" x14ac:dyDescent="0.25">
      <c r="A244" s="5" t="s">
        <v>594</v>
      </c>
      <c r="B244" s="6" t="s">
        <v>595</v>
      </c>
      <c r="C244" s="6" t="s">
        <v>596</v>
      </c>
      <c r="D244" s="7" t="str">
        <f t="shared" si="7"/>
        <v>m</v>
      </c>
      <c r="E244" s="17" t="str">
        <f t="shared" si="8"/>
        <v>048</v>
      </c>
    </row>
    <row r="245" spans="1:5" x14ac:dyDescent="0.25">
      <c r="A245" s="8" t="s">
        <v>597</v>
      </c>
      <c r="B245" s="9" t="s">
        <v>598</v>
      </c>
      <c r="C245" s="9" t="s">
        <v>17</v>
      </c>
      <c r="D245" s="7" t="str">
        <f t="shared" si="7"/>
        <v>m</v>
      </c>
      <c r="E245" s="17" t="str">
        <f t="shared" si="8"/>
        <v>017</v>
      </c>
    </row>
    <row r="246" spans="1:5" x14ac:dyDescent="0.25">
      <c r="A246" s="5" t="s">
        <v>599</v>
      </c>
      <c r="B246" s="6" t="s">
        <v>600</v>
      </c>
      <c r="C246" s="6" t="s">
        <v>70</v>
      </c>
      <c r="D246" s="7" t="str">
        <f t="shared" si="7"/>
        <v>k</v>
      </c>
      <c r="E246" s="17" t="str">
        <f t="shared" si="8"/>
        <v>061</v>
      </c>
    </row>
    <row r="247" spans="1:5" x14ac:dyDescent="0.25">
      <c r="A247" s="8" t="s">
        <v>601</v>
      </c>
      <c r="B247" s="9" t="s">
        <v>602</v>
      </c>
      <c r="C247" s="9" t="s">
        <v>137</v>
      </c>
      <c r="D247" s="7" t="str">
        <f t="shared" si="7"/>
        <v>k</v>
      </c>
      <c r="E247" s="17" t="str">
        <f t="shared" si="8"/>
        <v>061</v>
      </c>
    </row>
    <row r="248" spans="1:5" x14ac:dyDescent="0.25">
      <c r="A248" s="5" t="s">
        <v>603</v>
      </c>
      <c r="B248" s="6" t="s">
        <v>604</v>
      </c>
      <c r="C248" s="6" t="s">
        <v>233</v>
      </c>
      <c r="D248" s="7" t="str">
        <f t="shared" si="7"/>
        <v>k</v>
      </c>
      <c r="E248" s="17" t="str">
        <f t="shared" si="8"/>
        <v>009</v>
      </c>
    </row>
    <row r="249" spans="1:5" x14ac:dyDescent="0.25">
      <c r="A249" s="8" t="s">
        <v>605</v>
      </c>
      <c r="B249" s="9" t="s">
        <v>606</v>
      </c>
      <c r="C249" s="9" t="s">
        <v>607</v>
      </c>
      <c r="D249" s="7" t="str">
        <f t="shared" si="7"/>
        <v>k</v>
      </c>
      <c r="E249" s="17" t="str">
        <f t="shared" si="8"/>
        <v>051</v>
      </c>
    </row>
    <row r="250" spans="1:5" x14ac:dyDescent="0.25">
      <c r="A250" s="5" t="s">
        <v>608</v>
      </c>
      <c r="B250" s="6" t="s">
        <v>609</v>
      </c>
      <c r="C250" s="6" t="s">
        <v>53</v>
      </c>
      <c r="D250" s="7" t="str">
        <f t="shared" si="7"/>
        <v>m</v>
      </c>
      <c r="E250" s="17" t="str">
        <f t="shared" si="8"/>
        <v>056</v>
      </c>
    </row>
    <row r="251" spans="1:5" x14ac:dyDescent="0.25">
      <c r="A251" s="8" t="s">
        <v>610</v>
      </c>
      <c r="B251" s="9" t="s">
        <v>611</v>
      </c>
      <c r="C251" s="9" t="s">
        <v>241</v>
      </c>
      <c r="D251" s="7" t="str">
        <f t="shared" si="7"/>
        <v>k</v>
      </c>
      <c r="E251" s="17" t="str">
        <f t="shared" si="8"/>
        <v>097</v>
      </c>
    </row>
    <row r="252" spans="1:5" x14ac:dyDescent="0.25">
      <c r="A252" s="5" t="s">
        <v>612</v>
      </c>
      <c r="B252" s="6" t="s">
        <v>353</v>
      </c>
      <c r="C252" s="6" t="s">
        <v>187</v>
      </c>
      <c r="D252" s="7" t="str">
        <f t="shared" si="7"/>
        <v>k</v>
      </c>
      <c r="E252" s="17" t="str">
        <f t="shared" si="8"/>
        <v>031</v>
      </c>
    </row>
    <row r="253" spans="1:5" x14ac:dyDescent="0.25">
      <c r="A253" s="8" t="s">
        <v>613</v>
      </c>
      <c r="B253" s="9" t="s">
        <v>614</v>
      </c>
      <c r="C253" s="9" t="s">
        <v>295</v>
      </c>
      <c r="D253" s="7" t="str">
        <f t="shared" si="7"/>
        <v>k</v>
      </c>
      <c r="E253" s="17" t="str">
        <f t="shared" si="8"/>
        <v>034</v>
      </c>
    </row>
    <row r="254" spans="1:5" x14ac:dyDescent="0.25">
      <c r="A254" s="5" t="s">
        <v>615</v>
      </c>
      <c r="B254" s="6" t="s">
        <v>616</v>
      </c>
      <c r="C254" s="6" t="s">
        <v>617</v>
      </c>
      <c r="D254" s="7" t="str">
        <f t="shared" si="7"/>
        <v>k</v>
      </c>
      <c r="E254" s="17" t="str">
        <f t="shared" si="8"/>
        <v>042</v>
      </c>
    </row>
    <row r="255" spans="1:5" x14ac:dyDescent="0.25">
      <c r="A255" s="8" t="s">
        <v>618</v>
      </c>
      <c r="B255" s="9" t="s">
        <v>619</v>
      </c>
      <c r="C255" s="9" t="s">
        <v>340</v>
      </c>
      <c r="D255" s="7" t="str">
        <f t="shared" si="7"/>
        <v>k</v>
      </c>
      <c r="E255" s="17" t="str">
        <f t="shared" si="8"/>
        <v>042</v>
      </c>
    </row>
    <row r="256" spans="1:5" x14ac:dyDescent="0.25">
      <c r="A256" s="5" t="s">
        <v>620</v>
      </c>
      <c r="B256" s="6" t="s">
        <v>621</v>
      </c>
      <c r="C256" s="6" t="s">
        <v>241</v>
      </c>
      <c r="D256" s="7" t="str">
        <f t="shared" si="7"/>
        <v>k</v>
      </c>
      <c r="E256" s="17" t="str">
        <f t="shared" si="8"/>
        <v>034</v>
      </c>
    </row>
    <row r="257" spans="1:5" x14ac:dyDescent="0.25">
      <c r="A257" s="8" t="s">
        <v>622</v>
      </c>
      <c r="B257" s="9" t="s">
        <v>623</v>
      </c>
      <c r="C257" s="9" t="s">
        <v>624</v>
      </c>
      <c r="D257" s="7" t="str">
        <f t="shared" si="7"/>
        <v>m</v>
      </c>
      <c r="E257" s="17" t="str">
        <f t="shared" si="8"/>
        <v>036</v>
      </c>
    </row>
    <row r="258" spans="1:5" x14ac:dyDescent="0.25">
      <c r="A258" s="5" t="s">
        <v>625</v>
      </c>
      <c r="B258" s="6" t="s">
        <v>626</v>
      </c>
      <c r="C258" s="6" t="s">
        <v>627</v>
      </c>
      <c r="D258" s="7" t="str">
        <f t="shared" ref="D258:D321" si="9">IF(MOD(LEFT(RIGHT(A258,2),1),2)=0,"k","m")</f>
        <v>m</v>
      </c>
      <c r="E258" s="17" t="str">
        <f t="shared" si="8"/>
        <v>036</v>
      </c>
    </row>
    <row r="259" spans="1:5" x14ac:dyDescent="0.25">
      <c r="A259" s="8" t="s">
        <v>628</v>
      </c>
      <c r="B259" s="9" t="s">
        <v>629</v>
      </c>
      <c r="C259" s="9" t="s">
        <v>630</v>
      </c>
      <c r="D259" s="7" t="str">
        <f t="shared" si="9"/>
        <v>k</v>
      </c>
      <c r="E259" s="17" t="str">
        <f t="shared" ref="E259:E322" si="10">LEFT(RIGHT(A259,5),3)</f>
        <v>084</v>
      </c>
    </row>
    <row r="260" spans="1:5" x14ac:dyDescent="0.25">
      <c r="A260" s="5" t="s">
        <v>631</v>
      </c>
      <c r="B260" s="6" t="s">
        <v>235</v>
      </c>
      <c r="C260" s="6" t="s">
        <v>5</v>
      </c>
      <c r="D260" s="7" t="str">
        <f t="shared" si="9"/>
        <v>m</v>
      </c>
      <c r="E260" s="17" t="str">
        <f t="shared" si="10"/>
        <v>107</v>
      </c>
    </row>
    <row r="261" spans="1:5" x14ac:dyDescent="0.25">
      <c r="A261" s="8" t="s">
        <v>632</v>
      </c>
      <c r="B261" s="9" t="s">
        <v>633</v>
      </c>
      <c r="C261" s="9" t="s">
        <v>233</v>
      </c>
      <c r="D261" s="7" t="str">
        <f t="shared" si="9"/>
        <v>k</v>
      </c>
      <c r="E261" s="17" t="str">
        <f t="shared" si="10"/>
        <v>051</v>
      </c>
    </row>
    <row r="262" spans="1:5" x14ac:dyDescent="0.25">
      <c r="A262" s="5" t="s">
        <v>634</v>
      </c>
      <c r="B262" s="6" t="s">
        <v>635</v>
      </c>
      <c r="C262" s="6" t="s">
        <v>194</v>
      </c>
      <c r="D262" s="7" t="str">
        <f t="shared" si="9"/>
        <v>k</v>
      </c>
      <c r="E262" s="17" t="str">
        <f t="shared" si="10"/>
        <v>013</v>
      </c>
    </row>
    <row r="263" spans="1:5" x14ac:dyDescent="0.25">
      <c r="A263" s="8" t="s">
        <v>636</v>
      </c>
      <c r="B263" s="9" t="s">
        <v>637</v>
      </c>
      <c r="C263" s="9" t="s">
        <v>382</v>
      </c>
      <c r="D263" s="7" t="str">
        <f t="shared" si="9"/>
        <v>k</v>
      </c>
      <c r="E263" s="17" t="str">
        <f t="shared" si="10"/>
        <v>014</v>
      </c>
    </row>
    <row r="264" spans="1:5" x14ac:dyDescent="0.25">
      <c r="A264" s="5" t="s">
        <v>638</v>
      </c>
      <c r="B264" s="6" t="s">
        <v>639</v>
      </c>
      <c r="C264" s="6" t="s">
        <v>640</v>
      </c>
      <c r="D264" s="7" t="str">
        <f t="shared" si="9"/>
        <v>m</v>
      </c>
      <c r="E264" s="17" t="str">
        <f t="shared" si="10"/>
        <v>011</v>
      </c>
    </row>
    <row r="265" spans="1:5" x14ac:dyDescent="0.25">
      <c r="A265" s="8" t="s">
        <v>641</v>
      </c>
      <c r="B265" s="9" t="s">
        <v>642</v>
      </c>
      <c r="C265" s="9" t="s">
        <v>485</v>
      </c>
      <c r="D265" s="7" t="str">
        <f t="shared" si="9"/>
        <v>m</v>
      </c>
      <c r="E265" s="17" t="str">
        <f t="shared" si="10"/>
        <v>063</v>
      </c>
    </row>
    <row r="266" spans="1:5" x14ac:dyDescent="0.25">
      <c r="A266" s="5" t="s">
        <v>643</v>
      </c>
      <c r="B266" s="6" t="s">
        <v>644</v>
      </c>
      <c r="C266" s="6" t="s">
        <v>56</v>
      </c>
      <c r="D266" s="7" t="str">
        <f t="shared" si="9"/>
        <v>k</v>
      </c>
      <c r="E266" s="17" t="str">
        <f t="shared" si="10"/>
        <v>114</v>
      </c>
    </row>
    <row r="267" spans="1:5" x14ac:dyDescent="0.25">
      <c r="A267" s="8" t="s">
        <v>645</v>
      </c>
      <c r="B267" s="9" t="s">
        <v>646</v>
      </c>
      <c r="C267" s="9" t="s">
        <v>345</v>
      </c>
      <c r="D267" s="7" t="str">
        <f t="shared" si="9"/>
        <v>k</v>
      </c>
      <c r="E267" s="17" t="str">
        <f t="shared" si="10"/>
        <v>066</v>
      </c>
    </row>
    <row r="268" spans="1:5" x14ac:dyDescent="0.25">
      <c r="A268" s="5" t="s">
        <v>647</v>
      </c>
      <c r="B268" s="6" t="s">
        <v>648</v>
      </c>
      <c r="C268" s="6" t="s">
        <v>448</v>
      </c>
      <c r="D268" s="7" t="str">
        <f t="shared" si="9"/>
        <v>k</v>
      </c>
      <c r="E268" s="17" t="str">
        <f t="shared" si="10"/>
        <v>072</v>
      </c>
    </row>
    <row r="269" spans="1:5" x14ac:dyDescent="0.25">
      <c r="A269" s="8" t="s">
        <v>649</v>
      </c>
      <c r="B269" s="9" t="s">
        <v>650</v>
      </c>
      <c r="C269" s="9" t="s">
        <v>651</v>
      </c>
      <c r="D269" s="7" t="str">
        <f t="shared" si="9"/>
        <v>k</v>
      </c>
      <c r="E269" s="17" t="str">
        <f t="shared" si="10"/>
        <v>087</v>
      </c>
    </row>
    <row r="270" spans="1:5" x14ac:dyDescent="0.25">
      <c r="A270" s="5" t="s">
        <v>652</v>
      </c>
      <c r="B270" s="6" t="s">
        <v>653</v>
      </c>
      <c r="C270" s="6" t="s">
        <v>345</v>
      </c>
      <c r="D270" s="7" t="str">
        <f t="shared" si="9"/>
        <v>k</v>
      </c>
      <c r="E270" s="17" t="str">
        <f t="shared" si="10"/>
        <v>036</v>
      </c>
    </row>
    <row r="271" spans="1:5" x14ac:dyDescent="0.25">
      <c r="A271" s="8" t="s">
        <v>654</v>
      </c>
      <c r="B271" s="9" t="s">
        <v>655</v>
      </c>
      <c r="C271" s="9" t="s">
        <v>416</v>
      </c>
      <c r="D271" s="7" t="str">
        <f t="shared" si="9"/>
        <v>k</v>
      </c>
      <c r="E271" s="17" t="str">
        <f t="shared" si="10"/>
        <v>037</v>
      </c>
    </row>
    <row r="272" spans="1:5" x14ac:dyDescent="0.25">
      <c r="A272" s="5" t="s">
        <v>656</v>
      </c>
      <c r="B272" s="6" t="s">
        <v>657</v>
      </c>
      <c r="C272" s="6" t="s">
        <v>121</v>
      </c>
      <c r="D272" s="7" t="str">
        <f t="shared" si="9"/>
        <v>m</v>
      </c>
      <c r="E272" s="17" t="str">
        <f t="shared" si="10"/>
        <v>083</v>
      </c>
    </row>
    <row r="273" spans="1:5" x14ac:dyDescent="0.25">
      <c r="A273" s="8" t="s">
        <v>658</v>
      </c>
      <c r="B273" s="9" t="s">
        <v>659</v>
      </c>
      <c r="C273" s="9" t="s">
        <v>44</v>
      </c>
      <c r="D273" s="7" t="str">
        <f t="shared" si="9"/>
        <v>m</v>
      </c>
      <c r="E273" s="17" t="str">
        <f t="shared" si="10"/>
        <v>030</v>
      </c>
    </row>
    <row r="274" spans="1:5" x14ac:dyDescent="0.25">
      <c r="A274" s="5" t="s">
        <v>660</v>
      </c>
      <c r="B274" s="6" t="s">
        <v>661</v>
      </c>
      <c r="C274" s="6" t="s">
        <v>413</v>
      </c>
      <c r="D274" s="7" t="str">
        <f t="shared" si="9"/>
        <v>k</v>
      </c>
      <c r="E274" s="17" t="str">
        <f t="shared" si="10"/>
        <v>047</v>
      </c>
    </row>
    <row r="275" spans="1:5" x14ac:dyDescent="0.25">
      <c r="A275" s="8" t="s">
        <v>662</v>
      </c>
      <c r="B275" s="9" t="s">
        <v>663</v>
      </c>
      <c r="C275" s="9" t="s">
        <v>323</v>
      </c>
      <c r="D275" s="7" t="str">
        <f t="shared" si="9"/>
        <v>k</v>
      </c>
      <c r="E275" s="17" t="str">
        <f t="shared" si="10"/>
        <v>061</v>
      </c>
    </row>
    <row r="276" spans="1:5" x14ac:dyDescent="0.25">
      <c r="A276" s="5" t="s">
        <v>664</v>
      </c>
      <c r="B276" s="6" t="s">
        <v>665</v>
      </c>
      <c r="C276" s="6" t="s">
        <v>666</v>
      </c>
      <c r="D276" s="7" t="str">
        <f t="shared" si="9"/>
        <v>m</v>
      </c>
      <c r="E276" s="17" t="str">
        <f t="shared" si="10"/>
        <v>018</v>
      </c>
    </row>
    <row r="277" spans="1:5" x14ac:dyDescent="0.25">
      <c r="A277" s="8" t="s">
        <v>667</v>
      </c>
      <c r="B277" s="9" t="s">
        <v>668</v>
      </c>
      <c r="C277" s="9" t="s">
        <v>131</v>
      </c>
      <c r="D277" s="7" t="str">
        <f t="shared" si="9"/>
        <v>k</v>
      </c>
      <c r="E277" s="17" t="str">
        <f t="shared" si="10"/>
        <v>045</v>
      </c>
    </row>
    <row r="278" spans="1:5" x14ac:dyDescent="0.25">
      <c r="A278" s="5" t="s">
        <v>669</v>
      </c>
      <c r="B278" s="6" t="s">
        <v>670</v>
      </c>
      <c r="C278" s="6" t="s">
        <v>671</v>
      </c>
      <c r="D278" s="7" t="str">
        <f t="shared" si="9"/>
        <v>m</v>
      </c>
      <c r="E278" s="17" t="str">
        <f t="shared" si="10"/>
        <v>072</v>
      </c>
    </row>
    <row r="279" spans="1:5" x14ac:dyDescent="0.25">
      <c r="A279" s="8" t="s">
        <v>672</v>
      </c>
      <c r="B279" s="9" t="s">
        <v>673</v>
      </c>
      <c r="C279" s="9" t="s">
        <v>73</v>
      </c>
      <c r="D279" s="7" t="str">
        <f t="shared" si="9"/>
        <v>m</v>
      </c>
      <c r="E279" s="17" t="str">
        <f t="shared" si="10"/>
        <v>082</v>
      </c>
    </row>
    <row r="280" spans="1:5" x14ac:dyDescent="0.25">
      <c r="A280" s="5" t="s">
        <v>674</v>
      </c>
      <c r="B280" s="6" t="s">
        <v>675</v>
      </c>
      <c r="C280" s="6" t="s">
        <v>64</v>
      </c>
      <c r="D280" s="7" t="str">
        <f t="shared" si="9"/>
        <v>m</v>
      </c>
      <c r="E280" s="17" t="str">
        <f t="shared" si="10"/>
        <v>034</v>
      </c>
    </row>
    <row r="281" spans="1:5" x14ac:dyDescent="0.25">
      <c r="A281" s="8" t="s">
        <v>676</v>
      </c>
      <c r="B281" s="9" t="s">
        <v>677</v>
      </c>
      <c r="C281" s="9" t="s">
        <v>105</v>
      </c>
      <c r="D281" s="7" t="str">
        <f t="shared" si="9"/>
        <v>m</v>
      </c>
      <c r="E281" s="17" t="str">
        <f t="shared" si="10"/>
        <v>057</v>
      </c>
    </row>
    <row r="282" spans="1:5" x14ac:dyDescent="0.25">
      <c r="A282" s="5" t="s">
        <v>678</v>
      </c>
      <c r="B282" s="6" t="s">
        <v>679</v>
      </c>
      <c r="C282" s="6" t="s">
        <v>73</v>
      </c>
      <c r="D282" s="7" t="str">
        <f t="shared" si="9"/>
        <v>m</v>
      </c>
      <c r="E282" s="17" t="str">
        <f t="shared" si="10"/>
        <v>058</v>
      </c>
    </row>
    <row r="283" spans="1:5" x14ac:dyDescent="0.25">
      <c r="A283" s="8" t="s">
        <v>680</v>
      </c>
      <c r="B283" s="9" t="s">
        <v>681</v>
      </c>
      <c r="C283" s="9" t="s">
        <v>499</v>
      </c>
      <c r="D283" s="7" t="str">
        <f t="shared" si="9"/>
        <v>m</v>
      </c>
      <c r="E283" s="17" t="str">
        <f t="shared" si="10"/>
        <v>051</v>
      </c>
    </row>
    <row r="284" spans="1:5" x14ac:dyDescent="0.25">
      <c r="A284" s="5" t="s">
        <v>682</v>
      </c>
      <c r="B284" s="6" t="s">
        <v>683</v>
      </c>
      <c r="C284" s="6" t="s">
        <v>73</v>
      </c>
      <c r="D284" s="7" t="str">
        <f t="shared" si="9"/>
        <v>m</v>
      </c>
      <c r="E284" s="17" t="str">
        <f t="shared" si="10"/>
        <v>051</v>
      </c>
    </row>
    <row r="285" spans="1:5" x14ac:dyDescent="0.25">
      <c r="A285" s="8" t="s">
        <v>684</v>
      </c>
      <c r="B285" s="9" t="s">
        <v>685</v>
      </c>
      <c r="C285" s="9" t="s">
        <v>485</v>
      </c>
      <c r="D285" s="7" t="str">
        <f t="shared" si="9"/>
        <v>m</v>
      </c>
      <c r="E285" s="17" t="str">
        <f t="shared" si="10"/>
        <v>047</v>
      </c>
    </row>
    <row r="286" spans="1:5" x14ac:dyDescent="0.25">
      <c r="A286" s="5" t="s">
        <v>686</v>
      </c>
      <c r="B286" s="6" t="s">
        <v>687</v>
      </c>
      <c r="C286" s="6" t="s">
        <v>92</v>
      </c>
      <c r="D286" s="7" t="str">
        <f t="shared" si="9"/>
        <v>m</v>
      </c>
      <c r="E286" s="17" t="str">
        <f t="shared" si="10"/>
        <v>083</v>
      </c>
    </row>
    <row r="287" spans="1:5" x14ac:dyDescent="0.25">
      <c r="A287" s="8" t="s">
        <v>688</v>
      </c>
      <c r="B287" s="9" t="s">
        <v>689</v>
      </c>
      <c r="C287" s="9" t="s">
        <v>564</v>
      </c>
      <c r="D287" s="7" t="str">
        <f t="shared" si="9"/>
        <v>k</v>
      </c>
      <c r="E287" s="17" t="str">
        <f t="shared" si="10"/>
        <v>026</v>
      </c>
    </row>
    <row r="288" spans="1:5" x14ac:dyDescent="0.25">
      <c r="A288" s="5" t="s">
        <v>690</v>
      </c>
      <c r="B288" s="6" t="s">
        <v>691</v>
      </c>
      <c r="C288" s="6" t="s">
        <v>692</v>
      </c>
      <c r="D288" s="7" t="str">
        <f t="shared" si="9"/>
        <v>m</v>
      </c>
      <c r="E288" s="17" t="str">
        <f t="shared" si="10"/>
        <v>021</v>
      </c>
    </row>
    <row r="289" spans="1:5" x14ac:dyDescent="0.25">
      <c r="A289" s="8" t="s">
        <v>693</v>
      </c>
      <c r="B289" s="9" t="s">
        <v>694</v>
      </c>
      <c r="C289" s="9" t="s">
        <v>214</v>
      </c>
      <c r="D289" s="7" t="str">
        <f t="shared" si="9"/>
        <v>k</v>
      </c>
      <c r="E289" s="17" t="str">
        <f t="shared" si="10"/>
        <v>035</v>
      </c>
    </row>
    <row r="290" spans="1:5" x14ac:dyDescent="0.25">
      <c r="A290" s="5" t="s">
        <v>695</v>
      </c>
      <c r="B290" s="6" t="s">
        <v>350</v>
      </c>
      <c r="C290" s="6" t="s">
        <v>351</v>
      </c>
      <c r="D290" s="7" t="str">
        <f t="shared" si="9"/>
        <v>k</v>
      </c>
      <c r="E290" s="17" t="str">
        <f t="shared" si="10"/>
        <v>036</v>
      </c>
    </row>
    <row r="291" spans="1:5" x14ac:dyDescent="0.25">
      <c r="A291" s="8" t="s">
        <v>696</v>
      </c>
      <c r="B291" s="9" t="s">
        <v>697</v>
      </c>
      <c r="C291" s="9" t="s">
        <v>111</v>
      </c>
      <c r="D291" s="7" t="str">
        <f t="shared" si="9"/>
        <v>k</v>
      </c>
      <c r="E291" s="17" t="str">
        <f t="shared" si="10"/>
        <v>083</v>
      </c>
    </row>
    <row r="292" spans="1:5" x14ac:dyDescent="0.25">
      <c r="A292" s="5" t="s">
        <v>698</v>
      </c>
      <c r="B292" s="6" t="s">
        <v>699</v>
      </c>
      <c r="C292" s="6" t="s">
        <v>166</v>
      </c>
      <c r="D292" s="7" t="str">
        <f t="shared" si="9"/>
        <v>m</v>
      </c>
      <c r="E292" s="17" t="str">
        <f t="shared" si="10"/>
        <v>102</v>
      </c>
    </row>
    <row r="293" spans="1:5" x14ac:dyDescent="0.25">
      <c r="A293" s="8" t="s">
        <v>700</v>
      </c>
      <c r="B293" s="9" t="s">
        <v>701</v>
      </c>
      <c r="C293" s="9" t="s">
        <v>702</v>
      </c>
      <c r="D293" s="7" t="str">
        <f t="shared" si="9"/>
        <v>k</v>
      </c>
      <c r="E293" s="17" t="str">
        <f t="shared" si="10"/>
        <v>054</v>
      </c>
    </row>
    <row r="294" spans="1:5" x14ac:dyDescent="0.25">
      <c r="A294" s="5" t="s">
        <v>703</v>
      </c>
      <c r="B294" s="6" t="s">
        <v>704</v>
      </c>
      <c r="C294" s="6" t="s">
        <v>419</v>
      </c>
      <c r="D294" s="7" t="str">
        <f t="shared" si="9"/>
        <v>k</v>
      </c>
      <c r="E294" s="17" t="str">
        <f t="shared" si="10"/>
        <v>009</v>
      </c>
    </row>
    <row r="295" spans="1:5" x14ac:dyDescent="0.25">
      <c r="A295" s="8" t="s">
        <v>705</v>
      </c>
      <c r="B295" s="9" t="s">
        <v>271</v>
      </c>
      <c r="C295" s="9" t="s">
        <v>78</v>
      </c>
      <c r="D295" s="7" t="str">
        <f t="shared" si="9"/>
        <v>k</v>
      </c>
      <c r="E295" s="17" t="str">
        <f t="shared" si="10"/>
        <v>005</v>
      </c>
    </row>
    <row r="296" spans="1:5" x14ac:dyDescent="0.25">
      <c r="A296" s="5" t="s">
        <v>706</v>
      </c>
      <c r="B296" s="6" t="s">
        <v>707</v>
      </c>
      <c r="C296" s="6" t="s">
        <v>108</v>
      </c>
      <c r="D296" s="7" t="str">
        <f t="shared" si="9"/>
        <v>m</v>
      </c>
      <c r="E296" s="17" t="str">
        <f t="shared" si="10"/>
        <v>112</v>
      </c>
    </row>
    <row r="297" spans="1:5" x14ac:dyDescent="0.25">
      <c r="A297" s="8" t="s">
        <v>708</v>
      </c>
      <c r="B297" s="9" t="s">
        <v>709</v>
      </c>
      <c r="C297" s="9" t="s">
        <v>246</v>
      </c>
      <c r="D297" s="7" t="str">
        <f t="shared" si="9"/>
        <v>m</v>
      </c>
      <c r="E297" s="17" t="str">
        <f t="shared" si="10"/>
        <v>017</v>
      </c>
    </row>
    <row r="298" spans="1:5" x14ac:dyDescent="0.25">
      <c r="A298" s="5" t="s">
        <v>710</v>
      </c>
      <c r="B298" s="6" t="s">
        <v>711</v>
      </c>
      <c r="C298" s="6" t="s">
        <v>108</v>
      </c>
      <c r="D298" s="7" t="str">
        <f t="shared" si="9"/>
        <v>m</v>
      </c>
      <c r="E298" s="17" t="str">
        <f t="shared" si="10"/>
        <v>080</v>
      </c>
    </row>
    <row r="299" spans="1:5" x14ac:dyDescent="0.25">
      <c r="A299" s="8" t="s">
        <v>712</v>
      </c>
      <c r="B299" s="9" t="s">
        <v>174</v>
      </c>
      <c r="C299" s="9" t="s">
        <v>219</v>
      </c>
      <c r="D299" s="7" t="str">
        <f t="shared" si="9"/>
        <v>m</v>
      </c>
      <c r="E299" s="17" t="str">
        <f t="shared" si="10"/>
        <v>058</v>
      </c>
    </row>
    <row r="300" spans="1:5" x14ac:dyDescent="0.25">
      <c r="A300" s="5" t="s">
        <v>713</v>
      </c>
      <c r="B300" s="6" t="s">
        <v>714</v>
      </c>
      <c r="C300" s="6" t="s">
        <v>156</v>
      </c>
      <c r="D300" s="7" t="str">
        <f t="shared" si="9"/>
        <v>m</v>
      </c>
      <c r="E300" s="17" t="str">
        <f t="shared" si="10"/>
        <v>090</v>
      </c>
    </row>
    <row r="301" spans="1:5" x14ac:dyDescent="0.25">
      <c r="A301" s="8" t="s">
        <v>715</v>
      </c>
      <c r="B301" s="9" t="s">
        <v>716</v>
      </c>
      <c r="C301" s="9" t="s">
        <v>413</v>
      </c>
      <c r="D301" s="7" t="str">
        <f t="shared" si="9"/>
        <v>k</v>
      </c>
      <c r="E301" s="17" t="str">
        <f t="shared" si="10"/>
        <v>050</v>
      </c>
    </row>
    <row r="302" spans="1:5" x14ac:dyDescent="0.25">
      <c r="A302" s="5" t="s">
        <v>717</v>
      </c>
      <c r="B302" s="6" t="s">
        <v>718</v>
      </c>
      <c r="C302" s="6" t="s">
        <v>25</v>
      </c>
      <c r="D302" s="7" t="str">
        <f t="shared" si="9"/>
        <v>m</v>
      </c>
      <c r="E302" s="17" t="str">
        <f t="shared" si="10"/>
        <v>058</v>
      </c>
    </row>
    <row r="303" spans="1:5" x14ac:dyDescent="0.25">
      <c r="A303" s="8" t="s">
        <v>719</v>
      </c>
      <c r="B303" s="9" t="s">
        <v>720</v>
      </c>
      <c r="C303" s="9" t="s">
        <v>721</v>
      </c>
      <c r="D303" s="7" t="str">
        <f t="shared" si="9"/>
        <v>k</v>
      </c>
      <c r="E303" s="17" t="str">
        <f t="shared" si="10"/>
        <v>051</v>
      </c>
    </row>
    <row r="304" spans="1:5" x14ac:dyDescent="0.25">
      <c r="A304" s="5" t="s">
        <v>722</v>
      </c>
      <c r="B304" s="6" t="s">
        <v>723</v>
      </c>
      <c r="C304" s="6" t="s">
        <v>47</v>
      </c>
      <c r="D304" s="7" t="str">
        <f t="shared" si="9"/>
        <v>m</v>
      </c>
      <c r="E304" s="17" t="str">
        <f t="shared" si="10"/>
        <v>089</v>
      </c>
    </row>
    <row r="305" spans="1:5" x14ac:dyDescent="0.25">
      <c r="A305" s="8" t="s">
        <v>724</v>
      </c>
      <c r="B305" s="9" t="s">
        <v>725</v>
      </c>
      <c r="C305" s="9" t="s">
        <v>419</v>
      </c>
      <c r="D305" s="7" t="str">
        <f t="shared" si="9"/>
        <v>k</v>
      </c>
      <c r="E305" s="17" t="str">
        <f t="shared" si="10"/>
        <v>035</v>
      </c>
    </row>
    <row r="306" spans="1:5" x14ac:dyDescent="0.25">
      <c r="A306" s="5" t="s">
        <v>726</v>
      </c>
      <c r="B306" s="6" t="s">
        <v>415</v>
      </c>
      <c r="C306" s="6" t="s">
        <v>214</v>
      </c>
      <c r="D306" s="7" t="str">
        <f t="shared" si="9"/>
        <v>k</v>
      </c>
      <c r="E306" s="17" t="str">
        <f t="shared" si="10"/>
        <v>036</v>
      </c>
    </row>
    <row r="307" spans="1:5" x14ac:dyDescent="0.25">
      <c r="A307" s="8" t="s">
        <v>727</v>
      </c>
      <c r="B307" s="9" t="s">
        <v>728</v>
      </c>
      <c r="C307" s="9" t="s">
        <v>729</v>
      </c>
      <c r="D307" s="7" t="str">
        <f t="shared" si="9"/>
        <v>k</v>
      </c>
      <c r="E307" s="17" t="str">
        <f t="shared" si="10"/>
        <v>020</v>
      </c>
    </row>
    <row r="308" spans="1:5" x14ac:dyDescent="0.25">
      <c r="A308" s="5" t="s">
        <v>730</v>
      </c>
      <c r="B308" s="6" t="s">
        <v>731</v>
      </c>
      <c r="C308" s="6" t="s">
        <v>111</v>
      </c>
      <c r="D308" s="7" t="str">
        <f t="shared" si="9"/>
        <v>k</v>
      </c>
      <c r="E308" s="17" t="str">
        <f t="shared" si="10"/>
        <v>021</v>
      </c>
    </row>
    <row r="309" spans="1:5" x14ac:dyDescent="0.25">
      <c r="A309" s="8" t="s">
        <v>732</v>
      </c>
      <c r="B309" s="9" t="s">
        <v>733</v>
      </c>
      <c r="C309" s="9" t="s">
        <v>734</v>
      </c>
      <c r="D309" s="7" t="str">
        <f t="shared" si="9"/>
        <v>m</v>
      </c>
      <c r="E309" s="17" t="str">
        <f t="shared" si="10"/>
        <v>023</v>
      </c>
    </row>
    <row r="310" spans="1:5" x14ac:dyDescent="0.25">
      <c r="A310" s="5" t="s">
        <v>735</v>
      </c>
      <c r="B310" s="6" t="s">
        <v>120</v>
      </c>
      <c r="C310" s="6" t="s">
        <v>73</v>
      </c>
      <c r="D310" s="7" t="str">
        <f t="shared" si="9"/>
        <v>m</v>
      </c>
      <c r="E310" s="17" t="str">
        <f t="shared" si="10"/>
        <v>024</v>
      </c>
    </row>
    <row r="311" spans="1:5" x14ac:dyDescent="0.25">
      <c r="A311" s="8" t="s">
        <v>736</v>
      </c>
      <c r="B311" s="9" t="s">
        <v>685</v>
      </c>
      <c r="C311" s="9" t="s">
        <v>219</v>
      </c>
      <c r="D311" s="7" t="str">
        <f t="shared" si="9"/>
        <v>m</v>
      </c>
      <c r="E311" s="17" t="str">
        <f t="shared" si="10"/>
        <v>082</v>
      </c>
    </row>
    <row r="312" spans="1:5" x14ac:dyDescent="0.25">
      <c r="A312" s="5" t="s">
        <v>737</v>
      </c>
      <c r="B312" s="6" t="s">
        <v>738</v>
      </c>
      <c r="C312" s="6" t="s">
        <v>194</v>
      </c>
      <c r="D312" s="7" t="str">
        <f t="shared" si="9"/>
        <v>k</v>
      </c>
      <c r="E312" s="17" t="str">
        <f t="shared" si="10"/>
        <v>014</v>
      </c>
    </row>
    <row r="313" spans="1:5" x14ac:dyDescent="0.25">
      <c r="A313" s="8" t="s">
        <v>739</v>
      </c>
      <c r="B313" s="9" t="s">
        <v>740</v>
      </c>
      <c r="C313" s="9" t="s">
        <v>131</v>
      </c>
      <c r="D313" s="7" t="str">
        <f t="shared" si="9"/>
        <v>k</v>
      </c>
      <c r="E313" s="17" t="str">
        <f t="shared" si="10"/>
        <v>051</v>
      </c>
    </row>
    <row r="314" spans="1:5" x14ac:dyDescent="0.25">
      <c r="A314" s="5" t="s">
        <v>741</v>
      </c>
      <c r="B314" s="6" t="s">
        <v>742</v>
      </c>
      <c r="C314" s="6" t="s">
        <v>89</v>
      </c>
      <c r="D314" s="7" t="str">
        <f t="shared" si="9"/>
        <v>k</v>
      </c>
      <c r="E314" s="17" t="str">
        <f t="shared" si="10"/>
        <v>014</v>
      </c>
    </row>
    <row r="315" spans="1:5" x14ac:dyDescent="0.25">
      <c r="A315" s="8" t="s">
        <v>743</v>
      </c>
      <c r="B315" s="9" t="s">
        <v>744</v>
      </c>
      <c r="C315" s="9" t="s">
        <v>241</v>
      </c>
      <c r="D315" s="7" t="str">
        <f t="shared" si="9"/>
        <v>k</v>
      </c>
      <c r="E315" s="17" t="str">
        <f t="shared" si="10"/>
        <v>072</v>
      </c>
    </row>
    <row r="316" spans="1:5" x14ac:dyDescent="0.25">
      <c r="A316" s="5" t="s">
        <v>745</v>
      </c>
      <c r="B316" s="6" t="s">
        <v>746</v>
      </c>
      <c r="C316" s="6" t="s">
        <v>345</v>
      </c>
      <c r="D316" s="7" t="str">
        <f t="shared" si="9"/>
        <v>k</v>
      </c>
      <c r="E316" s="17" t="str">
        <f t="shared" si="10"/>
        <v>011</v>
      </c>
    </row>
    <row r="317" spans="1:5" x14ac:dyDescent="0.25">
      <c r="A317" s="8" t="s">
        <v>747</v>
      </c>
      <c r="B317" s="9" t="s">
        <v>207</v>
      </c>
      <c r="C317" s="9" t="s">
        <v>208</v>
      </c>
      <c r="D317" s="7" t="str">
        <f t="shared" si="9"/>
        <v>m</v>
      </c>
      <c r="E317" s="17" t="str">
        <f t="shared" si="10"/>
        <v>011</v>
      </c>
    </row>
    <row r="318" spans="1:5" x14ac:dyDescent="0.25">
      <c r="A318" s="5" t="s">
        <v>748</v>
      </c>
      <c r="B318" s="6" t="s">
        <v>749</v>
      </c>
      <c r="C318" s="6" t="s">
        <v>413</v>
      </c>
      <c r="D318" s="7" t="str">
        <f t="shared" si="9"/>
        <v>k</v>
      </c>
      <c r="E318" s="17" t="str">
        <f t="shared" si="10"/>
        <v>071</v>
      </c>
    </row>
    <row r="319" spans="1:5" x14ac:dyDescent="0.25">
      <c r="A319" s="8" t="s">
        <v>750</v>
      </c>
      <c r="B319" s="9" t="s">
        <v>751</v>
      </c>
      <c r="C319" s="9" t="s">
        <v>416</v>
      </c>
      <c r="D319" s="7" t="str">
        <f t="shared" si="9"/>
        <v>k</v>
      </c>
      <c r="E319" s="17" t="str">
        <f t="shared" si="10"/>
        <v>117</v>
      </c>
    </row>
    <row r="320" spans="1:5" x14ac:dyDescent="0.25">
      <c r="A320" s="5" t="s">
        <v>752</v>
      </c>
      <c r="B320" s="6" t="s">
        <v>753</v>
      </c>
      <c r="C320" s="6" t="s">
        <v>754</v>
      </c>
      <c r="D320" s="7" t="str">
        <f t="shared" si="9"/>
        <v>m</v>
      </c>
      <c r="E320" s="17" t="str">
        <f t="shared" si="10"/>
        <v>069</v>
      </c>
    </row>
    <row r="321" spans="1:5" x14ac:dyDescent="0.25">
      <c r="A321" s="8" t="s">
        <v>755</v>
      </c>
      <c r="B321" s="9" t="s">
        <v>107</v>
      </c>
      <c r="C321" s="9" t="s">
        <v>64</v>
      </c>
      <c r="D321" s="7" t="str">
        <f t="shared" si="9"/>
        <v>m</v>
      </c>
      <c r="E321" s="17" t="str">
        <f t="shared" si="10"/>
        <v>059</v>
      </c>
    </row>
    <row r="322" spans="1:5" x14ac:dyDescent="0.25">
      <c r="A322" s="5" t="s">
        <v>756</v>
      </c>
      <c r="B322" s="6" t="s">
        <v>757</v>
      </c>
      <c r="C322" s="6" t="s">
        <v>275</v>
      </c>
      <c r="D322" s="7" t="str">
        <f t="shared" ref="D322:D385" si="11">IF(MOD(LEFT(RIGHT(A322,2),1),2)=0,"k","m")</f>
        <v>k</v>
      </c>
      <c r="E322" s="17" t="str">
        <f t="shared" si="10"/>
        <v>039</v>
      </c>
    </row>
    <row r="323" spans="1:5" x14ac:dyDescent="0.25">
      <c r="A323" s="8" t="s">
        <v>758</v>
      </c>
      <c r="B323" s="9" t="s">
        <v>759</v>
      </c>
      <c r="C323" s="9" t="s">
        <v>760</v>
      </c>
      <c r="D323" s="7" t="str">
        <f t="shared" si="11"/>
        <v>m</v>
      </c>
      <c r="E323" s="17" t="str">
        <f t="shared" ref="E323:E386" si="12">LEFT(RIGHT(A323,5),3)</f>
        <v>039</v>
      </c>
    </row>
    <row r="324" spans="1:5" x14ac:dyDescent="0.25">
      <c r="A324" s="5" t="s">
        <v>761</v>
      </c>
      <c r="B324" s="6" t="s">
        <v>762</v>
      </c>
      <c r="C324" s="6" t="s">
        <v>86</v>
      </c>
      <c r="D324" s="7" t="str">
        <f t="shared" si="11"/>
        <v>k</v>
      </c>
      <c r="E324" s="17" t="str">
        <f t="shared" si="12"/>
        <v>054</v>
      </c>
    </row>
    <row r="325" spans="1:5" x14ac:dyDescent="0.25">
      <c r="A325" s="8" t="s">
        <v>763</v>
      </c>
      <c r="B325" s="9" t="s">
        <v>764</v>
      </c>
      <c r="C325" s="9" t="s">
        <v>323</v>
      </c>
      <c r="D325" s="7" t="str">
        <f t="shared" si="11"/>
        <v>k</v>
      </c>
      <c r="E325" s="17" t="str">
        <f t="shared" si="12"/>
        <v>032</v>
      </c>
    </row>
    <row r="326" spans="1:5" x14ac:dyDescent="0.25">
      <c r="A326" s="5" t="s">
        <v>765</v>
      </c>
      <c r="B326" s="6" t="s">
        <v>766</v>
      </c>
      <c r="C326" s="6" t="s">
        <v>767</v>
      </c>
      <c r="D326" s="7" t="str">
        <f t="shared" si="11"/>
        <v>k</v>
      </c>
      <c r="E326" s="17" t="str">
        <f t="shared" si="12"/>
        <v>037</v>
      </c>
    </row>
    <row r="327" spans="1:5" x14ac:dyDescent="0.25">
      <c r="A327" s="8" t="s">
        <v>768</v>
      </c>
      <c r="B327" s="9" t="s">
        <v>769</v>
      </c>
      <c r="C327" s="9" t="s">
        <v>393</v>
      </c>
      <c r="D327" s="7" t="str">
        <f t="shared" si="11"/>
        <v>k</v>
      </c>
      <c r="E327" s="17" t="str">
        <f t="shared" si="12"/>
        <v>038</v>
      </c>
    </row>
    <row r="328" spans="1:5" x14ac:dyDescent="0.25">
      <c r="A328" s="5" t="s">
        <v>770</v>
      </c>
      <c r="B328" s="6" t="s">
        <v>757</v>
      </c>
      <c r="C328" s="6" t="s">
        <v>108</v>
      </c>
      <c r="D328" s="7" t="str">
        <f t="shared" si="11"/>
        <v>m</v>
      </c>
      <c r="E328" s="17" t="str">
        <f t="shared" si="12"/>
        <v>063</v>
      </c>
    </row>
    <row r="329" spans="1:5" x14ac:dyDescent="0.25">
      <c r="A329" s="8" t="s">
        <v>771</v>
      </c>
      <c r="B329" s="9" t="s">
        <v>772</v>
      </c>
      <c r="C329" s="9" t="s">
        <v>485</v>
      </c>
      <c r="D329" s="7" t="str">
        <f t="shared" si="11"/>
        <v>m</v>
      </c>
      <c r="E329" s="17" t="str">
        <f t="shared" si="12"/>
        <v>063</v>
      </c>
    </row>
    <row r="330" spans="1:5" x14ac:dyDescent="0.25">
      <c r="A330" s="5" t="s">
        <v>773</v>
      </c>
      <c r="B330" s="6" t="s">
        <v>774</v>
      </c>
      <c r="C330" s="6" t="s">
        <v>39</v>
      </c>
      <c r="D330" s="7" t="str">
        <f t="shared" si="11"/>
        <v>m</v>
      </c>
      <c r="E330" s="17" t="str">
        <f t="shared" si="12"/>
        <v>090</v>
      </c>
    </row>
    <row r="331" spans="1:5" x14ac:dyDescent="0.25">
      <c r="A331" s="8" t="s">
        <v>775</v>
      </c>
      <c r="B331" s="9" t="s">
        <v>776</v>
      </c>
      <c r="C331" s="9" t="s">
        <v>121</v>
      </c>
      <c r="D331" s="7" t="str">
        <f t="shared" si="11"/>
        <v>m</v>
      </c>
      <c r="E331" s="17" t="str">
        <f t="shared" si="12"/>
        <v>028</v>
      </c>
    </row>
    <row r="332" spans="1:5" x14ac:dyDescent="0.25">
      <c r="A332" s="5" t="s">
        <v>777</v>
      </c>
      <c r="B332" s="6" t="s">
        <v>778</v>
      </c>
      <c r="C332" s="6" t="s">
        <v>266</v>
      </c>
      <c r="D332" s="7" t="str">
        <f t="shared" si="11"/>
        <v>k</v>
      </c>
      <c r="E332" s="17" t="str">
        <f t="shared" si="12"/>
        <v>021</v>
      </c>
    </row>
    <row r="333" spans="1:5" x14ac:dyDescent="0.25">
      <c r="A333" s="8" t="s">
        <v>779</v>
      </c>
      <c r="B333" s="9" t="s">
        <v>780</v>
      </c>
      <c r="C333" s="9" t="s">
        <v>111</v>
      </c>
      <c r="D333" s="7" t="str">
        <f t="shared" si="11"/>
        <v>k</v>
      </c>
      <c r="E333" s="17" t="str">
        <f t="shared" si="12"/>
        <v>065</v>
      </c>
    </row>
    <row r="334" spans="1:5" x14ac:dyDescent="0.25">
      <c r="A334" s="5" t="s">
        <v>781</v>
      </c>
      <c r="B334" s="6" t="s">
        <v>782</v>
      </c>
      <c r="C334" s="6" t="s">
        <v>56</v>
      </c>
      <c r="D334" s="7" t="str">
        <f t="shared" si="11"/>
        <v>k</v>
      </c>
      <c r="E334" s="17" t="str">
        <f t="shared" si="12"/>
        <v>027</v>
      </c>
    </row>
    <row r="335" spans="1:5" x14ac:dyDescent="0.25">
      <c r="A335" s="8" t="s">
        <v>783</v>
      </c>
      <c r="B335" s="9" t="s">
        <v>784</v>
      </c>
      <c r="C335" s="9" t="s">
        <v>202</v>
      </c>
      <c r="D335" s="7" t="str">
        <f t="shared" si="11"/>
        <v>m</v>
      </c>
      <c r="E335" s="17" t="str">
        <f t="shared" si="12"/>
        <v>013</v>
      </c>
    </row>
    <row r="336" spans="1:5" x14ac:dyDescent="0.25">
      <c r="A336" s="5" t="s">
        <v>785</v>
      </c>
      <c r="B336" s="6" t="s">
        <v>786</v>
      </c>
      <c r="C336" s="6" t="s">
        <v>787</v>
      </c>
      <c r="D336" s="7" t="str">
        <f t="shared" si="11"/>
        <v>k</v>
      </c>
      <c r="E336" s="17" t="str">
        <f t="shared" si="12"/>
        <v>059</v>
      </c>
    </row>
    <row r="337" spans="1:5" x14ac:dyDescent="0.25">
      <c r="A337" s="8" t="s">
        <v>788</v>
      </c>
      <c r="B337" s="9" t="s">
        <v>789</v>
      </c>
      <c r="C337" s="9" t="s">
        <v>345</v>
      </c>
      <c r="D337" s="7" t="str">
        <f t="shared" si="11"/>
        <v>k</v>
      </c>
      <c r="E337" s="17" t="str">
        <f t="shared" si="12"/>
        <v>026</v>
      </c>
    </row>
    <row r="338" spans="1:5" x14ac:dyDescent="0.25">
      <c r="A338" s="5" t="s">
        <v>790</v>
      </c>
      <c r="B338" s="6" t="s">
        <v>791</v>
      </c>
      <c r="C338" s="6" t="s">
        <v>260</v>
      </c>
      <c r="D338" s="7" t="str">
        <f t="shared" si="11"/>
        <v>m</v>
      </c>
      <c r="E338" s="17" t="str">
        <f t="shared" si="12"/>
        <v>024</v>
      </c>
    </row>
    <row r="339" spans="1:5" x14ac:dyDescent="0.25">
      <c r="A339" s="8" t="s">
        <v>792</v>
      </c>
      <c r="B339" s="9" t="s">
        <v>629</v>
      </c>
      <c r="C339" s="9" t="s">
        <v>793</v>
      </c>
      <c r="D339" s="7" t="str">
        <f t="shared" si="11"/>
        <v>m</v>
      </c>
      <c r="E339" s="17" t="str">
        <f t="shared" si="12"/>
        <v>053</v>
      </c>
    </row>
    <row r="340" spans="1:5" x14ac:dyDescent="0.25">
      <c r="A340" s="5" t="s">
        <v>794</v>
      </c>
      <c r="B340" s="6" t="s">
        <v>795</v>
      </c>
      <c r="C340" s="6" t="s">
        <v>108</v>
      </c>
      <c r="D340" s="7" t="str">
        <f t="shared" si="11"/>
        <v>m</v>
      </c>
      <c r="E340" s="17" t="str">
        <f t="shared" si="12"/>
        <v>053</v>
      </c>
    </row>
    <row r="341" spans="1:5" x14ac:dyDescent="0.25">
      <c r="A341" s="8" t="s">
        <v>796</v>
      </c>
      <c r="B341" s="9" t="s">
        <v>797</v>
      </c>
      <c r="C341" s="9" t="s">
        <v>78</v>
      </c>
      <c r="D341" s="7" t="str">
        <f t="shared" si="11"/>
        <v>k</v>
      </c>
      <c r="E341" s="17" t="str">
        <f t="shared" si="12"/>
        <v>022</v>
      </c>
    </row>
    <row r="342" spans="1:5" x14ac:dyDescent="0.25">
      <c r="A342" s="5" t="s">
        <v>798</v>
      </c>
      <c r="B342" s="6" t="s">
        <v>799</v>
      </c>
      <c r="C342" s="6" t="s">
        <v>105</v>
      </c>
      <c r="D342" s="7" t="str">
        <f t="shared" si="11"/>
        <v>m</v>
      </c>
      <c r="E342" s="17" t="str">
        <f t="shared" si="12"/>
        <v>056</v>
      </c>
    </row>
    <row r="343" spans="1:5" x14ac:dyDescent="0.25">
      <c r="A343" s="8" t="s">
        <v>800</v>
      </c>
      <c r="B343" s="9" t="s">
        <v>801</v>
      </c>
      <c r="C343" s="9" t="s">
        <v>105</v>
      </c>
      <c r="D343" s="7" t="str">
        <f t="shared" si="11"/>
        <v>m</v>
      </c>
      <c r="E343" s="17" t="str">
        <f t="shared" si="12"/>
        <v>057</v>
      </c>
    </row>
    <row r="344" spans="1:5" x14ac:dyDescent="0.25">
      <c r="A344" s="5" t="s">
        <v>802</v>
      </c>
      <c r="B344" s="6" t="s">
        <v>803</v>
      </c>
      <c r="C344" s="6" t="s">
        <v>11</v>
      </c>
      <c r="D344" s="7" t="str">
        <f t="shared" si="11"/>
        <v>m</v>
      </c>
      <c r="E344" s="17" t="str">
        <f t="shared" si="12"/>
        <v>076</v>
      </c>
    </row>
    <row r="345" spans="1:5" x14ac:dyDescent="0.25">
      <c r="A345" s="8" t="s">
        <v>804</v>
      </c>
      <c r="B345" s="9" t="s">
        <v>805</v>
      </c>
      <c r="C345" s="9" t="s">
        <v>359</v>
      </c>
      <c r="D345" s="7" t="str">
        <f t="shared" si="11"/>
        <v>k</v>
      </c>
      <c r="E345" s="17" t="str">
        <f t="shared" si="12"/>
        <v>090</v>
      </c>
    </row>
    <row r="346" spans="1:5" x14ac:dyDescent="0.25">
      <c r="A346" s="5" t="s">
        <v>806</v>
      </c>
      <c r="B346" s="6" t="s">
        <v>807</v>
      </c>
      <c r="C346" s="6" t="s">
        <v>382</v>
      </c>
      <c r="D346" s="7" t="str">
        <f t="shared" si="11"/>
        <v>k</v>
      </c>
      <c r="E346" s="17" t="str">
        <f t="shared" si="12"/>
        <v>046</v>
      </c>
    </row>
    <row r="347" spans="1:5" x14ac:dyDescent="0.25">
      <c r="A347" s="8" t="s">
        <v>808</v>
      </c>
      <c r="B347" s="9" t="s">
        <v>809</v>
      </c>
      <c r="C347" s="9" t="s">
        <v>505</v>
      </c>
      <c r="D347" s="7" t="str">
        <f t="shared" si="11"/>
        <v>m</v>
      </c>
      <c r="E347" s="17" t="str">
        <f t="shared" si="12"/>
        <v>046</v>
      </c>
    </row>
    <row r="348" spans="1:5" x14ac:dyDescent="0.25">
      <c r="A348" s="5" t="s">
        <v>810</v>
      </c>
      <c r="B348" s="6" t="s">
        <v>811</v>
      </c>
      <c r="C348" s="6" t="s">
        <v>812</v>
      </c>
      <c r="D348" s="7" t="str">
        <f t="shared" si="11"/>
        <v>m</v>
      </c>
      <c r="E348" s="17" t="str">
        <f t="shared" si="12"/>
        <v>047</v>
      </c>
    </row>
    <row r="349" spans="1:5" x14ac:dyDescent="0.25">
      <c r="A349" s="8" t="s">
        <v>813</v>
      </c>
      <c r="B349" s="9" t="s">
        <v>814</v>
      </c>
      <c r="C349" s="9" t="s">
        <v>92</v>
      </c>
      <c r="D349" s="7" t="str">
        <f t="shared" si="11"/>
        <v>m</v>
      </c>
      <c r="E349" s="17" t="str">
        <f t="shared" si="12"/>
        <v>047</v>
      </c>
    </row>
    <row r="350" spans="1:5" x14ac:dyDescent="0.25">
      <c r="A350" s="5" t="s">
        <v>815</v>
      </c>
      <c r="B350" s="6" t="s">
        <v>816</v>
      </c>
      <c r="C350" s="6" t="s">
        <v>166</v>
      </c>
      <c r="D350" s="7" t="str">
        <f t="shared" si="11"/>
        <v>m</v>
      </c>
      <c r="E350" s="17" t="str">
        <f t="shared" si="12"/>
        <v>047</v>
      </c>
    </row>
    <row r="351" spans="1:5" x14ac:dyDescent="0.25">
      <c r="A351" s="8" t="s">
        <v>817</v>
      </c>
      <c r="B351" s="9" t="s">
        <v>818</v>
      </c>
      <c r="C351" s="9" t="s">
        <v>20</v>
      </c>
      <c r="D351" s="7" t="str">
        <f t="shared" si="11"/>
        <v>m</v>
      </c>
      <c r="E351" s="17" t="str">
        <f t="shared" si="12"/>
        <v>047</v>
      </c>
    </row>
    <row r="352" spans="1:5" x14ac:dyDescent="0.25">
      <c r="A352" s="5" t="s">
        <v>819</v>
      </c>
      <c r="B352" s="6" t="s">
        <v>820</v>
      </c>
      <c r="C352" s="6" t="s">
        <v>821</v>
      </c>
      <c r="D352" s="7" t="str">
        <f t="shared" si="11"/>
        <v>m</v>
      </c>
      <c r="E352" s="17" t="str">
        <f t="shared" si="12"/>
        <v>038</v>
      </c>
    </row>
    <row r="353" spans="1:5" x14ac:dyDescent="0.25">
      <c r="A353" s="8" t="s">
        <v>822</v>
      </c>
      <c r="B353" s="9" t="s">
        <v>823</v>
      </c>
      <c r="C353" s="9" t="s">
        <v>824</v>
      </c>
      <c r="D353" s="7" t="str">
        <f t="shared" si="11"/>
        <v>k</v>
      </c>
      <c r="E353" s="17" t="str">
        <f t="shared" si="12"/>
        <v>056</v>
      </c>
    </row>
    <row r="354" spans="1:5" x14ac:dyDescent="0.25">
      <c r="A354" s="5" t="s">
        <v>825</v>
      </c>
      <c r="B354" s="6" t="s">
        <v>826</v>
      </c>
      <c r="C354" s="6" t="s">
        <v>17</v>
      </c>
      <c r="D354" s="7" t="str">
        <f t="shared" si="11"/>
        <v>m</v>
      </c>
      <c r="E354" s="17" t="str">
        <f t="shared" si="12"/>
        <v>113</v>
      </c>
    </row>
    <row r="355" spans="1:5" x14ac:dyDescent="0.25">
      <c r="A355" s="8" t="s">
        <v>827</v>
      </c>
      <c r="B355" s="9" t="s">
        <v>828</v>
      </c>
      <c r="C355" s="9" t="s">
        <v>829</v>
      </c>
      <c r="D355" s="7" t="str">
        <f t="shared" si="11"/>
        <v>k</v>
      </c>
      <c r="E355" s="17" t="str">
        <f t="shared" si="12"/>
        <v>113</v>
      </c>
    </row>
    <row r="356" spans="1:5" x14ac:dyDescent="0.25">
      <c r="A356" s="5" t="s">
        <v>830</v>
      </c>
      <c r="B356" s="6" t="s">
        <v>831</v>
      </c>
      <c r="C356" s="6" t="s">
        <v>832</v>
      </c>
      <c r="D356" s="7" t="str">
        <f t="shared" si="11"/>
        <v>m</v>
      </c>
      <c r="E356" s="17" t="str">
        <f t="shared" si="12"/>
        <v>363</v>
      </c>
    </row>
    <row r="357" spans="1:5" x14ac:dyDescent="0.25">
      <c r="A357" s="8" t="s">
        <v>833</v>
      </c>
      <c r="B357" s="9" t="s">
        <v>834</v>
      </c>
      <c r="C357" s="9" t="s">
        <v>61</v>
      </c>
      <c r="D357" s="7" t="str">
        <f t="shared" si="11"/>
        <v>m</v>
      </c>
      <c r="E357" s="17" t="str">
        <f t="shared" si="12"/>
        <v>533</v>
      </c>
    </row>
    <row r="358" spans="1:5" x14ac:dyDescent="0.25">
      <c r="A358" s="5" t="s">
        <v>835</v>
      </c>
      <c r="B358" s="6" t="s">
        <v>836</v>
      </c>
      <c r="C358" s="6" t="s">
        <v>829</v>
      </c>
      <c r="D358" s="7" t="str">
        <f t="shared" si="11"/>
        <v>k</v>
      </c>
      <c r="E358" s="17" t="str">
        <f t="shared" si="12"/>
        <v>738</v>
      </c>
    </row>
    <row r="359" spans="1:5" x14ac:dyDescent="0.25">
      <c r="A359" s="8" t="s">
        <v>837</v>
      </c>
      <c r="B359" s="9" t="s">
        <v>838</v>
      </c>
      <c r="C359" s="9" t="s">
        <v>147</v>
      </c>
      <c r="D359" s="7" t="str">
        <f t="shared" si="11"/>
        <v>k</v>
      </c>
      <c r="E359" s="17" t="str">
        <f t="shared" si="12"/>
        <v>568</v>
      </c>
    </row>
    <row r="360" spans="1:5" x14ac:dyDescent="0.25">
      <c r="A360" s="5" t="s">
        <v>839</v>
      </c>
      <c r="B360" s="6" t="s">
        <v>840</v>
      </c>
      <c r="C360" s="6" t="s">
        <v>841</v>
      </c>
      <c r="D360" s="7" t="str">
        <f t="shared" si="11"/>
        <v>m</v>
      </c>
      <c r="E360" s="17" t="str">
        <f t="shared" si="12"/>
        <v>461</v>
      </c>
    </row>
    <row r="361" spans="1:5" x14ac:dyDescent="0.25">
      <c r="A361" s="8" t="s">
        <v>842</v>
      </c>
      <c r="B361" s="9" t="s">
        <v>843</v>
      </c>
      <c r="C361" s="9" t="s">
        <v>841</v>
      </c>
      <c r="D361" s="7" t="str">
        <f t="shared" si="11"/>
        <v>m</v>
      </c>
      <c r="E361" s="17" t="str">
        <f t="shared" si="12"/>
        <v>060</v>
      </c>
    </row>
    <row r="362" spans="1:5" x14ac:dyDescent="0.25">
      <c r="A362" s="5" t="s">
        <v>844</v>
      </c>
      <c r="B362" s="6" t="s">
        <v>845</v>
      </c>
      <c r="C362" s="6" t="s">
        <v>416</v>
      </c>
      <c r="D362" s="7" t="str">
        <f t="shared" si="11"/>
        <v>k</v>
      </c>
      <c r="E362" s="17" t="str">
        <f t="shared" si="12"/>
        <v>991</v>
      </c>
    </row>
    <row r="363" spans="1:5" x14ac:dyDescent="0.25">
      <c r="A363" s="8" t="s">
        <v>846</v>
      </c>
      <c r="B363" s="9" t="s">
        <v>847</v>
      </c>
      <c r="C363" s="9" t="s">
        <v>848</v>
      </c>
      <c r="D363" s="7" t="str">
        <f t="shared" si="11"/>
        <v>m</v>
      </c>
      <c r="E363" s="17" t="str">
        <f t="shared" si="12"/>
        <v>371</v>
      </c>
    </row>
    <row r="364" spans="1:5" x14ac:dyDescent="0.25">
      <c r="A364" s="5" t="s">
        <v>849</v>
      </c>
      <c r="B364" s="6" t="s">
        <v>850</v>
      </c>
      <c r="C364" s="6" t="s">
        <v>485</v>
      </c>
      <c r="D364" s="7" t="str">
        <f t="shared" si="11"/>
        <v>m</v>
      </c>
      <c r="E364" s="17" t="str">
        <f t="shared" si="12"/>
        <v>534</v>
      </c>
    </row>
    <row r="365" spans="1:5" x14ac:dyDescent="0.25">
      <c r="A365" s="8" t="s">
        <v>851</v>
      </c>
      <c r="B365" s="9" t="s">
        <v>852</v>
      </c>
      <c r="C365" s="9" t="s">
        <v>121</v>
      </c>
      <c r="D365" s="7" t="str">
        <f t="shared" si="11"/>
        <v>m</v>
      </c>
      <c r="E365" s="17" t="str">
        <f t="shared" si="12"/>
        <v>066</v>
      </c>
    </row>
    <row r="366" spans="1:5" x14ac:dyDescent="0.25">
      <c r="A366" s="5" t="s">
        <v>853</v>
      </c>
      <c r="B366" s="6" t="s">
        <v>854</v>
      </c>
      <c r="C366" s="6" t="s">
        <v>855</v>
      </c>
      <c r="D366" s="7" t="str">
        <f t="shared" si="11"/>
        <v>m</v>
      </c>
      <c r="E366" s="17" t="str">
        <f t="shared" si="12"/>
        <v>289</v>
      </c>
    </row>
    <row r="367" spans="1:5" x14ac:dyDescent="0.25">
      <c r="A367" s="8" t="s">
        <v>856</v>
      </c>
      <c r="B367" s="9" t="s">
        <v>857</v>
      </c>
      <c r="C367" s="9" t="s">
        <v>309</v>
      </c>
      <c r="D367" s="7" t="str">
        <f t="shared" si="11"/>
        <v>k</v>
      </c>
      <c r="E367" s="17" t="str">
        <f t="shared" si="12"/>
        <v>615</v>
      </c>
    </row>
    <row r="368" spans="1:5" x14ac:dyDescent="0.25">
      <c r="A368" s="5" t="s">
        <v>858</v>
      </c>
      <c r="B368" s="6" t="s">
        <v>859</v>
      </c>
      <c r="C368" s="6" t="s">
        <v>860</v>
      </c>
      <c r="D368" s="7" t="str">
        <f t="shared" si="11"/>
        <v>m</v>
      </c>
      <c r="E368" s="17" t="str">
        <f t="shared" si="12"/>
        <v>630</v>
      </c>
    </row>
    <row r="369" spans="1:5" x14ac:dyDescent="0.25">
      <c r="A369" s="8" t="s">
        <v>861</v>
      </c>
      <c r="B369" s="9" t="s">
        <v>862</v>
      </c>
      <c r="C369" s="9" t="s">
        <v>73</v>
      </c>
      <c r="D369" s="7" t="str">
        <f t="shared" si="11"/>
        <v>m</v>
      </c>
      <c r="E369" s="17" t="str">
        <f t="shared" si="12"/>
        <v>024</v>
      </c>
    </row>
    <row r="370" spans="1:5" x14ac:dyDescent="0.25">
      <c r="A370" s="5" t="s">
        <v>863</v>
      </c>
      <c r="B370" s="6" t="s">
        <v>864</v>
      </c>
      <c r="C370" s="6" t="s">
        <v>309</v>
      </c>
      <c r="D370" s="7" t="str">
        <f t="shared" si="11"/>
        <v>k</v>
      </c>
      <c r="E370" s="17" t="str">
        <f t="shared" si="12"/>
        <v>880</v>
      </c>
    </row>
    <row r="371" spans="1:5" x14ac:dyDescent="0.25">
      <c r="A371" s="8" t="s">
        <v>865</v>
      </c>
      <c r="B371" s="9" t="s">
        <v>866</v>
      </c>
      <c r="C371" s="9" t="s">
        <v>17</v>
      </c>
      <c r="D371" s="7" t="str">
        <f t="shared" si="11"/>
        <v>m</v>
      </c>
      <c r="E371" s="17" t="str">
        <f t="shared" si="12"/>
        <v>520</v>
      </c>
    </row>
    <row r="372" spans="1:5" x14ac:dyDescent="0.25">
      <c r="A372" s="5" t="s">
        <v>867</v>
      </c>
      <c r="B372" s="6" t="s">
        <v>868</v>
      </c>
      <c r="C372" s="6" t="s">
        <v>309</v>
      </c>
      <c r="D372" s="7" t="str">
        <f t="shared" si="11"/>
        <v>k</v>
      </c>
      <c r="E372" s="17" t="str">
        <f t="shared" si="12"/>
        <v>896</v>
      </c>
    </row>
    <row r="373" spans="1:5" x14ac:dyDescent="0.25">
      <c r="A373" s="8" t="s">
        <v>869</v>
      </c>
      <c r="B373" s="9" t="s">
        <v>870</v>
      </c>
      <c r="C373" s="9" t="s">
        <v>260</v>
      </c>
      <c r="D373" s="7" t="str">
        <f t="shared" si="11"/>
        <v>m</v>
      </c>
      <c r="E373" s="17" t="str">
        <f t="shared" si="12"/>
        <v>360</v>
      </c>
    </row>
    <row r="374" spans="1:5" x14ac:dyDescent="0.25">
      <c r="A374" s="5" t="s">
        <v>871</v>
      </c>
      <c r="B374" s="6" t="s">
        <v>872</v>
      </c>
      <c r="C374" s="6" t="s">
        <v>607</v>
      </c>
      <c r="D374" s="7" t="str">
        <f t="shared" si="11"/>
        <v>k</v>
      </c>
      <c r="E374" s="17" t="str">
        <f t="shared" si="12"/>
        <v>705</v>
      </c>
    </row>
    <row r="375" spans="1:5" x14ac:dyDescent="0.25">
      <c r="A375" s="8" t="s">
        <v>873</v>
      </c>
      <c r="B375" s="9" t="s">
        <v>874</v>
      </c>
      <c r="C375" s="9" t="s">
        <v>448</v>
      </c>
      <c r="D375" s="7" t="str">
        <f t="shared" si="11"/>
        <v>k</v>
      </c>
      <c r="E375" s="17" t="str">
        <f t="shared" si="12"/>
        <v>901</v>
      </c>
    </row>
    <row r="376" spans="1:5" x14ac:dyDescent="0.25">
      <c r="A376" s="5" t="s">
        <v>875</v>
      </c>
      <c r="B376" s="6" t="s">
        <v>876</v>
      </c>
      <c r="C376" s="6" t="s">
        <v>877</v>
      </c>
      <c r="D376" s="7" t="str">
        <f t="shared" si="11"/>
        <v>m</v>
      </c>
      <c r="E376" s="17" t="str">
        <f t="shared" si="12"/>
        <v>791</v>
      </c>
    </row>
    <row r="377" spans="1:5" x14ac:dyDescent="0.25">
      <c r="A377" s="8" t="s">
        <v>878</v>
      </c>
      <c r="B377" s="9" t="s">
        <v>879</v>
      </c>
      <c r="C377" s="9" t="s">
        <v>880</v>
      </c>
      <c r="D377" s="7" t="str">
        <f t="shared" si="11"/>
        <v>m</v>
      </c>
      <c r="E377" s="17" t="str">
        <f t="shared" si="12"/>
        <v>576</v>
      </c>
    </row>
    <row r="378" spans="1:5" x14ac:dyDescent="0.25">
      <c r="A378" s="5" t="s">
        <v>881</v>
      </c>
      <c r="B378" s="6" t="s">
        <v>882</v>
      </c>
      <c r="C378" s="6" t="s">
        <v>309</v>
      </c>
      <c r="D378" s="7" t="str">
        <f t="shared" si="11"/>
        <v>k</v>
      </c>
      <c r="E378" s="17" t="str">
        <f t="shared" si="12"/>
        <v>204</v>
      </c>
    </row>
    <row r="379" spans="1:5" x14ac:dyDescent="0.25">
      <c r="A379" s="8" t="s">
        <v>883</v>
      </c>
      <c r="B379" s="9" t="s">
        <v>884</v>
      </c>
      <c r="C379" s="9" t="s">
        <v>885</v>
      </c>
      <c r="D379" s="7" t="str">
        <f t="shared" si="11"/>
        <v>k</v>
      </c>
      <c r="E379" s="17" t="str">
        <f t="shared" si="12"/>
        <v>898</v>
      </c>
    </row>
    <row r="380" spans="1:5" x14ac:dyDescent="0.25">
      <c r="A380" s="5" t="s">
        <v>886</v>
      </c>
      <c r="B380" s="6" t="s">
        <v>887</v>
      </c>
      <c r="C380" s="6" t="s">
        <v>17</v>
      </c>
      <c r="D380" s="7" t="str">
        <f t="shared" si="11"/>
        <v>m</v>
      </c>
      <c r="E380" s="17" t="str">
        <f t="shared" si="12"/>
        <v>690</v>
      </c>
    </row>
    <row r="381" spans="1:5" x14ac:dyDescent="0.25">
      <c r="A381" s="8" t="s">
        <v>888</v>
      </c>
      <c r="B381" s="9" t="s">
        <v>889</v>
      </c>
      <c r="C381" s="9" t="s">
        <v>359</v>
      </c>
      <c r="D381" s="7" t="str">
        <f t="shared" si="11"/>
        <v>k</v>
      </c>
      <c r="E381" s="17" t="str">
        <f t="shared" si="12"/>
        <v>086</v>
      </c>
    </row>
    <row r="382" spans="1:5" x14ac:dyDescent="0.25">
      <c r="A382" s="5" t="s">
        <v>890</v>
      </c>
      <c r="B382" s="6" t="s">
        <v>891</v>
      </c>
      <c r="C382" s="6" t="s">
        <v>892</v>
      </c>
      <c r="D382" s="7" t="str">
        <f t="shared" si="11"/>
        <v>k</v>
      </c>
      <c r="E382" s="17" t="str">
        <f t="shared" si="12"/>
        <v>929</v>
      </c>
    </row>
    <row r="383" spans="1:5" x14ac:dyDescent="0.25">
      <c r="A383" s="8" t="s">
        <v>893</v>
      </c>
      <c r="B383" s="9" t="s">
        <v>894</v>
      </c>
      <c r="C383" s="9" t="s">
        <v>309</v>
      </c>
      <c r="D383" s="7" t="str">
        <f t="shared" si="11"/>
        <v>k</v>
      </c>
      <c r="E383" s="17" t="str">
        <f t="shared" si="12"/>
        <v>551</v>
      </c>
    </row>
    <row r="384" spans="1:5" x14ac:dyDescent="0.25">
      <c r="A384" s="5" t="s">
        <v>895</v>
      </c>
      <c r="B384" s="6" t="s">
        <v>896</v>
      </c>
      <c r="C384" s="6" t="s">
        <v>8</v>
      </c>
      <c r="D384" s="7" t="str">
        <f t="shared" si="11"/>
        <v>m</v>
      </c>
      <c r="E384" s="17" t="str">
        <f t="shared" si="12"/>
        <v>014</v>
      </c>
    </row>
    <row r="385" spans="1:5" x14ac:dyDescent="0.25">
      <c r="A385" s="8" t="s">
        <v>897</v>
      </c>
      <c r="B385" s="9" t="s">
        <v>898</v>
      </c>
      <c r="C385" s="9" t="s">
        <v>11</v>
      </c>
      <c r="D385" s="7" t="str">
        <f t="shared" si="11"/>
        <v>m</v>
      </c>
      <c r="E385" s="17" t="str">
        <f t="shared" si="12"/>
        <v>195</v>
      </c>
    </row>
    <row r="386" spans="1:5" x14ac:dyDescent="0.25">
      <c r="A386" s="5" t="s">
        <v>899</v>
      </c>
      <c r="B386" s="6" t="s">
        <v>900</v>
      </c>
      <c r="C386" s="6" t="s">
        <v>166</v>
      </c>
      <c r="D386" s="7" t="str">
        <f t="shared" ref="D386:D449" si="13">IF(MOD(LEFT(RIGHT(A386,2),1),2)=0,"k","m")</f>
        <v>m</v>
      </c>
      <c r="E386" s="17" t="str">
        <f t="shared" si="12"/>
        <v>592</v>
      </c>
    </row>
    <row r="387" spans="1:5" x14ac:dyDescent="0.25">
      <c r="A387" s="8" t="s">
        <v>901</v>
      </c>
      <c r="B387" s="9" t="s">
        <v>902</v>
      </c>
      <c r="C387" s="9" t="s">
        <v>903</v>
      </c>
      <c r="D387" s="7" t="str">
        <f t="shared" si="13"/>
        <v>k</v>
      </c>
      <c r="E387" s="17" t="str">
        <f t="shared" ref="E387:E450" si="14">LEFT(RIGHT(A387,5),3)</f>
        <v>923</v>
      </c>
    </row>
    <row r="388" spans="1:5" x14ac:dyDescent="0.25">
      <c r="A388" s="5" t="s">
        <v>904</v>
      </c>
      <c r="B388" s="6" t="s">
        <v>905</v>
      </c>
      <c r="C388" s="6" t="s">
        <v>906</v>
      </c>
      <c r="D388" s="7" t="str">
        <f t="shared" si="13"/>
        <v>m</v>
      </c>
      <c r="E388" s="17" t="str">
        <f t="shared" si="14"/>
        <v>568</v>
      </c>
    </row>
    <row r="389" spans="1:5" x14ac:dyDescent="0.25">
      <c r="A389" s="8" t="s">
        <v>907</v>
      </c>
      <c r="B389" s="9" t="s">
        <v>908</v>
      </c>
      <c r="C389" s="9" t="s">
        <v>909</v>
      </c>
      <c r="D389" s="7" t="str">
        <f t="shared" si="13"/>
        <v>m</v>
      </c>
      <c r="E389" s="17" t="str">
        <f t="shared" si="14"/>
        <v>861</v>
      </c>
    </row>
    <row r="390" spans="1:5" x14ac:dyDescent="0.25">
      <c r="A390" s="5" t="s">
        <v>910</v>
      </c>
      <c r="B390" s="6" t="s">
        <v>911</v>
      </c>
      <c r="C390" s="6" t="s">
        <v>39</v>
      </c>
      <c r="D390" s="7" t="str">
        <f t="shared" si="13"/>
        <v>m</v>
      </c>
      <c r="E390" s="17" t="str">
        <f t="shared" si="14"/>
        <v>146</v>
      </c>
    </row>
    <row r="391" spans="1:5" x14ac:dyDescent="0.25">
      <c r="A391" s="8" t="s">
        <v>912</v>
      </c>
      <c r="B391" s="9" t="s">
        <v>866</v>
      </c>
      <c r="C391" s="9" t="s">
        <v>17</v>
      </c>
      <c r="D391" s="7" t="str">
        <f t="shared" si="13"/>
        <v>m</v>
      </c>
      <c r="E391" s="17" t="str">
        <f t="shared" si="14"/>
        <v>941</v>
      </c>
    </row>
    <row r="392" spans="1:5" x14ac:dyDescent="0.25">
      <c r="A392" s="5" t="s">
        <v>913</v>
      </c>
      <c r="B392" s="6" t="s">
        <v>914</v>
      </c>
      <c r="C392" s="6" t="s">
        <v>428</v>
      </c>
      <c r="D392" s="7" t="str">
        <f t="shared" si="13"/>
        <v>k</v>
      </c>
      <c r="E392" s="17" t="str">
        <f t="shared" si="14"/>
        <v>516</v>
      </c>
    </row>
    <row r="393" spans="1:5" x14ac:dyDescent="0.25">
      <c r="A393" s="8" t="s">
        <v>915</v>
      </c>
      <c r="B393" s="9" t="s">
        <v>916</v>
      </c>
      <c r="C393" s="9" t="s">
        <v>211</v>
      </c>
      <c r="D393" s="7" t="str">
        <f t="shared" si="13"/>
        <v>k</v>
      </c>
      <c r="E393" s="17" t="str">
        <f t="shared" si="14"/>
        <v>761</v>
      </c>
    </row>
    <row r="394" spans="1:5" x14ac:dyDescent="0.25">
      <c r="A394" s="5" t="s">
        <v>917</v>
      </c>
      <c r="B394" s="6" t="s">
        <v>918</v>
      </c>
      <c r="C394" s="6" t="s">
        <v>848</v>
      </c>
      <c r="D394" s="7" t="str">
        <f t="shared" si="13"/>
        <v>m</v>
      </c>
      <c r="E394" s="17" t="str">
        <f t="shared" si="14"/>
        <v>839</v>
      </c>
    </row>
    <row r="395" spans="1:5" x14ac:dyDescent="0.25">
      <c r="A395" s="8" t="s">
        <v>919</v>
      </c>
      <c r="B395" s="9" t="s">
        <v>920</v>
      </c>
      <c r="C395" s="9" t="s">
        <v>309</v>
      </c>
      <c r="D395" s="7" t="str">
        <f t="shared" si="13"/>
        <v>k</v>
      </c>
      <c r="E395" s="17" t="str">
        <f t="shared" si="14"/>
        <v>110</v>
      </c>
    </row>
    <row r="396" spans="1:5" x14ac:dyDescent="0.25">
      <c r="A396" s="5" t="s">
        <v>921</v>
      </c>
      <c r="B396" s="6" t="s">
        <v>350</v>
      </c>
      <c r="C396" s="6" t="s">
        <v>351</v>
      </c>
      <c r="D396" s="7" t="str">
        <f t="shared" si="13"/>
        <v>k</v>
      </c>
      <c r="E396" s="17" t="str">
        <f t="shared" si="14"/>
        <v>666</v>
      </c>
    </row>
    <row r="397" spans="1:5" x14ac:dyDescent="0.25">
      <c r="A397" s="8" t="s">
        <v>922</v>
      </c>
      <c r="B397" s="9" t="s">
        <v>923</v>
      </c>
      <c r="C397" s="9" t="s">
        <v>166</v>
      </c>
      <c r="D397" s="7" t="str">
        <f t="shared" si="13"/>
        <v>m</v>
      </c>
      <c r="E397" s="17" t="str">
        <f t="shared" si="14"/>
        <v>487</v>
      </c>
    </row>
    <row r="398" spans="1:5" x14ac:dyDescent="0.25">
      <c r="A398" s="5" t="s">
        <v>924</v>
      </c>
      <c r="B398" s="6" t="s">
        <v>925</v>
      </c>
      <c r="C398" s="6" t="s">
        <v>309</v>
      </c>
      <c r="D398" s="7" t="str">
        <f t="shared" si="13"/>
        <v>k</v>
      </c>
      <c r="E398" s="17" t="str">
        <f t="shared" si="14"/>
        <v>499</v>
      </c>
    </row>
    <row r="399" spans="1:5" x14ac:dyDescent="0.25">
      <c r="A399" s="8" t="s">
        <v>926</v>
      </c>
      <c r="B399" s="9" t="s">
        <v>927</v>
      </c>
      <c r="C399" s="9" t="s">
        <v>260</v>
      </c>
      <c r="D399" s="7" t="str">
        <f t="shared" si="13"/>
        <v>m</v>
      </c>
      <c r="E399" s="17" t="str">
        <f t="shared" si="14"/>
        <v>175</v>
      </c>
    </row>
    <row r="400" spans="1:5" x14ac:dyDescent="0.25">
      <c r="A400" s="5" t="s">
        <v>928</v>
      </c>
      <c r="B400" s="6" t="s">
        <v>929</v>
      </c>
      <c r="C400" s="6" t="s">
        <v>39</v>
      </c>
      <c r="D400" s="7" t="str">
        <f t="shared" si="13"/>
        <v>m</v>
      </c>
      <c r="E400" s="17" t="str">
        <f t="shared" si="14"/>
        <v>261</v>
      </c>
    </row>
    <row r="401" spans="1:5" x14ac:dyDescent="0.25">
      <c r="A401" s="8" t="s">
        <v>930</v>
      </c>
      <c r="B401" s="9" t="s">
        <v>931</v>
      </c>
      <c r="C401" s="9" t="s">
        <v>485</v>
      </c>
      <c r="D401" s="7" t="str">
        <f t="shared" si="13"/>
        <v>m</v>
      </c>
      <c r="E401" s="17" t="str">
        <f t="shared" si="14"/>
        <v>741</v>
      </c>
    </row>
    <row r="402" spans="1:5" x14ac:dyDescent="0.25">
      <c r="A402" s="5" t="s">
        <v>932</v>
      </c>
      <c r="B402" s="6" t="s">
        <v>933</v>
      </c>
      <c r="C402" s="6" t="s">
        <v>166</v>
      </c>
      <c r="D402" s="7" t="str">
        <f t="shared" si="13"/>
        <v>m</v>
      </c>
      <c r="E402" s="17" t="str">
        <f t="shared" si="14"/>
        <v>574</v>
      </c>
    </row>
    <row r="403" spans="1:5" x14ac:dyDescent="0.25">
      <c r="A403" s="8" t="s">
        <v>934</v>
      </c>
      <c r="B403" s="9" t="s">
        <v>935</v>
      </c>
      <c r="C403" s="9" t="s">
        <v>936</v>
      </c>
      <c r="D403" s="7" t="str">
        <f t="shared" si="13"/>
        <v>m</v>
      </c>
      <c r="E403" s="17" t="str">
        <f t="shared" si="14"/>
        <v>791</v>
      </c>
    </row>
    <row r="404" spans="1:5" x14ac:dyDescent="0.25">
      <c r="A404" s="5" t="s">
        <v>937</v>
      </c>
      <c r="B404" s="6" t="s">
        <v>938</v>
      </c>
      <c r="C404" s="6" t="s">
        <v>266</v>
      </c>
      <c r="D404" s="7" t="str">
        <f t="shared" si="13"/>
        <v>k</v>
      </c>
      <c r="E404" s="17" t="str">
        <f t="shared" si="14"/>
        <v>954</v>
      </c>
    </row>
    <row r="405" spans="1:5" x14ac:dyDescent="0.25">
      <c r="A405" s="8" t="s">
        <v>939</v>
      </c>
      <c r="B405" s="9" t="s">
        <v>940</v>
      </c>
      <c r="C405" s="9" t="s">
        <v>485</v>
      </c>
      <c r="D405" s="7" t="str">
        <f t="shared" si="13"/>
        <v>m</v>
      </c>
      <c r="E405" s="17" t="str">
        <f t="shared" si="14"/>
        <v>946</v>
      </c>
    </row>
    <row r="406" spans="1:5" x14ac:dyDescent="0.25">
      <c r="A406" s="5" t="s">
        <v>941</v>
      </c>
      <c r="B406" s="6" t="s">
        <v>942</v>
      </c>
      <c r="C406" s="6" t="s">
        <v>166</v>
      </c>
      <c r="D406" s="7" t="str">
        <f t="shared" si="13"/>
        <v>m</v>
      </c>
      <c r="E406" s="17" t="str">
        <f t="shared" si="14"/>
        <v>588</v>
      </c>
    </row>
    <row r="407" spans="1:5" x14ac:dyDescent="0.25">
      <c r="A407" s="8" t="s">
        <v>943</v>
      </c>
      <c r="B407" s="9" t="s">
        <v>944</v>
      </c>
      <c r="C407" s="9" t="s">
        <v>448</v>
      </c>
      <c r="D407" s="7" t="str">
        <f t="shared" si="13"/>
        <v>k</v>
      </c>
      <c r="E407" s="17" t="str">
        <f t="shared" si="14"/>
        <v>108</v>
      </c>
    </row>
    <row r="408" spans="1:5" x14ac:dyDescent="0.25">
      <c r="A408" s="5" t="s">
        <v>945</v>
      </c>
      <c r="B408" s="6" t="s">
        <v>946</v>
      </c>
      <c r="C408" s="6" t="s">
        <v>754</v>
      </c>
      <c r="D408" s="7" t="str">
        <f t="shared" si="13"/>
        <v>m</v>
      </c>
      <c r="E408" s="17" t="str">
        <f t="shared" si="14"/>
        <v>775</v>
      </c>
    </row>
    <row r="409" spans="1:5" x14ac:dyDescent="0.25">
      <c r="A409" s="8" t="s">
        <v>947</v>
      </c>
      <c r="B409" s="9" t="s">
        <v>948</v>
      </c>
      <c r="C409" s="9" t="s">
        <v>607</v>
      </c>
      <c r="D409" s="7" t="str">
        <f t="shared" si="13"/>
        <v>k</v>
      </c>
      <c r="E409" s="17" t="str">
        <f t="shared" si="14"/>
        <v>616</v>
      </c>
    </row>
    <row r="410" spans="1:5" x14ac:dyDescent="0.25">
      <c r="A410" s="5" t="s">
        <v>949</v>
      </c>
      <c r="B410" s="6" t="s">
        <v>950</v>
      </c>
      <c r="C410" s="6" t="s">
        <v>951</v>
      </c>
      <c r="D410" s="7" t="str">
        <f t="shared" si="13"/>
        <v>k</v>
      </c>
      <c r="E410" s="17" t="str">
        <f t="shared" si="14"/>
        <v>967</v>
      </c>
    </row>
    <row r="411" spans="1:5" x14ac:dyDescent="0.25">
      <c r="A411" s="8" t="s">
        <v>952</v>
      </c>
      <c r="B411" s="9" t="s">
        <v>953</v>
      </c>
      <c r="C411" s="9" t="s">
        <v>73</v>
      </c>
      <c r="D411" s="7" t="str">
        <f t="shared" si="13"/>
        <v>m</v>
      </c>
      <c r="E411" s="17" t="str">
        <f t="shared" si="14"/>
        <v>995</v>
      </c>
    </row>
    <row r="412" spans="1:5" x14ac:dyDescent="0.25">
      <c r="A412" s="5" t="s">
        <v>954</v>
      </c>
      <c r="B412" s="6" t="s">
        <v>955</v>
      </c>
      <c r="C412" s="6" t="s">
        <v>89</v>
      </c>
      <c r="D412" s="7" t="str">
        <f t="shared" si="13"/>
        <v>k</v>
      </c>
      <c r="E412" s="17" t="str">
        <f t="shared" si="14"/>
        <v>713</v>
      </c>
    </row>
    <row r="413" spans="1:5" x14ac:dyDescent="0.25">
      <c r="A413" s="8" t="s">
        <v>956</v>
      </c>
      <c r="B413" s="9" t="s">
        <v>957</v>
      </c>
      <c r="C413" s="9" t="s">
        <v>448</v>
      </c>
      <c r="D413" s="7" t="str">
        <f t="shared" si="13"/>
        <v>k</v>
      </c>
      <c r="E413" s="17" t="str">
        <f t="shared" si="14"/>
        <v>008</v>
      </c>
    </row>
    <row r="414" spans="1:5" x14ac:dyDescent="0.25">
      <c r="A414" s="5" t="s">
        <v>958</v>
      </c>
      <c r="B414" s="6" t="s">
        <v>207</v>
      </c>
      <c r="C414" s="6" t="s">
        <v>906</v>
      </c>
      <c r="D414" s="7" t="str">
        <f t="shared" si="13"/>
        <v>m</v>
      </c>
      <c r="E414" s="17" t="str">
        <f t="shared" si="14"/>
        <v>285</v>
      </c>
    </row>
    <row r="415" spans="1:5" x14ac:dyDescent="0.25">
      <c r="A415" s="8" t="s">
        <v>959</v>
      </c>
      <c r="B415" s="9" t="s">
        <v>960</v>
      </c>
      <c r="C415" s="9" t="s">
        <v>464</v>
      </c>
      <c r="D415" s="7" t="str">
        <f t="shared" si="13"/>
        <v>m</v>
      </c>
      <c r="E415" s="17" t="str">
        <f t="shared" si="14"/>
        <v>495</v>
      </c>
    </row>
    <row r="416" spans="1:5" x14ac:dyDescent="0.25">
      <c r="A416" s="5" t="s">
        <v>961</v>
      </c>
      <c r="B416" s="6" t="s">
        <v>962</v>
      </c>
      <c r="C416" s="6" t="s">
        <v>428</v>
      </c>
      <c r="D416" s="7" t="str">
        <f t="shared" si="13"/>
        <v>k</v>
      </c>
      <c r="E416" s="17" t="str">
        <f t="shared" si="14"/>
        <v>845</v>
      </c>
    </row>
    <row r="417" spans="1:5" x14ac:dyDescent="0.25">
      <c r="A417" s="8" t="s">
        <v>963</v>
      </c>
      <c r="B417" s="9" t="s">
        <v>964</v>
      </c>
      <c r="C417" s="9" t="s">
        <v>464</v>
      </c>
      <c r="D417" s="7" t="str">
        <f t="shared" si="13"/>
        <v>m</v>
      </c>
      <c r="E417" s="17" t="str">
        <f t="shared" si="14"/>
        <v>085</v>
      </c>
    </row>
    <row r="418" spans="1:5" x14ac:dyDescent="0.25">
      <c r="A418" s="5" t="s">
        <v>965</v>
      </c>
      <c r="B418" s="6" t="s">
        <v>966</v>
      </c>
      <c r="C418" s="6" t="s">
        <v>382</v>
      </c>
      <c r="D418" s="7" t="str">
        <f t="shared" si="13"/>
        <v>k</v>
      </c>
      <c r="E418" s="17" t="str">
        <f t="shared" si="14"/>
        <v>842</v>
      </c>
    </row>
    <row r="419" spans="1:5" x14ac:dyDescent="0.25">
      <c r="A419" s="8" t="s">
        <v>967</v>
      </c>
      <c r="B419" s="9" t="s">
        <v>968</v>
      </c>
      <c r="C419" s="9" t="s">
        <v>73</v>
      </c>
      <c r="D419" s="7" t="str">
        <f t="shared" si="13"/>
        <v>m</v>
      </c>
      <c r="E419" s="17" t="str">
        <f t="shared" si="14"/>
        <v>060</v>
      </c>
    </row>
    <row r="420" spans="1:5" x14ac:dyDescent="0.25">
      <c r="A420" s="5" t="s">
        <v>969</v>
      </c>
      <c r="B420" s="6" t="s">
        <v>970</v>
      </c>
      <c r="C420" s="6" t="s">
        <v>89</v>
      </c>
      <c r="D420" s="7" t="str">
        <f t="shared" si="13"/>
        <v>k</v>
      </c>
      <c r="E420" s="17" t="str">
        <f t="shared" si="14"/>
        <v>627</v>
      </c>
    </row>
    <row r="421" spans="1:5" x14ac:dyDescent="0.25">
      <c r="A421" s="8" t="s">
        <v>971</v>
      </c>
      <c r="B421" s="9" t="s">
        <v>972</v>
      </c>
      <c r="C421" s="9" t="s">
        <v>973</v>
      </c>
      <c r="D421" s="7" t="str">
        <f t="shared" si="13"/>
        <v>k</v>
      </c>
      <c r="E421" s="17" t="str">
        <f t="shared" si="14"/>
        <v>050</v>
      </c>
    </row>
    <row r="422" spans="1:5" x14ac:dyDescent="0.25">
      <c r="A422" s="5" t="s">
        <v>974</v>
      </c>
      <c r="B422" s="6" t="s">
        <v>171</v>
      </c>
      <c r="C422" s="6" t="s">
        <v>105</v>
      </c>
      <c r="D422" s="7" t="str">
        <f t="shared" si="13"/>
        <v>m</v>
      </c>
      <c r="E422" s="17" t="str">
        <f t="shared" si="14"/>
        <v>993</v>
      </c>
    </row>
    <row r="423" spans="1:5" x14ac:dyDescent="0.25">
      <c r="A423" s="8" t="s">
        <v>975</v>
      </c>
      <c r="B423" s="9" t="s">
        <v>976</v>
      </c>
      <c r="C423" s="9" t="s">
        <v>39</v>
      </c>
      <c r="D423" s="7" t="str">
        <f t="shared" si="13"/>
        <v>m</v>
      </c>
      <c r="E423" s="17" t="str">
        <f t="shared" si="14"/>
        <v>545</v>
      </c>
    </row>
    <row r="424" spans="1:5" x14ac:dyDescent="0.25">
      <c r="A424" s="5" t="s">
        <v>977</v>
      </c>
      <c r="B424" s="6" t="s">
        <v>978</v>
      </c>
      <c r="C424" s="6" t="s">
        <v>979</v>
      </c>
      <c r="D424" s="7" t="str">
        <f t="shared" si="13"/>
        <v>k</v>
      </c>
      <c r="E424" s="17" t="str">
        <f t="shared" si="14"/>
        <v>699</v>
      </c>
    </row>
    <row r="425" spans="1:5" x14ac:dyDescent="0.25">
      <c r="A425" s="8" t="s">
        <v>980</v>
      </c>
      <c r="B425" s="9" t="s">
        <v>981</v>
      </c>
      <c r="C425" s="9" t="s">
        <v>226</v>
      </c>
      <c r="D425" s="7" t="str">
        <f t="shared" si="13"/>
        <v>k</v>
      </c>
      <c r="E425" s="17" t="str">
        <f t="shared" si="14"/>
        <v>863</v>
      </c>
    </row>
    <row r="426" spans="1:5" x14ac:dyDescent="0.25">
      <c r="A426" s="5" t="s">
        <v>982</v>
      </c>
      <c r="B426" s="6" t="s">
        <v>983</v>
      </c>
      <c r="C426" s="6" t="s">
        <v>979</v>
      </c>
      <c r="D426" s="7" t="str">
        <f t="shared" si="13"/>
        <v>k</v>
      </c>
      <c r="E426" s="17" t="str">
        <f t="shared" si="14"/>
        <v>520</v>
      </c>
    </row>
    <row r="427" spans="1:5" x14ac:dyDescent="0.25">
      <c r="A427" s="8" t="s">
        <v>984</v>
      </c>
      <c r="B427" s="9" t="s">
        <v>985</v>
      </c>
      <c r="C427" s="9" t="s">
        <v>260</v>
      </c>
      <c r="D427" s="7" t="str">
        <f t="shared" si="13"/>
        <v>m</v>
      </c>
      <c r="E427" s="17" t="str">
        <f t="shared" si="14"/>
        <v>848</v>
      </c>
    </row>
    <row r="428" spans="1:5" x14ac:dyDescent="0.25">
      <c r="A428" s="5" t="s">
        <v>986</v>
      </c>
      <c r="B428" s="6" t="s">
        <v>987</v>
      </c>
      <c r="C428" s="6" t="s">
        <v>309</v>
      </c>
      <c r="D428" s="7" t="str">
        <f t="shared" si="13"/>
        <v>k</v>
      </c>
      <c r="E428" s="17" t="str">
        <f t="shared" si="14"/>
        <v>150</v>
      </c>
    </row>
    <row r="429" spans="1:5" x14ac:dyDescent="0.25">
      <c r="A429" s="8" t="s">
        <v>988</v>
      </c>
      <c r="B429" s="9" t="s">
        <v>989</v>
      </c>
      <c r="C429" s="9" t="s">
        <v>419</v>
      </c>
      <c r="D429" s="7" t="str">
        <f t="shared" si="13"/>
        <v>k</v>
      </c>
      <c r="E429" s="17" t="str">
        <f t="shared" si="14"/>
        <v>459</v>
      </c>
    </row>
    <row r="430" spans="1:5" x14ac:dyDescent="0.25">
      <c r="A430" s="5" t="s">
        <v>990</v>
      </c>
      <c r="B430" s="6" t="s">
        <v>218</v>
      </c>
      <c r="C430" s="6" t="s">
        <v>166</v>
      </c>
      <c r="D430" s="7" t="str">
        <f t="shared" si="13"/>
        <v>m</v>
      </c>
      <c r="E430" s="17" t="str">
        <f t="shared" si="14"/>
        <v>886</v>
      </c>
    </row>
    <row r="431" spans="1:5" x14ac:dyDescent="0.25">
      <c r="A431" s="8" t="s">
        <v>991</v>
      </c>
      <c r="B431" s="9" t="s">
        <v>992</v>
      </c>
      <c r="C431" s="9" t="s">
        <v>567</v>
      </c>
      <c r="D431" s="7" t="str">
        <f t="shared" si="13"/>
        <v>m</v>
      </c>
      <c r="E431" s="17" t="str">
        <f t="shared" si="14"/>
        <v>890</v>
      </c>
    </row>
    <row r="432" spans="1:5" x14ac:dyDescent="0.25">
      <c r="A432" s="5" t="s">
        <v>993</v>
      </c>
      <c r="B432" s="6" t="s">
        <v>994</v>
      </c>
      <c r="C432" s="6" t="s">
        <v>419</v>
      </c>
      <c r="D432" s="7" t="str">
        <f t="shared" si="13"/>
        <v>k</v>
      </c>
      <c r="E432" s="17" t="str">
        <f t="shared" si="14"/>
        <v>644</v>
      </c>
    </row>
    <row r="433" spans="1:5" x14ac:dyDescent="0.25">
      <c r="A433" s="8" t="s">
        <v>995</v>
      </c>
      <c r="B433" s="9" t="s">
        <v>996</v>
      </c>
      <c r="C433" s="9" t="s">
        <v>28</v>
      </c>
      <c r="D433" s="7" t="str">
        <f t="shared" si="13"/>
        <v>m</v>
      </c>
      <c r="E433" s="17" t="str">
        <f t="shared" si="14"/>
        <v>278</v>
      </c>
    </row>
    <row r="434" spans="1:5" x14ac:dyDescent="0.25">
      <c r="A434" s="5" t="s">
        <v>997</v>
      </c>
      <c r="B434" s="6" t="s">
        <v>998</v>
      </c>
      <c r="C434" s="6" t="s">
        <v>260</v>
      </c>
      <c r="D434" s="7" t="str">
        <f t="shared" si="13"/>
        <v>m</v>
      </c>
      <c r="E434" s="17" t="str">
        <f t="shared" si="14"/>
        <v>467</v>
      </c>
    </row>
    <row r="435" spans="1:5" x14ac:dyDescent="0.25">
      <c r="A435" s="8" t="s">
        <v>999</v>
      </c>
      <c r="B435" s="9" t="s">
        <v>1000</v>
      </c>
      <c r="C435" s="9" t="s">
        <v>284</v>
      </c>
      <c r="D435" s="7" t="str">
        <f t="shared" si="13"/>
        <v>k</v>
      </c>
      <c r="E435" s="17" t="str">
        <f t="shared" si="14"/>
        <v>737</v>
      </c>
    </row>
    <row r="436" spans="1:5" x14ac:dyDescent="0.25">
      <c r="A436" s="5" t="s">
        <v>1001</v>
      </c>
      <c r="B436" s="6" t="s">
        <v>1002</v>
      </c>
      <c r="C436" s="6" t="s">
        <v>1003</v>
      </c>
      <c r="D436" s="7" t="str">
        <f t="shared" si="13"/>
        <v>k</v>
      </c>
      <c r="E436" s="17" t="str">
        <f t="shared" si="14"/>
        <v>108</v>
      </c>
    </row>
    <row r="437" spans="1:5" x14ac:dyDescent="0.25">
      <c r="A437" s="8" t="s">
        <v>1004</v>
      </c>
      <c r="B437" s="9" t="s">
        <v>1005</v>
      </c>
      <c r="C437" s="9" t="s">
        <v>260</v>
      </c>
      <c r="D437" s="7" t="str">
        <f t="shared" si="13"/>
        <v>m</v>
      </c>
      <c r="E437" s="17" t="str">
        <f t="shared" si="14"/>
        <v>487</v>
      </c>
    </row>
    <row r="438" spans="1:5" x14ac:dyDescent="0.25">
      <c r="A438" s="5" t="s">
        <v>1006</v>
      </c>
      <c r="B438" s="6" t="s">
        <v>1007</v>
      </c>
      <c r="C438" s="6" t="s">
        <v>263</v>
      </c>
      <c r="D438" s="7" t="str">
        <f t="shared" si="13"/>
        <v>k</v>
      </c>
      <c r="E438" s="17" t="str">
        <f t="shared" si="14"/>
        <v>192</v>
      </c>
    </row>
    <row r="439" spans="1:5" x14ac:dyDescent="0.25">
      <c r="A439" s="8" t="s">
        <v>1008</v>
      </c>
      <c r="B439" s="9" t="s">
        <v>1009</v>
      </c>
      <c r="C439" s="9" t="s">
        <v>1010</v>
      </c>
      <c r="D439" s="7" t="str">
        <f t="shared" si="13"/>
        <v>k</v>
      </c>
      <c r="E439" s="17" t="str">
        <f t="shared" si="14"/>
        <v>472</v>
      </c>
    </row>
    <row r="440" spans="1:5" x14ac:dyDescent="0.25">
      <c r="A440" s="5" t="s">
        <v>1011</v>
      </c>
      <c r="B440" s="6" t="s">
        <v>1012</v>
      </c>
      <c r="C440" s="6" t="s">
        <v>111</v>
      </c>
      <c r="D440" s="7" t="str">
        <f t="shared" si="13"/>
        <v>k</v>
      </c>
      <c r="E440" s="17" t="str">
        <f t="shared" si="14"/>
        <v>943</v>
      </c>
    </row>
    <row r="441" spans="1:5" x14ac:dyDescent="0.25">
      <c r="A441" s="8" t="s">
        <v>1013</v>
      </c>
      <c r="B441" s="9" t="s">
        <v>1014</v>
      </c>
      <c r="C441" s="9" t="s">
        <v>936</v>
      </c>
      <c r="D441" s="7" t="str">
        <f t="shared" si="13"/>
        <v>m</v>
      </c>
      <c r="E441" s="17" t="str">
        <f t="shared" si="14"/>
        <v>948</v>
      </c>
    </row>
    <row r="442" spans="1:5" x14ac:dyDescent="0.25">
      <c r="A442" s="5" t="s">
        <v>1015</v>
      </c>
      <c r="B442" s="6" t="s">
        <v>1016</v>
      </c>
      <c r="C442" s="6" t="s">
        <v>1017</v>
      </c>
      <c r="D442" s="7" t="str">
        <f t="shared" si="13"/>
        <v>k</v>
      </c>
      <c r="E442" s="17" t="str">
        <f t="shared" si="14"/>
        <v>401</v>
      </c>
    </row>
    <row r="443" spans="1:5" x14ac:dyDescent="0.25">
      <c r="A443" s="8" t="s">
        <v>1018</v>
      </c>
      <c r="B443" s="9" t="s">
        <v>1019</v>
      </c>
      <c r="C443" s="9" t="s">
        <v>1020</v>
      </c>
      <c r="D443" s="7" t="str">
        <f t="shared" si="13"/>
        <v>k</v>
      </c>
      <c r="E443" s="17" t="str">
        <f t="shared" si="14"/>
        <v>851</v>
      </c>
    </row>
    <row r="444" spans="1:5" x14ac:dyDescent="0.25">
      <c r="A444" s="5" t="s">
        <v>1021</v>
      </c>
      <c r="B444" s="6" t="s">
        <v>1022</v>
      </c>
      <c r="C444" s="6" t="s">
        <v>419</v>
      </c>
      <c r="D444" s="7" t="str">
        <f t="shared" si="13"/>
        <v>k</v>
      </c>
      <c r="E444" s="17" t="str">
        <f t="shared" si="14"/>
        <v>794</v>
      </c>
    </row>
    <row r="445" spans="1:5" x14ac:dyDescent="0.25">
      <c r="A445" s="8" t="s">
        <v>1023</v>
      </c>
      <c r="B445" s="9" t="s">
        <v>1024</v>
      </c>
      <c r="C445" s="9" t="s">
        <v>166</v>
      </c>
      <c r="D445" s="7" t="str">
        <f t="shared" si="13"/>
        <v>m</v>
      </c>
      <c r="E445" s="17" t="str">
        <f t="shared" si="14"/>
        <v>356</v>
      </c>
    </row>
    <row r="446" spans="1:5" x14ac:dyDescent="0.25">
      <c r="A446" s="5" t="s">
        <v>1025</v>
      </c>
      <c r="B446" s="6" t="s">
        <v>1026</v>
      </c>
      <c r="C446" s="6" t="s">
        <v>275</v>
      </c>
      <c r="D446" s="7" t="str">
        <f t="shared" si="13"/>
        <v>k</v>
      </c>
      <c r="E446" s="17" t="str">
        <f t="shared" si="14"/>
        <v>686</v>
      </c>
    </row>
    <row r="447" spans="1:5" x14ac:dyDescent="0.25">
      <c r="A447" s="8" t="s">
        <v>1027</v>
      </c>
      <c r="B447" s="9" t="s">
        <v>1028</v>
      </c>
      <c r="C447" s="9" t="s">
        <v>20</v>
      </c>
      <c r="D447" s="7" t="str">
        <f t="shared" si="13"/>
        <v>m</v>
      </c>
      <c r="E447" s="17" t="str">
        <f t="shared" si="14"/>
        <v>051</v>
      </c>
    </row>
    <row r="448" spans="1:5" x14ac:dyDescent="0.25">
      <c r="A448" s="5" t="s">
        <v>1029</v>
      </c>
      <c r="B448" s="6" t="s">
        <v>1030</v>
      </c>
      <c r="C448" s="6" t="s">
        <v>1031</v>
      </c>
      <c r="D448" s="7" t="str">
        <f t="shared" si="13"/>
        <v>k</v>
      </c>
      <c r="E448" s="17" t="str">
        <f t="shared" si="14"/>
        <v>792</v>
      </c>
    </row>
    <row r="449" spans="1:5" x14ac:dyDescent="0.25">
      <c r="A449" s="8" t="s">
        <v>1032</v>
      </c>
      <c r="B449" s="9" t="s">
        <v>1033</v>
      </c>
      <c r="C449" s="9" t="s">
        <v>266</v>
      </c>
      <c r="D449" s="7" t="str">
        <f t="shared" si="13"/>
        <v>k</v>
      </c>
      <c r="E449" s="17" t="str">
        <f t="shared" si="14"/>
        <v>953</v>
      </c>
    </row>
    <row r="450" spans="1:5" x14ac:dyDescent="0.25">
      <c r="A450" s="5" t="s">
        <v>1034</v>
      </c>
      <c r="B450" s="6" t="s">
        <v>1007</v>
      </c>
      <c r="C450" s="6" t="s">
        <v>413</v>
      </c>
      <c r="D450" s="7" t="str">
        <f t="shared" ref="D450:D495" si="15">IF(MOD(LEFT(RIGHT(A450,2),1),2)=0,"k","m")</f>
        <v>k</v>
      </c>
      <c r="E450" s="17" t="str">
        <f t="shared" si="14"/>
        <v>111</v>
      </c>
    </row>
    <row r="451" spans="1:5" x14ac:dyDescent="0.25">
      <c r="A451" s="8" t="s">
        <v>1035</v>
      </c>
      <c r="B451" s="9" t="s">
        <v>1036</v>
      </c>
      <c r="C451" s="9" t="s">
        <v>214</v>
      </c>
      <c r="D451" s="7" t="str">
        <f t="shared" si="15"/>
        <v>k</v>
      </c>
      <c r="E451" s="17" t="str">
        <f t="shared" ref="E451:E495" si="16">LEFT(RIGHT(A451,5),3)</f>
        <v>305</v>
      </c>
    </row>
    <row r="452" spans="1:5" x14ac:dyDescent="0.25">
      <c r="A452" s="5" t="s">
        <v>1037</v>
      </c>
      <c r="B452" s="6" t="s">
        <v>1038</v>
      </c>
      <c r="C452" s="6" t="s">
        <v>1039</v>
      </c>
      <c r="D452" s="7" t="str">
        <f t="shared" si="15"/>
        <v>k</v>
      </c>
      <c r="E452" s="17" t="str">
        <f t="shared" si="16"/>
        <v>325</v>
      </c>
    </row>
    <row r="453" spans="1:5" x14ac:dyDescent="0.25">
      <c r="A453" s="8" t="s">
        <v>1040</v>
      </c>
      <c r="B453" s="9" t="s">
        <v>1041</v>
      </c>
      <c r="C453" s="9" t="s">
        <v>233</v>
      </c>
      <c r="D453" s="7" t="str">
        <f t="shared" si="15"/>
        <v>k</v>
      </c>
      <c r="E453" s="17" t="str">
        <f t="shared" si="16"/>
        <v>411</v>
      </c>
    </row>
    <row r="454" spans="1:5" x14ac:dyDescent="0.25">
      <c r="A454" s="5" t="s">
        <v>1042</v>
      </c>
      <c r="B454" s="6" t="s">
        <v>1043</v>
      </c>
      <c r="C454" s="6" t="s">
        <v>89</v>
      </c>
      <c r="D454" s="7" t="str">
        <f t="shared" si="15"/>
        <v>k</v>
      </c>
      <c r="E454" s="17" t="str">
        <f t="shared" si="16"/>
        <v>433</v>
      </c>
    </row>
    <row r="455" spans="1:5" x14ac:dyDescent="0.25">
      <c r="A455" s="8" t="s">
        <v>1044</v>
      </c>
      <c r="B455" s="9" t="s">
        <v>1045</v>
      </c>
      <c r="C455" s="9" t="s">
        <v>1046</v>
      </c>
      <c r="D455" s="7" t="str">
        <f t="shared" si="15"/>
        <v>m</v>
      </c>
      <c r="E455" s="17" t="str">
        <f t="shared" si="16"/>
        <v>953</v>
      </c>
    </row>
    <row r="456" spans="1:5" x14ac:dyDescent="0.25">
      <c r="A456" s="5" t="s">
        <v>1047</v>
      </c>
      <c r="B456" s="6" t="s">
        <v>1048</v>
      </c>
      <c r="C456" s="6" t="s">
        <v>83</v>
      </c>
      <c r="D456" s="7" t="str">
        <f t="shared" si="15"/>
        <v>k</v>
      </c>
      <c r="E456" s="17" t="str">
        <f t="shared" si="16"/>
        <v>646</v>
      </c>
    </row>
    <row r="457" spans="1:5" x14ac:dyDescent="0.25">
      <c r="A457" s="8" t="s">
        <v>1049</v>
      </c>
      <c r="B457" s="9" t="s">
        <v>1050</v>
      </c>
      <c r="C457" s="9" t="s">
        <v>194</v>
      </c>
      <c r="D457" s="7" t="str">
        <f t="shared" si="15"/>
        <v>k</v>
      </c>
      <c r="E457" s="17" t="str">
        <f t="shared" si="16"/>
        <v>242</v>
      </c>
    </row>
    <row r="458" spans="1:5" x14ac:dyDescent="0.25">
      <c r="A458" s="5" t="s">
        <v>1051</v>
      </c>
      <c r="B458" s="6" t="s">
        <v>1052</v>
      </c>
      <c r="C458" s="6" t="s">
        <v>194</v>
      </c>
      <c r="D458" s="7" t="str">
        <f t="shared" si="15"/>
        <v>k</v>
      </c>
      <c r="E458" s="17" t="str">
        <f t="shared" si="16"/>
        <v>045</v>
      </c>
    </row>
    <row r="459" spans="1:5" x14ac:dyDescent="0.25">
      <c r="A459" s="8" t="s">
        <v>1053</v>
      </c>
      <c r="B459" s="9" t="s">
        <v>1054</v>
      </c>
      <c r="C459" s="9" t="s">
        <v>166</v>
      </c>
      <c r="D459" s="7" t="str">
        <f t="shared" si="15"/>
        <v>m</v>
      </c>
      <c r="E459" s="17" t="str">
        <f t="shared" si="16"/>
        <v>162</v>
      </c>
    </row>
    <row r="460" spans="1:5" x14ac:dyDescent="0.25">
      <c r="A460" s="5" t="s">
        <v>1055</v>
      </c>
      <c r="B460" s="6" t="s">
        <v>1056</v>
      </c>
      <c r="C460" s="6" t="s">
        <v>70</v>
      </c>
      <c r="D460" s="7" t="str">
        <f t="shared" si="15"/>
        <v>k</v>
      </c>
      <c r="E460" s="17" t="str">
        <f t="shared" si="16"/>
        <v>019</v>
      </c>
    </row>
    <row r="461" spans="1:5" x14ac:dyDescent="0.25">
      <c r="A461" s="8" t="s">
        <v>1057</v>
      </c>
      <c r="B461" s="9" t="s">
        <v>1058</v>
      </c>
      <c r="C461" s="9" t="s">
        <v>223</v>
      </c>
      <c r="D461" s="7" t="str">
        <f t="shared" si="15"/>
        <v>m</v>
      </c>
      <c r="E461" s="17" t="str">
        <f t="shared" si="16"/>
        <v>329</v>
      </c>
    </row>
    <row r="462" spans="1:5" x14ac:dyDescent="0.25">
      <c r="A462" s="5" t="s">
        <v>1059</v>
      </c>
      <c r="B462" s="6" t="s">
        <v>1060</v>
      </c>
      <c r="C462" s="6" t="s">
        <v>419</v>
      </c>
      <c r="D462" s="7" t="str">
        <f t="shared" si="15"/>
        <v>k</v>
      </c>
      <c r="E462" s="17" t="str">
        <f t="shared" si="16"/>
        <v>945</v>
      </c>
    </row>
    <row r="463" spans="1:5" x14ac:dyDescent="0.25">
      <c r="A463" s="8" t="s">
        <v>1061</v>
      </c>
      <c r="B463" s="9" t="s">
        <v>1062</v>
      </c>
      <c r="C463" s="9" t="s">
        <v>89</v>
      </c>
      <c r="D463" s="7" t="str">
        <f t="shared" si="15"/>
        <v>k</v>
      </c>
      <c r="E463" s="17" t="str">
        <f t="shared" si="16"/>
        <v>624</v>
      </c>
    </row>
    <row r="464" spans="1:5" x14ac:dyDescent="0.25">
      <c r="A464" s="5" t="s">
        <v>1063</v>
      </c>
      <c r="B464" s="6" t="s">
        <v>1064</v>
      </c>
      <c r="C464" s="6" t="s">
        <v>147</v>
      </c>
      <c r="D464" s="7" t="str">
        <f t="shared" si="15"/>
        <v>k</v>
      </c>
      <c r="E464" s="17" t="str">
        <f t="shared" si="16"/>
        <v>936</v>
      </c>
    </row>
    <row r="465" spans="1:5" x14ac:dyDescent="0.25">
      <c r="A465" s="8" t="s">
        <v>1065</v>
      </c>
      <c r="B465" s="9" t="s">
        <v>1066</v>
      </c>
      <c r="C465" s="9" t="s">
        <v>142</v>
      </c>
      <c r="D465" s="7" t="str">
        <f t="shared" si="15"/>
        <v>k</v>
      </c>
      <c r="E465" s="17" t="str">
        <f t="shared" si="16"/>
        <v>377</v>
      </c>
    </row>
    <row r="466" spans="1:5" x14ac:dyDescent="0.25">
      <c r="A466" s="5" t="s">
        <v>1067</v>
      </c>
      <c r="B466" s="6" t="s">
        <v>1068</v>
      </c>
      <c r="C466" s="6" t="s">
        <v>56</v>
      </c>
      <c r="D466" s="7" t="str">
        <f t="shared" si="15"/>
        <v>k</v>
      </c>
      <c r="E466" s="17" t="str">
        <f t="shared" si="16"/>
        <v>297</v>
      </c>
    </row>
    <row r="467" spans="1:5" x14ac:dyDescent="0.25">
      <c r="A467" s="8" t="s">
        <v>1069</v>
      </c>
      <c r="B467" s="9" t="s">
        <v>1070</v>
      </c>
      <c r="C467" s="9" t="s">
        <v>260</v>
      </c>
      <c r="D467" s="7" t="str">
        <f t="shared" si="15"/>
        <v>m</v>
      </c>
      <c r="E467" s="17" t="str">
        <f t="shared" si="16"/>
        <v>813</v>
      </c>
    </row>
    <row r="468" spans="1:5" x14ac:dyDescent="0.25">
      <c r="A468" s="5" t="s">
        <v>1071</v>
      </c>
      <c r="B468" s="6" t="s">
        <v>1072</v>
      </c>
      <c r="C468" s="6" t="s">
        <v>121</v>
      </c>
      <c r="D468" s="7" t="str">
        <f t="shared" si="15"/>
        <v>m</v>
      </c>
      <c r="E468" s="17" t="str">
        <f t="shared" si="16"/>
        <v>303</v>
      </c>
    </row>
    <row r="469" spans="1:5" x14ac:dyDescent="0.25">
      <c r="A469" s="8" t="s">
        <v>1073</v>
      </c>
      <c r="B469" s="9" t="s">
        <v>1074</v>
      </c>
      <c r="C469" s="9" t="s">
        <v>166</v>
      </c>
      <c r="D469" s="7" t="str">
        <f t="shared" si="15"/>
        <v>m</v>
      </c>
      <c r="E469" s="17" t="str">
        <f t="shared" si="16"/>
        <v>653</v>
      </c>
    </row>
    <row r="470" spans="1:5" x14ac:dyDescent="0.25">
      <c r="A470" s="5" t="s">
        <v>1075</v>
      </c>
      <c r="B470" s="6" t="s">
        <v>1076</v>
      </c>
      <c r="C470" s="6" t="s">
        <v>121</v>
      </c>
      <c r="D470" s="7" t="str">
        <f t="shared" si="15"/>
        <v>m</v>
      </c>
      <c r="E470" s="17" t="str">
        <f t="shared" si="16"/>
        <v>684</v>
      </c>
    </row>
    <row r="471" spans="1:5" x14ac:dyDescent="0.25">
      <c r="A471" s="8" t="s">
        <v>1077</v>
      </c>
      <c r="B471" s="9" t="s">
        <v>123</v>
      </c>
      <c r="C471" s="9" t="s">
        <v>223</v>
      </c>
      <c r="D471" s="7" t="str">
        <f t="shared" si="15"/>
        <v>m</v>
      </c>
      <c r="E471" s="17" t="str">
        <f t="shared" si="16"/>
        <v>976</v>
      </c>
    </row>
    <row r="472" spans="1:5" x14ac:dyDescent="0.25">
      <c r="A472" s="5" t="s">
        <v>1078</v>
      </c>
      <c r="B472" s="6" t="s">
        <v>1079</v>
      </c>
      <c r="C472" s="6" t="s">
        <v>64</v>
      </c>
      <c r="D472" s="7" t="str">
        <f t="shared" si="15"/>
        <v>m</v>
      </c>
      <c r="E472" s="17" t="str">
        <f t="shared" si="16"/>
        <v>799</v>
      </c>
    </row>
    <row r="473" spans="1:5" x14ac:dyDescent="0.25">
      <c r="A473" s="8" t="s">
        <v>1080</v>
      </c>
      <c r="B473" s="9" t="s">
        <v>1081</v>
      </c>
      <c r="C473" s="9" t="s">
        <v>17</v>
      </c>
      <c r="D473" s="7" t="str">
        <f t="shared" si="15"/>
        <v>m</v>
      </c>
      <c r="E473" s="17" t="str">
        <f t="shared" si="16"/>
        <v>433</v>
      </c>
    </row>
    <row r="474" spans="1:5" x14ac:dyDescent="0.25">
      <c r="A474" s="5" t="s">
        <v>1082</v>
      </c>
      <c r="B474" s="6" t="s">
        <v>1083</v>
      </c>
      <c r="C474" s="6" t="s">
        <v>1084</v>
      </c>
      <c r="D474" s="7" t="str">
        <f t="shared" si="15"/>
        <v>k</v>
      </c>
      <c r="E474" s="17" t="str">
        <f t="shared" si="16"/>
        <v>852</v>
      </c>
    </row>
    <row r="475" spans="1:5" x14ac:dyDescent="0.25">
      <c r="A475" s="8" t="s">
        <v>1085</v>
      </c>
      <c r="B475" s="9" t="s">
        <v>1086</v>
      </c>
      <c r="C475" s="9" t="s">
        <v>428</v>
      </c>
      <c r="D475" s="7" t="str">
        <f t="shared" si="15"/>
        <v>k</v>
      </c>
      <c r="E475" s="17" t="str">
        <f t="shared" si="16"/>
        <v>054</v>
      </c>
    </row>
    <row r="476" spans="1:5" x14ac:dyDescent="0.25">
      <c r="A476" s="5" t="s">
        <v>1087</v>
      </c>
      <c r="B476" s="6" t="s">
        <v>1088</v>
      </c>
      <c r="C476" s="6" t="s">
        <v>275</v>
      </c>
      <c r="D476" s="7" t="str">
        <f t="shared" si="15"/>
        <v>k</v>
      </c>
      <c r="E476" s="17" t="str">
        <f t="shared" si="16"/>
        <v>333</v>
      </c>
    </row>
    <row r="477" spans="1:5" x14ac:dyDescent="0.25">
      <c r="A477" s="8" t="s">
        <v>1089</v>
      </c>
      <c r="B477" s="9" t="s">
        <v>1090</v>
      </c>
      <c r="C477" s="9" t="s">
        <v>25</v>
      </c>
      <c r="D477" s="7" t="str">
        <f t="shared" si="15"/>
        <v>m</v>
      </c>
      <c r="E477" s="17" t="str">
        <f t="shared" si="16"/>
        <v>764</v>
      </c>
    </row>
    <row r="478" spans="1:5" x14ac:dyDescent="0.25">
      <c r="A478" s="5" t="s">
        <v>1091</v>
      </c>
      <c r="B478" s="6" t="s">
        <v>1092</v>
      </c>
      <c r="C478" s="6" t="s">
        <v>219</v>
      </c>
      <c r="D478" s="7" t="str">
        <f t="shared" si="15"/>
        <v>m</v>
      </c>
      <c r="E478" s="17" t="str">
        <f t="shared" si="16"/>
        <v>334</v>
      </c>
    </row>
    <row r="479" spans="1:5" x14ac:dyDescent="0.25">
      <c r="A479" s="8" t="s">
        <v>1093</v>
      </c>
      <c r="B479" s="9" t="s">
        <v>1094</v>
      </c>
      <c r="C479" s="9" t="s">
        <v>1095</v>
      </c>
      <c r="D479" s="7" t="str">
        <f t="shared" si="15"/>
        <v>m</v>
      </c>
      <c r="E479" s="17" t="str">
        <f t="shared" si="16"/>
        <v>204</v>
      </c>
    </row>
    <row r="480" spans="1:5" x14ac:dyDescent="0.25">
      <c r="A480" s="5" t="s">
        <v>1096</v>
      </c>
      <c r="B480" s="6" t="s">
        <v>1097</v>
      </c>
      <c r="C480" s="6" t="s">
        <v>166</v>
      </c>
      <c r="D480" s="7" t="str">
        <f t="shared" si="15"/>
        <v>m</v>
      </c>
      <c r="E480" s="17" t="str">
        <f t="shared" si="16"/>
        <v>509</v>
      </c>
    </row>
    <row r="481" spans="1:5" x14ac:dyDescent="0.25">
      <c r="A481" s="8" t="s">
        <v>1098</v>
      </c>
      <c r="B481" s="9" t="s">
        <v>1099</v>
      </c>
      <c r="C481" s="9" t="s">
        <v>137</v>
      </c>
      <c r="D481" s="7" t="str">
        <f t="shared" si="15"/>
        <v>k</v>
      </c>
      <c r="E481" s="17" t="str">
        <f t="shared" si="16"/>
        <v>850</v>
      </c>
    </row>
    <row r="482" spans="1:5" x14ac:dyDescent="0.25">
      <c r="A482" s="5" t="s">
        <v>1100</v>
      </c>
      <c r="B482" s="6" t="s">
        <v>1101</v>
      </c>
      <c r="C482" s="6" t="s">
        <v>287</v>
      </c>
      <c r="D482" s="7" t="str">
        <f t="shared" si="15"/>
        <v>m</v>
      </c>
      <c r="E482" s="17" t="str">
        <f t="shared" si="16"/>
        <v>951</v>
      </c>
    </row>
    <row r="483" spans="1:5" x14ac:dyDescent="0.25">
      <c r="A483" s="8" t="s">
        <v>1102</v>
      </c>
      <c r="B483" s="9" t="s">
        <v>1103</v>
      </c>
      <c r="C483" s="9" t="s">
        <v>617</v>
      </c>
      <c r="D483" s="7" t="str">
        <f t="shared" si="15"/>
        <v>k</v>
      </c>
      <c r="E483" s="17" t="str">
        <f t="shared" si="16"/>
        <v>448</v>
      </c>
    </row>
    <row r="484" spans="1:5" x14ac:dyDescent="0.25">
      <c r="A484" s="5" t="s">
        <v>1104</v>
      </c>
      <c r="B484" s="6" t="s">
        <v>1105</v>
      </c>
      <c r="C484" s="6" t="s">
        <v>89</v>
      </c>
      <c r="D484" s="7" t="str">
        <f t="shared" si="15"/>
        <v>k</v>
      </c>
      <c r="E484" s="17" t="str">
        <f t="shared" si="16"/>
        <v>198</v>
      </c>
    </row>
    <row r="485" spans="1:5" x14ac:dyDescent="0.25">
      <c r="A485" s="8" t="s">
        <v>1106</v>
      </c>
      <c r="B485" s="9" t="s">
        <v>1107</v>
      </c>
      <c r="C485" s="9" t="s">
        <v>50</v>
      </c>
      <c r="D485" s="7" t="str">
        <f t="shared" si="15"/>
        <v>m</v>
      </c>
      <c r="E485" s="17" t="str">
        <f t="shared" si="16"/>
        <v>798</v>
      </c>
    </row>
    <row r="486" spans="1:5" x14ac:dyDescent="0.25">
      <c r="A486" s="5" t="s">
        <v>1108</v>
      </c>
      <c r="B486" s="6" t="s">
        <v>586</v>
      </c>
      <c r="C486" s="6" t="s">
        <v>223</v>
      </c>
      <c r="D486" s="7" t="str">
        <f t="shared" si="15"/>
        <v>m</v>
      </c>
      <c r="E486" s="17" t="str">
        <f t="shared" si="16"/>
        <v>085</v>
      </c>
    </row>
    <row r="487" spans="1:5" x14ac:dyDescent="0.25">
      <c r="A487" s="8" t="s">
        <v>1109</v>
      </c>
      <c r="B487" s="9" t="s">
        <v>1110</v>
      </c>
      <c r="C487" s="9" t="s">
        <v>1111</v>
      </c>
      <c r="D487" s="7" t="str">
        <f t="shared" si="15"/>
        <v>m</v>
      </c>
      <c r="E487" s="17" t="str">
        <f t="shared" si="16"/>
        <v>822</v>
      </c>
    </row>
    <row r="488" spans="1:5" x14ac:dyDescent="0.25">
      <c r="A488" s="5" t="s">
        <v>1112</v>
      </c>
      <c r="B488" s="6" t="s">
        <v>1113</v>
      </c>
      <c r="C488" s="6" t="s">
        <v>36</v>
      </c>
      <c r="D488" s="7" t="str">
        <f t="shared" si="15"/>
        <v>m</v>
      </c>
      <c r="E488" s="17" t="str">
        <f t="shared" si="16"/>
        <v>927</v>
      </c>
    </row>
    <row r="489" spans="1:5" x14ac:dyDescent="0.25">
      <c r="A489" s="8" t="s">
        <v>1114</v>
      </c>
      <c r="B489" s="9" t="s">
        <v>1115</v>
      </c>
      <c r="C489" s="9" t="s">
        <v>464</v>
      </c>
      <c r="D489" s="7" t="str">
        <f t="shared" si="15"/>
        <v>m</v>
      </c>
      <c r="E489" s="17" t="str">
        <f t="shared" si="16"/>
        <v>881</v>
      </c>
    </row>
    <row r="490" spans="1:5" x14ac:dyDescent="0.25">
      <c r="A490" s="5" t="s">
        <v>1116</v>
      </c>
      <c r="B490" s="6" t="s">
        <v>1117</v>
      </c>
      <c r="C490" s="6" t="s">
        <v>340</v>
      </c>
      <c r="D490" s="7" t="str">
        <f t="shared" si="15"/>
        <v>k</v>
      </c>
      <c r="E490" s="17" t="str">
        <f t="shared" si="16"/>
        <v>668</v>
      </c>
    </row>
    <row r="491" spans="1:5" x14ac:dyDescent="0.25">
      <c r="A491" s="8" t="s">
        <v>1118</v>
      </c>
      <c r="B491" s="9" t="s">
        <v>1119</v>
      </c>
      <c r="C491" s="9" t="s">
        <v>86</v>
      </c>
      <c r="D491" s="7" t="str">
        <f t="shared" si="15"/>
        <v>k</v>
      </c>
      <c r="E491" s="17" t="str">
        <f t="shared" si="16"/>
        <v>521</v>
      </c>
    </row>
    <row r="492" spans="1:5" x14ac:dyDescent="0.25">
      <c r="A492" s="5" t="s">
        <v>1120</v>
      </c>
      <c r="B492" s="6" t="s">
        <v>1121</v>
      </c>
      <c r="C492" s="6" t="s">
        <v>223</v>
      </c>
      <c r="D492" s="7" t="str">
        <f t="shared" si="15"/>
        <v>m</v>
      </c>
      <c r="E492" s="17" t="str">
        <f t="shared" si="16"/>
        <v>201</v>
      </c>
    </row>
    <row r="493" spans="1:5" x14ac:dyDescent="0.25">
      <c r="A493" s="8" t="s">
        <v>1122</v>
      </c>
      <c r="B493" s="9" t="s">
        <v>1123</v>
      </c>
      <c r="C493" s="9" t="s">
        <v>92</v>
      </c>
      <c r="D493" s="7" t="str">
        <f t="shared" si="15"/>
        <v>m</v>
      </c>
      <c r="E493" s="17" t="str">
        <f t="shared" si="16"/>
        <v>043</v>
      </c>
    </row>
    <row r="494" spans="1:5" x14ac:dyDescent="0.25">
      <c r="A494" s="5" t="s">
        <v>1124</v>
      </c>
      <c r="B494" s="6" t="s">
        <v>168</v>
      </c>
      <c r="C494" s="6" t="s">
        <v>880</v>
      </c>
      <c r="D494" s="7" t="str">
        <f t="shared" si="15"/>
        <v>m</v>
      </c>
      <c r="E494" s="17" t="str">
        <f t="shared" si="16"/>
        <v>913</v>
      </c>
    </row>
    <row r="495" spans="1:5" x14ac:dyDescent="0.25">
      <c r="A495" s="10" t="s">
        <v>1125</v>
      </c>
      <c r="B495" s="11" t="s">
        <v>1126</v>
      </c>
      <c r="C495" s="11" t="s">
        <v>121</v>
      </c>
      <c r="D495" s="7" t="str">
        <f t="shared" si="15"/>
        <v>m</v>
      </c>
      <c r="E495" s="17" t="str">
        <f t="shared" si="16"/>
        <v>093</v>
      </c>
    </row>
  </sheetData>
  <autoFilter ref="E1:E495" xr:uid="{45B39202-D0C2-4AFE-B53A-70C83ECC6E9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15CC-D7EA-4831-A936-8D560B1C8827}">
  <dimension ref="A1:M495"/>
  <sheetViews>
    <sheetView zoomScale="160" zoomScaleNormal="160" workbookViewId="0">
      <selection activeCell="O30" sqref="O30"/>
    </sheetView>
  </sheetViews>
  <sheetFormatPr defaultRowHeight="15" x14ac:dyDescent="0.25"/>
  <cols>
    <col min="1" max="1" width="12" bestFit="1" customWidth="1"/>
    <col min="2" max="2" width="14.85546875" bestFit="1" customWidth="1"/>
    <col min="3" max="3" width="12.140625" bestFit="1" customWidth="1"/>
    <col min="5" max="6" width="9.140625" style="17"/>
    <col min="12" max="12" width="17.7109375" bestFit="1" customWidth="1"/>
    <col min="13" max="13" width="13.140625" bestFit="1" customWidth="1"/>
  </cols>
  <sheetData>
    <row r="1" spans="1:13" x14ac:dyDescent="0.25">
      <c r="A1" s="2" t="s">
        <v>0</v>
      </c>
      <c r="B1" s="3" t="s">
        <v>1</v>
      </c>
      <c r="C1" s="3" t="s">
        <v>2</v>
      </c>
      <c r="D1" s="4" t="s">
        <v>1127</v>
      </c>
      <c r="E1" s="17" t="s">
        <v>1147</v>
      </c>
      <c r="F1" s="17" t="s">
        <v>1148</v>
      </c>
      <c r="G1" s="12" t="s">
        <v>1146</v>
      </c>
    </row>
    <row r="2" spans="1:13" x14ac:dyDescent="0.25">
      <c r="A2" s="5" t="s">
        <v>3</v>
      </c>
      <c r="B2" s="6" t="s">
        <v>4</v>
      </c>
      <c r="C2" s="6" t="s">
        <v>5</v>
      </c>
      <c r="D2" s="7" t="str">
        <f t="shared" ref="D2:D65" si="0">IF(MOD(LEFT(RIGHT(A2,2),1),2)=0,"k","m")</f>
        <v>m</v>
      </c>
      <c r="E2" s="17" t="str">
        <f>RIGHT(LEFT(A2,4),2)</f>
        <v>24</v>
      </c>
      <c r="F2" s="17">
        <f>IF(E2&gt;12,E2-20,E2)</f>
        <v>4</v>
      </c>
      <c r="G2" t="str">
        <f>VLOOKUP(F2,$I$2:$J$13,2)</f>
        <v>kwiecień</v>
      </c>
      <c r="I2">
        <v>1</v>
      </c>
      <c r="J2" t="s">
        <v>1134</v>
      </c>
    </row>
    <row r="3" spans="1:13" x14ac:dyDescent="0.25">
      <c r="A3" s="8" t="s">
        <v>6</v>
      </c>
      <c r="B3" s="9" t="s">
        <v>7</v>
      </c>
      <c r="C3" s="9" t="s">
        <v>8</v>
      </c>
      <c r="D3" s="7" t="str">
        <f t="shared" si="0"/>
        <v>m</v>
      </c>
      <c r="E3" s="17" t="str">
        <f t="shared" ref="E3:E66" si="1">RIGHT(LEFT(A3,4),2)</f>
        <v>24</v>
      </c>
      <c r="F3" s="17">
        <f t="shared" ref="F3:F66" si="2">IF(E3&gt;12,E3-20,E3)</f>
        <v>4</v>
      </c>
      <c r="G3" t="str">
        <f t="shared" ref="G3:G66" si="3">VLOOKUP(F3,$I$2:$J$13,2)</f>
        <v>kwiecień</v>
      </c>
      <c r="I3">
        <v>2</v>
      </c>
      <c r="J3" t="s">
        <v>1135</v>
      </c>
      <c r="L3" s="13" t="s">
        <v>1129</v>
      </c>
      <c r="M3" t="s">
        <v>1131</v>
      </c>
    </row>
    <row r="4" spans="1:13" x14ac:dyDescent="0.25">
      <c r="A4" s="5" t="s">
        <v>9</v>
      </c>
      <c r="B4" s="6" t="s">
        <v>10</v>
      </c>
      <c r="C4" s="6" t="s">
        <v>11</v>
      </c>
      <c r="D4" s="7" t="str">
        <f t="shared" si="0"/>
        <v>m</v>
      </c>
      <c r="E4" s="17" t="str">
        <f t="shared" si="1"/>
        <v>24</v>
      </c>
      <c r="F4" s="17">
        <f t="shared" si="2"/>
        <v>4</v>
      </c>
      <c r="G4" t="str">
        <f t="shared" si="3"/>
        <v>kwiecień</v>
      </c>
      <c r="I4">
        <v>3</v>
      </c>
      <c r="J4" t="s">
        <v>1136</v>
      </c>
      <c r="L4" s="14" t="s">
        <v>1134</v>
      </c>
      <c r="M4" s="1">
        <v>68</v>
      </c>
    </row>
    <row r="5" spans="1:13" x14ac:dyDescent="0.25">
      <c r="A5" s="8" t="s">
        <v>12</v>
      </c>
      <c r="B5" s="9" t="s">
        <v>13</v>
      </c>
      <c r="C5" s="9" t="s">
        <v>14</v>
      </c>
      <c r="D5" s="7" t="str">
        <f>IF(MOD(LEFT(RIGHT(A5,2),1),2)=0,"k","m")</f>
        <v>m</v>
      </c>
      <c r="E5" s="17" t="str">
        <f t="shared" si="1"/>
        <v>25</v>
      </c>
      <c r="F5" s="17">
        <f t="shared" si="2"/>
        <v>5</v>
      </c>
      <c r="G5" t="str">
        <f t="shared" si="3"/>
        <v>maj</v>
      </c>
      <c r="I5">
        <v>4</v>
      </c>
      <c r="J5" t="s">
        <v>1137</v>
      </c>
      <c r="L5" s="14" t="s">
        <v>1135</v>
      </c>
      <c r="M5" s="1">
        <v>33</v>
      </c>
    </row>
    <row r="6" spans="1:13" x14ac:dyDescent="0.25">
      <c r="A6" s="5" t="s">
        <v>15</v>
      </c>
      <c r="B6" s="6" t="s">
        <v>16</v>
      </c>
      <c r="C6" s="6" t="s">
        <v>17</v>
      </c>
      <c r="D6" s="7" t="str">
        <f t="shared" si="0"/>
        <v>m</v>
      </c>
      <c r="E6" s="17" t="str">
        <f t="shared" si="1"/>
        <v>25</v>
      </c>
      <c r="F6" s="17">
        <f t="shared" si="2"/>
        <v>5</v>
      </c>
      <c r="G6" t="str">
        <f t="shared" si="3"/>
        <v>maj</v>
      </c>
      <c r="I6">
        <v>5</v>
      </c>
      <c r="J6" t="s">
        <v>1138</v>
      </c>
      <c r="L6" s="14" t="s">
        <v>1136</v>
      </c>
      <c r="M6" s="1">
        <v>9</v>
      </c>
    </row>
    <row r="7" spans="1:13" x14ac:dyDescent="0.25">
      <c r="A7" s="8" t="s">
        <v>18</v>
      </c>
      <c r="B7" s="9" t="s">
        <v>19</v>
      </c>
      <c r="C7" s="9" t="s">
        <v>20</v>
      </c>
      <c r="D7" s="7" t="str">
        <f t="shared" si="0"/>
        <v>m</v>
      </c>
      <c r="E7" s="17" t="str">
        <f t="shared" si="1"/>
        <v>25</v>
      </c>
      <c r="F7" s="17">
        <f t="shared" si="2"/>
        <v>5</v>
      </c>
      <c r="G7" t="str">
        <f t="shared" si="3"/>
        <v>maj</v>
      </c>
      <c r="I7">
        <v>6</v>
      </c>
      <c r="J7" t="s">
        <v>1144</v>
      </c>
      <c r="L7" s="14" t="s">
        <v>1137</v>
      </c>
      <c r="M7" s="1">
        <v>16</v>
      </c>
    </row>
    <row r="8" spans="1:13" x14ac:dyDescent="0.25">
      <c r="A8" s="5" t="s">
        <v>21</v>
      </c>
      <c r="B8" s="6" t="s">
        <v>22</v>
      </c>
      <c r="C8" s="6" t="s">
        <v>8</v>
      </c>
      <c r="D8" s="7" t="str">
        <f t="shared" si="0"/>
        <v>m</v>
      </c>
      <c r="E8" s="17" t="str">
        <f t="shared" si="1"/>
        <v>26</v>
      </c>
      <c r="F8" s="17">
        <f t="shared" si="2"/>
        <v>6</v>
      </c>
      <c r="G8" t="str">
        <f t="shared" si="3"/>
        <v>czerwiec</v>
      </c>
      <c r="I8">
        <v>7</v>
      </c>
      <c r="J8" t="s">
        <v>1139</v>
      </c>
      <c r="L8" s="14" t="s">
        <v>1138</v>
      </c>
      <c r="M8" s="1">
        <v>13</v>
      </c>
    </row>
    <row r="9" spans="1:13" x14ac:dyDescent="0.25">
      <c r="A9" s="8" t="s">
        <v>23</v>
      </c>
      <c r="B9" s="9" t="s">
        <v>24</v>
      </c>
      <c r="C9" s="9" t="s">
        <v>25</v>
      </c>
      <c r="D9" s="7" t="str">
        <f t="shared" si="0"/>
        <v>m</v>
      </c>
      <c r="E9" s="17" t="str">
        <f t="shared" si="1"/>
        <v>26</v>
      </c>
      <c r="F9" s="17">
        <f t="shared" si="2"/>
        <v>6</v>
      </c>
      <c r="G9" t="str">
        <f t="shared" si="3"/>
        <v>czerwiec</v>
      </c>
      <c r="I9">
        <v>8</v>
      </c>
      <c r="J9" t="s">
        <v>1140</v>
      </c>
      <c r="L9" s="14" t="s">
        <v>1144</v>
      </c>
      <c r="M9" s="1">
        <v>15</v>
      </c>
    </row>
    <row r="10" spans="1:13" x14ac:dyDescent="0.25">
      <c r="A10" s="5" t="s">
        <v>26</v>
      </c>
      <c r="B10" s="6" t="s">
        <v>27</v>
      </c>
      <c r="C10" s="6" t="s">
        <v>28</v>
      </c>
      <c r="D10" s="7" t="str">
        <f t="shared" si="0"/>
        <v>m</v>
      </c>
      <c r="E10" s="17" t="str">
        <f t="shared" si="1"/>
        <v>26</v>
      </c>
      <c r="F10" s="17">
        <f t="shared" si="2"/>
        <v>6</v>
      </c>
      <c r="G10" t="str">
        <f t="shared" si="3"/>
        <v>czerwiec</v>
      </c>
      <c r="I10">
        <v>9</v>
      </c>
      <c r="J10" t="s">
        <v>1145</v>
      </c>
      <c r="L10" s="14" t="s">
        <v>1139</v>
      </c>
      <c r="M10" s="1">
        <v>19</v>
      </c>
    </row>
    <row r="11" spans="1:13" x14ac:dyDescent="0.25">
      <c r="A11" s="8" t="s">
        <v>29</v>
      </c>
      <c r="B11" s="9" t="s">
        <v>30</v>
      </c>
      <c r="C11" s="9" t="s">
        <v>31</v>
      </c>
      <c r="D11" s="7" t="str">
        <f t="shared" si="0"/>
        <v>m</v>
      </c>
      <c r="E11" s="17" t="str">
        <f t="shared" si="1"/>
        <v>26</v>
      </c>
      <c r="F11" s="17">
        <f t="shared" si="2"/>
        <v>6</v>
      </c>
      <c r="G11" t="str">
        <f t="shared" si="3"/>
        <v>czerwiec</v>
      </c>
      <c r="I11">
        <v>10</v>
      </c>
      <c r="J11" t="s">
        <v>1141</v>
      </c>
      <c r="L11" s="14" t="s">
        <v>1140</v>
      </c>
      <c r="M11" s="1">
        <v>22</v>
      </c>
    </row>
    <row r="12" spans="1:13" x14ac:dyDescent="0.25">
      <c r="A12" s="5" t="s">
        <v>32</v>
      </c>
      <c r="B12" s="6" t="s">
        <v>33</v>
      </c>
      <c r="C12" s="6" t="s">
        <v>20</v>
      </c>
      <c r="D12" s="7" t="str">
        <f t="shared" si="0"/>
        <v>m</v>
      </c>
      <c r="E12" s="17" t="str">
        <f t="shared" si="1"/>
        <v>26</v>
      </c>
      <c r="F12" s="17">
        <f t="shared" si="2"/>
        <v>6</v>
      </c>
      <c r="G12" t="str">
        <f t="shared" si="3"/>
        <v>czerwiec</v>
      </c>
      <c r="I12">
        <v>11</v>
      </c>
      <c r="J12" t="s">
        <v>1142</v>
      </c>
      <c r="L12" s="14" t="s">
        <v>1145</v>
      </c>
      <c r="M12" s="1">
        <v>32</v>
      </c>
    </row>
    <row r="13" spans="1:13" x14ac:dyDescent="0.25">
      <c r="A13" s="8" t="s">
        <v>34</v>
      </c>
      <c r="B13" s="9" t="s">
        <v>35</v>
      </c>
      <c r="C13" s="9" t="s">
        <v>36</v>
      </c>
      <c r="D13" s="7" t="str">
        <f t="shared" si="0"/>
        <v>m</v>
      </c>
      <c r="E13" s="17" t="str">
        <f t="shared" si="1"/>
        <v>26</v>
      </c>
      <c r="F13" s="17">
        <f t="shared" si="2"/>
        <v>6</v>
      </c>
      <c r="G13" t="str">
        <f t="shared" si="3"/>
        <v>czerwiec</v>
      </c>
      <c r="I13">
        <v>12</v>
      </c>
      <c r="J13" t="s">
        <v>1143</v>
      </c>
      <c r="L13" s="14" t="s">
        <v>1141</v>
      </c>
      <c r="M13" s="1">
        <v>67</v>
      </c>
    </row>
    <row r="14" spans="1:13" x14ac:dyDescent="0.25">
      <c r="A14" s="5" t="s">
        <v>37</v>
      </c>
      <c r="B14" s="6" t="s">
        <v>38</v>
      </c>
      <c r="C14" s="6" t="s">
        <v>39</v>
      </c>
      <c r="D14" s="7" t="str">
        <f t="shared" si="0"/>
        <v>m</v>
      </c>
      <c r="E14" s="17" t="str">
        <f t="shared" si="1"/>
        <v>26</v>
      </c>
      <c r="F14" s="17">
        <f t="shared" si="2"/>
        <v>6</v>
      </c>
      <c r="G14" t="str">
        <f t="shared" si="3"/>
        <v>czerwiec</v>
      </c>
      <c r="L14" s="14" t="s">
        <v>1142</v>
      </c>
      <c r="M14" s="1">
        <v>99</v>
      </c>
    </row>
    <row r="15" spans="1:13" x14ac:dyDescent="0.25">
      <c r="A15" s="8" t="s">
        <v>40</v>
      </c>
      <c r="B15" s="9" t="s">
        <v>41</v>
      </c>
      <c r="C15" s="9" t="s">
        <v>39</v>
      </c>
      <c r="D15" s="7" t="str">
        <f t="shared" si="0"/>
        <v>m</v>
      </c>
      <c r="E15" s="17" t="str">
        <f t="shared" si="1"/>
        <v>26</v>
      </c>
      <c r="F15" s="17">
        <f t="shared" si="2"/>
        <v>6</v>
      </c>
      <c r="G15" t="str">
        <f t="shared" si="3"/>
        <v>czerwiec</v>
      </c>
      <c r="L15" s="14" t="s">
        <v>1143</v>
      </c>
      <c r="M15" s="1">
        <v>101</v>
      </c>
    </row>
    <row r="16" spans="1:13" x14ac:dyDescent="0.25">
      <c r="A16" s="5" t="s">
        <v>42</v>
      </c>
      <c r="B16" s="6" t="s">
        <v>43</v>
      </c>
      <c r="C16" s="6" t="s">
        <v>44</v>
      </c>
      <c r="D16" s="7" t="str">
        <f t="shared" si="0"/>
        <v>m</v>
      </c>
      <c r="E16" s="17" t="str">
        <f t="shared" si="1"/>
        <v>26</v>
      </c>
      <c r="F16" s="17">
        <f t="shared" si="2"/>
        <v>6</v>
      </c>
      <c r="G16" t="str">
        <f t="shared" si="3"/>
        <v>czerwiec</v>
      </c>
      <c r="L16" s="14" t="s">
        <v>1130</v>
      </c>
      <c r="M16" s="1">
        <v>494</v>
      </c>
    </row>
    <row r="17" spans="1:7" x14ac:dyDescent="0.25">
      <c r="A17" s="8" t="s">
        <v>45</v>
      </c>
      <c r="B17" s="9" t="s">
        <v>46</v>
      </c>
      <c r="C17" s="9" t="s">
        <v>47</v>
      </c>
      <c r="D17" s="7" t="str">
        <f t="shared" si="0"/>
        <v>m</v>
      </c>
      <c r="E17" s="17" t="str">
        <f t="shared" si="1"/>
        <v>26</v>
      </c>
      <c r="F17" s="17">
        <f t="shared" si="2"/>
        <v>6</v>
      </c>
      <c r="G17" t="str">
        <f t="shared" si="3"/>
        <v>czerwiec</v>
      </c>
    </row>
    <row r="18" spans="1:7" x14ac:dyDescent="0.25">
      <c r="A18" s="5" t="s">
        <v>48</v>
      </c>
      <c r="B18" s="6" t="s">
        <v>49</v>
      </c>
      <c r="C18" s="6" t="s">
        <v>50</v>
      </c>
      <c r="D18" s="7" t="str">
        <f t="shared" si="0"/>
        <v>m</v>
      </c>
      <c r="E18" s="17" t="str">
        <f t="shared" si="1"/>
        <v>27</v>
      </c>
      <c r="F18" s="17">
        <f t="shared" si="2"/>
        <v>7</v>
      </c>
      <c r="G18" t="str">
        <f t="shared" si="3"/>
        <v>lipiec</v>
      </c>
    </row>
    <row r="19" spans="1:7" x14ac:dyDescent="0.25">
      <c r="A19" s="8" t="s">
        <v>51</v>
      </c>
      <c r="B19" s="9" t="s">
        <v>52</v>
      </c>
      <c r="C19" s="9" t="s">
        <v>53</v>
      </c>
      <c r="D19" s="7" t="str">
        <f t="shared" si="0"/>
        <v>m</v>
      </c>
      <c r="E19" s="17" t="str">
        <f t="shared" si="1"/>
        <v>27</v>
      </c>
      <c r="F19" s="17">
        <f t="shared" si="2"/>
        <v>7</v>
      </c>
      <c r="G19" t="str">
        <f t="shared" si="3"/>
        <v>lipiec</v>
      </c>
    </row>
    <row r="20" spans="1:7" x14ac:dyDescent="0.25">
      <c r="A20" s="5" t="s">
        <v>54</v>
      </c>
      <c r="B20" s="6" t="s">
        <v>55</v>
      </c>
      <c r="C20" s="6" t="s">
        <v>56</v>
      </c>
      <c r="D20" s="7" t="str">
        <f t="shared" si="0"/>
        <v>k</v>
      </c>
      <c r="E20" s="17" t="str">
        <f t="shared" si="1"/>
        <v>27</v>
      </c>
      <c r="F20" s="17">
        <f t="shared" si="2"/>
        <v>7</v>
      </c>
      <c r="G20" t="str">
        <f t="shared" si="3"/>
        <v>lipiec</v>
      </c>
    </row>
    <row r="21" spans="1:7" x14ac:dyDescent="0.25">
      <c r="A21" s="8" t="s">
        <v>57</v>
      </c>
      <c r="B21" s="9" t="s">
        <v>58</v>
      </c>
      <c r="C21" s="9" t="s">
        <v>8</v>
      </c>
      <c r="D21" s="7" t="str">
        <f t="shared" si="0"/>
        <v>m</v>
      </c>
      <c r="E21" s="17" t="str">
        <f t="shared" si="1"/>
        <v>27</v>
      </c>
      <c r="F21" s="17">
        <f t="shared" si="2"/>
        <v>7</v>
      </c>
      <c r="G21" t="str">
        <f t="shared" si="3"/>
        <v>lipiec</v>
      </c>
    </row>
    <row r="22" spans="1:7" x14ac:dyDescent="0.25">
      <c r="A22" s="5" t="s">
        <v>59</v>
      </c>
      <c r="B22" s="6" t="s">
        <v>60</v>
      </c>
      <c r="C22" s="6" t="s">
        <v>61</v>
      </c>
      <c r="D22" s="7" t="str">
        <f t="shared" si="0"/>
        <v>m</v>
      </c>
      <c r="E22" s="17" t="str">
        <f t="shared" si="1"/>
        <v>27</v>
      </c>
      <c r="F22" s="17">
        <f t="shared" si="2"/>
        <v>7</v>
      </c>
      <c r="G22" t="str">
        <f t="shared" si="3"/>
        <v>lipiec</v>
      </c>
    </row>
    <row r="23" spans="1:7" x14ac:dyDescent="0.25">
      <c r="A23" s="8" t="s">
        <v>62</v>
      </c>
      <c r="B23" s="9" t="s">
        <v>63</v>
      </c>
      <c r="C23" s="9" t="s">
        <v>64</v>
      </c>
      <c r="D23" s="7" t="str">
        <f t="shared" si="0"/>
        <v>m</v>
      </c>
      <c r="E23" s="17" t="str">
        <f t="shared" si="1"/>
        <v>27</v>
      </c>
      <c r="F23" s="17">
        <f t="shared" si="2"/>
        <v>7</v>
      </c>
      <c r="G23" t="str">
        <f t="shared" si="3"/>
        <v>lipiec</v>
      </c>
    </row>
    <row r="24" spans="1:7" x14ac:dyDescent="0.25">
      <c r="A24" s="5" t="s">
        <v>65</v>
      </c>
      <c r="B24" s="6" t="s">
        <v>66</v>
      </c>
      <c r="C24" s="6" t="s">
        <v>67</v>
      </c>
      <c r="D24" s="7" t="str">
        <f t="shared" si="0"/>
        <v>k</v>
      </c>
      <c r="E24" s="17" t="str">
        <f t="shared" si="1"/>
        <v>27</v>
      </c>
      <c r="F24" s="17">
        <f t="shared" si="2"/>
        <v>7</v>
      </c>
      <c r="G24" t="str">
        <f t="shared" si="3"/>
        <v>lipiec</v>
      </c>
    </row>
    <row r="25" spans="1:7" x14ac:dyDescent="0.25">
      <c r="A25" s="8" t="s">
        <v>68</v>
      </c>
      <c r="B25" s="9" t="s">
        <v>69</v>
      </c>
      <c r="C25" s="9" t="s">
        <v>70</v>
      </c>
      <c r="D25" s="7" t="str">
        <f t="shared" si="0"/>
        <v>k</v>
      </c>
      <c r="E25" s="17" t="str">
        <f t="shared" si="1"/>
        <v>27</v>
      </c>
      <c r="F25" s="17">
        <f t="shared" si="2"/>
        <v>7</v>
      </c>
      <c r="G25" t="str">
        <f t="shared" si="3"/>
        <v>lipiec</v>
      </c>
    </row>
    <row r="26" spans="1:7" x14ac:dyDescent="0.25">
      <c r="A26" s="5" t="s">
        <v>71</v>
      </c>
      <c r="B26" s="6" t="s">
        <v>72</v>
      </c>
      <c r="C26" s="6" t="s">
        <v>73</v>
      </c>
      <c r="D26" s="7" t="str">
        <f t="shared" si="0"/>
        <v>m</v>
      </c>
      <c r="E26" s="17" t="str">
        <f t="shared" si="1"/>
        <v>27</v>
      </c>
      <c r="F26" s="17">
        <f t="shared" si="2"/>
        <v>7</v>
      </c>
      <c r="G26" t="str">
        <f t="shared" si="3"/>
        <v>lipiec</v>
      </c>
    </row>
    <row r="27" spans="1:7" x14ac:dyDescent="0.25">
      <c r="A27" s="8" t="s">
        <v>74</v>
      </c>
      <c r="B27" s="9" t="s">
        <v>75</v>
      </c>
      <c r="C27" s="9" t="s">
        <v>8</v>
      </c>
      <c r="D27" s="7" t="str">
        <f t="shared" si="0"/>
        <v>m</v>
      </c>
      <c r="E27" s="17" t="str">
        <f t="shared" si="1"/>
        <v>28</v>
      </c>
      <c r="F27" s="17">
        <f t="shared" si="2"/>
        <v>8</v>
      </c>
      <c r="G27" t="str">
        <f t="shared" si="3"/>
        <v>sierpień</v>
      </c>
    </row>
    <row r="28" spans="1:7" x14ac:dyDescent="0.25">
      <c r="A28" s="5" t="s">
        <v>76</v>
      </c>
      <c r="B28" s="6" t="s">
        <v>77</v>
      </c>
      <c r="C28" s="6" t="s">
        <v>78</v>
      </c>
      <c r="D28" s="7" t="str">
        <f t="shared" si="0"/>
        <v>k</v>
      </c>
      <c r="E28" s="17" t="str">
        <f t="shared" si="1"/>
        <v>28</v>
      </c>
      <c r="F28" s="17">
        <f t="shared" si="2"/>
        <v>8</v>
      </c>
      <c r="G28" t="str">
        <f t="shared" si="3"/>
        <v>sierpień</v>
      </c>
    </row>
    <row r="29" spans="1:7" x14ac:dyDescent="0.25">
      <c r="A29" s="8" t="s">
        <v>79</v>
      </c>
      <c r="B29" s="9" t="s">
        <v>80</v>
      </c>
      <c r="C29" s="9" t="s">
        <v>39</v>
      </c>
      <c r="D29" s="7" t="str">
        <f t="shared" si="0"/>
        <v>m</v>
      </c>
      <c r="E29" s="17" t="str">
        <f t="shared" si="1"/>
        <v>28</v>
      </c>
      <c r="F29" s="17">
        <f t="shared" si="2"/>
        <v>8</v>
      </c>
      <c r="G29" t="str">
        <f t="shared" si="3"/>
        <v>sierpień</v>
      </c>
    </row>
    <row r="30" spans="1:7" x14ac:dyDescent="0.25">
      <c r="A30" s="5" t="s">
        <v>81</v>
      </c>
      <c r="B30" s="6" t="s">
        <v>82</v>
      </c>
      <c r="C30" s="6" t="s">
        <v>83</v>
      </c>
      <c r="D30" s="7" t="str">
        <f t="shared" si="0"/>
        <v>k</v>
      </c>
      <c r="E30" s="17" t="str">
        <f t="shared" si="1"/>
        <v>28</v>
      </c>
      <c r="F30" s="17">
        <f t="shared" si="2"/>
        <v>8</v>
      </c>
      <c r="G30" t="str">
        <f t="shared" si="3"/>
        <v>sierpień</v>
      </c>
    </row>
    <row r="31" spans="1:7" x14ac:dyDescent="0.25">
      <c r="A31" s="8" t="s">
        <v>84</v>
      </c>
      <c r="B31" s="9" t="s">
        <v>85</v>
      </c>
      <c r="C31" s="9" t="s">
        <v>86</v>
      </c>
      <c r="D31" s="7" t="str">
        <f t="shared" si="0"/>
        <v>k</v>
      </c>
      <c r="E31" s="17" t="str">
        <f t="shared" si="1"/>
        <v>28</v>
      </c>
      <c r="F31" s="17">
        <f t="shared" si="2"/>
        <v>8</v>
      </c>
      <c r="G31" t="str">
        <f t="shared" si="3"/>
        <v>sierpień</v>
      </c>
    </row>
    <row r="32" spans="1:7" x14ac:dyDescent="0.25">
      <c r="A32" s="5" t="s">
        <v>87</v>
      </c>
      <c r="B32" s="6" t="s">
        <v>88</v>
      </c>
      <c r="C32" s="6" t="s">
        <v>89</v>
      </c>
      <c r="D32" s="7" t="str">
        <f t="shared" si="0"/>
        <v>k</v>
      </c>
      <c r="E32" s="17" t="str">
        <f t="shared" si="1"/>
        <v>28</v>
      </c>
      <c r="F32" s="17">
        <f t="shared" si="2"/>
        <v>8</v>
      </c>
      <c r="G32" t="str">
        <f t="shared" si="3"/>
        <v>sierpień</v>
      </c>
    </row>
    <row r="33" spans="1:7" x14ac:dyDescent="0.25">
      <c r="A33" s="8" t="s">
        <v>90</v>
      </c>
      <c r="B33" s="9" t="s">
        <v>91</v>
      </c>
      <c r="C33" s="9" t="s">
        <v>92</v>
      </c>
      <c r="D33" s="7" t="str">
        <f t="shared" si="0"/>
        <v>m</v>
      </c>
      <c r="E33" s="17" t="str">
        <f t="shared" si="1"/>
        <v>28</v>
      </c>
      <c r="F33" s="17">
        <f t="shared" si="2"/>
        <v>8</v>
      </c>
      <c r="G33" t="str">
        <f t="shared" si="3"/>
        <v>sierpień</v>
      </c>
    </row>
    <row r="34" spans="1:7" x14ac:dyDescent="0.25">
      <c r="A34" s="5" t="s">
        <v>93</v>
      </c>
      <c r="B34" s="6" t="s">
        <v>94</v>
      </c>
      <c r="C34" s="6" t="s">
        <v>5</v>
      </c>
      <c r="D34" s="7" t="str">
        <f t="shared" si="0"/>
        <v>m</v>
      </c>
      <c r="E34" s="17" t="str">
        <f t="shared" si="1"/>
        <v>28</v>
      </c>
      <c r="F34" s="17">
        <f t="shared" si="2"/>
        <v>8</v>
      </c>
      <c r="G34" t="str">
        <f t="shared" si="3"/>
        <v>sierpień</v>
      </c>
    </row>
    <row r="35" spans="1:7" x14ac:dyDescent="0.25">
      <c r="A35" s="8" t="s">
        <v>95</v>
      </c>
      <c r="B35" s="9" t="s">
        <v>96</v>
      </c>
      <c r="C35" s="9" t="s">
        <v>97</v>
      </c>
      <c r="D35" s="7" t="str">
        <f t="shared" si="0"/>
        <v>m</v>
      </c>
      <c r="E35" s="17" t="str">
        <f t="shared" si="1"/>
        <v>28</v>
      </c>
      <c r="F35" s="17">
        <f t="shared" si="2"/>
        <v>8</v>
      </c>
      <c r="G35" t="str">
        <f t="shared" si="3"/>
        <v>sierpień</v>
      </c>
    </row>
    <row r="36" spans="1:7" x14ac:dyDescent="0.25">
      <c r="A36" s="5" t="s">
        <v>98</v>
      </c>
      <c r="B36" s="6" t="s">
        <v>99</v>
      </c>
      <c r="C36" s="6" t="s">
        <v>100</v>
      </c>
      <c r="D36" s="7" t="str">
        <f t="shared" si="0"/>
        <v>k</v>
      </c>
      <c r="E36" s="17" t="str">
        <f t="shared" si="1"/>
        <v>28</v>
      </c>
      <c r="F36" s="17">
        <f t="shared" si="2"/>
        <v>8</v>
      </c>
      <c r="G36" t="str">
        <f t="shared" si="3"/>
        <v>sierpień</v>
      </c>
    </row>
    <row r="37" spans="1:7" x14ac:dyDescent="0.25">
      <c r="A37" s="8" t="s">
        <v>101</v>
      </c>
      <c r="B37" s="9" t="s">
        <v>102</v>
      </c>
      <c r="C37" s="9" t="s">
        <v>17</v>
      </c>
      <c r="D37" s="7" t="str">
        <f t="shared" si="0"/>
        <v>m</v>
      </c>
      <c r="E37" s="17" t="str">
        <f t="shared" si="1"/>
        <v>29</v>
      </c>
      <c r="F37" s="17">
        <f t="shared" si="2"/>
        <v>9</v>
      </c>
      <c r="G37" t="str">
        <f t="shared" si="3"/>
        <v>wrzesień</v>
      </c>
    </row>
    <row r="38" spans="1:7" x14ac:dyDescent="0.25">
      <c r="A38" s="5" t="s">
        <v>103</v>
      </c>
      <c r="B38" s="6" t="s">
        <v>104</v>
      </c>
      <c r="C38" s="6" t="s">
        <v>105</v>
      </c>
      <c r="D38" s="7" t="str">
        <f t="shared" si="0"/>
        <v>m</v>
      </c>
      <c r="E38" s="17" t="str">
        <f t="shared" si="1"/>
        <v>29</v>
      </c>
      <c r="F38" s="17">
        <f t="shared" si="2"/>
        <v>9</v>
      </c>
      <c r="G38" t="str">
        <f t="shared" si="3"/>
        <v>wrzesień</v>
      </c>
    </row>
    <row r="39" spans="1:7" x14ac:dyDescent="0.25">
      <c r="A39" s="8" t="s">
        <v>106</v>
      </c>
      <c r="B39" s="9" t="s">
        <v>107</v>
      </c>
      <c r="C39" s="9" t="s">
        <v>108</v>
      </c>
      <c r="D39" s="7" t="str">
        <f t="shared" si="0"/>
        <v>m</v>
      </c>
      <c r="E39" s="17" t="str">
        <f t="shared" si="1"/>
        <v>29</v>
      </c>
      <c r="F39" s="17">
        <f t="shared" si="2"/>
        <v>9</v>
      </c>
      <c r="G39" t="str">
        <f t="shared" si="3"/>
        <v>wrzesień</v>
      </c>
    </row>
    <row r="40" spans="1:7" x14ac:dyDescent="0.25">
      <c r="A40" s="5" t="s">
        <v>109</v>
      </c>
      <c r="B40" s="6" t="s">
        <v>110</v>
      </c>
      <c r="C40" s="6" t="s">
        <v>111</v>
      </c>
      <c r="D40" s="7" t="str">
        <f t="shared" si="0"/>
        <v>k</v>
      </c>
      <c r="E40" s="17" t="str">
        <f t="shared" si="1"/>
        <v>29</v>
      </c>
      <c r="F40" s="17">
        <f t="shared" si="2"/>
        <v>9</v>
      </c>
      <c r="G40" t="str">
        <f t="shared" si="3"/>
        <v>wrzesień</v>
      </c>
    </row>
    <row r="41" spans="1:7" x14ac:dyDescent="0.25">
      <c r="A41" s="8" t="s">
        <v>112</v>
      </c>
      <c r="B41" s="9" t="s">
        <v>113</v>
      </c>
      <c r="C41" s="9" t="s">
        <v>114</v>
      </c>
      <c r="D41" s="7" t="str">
        <f t="shared" si="0"/>
        <v>m</v>
      </c>
      <c r="E41" s="17" t="str">
        <f t="shared" si="1"/>
        <v>29</v>
      </c>
      <c r="F41" s="17">
        <f t="shared" si="2"/>
        <v>9</v>
      </c>
      <c r="G41" t="str">
        <f t="shared" si="3"/>
        <v>wrzesień</v>
      </c>
    </row>
    <row r="42" spans="1:7" x14ac:dyDescent="0.25">
      <c r="A42" s="5" t="s">
        <v>115</v>
      </c>
      <c r="B42" s="6" t="s">
        <v>116</v>
      </c>
      <c r="C42" s="6" t="s">
        <v>36</v>
      </c>
      <c r="D42" s="7" t="str">
        <f t="shared" si="0"/>
        <v>m</v>
      </c>
      <c r="E42" s="17" t="str">
        <f t="shared" si="1"/>
        <v>29</v>
      </c>
      <c r="F42" s="17">
        <f t="shared" si="2"/>
        <v>9</v>
      </c>
      <c r="G42" t="str">
        <f t="shared" si="3"/>
        <v>wrzesień</v>
      </c>
    </row>
    <row r="43" spans="1:7" x14ac:dyDescent="0.25">
      <c r="A43" s="8" t="s">
        <v>117</v>
      </c>
      <c r="B43" s="9" t="s">
        <v>118</v>
      </c>
      <c r="C43" s="9" t="s">
        <v>73</v>
      </c>
      <c r="D43" s="7" t="str">
        <f t="shared" si="0"/>
        <v>m</v>
      </c>
      <c r="E43" s="17" t="str">
        <f t="shared" si="1"/>
        <v>29</v>
      </c>
      <c r="F43" s="17">
        <f t="shared" si="2"/>
        <v>9</v>
      </c>
      <c r="G43" t="str">
        <f t="shared" si="3"/>
        <v>wrzesień</v>
      </c>
    </row>
    <row r="44" spans="1:7" x14ac:dyDescent="0.25">
      <c r="A44" s="5" t="s">
        <v>119</v>
      </c>
      <c r="B44" s="6" t="s">
        <v>120</v>
      </c>
      <c r="C44" s="6" t="s">
        <v>121</v>
      </c>
      <c r="D44" s="7" t="str">
        <f t="shared" si="0"/>
        <v>m</v>
      </c>
      <c r="E44" s="17" t="str">
        <f t="shared" si="1"/>
        <v>29</v>
      </c>
      <c r="F44" s="17">
        <f t="shared" si="2"/>
        <v>9</v>
      </c>
      <c r="G44" t="str">
        <f t="shared" si="3"/>
        <v>wrzesień</v>
      </c>
    </row>
    <row r="45" spans="1:7" x14ac:dyDescent="0.25">
      <c r="A45" s="8" t="s">
        <v>122</v>
      </c>
      <c r="B45" s="9" t="s">
        <v>123</v>
      </c>
      <c r="C45" s="9" t="s">
        <v>47</v>
      </c>
      <c r="D45" s="7" t="str">
        <f t="shared" si="0"/>
        <v>m</v>
      </c>
      <c r="E45" s="17" t="str">
        <f t="shared" si="1"/>
        <v>29</v>
      </c>
      <c r="F45" s="17">
        <f t="shared" si="2"/>
        <v>9</v>
      </c>
      <c r="G45" t="str">
        <f t="shared" si="3"/>
        <v>wrzesień</v>
      </c>
    </row>
    <row r="46" spans="1:7" x14ac:dyDescent="0.25">
      <c r="A46" s="5" t="s">
        <v>124</v>
      </c>
      <c r="B46" s="6" t="s">
        <v>125</v>
      </c>
      <c r="C46" s="6" t="s">
        <v>25</v>
      </c>
      <c r="D46" s="7" t="str">
        <f t="shared" si="0"/>
        <v>m</v>
      </c>
      <c r="E46" s="17" t="str">
        <f t="shared" si="1"/>
        <v>29</v>
      </c>
      <c r="F46" s="17">
        <f t="shared" si="2"/>
        <v>9</v>
      </c>
      <c r="G46" t="str">
        <f t="shared" si="3"/>
        <v>wrzesień</v>
      </c>
    </row>
    <row r="47" spans="1:7" x14ac:dyDescent="0.25">
      <c r="A47" s="8" t="s">
        <v>126</v>
      </c>
      <c r="B47" s="9" t="s">
        <v>127</v>
      </c>
      <c r="C47" s="9" t="s">
        <v>128</v>
      </c>
      <c r="D47" s="7" t="str">
        <f t="shared" si="0"/>
        <v>k</v>
      </c>
      <c r="E47" s="17" t="str">
        <f t="shared" si="1"/>
        <v>29</v>
      </c>
      <c r="F47" s="17">
        <f t="shared" si="2"/>
        <v>9</v>
      </c>
      <c r="G47" t="str">
        <f t="shared" si="3"/>
        <v>wrzesień</v>
      </c>
    </row>
    <row r="48" spans="1:7" x14ac:dyDescent="0.25">
      <c r="A48" s="5" t="s">
        <v>129</v>
      </c>
      <c r="B48" s="6" t="s">
        <v>130</v>
      </c>
      <c r="C48" s="6" t="s">
        <v>131</v>
      </c>
      <c r="D48" s="7" t="str">
        <f t="shared" si="0"/>
        <v>k</v>
      </c>
      <c r="E48" s="17" t="str">
        <f t="shared" si="1"/>
        <v>29</v>
      </c>
      <c r="F48" s="17">
        <f t="shared" si="2"/>
        <v>9</v>
      </c>
      <c r="G48" t="str">
        <f t="shared" si="3"/>
        <v>wrzesień</v>
      </c>
    </row>
    <row r="49" spans="1:7" x14ac:dyDescent="0.25">
      <c r="A49" s="8" t="s">
        <v>132</v>
      </c>
      <c r="B49" s="9" t="s">
        <v>133</v>
      </c>
      <c r="C49" s="9" t="s">
        <v>121</v>
      </c>
      <c r="D49" s="7" t="str">
        <f t="shared" si="0"/>
        <v>m</v>
      </c>
      <c r="E49" s="17" t="str">
        <f t="shared" si="1"/>
        <v>30</v>
      </c>
      <c r="F49" s="17">
        <f t="shared" si="2"/>
        <v>10</v>
      </c>
      <c r="G49" t="str">
        <f t="shared" si="3"/>
        <v>październik</v>
      </c>
    </row>
    <row r="50" spans="1:7" x14ac:dyDescent="0.25">
      <c r="A50" s="5" t="s">
        <v>134</v>
      </c>
      <c r="B50" s="6" t="s">
        <v>135</v>
      </c>
      <c r="C50" s="6" t="s">
        <v>8</v>
      </c>
      <c r="D50" s="7" t="str">
        <f t="shared" si="0"/>
        <v>m</v>
      </c>
      <c r="E50" s="17" t="str">
        <f t="shared" si="1"/>
        <v>30</v>
      </c>
      <c r="F50" s="17">
        <f t="shared" si="2"/>
        <v>10</v>
      </c>
      <c r="G50" t="str">
        <f t="shared" si="3"/>
        <v>październik</v>
      </c>
    </row>
    <row r="51" spans="1:7" x14ac:dyDescent="0.25">
      <c r="A51" s="8" t="s">
        <v>136</v>
      </c>
      <c r="B51" s="9" t="s">
        <v>77</v>
      </c>
      <c r="C51" s="9" t="s">
        <v>137</v>
      </c>
      <c r="D51" s="7" t="str">
        <f t="shared" si="0"/>
        <v>k</v>
      </c>
      <c r="E51" s="17" t="str">
        <f t="shared" si="1"/>
        <v>30</v>
      </c>
      <c r="F51" s="17">
        <f t="shared" si="2"/>
        <v>10</v>
      </c>
      <c r="G51" t="str">
        <f t="shared" si="3"/>
        <v>październik</v>
      </c>
    </row>
    <row r="52" spans="1:7" x14ac:dyDescent="0.25">
      <c r="A52" s="5" t="s">
        <v>138</v>
      </c>
      <c r="B52" s="6" t="s">
        <v>139</v>
      </c>
      <c r="C52" s="6" t="s">
        <v>56</v>
      </c>
      <c r="D52" s="7" t="str">
        <f t="shared" si="0"/>
        <v>k</v>
      </c>
      <c r="E52" s="17" t="str">
        <f t="shared" si="1"/>
        <v>30</v>
      </c>
      <c r="F52" s="17">
        <f t="shared" si="2"/>
        <v>10</v>
      </c>
      <c r="G52" t="str">
        <f t="shared" si="3"/>
        <v>październik</v>
      </c>
    </row>
    <row r="53" spans="1:7" x14ac:dyDescent="0.25">
      <c r="A53" s="8" t="s">
        <v>140</v>
      </c>
      <c r="B53" s="9" t="s">
        <v>141</v>
      </c>
      <c r="C53" s="9" t="s">
        <v>142</v>
      </c>
      <c r="D53" s="7" t="str">
        <f t="shared" si="0"/>
        <v>k</v>
      </c>
      <c r="E53" s="17" t="str">
        <f t="shared" si="1"/>
        <v>30</v>
      </c>
      <c r="F53" s="17">
        <f t="shared" si="2"/>
        <v>10</v>
      </c>
      <c r="G53" t="str">
        <f t="shared" si="3"/>
        <v>październik</v>
      </c>
    </row>
    <row r="54" spans="1:7" x14ac:dyDescent="0.25">
      <c r="A54" s="5" t="s">
        <v>143</v>
      </c>
      <c r="B54" s="6" t="s">
        <v>144</v>
      </c>
      <c r="C54" s="6" t="s">
        <v>86</v>
      </c>
      <c r="D54" s="7" t="str">
        <f t="shared" si="0"/>
        <v>k</v>
      </c>
      <c r="E54" s="17" t="str">
        <f t="shared" si="1"/>
        <v>30</v>
      </c>
      <c r="F54" s="17">
        <f t="shared" si="2"/>
        <v>10</v>
      </c>
      <c r="G54" t="str">
        <f t="shared" si="3"/>
        <v>październik</v>
      </c>
    </row>
    <row r="55" spans="1:7" x14ac:dyDescent="0.25">
      <c r="A55" s="8" t="s">
        <v>145</v>
      </c>
      <c r="B55" s="9" t="s">
        <v>146</v>
      </c>
      <c r="C55" s="9" t="s">
        <v>147</v>
      </c>
      <c r="D55" s="7" t="str">
        <f t="shared" si="0"/>
        <v>k</v>
      </c>
      <c r="E55" s="17" t="str">
        <f t="shared" si="1"/>
        <v>30</v>
      </c>
      <c r="F55" s="17">
        <f t="shared" si="2"/>
        <v>10</v>
      </c>
      <c r="G55" t="str">
        <f t="shared" si="3"/>
        <v>październik</v>
      </c>
    </row>
    <row r="56" spans="1:7" x14ac:dyDescent="0.25">
      <c r="A56" s="5" t="s">
        <v>148</v>
      </c>
      <c r="B56" s="6" t="s">
        <v>149</v>
      </c>
      <c r="C56" s="6" t="s">
        <v>64</v>
      </c>
      <c r="D56" s="7" t="str">
        <f t="shared" si="0"/>
        <v>m</v>
      </c>
      <c r="E56" s="17" t="str">
        <f t="shared" si="1"/>
        <v>30</v>
      </c>
      <c r="F56" s="17">
        <f t="shared" si="2"/>
        <v>10</v>
      </c>
      <c r="G56" t="str">
        <f t="shared" si="3"/>
        <v>październik</v>
      </c>
    </row>
    <row r="57" spans="1:7" x14ac:dyDescent="0.25">
      <c r="A57" s="8" t="s">
        <v>150</v>
      </c>
      <c r="B57" s="9" t="s">
        <v>151</v>
      </c>
      <c r="C57" s="9" t="s">
        <v>56</v>
      </c>
      <c r="D57" s="7" t="str">
        <f t="shared" si="0"/>
        <v>k</v>
      </c>
      <c r="E57" s="17" t="str">
        <f t="shared" si="1"/>
        <v>30</v>
      </c>
      <c r="F57" s="17">
        <f t="shared" si="2"/>
        <v>10</v>
      </c>
      <c r="G57" t="str">
        <f t="shared" si="3"/>
        <v>październik</v>
      </c>
    </row>
    <row r="58" spans="1:7" x14ac:dyDescent="0.25">
      <c r="A58" s="5" t="s">
        <v>152</v>
      </c>
      <c r="B58" s="6" t="s">
        <v>153</v>
      </c>
      <c r="C58" s="6" t="s">
        <v>111</v>
      </c>
      <c r="D58" s="7" t="str">
        <f t="shared" si="0"/>
        <v>k</v>
      </c>
      <c r="E58" s="17" t="str">
        <f t="shared" si="1"/>
        <v>31</v>
      </c>
      <c r="F58" s="17">
        <f t="shared" si="2"/>
        <v>11</v>
      </c>
      <c r="G58" t="str">
        <f t="shared" si="3"/>
        <v>listopad</v>
      </c>
    </row>
    <row r="59" spans="1:7" x14ac:dyDescent="0.25">
      <c r="A59" s="8" t="s">
        <v>154</v>
      </c>
      <c r="B59" s="9" t="s">
        <v>155</v>
      </c>
      <c r="C59" s="9" t="s">
        <v>156</v>
      </c>
      <c r="D59" s="7" t="str">
        <f t="shared" si="0"/>
        <v>m</v>
      </c>
      <c r="E59" s="17" t="str">
        <f t="shared" si="1"/>
        <v>31</v>
      </c>
      <c r="F59" s="17">
        <f t="shared" si="2"/>
        <v>11</v>
      </c>
      <c r="G59" t="str">
        <f t="shared" si="3"/>
        <v>listopad</v>
      </c>
    </row>
    <row r="60" spans="1:7" x14ac:dyDescent="0.25">
      <c r="A60" s="5" t="s">
        <v>157</v>
      </c>
      <c r="B60" s="6" t="s">
        <v>158</v>
      </c>
      <c r="C60" s="6" t="s">
        <v>47</v>
      </c>
      <c r="D60" s="7" t="str">
        <f t="shared" si="0"/>
        <v>m</v>
      </c>
      <c r="E60" s="17" t="str">
        <f t="shared" si="1"/>
        <v>31</v>
      </c>
      <c r="F60" s="17">
        <f t="shared" si="2"/>
        <v>11</v>
      </c>
      <c r="G60" t="str">
        <f t="shared" si="3"/>
        <v>listopad</v>
      </c>
    </row>
    <row r="61" spans="1:7" x14ac:dyDescent="0.25">
      <c r="A61" s="8" t="s">
        <v>159</v>
      </c>
      <c r="B61" s="9" t="s">
        <v>160</v>
      </c>
      <c r="C61" s="9" t="s">
        <v>161</v>
      </c>
      <c r="D61" s="7" t="str">
        <f t="shared" si="0"/>
        <v>k</v>
      </c>
      <c r="E61" s="17" t="str">
        <f t="shared" si="1"/>
        <v>31</v>
      </c>
      <c r="F61" s="17">
        <f t="shared" si="2"/>
        <v>11</v>
      </c>
      <c r="G61" t="str">
        <f t="shared" si="3"/>
        <v>listopad</v>
      </c>
    </row>
    <row r="62" spans="1:7" x14ac:dyDescent="0.25">
      <c r="A62" s="5" t="s">
        <v>162</v>
      </c>
      <c r="B62" s="6" t="s">
        <v>163</v>
      </c>
      <c r="C62" s="6" t="s">
        <v>39</v>
      </c>
      <c r="D62" s="7" t="str">
        <f t="shared" si="0"/>
        <v>m</v>
      </c>
      <c r="E62" s="17" t="str">
        <f t="shared" si="1"/>
        <v>31</v>
      </c>
      <c r="F62" s="17">
        <f t="shared" si="2"/>
        <v>11</v>
      </c>
      <c r="G62" t="str">
        <f t="shared" si="3"/>
        <v>listopad</v>
      </c>
    </row>
    <row r="63" spans="1:7" x14ac:dyDescent="0.25">
      <c r="A63" s="8" t="s">
        <v>164</v>
      </c>
      <c r="B63" s="9" t="s">
        <v>165</v>
      </c>
      <c r="C63" s="9" t="s">
        <v>166</v>
      </c>
      <c r="D63" s="7" t="str">
        <f t="shared" si="0"/>
        <v>m</v>
      </c>
      <c r="E63" s="17" t="str">
        <f t="shared" si="1"/>
        <v>31</v>
      </c>
      <c r="F63" s="17">
        <f t="shared" si="2"/>
        <v>11</v>
      </c>
      <c r="G63" t="str">
        <f t="shared" si="3"/>
        <v>listopad</v>
      </c>
    </row>
    <row r="64" spans="1:7" x14ac:dyDescent="0.25">
      <c r="A64" s="5" t="s">
        <v>167</v>
      </c>
      <c r="B64" s="6" t="s">
        <v>168</v>
      </c>
      <c r="C64" s="6" t="s">
        <v>169</v>
      </c>
      <c r="D64" s="7" t="str">
        <f t="shared" si="0"/>
        <v>m</v>
      </c>
      <c r="E64" s="17" t="str">
        <f t="shared" si="1"/>
        <v>31</v>
      </c>
      <c r="F64" s="17">
        <f t="shared" si="2"/>
        <v>11</v>
      </c>
      <c r="G64" t="str">
        <f t="shared" si="3"/>
        <v>listopad</v>
      </c>
    </row>
    <row r="65" spans="1:7" x14ac:dyDescent="0.25">
      <c r="A65" s="8" t="s">
        <v>170</v>
      </c>
      <c r="B65" s="9" t="s">
        <v>171</v>
      </c>
      <c r="C65" s="9" t="s">
        <v>172</v>
      </c>
      <c r="D65" s="7" t="str">
        <f t="shared" si="0"/>
        <v>k</v>
      </c>
      <c r="E65" s="17" t="str">
        <f t="shared" si="1"/>
        <v>31</v>
      </c>
      <c r="F65" s="17">
        <f t="shared" si="2"/>
        <v>11</v>
      </c>
      <c r="G65" t="str">
        <f t="shared" si="3"/>
        <v>listopad</v>
      </c>
    </row>
    <row r="66" spans="1:7" x14ac:dyDescent="0.25">
      <c r="A66" s="5" t="s">
        <v>173</v>
      </c>
      <c r="B66" s="6" t="s">
        <v>174</v>
      </c>
      <c r="C66" s="6" t="s">
        <v>25</v>
      </c>
      <c r="D66" s="7" t="str">
        <f t="shared" ref="D66:D129" si="4">IF(MOD(LEFT(RIGHT(A66,2),1),2)=0,"k","m")</f>
        <v>m</v>
      </c>
      <c r="E66" s="17" t="str">
        <f t="shared" si="1"/>
        <v>31</v>
      </c>
      <c r="F66" s="17">
        <f t="shared" si="2"/>
        <v>11</v>
      </c>
      <c r="G66" t="str">
        <f t="shared" si="3"/>
        <v>listopad</v>
      </c>
    </row>
    <row r="67" spans="1:7" x14ac:dyDescent="0.25">
      <c r="A67" s="8" t="s">
        <v>175</v>
      </c>
      <c r="B67" s="9" t="s">
        <v>176</v>
      </c>
      <c r="C67" s="9" t="s">
        <v>86</v>
      </c>
      <c r="D67" s="7" t="str">
        <f t="shared" si="4"/>
        <v>k</v>
      </c>
      <c r="E67" s="17" t="str">
        <f t="shared" ref="E67:E130" si="5">RIGHT(LEFT(A67,4),2)</f>
        <v>31</v>
      </c>
      <c r="F67" s="17">
        <f t="shared" ref="F67:F130" si="6">IF(E67&gt;12,E67-20,E67)</f>
        <v>11</v>
      </c>
      <c r="G67" t="str">
        <f t="shared" ref="G67:G130" si="7">VLOOKUP(F67,$I$2:$J$13,2)</f>
        <v>listopad</v>
      </c>
    </row>
    <row r="68" spans="1:7" x14ac:dyDescent="0.25">
      <c r="A68" s="5" t="s">
        <v>177</v>
      </c>
      <c r="B68" s="6" t="s">
        <v>178</v>
      </c>
      <c r="C68" s="6" t="s">
        <v>179</v>
      </c>
      <c r="D68" s="7" t="str">
        <f t="shared" si="4"/>
        <v>k</v>
      </c>
      <c r="E68" s="17" t="str">
        <f t="shared" si="5"/>
        <v>31</v>
      </c>
      <c r="F68" s="17">
        <f t="shared" si="6"/>
        <v>11</v>
      </c>
      <c r="G68" t="str">
        <f t="shared" si="7"/>
        <v>listopad</v>
      </c>
    </row>
    <row r="69" spans="1:7" x14ac:dyDescent="0.25">
      <c r="A69" s="8" t="s">
        <v>180</v>
      </c>
      <c r="B69" s="9" t="s">
        <v>181</v>
      </c>
      <c r="C69" s="9" t="s">
        <v>182</v>
      </c>
      <c r="D69" s="7" t="str">
        <f t="shared" si="4"/>
        <v>k</v>
      </c>
      <c r="E69" s="17" t="str">
        <f t="shared" si="5"/>
        <v>31</v>
      </c>
      <c r="F69" s="17">
        <f t="shared" si="6"/>
        <v>11</v>
      </c>
      <c r="G69" t="str">
        <f t="shared" si="7"/>
        <v>listopad</v>
      </c>
    </row>
    <row r="70" spans="1:7" x14ac:dyDescent="0.25">
      <c r="A70" s="5" t="s">
        <v>183</v>
      </c>
      <c r="B70" s="6" t="s">
        <v>184</v>
      </c>
      <c r="C70" s="6" t="s">
        <v>53</v>
      </c>
      <c r="D70" s="7" t="str">
        <f t="shared" si="4"/>
        <v>m</v>
      </c>
      <c r="E70" s="17" t="str">
        <f t="shared" si="5"/>
        <v>31</v>
      </c>
      <c r="F70" s="17">
        <f t="shared" si="6"/>
        <v>11</v>
      </c>
      <c r="G70" t="str">
        <f t="shared" si="7"/>
        <v>listopad</v>
      </c>
    </row>
    <row r="71" spans="1:7" x14ac:dyDescent="0.25">
      <c r="A71" s="8" t="s">
        <v>185</v>
      </c>
      <c r="B71" s="9" t="s">
        <v>186</v>
      </c>
      <c r="C71" s="9" t="s">
        <v>187</v>
      </c>
      <c r="D71" s="7" t="str">
        <f t="shared" si="4"/>
        <v>k</v>
      </c>
      <c r="E71" s="17" t="str">
        <f t="shared" si="5"/>
        <v>31</v>
      </c>
      <c r="F71" s="17">
        <f t="shared" si="6"/>
        <v>11</v>
      </c>
      <c r="G71" t="str">
        <f t="shared" si="7"/>
        <v>listopad</v>
      </c>
    </row>
    <row r="72" spans="1:7" x14ac:dyDescent="0.25">
      <c r="A72" s="5" t="s">
        <v>188</v>
      </c>
      <c r="B72" s="6" t="s">
        <v>189</v>
      </c>
      <c r="C72" s="6" t="s">
        <v>44</v>
      </c>
      <c r="D72" s="7" t="str">
        <f t="shared" si="4"/>
        <v>m</v>
      </c>
      <c r="E72" s="17" t="str">
        <f t="shared" si="5"/>
        <v>31</v>
      </c>
      <c r="F72" s="17">
        <f t="shared" si="6"/>
        <v>11</v>
      </c>
      <c r="G72" t="str">
        <f t="shared" si="7"/>
        <v>listopad</v>
      </c>
    </row>
    <row r="73" spans="1:7" x14ac:dyDescent="0.25">
      <c r="A73" s="8" t="s">
        <v>190</v>
      </c>
      <c r="B73" s="9" t="s">
        <v>191</v>
      </c>
      <c r="C73" s="9" t="s">
        <v>114</v>
      </c>
      <c r="D73" s="7" t="str">
        <f t="shared" si="4"/>
        <v>m</v>
      </c>
      <c r="E73" s="17" t="str">
        <f t="shared" si="5"/>
        <v>31</v>
      </c>
      <c r="F73" s="17">
        <f t="shared" si="6"/>
        <v>11</v>
      </c>
      <c r="G73" t="str">
        <f t="shared" si="7"/>
        <v>listopad</v>
      </c>
    </row>
    <row r="74" spans="1:7" x14ac:dyDescent="0.25">
      <c r="A74" s="5" t="s">
        <v>192</v>
      </c>
      <c r="B74" s="6" t="s">
        <v>193</v>
      </c>
      <c r="C74" s="6" t="s">
        <v>194</v>
      </c>
      <c r="D74" s="7" t="str">
        <f t="shared" si="4"/>
        <v>k</v>
      </c>
      <c r="E74" s="17" t="str">
        <f t="shared" si="5"/>
        <v>31</v>
      </c>
      <c r="F74" s="17">
        <f t="shared" si="6"/>
        <v>11</v>
      </c>
      <c r="G74" t="str">
        <f t="shared" si="7"/>
        <v>listopad</v>
      </c>
    </row>
    <row r="75" spans="1:7" x14ac:dyDescent="0.25">
      <c r="A75" s="8" t="s">
        <v>195</v>
      </c>
      <c r="B75" s="9" t="s">
        <v>196</v>
      </c>
      <c r="C75" s="9" t="s">
        <v>20</v>
      </c>
      <c r="D75" s="7" t="str">
        <f t="shared" si="4"/>
        <v>m</v>
      </c>
      <c r="E75" s="17" t="str">
        <f t="shared" si="5"/>
        <v>32</v>
      </c>
      <c r="F75" s="17">
        <f t="shared" si="6"/>
        <v>12</v>
      </c>
      <c r="G75" t="str">
        <f t="shared" si="7"/>
        <v>grudzień</v>
      </c>
    </row>
    <row r="76" spans="1:7" x14ac:dyDescent="0.25">
      <c r="A76" s="5" t="s">
        <v>197</v>
      </c>
      <c r="B76" s="6" t="s">
        <v>198</v>
      </c>
      <c r="C76" s="6" t="s">
        <v>199</v>
      </c>
      <c r="D76" s="7" t="str">
        <f t="shared" si="4"/>
        <v>k</v>
      </c>
      <c r="E76" s="17" t="str">
        <f t="shared" si="5"/>
        <v>32</v>
      </c>
      <c r="F76" s="17">
        <f t="shared" si="6"/>
        <v>12</v>
      </c>
      <c r="G76" t="str">
        <f t="shared" si="7"/>
        <v>grudzień</v>
      </c>
    </row>
    <row r="77" spans="1:7" x14ac:dyDescent="0.25">
      <c r="A77" s="8" t="s">
        <v>200</v>
      </c>
      <c r="B77" s="9" t="s">
        <v>201</v>
      </c>
      <c r="C77" s="9" t="s">
        <v>202</v>
      </c>
      <c r="D77" s="7" t="str">
        <f t="shared" si="4"/>
        <v>m</v>
      </c>
      <c r="E77" s="17" t="str">
        <f t="shared" si="5"/>
        <v>32</v>
      </c>
      <c r="F77" s="17">
        <f t="shared" si="6"/>
        <v>12</v>
      </c>
      <c r="G77" t="str">
        <f t="shared" si="7"/>
        <v>grudzień</v>
      </c>
    </row>
    <row r="78" spans="1:7" x14ac:dyDescent="0.25">
      <c r="A78" s="5" t="s">
        <v>203</v>
      </c>
      <c r="B78" s="6" t="s">
        <v>204</v>
      </c>
      <c r="C78" s="6" t="s">
        <v>205</v>
      </c>
      <c r="D78" s="7" t="str">
        <f t="shared" si="4"/>
        <v>m</v>
      </c>
      <c r="E78" s="17" t="str">
        <f t="shared" si="5"/>
        <v>32</v>
      </c>
      <c r="F78" s="17">
        <f t="shared" si="6"/>
        <v>12</v>
      </c>
      <c r="G78" t="str">
        <f t="shared" si="7"/>
        <v>grudzień</v>
      </c>
    </row>
    <row r="79" spans="1:7" x14ac:dyDescent="0.25">
      <c r="A79" s="8" t="s">
        <v>206</v>
      </c>
      <c r="B79" s="9" t="s">
        <v>207</v>
      </c>
      <c r="C79" s="9" t="s">
        <v>208</v>
      </c>
      <c r="D79" s="7" t="str">
        <f t="shared" si="4"/>
        <v>m</v>
      </c>
      <c r="E79" s="17" t="str">
        <f t="shared" si="5"/>
        <v>32</v>
      </c>
      <c r="F79" s="17">
        <f t="shared" si="6"/>
        <v>12</v>
      </c>
      <c r="G79" t="str">
        <f t="shared" si="7"/>
        <v>grudzień</v>
      </c>
    </row>
    <row r="80" spans="1:7" x14ac:dyDescent="0.25">
      <c r="A80" s="5" t="s">
        <v>209</v>
      </c>
      <c r="B80" s="6" t="s">
        <v>210</v>
      </c>
      <c r="C80" s="6" t="s">
        <v>211</v>
      </c>
      <c r="D80" s="7" t="str">
        <f t="shared" si="4"/>
        <v>k</v>
      </c>
      <c r="E80" s="17" t="str">
        <f t="shared" si="5"/>
        <v>32</v>
      </c>
      <c r="F80" s="17">
        <f t="shared" si="6"/>
        <v>12</v>
      </c>
      <c r="G80" t="str">
        <f t="shared" si="7"/>
        <v>grudzień</v>
      </c>
    </row>
    <row r="81" spans="1:7" x14ac:dyDescent="0.25">
      <c r="A81" s="8" t="s">
        <v>212</v>
      </c>
      <c r="B81" s="9" t="s">
        <v>213</v>
      </c>
      <c r="C81" s="9" t="s">
        <v>214</v>
      </c>
      <c r="D81" s="7" t="str">
        <f t="shared" si="4"/>
        <v>k</v>
      </c>
      <c r="E81" s="17" t="str">
        <f t="shared" si="5"/>
        <v>32</v>
      </c>
      <c r="F81" s="17">
        <f t="shared" si="6"/>
        <v>12</v>
      </c>
      <c r="G81" t="str">
        <f t="shared" si="7"/>
        <v>grudzień</v>
      </c>
    </row>
    <row r="82" spans="1:7" x14ac:dyDescent="0.25">
      <c r="A82" s="5" t="s">
        <v>215</v>
      </c>
      <c r="B82" s="6" t="s">
        <v>216</v>
      </c>
      <c r="C82" s="6" t="s">
        <v>121</v>
      </c>
      <c r="D82" s="7" t="str">
        <f t="shared" si="4"/>
        <v>m</v>
      </c>
      <c r="E82" s="17" t="str">
        <f t="shared" si="5"/>
        <v>32</v>
      </c>
      <c r="F82" s="17">
        <f t="shared" si="6"/>
        <v>12</v>
      </c>
      <c r="G82" t="str">
        <f t="shared" si="7"/>
        <v>grudzień</v>
      </c>
    </row>
    <row r="83" spans="1:7" x14ac:dyDescent="0.25">
      <c r="A83" s="8" t="s">
        <v>217</v>
      </c>
      <c r="B83" s="9" t="s">
        <v>218</v>
      </c>
      <c r="C83" s="9" t="s">
        <v>219</v>
      </c>
      <c r="D83" s="7" t="str">
        <f t="shared" si="4"/>
        <v>m</v>
      </c>
      <c r="E83" s="17" t="str">
        <f t="shared" si="5"/>
        <v>32</v>
      </c>
      <c r="F83" s="17">
        <f t="shared" si="6"/>
        <v>12</v>
      </c>
      <c r="G83" t="str">
        <f t="shared" si="7"/>
        <v>grudzień</v>
      </c>
    </row>
    <row r="84" spans="1:7" x14ac:dyDescent="0.25">
      <c r="A84" s="5" t="s">
        <v>220</v>
      </c>
      <c r="B84" s="6" t="s">
        <v>80</v>
      </c>
      <c r="C84" s="6" t="s">
        <v>17</v>
      </c>
      <c r="D84" s="7" t="str">
        <f t="shared" si="4"/>
        <v>m</v>
      </c>
      <c r="E84" s="17" t="str">
        <f t="shared" si="5"/>
        <v>32</v>
      </c>
      <c r="F84" s="17">
        <f t="shared" si="6"/>
        <v>12</v>
      </c>
      <c r="G84" t="str">
        <f t="shared" si="7"/>
        <v>grudzień</v>
      </c>
    </row>
    <row r="85" spans="1:7" x14ac:dyDescent="0.25">
      <c r="A85" s="8" t="s">
        <v>221</v>
      </c>
      <c r="B85" s="9" t="s">
        <v>222</v>
      </c>
      <c r="C85" s="9" t="s">
        <v>223</v>
      </c>
      <c r="D85" s="7" t="str">
        <f t="shared" si="4"/>
        <v>m</v>
      </c>
      <c r="E85" s="17" t="str">
        <f t="shared" si="5"/>
        <v>32</v>
      </c>
      <c r="F85" s="17">
        <f t="shared" si="6"/>
        <v>12</v>
      </c>
      <c r="G85" t="str">
        <f t="shared" si="7"/>
        <v>grudzień</v>
      </c>
    </row>
    <row r="86" spans="1:7" x14ac:dyDescent="0.25">
      <c r="A86" s="5" t="s">
        <v>224</v>
      </c>
      <c r="B86" s="6" t="s">
        <v>225</v>
      </c>
      <c r="C86" s="6" t="s">
        <v>226</v>
      </c>
      <c r="D86" s="7" t="str">
        <f t="shared" si="4"/>
        <v>k</v>
      </c>
      <c r="E86" s="17" t="str">
        <f t="shared" si="5"/>
        <v>32</v>
      </c>
      <c r="F86" s="17">
        <f t="shared" si="6"/>
        <v>12</v>
      </c>
      <c r="G86" t="str">
        <f t="shared" si="7"/>
        <v>grudzień</v>
      </c>
    </row>
    <row r="87" spans="1:7" x14ac:dyDescent="0.25">
      <c r="A87" s="8" t="s">
        <v>227</v>
      </c>
      <c r="B87" s="9" t="s">
        <v>228</v>
      </c>
      <c r="C87" s="9" t="s">
        <v>14</v>
      </c>
      <c r="D87" s="7" t="str">
        <f t="shared" si="4"/>
        <v>m</v>
      </c>
      <c r="E87" s="17" t="str">
        <f t="shared" si="5"/>
        <v>32</v>
      </c>
      <c r="F87" s="17">
        <f t="shared" si="6"/>
        <v>12</v>
      </c>
      <c r="G87" t="str">
        <f t="shared" si="7"/>
        <v>grudzień</v>
      </c>
    </row>
    <row r="88" spans="1:7" x14ac:dyDescent="0.25">
      <c r="A88" s="5" t="s">
        <v>229</v>
      </c>
      <c r="B88" s="6" t="s">
        <v>123</v>
      </c>
      <c r="C88" s="6" t="s">
        <v>230</v>
      </c>
      <c r="D88" s="7" t="str">
        <f t="shared" si="4"/>
        <v>m</v>
      </c>
      <c r="E88" s="17" t="str">
        <f t="shared" si="5"/>
        <v>32</v>
      </c>
      <c r="F88" s="17">
        <f t="shared" si="6"/>
        <v>12</v>
      </c>
      <c r="G88" t="str">
        <f t="shared" si="7"/>
        <v>grudzień</v>
      </c>
    </row>
    <row r="89" spans="1:7" x14ac:dyDescent="0.25">
      <c r="A89" s="8" t="s">
        <v>231</v>
      </c>
      <c r="B89" s="9" t="s">
        <v>232</v>
      </c>
      <c r="C89" s="9" t="s">
        <v>233</v>
      </c>
      <c r="D89" s="7" t="str">
        <f t="shared" si="4"/>
        <v>k</v>
      </c>
      <c r="E89" s="17" t="str">
        <f t="shared" si="5"/>
        <v>32</v>
      </c>
      <c r="F89" s="17">
        <f t="shared" si="6"/>
        <v>12</v>
      </c>
      <c r="G89" t="str">
        <f t="shared" si="7"/>
        <v>grudzień</v>
      </c>
    </row>
    <row r="90" spans="1:7" x14ac:dyDescent="0.25">
      <c r="A90" s="5" t="s">
        <v>234</v>
      </c>
      <c r="B90" s="6" t="s">
        <v>235</v>
      </c>
      <c r="C90" s="6" t="s">
        <v>5</v>
      </c>
      <c r="D90" s="7" t="str">
        <f t="shared" si="4"/>
        <v>m</v>
      </c>
      <c r="E90" s="17" t="str">
        <f t="shared" si="5"/>
        <v>32</v>
      </c>
      <c r="F90" s="17">
        <f t="shared" si="6"/>
        <v>12</v>
      </c>
      <c r="G90" t="str">
        <f t="shared" si="7"/>
        <v>grudzień</v>
      </c>
    </row>
    <row r="91" spans="1:7" x14ac:dyDescent="0.25">
      <c r="A91" s="8" t="s">
        <v>236</v>
      </c>
      <c r="B91" s="9" t="s">
        <v>237</v>
      </c>
      <c r="C91" s="9" t="s">
        <v>238</v>
      </c>
      <c r="D91" s="7" t="str">
        <f t="shared" si="4"/>
        <v>m</v>
      </c>
      <c r="E91" s="17" t="str">
        <f t="shared" si="5"/>
        <v>32</v>
      </c>
      <c r="F91" s="17">
        <f t="shared" si="6"/>
        <v>12</v>
      </c>
      <c r="G91" t="str">
        <f t="shared" si="7"/>
        <v>grudzień</v>
      </c>
    </row>
    <row r="92" spans="1:7" x14ac:dyDescent="0.25">
      <c r="A92" s="5" t="s">
        <v>239</v>
      </c>
      <c r="B92" s="6" t="s">
        <v>240</v>
      </c>
      <c r="C92" s="6" t="s">
        <v>241</v>
      </c>
      <c r="D92" s="7" t="str">
        <f t="shared" si="4"/>
        <v>k</v>
      </c>
      <c r="E92" s="17" t="str">
        <f t="shared" si="5"/>
        <v>32</v>
      </c>
      <c r="F92" s="17">
        <f t="shared" si="6"/>
        <v>12</v>
      </c>
      <c r="G92" t="str">
        <f t="shared" si="7"/>
        <v>grudzień</v>
      </c>
    </row>
    <row r="93" spans="1:7" x14ac:dyDescent="0.25">
      <c r="A93" s="8" t="s">
        <v>242</v>
      </c>
      <c r="B93" s="9" t="s">
        <v>243</v>
      </c>
      <c r="C93" s="9" t="s">
        <v>233</v>
      </c>
      <c r="D93" s="7" t="str">
        <f t="shared" si="4"/>
        <v>k</v>
      </c>
      <c r="E93" s="17" t="str">
        <f t="shared" si="5"/>
        <v>32</v>
      </c>
      <c r="F93" s="17">
        <f t="shared" si="6"/>
        <v>12</v>
      </c>
      <c r="G93" t="str">
        <f t="shared" si="7"/>
        <v>grudzień</v>
      </c>
    </row>
    <row r="94" spans="1:7" x14ac:dyDescent="0.25">
      <c r="A94" s="5" t="s">
        <v>244</v>
      </c>
      <c r="B94" s="6" t="s">
        <v>245</v>
      </c>
      <c r="C94" s="6" t="s">
        <v>246</v>
      </c>
      <c r="D94" s="7" t="str">
        <f t="shared" si="4"/>
        <v>m</v>
      </c>
      <c r="E94" s="17" t="str">
        <f t="shared" si="5"/>
        <v>32</v>
      </c>
      <c r="F94" s="17">
        <f t="shared" si="6"/>
        <v>12</v>
      </c>
      <c r="G94" t="str">
        <f t="shared" si="7"/>
        <v>grudzień</v>
      </c>
    </row>
    <row r="95" spans="1:7" x14ac:dyDescent="0.25">
      <c r="A95" s="8" t="s">
        <v>247</v>
      </c>
      <c r="B95" s="9" t="s">
        <v>248</v>
      </c>
      <c r="C95" s="9" t="s">
        <v>249</v>
      </c>
      <c r="D95" s="7" t="str">
        <f t="shared" si="4"/>
        <v>k</v>
      </c>
      <c r="E95" s="17" t="str">
        <f t="shared" si="5"/>
        <v>32</v>
      </c>
      <c r="F95" s="17">
        <f t="shared" si="6"/>
        <v>12</v>
      </c>
      <c r="G95" t="str">
        <f t="shared" si="7"/>
        <v>grudzień</v>
      </c>
    </row>
    <row r="96" spans="1:7" x14ac:dyDescent="0.25">
      <c r="A96" s="5" t="s">
        <v>250</v>
      </c>
      <c r="B96" s="6" t="s">
        <v>251</v>
      </c>
      <c r="C96" s="6" t="s">
        <v>252</v>
      </c>
      <c r="D96" s="7" t="str">
        <f t="shared" si="4"/>
        <v>m</v>
      </c>
      <c r="E96" s="17" t="str">
        <f t="shared" si="5"/>
        <v>21</v>
      </c>
      <c r="F96" s="17">
        <f t="shared" si="6"/>
        <v>1</v>
      </c>
      <c r="G96" t="str">
        <f t="shared" si="7"/>
        <v>styczeń</v>
      </c>
    </row>
    <row r="97" spans="1:7" x14ac:dyDescent="0.25">
      <c r="A97" s="8" t="s">
        <v>253</v>
      </c>
      <c r="B97" s="9" t="s">
        <v>254</v>
      </c>
      <c r="C97" s="9" t="s">
        <v>5</v>
      </c>
      <c r="D97" s="7" t="str">
        <f t="shared" si="4"/>
        <v>m</v>
      </c>
      <c r="E97" s="17" t="str">
        <f t="shared" si="5"/>
        <v>21</v>
      </c>
      <c r="F97" s="17">
        <f t="shared" si="6"/>
        <v>1</v>
      </c>
      <c r="G97" t="str">
        <f t="shared" si="7"/>
        <v>styczeń</v>
      </c>
    </row>
    <row r="98" spans="1:7" x14ac:dyDescent="0.25">
      <c r="A98" s="5" t="s">
        <v>255</v>
      </c>
      <c r="B98" s="6" t="s">
        <v>256</v>
      </c>
      <c r="C98" s="6" t="s">
        <v>257</v>
      </c>
      <c r="D98" s="7" t="str">
        <f t="shared" si="4"/>
        <v>m</v>
      </c>
      <c r="E98" s="17" t="str">
        <f t="shared" si="5"/>
        <v>21</v>
      </c>
      <c r="F98" s="17">
        <f t="shared" si="6"/>
        <v>1</v>
      </c>
      <c r="G98" t="str">
        <f t="shared" si="7"/>
        <v>styczeń</v>
      </c>
    </row>
    <row r="99" spans="1:7" x14ac:dyDescent="0.25">
      <c r="A99" s="8" t="s">
        <v>258</v>
      </c>
      <c r="B99" s="9" t="s">
        <v>259</v>
      </c>
      <c r="C99" s="9" t="s">
        <v>260</v>
      </c>
      <c r="D99" s="7" t="str">
        <f t="shared" si="4"/>
        <v>m</v>
      </c>
      <c r="E99" s="17" t="str">
        <f t="shared" si="5"/>
        <v>21</v>
      </c>
      <c r="F99" s="17">
        <f t="shared" si="6"/>
        <v>1</v>
      </c>
      <c r="G99" t="str">
        <f t="shared" si="7"/>
        <v>styczeń</v>
      </c>
    </row>
    <row r="100" spans="1:7" x14ac:dyDescent="0.25">
      <c r="A100" s="5" t="s">
        <v>261</v>
      </c>
      <c r="B100" s="6" t="s">
        <v>262</v>
      </c>
      <c r="C100" s="6" t="s">
        <v>263</v>
      </c>
      <c r="D100" s="7" t="str">
        <f t="shared" si="4"/>
        <v>k</v>
      </c>
      <c r="E100" s="17" t="str">
        <f t="shared" si="5"/>
        <v>21</v>
      </c>
      <c r="F100" s="17">
        <f t="shared" si="6"/>
        <v>1</v>
      </c>
      <c r="G100" t="str">
        <f t="shared" si="7"/>
        <v>styczeń</v>
      </c>
    </row>
    <row r="101" spans="1:7" x14ac:dyDescent="0.25">
      <c r="A101" s="8" t="s">
        <v>264</v>
      </c>
      <c r="B101" s="9" t="s">
        <v>265</v>
      </c>
      <c r="C101" s="9" t="s">
        <v>266</v>
      </c>
      <c r="D101" s="7" t="str">
        <f t="shared" si="4"/>
        <v>k</v>
      </c>
      <c r="E101" s="17" t="str">
        <f t="shared" si="5"/>
        <v>21</v>
      </c>
      <c r="F101" s="17">
        <f t="shared" si="6"/>
        <v>1</v>
      </c>
      <c r="G101" t="str">
        <f t="shared" si="7"/>
        <v>styczeń</v>
      </c>
    </row>
    <row r="102" spans="1:7" x14ac:dyDescent="0.25">
      <c r="A102" s="5" t="s">
        <v>267</v>
      </c>
      <c r="B102" s="6" t="s">
        <v>268</v>
      </c>
      <c r="C102" s="6" t="s">
        <v>269</v>
      </c>
      <c r="D102" s="7" t="str">
        <f t="shared" si="4"/>
        <v>m</v>
      </c>
      <c r="E102" s="17" t="str">
        <f t="shared" si="5"/>
        <v>21</v>
      </c>
      <c r="F102" s="17">
        <f t="shared" si="6"/>
        <v>1</v>
      </c>
      <c r="G102" t="str">
        <f t="shared" si="7"/>
        <v>styczeń</v>
      </c>
    </row>
    <row r="103" spans="1:7" x14ac:dyDescent="0.25">
      <c r="A103" s="8" t="s">
        <v>270</v>
      </c>
      <c r="B103" s="9" t="s">
        <v>271</v>
      </c>
      <c r="C103" s="9" t="s">
        <v>272</v>
      </c>
      <c r="D103" s="7" t="str">
        <f t="shared" si="4"/>
        <v>k</v>
      </c>
      <c r="E103" s="17" t="str">
        <f t="shared" si="5"/>
        <v>21</v>
      </c>
      <c r="F103" s="17">
        <f t="shared" si="6"/>
        <v>1</v>
      </c>
      <c r="G103" t="str">
        <f t="shared" si="7"/>
        <v>styczeń</v>
      </c>
    </row>
    <row r="104" spans="1:7" x14ac:dyDescent="0.25">
      <c r="A104" s="5" t="s">
        <v>273</v>
      </c>
      <c r="B104" s="6" t="s">
        <v>274</v>
      </c>
      <c r="C104" s="6" t="s">
        <v>275</v>
      </c>
      <c r="D104" s="7" t="str">
        <f t="shared" si="4"/>
        <v>k</v>
      </c>
      <c r="E104" s="17" t="str">
        <f t="shared" si="5"/>
        <v>21</v>
      </c>
      <c r="F104" s="17">
        <f t="shared" si="6"/>
        <v>1</v>
      </c>
      <c r="G104" t="str">
        <f t="shared" si="7"/>
        <v>styczeń</v>
      </c>
    </row>
    <row r="105" spans="1:7" x14ac:dyDescent="0.25">
      <c r="A105" s="8" t="s">
        <v>276</v>
      </c>
      <c r="B105" s="9" t="s">
        <v>277</v>
      </c>
      <c r="C105" s="9" t="s">
        <v>278</v>
      </c>
      <c r="D105" s="7" t="str">
        <f t="shared" si="4"/>
        <v>m</v>
      </c>
      <c r="E105" s="17" t="str">
        <f t="shared" si="5"/>
        <v>21</v>
      </c>
      <c r="F105" s="17">
        <f t="shared" si="6"/>
        <v>1</v>
      </c>
      <c r="G105" t="str">
        <f t="shared" si="7"/>
        <v>styczeń</v>
      </c>
    </row>
    <row r="106" spans="1:7" x14ac:dyDescent="0.25">
      <c r="A106" s="5" t="s">
        <v>279</v>
      </c>
      <c r="B106" s="6" t="s">
        <v>280</v>
      </c>
      <c r="C106" s="6" t="s">
        <v>281</v>
      </c>
      <c r="D106" s="7" t="str">
        <f t="shared" si="4"/>
        <v>m</v>
      </c>
      <c r="E106" s="17" t="str">
        <f t="shared" si="5"/>
        <v>21</v>
      </c>
      <c r="F106" s="17">
        <f t="shared" si="6"/>
        <v>1</v>
      </c>
      <c r="G106" t="str">
        <f t="shared" si="7"/>
        <v>styczeń</v>
      </c>
    </row>
    <row r="107" spans="1:7" x14ac:dyDescent="0.25">
      <c r="A107" s="8" t="s">
        <v>282</v>
      </c>
      <c r="B107" s="9" t="s">
        <v>283</v>
      </c>
      <c r="C107" s="9" t="s">
        <v>284</v>
      </c>
      <c r="D107" s="7" t="str">
        <f t="shared" si="4"/>
        <v>k</v>
      </c>
      <c r="E107" s="17" t="str">
        <f t="shared" si="5"/>
        <v>21</v>
      </c>
      <c r="F107" s="17">
        <f t="shared" si="6"/>
        <v>1</v>
      </c>
      <c r="G107" t="str">
        <f t="shared" si="7"/>
        <v>styczeń</v>
      </c>
    </row>
    <row r="108" spans="1:7" x14ac:dyDescent="0.25">
      <c r="A108" s="5" t="s">
        <v>285</v>
      </c>
      <c r="B108" s="6" t="s">
        <v>286</v>
      </c>
      <c r="C108" s="6" t="s">
        <v>287</v>
      </c>
      <c r="D108" s="7" t="str">
        <f t="shared" si="4"/>
        <v>m</v>
      </c>
      <c r="E108" s="17" t="str">
        <f t="shared" si="5"/>
        <v>21</v>
      </c>
      <c r="F108" s="17">
        <f t="shared" si="6"/>
        <v>1</v>
      </c>
      <c r="G108" t="str">
        <f t="shared" si="7"/>
        <v>styczeń</v>
      </c>
    </row>
    <row r="109" spans="1:7" x14ac:dyDescent="0.25">
      <c r="A109" s="8" t="s">
        <v>288</v>
      </c>
      <c r="B109" s="9" t="s">
        <v>289</v>
      </c>
      <c r="C109" s="9" t="s">
        <v>17</v>
      </c>
      <c r="D109" s="7" t="str">
        <f t="shared" si="4"/>
        <v>m</v>
      </c>
      <c r="E109" s="17" t="str">
        <f t="shared" si="5"/>
        <v>21</v>
      </c>
      <c r="F109" s="17">
        <f t="shared" si="6"/>
        <v>1</v>
      </c>
      <c r="G109" t="str">
        <f t="shared" si="7"/>
        <v>styczeń</v>
      </c>
    </row>
    <row r="110" spans="1:7" x14ac:dyDescent="0.25">
      <c r="A110" s="5" t="s">
        <v>290</v>
      </c>
      <c r="B110" s="6" t="s">
        <v>291</v>
      </c>
      <c r="C110" s="6" t="s">
        <v>292</v>
      </c>
      <c r="D110" s="7" t="str">
        <f t="shared" si="4"/>
        <v>m</v>
      </c>
      <c r="E110" s="17" t="str">
        <f t="shared" si="5"/>
        <v>21</v>
      </c>
      <c r="F110" s="17">
        <f t="shared" si="6"/>
        <v>1</v>
      </c>
      <c r="G110" t="str">
        <f t="shared" si="7"/>
        <v>styczeń</v>
      </c>
    </row>
    <row r="111" spans="1:7" x14ac:dyDescent="0.25">
      <c r="A111" s="8" t="s">
        <v>293</v>
      </c>
      <c r="B111" s="9" t="s">
        <v>294</v>
      </c>
      <c r="C111" s="9" t="s">
        <v>295</v>
      </c>
      <c r="D111" s="7" t="str">
        <f t="shared" si="4"/>
        <v>k</v>
      </c>
      <c r="E111" s="17" t="str">
        <f t="shared" si="5"/>
        <v>21</v>
      </c>
      <c r="F111" s="17">
        <f t="shared" si="6"/>
        <v>1</v>
      </c>
      <c r="G111" t="str">
        <f t="shared" si="7"/>
        <v>styczeń</v>
      </c>
    </row>
    <row r="112" spans="1:7" x14ac:dyDescent="0.25">
      <c r="A112" s="5" t="s">
        <v>296</v>
      </c>
      <c r="B112" s="6" t="s">
        <v>297</v>
      </c>
      <c r="C112" s="6" t="s">
        <v>298</v>
      </c>
      <c r="D112" s="7" t="str">
        <f t="shared" si="4"/>
        <v>k</v>
      </c>
      <c r="E112" s="17" t="str">
        <f t="shared" si="5"/>
        <v>21</v>
      </c>
      <c r="F112" s="17">
        <f t="shared" si="6"/>
        <v>1</v>
      </c>
      <c r="G112" t="str">
        <f t="shared" si="7"/>
        <v>styczeń</v>
      </c>
    </row>
    <row r="113" spans="1:7" x14ac:dyDescent="0.25">
      <c r="A113" s="8" t="s">
        <v>299</v>
      </c>
      <c r="B113" s="9" t="s">
        <v>300</v>
      </c>
      <c r="C113" s="9" t="s">
        <v>64</v>
      </c>
      <c r="D113" s="7" t="str">
        <f t="shared" si="4"/>
        <v>m</v>
      </c>
      <c r="E113" s="17" t="str">
        <f t="shared" si="5"/>
        <v>21</v>
      </c>
      <c r="F113" s="17">
        <f t="shared" si="6"/>
        <v>1</v>
      </c>
      <c r="G113" t="str">
        <f t="shared" si="7"/>
        <v>styczeń</v>
      </c>
    </row>
    <row r="114" spans="1:7" x14ac:dyDescent="0.25">
      <c r="A114" s="5" t="s">
        <v>301</v>
      </c>
      <c r="B114" s="6" t="s">
        <v>302</v>
      </c>
      <c r="C114" s="6" t="s">
        <v>78</v>
      </c>
      <c r="D114" s="7" t="str">
        <f t="shared" si="4"/>
        <v>k</v>
      </c>
      <c r="E114" s="17" t="str">
        <f t="shared" si="5"/>
        <v>21</v>
      </c>
      <c r="F114" s="17">
        <f t="shared" si="6"/>
        <v>1</v>
      </c>
      <c r="G114" t="str">
        <f t="shared" si="7"/>
        <v>styczeń</v>
      </c>
    </row>
    <row r="115" spans="1:7" x14ac:dyDescent="0.25">
      <c r="A115" s="8" t="s">
        <v>303</v>
      </c>
      <c r="B115" s="9" t="s">
        <v>304</v>
      </c>
      <c r="C115" s="9" t="s">
        <v>208</v>
      </c>
      <c r="D115" s="7" t="str">
        <f t="shared" si="4"/>
        <v>m</v>
      </c>
      <c r="E115" s="17" t="str">
        <f t="shared" si="5"/>
        <v>21</v>
      </c>
      <c r="F115" s="17">
        <f t="shared" si="6"/>
        <v>1</v>
      </c>
      <c r="G115" t="str">
        <f t="shared" si="7"/>
        <v>styczeń</v>
      </c>
    </row>
    <row r="116" spans="1:7" x14ac:dyDescent="0.25">
      <c r="A116" s="5" t="s">
        <v>305</v>
      </c>
      <c r="B116" s="6" t="s">
        <v>306</v>
      </c>
      <c r="C116" s="6" t="s">
        <v>92</v>
      </c>
      <c r="D116" s="7" t="str">
        <f t="shared" si="4"/>
        <v>m</v>
      </c>
      <c r="E116" s="17" t="str">
        <f t="shared" si="5"/>
        <v>21</v>
      </c>
      <c r="F116" s="17">
        <f t="shared" si="6"/>
        <v>1</v>
      </c>
      <c r="G116" t="str">
        <f t="shared" si="7"/>
        <v>styczeń</v>
      </c>
    </row>
    <row r="117" spans="1:7" x14ac:dyDescent="0.25">
      <c r="A117" s="8" t="s">
        <v>307</v>
      </c>
      <c r="B117" s="9" t="s">
        <v>308</v>
      </c>
      <c r="C117" s="9" t="s">
        <v>309</v>
      </c>
      <c r="D117" s="7" t="str">
        <f t="shared" si="4"/>
        <v>k</v>
      </c>
      <c r="E117" s="17" t="str">
        <f t="shared" si="5"/>
        <v>21</v>
      </c>
      <c r="F117" s="17">
        <f t="shared" si="6"/>
        <v>1</v>
      </c>
      <c r="G117" t="str">
        <f t="shared" si="7"/>
        <v>styczeń</v>
      </c>
    </row>
    <row r="118" spans="1:7" x14ac:dyDescent="0.25">
      <c r="A118" s="5" t="s">
        <v>310</v>
      </c>
      <c r="B118" s="6" t="s">
        <v>311</v>
      </c>
      <c r="C118" s="6" t="s">
        <v>64</v>
      </c>
      <c r="D118" s="7" t="str">
        <f t="shared" si="4"/>
        <v>m</v>
      </c>
      <c r="E118" s="17" t="str">
        <f t="shared" si="5"/>
        <v>21</v>
      </c>
      <c r="F118" s="17">
        <f t="shared" si="6"/>
        <v>1</v>
      </c>
      <c r="G118" t="str">
        <f t="shared" si="7"/>
        <v>styczeń</v>
      </c>
    </row>
    <row r="119" spans="1:7" x14ac:dyDescent="0.25">
      <c r="A119" s="8" t="s">
        <v>312</v>
      </c>
      <c r="B119" s="9" t="s">
        <v>313</v>
      </c>
      <c r="C119" s="9" t="s">
        <v>121</v>
      </c>
      <c r="D119" s="7" t="str">
        <f t="shared" si="4"/>
        <v>m</v>
      </c>
      <c r="E119" s="17" t="str">
        <f t="shared" si="5"/>
        <v>21</v>
      </c>
      <c r="F119" s="17">
        <f t="shared" si="6"/>
        <v>1</v>
      </c>
      <c r="G119" t="str">
        <f t="shared" si="7"/>
        <v>styczeń</v>
      </c>
    </row>
    <row r="120" spans="1:7" x14ac:dyDescent="0.25">
      <c r="A120" s="5" t="s">
        <v>314</v>
      </c>
      <c r="B120" s="6" t="s">
        <v>315</v>
      </c>
      <c r="C120" s="6" t="s">
        <v>64</v>
      </c>
      <c r="D120" s="7" t="str">
        <f t="shared" si="4"/>
        <v>m</v>
      </c>
      <c r="E120" s="17" t="str">
        <f t="shared" si="5"/>
        <v>21</v>
      </c>
      <c r="F120" s="17">
        <f t="shared" si="6"/>
        <v>1</v>
      </c>
      <c r="G120" t="str">
        <f t="shared" si="7"/>
        <v>styczeń</v>
      </c>
    </row>
    <row r="121" spans="1:7" x14ac:dyDescent="0.25">
      <c r="A121" s="8" t="s">
        <v>316</v>
      </c>
      <c r="B121" s="9" t="s">
        <v>317</v>
      </c>
      <c r="C121" s="9" t="s">
        <v>318</v>
      </c>
      <c r="D121" s="7" t="str">
        <f t="shared" si="4"/>
        <v>k</v>
      </c>
      <c r="E121" s="17" t="str">
        <f t="shared" si="5"/>
        <v>21</v>
      </c>
      <c r="F121" s="17">
        <f t="shared" si="6"/>
        <v>1</v>
      </c>
      <c r="G121" t="str">
        <f t="shared" si="7"/>
        <v>styczeń</v>
      </c>
    </row>
    <row r="122" spans="1:7" x14ac:dyDescent="0.25">
      <c r="A122" s="5" t="s">
        <v>319</v>
      </c>
      <c r="B122" s="6" t="s">
        <v>320</v>
      </c>
      <c r="C122" s="6" t="s">
        <v>260</v>
      </c>
      <c r="D122" s="7" t="str">
        <f t="shared" si="4"/>
        <v>m</v>
      </c>
      <c r="E122" s="17" t="str">
        <f t="shared" si="5"/>
        <v>21</v>
      </c>
      <c r="F122" s="17">
        <f t="shared" si="6"/>
        <v>1</v>
      </c>
      <c r="G122" t="str">
        <f t="shared" si="7"/>
        <v>styczeń</v>
      </c>
    </row>
    <row r="123" spans="1:7" x14ac:dyDescent="0.25">
      <c r="A123" s="8" t="s">
        <v>321</v>
      </c>
      <c r="B123" s="9" t="s">
        <v>322</v>
      </c>
      <c r="C123" s="9" t="s">
        <v>323</v>
      </c>
      <c r="D123" s="7" t="str">
        <f t="shared" si="4"/>
        <v>k</v>
      </c>
      <c r="E123" s="17" t="str">
        <f t="shared" si="5"/>
        <v>21</v>
      </c>
      <c r="F123" s="17">
        <f t="shared" si="6"/>
        <v>1</v>
      </c>
      <c r="G123" t="str">
        <f t="shared" si="7"/>
        <v>styczeń</v>
      </c>
    </row>
    <row r="124" spans="1:7" x14ac:dyDescent="0.25">
      <c r="A124" s="5" t="s">
        <v>324</v>
      </c>
      <c r="B124" s="6" t="s">
        <v>325</v>
      </c>
      <c r="C124" s="6" t="s">
        <v>131</v>
      </c>
      <c r="D124" s="7" t="str">
        <f t="shared" si="4"/>
        <v>k</v>
      </c>
      <c r="E124" s="17" t="str">
        <f t="shared" si="5"/>
        <v>21</v>
      </c>
      <c r="F124" s="17">
        <f t="shared" si="6"/>
        <v>1</v>
      </c>
      <c r="G124" t="str">
        <f t="shared" si="7"/>
        <v>styczeń</v>
      </c>
    </row>
    <row r="125" spans="1:7" x14ac:dyDescent="0.25">
      <c r="A125" s="8" t="s">
        <v>326</v>
      </c>
      <c r="B125" s="9" t="s">
        <v>327</v>
      </c>
      <c r="C125" s="9" t="s">
        <v>179</v>
      </c>
      <c r="D125" s="7" t="str">
        <f t="shared" si="4"/>
        <v>k</v>
      </c>
      <c r="E125" s="17" t="str">
        <f t="shared" si="5"/>
        <v>21</v>
      </c>
      <c r="F125" s="17">
        <f t="shared" si="6"/>
        <v>1</v>
      </c>
      <c r="G125" t="str">
        <f t="shared" si="7"/>
        <v>styczeń</v>
      </c>
    </row>
    <row r="126" spans="1:7" x14ac:dyDescent="0.25">
      <c r="A126" s="5" t="s">
        <v>328</v>
      </c>
      <c r="B126" s="6" t="s">
        <v>329</v>
      </c>
      <c r="C126" s="6" t="s">
        <v>330</v>
      </c>
      <c r="D126" s="7" t="str">
        <f t="shared" si="4"/>
        <v>k</v>
      </c>
      <c r="E126" s="17" t="str">
        <f t="shared" si="5"/>
        <v>21</v>
      </c>
      <c r="F126" s="17">
        <f t="shared" si="6"/>
        <v>1</v>
      </c>
      <c r="G126" t="str">
        <f t="shared" si="7"/>
        <v>styczeń</v>
      </c>
    </row>
    <row r="127" spans="1:7" x14ac:dyDescent="0.25">
      <c r="A127" s="8" t="s">
        <v>331</v>
      </c>
      <c r="B127" s="9" t="s">
        <v>332</v>
      </c>
      <c r="C127" s="9" t="s">
        <v>202</v>
      </c>
      <c r="D127" s="7" t="str">
        <f t="shared" si="4"/>
        <v>m</v>
      </c>
      <c r="E127" s="17" t="str">
        <f t="shared" si="5"/>
        <v>21</v>
      </c>
      <c r="F127" s="17">
        <f t="shared" si="6"/>
        <v>1</v>
      </c>
      <c r="G127" t="str">
        <f t="shared" si="7"/>
        <v>styczeń</v>
      </c>
    </row>
    <row r="128" spans="1:7" x14ac:dyDescent="0.25">
      <c r="A128" s="5" t="s">
        <v>333</v>
      </c>
      <c r="B128" s="6" t="s">
        <v>334</v>
      </c>
      <c r="C128" s="6" t="s">
        <v>335</v>
      </c>
      <c r="D128" s="7" t="str">
        <f t="shared" si="4"/>
        <v>k</v>
      </c>
      <c r="E128" s="17" t="str">
        <f t="shared" si="5"/>
        <v>21</v>
      </c>
      <c r="F128" s="17">
        <f t="shared" si="6"/>
        <v>1</v>
      </c>
      <c r="G128" t="str">
        <f t="shared" si="7"/>
        <v>styczeń</v>
      </c>
    </row>
    <row r="129" spans="1:7" x14ac:dyDescent="0.25">
      <c r="A129" s="8" t="s">
        <v>336</v>
      </c>
      <c r="B129" s="9" t="s">
        <v>337</v>
      </c>
      <c r="C129" s="9" t="s">
        <v>17</v>
      </c>
      <c r="D129" s="7" t="str">
        <f t="shared" si="4"/>
        <v>m</v>
      </c>
      <c r="E129" s="17" t="str">
        <f t="shared" si="5"/>
        <v>21</v>
      </c>
      <c r="F129" s="17">
        <f t="shared" si="6"/>
        <v>1</v>
      </c>
      <c r="G129" t="str">
        <f t="shared" si="7"/>
        <v>styczeń</v>
      </c>
    </row>
    <row r="130" spans="1:7" x14ac:dyDescent="0.25">
      <c r="A130" s="5" t="s">
        <v>338</v>
      </c>
      <c r="B130" s="6" t="s">
        <v>339</v>
      </c>
      <c r="C130" s="6" t="s">
        <v>340</v>
      </c>
      <c r="D130" s="7" t="str">
        <f t="shared" ref="D130:D193" si="8">IF(MOD(LEFT(RIGHT(A130,2),1),2)=0,"k","m")</f>
        <v>k</v>
      </c>
      <c r="E130" s="17" t="str">
        <f t="shared" si="5"/>
        <v>21</v>
      </c>
      <c r="F130" s="17">
        <f t="shared" si="6"/>
        <v>1</v>
      </c>
      <c r="G130" t="str">
        <f t="shared" si="7"/>
        <v>styczeń</v>
      </c>
    </row>
    <row r="131" spans="1:7" x14ac:dyDescent="0.25">
      <c r="A131" s="8" t="s">
        <v>341</v>
      </c>
      <c r="B131" s="9" t="s">
        <v>342</v>
      </c>
      <c r="C131" s="9" t="s">
        <v>108</v>
      </c>
      <c r="D131" s="7" t="str">
        <f t="shared" si="8"/>
        <v>m</v>
      </c>
      <c r="E131" s="17" t="str">
        <f t="shared" ref="E131:E194" si="9">RIGHT(LEFT(A131,4),2)</f>
        <v>21</v>
      </c>
      <c r="F131" s="17">
        <f t="shared" ref="F131:F194" si="10">IF(E131&gt;12,E131-20,E131)</f>
        <v>1</v>
      </c>
      <c r="G131" t="str">
        <f t="shared" ref="G131:G194" si="11">VLOOKUP(F131,$I$2:$J$13,2)</f>
        <v>styczeń</v>
      </c>
    </row>
    <row r="132" spans="1:7" x14ac:dyDescent="0.25">
      <c r="A132" s="5" t="s">
        <v>343</v>
      </c>
      <c r="B132" s="6" t="s">
        <v>344</v>
      </c>
      <c r="C132" s="6" t="s">
        <v>345</v>
      </c>
      <c r="D132" s="7" t="str">
        <f t="shared" si="8"/>
        <v>k</v>
      </c>
      <c r="E132" s="17" t="str">
        <f t="shared" si="9"/>
        <v>21</v>
      </c>
      <c r="F132" s="17">
        <f t="shared" si="10"/>
        <v>1</v>
      </c>
      <c r="G132" t="str">
        <f t="shared" si="11"/>
        <v>styczeń</v>
      </c>
    </row>
    <row r="133" spans="1:7" x14ac:dyDescent="0.25">
      <c r="A133" s="8" t="s">
        <v>346</v>
      </c>
      <c r="B133" s="9" t="s">
        <v>347</v>
      </c>
      <c r="C133" s="9" t="s">
        <v>348</v>
      </c>
      <c r="D133" s="7" t="str">
        <f t="shared" si="8"/>
        <v>k</v>
      </c>
      <c r="E133" s="17" t="str">
        <f t="shared" si="9"/>
        <v>21</v>
      </c>
      <c r="F133" s="17">
        <f t="shared" si="10"/>
        <v>1</v>
      </c>
      <c r="G133" t="str">
        <f t="shared" si="11"/>
        <v>styczeń</v>
      </c>
    </row>
    <row r="134" spans="1:7" x14ac:dyDescent="0.25">
      <c r="A134" s="5" t="s">
        <v>349</v>
      </c>
      <c r="B134" s="6" t="s">
        <v>350</v>
      </c>
      <c r="C134" s="6" t="s">
        <v>351</v>
      </c>
      <c r="D134" s="7" t="str">
        <f t="shared" si="8"/>
        <v>k</v>
      </c>
      <c r="E134" s="17" t="str">
        <f t="shared" si="9"/>
        <v>21</v>
      </c>
      <c r="F134" s="17">
        <f t="shared" si="10"/>
        <v>1</v>
      </c>
      <c r="G134" t="str">
        <f t="shared" si="11"/>
        <v>styczeń</v>
      </c>
    </row>
    <row r="135" spans="1:7" x14ac:dyDescent="0.25">
      <c r="A135" s="8" t="s">
        <v>352</v>
      </c>
      <c r="B135" s="9" t="s">
        <v>353</v>
      </c>
      <c r="C135" s="9" t="s">
        <v>89</v>
      </c>
      <c r="D135" s="7" t="str">
        <f t="shared" si="8"/>
        <v>k</v>
      </c>
      <c r="E135" s="17" t="str">
        <f t="shared" si="9"/>
        <v>21</v>
      </c>
      <c r="F135" s="17">
        <f t="shared" si="10"/>
        <v>1</v>
      </c>
      <c r="G135" t="str">
        <f t="shared" si="11"/>
        <v>styczeń</v>
      </c>
    </row>
    <row r="136" spans="1:7" x14ac:dyDescent="0.25">
      <c r="A136" s="5" t="s">
        <v>354</v>
      </c>
      <c r="B136" s="6" t="s">
        <v>355</v>
      </c>
      <c r="C136" s="6" t="s">
        <v>356</v>
      </c>
      <c r="D136" s="7" t="str">
        <f t="shared" si="8"/>
        <v>m</v>
      </c>
      <c r="E136" s="17" t="str">
        <f t="shared" si="9"/>
        <v>21</v>
      </c>
      <c r="F136" s="17">
        <f t="shared" si="10"/>
        <v>1</v>
      </c>
      <c r="G136" t="str">
        <f t="shared" si="11"/>
        <v>styczeń</v>
      </c>
    </row>
    <row r="137" spans="1:7" x14ac:dyDescent="0.25">
      <c r="A137" s="8" t="s">
        <v>357</v>
      </c>
      <c r="B137" s="9" t="s">
        <v>358</v>
      </c>
      <c r="C137" s="9" t="s">
        <v>359</v>
      </c>
      <c r="D137" s="7" t="str">
        <f t="shared" si="8"/>
        <v>k</v>
      </c>
      <c r="E137" s="17" t="str">
        <f t="shared" si="9"/>
        <v>21</v>
      </c>
      <c r="F137" s="17">
        <f t="shared" si="10"/>
        <v>1</v>
      </c>
      <c r="G137" t="str">
        <f t="shared" si="11"/>
        <v>styczeń</v>
      </c>
    </row>
    <row r="138" spans="1:7" x14ac:dyDescent="0.25">
      <c r="A138" s="5" t="s">
        <v>360</v>
      </c>
      <c r="B138" s="6" t="s">
        <v>361</v>
      </c>
      <c r="C138" s="6" t="s">
        <v>345</v>
      </c>
      <c r="D138" s="7" t="str">
        <f t="shared" si="8"/>
        <v>k</v>
      </c>
      <c r="E138" s="17" t="str">
        <f t="shared" si="9"/>
        <v>21</v>
      </c>
      <c r="F138" s="17">
        <f t="shared" si="10"/>
        <v>1</v>
      </c>
      <c r="G138" t="str">
        <f t="shared" si="11"/>
        <v>styczeń</v>
      </c>
    </row>
    <row r="139" spans="1:7" x14ac:dyDescent="0.25">
      <c r="A139" s="8" t="s">
        <v>362</v>
      </c>
      <c r="B139" s="9" t="s">
        <v>363</v>
      </c>
      <c r="C139" s="9" t="s">
        <v>194</v>
      </c>
      <c r="D139" s="7" t="str">
        <f t="shared" si="8"/>
        <v>k</v>
      </c>
      <c r="E139" s="17" t="str">
        <f t="shared" si="9"/>
        <v>21</v>
      </c>
      <c r="F139" s="17">
        <f t="shared" si="10"/>
        <v>1</v>
      </c>
      <c r="G139" t="str">
        <f t="shared" si="11"/>
        <v>styczeń</v>
      </c>
    </row>
    <row r="140" spans="1:7" x14ac:dyDescent="0.25">
      <c r="A140" s="5" t="s">
        <v>364</v>
      </c>
      <c r="B140" s="6" t="s">
        <v>365</v>
      </c>
      <c r="C140" s="6" t="s">
        <v>309</v>
      </c>
      <c r="D140" s="7" t="str">
        <f t="shared" si="8"/>
        <v>k</v>
      </c>
      <c r="E140" s="17" t="str">
        <f t="shared" si="9"/>
        <v>21</v>
      </c>
      <c r="F140" s="17">
        <f t="shared" si="10"/>
        <v>1</v>
      </c>
      <c r="G140" t="str">
        <f t="shared" si="11"/>
        <v>styczeń</v>
      </c>
    </row>
    <row r="141" spans="1:7" x14ac:dyDescent="0.25">
      <c r="A141" s="8" t="s">
        <v>366</v>
      </c>
      <c r="B141" s="9" t="s">
        <v>367</v>
      </c>
      <c r="C141" s="9" t="s">
        <v>108</v>
      </c>
      <c r="D141" s="7" t="str">
        <f t="shared" si="8"/>
        <v>m</v>
      </c>
      <c r="E141" s="17" t="str">
        <f t="shared" si="9"/>
        <v>21</v>
      </c>
      <c r="F141" s="17">
        <f t="shared" si="10"/>
        <v>1</v>
      </c>
      <c r="G141" t="str">
        <f t="shared" si="11"/>
        <v>styczeń</v>
      </c>
    </row>
    <row r="142" spans="1:7" x14ac:dyDescent="0.25">
      <c r="A142" s="5" t="s">
        <v>368</v>
      </c>
      <c r="B142" s="6" t="s">
        <v>369</v>
      </c>
      <c r="C142" s="6" t="s">
        <v>187</v>
      </c>
      <c r="D142" s="7" t="str">
        <f t="shared" si="8"/>
        <v>k</v>
      </c>
      <c r="E142" s="17" t="str">
        <f t="shared" si="9"/>
        <v>21</v>
      </c>
      <c r="F142" s="17">
        <f t="shared" si="10"/>
        <v>1</v>
      </c>
      <c r="G142" t="str">
        <f t="shared" si="11"/>
        <v>styczeń</v>
      </c>
    </row>
    <row r="143" spans="1:7" x14ac:dyDescent="0.25">
      <c r="A143" s="8" t="s">
        <v>370</v>
      </c>
      <c r="B143" s="9" t="s">
        <v>369</v>
      </c>
      <c r="C143" s="9" t="s">
        <v>371</v>
      </c>
      <c r="D143" s="7" t="str">
        <f t="shared" si="8"/>
        <v>k</v>
      </c>
      <c r="E143" s="17" t="str">
        <f t="shared" si="9"/>
        <v>21</v>
      </c>
      <c r="F143" s="17">
        <f t="shared" si="10"/>
        <v>1</v>
      </c>
      <c r="G143" t="str">
        <f t="shared" si="11"/>
        <v>styczeń</v>
      </c>
    </row>
    <row r="144" spans="1:7" x14ac:dyDescent="0.25">
      <c r="A144" s="5" t="s">
        <v>372</v>
      </c>
      <c r="B144" s="6" t="s">
        <v>373</v>
      </c>
      <c r="C144" s="6" t="s">
        <v>166</v>
      </c>
      <c r="D144" s="7" t="str">
        <f t="shared" si="8"/>
        <v>m</v>
      </c>
      <c r="E144" s="17" t="str">
        <f t="shared" si="9"/>
        <v>21</v>
      </c>
      <c r="F144" s="17">
        <f t="shared" si="10"/>
        <v>1</v>
      </c>
      <c r="G144" t="str">
        <f t="shared" si="11"/>
        <v>styczeń</v>
      </c>
    </row>
    <row r="145" spans="1:7" x14ac:dyDescent="0.25">
      <c r="A145" s="8" t="s">
        <v>374</v>
      </c>
      <c r="B145" s="9" t="s">
        <v>375</v>
      </c>
      <c r="C145" s="9" t="s">
        <v>376</v>
      </c>
      <c r="D145" s="7" t="str">
        <f t="shared" si="8"/>
        <v>m</v>
      </c>
      <c r="E145" s="17" t="str">
        <f t="shared" si="9"/>
        <v>21</v>
      </c>
      <c r="F145" s="17">
        <f t="shared" si="10"/>
        <v>1</v>
      </c>
      <c r="G145" t="str">
        <f t="shared" si="11"/>
        <v>styczeń</v>
      </c>
    </row>
    <row r="146" spans="1:7" x14ac:dyDescent="0.25">
      <c r="A146" s="5" t="s">
        <v>377</v>
      </c>
      <c r="B146" s="6" t="s">
        <v>378</v>
      </c>
      <c r="C146" s="6" t="s">
        <v>379</v>
      </c>
      <c r="D146" s="7" t="str">
        <f t="shared" si="8"/>
        <v>m</v>
      </c>
      <c r="E146" s="17" t="str">
        <f t="shared" si="9"/>
        <v>21</v>
      </c>
      <c r="F146" s="17">
        <f t="shared" si="10"/>
        <v>1</v>
      </c>
      <c r="G146" t="str">
        <f t="shared" si="11"/>
        <v>styczeń</v>
      </c>
    </row>
    <row r="147" spans="1:7" x14ac:dyDescent="0.25">
      <c r="A147" s="8" t="s">
        <v>380</v>
      </c>
      <c r="B147" s="9" t="s">
        <v>381</v>
      </c>
      <c r="C147" s="9" t="s">
        <v>382</v>
      </c>
      <c r="D147" s="7" t="str">
        <f t="shared" si="8"/>
        <v>k</v>
      </c>
      <c r="E147" s="17" t="str">
        <f t="shared" si="9"/>
        <v>21</v>
      </c>
      <c r="F147" s="17">
        <f t="shared" si="10"/>
        <v>1</v>
      </c>
      <c r="G147" t="str">
        <f t="shared" si="11"/>
        <v>styczeń</v>
      </c>
    </row>
    <row r="148" spans="1:7" x14ac:dyDescent="0.25">
      <c r="A148" s="5" t="s">
        <v>383</v>
      </c>
      <c r="B148" s="6" t="s">
        <v>384</v>
      </c>
      <c r="C148" s="6" t="s">
        <v>67</v>
      </c>
      <c r="D148" s="7" t="str">
        <f t="shared" si="8"/>
        <v>k</v>
      </c>
      <c r="E148" s="17" t="str">
        <f t="shared" si="9"/>
        <v>21</v>
      </c>
      <c r="F148" s="17">
        <f t="shared" si="10"/>
        <v>1</v>
      </c>
      <c r="G148" t="str">
        <f t="shared" si="11"/>
        <v>styczeń</v>
      </c>
    </row>
    <row r="149" spans="1:7" x14ac:dyDescent="0.25">
      <c r="A149" s="8" t="s">
        <v>385</v>
      </c>
      <c r="B149" s="9" t="s">
        <v>386</v>
      </c>
      <c r="C149" s="9" t="s">
        <v>214</v>
      </c>
      <c r="D149" s="7" t="str">
        <f t="shared" si="8"/>
        <v>k</v>
      </c>
      <c r="E149" s="17" t="str">
        <f t="shared" si="9"/>
        <v>21</v>
      </c>
      <c r="F149" s="17">
        <f t="shared" si="10"/>
        <v>1</v>
      </c>
      <c r="G149" t="str">
        <f t="shared" si="11"/>
        <v>styczeń</v>
      </c>
    </row>
    <row r="150" spans="1:7" x14ac:dyDescent="0.25">
      <c r="A150" s="5" t="s">
        <v>387</v>
      </c>
      <c r="B150" s="6" t="s">
        <v>388</v>
      </c>
      <c r="C150" s="6" t="s">
        <v>241</v>
      </c>
      <c r="D150" s="7" t="str">
        <f t="shared" si="8"/>
        <v>k</v>
      </c>
      <c r="E150" s="17" t="str">
        <f t="shared" si="9"/>
        <v>21</v>
      </c>
      <c r="F150" s="17">
        <f t="shared" si="10"/>
        <v>1</v>
      </c>
      <c r="G150" t="str">
        <f t="shared" si="11"/>
        <v>styczeń</v>
      </c>
    </row>
    <row r="151" spans="1:7" x14ac:dyDescent="0.25">
      <c r="A151" s="8" t="s">
        <v>389</v>
      </c>
      <c r="B151" s="9" t="s">
        <v>390</v>
      </c>
      <c r="C151" s="9" t="s">
        <v>351</v>
      </c>
      <c r="D151" s="7" t="str">
        <f t="shared" si="8"/>
        <v>k</v>
      </c>
      <c r="E151" s="17" t="str">
        <f t="shared" si="9"/>
        <v>21</v>
      </c>
      <c r="F151" s="17">
        <f t="shared" si="10"/>
        <v>1</v>
      </c>
      <c r="G151" t="str">
        <f t="shared" si="11"/>
        <v>styczeń</v>
      </c>
    </row>
    <row r="152" spans="1:7" x14ac:dyDescent="0.25">
      <c r="A152" s="5" t="s">
        <v>391</v>
      </c>
      <c r="B152" s="6" t="s">
        <v>392</v>
      </c>
      <c r="C152" s="6" t="s">
        <v>393</v>
      </c>
      <c r="D152" s="7" t="str">
        <f t="shared" si="8"/>
        <v>k</v>
      </c>
      <c r="E152" s="17" t="str">
        <f t="shared" si="9"/>
        <v>21</v>
      </c>
      <c r="F152" s="17">
        <f t="shared" si="10"/>
        <v>1</v>
      </c>
      <c r="G152" t="str">
        <f t="shared" si="11"/>
        <v>styczeń</v>
      </c>
    </row>
    <row r="153" spans="1:7" x14ac:dyDescent="0.25">
      <c r="A153" s="8" t="s">
        <v>394</v>
      </c>
      <c r="B153" s="9" t="s">
        <v>392</v>
      </c>
      <c r="C153" s="9" t="s">
        <v>395</v>
      </c>
      <c r="D153" s="7" t="str">
        <f t="shared" si="8"/>
        <v>k</v>
      </c>
      <c r="E153" s="17" t="str">
        <f t="shared" si="9"/>
        <v>21</v>
      </c>
      <c r="F153" s="17">
        <f t="shared" si="10"/>
        <v>1</v>
      </c>
      <c r="G153" t="str">
        <f t="shared" si="11"/>
        <v>styczeń</v>
      </c>
    </row>
    <row r="154" spans="1:7" x14ac:dyDescent="0.25">
      <c r="A154" s="5" t="s">
        <v>396</v>
      </c>
      <c r="B154" s="6" t="s">
        <v>397</v>
      </c>
      <c r="C154" s="6" t="s">
        <v>393</v>
      </c>
      <c r="D154" s="7" t="str">
        <f t="shared" si="8"/>
        <v>k</v>
      </c>
      <c r="E154" s="17" t="str">
        <f t="shared" si="9"/>
        <v>21</v>
      </c>
      <c r="F154" s="17">
        <f t="shared" si="10"/>
        <v>1</v>
      </c>
      <c r="G154" t="str">
        <f t="shared" si="11"/>
        <v>styczeń</v>
      </c>
    </row>
    <row r="155" spans="1:7" x14ac:dyDescent="0.25">
      <c r="A155" s="8" t="s">
        <v>398</v>
      </c>
      <c r="B155" s="9" t="s">
        <v>399</v>
      </c>
      <c r="C155" s="9" t="s">
        <v>400</v>
      </c>
      <c r="D155" s="7" t="str">
        <f t="shared" si="8"/>
        <v>k</v>
      </c>
      <c r="E155" s="17" t="str">
        <f t="shared" si="9"/>
        <v>22</v>
      </c>
      <c r="F155" s="17">
        <f t="shared" si="10"/>
        <v>2</v>
      </c>
      <c r="G155" t="str">
        <f t="shared" si="11"/>
        <v>luty</v>
      </c>
    </row>
    <row r="156" spans="1:7" x14ac:dyDescent="0.25">
      <c r="A156" s="5" t="s">
        <v>401</v>
      </c>
      <c r="B156" s="6" t="s">
        <v>402</v>
      </c>
      <c r="C156" s="6" t="s">
        <v>340</v>
      </c>
      <c r="D156" s="7" t="str">
        <f t="shared" si="8"/>
        <v>k</v>
      </c>
      <c r="E156" s="17" t="str">
        <f t="shared" si="9"/>
        <v>22</v>
      </c>
      <c r="F156" s="17">
        <f t="shared" si="10"/>
        <v>2</v>
      </c>
      <c r="G156" t="str">
        <f t="shared" si="11"/>
        <v>luty</v>
      </c>
    </row>
    <row r="157" spans="1:7" x14ac:dyDescent="0.25">
      <c r="A157" s="8" t="s">
        <v>403</v>
      </c>
      <c r="B157" s="9" t="s">
        <v>243</v>
      </c>
      <c r="C157" s="9" t="s">
        <v>404</v>
      </c>
      <c r="D157" s="7" t="str">
        <f t="shared" si="8"/>
        <v>k</v>
      </c>
      <c r="E157" s="17" t="str">
        <f t="shared" si="9"/>
        <v>22</v>
      </c>
      <c r="F157" s="17">
        <f t="shared" si="10"/>
        <v>2</v>
      </c>
      <c r="G157" t="str">
        <f t="shared" si="11"/>
        <v>luty</v>
      </c>
    </row>
    <row r="158" spans="1:7" x14ac:dyDescent="0.25">
      <c r="A158" s="5" t="s">
        <v>405</v>
      </c>
      <c r="B158" s="6" t="s">
        <v>406</v>
      </c>
      <c r="C158" s="6" t="s">
        <v>78</v>
      </c>
      <c r="D158" s="7" t="str">
        <f t="shared" si="8"/>
        <v>k</v>
      </c>
      <c r="E158" s="17" t="str">
        <f t="shared" si="9"/>
        <v>22</v>
      </c>
      <c r="F158" s="17">
        <f t="shared" si="10"/>
        <v>2</v>
      </c>
      <c r="G158" t="str">
        <f t="shared" si="11"/>
        <v>luty</v>
      </c>
    </row>
    <row r="159" spans="1:7" x14ac:dyDescent="0.25">
      <c r="A159" s="8" t="s">
        <v>407</v>
      </c>
      <c r="B159" s="9" t="s">
        <v>408</v>
      </c>
      <c r="C159" s="9" t="s">
        <v>409</v>
      </c>
      <c r="D159" s="7" t="str">
        <f t="shared" si="8"/>
        <v>k</v>
      </c>
      <c r="E159" s="17" t="str">
        <f t="shared" si="9"/>
        <v>22</v>
      </c>
      <c r="F159" s="17">
        <f t="shared" si="10"/>
        <v>2</v>
      </c>
      <c r="G159" t="str">
        <f t="shared" si="11"/>
        <v>luty</v>
      </c>
    </row>
    <row r="160" spans="1:7" x14ac:dyDescent="0.25">
      <c r="A160" s="5" t="s">
        <v>410</v>
      </c>
      <c r="B160" s="6" t="s">
        <v>353</v>
      </c>
      <c r="C160" s="6" t="s">
        <v>371</v>
      </c>
      <c r="D160" s="7" t="str">
        <f t="shared" si="8"/>
        <v>k</v>
      </c>
      <c r="E160" s="17" t="str">
        <f t="shared" si="9"/>
        <v>22</v>
      </c>
      <c r="F160" s="17">
        <f t="shared" si="10"/>
        <v>2</v>
      </c>
      <c r="G160" t="str">
        <f t="shared" si="11"/>
        <v>luty</v>
      </c>
    </row>
    <row r="161" spans="1:7" x14ac:dyDescent="0.25">
      <c r="A161" s="8" t="s">
        <v>411</v>
      </c>
      <c r="B161" s="9" t="s">
        <v>412</v>
      </c>
      <c r="C161" s="9" t="s">
        <v>413</v>
      </c>
      <c r="D161" s="7" t="str">
        <f t="shared" si="8"/>
        <v>k</v>
      </c>
      <c r="E161" s="17" t="str">
        <f t="shared" si="9"/>
        <v>22</v>
      </c>
      <c r="F161" s="17">
        <f t="shared" si="10"/>
        <v>2</v>
      </c>
      <c r="G161" t="str">
        <f t="shared" si="11"/>
        <v>luty</v>
      </c>
    </row>
    <row r="162" spans="1:7" x14ac:dyDescent="0.25">
      <c r="A162" s="5" t="s">
        <v>414</v>
      </c>
      <c r="B162" s="6" t="s">
        <v>415</v>
      </c>
      <c r="C162" s="6" t="s">
        <v>416</v>
      </c>
      <c r="D162" s="7" t="str">
        <f t="shared" si="8"/>
        <v>k</v>
      </c>
      <c r="E162" s="17" t="str">
        <f t="shared" si="9"/>
        <v>22</v>
      </c>
      <c r="F162" s="17">
        <f t="shared" si="10"/>
        <v>2</v>
      </c>
      <c r="G162" t="str">
        <f t="shared" si="11"/>
        <v>luty</v>
      </c>
    </row>
    <row r="163" spans="1:7" x14ac:dyDescent="0.25">
      <c r="A163" s="8" t="s">
        <v>417</v>
      </c>
      <c r="B163" s="9" t="s">
        <v>418</v>
      </c>
      <c r="C163" s="9" t="s">
        <v>419</v>
      </c>
      <c r="D163" s="7" t="str">
        <f t="shared" si="8"/>
        <v>k</v>
      </c>
      <c r="E163" s="17" t="str">
        <f t="shared" si="9"/>
        <v>22</v>
      </c>
      <c r="F163" s="17">
        <f t="shared" si="10"/>
        <v>2</v>
      </c>
      <c r="G163" t="str">
        <f t="shared" si="11"/>
        <v>luty</v>
      </c>
    </row>
    <row r="164" spans="1:7" x14ac:dyDescent="0.25">
      <c r="A164" s="5" t="s">
        <v>420</v>
      </c>
      <c r="B164" s="6" t="s">
        <v>421</v>
      </c>
      <c r="C164" s="6" t="s">
        <v>295</v>
      </c>
      <c r="D164" s="7" t="str">
        <f t="shared" si="8"/>
        <v>k</v>
      </c>
      <c r="E164" s="17" t="str">
        <f t="shared" si="9"/>
        <v>22</v>
      </c>
      <c r="F164" s="17">
        <f t="shared" si="10"/>
        <v>2</v>
      </c>
      <c r="G164" t="str">
        <f t="shared" si="11"/>
        <v>luty</v>
      </c>
    </row>
    <row r="165" spans="1:7" x14ac:dyDescent="0.25">
      <c r="A165" s="8" t="s">
        <v>422</v>
      </c>
      <c r="B165" s="9" t="s">
        <v>423</v>
      </c>
      <c r="C165" s="9" t="s">
        <v>295</v>
      </c>
      <c r="D165" s="7" t="str">
        <f t="shared" si="8"/>
        <v>k</v>
      </c>
      <c r="E165" s="17" t="str">
        <f t="shared" si="9"/>
        <v>22</v>
      </c>
      <c r="F165" s="17">
        <f t="shared" si="10"/>
        <v>2</v>
      </c>
      <c r="G165" t="str">
        <f t="shared" si="11"/>
        <v>luty</v>
      </c>
    </row>
    <row r="166" spans="1:7" x14ac:dyDescent="0.25">
      <c r="A166" s="5" t="s">
        <v>424</v>
      </c>
      <c r="B166" s="6" t="s">
        <v>425</v>
      </c>
      <c r="C166" s="6" t="s">
        <v>371</v>
      </c>
      <c r="D166" s="7" t="str">
        <f t="shared" si="8"/>
        <v>k</v>
      </c>
      <c r="E166" s="17" t="str">
        <f t="shared" si="9"/>
        <v>22</v>
      </c>
      <c r="F166" s="17">
        <f t="shared" si="10"/>
        <v>2</v>
      </c>
      <c r="G166" t="str">
        <f t="shared" si="11"/>
        <v>luty</v>
      </c>
    </row>
    <row r="167" spans="1:7" x14ac:dyDescent="0.25">
      <c r="A167" s="8" t="s">
        <v>426</v>
      </c>
      <c r="B167" s="9" t="s">
        <v>427</v>
      </c>
      <c r="C167" s="9" t="s">
        <v>428</v>
      </c>
      <c r="D167" s="7" t="str">
        <f t="shared" si="8"/>
        <v>k</v>
      </c>
      <c r="E167" s="17" t="str">
        <f t="shared" si="9"/>
        <v>22</v>
      </c>
      <c r="F167" s="17">
        <f t="shared" si="10"/>
        <v>2</v>
      </c>
      <c r="G167" t="str">
        <f t="shared" si="11"/>
        <v>luty</v>
      </c>
    </row>
    <row r="168" spans="1:7" x14ac:dyDescent="0.25">
      <c r="A168" s="5" t="s">
        <v>429</v>
      </c>
      <c r="B168" s="6" t="s">
        <v>430</v>
      </c>
      <c r="C168" s="6" t="s">
        <v>419</v>
      </c>
      <c r="D168" s="7" t="str">
        <f t="shared" si="8"/>
        <v>k</v>
      </c>
      <c r="E168" s="17" t="str">
        <f t="shared" si="9"/>
        <v>22</v>
      </c>
      <c r="F168" s="17">
        <f t="shared" si="10"/>
        <v>2</v>
      </c>
      <c r="G168" t="str">
        <f t="shared" si="11"/>
        <v>luty</v>
      </c>
    </row>
    <row r="169" spans="1:7" x14ac:dyDescent="0.25">
      <c r="A169" s="8" t="s">
        <v>431</v>
      </c>
      <c r="B169" s="9" t="s">
        <v>432</v>
      </c>
      <c r="C169" s="9" t="s">
        <v>419</v>
      </c>
      <c r="D169" s="7" t="str">
        <f t="shared" si="8"/>
        <v>k</v>
      </c>
      <c r="E169" s="17" t="str">
        <f t="shared" si="9"/>
        <v>22</v>
      </c>
      <c r="F169" s="17">
        <f t="shared" si="10"/>
        <v>2</v>
      </c>
      <c r="G169" t="str">
        <f t="shared" si="11"/>
        <v>luty</v>
      </c>
    </row>
    <row r="170" spans="1:7" x14ac:dyDescent="0.25">
      <c r="A170" s="5" t="s">
        <v>433</v>
      </c>
      <c r="B170" s="6" t="s">
        <v>434</v>
      </c>
      <c r="C170" s="6" t="s">
        <v>147</v>
      </c>
      <c r="D170" s="7" t="str">
        <f t="shared" si="8"/>
        <v>k</v>
      </c>
      <c r="E170" s="17" t="str">
        <f t="shared" si="9"/>
        <v>22</v>
      </c>
      <c r="F170" s="17">
        <f t="shared" si="10"/>
        <v>2</v>
      </c>
      <c r="G170" t="str">
        <f t="shared" si="11"/>
        <v>luty</v>
      </c>
    </row>
    <row r="171" spans="1:7" x14ac:dyDescent="0.25">
      <c r="A171" s="8" t="s">
        <v>435</v>
      </c>
      <c r="B171" s="9" t="s">
        <v>436</v>
      </c>
      <c r="C171" s="9" t="s">
        <v>437</v>
      </c>
      <c r="D171" s="7" t="str">
        <f t="shared" si="8"/>
        <v>k</v>
      </c>
      <c r="E171" s="17" t="str">
        <f t="shared" si="9"/>
        <v>22</v>
      </c>
      <c r="F171" s="17">
        <f t="shared" si="10"/>
        <v>2</v>
      </c>
      <c r="G171" t="str">
        <f t="shared" si="11"/>
        <v>luty</v>
      </c>
    </row>
    <row r="172" spans="1:7" x14ac:dyDescent="0.25">
      <c r="A172" s="5" t="s">
        <v>438</v>
      </c>
      <c r="B172" s="6" t="s">
        <v>439</v>
      </c>
      <c r="C172" s="6" t="s">
        <v>409</v>
      </c>
      <c r="D172" s="7" t="str">
        <f t="shared" si="8"/>
        <v>k</v>
      </c>
      <c r="E172" s="17" t="str">
        <f t="shared" si="9"/>
        <v>22</v>
      </c>
      <c r="F172" s="17">
        <f t="shared" si="10"/>
        <v>2</v>
      </c>
      <c r="G172" t="str">
        <f t="shared" si="11"/>
        <v>luty</v>
      </c>
    </row>
    <row r="173" spans="1:7" x14ac:dyDescent="0.25">
      <c r="A173" s="8" t="s">
        <v>440</v>
      </c>
      <c r="B173" s="9" t="s">
        <v>441</v>
      </c>
      <c r="C173" s="9" t="s">
        <v>86</v>
      </c>
      <c r="D173" s="7" t="str">
        <f t="shared" si="8"/>
        <v>k</v>
      </c>
      <c r="E173" s="17" t="str">
        <f t="shared" si="9"/>
        <v>22</v>
      </c>
      <c r="F173" s="17">
        <f t="shared" si="10"/>
        <v>2</v>
      </c>
      <c r="G173" t="str">
        <f t="shared" si="11"/>
        <v>luty</v>
      </c>
    </row>
    <row r="174" spans="1:7" x14ac:dyDescent="0.25">
      <c r="A174" s="5" t="s">
        <v>442</v>
      </c>
      <c r="B174" s="6" t="s">
        <v>443</v>
      </c>
      <c r="C174" s="6" t="s">
        <v>419</v>
      </c>
      <c r="D174" s="7" t="str">
        <f t="shared" si="8"/>
        <v>k</v>
      </c>
      <c r="E174" s="17" t="str">
        <f t="shared" si="9"/>
        <v>22</v>
      </c>
      <c r="F174" s="17">
        <f t="shared" si="10"/>
        <v>2</v>
      </c>
      <c r="G174" t="str">
        <f t="shared" si="11"/>
        <v>luty</v>
      </c>
    </row>
    <row r="175" spans="1:7" x14ac:dyDescent="0.25">
      <c r="A175" s="8" t="s">
        <v>444</v>
      </c>
      <c r="B175" s="9" t="s">
        <v>445</v>
      </c>
      <c r="C175" s="9" t="s">
        <v>241</v>
      </c>
      <c r="D175" s="7" t="str">
        <f t="shared" si="8"/>
        <v>k</v>
      </c>
      <c r="E175" s="17" t="str">
        <f t="shared" si="9"/>
        <v>22</v>
      </c>
      <c r="F175" s="17">
        <f t="shared" si="10"/>
        <v>2</v>
      </c>
      <c r="G175" t="str">
        <f t="shared" si="11"/>
        <v>luty</v>
      </c>
    </row>
    <row r="176" spans="1:7" x14ac:dyDescent="0.25">
      <c r="A176" s="5" t="s">
        <v>446</v>
      </c>
      <c r="B176" s="6" t="s">
        <v>447</v>
      </c>
      <c r="C176" s="6" t="s">
        <v>448</v>
      </c>
      <c r="D176" s="7" t="str">
        <f t="shared" si="8"/>
        <v>k</v>
      </c>
      <c r="E176" s="17" t="str">
        <f t="shared" si="9"/>
        <v>22</v>
      </c>
      <c r="F176" s="17">
        <f t="shared" si="10"/>
        <v>2</v>
      </c>
      <c r="G176" t="str">
        <f t="shared" si="11"/>
        <v>luty</v>
      </c>
    </row>
    <row r="177" spans="1:7" x14ac:dyDescent="0.25">
      <c r="A177" s="8" t="s">
        <v>449</v>
      </c>
      <c r="B177" s="9" t="s">
        <v>450</v>
      </c>
      <c r="C177" s="9" t="s">
        <v>194</v>
      </c>
      <c r="D177" s="7" t="str">
        <f t="shared" si="8"/>
        <v>k</v>
      </c>
      <c r="E177" s="17" t="str">
        <f t="shared" si="9"/>
        <v>22</v>
      </c>
      <c r="F177" s="17">
        <f t="shared" si="10"/>
        <v>2</v>
      </c>
      <c r="G177" t="str">
        <f t="shared" si="11"/>
        <v>luty</v>
      </c>
    </row>
    <row r="178" spans="1:7" x14ac:dyDescent="0.25">
      <c r="A178" s="5" t="s">
        <v>451</v>
      </c>
      <c r="B178" s="6" t="s">
        <v>452</v>
      </c>
      <c r="C178" s="6" t="s">
        <v>89</v>
      </c>
      <c r="D178" s="7" t="str">
        <f t="shared" si="8"/>
        <v>k</v>
      </c>
      <c r="E178" s="17" t="str">
        <f t="shared" si="9"/>
        <v>22</v>
      </c>
      <c r="F178" s="17">
        <f t="shared" si="10"/>
        <v>2</v>
      </c>
      <c r="G178" t="str">
        <f t="shared" si="11"/>
        <v>luty</v>
      </c>
    </row>
    <row r="179" spans="1:7" x14ac:dyDescent="0.25">
      <c r="A179" s="8" t="s">
        <v>453</v>
      </c>
      <c r="B179" s="9" t="s">
        <v>454</v>
      </c>
      <c r="C179" s="9" t="s">
        <v>36</v>
      </c>
      <c r="D179" s="7" t="str">
        <f t="shared" si="8"/>
        <v>m</v>
      </c>
      <c r="E179" s="17" t="str">
        <f t="shared" si="9"/>
        <v>29</v>
      </c>
      <c r="F179" s="17">
        <f t="shared" si="10"/>
        <v>9</v>
      </c>
      <c r="G179" t="str">
        <f t="shared" si="11"/>
        <v>wrzesień</v>
      </c>
    </row>
    <row r="180" spans="1:7" x14ac:dyDescent="0.25">
      <c r="A180" s="5" t="s">
        <v>455</v>
      </c>
      <c r="B180" s="6" t="s">
        <v>456</v>
      </c>
      <c r="C180" s="6" t="s">
        <v>457</v>
      </c>
      <c r="D180" s="7" t="str">
        <f t="shared" si="8"/>
        <v>m</v>
      </c>
      <c r="E180" s="17" t="str">
        <f t="shared" si="9"/>
        <v>29</v>
      </c>
      <c r="F180" s="17">
        <f t="shared" si="10"/>
        <v>9</v>
      </c>
      <c r="G180" t="str">
        <f t="shared" si="11"/>
        <v>wrzesień</v>
      </c>
    </row>
    <row r="181" spans="1:7" x14ac:dyDescent="0.25">
      <c r="A181" s="8" t="s">
        <v>458</v>
      </c>
      <c r="B181" s="9" t="s">
        <v>459</v>
      </c>
      <c r="C181" s="9" t="s">
        <v>121</v>
      </c>
      <c r="D181" s="7" t="str">
        <f t="shared" si="8"/>
        <v>m</v>
      </c>
      <c r="E181" s="17" t="str">
        <f t="shared" si="9"/>
        <v>29</v>
      </c>
      <c r="F181" s="17">
        <f t="shared" si="10"/>
        <v>9</v>
      </c>
      <c r="G181" t="str">
        <f t="shared" si="11"/>
        <v>wrzesień</v>
      </c>
    </row>
    <row r="182" spans="1:7" x14ac:dyDescent="0.25">
      <c r="A182" s="5" t="s">
        <v>460</v>
      </c>
      <c r="B182" s="6" t="s">
        <v>461</v>
      </c>
      <c r="C182" s="6" t="s">
        <v>166</v>
      </c>
      <c r="D182" s="7" t="str">
        <f t="shared" si="8"/>
        <v>m</v>
      </c>
      <c r="E182" s="17" t="str">
        <f t="shared" si="9"/>
        <v>29</v>
      </c>
      <c r="F182" s="17">
        <f t="shared" si="10"/>
        <v>9</v>
      </c>
      <c r="G182" t="str">
        <f t="shared" si="11"/>
        <v>wrzesień</v>
      </c>
    </row>
    <row r="183" spans="1:7" x14ac:dyDescent="0.25">
      <c r="A183" s="8" t="s">
        <v>462</v>
      </c>
      <c r="B183" s="9" t="s">
        <v>463</v>
      </c>
      <c r="C183" s="9" t="s">
        <v>464</v>
      </c>
      <c r="D183" s="7" t="str">
        <f t="shared" si="8"/>
        <v>m</v>
      </c>
      <c r="E183" s="17" t="str">
        <f t="shared" si="9"/>
        <v>29</v>
      </c>
      <c r="F183" s="17">
        <f t="shared" si="10"/>
        <v>9</v>
      </c>
      <c r="G183" t="str">
        <f t="shared" si="11"/>
        <v>wrzesień</v>
      </c>
    </row>
    <row r="184" spans="1:7" x14ac:dyDescent="0.25">
      <c r="A184" s="5" t="s">
        <v>465</v>
      </c>
      <c r="B184" s="6" t="s">
        <v>466</v>
      </c>
      <c r="C184" s="6" t="s">
        <v>166</v>
      </c>
      <c r="D184" s="7" t="str">
        <f t="shared" si="8"/>
        <v>m</v>
      </c>
      <c r="E184" s="17" t="str">
        <f t="shared" si="9"/>
        <v>29</v>
      </c>
      <c r="F184" s="17">
        <f t="shared" si="10"/>
        <v>9</v>
      </c>
      <c r="G184" t="str">
        <f t="shared" si="11"/>
        <v>wrzesień</v>
      </c>
    </row>
    <row r="185" spans="1:7" x14ac:dyDescent="0.25">
      <c r="A185" s="8" t="s">
        <v>467</v>
      </c>
      <c r="B185" s="9" t="s">
        <v>468</v>
      </c>
      <c r="C185" s="9" t="s">
        <v>20</v>
      </c>
      <c r="D185" s="7" t="str">
        <f t="shared" si="8"/>
        <v>m</v>
      </c>
      <c r="E185" s="17" t="str">
        <f t="shared" si="9"/>
        <v>29</v>
      </c>
      <c r="F185" s="17">
        <f t="shared" si="10"/>
        <v>9</v>
      </c>
      <c r="G185" t="str">
        <f t="shared" si="11"/>
        <v>wrzesień</v>
      </c>
    </row>
    <row r="186" spans="1:7" x14ac:dyDescent="0.25">
      <c r="A186" s="5" t="s">
        <v>469</v>
      </c>
      <c r="B186" s="6" t="s">
        <v>470</v>
      </c>
      <c r="C186" s="6" t="s">
        <v>166</v>
      </c>
      <c r="D186" s="7" t="str">
        <f t="shared" si="8"/>
        <v>m</v>
      </c>
      <c r="E186" s="17" t="str">
        <f t="shared" si="9"/>
        <v>29</v>
      </c>
      <c r="F186" s="17">
        <f t="shared" si="10"/>
        <v>9</v>
      </c>
      <c r="G186" t="str">
        <f t="shared" si="11"/>
        <v>wrzesień</v>
      </c>
    </row>
    <row r="187" spans="1:7" x14ac:dyDescent="0.25">
      <c r="A187" s="8" t="s">
        <v>471</v>
      </c>
      <c r="B187" s="9" t="s">
        <v>472</v>
      </c>
      <c r="C187" s="9" t="s">
        <v>202</v>
      </c>
      <c r="D187" s="7" t="str">
        <f t="shared" si="8"/>
        <v>m</v>
      </c>
      <c r="E187" s="17" t="str">
        <f t="shared" si="9"/>
        <v>29</v>
      </c>
      <c r="F187" s="17">
        <f t="shared" si="10"/>
        <v>9</v>
      </c>
      <c r="G187" t="str">
        <f t="shared" si="11"/>
        <v>wrzesień</v>
      </c>
    </row>
    <row r="188" spans="1:7" x14ac:dyDescent="0.25">
      <c r="A188" s="5" t="s">
        <v>473</v>
      </c>
      <c r="B188" s="6" t="s">
        <v>474</v>
      </c>
      <c r="C188" s="6" t="s">
        <v>475</v>
      </c>
      <c r="D188" s="7" t="str">
        <f t="shared" si="8"/>
        <v>m</v>
      </c>
      <c r="E188" s="17" t="str">
        <f t="shared" si="9"/>
        <v>29</v>
      </c>
      <c r="F188" s="17">
        <f t="shared" si="10"/>
        <v>9</v>
      </c>
      <c r="G188" t="str">
        <f t="shared" si="11"/>
        <v>wrzesień</v>
      </c>
    </row>
    <row r="189" spans="1:7" x14ac:dyDescent="0.25">
      <c r="A189" s="8" t="s">
        <v>476</v>
      </c>
      <c r="B189" s="9" t="s">
        <v>477</v>
      </c>
      <c r="C189" s="9" t="s">
        <v>379</v>
      </c>
      <c r="D189" s="7" t="str">
        <f t="shared" si="8"/>
        <v>m</v>
      </c>
      <c r="E189" s="17" t="str">
        <f t="shared" si="9"/>
        <v>29</v>
      </c>
      <c r="F189" s="17">
        <f t="shared" si="10"/>
        <v>9</v>
      </c>
      <c r="G189" t="str">
        <f t="shared" si="11"/>
        <v>wrzesień</v>
      </c>
    </row>
    <row r="190" spans="1:7" x14ac:dyDescent="0.25">
      <c r="A190" s="5" t="s">
        <v>478</v>
      </c>
      <c r="B190" s="6" t="s">
        <v>479</v>
      </c>
      <c r="C190" s="6" t="s">
        <v>480</v>
      </c>
      <c r="D190" s="7" t="str">
        <f t="shared" si="8"/>
        <v>m</v>
      </c>
      <c r="E190" s="17" t="str">
        <f t="shared" si="9"/>
        <v>29</v>
      </c>
      <c r="F190" s="17">
        <f t="shared" si="10"/>
        <v>9</v>
      </c>
      <c r="G190" t="str">
        <f t="shared" si="11"/>
        <v>wrzesień</v>
      </c>
    </row>
    <row r="191" spans="1:7" x14ac:dyDescent="0.25">
      <c r="A191" s="8" t="s">
        <v>481</v>
      </c>
      <c r="B191" s="9" t="s">
        <v>482</v>
      </c>
      <c r="C191" s="9" t="s">
        <v>166</v>
      </c>
      <c r="D191" s="7" t="str">
        <f t="shared" si="8"/>
        <v>m</v>
      </c>
      <c r="E191" s="17" t="str">
        <f t="shared" si="9"/>
        <v>29</v>
      </c>
      <c r="F191" s="17">
        <f t="shared" si="10"/>
        <v>9</v>
      </c>
      <c r="G191" t="str">
        <f t="shared" si="11"/>
        <v>wrzesień</v>
      </c>
    </row>
    <row r="192" spans="1:7" x14ac:dyDescent="0.25">
      <c r="A192" s="5" t="s">
        <v>483</v>
      </c>
      <c r="B192" s="6" t="s">
        <v>484</v>
      </c>
      <c r="C192" s="6" t="s">
        <v>485</v>
      </c>
      <c r="D192" s="7" t="str">
        <f t="shared" si="8"/>
        <v>m</v>
      </c>
      <c r="E192" s="17" t="str">
        <f t="shared" si="9"/>
        <v>29</v>
      </c>
      <c r="F192" s="17">
        <f t="shared" si="10"/>
        <v>9</v>
      </c>
      <c r="G192" t="str">
        <f t="shared" si="11"/>
        <v>wrzesień</v>
      </c>
    </row>
    <row r="193" spans="1:7" x14ac:dyDescent="0.25">
      <c r="A193" s="8" t="s">
        <v>486</v>
      </c>
      <c r="B193" s="9" t="s">
        <v>487</v>
      </c>
      <c r="C193" s="9" t="s">
        <v>488</v>
      </c>
      <c r="D193" s="7" t="str">
        <f t="shared" si="8"/>
        <v>m</v>
      </c>
      <c r="E193" s="17" t="str">
        <f t="shared" si="9"/>
        <v>29</v>
      </c>
      <c r="F193" s="17">
        <f t="shared" si="10"/>
        <v>9</v>
      </c>
      <c r="G193" t="str">
        <f t="shared" si="11"/>
        <v>wrzesień</v>
      </c>
    </row>
    <row r="194" spans="1:7" x14ac:dyDescent="0.25">
      <c r="A194" s="5" t="s">
        <v>489</v>
      </c>
      <c r="B194" s="6" t="s">
        <v>490</v>
      </c>
      <c r="C194" s="6" t="s">
        <v>260</v>
      </c>
      <c r="D194" s="7" t="str">
        <f t="shared" ref="D194:D257" si="12">IF(MOD(LEFT(RIGHT(A194,2),1),2)=0,"k","m")</f>
        <v>m</v>
      </c>
      <c r="E194" s="17" t="str">
        <f t="shared" si="9"/>
        <v>30</v>
      </c>
      <c r="F194" s="17">
        <f t="shared" si="10"/>
        <v>10</v>
      </c>
      <c r="G194" t="str">
        <f t="shared" si="11"/>
        <v>październik</v>
      </c>
    </row>
    <row r="195" spans="1:7" x14ac:dyDescent="0.25">
      <c r="A195" s="8" t="s">
        <v>491</v>
      </c>
      <c r="B195" s="9" t="s">
        <v>492</v>
      </c>
      <c r="C195" s="9" t="s">
        <v>223</v>
      </c>
      <c r="D195" s="7" t="str">
        <f t="shared" si="12"/>
        <v>m</v>
      </c>
      <c r="E195" s="17" t="str">
        <f t="shared" ref="E195:E258" si="13">RIGHT(LEFT(A195,4),2)</f>
        <v>30</v>
      </c>
      <c r="F195" s="17">
        <f t="shared" ref="F195:F258" si="14">IF(E195&gt;12,E195-20,E195)</f>
        <v>10</v>
      </c>
      <c r="G195" t="str">
        <f t="shared" ref="G195:G258" si="15">VLOOKUP(F195,$I$2:$J$13,2)</f>
        <v>październik</v>
      </c>
    </row>
    <row r="196" spans="1:7" x14ac:dyDescent="0.25">
      <c r="A196" s="5" t="s">
        <v>493</v>
      </c>
      <c r="B196" s="6" t="s">
        <v>494</v>
      </c>
      <c r="C196" s="6" t="s">
        <v>376</v>
      </c>
      <c r="D196" s="7" t="str">
        <f t="shared" si="12"/>
        <v>m</v>
      </c>
      <c r="E196" s="17" t="str">
        <f t="shared" si="13"/>
        <v>30</v>
      </c>
      <c r="F196" s="17">
        <f t="shared" si="14"/>
        <v>10</v>
      </c>
      <c r="G196" t="str">
        <f t="shared" si="15"/>
        <v>październik</v>
      </c>
    </row>
    <row r="197" spans="1:7" x14ac:dyDescent="0.25">
      <c r="A197" s="8" t="s">
        <v>495</v>
      </c>
      <c r="B197" s="9" t="s">
        <v>496</v>
      </c>
      <c r="C197" s="9" t="s">
        <v>379</v>
      </c>
      <c r="D197" s="7" t="str">
        <f t="shared" si="12"/>
        <v>m</v>
      </c>
      <c r="E197" s="17" t="str">
        <f t="shared" si="13"/>
        <v>30</v>
      </c>
      <c r="F197" s="17">
        <f t="shared" si="14"/>
        <v>10</v>
      </c>
      <c r="G197" t="str">
        <f t="shared" si="15"/>
        <v>październik</v>
      </c>
    </row>
    <row r="198" spans="1:7" x14ac:dyDescent="0.25">
      <c r="A198" s="5" t="s">
        <v>497</v>
      </c>
      <c r="B198" s="6" t="s">
        <v>498</v>
      </c>
      <c r="C198" s="6" t="s">
        <v>499</v>
      </c>
      <c r="D198" s="7" t="str">
        <f t="shared" si="12"/>
        <v>m</v>
      </c>
      <c r="E198" s="17" t="str">
        <f t="shared" si="13"/>
        <v>30</v>
      </c>
      <c r="F198" s="17">
        <f t="shared" si="14"/>
        <v>10</v>
      </c>
      <c r="G198" t="str">
        <f t="shared" si="15"/>
        <v>październik</v>
      </c>
    </row>
    <row r="199" spans="1:7" x14ac:dyDescent="0.25">
      <c r="A199" s="8" t="s">
        <v>500</v>
      </c>
      <c r="B199" s="9" t="s">
        <v>41</v>
      </c>
      <c r="C199" s="9" t="s">
        <v>219</v>
      </c>
      <c r="D199" s="7" t="str">
        <f t="shared" si="12"/>
        <v>m</v>
      </c>
      <c r="E199" s="17" t="str">
        <f t="shared" si="13"/>
        <v>30</v>
      </c>
      <c r="F199" s="17">
        <f t="shared" si="14"/>
        <v>10</v>
      </c>
      <c r="G199" t="str">
        <f t="shared" si="15"/>
        <v>październik</v>
      </c>
    </row>
    <row r="200" spans="1:7" x14ac:dyDescent="0.25">
      <c r="A200" s="5" t="s">
        <v>501</v>
      </c>
      <c r="B200" s="6" t="s">
        <v>502</v>
      </c>
      <c r="C200" s="6" t="s">
        <v>480</v>
      </c>
      <c r="D200" s="7" t="str">
        <f t="shared" si="12"/>
        <v>m</v>
      </c>
      <c r="E200" s="17" t="str">
        <f t="shared" si="13"/>
        <v>30</v>
      </c>
      <c r="F200" s="17">
        <f t="shared" si="14"/>
        <v>10</v>
      </c>
      <c r="G200" t="str">
        <f t="shared" si="15"/>
        <v>październik</v>
      </c>
    </row>
    <row r="201" spans="1:7" x14ac:dyDescent="0.25">
      <c r="A201" s="8" t="s">
        <v>503</v>
      </c>
      <c r="B201" s="9" t="s">
        <v>504</v>
      </c>
      <c r="C201" s="9" t="s">
        <v>505</v>
      </c>
      <c r="D201" s="7" t="str">
        <f t="shared" si="12"/>
        <v>m</v>
      </c>
      <c r="E201" s="17" t="str">
        <f t="shared" si="13"/>
        <v>30</v>
      </c>
      <c r="F201" s="17">
        <f t="shared" si="14"/>
        <v>10</v>
      </c>
      <c r="G201" t="str">
        <f t="shared" si="15"/>
        <v>październik</v>
      </c>
    </row>
    <row r="202" spans="1:7" x14ac:dyDescent="0.25">
      <c r="A202" s="5" t="s">
        <v>506</v>
      </c>
      <c r="B202" s="6" t="s">
        <v>507</v>
      </c>
      <c r="C202" s="6" t="s">
        <v>508</v>
      </c>
      <c r="D202" s="7" t="str">
        <f t="shared" si="12"/>
        <v>m</v>
      </c>
      <c r="E202" s="17" t="str">
        <f t="shared" si="13"/>
        <v>30</v>
      </c>
      <c r="F202" s="17">
        <f t="shared" si="14"/>
        <v>10</v>
      </c>
      <c r="G202" t="str">
        <f t="shared" si="15"/>
        <v>październik</v>
      </c>
    </row>
    <row r="203" spans="1:7" x14ac:dyDescent="0.25">
      <c r="A203" s="8" t="s">
        <v>509</v>
      </c>
      <c r="B203" s="9" t="s">
        <v>510</v>
      </c>
      <c r="C203" s="9" t="s">
        <v>511</v>
      </c>
      <c r="D203" s="7" t="str">
        <f t="shared" si="12"/>
        <v>m</v>
      </c>
      <c r="E203" s="17" t="str">
        <f t="shared" si="13"/>
        <v>30</v>
      </c>
      <c r="F203" s="17">
        <f t="shared" si="14"/>
        <v>10</v>
      </c>
      <c r="G203" t="str">
        <f t="shared" si="15"/>
        <v>październik</v>
      </c>
    </row>
    <row r="204" spans="1:7" x14ac:dyDescent="0.25">
      <c r="A204" s="5" t="s">
        <v>512</v>
      </c>
      <c r="B204" s="6" t="s">
        <v>513</v>
      </c>
      <c r="C204" s="6" t="s">
        <v>202</v>
      </c>
      <c r="D204" s="7" t="str">
        <f t="shared" si="12"/>
        <v>m</v>
      </c>
      <c r="E204" s="17" t="str">
        <f t="shared" si="13"/>
        <v>30</v>
      </c>
      <c r="F204" s="17">
        <f t="shared" si="14"/>
        <v>10</v>
      </c>
      <c r="G204" t="str">
        <f t="shared" si="15"/>
        <v>październik</v>
      </c>
    </row>
    <row r="205" spans="1:7" x14ac:dyDescent="0.25">
      <c r="A205" s="8" t="s">
        <v>514</v>
      </c>
      <c r="B205" s="9" t="s">
        <v>515</v>
      </c>
      <c r="C205" s="9" t="s">
        <v>39</v>
      </c>
      <c r="D205" s="7" t="str">
        <f t="shared" si="12"/>
        <v>m</v>
      </c>
      <c r="E205" s="17" t="str">
        <f t="shared" si="13"/>
        <v>30</v>
      </c>
      <c r="F205" s="17">
        <f t="shared" si="14"/>
        <v>10</v>
      </c>
      <c r="G205" t="str">
        <f t="shared" si="15"/>
        <v>październik</v>
      </c>
    </row>
    <row r="206" spans="1:7" x14ac:dyDescent="0.25">
      <c r="A206" s="5" t="s">
        <v>516</v>
      </c>
      <c r="B206" s="6" t="s">
        <v>517</v>
      </c>
      <c r="C206" s="6" t="s">
        <v>11</v>
      </c>
      <c r="D206" s="7" t="str">
        <f t="shared" si="12"/>
        <v>m</v>
      </c>
      <c r="E206" s="17" t="str">
        <f t="shared" si="13"/>
        <v>30</v>
      </c>
      <c r="F206" s="17">
        <f t="shared" si="14"/>
        <v>10</v>
      </c>
      <c r="G206" t="str">
        <f t="shared" si="15"/>
        <v>październik</v>
      </c>
    </row>
    <row r="207" spans="1:7" x14ac:dyDescent="0.25">
      <c r="A207" s="8" t="s">
        <v>518</v>
      </c>
      <c r="B207" s="9" t="s">
        <v>519</v>
      </c>
      <c r="C207" s="9" t="s">
        <v>166</v>
      </c>
      <c r="D207" s="7" t="str">
        <f t="shared" si="12"/>
        <v>m</v>
      </c>
      <c r="E207" s="17" t="str">
        <f t="shared" si="13"/>
        <v>30</v>
      </c>
      <c r="F207" s="17">
        <f t="shared" si="14"/>
        <v>10</v>
      </c>
      <c r="G207" t="str">
        <f t="shared" si="15"/>
        <v>październik</v>
      </c>
    </row>
    <row r="208" spans="1:7" x14ac:dyDescent="0.25">
      <c r="A208" s="5" t="s">
        <v>520</v>
      </c>
      <c r="B208" s="6" t="s">
        <v>521</v>
      </c>
      <c r="C208" s="6" t="s">
        <v>219</v>
      </c>
      <c r="D208" s="7" t="str">
        <f t="shared" si="12"/>
        <v>m</v>
      </c>
      <c r="E208" s="17" t="str">
        <f t="shared" si="13"/>
        <v>30</v>
      </c>
      <c r="F208" s="17">
        <f t="shared" si="14"/>
        <v>10</v>
      </c>
      <c r="G208" t="str">
        <f t="shared" si="15"/>
        <v>październik</v>
      </c>
    </row>
    <row r="209" spans="1:7" x14ac:dyDescent="0.25">
      <c r="A209" s="8" t="s">
        <v>522</v>
      </c>
      <c r="B209" s="9" t="s">
        <v>521</v>
      </c>
      <c r="C209" s="9" t="s">
        <v>17</v>
      </c>
      <c r="D209" s="7" t="str">
        <f t="shared" si="12"/>
        <v>m</v>
      </c>
      <c r="E209" s="17" t="str">
        <f t="shared" si="13"/>
        <v>30</v>
      </c>
      <c r="F209" s="17">
        <f t="shared" si="14"/>
        <v>10</v>
      </c>
      <c r="G209" t="str">
        <f t="shared" si="15"/>
        <v>październik</v>
      </c>
    </row>
    <row r="210" spans="1:7" x14ac:dyDescent="0.25">
      <c r="A210" s="5" t="s">
        <v>523</v>
      </c>
      <c r="B210" s="6" t="s">
        <v>524</v>
      </c>
      <c r="C210" s="6" t="s">
        <v>73</v>
      </c>
      <c r="D210" s="7" t="str">
        <f t="shared" si="12"/>
        <v>m</v>
      </c>
      <c r="E210" s="17" t="str">
        <f t="shared" si="13"/>
        <v>30</v>
      </c>
      <c r="F210" s="17">
        <f t="shared" si="14"/>
        <v>10</v>
      </c>
      <c r="G210" t="str">
        <f t="shared" si="15"/>
        <v>październik</v>
      </c>
    </row>
    <row r="211" spans="1:7" x14ac:dyDescent="0.25">
      <c r="A211" s="8" t="s">
        <v>525</v>
      </c>
      <c r="B211" s="9" t="s">
        <v>526</v>
      </c>
      <c r="C211" s="9" t="s">
        <v>114</v>
      </c>
      <c r="D211" s="7" t="str">
        <f t="shared" si="12"/>
        <v>m</v>
      </c>
      <c r="E211" s="17" t="str">
        <f t="shared" si="13"/>
        <v>30</v>
      </c>
      <c r="F211" s="17">
        <f t="shared" si="14"/>
        <v>10</v>
      </c>
      <c r="G211" t="str">
        <f t="shared" si="15"/>
        <v>październik</v>
      </c>
    </row>
    <row r="212" spans="1:7" x14ac:dyDescent="0.25">
      <c r="A212" s="5" t="s">
        <v>527</v>
      </c>
      <c r="B212" s="6" t="s">
        <v>528</v>
      </c>
      <c r="C212" s="6" t="s">
        <v>340</v>
      </c>
      <c r="D212" s="7" t="str">
        <f t="shared" si="12"/>
        <v>k</v>
      </c>
      <c r="E212" s="17" t="str">
        <f t="shared" si="13"/>
        <v>30</v>
      </c>
      <c r="F212" s="17">
        <f t="shared" si="14"/>
        <v>10</v>
      </c>
      <c r="G212" t="str">
        <f t="shared" si="15"/>
        <v>październik</v>
      </c>
    </row>
    <row r="213" spans="1:7" x14ac:dyDescent="0.25">
      <c r="A213" s="8" t="s">
        <v>529</v>
      </c>
      <c r="B213" s="9" t="s">
        <v>530</v>
      </c>
      <c r="C213" s="9" t="s">
        <v>39</v>
      </c>
      <c r="D213" s="7" t="str">
        <f t="shared" si="12"/>
        <v>m</v>
      </c>
      <c r="E213" s="17" t="str">
        <f t="shared" si="13"/>
        <v>30</v>
      </c>
      <c r="F213" s="17">
        <f t="shared" si="14"/>
        <v>10</v>
      </c>
      <c r="G213" t="str">
        <f t="shared" si="15"/>
        <v>październik</v>
      </c>
    </row>
    <row r="214" spans="1:7" x14ac:dyDescent="0.25">
      <c r="A214" s="5" t="s">
        <v>531</v>
      </c>
      <c r="B214" s="6" t="s">
        <v>30</v>
      </c>
      <c r="C214" s="6" t="s">
        <v>44</v>
      </c>
      <c r="D214" s="7" t="str">
        <f t="shared" si="12"/>
        <v>m</v>
      </c>
      <c r="E214" s="17" t="str">
        <f t="shared" si="13"/>
        <v>30</v>
      </c>
      <c r="F214" s="17">
        <f t="shared" si="14"/>
        <v>10</v>
      </c>
      <c r="G214" t="str">
        <f t="shared" si="15"/>
        <v>październik</v>
      </c>
    </row>
    <row r="215" spans="1:7" x14ac:dyDescent="0.25">
      <c r="A215" s="8" t="s">
        <v>532</v>
      </c>
      <c r="B215" s="9" t="s">
        <v>533</v>
      </c>
      <c r="C215" s="9" t="s">
        <v>534</v>
      </c>
      <c r="D215" s="7" t="str">
        <f t="shared" si="12"/>
        <v>k</v>
      </c>
      <c r="E215" s="17" t="str">
        <f t="shared" si="13"/>
        <v>30</v>
      </c>
      <c r="F215" s="17">
        <f t="shared" si="14"/>
        <v>10</v>
      </c>
      <c r="G215" t="str">
        <f t="shared" si="15"/>
        <v>październik</v>
      </c>
    </row>
    <row r="216" spans="1:7" x14ac:dyDescent="0.25">
      <c r="A216" s="5" t="s">
        <v>535</v>
      </c>
      <c r="B216" s="6" t="s">
        <v>536</v>
      </c>
      <c r="C216" s="6" t="s">
        <v>89</v>
      </c>
      <c r="D216" s="7" t="str">
        <f t="shared" si="12"/>
        <v>k</v>
      </c>
      <c r="E216" s="17" t="str">
        <f t="shared" si="13"/>
        <v>30</v>
      </c>
      <c r="F216" s="17">
        <f t="shared" si="14"/>
        <v>10</v>
      </c>
      <c r="G216" t="str">
        <f t="shared" si="15"/>
        <v>październik</v>
      </c>
    </row>
    <row r="217" spans="1:7" x14ac:dyDescent="0.25">
      <c r="A217" s="8" t="s">
        <v>537</v>
      </c>
      <c r="B217" s="9" t="s">
        <v>538</v>
      </c>
      <c r="C217" s="9" t="s">
        <v>416</v>
      </c>
      <c r="D217" s="7" t="str">
        <f t="shared" si="12"/>
        <v>k</v>
      </c>
      <c r="E217" s="17" t="str">
        <f t="shared" si="13"/>
        <v>30</v>
      </c>
      <c r="F217" s="17">
        <f t="shared" si="14"/>
        <v>10</v>
      </c>
      <c r="G217" t="str">
        <f t="shared" si="15"/>
        <v>październik</v>
      </c>
    </row>
    <row r="218" spans="1:7" x14ac:dyDescent="0.25">
      <c r="A218" s="5" t="s">
        <v>539</v>
      </c>
      <c r="B218" s="6" t="s">
        <v>540</v>
      </c>
      <c r="C218" s="6" t="s">
        <v>323</v>
      </c>
      <c r="D218" s="7" t="str">
        <f t="shared" si="12"/>
        <v>k</v>
      </c>
      <c r="E218" s="17" t="str">
        <f t="shared" si="13"/>
        <v>30</v>
      </c>
      <c r="F218" s="17">
        <f t="shared" si="14"/>
        <v>10</v>
      </c>
      <c r="G218" t="str">
        <f t="shared" si="15"/>
        <v>październik</v>
      </c>
    </row>
    <row r="219" spans="1:7" x14ac:dyDescent="0.25">
      <c r="A219" s="8" t="s">
        <v>541</v>
      </c>
      <c r="B219" s="9" t="s">
        <v>542</v>
      </c>
      <c r="C219" s="9" t="s">
        <v>179</v>
      </c>
      <c r="D219" s="7" t="str">
        <f t="shared" si="12"/>
        <v>k</v>
      </c>
      <c r="E219" s="17" t="str">
        <f t="shared" si="13"/>
        <v>30</v>
      </c>
      <c r="F219" s="17">
        <f t="shared" si="14"/>
        <v>10</v>
      </c>
      <c r="G219" t="str">
        <f t="shared" si="15"/>
        <v>październik</v>
      </c>
    </row>
    <row r="220" spans="1:7" x14ac:dyDescent="0.25">
      <c r="A220" s="5" t="s">
        <v>543</v>
      </c>
      <c r="B220" s="6" t="s">
        <v>544</v>
      </c>
      <c r="C220" s="6" t="s">
        <v>419</v>
      </c>
      <c r="D220" s="7" t="str">
        <f t="shared" si="12"/>
        <v>k</v>
      </c>
      <c r="E220" s="17" t="str">
        <f t="shared" si="13"/>
        <v>30</v>
      </c>
      <c r="F220" s="17">
        <f t="shared" si="14"/>
        <v>10</v>
      </c>
      <c r="G220" t="str">
        <f t="shared" si="15"/>
        <v>październik</v>
      </c>
    </row>
    <row r="221" spans="1:7" x14ac:dyDescent="0.25">
      <c r="A221" s="8" t="s">
        <v>545</v>
      </c>
      <c r="B221" s="9" t="s">
        <v>546</v>
      </c>
      <c r="C221" s="9" t="s">
        <v>17</v>
      </c>
      <c r="D221" s="7" t="str">
        <f t="shared" si="12"/>
        <v>m</v>
      </c>
      <c r="E221" s="17" t="str">
        <f t="shared" si="13"/>
        <v>30</v>
      </c>
      <c r="F221" s="17">
        <f t="shared" si="14"/>
        <v>10</v>
      </c>
      <c r="G221" t="str">
        <f t="shared" si="15"/>
        <v>październik</v>
      </c>
    </row>
    <row r="222" spans="1:7" x14ac:dyDescent="0.25">
      <c r="A222" s="5" t="s">
        <v>547</v>
      </c>
      <c r="B222" s="6" t="s">
        <v>548</v>
      </c>
      <c r="C222" s="6" t="s">
        <v>419</v>
      </c>
      <c r="D222" s="7" t="str">
        <f t="shared" si="12"/>
        <v>k</v>
      </c>
      <c r="E222" s="17" t="str">
        <f t="shared" si="13"/>
        <v>30</v>
      </c>
      <c r="F222" s="17">
        <f t="shared" si="14"/>
        <v>10</v>
      </c>
      <c r="G222" t="str">
        <f t="shared" si="15"/>
        <v>październik</v>
      </c>
    </row>
    <row r="223" spans="1:7" x14ac:dyDescent="0.25">
      <c r="A223" s="8" t="s">
        <v>549</v>
      </c>
      <c r="B223" s="9" t="s">
        <v>550</v>
      </c>
      <c r="C223" s="9" t="s">
        <v>309</v>
      </c>
      <c r="D223" s="7" t="str">
        <f t="shared" si="12"/>
        <v>k</v>
      </c>
      <c r="E223" s="17" t="str">
        <f t="shared" si="13"/>
        <v>30</v>
      </c>
      <c r="F223" s="17">
        <f t="shared" si="14"/>
        <v>10</v>
      </c>
      <c r="G223" t="str">
        <f t="shared" si="15"/>
        <v>październik</v>
      </c>
    </row>
    <row r="224" spans="1:7" x14ac:dyDescent="0.25">
      <c r="A224" s="5" t="s">
        <v>551</v>
      </c>
      <c r="B224" s="6" t="s">
        <v>552</v>
      </c>
      <c r="C224" s="6" t="s">
        <v>309</v>
      </c>
      <c r="D224" s="7" t="str">
        <f t="shared" si="12"/>
        <v>k</v>
      </c>
      <c r="E224" s="17" t="str">
        <f t="shared" si="13"/>
        <v>30</v>
      </c>
      <c r="F224" s="17">
        <f t="shared" si="14"/>
        <v>10</v>
      </c>
      <c r="G224" t="str">
        <f t="shared" si="15"/>
        <v>październik</v>
      </c>
    </row>
    <row r="225" spans="1:7" x14ac:dyDescent="0.25">
      <c r="A225" s="8" t="s">
        <v>553</v>
      </c>
      <c r="B225" s="9" t="s">
        <v>554</v>
      </c>
      <c r="C225" s="9" t="s">
        <v>187</v>
      </c>
      <c r="D225" s="7" t="str">
        <f t="shared" si="12"/>
        <v>k</v>
      </c>
      <c r="E225" s="17" t="str">
        <f t="shared" si="13"/>
        <v>30</v>
      </c>
      <c r="F225" s="17">
        <f t="shared" si="14"/>
        <v>10</v>
      </c>
      <c r="G225" t="str">
        <f t="shared" si="15"/>
        <v>październik</v>
      </c>
    </row>
    <row r="226" spans="1:7" x14ac:dyDescent="0.25">
      <c r="A226" s="5" t="s">
        <v>555</v>
      </c>
      <c r="B226" s="6" t="s">
        <v>556</v>
      </c>
      <c r="C226" s="6" t="s">
        <v>428</v>
      </c>
      <c r="D226" s="7" t="str">
        <f t="shared" si="12"/>
        <v>k</v>
      </c>
      <c r="E226" s="17" t="str">
        <f t="shared" si="13"/>
        <v>30</v>
      </c>
      <c r="F226" s="17">
        <f t="shared" si="14"/>
        <v>10</v>
      </c>
      <c r="G226" t="str">
        <f t="shared" si="15"/>
        <v>październik</v>
      </c>
    </row>
    <row r="227" spans="1:7" x14ac:dyDescent="0.25">
      <c r="A227" s="8" t="s">
        <v>557</v>
      </c>
      <c r="B227" s="9" t="s">
        <v>558</v>
      </c>
      <c r="C227" s="9" t="s">
        <v>559</v>
      </c>
      <c r="D227" s="7" t="str">
        <f t="shared" si="12"/>
        <v>k</v>
      </c>
      <c r="E227" s="17" t="str">
        <f t="shared" si="13"/>
        <v>30</v>
      </c>
      <c r="F227" s="17">
        <f t="shared" si="14"/>
        <v>10</v>
      </c>
      <c r="G227" t="str">
        <f t="shared" si="15"/>
        <v>październik</v>
      </c>
    </row>
    <row r="228" spans="1:7" x14ac:dyDescent="0.25">
      <c r="A228" s="5" t="s">
        <v>560</v>
      </c>
      <c r="B228" s="6" t="s">
        <v>561</v>
      </c>
      <c r="C228" s="6" t="s">
        <v>351</v>
      </c>
      <c r="D228" s="7" t="str">
        <f t="shared" si="12"/>
        <v>k</v>
      </c>
      <c r="E228" s="17" t="str">
        <f t="shared" si="13"/>
        <v>30</v>
      </c>
      <c r="F228" s="17">
        <f t="shared" si="14"/>
        <v>10</v>
      </c>
      <c r="G228" t="str">
        <f t="shared" si="15"/>
        <v>październik</v>
      </c>
    </row>
    <row r="229" spans="1:7" x14ac:dyDescent="0.25">
      <c r="A229" s="8" t="s">
        <v>562</v>
      </c>
      <c r="B229" s="9" t="s">
        <v>563</v>
      </c>
      <c r="C229" s="9" t="s">
        <v>564</v>
      </c>
      <c r="D229" s="7" t="str">
        <f t="shared" si="12"/>
        <v>k</v>
      </c>
      <c r="E229" s="17" t="str">
        <f t="shared" si="13"/>
        <v>30</v>
      </c>
      <c r="F229" s="17">
        <f t="shared" si="14"/>
        <v>10</v>
      </c>
      <c r="G229" t="str">
        <f t="shared" si="15"/>
        <v>październik</v>
      </c>
    </row>
    <row r="230" spans="1:7" x14ac:dyDescent="0.25">
      <c r="A230" s="5" t="s">
        <v>565</v>
      </c>
      <c r="B230" s="6" t="s">
        <v>566</v>
      </c>
      <c r="C230" s="6" t="s">
        <v>567</v>
      </c>
      <c r="D230" s="7" t="str">
        <f t="shared" si="12"/>
        <v>m</v>
      </c>
      <c r="E230" s="17" t="str">
        <f t="shared" si="13"/>
        <v>30</v>
      </c>
      <c r="F230" s="17">
        <f t="shared" si="14"/>
        <v>10</v>
      </c>
      <c r="G230" t="str">
        <f t="shared" si="15"/>
        <v>październik</v>
      </c>
    </row>
    <row r="231" spans="1:7" x14ac:dyDescent="0.25">
      <c r="A231" s="8" t="s">
        <v>568</v>
      </c>
      <c r="B231" s="9" t="s">
        <v>569</v>
      </c>
      <c r="C231" s="9" t="s">
        <v>570</v>
      </c>
      <c r="D231" s="7" t="str">
        <f t="shared" si="12"/>
        <v>m</v>
      </c>
      <c r="E231" s="17" t="str">
        <f t="shared" si="13"/>
        <v>31</v>
      </c>
      <c r="F231" s="17">
        <f t="shared" si="14"/>
        <v>11</v>
      </c>
      <c r="G231" t="str">
        <f t="shared" si="15"/>
        <v>listopad</v>
      </c>
    </row>
    <row r="232" spans="1:7" x14ac:dyDescent="0.25">
      <c r="A232" s="5" t="s">
        <v>571</v>
      </c>
      <c r="B232" s="6" t="s">
        <v>572</v>
      </c>
      <c r="C232" s="6" t="s">
        <v>275</v>
      </c>
      <c r="D232" s="7" t="str">
        <f t="shared" si="12"/>
        <v>k</v>
      </c>
      <c r="E232" s="17" t="str">
        <f t="shared" si="13"/>
        <v>31</v>
      </c>
      <c r="F232" s="17">
        <f t="shared" si="14"/>
        <v>11</v>
      </c>
      <c r="G232" t="str">
        <f t="shared" si="15"/>
        <v>listopad</v>
      </c>
    </row>
    <row r="233" spans="1:7" x14ac:dyDescent="0.25">
      <c r="A233" s="8" t="s">
        <v>573</v>
      </c>
      <c r="B233" s="9" t="s">
        <v>574</v>
      </c>
      <c r="C233" s="9" t="s">
        <v>108</v>
      </c>
      <c r="D233" s="7" t="str">
        <f t="shared" si="12"/>
        <v>m</v>
      </c>
      <c r="E233" s="17" t="str">
        <f t="shared" si="13"/>
        <v>31</v>
      </c>
      <c r="F233" s="17">
        <f t="shared" si="14"/>
        <v>11</v>
      </c>
      <c r="G233" t="str">
        <f t="shared" si="15"/>
        <v>listopad</v>
      </c>
    </row>
    <row r="234" spans="1:7" x14ac:dyDescent="0.25">
      <c r="A234" s="5" t="s">
        <v>575</v>
      </c>
      <c r="B234" s="6" t="s">
        <v>576</v>
      </c>
      <c r="C234" s="6" t="s">
        <v>17</v>
      </c>
      <c r="D234" s="7" t="str">
        <f t="shared" si="12"/>
        <v>m</v>
      </c>
      <c r="E234" s="17" t="str">
        <f t="shared" si="13"/>
        <v>31</v>
      </c>
      <c r="F234" s="17">
        <f t="shared" si="14"/>
        <v>11</v>
      </c>
      <c r="G234" t="str">
        <f t="shared" si="15"/>
        <v>listopad</v>
      </c>
    </row>
    <row r="235" spans="1:7" x14ac:dyDescent="0.25">
      <c r="A235" s="8" t="s">
        <v>577</v>
      </c>
      <c r="B235" s="9" t="s">
        <v>578</v>
      </c>
      <c r="C235" s="9" t="s">
        <v>464</v>
      </c>
      <c r="D235" s="7" t="str">
        <f t="shared" si="12"/>
        <v>m</v>
      </c>
      <c r="E235" s="17" t="str">
        <f t="shared" si="13"/>
        <v>31</v>
      </c>
      <c r="F235" s="17">
        <f t="shared" si="14"/>
        <v>11</v>
      </c>
      <c r="G235" t="str">
        <f t="shared" si="15"/>
        <v>listopad</v>
      </c>
    </row>
    <row r="236" spans="1:7" x14ac:dyDescent="0.25">
      <c r="A236" s="5" t="s">
        <v>579</v>
      </c>
      <c r="B236" s="6" t="s">
        <v>580</v>
      </c>
      <c r="C236" s="6" t="s">
        <v>287</v>
      </c>
      <c r="D236" s="7" t="str">
        <f t="shared" si="12"/>
        <v>m</v>
      </c>
      <c r="E236" s="17" t="str">
        <f t="shared" si="13"/>
        <v>31</v>
      </c>
      <c r="F236" s="17">
        <f t="shared" si="14"/>
        <v>11</v>
      </c>
      <c r="G236" t="str">
        <f t="shared" si="15"/>
        <v>listopad</v>
      </c>
    </row>
    <row r="237" spans="1:7" x14ac:dyDescent="0.25">
      <c r="A237" s="8" t="s">
        <v>581</v>
      </c>
      <c r="B237" s="9" t="s">
        <v>582</v>
      </c>
      <c r="C237" s="9" t="s">
        <v>67</v>
      </c>
      <c r="D237" s="7" t="str">
        <f t="shared" si="12"/>
        <v>k</v>
      </c>
      <c r="E237" s="17" t="str">
        <f t="shared" si="13"/>
        <v>31</v>
      </c>
      <c r="F237" s="17">
        <f t="shared" si="14"/>
        <v>11</v>
      </c>
      <c r="G237" t="str">
        <f t="shared" si="15"/>
        <v>listopad</v>
      </c>
    </row>
    <row r="238" spans="1:7" x14ac:dyDescent="0.25">
      <c r="A238" s="5" t="s">
        <v>583</v>
      </c>
      <c r="B238" s="6" t="s">
        <v>584</v>
      </c>
      <c r="C238" s="6" t="s">
        <v>284</v>
      </c>
      <c r="D238" s="7" t="str">
        <f t="shared" si="12"/>
        <v>k</v>
      </c>
      <c r="E238" s="17" t="str">
        <f t="shared" si="13"/>
        <v>31</v>
      </c>
      <c r="F238" s="17">
        <f t="shared" si="14"/>
        <v>11</v>
      </c>
      <c r="G238" t="str">
        <f t="shared" si="15"/>
        <v>listopad</v>
      </c>
    </row>
    <row r="239" spans="1:7" x14ac:dyDescent="0.25">
      <c r="A239" s="8" t="s">
        <v>585</v>
      </c>
      <c r="B239" s="9" t="s">
        <v>586</v>
      </c>
      <c r="C239" s="9" t="s">
        <v>47</v>
      </c>
      <c r="D239" s="7" t="str">
        <f t="shared" si="12"/>
        <v>m</v>
      </c>
      <c r="E239" s="17" t="str">
        <f t="shared" si="13"/>
        <v>31</v>
      </c>
      <c r="F239" s="17">
        <f t="shared" si="14"/>
        <v>11</v>
      </c>
      <c r="G239" t="str">
        <f t="shared" si="15"/>
        <v>listopad</v>
      </c>
    </row>
    <row r="240" spans="1:7" x14ac:dyDescent="0.25">
      <c r="A240" s="5" t="s">
        <v>587</v>
      </c>
      <c r="B240" s="6" t="s">
        <v>96</v>
      </c>
      <c r="C240" s="6" t="s">
        <v>121</v>
      </c>
      <c r="D240" s="7" t="str">
        <f t="shared" si="12"/>
        <v>m</v>
      </c>
      <c r="E240" s="17" t="str">
        <f t="shared" si="13"/>
        <v>31</v>
      </c>
      <c r="F240" s="17">
        <f t="shared" si="14"/>
        <v>11</v>
      </c>
      <c r="G240" t="str">
        <f t="shared" si="15"/>
        <v>listopad</v>
      </c>
    </row>
    <row r="241" spans="1:7" x14ac:dyDescent="0.25">
      <c r="A241" s="8" t="s">
        <v>588</v>
      </c>
      <c r="B241" s="9" t="s">
        <v>589</v>
      </c>
      <c r="C241" s="9" t="s">
        <v>298</v>
      </c>
      <c r="D241" s="7" t="str">
        <f t="shared" si="12"/>
        <v>k</v>
      </c>
      <c r="E241" s="17" t="str">
        <f t="shared" si="13"/>
        <v>31</v>
      </c>
      <c r="F241" s="17">
        <f t="shared" si="14"/>
        <v>11</v>
      </c>
      <c r="G241" t="str">
        <f t="shared" si="15"/>
        <v>listopad</v>
      </c>
    </row>
    <row r="242" spans="1:7" x14ac:dyDescent="0.25">
      <c r="A242" s="5" t="s">
        <v>590</v>
      </c>
      <c r="B242" s="6" t="s">
        <v>591</v>
      </c>
      <c r="C242" s="6" t="s">
        <v>166</v>
      </c>
      <c r="D242" s="7" t="str">
        <f t="shared" si="12"/>
        <v>m</v>
      </c>
      <c r="E242" s="17" t="str">
        <f t="shared" si="13"/>
        <v>31</v>
      </c>
      <c r="F242" s="17">
        <f t="shared" si="14"/>
        <v>11</v>
      </c>
      <c r="G242" t="str">
        <f t="shared" si="15"/>
        <v>listopad</v>
      </c>
    </row>
    <row r="243" spans="1:7" x14ac:dyDescent="0.25">
      <c r="A243" s="8" t="s">
        <v>592</v>
      </c>
      <c r="B243" s="9" t="s">
        <v>593</v>
      </c>
      <c r="C243" s="9" t="s">
        <v>92</v>
      </c>
      <c r="D243" s="7" t="str">
        <f t="shared" si="12"/>
        <v>m</v>
      </c>
      <c r="E243" s="17" t="str">
        <f t="shared" si="13"/>
        <v>31</v>
      </c>
      <c r="F243" s="17">
        <f t="shared" si="14"/>
        <v>11</v>
      </c>
      <c r="G243" t="str">
        <f t="shared" si="15"/>
        <v>listopad</v>
      </c>
    </row>
    <row r="244" spans="1:7" x14ac:dyDescent="0.25">
      <c r="A244" s="5" t="s">
        <v>594</v>
      </c>
      <c r="B244" s="6" t="s">
        <v>595</v>
      </c>
      <c r="C244" s="6" t="s">
        <v>596</v>
      </c>
      <c r="D244" s="7" t="str">
        <f t="shared" si="12"/>
        <v>m</v>
      </c>
      <c r="E244" s="17" t="str">
        <f t="shared" si="13"/>
        <v>31</v>
      </c>
      <c r="F244" s="17">
        <f t="shared" si="14"/>
        <v>11</v>
      </c>
      <c r="G244" t="str">
        <f t="shared" si="15"/>
        <v>listopad</v>
      </c>
    </row>
    <row r="245" spans="1:7" x14ac:dyDescent="0.25">
      <c r="A245" s="8" t="s">
        <v>597</v>
      </c>
      <c r="B245" s="9" t="s">
        <v>598</v>
      </c>
      <c r="C245" s="9" t="s">
        <v>17</v>
      </c>
      <c r="D245" s="7" t="str">
        <f t="shared" si="12"/>
        <v>m</v>
      </c>
      <c r="E245" s="17" t="str">
        <f t="shared" si="13"/>
        <v>31</v>
      </c>
      <c r="F245" s="17">
        <f t="shared" si="14"/>
        <v>11</v>
      </c>
      <c r="G245" t="str">
        <f t="shared" si="15"/>
        <v>listopad</v>
      </c>
    </row>
    <row r="246" spans="1:7" x14ac:dyDescent="0.25">
      <c r="A246" s="5" t="s">
        <v>599</v>
      </c>
      <c r="B246" s="6" t="s">
        <v>600</v>
      </c>
      <c r="C246" s="6" t="s">
        <v>70</v>
      </c>
      <c r="D246" s="7" t="str">
        <f t="shared" si="12"/>
        <v>k</v>
      </c>
      <c r="E246" s="17" t="str">
        <f t="shared" si="13"/>
        <v>31</v>
      </c>
      <c r="F246" s="17">
        <f t="shared" si="14"/>
        <v>11</v>
      </c>
      <c r="G246" t="str">
        <f t="shared" si="15"/>
        <v>listopad</v>
      </c>
    </row>
    <row r="247" spans="1:7" x14ac:dyDescent="0.25">
      <c r="A247" s="8" t="s">
        <v>601</v>
      </c>
      <c r="B247" s="9" t="s">
        <v>602</v>
      </c>
      <c r="C247" s="9" t="s">
        <v>137</v>
      </c>
      <c r="D247" s="7" t="str">
        <f t="shared" si="12"/>
        <v>k</v>
      </c>
      <c r="E247" s="17" t="str">
        <f t="shared" si="13"/>
        <v>31</v>
      </c>
      <c r="F247" s="17">
        <f t="shared" si="14"/>
        <v>11</v>
      </c>
      <c r="G247" t="str">
        <f t="shared" si="15"/>
        <v>listopad</v>
      </c>
    </row>
    <row r="248" spans="1:7" x14ac:dyDescent="0.25">
      <c r="A248" s="5" t="s">
        <v>603</v>
      </c>
      <c r="B248" s="6" t="s">
        <v>604</v>
      </c>
      <c r="C248" s="6" t="s">
        <v>233</v>
      </c>
      <c r="D248" s="7" t="str">
        <f t="shared" si="12"/>
        <v>k</v>
      </c>
      <c r="E248" s="17" t="str">
        <f t="shared" si="13"/>
        <v>31</v>
      </c>
      <c r="F248" s="17">
        <f t="shared" si="14"/>
        <v>11</v>
      </c>
      <c r="G248" t="str">
        <f t="shared" si="15"/>
        <v>listopad</v>
      </c>
    </row>
    <row r="249" spans="1:7" x14ac:dyDescent="0.25">
      <c r="A249" s="8" t="s">
        <v>605</v>
      </c>
      <c r="B249" s="9" t="s">
        <v>606</v>
      </c>
      <c r="C249" s="9" t="s">
        <v>607</v>
      </c>
      <c r="D249" s="7" t="str">
        <f t="shared" si="12"/>
        <v>k</v>
      </c>
      <c r="E249" s="17" t="str">
        <f t="shared" si="13"/>
        <v>31</v>
      </c>
      <c r="F249" s="17">
        <f t="shared" si="14"/>
        <v>11</v>
      </c>
      <c r="G249" t="str">
        <f t="shared" si="15"/>
        <v>listopad</v>
      </c>
    </row>
    <row r="250" spans="1:7" x14ac:dyDescent="0.25">
      <c r="A250" s="5" t="s">
        <v>608</v>
      </c>
      <c r="B250" s="6" t="s">
        <v>609</v>
      </c>
      <c r="C250" s="6" t="s">
        <v>53</v>
      </c>
      <c r="D250" s="7" t="str">
        <f t="shared" si="12"/>
        <v>m</v>
      </c>
      <c r="E250" s="17" t="str">
        <f t="shared" si="13"/>
        <v>31</v>
      </c>
      <c r="F250" s="17">
        <f t="shared" si="14"/>
        <v>11</v>
      </c>
      <c r="G250" t="str">
        <f t="shared" si="15"/>
        <v>listopad</v>
      </c>
    </row>
    <row r="251" spans="1:7" x14ac:dyDescent="0.25">
      <c r="A251" s="8" t="s">
        <v>610</v>
      </c>
      <c r="B251" s="9" t="s">
        <v>611</v>
      </c>
      <c r="C251" s="9" t="s">
        <v>241</v>
      </c>
      <c r="D251" s="7" t="str">
        <f t="shared" si="12"/>
        <v>k</v>
      </c>
      <c r="E251" s="17" t="str">
        <f t="shared" si="13"/>
        <v>31</v>
      </c>
      <c r="F251" s="17">
        <f t="shared" si="14"/>
        <v>11</v>
      </c>
      <c r="G251" t="str">
        <f t="shared" si="15"/>
        <v>listopad</v>
      </c>
    </row>
    <row r="252" spans="1:7" x14ac:dyDescent="0.25">
      <c r="A252" s="5" t="s">
        <v>612</v>
      </c>
      <c r="B252" s="6" t="s">
        <v>353</v>
      </c>
      <c r="C252" s="6" t="s">
        <v>187</v>
      </c>
      <c r="D252" s="7" t="str">
        <f t="shared" si="12"/>
        <v>k</v>
      </c>
      <c r="E252" s="17" t="str">
        <f t="shared" si="13"/>
        <v>31</v>
      </c>
      <c r="F252" s="17">
        <f t="shared" si="14"/>
        <v>11</v>
      </c>
      <c r="G252" t="str">
        <f t="shared" si="15"/>
        <v>listopad</v>
      </c>
    </row>
    <row r="253" spans="1:7" x14ac:dyDescent="0.25">
      <c r="A253" s="8" t="s">
        <v>613</v>
      </c>
      <c r="B253" s="9" t="s">
        <v>614</v>
      </c>
      <c r="C253" s="9" t="s">
        <v>295</v>
      </c>
      <c r="D253" s="7" t="str">
        <f t="shared" si="12"/>
        <v>k</v>
      </c>
      <c r="E253" s="17" t="str">
        <f t="shared" si="13"/>
        <v>31</v>
      </c>
      <c r="F253" s="17">
        <f t="shared" si="14"/>
        <v>11</v>
      </c>
      <c r="G253" t="str">
        <f t="shared" si="15"/>
        <v>listopad</v>
      </c>
    </row>
    <row r="254" spans="1:7" x14ac:dyDescent="0.25">
      <c r="A254" s="5" t="s">
        <v>615</v>
      </c>
      <c r="B254" s="6" t="s">
        <v>616</v>
      </c>
      <c r="C254" s="6" t="s">
        <v>617</v>
      </c>
      <c r="D254" s="7" t="str">
        <f t="shared" si="12"/>
        <v>k</v>
      </c>
      <c r="E254" s="17" t="str">
        <f t="shared" si="13"/>
        <v>31</v>
      </c>
      <c r="F254" s="17">
        <f t="shared" si="14"/>
        <v>11</v>
      </c>
      <c r="G254" t="str">
        <f t="shared" si="15"/>
        <v>listopad</v>
      </c>
    </row>
    <row r="255" spans="1:7" x14ac:dyDescent="0.25">
      <c r="A255" s="8" t="s">
        <v>618</v>
      </c>
      <c r="B255" s="9" t="s">
        <v>619</v>
      </c>
      <c r="C255" s="9" t="s">
        <v>340</v>
      </c>
      <c r="D255" s="7" t="str">
        <f t="shared" si="12"/>
        <v>k</v>
      </c>
      <c r="E255" s="17" t="str">
        <f t="shared" si="13"/>
        <v>31</v>
      </c>
      <c r="F255" s="17">
        <f t="shared" si="14"/>
        <v>11</v>
      </c>
      <c r="G255" t="str">
        <f t="shared" si="15"/>
        <v>listopad</v>
      </c>
    </row>
    <row r="256" spans="1:7" x14ac:dyDescent="0.25">
      <c r="A256" s="5" t="s">
        <v>620</v>
      </c>
      <c r="B256" s="6" t="s">
        <v>621</v>
      </c>
      <c r="C256" s="6" t="s">
        <v>241</v>
      </c>
      <c r="D256" s="7" t="str">
        <f t="shared" si="12"/>
        <v>k</v>
      </c>
      <c r="E256" s="17" t="str">
        <f t="shared" si="13"/>
        <v>31</v>
      </c>
      <c r="F256" s="17">
        <f t="shared" si="14"/>
        <v>11</v>
      </c>
      <c r="G256" t="str">
        <f t="shared" si="15"/>
        <v>listopad</v>
      </c>
    </row>
    <row r="257" spans="1:7" x14ac:dyDescent="0.25">
      <c r="A257" s="8" t="s">
        <v>622</v>
      </c>
      <c r="B257" s="9" t="s">
        <v>623</v>
      </c>
      <c r="C257" s="9" t="s">
        <v>624</v>
      </c>
      <c r="D257" s="7" t="str">
        <f t="shared" si="12"/>
        <v>m</v>
      </c>
      <c r="E257" s="17" t="str">
        <f t="shared" si="13"/>
        <v>31</v>
      </c>
      <c r="F257" s="17">
        <f t="shared" si="14"/>
        <v>11</v>
      </c>
      <c r="G257" t="str">
        <f t="shared" si="15"/>
        <v>listopad</v>
      </c>
    </row>
    <row r="258" spans="1:7" x14ac:dyDescent="0.25">
      <c r="A258" s="5" t="s">
        <v>625</v>
      </c>
      <c r="B258" s="6" t="s">
        <v>626</v>
      </c>
      <c r="C258" s="6" t="s">
        <v>627</v>
      </c>
      <c r="D258" s="7" t="str">
        <f t="shared" ref="D258:D321" si="16">IF(MOD(LEFT(RIGHT(A258,2),1),2)=0,"k","m")</f>
        <v>m</v>
      </c>
      <c r="E258" s="17" t="str">
        <f t="shared" si="13"/>
        <v>31</v>
      </c>
      <c r="F258" s="17">
        <f t="shared" si="14"/>
        <v>11</v>
      </c>
      <c r="G258" t="str">
        <f t="shared" si="15"/>
        <v>listopad</v>
      </c>
    </row>
    <row r="259" spans="1:7" x14ac:dyDescent="0.25">
      <c r="A259" s="8" t="s">
        <v>628</v>
      </c>
      <c r="B259" s="9" t="s">
        <v>629</v>
      </c>
      <c r="C259" s="9" t="s">
        <v>630</v>
      </c>
      <c r="D259" s="7" t="str">
        <f t="shared" si="16"/>
        <v>k</v>
      </c>
      <c r="E259" s="17" t="str">
        <f t="shared" ref="E259:E322" si="17">RIGHT(LEFT(A259,4),2)</f>
        <v>31</v>
      </c>
      <c r="F259" s="17">
        <f t="shared" ref="F259:F322" si="18">IF(E259&gt;12,E259-20,E259)</f>
        <v>11</v>
      </c>
      <c r="G259" t="str">
        <f t="shared" ref="G259:G322" si="19">VLOOKUP(F259,$I$2:$J$13,2)</f>
        <v>listopad</v>
      </c>
    </row>
    <row r="260" spans="1:7" x14ac:dyDescent="0.25">
      <c r="A260" s="5" t="s">
        <v>631</v>
      </c>
      <c r="B260" s="6" t="s">
        <v>235</v>
      </c>
      <c r="C260" s="6" t="s">
        <v>5</v>
      </c>
      <c r="D260" s="7" t="str">
        <f t="shared" si="16"/>
        <v>m</v>
      </c>
      <c r="E260" s="17" t="str">
        <f t="shared" si="17"/>
        <v>31</v>
      </c>
      <c r="F260" s="17">
        <f t="shared" si="18"/>
        <v>11</v>
      </c>
      <c r="G260" t="str">
        <f t="shared" si="19"/>
        <v>listopad</v>
      </c>
    </row>
    <row r="261" spans="1:7" x14ac:dyDescent="0.25">
      <c r="A261" s="8" t="s">
        <v>632</v>
      </c>
      <c r="B261" s="9" t="s">
        <v>633</v>
      </c>
      <c r="C261" s="9" t="s">
        <v>233</v>
      </c>
      <c r="D261" s="7" t="str">
        <f t="shared" si="16"/>
        <v>k</v>
      </c>
      <c r="E261" s="17" t="str">
        <f t="shared" si="17"/>
        <v>31</v>
      </c>
      <c r="F261" s="17">
        <f t="shared" si="18"/>
        <v>11</v>
      </c>
      <c r="G261" t="str">
        <f t="shared" si="19"/>
        <v>listopad</v>
      </c>
    </row>
    <row r="262" spans="1:7" x14ac:dyDescent="0.25">
      <c r="A262" s="5" t="s">
        <v>634</v>
      </c>
      <c r="B262" s="6" t="s">
        <v>635</v>
      </c>
      <c r="C262" s="6" t="s">
        <v>194</v>
      </c>
      <c r="D262" s="7" t="str">
        <f t="shared" si="16"/>
        <v>k</v>
      </c>
      <c r="E262" s="17" t="str">
        <f t="shared" si="17"/>
        <v>31</v>
      </c>
      <c r="F262" s="17">
        <f t="shared" si="18"/>
        <v>11</v>
      </c>
      <c r="G262" t="str">
        <f t="shared" si="19"/>
        <v>listopad</v>
      </c>
    </row>
    <row r="263" spans="1:7" x14ac:dyDescent="0.25">
      <c r="A263" s="8" t="s">
        <v>636</v>
      </c>
      <c r="B263" s="9" t="s">
        <v>637</v>
      </c>
      <c r="C263" s="9" t="s">
        <v>382</v>
      </c>
      <c r="D263" s="7" t="str">
        <f t="shared" si="16"/>
        <v>k</v>
      </c>
      <c r="E263" s="17" t="str">
        <f t="shared" si="17"/>
        <v>31</v>
      </c>
      <c r="F263" s="17">
        <f t="shared" si="18"/>
        <v>11</v>
      </c>
      <c r="G263" t="str">
        <f t="shared" si="19"/>
        <v>listopad</v>
      </c>
    </row>
    <row r="264" spans="1:7" x14ac:dyDescent="0.25">
      <c r="A264" s="5" t="s">
        <v>638</v>
      </c>
      <c r="B264" s="6" t="s">
        <v>639</v>
      </c>
      <c r="C264" s="6" t="s">
        <v>640</v>
      </c>
      <c r="D264" s="7" t="str">
        <f t="shared" si="16"/>
        <v>m</v>
      </c>
      <c r="E264" s="17" t="str">
        <f t="shared" si="17"/>
        <v>31</v>
      </c>
      <c r="F264" s="17">
        <f t="shared" si="18"/>
        <v>11</v>
      </c>
      <c r="G264" t="str">
        <f t="shared" si="19"/>
        <v>listopad</v>
      </c>
    </row>
    <row r="265" spans="1:7" x14ac:dyDescent="0.25">
      <c r="A265" s="8" t="s">
        <v>641</v>
      </c>
      <c r="B265" s="9" t="s">
        <v>642</v>
      </c>
      <c r="C265" s="9" t="s">
        <v>485</v>
      </c>
      <c r="D265" s="7" t="str">
        <f t="shared" si="16"/>
        <v>m</v>
      </c>
      <c r="E265" s="17" t="str">
        <f t="shared" si="17"/>
        <v>31</v>
      </c>
      <c r="F265" s="17">
        <f t="shared" si="18"/>
        <v>11</v>
      </c>
      <c r="G265" t="str">
        <f t="shared" si="19"/>
        <v>listopad</v>
      </c>
    </row>
    <row r="266" spans="1:7" x14ac:dyDescent="0.25">
      <c r="A266" s="5" t="s">
        <v>643</v>
      </c>
      <c r="B266" s="6" t="s">
        <v>644</v>
      </c>
      <c r="C266" s="6" t="s">
        <v>56</v>
      </c>
      <c r="D266" s="7" t="str">
        <f t="shared" si="16"/>
        <v>k</v>
      </c>
      <c r="E266" s="17" t="str">
        <f t="shared" si="17"/>
        <v>31</v>
      </c>
      <c r="F266" s="17">
        <f t="shared" si="18"/>
        <v>11</v>
      </c>
      <c r="G266" t="str">
        <f t="shared" si="19"/>
        <v>listopad</v>
      </c>
    </row>
    <row r="267" spans="1:7" x14ac:dyDescent="0.25">
      <c r="A267" s="8" t="s">
        <v>645</v>
      </c>
      <c r="B267" s="9" t="s">
        <v>646</v>
      </c>
      <c r="C267" s="9" t="s">
        <v>345</v>
      </c>
      <c r="D267" s="7" t="str">
        <f t="shared" si="16"/>
        <v>k</v>
      </c>
      <c r="E267" s="17" t="str">
        <f t="shared" si="17"/>
        <v>31</v>
      </c>
      <c r="F267" s="17">
        <f t="shared" si="18"/>
        <v>11</v>
      </c>
      <c r="G267" t="str">
        <f t="shared" si="19"/>
        <v>listopad</v>
      </c>
    </row>
    <row r="268" spans="1:7" x14ac:dyDescent="0.25">
      <c r="A268" s="5" t="s">
        <v>647</v>
      </c>
      <c r="B268" s="6" t="s">
        <v>648</v>
      </c>
      <c r="C268" s="6" t="s">
        <v>448</v>
      </c>
      <c r="D268" s="7" t="str">
        <f t="shared" si="16"/>
        <v>k</v>
      </c>
      <c r="E268" s="17" t="str">
        <f t="shared" si="17"/>
        <v>31</v>
      </c>
      <c r="F268" s="17">
        <f t="shared" si="18"/>
        <v>11</v>
      </c>
      <c r="G268" t="str">
        <f t="shared" si="19"/>
        <v>listopad</v>
      </c>
    </row>
    <row r="269" spans="1:7" x14ac:dyDescent="0.25">
      <c r="A269" s="8" t="s">
        <v>649</v>
      </c>
      <c r="B269" s="9" t="s">
        <v>650</v>
      </c>
      <c r="C269" s="9" t="s">
        <v>651</v>
      </c>
      <c r="D269" s="7" t="str">
        <f t="shared" si="16"/>
        <v>k</v>
      </c>
      <c r="E269" s="17" t="str">
        <f t="shared" si="17"/>
        <v>31</v>
      </c>
      <c r="F269" s="17">
        <f t="shared" si="18"/>
        <v>11</v>
      </c>
      <c r="G269" t="str">
        <f t="shared" si="19"/>
        <v>listopad</v>
      </c>
    </row>
    <row r="270" spans="1:7" x14ac:dyDescent="0.25">
      <c r="A270" s="5" t="s">
        <v>652</v>
      </c>
      <c r="B270" s="6" t="s">
        <v>653</v>
      </c>
      <c r="C270" s="6" t="s">
        <v>345</v>
      </c>
      <c r="D270" s="7" t="str">
        <f t="shared" si="16"/>
        <v>k</v>
      </c>
      <c r="E270" s="17" t="str">
        <f t="shared" si="17"/>
        <v>31</v>
      </c>
      <c r="F270" s="17">
        <f t="shared" si="18"/>
        <v>11</v>
      </c>
      <c r="G270" t="str">
        <f t="shared" si="19"/>
        <v>listopad</v>
      </c>
    </row>
    <row r="271" spans="1:7" x14ac:dyDescent="0.25">
      <c r="A271" s="8" t="s">
        <v>654</v>
      </c>
      <c r="B271" s="9" t="s">
        <v>655</v>
      </c>
      <c r="C271" s="9" t="s">
        <v>416</v>
      </c>
      <c r="D271" s="7" t="str">
        <f t="shared" si="16"/>
        <v>k</v>
      </c>
      <c r="E271" s="17" t="str">
        <f t="shared" si="17"/>
        <v>31</v>
      </c>
      <c r="F271" s="17">
        <f t="shared" si="18"/>
        <v>11</v>
      </c>
      <c r="G271" t="str">
        <f t="shared" si="19"/>
        <v>listopad</v>
      </c>
    </row>
    <row r="272" spans="1:7" x14ac:dyDescent="0.25">
      <c r="A272" s="5" t="s">
        <v>656</v>
      </c>
      <c r="B272" s="6" t="s">
        <v>657</v>
      </c>
      <c r="C272" s="6" t="s">
        <v>121</v>
      </c>
      <c r="D272" s="7" t="str">
        <f t="shared" si="16"/>
        <v>m</v>
      </c>
      <c r="E272" s="17" t="str">
        <f t="shared" si="17"/>
        <v>31</v>
      </c>
      <c r="F272" s="17">
        <f t="shared" si="18"/>
        <v>11</v>
      </c>
      <c r="G272" t="str">
        <f t="shared" si="19"/>
        <v>listopad</v>
      </c>
    </row>
    <row r="273" spans="1:7" x14ac:dyDescent="0.25">
      <c r="A273" s="8" t="s">
        <v>658</v>
      </c>
      <c r="B273" s="9" t="s">
        <v>659</v>
      </c>
      <c r="C273" s="9" t="s">
        <v>44</v>
      </c>
      <c r="D273" s="7" t="str">
        <f t="shared" si="16"/>
        <v>m</v>
      </c>
      <c r="E273" s="17" t="str">
        <f t="shared" si="17"/>
        <v>31</v>
      </c>
      <c r="F273" s="17">
        <f t="shared" si="18"/>
        <v>11</v>
      </c>
      <c r="G273" t="str">
        <f t="shared" si="19"/>
        <v>listopad</v>
      </c>
    </row>
    <row r="274" spans="1:7" x14ac:dyDescent="0.25">
      <c r="A274" s="5" t="s">
        <v>660</v>
      </c>
      <c r="B274" s="6" t="s">
        <v>661</v>
      </c>
      <c r="C274" s="6" t="s">
        <v>413</v>
      </c>
      <c r="D274" s="7" t="str">
        <f t="shared" si="16"/>
        <v>k</v>
      </c>
      <c r="E274" s="17" t="str">
        <f t="shared" si="17"/>
        <v>31</v>
      </c>
      <c r="F274" s="17">
        <f t="shared" si="18"/>
        <v>11</v>
      </c>
      <c r="G274" t="str">
        <f t="shared" si="19"/>
        <v>listopad</v>
      </c>
    </row>
    <row r="275" spans="1:7" x14ac:dyDescent="0.25">
      <c r="A275" s="8" t="s">
        <v>662</v>
      </c>
      <c r="B275" s="9" t="s">
        <v>663</v>
      </c>
      <c r="C275" s="9" t="s">
        <v>323</v>
      </c>
      <c r="D275" s="7" t="str">
        <f t="shared" si="16"/>
        <v>k</v>
      </c>
      <c r="E275" s="17" t="str">
        <f t="shared" si="17"/>
        <v>31</v>
      </c>
      <c r="F275" s="17">
        <f t="shared" si="18"/>
        <v>11</v>
      </c>
      <c r="G275" t="str">
        <f t="shared" si="19"/>
        <v>listopad</v>
      </c>
    </row>
    <row r="276" spans="1:7" x14ac:dyDescent="0.25">
      <c r="A276" s="5" t="s">
        <v>664</v>
      </c>
      <c r="B276" s="6" t="s">
        <v>665</v>
      </c>
      <c r="C276" s="6" t="s">
        <v>666</v>
      </c>
      <c r="D276" s="7" t="str">
        <f t="shared" si="16"/>
        <v>m</v>
      </c>
      <c r="E276" s="17" t="str">
        <f t="shared" si="17"/>
        <v>31</v>
      </c>
      <c r="F276" s="17">
        <f t="shared" si="18"/>
        <v>11</v>
      </c>
      <c r="G276" t="str">
        <f t="shared" si="19"/>
        <v>listopad</v>
      </c>
    </row>
    <row r="277" spans="1:7" x14ac:dyDescent="0.25">
      <c r="A277" s="8" t="s">
        <v>667</v>
      </c>
      <c r="B277" s="9" t="s">
        <v>668</v>
      </c>
      <c r="C277" s="9" t="s">
        <v>131</v>
      </c>
      <c r="D277" s="7" t="str">
        <f t="shared" si="16"/>
        <v>k</v>
      </c>
      <c r="E277" s="17" t="str">
        <f t="shared" si="17"/>
        <v>31</v>
      </c>
      <c r="F277" s="17">
        <f t="shared" si="18"/>
        <v>11</v>
      </c>
      <c r="G277" t="str">
        <f t="shared" si="19"/>
        <v>listopad</v>
      </c>
    </row>
    <row r="278" spans="1:7" x14ac:dyDescent="0.25">
      <c r="A278" s="5" t="s">
        <v>669</v>
      </c>
      <c r="B278" s="6" t="s">
        <v>670</v>
      </c>
      <c r="C278" s="6" t="s">
        <v>671</v>
      </c>
      <c r="D278" s="7" t="str">
        <f t="shared" si="16"/>
        <v>m</v>
      </c>
      <c r="E278" s="17" t="str">
        <f t="shared" si="17"/>
        <v>31</v>
      </c>
      <c r="F278" s="17">
        <f t="shared" si="18"/>
        <v>11</v>
      </c>
      <c r="G278" t="str">
        <f t="shared" si="19"/>
        <v>listopad</v>
      </c>
    </row>
    <row r="279" spans="1:7" x14ac:dyDescent="0.25">
      <c r="A279" s="8" t="s">
        <v>672</v>
      </c>
      <c r="B279" s="9" t="s">
        <v>673</v>
      </c>
      <c r="C279" s="9" t="s">
        <v>73</v>
      </c>
      <c r="D279" s="7" t="str">
        <f t="shared" si="16"/>
        <v>m</v>
      </c>
      <c r="E279" s="17" t="str">
        <f t="shared" si="17"/>
        <v>31</v>
      </c>
      <c r="F279" s="17">
        <f t="shared" si="18"/>
        <v>11</v>
      </c>
      <c r="G279" t="str">
        <f t="shared" si="19"/>
        <v>listopad</v>
      </c>
    </row>
    <row r="280" spans="1:7" x14ac:dyDescent="0.25">
      <c r="A280" s="5" t="s">
        <v>674</v>
      </c>
      <c r="B280" s="6" t="s">
        <v>675</v>
      </c>
      <c r="C280" s="6" t="s">
        <v>64</v>
      </c>
      <c r="D280" s="7" t="str">
        <f t="shared" si="16"/>
        <v>m</v>
      </c>
      <c r="E280" s="17" t="str">
        <f t="shared" si="17"/>
        <v>31</v>
      </c>
      <c r="F280" s="17">
        <f t="shared" si="18"/>
        <v>11</v>
      </c>
      <c r="G280" t="str">
        <f t="shared" si="19"/>
        <v>listopad</v>
      </c>
    </row>
    <row r="281" spans="1:7" x14ac:dyDescent="0.25">
      <c r="A281" s="8" t="s">
        <v>676</v>
      </c>
      <c r="B281" s="9" t="s">
        <v>677</v>
      </c>
      <c r="C281" s="9" t="s">
        <v>105</v>
      </c>
      <c r="D281" s="7" t="str">
        <f t="shared" si="16"/>
        <v>m</v>
      </c>
      <c r="E281" s="17" t="str">
        <f t="shared" si="17"/>
        <v>31</v>
      </c>
      <c r="F281" s="17">
        <f t="shared" si="18"/>
        <v>11</v>
      </c>
      <c r="G281" t="str">
        <f t="shared" si="19"/>
        <v>listopad</v>
      </c>
    </row>
    <row r="282" spans="1:7" x14ac:dyDescent="0.25">
      <c r="A282" s="5" t="s">
        <v>678</v>
      </c>
      <c r="B282" s="6" t="s">
        <v>679</v>
      </c>
      <c r="C282" s="6" t="s">
        <v>73</v>
      </c>
      <c r="D282" s="7" t="str">
        <f t="shared" si="16"/>
        <v>m</v>
      </c>
      <c r="E282" s="17" t="str">
        <f t="shared" si="17"/>
        <v>31</v>
      </c>
      <c r="F282" s="17">
        <f t="shared" si="18"/>
        <v>11</v>
      </c>
      <c r="G282" t="str">
        <f t="shared" si="19"/>
        <v>listopad</v>
      </c>
    </row>
    <row r="283" spans="1:7" x14ac:dyDescent="0.25">
      <c r="A283" s="8" t="s">
        <v>680</v>
      </c>
      <c r="B283" s="9" t="s">
        <v>681</v>
      </c>
      <c r="C283" s="9" t="s">
        <v>499</v>
      </c>
      <c r="D283" s="7" t="str">
        <f t="shared" si="16"/>
        <v>m</v>
      </c>
      <c r="E283" s="17" t="str">
        <f t="shared" si="17"/>
        <v>31</v>
      </c>
      <c r="F283" s="17">
        <f t="shared" si="18"/>
        <v>11</v>
      </c>
      <c r="G283" t="str">
        <f t="shared" si="19"/>
        <v>listopad</v>
      </c>
    </row>
    <row r="284" spans="1:7" x14ac:dyDescent="0.25">
      <c r="A284" s="5" t="s">
        <v>682</v>
      </c>
      <c r="B284" s="6" t="s">
        <v>683</v>
      </c>
      <c r="C284" s="6" t="s">
        <v>73</v>
      </c>
      <c r="D284" s="7" t="str">
        <f t="shared" si="16"/>
        <v>m</v>
      </c>
      <c r="E284" s="17" t="str">
        <f t="shared" si="17"/>
        <v>31</v>
      </c>
      <c r="F284" s="17">
        <f t="shared" si="18"/>
        <v>11</v>
      </c>
      <c r="G284" t="str">
        <f t="shared" si="19"/>
        <v>listopad</v>
      </c>
    </row>
    <row r="285" spans="1:7" x14ac:dyDescent="0.25">
      <c r="A285" s="8" t="s">
        <v>684</v>
      </c>
      <c r="B285" s="9" t="s">
        <v>685</v>
      </c>
      <c r="C285" s="9" t="s">
        <v>485</v>
      </c>
      <c r="D285" s="7" t="str">
        <f t="shared" si="16"/>
        <v>m</v>
      </c>
      <c r="E285" s="17" t="str">
        <f t="shared" si="17"/>
        <v>31</v>
      </c>
      <c r="F285" s="17">
        <f t="shared" si="18"/>
        <v>11</v>
      </c>
      <c r="G285" t="str">
        <f t="shared" si="19"/>
        <v>listopad</v>
      </c>
    </row>
    <row r="286" spans="1:7" x14ac:dyDescent="0.25">
      <c r="A286" s="5" t="s">
        <v>686</v>
      </c>
      <c r="B286" s="6" t="s">
        <v>687</v>
      </c>
      <c r="C286" s="6" t="s">
        <v>92</v>
      </c>
      <c r="D286" s="7" t="str">
        <f t="shared" si="16"/>
        <v>m</v>
      </c>
      <c r="E286" s="17" t="str">
        <f t="shared" si="17"/>
        <v>31</v>
      </c>
      <c r="F286" s="17">
        <f t="shared" si="18"/>
        <v>11</v>
      </c>
      <c r="G286" t="str">
        <f t="shared" si="19"/>
        <v>listopad</v>
      </c>
    </row>
    <row r="287" spans="1:7" x14ac:dyDescent="0.25">
      <c r="A287" s="8" t="s">
        <v>688</v>
      </c>
      <c r="B287" s="9" t="s">
        <v>689</v>
      </c>
      <c r="C287" s="9" t="s">
        <v>564</v>
      </c>
      <c r="D287" s="7" t="str">
        <f t="shared" si="16"/>
        <v>k</v>
      </c>
      <c r="E287" s="17" t="str">
        <f t="shared" si="17"/>
        <v>31</v>
      </c>
      <c r="F287" s="17">
        <f t="shared" si="18"/>
        <v>11</v>
      </c>
      <c r="G287" t="str">
        <f t="shared" si="19"/>
        <v>listopad</v>
      </c>
    </row>
    <row r="288" spans="1:7" x14ac:dyDescent="0.25">
      <c r="A288" s="5" t="s">
        <v>690</v>
      </c>
      <c r="B288" s="6" t="s">
        <v>691</v>
      </c>
      <c r="C288" s="6" t="s">
        <v>692</v>
      </c>
      <c r="D288" s="7" t="str">
        <f t="shared" si="16"/>
        <v>m</v>
      </c>
      <c r="E288" s="17" t="str">
        <f t="shared" si="17"/>
        <v>31</v>
      </c>
      <c r="F288" s="17">
        <f t="shared" si="18"/>
        <v>11</v>
      </c>
      <c r="G288" t="str">
        <f t="shared" si="19"/>
        <v>listopad</v>
      </c>
    </row>
    <row r="289" spans="1:7" x14ac:dyDescent="0.25">
      <c r="A289" s="8" t="s">
        <v>693</v>
      </c>
      <c r="B289" s="9" t="s">
        <v>694</v>
      </c>
      <c r="C289" s="9" t="s">
        <v>214</v>
      </c>
      <c r="D289" s="7" t="str">
        <f t="shared" si="16"/>
        <v>k</v>
      </c>
      <c r="E289" s="17" t="str">
        <f t="shared" si="17"/>
        <v>31</v>
      </c>
      <c r="F289" s="17">
        <f t="shared" si="18"/>
        <v>11</v>
      </c>
      <c r="G289" t="str">
        <f t="shared" si="19"/>
        <v>listopad</v>
      </c>
    </row>
    <row r="290" spans="1:7" x14ac:dyDescent="0.25">
      <c r="A290" s="5" t="s">
        <v>695</v>
      </c>
      <c r="B290" s="6" t="s">
        <v>350</v>
      </c>
      <c r="C290" s="6" t="s">
        <v>351</v>
      </c>
      <c r="D290" s="7" t="str">
        <f t="shared" si="16"/>
        <v>k</v>
      </c>
      <c r="E290" s="17" t="str">
        <f t="shared" si="17"/>
        <v>31</v>
      </c>
      <c r="F290" s="17">
        <f t="shared" si="18"/>
        <v>11</v>
      </c>
      <c r="G290" t="str">
        <f t="shared" si="19"/>
        <v>listopad</v>
      </c>
    </row>
    <row r="291" spans="1:7" x14ac:dyDescent="0.25">
      <c r="A291" s="8" t="s">
        <v>696</v>
      </c>
      <c r="B291" s="9" t="s">
        <v>697</v>
      </c>
      <c r="C291" s="9" t="s">
        <v>111</v>
      </c>
      <c r="D291" s="7" t="str">
        <f t="shared" si="16"/>
        <v>k</v>
      </c>
      <c r="E291" s="17" t="str">
        <f t="shared" si="17"/>
        <v>31</v>
      </c>
      <c r="F291" s="17">
        <f t="shared" si="18"/>
        <v>11</v>
      </c>
      <c r="G291" t="str">
        <f t="shared" si="19"/>
        <v>listopad</v>
      </c>
    </row>
    <row r="292" spans="1:7" x14ac:dyDescent="0.25">
      <c r="A292" s="5" t="s">
        <v>698</v>
      </c>
      <c r="B292" s="6" t="s">
        <v>699</v>
      </c>
      <c r="C292" s="6" t="s">
        <v>166</v>
      </c>
      <c r="D292" s="7" t="str">
        <f t="shared" si="16"/>
        <v>m</v>
      </c>
      <c r="E292" s="17" t="str">
        <f t="shared" si="17"/>
        <v>31</v>
      </c>
      <c r="F292" s="17">
        <f t="shared" si="18"/>
        <v>11</v>
      </c>
      <c r="G292" t="str">
        <f t="shared" si="19"/>
        <v>listopad</v>
      </c>
    </row>
    <row r="293" spans="1:7" x14ac:dyDescent="0.25">
      <c r="A293" s="8" t="s">
        <v>700</v>
      </c>
      <c r="B293" s="9" t="s">
        <v>701</v>
      </c>
      <c r="C293" s="9" t="s">
        <v>702</v>
      </c>
      <c r="D293" s="7" t="str">
        <f t="shared" si="16"/>
        <v>k</v>
      </c>
      <c r="E293" s="17" t="str">
        <f t="shared" si="17"/>
        <v>32</v>
      </c>
      <c r="F293" s="17">
        <f t="shared" si="18"/>
        <v>12</v>
      </c>
      <c r="G293" t="str">
        <f t="shared" si="19"/>
        <v>grudzień</v>
      </c>
    </row>
    <row r="294" spans="1:7" x14ac:dyDescent="0.25">
      <c r="A294" s="5" t="s">
        <v>703</v>
      </c>
      <c r="B294" s="6" t="s">
        <v>704</v>
      </c>
      <c r="C294" s="6" t="s">
        <v>419</v>
      </c>
      <c r="D294" s="7" t="str">
        <f t="shared" si="16"/>
        <v>k</v>
      </c>
      <c r="E294" s="17" t="str">
        <f t="shared" si="17"/>
        <v>32</v>
      </c>
      <c r="F294" s="17">
        <f t="shared" si="18"/>
        <v>12</v>
      </c>
      <c r="G294" t="str">
        <f t="shared" si="19"/>
        <v>grudzień</v>
      </c>
    </row>
    <row r="295" spans="1:7" x14ac:dyDescent="0.25">
      <c r="A295" s="8" t="s">
        <v>705</v>
      </c>
      <c r="B295" s="9" t="s">
        <v>271</v>
      </c>
      <c r="C295" s="9" t="s">
        <v>78</v>
      </c>
      <c r="D295" s="7" t="str">
        <f t="shared" si="16"/>
        <v>k</v>
      </c>
      <c r="E295" s="17" t="str">
        <f t="shared" si="17"/>
        <v>32</v>
      </c>
      <c r="F295" s="17">
        <f t="shared" si="18"/>
        <v>12</v>
      </c>
      <c r="G295" t="str">
        <f t="shared" si="19"/>
        <v>grudzień</v>
      </c>
    </row>
    <row r="296" spans="1:7" x14ac:dyDescent="0.25">
      <c r="A296" s="5" t="s">
        <v>706</v>
      </c>
      <c r="B296" s="6" t="s">
        <v>707</v>
      </c>
      <c r="C296" s="6" t="s">
        <v>108</v>
      </c>
      <c r="D296" s="7" t="str">
        <f t="shared" si="16"/>
        <v>m</v>
      </c>
      <c r="E296" s="17" t="str">
        <f t="shared" si="17"/>
        <v>32</v>
      </c>
      <c r="F296" s="17">
        <f t="shared" si="18"/>
        <v>12</v>
      </c>
      <c r="G296" t="str">
        <f t="shared" si="19"/>
        <v>grudzień</v>
      </c>
    </row>
    <row r="297" spans="1:7" x14ac:dyDescent="0.25">
      <c r="A297" s="8" t="s">
        <v>708</v>
      </c>
      <c r="B297" s="9" t="s">
        <v>709</v>
      </c>
      <c r="C297" s="9" t="s">
        <v>246</v>
      </c>
      <c r="D297" s="7" t="str">
        <f t="shared" si="16"/>
        <v>m</v>
      </c>
      <c r="E297" s="17" t="str">
        <f t="shared" si="17"/>
        <v>32</v>
      </c>
      <c r="F297" s="17">
        <f t="shared" si="18"/>
        <v>12</v>
      </c>
      <c r="G297" t="str">
        <f t="shared" si="19"/>
        <v>grudzień</v>
      </c>
    </row>
    <row r="298" spans="1:7" x14ac:dyDescent="0.25">
      <c r="A298" s="5" t="s">
        <v>710</v>
      </c>
      <c r="B298" s="6" t="s">
        <v>711</v>
      </c>
      <c r="C298" s="6" t="s">
        <v>108</v>
      </c>
      <c r="D298" s="7" t="str">
        <f t="shared" si="16"/>
        <v>m</v>
      </c>
      <c r="E298" s="17" t="str">
        <f t="shared" si="17"/>
        <v>32</v>
      </c>
      <c r="F298" s="17">
        <f t="shared" si="18"/>
        <v>12</v>
      </c>
      <c r="G298" t="str">
        <f t="shared" si="19"/>
        <v>grudzień</v>
      </c>
    </row>
    <row r="299" spans="1:7" x14ac:dyDescent="0.25">
      <c r="A299" s="8" t="s">
        <v>712</v>
      </c>
      <c r="B299" s="9" t="s">
        <v>174</v>
      </c>
      <c r="C299" s="9" t="s">
        <v>219</v>
      </c>
      <c r="D299" s="7" t="str">
        <f t="shared" si="16"/>
        <v>m</v>
      </c>
      <c r="E299" s="17" t="str">
        <f t="shared" si="17"/>
        <v>32</v>
      </c>
      <c r="F299" s="17">
        <f t="shared" si="18"/>
        <v>12</v>
      </c>
      <c r="G299" t="str">
        <f t="shared" si="19"/>
        <v>grudzień</v>
      </c>
    </row>
    <row r="300" spans="1:7" x14ac:dyDescent="0.25">
      <c r="A300" s="5" t="s">
        <v>713</v>
      </c>
      <c r="B300" s="6" t="s">
        <v>714</v>
      </c>
      <c r="C300" s="6" t="s">
        <v>156</v>
      </c>
      <c r="D300" s="7" t="str">
        <f t="shared" si="16"/>
        <v>m</v>
      </c>
      <c r="E300" s="17" t="str">
        <f t="shared" si="17"/>
        <v>32</v>
      </c>
      <c r="F300" s="17">
        <f t="shared" si="18"/>
        <v>12</v>
      </c>
      <c r="G300" t="str">
        <f t="shared" si="19"/>
        <v>grudzień</v>
      </c>
    </row>
    <row r="301" spans="1:7" x14ac:dyDescent="0.25">
      <c r="A301" s="8" t="s">
        <v>715</v>
      </c>
      <c r="B301" s="9" t="s">
        <v>716</v>
      </c>
      <c r="C301" s="9" t="s">
        <v>413</v>
      </c>
      <c r="D301" s="7" t="str">
        <f t="shared" si="16"/>
        <v>k</v>
      </c>
      <c r="E301" s="17" t="str">
        <f t="shared" si="17"/>
        <v>32</v>
      </c>
      <c r="F301" s="17">
        <f t="shared" si="18"/>
        <v>12</v>
      </c>
      <c r="G301" t="str">
        <f t="shared" si="19"/>
        <v>grudzień</v>
      </c>
    </row>
    <row r="302" spans="1:7" x14ac:dyDescent="0.25">
      <c r="A302" s="5" t="s">
        <v>717</v>
      </c>
      <c r="B302" s="6" t="s">
        <v>718</v>
      </c>
      <c r="C302" s="6" t="s">
        <v>25</v>
      </c>
      <c r="D302" s="7" t="str">
        <f t="shared" si="16"/>
        <v>m</v>
      </c>
      <c r="E302" s="17" t="str">
        <f t="shared" si="17"/>
        <v>32</v>
      </c>
      <c r="F302" s="17">
        <f t="shared" si="18"/>
        <v>12</v>
      </c>
      <c r="G302" t="str">
        <f t="shared" si="19"/>
        <v>grudzień</v>
      </c>
    </row>
    <row r="303" spans="1:7" x14ac:dyDescent="0.25">
      <c r="A303" s="8" t="s">
        <v>719</v>
      </c>
      <c r="B303" s="9" t="s">
        <v>720</v>
      </c>
      <c r="C303" s="9" t="s">
        <v>721</v>
      </c>
      <c r="D303" s="7" t="str">
        <f t="shared" si="16"/>
        <v>k</v>
      </c>
      <c r="E303" s="17" t="str">
        <f t="shared" si="17"/>
        <v>32</v>
      </c>
      <c r="F303" s="17">
        <f t="shared" si="18"/>
        <v>12</v>
      </c>
      <c r="G303" t="str">
        <f t="shared" si="19"/>
        <v>grudzień</v>
      </c>
    </row>
    <row r="304" spans="1:7" x14ac:dyDescent="0.25">
      <c r="A304" s="5" t="s">
        <v>722</v>
      </c>
      <c r="B304" s="6" t="s">
        <v>723</v>
      </c>
      <c r="C304" s="6" t="s">
        <v>47</v>
      </c>
      <c r="D304" s="7" t="str">
        <f t="shared" si="16"/>
        <v>m</v>
      </c>
      <c r="E304" s="17" t="str">
        <f t="shared" si="17"/>
        <v>32</v>
      </c>
      <c r="F304" s="17">
        <f t="shared" si="18"/>
        <v>12</v>
      </c>
      <c r="G304" t="str">
        <f t="shared" si="19"/>
        <v>grudzień</v>
      </c>
    </row>
    <row r="305" spans="1:7" x14ac:dyDescent="0.25">
      <c r="A305" s="8" t="s">
        <v>724</v>
      </c>
      <c r="B305" s="9" t="s">
        <v>725</v>
      </c>
      <c r="C305" s="9" t="s">
        <v>419</v>
      </c>
      <c r="D305" s="7" t="str">
        <f t="shared" si="16"/>
        <v>k</v>
      </c>
      <c r="E305" s="17" t="str">
        <f t="shared" si="17"/>
        <v>32</v>
      </c>
      <c r="F305" s="17">
        <f t="shared" si="18"/>
        <v>12</v>
      </c>
      <c r="G305" t="str">
        <f t="shared" si="19"/>
        <v>grudzień</v>
      </c>
    </row>
    <row r="306" spans="1:7" x14ac:dyDescent="0.25">
      <c r="A306" s="5" t="s">
        <v>726</v>
      </c>
      <c r="B306" s="6" t="s">
        <v>415</v>
      </c>
      <c r="C306" s="6" t="s">
        <v>214</v>
      </c>
      <c r="D306" s="7" t="str">
        <f t="shared" si="16"/>
        <v>k</v>
      </c>
      <c r="E306" s="17" t="str">
        <f t="shared" si="17"/>
        <v>32</v>
      </c>
      <c r="F306" s="17">
        <f t="shared" si="18"/>
        <v>12</v>
      </c>
      <c r="G306" t="str">
        <f t="shared" si="19"/>
        <v>grudzień</v>
      </c>
    </row>
    <row r="307" spans="1:7" x14ac:dyDescent="0.25">
      <c r="A307" s="8" t="s">
        <v>727</v>
      </c>
      <c r="B307" s="9" t="s">
        <v>728</v>
      </c>
      <c r="C307" s="9" t="s">
        <v>729</v>
      </c>
      <c r="D307" s="7" t="str">
        <f t="shared" si="16"/>
        <v>k</v>
      </c>
      <c r="E307" s="17" t="str">
        <f t="shared" si="17"/>
        <v>32</v>
      </c>
      <c r="F307" s="17">
        <f t="shared" si="18"/>
        <v>12</v>
      </c>
      <c r="G307" t="str">
        <f t="shared" si="19"/>
        <v>grudzień</v>
      </c>
    </row>
    <row r="308" spans="1:7" x14ac:dyDescent="0.25">
      <c r="A308" s="5" t="s">
        <v>730</v>
      </c>
      <c r="B308" s="6" t="s">
        <v>731</v>
      </c>
      <c r="C308" s="6" t="s">
        <v>111</v>
      </c>
      <c r="D308" s="7" t="str">
        <f t="shared" si="16"/>
        <v>k</v>
      </c>
      <c r="E308" s="17" t="str">
        <f t="shared" si="17"/>
        <v>32</v>
      </c>
      <c r="F308" s="17">
        <f t="shared" si="18"/>
        <v>12</v>
      </c>
      <c r="G308" t="str">
        <f t="shared" si="19"/>
        <v>grudzień</v>
      </c>
    </row>
    <row r="309" spans="1:7" x14ac:dyDescent="0.25">
      <c r="A309" s="8" t="s">
        <v>732</v>
      </c>
      <c r="B309" s="9" t="s">
        <v>733</v>
      </c>
      <c r="C309" s="9" t="s">
        <v>734</v>
      </c>
      <c r="D309" s="7" t="str">
        <f t="shared" si="16"/>
        <v>m</v>
      </c>
      <c r="E309" s="17" t="str">
        <f t="shared" si="17"/>
        <v>32</v>
      </c>
      <c r="F309" s="17">
        <f t="shared" si="18"/>
        <v>12</v>
      </c>
      <c r="G309" t="str">
        <f t="shared" si="19"/>
        <v>grudzień</v>
      </c>
    </row>
    <row r="310" spans="1:7" x14ac:dyDescent="0.25">
      <c r="A310" s="5" t="s">
        <v>735</v>
      </c>
      <c r="B310" s="6" t="s">
        <v>120</v>
      </c>
      <c r="C310" s="6" t="s">
        <v>73</v>
      </c>
      <c r="D310" s="7" t="str">
        <f t="shared" si="16"/>
        <v>m</v>
      </c>
      <c r="E310" s="17" t="str">
        <f t="shared" si="17"/>
        <v>32</v>
      </c>
      <c r="F310" s="17">
        <f t="shared" si="18"/>
        <v>12</v>
      </c>
      <c r="G310" t="str">
        <f t="shared" si="19"/>
        <v>grudzień</v>
      </c>
    </row>
    <row r="311" spans="1:7" x14ac:dyDescent="0.25">
      <c r="A311" s="8" t="s">
        <v>736</v>
      </c>
      <c r="B311" s="9" t="s">
        <v>685</v>
      </c>
      <c r="C311" s="9" t="s">
        <v>219</v>
      </c>
      <c r="D311" s="7" t="str">
        <f t="shared" si="16"/>
        <v>m</v>
      </c>
      <c r="E311" s="17" t="str">
        <f t="shared" si="17"/>
        <v>32</v>
      </c>
      <c r="F311" s="17">
        <f t="shared" si="18"/>
        <v>12</v>
      </c>
      <c r="G311" t="str">
        <f t="shared" si="19"/>
        <v>grudzień</v>
      </c>
    </row>
    <row r="312" spans="1:7" x14ac:dyDescent="0.25">
      <c r="A312" s="5" t="s">
        <v>737</v>
      </c>
      <c r="B312" s="6" t="s">
        <v>738</v>
      </c>
      <c r="C312" s="6" t="s">
        <v>194</v>
      </c>
      <c r="D312" s="7" t="str">
        <f t="shared" si="16"/>
        <v>k</v>
      </c>
      <c r="E312" s="17" t="str">
        <f t="shared" si="17"/>
        <v>32</v>
      </c>
      <c r="F312" s="17">
        <f t="shared" si="18"/>
        <v>12</v>
      </c>
      <c r="G312" t="str">
        <f t="shared" si="19"/>
        <v>grudzień</v>
      </c>
    </row>
    <row r="313" spans="1:7" x14ac:dyDescent="0.25">
      <c r="A313" s="8" t="s">
        <v>739</v>
      </c>
      <c r="B313" s="9" t="s">
        <v>740</v>
      </c>
      <c r="C313" s="9" t="s">
        <v>131</v>
      </c>
      <c r="D313" s="7" t="str">
        <f t="shared" si="16"/>
        <v>k</v>
      </c>
      <c r="E313" s="17" t="str">
        <f t="shared" si="17"/>
        <v>32</v>
      </c>
      <c r="F313" s="17">
        <f t="shared" si="18"/>
        <v>12</v>
      </c>
      <c r="G313" t="str">
        <f t="shared" si="19"/>
        <v>grudzień</v>
      </c>
    </row>
    <row r="314" spans="1:7" x14ac:dyDescent="0.25">
      <c r="A314" s="5" t="s">
        <v>741</v>
      </c>
      <c r="B314" s="6" t="s">
        <v>742</v>
      </c>
      <c r="C314" s="6" t="s">
        <v>89</v>
      </c>
      <c r="D314" s="7" t="str">
        <f t="shared" si="16"/>
        <v>k</v>
      </c>
      <c r="E314" s="17" t="str">
        <f t="shared" si="17"/>
        <v>32</v>
      </c>
      <c r="F314" s="17">
        <f t="shared" si="18"/>
        <v>12</v>
      </c>
      <c r="G314" t="str">
        <f t="shared" si="19"/>
        <v>grudzień</v>
      </c>
    </row>
    <row r="315" spans="1:7" x14ac:dyDescent="0.25">
      <c r="A315" s="8" t="s">
        <v>743</v>
      </c>
      <c r="B315" s="9" t="s">
        <v>744</v>
      </c>
      <c r="C315" s="9" t="s">
        <v>241</v>
      </c>
      <c r="D315" s="7" t="str">
        <f t="shared" si="16"/>
        <v>k</v>
      </c>
      <c r="E315" s="17" t="str">
        <f t="shared" si="17"/>
        <v>32</v>
      </c>
      <c r="F315" s="17">
        <f t="shared" si="18"/>
        <v>12</v>
      </c>
      <c r="G315" t="str">
        <f t="shared" si="19"/>
        <v>grudzień</v>
      </c>
    </row>
    <row r="316" spans="1:7" x14ac:dyDescent="0.25">
      <c r="A316" s="5" t="s">
        <v>745</v>
      </c>
      <c r="B316" s="6" t="s">
        <v>746</v>
      </c>
      <c r="C316" s="6" t="s">
        <v>345</v>
      </c>
      <c r="D316" s="7" t="str">
        <f t="shared" si="16"/>
        <v>k</v>
      </c>
      <c r="E316" s="17" t="str">
        <f t="shared" si="17"/>
        <v>32</v>
      </c>
      <c r="F316" s="17">
        <f t="shared" si="18"/>
        <v>12</v>
      </c>
      <c r="G316" t="str">
        <f t="shared" si="19"/>
        <v>grudzień</v>
      </c>
    </row>
    <row r="317" spans="1:7" x14ac:dyDescent="0.25">
      <c r="A317" s="8" t="s">
        <v>747</v>
      </c>
      <c r="B317" s="9" t="s">
        <v>207</v>
      </c>
      <c r="C317" s="9" t="s">
        <v>208</v>
      </c>
      <c r="D317" s="7" t="str">
        <f t="shared" si="16"/>
        <v>m</v>
      </c>
      <c r="E317" s="17" t="str">
        <f t="shared" si="17"/>
        <v>32</v>
      </c>
      <c r="F317" s="17">
        <f t="shared" si="18"/>
        <v>12</v>
      </c>
      <c r="G317" t="str">
        <f t="shared" si="19"/>
        <v>grudzień</v>
      </c>
    </row>
    <row r="318" spans="1:7" x14ac:dyDescent="0.25">
      <c r="A318" s="5" t="s">
        <v>748</v>
      </c>
      <c r="B318" s="6" t="s">
        <v>749</v>
      </c>
      <c r="C318" s="6" t="s">
        <v>413</v>
      </c>
      <c r="D318" s="7" t="str">
        <f t="shared" si="16"/>
        <v>k</v>
      </c>
      <c r="E318" s="17" t="str">
        <f t="shared" si="17"/>
        <v>32</v>
      </c>
      <c r="F318" s="17">
        <f t="shared" si="18"/>
        <v>12</v>
      </c>
      <c r="G318" t="str">
        <f t="shared" si="19"/>
        <v>grudzień</v>
      </c>
    </row>
    <row r="319" spans="1:7" x14ac:dyDescent="0.25">
      <c r="A319" s="8" t="s">
        <v>750</v>
      </c>
      <c r="B319" s="9" t="s">
        <v>751</v>
      </c>
      <c r="C319" s="9" t="s">
        <v>416</v>
      </c>
      <c r="D319" s="7" t="str">
        <f t="shared" si="16"/>
        <v>k</v>
      </c>
      <c r="E319" s="17" t="str">
        <f t="shared" si="17"/>
        <v>32</v>
      </c>
      <c r="F319" s="17">
        <f t="shared" si="18"/>
        <v>12</v>
      </c>
      <c r="G319" t="str">
        <f t="shared" si="19"/>
        <v>grudzień</v>
      </c>
    </row>
    <row r="320" spans="1:7" x14ac:dyDescent="0.25">
      <c r="A320" s="5" t="s">
        <v>752</v>
      </c>
      <c r="B320" s="6" t="s">
        <v>753</v>
      </c>
      <c r="C320" s="6" t="s">
        <v>754</v>
      </c>
      <c r="D320" s="7" t="str">
        <f t="shared" si="16"/>
        <v>m</v>
      </c>
      <c r="E320" s="17" t="str">
        <f t="shared" si="17"/>
        <v>32</v>
      </c>
      <c r="F320" s="17">
        <f t="shared" si="18"/>
        <v>12</v>
      </c>
      <c r="G320" t="str">
        <f t="shared" si="19"/>
        <v>grudzień</v>
      </c>
    </row>
    <row r="321" spans="1:7" x14ac:dyDescent="0.25">
      <c r="A321" s="8" t="s">
        <v>755</v>
      </c>
      <c r="B321" s="9" t="s">
        <v>107</v>
      </c>
      <c r="C321" s="9" t="s">
        <v>64</v>
      </c>
      <c r="D321" s="7" t="str">
        <f t="shared" si="16"/>
        <v>m</v>
      </c>
      <c r="E321" s="17" t="str">
        <f t="shared" si="17"/>
        <v>32</v>
      </c>
      <c r="F321" s="17">
        <f t="shared" si="18"/>
        <v>12</v>
      </c>
      <c r="G321" t="str">
        <f t="shared" si="19"/>
        <v>grudzień</v>
      </c>
    </row>
    <row r="322" spans="1:7" x14ac:dyDescent="0.25">
      <c r="A322" s="5" t="s">
        <v>756</v>
      </c>
      <c r="B322" s="6" t="s">
        <v>757</v>
      </c>
      <c r="C322" s="6" t="s">
        <v>275</v>
      </c>
      <c r="D322" s="7" t="str">
        <f t="shared" ref="D322:D385" si="20">IF(MOD(LEFT(RIGHT(A322,2),1),2)=0,"k","m")</f>
        <v>k</v>
      </c>
      <c r="E322" s="17" t="str">
        <f t="shared" si="17"/>
        <v>32</v>
      </c>
      <c r="F322" s="17">
        <f t="shared" si="18"/>
        <v>12</v>
      </c>
      <c r="G322" t="str">
        <f t="shared" si="19"/>
        <v>grudzień</v>
      </c>
    </row>
    <row r="323" spans="1:7" x14ac:dyDescent="0.25">
      <c r="A323" s="8" t="s">
        <v>758</v>
      </c>
      <c r="B323" s="9" t="s">
        <v>759</v>
      </c>
      <c r="C323" s="9" t="s">
        <v>760</v>
      </c>
      <c r="D323" s="7" t="str">
        <f t="shared" si="20"/>
        <v>m</v>
      </c>
      <c r="E323" s="17" t="str">
        <f t="shared" ref="E323:E386" si="21">RIGHT(LEFT(A323,4),2)</f>
        <v>32</v>
      </c>
      <c r="F323" s="17">
        <f t="shared" ref="F323:F386" si="22">IF(E323&gt;12,E323-20,E323)</f>
        <v>12</v>
      </c>
      <c r="G323" t="str">
        <f t="shared" ref="G323:G386" si="23">VLOOKUP(F323,$I$2:$J$13,2)</f>
        <v>grudzień</v>
      </c>
    </row>
    <row r="324" spans="1:7" x14ac:dyDescent="0.25">
      <c r="A324" s="5" t="s">
        <v>761</v>
      </c>
      <c r="B324" s="6" t="s">
        <v>762</v>
      </c>
      <c r="C324" s="6" t="s">
        <v>86</v>
      </c>
      <c r="D324" s="7" t="str">
        <f t="shared" si="20"/>
        <v>k</v>
      </c>
      <c r="E324" s="17" t="str">
        <f t="shared" si="21"/>
        <v>32</v>
      </c>
      <c r="F324" s="17">
        <f t="shared" si="22"/>
        <v>12</v>
      </c>
      <c r="G324" t="str">
        <f t="shared" si="23"/>
        <v>grudzień</v>
      </c>
    </row>
    <row r="325" spans="1:7" x14ac:dyDescent="0.25">
      <c r="A325" s="8" t="s">
        <v>763</v>
      </c>
      <c r="B325" s="9" t="s">
        <v>764</v>
      </c>
      <c r="C325" s="9" t="s">
        <v>323</v>
      </c>
      <c r="D325" s="7" t="str">
        <f t="shared" si="20"/>
        <v>k</v>
      </c>
      <c r="E325" s="17" t="str">
        <f t="shared" si="21"/>
        <v>32</v>
      </c>
      <c r="F325" s="17">
        <f t="shared" si="22"/>
        <v>12</v>
      </c>
      <c r="G325" t="str">
        <f t="shared" si="23"/>
        <v>grudzień</v>
      </c>
    </row>
    <row r="326" spans="1:7" x14ac:dyDescent="0.25">
      <c r="A326" s="5" t="s">
        <v>765</v>
      </c>
      <c r="B326" s="6" t="s">
        <v>766</v>
      </c>
      <c r="C326" s="6" t="s">
        <v>767</v>
      </c>
      <c r="D326" s="7" t="str">
        <f t="shared" si="20"/>
        <v>k</v>
      </c>
      <c r="E326" s="17" t="str">
        <f t="shared" si="21"/>
        <v>32</v>
      </c>
      <c r="F326" s="17">
        <f t="shared" si="22"/>
        <v>12</v>
      </c>
      <c r="G326" t="str">
        <f t="shared" si="23"/>
        <v>grudzień</v>
      </c>
    </row>
    <row r="327" spans="1:7" x14ac:dyDescent="0.25">
      <c r="A327" s="8" t="s">
        <v>768</v>
      </c>
      <c r="B327" s="9" t="s">
        <v>769</v>
      </c>
      <c r="C327" s="9" t="s">
        <v>393</v>
      </c>
      <c r="D327" s="7" t="str">
        <f t="shared" si="20"/>
        <v>k</v>
      </c>
      <c r="E327" s="17" t="str">
        <f t="shared" si="21"/>
        <v>32</v>
      </c>
      <c r="F327" s="17">
        <f t="shared" si="22"/>
        <v>12</v>
      </c>
      <c r="G327" t="str">
        <f t="shared" si="23"/>
        <v>grudzień</v>
      </c>
    </row>
    <row r="328" spans="1:7" x14ac:dyDescent="0.25">
      <c r="A328" s="5" t="s">
        <v>770</v>
      </c>
      <c r="B328" s="6" t="s">
        <v>757</v>
      </c>
      <c r="C328" s="6" t="s">
        <v>108</v>
      </c>
      <c r="D328" s="7" t="str">
        <f t="shared" si="20"/>
        <v>m</v>
      </c>
      <c r="E328" s="17" t="str">
        <f t="shared" si="21"/>
        <v>32</v>
      </c>
      <c r="F328" s="17">
        <f t="shared" si="22"/>
        <v>12</v>
      </c>
      <c r="G328" t="str">
        <f t="shared" si="23"/>
        <v>grudzień</v>
      </c>
    </row>
    <row r="329" spans="1:7" x14ac:dyDescent="0.25">
      <c r="A329" s="8" t="s">
        <v>771</v>
      </c>
      <c r="B329" s="9" t="s">
        <v>772</v>
      </c>
      <c r="C329" s="9" t="s">
        <v>485</v>
      </c>
      <c r="D329" s="7" t="str">
        <f t="shared" si="20"/>
        <v>m</v>
      </c>
      <c r="E329" s="17" t="str">
        <f t="shared" si="21"/>
        <v>32</v>
      </c>
      <c r="F329" s="17">
        <f t="shared" si="22"/>
        <v>12</v>
      </c>
      <c r="G329" t="str">
        <f t="shared" si="23"/>
        <v>grudzień</v>
      </c>
    </row>
    <row r="330" spans="1:7" x14ac:dyDescent="0.25">
      <c r="A330" s="5" t="s">
        <v>773</v>
      </c>
      <c r="B330" s="6" t="s">
        <v>774</v>
      </c>
      <c r="C330" s="6" t="s">
        <v>39</v>
      </c>
      <c r="D330" s="7" t="str">
        <f t="shared" si="20"/>
        <v>m</v>
      </c>
      <c r="E330" s="17" t="str">
        <f t="shared" si="21"/>
        <v>32</v>
      </c>
      <c r="F330" s="17">
        <f t="shared" si="22"/>
        <v>12</v>
      </c>
      <c r="G330" t="str">
        <f t="shared" si="23"/>
        <v>grudzień</v>
      </c>
    </row>
    <row r="331" spans="1:7" x14ac:dyDescent="0.25">
      <c r="A331" s="8" t="s">
        <v>775</v>
      </c>
      <c r="B331" s="9" t="s">
        <v>776</v>
      </c>
      <c r="C331" s="9" t="s">
        <v>121</v>
      </c>
      <c r="D331" s="7" t="str">
        <f t="shared" si="20"/>
        <v>m</v>
      </c>
      <c r="E331" s="17" t="str">
        <f t="shared" si="21"/>
        <v>32</v>
      </c>
      <c r="F331" s="17">
        <f t="shared" si="22"/>
        <v>12</v>
      </c>
      <c r="G331" t="str">
        <f t="shared" si="23"/>
        <v>grudzień</v>
      </c>
    </row>
    <row r="332" spans="1:7" x14ac:dyDescent="0.25">
      <c r="A332" s="5" t="s">
        <v>777</v>
      </c>
      <c r="B332" s="6" t="s">
        <v>778</v>
      </c>
      <c r="C332" s="6" t="s">
        <v>266</v>
      </c>
      <c r="D332" s="7" t="str">
        <f t="shared" si="20"/>
        <v>k</v>
      </c>
      <c r="E332" s="17" t="str">
        <f t="shared" si="21"/>
        <v>32</v>
      </c>
      <c r="F332" s="17">
        <f t="shared" si="22"/>
        <v>12</v>
      </c>
      <c r="G332" t="str">
        <f t="shared" si="23"/>
        <v>grudzień</v>
      </c>
    </row>
    <row r="333" spans="1:7" x14ac:dyDescent="0.25">
      <c r="A333" s="8" t="s">
        <v>779</v>
      </c>
      <c r="B333" s="9" t="s">
        <v>780</v>
      </c>
      <c r="C333" s="9" t="s">
        <v>111</v>
      </c>
      <c r="D333" s="7" t="str">
        <f t="shared" si="20"/>
        <v>k</v>
      </c>
      <c r="E333" s="17" t="str">
        <f t="shared" si="21"/>
        <v>32</v>
      </c>
      <c r="F333" s="17">
        <f t="shared" si="22"/>
        <v>12</v>
      </c>
      <c r="G333" t="str">
        <f t="shared" si="23"/>
        <v>grudzień</v>
      </c>
    </row>
    <row r="334" spans="1:7" x14ac:dyDescent="0.25">
      <c r="A334" s="5" t="s">
        <v>781</v>
      </c>
      <c r="B334" s="6" t="s">
        <v>782</v>
      </c>
      <c r="C334" s="6" t="s">
        <v>56</v>
      </c>
      <c r="D334" s="7" t="str">
        <f t="shared" si="20"/>
        <v>k</v>
      </c>
      <c r="E334" s="17" t="str">
        <f t="shared" si="21"/>
        <v>32</v>
      </c>
      <c r="F334" s="17">
        <f t="shared" si="22"/>
        <v>12</v>
      </c>
      <c r="G334" t="str">
        <f t="shared" si="23"/>
        <v>grudzień</v>
      </c>
    </row>
    <row r="335" spans="1:7" x14ac:dyDescent="0.25">
      <c r="A335" s="8" t="s">
        <v>783</v>
      </c>
      <c r="B335" s="9" t="s">
        <v>784</v>
      </c>
      <c r="C335" s="9" t="s">
        <v>202</v>
      </c>
      <c r="D335" s="7" t="str">
        <f t="shared" si="20"/>
        <v>m</v>
      </c>
      <c r="E335" s="17" t="str">
        <f t="shared" si="21"/>
        <v>32</v>
      </c>
      <c r="F335" s="17">
        <f t="shared" si="22"/>
        <v>12</v>
      </c>
      <c r="G335" t="str">
        <f t="shared" si="23"/>
        <v>grudzień</v>
      </c>
    </row>
    <row r="336" spans="1:7" x14ac:dyDescent="0.25">
      <c r="A336" s="5" t="s">
        <v>785</v>
      </c>
      <c r="B336" s="6" t="s">
        <v>786</v>
      </c>
      <c r="C336" s="6" t="s">
        <v>787</v>
      </c>
      <c r="D336" s="7" t="str">
        <f t="shared" si="20"/>
        <v>k</v>
      </c>
      <c r="E336" s="17" t="str">
        <f t="shared" si="21"/>
        <v>32</v>
      </c>
      <c r="F336" s="17">
        <f t="shared" si="22"/>
        <v>12</v>
      </c>
      <c r="G336" t="str">
        <f t="shared" si="23"/>
        <v>grudzień</v>
      </c>
    </row>
    <row r="337" spans="1:7" x14ac:dyDescent="0.25">
      <c r="A337" s="8" t="s">
        <v>788</v>
      </c>
      <c r="B337" s="9" t="s">
        <v>789</v>
      </c>
      <c r="C337" s="9" t="s">
        <v>345</v>
      </c>
      <c r="D337" s="7" t="str">
        <f t="shared" si="20"/>
        <v>k</v>
      </c>
      <c r="E337" s="17" t="str">
        <f t="shared" si="21"/>
        <v>32</v>
      </c>
      <c r="F337" s="17">
        <f t="shared" si="22"/>
        <v>12</v>
      </c>
      <c r="G337" t="str">
        <f t="shared" si="23"/>
        <v>grudzień</v>
      </c>
    </row>
    <row r="338" spans="1:7" x14ac:dyDescent="0.25">
      <c r="A338" s="5" t="s">
        <v>790</v>
      </c>
      <c r="B338" s="6" t="s">
        <v>791</v>
      </c>
      <c r="C338" s="6" t="s">
        <v>260</v>
      </c>
      <c r="D338" s="7" t="str">
        <f t="shared" si="20"/>
        <v>m</v>
      </c>
      <c r="E338" s="17" t="str">
        <f t="shared" si="21"/>
        <v>32</v>
      </c>
      <c r="F338" s="17">
        <f t="shared" si="22"/>
        <v>12</v>
      </c>
      <c r="G338" t="str">
        <f t="shared" si="23"/>
        <v>grudzień</v>
      </c>
    </row>
    <row r="339" spans="1:7" x14ac:dyDescent="0.25">
      <c r="A339" s="8" t="s">
        <v>792</v>
      </c>
      <c r="B339" s="9" t="s">
        <v>629</v>
      </c>
      <c r="C339" s="9" t="s">
        <v>793</v>
      </c>
      <c r="D339" s="7" t="str">
        <f t="shared" si="20"/>
        <v>m</v>
      </c>
      <c r="E339" s="17" t="str">
        <f t="shared" si="21"/>
        <v>32</v>
      </c>
      <c r="F339" s="17">
        <f t="shared" si="22"/>
        <v>12</v>
      </c>
      <c r="G339" t="str">
        <f t="shared" si="23"/>
        <v>grudzień</v>
      </c>
    </row>
    <row r="340" spans="1:7" x14ac:dyDescent="0.25">
      <c r="A340" s="5" t="s">
        <v>794</v>
      </c>
      <c r="B340" s="6" t="s">
        <v>795</v>
      </c>
      <c r="C340" s="6" t="s">
        <v>108</v>
      </c>
      <c r="D340" s="7" t="str">
        <f t="shared" si="20"/>
        <v>m</v>
      </c>
      <c r="E340" s="17" t="str">
        <f t="shared" si="21"/>
        <v>32</v>
      </c>
      <c r="F340" s="17">
        <f t="shared" si="22"/>
        <v>12</v>
      </c>
      <c r="G340" t="str">
        <f t="shared" si="23"/>
        <v>grudzień</v>
      </c>
    </row>
    <row r="341" spans="1:7" x14ac:dyDescent="0.25">
      <c r="A341" s="8" t="s">
        <v>796</v>
      </c>
      <c r="B341" s="9" t="s">
        <v>797</v>
      </c>
      <c r="C341" s="9" t="s">
        <v>78</v>
      </c>
      <c r="D341" s="7" t="str">
        <f t="shared" si="20"/>
        <v>k</v>
      </c>
      <c r="E341" s="17" t="str">
        <f t="shared" si="21"/>
        <v>32</v>
      </c>
      <c r="F341" s="17">
        <f t="shared" si="22"/>
        <v>12</v>
      </c>
      <c r="G341" t="str">
        <f t="shared" si="23"/>
        <v>grudzień</v>
      </c>
    </row>
    <row r="342" spans="1:7" x14ac:dyDescent="0.25">
      <c r="A342" s="5" t="s">
        <v>798</v>
      </c>
      <c r="B342" s="6" t="s">
        <v>799</v>
      </c>
      <c r="C342" s="6" t="s">
        <v>105</v>
      </c>
      <c r="D342" s="7" t="str">
        <f t="shared" si="20"/>
        <v>m</v>
      </c>
      <c r="E342" s="17" t="str">
        <f t="shared" si="21"/>
        <v>32</v>
      </c>
      <c r="F342" s="17">
        <f t="shared" si="22"/>
        <v>12</v>
      </c>
      <c r="G342" t="str">
        <f t="shared" si="23"/>
        <v>grudzień</v>
      </c>
    </row>
    <row r="343" spans="1:7" x14ac:dyDescent="0.25">
      <c r="A343" s="8" t="s">
        <v>800</v>
      </c>
      <c r="B343" s="9" t="s">
        <v>801</v>
      </c>
      <c r="C343" s="9" t="s">
        <v>105</v>
      </c>
      <c r="D343" s="7" t="str">
        <f t="shared" si="20"/>
        <v>m</v>
      </c>
      <c r="E343" s="17" t="str">
        <f t="shared" si="21"/>
        <v>32</v>
      </c>
      <c r="F343" s="17">
        <f t="shared" si="22"/>
        <v>12</v>
      </c>
      <c r="G343" t="str">
        <f t="shared" si="23"/>
        <v>grudzień</v>
      </c>
    </row>
    <row r="344" spans="1:7" x14ac:dyDescent="0.25">
      <c r="A344" s="5" t="s">
        <v>802</v>
      </c>
      <c r="B344" s="6" t="s">
        <v>803</v>
      </c>
      <c r="C344" s="6" t="s">
        <v>11</v>
      </c>
      <c r="D344" s="7" t="str">
        <f t="shared" si="20"/>
        <v>m</v>
      </c>
      <c r="E344" s="17" t="str">
        <f t="shared" si="21"/>
        <v>32</v>
      </c>
      <c r="F344" s="17">
        <f t="shared" si="22"/>
        <v>12</v>
      </c>
      <c r="G344" t="str">
        <f t="shared" si="23"/>
        <v>grudzień</v>
      </c>
    </row>
    <row r="345" spans="1:7" x14ac:dyDescent="0.25">
      <c r="A345" s="8" t="s">
        <v>804</v>
      </c>
      <c r="B345" s="9" t="s">
        <v>805</v>
      </c>
      <c r="C345" s="9" t="s">
        <v>359</v>
      </c>
      <c r="D345" s="7" t="str">
        <f t="shared" si="20"/>
        <v>k</v>
      </c>
      <c r="E345" s="17" t="str">
        <f t="shared" si="21"/>
        <v>32</v>
      </c>
      <c r="F345" s="17">
        <f t="shared" si="22"/>
        <v>12</v>
      </c>
      <c r="G345" t="str">
        <f t="shared" si="23"/>
        <v>grudzień</v>
      </c>
    </row>
    <row r="346" spans="1:7" x14ac:dyDescent="0.25">
      <c r="A346" s="5" t="s">
        <v>806</v>
      </c>
      <c r="B346" s="6" t="s">
        <v>807</v>
      </c>
      <c r="C346" s="6" t="s">
        <v>382</v>
      </c>
      <c r="D346" s="7" t="str">
        <f t="shared" si="20"/>
        <v>k</v>
      </c>
      <c r="E346" s="17" t="str">
        <f t="shared" si="21"/>
        <v>32</v>
      </c>
      <c r="F346" s="17">
        <f t="shared" si="22"/>
        <v>12</v>
      </c>
      <c r="G346" t="str">
        <f t="shared" si="23"/>
        <v>grudzień</v>
      </c>
    </row>
    <row r="347" spans="1:7" x14ac:dyDescent="0.25">
      <c r="A347" s="8" t="s">
        <v>808</v>
      </c>
      <c r="B347" s="9" t="s">
        <v>809</v>
      </c>
      <c r="C347" s="9" t="s">
        <v>505</v>
      </c>
      <c r="D347" s="7" t="str">
        <f t="shared" si="20"/>
        <v>m</v>
      </c>
      <c r="E347" s="17" t="str">
        <f t="shared" si="21"/>
        <v>32</v>
      </c>
      <c r="F347" s="17">
        <f t="shared" si="22"/>
        <v>12</v>
      </c>
      <c r="G347" t="str">
        <f t="shared" si="23"/>
        <v>grudzień</v>
      </c>
    </row>
    <row r="348" spans="1:7" x14ac:dyDescent="0.25">
      <c r="A348" s="5" t="s">
        <v>810</v>
      </c>
      <c r="B348" s="6" t="s">
        <v>811</v>
      </c>
      <c r="C348" s="6" t="s">
        <v>812</v>
      </c>
      <c r="D348" s="7" t="str">
        <f t="shared" si="20"/>
        <v>m</v>
      </c>
      <c r="E348" s="17" t="str">
        <f t="shared" si="21"/>
        <v>32</v>
      </c>
      <c r="F348" s="17">
        <f t="shared" si="22"/>
        <v>12</v>
      </c>
      <c r="G348" t="str">
        <f t="shared" si="23"/>
        <v>grudzień</v>
      </c>
    </row>
    <row r="349" spans="1:7" x14ac:dyDescent="0.25">
      <c r="A349" s="8" t="s">
        <v>813</v>
      </c>
      <c r="B349" s="9" t="s">
        <v>814</v>
      </c>
      <c r="C349" s="9" t="s">
        <v>92</v>
      </c>
      <c r="D349" s="7" t="str">
        <f t="shared" si="20"/>
        <v>m</v>
      </c>
      <c r="E349" s="17" t="str">
        <f t="shared" si="21"/>
        <v>32</v>
      </c>
      <c r="F349" s="17">
        <f t="shared" si="22"/>
        <v>12</v>
      </c>
      <c r="G349" t="str">
        <f t="shared" si="23"/>
        <v>grudzień</v>
      </c>
    </row>
    <row r="350" spans="1:7" x14ac:dyDescent="0.25">
      <c r="A350" s="5" t="s">
        <v>815</v>
      </c>
      <c r="B350" s="6" t="s">
        <v>816</v>
      </c>
      <c r="C350" s="6" t="s">
        <v>166</v>
      </c>
      <c r="D350" s="7" t="str">
        <f t="shared" si="20"/>
        <v>m</v>
      </c>
      <c r="E350" s="17" t="str">
        <f t="shared" si="21"/>
        <v>32</v>
      </c>
      <c r="F350" s="17">
        <f t="shared" si="22"/>
        <v>12</v>
      </c>
      <c r="G350" t="str">
        <f t="shared" si="23"/>
        <v>grudzień</v>
      </c>
    </row>
    <row r="351" spans="1:7" x14ac:dyDescent="0.25">
      <c r="A351" s="8" t="s">
        <v>817</v>
      </c>
      <c r="B351" s="9" t="s">
        <v>818</v>
      </c>
      <c r="C351" s="9" t="s">
        <v>20</v>
      </c>
      <c r="D351" s="7" t="str">
        <f t="shared" si="20"/>
        <v>m</v>
      </c>
      <c r="E351" s="17" t="str">
        <f t="shared" si="21"/>
        <v>32</v>
      </c>
      <c r="F351" s="17">
        <f t="shared" si="22"/>
        <v>12</v>
      </c>
      <c r="G351" t="str">
        <f t="shared" si="23"/>
        <v>grudzień</v>
      </c>
    </row>
    <row r="352" spans="1:7" x14ac:dyDescent="0.25">
      <c r="A352" s="5" t="s">
        <v>819</v>
      </c>
      <c r="B352" s="6" t="s">
        <v>820</v>
      </c>
      <c r="C352" s="6" t="s">
        <v>821</v>
      </c>
      <c r="D352" s="7" t="str">
        <f t="shared" si="20"/>
        <v>m</v>
      </c>
      <c r="E352" s="17" t="str">
        <f t="shared" si="21"/>
        <v>32</v>
      </c>
      <c r="F352" s="17">
        <f t="shared" si="22"/>
        <v>12</v>
      </c>
      <c r="G352" t="str">
        <f t="shared" si="23"/>
        <v>grudzień</v>
      </c>
    </row>
    <row r="353" spans="1:7" x14ac:dyDescent="0.25">
      <c r="A353" s="8" t="s">
        <v>822</v>
      </c>
      <c r="B353" s="9" t="s">
        <v>823</v>
      </c>
      <c r="C353" s="9" t="s">
        <v>824</v>
      </c>
      <c r="D353" s="7" t="str">
        <f t="shared" si="20"/>
        <v>k</v>
      </c>
      <c r="E353" s="17" t="str">
        <f t="shared" si="21"/>
        <v>32</v>
      </c>
      <c r="F353" s="17">
        <f t="shared" si="22"/>
        <v>12</v>
      </c>
      <c r="G353" t="str">
        <f t="shared" si="23"/>
        <v>grudzień</v>
      </c>
    </row>
    <row r="354" spans="1:7" x14ac:dyDescent="0.25">
      <c r="A354" s="5" t="s">
        <v>825</v>
      </c>
      <c r="B354" s="6" t="s">
        <v>826</v>
      </c>
      <c r="C354" s="6" t="s">
        <v>17</v>
      </c>
      <c r="D354" s="7" t="str">
        <f t="shared" si="20"/>
        <v>m</v>
      </c>
      <c r="E354" s="18" t="str">
        <f t="shared" si="21"/>
        <v>02</v>
      </c>
      <c r="F354" s="17">
        <f>IF(E354&gt;12,E354-20+20,E354)</f>
        <v>2</v>
      </c>
      <c r="G354" t="str">
        <f t="shared" si="23"/>
        <v>luty</v>
      </c>
    </row>
    <row r="355" spans="1:7" x14ac:dyDescent="0.25">
      <c r="A355" s="8" t="s">
        <v>827</v>
      </c>
      <c r="B355" s="9" t="s">
        <v>828</v>
      </c>
      <c r="C355" s="9" t="s">
        <v>829</v>
      </c>
      <c r="D355" s="7" t="str">
        <f t="shared" si="20"/>
        <v>k</v>
      </c>
      <c r="E355" s="17" t="str">
        <f t="shared" si="21"/>
        <v>10</v>
      </c>
      <c r="F355" s="17">
        <f t="shared" ref="F355:F418" si="24">IF(E355&gt;12,E355-20+20,E355)</f>
        <v>10</v>
      </c>
      <c r="G355" t="str">
        <f t="shared" si="23"/>
        <v>październik</v>
      </c>
    </row>
    <row r="356" spans="1:7" x14ac:dyDescent="0.25">
      <c r="A356" s="5" t="s">
        <v>830</v>
      </c>
      <c r="B356" s="6" t="s">
        <v>831</v>
      </c>
      <c r="C356" s="6" t="s">
        <v>832</v>
      </c>
      <c r="D356" s="7" t="str">
        <f t="shared" si="20"/>
        <v>m</v>
      </c>
      <c r="E356" s="17" t="str">
        <f t="shared" si="21"/>
        <v>10</v>
      </c>
      <c r="F356" s="17">
        <f t="shared" si="24"/>
        <v>10</v>
      </c>
      <c r="G356" t="str">
        <f t="shared" si="23"/>
        <v>październik</v>
      </c>
    </row>
    <row r="357" spans="1:7" x14ac:dyDescent="0.25">
      <c r="A357" s="8" t="s">
        <v>833</v>
      </c>
      <c r="B357" s="9" t="s">
        <v>834</v>
      </c>
      <c r="C357" s="9" t="s">
        <v>61</v>
      </c>
      <c r="D357" s="7" t="str">
        <f t="shared" si="20"/>
        <v>m</v>
      </c>
      <c r="E357" s="17" t="str">
        <f t="shared" si="21"/>
        <v>01</v>
      </c>
      <c r="F357" s="17">
        <f t="shared" si="24"/>
        <v>1</v>
      </c>
      <c r="G357" t="str">
        <f t="shared" si="23"/>
        <v>styczeń</v>
      </c>
    </row>
    <row r="358" spans="1:7" x14ac:dyDescent="0.25">
      <c r="A358" s="5" t="s">
        <v>835</v>
      </c>
      <c r="B358" s="6" t="s">
        <v>836</v>
      </c>
      <c r="C358" s="6" t="s">
        <v>829</v>
      </c>
      <c r="D358" s="7" t="str">
        <f t="shared" si="20"/>
        <v>k</v>
      </c>
      <c r="E358" s="17" t="str">
        <f t="shared" si="21"/>
        <v>10</v>
      </c>
      <c r="F358" s="17">
        <f t="shared" si="24"/>
        <v>10</v>
      </c>
      <c r="G358" t="str">
        <f t="shared" si="23"/>
        <v>październik</v>
      </c>
    </row>
    <row r="359" spans="1:7" x14ac:dyDescent="0.25">
      <c r="A359" s="8" t="s">
        <v>837</v>
      </c>
      <c r="B359" s="9" t="s">
        <v>838</v>
      </c>
      <c r="C359" s="9" t="s">
        <v>147</v>
      </c>
      <c r="D359" s="7" t="str">
        <f t="shared" si="20"/>
        <v>k</v>
      </c>
      <c r="E359" s="17" t="str">
        <f t="shared" si="21"/>
        <v>10</v>
      </c>
      <c r="F359" s="17">
        <f t="shared" si="24"/>
        <v>10</v>
      </c>
      <c r="G359" t="str">
        <f t="shared" si="23"/>
        <v>październik</v>
      </c>
    </row>
    <row r="360" spans="1:7" x14ac:dyDescent="0.25">
      <c r="A360" s="5" t="s">
        <v>839</v>
      </c>
      <c r="B360" s="6" t="s">
        <v>840</v>
      </c>
      <c r="C360" s="6" t="s">
        <v>841</v>
      </c>
      <c r="D360" s="7" t="str">
        <f t="shared" si="20"/>
        <v>m</v>
      </c>
      <c r="E360" s="17" t="str">
        <f t="shared" si="21"/>
        <v>11</v>
      </c>
      <c r="F360" s="17">
        <f t="shared" si="24"/>
        <v>11</v>
      </c>
      <c r="G360" t="str">
        <f t="shared" si="23"/>
        <v>listopad</v>
      </c>
    </row>
    <row r="361" spans="1:7" x14ac:dyDescent="0.25">
      <c r="A361" s="8" t="s">
        <v>842</v>
      </c>
      <c r="B361" s="9" t="s">
        <v>843</v>
      </c>
      <c r="C361" s="9" t="s">
        <v>841</v>
      </c>
      <c r="D361" s="7" t="str">
        <f t="shared" si="20"/>
        <v>m</v>
      </c>
      <c r="E361" s="17" t="str">
        <f t="shared" si="21"/>
        <v>08</v>
      </c>
      <c r="F361" s="17">
        <f t="shared" si="24"/>
        <v>8</v>
      </c>
      <c r="G361" t="str">
        <f t="shared" si="23"/>
        <v>sierpień</v>
      </c>
    </row>
    <row r="362" spans="1:7" x14ac:dyDescent="0.25">
      <c r="A362" s="5" t="s">
        <v>844</v>
      </c>
      <c r="B362" s="6" t="s">
        <v>845</v>
      </c>
      <c r="C362" s="6" t="s">
        <v>416</v>
      </c>
      <c r="D362" s="7" t="str">
        <f t="shared" si="20"/>
        <v>k</v>
      </c>
      <c r="E362" s="17" t="str">
        <f t="shared" si="21"/>
        <v>12</v>
      </c>
      <c r="F362" s="17">
        <f t="shared" si="24"/>
        <v>12</v>
      </c>
      <c r="G362" t="str">
        <f t="shared" si="23"/>
        <v>grudzień</v>
      </c>
    </row>
    <row r="363" spans="1:7" x14ac:dyDescent="0.25">
      <c r="A363" s="8" t="s">
        <v>846</v>
      </c>
      <c r="B363" s="9" t="s">
        <v>847</v>
      </c>
      <c r="C363" s="9" t="s">
        <v>848</v>
      </c>
      <c r="D363" s="7" t="str">
        <f t="shared" si="20"/>
        <v>m</v>
      </c>
      <c r="E363" s="17" t="str">
        <f t="shared" si="21"/>
        <v>02</v>
      </c>
      <c r="F363" s="17">
        <f t="shared" si="24"/>
        <v>2</v>
      </c>
      <c r="G363" t="str">
        <f t="shared" si="23"/>
        <v>luty</v>
      </c>
    </row>
    <row r="364" spans="1:7" x14ac:dyDescent="0.25">
      <c r="A364" s="5" t="s">
        <v>849</v>
      </c>
      <c r="B364" s="6" t="s">
        <v>850</v>
      </c>
      <c r="C364" s="6" t="s">
        <v>485</v>
      </c>
      <c r="D364" s="7" t="str">
        <f t="shared" si="20"/>
        <v>m</v>
      </c>
      <c r="E364" s="17" t="str">
        <f t="shared" si="21"/>
        <v>02</v>
      </c>
      <c r="F364" s="17">
        <f t="shared" si="24"/>
        <v>2</v>
      </c>
      <c r="G364" t="str">
        <f t="shared" si="23"/>
        <v>luty</v>
      </c>
    </row>
    <row r="365" spans="1:7" x14ac:dyDescent="0.25">
      <c r="A365" s="8" t="s">
        <v>851</v>
      </c>
      <c r="B365" s="9" t="s">
        <v>852</v>
      </c>
      <c r="C365" s="9" t="s">
        <v>121</v>
      </c>
      <c r="D365" s="7" t="str">
        <f t="shared" si="20"/>
        <v>m</v>
      </c>
      <c r="E365" s="17" t="str">
        <f t="shared" si="21"/>
        <v>11</v>
      </c>
      <c r="F365" s="17">
        <f t="shared" si="24"/>
        <v>11</v>
      </c>
      <c r="G365" t="str">
        <f t="shared" si="23"/>
        <v>listopad</v>
      </c>
    </row>
    <row r="366" spans="1:7" x14ac:dyDescent="0.25">
      <c r="A366" s="5" t="s">
        <v>853</v>
      </c>
      <c r="B366" s="6" t="s">
        <v>854</v>
      </c>
      <c r="C366" s="6" t="s">
        <v>855</v>
      </c>
      <c r="D366" s="7" t="str">
        <f t="shared" si="20"/>
        <v>m</v>
      </c>
      <c r="E366" s="17" t="str">
        <f t="shared" si="21"/>
        <v>12</v>
      </c>
      <c r="F366" s="17">
        <f t="shared" si="24"/>
        <v>12</v>
      </c>
      <c r="G366" t="str">
        <f t="shared" si="23"/>
        <v>grudzień</v>
      </c>
    </row>
    <row r="367" spans="1:7" x14ac:dyDescent="0.25">
      <c r="A367" s="8" t="s">
        <v>856</v>
      </c>
      <c r="B367" s="9" t="s">
        <v>857</v>
      </c>
      <c r="C367" s="9" t="s">
        <v>309</v>
      </c>
      <c r="D367" s="7" t="str">
        <f t="shared" si="20"/>
        <v>k</v>
      </c>
      <c r="E367" s="17" t="str">
        <f t="shared" si="21"/>
        <v>11</v>
      </c>
      <c r="F367" s="17">
        <f t="shared" si="24"/>
        <v>11</v>
      </c>
      <c r="G367" t="str">
        <f t="shared" si="23"/>
        <v>listopad</v>
      </c>
    </row>
    <row r="368" spans="1:7" x14ac:dyDescent="0.25">
      <c r="A368" s="5" t="s">
        <v>858</v>
      </c>
      <c r="B368" s="6" t="s">
        <v>859</v>
      </c>
      <c r="C368" s="6" t="s">
        <v>860</v>
      </c>
      <c r="D368" s="7" t="str">
        <f t="shared" si="20"/>
        <v>m</v>
      </c>
      <c r="E368" s="17" t="str">
        <f t="shared" si="21"/>
        <v>07</v>
      </c>
      <c r="F368" s="17">
        <f t="shared" si="24"/>
        <v>7</v>
      </c>
      <c r="G368" t="str">
        <f t="shared" si="23"/>
        <v>lipiec</v>
      </c>
    </row>
    <row r="369" spans="1:7" x14ac:dyDescent="0.25">
      <c r="A369" s="8" t="s">
        <v>861</v>
      </c>
      <c r="B369" s="9" t="s">
        <v>862</v>
      </c>
      <c r="C369" s="9" t="s">
        <v>73</v>
      </c>
      <c r="D369" s="7" t="str">
        <f t="shared" si="20"/>
        <v>m</v>
      </c>
      <c r="E369" s="17" t="str">
        <f t="shared" si="21"/>
        <v>10</v>
      </c>
      <c r="F369" s="17">
        <f t="shared" si="24"/>
        <v>10</v>
      </c>
      <c r="G369" t="str">
        <f t="shared" si="23"/>
        <v>październik</v>
      </c>
    </row>
    <row r="370" spans="1:7" x14ac:dyDescent="0.25">
      <c r="A370" s="5" t="s">
        <v>863</v>
      </c>
      <c r="B370" s="6" t="s">
        <v>864</v>
      </c>
      <c r="C370" s="6" t="s">
        <v>309</v>
      </c>
      <c r="D370" s="7" t="str">
        <f t="shared" si="20"/>
        <v>k</v>
      </c>
      <c r="E370" s="17" t="str">
        <f t="shared" si="21"/>
        <v>12</v>
      </c>
      <c r="F370" s="17">
        <f t="shared" si="24"/>
        <v>12</v>
      </c>
      <c r="G370" t="str">
        <f t="shared" si="23"/>
        <v>grudzień</v>
      </c>
    </row>
    <row r="371" spans="1:7" x14ac:dyDescent="0.25">
      <c r="A371" s="8" t="s">
        <v>865</v>
      </c>
      <c r="B371" s="9" t="s">
        <v>866</v>
      </c>
      <c r="C371" s="9" t="s">
        <v>17</v>
      </c>
      <c r="D371" s="7" t="str">
        <f t="shared" si="20"/>
        <v>m</v>
      </c>
      <c r="E371" s="17" t="str">
        <f t="shared" si="21"/>
        <v>03</v>
      </c>
      <c r="F371" s="17">
        <f t="shared" si="24"/>
        <v>3</v>
      </c>
      <c r="G371" t="str">
        <f t="shared" si="23"/>
        <v>marzec</v>
      </c>
    </row>
    <row r="372" spans="1:7" x14ac:dyDescent="0.25">
      <c r="A372" s="5" t="s">
        <v>867</v>
      </c>
      <c r="B372" s="6" t="s">
        <v>868</v>
      </c>
      <c r="C372" s="6" t="s">
        <v>309</v>
      </c>
      <c r="D372" s="7" t="str">
        <f t="shared" si="20"/>
        <v>k</v>
      </c>
      <c r="E372" s="17" t="str">
        <f t="shared" si="21"/>
        <v>04</v>
      </c>
      <c r="F372" s="17">
        <f t="shared" si="24"/>
        <v>4</v>
      </c>
      <c r="G372" t="str">
        <f t="shared" si="23"/>
        <v>kwiecień</v>
      </c>
    </row>
    <row r="373" spans="1:7" x14ac:dyDescent="0.25">
      <c r="A373" s="8" t="s">
        <v>869</v>
      </c>
      <c r="B373" s="9" t="s">
        <v>870</v>
      </c>
      <c r="C373" s="9" t="s">
        <v>260</v>
      </c>
      <c r="D373" s="7" t="str">
        <f t="shared" si="20"/>
        <v>m</v>
      </c>
      <c r="E373" s="17" t="str">
        <f t="shared" si="21"/>
        <v>08</v>
      </c>
      <c r="F373" s="17">
        <f t="shared" si="24"/>
        <v>8</v>
      </c>
      <c r="G373" t="str">
        <f t="shared" si="23"/>
        <v>sierpień</v>
      </c>
    </row>
    <row r="374" spans="1:7" x14ac:dyDescent="0.25">
      <c r="A374" s="5" t="s">
        <v>871</v>
      </c>
      <c r="B374" s="6" t="s">
        <v>872</v>
      </c>
      <c r="C374" s="6" t="s">
        <v>607</v>
      </c>
      <c r="D374" s="7" t="str">
        <f t="shared" si="20"/>
        <v>k</v>
      </c>
      <c r="E374" s="17" t="str">
        <f t="shared" si="21"/>
        <v>11</v>
      </c>
      <c r="F374" s="17">
        <f t="shared" si="24"/>
        <v>11</v>
      </c>
      <c r="G374" t="str">
        <f t="shared" si="23"/>
        <v>listopad</v>
      </c>
    </row>
    <row r="375" spans="1:7" x14ac:dyDescent="0.25">
      <c r="A375" s="8" t="s">
        <v>873</v>
      </c>
      <c r="B375" s="9" t="s">
        <v>874</v>
      </c>
      <c r="C375" s="9" t="s">
        <v>448</v>
      </c>
      <c r="D375" s="7" t="str">
        <f t="shared" si="20"/>
        <v>k</v>
      </c>
      <c r="E375" s="17" t="str">
        <f t="shared" si="21"/>
        <v>10</v>
      </c>
      <c r="F375" s="17">
        <f t="shared" si="24"/>
        <v>10</v>
      </c>
      <c r="G375" t="str">
        <f t="shared" si="23"/>
        <v>październik</v>
      </c>
    </row>
    <row r="376" spans="1:7" x14ac:dyDescent="0.25">
      <c r="A376" s="5" t="s">
        <v>875</v>
      </c>
      <c r="B376" s="6" t="s">
        <v>876</v>
      </c>
      <c r="C376" s="6" t="s">
        <v>877</v>
      </c>
      <c r="D376" s="7" t="str">
        <f t="shared" si="20"/>
        <v>m</v>
      </c>
      <c r="E376" s="17" t="str">
        <f t="shared" si="21"/>
        <v>03</v>
      </c>
      <c r="F376" s="17">
        <f t="shared" si="24"/>
        <v>3</v>
      </c>
      <c r="G376" t="str">
        <f t="shared" si="23"/>
        <v>marzec</v>
      </c>
    </row>
    <row r="377" spans="1:7" x14ac:dyDescent="0.25">
      <c r="A377" s="8" t="s">
        <v>878</v>
      </c>
      <c r="B377" s="9" t="s">
        <v>879</v>
      </c>
      <c r="C377" s="9" t="s">
        <v>880</v>
      </c>
      <c r="D377" s="7" t="str">
        <f t="shared" si="20"/>
        <v>m</v>
      </c>
      <c r="E377" s="17" t="str">
        <f t="shared" si="21"/>
        <v>10</v>
      </c>
      <c r="F377" s="17">
        <f t="shared" si="24"/>
        <v>10</v>
      </c>
      <c r="G377" t="str">
        <f t="shared" si="23"/>
        <v>październik</v>
      </c>
    </row>
    <row r="378" spans="1:7" x14ac:dyDescent="0.25">
      <c r="A378" s="5" t="s">
        <v>881</v>
      </c>
      <c r="B378" s="6" t="s">
        <v>882</v>
      </c>
      <c r="C378" s="6" t="s">
        <v>309</v>
      </c>
      <c r="D378" s="7" t="str">
        <f t="shared" si="20"/>
        <v>k</v>
      </c>
      <c r="E378" s="17" t="str">
        <f t="shared" si="21"/>
        <v>12</v>
      </c>
      <c r="F378" s="17">
        <f t="shared" si="24"/>
        <v>12</v>
      </c>
      <c r="G378" t="str">
        <f t="shared" si="23"/>
        <v>grudzień</v>
      </c>
    </row>
    <row r="379" spans="1:7" x14ac:dyDescent="0.25">
      <c r="A379" s="8" t="s">
        <v>883</v>
      </c>
      <c r="B379" s="9" t="s">
        <v>884</v>
      </c>
      <c r="C379" s="9" t="s">
        <v>885</v>
      </c>
      <c r="D379" s="7" t="str">
        <f t="shared" si="20"/>
        <v>k</v>
      </c>
      <c r="E379" s="17" t="str">
        <f t="shared" si="21"/>
        <v>03</v>
      </c>
      <c r="F379" s="17">
        <f t="shared" si="24"/>
        <v>3</v>
      </c>
      <c r="G379" t="str">
        <f t="shared" si="23"/>
        <v>marzec</v>
      </c>
    </row>
    <row r="380" spans="1:7" x14ac:dyDescent="0.25">
      <c r="A380" s="5" t="s">
        <v>886</v>
      </c>
      <c r="B380" s="6" t="s">
        <v>887</v>
      </c>
      <c r="C380" s="6" t="s">
        <v>17</v>
      </c>
      <c r="D380" s="7" t="str">
        <f t="shared" si="20"/>
        <v>m</v>
      </c>
      <c r="E380" s="17" t="str">
        <f t="shared" si="21"/>
        <v>09</v>
      </c>
      <c r="F380" s="17">
        <f t="shared" si="24"/>
        <v>9</v>
      </c>
      <c r="G380" t="str">
        <f t="shared" si="23"/>
        <v>wrzesień</v>
      </c>
    </row>
    <row r="381" spans="1:7" x14ac:dyDescent="0.25">
      <c r="A381" s="8" t="s">
        <v>888</v>
      </c>
      <c r="B381" s="9" t="s">
        <v>889</v>
      </c>
      <c r="C381" s="9" t="s">
        <v>359</v>
      </c>
      <c r="D381" s="7" t="str">
        <f t="shared" si="20"/>
        <v>k</v>
      </c>
      <c r="E381" s="17" t="str">
        <f t="shared" si="21"/>
        <v>09</v>
      </c>
      <c r="F381" s="17">
        <f t="shared" si="24"/>
        <v>9</v>
      </c>
      <c r="G381" t="str">
        <f t="shared" si="23"/>
        <v>wrzesień</v>
      </c>
    </row>
    <row r="382" spans="1:7" x14ac:dyDescent="0.25">
      <c r="A382" s="5" t="s">
        <v>890</v>
      </c>
      <c r="B382" s="6" t="s">
        <v>891</v>
      </c>
      <c r="C382" s="6" t="s">
        <v>892</v>
      </c>
      <c r="D382" s="7" t="str">
        <f t="shared" si="20"/>
        <v>k</v>
      </c>
      <c r="E382" s="17" t="str">
        <f t="shared" si="21"/>
        <v>10</v>
      </c>
      <c r="F382" s="17">
        <f t="shared" si="24"/>
        <v>10</v>
      </c>
      <c r="G382" t="str">
        <f t="shared" si="23"/>
        <v>październik</v>
      </c>
    </row>
    <row r="383" spans="1:7" x14ac:dyDescent="0.25">
      <c r="A383" s="8" t="s">
        <v>893</v>
      </c>
      <c r="B383" s="9" t="s">
        <v>894</v>
      </c>
      <c r="C383" s="9" t="s">
        <v>309</v>
      </c>
      <c r="D383" s="7" t="str">
        <f t="shared" si="20"/>
        <v>k</v>
      </c>
      <c r="E383" s="17" t="str">
        <f t="shared" si="21"/>
        <v>12</v>
      </c>
      <c r="F383" s="17">
        <f t="shared" si="24"/>
        <v>12</v>
      </c>
      <c r="G383" t="str">
        <f t="shared" si="23"/>
        <v>grudzień</v>
      </c>
    </row>
    <row r="384" spans="1:7" x14ac:dyDescent="0.25">
      <c r="A384" s="5" t="s">
        <v>895</v>
      </c>
      <c r="B384" s="6" t="s">
        <v>896</v>
      </c>
      <c r="C384" s="6" t="s">
        <v>8</v>
      </c>
      <c r="D384" s="7" t="str">
        <f t="shared" si="20"/>
        <v>m</v>
      </c>
      <c r="E384" s="17" t="str">
        <f t="shared" si="21"/>
        <v>02</v>
      </c>
      <c r="F384" s="17">
        <f t="shared" si="24"/>
        <v>2</v>
      </c>
      <c r="G384" t="str">
        <f t="shared" si="23"/>
        <v>luty</v>
      </c>
    </row>
    <row r="385" spans="1:7" x14ac:dyDescent="0.25">
      <c r="A385" s="8" t="s">
        <v>897</v>
      </c>
      <c r="B385" s="9" t="s">
        <v>898</v>
      </c>
      <c r="C385" s="9" t="s">
        <v>11</v>
      </c>
      <c r="D385" s="7" t="str">
        <f t="shared" si="20"/>
        <v>m</v>
      </c>
      <c r="E385" s="17" t="str">
        <f t="shared" si="21"/>
        <v>04</v>
      </c>
      <c r="F385" s="17">
        <f t="shared" si="24"/>
        <v>4</v>
      </c>
      <c r="G385" t="str">
        <f t="shared" si="23"/>
        <v>kwiecień</v>
      </c>
    </row>
    <row r="386" spans="1:7" x14ac:dyDescent="0.25">
      <c r="A386" s="5" t="s">
        <v>899</v>
      </c>
      <c r="B386" s="6" t="s">
        <v>900</v>
      </c>
      <c r="C386" s="6" t="s">
        <v>166</v>
      </c>
      <c r="D386" s="7" t="str">
        <f t="shared" ref="D386:D449" si="25">IF(MOD(LEFT(RIGHT(A386,2),1),2)=0,"k","m")</f>
        <v>m</v>
      </c>
      <c r="E386" s="17" t="str">
        <f t="shared" si="21"/>
        <v>06</v>
      </c>
      <c r="F386" s="17">
        <f t="shared" si="24"/>
        <v>6</v>
      </c>
      <c r="G386" t="str">
        <f t="shared" si="23"/>
        <v>czerwiec</v>
      </c>
    </row>
    <row r="387" spans="1:7" x14ac:dyDescent="0.25">
      <c r="A387" s="8" t="s">
        <v>901</v>
      </c>
      <c r="B387" s="9" t="s">
        <v>902</v>
      </c>
      <c r="C387" s="9" t="s">
        <v>903</v>
      </c>
      <c r="D387" s="7" t="str">
        <f t="shared" si="25"/>
        <v>k</v>
      </c>
      <c r="E387" s="17" t="str">
        <f t="shared" ref="E387:E450" si="26">RIGHT(LEFT(A387,4),2)</f>
        <v>06</v>
      </c>
      <c r="F387" s="17">
        <f t="shared" si="24"/>
        <v>6</v>
      </c>
      <c r="G387" t="str">
        <f t="shared" ref="G387:G450" si="27">VLOOKUP(F387,$I$2:$J$13,2)</f>
        <v>czerwiec</v>
      </c>
    </row>
    <row r="388" spans="1:7" x14ac:dyDescent="0.25">
      <c r="A388" s="5" t="s">
        <v>904</v>
      </c>
      <c r="B388" s="6" t="s">
        <v>905</v>
      </c>
      <c r="C388" s="6" t="s">
        <v>906</v>
      </c>
      <c r="D388" s="7" t="str">
        <f t="shared" si="25"/>
        <v>m</v>
      </c>
      <c r="E388" s="17" t="str">
        <f t="shared" si="26"/>
        <v>09</v>
      </c>
      <c r="F388" s="17">
        <f t="shared" si="24"/>
        <v>9</v>
      </c>
      <c r="G388" t="str">
        <f t="shared" si="27"/>
        <v>wrzesień</v>
      </c>
    </row>
    <row r="389" spans="1:7" x14ac:dyDescent="0.25">
      <c r="A389" s="8" t="s">
        <v>907</v>
      </c>
      <c r="B389" s="9" t="s">
        <v>908</v>
      </c>
      <c r="C389" s="9" t="s">
        <v>909</v>
      </c>
      <c r="D389" s="7" t="str">
        <f t="shared" si="25"/>
        <v>m</v>
      </c>
      <c r="E389" s="17" t="str">
        <f t="shared" si="26"/>
        <v>10</v>
      </c>
      <c r="F389" s="17">
        <f t="shared" si="24"/>
        <v>10</v>
      </c>
      <c r="G389" t="str">
        <f t="shared" si="27"/>
        <v>październik</v>
      </c>
    </row>
    <row r="390" spans="1:7" x14ac:dyDescent="0.25">
      <c r="A390" s="5" t="s">
        <v>910</v>
      </c>
      <c r="B390" s="6" t="s">
        <v>911</v>
      </c>
      <c r="C390" s="6" t="s">
        <v>39</v>
      </c>
      <c r="D390" s="7" t="str">
        <f t="shared" si="25"/>
        <v>m</v>
      </c>
      <c r="E390" s="17" t="str">
        <f t="shared" si="26"/>
        <v>06</v>
      </c>
      <c r="F390" s="17">
        <f t="shared" si="24"/>
        <v>6</v>
      </c>
      <c r="G390" t="str">
        <f t="shared" si="27"/>
        <v>czerwiec</v>
      </c>
    </row>
    <row r="391" spans="1:7" x14ac:dyDescent="0.25">
      <c r="A391" s="8" t="s">
        <v>912</v>
      </c>
      <c r="B391" s="9" t="s">
        <v>866</v>
      </c>
      <c r="C391" s="9" t="s">
        <v>17</v>
      </c>
      <c r="D391" s="7" t="str">
        <f t="shared" si="25"/>
        <v>m</v>
      </c>
      <c r="E391" s="17" t="str">
        <f t="shared" si="26"/>
        <v>10</v>
      </c>
      <c r="F391" s="17">
        <f t="shared" si="24"/>
        <v>10</v>
      </c>
      <c r="G391" t="str">
        <f t="shared" si="27"/>
        <v>październik</v>
      </c>
    </row>
    <row r="392" spans="1:7" x14ac:dyDescent="0.25">
      <c r="A392" s="5" t="s">
        <v>913</v>
      </c>
      <c r="B392" s="6" t="s">
        <v>914</v>
      </c>
      <c r="C392" s="6" t="s">
        <v>428</v>
      </c>
      <c r="D392" s="7" t="str">
        <f t="shared" si="25"/>
        <v>k</v>
      </c>
      <c r="E392" s="17" t="str">
        <f t="shared" si="26"/>
        <v>10</v>
      </c>
      <c r="F392" s="17">
        <f t="shared" si="24"/>
        <v>10</v>
      </c>
      <c r="G392" t="str">
        <f t="shared" si="27"/>
        <v>październik</v>
      </c>
    </row>
    <row r="393" spans="1:7" x14ac:dyDescent="0.25">
      <c r="A393" s="8" t="s">
        <v>915</v>
      </c>
      <c r="B393" s="9" t="s">
        <v>916</v>
      </c>
      <c r="C393" s="9" t="s">
        <v>211</v>
      </c>
      <c r="D393" s="7" t="str">
        <f t="shared" si="25"/>
        <v>k</v>
      </c>
      <c r="E393" s="17" t="str">
        <f t="shared" si="26"/>
        <v>11</v>
      </c>
      <c r="F393" s="17">
        <f t="shared" si="24"/>
        <v>11</v>
      </c>
      <c r="G393" t="str">
        <f t="shared" si="27"/>
        <v>listopad</v>
      </c>
    </row>
    <row r="394" spans="1:7" x14ac:dyDescent="0.25">
      <c r="A394" s="5" t="s">
        <v>917</v>
      </c>
      <c r="B394" s="6" t="s">
        <v>918</v>
      </c>
      <c r="C394" s="6" t="s">
        <v>848</v>
      </c>
      <c r="D394" s="7" t="str">
        <f t="shared" si="25"/>
        <v>m</v>
      </c>
      <c r="E394" s="17" t="str">
        <f t="shared" si="26"/>
        <v>11</v>
      </c>
      <c r="F394" s="17">
        <f t="shared" si="24"/>
        <v>11</v>
      </c>
      <c r="G394" t="str">
        <f t="shared" si="27"/>
        <v>listopad</v>
      </c>
    </row>
    <row r="395" spans="1:7" x14ac:dyDescent="0.25">
      <c r="A395" s="8" t="s">
        <v>919</v>
      </c>
      <c r="B395" s="9" t="s">
        <v>920</v>
      </c>
      <c r="C395" s="9" t="s">
        <v>309</v>
      </c>
      <c r="D395" s="7" t="str">
        <f t="shared" si="25"/>
        <v>k</v>
      </c>
      <c r="E395" s="17" t="str">
        <f t="shared" si="26"/>
        <v>10</v>
      </c>
      <c r="F395" s="17">
        <f t="shared" si="24"/>
        <v>10</v>
      </c>
      <c r="G395" t="str">
        <f t="shared" si="27"/>
        <v>październik</v>
      </c>
    </row>
    <row r="396" spans="1:7" x14ac:dyDescent="0.25">
      <c r="A396" s="5" t="s">
        <v>921</v>
      </c>
      <c r="B396" s="6" t="s">
        <v>350</v>
      </c>
      <c r="C396" s="6" t="s">
        <v>351</v>
      </c>
      <c r="D396" s="7" t="str">
        <f t="shared" si="25"/>
        <v>k</v>
      </c>
      <c r="E396" s="17" t="str">
        <f t="shared" si="26"/>
        <v>11</v>
      </c>
      <c r="F396" s="17">
        <f t="shared" si="24"/>
        <v>11</v>
      </c>
      <c r="G396" t="str">
        <f t="shared" si="27"/>
        <v>listopad</v>
      </c>
    </row>
    <row r="397" spans="1:7" x14ac:dyDescent="0.25">
      <c r="A397" s="8" t="s">
        <v>922</v>
      </c>
      <c r="B397" s="9" t="s">
        <v>923</v>
      </c>
      <c r="C397" s="9" t="s">
        <v>166</v>
      </c>
      <c r="D397" s="7" t="str">
        <f t="shared" si="25"/>
        <v>m</v>
      </c>
      <c r="E397" s="17" t="str">
        <f t="shared" si="26"/>
        <v>11</v>
      </c>
      <c r="F397" s="17">
        <f t="shared" si="24"/>
        <v>11</v>
      </c>
      <c r="G397" t="str">
        <f t="shared" si="27"/>
        <v>listopad</v>
      </c>
    </row>
    <row r="398" spans="1:7" x14ac:dyDescent="0.25">
      <c r="A398" s="5" t="s">
        <v>924</v>
      </c>
      <c r="B398" s="6" t="s">
        <v>925</v>
      </c>
      <c r="C398" s="6" t="s">
        <v>309</v>
      </c>
      <c r="D398" s="7" t="str">
        <f t="shared" si="25"/>
        <v>k</v>
      </c>
      <c r="E398" s="17" t="str">
        <f t="shared" si="26"/>
        <v>12</v>
      </c>
      <c r="F398" s="17">
        <f t="shared" si="24"/>
        <v>12</v>
      </c>
      <c r="G398" t="str">
        <f t="shared" si="27"/>
        <v>grudzień</v>
      </c>
    </row>
    <row r="399" spans="1:7" x14ac:dyDescent="0.25">
      <c r="A399" s="8" t="s">
        <v>926</v>
      </c>
      <c r="B399" s="9" t="s">
        <v>927</v>
      </c>
      <c r="C399" s="9" t="s">
        <v>260</v>
      </c>
      <c r="D399" s="7" t="str">
        <f t="shared" si="25"/>
        <v>m</v>
      </c>
      <c r="E399" s="17" t="str">
        <f t="shared" si="26"/>
        <v>11</v>
      </c>
      <c r="F399" s="17">
        <f t="shared" si="24"/>
        <v>11</v>
      </c>
      <c r="G399" t="str">
        <f t="shared" si="27"/>
        <v>listopad</v>
      </c>
    </row>
    <row r="400" spans="1:7" x14ac:dyDescent="0.25">
      <c r="A400" s="5" t="s">
        <v>928</v>
      </c>
      <c r="B400" s="6" t="s">
        <v>929</v>
      </c>
      <c r="C400" s="6" t="s">
        <v>39</v>
      </c>
      <c r="D400" s="7" t="str">
        <f t="shared" si="25"/>
        <v>m</v>
      </c>
      <c r="E400" s="17" t="str">
        <f t="shared" si="26"/>
        <v>03</v>
      </c>
      <c r="F400" s="17">
        <f t="shared" si="24"/>
        <v>3</v>
      </c>
      <c r="G400" t="str">
        <f t="shared" si="27"/>
        <v>marzec</v>
      </c>
    </row>
    <row r="401" spans="1:7" x14ac:dyDescent="0.25">
      <c r="A401" s="8" t="s">
        <v>930</v>
      </c>
      <c r="B401" s="9" t="s">
        <v>931</v>
      </c>
      <c r="C401" s="9" t="s">
        <v>485</v>
      </c>
      <c r="D401" s="7" t="str">
        <f t="shared" si="25"/>
        <v>m</v>
      </c>
      <c r="E401" s="17" t="str">
        <f t="shared" si="26"/>
        <v>12</v>
      </c>
      <c r="F401" s="17">
        <f t="shared" si="24"/>
        <v>12</v>
      </c>
      <c r="G401" t="str">
        <f t="shared" si="27"/>
        <v>grudzień</v>
      </c>
    </row>
    <row r="402" spans="1:7" x14ac:dyDescent="0.25">
      <c r="A402" s="5" t="s">
        <v>932</v>
      </c>
      <c r="B402" s="6" t="s">
        <v>933</v>
      </c>
      <c r="C402" s="6" t="s">
        <v>166</v>
      </c>
      <c r="D402" s="7" t="str">
        <f t="shared" si="25"/>
        <v>m</v>
      </c>
      <c r="E402" s="17" t="str">
        <f t="shared" si="26"/>
        <v>03</v>
      </c>
      <c r="F402" s="17">
        <f t="shared" si="24"/>
        <v>3</v>
      </c>
      <c r="G402" t="str">
        <f t="shared" si="27"/>
        <v>marzec</v>
      </c>
    </row>
    <row r="403" spans="1:7" x14ac:dyDescent="0.25">
      <c r="A403" s="8" t="s">
        <v>934</v>
      </c>
      <c r="B403" s="9" t="s">
        <v>935</v>
      </c>
      <c r="C403" s="9" t="s">
        <v>936</v>
      </c>
      <c r="D403" s="7" t="str">
        <f t="shared" si="25"/>
        <v>m</v>
      </c>
      <c r="E403" s="17" t="str">
        <f t="shared" si="26"/>
        <v>05</v>
      </c>
      <c r="F403" s="17">
        <f t="shared" si="24"/>
        <v>5</v>
      </c>
      <c r="G403" t="str">
        <f t="shared" si="27"/>
        <v>maj</v>
      </c>
    </row>
    <row r="404" spans="1:7" x14ac:dyDescent="0.25">
      <c r="A404" s="5" t="s">
        <v>937</v>
      </c>
      <c r="B404" s="6" t="s">
        <v>938</v>
      </c>
      <c r="C404" s="6" t="s">
        <v>266</v>
      </c>
      <c r="D404" s="7" t="str">
        <f t="shared" si="25"/>
        <v>k</v>
      </c>
      <c r="E404" s="17" t="str">
        <f t="shared" si="26"/>
        <v>10</v>
      </c>
      <c r="F404" s="17">
        <f t="shared" si="24"/>
        <v>10</v>
      </c>
      <c r="G404" t="str">
        <f t="shared" si="27"/>
        <v>październik</v>
      </c>
    </row>
    <row r="405" spans="1:7" x14ac:dyDescent="0.25">
      <c r="A405" s="8" t="s">
        <v>939</v>
      </c>
      <c r="B405" s="9" t="s">
        <v>940</v>
      </c>
      <c r="C405" s="9" t="s">
        <v>485</v>
      </c>
      <c r="D405" s="7" t="str">
        <f t="shared" si="25"/>
        <v>m</v>
      </c>
      <c r="E405" s="17" t="str">
        <f t="shared" si="26"/>
        <v>12</v>
      </c>
      <c r="F405" s="17">
        <f t="shared" si="24"/>
        <v>12</v>
      </c>
      <c r="G405" t="str">
        <f t="shared" si="27"/>
        <v>grudzień</v>
      </c>
    </row>
    <row r="406" spans="1:7" x14ac:dyDescent="0.25">
      <c r="A406" s="5" t="s">
        <v>941</v>
      </c>
      <c r="B406" s="6" t="s">
        <v>942</v>
      </c>
      <c r="C406" s="6" t="s">
        <v>166</v>
      </c>
      <c r="D406" s="7" t="str">
        <f t="shared" si="25"/>
        <v>m</v>
      </c>
      <c r="E406" s="17" t="str">
        <f t="shared" si="26"/>
        <v>09</v>
      </c>
      <c r="F406" s="17">
        <f t="shared" si="24"/>
        <v>9</v>
      </c>
      <c r="G406" t="str">
        <f t="shared" si="27"/>
        <v>wrzesień</v>
      </c>
    </row>
    <row r="407" spans="1:7" x14ac:dyDescent="0.25">
      <c r="A407" s="8" t="s">
        <v>943</v>
      </c>
      <c r="B407" s="9" t="s">
        <v>944</v>
      </c>
      <c r="C407" s="9" t="s">
        <v>448</v>
      </c>
      <c r="D407" s="7" t="str">
        <f t="shared" si="25"/>
        <v>k</v>
      </c>
      <c r="E407" s="17" t="str">
        <f t="shared" si="26"/>
        <v>11</v>
      </c>
      <c r="F407" s="17">
        <f t="shared" si="24"/>
        <v>11</v>
      </c>
      <c r="G407" t="str">
        <f t="shared" si="27"/>
        <v>listopad</v>
      </c>
    </row>
    <row r="408" spans="1:7" x14ac:dyDescent="0.25">
      <c r="A408" s="5" t="s">
        <v>945</v>
      </c>
      <c r="B408" s="6" t="s">
        <v>946</v>
      </c>
      <c r="C408" s="6" t="s">
        <v>754</v>
      </c>
      <c r="D408" s="7" t="str">
        <f t="shared" si="25"/>
        <v>m</v>
      </c>
      <c r="E408" s="17" t="str">
        <f t="shared" si="26"/>
        <v>11</v>
      </c>
      <c r="F408" s="17">
        <f t="shared" si="24"/>
        <v>11</v>
      </c>
      <c r="G408" t="str">
        <f t="shared" si="27"/>
        <v>listopad</v>
      </c>
    </row>
    <row r="409" spans="1:7" x14ac:dyDescent="0.25">
      <c r="A409" s="8" t="s">
        <v>947</v>
      </c>
      <c r="B409" s="9" t="s">
        <v>948</v>
      </c>
      <c r="C409" s="9" t="s">
        <v>607</v>
      </c>
      <c r="D409" s="7" t="str">
        <f t="shared" si="25"/>
        <v>k</v>
      </c>
      <c r="E409" s="17" t="str">
        <f t="shared" si="26"/>
        <v>12</v>
      </c>
      <c r="F409" s="17">
        <f t="shared" si="24"/>
        <v>12</v>
      </c>
      <c r="G409" t="str">
        <f t="shared" si="27"/>
        <v>grudzień</v>
      </c>
    </row>
    <row r="410" spans="1:7" x14ac:dyDescent="0.25">
      <c r="A410" s="5" t="s">
        <v>949</v>
      </c>
      <c r="B410" s="6" t="s">
        <v>950</v>
      </c>
      <c r="C410" s="6" t="s">
        <v>951</v>
      </c>
      <c r="D410" s="7" t="str">
        <f t="shared" si="25"/>
        <v>k</v>
      </c>
      <c r="E410" s="17" t="str">
        <f t="shared" si="26"/>
        <v>03</v>
      </c>
      <c r="F410" s="17">
        <f t="shared" si="24"/>
        <v>3</v>
      </c>
      <c r="G410" t="str">
        <f t="shared" si="27"/>
        <v>marzec</v>
      </c>
    </row>
    <row r="411" spans="1:7" x14ac:dyDescent="0.25">
      <c r="A411" s="8" t="s">
        <v>952</v>
      </c>
      <c r="B411" s="9" t="s">
        <v>953</v>
      </c>
      <c r="C411" s="9" t="s">
        <v>73</v>
      </c>
      <c r="D411" s="7" t="str">
        <f t="shared" si="25"/>
        <v>m</v>
      </c>
      <c r="E411" s="17" t="str">
        <f t="shared" si="26"/>
        <v>01</v>
      </c>
      <c r="F411" s="17">
        <f t="shared" si="24"/>
        <v>1</v>
      </c>
      <c r="G411" t="str">
        <f t="shared" si="27"/>
        <v>styczeń</v>
      </c>
    </row>
    <row r="412" spans="1:7" x14ac:dyDescent="0.25">
      <c r="A412" s="5" t="s">
        <v>954</v>
      </c>
      <c r="B412" s="6" t="s">
        <v>955</v>
      </c>
      <c r="C412" s="6" t="s">
        <v>89</v>
      </c>
      <c r="D412" s="7" t="str">
        <f t="shared" si="25"/>
        <v>k</v>
      </c>
      <c r="E412" s="17" t="str">
        <f t="shared" si="26"/>
        <v>07</v>
      </c>
      <c r="F412" s="17">
        <f t="shared" si="24"/>
        <v>7</v>
      </c>
      <c r="G412" t="str">
        <f t="shared" si="27"/>
        <v>lipiec</v>
      </c>
    </row>
    <row r="413" spans="1:7" x14ac:dyDescent="0.25">
      <c r="A413" s="8" t="s">
        <v>956</v>
      </c>
      <c r="B413" s="9" t="s">
        <v>957</v>
      </c>
      <c r="C413" s="9" t="s">
        <v>448</v>
      </c>
      <c r="D413" s="7" t="str">
        <f t="shared" si="25"/>
        <v>k</v>
      </c>
      <c r="E413" s="17" t="str">
        <f t="shared" si="26"/>
        <v>10</v>
      </c>
      <c r="F413" s="17">
        <f t="shared" si="24"/>
        <v>10</v>
      </c>
      <c r="G413" t="str">
        <f t="shared" si="27"/>
        <v>październik</v>
      </c>
    </row>
    <row r="414" spans="1:7" x14ac:dyDescent="0.25">
      <c r="A414" s="5" t="s">
        <v>958</v>
      </c>
      <c r="B414" s="6" t="s">
        <v>207</v>
      </c>
      <c r="C414" s="6" t="s">
        <v>906</v>
      </c>
      <c r="D414" s="7" t="str">
        <f t="shared" si="25"/>
        <v>m</v>
      </c>
      <c r="E414" s="17" t="str">
        <f t="shared" si="26"/>
        <v>11</v>
      </c>
      <c r="F414" s="17">
        <f t="shared" si="24"/>
        <v>11</v>
      </c>
      <c r="G414" t="str">
        <f t="shared" si="27"/>
        <v>listopad</v>
      </c>
    </row>
    <row r="415" spans="1:7" x14ac:dyDescent="0.25">
      <c r="A415" s="8" t="s">
        <v>959</v>
      </c>
      <c r="B415" s="9" t="s">
        <v>960</v>
      </c>
      <c r="C415" s="9" t="s">
        <v>464</v>
      </c>
      <c r="D415" s="7" t="str">
        <f t="shared" si="25"/>
        <v>m</v>
      </c>
      <c r="E415" s="17" t="str">
        <f t="shared" si="26"/>
        <v>04</v>
      </c>
      <c r="F415" s="17">
        <f t="shared" si="24"/>
        <v>4</v>
      </c>
      <c r="G415" t="str">
        <f t="shared" si="27"/>
        <v>kwiecień</v>
      </c>
    </row>
    <row r="416" spans="1:7" x14ac:dyDescent="0.25">
      <c r="A416" s="5" t="s">
        <v>961</v>
      </c>
      <c r="B416" s="6" t="s">
        <v>962</v>
      </c>
      <c r="C416" s="6" t="s">
        <v>428</v>
      </c>
      <c r="D416" s="7" t="str">
        <f t="shared" si="25"/>
        <v>k</v>
      </c>
      <c r="E416" s="17" t="str">
        <f t="shared" si="26"/>
        <v>12</v>
      </c>
      <c r="F416" s="17">
        <f t="shared" si="24"/>
        <v>12</v>
      </c>
      <c r="G416" t="str">
        <f t="shared" si="27"/>
        <v>grudzień</v>
      </c>
    </row>
    <row r="417" spans="1:7" x14ac:dyDescent="0.25">
      <c r="A417" s="8" t="s">
        <v>963</v>
      </c>
      <c r="B417" s="9" t="s">
        <v>964</v>
      </c>
      <c r="C417" s="9" t="s">
        <v>464</v>
      </c>
      <c r="D417" s="7" t="str">
        <f t="shared" si="25"/>
        <v>m</v>
      </c>
      <c r="E417" s="17" t="str">
        <f t="shared" si="26"/>
        <v>12</v>
      </c>
      <c r="F417" s="17">
        <f t="shared" si="24"/>
        <v>12</v>
      </c>
      <c r="G417" t="str">
        <f t="shared" si="27"/>
        <v>grudzień</v>
      </c>
    </row>
    <row r="418" spans="1:7" x14ac:dyDescent="0.25">
      <c r="A418" s="5" t="s">
        <v>965</v>
      </c>
      <c r="B418" s="6" t="s">
        <v>966</v>
      </c>
      <c r="C418" s="6" t="s">
        <v>382</v>
      </c>
      <c r="D418" s="7" t="str">
        <f t="shared" si="25"/>
        <v>k</v>
      </c>
      <c r="E418" s="17" t="str">
        <f t="shared" si="26"/>
        <v>12</v>
      </c>
      <c r="F418" s="17">
        <f t="shared" si="24"/>
        <v>12</v>
      </c>
      <c r="G418" t="str">
        <f t="shared" si="27"/>
        <v>grudzień</v>
      </c>
    </row>
    <row r="419" spans="1:7" x14ac:dyDescent="0.25">
      <c r="A419" s="8" t="s">
        <v>967</v>
      </c>
      <c r="B419" s="9" t="s">
        <v>968</v>
      </c>
      <c r="C419" s="9" t="s">
        <v>73</v>
      </c>
      <c r="D419" s="7" t="str">
        <f t="shared" si="25"/>
        <v>m</v>
      </c>
      <c r="E419" s="17" t="str">
        <f t="shared" si="26"/>
        <v>03</v>
      </c>
      <c r="F419" s="17">
        <f t="shared" ref="F419:F482" si="28">IF(E419&gt;12,E419-20+20,E419)</f>
        <v>3</v>
      </c>
      <c r="G419" t="str">
        <f t="shared" si="27"/>
        <v>marzec</v>
      </c>
    </row>
    <row r="420" spans="1:7" x14ac:dyDescent="0.25">
      <c r="A420" s="5" t="s">
        <v>969</v>
      </c>
      <c r="B420" s="6" t="s">
        <v>970</v>
      </c>
      <c r="C420" s="6" t="s">
        <v>89</v>
      </c>
      <c r="D420" s="7" t="str">
        <f t="shared" si="25"/>
        <v>k</v>
      </c>
      <c r="E420" s="17" t="str">
        <f t="shared" si="26"/>
        <v>11</v>
      </c>
      <c r="F420" s="17">
        <f t="shared" si="28"/>
        <v>11</v>
      </c>
      <c r="G420" t="str">
        <f t="shared" si="27"/>
        <v>listopad</v>
      </c>
    </row>
    <row r="421" spans="1:7" x14ac:dyDescent="0.25">
      <c r="A421" s="8" t="s">
        <v>971</v>
      </c>
      <c r="B421" s="9" t="s">
        <v>972</v>
      </c>
      <c r="C421" s="9" t="s">
        <v>973</v>
      </c>
      <c r="D421" s="7" t="str">
        <f t="shared" si="25"/>
        <v>k</v>
      </c>
      <c r="E421" s="17" t="str">
        <f t="shared" si="26"/>
        <v>12</v>
      </c>
      <c r="F421" s="17">
        <f t="shared" si="28"/>
        <v>12</v>
      </c>
      <c r="G421" t="str">
        <f t="shared" si="27"/>
        <v>grudzień</v>
      </c>
    </row>
    <row r="422" spans="1:7" x14ac:dyDescent="0.25">
      <c r="A422" s="5" t="s">
        <v>974</v>
      </c>
      <c r="B422" s="6" t="s">
        <v>171</v>
      </c>
      <c r="C422" s="6" t="s">
        <v>105</v>
      </c>
      <c r="D422" s="7" t="str">
        <f t="shared" si="25"/>
        <v>m</v>
      </c>
      <c r="E422" s="17" t="str">
        <f t="shared" si="26"/>
        <v>12</v>
      </c>
      <c r="F422" s="17">
        <f t="shared" si="28"/>
        <v>12</v>
      </c>
      <c r="G422" t="str">
        <f t="shared" si="27"/>
        <v>grudzień</v>
      </c>
    </row>
    <row r="423" spans="1:7" x14ac:dyDescent="0.25">
      <c r="A423" s="8" t="s">
        <v>975</v>
      </c>
      <c r="B423" s="9" t="s">
        <v>976</v>
      </c>
      <c r="C423" s="9" t="s">
        <v>39</v>
      </c>
      <c r="D423" s="7" t="str">
        <f t="shared" si="25"/>
        <v>m</v>
      </c>
      <c r="E423" s="17" t="str">
        <f t="shared" si="26"/>
        <v>04</v>
      </c>
      <c r="F423" s="17">
        <f t="shared" si="28"/>
        <v>4</v>
      </c>
      <c r="G423" t="str">
        <f t="shared" si="27"/>
        <v>kwiecień</v>
      </c>
    </row>
    <row r="424" spans="1:7" x14ac:dyDescent="0.25">
      <c r="A424" s="5" t="s">
        <v>977</v>
      </c>
      <c r="B424" s="6" t="s">
        <v>978</v>
      </c>
      <c r="C424" s="6" t="s">
        <v>979</v>
      </c>
      <c r="D424" s="7" t="str">
        <f t="shared" si="25"/>
        <v>k</v>
      </c>
      <c r="E424" s="17" t="str">
        <f t="shared" si="26"/>
        <v>04</v>
      </c>
      <c r="F424" s="17">
        <f t="shared" si="28"/>
        <v>4</v>
      </c>
      <c r="G424" t="str">
        <f t="shared" si="27"/>
        <v>kwiecień</v>
      </c>
    </row>
    <row r="425" spans="1:7" x14ac:dyDescent="0.25">
      <c r="A425" s="8" t="s">
        <v>980</v>
      </c>
      <c r="B425" s="9" t="s">
        <v>981</v>
      </c>
      <c r="C425" s="9" t="s">
        <v>226</v>
      </c>
      <c r="D425" s="7" t="str">
        <f t="shared" si="25"/>
        <v>k</v>
      </c>
      <c r="E425" s="17" t="str">
        <f t="shared" si="26"/>
        <v>12</v>
      </c>
      <c r="F425" s="17">
        <f t="shared" si="28"/>
        <v>12</v>
      </c>
      <c r="G425" t="str">
        <f t="shared" si="27"/>
        <v>grudzień</v>
      </c>
    </row>
    <row r="426" spans="1:7" x14ac:dyDescent="0.25">
      <c r="A426" s="5" t="s">
        <v>982</v>
      </c>
      <c r="B426" s="6" t="s">
        <v>983</v>
      </c>
      <c r="C426" s="6" t="s">
        <v>979</v>
      </c>
      <c r="D426" s="7" t="str">
        <f t="shared" si="25"/>
        <v>k</v>
      </c>
      <c r="E426" s="17" t="str">
        <f t="shared" si="26"/>
        <v>12</v>
      </c>
      <c r="F426" s="17">
        <f t="shared" si="28"/>
        <v>12</v>
      </c>
      <c r="G426" t="str">
        <f t="shared" si="27"/>
        <v>grudzień</v>
      </c>
    </row>
    <row r="427" spans="1:7" x14ac:dyDescent="0.25">
      <c r="A427" s="8" t="s">
        <v>984</v>
      </c>
      <c r="B427" s="9" t="s">
        <v>985</v>
      </c>
      <c r="C427" s="9" t="s">
        <v>260</v>
      </c>
      <c r="D427" s="7" t="str">
        <f t="shared" si="25"/>
        <v>m</v>
      </c>
      <c r="E427" s="17" t="str">
        <f t="shared" si="26"/>
        <v>11</v>
      </c>
      <c r="F427" s="17">
        <f t="shared" si="28"/>
        <v>11</v>
      </c>
      <c r="G427" t="str">
        <f t="shared" si="27"/>
        <v>listopad</v>
      </c>
    </row>
    <row r="428" spans="1:7" x14ac:dyDescent="0.25">
      <c r="A428" s="5" t="s">
        <v>986</v>
      </c>
      <c r="B428" s="6" t="s">
        <v>987</v>
      </c>
      <c r="C428" s="6" t="s">
        <v>309</v>
      </c>
      <c r="D428" s="7" t="str">
        <f t="shared" si="25"/>
        <v>k</v>
      </c>
      <c r="E428" s="17" t="str">
        <f t="shared" si="26"/>
        <v>01</v>
      </c>
      <c r="F428" s="17">
        <f t="shared" si="28"/>
        <v>1</v>
      </c>
      <c r="G428" t="str">
        <f t="shared" si="27"/>
        <v>styczeń</v>
      </c>
    </row>
    <row r="429" spans="1:7" x14ac:dyDescent="0.25">
      <c r="A429" s="8" t="s">
        <v>988</v>
      </c>
      <c r="B429" s="9" t="s">
        <v>989</v>
      </c>
      <c r="C429" s="9" t="s">
        <v>419</v>
      </c>
      <c r="D429" s="7" t="str">
        <f t="shared" si="25"/>
        <v>k</v>
      </c>
      <c r="E429" s="17" t="str">
        <f t="shared" si="26"/>
        <v>10</v>
      </c>
      <c r="F429" s="17">
        <f t="shared" si="28"/>
        <v>10</v>
      </c>
      <c r="G429" t="str">
        <f t="shared" si="27"/>
        <v>październik</v>
      </c>
    </row>
    <row r="430" spans="1:7" x14ac:dyDescent="0.25">
      <c r="A430" s="5" t="s">
        <v>990</v>
      </c>
      <c r="B430" s="6" t="s">
        <v>218</v>
      </c>
      <c r="C430" s="6" t="s">
        <v>166</v>
      </c>
      <c r="D430" s="7" t="str">
        <f t="shared" si="25"/>
        <v>m</v>
      </c>
      <c r="E430" s="17" t="str">
        <f t="shared" si="26"/>
        <v>10</v>
      </c>
      <c r="F430" s="17">
        <f t="shared" si="28"/>
        <v>10</v>
      </c>
      <c r="G430" t="str">
        <f t="shared" si="27"/>
        <v>październik</v>
      </c>
    </row>
    <row r="431" spans="1:7" x14ac:dyDescent="0.25">
      <c r="A431" s="8" t="s">
        <v>991</v>
      </c>
      <c r="B431" s="9" t="s">
        <v>992</v>
      </c>
      <c r="C431" s="9" t="s">
        <v>567</v>
      </c>
      <c r="D431" s="7" t="str">
        <f t="shared" si="25"/>
        <v>m</v>
      </c>
      <c r="E431" s="17" t="str">
        <f t="shared" si="26"/>
        <v>12</v>
      </c>
      <c r="F431" s="17">
        <f t="shared" si="28"/>
        <v>12</v>
      </c>
      <c r="G431" t="str">
        <f t="shared" si="27"/>
        <v>grudzień</v>
      </c>
    </row>
    <row r="432" spans="1:7" x14ac:dyDescent="0.25">
      <c r="A432" s="5" t="s">
        <v>993</v>
      </c>
      <c r="B432" s="6" t="s">
        <v>994</v>
      </c>
      <c r="C432" s="6" t="s">
        <v>419</v>
      </c>
      <c r="D432" s="7" t="str">
        <f t="shared" si="25"/>
        <v>k</v>
      </c>
      <c r="E432" s="17" t="str">
        <f t="shared" si="26"/>
        <v>01</v>
      </c>
      <c r="F432" s="17">
        <f t="shared" si="28"/>
        <v>1</v>
      </c>
      <c r="G432" t="str">
        <f t="shared" si="27"/>
        <v>styczeń</v>
      </c>
    </row>
    <row r="433" spans="1:7" x14ac:dyDescent="0.25">
      <c r="A433" s="8" t="s">
        <v>995</v>
      </c>
      <c r="B433" s="9" t="s">
        <v>996</v>
      </c>
      <c r="C433" s="9" t="s">
        <v>28</v>
      </c>
      <c r="D433" s="7" t="str">
        <f t="shared" si="25"/>
        <v>m</v>
      </c>
      <c r="E433" s="17" t="str">
        <f t="shared" si="26"/>
        <v>07</v>
      </c>
      <c r="F433" s="17">
        <f t="shared" si="28"/>
        <v>7</v>
      </c>
      <c r="G433" t="str">
        <f t="shared" si="27"/>
        <v>lipiec</v>
      </c>
    </row>
    <row r="434" spans="1:7" x14ac:dyDescent="0.25">
      <c r="A434" s="5" t="s">
        <v>997</v>
      </c>
      <c r="B434" s="6" t="s">
        <v>998</v>
      </c>
      <c r="C434" s="6" t="s">
        <v>260</v>
      </c>
      <c r="D434" s="7" t="str">
        <f t="shared" si="25"/>
        <v>m</v>
      </c>
      <c r="E434" s="17" t="str">
        <f t="shared" si="26"/>
        <v>10</v>
      </c>
      <c r="F434" s="17">
        <f t="shared" si="28"/>
        <v>10</v>
      </c>
      <c r="G434" t="str">
        <f t="shared" si="27"/>
        <v>październik</v>
      </c>
    </row>
    <row r="435" spans="1:7" x14ac:dyDescent="0.25">
      <c r="A435" s="8" t="s">
        <v>999</v>
      </c>
      <c r="B435" s="9" t="s">
        <v>1000</v>
      </c>
      <c r="C435" s="9" t="s">
        <v>284</v>
      </c>
      <c r="D435" s="7" t="str">
        <f t="shared" si="25"/>
        <v>k</v>
      </c>
      <c r="E435" s="17" t="str">
        <f t="shared" si="26"/>
        <v>11</v>
      </c>
      <c r="F435" s="17">
        <f t="shared" si="28"/>
        <v>11</v>
      </c>
      <c r="G435" t="str">
        <f t="shared" si="27"/>
        <v>listopad</v>
      </c>
    </row>
    <row r="436" spans="1:7" x14ac:dyDescent="0.25">
      <c r="A436" s="5" t="s">
        <v>1001</v>
      </c>
      <c r="B436" s="6" t="s">
        <v>1002</v>
      </c>
      <c r="C436" s="6" t="s">
        <v>1003</v>
      </c>
      <c r="D436" s="7" t="str">
        <f t="shared" si="25"/>
        <v>k</v>
      </c>
      <c r="E436" s="17" t="str">
        <f t="shared" si="26"/>
        <v>08</v>
      </c>
      <c r="F436" s="17">
        <f t="shared" si="28"/>
        <v>8</v>
      </c>
      <c r="G436" t="str">
        <f t="shared" si="27"/>
        <v>sierpień</v>
      </c>
    </row>
    <row r="437" spans="1:7" x14ac:dyDescent="0.25">
      <c r="A437" s="8" t="s">
        <v>1004</v>
      </c>
      <c r="B437" s="9" t="s">
        <v>1005</v>
      </c>
      <c r="C437" s="9" t="s">
        <v>260</v>
      </c>
      <c r="D437" s="7" t="str">
        <f t="shared" si="25"/>
        <v>m</v>
      </c>
      <c r="E437" s="17" t="str">
        <f t="shared" si="26"/>
        <v>10</v>
      </c>
      <c r="F437" s="17">
        <f t="shared" si="28"/>
        <v>10</v>
      </c>
      <c r="G437" t="str">
        <f t="shared" si="27"/>
        <v>październik</v>
      </c>
    </row>
    <row r="438" spans="1:7" x14ac:dyDescent="0.25">
      <c r="A438" s="5" t="s">
        <v>1006</v>
      </c>
      <c r="B438" s="6" t="s">
        <v>1007</v>
      </c>
      <c r="C438" s="6" t="s">
        <v>263</v>
      </c>
      <c r="D438" s="7" t="str">
        <f t="shared" si="25"/>
        <v>k</v>
      </c>
      <c r="E438" s="17" t="str">
        <f t="shared" si="26"/>
        <v>07</v>
      </c>
      <c r="F438" s="17">
        <f t="shared" si="28"/>
        <v>7</v>
      </c>
      <c r="G438" t="str">
        <f t="shared" si="27"/>
        <v>lipiec</v>
      </c>
    </row>
    <row r="439" spans="1:7" x14ac:dyDescent="0.25">
      <c r="A439" s="8" t="s">
        <v>1008</v>
      </c>
      <c r="B439" s="9" t="s">
        <v>1009</v>
      </c>
      <c r="C439" s="9" t="s">
        <v>1010</v>
      </c>
      <c r="D439" s="7" t="str">
        <f t="shared" si="25"/>
        <v>k</v>
      </c>
      <c r="E439" s="17" t="str">
        <f t="shared" si="26"/>
        <v>04</v>
      </c>
      <c r="F439" s="17">
        <f t="shared" si="28"/>
        <v>4</v>
      </c>
      <c r="G439" t="str">
        <f t="shared" si="27"/>
        <v>kwiecień</v>
      </c>
    </row>
    <row r="440" spans="1:7" x14ac:dyDescent="0.25">
      <c r="A440" s="5" t="s">
        <v>1011</v>
      </c>
      <c r="B440" s="6" t="s">
        <v>1012</v>
      </c>
      <c r="C440" s="6" t="s">
        <v>111</v>
      </c>
      <c r="D440" s="7" t="str">
        <f t="shared" si="25"/>
        <v>k</v>
      </c>
      <c r="E440" s="17" t="str">
        <f t="shared" si="26"/>
        <v>05</v>
      </c>
      <c r="F440" s="17">
        <f t="shared" si="28"/>
        <v>5</v>
      </c>
      <c r="G440" t="str">
        <f t="shared" si="27"/>
        <v>maj</v>
      </c>
    </row>
    <row r="441" spans="1:7" x14ac:dyDescent="0.25">
      <c r="A441" s="8" t="s">
        <v>1013</v>
      </c>
      <c r="B441" s="9" t="s">
        <v>1014</v>
      </c>
      <c r="C441" s="9" t="s">
        <v>936</v>
      </c>
      <c r="D441" s="7" t="str">
        <f t="shared" si="25"/>
        <v>m</v>
      </c>
      <c r="E441" s="17" t="str">
        <f t="shared" si="26"/>
        <v>05</v>
      </c>
      <c r="F441" s="17">
        <f t="shared" si="28"/>
        <v>5</v>
      </c>
      <c r="G441" t="str">
        <f t="shared" si="27"/>
        <v>maj</v>
      </c>
    </row>
    <row r="442" spans="1:7" x14ac:dyDescent="0.25">
      <c r="A442" s="5" t="s">
        <v>1015</v>
      </c>
      <c r="B442" s="6" t="s">
        <v>1016</v>
      </c>
      <c r="C442" s="6" t="s">
        <v>1017</v>
      </c>
      <c r="D442" s="7" t="str">
        <f t="shared" si="25"/>
        <v>k</v>
      </c>
      <c r="E442" s="17" t="str">
        <f t="shared" si="26"/>
        <v>05</v>
      </c>
      <c r="F442" s="17">
        <f t="shared" si="28"/>
        <v>5</v>
      </c>
      <c r="G442" t="str">
        <f t="shared" si="27"/>
        <v>maj</v>
      </c>
    </row>
    <row r="443" spans="1:7" x14ac:dyDescent="0.25">
      <c r="A443" s="8" t="s">
        <v>1018</v>
      </c>
      <c r="B443" s="9" t="s">
        <v>1019</v>
      </c>
      <c r="C443" s="9" t="s">
        <v>1020</v>
      </c>
      <c r="D443" s="7" t="str">
        <f t="shared" si="25"/>
        <v>k</v>
      </c>
      <c r="E443" s="17" t="str">
        <f t="shared" si="26"/>
        <v>11</v>
      </c>
      <c r="F443" s="17">
        <f t="shared" si="28"/>
        <v>11</v>
      </c>
      <c r="G443" t="str">
        <f t="shared" si="27"/>
        <v>listopad</v>
      </c>
    </row>
    <row r="444" spans="1:7" x14ac:dyDescent="0.25">
      <c r="A444" s="5" t="s">
        <v>1021</v>
      </c>
      <c r="B444" s="6" t="s">
        <v>1022</v>
      </c>
      <c r="C444" s="6" t="s">
        <v>419</v>
      </c>
      <c r="D444" s="7" t="str">
        <f t="shared" si="25"/>
        <v>k</v>
      </c>
      <c r="E444" s="17" t="str">
        <f t="shared" si="26"/>
        <v>03</v>
      </c>
      <c r="F444" s="17">
        <f t="shared" si="28"/>
        <v>3</v>
      </c>
      <c r="G444" t="str">
        <f t="shared" si="27"/>
        <v>marzec</v>
      </c>
    </row>
    <row r="445" spans="1:7" x14ac:dyDescent="0.25">
      <c r="A445" s="8" t="s">
        <v>1023</v>
      </c>
      <c r="B445" s="9" t="s">
        <v>1024</v>
      </c>
      <c r="C445" s="9" t="s">
        <v>166</v>
      </c>
      <c r="D445" s="7" t="str">
        <f t="shared" si="25"/>
        <v>m</v>
      </c>
      <c r="E445" s="17" t="str">
        <f t="shared" si="26"/>
        <v>05</v>
      </c>
      <c r="F445" s="17">
        <f t="shared" si="28"/>
        <v>5</v>
      </c>
      <c r="G445" t="str">
        <f t="shared" si="27"/>
        <v>maj</v>
      </c>
    </row>
    <row r="446" spans="1:7" x14ac:dyDescent="0.25">
      <c r="A446" s="5" t="s">
        <v>1025</v>
      </c>
      <c r="B446" s="6" t="s">
        <v>1026</v>
      </c>
      <c r="C446" s="6" t="s">
        <v>275</v>
      </c>
      <c r="D446" s="7" t="str">
        <f t="shared" si="25"/>
        <v>k</v>
      </c>
      <c r="E446" s="17" t="str">
        <f t="shared" si="26"/>
        <v>05</v>
      </c>
      <c r="F446" s="17">
        <f t="shared" si="28"/>
        <v>5</v>
      </c>
      <c r="G446" t="str">
        <f t="shared" si="27"/>
        <v>maj</v>
      </c>
    </row>
    <row r="447" spans="1:7" x14ac:dyDescent="0.25">
      <c r="A447" s="8" t="s">
        <v>1027</v>
      </c>
      <c r="B447" s="9" t="s">
        <v>1028</v>
      </c>
      <c r="C447" s="9" t="s">
        <v>20</v>
      </c>
      <c r="D447" s="7" t="str">
        <f t="shared" si="25"/>
        <v>m</v>
      </c>
      <c r="E447" s="17" t="str">
        <f t="shared" si="26"/>
        <v>05</v>
      </c>
      <c r="F447" s="17">
        <f t="shared" si="28"/>
        <v>5</v>
      </c>
      <c r="G447" t="str">
        <f t="shared" si="27"/>
        <v>maj</v>
      </c>
    </row>
    <row r="448" spans="1:7" x14ac:dyDescent="0.25">
      <c r="A448" s="5" t="s">
        <v>1029</v>
      </c>
      <c r="B448" s="6" t="s">
        <v>1030</v>
      </c>
      <c r="C448" s="6" t="s">
        <v>1031</v>
      </c>
      <c r="D448" s="7" t="str">
        <f t="shared" si="25"/>
        <v>k</v>
      </c>
      <c r="E448" s="17" t="str">
        <f t="shared" si="26"/>
        <v>11</v>
      </c>
      <c r="F448" s="17">
        <f t="shared" si="28"/>
        <v>11</v>
      </c>
      <c r="G448" t="str">
        <f t="shared" si="27"/>
        <v>listopad</v>
      </c>
    </row>
    <row r="449" spans="1:7" x14ac:dyDescent="0.25">
      <c r="A449" s="8" t="s">
        <v>1032</v>
      </c>
      <c r="B449" s="9" t="s">
        <v>1033</v>
      </c>
      <c r="C449" s="9" t="s">
        <v>266</v>
      </c>
      <c r="D449" s="7" t="str">
        <f t="shared" si="25"/>
        <v>k</v>
      </c>
      <c r="E449" s="17" t="str">
        <f t="shared" si="26"/>
        <v>06</v>
      </c>
      <c r="F449" s="17">
        <f t="shared" si="28"/>
        <v>6</v>
      </c>
      <c r="G449" t="str">
        <f t="shared" si="27"/>
        <v>czerwiec</v>
      </c>
    </row>
    <row r="450" spans="1:7" x14ac:dyDescent="0.25">
      <c r="A450" s="5" t="s">
        <v>1034</v>
      </c>
      <c r="B450" s="6" t="s">
        <v>1007</v>
      </c>
      <c r="C450" s="6" t="s">
        <v>413</v>
      </c>
      <c r="D450" s="7" t="str">
        <f t="shared" ref="D450:D495" si="29">IF(MOD(LEFT(RIGHT(A450,2),1),2)=0,"k","m")</f>
        <v>k</v>
      </c>
      <c r="E450" s="17" t="str">
        <f t="shared" si="26"/>
        <v>07</v>
      </c>
      <c r="F450" s="17">
        <f t="shared" si="28"/>
        <v>7</v>
      </c>
      <c r="G450" t="str">
        <f t="shared" si="27"/>
        <v>lipiec</v>
      </c>
    </row>
    <row r="451" spans="1:7" x14ac:dyDescent="0.25">
      <c r="A451" s="8" t="s">
        <v>1035</v>
      </c>
      <c r="B451" s="9" t="s">
        <v>1036</v>
      </c>
      <c r="C451" s="9" t="s">
        <v>214</v>
      </c>
      <c r="D451" s="7" t="str">
        <f t="shared" si="29"/>
        <v>k</v>
      </c>
      <c r="E451" s="17" t="str">
        <f t="shared" ref="E451:E495" si="30">RIGHT(LEFT(A451,4),2)</f>
        <v>07</v>
      </c>
      <c r="F451" s="17">
        <f t="shared" si="28"/>
        <v>7</v>
      </c>
      <c r="G451" t="str">
        <f t="shared" ref="G451:G495" si="31">VLOOKUP(F451,$I$2:$J$13,2)</f>
        <v>lipiec</v>
      </c>
    </row>
    <row r="452" spans="1:7" x14ac:dyDescent="0.25">
      <c r="A452" s="5" t="s">
        <v>1037</v>
      </c>
      <c r="B452" s="6" t="s">
        <v>1038</v>
      </c>
      <c r="C452" s="6" t="s">
        <v>1039</v>
      </c>
      <c r="D452" s="7" t="str">
        <f t="shared" si="29"/>
        <v>k</v>
      </c>
      <c r="E452" s="17" t="str">
        <f t="shared" si="30"/>
        <v>07</v>
      </c>
      <c r="F452" s="17">
        <f t="shared" si="28"/>
        <v>7</v>
      </c>
      <c r="G452" t="str">
        <f t="shared" si="31"/>
        <v>lipiec</v>
      </c>
    </row>
    <row r="453" spans="1:7" x14ac:dyDescent="0.25">
      <c r="A453" s="8" t="s">
        <v>1040</v>
      </c>
      <c r="B453" s="9" t="s">
        <v>1041</v>
      </c>
      <c r="C453" s="9" t="s">
        <v>233</v>
      </c>
      <c r="D453" s="7" t="str">
        <f t="shared" si="29"/>
        <v>k</v>
      </c>
      <c r="E453" s="17" t="str">
        <f t="shared" si="30"/>
        <v>08</v>
      </c>
      <c r="F453" s="17">
        <f t="shared" si="28"/>
        <v>8</v>
      </c>
      <c r="G453" t="str">
        <f t="shared" si="31"/>
        <v>sierpień</v>
      </c>
    </row>
    <row r="454" spans="1:7" x14ac:dyDescent="0.25">
      <c r="A454" s="5" t="s">
        <v>1042</v>
      </c>
      <c r="B454" s="6" t="s">
        <v>1043</v>
      </c>
      <c r="C454" s="6" t="s">
        <v>89</v>
      </c>
      <c r="D454" s="7" t="str">
        <f t="shared" si="29"/>
        <v>k</v>
      </c>
      <c r="E454" s="17" t="str">
        <f t="shared" si="30"/>
        <v>08</v>
      </c>
      <c r="F454" s="17">
        <f t="shared" si="28"/>
        <v>8</v>
      </c>
      <c r="G454" t="str">
        <f t="shared" si="31"/>
        <v>sierpień</v>
      </c>
    </row>
    <row r="455" spans="1:7" x14ac:dyDescent="0.25">
      <c r="A455" s="8" t="s">
        <v>1044</v>
      </c>
      <c r="B455" s="9" t="s">
        <v>1045</v>
      </c>
      <c r="C455" s="9" t="s">
        <v>1046</v>
      </c>
      <c r="D455" s="7" t="str">
        <f t="shared" si="29"/>
        <v>m</v>
      </c>
      <c r="E455" s="17" t="str">
        <f t="shared" si="30"/>
        <v>07</v>
      </c>
      <c r="F455" s="17">
        <f t="shared" si="28"/>
        <v>7</v>
      </c>
      <c r="G455" t="str">
        <f t="shared" si="31"/>
        <v>lipiec</v>
      </c>
    </row>
    <row r="456" spans="1:7" x14ac:dyDescent="0.25">
      <c r="A456" s="5" t="s">
        <v>1047</v>
      </c>
      <c r="B456" s="6" t="s">
        <v>1048</v>
      </c>
      <c r="C456" s="6" t="s">
        <v>83</v>
      </c>
      <c r="D456" s="7" t="str">
        <f t="shared" si="29"/>
        <v>k</v>
      </c>
      <c r="E456" s="17" t="str">
        <f t="shared" si="30"/>
        <v>07</v>
      </c>
      <c r="F456" s="17">
        <f t="shared" si="28"/>
        <v>7</v>
      </c>
      <c r="G456" t="str">
        <f t="shared" si="31"/>
        <v>lipiec</v>
      </c>
    </row>
    <row r="457" spans="1:7" x14ac:dyDescent="0.25">
      <c r="A457" s="8" t="s">
        <v>1049</v>
      </c>
      <c r="B457" s="9" t="s">
        <v>1050</v>
      </c>
      <c r="C457" s="9" t="s">
        <v>194</v>
      </c>
      <c r="D457" s="7" t="str">
        <f t="shared" si="29"/>
        <v>k</v>
      </c>
      <c r="E457" s="17" t="str">
        <f t="shared" si="30"/>
        <v>07</v>
      </c>
      <c r="F457" s="17">
        <f t="shared" si="28"/>
        <v>7</v>
      </c>
      <c r="G457" t="str">
        <f t="shared" si="31"/>
        <v>lipiec</v>
      </c>
    </row>
    <row r="458" spans="1:7" x14ac:dyDescent="0.25">
      <c r="A458" s="5" t="s">
        <v>1051</v>
      </c>
      <c r="B458" s="6" t="s">
        <v>1052</v>
      </c>
      <c r="C458" s="6" t="s">
        <v>194</v>
      </c>
      <c r="D458" s="7" t="str">
        <f t="shared" si="29"/>
        <v>k</v>
      </c>
      <c r="E458" s="17" t="str">
        <f t="shared" si="30"/>
        <v>08</v>
      </c>
      <c r="F458" s="17">
        <f t="shared" si="28"/>
        <v>8</v>
      </c>
      <c r="G458" t="str">
        <f t="shared" si="31"/>
        <v>sierpień</v>
      </c>
    </row>
    <row r="459" spans="1:7" x14ac:dyDescent="0.25">
      <c r="A459" s="8" t="s">
        <v>1053</v>
      </c>
      <c r="B459" s="9" t="s">
        <v>1054</v>
      </c>
      <c r="C459" s="9" t="s">
        <v>166</v>
      </c>
      <c r="D459" s="7" t="str">
        <f t="shared" si="29"/>
        <v>m</v>
      </c>
      <c r="E459" s="17" t="str">
        <f t="shared" si="30"/>
        <v>08</v>
      </c>
      <c r="F459" s="17">
        <f t="shared" si="28"/>
        <v>8</v>
      </c>
      <c r="G459" t="str">
        <f t="shared" si="31"/>
        <v>sierpień</v>
      </c>
    </row>
    <row r="460" spans="1:7" x14ac:dyDescent="0.25">
      <c r="A460" s="5" t="s">
        <v>1055</v>
      </c>
      <c r="B460" s="6" t="s">
        <v>1056</v>
      </c>
      <c r="C460" s="6" t="s">
        <v>70</v>
      </c>
      <c r="D460" s="7" t="str">
        <f t="shared" si="29"/>
        <v>k</v>
      </c>
      <c r="E460" s="17" t="str">
        <f t="shared" si="30"/>
        <v>08</v>
      </c>
      <c r="F460" s="17">
        <f t="shared" si="28"/>
        <v>8</v>
      </c>
      <c r="G460" t="str">
        <f t="shared" si="31"/>
        <v>sierpień</v>
      </c>
    </row>
    <row r="461" spans="1:7" x14ac:dyDescent="0.25">
      <c r="A461" s="8" t="s">
        <v>1057</v>
      </c>
      <c r="B461" s="9" t="s">
        <v>1058</v>
      </c>
      <c r="C461" s="9" t="s">
        <v>223</v>
      </c>
      <c r="D461" s="7" t="str">
        <f t="shared" si="29"/>
        <v>m</v>
      </c>
      <c r="E461" s="17" t="str">
        <f t="shared" si="30"/>
        <v>10</v>
      </c>
      <c r="F461" s="17">
        <f t="shared" si="28"/>
        <v>10</v>
      </c>
      <c r="G461" t="str">
        <f t="shared" si="31"/>
        <v>październik</v>
      </c>
    </row>
    <row r="462" spans="1:7" x14ac:dyDescent="0.25">
      <c r="A462" s="5" t="s">
        <v>1059</v>
      </c>
      <c r="B462" s="6" t="s">
        <v>1060</v>
      </c>
      <c r="C462" s="6" t="s">
        <v>419</v>
      </c>
      <c r="D462" s="7" t="str">
        <f t="shared" si="29"/>
        <v>k</v>
      </c>
      <c r="E462" s="17" t="str">
        <f t="shared" si="30"/>
        <v>11</v>
      </c>
      <c r="F462" s="17">
        <f t="shared" si="28"/>
        <v>11</v>
      </c>
      <c r="G462" t="str">
        <f t="shared" si="31"/>
        <v>listopad</v>
      </c>
    </row>
    <row r="463" spans="1:7" x14ac:dyDescent="0.25">
      <c r="A463" s="8" t="s">
        <v>1061</v>
      </c>
      <c r="B463" s="9" t="s">
        <v>1062</v>
      </c>
      <c r="C463" s="9" t="s">
        <v>89</v>
      </c>
      <c r="D463" s="7" t="str">
        <f t="shared" si="29"/>
        <v>k</v>
      </c>
      <c r="E463" s="17" t="str">
        <f t="shared" si="30"/>
        <v>12</v>
      </c>
      <c r="F463" s="17">
        <f t="shared" si="28"/>
        <v>12</v>
      </c>
      <c r="G463" t="str">
        <f t="shared" si="31"/>
        <v>grudzień</v>
      </c>
    </row>
    <row r="464" spans="1:7" x14ac:dyDescent="0.25">
      <c r="A464" s="5" t="s">
        <v>1063</v>
      </c>
      <c r="B464" s="6" t="s">
        <v>1064</v>
      </c>
      <c r="C464" s="6" t="s">
        <v>147</v>
      </c>
      <c r="D464" s="7" t="str">
        <f t="shared" si="29"/>
        <v>k</v>
      </c>
      <c r="E464" s="17" t="str">
        <f t="shared" si="30"/>
        <v>01</v>
      </c>
      <c r="F464" s="17">
        <f t="shared" si="28"/>
        <v>1</v>
      </c>
      <c r="G464" t="str">
        <f t="shared" si="31"/>
        <v>styczeń</v>
      </c>
    </row>
    <row r="465" spans="1:7" x14ac:dyDescent="0.25">
      <c r="A465" s="8" t="s">
        <v>1065</v>
      </c>
      <c r="B465" s="9" t="s">
        <v>1066</v>
      </c>
      <c r="C465" s="9" t="s">
        <v>142</v>
      </c>
      <c r="D465" s="7" t="str">
        <f t="shared" si="29"/>
        <v>k</v>
      </c>
      <c r="E465" s="17" t="str">
        <f t="shared" si="30"/>
        <v>01</v>
      </c>
      <c r="F465" s="17">
        <f t="shared" si="28"/>
        <v>1</v>
      </c>
      <c r="G465" t="str">
        <f t="shared" si="31"/>
        <v>styczeń</v>
      </c>
    </row>
    <row r="466" spans="1:7" x14ac:dyDescent="0.25">
      <c r="A466" s="5" t="s">
        <v>1067</v>
      </c>
      <c r="B466" s="6" t="s">
        <v>1068</v>
      </c>
      <c r="C466" s="6" t="s">
        <v>56</v>
      </c>
      <c r="D466" s="7" t="str">
        <f t="shared" si="29"/>
        <v>k</v>
      </c>
      <c r="E466" s="17" t="str">
        <f t="shared" si="30"/>
        <v>01</v>
      </c>
      <c r="F466" s="17">
        <f t="shared" si="28"/>
        <v>1</v>
      </c>
      <c r="G466" t="str">
        <f t="shared" si="31"/>
        <v>styczeń</v>
      </c>
    </row>
    <row r="467" spans="1:7" x14ac:dyDescent="0.25">
      <c r="A467" s="8" t="s">
        <v>1069</v>
      </c>
      <c r="B467" s="9" t="s">
        <v>1070</v>
      </c>
      <c r="C467" s="9" t="s">
        <v>260</v>
      </c>
      <c r="D467" s="7" t="str">
        <f t="shared" si="29"/>
        <v>m</v>
      </c>
      <c r="E467" s="17" t="str">
        <f t="shared" si="30"/>
        <v>01</v>
      </c>
      <c r="F467" s="17">
        <f t="shared" si="28"/>
        <v>1</v>
      </c>
      <c r="G467" t="str">
        <f t="shared" si="31"/>
        <v>styczeń</v>
      </c>
    </row>
    <row r="468" spans="1:7" x14ac:dyDescent="0.25">
      <c r="A468" s="5" t="s">
        <v>1071</v>
      </c>
      <c r="B468" s="6" t="s">
        <v>1072</v>
      </c>
      <c r="C468" s="6" t="s">
        <v>121</v>
      </c>
      <c r="D468" s="7" t="str">
        <f t="shared" si="29"/>
        <v>m</v>
      </c>
      <c r="E468" s="17" t="str">
        <f t="shared" si="30"/>
        <v>01</v>
      </c>
      <c r="F468" s="17">
        <f t="shared" si="28"/>
        <v>1</v>
      </c>
      <c r="G468" t="str">
        <f t="shared" si="31"/>
        <v>styczeń</v>
      </c>
    </row>
    <row r="469" spans="1:7" x14ac:dyDescent="0.25">
      <c r="A469" s="8" t="s">
        <v>1073</v>
      </c>
      <c r="B469" s="9" t="s">
        <v>1074</v>
      </c>
      <c r="C469" s="9" t="s">
        <v>166</v>
      </c>
      <c r="D469" s="7" t="str">
        <f t="shared" si="29"/>
        <v>m</v>
      </c>
      <c r="E469" s="17" t="str">
        <f t="shared" si="30"/>
        <v>02</v>
      </c>
      <c r="F469" s="17">
        <f t="shared" si="28"/>
        <v>2</v>
      </c>
      <c r="G469" t="str">
        <f t="shared" si="31"/>
        <v>luty</v>
      </c>
    </row>
    <row r="470" spans="1:7" x14ac:dyDescent="0.25">
      <c r="A470" s="5" t="s">
        <v>1075</v>
      </c>
      <c r="B470" s="6" t="s">
        <v>1076</v>
      </c>
      <c r="C470" s="6" t="s">
        <v>121</v>
      </c>
      <c r="D470" s="7" t="str">
        <f t="shared" si="29"/>
        <v>m</v>
      </c>
      <c r="E470" s="17" t="str">
        <f t="shared" si="30"/>
        <v>02</v>
      </c>
      <c r="F470" s="17">
        <f t="shared" si="28"/>
        <v>2</v>
      </c>
      <c r="G470" t="str">
        <f t="shared" si="31"/>
        <v>luty</v>
      </c>
    </row>
    <row r="471" spans="1:7" x14ac:dyDescent="0.25">
      <c r="A471" s="8" t="s">
        <v>1077</v>
      </c>
      <c r="B471" s="9" t="s">
        <v>123</v>
      </c>
      <c r="C471" s="9" t="s">
        <v>223</v>
      </c>
      <c r="D471" s="7" t="str">
        <f t="shared" si="29"/>
        <v>m</v>
      </c>
      <c r="E471" s="17" t="str">
        <f t="shared" si="30"/>
        <v>02</v>
      </c>
      <c r="F471" s="17">
        <f t="shared" si="28"/>
        <v>2</v>
      </c>
      <c r="G471" t="str">
        <f t="shared" si="31"/>
        <v>luty</v>
      </c>
    </row>
    <row r="472" spans="1:7" x14ac:dyDescent="0.25">
      <c r="A472" s="5" t="s">
        <v>1078</v>
      </c>
      <c r="B472" s="6" t="s">
        <v>1079</v>
      </c>
      <c r="C472" s="6" t="s">
        <v>64</v>
      </c>
      <c r="D472" s="7" t="str">
        <f t="shared" si="29"/>
        <v>m</v>
      </c>
      <c r="E472" s="17" t="str">
        <f t="shared" si="30"/>
        <v>02</v>
      </c>
      <c r="F472" s="17">
        <f t="shared" si="28"/>
        <v>2</v>
      </c>
      <c r="G472" t="str">
        <f t="shared" si="31"/>
        <v>luty</v>
      </c>
    </row>
    <row r="473" spans="1:7" x14ac:dyDescent="0.25">
      <c r="A473" s="8" t="s">
        <v>1080</v>
      </c>
      <c r="B473" s="9" t="s">
        <v>1081</v>
      </c>
      <c r="C473" s="9" t="s">
        <v>17</v>
      </c>
      <c r="D473" s="7" t="str">
        <f t="shared" si="29"/>
        <v>m</v>
      </c>
      <c r="E473" s="17" t="str">
        <f t="shared" si="30"/>
        <v>03</v>
      </c>
      <c r="F473" s="17">
        <f t="shared" si="28"/>
        <v>3</v>
      </c>
      <c r="G473" t="str">
        <f t="shared" si="31"/>
        <v>marzec</v>
      </c>
    </row>
    <row r="474" spans="1:7" x14ac:dyDescent="0.25">
      <c r="A474" s="5" t="s">
        <v>1082</v>
      </c>
      <c r="B474" s="6" t="s">
        <v>1083</v>
      </c>
      <c r="C474" s="6" t="s">
        <v>1084</v>
      </c>
      <c r="D474" s="7" t="str">
        <f t="shared" si="29"/>
        <v>k</v>
      </c>
      <c r="E474" s="17" t="str">
        <f t="shared" si="30"/>
        <v>04</v>
      </c>
      <c r="F474" s="17">
        <f t="shared" si="28"/>
        <v>4</v>
      </c>
      <c r="G474" t="str">
        <f t="shared" si="31"/>
        <v>kwiecień</v>
      </c>
    </row>
    <row r="475" spans="1:7" x14ac:dyDescent="0.25">
      <c r="A475" s="8" t="s">
        <v>1085</v>
      </c>
      <c r="B475" s="9" t="s">
        <v>1086</v>
      </c>
      <c r="C475" s="9" t="s">
        <v>428</v>
      </c>
      <c r="D475" s="7" t="str">
        <f t="shared" si="29"/>
        <v>k</v>
      </c>
      <c r="E475" s="17" t="str">
        <f t="shared" si="30"/>
        <v>04</v>
      </c>
      <c r="F475" s="17">
        <f t="shared" si="28"/>
        <v>4</v>
      </c>
      <c r="G475" t="str">
        <f t="shared" si="31"/>
        <v>kwiecień</v>
      </c>
    </row>
    <row r="476" spans="1:7" x14ac:dyDescent="0.25">
      <c r="A476" s="5" t="s">
        <v>1087</v>
      </c>
      <c r="B476" s="6" t="s">
        <v>1088</v>
      </c>
      <c r="C476" s="6" t="s">
        <v>275</v>
      </c>
      <c r="D476" s="7" t="str">
        <f t="shared" si="29"/>
        <v>k</v>
      </c>
      <c r="E476" s="17" t="str">
        <f t="shared" si="30"/>
        <v>04</v>
      </c>
      <c r="F476" s="17">
        <f t="shared" si="28"/>
        <v>4</v>
      </c>
      <c r="G476" t="str">
        <f t="shared" si="31"/>
        <v>kwiecień</v>
      </c>
    </row>
    <row r="477" spans="1:7" x14ac:dyDescent="0.25">
      <c r="A477" s="8" t="s">
        <v>1089</v>
      </c>
      <c r="B477" s="9" t="s">
        <v>1090</v>
      </c>
      <c r="C477" s="9" t="s">
        <v>25</v>
      </c>
      <c r="D477" s="7" t="str">
        <f t="shared" si="29"/>
        <v>m</v>
      </c>
      <c r="E477" s="17" t="str">
        <f t="shared" si="30"/>
        <v>04</v>
      </c>
      <c r="F477" s="17">
        <f t="shared" si="28"/>
        <v>4</v>
      </c>
      <c r="G477" t="str">
        <f t="shared" si="31"/>
        <v>kwiecień</v>
      </c>
    </row>
    <row r="478" spans="1:7" x14ac:dyDescent="0.25">
      <c r="A478" s="5" t="s">
        <v>1091</v>
      </c>
      <c r="B478" s="6" t="s">
        <v>1092</v>
      </c>
      <c r="C478" s="6" t="s">
        <v>219</v>
      </c>
      <c r="D478" s="7" t="str">
        <f t="shared" si="29"/>
        <v>m</v>
      </c>
      <c r="E478" s="17" t="str">
        <f t="shared" si="30"/>
        <v>04</v>
      </c>
      <c r="F478" s="17">
        <f t="shared" si="28"/>
        <v>4</v>
      </c>
      <c r="G478" t="str">
        <f t="shared" si="31"/>
        <v>kwiecień</v>
      </c>
    </row>
    <row r="479" spans="1:7" x14ac:dyDescent="0.25">
      <c r="A479" s="8" t="s">
        <v>1093</v>
      </c>
      <c r="B479" s="9" t="s">
        <v>1094</v>
      </c>
      <c r="C479" s="9" t="s">
        <v>1095</v>
      </c>
      <c r="D479" s="7" t="str">
        <f t="shared" si="29"/>
        <v>m</v>
      </c>
      <c r="E479" s="17" t="str">
        <f t="shared" si="30"/>
        <v>04</v>
      </c>
      <c r="F479" s="17">
        <f t="shared" si="28"/>
        <v>4</v>
      </c>
      <c r="G479" t="str">
        <f t="shared" si="31"/>
        <v>kwiecień</v>
      </c>
    </row>
    <row r="480" spans="1:7" x14ac:dyDescent="0.25">
      <c r="A480" s="5" t="s">
        <v>1096</v>
      </c>
      <c r="B480" s="6" t="s">
        <v>1097</v>
      </c>
      <c r="C480" s="6" t="s">
        <v>166</v>
      </c>
      <c r="D480" s="7" t="str">
        <f t="shared" si="29"/>
        <v>m</v>
      </c>
      <c r="E480" s="17" t="str">
        <f t="shared" si="30"/>
        <v>04</v>
      </c>
      <c r="F480" s="17">
        <f t="shared" si="28"/>
        <v>4</v>
      </c>
      <c r="G480" t="str">
        <f t="shared" si="31"/>
        <v>kwiecień</v>
      </c>
    </row>
    <row r="481" spans="1:7" x14ac:dyDescent="0.25">
      <c r="A481" s="8" t="s">
        <v>1098</v>
      </c>
      <c r="B481" s="9" t="s">
        <v>1099</v>
      </c>
      <c r="C481" s="9" t="s">
        <v>137</v>
      </c>
      <c r="D481" s="7" t="str">
        <f t="shared" si="29"/>
        <v>k</v>
      </c>
      <c r="E481" s="17" t="str">
        <f t="shared" si="30"/>
        <v>05</v>
      </c>
      <c r="F481" s="17">
        <f t="shared" si="28"/>
        <v>5</v>
      </c>
      <c r="G481" t="str">
        <f t="shared" si="31"/>
        <v>maj</v>
      </c>
    </row>
    <row r="482" spans="1:7" x14ac:dyDescent="0.25">
      <c r="A482" s="5" t="s">
        <v>1100</v>
      </c>
      <c r="B482" s="6" t="s">
        <v>1101</v>
      </c>
      <c r="C482" s="6" t="s">
        <v>287</v>
      </c>
      <c r="D482" s="7" t="str">
        <f t="shared" si="29"/>
        <v>m</v>
      </c>
      <c r="E482" s="17" t="str">
        <f t="shared" si="30"/>
        <v>05</v>
      </c>
      <c r="F482" s="17">
        <f t="shared" si="28"/>
        <v>5</v>
      </c>
      <c r="G482" t="str">
        <f t="shared" si="31"/>
        <v>maj</v>
      </c>
    </row>
    <row r="483" spans="1:7" x14ac:dyDescent="0.25">
      <c r="A483" s="8" t="s">
        <v>1102</v>
      </c>
      <c r="B483" s="9" t="s">
        <v>1103</v>
      </c>
      <c r="C483" s="9" t="s">
        <v>617</v>
      </c>
      <c r="D483" s="7" t="str">
        <f t="shared" si="29"/>
        <v>k</v>
      </c>
      <c r="E483" s="17" t="str">
        <f t="shared" si="30"/>
        <v>06</v>
      </c>
      <c r="F483" s="17">
        <f t="shared" ref="F483:F495" si="32">IF(E483&gt;12,E483-20+20,E483)</f>
        <v>6</v>
      </c>
      <c r="G483" t="str">
        <f t="shared" si="31"/>
        <v>czerwiec</v>
      </c>
    </row>
    <row r="484" spans="1:7" x14ac:dyDescent="0.25">
      <c r="A484" s="5" t="s">
        <v>1104</v>
      </c>
      <c r="B484" s="6" t="s">
        <v>1105</v>
      </c>
      <c r="C484" s="6" t="s">
        <v>89</v>
      </c>
      <c r="D484" s="7" t="str">
        <f t="shared" si="29"/>
        <v>k</v>
      </c>
      <c r="E484" s="17" t="str">
        <f t="shared" si="30"/>
        <v>08</v>
      </c>
      <c r="F484" s="17">
        <f t="shared" si="32"/>
        <v>8</v>
      </c>
      <c r="G484" t="str">
        <f t="shared" si="31"/>
        <v>sierpień</v>
      </c>
    </row>
    <row r="485" spans="1:7" x14ac:dyDescent="0.25">
      <c r="A485" s="8" t="s">
        <v>1106</v>
      </c>
      <c r="B485" s="9" t="s">
        <v>1107</v>
      </c>
      <c r="C485" s="9" t="s">
        <v>50</v>
      </c>
      <c r="D485" s="7" t="str">
        <f t="shared" si="29"/>
        <v>m</v>
      </c>
      <c r="E485" s="17" t="str">
        <f t="shared" si="30"/>
        <v>08</v>
      </c>
      <c r="F485" s="17">
        <f t="shared" si="32"/>
        <v>8</v>
      </c>
      <c r="G485" t="str">
        <f t="shared" si="31"/>
        <v>sierpień</v>
      </c>
    </row>
    <row r="486" spans="1:7" x14ac:dyDescent="0.25">
      <c r="A486" s="5" t="s">
        <v>1108</v>
      </c>
      <c r="B486" s="6" t="s">
        <v>586</v>
      </c>
      <c r="C486" s="6" t="s">
        <v>223</v>
      </c>
      <c r="D486" s="7" t="str">
        <f t="shared" si="29"/>
        <v>m</v>
      </c>
      <c r="E486" s="17" t="str">
        <f t="shared" si="30"/>
        <v>08</v>
      </c>
      <c r="F486" s="17">
        <f t="shared" si="32"/>
        <v>8</v>
      </c>
      <c r="G486" t="str">
        <f t="shared" si="31"/>
        <v>sierpień</v>
      </c>
    </row>
    <row r="487" spans="1:7" x14ac:dyDescent="0.25">
      <c r="A487" s="8" t="s">
        <v>1109</v>
      </c>
      <c r="B487" s="9" t="s">
        <v>1110</v>
      </c>
      <c r="C487" s="9" t="s">
        <v>1111</v>
      </c>
      <c r="D487" s="7" t="str">
        <f t="shared" si="29"/>
        <v>m</v>
      </c>
      <c r="E487" s="17" t="str">
        <f t="shared" si="30"/>
        <v>09</v>
      </c>
      <c r="F487" s="17">
        <f t="shared" si="32"/>
        <v>9</v>
      </c>
      <c r="G487" t="str">
        <f t="shared" si="31"/>
        <v>wrzesień</v>
      </c>
    </row>
    <row r="488" spans="1:7" x14ac:dyDescent="0.25">
      <c r="A488" s="5" t="s">
        <v>1112</v>
      </c>
      <c r="B488" s="6" t="s">
        <v>1113</v>
      </c>
      <c r="C488" s="6" t="s">
        <v>36</v>
      </c>
      <c r="D488" s="7" t="str">
        <f t="shared" si="29"/>
        <v>m</v>
      </c>
      <c r="E488" s="17" t="str">
        <f t="shared" si="30"/>
        <v>10</v>
      </c>
      <c r="F488" s="17">
        <f t="shared" si="32"/>
        <v>10</v>
      </c>
      <c r="G488" t="str">
        <f t="shared" si="31"/>
        <v>październik</v>
      </c>
    </row>
    <row r="489" spans="1:7" x14ac:dyDescent="0.25">
      <c r="A489" s="8" t="s">
        <v>1114</v>
      </c>
      <c r="B489" s="9" t="s">
        <v>1115</v>
      </c>
      <c r="C489" s="9" t="s">
        <v>464</v>
      </c>
      <c r="D489" s="7" t="str">
        <f t="shared" si="29"/>
        <v>m</v>
      </c>
      <c r="E489" s="17" t="str">
        <f t="shared" si="30"/>
        <v>10</v>
      </c>
      <c r="F489" s="17">
        <f t="shared" si="32"/>
        <v>10</v>
      </c>
      <c r="G489" t="str">
        <f t="shared" si="31"/>
        <v>październik</v>
      </c>
    </row>
    <row r="490" spans="1:7" x14ac:dyDescent="0.25">
      <c r="A490" s="5" t="s">
        <v>1116</v>
      </c>
      <c r="B490" s="6" t="s">
        <v>1117</v>
      </c>
      <c r="C490" s="6" t="s">
        <v>340</v>
      </c>
      <c r="D490" s="7" t="str">
        <f t="shared" si="29"/>
        <v>k</v>
      </c>
      <c r="E490" s="17" t="str">
        <f t="shared" si="30"/>
        <v>11</v>
      </c>
      <c r="F490" s="17">
        <f t="shared" si="32"/>
        <v>11</v>
      </c>
      <c r="G490" t="str">
        <f t="shared" si="31"/>
        <v>listopad</v>
      </c>
    </row>
    <row r="491" spans="1:7" x14ac:dyDescent="0.25">
      <c r="A491" s="8" t="s">
        <v>1118</v>
      </c>
      <c r="B491" s="9" t="s">
        <v>1119</v>
      </c>
      <c r="C491" s="9" t="s">
        <v>86</v>
      </c>
      <c r="D491" s="7" t="str">
        <f t="shared" si="29"/>
        <v>k</v>
      </c>
      <c r="E491" s="17" t="str">
        <f t="shared" si="30"/>
        <v>12</v>
      </c>
      <c r="F491" s="17">
        <f t="shared" si="32"/>
        <v>12</v>
      </c>
      <c r="G491" t="str">
        <f t="shared" si="31"/>
        <v>grudzień</v>
      </c>
    </row>
    <row r="492" spans="1:7" x14ac:dyDescent="0.25">
      <c r="A492" s="5" t="s">
        <v>1120</v>
      </c>
      <c r="B492" s="6" t="s">
        <v>1121</v>
      </c>
      <c r="C492" s="6" t="s">
        <v>223</v>
      </c>
      <c r="D492" s="7" t="str">
        <f t="shared" si="29"/>
        <v>m</v>
      </c>
      <c r="E492" s="17" t="str">
        <f t="shared" si="30"/>
        <v>05</v>
      </c>
      <c r="F492" s="17">
        <f t="shared" si="32"/>
        <v>5</v>
      </c>
      <c r="G492" t="str">
        <f t="shared" si="31"/>
        <v>maj</v>
      </c>
    </row>
    <row r="493" spans="1:7" x14ac:dyDescent="0.25">
      <c r="A493" s="8" t="s">
        <v>1122</v>
      </c>
      <c r="B493" s="9" t="s">
        <v>1123</v>
      </c>
      <c r="C493" s="9" t="s">
        <v>92</v>
      </c>
      <c r="D493" s="7" t="str">
        <f t="shared" si="29"/>
        <v>m</v>
      </c>
      <c r="E493" s="17" t="str">
        <f t="shared" si="30"/>
        <v>11</v>
      </c>
      <c r="F493" s="17">
        <f t="shared" si="32"/>
        <v>11</v>
      </c>
      <c r="G493" t="str">
        <f t="shared" si="31"/>
        <v>listopad</v>
      </c>
    </row>
    <row r="494" spans="1:7" x14ac:dyDescent="0.25">
      <c r="A494" s="5" t="s">
        <v>1124</v>
      </c>
      <c r="B494" s="6" t="s">
        <v>168</v>
      </c>
      <c r="C494" s="6" t="s">
        <v>880</v>
      </c>
      <c r="D494" s="7" t="str">
        <f t="shared" si="29"/>
        <v>m</v>
      </c>
      <c r="E494" s="17" t="str">
        <f t="shared" si="30"/>
        <v>02</v>
      </c>
      <c r="F494" s="17">
        <f t="shared" si="32"/>
        <v>2</v>
      </c>
      <c r="G494" t="str">
        <f t="shared" si="31"/>
        <v>luty</v>
      </c>
    </row>
    <row r="495" spans="1:7" x14ac:dyDescent="0.25">
      <c r="A495" s="10" t="s">
        <v>1125</v>
      </c>
      <c r="B495" s="11" t="s">
        <v>1126</v>
      </c>
      <c r="C495" s="11" t="s">
        <v>121</v>
      </c>
      <c r="D495" s="7" t="str">
        <f t="shared" si="29"/>
        <v>m</v>
      </c>
      <c r="E495" s="17" t="str">
        <f t="shared" si="30"/>
        <v>08</v>
      </c>
      <c r="F495" s="17">
        <f t="shared" si="32"/>
        <v>8</v>
      </c>
      <c r="G495" t="str">
        <f t="shared" si="31"/>
        <v>sierpień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0098E-5990-4EBD-9AB1-A2497181BCEB}">
  <dimension ref="A1:L495"/>
  <sheetViews>
    <sheetView tabSelected="1" zoomScale="205" zoomScaleNormal="205" workbookViewId="0">
      <selection activeCell="L3" sqref="L3:L21"/>
    </sheetView>
  </sheetViews>
  <sheetFormatPr defaultRowHeight="15" x14ac:dyDescent="0.25"/>
  <cols>
    <col min="1" max="1" width="12" bestFit="1" customWidth="1"/>
    <col min="2" max="2" width="14.85546875" bestFit="1" customWidth="1"/>
    <col min="3" max="3" width="12.140625" bestFit="1" customWidth="1"/>
    <col min="9" max="9" width="17.7109375" bestFit="1" customWidth="1"/>
    <col min="10" max="10" width="13.140625" bestFit="1" customWidth="1"/>
  </cols>
  <sheetData>
    <row r="1" spans="1:12" x14ac:dyDescent="0.25">
      <c r="A1" s="2" t="s">
        <v>0</v>
      </c>
      <c r="B1" s="3" t="s">
        <v>1</v>
      </c>
      <c r="C1" s="3" t="s">
        <v>2</v>
      </c>
      <c r="D1" s="4" t="s">
        <v>1127</v>
      </c>
      <c r="E1" s="12" t="s">
        <v>1150</v>
      </c>
      <c r="F1" s="12" t="s">
        <v>1151</v>
      </c>
      <c r="G1" s="12" t="s">
        <v>1152</v>
      </c>
      <c r="H1" t="s">
        <v>1149</v>
      </c>
    </row>
    <row r="2" spans="1:12" x14ac:dyDescent="0.25">
      <c r="A2" s="5" t="s">
        <v>3</v>
      </c>
      <c r="B2" s="6" t="s">
        <v>4</v>
      </c>
      <c r="C2" s="6" t="s">
        <v>5</v>
      </c>
      <c r="D2" s="7" t="str">
        <f t="shared" ref="D2:D65" si="0">IF(MOD(LEFT(RIGHT(A2,2),1),2)=0,"k","m")</f>
        <v>m</v>
      </c>
      <c r="E2" t="str">
        <f>LEFT(C2,1)</f>
        <v>K</v>
      </c>
      <c r="F2" t="str">
        <f>LEFT(B2,3)</f>
        <v>Mic</v>
      </c>
      <c r="G2" t="str">
        <f>RIGHT(A2,1)</f>
        <v>5</v>
      </c>
      <c r="H2" t="str">
        <f>_xlfn.TEXTJOIN(,,E2,F2,G2)</f>
        <v>KMic5</v>
      </c>
      <c r="I2" s="13" t="s">
        <v>1129</v>
      </c>
      <c r="J2" t="s">
        <v>1131</v>
      </c>
    </row>
    <row r="3" spans="1:12" x14ac:dyDescent="0.25">
      <c r="A3" s="8" t="s">
        <v>6</v>
      </c>
      <c r="B3" s="9" t="s">
        <v>7</v>
      </c>
      <c r="C3" s="9" t="s">
        <v>8</v>
      </c>
      <c r="D3" s="7" t="str">
        <f t="shared" si="0"/>
        <v>m</v>
      </c>
      <c r="E3" t="str">
        <f t="shared" ref="E3:E66" si="1">LEFT(C3,1)</f>
        <v>N</v>
      </c>
      <c r="F3" t="str">
        <f t="shared" ref="F3:F66" si="2">LEFT(B3,3)</f>
        <v>Jab</v>
      </c>
      <c r="G3" t="str">
        <f t="shared" ref="G3:G66" si="3">RIGHT(A3,1)</f>
        <v>1</v>
      </c>
      <c r="H3" t="str">
        <f t="shared" ref="H3:H66" si="4">_xlfn.TEXTJOIN(,,E3,F3,G3)</f>
        <v>NJab1</v>
      </c>
      <c r="I3" s="14" t="s">
        <v>1153</v>
      </c>
      <c r="J3" s="1">
        <v>2</v>
      </c>
      <c r="L3" s="14" t="s">
        <v>1153</v>
      </c>
    </row>
    <row r="4" spans="1:12" x14ac:dyDescent="0.25">
      <c r="A4" s="5" t="s">
        <v>9</v>
      </c>
      <c r="B4" s="6" t="s">
        <v>10</v>
      </c>
      <c r="C4" s="6" t="s">
        <v>11</v>
      </c>
      <c r="D4" s="7" t="str">
        <f t="shared" si="0"/>
        <v>m</v>
      </c>
      <c r="E4" t="str">
        <f t="shared" si="1"/>
        <v>M</v>
      </c>
      <c r="F4" t="str">
        <f t="shared" si="2"/>
        <v>Leo</v>
      </c>
      <c r="G4" t="str">
        <f t="shared" si="3"/>
        <v>5</v>
      </c>
      <c r="H4" t="str">
        <f t="shared" si="4"/>
        <v>MLeo5</v>
      </c>
      <c r="I4" s="14" t="s">
        <v>1154</v>
      </c>
      <c r="J4" s="1">
        <v>2</v>
      </c>
      <c r="L4" s="14" t="s">
        <v>1154</v>
      </c>
    </row>
    <row r="5" spans="1:12" x14ac:dyDescent="0.25">
      <c r="A5" s="8" t="s">
        <v>12</v>
      </c>
      <c r="B5" s="9" t="s">
        <v>13</v>
      </c>
      <c r="C5" s="9" t="s">
        <v>14</v>
      </c>
      <c r="D5" s="7" t="str">
        <f>IF(MOD(LEFT(RIGHT(A5,2),1),2)=0,"k","m")</f>
        <v>m</v>
      </c>
      <c r="E5" t="str">
        <f t="shared" si="1"/>
        <v>M</v>
      </c>
      <c r="F5" t="str">
        <f t="shared" si="2"/>
        <v>Kur</v>
      </c>
      <c r="G5" t="str">
        <f t="shared" si="3"/>
        <v>9</v>
      </c>
      <c r="H5" t="str">
        <f t="shared" si="4"/>
        <v>MKur9</v>
      </c>
      <c r="I5" s="14" t="s">
        <v>1155</v>
      </c>
      <c r="J5" s="1">
        <v>2</v>
      </c>
      <c r="L5" s="14" t="s">
        <v>1155</v>
      </c>
    </row>
    <row r="6" spans="1:12" x14ac:dyDescent="0.25">
      <c r="A6" s="5" t="s">
        <v>15</v>
      </c>
      <c r="B6" s="6" t="s">
        <v>16</v>
      </c>
      <c r="C6" s="6" t="s">
        <v>17</v>
      </c>
      <c r="D6" s="7" t="str">
        <f t="shared" si="0"/>
        <v>m</v>
      </c>
      <c r="E6" t="str">
        <f t="shared" si="1"/>
        <v>M</v>
      </c>
      <c r="F6" t="str">
        <f t="shared" si="2"/>
        <v>Kry</v>
      </c>
      <c r="G6" t="str">
        <f t="shared" si="3"/>
        <v>8</v>
      </c>
      <c r="H6" t="str">
        <f t="shared" si="4"/>
        <v>MKry8</v>
      </c>
      <c r="I6" s="14" t="s">
        <v>1156</v>
      </c>
      <c r="J6" s="1">
        <v>2</v>
      </c>
      <c r="L6" s="14" t="s">
        <v>1156</v>
      </c>
    </row>
    <row r="7" spans="1:12" x14ac:dyDescent="0.25">
      <c r="A7" s="8" t="s">
        <v>18</v>
      </c>
      <c r="B7" s="9" t="s">
        <v>19</v>
      </c>
      <c r="C7" s="9" t="s">
        <v>20</v>
      </c>
      <c r="D7" s="7" t="str">
        <f t="shared" si="0"/>
        <v>m</v>
      </c>
      <c r="E7" t="str">
        <f t="shared" si="1"/>
        <v>P</v>
      </c>
      <c r="F7" t="str">
        <f t="shared" si="2"/>
        <v>Gib</v>
      </c>
      <c r="G7" t="str">
        <f t="shared" si="3"/>
        <v>8</v>
      </c>
      <c r="H7" t="str">
        <f t="shared" si="4"/>
        <v>PGib8</v>
      </c>
      <c r="I7" s="14" t="s">
        <v>1157</v>
      </c>
      <c r="J7" s="1">
        <v>2</v>
      </c>
      <c r="L7" s="14" t="s">
        <v>1157</v>
      </c>
    </row>
    <row r="8" spans="1:12" x14ac:dyDescent="0.25">
      <c r="A8" s="5" t="s">
        <v>21</v>
      </c>
      <c r="B8" s="6" t="s">
        <v>22</v>
      </c>
      <c r="C8" s="6" t="s">
        <v>8</v>
      </c>
      <c r="D8" s="7" t="str">
        <f t="shared" si="0"/>
        <v>m</v>
      </c>
      <c r="E8" t="str">
        <f t="shared" si="1"/>
        <v>N</v>
      </c>
      <c r="F8" t="str">
        <f t="shared" si="2"/>
        <v>Jam</v>
      </c>
      <c r="G8" t="str">
        <f t="shared" si="3"/>
        <v>6</v>
      </c>
      <c r="H8" t="str">
        <f t="shared" si="4"/>
        <v>NJam6</v>
      </c>
      <c r="I8" s="14" t="s">
        <v>1158</v>
      </c>
      <c r="J8" s="1">
        <v>2</v>
      </c>
      <c r="L8" s="14" t="s">
        <v>1158</v>
      </c>
    </row>
    <row r="9" spans="1:12" x14ac:dyDescent="0.25">
      <c r="A9" s="8" t="s">
        <v>23</v>
      </c>
      <c r="B9" s="9" t="s">
        <v>24</v>
      </c>
      <c r="C9" s="9" t="s">
        <v>25</v>
      </c>
      <c r="D9" s="7" t="str">
        <f t="shared" si="0"/>
        <v>m</v>
      </c>
      <c r="E9" t="str">
        <f t="shared" si="1"/>
        <v>J</v>
      </c>
      <c r="F9" t="str">
        <f t="shared" si="2"/>
        <v>Cho</v>
      </c>
      <c r="G9" t="str">
        <f t="shared" si="3"/>
        <v>0</v>
      </c>
      <c r="H9" t="str">
        <f t="shared" si="4"/>
        <v>JCho0</v>
      </c>
      <c r="I9" s="14" t="s">
        <v>1159</v>
      </c>
      <c r="J9" s="1">
        <v>2</v>
      </c>
      <c r="L9" s="14" t="s">
        <v>1159</v>
      </c>
    </row>
    <row r="10" spans="1:12" x14ac:dyDescent="0.25">
      <c r="A10" s="5" t="s">
        <v>26</v>
      </c>
      <c r="B10" s="6" t="s">
        <v>27</v>
      </c>
      <c r="C10" s="6" t="s">
        <v>28</v>
      </c>
      <c r="D10" s="7" t="str">
        <f t="shared" si="0"/>
        <v>m</v>
      </c>
      <c r="E10" t="str">
        <f t="shared" si="1"/>
        <v>B</v>
      </c>
      <c r="F10" t="str">
        <f t="shared" si="2"/>
        <v>Tom</v>
      </c>
      <c r="G10" t="str">
        <f t="shared" si="3"/>
        <v>5</v>
      </c>
      <c r="H10" t="str">
        <f t="shared" si="4"/>
        <v>BTom5</v>
      </c>
      <c r="I10" s="14" t="s">
        <v>1160</v>
      </c>
      <c r="J10" s="1">
        <v>2</v>
      </c>
      <c r="L10" s="14" t="s">
        <v>1160</v>
      </c>
    </row>
    <row r="11" spans="1:12" x14ac:dyDescent="0.25">
      <c r="A11" s="8" t="s">
        <v>29</v>
      </c>
      <c r="B11" s="9" t="s">
        <v>30</v>
      </c>
      <c r="C11" s="9" t="s">
        <v>31</v>
      </c>
      <c r="D11" s="7" t="str">
        <f t="shared" si="0"/>
        <v>m</v>
      </c>
      <c r="E11" t="str">
        <f t="shared" si="1"/>
        <v>A</v>
      </c>
      <c r="F11" t="str">
        <f t="shared" si="2"/>
        <v>Woj</v>
      </c>
      <c r="G11" t="str">
        <f t="shared" si="3"/>
        <v>8</v>
      </c>
      <c r="H11" t="str">
        <f t="shared" si="4"/>
        <v>AWoj8</v>
      </c>
      <c r="I11" s="14" t="s">
        <v>1161</v>
      </c>
      <c r="J11" s="1">
        <v>2</v>
      </c>
      <c r="L11" s="14" t="s">
        <v>1161</v>
      </c>
    </row>
    <row r="12" spans="1:12" x14ac:dyDescent="0.25">
      <c r="A12" s="5" t="s">
        <v>32</v>
      </c>
      <c r="B12" s="6" t="s">
        <v>33</v>
      </c>
      <c r="C12" s="6" t="s">
        <v>20</v>
      </c>
      <c r="D12" s="7" t="str">
        <f t="shared" si="0"/>
        <v>m</v>
      </c>
      <c r="E12" t="str">
        <f t="shared" si="1"/>
        <v>P</v>
      </c>
      <c r="F12" t="str">
        <f t="shared" si="2"/>
        <v>Gla</v>
      </c>
      <c r="G12" t="str">
        <f t="shared" si="3"/>
        <v>5</v>
      </c>
      <c r="H12" t="str">
        <f t="shared" si="4"/>
        <v>PGla5</v>
      </c>
      <c r="I12" s="14" t="s">
        <v>1162</v>
      </c>
      <c r="J12" s="1">
        <v>2</v>
      </c>
      <c r="L12" s="14" t="s">
        <v>1162</v>
      </c>
    </row>
    <row r="13" spans="1:12" x14ac:dyDescent="0.25">
      <c r="A13" s="8" t="s">
        <v>34</v>
      </c>
      <c r="B13" s="9" t="s">
        <v>35</v>
      </c>
      <c r="C13" s="9" t="s">
        <v>36</v>
      </c>
      <c r="D13" s="7" t="str">
        <f t="shared" si="0"/>
        <v>m</v>
      </c>
      <c r="E13" t="str">
        <f t="shared" si="1"/>
        <v>M</v>
      </c>
      <c r="F13" t="str">
        <f t="shared" si="2"/>
        <v>Lew</v>
      </c>
      <c r="G13" t="str">
        <f t="shared" si="3"/>
        <v>9</v>
      </c>
      <c r="H13" t="str">
        <f t="shared" si="4"/>
        <v>MLew9</v>
      </c>
      <c r="I13" s="14" t="s">
        <v>1163</v>
      </c>
      <c r="J13" s="1">
        <v>2</v>
      </c>
      <c r="L13" s="14" t="s">
        <v>1163</v>
      </c>
    </row>
    <row r="14" spans="1:12" x14ac:dyDescent="0.25">
      <c r="A14" s="5" t="s">
        <v>37</v>
      </c>
      <c r="B14" s="6" t="s">
        <v>38</v>
      </c>
      <c r="C14" s="6" t="s">
        <v>39</v>
      </c>
      <c r="D14" s="7" t="str">
        <f t="shared" si="0"/>
        <v>m</v>
      </c>
      <c r="E14" t="str">
        <f t="shared" si="1"/>
        <v>M</v>
      </c>
      <c r="F14" t="str">
        <f t="shared" si="2"/>
        <v>Lut</v>
      </c>
      <c r="G14" t="str">
        <f t="shared" si="3"/>
        <v>7</v>
      </c>
      <c r="H14" t="str">
        <f t="shared" si="4"/>
        <v>MLut7</v>
      </c>
      <c r="I14" s="14" t="s">
        <v>1164</v>
      </c>
      <c r="J14" s="1">
        <v>4</v>
      </c>
      <c r="L14" s="14" t="s">
        <v>1164</v>
      </c>
    </row>
    <row r="15" spans="1:12" x14ac:dyDescent="0.25">
      <c r="A15" s="8" t="s">
        <v>40</v>
      </c>
      <c r="B15" s="9" t="s">
        <v>41</v>
      </c>
      <c r="C15" s="9" t="s">
        <v>39</v>
      </c>
      <c r="D15" s="7" t="str">
        <f t="shared" si="0"/>
        <v>m</v>
      </c>
      <c r="E15" t="str">
        <f t="shared" si="1"/>
        <v>M</v>
      </c>
      <c r="F15" t="str">
        <f t="shared" si="2"/>
        <v>Las</v>
      </c>
      <c r="G15" t="str">
        <f t="shared" si="3"/>
        <v>5</v>
      </c>
      <c r="H15" t="str">
        <f t="shared" si="4"/>
        <v>MLas5</v>
      </c>
      <c r="I15" s="14" t="s">
        <v>1165</v>
      </c>
      <c r="J15" s="1">
        <v>2</v>
      </c>
      <c r="L15" s="14" t="s">
        <v>1165</v>
      </c>
    </row>
    <row r="16" spans="1:12" x14ac:dyDescent="0.25">
      <c r="A16" s="5" t="s">
        <v>42</v>
      </c>
      <c r="B16" s="6" t="s">
        <v>43</v>
      </c>
      <c r="C16" s="6" t="s">
        <v>44</v>
      </c>
      <c r="D16" s="7" t="str">
        <f t="shared" si="0"/>
        <v>m</v>
      </c>
      <c r="E16" t="str">
        <f t="shared" si="1"/>
        <v>A</v>
      </c>
      <c r="F16" t="str">
        <f t="shared" si="2"/>
        <v>Wol</v>
      </c>
      <c r="G16" t="str">
        <f t="shared" si="3"/>
        <v>5</v>
      </c>
      <c r="H16" t="str">
        <f t="shared" si="4"/>
        <v>AWol5</v>
      </c>
      <c r="I16" s="14" t="s">
        <v>1166</v>
      </c>
      <c r="J16" s="1">
        <v>2</v>
      </c>
      <c r="L16" s="14" t="s">
        <v>1166</v>
      </c>
    </row>
    <row r="17" spans="1:12" x14ac:dyDescent="0.25">
      <c r="A17" s="8" t="s">
        <v>45</v>
      </c>
      <c r="B17" s="9" t="s">
        <v>46</v>
      </c>
      <c r="C17" s="9" t="s">
        <v>47</v>
      </c>
      <c r="D17" s="7" t="str">
        <f t="shared" si="0"/>
        <v>m</v>
      </c>
      <c r="E17" t="str">
        <f t="shared" si="1"/>
        <v>S</v>
      </c>
      <c r="F17" t="str">
        <f t="shared" si="2"/>
        <v>Dab</v>
      </c>
      <c r="G17" t="str">
        <f t="shared" si="3"/>
        <v>7</v>
      </c>
      <c r="H17" t="str">
        <f t="shared" si="4"/>
        <v>SDab7</v>
      </c>
      <c r="I17" s="14" t="s">
        <v>1167</v>
      </c>
      <c r="J17" s="1">
        <v>2</v>
      </c>
      <c r="L17" s="14" t="s">
        <v>1167</v>
      </c>
    </row>
    <row r="18" spans="1:12" x14ac:dyDescent="0.25">
      <c r="A18" s="5" t="s">
        <v>48</v>
      </c>
      <c r="B18" s="6" t="s">
        <v>49</v>
      </c>
      <c r="C18" s="6" t="s">
        <v>50</v>
      </c>
      <c r="D18" s="7" t="str">
        <f t="shared" si="0"/>
        <v>m</v>
      </c>
      <c r="E18" t="str">
        <f t="shared" si="1"/>
        <v>O</v>
      </c>
      <c r="F18" t="str">
        <f t="shared" si="2"/>
        <v>Iwa</v>
      </c>
      <c r="G18" t="str">
        <f t="shared" si="3"/>
        <v>1</v>
      </c>
      <c r="H18" t="str">
        <f t="shared" si="4"/>
        <v>OIwa1</v>
      </c>
      <c r="I18" s="14" t="s">
        <v>1168</v>
      </c>
      <c r="J18" s="1">
        <v>2</v>
      </c>
      <c r="L18" s="14" t="s">
        <v>1168</v>
      </c>
    </row>
    <row r="19" spans="1:12" x14ac:dyDescent="0.25">
      <c r="A19" s="8" t="s">
        <v>51</v>
      </c>
      <c r="B19" s="9" t="s">
        <v>52</v>
      </c>
      <c r="C19" s="9" t="s">
        <v>53</v>
      </c>
      <c r="D19" s="7" t="str">
        <f t="shared" si="0"/>
        <v>m</v>
      </c>
      <c r="E19" t="str">
        <f t="shared" si="1"/>
        <v>W</v>
      </c>
      <c r="F19" t="str">
        <f t="shared" si="2"/>
        <v>Are</v>
      </c>
      <c r="G19" t="str">
        <f t="shared" si="3"/>
        <v>5</v>
      </c>
      <c r="H19" t="str">
        <f t="shared" si="4"/>
        <v>WAre5</v>
      </c>
      <c r="I19" s="14" t="s">
        <v>1169</v>
      </c>
      <c r="J19" s="1">
        <v>2</v>
      </c>
      <c r="L19" s="14" t="s">
        <v>1169</v>
      </c>
    </row>
    <row r="20" spans="1:12" x14ac:dyDescent="0.25">
      <c r="A20" s="5" t="s">
        <v>54</v>
      </c>
      <c r="B20" s="6" t="s">
        <v>55</v>
      </c>
      <c r="C20" s="6" t="s">
        <v>56</v>
      </c>
      <c r="D20" s="7" t="str">
        <f t="shared" si="0"/>
        <v>k</v>
      </c>
      <c r="E20" t="str">
        <f t="shared" si="1"/>
        <v>A</v>
      </c>
      <c r="F20" t="str">
        <f t="shared" si="2"/>
        <v>Wie</v>
      </c>
      <c r="G20" t="str">
        <f t="shared" si="3"/>
        <v>4</v>
      </c>
      <c r="H20" t="str">
        <f t="shared" si="4"/>
        <v>AWie4</v>
      </c>
      <c r="I20" s="14" t="s">
        <v>1170</v>
      </c>
      <c r="J20" s="1">
        <v>2</v>
      </c>
      <c r="L20" s="14" t="s">
        <v>1170</v>
      </c>
    </row>
    <row r="21" spans="1:12" x14ac:dyDescent="0.25">
      <c r="A21" s="8" t="s">
        <v>57</v>
      </c>
      <c r="B21" s="9" t="s">
        <v>58</v>
      </c>
      <c r="C21" s="9" t="s">
        <v>8</v>
      </c>
      <c r="D21" s="7" t="str">
        <f t="shared" si="0"/>
        <v>m</v>
      </c>
      <c r="E21" t="str">
        <f t="shared" si="1"/>
        <v>N</v>
      </c>
      <c r="F21" t="str">
        <f t="shared" si="2"/>
        <v>Jak</v>
      </c>
      <c r="G21" t="str">
        <f t="shared" si="3"/>
        <v>2</v>
      </c>
      <c r="H21" t="str">
        <f t="shared" si="4"/>
        <v>NJak2</v>
      </c>
      <c r="I21" s="14" t="s">
        <v>1171</v>
      </c>
      <c r="J21" s="1">
        <v>2</v>
      </c>
      <c r="L21" s="14" t="s">
        <v>1171</v>
      </c>
    </row>
    <row r="22" spans="1:12" x14ac:dyDescent="0.25">
      <c r="A22" s="5" t="s">
        <v>59</v>
      </c>
      <c r="B22" s="6" t="s">
        <v>60</v>
      </c>
      <c r="C22" s="6" t="s">
        <v>61</v>
      </c>
      <c r="D22" s="7" t="str">
        <f t="shared" si="0"/>
        <v>m</v>
      </c>
      <c r="E22" t="str">
        <f t="shared" si="1"/>
        <v>O</v>
      </c>
      <c r="F22" t="str">
        <f t="shared" si="2"/>
        <v>Gry</v>
      </c>
      <c r="G22" t="str">
        <f t="shared" si="3"/>
        <v>7</v>
      </c>
      <c r="H22" t="str">
        <f t="shared" si="4"/>
        <v>OGry7</v>
      </c>
      <c r="I22" s="14" t="s">
        <v>1130</v>
      </c>
      <c r="J22" s="1">
        <v>40</v>
      </c>
    </row>
    <row r="23" spans="1:12" x14ac:dyDescent="0.25">
      <c r="A23" s="8" t="s">
        <v>62</v>
      </c>
      <c r="B23" s="9" t="s">
        <v>63</v>
      </c>
      <c r="C23" s="9" t="s">
        <v>64</v>
      </c>
      <c r="D23" s="7" t="str">
        <f t="shared" si="0"/>
        <v>m</v>
      </c>
      <c r="E23" t="str">
        <f t="shared" si="1"/>
        <v>M</v>
      </c>
      <c r="F23" t="str">
        <f t="shared" si="2"/>
        <v>Kal</v>
      </c>
      <c r="G23" t="str">
        <f t="shared" si="3"/>
        <v>8</v>
      </c>
      <c r="H23" t="str">
        <f t="shared" si="4"/>
        <v>MKal8</v>
      </c>
    </row>
    <row r="24" spans="1:12" x14ac:dyDescent="0.25">
      <c r="A24" s="5" t="s">
        <v>65</v>
      </c>
      <c r="B24" s="6" t="s">
        <v>66</v>
      </c>
      <c r="C24" s="6" t="s">
        <v>67</v>
      </c>
      <c r="D24" s="7" t="str">
        <f t="shared" si="0"/>
        <v>k</v>
      </c>
      <c r="E24" t="str">
        <f t="shared" si="1"/>
        <v>L</v>
      </c>
      <c r="F24" t="str">
        <f t="shared" si="2"/>
        <v>Maj</v>
      </c>
      <c r="G24" t="str">
        <f t="shared" si="3"/>
        <v>6</v>
      </c>
      <c r="H24" t="str">
        <f t="shared" si="4"/>
        <v>LMaj6</v>
      </c>
    </row>
    <row r="25" spans="1:12" x14ac:dyDescent="0.25">
      <c r="A25" s="8" t="s">
        <v>68</v>
      </c>
      <c r="B25" s="9" t="s">
        <v>69</v>
      </c>
      <c r="C25" s="9" t="s">
        <v>70</v>
      </c>
      <c r="D25" s="7" t="str">
        <f t="shared" si="0"/>
        <v>k</v>
      </c>
      <c r="E25" t="str">
        <f t="shared" si="1"/>
        <v>N</v>
      </c>
      <c r="F25" t="str">
        <f t="shared" si="2"/>
        <v>Grz</v>
      </c>
      <c r="G25" t="str">
        <f t="shared" si="3"/>
        <v>1</v>
      </c>
      <c r="H25" t="str">
        <f t="shared" si="4"/>
        <v>NGrz1</v>
      </c>
    </row>
    <row r="26" spans="1:12" x14ac:dyDescent="0.25">
      <c r="A26" s="5" t="s">
        <v>71</v>
      </c>
      <c r="B26" s="6" t="s">
        <v>72</v>
      </c>
      <c r="C26" s="6" t="s">
        <v>73</v>
      </c>
      <c r="D26" s="7" t="str">
        <f t="shared" si="0"/>
        <v>m</v>
      </c>
      <c r="E26" t="str">
        <f t="shared" si="1"/>
        <v>P</v>
      </c>
      <c r="F26" t="str">
        <f t="shared" si="2"/>
        <v>Fre</v>
      </c>
      <c r="G26" t="str">
        <f t="shared" si="3"/>
        <v>6</v>
      </c>
      <c r="H26" t="str">
        <f t="shared" si="4"/>
        <v>PFre6</v>
      </c>
    </row>
    <row r="27" spans="1:12" x14ac:dyDescent="0.25">
      <c r="A27" s="8" t="s">
        <v>74</v>
      </c>
      <c r="B27" s="9" t="s">
        <v>75</v>
      </c>
      <c r="C27" s="9" t="s">
        <v>8</v>
      </c>
      <c r="D27" s="7" t="str">
        <f t="shared" si="0"/>
        <v>m</v>
      </c>
      <c r="E27" t="str">
        <f t="shared" si="1"/>
        <v>N</v>
      </c>
      <c r="F27" t="str">
        <f t="shared" si="2"/>
        <v>Jan</v>
      </c>
      <c r="G27" t="str">
        <f t="shared" si="3"/>
        <v>6</v>
      </c>
      <c r="H27" t="str">
        <f t="shared" si="4"/>
        <v>NJan6</v>
      </c>
    </row>
    <row r="28" spans="1:12" x14ac:dyDescent="0.25">
      <c r="A28" s="5" t="s">
        <v>76</v>
      </c>
      <c r="B28" s="6" t="s">
        <v>77</v>
      </c>
      <c r="C28" s="6" t="s">
        <v>78</v>
      </c>
      <c r="D28" s="7" t="str">
        <f t="shared" si="0"/>
        <v>k</v>
      </c>
      <c r="E28" t="str">
        <f t="shared" si="1"/>
        <v>M</v>
      </c>
      <c r="F28" t="str">
        <f t="shared" si="2"/>
        <v>Kos</v>
      </c>
      <c r="G28" t="str">
        <f t="shared" si="3"/>
        <v>8</v>
      </c>
      <c r="H28" t="str">
        <f t="shared" si="4"/>
        <v>MKos8</v>
      </c>
    </row>
    <row r="29" spans="1:12" x14ac:dyDescent="0.25">
      <c r="A29" s="8" t="s">
        <v>79</v>
      </c>
      <c r="B29" s="9" t="s">
        <v>80</v>
      </c>
      <c r="C29" s="9" t="s">
        <v>39</v>
      </c>
      <c r="D29" s="7" t="str">
        <f t="shared" si="0"/>
        <v>m</v>
      </c>
      <c r="E29" t="str">
        <f t="shared" si="1"/>
        <v>M</v>
      </c>
      <c r="F29" t="str">
        <f t="shared" si="2"/>
        <v>Kor</v>
      </c>
      <c r="G29" t="str">
        <f t="shared" si="3"/>
        <v>4</v>
      </c>
      <c r="H29" t="str">
        <f t="shared" si="4"/>
        <v>MKor4</v>
      </c>
    </row>
    <row r="30" spans="1:12" x14ac:dyDescent="0.25">
      <c r="A30" s="5" t="s">
        <v>81</v>
      </c>
      <c r="B30" s="6" t="s">
        <v>82</v>
      </c>
      <c r="C30" s="6" t="s">
        <v>83</v>
      </c>
      <c r="D30" s="7" t="str">
        <f t="shared" si="0"/>
        <v>k</v>
      </c>
      <c r="E30" t="str">
        <f t="shared" si="1"/>
        <v>M</v>
      </c>
      <c r="F30" t="str">
        <f t="shared" si="2"/>
        <v>Klu</v>
      </c>
      <c r="G30" t="str">
        <f t="shared" si="3"/>
        <v>0</v>
      </c>
      <c r="H30" t="str">
        <f t="shared" si="4"/>
        <v>MKlu0</v>
      </c>
    </row>
    <row r="31" spans="1:12" x14ac:dyDescent="0.25">
      <c r="A31" s="8" t="s">
        <v>84</v>
      </c>
      <c r="B31" s="9" t="s">
        <v>85</v>
      </c>
      <c r="C31" s="9" t="s">
        <v>86</v>
      </c>
      <c r="D31" s="7" t="str">
        <f t="shared" si="0"/>
        <v>k</v>
      </c>
      <c r="E31" t="str">
        <f t="shared" si="1"/>
        <v>Z</v>
      </c>
      <c r="F31" t="str">
        <f t="shared" si="2"/>
        <v>Ara</v>
      </c>
      <c r="G31" t="str">
        <f t="shared" si="3"/>
        <v>2</v>
      </c>
      <c r="H31" t="str">
        <f t="shared" si="4"/>
        <v>ZAra2</v>
      </c>
    </row>
    <row r="32" spans="1:12" x14ac:dyDescent="0.25">
      <c r="A32" s="5" t="s">
        <v>87</v>
      </c>
      <c r="B32" s="6" t="s">
        <v>88</v>
      </c>
      <c r="C32" s="6" t="s">
        <v>89</v>
      </c>
      <c r="D32" s="7" t="str">
        <f t="shared" si="0"/>
        <v>k</v>
      </c>
      <c r="E32" t="str">
        <f t="shared" si="1"/>
        <v>M</v>
      </c>
      <c r="F32" t="str">
        <f t="shared" si="2"/>
        <v>Kub</v>
      </c>
      <c r="G32" t="str">
        <f t="shared" si="3"/>
        <v>2</v>
      </c>
      <c r="H32" t="str">
        <f t="shared" si="4"/>
        <v>MKub2</v>
      </c>
    </row>
    <row r="33" spans="1:8" x14ac:dyDescent="0.25">
      <c r="A33" s="8" t="s">
        <v>90</v>
      </c>
      <c r="B33" s="9" t="s">
        <v>91</v>
      </c>
      <c r="C33" s="9" t="s">
        <v>92</v>
      </c>
      <c r="D33" s="7" t="str">
        <f t="shared" si="0"/>
        <v>m</v>
      </c>
      <c r="E33" t="str">
        <f t="shared" si="1"/>
        <v>I</v>
      </c>
      <c r="F33" t="str">
        <f t="shared" si="2"/>
        <v>Rut</v>
      </c>
      <c r="G33" t="str">
        <f t="shared" si="3"/>
        <v>8</v>
      </c>
      <c r="H33" t="str">
        <f t="shared" si="4"/>
        <v>IRut8</v>
      </c>
    </row>
    <row r="34" spans="1:8" x14ac:dyDescent="0.25">
      <c r="A34" s="5" t="s">
        <v>93</v>
      </c>
      <c r="B34" s="6" t="s">
        <v>94</v>
      </c>
      <c r="C34" s="6" t="s">
        <v>5</v>
      </c>
      <c r="D34" s="7" t="str">
        <f t="shared" si="0"/>
        <v>m</v>
      </c>
      <c r="E34" t="str">
        <f t="shared" si="1"/>
        <v>K</v>
      </c>
      <c r="F34" t="str">
        <f t="shared" si="2"/>
        <v>Maz</v>
      </c>
      <c r="G34" t="str">
        <f t="shared" si="3"/>
        <v>5</v>
      </c>
      <c r="H34" t="str">
        <f t="shared" si="4"/>
        <v>KMaz5</v>
      </c>
    </row>
    <row r="35" spans="1:8" x14ac:dyDescent="0.25">
      <c r="A35" s="8" t="s">
        <v>95</v>
      </c>
      <c r="B35" s="9" t="s">
        <v>96</v>
      </c>
      <c r="C35" s="9" t="s">
        <v>97</v>
      </c>
      <c r="D35" s="7" t="str">
        <f t="shared" si="0"/>
        <v>m</v>
      </c>
      <c r="E35" t="str">
        <f t="shared" si="1"/>
        <v>J</v>
      </c>
      <c r="F35" t="str">
        <f t="shared" si="2"/>
        <v>Paw</v>
      </c>
      <c r="G35" t="str">
        <f t="shared" si="3"/>
        <v>7</v>
      </c>
      <c r="H35" t="str">
        <f t="shared" si="4"/>
        <v>JPaw7</v>
      </c>
    </row>
    <row r="36" spans="1:8" x14ac:dyDescent="0.25">
      <c r="A36" s="5" t="s">
        <v>98</v>
      </c>
      <c r="B36" s="6" t="s">
        <v>99</v>
      </c>
      <c r="C36" s="6" t="s">
        <v>100</v>
      </c>
      <c r="D36" s="7" t="str">
        <f t="shared" si="0"/>
        <v>k</v>
      </c>
      <c r="E36" t="str">
        <f t="shared" si="1"/>
        <v>A</v>
      </c>
      <c r="F36" t="str">
        <f t="shared" si="2"/>
        <v>Zas</v>
      </c>
      <c r="G36" t="str">
        <f t="shared" si="3"/>
        <v>0</v>
      </c>
      <c r="H36" t="str">
        <f t="shared" si="4"/>
        <v>AZas0</v>
      </c>
    </row>
    <row r="37" spans="1:8" x14ac:dyDescent="0.25">
      <c r="A37" s="8" t="s">
        <v>101</v>
      </c>
      <c r="B37" s="9" t="s">
        <v>102</v>
      </c>
      <c r="C37" s="9" t="s">
        <v>17</v>
      </c>
      <c r="D37" s="7" t="str">
        <f t="shared" si="0"/>
        <v>m</v>
      </c>
      <c r="E37" t="str">
        <f t="shared" si="1"/>
        <v>M</v>
      </c>
      <c r="F37" t="str">
        <f t="shared" si="2"/>
        <v>Kor</v>
      </c>
      <c r="G37" t="str">
        <f t="shared" si="3"/>
        <v>0</v>
      </c>
      <c r="H37" t="str">
        <f t="shared" si="4"/>
        <v>MKor0</v>
      </c>
    </row>
    <row r="38" spans="1:8" x14ac:dyDescent="0.25">
      <c r="A38" s="5" t="s">
        <v>103</v>
      </c>
      <c r="B38" s="6" t="s">
        <v>104</v>
      </c>
      <c r="C38" s="6" t="s">
        <v>105</v>
      </c>
      <c r="D38" s="7" t="str">
        <f t="shared" si="0"/>
        <v>m</v>
      </c>
      <c r="E38" t="str">
        <f t="shared" si="1"/>
        <v>K</v>
      </c>
      <c r="F38" t="str">
        <f t="shared" si="2"/>
        <v>Olc</v>
      </c>
      <c r="G38" t="str">
        <f t="shared" si="3"/>
        <v>2</v>
      </c>
      <c r="H38" t="str">
        <f t="shared" si="4"/>
        <v>KOlc2</v>
      </c>
    </row>
    <row r="39" spans="1:8" x14ac:dyDescent="0.25">
      <c r="A39" s="8" t="s">
        <v>106</v>
      </c>
      <c r="B39" s="9" t="s">
        <v>107</v>
      </c>
      <c r="C39" s="9" t="s">
        <v>108</v>
      </c>
      <c r="D39" s="7" t="str">
        <f t="shared" si="0"/>
        <v>m</v>
      </c>
      <c r="E39" t="str">
        <f t="shared" si="1"/>
        <v>M</v>
      </c>
      <c r="F39" t="str">
        <f t="shared" si="2"/>
        <v>Kam</v>
      </c>
      <c r="G39" t="str">
        <f t="shared" si="3"/>
        <v>5</v>
      </c>
      <c r="H39" t="str">
        <f t="shared" si="4"/>
        <v>MKam5</v>
      </c>
    </row>
    <row r="40" spans="1:8" x14ac:dyDescent="0.25">
      <c r="A40" s="5" t="s">
        <v>109</v>
      </c>
      <c r="B40" s="6" t="s">
        <v>110</v>
      </c>
      <c r="C40" s="6" t="s">
        <v>111</v>
      </c>
      <c r="D40" s="7" t="str">
        <f t="shared" si="0"/>
        <v>k</v>
      </c>
      <c r="E40" t="str">
        <f t="shared" si="1"/>
        <v>A</v>
      </c>
      <c r="F40" t="str">
        <f t="shared" si="2"/>
        <v>Wlo</v>
      </c>
      <c r="G40" t="str">
        <f t="shared" si="3"/>
        <v>2</v>
      </c>
      <c r="H40" t="str">
        <f t="shared" si="4"/>
        <v>AWlo2</v>
      </c>
    </row>
    <row r="41" spans="1:8" x14ac:dyDescent="0.25">
      <c r="A41" s="8" t="s">
        <v>112</v>
      </c>
      <c r="B41" s="9" t="s">
        <v>113</v>
      </c>
      <c r="C41" s="9" t="s">
        <v>114</v>
      </c>
      <c r="D41" s="7" t="str">
        <f t="shared" si="0"/>
        <v>m</v>
      </c>
      <c r="E41" t="str">
        <f t="shared" si="1"/>
        <v>O</v>
      </c>
      <c r="F41" t="str">
        <f t="shared" si="2"/>
        <v>Gru</v>
      </c>
      <c r="G41" t="str">
        <f t="shared" si="3"/>
        <v>7</v>
      </c>
      <c r="H41" t="str">
        <f t="shared" si="4"/>
        <v>OGru7</v>
      </c>
    </row>
    <row r="42" spans="1:8" x14ac:dyDescent="0.25">
      <c r="A42" s="5" t="s">
        <v>115</v>
      </c>
      <c r="B42" s="6" t="s">
        <v>116</v>
      </c>
      <c r="C42" s="6" t="s">
        <v>36</v>
      </c>
      <c r="D42" s="7" t="str">
        <f t="shared" si="0"/>
        <v>m</v>
      </c>
      <c r="E42" t="str">
        <f t="shared" si="1"/>
        <v>M</v>
      </c>
      <c r="F42" t="str">
        <f t="shared" si="2"/>
        <v>Lig</v>
      </c>
      <c r="G42" t="str">
        <f t="shared" si="3"/>
        <v>7</v>
      </c>
      <c r="H42" t="str">
        <f t="shared" si="4"/>
        <v>MLig7</v>
      </c>
    </row>
    <row r="43" spans="1:8" x14ac:dyDescent="0.25">
      <c r="A43" s="8" t="s">
        <v>117</v>
      </c>
      <c r="B43" s="9" t="s">
        <v>118</v>
      </c>
      <c r="C43" s="9" t="s">
        <v>73</v>
      </c>
      <c r="D43" s="7" t="str">
        <f t="shared" si="0"/>
        <v>m</v>
      </c>
      <c r="E43" t="str">
        <f t="shared" si="1"/>
        <v>P</v>
      </c>
      <c r="F43" t="str">
        <f t="shared" si="2"/>
        <v>Fil</v>
      </c>
      <c r="G43" t="str">
        <f t="shared" si="3"/>
        <v>4</v>
      </c>
      <c r="H43" t="str">
        <f t="shared" si="4"/>
        <v>PFil4</v>
      </c>
    </row>
    <row r="44" spans="1:8" x14ac:dyDescent="0.25">
      <c r="A44" s="5" t="s">
        <v>119</v>
      </c>
      <c r="B44" s="6" t="s">
        <v>120</v>
      </c>
      <c r="C44" s="6" t="s">
        <v>121</v>
      </c>
      <c r="D44" s="7" t="str">
        <f t="shared" si="0"/>
        <v>m</v>
      </c>
      <c r="E44" t="str">
        <f t="shared" si="1"/>
        <v>J</v>
      </c>
      <c r="F44" t="str">
        <f t="shared" si="2"/>
        <v>For</v>
      </c>
      <c r="G44" t="str">
        <f t="shared" si="3"/>
        <v>2</v>
      </c>
      <c r="H44" t="str">
        <f t="shared" si="4"/>
        <v>JFor2</v>
      </c>
    </row>
    <row r="45" spans="1:8" x14ac:dyDescent="0.25">
      <c r="A45" s="8" t="s">
        <v>122</v>
      </c>
      <c r="B45" s="9" t="s">
        <v>123</v>
      </c>
      <c r="C45" s="9" t="s">
        <v>47</v>
      </c>
      <c r="D45" s="7" t="str">
        <f t="shared" si="0"/>
        <v>m</v>
      </c>
      <c r="E45" t="str">
        <f t="shared" si="1"/>
        <v>S</v>
      </c>
      <c r="F45" t="str">
        <f t="shared" si="2"/>
        <v>Dab</v>
      </c>
      <c r="G45" t="str">
        <f t="shared" si="3"/>
        <v>6</v>
      </c>
      <c r="H45" t="str">
        <f t="shared" si="4"/>
        <v>SDab6</v>
      </c>
    </row>
    <row r="46" spans="1:8" x14ac:dyDescent="0.25">
      <c r="A46" s="5" t="s">
        <v>124</v>
      </c>
      <c r="B46" s="6" t="s">
        <v>125</v>
      </c>
      <c r="C46" s="6" t="s">
        <v>25</v>
      </c>
      <c r="D46" s="7" t="str">
        <f t="shared" si="0"/>
        <v>m</v>
      </c>
      <c r="E46" t="str">
        <f t="shared" si="1"/>
        <v>J</v>
      </c>
      <c r="F46" t="str">
        <f t="shared" si="2"/>
        <v>Row</v>
      </c>
      <c r="G46" t="str">
        <f t="shared" si="3"/>
        <v>5</v>
      </c>
      <c r="H46" t="str">
        <f t="shared" si="4"/>
        <v>JRow5</v>
      </c>
    </row>
    <row r="47" spans="1:8" x14ac:dyDescent="0.25">
      <c r="A47" s="8" t="s">
        <v>126</v>
      </c>
      <c r="B47" s="9" t="s">
        <v>127</v>
      </c>
      <c r="C47" s="9" t="s">
        <v>128</v>
      </c>
      <c r="D47" s="7" t="str">
        <f t="shared" si="0"/>
        <v>k</v>
      </c>
      <c r="E47" t="str">
        <f t="shared" si="1"/>
        <v>A</v>
      </c>
      <c r="F47" t="str">
        <f t="shared" si="2"/>
        <v>Szy</v>
      </c>
      <c r="G47" t="str">
        <f t="shared" si="3"/>
        <v>2</v>
      </c>
      <c r="H47" t="str">
        <f t="shared" si="4"/>
        <v>ASzy2</v>
      </c>
    </row>
    <row r="48" spans="1:8" x14ac:dyDescent="0.25">
      <c r="A48" s="5" t="s">
        <v>129</v>
      </c>
      <c r="B48" s="6" t="s">
        <v>130</v>
      </c>
      <c r="C48" s="6" t="s">
        <v>131</v>
      </c>
      <c r="D48" s="7" t="str">
        <f t="shared" si="0"/>
        <v>k</v>
      </c>
      <c r="E48" t="str">
        <f t="shared" si="1"/>
        <v>O</v>
      </c>
      <c r="F48" t="str">
        <f t="shared" si="2"/>
        <v>Goz</v>
      </c>
      <c r="G48" t="str">
        <f t="shared" si="3"/>
        <v>4</v>
      </c>
      <c r="H48" t="str">
        <f t="shared" si="4"/>
        <v>OGoz4</v>
      </c>
    </row>
    <row r="49" spans="1:8" x14ac:dyDescent="0.25">
      <c r="A49" s="8" t="s">
        <v>132</v>
      </c>
      <c r="B49" s="9" t="s">
        <v>133</v>
      </c>
      <c r="C49" s="9" t="s">
        <v>121</v>
      </c>
      <c r="D49" s="7" t="str">
        <f t="shared" si="0"/>
        <v>m</v>
      </c>
      <c r="E49" t="str">
        <f t="shared" si="1"/>
        <v>J</v>
      </c>
      <c r="F49" t="str">
        <f t="shared" si="2"/>
        <v>Pin</v>
      </c>
      <c r="G49" t="str">
        <f t="shared" si="3"/>
        <v>4</v>
      </c>
      <c r="H49" t="str">
        <f t="shared" si="4"/>
        <v>JPin4</v>
      </c>
    </row>
    <row r="50" spans="1:8" x14ac:dyDescent="0.25">
      <c r="A50" s="5" t="s">
        <v>134</v>
      </c>
      <c r="B50" s="6" t="s">
        <v>135</v>
      </c>
      <c r="C50" s="6" t="s">
        <v>8</v>
      </c>
      <c r="D50" s="7" t="str">
        <f t="shared" si="0"/>
        <v>m</v>
      </c>
      <c r="E50" t="str">
        <f t="shared" si="1"/>
        <v>N</v>
      </c>
      <c r="F50" t="str">
        <f t="shared" si="2"/>
        <v>Jag</v>
      </c>
      <c r="G50" t="str">
        <f t="shared" si="3"/>
        <v>5</v>
      </c>
      <c r="H50" t="str">
        <f t="shared" si="4"/>
        <v>NJag5</v>
      </c>
    </row>
    <row r="51" spans="1:8" x14ac:dyDescent="0.25">
      <c r="A51" s="8" t="s">
        <v>136</v>
      </c>
      <c r="B51" s="9" t="s">
        <v>77</v>
      </c>
      <c r="C51" s="9" t="s">
        <v>137</v>
      </c>
      <c r="D51" s="7" t="str">
        <f t="shared" si="0"/>
        <v>k</v>
      </c>
      <c r="E51" t="str">
        <f t="shared" si="1"/>
        <v>M</v>
      </c>
      <c r="F51" t="str">
        <f t="shared" si="2"/>
        <v>Kos</v>
      </c>
      <c r="G51" t="str">
        <f t="shared" si="3"/>
        <v>7</v>
      </c>
      <c r="H51" t="str">
        <f t="shared" si="4"/>
        <v>MKos7</v>
      </c>
    </row>
    <row r="52" spans="1:8" x14ac:dyDescent="0.25">
      <c r="A52" s="5" t="s">
        <v>138</v>
      </c>
      <c r="B52" s="6" t="s">
        <v>139</v>
      </c>
      <c r="C52" s="6" t="s">
        <v>56</v>
      </c>
      <c r="D52" s="7" t="str">
        <f t="shared" si="0"/>
        <v>k</v>
      </c>
      <c r="E52" t="str">
        <f t="shared" si="1"/>
        <v>A</v>
      </c>
      <c r="F52" t="str">
        <f t="shared" si="2"/>
        <v>Wen</v>
      </c>
      <c r="G52" t="str">
        <f t="shared" si="3"/>
        <v>7</v>
      </c>
      <c r="H52" t="str">
        <f t="shared" si="4"/>
        <v>AWen7</v>
      </c>
    </row>
    <row r="53" spans="1:8" x14ac:dyDescent="0.25">
      <c r="A53" s="8" t="s">
        <v>140</v>
      </c>
      <c r="B53" s="9" t="s">
        <v>141</v>
      </c>
      <c r="C53" s="9" t="s">
        <v>142</v>
      </c>
      <c r="D53" s="7" t="str">
        <f t="shared" si="0"/>
        <v>k</v>
      </c>
      <c r="E53" t="str">
        <f t="shared" si="1"/>
        <v>K</v>
      </c>
      <c r="F53" t="str">
        <f t="shared" si="2"/>
        <v>Oba</v>
      </c>
      <c r="G53" t="str">
        <f t="shared" si="3"/>
        <v>8</v>
      </c>
      <c r="H53" t="str">
        <f t="shared" si="4"/>
        <v>KOba8</v>
      </c>
    </row>
    <row r="54" spans="1:8" x14ac:dyDescent="0.25">
      <c r="A54" s="5" t="s">
        <v>143</v>
      </c>
      <c r="B54" s="6" t="s">
        <v>144</v>
      </c>
      <c r="C54" s="6" t="s">
        <v>86</v>
      </c>
      <c r="D54" s="7" t="str">
        <f t="shared" si="0"/>
        <v>k</v>
      </c>
      <c r="E54" t="str">
        <f t="shared" si="1"/>
        <v>Z</v>
      </c>
      <c r="F54" t="str">
        <f t="shared" si="2"/>
        <v>Bar</v>
      </c>
      <c r="G54" t="str">
        <f t="shared" si="3"/>
        <v>5</v>
      </c>
      <c r="H54" t="str">
        <f t="shared" si="4"/>
        <v>ZBar5</v>
      </c>
    </row>
    <row r="55" spans="1:8" x14ac:dyDescent="0.25">
      <c r="A55" s="8" t="s">
        <v>145</v>
      </c>
      <c r="B55" s="9" t="s">
        <v>146</v>
      </c>
      <c r="C55" s="9" t="s">
        <v>147</v>
      </c>
      <c r="D55" s="7" t="str">
        <f t="shared" si="0"/>
        <v>k</v>
      </c>
      <c r="E55" t="str">
        <f t="shared" si="1"/>
        <v>M</v>
      </c>
      <c r="F55" t="str">
        <f t="shared" si="2"/>
        <v>Bon</v>
      </c>
      <c r="G55" t="str">
        <f t="shared" si="3"/>
        <v>0</v>
      </c>
      <c r="H55" t="str">
        <f t="shared" si="4"/>
        <v>MBon0</v>
      </c>
    </row>
    <row r="56" spans="1:8" x14ac:dyDescent="0.25">
      <c r="A56" s="5" t="s">
        <v>148</v>
      </c>
      <c r="B56" s="6" t="s">
        <v>149</v>
      </c>
      <c r="C56" s="6" t="s">
        <v>64</v>
      </c>
      <c r="D56" s="7" t="str">
        <f t="shared" si="0"/>
        <v>m</v>
      </c>
      <c r="E56" t="str">
        <f t="shared" si="1"/>
        <v>M</v>
      </c>
      <c r="F56" t="str">
        <f t="shared" si="2"/>
        <v>Joz</v>
      </c>
      <c r="G56" t="str">
        <f t="shared" si="3"/>
        <v>2</v>
      </c>
      <c r="H56" t="str">
        <f t="shared" si="4"/>
        <v>MJoz2</v>
      </c>
    </row>
    <row r="57" spans="1:8" x14ac:dyDescent="0.25">
      <c r="A57" s="8" t="s">
        <v>150</v>
      </c>
      <c r="B57" s="9" t="s">
        <v>151</v>
      </c>
      <c r="C57" s="9" t="s">
        <v>56</v>
      </c>
      <c r="D57" s="7" t="str">
        <f t="shared" si="0"/>
        <v>k</v>
      </c>
      <c r="E57" t="str">
        <f t="shared" si="1"/>
        <v>A</v>
      </c>
      <c r="F57" t="str">
        <f t="shared" si="2"/>
        <v>Wej</v>
      </c>
      <c r="G57" t="str">
        <f t="shared" si="3"/>
        <v>2</v>
      </c>
      <c r="H57" t="str">
        <f t="shared" si="4"/>
        <v>AWej2</v>
      </c>
    </row>
    <row r="58" spans="1:8" x14ac:dyDescent="0.25">
      <c r="A58" s="5" t="s">
        <v>152</v>
      </c>
      <c r="B58" s="6" t="s">
        <v>153</v>
      </c>
      <c r="C58" s="6" t="s">
        <v>111</v>
      </c>
      <c r="D58" s="7" t="str">
        <f t="shared" si="0"/>
        <v>k</v>
      </c>
      <c r="E58" t="str">
        <f t="shared" si="1"/>
        <v>A</v>
      </c>
      <c r="F58" t="str">
        <f t="shared" si="2"/>
        <v>Woj</v>
      </c>
      <c r="G58" t="str">
        <f t="shared" si="3"/>
        <v>0</v>
      </c>
      <c r="H58" t="str">
        <f t="shared" si="4"/>
        <v>AWoj0</v>
      </c>
    </row>
    <row r="59" spans="1:8" x14ac:dyDescent="0.25">
      <c r="A59" s="8" t="s">
        <v>154</v>
      </c>
      <c r="B59" s="9" t="s">
        <v>155</v>
      </c>
      <c r="C59" s="9" t="s">
        <v>156</v>
      </c>
      <c r="D59" s="7" t="str">
        <f t="shared" si="0"/>
        <v>m</v>
      </c>
      <c r="E59" t="str">
        <f t="shared" si="1"/>
        <v>M</v>
      </c>
      <c r="F59" t="str">
        <f t="shared" si="2"/>
        <v>Kop</v>
      </c>
      <c r="G59" t="str">
        <f t="shared" si="3"/>
        <v>6</v>
      </c>
      <c r="H59" t="str">
        <f t="shared" si="4"/>
        <v>MKop6</v>
      </c>
    </row>
    <row r="60" spans="1:8" x14ac:dyDescent="0.25">
      <c r="A60" s="5" t="s">
        <v>157</v>
      </c>
      <c r="B60" s="6" t="s">
        <v>158</v>
      </c>
      <c r="C60" s="6" t="s">
        <v>47</v>
      </c>
      <c r="D60" s="7" t="str">
        <f t="shared" si="0"/>
        <v>m</v>
      </c>
      <c r="E60" t="str">
        <f t="shared" si="1"/>
        <v>S</v>
      </c>
      <c r="F60" t="str">
        <f t="shared" si="2"/>
        <v>Cic</v>
      </c>
      <c r="G60" t="str">
        <f t="shared" si="3"/>
        <v>6</v>
      </c>
      <c r="H60" t="str">
        <f t="shared" si="4"/>
        <v>SCic6</v>
      </c>
    </row>
    <row r="61" spans="1:8" x14ac:dyDescent="0.25">
      <c r="A61" s="8" t="s">
        <v>159</v>
      </c>
      <c r="B61" s="9" t="s">
        <v>160</v>
      </c>
      <c r="C61" s="9" t="s">
        <v>161</v>
      </c>
      <c r="D61" s="7" t="str">
        <f t="shared" si="0"/>
        <v>k</v>
      </c>
      <c r="E61" t="str">
        <f t="shared" si="1"/>
        <v>K</v>
      </c>
      <c r="F61" t="str">
        <f t="shared" si="2"/>
        <v>Oli</v>
      </c>
      <c r="G61" t="str">
        <f t="shared" si="3"/>
        <v>3</v>
      </c>
      <c r="H61" t="str">
        <f t="shared" si="4"/>
        <v>KOli3</v>
      </c>
    </row>
    <row r="62" spans="1:8" x14ac:dyDescent="0.25">
      <c r="A62" s="5" t="s">
        <v>162</v>
      </c>
      <c r="B62" s="6" t="s">
        <v>163</v>
      </c>
      <c r="C62" s="6" t="s">
        <v>39</v>
      </c>
      <c r="D62" s="7" t="str">
        <f t="shared" si="0"/>
        <v>m</v>
      </c>
      <c r="E62" t="str">
        <f t="shared" si="1"/>
        <v>M</v>
      </c>
      <c r="F62" t="str">
        <f t="shared" si="2"/>
        <v>Maj</v>
      </c>
      <c r="G62" t="str">
        <f t="shared" si="3"/>
        <v>7</v>
      </c>
      <c r="H62" t="str">
        <f t="shared" si="4"/>
        <v>MMaj7</v>
      </c>
    </row>
    <row r="63" spans="1:8" x14ac:dyDescent="0.25">
      <c r="A63" s="8" t="s">
        <v>164</v>
      </c>
      <c r="B63" s="9" t="s">
        <v>165</v>
      </c>
      <c r="C63" s="9" t="s">
        <v>166</v>
      </c>
      <c r="D63" s="7" t="str">
        <f t="shared" si="0"/>
        <v>m</v>
      </c>
      <c r="E63" t="str">
        <f t="shared" si="1"/>
        <v>J</v>
      </c>
      <c r="F63" t="str">
        <f t="shared" si="2"/>
        <v>Pod</v>
      </c>
      <c r="G63" t="str">
        <f t="shared" si="3"/>
        <v>4</v>
      </c>
      <c r="H63" t="str">
        <f t="shared" si="4"/>
        <v>JPod4</v>
      </c>
    </row>
    <row r="64" spans="1:8" x14ac:dyDescent="0.25">
      <c r="A64" s="5" t="s">
        <v>167</v>
      </c>
      <c r="B64" s="6" t="s">
        <v>168</v>
      </c>
      <c r="C64" s="6" t="s">
        <v>169</v>
      </c>
      <c r="D64" s="7" t="str">
        <f t="shared" si="0"/>
        <v>m</v>
      </c>
      <c r="E64" t="str">
        <f t="shared" si="1"/>
        <v>A</v>
      </c>
      <c r="F64" t="str">
        <f t="shared" si="2"/>
        <v>Woj</v>
      </c>
      <c r="G64" t="str">
        <f t="shared" si="3"/>
        <v>2</v>
      </c>
      <c r="H64" t="str">
        <f t="shared" si="4"/>
        <v>AWoj2</v>
      </c>
    </row>
    <row r="65" spans="1:8" x14ac:dyDescent="0.25">
      <c r="A65" s="8" t="s">
        <v>170</v>
      </c>
      <c r="B65" s="9" t="s">
        <v>171</v>
      </c>
      <c r="C65" s="9" t="s">
        <v>172</v>
      </c>
      <c r="D65" s="7" t="str">
        <f t="shared" si="0"/>
        <v>k</v>
      </c>
      <c r="E65" t="str">
        <f t="shared" si="1"/>
        <v>L</v>
      </c>
      <c r="F65" t="str">
        <f t="shared" si="2"/>
        <v>Now</v>
      </c>
      <c r="G65" t="str">
        <f t="shared" si="3"/>
        <v>3</v>
      </c>
      <c r="H65" t="str">
        <f t="shared" si="4"/>
        <v>LNow3</v>
      </c>
    </row>
    <row r="66" spans="1:8" x14ac:dyDescent="0.25">
      <c r="A66" s="5" t="s">
        <v>173</v>
      </c>
      <c r="B66" s="6" t="s">
        <v>174</v>
      </c>
      <c r="C66" s="6" t="s">
        <v>25</v>
      </c>
      <c r="D66" s="7" t="str">
        <f t="shared" ref="D66:D129" si="5">IF(MOD(LEFT(RIGHT(A66,2),1),2)=0,"k","m")</f>
        <v>m</v>
      </c>
      <c r="E66" t="str">
        <f t="shared" si="1"/>
        <v>J</v>
      </c>
      <c r="F66" t="str">
        <f t="shared" si="2"/>
        <v>Pio</v>
      </c>
      <c r="G66" t="str">
        <f t="shared" si="3"/>
        <v>2</v>
      </c>
      <c r="H66" t="str">
        <f t="shared" si="4"/>
        <v>JPio2</v>
      </c>
    </row>
    <row r="67" spans="1:8" x14ac:dyDescent="0.25">
      <c r="A67" s="8" t="s">
        <v>175</v>
      </c>
      <c r="B67" s="9" t="s">
        <v>176</v>
      </c>
      <c r="C67" s="9" t="s">
        <v>86</v>
      </c>
      <c r="D67" s="7" t="str">
        <f t="shared" si="5"/>
        <v>k</v>
      </c>
      <c r="E67" t="str">
        <f t="shared" ref="E67:E130" si="6">LEFT(C67,1)</f>
        <v>Z</v>
      </c>
      <c r="F67" t="str">
        <f t="shared" ref="F67:F130" si="7">LEFT(B67,3)</f>
        <v>Bia</v>
      </c>
      <c r="G67" t="str">
        <f t="shared" ref="G67:G130" si="8">RIGHT(A67,1)</f>
        <v>1</v>
      </c>
      <c r="H67" t="str">
        <f t="shared" ref="H67:H130" si="9">_xlfn.TEXTJOIN(,,E67,F67,G67)</f>
        <v>ZBia1</v>
      </c>
    </row>
    <row r="68" spans="1:8" x14ac:dyDescent="0.25">
      <c r="A68" s="5" t="s">
        <v>177</v>
      </c>
      <c r="B68" s="6" t="s">
        <v>178</v>
      </c>
      <c r="C68" s="6" t="s">
        <v>179</v>
      </c>
      <c r="D68" s="7" t="str">
        <f t="shared" si="5"/>
        <v>k</v>
      </c>
      <c r="E68" t="str">
        <f t="shared" si="6"/>
        <v>P</v>
      </c>
      <c r="F68" t="str">
        <f t="shared" si="7"/>
        <v>Gal</v>
      </c>
      <c r="G68" t="str">
        <f t="shared" si="8"/>
        <v>5</v>
      </c>
      <c r="H68" t="str">
        <f t="shared" si="9"/>
        <v>PGal5</v>
      </c>
    </row>
    <row r="69" spans="1:8" x14ac:dyDescent="0.25">
      <c r="A69" s="8" t="s">
        <v>180</v>
      </c>
      <c r="B69" s="9" t="s">
        <v>181</v>
      </c>
      <c r="C69" s="9" t="s">
        <v>182</v>
      </c>
      <c r="D69" s="7" t="str">
        <f t="shared" si="5"/>
        <v>k</v>
      </c>
      <c r="E69" t="str">
        <f t="shared" si="6"/>
        <v>P</v>
      </c>
      <c r="F69" t="str">
        <f t="shared" si="7"/>
        <v>Gla</v>
      </c>
      <c r="G69" t="str">
        <f t="shared" si="8"/>
        <v>1</v>
      </c>
      <c r="H69" t="str">
        <f t="shared" si="9"/>
        <v>PGla1</v>
      </c>
    </row>
    <row r="70" spans="1:8" x14ac:dyDescent="0.25">
      <c r="A70" s="5" t="s">
        <v>183</v>
      </c>
      <c r="B70" s="6" t="s">
        <v>184</v>
      </c>
      <c r="C70" s="6" t="s">
        <v>53</v>
      </c>
      <c r="D70" s="7" t="str">
        <f t="shared" si="5"/>
        <v>m</v>
      </c>
      <c r="E70" t="str">
        <f t="shared" si="6"/>
        <v>W</v>
      </c>
      <c r="F70" t="str">
        <f t="shared" si="7"/>
        <v>Ani</v>
      </c>
      <c r="G70" t="str">
        <f t="shared" si="8"/>
        <v>9</v>
      </c>
      <c r="H70" t="str">
        <f t="shared" si="9"/>
        <v>WAni9</v>
      </c>
    </row>
    <row r="71" spans="1:8" x14ac:dyDescent="0.25">
      <c r="A71" s="8" t="s">
        <v>185</v>
      </c>
      <c r="B71" s="9" t="s">
        <v>186</v>
      </c>
      <c r="C71" s="9" t="s">
        <v>187</v>
      </c>
      <c r="D71" s="7" t="str">
        <f t="shared" si="5"/>
        <v>k</v>
      </c>
      <c r="E71" t="str">
        <f t="shared" si="6"/>
        <v>O</v>
      </c>
      <c r="F71" t="str">
        <f t="shared" si="7"/>
        <v>Cup</v>
      </c>
      <c r="G71" t="str">
        <f t="shared" si="8"/>
        <v>4</v>
      </c>
      <c r="H71" t="str">
        <f t="shared" si="9"/>
        <v>OCup4</v>
      </c>
    </row>
    <row r="72" spans="1:8" x14ac:dyDescent="0.25">
      <c r="A72" s="5" t="s">
        <v>188</v>
      </c>
      <c r="B72" s="6" t="s">
        <v>189</v>
      </c>
      <c r="C72" s="6" t="s">
        <v>44</v>
      </c>
      <c r="D72" s="7" t="str">
        <f t="shared" si="5"/>
        <v>m</v>
      </c>
      <c r="E72" t="str">
        <f t="shared" si="6"/>
        <v>A</v>
      </c>
      <c r="F72" t="str">
        <f t="shared" si="7"/>
        <v>Bec</v>
      </c>
      <c r="G72" t="str">
        <f t="shared" si="8"/>
        <v>0</v>
      </c>
      <c r="H72" t="str">
        <f t="shared" si="9"/>
        <v>ABec0</v>
      </c>
    </row>
    <row r="73" spans="1:8" x14ac:dyDescent="0.25">
      <c r="A73" s="8" t="s">
        <v>190</v>
      </c>
      <c r="B73" s="9" t="s">
        <v>191</v>
      </c>
      <c r="C73" s="9" t="s">
        <v>114</v>
      </c>
      <c r="D73" s="7" t="str">
        <f t="shared" si="5"/>
        <v>m</v>
      </c>
      <c r="E73" t="str">
        <f t="shared" si="6"/>
        <v>O</v>
      </c>
      <c r="F73" t="str">
        <f t="shared" si="7"/>
        <v>Gro</v>
      </c>
      <c r="G73" t="str">
        <f t="shared" si="8"/>
        <v>9</v>
      </c>
      <c r="H73" t="str">
        <f t="shared" si="9"/>
        <v>OGro9</v>
      </c>
    </row>
    <row r="74" spans="1:8" x14ac:dyDescent="0.25">
      <c r="A74" s="5" t="s">
        <v>192</v>
      </c>
      <c r="B74" s="6" t="s">
        <v>193</v>
      </c>
      <c r="C74" s="6" t="s">
        <v>194</v>
      </c>
      <c r="D74" s="7" t="str">
        <f t="shared" si="5"/>
        <v>k</v>
      </c>
      <c r="E74" t="str">
        <f t="shared" si="6"/>
        <v>A</v>
      </c>
      <c r="F74" t="str">
        <f t="shared" si="7"/>
        <v>Ulw</v>
      </c>
      <c r="G74" t="str">
        <f t="shared" si="8"/>
        <v>4</v>
      </c>
      <c r="H74" t="str">
        <f t="shared" si="9"/>
        <v>AUlw4</v>
      </c>
    </row>
    <row r="75" spans="1:8" x14ac:dyDescent="0.25">
      <c r="A75" s="8" t="s">
        <v>195</v>
      </c>
      <c r="B75" s="9" t="s">
        <v>196</v>
      </c>
      <c r="C75" s="9" t="s">
        <v>20</v>
      </c>
      <c r="D75" s="7" t="str">
        <f t="shared" si="5"/>
        <v>m</v>
      </c>
      <c r="E75" t="str">
        <f t="shared" si="6"/>
        <v>P</v>
      </c>
      <c r="F75" t="str">
        <f t="shared" si="7"/>
        <v>Gos</v>
      </c>
      <c r="G75" t="str">
        <f t="shared" si="8"/>
        <v>9</v>
      </c>
      <c r="H75" t="str">
        <f t="shared" si="9"/>
        <v>PGos9</v>
      </c>
    </row>
    <row r="76" spans="1:8" x14ac:dyDescent="0.25">
      <c r="A76" s="5" t="s">
        <v>197</v>
      </c>
      <c r="B76" s="6" t="s">
        <v>198</v>
      </c>
      <c r="C76" s="6" t="s">
        <v>199</v>
      </c>
      <c r="D76" s="7" t="str">
        <f t="shared" si="5"/>
        <v>k</v>
      </c>
      <c r="E76" t="str">
        <f t="shared" si="6"/>
        <v>Z</v>
      </c>
      <c r="F76" t="str">
        <f t="shared" si="7"/>
        <v>Big</v>
      </c>
      <c r="G76" t="str">
        <f t="shared" si="8"/>
        <v>7</v>
      </c>
      <c r="H76" t="str">
        <f t="shared" si="9"/>
        <v>ZBig7</v>
      </c>
    </row>
    <row r="77" spans="1:8" x14ac:dyDescent="0.25">
      <c r="A77" s="8" t="s">
        <v>200</v>
      </c>
      <c r="B77" s="9" t="s">
        <v>201</v>
      </c>
      <c r="C77" s="9" t="s">
        <v>202</v>
      </c>
      <c r="D77" s="7" t="str">
        <f t="shared" si="5"/>
        <v>m</v>
      </c>
      <c r="E77" t="str">
        <f t="shared" si="6"/>
        <v>B</v>
      </c>
      <c r="F77" t="str">
        <f t="shared" si="7"/>
        <v>Wac</v>
      </c>
      <c r="G77" t="str">
        <f t="shared" si="8"/>
        <v>3</v>
      </c>
      <c r="H77" t="str">
        <f t="shared" si="9"/>
        <v>BWac3</v>
      </c>
    </row>
    <row r="78" spans="1:8" x14ac:dyDescent="0.25">
      <c r="A78" s="5" t="s">
        <v>203</v>
      </c>
      <c r="B78" s="6" t="s">
        <v>204</v>
      </c>
      <c r="C78" s="6" t="s">
        <v>205</v>
      </c>
      <c r="D78" s="7" t="str">
        <f t="shared" si="5"/>
        <v>m</v>
      </c>
      <c r="E78" t="str">
        <f t="shared" si="6"/>
        <v>A</v>
      </c>
      <c r="F78" t="str">
        <f t="shared" si="7"/>
        <v>Wla</v>
      </c>
      <c r="G78" t="str">
        <f t="shared" si="8"/>
        <v>0</v>
      </c>
      <c r="H78" t="str">
        <f t="shared" si="9"/>
        <v>AWla0</v>
      </c>
    </row>
    <row r="79" spans="1:8" x14ac:dyDescent="0.25">
      <c r="A79" s="8" t="s">
        <v>206</v>
      </c>
      <c r="B79" s="9" t="s">
        <v>207</v>
      </c>
      <c r="C79" s="9" t="s">
        <v>208</v>
      </c>
      <c r="D79" s="7" t="str">
        <f t="shared" si="5"/>
        <v>m</v>
      </c>
      <c r="E79" t="str">
        <f t="shared" si="6"/>
        <v>A</v>
      </c>
      <c r="F79" t="str">
        <f t="shared" si="7"/>
        <v>Wiz</v>
      </c>
      <c r="G79" t="str">
        <f t="shared" si="8"/>
        <v>4</v>
      </c>
      <c r="H79" t="str">
        <f t="shared" si="9"/>
        <v>AWiz4</v>
      </c>
    </row>
    <row r="80" spans="1:8" x14ac:dyDescent="0.25">
      <c r="A80" s="5" t="s">
        <v>209</v>
      </c>
      <c r="B80" s="6" t="s">
        <v>210</v>
      </c>
      <c r="C80" s="6" t="s">
        <v>211</v>
      </c>
      <c r="D80" s="7" t="str">
        <f t="shared" si="5"/>
        <v>k</v>
      </c>
      <c r="E80" t="str">
        <f t="shared" si="6"/>
        <v>S</v>
      </c>
      <c r="F80" t="str">
        <f t="shared" si="7"/>
        <v>Flo</v>
      </c>
      <c r="G80" t="str">
        <f t="shared" si="8"/>
        <v>0</v>
      </c>
      <c r="H80" t="str">
        <f t="shared" si="9"/>
        <v>SFlo0</v>
      </c>
    </row>
    <row r="81" spans="1:8" x14ac:dyDescent="0.25">
      <c r="A81" s="8" t="s">
        <v>212</v>
      </c>
      <c r="B81" s="9" t="s">
        <v>213</v>
      </c>
      <c r="C81" s="9" t="s">
        <v>214</v>
      </c>
      <c r="D81" s="7" t="str">
        <f t="shared" si="5"/>
        <v>k</v>
      </c>
      <c r="E81" t="str">
        <f t="shared" si="6"/>
        <v>M</v>
      </c>
      <c r="F81" t="str">
        <f t="shared" si="7"/>
        <v>Kor</v>
      </c>
      <c r="G81" t="str">
        <f t="shared" si="8"/>
        <v>5</v>
      </c>
      <c r="H81" t="str">
        <f t="shared" si="9"/>
        <v>MKor5</v>
      </c>
    </row>
    <row r="82" spans="1:8" x14ac:dyDescent="0.25">
      <c r="A82" s="5" t="s">
        <v>215</v>
      </c>
      <c r="B82" s="6" t="s">
        <v>216</v>
      </c>
      <c r="C82" s="6" t="s">
        <v>121</v>
      </c>
      <c r="D82" s="7" t="str">
        <f t="shared" si="5"/>
        <v>m</v>
      </c>
      <c r="E82" t="str">
        <f t="shared" si="6"/>
        <v>J</v>
      </c>
      <c r="F82" t="str">
        <f t="shared" si="7"/>
        <v>Pie</v>
      </c>
      <c r="G82" t="str">
        <f t="shared" si="8"/>
        <v>4</v>
      </c>
      <c r="H82" t="str">
        <f t="shared" si="9"/>
        <v>JPie4</v>
      </c>
    </row>
    <row r="83" spans="1:8" x14ac:dyDescent="0.25">
      <c r="A83" s="8" t="s">
        <v>217</v>
      </c>
      <c r="B83" s="9" t="s">
        <v>218</v>
      </c>
      <c r="C83" s="9" t="s">
        <v>219</v>
      </c>
      <c r="D83" s="7" t="str">
        <f t="shared" si="5"/>
        <v>m</v>
      </c>
      <c r="E83" t="str">
        <f t="shared" si="6"/>
        <v>M</v>
      </c>
      <c r="F83" t="str">
        <f t="shared" si="7"/>
        <v>Pot</v>
      </c>
      <c r="G83" t="str">
        <f t="shared" si="8"/>
        <v>8</v>
      </c>
      <c r="H83" t="str">
        <f t="shared" si="9"/>
        <v>MPot8</v>
      </c>
    </row>
    <row r="84" spans="1:8" x14ac:dyDescent="0.25">
      <c r="A84" s="5" t="s">
        <v>220</v>
      </c>
      <c r="B84" s="6" t="s">
        <v>80</v>
      </c>
      <c r="C84" s="6" t="s">
        <v>17</v>
      </c>
      <c r="D84" s="7" t="str">
        <f t="shared" si="5"/>
        <v>m</v>
      </c>
      <c r="E84" t="str">
        <f t="shared" si="6"/>
        <v>M</v>
      </c>
      <c r="F84" t="str">
        <f t="shared" si="7"/>
        <v>Kor</v>
      </c>
      <c r="G84" t="str">
        <f t="shared" si="8"/>
        <v>3</v>
      </c>
      <c r="H84" t="str">
        <f t="shared" si="9"/>
        <v>MKor3</v>
      </c>
    </row>
    <row r="85" spans="1:8" x14ac:dyDescent="0.25">
      <c r="A85" s="8" t="s">
        <v>221</v>
      </c>
      <c r="B85" s="9" t="s">
        <v>222</v>
      </c>
      <c r="C85" s="9" t="s">
        <v>223</v>
      </c>
      <c r="D85" s="7" t="str">
        <f t="shared" si="5"/>
        <v>m</v>
      </c>
      <c r="E85" t="str">
        <f t="shared" si="6"/>
        <v>S</v>
      </c>
      <c r="F85" t="str">
        <f t="shared" si="7"/>
        <v>Dep</v>
      </c>
      <c r="G85" t="str">
        <f t="shared" si="8"/>
        <v>0</v>
      </c>
      <c r="H85" t="str">
        <f t="shared" si="9"/>
        <v>SDep0</v>
      </c>
    </row>
    <row r="86" spans="1:8" x14ac:dyDescent="0.25">
      <c r="A86" s="5" t="s">
        <v>224</v>
      </c>
      <c r="B86" s="6" t="s">
        <v>225</v>
      </c>
      <c r="C86" s="6" t="s">
        <v>226</v>
      </c>
      <c r="D86" s="7" t="str">
        <f t="shared" si="5"/>
        <v>k</v>
      </c>
      <c r="E86" t="str">
        <f t="shared" si="6"/>
        <v>U</v>
      </c>
      <c r="F86" t="str">
        <f t="shared" si="7"/>
        <v>Erb</v>
      </c>
      <c r="G86" t="str">
        <f t="shared" si="8"/>
        <v>6</v>
      </c>
      <c r="H86" t="str">
        <f t="shared" si="9"/>
        <v>UErb6</v>
      </c>
    </row>
    <row r="87" spans="1:8" x14ac:dyDescent="0.25">
      <c r="A87" s="8" t="s">
        <v>227</v>
      </c>
      <c r="B87" s="9" t="s">
        <v>228</v>
      </c>
      <c r="C87" s="9" t="s">
        <v>14</v>
      </c>
      <c r="D87" s="7" t="str">
        <f t="shared" si="5"/>
        <v>m</v>
      </c>
      <c r="E87" t="str">
        <f t="shared" si="6"/>
        <v>M</v>
      </c>
      <c r="F87" t="str">
        <f t="shared" si="7"/>
        <v>Kut</v>
      </c>
      <c r="G87" t="str">
        <f t="shared" si="8"/>
        <v>7</v>
      </c>
      <c r="H87" t="str">
        <f t="shared" si="9"/>
        <v>MKut7</v>
      </c>
    </row>
    <row r="88" spans="1:8" x14ac:dyDescent="0.25">
      <c r="A88" s="5" t="s">
        <v>229</v>
      </c>
      <c r="B88" s="6" t="s">
        <v>123</v>
      </c>
      <c r="C88" s="6" t="s">
        <v>230</v>
      </c>
      <c r="D88" s="7" t="str">
        <f t="shared" si="5"/>
        <v>m</v>
      </c>
      <c r="E88" t="str">
        <f t="shared" si="6"/>
        <v>S</v>
      </c>
      <c r="F88" t="str">
        <f t="shared" si="7"/>
        <v>Dab</v>
      </c>
      <c r="G88" t="str">
        <f t="shared" si="8"/>
        <v>5</v>
      </c>
      <c r="H88" t="str">
        <f t="shared" si="9"/>
        <v>SDab5</v>
      </c>
    </row>
    <row r="89" spans="1:8" x14ac:dyDescent="0.25">
      <c r="A89" s="8" t="s">
        <v>231</v>
      </c>
      <c r="B89" s="9" t="s">
        <v>232</v>
      </c>
      <c r="C89" s="9" t="s">
        <v>233</v>
      </c>
      <c r="D89" s="7" t="str">
        <f t="shared" si="5"/>
        <v>k</v>
      </c>
      <c r="E89" t="str">
        <f t="shared" si="6"/>
        <v>W</v>
      </c>
      <c r="F89" t="str">
        <f t="shared" si="7"/>
        <v>Ciu</v>
      </c>
      <c r="G89" t="str">
        <f t="shared" si="8"/>
        <v>4</v>
      </c>
      <c r="H89" t="str">
        <f t="shared" si="9"/>
        <v>WCiu4</v>
      </c>
    </row>
    <row r="90" spans="1:8" x14ac:dyDescent="0.25">
      <c r="A90" s="5" t="s">
        <v>234</v>
      </c>
      <c r="B90" s="6" t="s">
        <v>235</v>
      </c>
      <c r="C90" s="6" t="s">
        <v>5</v>
      </c>
      <c r="D90" s="7" t="str">
        <f t="shared" si="5"/>
        <v>m</v>
      </c>
      <c r="E90" t="str">
        <f t="shared" si="6"/>
        <v>K</v>
      </c>
      <c r="F90" t="str">
        <f t="shared" si="7"/>
        <v>Mic</v>
      </c>
      <c r="G90" t="str">
        <f t="shared" si="8"/>
        <v>2</v>
      </c>
      <c r="H90" t="str">
        <f t="shared" si="9"/>
        <v>KMic2</v>
      </c>
    </row>
    <row r="91" spans="1:8" x14ac:dyDescent="0.25">
      <c r="A91" s="8" t="s">
        <v>236</v>
      </c>
      <c r="B91" s="9" t="s">
        <v>237</v>
      </c>
      <c r="C91" s="9" t="s">
        <v>238</v>
      </c>
      <c r="D91" s="7" t="str">
        <f t="shared" si="5"/>
        <v>m</v>
      </c>
      <c r="E91" t="str">
        <f t="shared" si="6"/>
        <v>K</v>
      </c>
      <c r="F91" t="str">
        <f t="shared" si="7"/>
        <v>Mie</v>
      </c>
      <c r="G91" t="str">
        <f t="shared" si="8"/>
        <v>8</v>
      </c>
      <c r="H91" t="str">
        <f t="shared" si="9"/>
        <v>KMie8</v>
      </c>
    </row>
    <row r="92" spans="1:8" x14ac:dyDescent="0.25">
      <c r="A92" s="5" t="s">
        <v>239</v>
      </c>
      <c r="B92" s="6" t="s">
        <v>240</v>
      </c>
      <c r="C92" s="6" t="s">
        <v>241</v>
      </c>
      <c r="D92" s="7" t="str">
        <f t="shared" si="5"/>
        <v>k</v>
      </c>
      <c r="E92" t="str">
        <f t="shared" si="6"/>
        <v>N</v>
      </c>
      <c r="F92" t="str">
        <f t="shared" si="7"/>
        <v>Jag</v>
      </c>
      <c r="G92" t="str">
        <f t="shared" si="8"/>
        <v>8</v>
      </c>
      <c r="H92" t="str">
        <f t="shared" si="9"/>
        <v>NJag8</v>
      </c>
    </row>
    <row r="93" spans="1:8" x14ac:dyDescent="0.25">
      <c r="A93" s="8" t="s">
        <v>242</v>
      </c>
      <c r="B93" s="9" t="s">
        <v>243</v>
      </c>
      <c r="C93" s="9" t="s">
        <v>233</v>
      </c>
      <c r="D93" s="7" t="str">
        <f t="shared" si="5"/>
        <v>k</v>
      </c>
      <c r="E93" t="str">
        <f t="shared" si="6"/>
        <v>W</v>
      </c>
      <c r="F93" t="str">
        <f t="shared" si="7"/>
        <v>Cze</v>
      </c>
      <c r="G93" t="str">
        <f t="shared" si="8"/>
        <v>5</v>
      </c>
      <c r="H93" t="str">
        <f t="shared" si="9"/>
        <v>WCze5</v>
      </c>
    </row>
    <row r="94" spans="1:8" x14ac:dyDescent="0.25">
      <c r="A94" s="5" t="s">
        <v>244</v>
      </c>
      <c r="B94" s="6" t="s">
        <v>245</v>
      </c>
      <c r="C94" s="6" t="s">
        <v>246</v>
      </c>
      <c r="D94" s="7" t="str">
        <f t="shared" si="5"/>
        <v>m</v>
      </c>
      <c r="E94" t="str">
        <f t="shared" si="6"/>
        <v>S</v>
      </c>
      <c r="F94" t="str">
        <f t="shared" si="7"/>
        <v>Dom</v>
      </c>
      <c r="G94" t="str">
        <f t="shared" si="8"/>
        <v>7</v>
      </c>
      <c r="H94" t="str">
        <f t="shared" si="9"/>
        <v>SDom7</v>
      </c>
    </row>
    <row r="95" spans="1:8" x14ac:dyDescent="0.25">
      <c r="A95" s="8" t="s">
        <v>247</v>
      </c>
      <c r="B95" s="9" t="s">
        <v>248</v>
      </c>
      <c r="C95" s="9" t="s">
        <v>249</v>
      </c>
      <c r="D95" s="7" t="str">
        <f t="shared" si="5"/>
        <v>k</v>
      </c>
      <c r="E95" t="str">
        <f t="shared" si="6"/>
        <v>M</v>
      </c>
      <c r="F95" t="str">
        <f t="shared" si="7"/>
        <v>Kot</v>
      </c>
      <c r="G95" t="str">
        <f t="shared" si="8"/>
        <v>8</v>
      </c>
      <c r="H95" t="str">
        <f t="shared" si="9"/>
        <v>MKot8</v>
      </c>
    </row>
    <row r="96" spans="1:8" x14ac:dyDescent="0.25">
      <c r="A96" s="5" t="s">
        <v>250</v>
      </c>
      <c r="B96" s="6" t="s">
        <v>251</v>
      </c>
      <c r="C96" s="6" t="s">
        <v>252</v>
      </c>
      <c r="D96" s="7" t="str">
        <f t="shared" si="5"/>
        <v>m</v>
      </c>
      <c r="E96" t="str">
        <f t="shared" si="6"/>
        <v>K</v>
      </c>
      <c r="F96" t="str">
        <f t="shared" si="7"/>
        <v>Nie</v>
      </c>
      <c r="G96" t="str">
        <f t="shared" si="8"/>
        <v>7</v>
      </c>
      <c r="H96" t="str">
        <f t="shared" si="9"/>
        <v>KNie7</v>
      </c>
    </row>
    <row r="97" spans="1:8" x14ac:dyDescent="0.25">
      <c r="A97" s="8" t="s">
        <v>253</v>
      </c>
      <c r="B97" s="9" t="s">
        <v>254</v>
      </c>
      <c r="C97" s="9" t="s">
        <v>5</v>
      </c>
      <c r="D97" s="7" t="str">
        <f t="shared" si="5"/>
        <v>m</v>
      </c>
      <c r="E97" t="str">
        <f t="shared" si="6"/>
        <v>K</v>
      </c>
      <c r="F97" t="str">
        <f t="shared" si="7"/>
        <v>Men</v>
      </c>
      <c r="G97" t="str">
        <f t="shared" si="8"/>
        <v>2</v>
      </c>
      <c r="H97" t="str">
        <f t="shared" si="9"/>
        <v>KMen2</v>
      </c>
    </row>
    <row r="98" spans="1:8" x14ac:dyDescent="0.25">
      <c r="A98" s="5" t="s">
        <v>255</v>
      </c>
      <c r="B98" s="6" t="s">
        <v>256</v>
      </c>
      <c r="C98" s="6" t="s">
        <v>257</v>
      </c>
      <c r="D98" s="7" t="str">
        <f t="shared" si="5"/>
        <v>m</v>
      </c>
      <c r="E98" t="str">
        <f t="shared" si="6"/>
        <v>B</v>
      </c>
      <c r="F98" t="str">
        <f t="shared" si="7"/>
        <v>Tra</v>
      </c>
      <c r="G98" t="str">
        <f t="shared" si="8"/>
        <v>1</v>
      </c>
      <c r="H98" t="str">
        <f t="shared" si="9"/>
        <v>BTra1</v>
      </c>
    </row>
    <row r="99" spans="1:8" x14ac:dyDescent="0.25">
      <c r="A99" s="8" t="s">
        <v>258</v>
      </c>
      <c r="B99" s="9" t="s">
        <v>259</v>
      </c>
      <c r="C99" s="9" t="s">
        <v>260</v>
      </c>
      <c r="D99" s="7" t="str">
        <f t="shared" si="5"/>
        <v>m</v>
      </c>
      <c r="E99" t="str">
        <f t="shared" si="6"/>
        <v>F</v>
      </c>
      <c r="F99" t="str">
        <f t="shared" si="7"/>
        <v>Sob</v>
      </c>
      <c r="G99" t="str">
        <f t="shared" si="8"/>
        <v>2</v>
      </c>
      <c r="H99" t="str">
        <f t="shared" si="9"/>
        <v>FSob2</v>
      </c>
    </row>
    <row r="100" spans="1:8" x14ac:dyDescent="0.25">
      <c r="A100" s="5" t="s">
        <v>261</v>
      </c>
      <c r="B100" s="6" t="s">
        <v>262</v>
      </c>
      <c r="C100" s="6" t="s">
        <v>263</v>
      </c>
      <c r="D100" s="7" t="str">
        <f t="shared" si="5"/>
        <v>k</v>
      </c>
      <c r="E100" t="str">
        <f t="shared" si="6"/>
        <v>K</v>
      </c>
      <c r="F100" t="str">
        <f t="shared" si="7"/>
        <v>Cej</v>
      </c>
      <c r="G100" t="str">
        <f t="shared" si="8"/>
        <v>4</v>
      </c>
      <c r="H100" t="str">
        <f t="shared" si="9"/>
        <v>KCej4</v>
      </c>
    </row>
    <row r="101" spans="1:8" x14ac:dyDescent="0.25">
      <c r="A101" s="8" t="s">
        <v>264</v>
      </c>
      <c r="B101" s="9" t="s">
        <v>265</v>
      </c>
      <c r="C101" s="9" t="s">
        <v>266</v>
      </c>
      <c r="D101" s="7" t="str">
        <f t="shared" si="5"/>
        <v>k</v>
      </c>
      <c r="E101" t="str">
        <f t="shared" si="6"/>
        <v>N</v>
      </c>
      <c r="F101" t="str">
        <f t="shared" si="7"/>
        <v>Jaz</v>
      </c>
      <c r="G101" t="str">
        <f t="shared" si="8"/>
        <v>0</v>
      </c>
      <c r="H101" t="str">
        <f t="shared" si="9"/>
        <v>NJaz0</v>
      </c>
    </row>
    <row r="102" spans="1:8" x14ac:dyDescent="0.25">
      <c r="A102" s="5" t="s">
        <v>267</v>
      </c>
      <c r="B102" s="6" t="s">
        <v>268</v>
      </c>
      <c r="C102" s="6" t="s">
        <v>269</v>
      </c>
      <c r="D102" s="7" t="str">
        <f t="shared" si="5"/>
        <v>m</v>
      </c>
      <c r="E102" t="str">
        <f t="shared" si="6"/>
        <v>M</v>
      </c>
      <c r="F102" t="str">
        <f t="shared" si="7"/>
        <v>Jar</v>
      </c>
      <c r="G102" t="str">
        <f t="shared" si="8"/>
        <v>7</v>
      </c>
      <c r="H102" t="str">
        <f t="shared" si="9"/>
        <v>MJar7</v>
      </c>
    </row>
    <row r="103" spans="1:8" x14ac:dyDescent="0.25">
      <c r="A103" s="8" t="s">
        <v>270</v>
      </c>
      <c r="B103" s="9" t="s">
        <v>271</v>
      </c>
      <c r="C103" s="9" t="s">
        <v>272</v>
      </c>
      <c r="D103" s="7" t="str">
        <f t="shared" si="5"/>
        <v>k</v>
      </c>
      <c r="E103" t="str">
        <f t="shared" si="6"/>
        <v>M</v>
      </c>
      <c r="F103" t="str">
        <f t="shared" si="7"/>
        <v>Kmi</v>
      </c>
      <c r="G103" t="str">
        <f t="shared" si="8"/>
        <v>5</v>
      </c>
      <c r="H103" t="str">
        <f t="shared" si="9"/>
        <v>MKmi5</v>
      </c>
    </row>
    <row r="104" spans="1:8" x14ac:dyDescent="0.25">
      <c r="A104" s="5" t="s">
        <v>273</v>
      </c>
      <c r="B104" s="6" t="s">
        <v>274</v>
      </c>
      <c r="C104" s="6" t="s">
        <v>275</v>
      </c>
      <c r="D104" s="7" t="str">
        <f t="shared" si="5"/>
        <v>k</v>
      </c>
      <c r="E104" t="str">
        <f t="shared" si="6"/>
        <v>M</v>
      </c>
      <c r="F104" t="str">
        <f t="shared" si="7"/>
        <v>Kil</v>
      </c>
      <c r="G104" t="str">
        <f t="shared" si="8"/>
        <v>7</v>
      </c>
      <c r="H104" t="str">
        <f t="shared" si="9"/>
        <v>MKil7</v>
      </c>
    </row>
    <row r="105" spans="1:8" x14ac:dyDescent="0.25">
      <c r="A105" s="8" t="s">
        <v>276</v>
      </c>
      <c r="B105" s="9" t="s">
        <v>277</v>
      </c>
      <c r="C105" s="9" t="s">
        <v>278</v>
      </c>
      <c r="D105" s="7" t="str">
        <f t="shared" si="5"/>
        <v>m</v>
      </c>
      <c r="E105" t="str">
        <f t="shared" si="6"/>
        <v>L</v>
      </c>
      <c r="F105" t="str">
        <f t="shared" si="7"/>
        <v>Mar</v>
      </c>
      <c r="G105" t="str">
        <f t="shared" si="8"/>
        <v>7</v>
      </c>
      <c r="H105" t="str">
        <f t="shared" si="9"/>
        <v>LMar7</v>
      </c>
    </row>
    <row r="106" spans="1:8" x14ac:dyDescent="0.25">
      <c r="A106" s="5" t="s">
        <v>279</v>
      </c>
      <c r="B106" s="6" t="s">
        <v>280</v>
      </c>
      <c r="C106" s="6" t="s">
        <v>281</v>
      </c>
      <c r="D106" s="7" t="str">
        <f t="shared" si="5"/>
        <v>m</v>
      </c>
      <c r="E106" t="str">
        <f t="shared" si="6"/>
        <v>H</v>
      </c>
      <c r="F106" t="str">
        <f t="shared" si="7"/>
        <v>Sik</v>
      </c>
      <c r="G106" t="str">
        <f t="shared" si="8"/>
        <v>1</v>
      </c>
      <c r="H106" t="str">
        <f t="shared" si="9"/>
        <v>HSik1</v>
      </c>
    </row>
    <row r="107" spans="1:8" x14ac:dyDescent="0.25">
      <c r="A107" s="8" t="s">
        <v>282</v>
      </c>
      <c r="B107" s="9" t="s">
        <v>283</v>
      </c>
      <c r="C107" s="9" t="s">
        <v>284</v>
      </c>
      <c r="D107" s="7" t="str">
        <f t="shared" si="5"/>
        <v>k</v>
      </c>
      <c r="E107" t="str">
        <f t="shared" si="6"/>
        <v>E</v>
      </c>
      <c r="F107" t="str">
        <f t="shared" si="7"/>
        <v>Szc</v>
      </c>
      <c r="G107" t="str">
        <f t="shared" si="8"/>
        <v>0</v>
      </c>
      <c r="H107" t="str">
        <f t="shared" si="9"/>
        <v>ESzc0</v>
      </c>
    </row>
    <row r="108" spans="1:8" x14ac:dyDescent="0.25">
      <c r="A108" s="5" t="s">
        <v>285</v>
      </c>
      <c r="B108" s="6" t="s">
        <v>286</v>
      </c>
      <c r="C108" s="6" t="s">
        <v>287</v>
      </c>
      <c r="D108" s="7" t="str">
        <f t="shared" si="5"/>
        <v>m</v>
      </c>
      <c r="E108" t="str">
        <f t="shared" si="6"/>
        <v>D</v>
      </c>
      <c r="F108" t="str">
        <f t="shared" si="7"/>
        <v>Szu</v>
      </c>
      <c r="G108" t="str">
        <f t="shared" si="8"/>
        <v>7</v>
      </c>
      <c r="H108" t="str">
        <f t="shared" si="9"/>
        <v>DSzu7</v>
      </c>
    </row>
    <row r="109" spans="1:8" x14ac:dyDescent="0.25">
      <c r="A109" s="8" t="s">
        <v>288</v>
      </c>
      <c r="B109" s="9" t="s">
        <v>289</v>
      </c>
      <c r="C109" s="9" t="s">
        <v>17</v>
      </c>
      <c r="D109" s="7" t="str">
        <f t="shared" si="5"/>
        <v>m</v>
      </c>
      <c r="E109" t="str">
        <f t="shared" si="6"/>
        <v>M</v>
      </c>
      <c r="F109" t="str">
        <f t="shared" si="7"/>
        <v>Kre</v>
      </c>
      <c r="G109" t="str">
        <f t="shared" si="8"/>
        <v>2</v>
      </c>
      <c r="H109" t="str">
        <f t="shared" si="9"/>
        <v>MKre2</v>
      </c>
    </row>
    <row r="110" spans="1:8" x14ac:dyDescent="0.25">
      <c r="A110" s="5" t="s">
        <v>290</v>
      </c>
      <c r="B110" s="6" t="s">
        <v>291</v>
      </c>
      <c r="C110" s="6" t="s">
        <v>292</v>
      </c>
      <c r="D110" s="7" t="str">
        <f t="shared" si="5"/>
        <v>m</v>
      </c>
      <c r="E110" t="str">
        <f t="shared" si="6"/>
        <v>L</v>
      </c>
      <c r="F110" t="str">
        <f t="shared" si="7"/>
        <v>Mal</v>
      </c>
      <c r="G110" t="str">
        <f t="shared" si="8"/>
        <v>6</v>
      </c>
      <c r="H110" t="str">
        <f t="shared" si="9"/>
        <v>LMal6</v>
      </c>
    </row>
    <row r="111" spans="1:8" x14ac:dyDescent="0.25">
      <c r="A111" s="8" t="s">
        <v>293</v>
      </c>
      <c r="B111" s="9" t="s">
        <v>294</v>
      </c>
      <c r="C111" s="9" t="s">
        <v>295</v>
      </c>
      <c r="D111" s="7" t="str">
        <f t="shared" si="5"/>
        <v>k</v>
      </c>
      <c r="E111" t="str">
        <f t="shared" si="6"/>
        <v>W</v>
      </c>
      <c r="F111" t="str">
        <f t="shared" si="7"/>
        <v>Cze</v>
      </c>
      <c r="G111" t="str">
        <f t="shared" si="8"/>
        <v>7</v>
      </c>
      <c r="H111" t="str">
        <f t="shared" si="9"/>
        <v>WCze7</v>
      </c>
    </row>
    <row r="112" spans="1:8" x14ac:dyDescent="0.25">
      <c r="A112" s="5" t="s">
        <v>296</v>
      </c>
      <c r="B112" s="6" t="s">
        <v>297</v>
      </c>
      <c r="C112" s="6" t="s">
        <v>298</v>
      </c>
      <c r="D112" s="7" t="str">
        <f t="shared" si="5"/>
        <v>k</v>
      </c>
      <c r="E112" t="str">
        <f t="shared" si="6"/>
        <v>D</v>
      </c>
      <c r="F112" t="str">
        <f t="shared" si="7"/>
        <v>Szo</v>
      </c>
      <c r="G112" t="str">
        <f t="shared" si="8"/>
        <v>8</v>
      </c>
      <c r="H112" t="str">
        <f t="shared" si="9"/>
        <v>DSzo8</v>
      </c>
    </row>
    <row r="113" spans="1:8" x14ac:dyDescent="0.25">
      <c r="A113" s="8" t="s">
        <v>299</v>
      </c>
      <c r="B113" s="9" t="s">
        <v>300</v>
      </c>
      <c r="C113" s="9" t="s">
        <v>64</v>
      </c>
      <c r="D113" s="7" t="str">
        <f t="shared" si="5"/>
        <v>m</v>
      </c>
      <c r="E113" t="str">
        <f t="shared" si="6"/>
        <v>M</v>
      </c>
      <c r="F113" t="str">
        <f t="shared" si="7"/>
        <v>Kal</v>
      </c>
      <c r="G113" t="str">
        <f t="shared" si="8"/>
        <v>9</v>
      </c>
      <c r="H113" t="str">
        <f t="shared" si="9"/>
        <v>MKal9</v>
      </c>
    </row>
    <row r="114" spans="1:8" x14ac:dyDescent="0.25">
      <c r="A114" s="5" t="s">
        <v>301</v>
      </c>
      <c r="B114" s="6" t="s">
        <v>302</v>
      </c>
      <c r="C114" s="6" t="s">
        <v>78</v>
      </c>
      <c r="D114" s="7" t="str">
        <f t="shared" si="5"/>
        <v>k</v>
      </c>
      <c r="E114" t="str">
        <f t="shared" si="6"/>
        <v>M</v>
      </c>
      <c r="F114" t="str">
        <f t="shared" si="7"/>
        <v>Koc</v>
      </c>
      <c r="G114" t="str">
        <f t="shared" si="8"/>
        <v>9</v>
      </c>
      <c r="H114" t="str">
        <f t="shared" si="9"/>
        <v>MKoc9</v>
      </c>
    </row>
    <row r="115" spans="1:8" x14ac:dyDescent="0.25">
      <c r="A115" s="8" t="s">
        <v>303</v>
      </c>
      <c r="B115" s="9" t="s">
        <v>304</v>
      </c>
      <c r="C115" s="9" t="s">
        <v>208</v>
      </c>
      <c r="D115" s="7" t="str">
        <f t="shared" si="5"/>
        <v>m</v>
      </c>
      <c r="E115" t="str">
        <f t="shared" si="6"/>
        <v>A</v>
      </c>
      <c r="F115" t="str">
        <f t="shared" si="7"/>
        <v>Wit</v>
      </c>
      <c r="G115" t="str">
        <f t="shared" si="8"/>
        <v>4</v>
      </c>
      <c r="H115" t="str">
        <f t="shared" si="9"/>
        <v>AWit4</v>
      </c>
    </row>
    <row r="116" spans="1:8" x14ac:dyDescent="0.25">
      <c r="A116" s="5" t="s">
        <v>305</v>
      </c>
      <c r="B116" s="6" t="s">
        <v>306</v>
      </c>
      <c r="C116" s="6" t="s">
        <v>92</v>
      </c>
      <c r="D116" s="7" t="str">
        <f t="shared" si="5"/>
        <v>m</v>
      </c>
      <c r="E116" t="str">
        <f t="shared" si="6"/>
        <v>I</v>
      </c>
      <c r="F116" t="str">
        <f t="shared" si="7"/>
        <v>Ryb</v>
      </c>
      <c r="G116" t="str">
        <f t="shared" si="8"/>
        <v>6</v>
      </c>
      <c r="H116" t="str">
        <f t="shared" si="9"/>
        <v>IRyb6</v>
      </c>
    </row>
    <row r="117" spans="1:8" x14ac:dyDescent="0.25">
      <c r="A117" s="8" t="s">
        <v>307</v>
      </c>
      <c r="B117" s="9" t="s">
        <v>308</v>
      </c>
      <c r="C117" s="9" t="s">
        <v>309</v>
      </c>
      <c r="D117" s="7" t="str">
        <f t="shared" si="5"/>
        <v>k</v>
      </c>
      <c r="E117" t="str">
        <f t="shared" si="6"/>
        <v>J</v>
      </c>
      <c r="F117" t="str">
        <f t="shared" si="7"/>
        <v>Puz</v>
      </c>
      <c r="G117" t="str">
        <f t="shared" si="8"/>
        <v>3</v>
      </c>
      <c r="H117" t="str">
        <f t="shared" si="9"/>
        <v>JPuz3</v>
      </c>
    </row>
    <row r="118" spans="1:8" x14ac:dyDescent="0.25">
      <c r="A118" s="5" t="s">
        <v>310</v>
      </c>
      <c r="B118" s="6" t="s">
        <v>311</v>
      </c>
      <c r="C118" s="6" t="s">
        <v>64</v>
      </c>
      <c r="D118" s="7" t="str">
        <f t="shared" si="5"/>
        <v>m</v>
      </c>
      <c r="E118" t="str">
        <f t="shared" si="6"/>
        <v>M</v>
      </c>
      <c r="F118" t="str">
        <f t="shared" si="7"/>
        <v>Jur</v>
      </c>
      <c r="G118" t="str">
        <f t="shared" si="8"/>
        <v>6</v>
      </c>
      <c r="H118" t="str">
        <f t="shared" si="9"/>
        <v>MJur6</v>
      </c>
    </row>
    <row r="119" spans="1:8" x14ac:dyDescent="0.25">
      <c r="A119" s="8" t="s">
        <v>312</v>
      </c>
      <c r="B119" s="9" t="s">
        <v>313</v>
      </c>
      <c r="C119" s="9" t="s">
        <v>121</v>
      </c>
      <c r="D119" s="7" t="str">
        <f t="shared" si="5"/>
        <v>m</v>
      </c>
      <c r="E119" t="str">
        <f t="shared" si="6"/>
        <v>J</v>
      </c>
      <c r="F119" t="str">
        <f t="shared" si="7"/>
        <v>Piw</v>
      </c>
      <c r="G119" t="str">
        <f t="shared" si="8"/>
        <v>4</v>
      </c>
      <c r="H119" t="str">
        <f t="shared" si="9"/>
        <v>JPiw4</v>
      </c>
    </row>
    <row r="120" spans="1:8" x14ac:dyDescent="0.25">
      <c r="A120" s="5" t="s">
        <v>314</v>
      </c>
      <c r="B120" s="6" t="s">
        <v>315</v>
      </c>
      <c r="C120" s="6" t="s">
        <v>64</v>
      </c>
      <c r="D120" s="7" t="str">
        <f t="shared" si="5"/>
        <v>m</v>
      </c>
      <c r="E120" t="str">
        <f t="shared" si="6"/>
        <v>M</v>
      </c>
      <c r="F120" t="str">
        <f t="shared" si="7"/>
        <v>Jur</v>
      </c>
      <c r="G120" t="str">
        <f t="shared" si="8"/>
        <v>9</v>
      </c>
      <c r="H120" t="str">
        <f t="shared" si="9"/>
        <v>MJur9</v>
      </c>
    </row>
    <row r="121" spans="1:8" x14ac:dyDescent="0.25">
      <c r="A121" s="8" t="s">
        <v>316</v>
      </c>
      <c r="B121" s="9" t="s">
        <v>317</v>
      </c>
      <c r="C121" s="9" t="s">
        <v>318</v>
      </c>
      <c r="D121" s="7" t="str">
        <f t="shared" si="5"/>
        <v>k</v>
      </c>
      <c r="E121" t="str">
        <f t="shared" si="6"/>
        <v>K</v>
      </c>
      <c r="F121" t="str">
        <f t="shared" si="7"/>
        <v>Ogr</v>
      </c>
      <c r="G121" t="str">
        <f t="shared" si="8"/>
        <v>5</v>
      </c>
      <c r="H121" t="str">
        <f t="shared" si="9"/>
        <v>KOgr5</v>
      </c>
    </row>
    <row r="122" spans="1:8" x14ac:dyDescent="0.25">
      <c r="A122" s="5" t="s">
        <v>319</v>
      </c>
      <c r="B122" s="6" t="s">
        <v>320</v>
      </c>
      <c r="C122" s="6" t="s">
        <v>260</v>
      </c>
      <c r="D122" s="7" t="str">
        <f t="shared" si="5"/>
        <v>m</v>
      </c>
      <c r="E122" t="str">
        <f t="shared" si="6"/>
        <v>F</v>
      </c>
      <c r="F122" t="str">
        <f t="shared" si="7"/>
        <v>Str</v>
      </c>
      <c r="G122" t="str">
        <f t="shared" si="8"/>
        <v>6</v>
      </c>
      <c r="H122" t="str">
        <f t="shared" si="9"/>
        <v>FStr6</v>
      </c>
    </row>
    <row r="123" spans="1:8" x14ac:dyDescent="0.25">
      <c r="A123" s="8" t="s">
        <v>321</v>
      </c>
      <c r="B123" s="9" t="s">
        <v>322</v>
      </c>
      <c r="C123" s="9" t="s">
        <v>323</v>
      </c>
      <c r="D123" s="7" t="str">
        <f t="shared" si="5"/>
        <v>k</v>
      </c>
      <c r="E123" t="str">
        <f t="shared" si="6"/>
        <v>A</v>
      </c>
      <c r="F123" t="str">
        <f t="shared" si="7"/>
        <v>Zar</v>
      </c>
      <c r="G123" t="str">
        <f t="shared" si="8"/>
        <v>9</v>
      </c>
      <c r="H123" t="str">
        <f t="shared" si="9"/>
        <v>AZar9</v>
      </c>
    </row>
    <row r="124" spans="1:8" x14ac:dyDescent="0.25">
      <c r="A124" s="5" t="s">
        <v>324</v>
      </c>
      <c r="B124" s="6" t="s">
        <v>325</v>
      </c>
      <c r="C124" s="6" t="s">
        <v>131</v>
      </c>
      <c r="D124" s="7" t="str">
        <f t="shared" si="5"/>
        <v>k</v>
      </c>
      <c r="E124" t="str">
        <f t="shared" si="6"/>
        <v>O</v>
      </c>
      <c r="F124" t="str">
        <f t="shared" si="7"/>
        <v>Gor</v>
      </c>
      <c r="G124" t="str">
        <f t="shared" si="8"/>
        <v>7</v>
      </c>
      <c r="H124" t="str">
        <f t="shared" si="9"/>
        <v>OGor7</v>
      </c>
    </row>
    <row r="125" spans="1:8" x14ac:dyDescent="0.25">
      <c r="A125" s="8" t="s">
        <v>326</v>
      </c>
      <c r="B125" s="9" t="s">
        <v>327</v>
      </c>
      <c r="C125" s="9" t="s">
        <v>179</v>
      </c>
      <c r="D125" s="7" t="str">
        <f t="shared" si="5"/>
        <v>k</v>
      </c>
      <c r="E125" t="str">
        <f t="shared" si="6"/>
        <v>P</v>
      </c>
      <c r="F125" t="str">
        <f t="shared" si="7"/>
        <v>Kwi</v>
      </c>
      <c r="G125" t="str">
        <f t="shared" si="8"/>
        <v>9</v>
      </c>
      <c r="H125" t="str">
        <f t="shared" si="9"/>
        <v>PKwi9</v>
      </c>
    </row>
    <row r="126" spans="1:8" x14ac:dyDescent="0.25">
      <c r="A126" s="5" t="s">
        <v>328</v>
      </c>
      <c r="B126" s="6" t="s">
        <v>329</v>
      </c>
      <c r="C126" s="6" t="s">
        <v>330</v>
      </c>
      <c r="D126" s="7" t="str">
        <f t="shared" si="5"/>
        <v>k</v>
      </c>
      <c r="E126" t="str">
        <f t="shared" si="6"/>
        <v>J</v>
      </c>
      <c r="F126" t="str">
        <f t="shared" si="7"/>
        <v>Sie</v>
      </c>
      <c r="G126" t="str">
        <f t="shared" si="8"/>
        <v>0</v>
      </c>
      <c r="H126" t="str">
        <f t="shared" si="9"/>
        <v>JSie0</v>
      </c>
    </row>
    <row r="127" spans="1:8" x14ac:dyDescent="0.25">
      <c r="A127" s="8" t="s">
        <v>331</v>
      </c>
      <c r="B127" s="9" t="s">
        <v>332</v>
      </c>
      <c r="C127" s="9" t="s">
        <v>202</v>
      </c>
      <c r="D127" s="7" t="str">
        <f t="shared" si="5"/>
        <v>m</v>
      </c>
      <c r="E127" t="str">
        <f t="shared" si="6"/>
        <v>B</v>
      </c>
      <c r="F127" t="str">
        <f t="shared" si="7"/>
        <v>Ule</v>
      </c>
      <c r="G127" t="str">
        <f t="shared" si="8"/>
        <v>8</v>
      </c>
      <c r="H127" t="str">
        <f t="shared" si="9"/>
        <v>BUle8</v>
      </c>
    </row>
    <row r="128" spans="1:8" x14ac:dyDescent="0.25">
      <c r="A128" s="5" t="s">
        <v>333</v>
      </c>
      <c r="B128" s="6" t="s">
        <v>334</v>
      </c>
      <c r="C128" s="6" t="s">
        <v>335</v>
      </c>
      <c r="D128" s="7" t="str">
        <f t="shared" si="5"/>
        <v>k</v>
      </c>
      <c r="E128" t="str">
        <f t="shared" si="6"/>
        <v>A</v>
      </c>
      <c r="F128" t="str">
        <f t="shared" si="7"/>
        <v>Tok</v>
      </c>
      <c r="G128" t="str">
        <f t="shared" si="8"/>
        <v>8</v>
      </c>
      <c r="H128" t="str">
        <f t="shared" si="9"/>
        <v>ATok8</v>
      </c>
    </row>
    <row r="129" spans="1:8" x14ac:dyDescent="0.25">
      <c r="A129" s="8" t="s">
        <v>336</v>
      </c>
      <c r="B129" s="9" t="s">
        <v>337</v>
      </c>
      <c r="C129" s="9" t="s">
        <v>17</v>
      </c>
      <c r="D129" s="7" t="str">
        <f t="shared" si="5"/>
        <v>m</v>
      </c>
      <c r="E129" t="str">
        <f t="shared" si="6"/>
        <v>M</v>
      </c>
      <c r="F129" t="str">
        <f t="shared" si="7"/>
        <v>Kru</v>
      </c>
      <c r="G129" t="str">
        <f t="shared" si="8"/>
        <v>0</v>
      </c>
      <c r="H129" t="str">
        <f t="shared" si="9"/>
        <v>MKru0</v>
      </c>
    </row>
    <row r="130" spans="1:8" x14ac:dyDescent="0.25">
      <c r="A130" s="5" t="s">
        <v>338</v>
      </c>
      <c r="B130" s="6" t="s">
        <v>339</v>
      </c>
      <c r="C130" s="6" t="s">
        <v>340</v>
      </c>
      <c r="D130" s="7" t="str">
        <f t="shared" ref="D130:D193" si="10">IF(MOD(LEFT(RIGHT(A130,2),1),2)=0,"k","m")</f>
        <v>k</v>
      </c>
      <c r="E130" t="str">
        <f t="shared" si="6"/>
        <v>A</v>
      </c>
      <c r="F130" t="str">
        <f t="shared" si="7"/>
        <v>Swi</v>
      </c>
      <c r="G130" t="str">
        <f t="shared" si="8"/>
        <v>8</v>
      </c>
      <c r="H130" t="str">
        <f t="shared" si="9"/>
        <v>ASwi8</v>
      </c>
    </row>
    <row r="131" spans="1:8" x14ac:dyDescent="0.25">
      <c r="A131" s="8" t="s">
        <v>341</v>
      </c>
      <c r="B131" s="9" t="s">
        <v>342</v>
      </c>
      <c r="C131" s="9" t="s">
        <v>108</v>
      </c>
      <c r="D131" s="7" t="str">
        <f t="shared" si="10"/>
        <v>m</v>
      </c>
      <c r="E131" t="str">
        <f t="shared" ref="E131:E194" si="11">LEFT(C131,1)</f>
        <v>M</v>
      </c>
      <c r="F131" t="str">
        <f t="shared" ref="F131:F194" si="12">LEFT(B131,3)</f>
        <v>Kiz</v>
      </c>
      <c r="G131" t="str">
        <f t="shared" ref="G131:G194" si="13">RIGHT(A131,1)</f>
        <v>4</v>
      </c>
      <c r="H131" t="str">
        <f t="shared" ref="H131:H194" si="14">_xlfn.TEXTJOIN(,,E131,F131,G131)</f>
        <v>MKiz4</v>
      </c>
    </row>
    <row r="132" spans="1:8" x14ac:dyDescent="0.25">
      <c r="A132" s="5" t="s">
        <v>343</v>
      </c>
      <c r="B132" s="6" t="s">
        <v>344</v>
      </c>
      <c r="C132" s="6" t="s">
        <v>345</v>
      </c>
      <c r="D132" s="7" t="str">
        <f t="shared" si="10"/>
        <v>k</v>
      </c>
      <c r="E132" t="str">
        <f t="shared" si="11"/>
        <v>M</v>
      </c>
      <c r="F132" t="str">
        <f t="shared" si="12"/>
        <v>Kec</v>
      </c>
      <c r="G132" t="str">
        <f t="shared" si="13"/>
        <v>5</v>
      </c>
      <c r="H132" t="str">
        <f t="shared" si="14"/>
        <v>MKec5</v>
      </c>
    </row>
    <row r="133" spans="1:8" x14ac:dyDescent="0.25">
      <c r="A133" s="8" t="s">
        <v>346</v>
      </c>
      <c r="B133" s="9" t="s">
        <v>347</v>
      </c>
      <c r="C133" s="9" t="s">
        <v>348</v>
      </c>
      <c r="D133" s="7" t="str">
        <f t="shared" si="10"/>
        <v>k</v>
      </c>
      <c r="E133" t="str">
        <f t="shared" si="11"/>
        <v>A</v>
      </c>
      <c r="F133" t="str">
        <f t="shared" si="12"/>
        <v>Zoc</v>
      </c>
      <c r="G133" t="str">
        <f t="shared" si="13"/>
        <v>8</v>
      </c>
      <c r="H133" t="str">
        <f t="shared" si="14"/>
        <v>AZoc8</v>
      </c>
    </row>
    <row r="134" spans="1:8" x14ac:dyDescent="0.25">
      <c r="A134" s="5" t="s">
        <v>349</v>
      </c>
      <c r="B134" s="6" t="s">
        <v>350</v>
      </c>
      <c r="C134" s="6" t="s">
        <v>351</v>
      </c>
      <c r="D134" s="7" t="str">
        <f t="shared" si="10"/>
        <v>k</v>
      </c>
      <c r="E134" t="str">
        <f t="shared" si="11"/>
        <v>M</v>
      </c>
      <c r="F134" t="str">
        <f t="shared" si="12"/>
        <v>Koz</v>
      </c>
      <c r="G134" t="str">
        <f t="shared" si="13"/>
        <v>4</v>
      </c>
      <c r="H134" t="str">
        <f t="shared" si="14"/>
        <v>MKoz4</v>
      </c>
    </row>
    <row r="135" spans="1:8" x14ac:dyDescent="0.25">
      <c r="A135" s="8" t="s">
        <v>352</v>
      </c>
      <c r="B135" s="9" t="s">
        <v>353</v>
      </c>
      <c r="C135" s="9" t="s">
        <v>89</v>
      </c>
      <c r="D135" s="7" t="str">
        <f t="shared" si="10"/>
        <v>k</v>
      </c>
      <c r="E135" t="str">
        <f t="shared" si="11"/>
        <v>M</v>
      </c>
      <c r="F135" t="str">
        <f t="shared" si="12"/>
        <v>Lew</v>
      </c>
      <c r="G135" t="str">
        <f t="shared" si="13"/>
        <v>1</v>
      </c>
      <c r="H135" t="str">
        <f t="shared" si="14"/>
        <v>MLew1</v>
      </c>
    </row>
    <row r="136" spans="1:8" x14ac:dyDescent="0.25">
      <c r="A136" s="5" t="s">
        <v>354</v>
      </c>
      <c r="B136" s="6" t="s">
        <v>355</v>
      </c>
      <c r="C136" s="6" t="s">
        <v>356</v>
      </c>
      <c r="D136" s="7" t="str">
        <f t="shared" si="10"/>
        <v>m</v>
      </c>
      <c r="E136" t="str">
        <f t="shared" si="11"/>
        <v>P</v>
      </c>
      <c r="F136" t="str">
        <f t="shared" si="12"/>
        <v>Gor</v>
      </c>
      <c r="G136" t="str">
        <f t="shared" si="13"/>
        <v>5</v>
      </c>
      <c r="H136" t="str">
        <f t="shared" si="14"/>
        <v>PGor5</v>
      </c>
    </row>
    <row r="137" spans="1:8" x14ac:dyDescent="0.25">
      <c r="A137" s="8" t="s">
        <v>357</v>
      </c>
      <c r="B137" s="9" t="s">
        <v>358</v>
      </c>
      <c r="C137" s="9" t="s">
        <v>359</v>
      </c>
      <c r="D137" s="7" t="str">
        <f t="shared" si="10"/>
        <v>k</v>
      </c>
      <c r="E137" t="str">
        <f t="shared" si="11"/>
        <v>M</v>
      </c>
      <c r="F137" t="str">
        <f t="shared" si="12"/>
        <v>Kow</v>
      </c>
      <c r="G137" t="str">
        <f t="shared" si="13"/>
        <v>4</v>
      </c>
      <c r="H137" t="str">
        <f t="shared" si="14"/>
        <v>MKow4</v>
      </c>
    </row>
    <row r="138" spans="1:8" x14ac:dyDescent="0.25">
      <c r="A138" s="5" t="s">
        <v>360</v>
      </c>
      <c r="B138" s="6" t="s">
        <v>361</v>
      </c>
      <c r="C138" s="6" t="s">
        <v>345</v>
      </c>
      <c r="D138" s="7" t="str">
        <f t="shared" si="10"/>
        <v>k</v>
      </c>
      <c r="E138" t="str">
        <f t="shared" si="11"/>
        <v>M</v>
      </c>
      <c r="F138" t="str">
        <f t="shared" si="12"/>
        <v>Kat</v>
      </c>
      <c r="G138" t="str">
        <f t="shared" si="13"/>
        <v>0</v>
      </c>
      <c r="H138" t="str">
        <f t="shared" si="14"/>
        <v>MKat0</v>
      </c>
    </row>
    <row r="139" spans="1:8" x14ac:dyDescent="0.25">
      <c r="A139" s="8" t="s">
        <v>362</v>
      </c>
      <c r="B139" s="9" t="s">
        <v>363</v>
      </c>
      <c r="C139" s="9" t="s">
        <v>194</v>
      </c>
      <c r="D139" s="7" t="str">
        <f t="shared" si="10"/>
        <v>k</v>
      </c>
      <c r="E139" t="str">
        <f t="shared" si="11"/>
        <v>A</v>
      </c>
      <c r="F139" t="str">
        <f t="shared" si="12"/>
        <v>Tok</v>
      </c>
      <c r="G139" t="str">
        <f t="shared" si="13"/>
        <v>4</v>
      </c>
      <c r="H139" t="str">
        <f t="shared" si="14"/>
        <v>ATok4</v>
      </c>
    </row>
    <row r="140" spans="1:8" x14ac:dyDescent="0.25">
      <c r="A140" s="5" t="s">
        <v>364</v>
      </c>
      <c r="B140" s="6" t="s">
        <v>365</v>
      </c>
      <c r="C140" s="6" t="s">
        <v>309</v>
      </c>
      <c r="D140" s="7" t="str">
        <f t="shared" si="10"/>
        <v>k</v>
      </c>
      <c r="E140" t="str">
        <f t="shared" si="11"/>
        <v>J</v>
      </c>
      <c r="F140" t="str">
        <f t="shared" si="12"/>
        <v>Rad</v>
      </c>
      <c r="G140" t="str">
        <f t="shared" si="13"/>
        <v>7</v>
      </c>
      <c r="H140" t="str">
        <f t="shared" si="14"/>
        <v>JRad7</v>
      </c>
    </row>
    <row r="141" spans="1:8" x14ac:dyDescent="0.25">
      <c r="A141" s="8" t="s">
        <v>366</v>
      </c>
      <c r="B141" s="9" t="s">
        <v>367</v>
      </c>
      <c r="C141" s="9" t="s">
        <v>108</v>
      </c>
      <c r="D141" s="7" t="str">
        <f t="shared" si="10"/>
        <v>m</v>
      </c>
      <c r="E141" t="str">
        <f t="shared" si="11"/>
        <v>M</v>
      </c>
      <c r="F141" t="str">
        <f t="shared" si="12"/>
        <v>Kom</v>
      </c>
      <c r="G141" t="str">
        <f t="shared" si="13"/>
        <v>1</v>
      </c>
      <c r="H141" t="str">
        <f t="shared" si="14"/>
        <v>MKom1</v>
      </c>
    </row>
    <row r="142" spans="1:8" x14ac:dyDescent="0.25">
      <c r="A142" s="5" t="s">
        <v>368</v>
      </c>
      <c r="B142" s="6" t="s">
        <v>369</v>
      </c>
      <c r="C142" s="6" t="s">
        <v>187</v>
      </c>
      <c r="D142" s="7" t="str">
        <f t="shared" si="10"/>
        <v>k</v>
      </c>
      <c r="E142" t="str">
        <f t="shared" si="11"/>
        <v>O</v>
      </c>
      <c r="F142" t="str">
        <f t="shared" si="12"/>
        <v>Zak</v>
      </c>
      <c r="G142" t="str">
        <f t="shared" si="13"/>
        <v>2</v>
      </c>
      <c r="H142" t="str">
        <f t="shared" si="14"/>
        <v>OZak2</v>
      </c>
    </row>
    <row r="143" spans="1:8" x14ac:dyDescent="0.25">
      <c r="A143" s="8" t="s">
        <v>370</v>
      </c>
      <c r="B143" s="9" t="s">
        <v>369</v>
      </c>
      <c r="C143" s="9" t="s">
        <v>371</v>
      </c>
      <c r="D143" s="7" t="str">
        <f t="shared" si="10"/>
        <v>k</v>
      </c>
      <c r="E143" t="str">
        <f t="shared" si="11"/>
        <v>E</v>
      </c>
      <c r="F143" t="str">
        <f t="shared" si="12"/>
        <v>Zak</v>
      </c>
      <c r="G143" t="str">
        <f t="shared" si="13"/>
        <v>5</v>
      </c>
      <c r="H143" t="str">
        <f t="shared" si="14"/>
        <v>EZak5</v>
      </c>
    </row>
    <row r="144" spans="1:8" x14ac:dyDescent="0.25">
      <c r="A144" s="5" t="s">
        <v>372</v>
      </c>
      <c r="B144" s="6" t="s">
        <v>373</v>
      </c>
      <c r="C144" s="6" t="s">
        <v>166</v>
      </c>
      <c r="D144" s="7" t="str">
        <f t="shared" si="10"/>
        <v>m</v>
      </c>
      <c r="E144" t="str">
        <f t="shared" si="11"/>
        <v>J</v>
      </c>
      <c r="F144" t="str">
        <f t="shared" si="12"/>
        <v>Roh</v>
      </c>
      <c r="G144" t="str">
        <f t="shared" si="13"/>
        <v>1</v>
      </c>
      <c r="H144" t="str">
        <f t="shared" si="14"/>
        <v>JRoh1</v>
      </c>
    </row>
    <row r="145" spans="1:8" x14ac:dyDescent="0.25">
      <c r="A145" s="8" t="s">
        <v>374</v>
      </c>
      <c r="B145" s="9" t="s">
        <v>375</v>
      </c>
      <c r="C145" s="9" t="s">
        <v>376</v>
      </c>
      <c r="D145" s="7" t="str">
        <f t="shared" si="10"/>
        <v>m</v>
      </c>
      <c r="E145" t="str">
        <f t="shared" si="11"/>
        <v>F</v>
      </c>
      <c r="F145" t="str">
        <f t="shared" si="12"/>
        <v>Smo</v>
      </c>
      <c r="G145" t="str">
        <f t="shared" si="13"/>
        <v>4</v>
      </c>
      <c r="H145" t="str">
        <f t="shared" si="14"/>
        <v>FSmo4</v>
      </c>
    </row>
    <row r="146" spans="1:8" x14ac:dyDescent="0.25">
      <c r="A146" s="5" t="s">
        <v>377</v>
      </c>
      <c r="B146" s="6" t="s">
        <v>378</v>
      </c>
      <c r="C146" s="6" t="s">
        <v>379</v>
      </c>
      <c r="D146" s="7" t="str">
        <f t="shared" si="10"/>
        <v>m</v>
      </c>
      <c r="E146" t="str">
        <f t="shared" si="11"/>
        <v>J</v>
      </c>
      <c r="F146" t="str">
        <f t="shared" si="12"/>
        <v>Pal</v>
      </c>
      <c r="G146" t="str">
        <f t="shared" si="13"/>
        <v>2</v>
      </c>
      <c r="H146" t="str">
        <f t="shared" si="14"/>
        <v>JPal2</v>
      </c>
    </row>
    <row r="147" spans="1:8" x14ac:dyDescent="0.25">
      <c r="A147" s="8" t="s">
        <v>380</v>
      </c>
      <c r="B147" s="9" t="s">
        <v>381</v>
      </c>
      <c r="C147" s="9" t="s">
        <v>382</v>
      </c>
      <c r="D147" s="7" t="str">
        <f t="shared" si="10"/>
        <v>k</v>
      </c>
      <c r="E147" t="str">
        <f t="shared" si="11"/>
        <v>K</v>
      </c>
      <c r="F147" t="str">
        <f t="shared" si="12"/>
        <v>Paw</v>
      </c>
      <c r="G147" t="str">
        <f t="shared" si="13"/>
        <v>8</v>
      </c>
      <c r="H147" t="str">
        <f t="shared" si="14"/>
        <v>KPaw8</v>
      </c>
    </row>
    <row r="148" spans="1:8" x14ac:dyDescent="0.25">
      <c r="A148" s="5" t="s">
        <v>383</v>
      </c>
      <c r="B148" s="6" t="s">
        <v>384</v>
      </c>
      <c r="C148" s="6" t="s">
        <v>67</v>
      </c>
      <c r="D148" s="7" t="str">
        <f t="shared" si="10"/>
        <v>k</v>
      </c>
      <c r="E148" t="str">
        <f t="shared" si="11"/>
        <v>L</v>
      </c>
      <c r="F148" t="str">
        <f t="shared" si="12"/>
        <v>Maj</v>
      </c>
      <c r="G148" t="str">
        <f t="shared" si="13"/>
        <v>4</v>
      </c>
      <c r="H148" t="str">
        <f t="shared" si="14"/>
        <v>LMaj4</v>
      </c>
    </row>
    <row r="149" spans="1:8" x14ac:dyDescent="0.25">
      <c r="A149" s="8" t="s">
        <v>385</v>
      </c>
      <c r="B149" s="9" t="s">
        <v>386</v>
      </c>
      <c r="C149" s="9" t="s">
        <v>214</v>
      </c>
      <c r="D149" s="7" t="str">
        <f t="shared" si="10"/>
        <v>k</v>
      </c>
      <c r="E149" t="str">
        <f t="shared" si="11"/>
        <v>M</v>
      </c>
      <c r="F149" t="str">
        <f t="shared" si="12"/>
        <v>Koc</v>
      </c>
      <c r="G149" t="str">
        <f t="shared" si="13"/>
        <v>9</v>
      </c>
      <c r="H149" t="str">
        <f t="shared" si="14"/>
        <v>MKoc9</v>
      </c>
    </row>
    <row r="150" spans="1:8" x14ac:dyDescent="0.25">
      <c r="A150" s="5" t="s">
        <v>387</v>
      </c>
      <c r="B150" s="6" t="s">
        <v>388</v>
      </c>
      <c r="C150" s="6" t="s">
        <v>241</v>
      </c>
      <c r="D150" s="7" t="str">
        <f t="shared" si="10"/>
        <v>k</v>
      </c>
      <c r="E150" t="str">
        <f t="shared" si="11"/>
        <v>N</v>
      </c>
      <c r="F150" t="str">
        <f t="shared" si="12"/>
        <v>Jak</v>
      </c>
      <c r="G150" t="str">
        <f t="shared" si="13"/>
        <v>2</v>
      </c>
      <c r="H150" t="str">
        <f t="shared" si="14"/>
        <v>NJak2</v>
      </c>
    </row>
    <row r="151" spans="1:8" x14ac:dyDescent="0.25">
      <c r="A151" s="8" t="s">
        <v>389</v>
      </c>
      <c r="B151" s="9" t="s">
        <v>390</v>
      </c>
      <c r="C151" s="9" t="s">
        <v>351</v>
      </c>
      <c r="D151" s="7" t="str">
        <f t="shared" si="10"/>
        <v>k</v>
      </c>
      <c r="E151" t="str">
        <f t="shared" si="11"/>
        <v>M</v>
      </c>
      <c r="F151" t="str">
        <f t="shared" si="12"/>
        <v>Kro</v>
      </c>
      <c r="G151" t="str">
        <f t="shared" si="13"/>
        <v>4</v>
      </c>
      <c r="H151" t="str">
        <f t="shared" si="14"/>
        <v>MKro4</v>
      </c>
    </row>
    <row r="152" spans="1:8" x14ac:dyDescent="0.25">
      <c r="A152" s="5" t="s">
        <v>391</v>
      </c>
      <c r="B152" s="6" t="s">
        <v>392</v>
      </c>
      <c r="C152" s="6" t="s">
        <v>393</v>
      </c>
      <c r="D152" s="7" t="str">
        <f t="shared" si="10"/>
        <v>k</v>
      </c>
      <c r="E152" t="str">
        <f t="shared" si="11"/>
        <v>H</v>
      </c>
      <c r="F152" t="str">
        <f t="shared" si="12"/>
        <v>Sro</v>
      </c>
      <c r="G152" t="str">
        <f t="shared" si="13"/>
        <v>6</v>
      </c>
      <c r="H152" t="str">
        <f t="shared" si="14"/>
        <v>HSro6</v>
      </c>
    </row>
    <row r="153" spans="1:8" x14ac:dyDescent="0.25">
      <c r="A153" s="8" t="s">
        <v>394</v>
      </c>
      <c r="B153" s="9" t="s">
        <v>392</v>
      </c>
      <c r="C153" s="9" t="s">
        <v>395</v>
      </c>
      <c r="D153" s="7" t="str">
        <f t="shared" si="10"/>
        <v>k</v>
      </c>
      <c r="E153" t="str">
        <f t="shared" si="11"/>
        <v>I</v>
      </c>
      <c r="F153" t="str">
        <f t="shared" si="12"/>
        <v>Sro</v>
      </c>
      <c r="G153" t="str">
        <f t="shared" si="13"/>
        <v>4</v>
      </c>
      <c r="H153" t="str">
        <f t="shared" si="14"/>
        <v>ISro4</v>
      </c>
    </row>
    <row r="154" spans="1:8" x14ac:dyDescent="0.25">
      <c r="A154" s="5" t="s">
        <v>396</v>
      </c>
      <c r="B154" s="6" t="s">
        <v>397</v>
      </c>
      <c r="C154" s="6" t="s">
        <v>393</v>
      </c>
      <c r="D154" s="7" t="str">
        <f t="shared" si="10"/>
        <v>k</v>
      </c>
      <c r="E154" t="str">
        <f t="shared" si="11"/>
        <v>H</v>
      </c>
      <c r="F154" t="str">
        <f t="shared" si="12"/>
        <v>Sta</v>
      </c>
      <c r="G154" t="str">
        <f t="shared" si="13"/>
        <v>1</v>
      </c>
      <c r="H154" t="str">
        <f t="shared" si="14"/>
        <v>HSta1</v>
      </c>
    </row>
    <row r="155" spans="1:8" x14ac:dyDescent="0.25">
      <c r="A155" s="8" t="s">
        <v>398</v>
      </c>
      <c r="B155" s="9" t="s">
        <v>399</v>
      </c>
      <c r="C155" s="9" t="s">
        <v>400</v>
      </c>
      <c r="D155" s="7" t="str">
        <f t="shared" si="10"/>
        <v>k</v>
      </c>
      <c r="E155" t="str">
        <f t="shared" si="11"/>
        <v>B</v>
      </c>
      <c r="F155" t="str">
        <f t="shared" si="12"/>
        <v>Ost</v>
      </c>
      <c r="G155" t="str">
        <f t="shared" si="13"/>
        <v>7</v>
      </c>
      <c r="H155" t="str">
        <f t="shared" si="14"/>
        <v>BOst7</v>
      </c>
    </row>
    <row r="156" spans="1:8" x14ac:dyDescent="0.25">
      <c r="A156" s="5" t="s">
        <v>401</v>
      </c>
      <c r="B156" s="6" t="s">
        <v>402</v>
      </c>
      <c r="C156" s="6" t="s">
        <v>340</v>
      </c>
      <c r="D156" s="7" t="str">
        <f t="shared" si="10"/>
        <v>k</v>
      </c>
      <c r="E156" t="str">
        <f t="shared" si="11"/>
        <v>A</v>
      </c>
      <c r="F156" t="str">
        <f t="shared" si="12"/>
        <v>Smi</v>
      </c>
      <c r="G156" t="str">
        <f t="shared" si="13"/>
        <v>7</v>
      </c>
      <c r="H156" t="str">
        <f t="shared" si="14"/>
        <v>ASmi7</v>
      </c>
    </row>
    <row r="157" spans="1:8" x14ac:dyDescent="0.25">
      <c r="A157" s="8" t="s">
        <v>403</v>
      </c>
      <c r="B157" s="9" t="s">
        <v>243</v>
      </c>
      <c r="C157" s="9" t="s">
        <v>404</v>
      </c>
      <c r="D157" s="7" t="str">
        <f t="shared" si="10"/>
        <v>k</v>
      </c>
      <c r="E157" t="str">
        <f t="shared" si="11"/>
        <v>W</v>
      </c>
      <c r="F157" t="str">
        <f t="shared" si="12"/>
        <v>Cze</v>
      </c>
      <c r="G157" t="str">
        <f t="shared" si="13"/>
        <v>8</v>
      </c>
      <c r="H157" t="str">
        <f t="shared" si="14"/>
        <v>WCze8</v>
      </c>
    </row>
    <row r="158" spans="1:8" x14ac:dyDescent="0.25">
      <c r="A158" s="5" t="s">
        <v>405</v>
      </c>
      <c r="B158" s="6" t="s">
        <v>406</v>
      </c>
      <c r="C158" s="6" t="s">
        <v>78</v>
      </c>
      <c r="D158" s="7" t="str">
        <f t="shared" si="10"/>
        <v>k</v>
      </c>
      <c r="E158" t="str">
        <f t="shared" si="11"/>
        <v>M</v>
      </c>
      <c r="F158" t="str">
        <f t="shared" si="12"/>
        <v>Kmi</v>
      </c>
      <c r="G158" t="str">
        <f t="shared" si="13"/>
        <v>7</v>
      </c>
      <c r="H158" t="str">
        <f t="shared" si="14"/>
        <v>MKmi7</v>
      </c>
    </row>
    <row r="159" spans="1:8" x14ac:dyDescent="0.25">
      <c r="A159" s="8" t="s">
        <v>407</v>
      </c>
      <c r="B159" s="9" t="s">
        <v>408</v>
      </c>
      <c r="C159" s="9" t="s">
        <v>409</v>
      </c>
      <c r="D159" s="7" t="str">
        <f t="shared" si="10"/>
        <v>k</v>
      </c>
      <c r="E159" t="str">
        <f t="shared" si="11"/>
        <v>P</v>
      </c>
      <c r="F159" t="str">
        <f t="shared" si="12"/>
        <v>Gac</v>
      </c>
      <c r="G159" t="str">
        <f t="shared" si="13"/>
        <v>5</v>
      </c>
      <c r="H159" t="str">
        <f t="shared" si="14"/>
        <v>PGac5</v>
      </c>
    </row>
    <row r="160" spans="1:8" x14ac:dyDescent="0.25">
      <c r="A160" s="5" t="s">
        <v>410</v>
      </c>
      <c r="B160" s="6" t="s">
        <v>353</v>
      </c>
      <c r="C160" s="6" t="s">
        <v>371</v>
      </c>
      <c r="D160" s="7" t="str">
        <f t="shared" si="10"/>
        <v>k</v>
      </c>
      <c r="E160" t="str">
        <f t="shared" si="11"/>
        <v>E</v>
      </c>
      <c r="F160" t="str">
        <f t="shared" si="12"/>
        <v>Lew</v>
      </c>
      <c r="G160" t="str">
        <f t="shared" si="13"/>
        <v>4</v>
      </c>
      <c r="H160" t="str">
        <f t="shared" si="14"/>
        <v>ELew4</v>
      </c>
    </row>
    <row r="161" spans="1:8" x14ac:dyDescent="0.25">
      <c r="A161" s="8" t="s">
        <v>411</v>
      </c>
      <c r="B161" s="9" t="s">
        <v>412</v>
      </c>
      <c r="C161" s="9" t="s">
        <v>413</v>
      </c>
      <c r="D161" s="7" t="str">
        <f t="shared" si="10"/>
        <v>k</v>
      </c>
      <c r="E161" t="str">
        <f t="shared" si="11"/>
        <v>K</v>
      </c>
      <c r="F161" t="str">
        <f t="shared" si="12"/>
        <v>Pal</v>
      </c>
      <c r="G161" t="str">
        <f t="shared" si="13"/>
        <v>8</v>
      </c>
      <c r="H161" t="str">
        <f t="shared" si="14"/>
        <v>KPal8</v>
      </c>
    </row>
    <row r="162" spans="1:8" x14ac:dyDescent="0.25">
      <c r="A162" s="5" t="s">
        <v>414</v>
      </c>
      <c r="B162" s="6" t="s">
        <v>415</v>
      </c>
      <c r="C162" s="6" t="s">
        <v>416</v>
      </c>
      <c r="D162" s="7" t="str">
        <f t="shared" si="10"/>
        <v>k</v>
      </c>
      <c r="E162" t="str">
        <f t="shared" si="11"/>
        <v>M</v>
      </c>
      <c r="F162" t="str">
        <f t="shared" si="12"/>
        <v>Lub</v>
      </c>
      <c r="G162" t="str">
        <f t="shared" si="13"/>
        <v>7</v>
      </c>
      <c r="H162" t="str">
        <f t="shared" si="14"/>
        <v>MLub7</v>
      </c>
    </row>
    <row r="163" spans="1:8" x14ac:dyDescent="0.25">
      <c r="A163" s="8" t="s">
        <v>417</v>
      </c>
      <c r="B163" s="9" t="s">
        <v>418</v>
      </c>
      <c r="C163" s="9" t="s">
        <v>419</v>
      </c>
      <c r="D163" s="7" t="str">
        <f t="shared" si="10"/>
        <v>k</v>
      </c>
      <c r="E163" t="str">
        <f t="shared" si="11"/>
        <v>L</v>
      </c>
      <c r="F163" t="str">
        <f t="shared" si="12"/>
        <v>Mro</v>
      </c>
      <c r="G163" t="str">
        <f t="shared" si="13"/>
        <v>2</v>
      </c>
      <c r="H163" t="str">
        <f t="shared" si="14"/>
        <v>LMro2</v>
      </c>
    </row>
    <row r="164" spans="1:8" x14ac:dyDescent="0.25">
      <c r="A164" s="5" t="s">
        <v>420</v>
      </c>
      <c r="B164" s="6" t="s">
        <v>421</v>
      </c>
      <c r="C164" s="6" t="s">
        <v>295</v>
      </c>
      <c r="D164" s="7" t="str">
        <f t="shared" si="10"/>
        <v>k</v>
      </c>
      <c r="E164" t="str">
        <f t="shared" si="11"/>
        <v>W</v>
      </c>
      <c r="F164" t="str">
        <f t="shared" si="12"/>
        <v>Dra</v>
      </c>
      <c r="G164" t="str">
        <f t="shared" si="13"/>
        <v>7</v>
      </c>
      <c r="H164" t="str">
        <f t="shared" si="14"/>
        <v>WDra7</v>
      </c>
    </row>
    <row r="165" spans="1:8" x14ac:dyDescent="0.25">
      <c r="A165" s="8" t="s">
        <v>422</v>
      </c>
      <c r="B165" s="9" t="s">
        <v>423</v>
      </c>
      <c r="C165" s="9" t="s">
        <v>295</v>
      </c>
      <c r="D165" s="7" t="str">
        <f t="shared" si="10"/>
        <v>k</v>
      </c>
      <c r="E165" t="str">
        <f t="shared" si="11"/>
        <v>W</v>
      </c>
      <c r="F165" t="str">
        <f t="shared" si="12"/>
        <v>Daw</v>
      </c>
      <c r="G165" t="str">
        <f t="shared" si="13"/>
        <v>4</v>
      </c>
      <c r="H165" t="str">
        <f t="shared" si="14"/>
        <v>WDaw4</v>
      </c>
    </row>
    <row r="166" spans="1:8" x14ac:dyDescent="0.25">
      <c r="A166" s="5" t="s">
        <v>424</v>
      </c>
      <c r="B166" s="6" t="s">
        <v>425</v>
      </c>
      <c r="C166" s="6" t="s">
        <v>371</v>
      </c>
      <c r="D166" s="7" t="str">
        <f t="shared" si="10"/>
        <v>k</v>
      </c>
      <c r="E166" t="str">
        <f t="shared" si="11"/>
        <v>E</v>
      </c>
      <c r="F166" t="str">
        <f t="shared" si="12"/>
        <v>Sza</v>
      </c>
      <c r="G166" t="str">
        <f t="shared" si="13"/>
        <v>3</v>
      </c>
      <c r="H166" t="str">
        <f t="shared" si="14"/>
        <v>ESza3</v>
      </c>
    </row>
    <row r="167" spans="1:8" x14ac:dyDescent="0.25">
      <c r="A167" s="8" t="s">
        <v>426</v>
      </c>
      <c r="B167" s="9" t="s">
        <v>427</v>
      </c>
      <c r="C167" s="9" t="s">
        <v>428</v>
      </c>
      <c r="D167" s="7" t="str">
        <f t="shared" si="10"/>
        <v>k</v>
      </c>
      <c r="E167" t="str">
        <f t="shared" si="11"/>
        <v>Z</v>
      </c>
      <c r="F167" t="str">
        <f t="shared" si="12"/>
        <v>Bur</v>
      </c>
      <c r="G167" t="str">
        <f t="shared" si="13"/>
        <v>1</v>
      </c>
      <c r="H167" t="str">
        <f t="shared" si="14"/>
        <v>ZBur1</v>
      </c>
    </row>
    <row r="168" spans="1:8" x14ac:dyDescent="0.25">
      <c r="A168" s="5" t="s">
        <v>429</v>
      </c>
      <c r="B168" s="6" t="s">
        <v>430</v>
      </c>
      <c r="C168" s="6" t="s">
        <v>419</v>
      </c>
      <c r="D168" s="7" t="str">
        <f t="shared" si="10"/>
        <v>k</v>
      </c>
      <c r="E168" t="str">
        <f t="shared" si="11"/>
        <v>L</v>
      </c>
      <c r="F168" t="str">
        <f t="shared" si="12"/>
        <v>Mic</v>
      </c>
      <c r="G168" t="str">
        <f t="shared" si="13"/>
        <v>4</v>
      </c>
      <c r="H168" t="str">
        <f t="shared" si="14"/>
        <v>LMic4</v>
      </c>
    </row>
    <row r="169" spans="1:8" x14ac:dyDescent="0.25">
      <c r="A169" s="8" t="s">
        <v>431</v>
      </c>
      <c r="B169" s="9" t="s">
        <v>432</v>
      </c>
      <c r="C169" s="9" t="s">
        <v>419</v>
      </c>
      <c r="D169" s="7" t="str">
        <f t="shared" si="10"/>
        <v>k</v>
      </c>
      <c r="E169" t="str">
        <f t="shared" si="11"/>
        <v>L</v>
      </c>
      <c r="F169" t="str">
        <f t="shared" si="12"/>
        <v>Mez</v>
      </c>
      <c r="G169" t="str">
        <f t="shared" si="13"/>
        <v>8</v>
      </c>
      <c r="H169" t="str">
        <f t="shared" si="14"/>
        <v>LMez8</v>
      </c>
    </row>
    <row r="170" spans="1:8" x14ac:dyDescent="0.25">
      <c r="A170" s="5" t="s">
        <v>433</v>
      </c>
      <c r="B170" s="6" t="s">
        <v>434</v>
      </c>
      <c r="C170" s="6" t="s">
        <v>147</v>
      </c>
      <c r="D170" s="7" t="str">
        <f t="shared" si="10"/>
        <v>k</v>
      </c>
      <c r="E170" t="str">
        <f t="shared" si="11"/>
        <v>M</v>
      </c>
      <c r="F170" t="str">
        <f t="shared" si="12"/>
        <v>Kam</v>
      </c>
      <c r="G170" t="str">
        <f t="shared" si="13"/>
        <v>2</v>
      </c>
      <c r="H170" t="str">
        <f t="shared" si="14"/>
        <v>MKam2</v>
      </c>
    </row>
    <row r="171" spans="1:8" x14ac:dyDescent="0.25">
      <c r="A171" s="8" t="s">
        <v>435</v>
      </c>
      <c r="B171" s="9" t="s">
        <v>436</v>
      </c>
      <c r="C171" s="9" t="s">
        <v>437</v>
      </c>
      <c r="D171" s="7" t="str">
        <f t="shared" si="10"/>
        <v>k</v>
      </c>
      <c r="E171" t="str">
        <f t="shared" si="11"/>
        <v>V</v>
      </c>
      <c r="F171" t="str">
        <f t="shared" si="12"/>
        <v>Ede</v>
      </c>
      <c r="G171" t="str">
        <f t="shared" si="13"/>
        <v>0</v>
      </c>
      <c r="H171" t="str">
        <f t="shared" si="14"/>
        <v>VEde0</v>
      </c>
    </row>
    <row r="172" spans="1:8" x14ac:dyDescent="0.25">
      <c r="A172" s="5" t="s">
        <v>438</v>
      </c>
      <c r="B172" s="6" t="s">
        <v>439</v>
      </c>
      <c r="C172" s="6" t="s">
        <v>409</v>
      </c>
      <c r="D172" s="7" t="str">
        <f t="shared" si="10"/>
        <v>k</v>
      </c>
      <c r="E172" t="str">
        <f t="shared" si="11"/>
        <v>P</v>
      </c>
      <c r="F172" t="str">
        <f t="shared" si="12"/>
        <v>Gad</v>
      </c>
      <c r="G172" t="str">
        <f t="shared" si="13"/>
        <v>3</v>
      </c>
      <c r="H172" t="str">
        <f t="shared" si="14"/>
        <v>PGad3</v>
      </c>
    </row>
    <row r="173" spans="1:8" x14ac:dyDescent="0.25">
      <c r="A173" s="8" t="s">
        <v>440</v>
      </c>
      <c r="B173" s="9" t="s">
        <v>441</v>
      </c>
      <c r="C173" s="9" t="s">
        <v>86</v>
      </c>
      <c r="D173" s="7" t="str">
        <f t="shared" si="10"/>
        <v>k</v>
      </c>
      <c r="E173" t="str">
        <f t="shared" si="11"/>
        <v>Z</v>
      </c>
      <c r="F173" t="str">
        <f t="shared" si="12"/>
        <v>Krz</v>
      </c>
      <c r="G173" t="str">
        <f t="shared" si="13"/>
        <v>3</v>
      </c>
      <c r="H173" t="str">
        <f t="shared" si="14"/>
        <v>ZKrz3</v>
      </c>
    </row>
    <row r="174" spans="1:8" x14ac:dyDescent="0.25">
      <c r="A174" s="5" t="s">
        <v>442</v>
      </c>
      <c r="B174" s="6" t="s">
        <v>443</v>
      </c>
      <c r="C174" s="6" t="s">
        <v>419</v>
      </c>
      <c r="D174" s="7" t="str">
        <f t="shared" si="10"/>
        <v>k</v>
      </c>
      <c r="E174" t="str">
        <f t="shared" si="11"/>
        <v>L</v>
      </c>
      <c r="F174" t="str">
        <f t="shared" si="12"/>
        <v>Mie</v>
      </c>
      <c r="G174" t="str">
        <f t="shared" si="13"/>
        <v>8</v>
      </c>
      <c r="H174" t="str">
        <f t="shared" si="14"/>
        <v>LMie8</v>
      </c>
    </row>
    <row r="175" spans="1:8" x14ac:dyDescent="0.25">
      <c r="A175" s="8" t="s">
        <v>444</v>
      </c>
      <c r="B175" s="9" t="s">
        <v>445</v>
      </c>
      <c r="C175" s="9" t="s">
        <v>241</v>
      </c>
      <c r="D175" s="7" t="str">
        <f t="shared" si="10"/>
        <v>k</v>
      </c>
      <c r="E175" t="str">
        <f t="shared" si="11"/>
        <v>N</v>
      </c>
      <c r="F175" t="str">
        <f t="shared" si="12"/>
        <v>Jan</v>
      </c>
      <c r="G175" t="str">
        <f t="shared" si="13"/>
        <v>3</v>
      </c>
      <c r="H175" t="str">
        <f t="shared" si="14"/>
        <v>NJan3</v>
      </c>
    </row>
    <row r="176" spans="1:8" x14ac:dyDescent="0.25">
      <c r="A176" s="5" t="s">
        <v>446</v>
      </c>
      <c r="B176" s="6" t="s">
        <v>447</v>
      </c>
      <c r="C176" s="6" t="s">
        <v>448</v>
      </c>
      <c r="D176" s="7" t="str">
        <f t="shared" si="10"/>
        <v>k</v>
      </c>
      <c r="E176" t="str">
        <f t="shared" si="11"/>
        <v>H</v>
      </c>
      <c r="F176" t="str">
        <f t="shared" si="12"/>
        <v>Sta</v>
      </c>
      <c r="G176" t="str">
        <f t="shared" si="13"/>
        <v>8</v>
      </c>
      <c r="H176" t="str">
        <f t="shared" si="14"/>
        <v>HSta8</v>
      </c>
    </row>
    <row r="177" spans="1:8" x14ac:dyDescent="0.25">
      <c r="A177" s="8" t="s">
        <v>449</v>
      </c>
      <c r="B177" s="9" t="s">
        <v>450</v>
      </c>
      <c r="C177" s="9" t="s">
        <v>194</v>
      </c>
      <c r="D177" s="7" t="str">
        <f t="shared" si="10"/>
        <v>k</v>
      </c>
      <c r="E177" t="str">
        <f t="shared" si="11"/>
        <v>A</v>
      </c>
      <c r="F177" t="str">
        <f t="shared" si="12"/>
        <v>Bra</v>
      </c>
      <c r="G177" t="str">
        <f t="shared" si="13"/>
        <v>5</v>
      </c>
      <c r="H177" t="str">
        <f t="shared" si="14"/>
        <v>ABra5</v>
      </c>
    </row>
    <row r="178" spans="1:8" x14ac:dyDescent="0.25">
      <c r="A178" s="5" t="s">
        <v>451</v>
      </c>
      <c r="B178" s="6" t="s">
        <v>452</v>
      </c>
      <c r="C178" s="6" t="s">
        <v>89</v>
      </c>
      <c r="D178" s="7" t="str">
        <f t="shared" si="10"/>
        <v>k</v>
      </c>
      <c r="E178" t="str">
        <f t="shared" si="11"/>
        <v>M</v>
      </c>
      <c r="F178" t="str">
        <f t="shared" si="12"/>
        <v>Kus</v>
      </c>
      <c r="G178" t="str">
        <f t="shared" si="13"/>
        <v>9</v>
      </c>
      <c r="H178" t="str">
        <f t="shared" si="14"/>
        <v>MKus9</v>
      </c>
    </row>
    <row r="179" spans="1:8" x14ac:dyDescent="0.25">
      <c r="A179" s="8" t="s">
        <v>453</v>
      </c>
      <c r="B179" s="9" t="s">
        <v>454</v>
      </c>
      <c r="C179" s="9" t="s">
        <v>36</v>
      </c>
      <c r="D179" s="7" t="str">
        <f t="shared" si="10"/>
        <v>m</v>
      </c>
      <c r="E179" t="str">
        <f t="shared" si="11"/>
        <v>M</v>
      </c>
      <c r="F179" t="str">
        <f t="shared" si="12"/>
        <v>Luc</v>
      </c>
      <c r="G179" t="str">
        <f t="shared" si="13"/>
        <v>3</v>
      </c>
      <c r="H179" t="str">
        <f t="shared" si="14"/>
        <v>MLuc3</v>
      </c>
    </row>
    <row r="180" spans="1:8" x14ac:dyDescent="0.25">
      <c r="A180" s="5" t="s">
        <v>455</v>
      </c>
      <c r="B180" s="6" t="s">
        <v>456</v>
      </c>
      <c r="C180" s="6" t="s">
        <v>457</v>
      </c>
      <c r="D180" s="7" t="str">
        <f t="shared" si="10"/>
        <v>m</v>
      </c>
      <c r="E180" t="str">
        <f t="shared" si="11"/>
        <v>N</v>
      </c>
      <c r="F180" t="str">
        <f t="shared" si="12"/>
        <v>Jan</v>
      </c>
      <c r="G180" t="str">
        <f t="shared" si="13"/>
        <v>3</v>
      </c>
      <c r="H180" t="str">
        <f t="shared" si="14"/>
        <v>NJan3</v>
      </c>
    </row>
    <row r="181" spans="1:8" x14ac:dyDescent="0.25">
      <c r="A181" s="8" t="s">
        <v>458</v>
      </c>
      <c r="B181" s="9" t="s">
        <v>459</v>
      </c>
      <c r="C181" s="9" t="s">
        <v>121</v>
      </c>
      <c r="D181" s="7" t="str">
        <f t="shared" si="10"/>
        <v>m</v>
      </c>
      <c r="E181" t="str">
        <f t="shared" si="11"/>
        <v>J</v>
      </c>
      <c r="F181" t="str">
        <f t="shared" si="12"/>
        <v>Pin</v>
      </c>
      <c r="G181" t="str">
        <f t="shared" si="13"/>
        <v>5</v>
      </c>
      <c r="H181" t="str">
        <f t="shared" si="14"/>
        <v>JPin5</v>
      </c>
    </row>
    <row r="182" spans="1:8" x14ac:dyDescent="0.25">
      <c r="A182" s="5" t="s">
        <v>460</v>
      </c>
      <c r="B182" s="6" t="s">
        <v>461</v>
      </c>
      <c r="C182" s="6" t="s">
        <v>166</v>
      </c>
      <c r="D182" s="7" t="str">
        <f t="shared" si="10"/>
        <v>m</v>
      </c>
      <c r="E182" t="str">
        <f t="shared" si="11"/>
        <v>J</v>
      </c>
      <c r="F182" t="str">
        <f t="shared" si="12"/>
        <v>Pro</v>
      </c>
      <c r="G182" t="str">
        <f t="shared" si="13"/>
        <v>9</v>
      </c>
      <c r="H182" t="str">
        <f t="shared" si="14"/>
        <v>JPro9</v>
      </c>
    </row>
    <row r="183" spans="1:8" x14ac:dyDescent="0.25">
      <c r="A183" s="8" t="s">
        <v>462</v>
      </c>
      <c r="B183" s="9" t="s">
        <v>463</v>
      </c>
      <c r="C183" s="9" t="s">
        <v>464</v>
      </c>
      <c r="D183" s="7" t="str">
        <f t="shared" si="10"/>
        <v>m</v>
      </c>
      <c r="E183" t="str">
        <f t="shared" si="11"/>
        <v>A</v>
      </c>
      <c r="F183" t="str">
        <f t="shared" si="12"/>
        <v>Zal</v>
      </c>
      <c r="G183" t="str">
        <f t="shared" si="13"/>
        <v>4</v>
      </c>
      <c r="H183" t="str">
        <f t="shared" si="14"/>
        <v>AZal4</v>
      </c>
    </row>
    <row r="184" spans="1:8" x14ac:dyDescent="0.25">
      <c r="A184" s="5" t="s">
        <v>465</v>
      </c>
      <c r="B184" s="6" t="s">
        <v>466</v>
      </c>
      <c r="C184" s="6" t="s">
        <v>166</v>
      </c>
      <c r="D184" s="7" t="str">
        <f t="shared" si="10"/>
        <v>m</v>
      </c>
      <c r="E184" t="str">
        <f t="shared" si="11"/>
        <v>J</v>
      </c>
      <c r="F184" t="str">
        <f t="shared" si="12"/>
        <v>Pup</v>
      </c>
      <c r="G184" t="str">
        <f t="shared" si="13"/>
        <v>5</v>
      </c>
      <c r="H184" t="str">
        <f t="shared" si="14"/>
        <v>JPup5</v>
      </c>
    </row>
    <row r="185" spans="1:8" x14ac:dyDescent="0.25">
      <c r="A185" s="8" t="s">
        <v>467</v>
      </c>
      <c r="B185" s="9" t="s">
        <v>468</v>
      </c>
      <c r="C185" s="9" t="s">
        <v>20</v>
      </c>
      <c r="D185" s="7" t="str">
        <f t="shared" si="10"/>
        <v>m</v>
      </c>
      <c r="E185" t="str">
        <f t="shared" si="11"/>
        <v>P</v>
      </c>
      <c r="F185" t="str">
        <f t="shared" si="12"/>
        <v>Gor</v>
      </c>
      <c r="G185" t="str">
        <f t="shared" si="13"/>
        <v>3</v>
      </c>
      <c r="H185" t="str">
        <f t="shared" si="14"/>
        <v>PGor3</v>
      </c>
    </row>
    <row r="186" spans="1:8" x14ac:dyDescent="0.25">
      <c r="A186" s="5" t="s">
        <v>469</v>
      </c>
      <c r="B186" s="6" t="s">
        <v>470</v>
      </c>
      <c r="C186" s="6" t="s">
        <v>166</v>
      </c>
      <c r="D186" s="7" t="str">
        <f t="shared" si="10"/>
        <v>m</v>
      </c>
      <c r="E186" t="str">
        <f t="shared" si="11"/>
        <v>J</v>
      </c>
      <c r="F186" t="str">
        <f t="shared" si="12"/>
        <v>Rod</v>
      </c>
      <c r="G186" t="str">
        <f t="shared" si="13"/>
        <v>9</v>
      </c>
      <c r="H186" t="str">
        <f t="shared" si="14"/>
        <v>JRod9</v>
      </c>
    </row>
    <row r="187" spans="1:8" x14ac:dyDescent="0.25">
      <c r="A187" s="8" t="s">
        <v>471</v>
      </c>
      <c r="B187" s="9" t="s">
        <v>472</v>
      </c>
      <c r="C187" s="9" t="s">
        <v>202</v>
      </c>
      <c r="D187" s="7" t="str">
        <f t="shared" si="10"/>
        <v>m</v>
      </c>
      <c r="E187" t="str">
        <f t="shared" si="11"/>
        <v>B</v>
      </c>
      <c r="F187" t="str">
        <f t="shared" si="12"/>
        <v>Uko</v>
      </c>
      <c r="G187" t="str">
        <f t="shared" si="13"/>
        <v>3</v>
      </c>
      <c r="H187" t="str">
        <f t="shared" si="14"/>
        <v>BUko3</v>
      </c>
    </row>
    <row r="188" spans="1:8" x14ac:dyDescent="0.25">
      <c r="A188" s="5" t="s">
        <v>473</v>
      </c>
      <c r="B188" s="6" t="s">
        <v>474</v>
      </c>
      <c r="C188" s="6" t="s">
        <v>475</v>
      </c>
      <c r="D188" s="7" t="str">
        <f t="shared" si="10"/>
        <v>m</v>
      </c>
      <c r="E188" t="str">
        <f t="shared" si="11"/>
        <v>N</v>
      </c>
      <c r="F188" t="str">
        <f t="shared" si="12"/>
        <v>Jan</v>
      </c>
      <c r="G188" t="str">
        <f t="shared" si="13"/>
        <v>1</v>
      </c>
      <c r="H188" t="str">
        <f t="shared" si="14"/>
        <v>NJan1</v>
      </c>
    </row>
    <row r="189" spans="1:8" x14ac:dyDescent="0.25">
      <c r="A189" s="8" t="s">
        <v>476</v>
      </c>
      <c r="B189" s="9" t="s">
        <v>477</v>
      </c>
      <c r="C189" s="9" t="s">
        <v>379</v>
      </c>
      <c r="D189" s="7" t="str">
        <f t="shared" si="10"/>
        <v>m</v>
      </c>
      <c r="E189" t="str">
        <f t="shared" si="11"/>
        <v>J</v>
      </c>
      <c r="F189" t="str">
        <f t="shared" si="12"/>
        <v>Pan</v>
      </c>
      <c r="G189" t="str">
        <f t="shared" si="13"/>
        <v>9</v>
      </c>
      <c r="H189" t="str">
        <f t="shared" si="14"/>
        <v>JPan9</v>
      </c>
    </row>
    <row r="190" spans="1:8" x14ac:dyDescent="0.25">
      <c r="A190" s="5" t="s">
        <v>478</v>
      </c>
      <c r="B190" s="6" t="s">
        <v>479</v>
      </c>
      <c r="C190" s="6" t="s">
        <v>480</v>
      </c>
      <c r="D190" s="7" t="str">
        <f t="shared" si="10"/>
        <v>m</v>
      </c>
      <c r="E190" t="str">
        <f t="shared" si="11"/>
        <v>K</v>
      </c>
      <c r="F190" t="str">
        <f t="shared" si="12"/>
        <v>Muz</v>
      </c>
      <c r="G190" t="str">
        <f t="shared" si="13"/>
        <v>1</v>
      </c>
      <c r="H190" t="str">
        <f t="shared" si="14"/>
        <v>KMuz1</v>
      </c>
    </row>
    <row r="191" spans="1:8" x14ac:dyDescent="0.25">
      <c r="A191" s="8" t="s">
        <v>481</v>
      </c>
      <c r="B191" s="9" t="s">
        <v>482</v>
      </c>
      <c r="C191" s="9" t="s">
        <v>166</v>
      </c>
      <c r="D191" s="7" t="str">
        <f t="shared" si="10"/>
        <v>m</v>
      </c>
      <c r="E191" t="str">
        <f t="shared" si="11"/>
        <v>J</v>
      </c>
      <c r="F191" t="str">
        <f t="shared" si="12"/>
        <v>Pli</v>
      </c>
      <c r="G191" t="str">
        <f t="shared" si="13"/>
        <v>0</v>
      </c>
      <c r="H191" t="str">
        <f t="shared" si="14"/>
        <v>JPli0</v>
      </c>
    </row>
    <row r="192" spans="1:8" x14ac:dyDescent="0.25">
      <c r="A192" s="5" t="s">
        <v>483</v>
      </c>
      <c r="B192" s="6" t="s">
        <v>484</v>
      </c>
      <c r="C192" s="6" t="s">
        <v>485</v>
      </c>
      <c r="D192" s="7" t="str">
        <f t="shared" si="10"/>
        <v>m</v>
      </c>
      <c r="E192" t="str">
        <f t="shared" si="11"/>
        <v>A</v>
      </c>
      <c r="F192" t="str">
        <f t="shared" si="12"/>
        <v>Zur</v>
      </c>
      <c r="G192" t="str">
        <f t="shared" si="13"/>
        <v>2</v>
      </c>
      <c r="H192" t="str">
        <f t="shared" si="14"/>
        <v>AZur2</v>
      </c>
    </row>
    <row r="193" spans="1:8" x14ac:dyDescent="0.25">
      <c r="A193" s="8" t="s">
        <v>486</v>
      </c>
      <c r="B193" s="9" t="s">
        <v>487</v>
      </c>
      <c r="C193" s="9" t="s">
        <v>488</v>
      </c>
      <c r="D193" s="7" t="str">
        <f t="shared" si="10"/>
        <v>m</v>
      </c>
      <c r="E193" t="str">
        <f t="shared" si="11"/>
        <v>T</v>
      </c>
      <c r="F193" t="str">
        <f t="shared" si="12"/>
        <v>Bob</v>
      </c>
      <c r="G193" t="str">
        <f t="shared" si="13"/>
        <v>0</v>
      </c>
      <c r="H193" t="str">
        <f t="shared" si="14"/>
        <v>TBob0</v>
      </c>
    </row>
    <row r="194" spans="1:8" x14ac:dyDescent="0.25">
      <c r="A194" s="5" t="s">
        <v>489</v>
      </c>
      <c r="B194" s="6" t="s">
        <v>490</v>
      </c>
      <c r="C194" s="6" t="s">
        <v>260</v>
      </c>
      <c r="D194" s="7" t="str">
        <f t="shared" ref="D194:D257" si="15">IF(MOD(LEFT(RIGHT(A194,2),1),2)=0,"k","m")</f>
        <v>m</v>
      </c>
      <c r="E194" t="str">
        <f t="shared" si="11"/>
        <v>F</v>
      </c>
      <c r="F194" t="str">
        <f t="shared" si="12"/>
        <v>Sos</v>
      </c>
      <c r="G194" t="str">
        <f t="shared" si="13"/>
        <v>5</v>
      </c>
      <c r="H194" t="str">
        <f t="shared" si="14"/>
        <v>FSos5</v>
      </c>
    </row>
    <row r="195" spans="1:8" x14ac:dyDescent="0.25">
      <c r="A195" s="8" t="s">
        <v>491</v>
      </c>
      <c r="B195" s="9" t="s">
        <v>492</v>
      </c>
      <c r="C195" s="9" t="s">
        <v>223</v>
      </c>
      <c r="D195" s="7" t="str">
        <f t="shared" si="15"/>
        <v>m</v>
      </c>
      <c r="E195" t="str">
        <f t="shared" ref="E195:E258" si="16">LEFT(C195,1)</f>
        <v>S</v>
      </c>
      <c r="F195" t="str">
        <f t="shared" ref="F195:F258" si="17">LEFT(B195,3)</f>
        <v>Deg</v>
      </c>
      <c r="G195" t="str">
        <f t="shared" ref="G195:G258" si="18">RIGHT(A195,1)</f>
        <v>2</v>
      </c>
      <c r="H195" t="str">
        <f t="shared" ref="H195:H258" si="19">_xlfn.TEXTJOIN(,,E195,F195,G195)</f>
        <v>SDeg2</v>
      </c>
    </row>
    <row r="196" spans="1:8" x14ac:dyDescent="0.25">
      <c r="A196" s="5" t="s">
        <v>493</v>
      </c>
      <c r="B196" s="6" t="s">
        <v>494</v>
      </c>
      <c r="C196" s="6" t="s">
        <v>376</v>
      </c>
      <c r="D196" s="7" t="str">
        <f t="shared" si="15"/>
        <v>m</v>
      </c>
      <c r="E196" t="str">
        <f t="shared" si="16"/>
        <v>F</v>
      </c>
      <c r="F196" t="str">
        <f t="shared" si="17"/>
        <v>Sna</v>
      </c>
      <c r="G196" t="str">
        <f t="shared" si="18"/>
        <v>7</v>
      </c>
      <c r="H196" t="str">
        <f t="shared" si="19"/>
        <v>FSna7</v>
      </c>
    </row>
    <row r="197" spans="1:8" x14ac:dyDescent="0.25">
      <c r="A197" s="8" t="s">
        <v>495</v>
      </c>
      <c r="B197" s="9" t="s">
        <v>496</v>
      </c>
      <c r="C197" s="9" t="s">
        <v>379</v>
      </c>
      <c r="D197" s="7" t="str">
        <f t="shared" si="15"/>
        <v>m</v>
      </c>
      <c r="E197" t="str">
        <f t="shared" si="16"/>
        <v>J</v>
      </c>
      <c r="F197" t="str">
        <f t="shared" si="17"/>
        <v>Pac</v>
      </c>
      <c r="G197" t="str">
        <f t="shared" si="18"/>
        <v>6</v>
      </c>
      <c r="H197" t="str">
        <f t="shared" si="19"/>
        <v>JPac6</v>
      </c>
    </row>
    <row r="198" spans="1:8" x14ac:dyDescent="0.25">
      <c r="A198" s="5" t="s">
        <v>497</v>
      </c>
      <c r="B198" s="6" t="s">
        <v>498</v>
      </c>
      <c r="C198" s="6" t="s">
        <v>499</v>
      </c>
      <c r="D198" s="7" t="str">
        <f t="shared" si="15"/>
        <v>m</v>
      </c>
      <c r="E198" t="str">
        <f t="shared" si="16"/>
        <v>T</v>
      </c>
      <c r="F198" t="str">
        <f t="shared" si="17"/>
        <v>Brz</v>
      </c>
      <c r="G198" t="str">
        <f t="shared" si="18"/>
        <v>4</v>
      </c>
      <c r="H198" t="str">
        <f t="shared" si="19"/>
        <v>TBrz4</v>
      </c>
    </row>
    <row r="199" spans="1:8" x14ac:dyDescent="0.25">
      <c r="A199" s="8" t="s">
        <v>500</v>
      </c>
      <c r="B199" s="9" t="s">
        <v>41</v>
      </c>
      <c r="C199" s="9" t="s">
        <v>219</v>
      </c>
      <c r="D199" s="7" t="str">
        <f t="shared" si="15"/>
        <v>m</v>
      </c>
      <c r="E199" t="str">
        <f t="shared" si="16"/>
        <v>M</v>
      </c>
      <c r="F199" t="str">
        <f t="shared" si="17"/>
        <v>Las</v>
      </c>
      <c r="G199" t="str">
        <f t="shared" si="18"/>
        <v>2</v>
      </c>
      <c r="H199" t="str">
        <f t="shared" si="19"/>
        <v>MLas2</v>
      </c>
    </row>
    <row r="200" spans="1:8" x14ac:dyDescent="0.25">
      <c r="A200" s="5" t="s">
        <v>501</v>
      </c>
      <c r="B200" s="6" t="s">
        <v>502</v>
      </c>
      <c r="C200" s="6" t="s">
        <v>480</v>
      </c>
      <c r="D200" s="7" t="str">
        <f t="shared" si="15"/>
        <v>m</v>
      </c>
      <c r="E200" t="str">
        <f t="shared" si="16"/>
        <v>K</v>
      </c>
      <c r="F200" t="str">
        <f t="shared" si="17"/>
        <v>Mys</v>
      </c>
      <c r="G200" t="str">
        <f t="shared" si="18"/>
        <v>9</v>
      </c>
      <c r="H200" t="str">
        <f t="shared" si="19"/>
        <v>KMys9</v>
      </c>
    </row>
    <row r="201" spans="1:8" x14ac:dyDescent="0.25">
      <c r="A201" s="8" t="s">
        <v>503</v>
      </c>
      <c r="B201" s="9" t="s">
        <v>504</v>
      </c>
      <c r="C201" s="9" t="s">
        <v>505</v>
      </c>
      <c r="D201" s="7" t="str">
        <f t="shared" si="15"/>
        <v>m</v>
      </c>
      <c r="E201" t="str">
        <f t="shared" si="16"/>
        <v>K</v>
      </c>
      <c r="F201" t="str">
        <f t="shared" si="17"/>
        <v>Nag</v>
      </c>
      <c r="G201" t="str">
        <f t="shared" si="18"/>
        <v>7</v>
      </c>
      <c r="H201" t="str">
        <f t="shared" si="19"/>
        <v>KNag7</v>
      </c>
    </row>
    <row r="202" spans="1:8" x14ac:dyDescent="0.25">
      <c r="A202" s="5" t="s">
        <v>506</v>
      </c>
      <c r="B202" s="6" t="s">
        <v>507</v>
      </c>
      <c r="C202" s="6" t="s">
        <v>508</v>
      </c>
      <c r="D202" s="7" t="str">
        <f t="shared" si="15"/>
        <v>m</v>
      </c>
      <c r="E202" t="str">
        <f t="shared" si="16"/>
        <v>F</v>
      </c>
      <c r="F202" t="str">
        <f t="shared" si="17"/>
        <v>Syk</v>
      </c>
      <c r="G202" t="str">
        <f t="shared" si="18"/>
        <v>1</v>
      </c>
      <c r="H202" t="str">
        <f t="shared" si="19"/>
        <v>FSyk1</v>
      </c>
    </row>
    <row r="203" spans="1:8" x14ac:dyDescent="0.25">
      <c r="A203" s="8" t="s">
        <v>509</v>
      </c>
      <c r="B203" s="9" t="s">
        <v>510</v>
      </c>
      <c r="C203" s="9" t="s">
        <v>511</v>
      </c>
      <c r="D203" s="7" t="str">
        <f t="shared" si="15"/>
        <v>m</v>
      </c>
      <c r="E203" t="str">
        <f t="shared" si="16"/>
        <v>W</v>
      </c>
      <c r="F203" t="str">
        <f t="shared" si="17"/>
        <v>Bar</v>
      </c>
      <c r="G203" t="str">
        <f t="shared" si="18"/>
        <v>4</v>
      </c>
      <c r="H203" t="str">
        <f t="shared" si="19"/>
        <v>WBar4</v>
      </c>
    </row>
    <row r="204" spans="1:8" x14ac:dyDescent="0.25">
      <c r="A204" s="5" t="s">
        <v>512</v>
      </c>
      <c r="B204" s="6" t="s">
        <v>513</v>
      </c>
      <c r="C204" s="6" t="s">
        <v>202</v>
      </c>
      <c r="D204" s="7" t="str">
        <f t="shared" si="15"/>
        <v>m</v>
      </c>
      <c r="E204" t="str">
        <f t="shared" si="16"/>
        <v>B</v>
      </c>
      <c r="F204" t="str">
        <f t="shared" si="17"/>
        <v>Trw</v>
      </c>
      <c r="G204" t="str">
        <f t="shared" si="18"/>
        <v>2</v>
      </c>
      <c r="H204" t="str">
        <f t="shared" si="19"/>
        <v>BTrw2</v>
      </c>
    </row>
    <row r="205" spans="1:8" x14ac:dyDescent="0.25">
      <c r="A205" s="8" t="s">
        <v>514</v>
      </c>
      <c r="B205" s="9" t="s">
        <v>515</v>
      </c>
      <c r="C205" s="9" t="s">
        <v>39</v>
      </c>
      <c r="D205" s="7" t="str">
        <f t="shared" si="15"/>
        <v>m</v>
      </c>
      <c r="E205" t="str">
        <f t="shared" si="16"/>
        <v>M</v>
      </c>
      <c r="F205" t="str">
        <f t="shared" si="17"/>
        <v>Mag</v>
      </c>
      <c r="G205" t="str">
        <f t="shared" si="18"/>
        <v>4</v>
      </c>
      <c r="H205" t="str">
        <f t="shared" si="19"/>
        <v>MMag4</v>
      </c>
    </row>
    <row r="206" spans="1:8" x14ac:dyDescent="0.25">
      <c r="A206" s="5" t="s">
        <v>516</v>
      </c>
      <c r="B206" s="6" t="s">
        <v>517</v>
      </c>
      <c r="C206" s="6" t="s">
        <v>11</v>
      </c>
      <c r="D206" s="7" t="str">
        <f t="shared" si="15"/>
        <v>m</v>
      </c>
      <c r="E206" t="str">
        <f t="shared" si="16"/>
        <v>M</v>
      </c>
      <c r="F206" t="str">
        <f t="shared" si="17"/>
        <v>Lan</v>
      </c>
      <c r="G206" t="str">
        <f t="shared" si="18"/>
        <v>7</v>
      </c>
      <c r="H206" t="str">
        <f t="shared" si="19"/>
        <v>MLan7</v>
      </c>
    </row>
    <row r="207" spans="1:8" x14ac:dyDescent="0.25">
      <c r="A207" s="8" t="s">
        <v>518</v>
      </c>
      <c r="B207" s="9" t="s">
        <v>519</v>
      </c>
      <c r="C207" s="9" t="s">
        <v>166</v>
      </c>
      <c r="D207" s="7" t="str">
        <f t="shared" si="15"/>
        <v>m</v>
      </c>
      <c r="E207" t="str">
        <f t="shared" si="16"/>
        <v>J</v>
      </c>
      <c r="F207" t="str">
        <f t="shared" si="17"/>
        <v>Pol</v>
      </c>
      <c r="G207" t="str">
        <f t="shared" si="18"/>
        <v>3</v>
      </c>
      <c r="H207" t="str">
        <f t="shared" si="19"/>
        <v>JPol3</v>
      </c>
    </row>
    <row r="208" spans="1:8" x14ac:dyDescent="0.25">
      <c r="A208" s="5" t="s">
        <v>520</v>
      </c>
      <c r="B208" s="6" t="s">
        <v>521</v>
      </c>
      <c r="C208" s="6" t="s">
        <v>219</v>
      </c>
      <c r="D208" s="7" t="str">
        <f t="shared" si="15"/>
        <v>m</v>
      </c>
      <c r="E208" t="str">
        <f t="shared" si="16"/>
        <v>M</v>
      </c>
      <c r="F208" t="str">
        <f t="shared" si="17"/>
        <v>Kub</v>
      </c>
      <c r="G208" t="str">
        <f t="shared" si="18"/>
        <v>1</v>
      </c>
      <c r="H208" t="str">
        <f t="shared" si="19"/>
        <v>MKub1</v>
      </c>
    </row>
    <row r="209" spans="1:8" x14ac:dyDescent="0.25">
      <c r="A209" s="8" t="s">
        <v>522</v>
      </c>
      <c r="B209" s="9" t="s">
        <v>521</v>
      </c>
      <c r="C209" s="9" t="s">
        <v>17</v>
      </c>
      <c r="D209" s="7" t="str">
        <f t="shared" si="15"/>
        <v>m</v>
      </c>
      <c r="E209" t="str">
        <f t="shared" si="16"/>
        <v>M</v>
      </c>
      <c r="F209" t="str">
        <f t="shared" si="17"/>
        <v>Kub</v>
      </c>
      <c r="G209" t="str">
        <f t="shared" si="18"/>
        <v>3</v>
      </c>
      <c r="H209" t="str">
        <f t="shared" si="19"/>
        <v>MKub3</v>
      </c>
    </row>
    <row r="210" spans="1:8" x14ac:dyDescent="0.25">
      <c r="A210" s="5" t="s">
        <v>523</v>
      </c>
      <c r="B210" s="6" t="s">
        <v>524</v>
      </c>
      <c r="C210" s="6" t="s">
        <v>73</v>
      </c>
      <c r="D210" s="7" t="str">
        <f t="shared" si="15"/>
        <v>m</v>
      </c>
      <c r="E210" t="str">
        <f t="shared" si="16"/>
        <v>P</v>
      </c>
      <c r="F210" t="str">
        <f t="shared" si="17"/>
        <v>Dur</v>
      </c>
      <c r="G210" t="str">
        <f t="shared" si="18"/>
        <v>3</v>
      </c>
      <c r="H210" t="str">
        <f t="shared" si="19"/>
        <v>PDur3</v>
      </c>
    </row>
    <row r="211" spans="1:8" x14ac:dyDescent="0.25">
      <c r="A211" s="8" t="s">
        <v>525</v>
      </c>
      <c r="B211" s="9" t="s">
        <v>526</v>
      </c>
      <c r="C211" s="9" t="s">
        <v>114</v>
      </c>
      <c r="D211" s="7" t="str">
        <f t="shared" si="15"/>
        <v>m</v>
      </c>
      <c r="E211" t="str">
        <f t="shared" si="16"/>
        <v>O</v>
      </c>
      <c r="F211" t="str">
        <f t="shared" si="17"/>
        <v>Gra</v>
      </c>
      <c r="G211" t="str">
        <f t="shared" si="18"/>
        <v>8</v>
      </c>
      <c r="H211" t="str">
        <f t="shared" si="19"/>
        <v>OGra8</v>
      </c>
    </row>
    <row r="212" spans="1:8" x14ac:dyDescent="0.25">
      <c r="A212" s="5" t="s">
        <v>527</v>
      </c>
      <c r="B212" s="6" t="s">
        <v>528</v>
      </c>
      <c r="C212" s="6" t="s">
        <v>340</v>
      </c>
      <c r="D212" s="7" t="str">
        <f t="shared" si="15"/>
        <v>k</v>
      </c>
      <c r="E212" t="str">
        <f t="shared" si="16"/>
        <v>A</v>
      </c>
      <c r="F212" t="str">
        <f t="shared" si="17"/>
        <v>Tar</v>
      </c>
      <c r="G212" t="str">
        <f t="shared" si="18"/>
        <v>2</v>
      </c>
      <c r="H212" t="str">
        <f t="shared" si="19"/>
        <v>ATar2</v>
      </c>
    </row>
    <row r="213" spans="1:8" x14ac:dyDescent="0.25">
      <c r="A213" s="8" t="s">
        <v>529</v>
      </c>
      <c r="B213" s="9" t="s">
        <v>530</v>
      </c>
      <c r="C213" s="9" t="s">
        <v>39</v>
      </c>
      <c r="D213" s="7" t="str">
        <f t="shared" si="15"/>
        <v>m</v>
      </c>
      <c r="E213" t="str">
        <f t="shared" si="16"/>
        <v>M</v>
      </c>
      <c r="F213" t="str">
        <f t="shared" si="17"/>
        <v>Lun</v>
      </c>
      <c r="G213" t="str">
        <f t="shared" si="18"/>
        <v>7</v>
      </c>
      <c r="H213" t="str">
        <f t="shared" si="19"/>
        <v>MLun7</v>
      </c>
    </row>
    <row r="214" spans="1:8" x14ac:dyDescent="0.25">
      <c r="A214" s="5" t="s">
        <v>531</v>
      </c>
      <c r="B214" s="6" t="s">
        <v>30</v>
      </c>
      <c r="C214" s="6" t="s">
        <v>44</v>
      </c>
      <c r="D214" s="7" t="str">
        <f t="shared" si="15"/>
        <v>m</v>
      </c>
      <c r="E214" t="str">
        <f t="shared" si="16"/>
        <v>A</v>
      </c>
      <c r="F214" t="str">
        <f t="shared" si="17"/>
        <v>Woj</v>
      </c>
      <c r="G214" t="str">
        <f t="shared" si="18"/>
        <v>4</v>
      </c>
      <c r="H214" t="str">
        <f t="shared" si="19"/>
        <v>AWoj4</v>
      </c>
    </row>
    <row r="215" spans="1:8" x14ac:dyDescent="0.25">
      <c r="A215" s="8" t="s">
        <v>532</v>
      </c>
      <c r="B215" s="9" t="s">
        <v>533</v>
      </c>
      <c r="C215" s="9" t="s">
        <v>534</v>
      </c>
      <c r="D215" s="7" t="str">
        <f t="shared" si="15"/>
        <v>k</v>
      </c>
      <c r="E215" t="str">
        <f t="shared" si="16"/>
        <v>K</v>
      </c>
      <c r="F215" t="str">
        <f t="shared" si="17"/>
        <v>Poc</v>
      </c>
      <c r="G215" t="str">
        <f t="shared" si="18"/>
        <v>0</v>
      </c>
      <c r="H215" t="str">
        <f t="shared" si="19"/>
        <v>KPoc0</v>
      </c>
    </row>
    <row r="216" spans="1:8" x14ac:dyDescent="0.25">
      <c r="A216" s="5" t="s">
        <v>535</v>
      </c>
      <c r="B216" s="6" t="s">
        <v>536</v>
      </c>
      <c r="C216" s="6" t="s">
        <v>89</v>
      </c>
      <c r="D216" s="7" t="str">
        <f t="shared" si="15"/>
        <v>k</v>
      </c>
      <c r="E216" t="str">
        <f t="shared" si="16"/>
        <v>M</v>
      </c>
      <c r="F216" t="str">
        <f t="shared" si="17"/>
        <v>Les</v>
      </c>
      <c r="G216" t="str">
        <f t="shared" si="18"/>
        <v>1</v>
      </c>
      <c r="H216" t="str">
        <f t="shared" si="19"/>
        <v>MLes1</v>
      </c>
    </row>
    <row r="217" spans="1:8" x14ac:dyDescent="0.25">
      <c r="A217" s="8" t="s">
        <v>537</v>
      </c>
      <c r="B217" s="9" t="s">
        <v>538</v>
      </c>
      <c r="C217" s="9" t="s">
        <v>416</v>
      </c>
      <c r="D217" s="7" t="str">
        <f t="shared" si="15"/>
        <v>k</v>
      </c>
      <c r="E217" t="str">
        <f t="shared" si="16"/>
        <v>M</v>
      </c>
      <c r="F217" t="str">
        <f t="shared" si="17"/>
        <v>Lor</v>
      </c>
      <c r="G217" t="str">
        <f t="shared" si="18"/>
        <v>1</v>
      </c>
      <c r="H217" t="str">
        <f t="shared" si="19"/>
        <v>MLor1</v>
      </c>
    </row>
    <row r="218" spans="1:8" x14ac:dyDescent="0.25">
      <c r="A218" s="5" t="s">
        <v>539</v>
      </c>
      <c r="B218" s="6" t="s">
        <v>540</v>
      </c>
      <c r="C218" s="6" t="s">
        <v>323</v>
      </c>
      <c r="D218" s="7" t="str">
        <f t="shared" si="15"/>
        <v>k</v>
      </c>
      <c r="E218" t="str">
        <f t="shared" si="16"/>
        <v>A</v>
      </c>
      <c r="F218" t="str">
        <f t="shared" si="17"/>
        <v>Zal</v>
      </c>
      <c r="G218" t="str">
        <f t="shared" si="18"/>
        <v>3</v>
      </c>
      <c r="H218" t="str">
        <f t="shared" si="19"/>
        <v>AZal3</v>
      </c>
    </row>
    <row r="219" spans="1:8" x14ac:dyDescent="0.25">
      <c r="A219" s="8" t="s">
        <v>541</v>
      </c>
      <c r="B219" s="9" t="s">
        <v>542</v>
      </c>
      <c r="C219" s="9" t="s">
        <v>179</v>
      </c>
      <c r="D219" s="7" t="str">
        <f t="shared" si="15"/>
        <v>k</v>
      </c>
      <c r="E219" t="str">
        <f t="shared" si="16"/>
        <v>P</v>
      </c>
      <c r="F219" t="str">
        <f t="shared" si="17"/>
        <v>Gos</v>
      </c>
      <c r="G219" t="str">
        <f t="shared" si="18"/>
        <v>2</v>
      </c>
      <c r="H219" t="str">
        <f t="shared" si="19"/>
        <v>PGos2</v>
      </c>
    </row>
    <row r="220" spans="1:8" x14ac:dyDescent="0.25">
      <c r="A220" s="5" t="s">
        <v>543</v>
      </c>
      <c r="B220" s="6" t="s">
        <v>544</v>
      </c>
      <c r="C220" s="6" t="s">
        <v>419</v>
      </c>
      <c r="D220" s="7" t="str">
        <f t="shared" si="15"/>
        <v>k</v>
      </c>
      <c r="E220" t="str">
        <f t="shared" si="16"/>
        <v>L</v>
      </c>
      <c r="F220" t="str">
        <f t="shared" si="17"/>
        <v>Mau</v>
      </c>
      <c r="G220" t="str">
        <f t="shared" si="18"/>
        <v>8</v>
      </c>
      <c r="H220" t="str">
        <f t="shared" si="19"/>
        <v>LMau8</v>
      </c>
    </row>
    <row r="221" spans="1:8" x14ac:dyDescent="0.25">
      <c r="A221" s="8" t="s">
        <v>545</v>
      </c>
      <c r="B221" s="9" t="s">
        <v>546</v>
      </c>
      <c r="C221" s="9" t="s">
        <v>17</v>
      </c>
      <c r="D221" s="7" t="str">
        <f t="shared" si="15"/>
        <v>m</v>
      </c>
      <c r="E221" t="str">
        <f t="shared" si="16"/>
        <v>M</v>
      </c>
      <c r="F221" t="str">
        <f t="shared" si="17"/>
        <v>Buc</v>
      </c>
      <c r="G221" t="str">
        <f t="shared" si="18"/>
        <v>3</v>
      </c>
      <c r="H221" t="str">
        <f t="shared" si="19"/>
        <v>MBuc3</v>
      </c>
    </row>
    <row r="222" spans="1:8" x14ac:dyDescent="0.25">
      <c r="A222" s="5" t="s">
        <v>547</v>
      </c>
      <c r="B222" s="6" t="s">
        <v>548</v>
      </c>
      <c r="C222" s="6" t="s">
        <v>419</v>
      </c>
      <c r="D222" s="7" t="str">
        <f t="shared" si="15"/>
        <v>k</v>
      </c>
      <c r="E222" t="str">
        <f t="shared" si="16"/>
        <v>L</v>
      </c>
      <c r="F222" t="str">
        <f t="shared" si="17"/>
        <v>Mie</v>
      </c>
      <c r="G222" t="str">
        <f t="shared" si="18"/>
        <v>1</v>
      </c>
      <c r="H222" t="str">
        <f t="shared" si="19"/>
        <v>LMie1</v>
      </c>
    </row>
    <row r="223" spans="1:8" x14ac:dyDescent="0.25">
      <c r="A223" s="8" t="s">
        <v>549</v>
      </c>
      <c r="B223" s="9" t="s">
        <v>550</v>
      </c>
      <c r="C223" s="9" t="s">
        <v>309</v>
      </c>
      <c r="D223" s="7" t="str">
        <f t="shared" si="15"/>
        <v>k</v>
      </c>
      <c r="E223" t="str">
        <f t="shared" si="16"/>
        <v>J</v>
      </c>
      <c r="F223" t="str">
        <f t="shared" si="17"/>
        <v>Ram</v>
      </c>
      <c r="G223" t="str">
        <f t="shared" si="18"/>
        <v>9</v>
      </c>
      <c r="H223" t="str">
        <f t="shared" si="19"/>
        <v>JRam9</v>
      </c>
    </row>
    <row r="224" spans="1:8" x14ac:dyDescent="0.25">
      <c r="A224" s="5" t="s">
        <v>551</v>
      </c>
      <c r="B224" s="6" t="s">
        <v>552</v>
      </c>
      <c r="C224" s="6" t="s">
        <v>309</v>
      </c>
      <c r="D224" s="7" t="str">
        <f t="shared" si="15"/>
        <v>k</v>
      </c>
      <c r="E224" t="str">
        <f t="shared" si="16"/>
        <v>J</v>
      </c>
      <c r="F224" t="str">
        <f t="shared" si="17"/>
        <v>Raf</v>
      </c>
      <c r="G224" t="str">
        <f t="shared" si="18"/>
        <v>7</v>
      </c>
      <c r="H224" t="str">
        <f t="shared" si="19"/>
        <v>JRaf7</v>
      </c>
    </row>
    <row r="225" spans="1:8" x14ac:dyDescent="0.25">
      <c r="A225" s="8" t="s">
        <v>553</v>
      </c>
      <c r="B225" s="9" t="s">
        <v>554</v>
      </c>
      <c r="C225" s="9" t="s">
        <v>187</v>
      </c>
      <c r="D225" s="7" t="str">
        <f t="shared" si="15"/>
        <v>k</v>
      </c>
      <c r="E225" t="str">
        <f t="shared" si="16"/>
        <v>O</v>
      </c>
      <c r="F225" t="str">
        <f t="shared" si="17"/>
        <v>Bro</v>
      </c>
      <c r="G225" t="str">
        <f t="shared" si="18"/>
        <v>0</v>
      </c>
      <c r="H225" t="str">
        <f t="shared" si="19"/>
        <v>OBro0</v>
      </c>
    </row>
    <row r="226" spans="1:8" x14ac:dyDescent="0.25">
      <c r="A226" s="5" t="s">
        <v>555</v>
      </c>
      <c r="B226" s="6" t="s">
        <v>556</v>
      </c>
      <c r="C226" s="6" t="s">
        <v>428</v>
      </c>
      <c r="D226" s="7" t="str">
        <f t="shared" si="15"/>
        <v>k</v>
      </c>
      <c r="E226" t="str">
        <f t="shared" si="16"/>
        <v>Z</v>
      </c>
      <c r="F226" t="str">
        <f t="shared" si="17"/>
        <v>Bik</v>
      </c>
      <c r="G226" t="str">
        <f t="shared" si="18"/>
        <v>2</v>
      </c>
      <c r="H226" t="str">
        <f t="shared" si="19"/>
        <v>ZBik2</v>
      </c>
    </row>
    <row r="227" spans="1:8" x14ac:dyDescent="0.25">
      <c r="A227" s="8" t="s">
        <v>557</v>
      </c>
      <c r="B227" s="9" t="s">
        <v>558</v>
      </c>
      <c r="C227" s="9" t="s">
        <v>559</v>
      </c>
      <c r="D227" s="7" t="str">
        <f t="shared" si="15"/>
        <v>k</v>
      </c>
      <c r="E227" t="str">
        <f t="shared" si="16"/>
        <v>L</v>
      </c>
      <c r="F227" t="str">
        <f t="shared" si="17"/>
        <v>Mar</v>
      </c>
      <c r="G227" t="str">
        <f t="shared" si="18"/>
        <v>6</v>
      </c>
      <c r="H227" t="str">
        <f t="shared" si="19"/>
        <v>LMar6</v>
      </c>
    </row>
    <row r="228" spans="1:8" x14ac:dyDescent="0.25">
      <c r="A228" s="5" t="s">
        <v>560</v>
      </c>
      <c r="B228" s="6" t="s">
        <v>561</v>
      </c>
      <c r="C228" s="6" t="s">
        <v>351</v>
      </c>
      <c r="D228" s="7" t="str">
        <f t="shared" si="15"/>
        <v>k</v>
      </c>
      <c r="E228" t="str">
        <f t="shared" si="16"/>
        <v>M</v>
      </c>
      <c r="F228" t="str">
        <f t="shared" si="17"/>
        <v>Kra</v>
      </c>
      <c r="G228" t="str">
        <f t="shared" si="18"/>
        <v>0</v>
      </c>
      <c r="H228" t="str">
        <f t="shared" si="19"/>
        <v>MKra0</v>
      </c>
    </row>
    <row r="229" spans="1:8" x14ac:dyDescent="0.25">
      <c r="A229" s="8" t="s">
        <v>562</v>
      </c>
      <c r="B229" s="9" t="s">
        <v>563</v>
      </c>
      <c r="C229" s="9" t="s">
        <v>564</v>
      </c>
      <c r="D229" s="7" t="str">
        <f t="shared" si="15"/>
        <v>k</v>
      </c>
      <c r="E229" t="str">
        <f t="shared" si="16"/>
        <v>K</v>
      </c>
      <c r="F229" t="str">
        <f t="shared" si="17"/>
        <v>Old</v>
      </c>
      <c r="G229" t="str">
        <f t="shared" si="18"/>
        <v>1</v>
      </c>
      <c r="H229" t="str">
        <f t="shared" si="19"/>
        <v>KOld1</v>
      </c>
    </row>
    <row r="230" spans="1:8" x14ac:dyDescent="0.25">
      <c r="A230" s="5" t="s">
        <v>565</v>
      </c>
      <c r="B230" s="6" t="s">
        <v>566</v>
      </c>
      <c r="C230" s="6" t="s">
        <v>567</v>
      </c>
      <c r="D230" s="7" t="str">
        <f t="shared" si="15"/>
        <v>m</v>
      </c>
      <c r="E230" t="str">
        <f t="shared" si="16"/>
        <v>P</v>
      </c>
      <c r="F230" t="str">
        <f t="shared" si="17"/>
        <v>Gda</v>
      </c>
      <c r="G230" t="str">
        <f t="shared" si="18"/>
        <v>5</v>
      </c>
      <c r="H230" t="str">
        <f t="shared" si="19"/>
        <v>PGda5</v>
      </c>
    </row>
    <row r="231" spans="1:8" x14ac:dyDescent="0.25">
      <c r="A231" s="8" t="s">
        <v>568</v>
      </c>
      <c r="B231" s="9" t="s">
        <v>569</v>
      </c>
      <c r="C231" s="9" t="s">
        <v>570</v>
      </c>
      <c r="D231" s="7" t="str">
        <f t="shared" si="15"/>
        <v>m</v>
      </c>
      <c r="E231" t="str">
        <f t="shared" si="16"/>
        <v>G</v>
      </c>
      <c r="F231" t="str">
        <f t="shared" si="17"/>
        <v>Ska</v>
      </c>
      <c r="G231" t="str">
        <f t="shared" si="18"/>
        <v>6</v>
      </c>
      <c r="H231" t="str">
        <f t="shared" si="19"/>
        <v>GSka6</v>
      </c>
    </row>
    <row r="232" spans="1:8" x14ac:dyDescent="0.25">
      <c r="A232" s="5" t="s">
        <v>571</v>
      </c>
      <c r="B232" s="6" t="s">
        <v>572</v>
      </c>
      <c r="C232" s="6" t="s">
        <v>275</v>
      </c>
      <c r="D232" s="7" t="str">
        <f t="shared" si="15"/>
        <v>k</v>
      </c>
      <c r="E232" t="str">
        <f t="shared" si="16"/>
        <v>M</v>
      </c>
      <c r="F232" t="str">
        <f t="shared" si="17"/>
        <v>Kla</v>
      </c>
      <c r="G232" t="str">
        <f t="shared" si="18"/>
        <v>6</v>
      </c>
      <c r="H232" t="str">
        <f t="shared" si="19"/>
        <v>MKla6</v>
      </c>
    </row>
    <row r="233" spans="1:8" x14ac:dyDescent="0.25">
      <c r="A233" s="8" t="s">
        <v>573</v>
      </c>
      <c r="B233" s="9" t="s">
        <v>574</v>
      </c>
      <c r="C233" s="9" t="s">
        <v>108</v>
      </c>
      <c r="D233" s="7" t="str">
        <f t="shared" si="15"/>
        <v>m</v>
      </c>
      <c r="E233" t="str">
        <f t="shared" si="16"/>
        <v>M</v>
      </c>
      <c r="F233" t="str">
        <f t="shared" si="17"/>
        <v>Kir</v>
      </c>
      <c r="G233" t="str">
        <f t="shared" si="18"/>
        <v>2</v>
      </c>
      <c r="H233" t="str">
        <f t="shared" si="19"/>
        <v>MKir2</v>
      </c>
    </row>
    <row r="234" spans="1:8" x14ac:dyDescent="0.25">
      <c r="A234" s="5" t="s">
        <v>575</v>
      </c>
      <c r="B234" s="6" t="s">
        <v>576</v>
      </c>
      <c r="C234" s="6" t="s">
        <v>17</v>
      </c>
      <c r="D234" s="7" t="str">
        <f t="shared" si="15"/>
        <v>m</v>
      </c>
      <c r="E234" t="str">
        <f t="shared" si="16"/>
        <v>M</v>
      </c>
      <c r="F234" t="str">
        <f t="shared" si="17"/>
        <v>Kow</v>
      </c>
      <c r="G234" t="str">
        <f t="shared" si="18"/>
        <v>0</v>
      </c>
      <c r="H234" t="str">
        <f t="shared" si="19"/>
        <v>MKow0</v>
      </c>
    </row>
    <row r="235" spans="1:8" x14ac:dyDescent="0.25">
      <c r="A235" s="8" t="s">
        <v>577</v>
      </c>
      <c r="B235" s="9" t="s">
        <v>578</v>
      </c>
      <c r="C235" s="9" t="s">
        <v>464</v>
      </c>
      <c r="D235" s="7" t="str">
        <f t="shared" si="15"/>
        <v>m</v>
      </c>
      <c r="E235" t="str">
        <f t="shared" si="16"/>
        <v>A</v>
      </c>
      <c r="F235" t="str">
        <f t="shared" si="17"/>
        <v>Wys</v>
      </c>
      <c r="G235" t="str">
        <f t="shared" si="18"/>
        <v>7</v>
      </c>
      <c r="H235" t="str">
        <f t="shared" si="19"/>
        <v>AWys7</v>
      </c>
    </row>
    <row r="236" spans="1:8" x14ac:dyDescent="0.25">
      <c r="A236" s="5" t="s">
        <v>579</v>
      </c>
      <c r="B236" s="6" t="s">
        <v>580</v>
      </c>
      <c r="C236" s="6" t="s">
        <v>287</v>
      </c>
      <c r="D236" s="7" t="str">
        <f t="shared" si="15"/>
        <v>m</v>
      </c>
      <c r="E236" t="str">
        <f t="shared" si="16"/>
        <v>D</v>
      </c>
      <c r="F236" t="str">
        <f t="shared" si="17"/>
        <v>Szp</v>
      </c>
      <c r="G236" t="str">
        <f t="shared" si="18"/>
        <v>6</v>
      </c>
      <c r="H236" t="str">
        <f t="shared" si="19"/>
        <v>DSzp6</v>
      </c>
    </row>
    <row r="237" spans="1:8" x14ac:dyDescent="0.25">
      <c r="A237" s="8" t="s">
        <v>581</v>
      </c>
      <c r="B237" s="9" t="s">
        <v>582</v>
      </c>
      <c r="C237" s="9" t="s">
        <v>67</v>
      </c>
      <c r="D237" s="7" t="str">
        <f t="shared" si="15"/>
        <v>k</v>
      </c>
      <c r="E237" t="str">
        <f t="shared" si="16"/>
        <v>L</v>
      </c>
      <c r="F237" t="str">
        <f t="shared" si="17"/>
        <v>Mad</v>
      </c>
      <c r="G237" t="str">
        <f t="shared" si="18"/>
        <v>1</v>
      </c>
      <c r="H237" t="str">
        <f t="shared" si="19"/>
        <v>LMad1</v>
      </c>
    </row>
    <row r="238" spans="1:8" x14ac:dyDescent="0.25">
      <c r="A238" s="5" t="s">
        <v>583</v>
      </c>
      <c r="B238" s="6" t="s">
        <v>584</v>
      </c>
      <c r="C238" s="6" t="s">
        <v>284</v>
      </c>
      <c r="D238" s="7" t="str">
        <f t="shared" si="15"/>
        <v>k</v>
      </c>
      <c r="E238" t="str">
        <f t="shared" si="16"/>
        <v>E</v>
      </c>
      <c r="F238" t="str">
        <f t="shared" si="17"/>
        <v>Sym</v>
      </c>
      <c r="G238" t="str">
        <f t="shared" si="18"/>
        <v>6</v>
      </c>
      <c r="H238" t="str">
        <f t="shared" si="19"/>
        <v>ESym6</v>
      </c>
    </row>
    <row r="239" spans="1:8" x14ac:dyDescent="0.25">
      <c r="A239" s="8" t="s">
        <v>585</v>
      </c>
      <c r="B239" s="9" t="s">
        <v>586</v>
      </c>
      <c r="C239" s="9" t="s">
        <v>47</v>
      </c>
      <c r="D239" s="7" t="str">
        <f t="shared" si="15"/>
        <v>m</v>
      </c>
      <c r="E239" t="str">
        <f t="shared" si="16"/>
        <v>S</v>
      </c>
      <c r="F239" t="str">
        <f t="shared" si="17"/>
        <v>Cie</v>
      </c>
      <c r="G239" t="str">
        <f t="shared" si="18"/>
        <v>9</v>
      </c>
      <c r="H239" t="str">
        <f t="shared" si="19"/>
        <v>SCie9</v>
      </c>
    </row>
    <row r="240" spans="1:8" x14ac:dyDescent="0.25">
      <c r="A240" s="5" t="s">
        <v>587</v>
      </c>
      <c r="B240" s="6" t="s">
        <v>96</v>
      </c>
      <c r="C240" s="6" t="s">
        <v>121</v>
      </c>
      <c r="D240" s="7" t="str">
        <f t="shared" si="15"/>
        <v>m</v>
      </c>
      <c r="E240" t="str">
        <f t="shared" si="16"/>
        <v>J</v>
      </c>
      <c r="F240" t="str">
        <f t="shared" si="17"/>
        <v>Paw</v>
      </c>
      <c r="G240" t="str">
        <f t="shared" si="18"/>
        <v>4</v>
      </c>
      <c r="H240" t="str">
        <f t="shared" si="19"/>
        <v>JPaw4</v>
      </c>
    </row>
    <row r="241" spans="1:8" x14ac:dyDescent="0.25">
      <c r="A241" s="8" t="s">
        <v>588</v>
      </c>
      <c r="B241" s="9" t="s">
        <v>589</v>
      </c>
      <c r="C241" s="9" t="s">
        <v>298</v>
      </c>
      <c r="D241" s="7" t="str">
        <f t="shared" si="15"/>
        <v>k</v>
      </c>
      <c r="E241" t="str">
        <f t="shared" si="16"/>
        <v>D</v>
      </c>
      <c r="F241" t="str">
        <f t="shared" si="17"/>
        <v>Szn</v>
      </c>
      <c r="G241" t="str">
        <f t="shared" si="18"/>
        <v>1</v>
      </c>
      <c r="H241" t="str">
        <f t="shared" si="19"/>
        <v>DSzn1</v>
      </c>
    </row>
    <row r="242" spans="1:8" x14ac:dyDescent="0.25">
      <c r="A242" s="5" t="s">
        <v>590</v>
      </c>
      <c r="B242" s="6" t="s">
        <v>591</v>
      </c>
      <c r="C242" s="6" t="s">
        <v>166</v>
      </c>
      <c r="D242" s="7" t="str">
        <f t="shared" si="15"/>
        <v>m</v>
      </c>
      <c r="E242" t="str">
        <f t="shared" si="16"/>
        <v>J</v>
      </c>
      <c r="F242" t="str">
        <f t="shared" si="17"/>
        <v>Chm</v>
      </c>
      <c r="G242" t="str">
        <f t="shared" si="18"/>
        <v>9</v>
      </c>
      <c r="H242" t="str">
        <f t="shared" si="19"/>
        <v>JChm9</v>
      </c>
    </row>
    <row r="243" spans="1:8" x14ac:dyDescent="0.25">
      <c r="A243" s="8" t="s">
        <v>592</v>
      </c>
      <c r="B243" s="9" t="s">
        <v>593</v>
      </c>
      <c r="C243" s="9" t="s">
        <v>92</v>
      </c>
      <c r="D243" s="7" t="str">
        <f t="shared" si="15"/>
        <v>m</v>
      </c>
      <c r="E243" t="str">
        <f t="shared" si="16"/>
        <v>I</v>
      </c>
      <c r="F243" t="str">
        <f t="shared" si="17"/>
        <v>Rys</v>
      </c>
      <c r="G243" t="str">
        <f t="shared" si="18"/>
        <v>0</v>
      </c>
      <c r="H243" t="str">
        <f t="shared" si="19"/>
        <v>IRys0</v>
      </c>
    </row>
    <row r="244" spans="1:8" x14ac:dyDescent="0.25">
      <c r="A244" s="5" t="s">
        <v>594</v>
      </c>
      <c r="B244" s="6" t="s">
        <v>595</v>
      </c>
      <c r="C244" s="6" t="s">
        <v>596</v>
      </c>
      <c r="D244" s="7" t="str">
        <f t="shared" si="15"/>
        <v>m</v>
      </c>
      <c r="E244" t="str">
        <f t="shared" si="16"/>
        <v>D</v>
      </c>
      <c r="F244" t="str">
        <f t="shared" si="17"/>
        <v>Szu</v>
      </c>
      <c r="G244" t="str">
        <f t="shared" si="18"/>
        <v>8</v>
      </c>
      <c r="H244" t="str">
        <f t="shared" si="19"/>
        <v>DSzu8</v>
      </c>
    </row>
    <row r="245" spans="1:8" x14ac:dyDescent="0.25">
      <c r="A245" s="8" t="s">
        <v>597</v>
      </c>
      <c r="B245" s="9" t="s">
        <v>598</v>
      </c>
      <c r="C245" s="9" t="s">
        <v>17</v>
      </c>
      <c r="D245" s="7" t="str">
        <f t="shared" si="15"/>
        <v>m</v>
      </c>
      <c r="E245" t="str">
        <f t="shared" si="16"/>
        <v>M</v>
      </c>
      <c r="F245" t="str">
        <f t="shared" si="17"/>
        <v>Kro</v>
      </c>
      <c r="G245" t="str">
        <f t="shared" si="18"/>
        <v>1</v>
      </c>
      <c r="H245" t="str">
        <f t="shared" si="19"/>
        <v>MKro1</v>
      </c>
    </row>
    <row r="246" spans="1:8" x14ac:dyDescent="0.25">
      <c r="A246" s="5" t="s">
        <v>599</v>
      </c>
      <c r="B246" s="6" t="s">
        <v>600</v>
      </c>
      <c r="C246" s="6" t="s">
        <v>70</v>
      </c>
      <c r="D246" s="7" t="str">
        <f t="shared" si="15"/>
        <v>k</v>
      </c>
      <c r="E246" t="str">
        <f t="shared" si="16"/>
        <v>N</v>
      </c>
      <c r="F246" t="str">
        <f t="shared" si="17"/>
        <v>Har</v>
      </c>
      <c r="G246" t="str">
        <f t="shared" si="18"/>
        <v>1</v>
      </c>
      <c r="H246" t="str">
        <f t="shared" si="19"/>
        <v>NHar1</v>
      </c>
    </row>
    <row r="247" spans="1:8" x14ac:dyDescent="0.25">
      <c r="A247" s="8" t="s">
        <v>601</v>
      </c>
      <c r="B247" s="9" t="s">
        <v>602</v>
      </c>
      <c r="C247" s="9" t="s">
        <v>137</v>
      </c>
      <c r="D247" s="7" t="str">
        <f t="shared" si="15"/>
        <v>k</v>
      </c>
      <c r="E247" t="str">
        <f t="shared" si="16"/>
        <v>M</v>
      </c>
      <c r="F247" t="str">
        <f t="shared" si="17"/>
        <v>Kos</v>
      </c>
      <c r="G247" t="str">
        <f t="shared" si="18"/>
        <v>5</v>
      </c>
      <c r="H247" t="str">
        <f t="shared" si="19"/>
        <v>MKos5</v>
      </c>
    </row>
    <row r="248" spans="1:8" x14ac:dyDescent="0.25">
      <c r="A248" s="5" t="s">
        <v>603</v>
      </c>
      <c r="B248" s="6" t="s">
        <v>604</v>
      </c>
      <c r="C248" s="6" t="s">
        <v>233</v>
      </c>
      <c r="D248" s="7" t="str">
        <f t="shared" si="15"/>
        <v>k</v>
      </c>
      <c r="E248" t="str">
        <f t="shared" si="16"/>
        <v>W</v>
      </c>
      <c r="F248" t="str">
        <f t="shared" si="17"/>
        <v>Chm</v>
      </c>
      <c r="G248" t="str">
        <f t="shared" si="18"/>
        <v>5</v>
      </c>
      <c r="H248" t="str">
        <f t="shared" si="19"/>
        <v>WChm5</v>
      </c>
    </row>
    <row r="249" spans="1:8" x14ac:dyDescent="0.25">
      <c r="A249" s="8" t="s">
        <v>605</v>
      </c>
      <c r="B249" s="9" t="s">
        <v>606</v>
      </c>
      <c r="C249" s="9" t="s">
        <v>607</v>
      </c>
      <c r="D249" s="7" t="str">
        <f t="shared" si="15"/>
        <v>k</v>
      </c>
      <c r="E249" t="str">
        <f t="shared" si="16"/>
        <v>J</v>
      </c>
      <c r="F249" t="str">
        <f t="shared" si="17"/>
        <v>Ser</v>
      </c>
      <c r="G249" t="str">
        <f t="shared" si="18"/>
        <v>4</v>
      </c>
      <c r="H249" t="str">
        <f t="shared" si="19"/>
        <v>JSer4</v>
      </c>
    </row>
    <row r="250" spans="1:8" x14ac:dyDescent="0.25">
      <c r="A250" s="5" t="s">
        <v>608</v>
      </c>
      <c r="B250" s="6" t="s">
        <v>609</v>
      </c>
      <c r="C250" s="6" t="s">
        <v>53</v>
      </c>
      <c r="D250" s="7" t="str">
        <f t="shared" si="15"/>
        <v>m</v>
      </c>
      <c r="E250" t="str">
        <f t="shared" si="16"/>
        <v>W</v>
      </c>
      <c r="F250" t="str">
        <f t="shared" si="17"/>
        <v>Afe</v>
      </c>
      <c r="G250" t="str">
        <f t="shared" si="18"/>
        <v>2</v>
      </c>
      <c r="H250" t="str">
        <f t="shared" si="19"/>
        <v>WAfe2</v>
      </c>
    </row>
    <row r="251" spans="1:8" x14ac:dyDescent="0.25">
      <c r="A251" s="8" t="s">
        <v>610</v>
      </c>
      <c r="B251" s="9" t="s">
        <v>611</v>
      </c>
      <c r="C251" s="9" t="s">
        <v>241</v>
      </c>
      <c r="D251" s="7" t="str">
        <f t="shared" si="15"/>
        <v>k</v>
      </c>
      <c r="E251" t="str">
        <f t="shared" si="16"/>
        <v>N</v>
      </c>
      <c r="F251" t="str">
        <f t="shared" si="17"/>
        <v>Jak</v>
      </c>
      <c r="G251" t="str">
        <f t="shared" si="18"/>
        <v>4</v>
      </c>
      <c r="H251" t="str">
        <f t="shared" si="19"/>
        <v>NJak4</v>
      </c>
    </row>
    <row r="252" spans="1:8" x14ac:dyDescent="0.25">
      <c r="A252" s="5" t="s">
        <v>612</v>
      </c>
      <c r="B252" s="6" t="s">
        <v>353</v>
      </c>
      <c r="C252" s="6" t="s">
        <v>187</v>
      </c>
      <c r="D252" s="7" t="str">
        <f t="shared" si="15"/>
        <v>k</v>
      </c>
      <c r="E252" t="str">
        <f t="shared" si="16"/>
        <v>O</v>
      </c>
      <c r="F252" t="str">
        <f t="shared" si="17"/>
        <v>Lew</v>
      </c>
      <c r="G252" t="str">
        <f t="shared" si="18"/>
        <v>3</v>
      </c>
      <c r="H252" t="str">
        <f t="shared" si="19"/>
        <v>OLew3</v>
      </c>
    </row>
    <row r="253" spans="1:8" x14ac:dyDescent="0.25">
      <c r="A253" s="8" t="s">
        <v>613</v>
      </c>
      <c r="B253" s="9" t="s">
        <v>614</v>
      </c>
      <c r="C253" s="9" t="s">
        <v>295</v>
      </c>
      <c r="D253" s="7" t="str">
        <f t="shared" si="15"/>
        <v>k</v>
      </c>
      <c r="E253" t="str">
        <f t="shared" si="16"/>
        <v>W</v>
      </c>
      <c r="F253" t="str">
        <f t="shared" si="17"/>
        <v>Der</v>
      </c>
      <c r="G253" t="str">
        <f t="shared" si="18"/>
        <v>4</v>
      </c>
      <c r="H253" t="str">
        <f t="shared" si="19"/>
        <v>WDer4</v>
      </c>
    </row>
    <row r="254" spans="1:8" x14ac:dyDescent="0.25">
      <c r="A254" s="5" t="s">
        <v>615</v>
      </c>
      <c r="B254" s="6" t="s">
        <v>616</v>
      </c>
      <c r="C254" s="6" t="s">
        <v>617</v>
      </c>
      <c r="D254" s="7" t="str">
        <f t="shared" si="15"/>
        <v>k</v>
      </c>
      <c r="E254" t="str">
        <f t="shared" si="16"/>
        <v>L</v>
      </c>
      <c r="F254" t="str">
        <f t="shared" si="17"/>
        <v>Muc</v>
      </c>
      <c r="G254" t="str">
        <f t="shared" si="18"/>
        <v>8</v>
      </c>
      <c r="H254" t="str">
        <f t="shared" si="19"/>
        <v>LMuc8</v>
      </c>
    </row>
    <row r="255" spans="1:8" x14ac:dyDescent="0.25">
      <c r="A255" s="8" t="s">
        <v>618</v>
      </c>
      <c r="B255" s="9" t="s">
        <v>619</v>
      </c>
      <c r="C255" s="9" t="s">
        <v>340</v>
      </c>
      <c r="D255" s="7" t="str">
        <f t="shared" si="15"/>
        <v>k</v>
      </c>
      <c r="E255" t="str">
        <f t="shared" si="16"/>
        <v>A</v>
      </c>
      <c r="F255" t="str">
        <f t="shared" si="17"/>
        <v>Szy</v>
      </c>
      <c r="G255" t="str">
        <f t="shared" si="18"/>
        <v>4</v>
      </c>
      <c r="H255" t="str">
        <f t="shared" si="19"/>
        <v>ASzy4</v>
      </c>
    </row>
    <row r="256" spans="1:8" x14ac:dyDescent="0.25">
      <c r="A256" s="5" t="s">
        <v>620</v>
      </c>
      <c r="B256" s="6" t="s">
        <v>621</v>
      </c>
      <c r="C256" s="6" t="s">
        <v>241</v>
      </c>
      <c r="D256" s="7" t="str">
        <f t="shared" si="15"/>
        <v>k</v>
      </c>
      <c r="E256" t="str">
        <f t="shared" si="16"/>
        <v>N</v>
      </c>
      <c r="F256" t="str">
        <f t="shared" si="17"/>
        <v>Jan</v>
      </c>
      <c r="G256" t="str">
        <f t="shared" si="18"/>
        <v>6</v>
      </c>
      <c r="H256" t="str">
        <f t="shared" si="19"/>
        <v>NJan6</v>
      </c>
    </row>
    <row r="257" spans="1:8" x14ac:dyDescent="0.25">
      <c r="A257" s="8" t="s">
        <v>622</v>
      </c>
      <c r="B257" s="9" t="s">
        <v>623</v>
      </c>
      <c r="C257" s="9" t="s">
        <v>624</v>
      </c>
      <c r="D257" s="7" t="str">
        <f t="shared" si="15"/>
        <v>m</v>
      </c>
      <c r="E257" t="str">
        <f t="shared" si="16"/>
        <v>S</v>
      </c>
      <c r="F257" t="str">
        <f t="shared" si="17"/>
        <v>Dom</v>
      </c>
      <c r="G257" t="str">
        <f t="shared" si="18"/>
        <v>9</v>
      </c>
      <c r="H257" t="str">
        <f t="shared" si="19"/>
        <v>SDom9</v>
      </c>
    </row>
    <row r="258" spans="1:8" x14ac:dyDescent="0.25">
      <c r="A258" s="5" t="s">
        <v>625</v>
      </c>
      <c r="B258" s="6" t="s">
        <v>626</v>
      </c>
      <c r="C258" s="6" t="s">
        <v>627</v>
      </c>
      <c r="D258" s="7" t="str">
        <f t="shared" ref="D258:D321" si="20">IF(MOD(LEFT(RIGHT(A258,2),1),2)=0,"k","m")</f>
        <v>m</v>
      </c>
      <c r="E258" t="str">
        <f t="shared" si="16"/>
        <v>A</v>
      </c>
      <c r="F258" t="str">
        <f t="shared" si="17"/>
        <v>Wie</v>
      </c>
      <c r="G258" t="str">
        <f t="shared" si="18"/>
        <v>3</v>
      </c>
      <c r="H258" t="str">
        <f t="shared" si="19"/>
        <v>AWie3</v>
      </c>
    </row>
    <row r="259" spans="1:8" x14ac:dyDescent="0.25">
      <c r="A259" s="8" t="s">
        <v>628</v>
      </c>
      <c r="B259" s="9" t="s">
        <v>629</v>
      </c>
      <c r="C259" s="9" t="s">
        <v>630</v>
      </c>
      <c r="D259" s="7" t="str">
        <f t="shared" si="20"/>
        <v>k</v>
      </c>
      <c r="E259" t="str">
        <f t="shared" ref="E259:E322" si="21">LEFT(C259,1)</f>
        <v>L</v>
      </c>
      <c r="F259" t="str">
        <f t="shared" ref="F259:F322" si="22">LEFT(B259,3)</f>
        <v>Mar</v>
      </c>
      <c r="G259" t="str">
        <f t="shared" ref="G259:G322" si="23">RIGHT(A259,1)</f>
        <v>9</v>
      </c>
      <c r="H259" t="str">
        <f t="shared" ref="H259:H322" si="24">_xlfn.TEXTJOIN(,,E259,F259,G259)</f>
        <v>LMar9</v>
      </c>
    </row>
    <row r="260" spans="1:8" x14ac:dyDescent="0.25">
      <c r="A260" s="5" t="s">
        <v>631</v>
      </c>
      <c r="B260" s="6" t="s">
        <v>235</v>
      </c>
      <c r="C260" s="6" t="s">
        <v>5</v>
      </c>
      <c r="D260" s="7" t="str">
        <f t="shared" si="20"/>
        <v>m</v>
      </c>
      <c r="E260" t="str">
        <f t="shared" si="21"/>
        <v>K</v>
      </c>
      <c r="F260" t="str">
        <f t="shared" si="22"/>
        <v>Mic</v>
      </c>
      <c r="G260" t="str">
        <f t="shared" si="23"/>
        <v>2</v>
      </c>
      <c r="H260" t="str">
        <f t="shared" si="24"/>
        <v>KMic2</v>
      </c>
    </row>
    <row r="261" spans="1:8" x14ac:dyDescent="0.25">
      <c r="A261" s="8" t="s">
        <v>632</v>
      </c>
      <c r="B261" s="9" t="s">
        <v>633</v>
      </c>
      <c r="C261" s="9" t="s">
        <v>233</v>
      </c>
      <c r="D261" s="7" t="str">
        <f t="shared" si="20"/>
        <v>k</v>
      </c>
      <c r="E261" t="str">
        <f t="shared" si="21"/>
        <v>W</v>
      </c>
      <c r="F261" t="str">
        <f t="shared" si="22"/>
        <v>Cza</v>
      </c>
      <c r="G261" t="str">
        <f t="shared" si="23"/>
        <v>3</v>
      </c>
      <c r="H261" t="str">
        <f t="shared" si="24"/>
        <v>WCza3</v>
      </c>
    </row>
    <row r="262" spans="1:8" x14ac:dyDescent="0.25">
      <c r="A262" s="5" t="s">
        <v>634</v>
      </c>
      <c r="B262" s="6" t="s">
        <v>635</v>
      </c>
      <c r="C262" s="6" t="s">
        <v>194</v>
      </c>
      <c r="D262" s="7" t="str">
        <f t="shared" si="20"/>
        <v>k</v>
      </c>
      <c r="E262" t="str">
        <f t="shared" si="21"/>
        <v>A</v>
      </c>
      <c r="F262" t="str">
        <f t="shared" si="22"/>
        <v>Tom</v>
      </c>
      <c r="G262" t="str">
        <f t="shared" si="23"/>
        <v>8</v>
      </c>
      <c r="H262" t="str">
        <f t="shared" si="24"/>
        <v>ATom8</v>
      </c>
    </row>
    <row r="263" spans="1:8" x14ac:dyDescent="0.25">
      <c r="A263" s="8" t="s">
        <v>636</v>
      </c>
      <c r="B263" s="9" t="s">
        <v>637</v>
      </c>
      <c r="C263" s="9" t="s">
        <v>382</v>
      </c>
      <c r="D263" s="7" t="str">
        <f t="shared" si="20"/>
        <v>k</v>
      </c>
      <c r="E263" t="str">
        <f t="shared" si="21"/>
        <v>K</v>
      </c>
      <c r="F263" t="str">
        <f t="shared" si="22"/>
        <v>Paw</v>
      </c>
      <c r="G263" t="str">
        <f t="shared" si="23"/>
        <v>5</v>
      </c>
      <c r="H263" t="str">
        <f t="shared" si="24"/>
        <v>KPaw5</v>
      </c>
    </row>
    <row r="264" spans="1:8" x14ac:dyDescent="0.25">
      <c r="A264" s="5" t="s">
        <v>638</v>
      </c>
      <c r="B264" s="6" t="s">
        <v>639</v>
      </c>
      <c r="C264" s="6" t="s">
        <v>640</v>
      </c>
      <c r="D264" s="7" t="str">
        <f t="shared" si="20"/>
        <v>m</v>
      </c>
      <c r="E264" t="str">
        <f t="shared" si="21"/>
        <v>D</v>
      </c>
      <c r="F264" t="str">
        <f t="shared" si="22"/>
        <v>Szw</v>
      </c>
      <c r="G264" t="str">
        <f t="shared" si="23"/>
        <v>8</v>
      </c>
      <c r="H264" t="str">
        <f t="shared" si="24"/>
        <v>DSzw8</v>
      </c>
    </row>
    <row r="265" spans="1:8" x14ac:dyDescent="0.25">
      <c r="A265" s="8" t="s">
        <v>641</v>
      </c>
      <c r="B265" s="9" t="s">
        <v>642</v>
      </c>
      <c r="C265" s="9" t="s">
        <v>485</v>
      </c>
      <c r="D265" s="7" t="str">
        <f t="shared" si="20"/>
        <v>m</v>
      </c>
      <c r="E265" t="str">
        <f t="shared" si="21"/>
        <v>A</v>
      </c>
      <c r="F265" t="str">
        <f t="shared" si="22"/>
        <v>Zaw</v>
      </c>
      <c r="G265" t="str">
        <f t="shared" si="23"/>
        <v>9</v>
      </c>
      <c r="H265" t="str">
        <f t="shared" si="24"/>
        <v>AZaw9</v>
      </c>
    </row>
    <row r="266" spans="1:8" x14ac:dyDescent="0.25">
      <c r="A266" s="5" t="s">
        <v>643</v>
      </c>
      <c r="B266" s="6" t="s">
        <v>644</v>
      </c>
      <c r="C266" s="6" t="s">
        <v>56</v>
      </c>
      <c r="D266" s="7" t="str">
        <f t="shared" si="20"/>
        <v>k</v>
      </c>
      <c r="E266" t="str">
        <f t="shared" si="21"/>
        <v>A</v>
      </c>
      <c r="F266" t="str">
        <f t="shared" si="22"/>
        <v>Wie</v>
      </c>
      <c r="G266" t="str">
        <f t="shared" si="23"/>
        <v>3</v>
      </c>
      <c r="H266" t="str">
        <f t="shared" si="24"/>
        <v>AWie3</v>
      </c>
    </row>
    <row r="267" spans="1:8" x14ac:dyDescent="0.25">
      <c r="A267" s="8" t="s">
        <v>645</v>
      </c>
      <c r="B267" s="9" t="s">
        <v>646</v>
      </c>
      <c r="C267" s="9" t="s">
        <v>345</v>
      </c>
      <c r="D267" s="7" t="str">
        <f t="shared" si="20"/>
        <v>k</v>
      </c>
      <c r="E267" t="str">
        <f t="shared" si="21"/>
        <v>M</v>
      </c>
      <c r="F267" t="str">
        <f t="shared" si="22"/>
        <v>Kie</v>
      </c>
      <c r="G267" t="str">
        <f t="shared" si="23"/>
        <v>2</v>
      </c>
      <c r="H267" t="str">
        <f t="shared" si="24"/>
        <v>MKie2</v>
      </c>
    </row>
    <row r="268" spans="1:8" x14ac:dyDescent="0.25">
      <c r="A268" s="5" t="s">
        <v>647</v>
      </c>
      <c r="B268" s="6" t="s">
        <v>648</v>
      </c>
      <c r="C268" s="6" t="s">
        <v>448</v>
      </c>
      <c r="D268" s="7" t="str">
        <f t="shared" si="20"/>
        <v>k</v>
      </c>
      <c r="E268" t="str">
        <f t="shared" si="21"/>
        <v>H</v>
      </c>
      <c r="F268" t="str">
        <f t="shared" si="22"/>
        <v>Ste</v>
      </c>
      <c r="G268" t="str">
        <f t="shared" si="23"/>
        <v>4</v>
      </c>
      <c r="H268" t="str">
        <f t="shared" si="24"/>
        <v>HSte4</v>
      </c>
    </row>
    <row r="269" spans="1:8" x14ac:dyDescent="0.25">
      <c r="A269" s="8" t="s">
        <v>649</v>
      </c>
      <c r="B269" s="9" t="s">
        <v>650</v>
      </c>
      <c r="C269" s="9" t="s">
        <v>651</v>
      </c>
      <c r="D269" s="7" t="str">
        <f t="shared" si="20"/>
        <v>k</v>
      </c>
      <c r="E269" t="str">
        <f t="shared" si="21"/>
        <v>R</v>
      </c>
      <c r="F269" t="str">
        <f t="shared" si="22"/>
        <v>For</v>
      </c>
      <c r="G269" t="str">
        <f t="shared" si="23"/>
        <v>0</v>
      </c>
      <c r="H269" t="str">
        <f t="shared" si="24"/>
        <v>RFor0</v>
      </c>
    </row>
    <row r="270" spans="1:8" x14ac:dyDescent="0.25">
      <c r="A270" s="5" t="s">
        <v>652</v>
      </c>
      <c r="B270" s="6" t="s">
        <v>653</v>
      </c>
      <c r="C270" s="6" t="s">
        <v>345</v>
      </c>
      <c r="D270" s="7" t="str">
        <f t="shared" si="20"/>
        <v>k</v>
      </c>
      <c r="E270" t="str">
        <f t="shared" si="21"/>
        <v>M</v>
      </c>
      <c r="F270" t="str">
        <f t="shared" si="22"/>
        <v>Kar</v>
      </c>
      <c r="G270" t="str">
        <f t="shared" si="23"/>
        <v>4</v>
      </c>
      <c r="H270" t="str">
        <f t="shared" si="24"/>
        <v>MKar4</v>
      </c>
    </row>
    <row r="271" spans="1:8" x14ac:dyDescent="0.25">
      <c r="A271" s="8" t="s">
        <v>654</v>
      </c>
      <c r="B271" s="9" t="s">
        <v>655</v>
      </c>
      <c r="C271" s="9" t="s">
        <v>416</v>
      </c>
      <c r="D271" s="7" t="str">
        <f t="shared" si="20"/>
        <v>k</v>
      </c>
      <c r="E271" t="str">
        <f t="shared" si="21"/>
        <v>M</v>
      </c>
      <c r="F271" t="str">
        <f t="shared" si="22"/>
        <v>Lup</v>
      </c>
      <c r="G271" t="str">
        <f t="shared" si="23"/>
        <v>7</v>
      </c>
      <c r="H271" t="str">
        <f t="shared" si="24"/>
        <v>MLup7</v>
      </c>
    </row>
    <row r="272" spans="1:8" x14ac:dyDescent="0.25">
      <c r="A272" s="5" t="s">
        <v>656</v>
      </c>
      <c r="B272" s="6" t="s">
        <v>657</v>
      </c>
      <c r="C272" s="6" t="s">
        <v>121</v>
      </c>
      <c r="D272" s="7" t="str">
        <f t="shared" si="20"/>
        <v>m</v>
      </c>
      <c r="E272" t="str">
        <f t="shared" si="21"/>
        <v>J</v>
      </c>
      <c r="F272" t="str">
        <f t="shared" si="22"/>
        <v>Pen</v>
      </c>
      <c r="G272" t="str">
        <f t="shared" si="23"/>
        <v>7</v>
      </c>
      <c r="H272" t="str">
        <f t="shared" si="24"/>
        <v>JPen7</v>
      </c>
    </row>
    <row r="273" spans="1:8" x14ac:dyDescent="0.25">
      <c r="A273" s="8" t="s">
        <v>658</v>
      </c>
      <c r="B273" s="9" t="s">
        <v>659</v>
      </c>
      <c r="C273" s="9" t="s">
        <v>44</v>
      </c>
      <c r="D273" s="7" t="str">
        <f t="shared" si="20"/>
        <v>m</v>
      </c>
      <c r="E273" t="str">
        <f t="shared" si="21"/>
        <v>A</v>
      </c>
      <c r="F273" t="str">
        <f t="shared" si="22"/>
        <v>Woj</v>
      </c>
      <c r="G273" t="str">
        <f t="shared" si="23"/>
        <v>8</v>
      </c>
      <c r="H273" t="str">
        <f t="shared" si="24"/>
        <v>AWoj8</v>
      </c>
    </row>
    <row r="274" spans="1:8" x14ac:dyDescent="0.25">
      <c r="A274" s="5" t="s">
        <v>660</v>
      </c>
      <c r="B274" s="6" t="s">
        <v>661</v>
      </c>
      <c r="C274" s="6" t="s">
        <v>413</v>
      </c>
      <c r="D274" s="7" t="str">
        <f t="shared" si="20"/>
        <v>k</v>
      </c>
      <c r="E274" t="str">
        <f t="shared" si="21"/>
        <v>K</v>
      </c>
      <c r="F274" t="str">
        <f t="shared" si="22"/>
        <v>Cza</v>
      </c>
      <c r="G274" t="str">
        <f t="shared" si="23"/>
        <v>3</v>
      </c>
      <c r="H274" t="str">
        <f t="shared" si="24"/>
        <v>KCza3</v>
      </c>
    </row>
    <row r="275" spans="1:8" x14ac:dyDescent="0.25">
      <c r="A275" s="8" t="s">
        <v>662</v>
      </c>
      <c r="B275" s="9" t="s">
        <v>663</v>
      </c>
      <c r="C275" s="9" t="s">
        <v>323</v>
      </c>
      <c r="D275" s="7" t="str">
        <f t="shared" si="20"/>
        <v>k</v>
      </c>
      <c r="E275" t="str">
        <f t="shared" si="21"/>
        <v>A</v>
      </c>
      <c r="F275" t="str">
        <f t="shared" si="22"/>
        <v>Zac</v>
      </c>
      <c r="G275" t="str">
        <f t="shared" si="23"/>
        <v>7</v>
      </c>
      <c r="H275" t="str">
        <f t="shared" si="24"/>
        <v>AZac7</v>
      </c>
    </row>
    <row r="276" spans="1:8" x14ac:dyDescent="0.25">
      <c r="A276" s="5" t="s">
        <v>664</v>
      </c>
      <c r="B276" s="6" t="s">
        <v>665</v>
      </c>
      <c r="C276" s="6" t="s">
        <v>666</v>
      </c>
      <c r="D276" s="7" t="str">
        <f t="shared" si="20"/>
        <v>m</v>
      </c>
      <c r="E276" t="str">
        <f t="shared" si="21"/>
        <v>T</v>
      </c>
      <c r="F276" t="str">
        <f t="shared" si="22"/>
        <v>Bil</v>
      </c>
      <c r="G276" t="str">
        <f t="shared" si="23"/>
        <v>7</v>
      </c>
      <c r="H276" t="str">
        <f t="shared" si="24"/>
        <v>TBil7</v>
      </c>
    </row>
    <row r="277" spans="1:8" x14ac:dyDescent="0.25">
      <c r="A277" s="8" t="s">
        <v>667</v>
      </c>
      <c r="B277" s="9" t="s">
        <v>668</v>
      </c>
      <c r="C277" s="9" t="s">
        <v>131</v>
      </c>
      <c r="D277" s="7" t="str">
        <f t="shared" si="20"/>
        <v>k</v>
      </c>
      <c r="E277" t="str">
        <f t="shared" si="21"/>
        <v>O</v>
      </c>
      <c r="F277" t="str">
        <f t="shared" si="22"/>
        <v>Gor</v>
      </c>
      <c r="G277" t="str">
        <f t="shared" si="23"/>
        <v>5</v>
      </c>
      <c r="H277" t="str">
        <f t="shared" si="24"/>
        <v>OGor5</v>
      </c>
    </row>
    <row r="278" spans="1:8" x14ac:dyDescent="0.25">
      <c r="A278" s="5" t="s">
        <v>669</v>
      </c>
      <c r="B278" s="6" t="s">
        <v>670</v>
      </c>
      <c r="C278" s="6" t="s">
        <v>671</v>
      </c>
      <c r="D278" s="7" t="str">
        <f t="shared" si="20"/>
        <v>m</v>
      </c>
      <c r="E278" t="str">
        <f t="shared" si="21"/>
        <v>M</v>
      </c>
      <c r="F278" t="str">
        <f t="shared" si="22"/>
        <v>Bud</v>
      </c>
      <c r="G278" t="str">
        <f t="shared" si="23"/>
        <v>6</v>
      </c>
      <c r="H278" t="str">
        <f t="shared" si="24"/>
        <v>MBud6</v>
      </c>
    </row>
    <row r="279" spans="1:8" x14ac:dyDescent="0.25">
      <c r="A279" s="8" t="s">
        <v>672</v>
      </c>
      <c r="B279" s="9" t="s">
        <v>673</v>
      </c>
      <c r="C279" s="9" t="s">
        <v>73</v>
      </c>
      <c r="D279" s="7" t="str">
        <f t="shared" si="20"/>
        <v>m</v>
      </c>
      <c r="E279" t="str">
        <f t="shared" si="21"/>
        <v>P</v>
      </c>
      <c r="F279" t="str">
        <f t="shared" si="22"/>
        <v>Dul</v>
      </c>
      <c r="G279" t="str">
        <f t="shared" si="23"/>
        <v>6</v>
      </c>
      <c r="H279" t="str">
        <f t="shared" si="24"/>
        <v>PDul6</v>
      </c>
    </row>
    <row r="280" spans="1:8" x14ac:dyDescent="0.25">
      <c r="A280" s="5" t="s">
        <v>674</v>
      </c>
      <c r="B280" s="6" t="s">
        <v>675</v>
      </c>
      <c r="C280" s="6" t="s">
        <v>64</v>
      </c>
      <c r="D280" s="7" t="str">
        <f t="shared" si="20"/>
        <v>m</v>
      </c>
      <c r="E280" t="str">
        <f t="shared" si="21"/>
        <v>M</v>
      </c>
      <c r="F280" t="str">
        <f t="shared" si="22"/>
        <v>Kac</v>
      </c>
      <c r="G280" t="str">
        <f t="shared" si="23"/>
        <v>2</v>
      </c>
      <c r="H280" t="str">
        <f t="shared" si="24"/>
        <v>MKac2</v>
      </c>
    </row>
    <row r="281" spans="1:8" x14ac:dyDescent="0.25">
      <c r="A281" s="8" t="s">
        <v>676</v>
      </c>
      <c r="B281" s="9" t="s">
        <v>677</v>
      </c>
      <c r="C281" s="9" t="s">
        <v>105</v>
      </c>
      <c r="D281" s="7" t="str">
        <f t="shared" si="20"/>
        <v>m</v>
      </c>
      <c r="E281" t="str">
        <f t="shared" si="21"/>
        <v>K</v>
      </c>
      <c r="F281" t="str">
        <f t="shared" si="22"/>
        <v>Ols</v>
      </c>
      <c r="G281" t="str">
        <f t="shared" si="23"/>
        <v>7</v>
      </c>
      <c r="H281" t="str">
        <f t="shared" si="24"/>
        <v>KOls7</v>
      </c>
    </row>
    <row r="282" spans="1:8" x14ac:dyDescent="0.25">
      <c r="A282" s="5" t="s">
        <v>678</v>
      </c>
      <c r="B282" s="6" t="s">
        <v>679</v>
      </c>
      <c r="C282" s="6" t="s">
        <v>73</v>
      </c>
      <c r="D282" s="7" t="str">
        <f t="shared" si="20"/>
        <v>m</v>
      </c>
      <c r="E282" t="str">
        <f t="shared" si="21"/>
        <v>P</v>
      </c>
      <c r="F282" t="str">
        <f t="shared" si="22"/>
        <v>Pol</v>
      </c>
      <c r="G282" t="str">
        <f t="shared" si="23"/>
        <v>0</v>
      </c>
      <c r="H282" t="str">
        <f t="shared" si="24"/>
        <v>PPol0</v>
      </c>
    </row>
    <row r="283" spans="1:8" x14ac:dyDescent="0.25">
      <c r="A283" s="8" t="s">
        <v>680</v>
      </c>
      <c r="B283" s="9" t="s">
        <v>681</v>
      </c>
      <c r="C283" s="9" t="s">
        <v>499</v>
      </c>
      <c r="D283" s="7" t="str">
        <f t="shared" si="20"/>
        <v>m</v>
      </c>
      <c r="E283" t="str">
        <f t="shared" si="21"/>
        <v>T</v>
      </c>
      <c r="F283" t="str">
        <f t="shared" si="22"/>
        <v>Bud</v>
      </c>
      <c r="G283" t="str">
        <f t="shared" si="23"/>
        <v>8</v>
      </c>
      <c r="H283" t="str">
        <f t="shared" si="24"/>
        <v>TBud8</v>
      </c>
    </row>
    <row r="284" spans="1:8" x14ac:dyDescent="0.25">
      <c r="A284" s="5" t="s">
        <v>682</v>
      </c>
      <c r="B284" s="6" t="s">
        <v>683</v>
      </c>
      <c r="C284" s="6" t="s">
        <v>73</v>
      </c>
      <c r="D284" s="7" t="str">
        <f t="shared" si="20"/>
        <v>m</v>
      </c>
      <c r="E284" t="str">
        <f t="shared" si="21"/>
        <v>P</v>
      </c>
      <c r="F284" t="str">
        <f t="shared" si="22"/>
        <v>Fie</v>
      </c>
      <c r="G284" t="str">
        <f t="shared" si="23"/>
        <v>6</v>
      </c>
      <c r="H284" t="str">
        <f t="shared" si="24"/>
        <v>PFie6</v>
      </c>
    </row>
    <row r="285" spans="1:8" x14ac:dyDescent="0.25">
      <c r="A285" s="8" t="s">
        <v>684</v>
      </c>
      <c r="B285" s="9" t="s">
        <v>685</v>
      </c>
      <c r="C285" s="9" t="s">
        <v>485</v>
      </c>
      <c r="D285" s="7" t="str">
        <f t="shared" si="20"/>
        <v>m</v>
      </c>
      <c r="E285" t="str">
        <f t="shared" si="21"/>
        <v>A</v>
      </c>
      <c r="F285" t="str">
        <f t="shared" si="22"/>
        <v>Zio</v>
      </c>
      <c r="G285" t="str">
        <f t="shared" si="23"/>
        <v>4</v>
      </c>
      <c r="H285" t="str">
        <f t="shared" si="24"/>
        <v>AZio4</v>
      </c>
    </row>
    <row r="286" spans="1:8" x14ac:dyDescent="0.25">
      <c r="A286" s="5" t="s">
        <v>686</v>
      </c>
      <c r="B286" s="6" t="s">
        <v>687</v>
      </c>
      <c r="C286" s="6" t="s">
        <v>92</v>
      </c>
      <c r="D286" s="7" t="str">
        <f t="shared" si="20"/>
        <v>m</v>
      </c>
      <c r="E286" t="str">
        <f t="shared" si="21"/>
        <v>I</v>
      </c>
      <c r="F286" t="str">
        <f t="shared" si="22"/>
        <v>Rys</v>
      </c>
      <c r="G286" t="str">
        <f t="shared" si="23"/>
        <v>5</v>
      </c>
      <c r="H286" t="str">
        <f t="shared" si="24"/>
        <v>IRys5</v>
      </c>
    </row>
    <row r="287" spans="1:8" x14ac:dyDescent="0.25">
      <c r="A287" s="8" t="s">
        <v>688</v>
      </c>
      <c r="B287" s="9" t="s">
        <v>689</v>
      </c>
      <c r="C287" s="9" t="s">
        <v>564</v>
      </c>
      <c r="D287" s="7" t="str">
        <f t="shared" si="20"/>
        <v>k</v>
      </c>
      <c r="E287" t="str">
        <f t="shared" si="21"/>
        <v>K</v>
      </c>
      <c r="F287" t="str">
        <f t="shared" si="22"/>
        <v>Orc</v>
      </c>
      <c r="G287" t="str">
        <f t="shared" si="23"/>
        <v>6</v>
      </c>
      <c r="H287" t="str">
        <f t="shared" si="24"/>
        <v>KOrc6</v>
      </c>
    </row>
    <row r="288" spans="1:8" x14ac:dyDescent="0.25">
      <c r="A288" s="5" t="s">
        <v>690</v>
      </c>
      <c r="B288" s="6" t="s">
        <v>691</v>
      </c>
      <c r="C288" s="6" t="s">
        <v>692</v>
      </c>
      <c r="D288" s="7" t="str">
        <f t="shared" si="20"/>
        <v>m</v>
      </c>
      <c r="E288" t="str">
        <f t="shared" si="21"/>
        <v>K</v>
      </c>
      <c r="F288" t="str">
        <f t="shared" si="22"/>
        <v>Mod</v>
      </c>
      <c r="G288" t="str">
        <f t="shared" si="23"/>
        <v>0</v>
      </c>
      <c r="H288" t="str">
        <f t="shared" si="24"/>
        <v>KMod0</v>
      </c>
    </row>
    <row r="289" spans="1:8" x14ac:dyDescent="0.25">
      <c r="A289" s="8" t="s">
        <v>693</v>
      </c>
      <c r="B289" s="9" t="s">
        <v>694</v>
      </c>
      <c r="C289" s="9" t="s">
        <v>214</v>
      </c>
      <c r="D289" s="7" t="str">
        <f t="shared" si="20"/>
        <v>k</v>
      </c>
      <c r="E289" t="str">
        <f t="shared" si="21"/>
        <v>M</v>
      </c>
      <c r="F289" t="str">
        <f t="shared" si="22"/>
        <v>Cic</v>
      </c>
      <c r="G289" t="str">
        <f t="shared" si="23"/>
        <v>4</v>
      </c>
      <c r="H289" t="str">
        <f t="shared" si="24"/>
        <v>MCic4</v>
      </c>
    </row>
    <row r="290" spans="1:8" x14ac:dyDescent="0.25">
      <c r="A290" s="5" t="s">
        <v>695</v>
      </c>
      <c r="B290" s="6" t="s">
        <v>350</v>
      </c>
      <c r="C290" s="6" t="s">
        <v>351</v>
      </c>
      <c r="D290" s="7" t="str">
        <f t="shared" si="20"/>
        <v>k</v>
      </c>
      <c r="E290" t="str">
        <f t="shared" si="21"/>
        <v>M</v>
      </c>
      <c r="F290" t="str">
        <f t="shared" si="22"/>
        <v>Koz</v>
      </c>
      <c r="G290" t="str">
        <f t="shared" si="23"/>
        <v>7</v>
      </c>
      <c r="H290" t="str">
        <f t="shared" si="24"/>
        <v>MKoz7</v>
      </c>
    </row>
    <row r="291" spans="1:8" x14ac:dyDescent="0.25">
      <c r="A291" s="8" t="s">
        <v>696</v>
      </c>
      <c r="B291" s="9" t="s">
        <v>697</v>
      </c>
      <c r="C291" s="9" t="s">
        <v>111</v>
      </c>
      <c r="D291" s="7" t="str">
        <f t="shared" si="20"/>
        <v>k</v>
      </c>
      <c r="E291" t="str">
        <f t="shared" si="21"/>
        <v>A</v>
      </c>
      <c r="F291" t="str">
        <f t="shared" si="22"/>
        <v>Wro</v>
      </c>
      <c r="G291" t="str">
        <f t="shared" si="23"/>
        <v>1</v>
      </c>
      <c r="H291" t="str">
        <f t="shared" si="24"/>
        <v>AWro1</v>
      </c>
    </row>
    <row r="292" spans="1:8" x14ac:dyDescent="0.25">
      <c r="A292" s="5" t="s">
        <v>698</v>
      </c>
      <c r="B292" s="6" t="s">
        <v>699</v>
      </c>
      <c r="C292" s="6" t="s">
        <v>166</v>
      </c>
      <c r="D292" s="7" t="str">
        <f t="shared" si="20"/>
        <v>m</v>
      </c>
      <c r="E292" t="str">
        <f t="shared" si="21"/>
        <v>J</v>
      </c>
      <c r="F292" t="str">
        <f t="shared" si="22"/>
        <v>Pod</v>
      </c>
      <c r="G292" t="str">
        <f t="shared" si="23"/>
        <v>4</v>
      </c>
      <c r="H292" t="str">
        <f t="shared" si="24"/>
        <v>JPod4</v>
      </c>
    </row>
    <row r="293" spans="1:8" x14ac:dyDescent="0.25">
      <c r="A293" s="8" t="s">
        <v>700</v>
      </c>
      <c r="B293" s="9" t="s">
        <v>701</v>
      </c>
      <c r="C293" s="9" t="s">
        <v>702</v>
      </c>
      <c r="D293" s="7" t="str">
        <f t="shared" si="20"/>
        <v>k</v>
      </c>
      <c r="E293" t="str">
        <f t="shared" si="21"/>
        <v>K</v>
      </c>
      <c r="F293" t="str">
        <f t="shared" si="22"/>
        <v>Pio</v>
      </c>
      <c r="G293" t="str">
        <f t="shared" si="23"/>
        <v>0</v>
      </c>
      <c r="H293" t="str">
        <f t="shared" si="24"/>
        <v>KPio0</v>
      </c>
    </row>
    <row r="294" spans="1:8" x14ac:dyDescent="0.25">
      <c r="A294" s="5" t="s">
        <v>703</v>
      </c>
      <c r="B294" s="6" t="s">
        <v>704</v>
      </c>
      <c r="C294" s="6" t="s">
        <v>419</v>
      </c>
      <c r="D294" s="7" t="str">
        <f t="shared" si="20"/>
        <v>k</v>
      </c>
      <c r="E294" t="str">
        <f t="shared" si="21"/>
        <v>L</v>
      </c>
      <c r="F294" t="str">
        <f t="shared" si="22"/>
        <v>Mlo</v>
      </c>
      <c r="G294" t="str">
        <f t="shared" si="23"/>
        <v>1</v>
      </c>
      <c r="H294" t="str">
        <f t="shared" si="24"/>
        <v>LMlo1</v>
      </c>
    </row>
    <row r="295" spans="1:8" x14ac:dyDescent="0.25">
      <c r="A295" s="8" t="s">
        <v>705</v>
      </c>
      <c r="B295" s="9" t="s">
        <v>271</v>
      </c>
      <c r="C295" s="9" t="s">
        <v>78</v>
      </c>
      <c r="D295" s="7" t="str">
        <f t="shared" si="20"/>
        <v>k</v>
      </c>
      <c r="E295" t="str">
        <f t="shared" si="21"/>
        <v>M</v>
      </c>
      <c r="F295" t="str">
        <f t="shared" si="22"/>
        <v>Kmi</v>
      </c>
      <c r="G295" t="str">
        <f t="shared" si="23"/>
        <v>6</v>
      </c>
      <c r="H295" t="str">
        <f t="shared" si="24"/>
        <v>MKmi6</v>
      </c>
    </row>
    <row r="296" spans="1:8" x14ac:dyDescent="0.25">
      <c r="A296" s="5" t="s">
        <v>706</v>
      </c>
      <c r="B296" s="6" t="s">
        <v>707</v>
      </c>
      <c r="C296" s="6" t="s">
        <v>108</v>
      </c>
      <c r="D296" s="7" t="str">
        <f t="shared" si="20"/>
        <v>m</v>
      </c>
      <c r="E296" t="str">
        <f t="shared" si="21"/>
        <v>M</v>
      </c>
      <c r="F296" t="str">
        <f t="shared" si="22"/>
        <v>Kis</v>
      </c>
      <c r="G296" t="str">
        <f t="shared" si="23"/>
        <v>4</v>
      </c>
      <c r="H296" t="str">
        <f t="shared" si="24"/>
        <v>MKis4</v>
      </c>
    </row>
    <row r="297" spans="1:8" x14ac:dyDescent="0.25">
      <c r="A297" s="8" t="s">
        <v>708</v>
      </c>
      <c r="B297" s="9" t="s">
        <v>709</v>
      </c>
      <c r="C297" s="9" t="s">
        <v>246</v>
      </c>
      <c r="D297" s="7" t="str">
        <f t="shared" si="20"/>
        <v>m</v>
      </c>
      <c r="E297" t="str">
        <f t="shared" si="21"/>
        <v>S</v>
      </c>
      <c r="F297" t="str">
        <f t="shared" si="22"/>
        <v>Dol</v>
      </c>
      <c r="G297" t="str">
        <f t="shared" si="23"/>
        <v>7</v>
      </c>
      <c r="H297" t="str">
        <f t="shared" si="24"/>
        <v>SDol7</v>
      </c>
    </row>
    <row r="298" spans="1:8" x14ac:dyDescent="0.25">
      <c r="A298" s="5" t="s">
        <v>710</v>
      </c>
      <c r="B298" s="6" t="s">
        <v>711</v>
      </c>
      <c r="C298" s="6" t="s">
        <v>108</v>
      </c>
      <c r="D298" s="7" t="str">
        <f t="shared" si="20"/>
        <v>m</v>
      </c>
      <c r="E298" t="str">
        <f t="shared" si="21"/>
        <v>M</v>
      </c>
      <c r="F298" t="str">
        <f t="shared" si="22"/>
        <v>Kis</v>
      </c>
      <c r="G298" t="str">
        <f t="shared" si="23"/>
        <v>3</v>
      </c>
      <c r="H298" t="str">
        <f t="shared" si="24"/>
        <v>MKis3</v>
      </c>
    </row>
    <row r="299" spans="1:8" x14ac:dyDescent="0.25">
      <c r="A299" s="8" t="s">
        <v>712</v>
      </c>
      <c r="B299" s="9" t="s">
        <v>174</v>
      </c>
      <c r="C299" s="9" t="s">
        <v>219</v>
      </c>
      <c r="D299" s="7" t="str">
        <f t="shared" si="20"/>
        <v>m</v>
      </c>
      <c r="E299" t="str">
        <f t="shared" si="21"/>
        <v>M</v>
      </c>
      <c r="F299" t="str">
        <f t="shared" si="22"/>
        <v>Pio</v>
      </c>
      <c r="G299" t="str">
        <f t="shared" si="23"/>
        <v>7</v>
      </c>
      <c r="H299" t="str">
        <f t="shared" si="24"/>
        <v>MPio7</v>
      </c>
    </row>
    <row r="300" spans="1:8" x14ac:dyDescent="0.25">
      <c r="A300" s="5" t="s">
        <v>713</v>
      </c>
      <c r="B300" s="6" t="s">
        <v>714</v>
      </c>
      <c r="C300" s="6" t="s">
        <v>156</v>
      </c>
      <c r="D300" s="7" t="str">
        <f t="shared" si="20"/>
        <v>m</v>
      </c>
      <c r="E300" t="str">
        <f t="shared" si="21"/>
        <v>M</v>
      </c>
      <c r="F300" t="str">
        <f t="shared" si="22"/>
        <v>Kop</v>
      </c>
      <c r="G300" t="str">
        <f t="shared" si="23"/>
        <v>7</v>
      </c>
      <c r="H300" t="str">
        <f t="shared" si="24"/>
        <v>MKop7</v>
      </c>
    </row>
    <row r="301" spans="1:8" x14ac:dyDescent="0.25">
      <c r="A301" s="8" t="s">
        <v>715</v>
      </c>
      <c r="B301" s="9" t="s">
        <v>716</v>
      </c>
      <c r="C301" s="9" t="s">
        <v>413</v>
      </c>
      <c r="D301" s="7" t="str">
        <f t="shared" si="20"/>
        <v>k</v>
      </c>
      <c r="E301" t="str">
        <f t="shared" si="21"/>
        <v>K</v>
      </c>
      <c r="F301" t="str">
        <f t="shared" si="22"/>
        <v>Osz</v>
      </c>
      <c r="G301" t="str">
        <f t="shared" si="23"/>
        <v>5</v>
      </c>
      <c r="H301" t="str">
        <f t="shared" si="24"/>
        <v>KOsz5</v>
      </c>
    </row>
    <row r="302" spans="1:8" x14ac:dyDescent="0.25">
      <c r="A302" s="5" t="s">
        <v>717</v>
      </c>
      <c r="B302" s="6" t="s">
        <v>718</v>
      </c>
      <c r="C302" s="6" t="s">
        <v>25</v>
      </c>
      <c r="D302" s="7" t="str">
        <f t="shared" si="20"/>
        <v>m</v>
      </c>
      <c r="E302" t="str">
        <f t="shared" si="21"/>
        <v>J</v>
      </c>
      <c r="F302" t="str">
        <f t="shared" si="22"/>
        <v>Roz</v>
      </c>
      <c r="G302" t="str">
        <f t="shared" si="23"/>
        <v>4</v>
      </c>
      <c r="H302" t="str">
        <f t="shared" si="24"/>
        <v>JRoz4</v>
      </c>
    </row>
    <row r="303" spans="1:8" x14ac:dyDescent="0.25">
      <c r="A303" s="8" t="s">
        <v>719</v>
      </c>
      <c r="B303" s="9" t="s">
        <v>720</v>
      </c>
      <c r="C303" s="9" t="s">
        <v>721</v>
      </c>
      <c r="D303" s="7" t="str">
        <f t="shared" si="20"/>
        <v>k</v>
      </c>
      <c r="E303" t="str">
        <f t="shared" si="21"/>
        <v>J</v>
      </c>
      <c r="F303" t="str">
        <f t="shared" si="22"/>
        <v>Baj</v>
      </c>
      <c r="G303" t="str">
        <f t="shared" si="23"/>
        <v>7</v>
      </c>
      <c r="H303" t="str">
        <f t="shared" si="24"/>
        <v>JBaj7</v>
      </c>
    </row>
    <row r="304" spans="1:8" x14ac:dyDescent="0.25">
      <c r="A304" s="5" t="s">
        <v>722</v>
      </c>
      <c r="B304" s="6" t="s">
        <v>723</v>
      </c>
      <c r="C304" s="6" t="s">
        <v>47</v>
      </c>
      <c r="D304" s="7" t="str">
        <f t="shared" si="20"/>
        <v>m</v>
      </c>
      <c r="E304" t="str">
        <f t="shared" si="21"/>
        <v>S</v>
      </c>
      <c r="F304" t="str">
        <f t="shared" si="22"/>
        <v>Cza</v>
      </c>
      <c r="G304" t="str">
        <f t="shared" si="23"/>
        <v>1</v>
      </c>
      <c r="H304" t="str">
        <f t="shared" si="24"/>
        <v>SCza1</v>
      </c>
    </row>
    <row r="305" spans="1:8" x14ac:dyDescent="0.25">
      <c r="A305" s="8" t="s">
        <v>724</v>
      </c>
      <c r="B305" s="9" t="s">
        <v>725</v>
      </c>
      <c r="C305" s="9" t="s">
        <v>419</v>
      </c>
      <c r="D305" s="7" t="str">
        <f t="shared" si="20"/>
        <v>k</v>
      </c>
      <c r="E305" t="str">
        <f t="shared" si="21"/>
        <v>L</v>
      </c>
      <c r="F305" t="str">
        <f t="shared" si="22"/>
        <v>Mar</v>
      </c>
      <c r="G305" t="str">
        <f t="shared" si="23"/>
        <v>4</v>
      </c>
      <c r="H305" t="str">
        <f t="shared" si="24"/>
        <v>LMar4</v>
      </c>
    </row>
    <row r="306" spans="1:8" x14ac:dyDescent="0.25">
      <c r="A306" s="5" t="s">
        <v>726</v>
      </c>
      <c r="B306" s="6" t="s">
        <v>415</v>
      </c>
      <c r="C306" s="6" t="s">
        <v>214</v>
      </c>
      <c r="D306" s="7" t="str">
        <f t="shared" si="20"/>
        <v>k</v>
      </c>
      <c r="E306" t="str">
        <f t="shared" si="21"/>
        <v>M</v>
      </c>
      <c r="F306" t="str">
        <f t="shared" si="22"/>
        <v>Lub</v>
      </c>
      <c r="G306" t="str">
        <f t="shared" si="23"/>
        <v>7</v>
      </c>
      <c r="H306" t="str">
        <f t="shared" si="24"/>
        <v>MLub7</v>
      </c>
    </row>
    <row r="307" spans="1:8" x14ac:dyDescent="0.25">
      <c r="A307" s="8" t="s">
        <v>727</v>
      </c>
      <c r="B307" s="9" t="s">
        <v>728</v>
      </c>
      <c r="C307" s="9" t="s">
        <v>729</v>
      </c>
      <c r="D307" s="7" t="str">
        <f t="shared" si="20"/>
        <v>k</v>
      </c>
      <c r="E307" t="str">
        <f t="shared" si="21"/>
        <v>N</v>
      </c>
      <c r="F307" t="str">
        <f t="shared" si="22"/>
        <v>Hor</v>
      </c>
      <c r="G307" t="str">
        <f t="shared" si="23"/>
        <v>5</v>
      </c>
      <c r="H307" t="str">
        <f t="shared" si="24"/>
        <v>NHor5</v>
      </c>
    </row>
    <row r="308" spans="1:8" x14ac:dyDescent="0.25">
      <c r="A308" s="5" t="s">
        <v>730</v>
      </c>
      <c r="B308" s="6" t="s">
        <v>731</v>
      </c>
      <c r="C308" s="6" t="s">
        <v>111</v>
      </c>
      <c r="D308" s="7" t="str">
        <f t="shared" si="20"/>
        <v>k</v>
      </c>
      <c r="E308" t="str">
        <f t="shared" si="21"/>
        <v>A</v>
      </c>
      <c r="F308" t="str">
        <f t="shared" si="22"/>
        <v>Wro</v>
      </c>
      <c r="G308" t="str">
        <f t="shared" si="23"/>
        <v>0</v>
      </c>
      <c r="H308" t="str">
        <f t="shared" si="24"/>
        <v>AWro0</v>
      </c>
    </row>
    <row r="309" spans="1:8" x14ac:dyDescent="0.25">
      <c r="A309" s="8" t="s">
        <v>732</v>
      </c>
      <c r="B309" s="9" t="s">
        <v>733</v>
      </c>
      <c r="C309" s="9" t="s">
        <v>734</v>
      </c>
      <c r="D309" s="7" t="str">
        <f t="shared" si="20"/>
        <v>m</v>
      </c>
      <c r="E309" t="str">
        <f t="shared" si="21"/>
        <v>G</v>
      </c>
      <c r="F309" t="str">
        <f t="shared" si="22"/>
        <v>Ska</v>
      </c>
      <c r="G309" t="str">
        <f t="shared" si="23"/>
        <v>5</v>
      </c>
      <c r="H309" t="str">
        <f t="shared" si="24"/>
        <v>GSka5</v>
      </c>
    </row>
    <row r="310" spans="1:8" x14ac:dyDescent="0.25">
      <c r="A310" s="5" t="s">
        <v>735</v>
      </c>
      <c r="B310" s="6" t="s">
        <v>120</v>
      </c>
      <c r="C310" s="6" t="s">
        <v>73</v>
      </c>
      <c r="D310" s="7" t="str">
        <f t="shared" si="20"/>
        <v>m</v>
      </c>
      <c r="E310" t="str">
        <f t="shared" si="21"/>
        <v>P</v>
      </c>
      <c r="F310" t="str">
        <f t="shared" si="22"/>
        <v>For</v>
      </c>
      <c r="G310" t="str">
        <f t="shared" si="23"/>
        <v>6</v>
      </c>
      <c r="H310" t="str">
        <f t="shared" si="24"/>
        <v>PFor6</v>
      </c>
    </row>
    <row r="311" spans="1:8" x14ac:dyDescent="0.25">
      <c r="A311" s="8" t="s">
        <v>736</v>
      </c>
      <c r="B311" s="9" t="s">
        <v>685</v>
      </c>
      <c r="C311" s="9" t="s">
        <v>219</v>
      </c>
      <c r="D311" s="7" t="str">
        <f t="shared" si="20"/>
        <v>m</v>
      </c>
      <c r="E311" t="str">
        <f t="shared" si="21"/>
        <v>M</v>
      </c>
      <c r="F311" t="str">
        <f t="shared" si="22"/>
        <v>Zio</v>
      </c>
      <c r="G311" t="str">
        <f t="shared" si="23"/>
        <v>6</v>
      </c>
      <c r="H311" t="str">
        <f t="shared" si="24"/>
        <v>MZio6</v>
      </c>
    </row>
    <row r="312" spans="1:8" x14ac:dyDescent="0.25">
      <c r="A312" s="5" t="s">
        <v>737</v>
      </c>
      <c r="B312" s="6" t="s">
        <v>738</v>
      </c>
      <c r="C312" s="6" t="s">
        <v>194</v>
      </c>
      <c r="D312" s="7" t="str">
        <f t="shared" si="20"/>
        <v>k</v>
      </c>
      <c r="E312" t="str">
        <f t="shared" si="21"/>
        <v>A</v>
      </c>
      <c r="F312" t="str">
        <f t="shared" si="22"/>
        <v>Tro</v>
      </c>
      <c r="G312" t="str">
        <f t="shared" si="23"/>
        <v>1</v>
      </c>
      <c r="H312" t="str">
        <f t="shared" si="24"/>
        <v>ATro1</v>
      </c>
    </row>
    <row r="313" spans="1:8" x14ac:dyDescent="0.25">
      <c r="A313" s="8" t="s">
        <v>739</v>
      </c>
      <c r="B313" s="9" t="s">
        <v>740</v>
      </c>
      <c r="C313" s="9" t="s">
        <v>131</v>
      </c>
      <c r="D313" s="7" t="str">
        <f t="shared" si="20"/>
        <v>k</v>
      </c>
      <c r="E313" t="str">
        <f t="shared" si="21"/>
        <v>O</v>
      </c>
      <c r="F313" t="str">
        <f t="shared" si="22"/>
        <v>Gre</v>
      </c>
      <c r="G313" t="str">
        <f t="shared" si="23"/>
        <v>2</v>
      </c>
      <c r="H313" t="str">
        <f t="shared" si="24"/>
        <v>OGre2</v>
      </c>
    </row>
    <row r="314" spans="1:8" x14ac:dyDescent="0.25">
      <c r="A314" s="5" t="s">
        <v>741</v>
      </c>
      <c r="B314" s="6" t="s">
        <v>742</v>
      </c>
      <c r="C314" s="6" t="s">
        <v>89</v>
      </c>
      <c r="D314" s="7" t="str">
        <f t="shared" si="20"/>
        <v>k</v>
      </c>
      <c r="E314" t="str">
        <f t="shared" si="21"/>
        <v>M</v>
      </c>
      <c r="F314" t="str">
        <f t="shared" si="22"/>
        <v>Kru</v>
      </c>
      <c r="G314" t="str">
        <f t="shared" si="23"/>
        <v>2</v>
      </c>
      <c r="H314" t="str">
        <f t="shared" si="24"/>
        <v>MKru2</v>
      </c>
    </row>
    <row r="315" spans="1:8" x14ac:dyDescent="0.25">
      <c r="A315" s="8" t="s">
        <v>743</v>
      </c>
      <c r="B315" s="9" t="s">
        <v>744</v>
      </c>
      <c r="C315" s="9" t="s">
        <v>241</v>
      </c>
      <c r="D315" s="7" t="str">
        <f t="shared" si="20"/>
        <v>k</v>
      </c>
      <c r="E315" t="str">
        <f t="shared" si="21"/>
        <v>N</v>
      </c>
      <c r="F315" t="str">
        <f t="shared" si="22"/>
        <v>Jan</v>
      </c>
      <c r="G315" t="str">
        <f t="shared" si="23"/>
        <v>0</v>
      </c>
      <c r="H315" t="str">
        <f t="shared" si="24"/>
        <v>NJan0</v>
      </c>
    </row>
    <row r="316" spans="1:8" x14ac:dyDescent="0.25">
      <c r="A316" s="5" t="s">
        <v>745</v>
      </c>
      <c r="B316" s="6" t="s">
        <v>746</v>
      </c>
      <c r="C316" s="6" t="s">
        <v>345</v>
      </c>
      <c r="D316" s="7" t="str">
        <f t="shared" si="20"/>
        <v>k</v>
      </c>
      <c r="E316" t="str">
        <f t="shared" si="21"/>
        <v>M</v>
      </c>
      <c r="F316" t="str">
        <f t="shared" si="22"/>
        <v>Kem</v>
      </c>
      <c r="G316" t="str">
        <f t="shared" si="23"/>
        <v>0</v>
      </c>
      <c r="H316" t="str">
        <f t="shared" si="24"/>
        <v>MKem0</v>
      </c>
    </row>
    <row r="317" spans="1:8" x14ac:dyDescent="0.25">
      <c r="A317" s="8" t="s">
        <v>747</v>
      </c>
      <c r="B317" s="9" t="s">
        <v>207</v>
      </c>
      <c r="C317" s="9" t="s">
        <v>208</v>
      </c>
      <c r="D317" s="7" t="str">
        <f t="shared" si="20"/>
        <v>m</v>
      </c>
      <c r="E317" t="str">
        <f t="shared" si="21"/>
        <v>A</v>
      </c>
      <c r="F317" t="str">
        <f t="shared" si="22"/>
        <v>Wiz</v>
      </c>
      <c r="G317" t="str">
        <f t="shared" si="23"/>
        <v>7</v>
      </c>
      <c r="H317" t="str">
        <f t="shared" si="24"/>
        <v>AWiz7</v>
      </c>
    </row>
    <row r="318" spans="1:8" x14ac:dyDescent="0.25">
      <c r="A318" s="5" t="s">
        <v>748</v>
      </c>
      <c r="B318" s="6" t="s">
        <v>749</v>
      </c>
      <c r="C318" s="6" t="s">
        <v>413</v>
      </c>
      <c r="D318" s="7" t="str">
        <f t="shared" si="20"/>
        <v>k</v>
      </c>
      <c r="E318" t="str">
        <f t="shared" si="21"/>
        <v>K</v>
      </c>
      <c r="F318" t="str">
        <f t="shared" si="22"/>
        <v>Paj</v>
      </c>
      <c r="G318" t="str">
        <f t="shared" si="23"/>
        <v>5</v>
      </c>
      <c r="H318" t="str">
        <f t="shared" si="24"/>
        <v>KPaj5</v>
      </c>
    </row>
    <row r="319" spans="1:8" x14ac:dyDescent="0.25">
      <c r="A319" s="8" t="s">
        <v>750</v>
      </c>
      <c r="B319" s="9" t="s">
        <v>751</v>
      </c>
      <c r="C319" s="9" t="s">
        <v>416</v>
      </c>
      <c r="D319" s="7" t="str">
        <f t="shared" si="20"/>
        <v>k</v>
      </c>
      <c r="E319" t="str">
        <f t="shared" si="21"/>
        <v>M</v>
      </c>
      <c r="F319" t="str">
        <f t="shared" si="22"/>
        <v>Lew</v>
      </c>
      <c r="G319" t="str">
        <f t="shared" si="23"/>
        <v>8</v>
      </c>
      <c r="H319" t="str">
        <f t="shared" si="24"/>
        <v>MLew8</v>
      </c>
    </row>
    <row r="320" spans="1:8" x14ac:dyDescent="0.25">
      <c r="A320" s="5" t="s">
        <v>752</v>
      </c>
      <c r="B320" s="6" t="s">
        <v>753</v>
      </c>
      <c r="C320" s="6" t="s">
        <v>754</v>
      </c>
      <c r="D320" s="7" t="str">
        <f t="shared" si="20"/>
        <v>m</v>
      </c>
      <c r="E320" t="str">
        <f t="shared" si="21"/>
        <v>C</v>
      </c>
      <c r="F320" t="str">
        <f t="shared" si="22"/>
        <v>Swi</v>
      </c>
      <c r="G320" t="str">
        <f t="shared" si="23"/>
        <v>2</v>
      </c>
      <c r="H320" t="str">
        <f t="shared" si="24"/>
        <v>CSwi2</v>
      </c>
    </row>
    <row r="321" spans="1:8" x14ac:dyDescent="0.25">
      <c r="A321" s="8" t="s">
        <v>755</v>
      </c>
      <c r="B321" s="9" t="s">
        <v>107</v>
      </c>
      <c r="C321" s="9" t="s">
        <v>64</v>
      </c>
      <c r="D321" s="7" t="str">
        <f t="shared" si="20"/>
        <v>m</v>
      </c>
      <c r="E321" t="str">
        <f t="shared" si="21"/>
        <v>M</v>
      </c>
      <c r="F321" t="str">
        <f t="shared" si="22"/>
        <v>Kam</v>
      </c>
      <c r="G321" t="str">
        <f t="shared" si="23"/>
        <v>6</v>
      </c>
      <c r="H321" t="str">
        <f t="shared" si="24"/>
        <v>MKam6</v>
      </c>
    </row>
    <row r="322" spans="1:8" x14ac:dyDescent="0.25">
      <c r="A322" s="5" t="s">
        <v>756</v>
      </c>
      <c r="B322" s="6" t="s">
        <v>757</v>
      </c>
      <c r="C322" s="6" t="s">
        <v>275</v>
      </c>
      <c r="D322" s="7" t="str">
        <f t="shared" ref="D322:D385" si="25">IF(MOD(LEFT(RIGHT(A322,2),1),2)=0,"k","m")</f>
        <v>k</v>
      </c>
      <c r="E322" t="str">
        <f t="shared" si="21"/>
        <v>M</v>
      </c>
      <c r="F322" t="str">
        <f t="shared" si="22"/>
        <v>Kir</v>
      </c>
      <c r="G322" t="str">
        <f t="shared" si="23"/>
        <v>0</v>
      </c>
      <c r="H322" t="str">
        <f t="shared" si="24"/>
        <v>MKir0</v>
      </c>
    </row>
    <row r="323" spans="1:8" x14ac:dyDescent="0.25">
      <c r="A323" s="8" t="s">
        <v>758</v>
      </c>
      <c r="B323" s="9" t="s">
        <v>759</v>
      </c>
      <c r="C323" s="9" t="s">
        <v>760</v>
      </c>
      <c r="D323" s="7" t="str">
        <f t="shared" si="25"/>
        <v>m</v>
      </c>
      <c r="E323" t="str">
        <f t="shared" ref="E323:E386" si="26">LEFT(C323,1)</f>
        <v>A</v>
      </c>
      <c r="F323" t="str">
        <f t="shared" ref="F323:F386" si="27">LEFT(B323,3)</f>
        <v>Wer</v>
      </c>
      <c r="G323" t="str">
        <f t="shared" ref="G323:G386" si="28">RIGHT(A323,1)</f>
        <v>7</v>
      </c>
      <c r="H323" t="str">
        <f t="shared" ref="H323:H386" si="29">_xlfn.TEXTJOIN(,,E323,F323,G323)</f>
        <v>AWer7</v>
      </c>
    </row>
    <row r="324" spans="1:8" x14ac:dyDescent="0.25">
      <c r="A324" s="5" t="s">
        <v>761</v>
      </c>
      <c r="B324" s="6" t="s">
        <v>762</v>
      </c>
      <c r="C324" s="6" t="s">
        <v>86</v>
      </c>
      <c r="D324" s="7" t="str">
        <f t="shared" si="25"/>
        <v>k</v>
      </c>
      <c r="E324" t="str">
        <f t="shared" si="26"/>
        <v>Z</v>
      </c>
      <c r="F324" t="str">
        <f t="shared" si="27"/>
        <v>Baj</v>
      </c>
      <c r="G324" t="str">
        <f t="shared" si="28"/>
        <v>9</v>
      </c>
      <c r="H324" t="str">
        <f t="shared" si="29"/>
        <v>ZBaj9</v>
      </c>
    </row>
    <row r="325" spans="1:8" x14ac:dyDescent="0.25">
      <c r="A325" s="8" t="s">
        <v>763</v>
      </c>
      <c r="B325" s="9" t="s">
        <v>764</v>
      </c>
      <c r="C325" s="9" t="s">
        <v>323</v>
      </c>
      <c r="D325" s="7" t="str">
        <f t="shared" si="25"/>
        <v>k</v>
      </c>
      <c r="E325" t="str">
        <f t="shared" si="26"/>
        <v>A</v>
      </c>
      <c r="F325" t="str">
        <f t="shared" si="27"/>
        <v>Zab</v>
      </c>
      <c r="G325" t="str">
        <f t="shared" si="28"/>
        <v>5</v>
      </c>
      <c r="H325" t="str">
        <f t="shared" si="29"/>
        <v>AZab5</v>
      </c>
    </row>
    <row r="326" spans="1:8" x14ac:dyDescent="0.25">
      <c r="A326" s="5" t="s">
        <v>765</v>
      </c>
      <c r="B326" s="6" t="s">
        <v>766</v>
      </c>
      <c r="C326" s="6" t="s">
        <v>767</v>
      </c>
      <c r="D326" s="7" t="str">
        <f t="shared" si="25"/>
        <v>k</v>
      </c>
      <c r="E326" t="str">
        <f t="shared" si="26"/>
        <v>V</v>
      </c>
      <c r="F326" t="str">
        <f t="shared" si="27"/>
        <v>Dun</v>
      </c>
      <c r="G326" t="str">
        <f t="shared" si="28"/>
        <v>3</v>
      </c>
      <c r="H326" t="str">
        <f t="shared" si="29"/>
        <v>VDun3</v>
      </c>
    </row>
    <row r="327" spans="1:8" x14ac:dyDescent="0.25">
      <c r="A327" s="8" t="s">
        <v>768</v>
      </c>
      <c r="B327" s="9" t="s">
        <v>769</v>
      </c>
      <c r="C327" s="9" t="s">
        <v>393</v>
      </c>
      <c r="D327" s="7" t="str">
        <f t="shared" si="25"/>
        <v>k</v>
      </c>
      <c r="E327" t="str">
        <f t="shared" si="26"/>
        <v>H</v>
      </c>
      <c r="F327" t="str">
        <f t="shared" si="27"/>
        <v>Sta</v>
      </c>
      <c r="G327" t="str">
        <f t="shared" si="28"/>
        <v>2</v>
      </c>
      <c r="H327" t="str">
        <f t="shared" si="29"/>
        <v>HSta2</v>
      </c>
    </row>
    <row r="328" spans="1:8" x14ac:dyDescent="0.25">
      <c r="A328" s="5" t="s">
        <v>770</v>
      </c>
      <c r="B328" s="6" t="s">
        <v>757</v>
      </c>
      <c r="C328" s="6" t="s">
        <v>108</v>
      </c>
      <c r="D328" s="7" t="str">
        <f t="shared" si="25"/>
        <v>m</v>
      </c>
      <c r="E328" t="str">
        <f t="shared" si="26"/>
        <v>M</v>
      </c>
      <c r="F328" t="str">
        <f t="shared" si="27"/>
        <v>Kir</v>
      </c>
      <c r="G328" t="str">
        <f t="shared" si="28"/>
        <v>3</v>
      </c>
      <c r="H328" t="str">
        <f t="shared" si="29"/>
        <v>MKir3</v>
      </c>
    </row>
    <row r="329" spans="1:8" x14ac:dyDescent="0.25">
      <c r="A329" s="8" t="s">
        <v>771</v>
      </c>
      <c r="B329" s="9" t="s">
        <v>772</v>
      </c>
      <c r="C329" s="9" t="s">
        <v>485</v>
      </c>
      <c r="D329" s="7" t="str">
        <f t="shared" si="25"/>
        <v>m</v>
      </c>
      <c r="E329" t="str">
        <f t="shared" si="26"/>
        <v>A</v>
      </c>
      <c r="F329" t="str">
        <f t="shared" si="27"/>
        <v>Zeg</v>
      </c>
      <c r="G329" t="str">
        <f t="shared" si="28"/>
        <v>7</v>
      </c>
      <c r="H329" t="str">
        <f t="shared" si="29"/>
        <v>AZeg7</v>
      </c>
    </row>
    <row r="330" spans="1:8" x14ac:dyDescent="0.25">
      <c r="A330" s="5" t="s">
        <v>773</v>
      </c>
      <c r="B330" s="6" t="s">
        <v>774</v>
      </c>
      <c r="C330" s="6" t="s">
        <v>39</v>
      </c>
      <c r="D330" s="7" t="str">
        <f t="shared" si="25"/>
        <v>m</v>
      </c>
      <c r="E330" t="str">
        <f t="shared" si="26"/>
        <v>M</v>
      </c>
      <c r="F330" t="str">
        <f t="shared" si="27"/>
        <v>Luk</v>
      </c>
      <c r="G330" t="str">
        <f t="shared" si="28"/>
        <v>9</v>
      </c>
      <c r="H330" t="str">
        <f t="shared" si="29"/>
        <v>MLuk9</v>
      </c>
    </row>
    <row r="331" spans="1:8" x14ac:dyDescent="0.25">
      <c r="A331" s="8" t="s">
        <v>775</v>
      </c>
      <c r="B331" s="9" t="s">
        <v>776</v>
      </c>
      <c r="C331" s="9" t="s">
        <v>121</v>
      </c>
      <c r="D331" s="7" t="str">
        <f t="shared" si="25"/>
        <v>m</v>
      </c>
      <c r="E331" t="str">
        <f t="shared" si="26"/>
        <v>J</v>
      </c>
      <c r="F331" t="str">
        <f t="shared" si="27"/>
        <v>Pie</v>
      </c>
      <c r="G331" t="str">
        <f t="shared" si="28"/>
        <v>9</v>
      </c>
      <c r="H331" t="str">
        <f t="shared" si="29"/>
        <v>JPie9</v>
      </c>
    </row>
    <row r="332" spans="1:8" x14ac:dyDescent="0.25">
      <c r="A332" s="5" t="s">
        <v>777</v>
      </c>
      <c r="B332" s="6" t="s">
        <v>778</v>
      </c>
      <c r="C332" s="6" t="s">
        <v>266</v>
      </c>
      <c r="D332" s="7" t="str">
        <f t="shared" si="25"/>
        <v>k</v>
      </c>
      <c r="E332" t="str">
        <f t="shared" si="26"/>
        <v>N</v>
      </c>
      <c r="F332" t="str">
        <f t="shared" si="27"/>
        <v>Jęd</v>
      </c>
      <c r="G332" t="str">
        <f t="shared" si="28"/>
        <v>0</v>
      </c>
      <c r="H332" t="str">
        <f t="shared" si="29"/>
        <v>NJęd0</v>
      </c>
    </row>
    <row r="333" spans="1:8" x14ac:dyDescent="0.25">
      <c r="A333" s="8" t="s">
        <v>779</v>
      </c>
      <c r="B333" s="9" t="s">
        <v>780</v>
      </c>
      <c r="C333" s="9" t="s">
        <v>111</v>
      </c>
      <c r="D333" s="7" t="str">
        <f t="shared" si="25"/>
        <v>k</v>
      </c>
      <c r="E333" t="str">
        <f t="shared" si="26"/>
        <v>A</v>
      </c>
      <c r="F333" t="str">
        <f t="shared" si="27"/>
        <v>Wym</v>
      </c>
      <c r="G333" t="str">
        <f t="shared" si="28"/>
        <v>8</v>
      </c>
      <c r="H333" t="str">
        <f t="shared" si="29"/>
        <v>AWym8</v>
      </c>
    </row>
    <row r="334" spans="1:8" x14ac:dyDescent="0.25">
      <c r="A334" s="5" t="s">
        <v>781</v>
      </c>
      <c r="B334" s="6" t="s">
        <v>782</v>
      </c>
      <c r="C334" s="6" t="s">
        <v>56</v>
      </c>
      <c r="D334" s="7" t="str">
        <f t="shared" si="25"/>
        <v>k</v>
      </c>
      <c r="E334" t="str">
        <f t="shared" si="26"/>
        <v>A</v>
      </c>
      <c r="F334" t="str">
        <f t="shared" si="27"/>
        <v>Wic</v>
      </c>
      <c r="G334" t="str">
        <f t="shared" si="28"/>
        <v>7</v>
      </c>
      <c r="H334" t="str">
        <f t="shared" si="29"/>
        <v>AWic7</v>
      </c>
    </row>
    <row r="335" spans="1:8" x14ac:dyDescent="0.25">
      <c r="A335" s="8" t="s">
        <v>783</v>
      </c>
      <c r="B335" s="9" t="s">
        <v>784</v>
      </c>
      <c r="C335" s="9" t="s">
        <v>202</v>
      </c>
      <c r="D335" s="7" t="str">
        <f t="shared" si="25"/>
        <v>m</v>
      </c>
      <c r="E335" t="str">
        <f t="shared" si="26"/>
        <v>B</v>
      </c>
      <c r="F335" t="str">
        <f t="shared" si="27"/>
        <v>Tus</v>
      </c>
      <c r="G335" t="str">
        <f t="shared" si="28"/>
        <v>6</v>
      </c>
      <c r="H335" t="str">
        <f t="shared" si="29"/>
        <v>BTus6</v>
      </c>
    </row>
    <row r="336" spans="1:8" x14ac:dyDescent="0.25">
      <c r="A336" s="5" t="s">
        <v>785</v>
      </c>
      <c r="B336" s="6" t="s">
        <v>786</v>
      </c>
      <c r="C336" s="6" t="s">
        <v>787</v>
      </c>
      <c r="D336" s="7" t="str">
        <f t="shared" si="25"/>
        <v>k</v>
      </c>
      <c r="E336" t="str">
        <f t="shared" si="26"/>
        <v>A</v>
      </c>
      <c r="F336" t="str">
        <f t="shared" si="27"/>
        <v>Wal</v>
      </c>
      <c r="G336" t="str">
        <f t="shared" si="28"/>
        <v>1</v>
      </c>
      <c r="H336" t="str">
        <f t="shared" si="29"/>
        <v>AWal1</v>
      </c>
    </row>
    <row r="337" spans="1:8" x14ac:dyDescent="0.25">
      <c r="A337" s="8" t="s">
        <v>788</v>
      </c>
      <c r="B337" s="9" t="s">
        <v>789</v>
      </c>
      <c r="C337" s="9" t="s">
        <v>345</v>
      </c>
      <c r="D337" s="7" t="str">
        <f t="shared" si="25"/>
        <v>k</v>
      </c>
      <c r="E337" t="str">
        <f t="shared" si="26"/>
        <v>M</v>
      </c>
      <c r="F337" t="str">
        <f t="shared" si="27"/>
        <v>Kar</v>
      </c>
      <c r="G337" t="str">
        <f t="shared" si="28"/>
        <v>6</v>
      </c>
      <c r="H337" t="str">
        <f t="shared" si="29"/>
        <v>MKar6</v>
      </c>
    </row>
    <row r="338" spans="1:8" x14ac:dyDescent="0.25">
      <c r="A338" s="5" t="s">
        <v>790</v>
      </c>
      <c r="B338" s="6" t="s">
        <v>791</v>
      </c>
      <c r="C338" s="6" t="s">
        <v>260</v>
      </c>
      <c r="D338" s="7" t="str">
        <f t="shared" si="25"/>
        <v>m</v>
      </c>
      <c r="E338" t="str">
        <f t="shared" si="26"/>
        <v>F</v>
      </c>
      <c r="F338" t="str">
        <f t="shared" si="27"/>
        <v>Sta</v>
      </c>
      <c r="G338" t="str">
        <f t="shared" si="28"/>
        <v>4</v>
      </c>
      <c r="H338" t="str">
        <f t="shared" si="29"/>
        <v>FSta4</v>
      </c>
    </row>
    <row r="339" spans="1:8" x14ac:dyDescent="0.25">
      <c r="A339" s="8" t="s">
        <v>792</v>
      </c>
      <c r="B339" s="9" t="s">
        <v>629</v>
      </c>
      <c r="C339" s="9" t="s">
        <v>793</v>
      </c>
      <c r="D339" s="7" t="str">
        <f t="shared" si="25"/>
        <v>m</v>
      </c>
      <c r="E339" t="str">
        <f t="shared" si="26"/>
        <v>K</v>
      </c>
      <c r="F339" t="str">
        <f t="shared" si="27"/>
        <v>Mar</v>
      </c>
      <c r="G339" t="str">
        <f t="shared" si="28"/>
        <v>0</v>
      </c>
      <c r="H339" t="str">
        <f t="shared" si="29"/>
        <v>KMar0</v>
      </c>
    </row>
    <row r="340" spans="1:8" x14ac:dyDescent="0.25">
      <c r="A340" s="5" t="s">
        <v>794</v>
      </c>
      <c r="B340" s="6" t="s">
        <v>795</v>
      </c>
      <c r="C340" s="6" t="s">
        <v>108</v>
      </c>
      <c r="D340" s="7" t="str">
        <f t="shared" si="25"/>
        <v>m</v>
      </c>
      <c r="E340" t="str">
        <f t="shared" si="26"/>
        <v>M</v>
      </c>
      <c r="F340" t="str">
        <f t="shared" si="27"/>
        <v>Kie</v>
      </c>
      <c r="G340" t="str">
        <f t="shared" si="28"/>
        <v>8</v>
      </c>
      <c r="H340" t="str">
        <f t="shared" si="29"/>
        <v>MKie8</v>
      </c>
    </row>
    <row r="341" spans="1:8" x14ac:dyDescent="0.25">
      <c r="A341" s="8" t="s">
        <v>796</v>
      </c>
      <c r="B341" s="9" t="s">
        <v>797</v>
      </c>
      <c r="C341" s="9" t="s">
        <v>78</v>
      </c>
      <c r="D341" s="7" t="str">
        <f t="shared" si="25"/>
        <v>k</v>
      </c>
      <c r="E341" t="str">
        <f t="shared" si="26"/>
        <v>M</v>
      </c>
      <c r="F341" t="str">
        <f t="shared" si="27"/>
        <v>Mar</v>
      </c>
      <c r="G341" t="str">
        <f t="shared" si="28"/>
        <v>0</v>
      </c>
      <c r="H341" t="str">
        <f t="shared" si="29"/>
        <v>MMar0</v>
      </c>
    </row>
    <row r="342" spans="1:8" x14ac:dyDescent="0.25">
      <c r="A342" s="5" t="s">
        <v>798</v>
      </c>
      <c r="B342" s="6" t="s">
        <v>799</v>
      </c>
      <c r="C342" s="6" t="s">
        <v>105</v>
      </c>
      <c r="D342" s="7" t="str">
        <f t="shared" si="25"/>
        <v>m</v>
      </c>
      <c r="E342" t="str">
        <f t="shared" si="26"/>
        <v>K</v>
      </c>
      <c r="F342" t="str">
        <f t="shared" si="27"/>
        <v>Nik</v>
      </c>
      <c r="G342" t="str">
        <f t="shared" si="28"/>
        <v>0</v>
      </c>
      <c r="H342" t="str">
        <f t="shared" si="29"/>
        <v>KNik0</v>
      </c>
    </row>
    <row r="343" spans="1:8" x14ac:dyDescent="0.25">
      <c r="A343" s="8" t="s">
        <v>800</v>
      </c>
      <c r="B343" s="9" t="s">
        <v>801</v>
      </c>
      <c r="C343" s="9" t="s">
        <v>105</v>
      </c>
      <c r="D343" s="7" t="str">
        <f t="shared" si="25"/>
        <v>m</v>
      </c>
      <c r="E343" t="str">
        <f t="shared" si="26"/>
        <v>K</v>
      </c>
      <c r="F343" t="str">
        <f t="shared" si="27"/>
        <v>Okl</v>
      </c>
      <c r="G343" t="str">
        <f t="shared" si="28"/>
        <v>8</v>
      </c>
      <c r="H343" t="str">
        <f t="shared" si="29"/>
        <v>KOkl8</v>
      </c>
    </row>
    <row r="344" spans="1:8" x14ac:dyDescent="0.25">
      <c r="A344" s="5" t="s">
        <v>802</v>
      </c>
      <c r="B344" s="6" t="s">
        <v>803</v>
      </c>
      <c r="C344" s="6" t="s">
        <v>11</v>
      </c>
      <c r="D344" s="7" t="str">
        <f t="shared" si="25"/>
        <v>m</v>
      </c>
      <c r="E344" t="str">
        <f t="shared" si="26"/>
        <v>M</v>
      </c>
      <c r="F344" t="str">
        <f t="shared" si="27"/>
        <v>Lad</v>
      </c>
      <c r="G344" t="str">
        <f t="shared" si="28"/>
        <v>5</v>
      </c>
      <c r="H344" t="str">
        <f t="shared" si="29"/>
        <v>MLad5</v>
      </c>
    </row>
    <row r="345" spans="1:8" x14ac:dyDescent="0.25">
      <c r="A345" s="8" t="s">
        <v>804</v>
      </c>
      <c r="B345" s="9" t="s">
        <v>805</v>
      </c>
      <c r="C345" s="9" t="s">
        <v>359</v>
      </c>
      <c r="D345" s="7" t="str">
        <f t="shared" si="25"/>
        <v>k</v>
      </c>
      <c r="E345" t="str">
        <f t="shared" si="26"/>
        <v>M</v>
      </c>
      <c r="F345" t="str">
        <f t="shared" si="27"/>
        <v>Kow</v>
      </c>
      <c r="G345" t="str">
        <f t="shared" si="28"/>
        <v>4</v>
      </c>
      <c r="H345" t="str">
        <f t="shared" si="29"/>
        <v>MKow4</v>
      </c>
    </row>
    <row r="346" spans="1:8" x14ac:dyDescent="0.25">
      <c r="A346" s="5" t="s">
        <v>806</v>
      </c>
      <c r="B346" s="6" t="s">
        <v>807</v>
      </c>
      <c r="C346" s="6" t="s">
        <v>382</v>
      </c>
      <c r="D346" s="7" t="str">
        <f t="shared" si="25"/>
        <v>k</v>
      </c>
      <c r="E346" t="str">
        <f t="shared" si="26"/>
        <v>K</v>
      </c>
      <c r="F346" t="str">
        <f t="shared" si="27"/>
        <v>Paw</v>
      </c>
      <c r="G346" t="str">
        <f t="shared" si="28"/>
        <v>7</v>
      </c>
      <c r="H346" t="str">
        <f t="shared" si="29"/>
        <v>KPaw7</v>
      </c>
    </row>
    <row r="347" spans="1:8" x14ac:dyDescent="0.25">
      <c r="A347" s="8" t="s">
        <v>808</v>
      </c>
      <c r="B347" s="9" t="s">
        <v>809</v>
      </c>
      <c r="C347" s="9" t="s">
        <v>505</v>
      </c>
      <c r="D347" s="7" t="str">
        <f t="shared" si="25"/>
        <v>m</v>
      </c>
      <c r="E347" t="str">
        <f t="shared" si="26"/>
        <v>K</v>
      </c>
      <c r="F347" t="str">
        <f t="shared" si="27"/>
        <v>Nie</v>
      </c>
      <c r="G347" t="str">
        <f t="shared" si="28"/>
        <v>2</v>
      </c>
      <c r="H347" t="str">
        <f t="shared" si="29"/>
        <v>KNie2</v>
      </c>
    </row>
    <row r="348" spans="1:8" x14ac:dyDescent="0.25">
      <c r="A348" s="5" t="s">
        <v>810</v>
      </c>
      <c r="B348" s="6" t="s">
        <v>811</v>
      </c>
      <c r="C348" s="6" t="s">
        <v>812</v>
      </c>
      <c r="D348" s="7" t="str">
        <f t="shared" si="25"/>
        <v>m</v>
      </c>
      <c r="E348" t="str">
        <f t="shared" si="26"/>
        <v>O</v>
      </c>
      <c r="F348" t="str">
        <f t="shared" si="27"/>
        <v>Haz</v>
      </c>
      <c r="G348" t="str">
        <f t="shared" si="28"/>
        <v>5</v>
      </c>
      <c r="H348" t="str">
        <f t="shared" si="29"/>
        <v>OHaz5</v>
      </c>
    </row>
    <row r="349" spans="1:8" x14ac:dyDescent="0.25">
      <c r="A349" s="8" t="s">
        <v>813</v>
      </c>
      <c r="B349" s="9" t="s">
        <v>814</v>
      </c>
      <c r="C349" s="9" t="s">
        <v>92</v>
      </c>
      <c r="D349" s="7" t="str">
        <f t="shared" si="25"/>
        <v>m</v>
      </c>
      <c r="E349" t="str">
        <f t="shared" si="26"/>
        <v>I</v>
      </c>
      <c r="F349" t="str">
        <f t="shared" si="27"/>
        <v>Ryn</v>
      </c>
      <c r="G349" t="str">
        <f t="shared" si="28"/>
        <v>3</v>
      </c>
      <c r="H349" t="str">
        <f t="shared" si="29"/>
        <v>IRyn3</v>
      </c>
    </row>
    <row r="350" spans="1:8" x14ac:dyDescent="0.25">
      <c r="A350" s="5" t="s">
        <v>815</v>
      </c>
      <c r="B350" s="6" t="s">
        <v>816</v>
      </c>
      <c r="C350" s="6" t="s">
        <v>166</v>
      </c>
      <c r="D350" s="7" t="str">
        <f t="shared" si="25"/>
        <v>m</v>
      </c>
      <c r="E350" t="str">
        <f t="shared" si="26"/>
        <v>J</v>
      </c>
      <c r="F350" t="str">
        <f t="shared" si="27"/>
        <v>Rop</v>
      </c>
      <c r="G350" t="str">
        <f t="shared" si="28"/>
        <v>7</v>
      </c>
      <c r="H350" t="str">
        <f t="shared" si="29"/>
        <v>JRop7</v>
      </c>
    </row>
    <row r="351" spans="1:8" x14ac:dyDescent="0.25">
      <c r="A351" s="8" t="s">
        <v>817</v>
      </c>
      <c r="B351" s="9" t="s">
        <v>818</v>
      </c>
      <c r="C351" s="9" t="s">
        <v>20</v>
      </c>
      <c r="D351" s="7" t="str">
        <f t="shared" si="25"/>
        <v>m</v>
      </c>
      <c r="E351" t="str">
        <f t="shared" si="26"/>
        <v>P</v>
      </c>
      <c r="F351" t="str">
        <f t="shared" si="27"/>
        <v>Gie</v>
      </c>
      <c r="G351" t="str">
        <f t="shared" si="28"/>
        <v>1</v>
      </c>
      <c r="H351" t="str">
        <f t="shared" si="29"/>
        <v>PGie1</v>
      </c>
    </row>
    <row r="352" spans="1:8" x14ac:dyDescent="0.25">
      <c r="A352" s="5" t="s">
        <v>819</v>
      </c>
      <c r="B352" s="6" t="s">
        <v>820</v>
      </c>
      <c r="C352" s="6" t="s">
        <v>821</v>
      </c>
      <c r="D352" s="7" t="str">
        <f t="shared" si="25"/>
        <v>m</v>
      </c>
      <c r="E352" t="str">
        <f t="shared" si="26"/>
        <v>R</v>
      </c>
      <c r="F352" t="str">
        <f t="shared" si="27"/>
        <v>Dom</v>
      </c>
      <c r="G352" t="str">
        <f t="shared" si="28"/>
        <v>0</v>
      </c>
      <c r="H352" t="str">
        <f t="shared" si="29"/>
        <v>RDom0</v>
      </c>
    </row>
    <row r="353" spans="1:8" x14ac:dyDescent="0.25">
      <c r="A353" s="8" t="s">
        <v>822</v>
      </c>
      <c r="B353" s="9" t="s">
        <v>823</v>
      </c>
      <c r="C353" s="9" t="s">
        <v>824</v>
      </c>
      <c r="D353" s="7" t="str">
        <f t="shared" si="25"/>
        <v>k</v>
      </c>
      <c r="E353" t="str">
        <f t="shared" si="26"/>
        <v>J</v>
      </c>
      <c r="F353" t="str">
        <f t="shared" si="27"/>
        <v>Poz</v>
      </c>
      <c r="G353" t="str">
        <f t="shared" si="28"/>
        <v>1</v>
      </c>
      <c r="H353" t="str">
        <f t="shared" si="29"/>
        <v>JPoz1</v>
      </c>
    </row>
    <row r="354" spans="1:8" x14ac:dyDescent="0.25">
      <c r="A354" s="5" t="s">
        <v>825</v>
      </c>
      <c r="B354" s="6" t="s">
        <v>826</v>
      </c>
      <c r="C354" s="6" t="s">
        <v>17</v>
      </c>
      <c r="D354" s="7" t="str">
        <f t="shared" si="25"/>
        <v>m</v>
      </c>
      <c r="E354" t="str">
        <f t="shared" si="26"/>
        <v>M</v>
      </c>
      <c r="F354" t="str">
        <f t="shared" si="27"/>
        <v>Kow</v>
      </c>
      <c r="G354" t="str">
        <f t="shared" si="28"/>
        <v>2</v>
      </c>
      <c r="H354" t="str">
        <f t="shared" si="29"/>
        <v>MKow2</v>
      </c>
    </row>
    <row r="355" spans="1:8" x14ac:dyDescent="0.25">
      <c r="A355" s="8" t="s">
        <v>827</v>
      </c>
      <c r="B355" s="9" t="s">
        <v>828</v>
      </c>
      <c r="C355" s="9" t="s">
        <v>829</v>
      </c>
      <c r="D355" s="7" t="str">
        <f t="shared" si="25"/>
        <v>k</v>
      </c>
      <c r="E355" t="str">
        <f t="shared" si="26"/>
        <v>N</v>
      </c>
      <c r="F355" t="str">
        <f t="shared" si="27"/>
        <v>Hin</v>
      </c>
      <c r="G355" t="str">
        <f t="shared" si="28"/>
        <v>5</v>
      </c>
      <c r="H355" t="str">
        <f t="shared" si="29"/>
        <v>NHin5</v>
      </c>
    </row>
    <row r="356" spans="1:8" x14ac:dyDescent="0.25">
      <c r="A356" s="5" t="s">
        <v>830</v>
      </c>
      <c r="B356" s="6" t="s">
        <v>831</v>
      </c>
      <c r="C356" s="6" t="s">
        <v>832</v>
      </c>
      <c r="D356" s="7" t="str">
        <f t="shared" si="25"/>
        <v>m</v>
      </c>
      <c r="E356" t="str">
        <f t="shared" si="26"/>
        <v>D</v>
      </c>
      <c r="F356" t="str">
        <f t="shared" si="27"/>
        <v>Swi</v>
      </c>
      <c r="G356" t="str">
        <f t="shared" si="28"/>
        <v>5</v>
      </c>
      <c r="H356" t="str">
        <f t="shared" si="29"/>
        <v>DSwi5</v>
      </c>
    </row>
    <row r="357" spans="1:8" x14ac:dyDescent="0.25">
      <c r="A357" s="8" t="s">
        <v>833</v>
      </c>
      <c r="B357" s="9" t="s">
        <v>834</v>
      </c>
      <c r="C357" s="9" t="s">
        <v>61</v>
      </c>
      <c r="D357" s="7" t="str">
        <f t="shared" si="25"/>
        <v>m</v>
      </c>
      <c r="E357" t="str">
        <f t="shared" si="26"/>
        <v>O</v>
      </c>
      <c r="F357" t="str">
        <f t="shared" si="27"/>
        <v>Grz</v>
      </c>
      <c r="G357" t="str">
        <f t="shared" si="28"/>
        <v>1</v>
      </c>
      <c r="H357" t="str">
        <f t="shared" si="29"/>
        <v>OGrz1</v>
      </c>
    </row>
    <row r="358" spans="1:8" x14ac:dyDescent="0.25">
      <c r="A358" s="5" t="s">
        <v>835</v>
      </c>
      <c r="B358" s="6" t="s">
        <v>836</v>
      </c>
      <c r="C358" s="6" t="s">
        <v>829</v>
      </c>
      <c r="D358" s="7" t="str">
        <f t="shared" si="25"/>
        <v>k</v>
      </c>
      <c r="E358" t="str">
        <f t="shared" si="26"/>
        <v>N</v>
      </c>
      <c r="F358" t="str">
        <f t="shared" si="27"/>
        <v>Hin</v>
      </c>
      <c r="G358" t="str">
        <f t="shared" si="28"/>
        <v>2</v>
      </c>
      <c r="H358" t="str">
        <f t="shared" si="29"/>
        <v>NHin2</v>
      </c>
    </row>
    <row r="359" spans="1:8" x14ac:dyDescent="0.25">
      <c r="A359" s="8" t="s">
        <v>837</v>
      </c>
      <c r="B359" s="9" t="s">
        <v>838</v>
      </c>
      <c r="C359" s="9" t="s">
        <v>147</v>
      </c>
      <c r="D359" s="7" t="str">
        <f t="shared" si="25"/>
        <v>k</v>
      </c>
      <c r="E359" t="str">
        <f t="shared" si="26"/>
        <v>M</v>
      </c>
      <c r="F359" t="str">
        <f t="shared" si="27"/>
        <v>Kaf</v>
      </c>
      <c r="G359" t="str">
        <f t="shared" si="28"/>
        <v>3</v>
      </c>
      <c r="H359" t="str">
        <f t="shared" si="29"/>
        <v>MKaf3</v>
      </c>
    </row>
    <row r="360" spans="1:8" x14ac:dyDescent="0.25">
      <c r="A360" s="5" t="s">
        <v>839</v>
      </c>
      <c r="B360" s="6" t="s">
        <v>840</v>
      </c>
      <c r="C360" s="6" t="s">
        <v>841</v>
      </c>
      <c r="D360" s="7" t="str">
        <f t="shared" si="25"/>
        <v>m</v>
      </c>
      <c r="E360" t="str">
        <f t="shared" si="26"/>
        <v>B</v>
      </c>
      <c r="F360" t="str">
        <f t="shared" si="27"/>
        <v>Was</v>
      </c>
      <c r="G360" t="str">
        <f t="shared" si="28"/>
        <v>9</v>
      </c>
      <c r="H360" t="str">
        <f t="shared" si="29"/>
        <v>BWas9</v>
      </c>
    </row>
    <row r="361" spans="1:8" x14ac:dyDescent="0.25">
      <c r="A361" s="8" t="s">
        <v>842</v>
      </c>
      <c r="B361" s="9" t="s">
        <v>843</v>
      </c>
      <c r="C361" s="9" t="s">
        <v>841</v>
      </c>
      <c r="D361" s="7" t="str">
        <f t="shared" si="25"/>
        <v>m</v>
      </c>
      <c r="E361" t="str">
        <f t="shared" si="26"/>
        <v>B</v>
      </c>
      <c r="F361" t="str">
        <f t="shared" si="27"/>
        <v>Was</v>
      </c>
      <c r="G361" t="str">
        <f t="shared" si="28"/>
        <v>9</v>
      </c>
      <c r="H361" t="str">
        <f t="shared" si="29"/>
        <v>BWas9</v>
      </c>
    </row>
    <row r="362" spans="1:8" x14ac:dyDescent="0.25">
      <c r="A362" s="5" t="s">
        <v>844</v>
      </c>
      <c r="B362" s="6" t="s">
        <v>845</v>
      </c>
      <c r="C362" s="6" t="s">
        <v>416</v>
      </c>
      <c r="D362" s="7" t="str">
        <f t="shared" si="25"/>
        <v>k</v>
      </c>
      <c r="E362" t="str">
        <f t="shared" si="26"/>
        <v>M</v>
      </c>
      <c r="F362" t="str">
        <f t="shared" si="27"/>
        <v>Luk</v>
      </c>
      <c r="G362" t="str">
        <f t="shared" si="28"/>
        <v>2</v>
      </c>
      <c r="H362" t="str">
        <f t="shared" si="29"/>
        <v>MLuk2</v>
      </c>
    </row>
    <row r="363" spans="1:8" x14ac:dyDescent="0.25">
      <c r="A363" s="8" t="s">
        <v>846</v>
      </c>
      <c r="B363" s="9" t="s">
        <v>847</v>
      </c>
      <c r="C363" s="9" t="s">
        <v>848</v>
      </c>
      <c r="D363" s="7" t="str">
        <f t="shared" si="25"/>
        <v>m</v>
      </c>
      <c r="E363" t="str">
        <f t="shared" si="26"/>
        <v>H</v>
      </c>
      <c r="F363" t="str">
        <f t="shared" si="27"/>
        <v>Sil</v>
      </c>
      <c r="G363" t="str">
        <f t="shared" si="28"/>
        <v>7</v>
      </c>
      <c r="H363" t="str">
        <f t="shared" si="29"/>
        <v>HSil7</v>
      </c>
    </row>
    <row r="364" spans="1:8" x14ac:dyDescent="0.25">
      <c r="A364" s="5" t="s">
        <v>849</v>
      </c>
      <c r="B364" s="6" t="s">
        <v>850</v>
      </c>
      <c r="C364" s="6" t="s">
        <v>485</v>
      </c>
      <c r="D364" s="7" t="str">
        <f t="shared" si="25"/>
        <v>m</v>
      </c>
      <c r="E364" t="str">
        <f t="shared" si="26"/>
        <v>A</v>
      </c>
      <c r="F364" t="str">
        <f t="shared" si="27"/>
        <v>Zyg</v>
      </c>
      <c r="G364" t="str">
        <f t="shared" si="28"/>
        <v>2</v>
      </c>
      <c r="H364" t="str">
        <f t="shared" si="29"/>
        <v>AZyg2</v>
      </c>
    </row>
    <row r="365" spans="1:8" x14ac:dyDescent="0.25">
      <c r="A365" s="8" t="s">
        <v>851</v>
      </c>
      <c r="B365" s="9" t="s">
        <v>852</v>
      </c>
      <c r="C365" s="9" t="s">
        <v>121</v>
      </c>
      <c r="D365" s="7" t="str">
        <f t="shared" si="25"/>
        <v>m</v>
      </c>
      <c r="E365" t="str">
        <f t="shared" si="26"/>
        <v>J</v>
      </c>
      <c r="F365" t="str">
        <f t="shared" si="27"/>
        <v>Pet</v>
      </c>
      <c r="G365" t="str">
        <f t="shared" si="28"/>
        <v>0</v>
      </c>
      <c r="H365" t="str">
        <f t="shared" si="29"/>
        <v>JPet0</v>
      </c>
    </row>
    <row r="366" spans="1:8" x14ac:dyDescent="0.25">
      <c r="A366" s="5" t="s">
        <v>853</v>
      </c>
      <c r="B366" s="6" t="s">
        <v>854</v>
      </c>
      <c r="C366" s="6" t="s">
        <v>855</v>
      </c>
      <c r="D366" s="7" t="str">
        <f t="shared" si="25"/>
        <v>m</v>
      </c>
      <c r="E366" t="str">
        <f t="shared" si="26"/>
        <v>O</v>
      </c>
      <c r="F366" t="str">
        <f t="shared" si="27"/>
        <v>Han</v>
      </c>
      <c r="G366" t="str">
        <f t="shared" si="28"/>
        <v>3</v>
      </c>
      <c r="H366" t="str">
        <f t="shared" si="29"/>
        <v>OHan3</v>
      </c>
    </row>
    <row r="367" spans="1:8" x14ac:dyDescent="0.25">
      <c r="A367" s="8" t="s">
        <v>856</v>
      </c>
      <c r="B367" s="9" t="s">
        <v>857</v>
      </c>
      <c r="C367" s="9" t="s">
        <v>309</v>
      </c>
      <c r="D367" s="7" t="str">
        <f t="shared" si="25"/>
        <v>k</v>
      </c>
      <c r="E367" t="str">
        <f t="shared" si="26"/>
        <v>J</v>
      </c>
      <c r="F367" t="str">
        <f t="shared" si="27"/>
        <v>Sam</v>
      </c>
      <c r="G367" t="str">
        <f t="shared" si="28"/>
        <v>9</v>
      </c>
      <c r="H367" t="str">
        <f t="shared" si="29"/>
        <v>JSam9</v>
      </c>
    </row>
    <row r="368" spans="1:8" x14ac:dyDescent="0.25">
      <c r="A368" s="5" t="s">
        <v>858</v>
      </c>
      <c r="B368" s="6" t="s">
        <v>859</v>
      </c>
      <c r="C368" s="6" t="s">
        <v>860</v>
      </c>
      <c r="D368" s="7" t="str">
        <f t="shared" si="25"/>
        <v>m</v>
      </c>
      <c r="E368" t="str">
        <f t="shared" si="26"/>
        <v>W</v>
      </c>
      <c r="F368" t="str">
        <f t="shared" si="27"/>
        <v>Ber</v>
      </c>
      <c r="G368" t="str">
        <f t="shared" si="28"/>
        <v>1</v>
      </c>
      <c r="H368" t="str">
        <f t="shared" si="29"/>
        <v>WBer1</v>
      </c>
    </row>
    <row r="369" spans="1:8" x14ac:dyDescent="0.25">
      <c r="A369" s="8" t="s">
        <v>861</v>
      </c>
      <c r="B369" s="9" t="s">
        <v>862</v>
      </c>
      <c r="C369" s="9" t="s">
        <v>73</v>
      </c>
      <c r="D369" s="7" t="str">
        <f t="shared" si="25"/>
        <v>m</v>
      </c>
      <c r="E369" t="str">
        <f t="shared" si="26"/>
        <v>P</v>
      </c>
      <c r="F369" t="str">
        <f t="shared" si="27"/>
        <v>Bia</v>
      </c>
      <c r="G369" t="str">
        <f t="shared" si="28"/>
        <v>4</v>
      </c>
      <c r="H369" t="str">
        <f t="shared" si="29"/>
        <v>PBia4</v>
      </c>
    </row>
    <row r="370" spans="1:8" x14ac:dyDescent="0.25">
      <c r="A370" s="5" t="s">
        <v>863</v>
      </c>
      <c r="B370" s="6" t="s">
        <v>864</v>
      </c>
      <c r="C370" s="6" t="s">
        <v>309</v>
      </c>
      <c r="D370" s="7" t="str">
        <f t="shared" si="25"/>
        <v>k</v>
      </c>
      <c r="E370" t="str">
        <f t="shared" si="26"/>
        <v>J</v>
      </c>
      <c r="F370" t="str">
        <f t="shared" si="27"/>
        <v>Rut</v>
      </c>
      <c r="G370" t="str">
        <f t="shared" si="28"/>
        <v>7</v>
      </c>
      <c r="H370" t="str">
        <f t="shared" si="29"/>
        <v>JRut7</v>
      </c>
    </row>
    <row r="371" spans="1:8" x14ac:dyDescent="0.25">
      <c r="A371" s="8" t="s">
        <v>865</v>
      </c>
      <c r="B371" s="9" t="s">
        <v>866</v>
      </c>
      <c r="C371" s="9" t="s">
        <v>17</v>
      </c>
      <c r="D371" s="7" t="str">
        <f t="shared" si="25"/>
        <v>m</v>
      </c>
      <c r="E371" t="str">
        <f t="shared" si="26"/>
        <v>M</v>
      </c>
      <c r="F371" t="str">
        <f t="shared" si="27"/>
        <v>Kow</v>
      </c>
      <c r="G371" t="str">
        <f t="shared" si="28"/>
        <v>9</v>
      </c>
      <c r="H371" t="str">
        <f t="shared" si="29"/>
        <v>MKow9</v>
      </c>
    </row>
    <row r="372" spans="1:8" x14ac:dyDescent="0.25">
      <c r="A372" s="5" t="s">
        <v>867</v>
      </c>
      <c r="B372" s="6" t="s">
        <v>868</v>
      </c>
      <c r="C372" s="6" t="s">
        <v>309</v>
      </c>
      <c r="D372" s="7" t="str">
        <f t="shared" si="25"/>
        <v>k</v>
      </c>
      <c r="E372" t="str">
        <f t="shared" si="26"/>
        <v>J</v>
      </c>
      <c r="F372" t="str">
        <f t="shared" si="27"/>
        <v>Sad</v>
      </c>
      <c r="G372" t="str">
        <f t="shared" si="28"/>
        <v>6</v>
      </c>
      <c r="H372" t="str">
        <f t="shared" si="29"/>
        <v>JSad6</v>
      </c>
    </row>
    <row r="373" spans="1:8" x14ac:dyDescent="0.25">
      <c r="A373" s="8" t="s">
        <v>869</v>
      </c>
      <c r="B373" s="9" t="s">
        <v>870</v>
      </c>
      <c r="C373" s="9" t="s">
        <v>260</v>
      </c>
      <c r="D373" s="7" t="str">
        <f t="shared" si="25"/>
        <v>m</v>
      </c>
      <c r="E373" t="str">
        <f t="shared" si="26"/>
        <v>F</v>
      </c>
      <c r="F373" t="str">
        <f t="shared" si="27"/>
        <v>Sob</v>
      </c>
      <c r="G373" t="str">
        <f t="shared" si="28"/>
        <v>7</v>
      </c>
      <c r="H373" t="str">
        <f t="shared" si="29"/>
        <v>FSob7</v>
      </c>
    </row>
    <row r="374" spans="1:8" x14ac:dyDescent="0.25">
      <c r="A374" s="5" t="s">
        <v>871</v>
      </c>
      <c r="B374" s="6" t="s">
        <v>872</v>
      </c>
      <c r="C374" s="6" t="s">
        <v>607</v>
      </c>
      <c r="D374" s="7" t="str">
        <f t="shared" si="25"/>
        <v>k</v>
      </c>
      <c r="E374" t="str">
        <f t="shared" si="26"/>
        <v>J</v>
      </c>
      <c r="F374" t="str">
        <f t="shared" si="27"/>
        <v>Sen</v>
      </c>
      <c r="G374" t="str">
        <f t="shared" si="28"/>
        <v>5</v>
      </c>
      <c r="H374" t="str">
        <f t="shared" si="29"/>
        <v>JSen5</v>
      </c>
    </row>
    <row r="375" spans="1:8" x14ac:dyDescent="0.25">
      <c r="A375" s="8" t="s">
        <v>873</v>
      </c>
      <c r="B375" s="9" t="s">
        <v>874</v>
      </c>
      <c r="C375" s="9" t="s">
        <v>448</v>
      </c>
      <c r="D375" s="7" t="str">
        <f t="shared" si="25"/>
        <v>k</v>
      </c>
      <c r="E375" t="str">
        <f t="shared" si="26"/>
        <v>H</v>
      </c>
      <c r="F375" t="str">
        <f t="shared" si="27"/>
        <v>Sta</v>
      </c>
      <c r="G375" t="str">
        <f t="shared" si="28"/>
        <v>7</v>
      </c>
      <c r="H375" t="str">
        <f t="shared" si="29"/>
        <v>HSta7</v>
      </c>
    </row>
    <row r="376" spans="1:8" x14ac:dyDescent="0.25">
      <c r="A376" s="5" t="s">
        <v>875</v>
      </c>
      <c r="B376" s="6" t="s">
        <v>876</v>
      </c>
      <c r="C376" s="6" t="s">
        <v>877</v>
      </c>
      <c r="D376" s="7" t="str">
        <f t="shared" si="25"/>
        <v>m</v>
      </c>
      <c r="E376" t="str">
        <f t="shared" si="26"/>
        <v>D</v>
      </c>
      <c r="F376" t="str">
        <f t="shared" si="27"/>
        <v>Szc</v>
      </c>
      <c r="G376" t="str">
        <f t="shared" si="28"/>
        <v>6</v>
      </c>
      <c r="H376" t="str">
        <f t="shared" si="29"/>
        <v>DSzc6</v>
      </c>
    </row>
    <row r="377" spans="1:8" x14ac:dyDescent="0.25">
      <c r="A377" s="8" t="s">
        <v>878</v>
      </c>
      <c r="B377" s="9" t="s">
        <v>879</v>
      </c>
      <c r="C377" s="9" t="s">
        <v>880</v>
      </c>
      <c r="D377" s="7" t="str">
        <f t="shared" si="25"/>
        <v>m</v>
      </c>
      <c r="E377" t="str">
        <f t="shared" si="26"/>
        <v>A</v>
      </c>
      <c r="F377" t="str">
        <f t="shared" si="27"/>
        <v>Woj</v>
      </c>
      <c r="G377" t="str">
        <f t="shared" si="28"/>
        <v>2</v>
      </c>
      <c r="H377" t="str">
        <f t="shared" si="29"/>
        <v>AWoj2</v>
      </c>
    </row>
    <row r="378" spans="1:8" x14ac:dyDescent="0.25">
      <c r="A378" s="5" t="s">
        <v>881</v>
      </c>
      <c r="B378" s="6" t="s">
        <v>882</v>
      </c>
      <c r="C378" s="6" t="s">
        <v>309</v>
      </c>
      <c r="D378" s="7" t="str">
        <f t="shared" si="25"/>
        <v>k</v>
      </c>
      <c r="E378" t="str">
        <f t="shared" si="26"/>
        <v>J</v>
      </c>
      <c r="F378" t="str">
        <f t="shared" si="27"/>
        <v>Sal</v>
      </c>
      <c r="G378" t="str">
        <f t="shared" si="28"/>
        <v>9</v>
      </c>
      <c r="H378" t="str">
        <f t="shared" si="29"/>
        <v>JSal9</v>
      </c>
    </row>
    <row r="379" spans="1:8" x14ac:dyDescent="0.25">
      <c r="A379" s="8" t="s">
        <v>883</v>
      </c>
      <c r="B379" s="9" t="s">
        <v>884</v>
      </c>
      <c r="C379" s="9" t="s">
        <v>885</v>
      </c>
      <c r="D379" s="7" t="str">
        <f t="shared" si="25"/>
        <v>k</v>
      </c>
      <c r="E379" t="str">
        <f t="shared" si="26"/>
        <v>I</v>
      </c>
      <c r="F379" t="str">
        <f t="shared" si="27"/>
        <v>Skr</v>
      </c>
      <c r="G379" t="str">
        <f t="shared" si="28"/>
        <v>3</v>
      </c>
      <c r="H379" t="str">
        <f t="shared" si="29"/>
        <v>ISkr3</v>
      </c>
    </row>
    <row r="380" spans="1:8" x14ac:dyDescent="0.25">
      <c r="A380" s="5" t="s">
        <v>886</v>
      </c>
      <c r="B380" s="6" t="s">
        <v>887</v>
      </c>
      <c r="C380" s="6" t="s">
        <v>17</v>
      </c>
      <c r="D380" s="7" t="str">
        <f t="shared" si="25"/>
        <v>m</v>
      </c>
      <c r="E380" t="str">
        <f t="shared" si="26"/>
        <v>M</v>
      </c>
      <c r="F380" t="str">
        <f t="shared" si="27"/>
        <v>Kos</v>
      </c>
      <c r="G380" t="str">
        <f t="shared" si="28"/>
        <v>0</v>
      </c>
      <c r="H380" t="str">
        <f t="shared" si="29"/>
        <v>MKos0</v>
      </c>
    </row>
    <row r="381" spans="1:8" x14ac:dyDescent="0.25">
      <c r="A381" s="8" t="s">
        <v>888</v>
      </c>
      <c r="B381" s="9" t="s">
        <v>889</v>
      </c>
      <c r="C381" s="9" t="s">
        <v>359</v>
      </c>
      <c r="D381" s="7" t="str">
        <f t="shared" si="25"/>
        <v>k</v>
      </c>
      <c r="E381" t="str">
        <f t="shared" si="26"/>
        <v>M</v>
      </c>
      <c r="F381" t="str">
        <f t="shared" si="27"/>
        <v>Kow</v>
      </c>
      <c r="G381" t="str">
        <f t="shared" si="28"/>
        <v>4</v>
      </c>
      <c r="H381" t="str">
        <f t="shared" si="29"/>
        <v>MKow4</v>
      </c>
    </row>
    <row r="382" spans="1:8" x14ac:dyDescent="0.25">
      <c r="A382" s="5" t="s">
        <v>890</v>
      </c>
      <c r="B382" s="6" t="s">
        <v>891</v>
      </c>
      <c r="C382" s="6" t="s">
        <v>892</v>
      </c>
      <c r="D382" s="7" t="str">
        <f t="shared" si="25"/>
        <v>k</v>
      </c>
      <c r="E382" t="str">
        <f t="shared" si="26"/>
        <v>P</v>
      </c>
      <c r="F382" t="str">
        <f t="shared" si="27"/>
        <v>Glo</v>
      </c>
      <c r="G382" t="str">
        <f t="shared" si="28"/>
        <v>4</v>
      </c>
      <c r="H382" t="str">
        <f t="shared" si="29"/>
        <v>PGlo4</v>
      </c>
    </row>
    <row r="383" spans="1:8" x14ac:dyDescent="0.25">
      <c r="A383" s="8" t="s">
        <v>893</v>
      </c>
      <c r="B383" s="9" t="s">
        <v>894</v>
      </c>
      <c r="C383" s="9" t="s">
        <v>309</v>
      </c>
      <c r="D383" s="7" t="str">
        <f t="shared" si="25"/>
        <v>k</v>
      </c>
      <c r="E383" t="str">
        <f t="shared" si="26"/>
        <v>J</v>
      </c>
      <c r="F383" t="str">
        <f t="shared" si="27"/>
        <v>Sau</v>
      </c>
      <c r="G383" t="str">
        <f t="shared" si="28"/>
        <v>2</v>
      </c>
      <c r="H383" t="str">
        <f t="shared" si="29"/>
        <v>JSau2</v>
      </c>
    </row>
    <row r="384" spans="1:8" x14ac:dyDescent="0.25">
      <c r="A384" s="5" t="s">
        <v>895</v>
      </c>
      <c r="B384" s="6" t="s">
        <v>896</v>
      </c>
      <c r="C384" s="6" t="s">
        <v>8</v>
      </c>
      <c r="D384" s="7" t="str">
        <f t="shared" si="25"/>
        <v>m</v>
      </c>
      <c r="E384" t="str">
        <f t="shared" si="26"/>
        <v>N</v>
      </c>
      <c r="F384" t="str">
        <f t="shared" si="27"/>
        <v>Jak</v>
      </c>
      <c r="G384" t="str">
        <f t="shared" si="28"/>
        <v>5</v>
      </c>
      <c r="H384" t="str">
        <f t="shared" si="29"/>
        <v>NJak5</v>
      </c>
    </row>
    <row r="385" spans="1:8" x14ac:dyDescent="0.25">
      <c r="A385" s="8" t="s">
        <v>897</v>
      </c>
      <c r="B385" s="9" t="s">
        <v>898</v>
      </c>
      <c r="C385" s="9" t="s">
        <v>11</v>
      </c>
      <c r="D385" s="7" t="str">
        <f t="shared" si="25"/>
        <v>m</v>
      </c>
      <c r="E385" t="str">
        <f t="shared" si="26"/>
        <v>M</v>
      </c>
      <c r="F385" t="str">
        <f t="shared" si="27"/>
        <v>Lab</v>
      </c>
      <c r="G385" t="str">
        <f t="shared" si="28"/>
        <v>5</v>
      </c>
      <c r="H385" t="str">
        <f t="shared" si="29"/>
        <v>MLab5</v>
      </c>
    </row>
    <row r="386" spans="1:8" x14ac:dyDescent="0.25">
      <c r="A386" s="5" t="s">
        <v>899</v>
      </c>
      <c r="B386" s="6" t="s">
        <v>900</v>
      </c>
      <c r="C386" s="6" t="s">
        <v>166</v>
      </c>
      <c r="D386" s="7" t="str">
        <f t="shared" ref="D386:D449" si="30">IF(MOD(LEFT(RIGHT(A386,2),1),2)=0,"k","m")</f>
        <v>m</v>
      </c>
      <c r="E386" t="str">
        <f t="shared" si="26"/>
        <v>J</v>
      </c>
      <c r="F386" t="str">
        <f t="shared" si="27"/>
        <v>Prz</v>
      </c>
      <c r="G386" t="str">
        <f t="shared" si="28"/>
        <v>1</v>
      </c>
      <c r="H386" t="str">
        <f t="shared" si="29"/>
        <v>JPrz1</v>
      </c>
    </row>
    <row r="387" spans="1:8" x14ac:dyDescent="0.25">
      <c r="A387" s="8" t="s">
        <v>901</v>
      </c>
      <c r="B387" s="9" t="s">
        <v>902</v>
      </c>
      <c r="C387" s="9" t="s">
        <v>903</v>
      </c>
      <c r="D387" s="7" t="str">
        <f t="shared" si="30"/>
        <v>k</v>
      </c>
      <c r="E387" t="str">
        <f t="shared" ref="E387:E450" si="31">LEFT(C387,1)</f>
        <v>I</v>
      </c>
      <c r="F387" t="str">
        <f t="shared" ref="F387:F450" si="32">LEFT(B387,3)</f>
        <v>Soc</v>
      </c>
      <c r="G387" t="str">
        <f t="shared" ref="G387:G450" si="33">RIGHT(A387,1)</f>
        <v>1</v>
      </c>
      <c r="H387" t="str">
        <f t="shared" ref="H387:H450" si="34">_xlfn.TEXTJOIN(,,E387,F387,G387)</f>
        <v>ISoc1</v>
      </c>
    </row>
    <row r="388" spans="1:8" x14ac:dyDescent="0.25">
      <c r="A388" s="5" t="s">
        <v>904</v>
      </c>
      <c r="B388" s="6" t="s">
        <v>905</v>
      </c>
      <c r="C388" s="6" t="s">
        <v>906</v>
      </c>
      <c r="D388" s="7" t="str">
        <f t="shared" si="30"/>
        <v>m</v>
      </c>
      <c r="E388" t="str">
        <f t="shared" si="31"/>
        <v>A</v>
      </c>
      <c r="F388" t="str">
        <f t="shared" si="32"/>
        <v>Wie</v>
      </c>
      <c r="G388" t="str">
        <f t="shared" si="33"/>
        <v>2</v>
      </c>
      <c r="H388" t="str">
        <f t="shared" si="34"/>
        <v>AWie2</v>
      </c>
    </row>
    <row r="389" spans="1:8" x14ac:dyDescent="0.25">
      <c r="A389" s="8" t="s">
        <v>907</v>
      </c>
      <c r="B389" s="9" t="s">
        <v>908</v>
      </c>
      <c r="C389" s="9" t="s">
        <v>909</v>
      </c>
      <c r="D389" s="7" t="str">
        <f t="shared" si="30"/>
        <v>m</v>
      </c>
      <c r="E389" t="str">
        <f t="shared" si="31"/>
        <v>I</v>
      </c>
      <c r="F389" t="str">
        <f t="shared" si="32"/>
        <v>Sar</v>
      </c>
      <c r="G389" t="str">
        <f t="shared" si="33"/>
        <v>6</v>
      </c>
      <c r="H389" t="str">
        <f t="shared" si="34"/>
        <v>ISar6</v>
      </c>
    </row>
    <row r="390" spans="1:8" x14ac:dyDescent="0.25">
      <c r="A390" s="5" t="s">
        <v>910</v>
      </c>
      <c r="B390" s="6" t="s">
        <v>911</v>
      </c>
      <c r="C390" s="6" t="s">
        <v>39</v>
      </c>
      <c r="D390" s="7" t="str">
        <f t="shared" si="30"/>
        <v>m</v>
      </c>
      <c r="E390" t="str">
        <f t="shared" si="31"/>
        <v>M</v>
      </c>
      <c r="F390" t="str">
        <f t="shared" si="32"/>
        <v>Mac</v>
      </c>
      <c r="G390" t="str">
        <f t="shared" si="33"/>
        <v>1</v>
      </c>
      <c r="H390" t="str">
        <f t="shared" si="34"/>
        <v>MMac1</v>
      </c>
    </row>
    <row r="391" spans="1:8" x14ac:dyDescent="0.25">
      <c r="A391" s="8" t="s">
        <v>912</v>
      </c>
      <c r="B391" s="9" t="s">
        <v>866</v>
      </c>
      <c r="C391" s="9" t="s">
        <v>17</v>
      </c>
      <c r="D391" s="7" t="str">
        <f t="shared" si="30"/>
        <v>m</v>
      </c>
      <c r="E391" t="str">
        <f t="shared" si="31"/>
        <v>M</v>
      </c>
      <c r="F391" t="str">
        <f t="shared" si="32"/>
        <v>Kow</v>
      </c>
      <c r="G391" t="str">
        <f t="shared" si="33"/>
        <v>4</v>
      </c>
      <c r="H391" t="str">
        <f t="shared" si="34"/>
        <v>MKow4</v>
      </c>
    </row>
    <row r="392" spans="1:8" x14ac:dyDescent="0.25">
      <c r="A392" s="5" t="s">
        <v>913</v>
      </c>
      <c r="B392" s="6" t="s">
        <v>914</v>
      </c>
      <c r="C392" s="6" t="s">
        <v>428</v>
      </c>
      <c r="D392" s="7" t="str">
        <f t="shared" si="30"/>
        <v>k</v>
      </c>
      <c r="E392" t="str">
        <f t="shared" si="31"/>
        <v>Z</v>
      </c>
      <c r="F392" t="str">
        <f t="shared" si="32"/>
        <v>Bro</v>
      </c>
      <c r="G392" t="str">
        <f t="shared" si="33"/>
        <v>3</v>
      </c>
      <c r="H392" t="str">
        <f t="shared" si="34"/>
        <v>ZBro3</v>
      </c>
    </row>
    <row r="393" spans="1:8" x14ac:dyDescent="0.25">
      <c r="A393" s="8" t="s">
        <v>915</v>
      </c>
      <c r="B393" s="9" t="s">
        <v>916</v>
      </c>
      <c r="C393" s="9" t="s">
        <v>211</v>
      </c>
      <c r="D393" s="7" t="str">
        <f t="shared" si="30"/>
        <v>k</v>
      </c>
      <c r="E393" t="str">
        <f t="shared" si="31"/>
        <v>S</v>
      </c>
      <c r="F393" t="str">
        <f t="shared" si="32"/>
        <v>Fil</v>
      </c>
      <c r="G393" t="str">
        <f t="shared" si="33"/>
        <v>4</v>
      </c>
      <c r="H393" t="str">
        <f t="shared" si="34"/>
        <v>SFil4</v>
      </c>
    </row>
    <row r="394" spans="1:8" x14ac:dyDescent="0.25">
      <c r="A394" s="5" t="s">
        <v>917</v>
      </c>
      <c r="B394" s="6" t="s">
        <v>918</v>
      </c>
      <c r="C394" s="6" t="s">
        <v>848</v>
      </c>
      <c r="D394" s="7" t="str">
        <f t="shared" si="30"/>
        <v>m</v>
      </c>
      <c r="E394" t="str">
        <f t="shared" si="31"/>
        <v>H</v>
      </c>
      <c r="F394" t="str">
        <f t="shared" si="32"/>
        <v>Sim</v>
      </c>
      <c r="G394" t="str">
        <f t="shared" si="33"/>
        <v>5</v>
      </c>
      <c r="H394" t="str">
        <f t="shared" si="34"/>
        <v>HSim5</v>
      </c>
    </row>
    <row r="395" spans="1:8" x14ac:dyDescent="0.25">
      <c r="A395" s="8" t="s">
        <v>919</v>
      </c>
      <c r="B395" s="9" t="s">
        <v>920</v>
      </c>
      <c r="C395" s="9" t="s">
        <v>309</v>
      </c>
      <c r="D395" s="7" t="str">
        <f t="shared" si="30"/>
        <v>k</v>
      </c>
      <c r="E395" t="str">
        <f t="shared" si="31"/>
        <v>J</v>
      </c>
      <c r="F395" t="str">
        <f t="shared" si="32"/>
        <v>Rie</v>
      </c>
      <c r="G395" t="str">
        <f t="shared" si="33"/>
        <v>2</v>
      </c>
      <c r="H395" t="str">
        <f t="shared" si="34"/>
        <v>JRie2</v>
      </c>
    </row>
    <row r="396" spans="1:8" x14ac:dyDescent="0.25">
      <c r="A396" s="5" t="s">
        <v>921</v>
      </c>
      <c r="B396" s="6" t="s">
        <v>350</v>
      </c>
      <c r="C396" s="6" t="s">
        <v>351</v>
      </c>
      <c r="D396" s="7" t="str">
        <f t="shared" si="30"/>
        <v>k</v>
      </c>
      <c r="E396" t="str">
        <f t="shared" si="31"/>
        <v>M</v>
      </c>
      <c r="F396" t="str">
        <f t="shared" si="32"/>
        <v>Koz</v>
      </c>
      <c r="G396" t="str">
        <f t="shared" si="33"/>
        <v>8</v>
      </c>
      <c r="H396" t="str">
        <f t="shared" si="34"/>
        <v>MKoz8</v>
      </c>
    </row>
    <row r="397" spans="1:8" x14ac:dyDescent="0.25">
      <c r="A397" s="8" t="s">
        <v>922</v>
      </c>
      <c r="B397" s="9" t="s">
        <v>923</v>
      </c>
      <c r="C397" s="9" t="s">
        <v>166</v>
      </c>
      <c r="D397" s="7" t="str">
        <f t="shared" si="30"/>
        <v>m</v>
      </c>
      <c r="E397" t="str">
        <f t="shared" si="31"/>
        <v>J</v>
      </c>
      <c r="F397" t="str">
        <f t="shared" si="32"/>
        <v>Por</v>
      </c>
      <c r="G397" t="str">
        <f t="shared" si="33"/>
        <v>0</v>
      </c>
      <c r="H397" t="str">
        <f t="shared" si="34"/>
        <v>JPor0</v>
      </c>
    </row>
    <row r="398" spans="1:8" x14ac:dyDescent="0.25">
      <c r="A398" s="5" t="s">
        <v>924</v>
      </c>
      <c r="B398" s="6" t="s">
        <v>925</v>
      </c>
      <c r="C398" s="6" t="s">
        <v>309</v>
      </c>
      <c r="D398" s="7" t="str">
        <f t="shared" si="30"/>
        <v>k</v>
      </c>
      <c r="E398" t="str">
        <f t="shared" si="31"/>
        <v>J</v>
      </c>
      <c r="F398" t="str">
        <f t="shared" si="32"/>
        <v>Sac</v>
      </c>
      <c r="G398" t="str">
        <f t="shared" si="33"/>
        <v>3</v>
      </c>
      <c r="H398" t="str">
        <f t="shared" si="34"/>
        <v>JSac3</v>
      </c>
    </row>
    <row r="399" spans="1:8" x14ac:dyDescent="0.25">
      <c r="A399" s="8" t="s">
        <v>926</v>
      </c>
      <c r="B399" s="9" t="s">
        <v>927</v>
      </c>
      <c r="C399" s="9" t="s">
        <v>260</v>
      </c>
      <c r="D399" s="7" t="str">
        <f t="shared" si="30"/>
        <v>m</v>
      </c>
      <c r="E399" t="str">
        <f t="shared" si="31"/>
        <v>F</v>
      </c>
      <c r="F399" t="str">
        <f t="shared" si="32"/>
        <v>Spa</v>
      </c>
      <c r="G399" t="str">
        <f t="shared" si="33"/>
        <v>7</v>
      </c>
      <c r="H399" t="str">
        <f t="shared" si="34"/>
        <v>FSpa7</v>
      </c>
    </row>
    <row r="400" spans="1:8" x14ac:dyDescent="0.25">
      <c r="A400" s="5" t="s">
        <v>928</v>
      </c>
      <c r="B400" s="6" t="s">
        <v>929</v>
      </c>
      <c r="C400" s="6" t="s">
        <v>39</v>
      </c>
      <c r="D400" s="7" t="str">
        <f t="shared" si="30"/>
        <v>m</v>
      </c>
      <c r="E400" t="str">
        <f t="shared" si="31"/>
        <v>M</v>
      </c>
      <c r="F400" t="str">
        <f t="shared" si="32"/>
        <v>Mac</v>
      </c>
      <c r="G400" t="str">
        <f t="shared" si="33"/>
        <v>4</v>
      </c>
      <c r="H400" t="str">
        <f t="shared" si="34"/>
        <v>MMac4</v>
      </c>
    </row>
    <row r="401" spans="1:8" x14ac:dyDescent="0.25">
      <c r="A401" s="8" t="s">
        <v>930</v>
      </c>
      <c r="B401" s="9" t="s">
        <v>931</v>
      </c>
      <c r="C401" s="9" t="s">
        <v>485</v>
      </c>
      <c r="D401" s="7" t="str">
        <f t="shared" si="30"/>
        <v>m</v>
      </c>
      <c r="E401" t="str">
        <f t="shared" si="31"/>
        <v>A</v>
      </c>
      <c r="F401" t="str">
        <f t="shared" si="32"/>
        <v>Zmu</v>
      </c>
      <c r="G401" t="str">
        <f t="shared" si="33"/>
        <v>8</v>
      </c>
      <c r="H401" t="str">
        <f t="shared" si="34"/>
        <v>AZmu8</v>
      </c>
    </row>
    <row r="402" spans="1:8" x14ac:dyDescent="0.25">
      <c r="A402" s="5" t="s">
        <v>932</v>
      </c>
      <c r="B402" s="6" t="s">
        <v>933</v>
      </c>
      <c r="C402" s="6" t="s">
        <v>166</v>
      </c>
      <c r="D402" s="7" t="str">
        <f t="shared" si="30"/>
        <v>m</v>
      </c>
      <c r="E402" t="str">
        <f t="shared" si="31"/>
        <v>J</v>
      </c>
      <c r="F402" t="str">
        <f t="shared" si="32"/>
        <v>Rem</v>
      </c>
      <c r="G402" t="str">
        <f t="shared" si="33"/>
        <v>3</v>
      </c>
      <c r="H402" t="str">
        <f t="shared" si="34"/>
        <v>JRem3</v>
      </c>
    </row>
    <row r="403" spans="1:8" x14ac:dyDescent="0.25">
      <c r="A403" s="8" t="s">
        <v>934</v>
      </c>
      <c r="B403" s="9" t="s">
        <v>935</v>
      </c>
      <c r="C403" s="9" t="s">
        <v>936</v>
      </c>
      <c r="D403" s="7" t="str">
        <f t="shared" si="30"/>
        <v>m</v>
      </c>
      <c r="E403" t="str">
        <f t="shared" si="31"/>
        <v>D</v>
      </c>
      <c r="F403" t="str">
        <f t="shared" si="32"/>
        <v>Szm</v>
      </c>
      <c r="G403" t="str">
        <f t="shared" si="33"/>
        <v>0</v>
      </c>
      <c r="H403" t="str">
        <f t="shared" si="34"/>
        <v>DSzm0</v>
      </c>
    </row>
    <row r="404" spans="1:8" x14ac:dyDescent="0.25">
      <c r="A404" s="5" t="s">
        <v>937</v>
      </c>
      <c r="B404" s="6" t="s">
        <v>938</v>
      </c>
      <c r="C404" s="6" t="s">
        <v>266</v>
      </c>
      <c r="D404" s="7" t="str">
        <f t="shared" si="30"/>
        <v>k</v>
      </c>
      <c r="E404" t="str">
        <f t="shared" si="31"/>
        <v>N</v>
      </c>
      <c r="F404" t="str">
        <f t="shared" si="32"/>
        <v>Jur</v>
      </c>
      <c r="G404" t="str">
        <f t="shared" si="33"/>
        <v>6</v>
      </c>
      <c r="H404" t="str">
        <f t="shared" si="34"/>
        <v>NJur6</v>
      </c>
    </row>
    <row r="405" spans="1:8" x14ac:dyDescent="0.25">
      <c r="A405" s="8" t="s">
        <v>939</v>
      </c>
      <c r="B405" s="9" t="s">
        <v>940</v>
      </c>
      <c r="C405" s="9" t="s">
        <v>485</v>
      </c>
      <c r="D405" s="7" t="str">
        <f t="shared" si="30"/>
        <v>m</v>
      </c>
      <c r="E405" t="str">
        <f t="shared" si="31"/>
        <v>A</v>
      </c>
      <c r="F405" t="str">
        <f t="shared" si="32"/>
        <v>Zur</v>
      </c>
      <c r="G405" t="str">
        <f t="shared" si="33"/>
        <v>3</v>
      </c>
      <c r="H405" t="str">
        <f t="shared" si="34"/>
        <v>AZur3</v>
      </c>
    </row>
    <row r="406" spans="1:8" x14ac:dyDescent="0.25">
      <c r="A406" s="5" t="s">
        <v>941</v>
      </c>
      <c r="B406" s="6" t="s">
        <v>942</v>
      </c>
      <c r="C406" s="6" t="s">
        <v>166</v>
      </c>
      <c r="D406" s="7" t="str">
        <f t="shared" si="30"/>
        <v>m</v>
      </c>
      <c r="E406" t="str">
        <f t="shared" si="31"/>
        <v>J</v>
      </c>
      <c r="F406" t="str">
        <f t="shared" si="32"/>
        <v>Ręc</v>
      </c>
      <c r="G406" t="str">
        <f t="shared" si="33"/>
        <v>6</v>
      </c>
      <c r="H406" t="str">
        <f t="shared" si="34"/>
        <v>JRęc6</v>
      </c>
    </row>
    <row r="407" spans="1:8" x14ac:dyDescent="0.25">
      <c r="A407" s="8" t="s">
        <v>943</v>
      </c>
      <c r="B407" s="9" t="s">
        <v>944</v>
      </c>
      <c r="C407" s="9" t="s">
        <v>448</v>
      </c>
      <c r="D407" s="7" t="str">
        <f t="shared" si="30"/>
        <v>k</v>
      </c>
      <c r="E407" t="str">
        <f t="shared" si="31"/>
        <v>H</v>
      </c>
      <c r="F407" t="str">
        <f t="shared" si="32"/>
        <v>Ste</v>
      </c>
      <c r="G407" t="str">
        <f t="shared" si="33"/>
        <v>3</v>
      </c>
      <c r="H407" t="str">
        <f t="shared" si="34"/>
        <v>HSte3</v>
      </c>
    </row>
    <row r="408" spans="1:8" x14ac:dyDescent="0.25">
      <c r="A408" s="5" t="s">
        <v>945</v>
      </c>
      <c r="B408" s="6" t="s">
        <v>946</v>
      </c>
      <c r="C408" s="6" t="s">
        <v>754</v>
      </c>
      <c r="D408" s="7" t="str">
        <f t="shared" si="30"/>
        <v>m</v>
      </c>
      <c r="E408" t="str">
        <f t="shared" si="31"/>
        <v>C</v>
      </c>
      <c r="F408" t="str">
        <f t="shared" si="32"/>
        <v>Swi</v>
      </c>
      <c r="G408" t="str">
        <f t="shared" si="33"/>
        <v>4</v>
      </c>
      <c r="H408" t="str">
        <f t="shared" si="34"/>
        <v>CSwi4</v>
      </c>
    </row>
    <row r="409" spans="1:8" x14ac:dyDescent="0.25">
      <c r="A409" s="8" t="s">
        <v>947</v>
      </c>
      <c r="B409" s="9" t="s">
        <v>948</v>
      </c>
      <c r="C409" s="9" t="s">
        <v>607</v>
      </c>
      <c r="D409" s="7" t="str">
        <f t="shared" si="30"/>
        <v>k</v>
      </c>
      <c r="E409" t="str">
        <f t="shared" si="31"/>
        <v>J</v>
      </c>
      <c r="F409" t="str">
        <f t="shared" si="32"/>
        <v>Sib</v>
      </c>
      <c r="G409" t="str">
        <f t="shared" si="33"/>
        <v>3</v>
      </c>
      <c r="H409" t="str">
        <f t="shared" si="34"/>
        <v>JSib3</v>
      </c>
    </row>
    <row r="410" spans="1:8" x14ac:dyDescent="0.25">
      <c r="A410" s="5" t="s">
        <v>949</v>
      </c>
      <c r="B410" s="6" t="s">
        <v>950</v>
      </c>
      <c r="C410" s="6" t="s">
        <v>951</v>
      </c>
      <c r="D410" s="7" t="str">
        <f t="shared" si="30"/>
        <v>k</v>
      </c>
      <c r="E410" t="str">
        <f t="shared" si="31"/>
        <v>L</v>
      </c>
      <c r="F410" t="str">
        <f t="shared" si="32"/>
        <v>Mak</v>
      </c>
      <c r="G410" t="str">
        <f t="shared" si="33"/>
        <v>5</v>
      </c>
      <c r="H410" t="str">
        <f t="shared" si="34"/>
        <v>LMak5</v>
      </c>
    </row>
    <row r="411" spans="1:8" x14ac:dyDescent="0.25">
      <c r="A411" s="8" t="s">
        <v>952</v>
      </c>
      <c r="B411" s="9" t="s">
        <v>953</v>
      </c>
      <c r="C411" s="9" t="s">
        <v>73</v>
      </c>
      <c r="D411" s="7" t="str">
        <f t="shared" si="30"/>
        <v>m</v>
      </c>
      <c r="E411" t="str">
        <f t="shared" si="31"/>
        <v>P</v>
      </c>
      <c r="F411" t="str">
        <f t="shared" si="32"/>
        <v>Dzi</v>
      </c>
      <c r="G411" t="str">
        <f t="shared" si="33"/>
        <v>6</v>
      </c>
      <c r="H411" t="str">
        <f t="shared" si="34"/>
        <v>PDzi6</v>
      </c>
    </row>
    <row r="412" spans="1:8" x14ac:dyDescent="0.25">
      <c r="A412" s="5" t="s">
        <v>954</v>
      </c>
      <c r="B412" s="6" t="s">
        <v>955</v>
      </c>
      <c r="C412" s="6" t="s">
        <v>89</v>
      </c>
      <c r="D412" s="7" t="str">
        <f t="shared" si="30"/>
        <v>k</v>
      </c>
      <c r="E412" t="str">
        <f t="shared" si="31"/>
        <v>M</v>
      </c>
      <c r="F412" t="str">
        <f t="shared" si="32"/>
        <v>Lem</v>
      </c>
      <c r="G412" t="str">
        <f t="shared" si="33"/>
        <v>8</v>
      </c>
      <c r="H412" t="str">
        <f t="shared" si="34"/>
        <v>MLem8</v>
      </c>
    </row>
    <row r="413" spans="1:8" x14ac:dyDescent="0.25">
      <c r="A413" s="8" t="s">
        <v>956</v>
      </c>
      <c r="B413" s="9" t="s">
        <v>957</v>
      </c>
      <c r="C413" s="9" t="s">
        <v>448</v>
      </c>
      <c r="D413" s="7" t="str">
        <f t="shared" si="30"/>
        <v>k</v>
      </c>
      <c r="E413" t="str">
        <f t="shared" si="31"/>
        <v>H</v>
      </c>
      <c r="F413" t="str">
        <f t="shared" si="32"/>
        <v>Sta</v>
      </c>
      <c r="G413" t="str">
        <f t="shared" si="33"/>
        <v>4</v>
      </c>
      <c r="H413" t="str">
        <f t="shared" si="34"/>
        <v>HSta4</v>
      </c>
    </row>
    <row r="414" spans="1:8" x14ac:dyDescent="0.25">
      <c r="A414" s="5" t="s">
        <v>958</v>
      </c>
      <c r="B414" s="6" t="s">
        <v>207</v>
      </c>
      <c r="C414" s="6" t="s">
        <v>906</v>
      </c>
      <c r="D414" s="7" t="str">
        <f t="shared" si="30"/>
        <v>m</v>
      </c>
      <c r="E414" t="str">
        <f t="shared" si="31"/>
        <v>A</v>
      </c>
      <c r="F414" t="str">
        <f t="shared" si="32"/>
        <v>Wiz</v>
      </c>
      <c r="G414" t="str">
        <f t="shared" si="33"/>
        <v>1</v>
      </c>
      <c r="H414" t="str">
        <f t="shared" si="34"/>
        <v>AWiz1</v>
      </c>
    </row>
    <row r="415" spans="1:8" x14ac:dyDescent="0.25">
      <c r="A415" s="8" t="s">
        <v>959</v>
      </c>
      <c r="B415" s="9" t="s">
        <v>960</v>
      </c>
      <c r="C415" s="9" t="s">
        <v>464</v>
      </c>
      <c r="D415" s="7" t="str">
        <f t="shared" si="30"/>
        <v>m</v>
      </c>
      <c r="E415" t="str">
        <f t="shared" si="31"/>
        <v>A</v>
      </c>
      <c r="F415" t="str">
        <f t="shared" si="32"/>
        <v>Zaw</v>
      </c>
      <c r="G415" t="str">
        <f t="shared" si="33"/>
        <v>8</v>
      </c>
      <c r="H415" t="str">
        <f t="shared" si="34"/>
        <v>AZaw8</v>
      </c>
    </row>
    <row r="416" spans="1:8" x14ac:dyDescent="0.25">
      <c r="A416" s="5" t="s">
        <v>961</v>
      </c>
      <c r="B416" s="6" t="s">
        <v>962</v>
      </c>
      <c r="C416" s="6" t="s">
        <v>428</v>
      </c>
      <c r="D416" s="7" t="str">
        <f t="shared" si="30"/>
        <v>k</v>
      </c>
      <c r="E416" t="str">
        <f t="shared" si="31"/>
        <v>Z</v>
      </c>
      <c r="F416" t="str">
        <f t="shared" si="32"/>
        <v>Ada</v>
      </c>
      <c r="G416" t="str">
        <f t="shared" si="33"/>
        <v>1</v>
      </c>
      <c r="H416" t="str">
        <f t="shared" si="34"/>
        <v>ZAda1</v>
      </c>
    </row>
    <row r="417" spans="1:8" x14ac:dyDescent="0.25">
      <c r="A417" s="8" t="s">
        <v>963</v>
      </c>
      <c r="B417" s="9" t="s">
        <v>964</v>
      </c>
      <c r="C417" s="9" t="s">
        <v>464</v>
      </c>
      <c r="D417" s="7" t="str">
        <f t="shared" si="30"/>
        <v>m</v>
      </c>
      <c r="E417" t="str">
        <f t="shared" si="31"/>
        <v>A</v>
      </c>
      <c r="F417" t="str">
        <f t="shared" si="32"/>
        <v>Yuk</v>
      </c>
      <c r="G417" t="str">
        <f t="shared" si="33"/>
        <v>8</v>
      </c>
      <c r="H417" t="str">
        <f t="shared" si="34"/>
        <v>AYuk8</v>
      </c>
    </row>
    <row r="418" spans="1:8" x14ac:dyDescent="0.25">
      <c r="A418" s="5" t="s">
        <v>965</v>
      </c>
      <c r="B418" s="6" t="s">
        <v>966</v>
      </c>
      <c r="C418" s="6" t="s">
        <v>382</v>
      </c>
      <c r="D418" s="7" t="str">
        <f t="shared" si="30"/>
        <v>k</v>
      </c>
      <c r="E418" t="str">
        <f t="shared" si="31"/>
        <v>K</v>
      </c>
      <c r="F418" t="str">
        <f t="shared" si="32"/>
        <v>Per</v>
      </c>
      <c r="G418" t="str">
        <f t="shared" si="33"/>
        <v>6</v>
      </c>
      <c r="H418" t="str">
        <f t="shared" si="34"/>
        <v>KPer6</v>
      </c>
    </row>
    <row r="419" spans="1:8" x14ac:dyDescent="0.25">
      <c r="A419" s="8" t="s">
        <v>967</v>
      </c>
      <c r="B419" s="9" t="s">
        <v>968</v>
      </c>
      <c r="C419" s="9" t="s">
        <v>73</v>
      </c>
      <c r="D419" s="7" t="str">
        <f t="shared" si="30"/>
        <v>m</v>
      </c>
      <c r="E419" t="str">
        <f t="shared" si="31"/>
        <v>P</v>
      </c>
      <c r="F419" t="str">
        <f t="shared" si="32"/>
        <v>Dus</v>
      </c>
      <c r="G419" t="str">
        <f t="shared" si="33"/>
        <v>8</v>
      </c>
      <c r="H419" t="str">
        <f t="shared" si="34"/>
        <v>PDus8</v>
      </c>
    </row>
    <row r="420" spans="1:8" x14ac:dyDescent="0.25">
      <c r="A420" s="5" t="s">
        <v>969</v>
      </c>
      <c r="B420" s="6" t="s">
        <v>970</v>
      </c>
      <c r="C420" s="6" t="s">
        <v>89</v>
      </c>
      <c r="D420" s="7" t="str">
        <f t="shared" si="30"/>
        <v>k</v>
      </c>
      <c r="E420" t="str">
        <f t="shared" si="31"/>
        <v>M</v>
      </c>
      <c r="F420" t="str">
        <f t="shared" si="32"/>
        <v>Kul</v>
      </c>
      <c r="G420" t="str">
        <f t="shared" si="33"/>
        <v>7</v>
      </c>
      <c r="H420" t="str">
        <f t="shared" si="34"/>
        <v>MKul7</v>
      </c>
    </row>
    <row r="421" spans="1:8" x14ac:dyDescent="0.25">
      <c r="A421" s="8" t="s">
        <v>971</v>
      </c>
      <c r="B421" s="9" t="s">
        <v>972</v>
      </c>
      <c r="C421" s="9" t="s">
        <v>973</v>
      </c>
      <c r="D421" s="7" t="str">
        <f t="shared" si="30"/>
        <v>k</v>
      </c>
      <c r="E421" t="str">
        <f t="shared" si="31"/>
        <v>A</v>
      </c>
      <c r="F421" t="str">
        <f t="shared" si="32"/>
        <v>Zyl</v>
      </c>
      <c r="G421" t="str">
        <f t="shared" si="33"/>
        <v>5</v>
      </c>
      <c r="H421" t="str">
        <f t="shared" si="34"/>
        <v>AZyl5</v>
      </c>
    </row>
    <row r="422" spans="1:8" x14ac:dyDescent="0.25">
      <c r="A422" s="5" t="s">
        <v>974</v>
      </c>
      <c r="B422" s="6" t="s">
        <v>171</v>
      </c>
      <c r="C422" s="6" t="s">
        <v>105</v>
      </c>
      <c r="D422" s="7" t="str">
        <f t="shared" si="30"/>
        <v>m</v>
      </c>
      <c r="E422" t="str">
        <f t="shared" si="31"/>
        <v>K</v>
      </c>
      <c r="F422" t="str">
        <f t="shared" si="32"/>
        <v>Now</v>
      </c>
      <c r="G422" t="str">
        <f t="shared" si="33"/>
        <v>7</v>
      </c>
      <c r="H422" t="str">
        <f t="shared" si="34"/>
        <v>KNow7</v>
      </c>
    </row>
    <row r="423" spans="1:8" x14ac:dyDescent="0.25">
      <c r="A423" s="8" t="s">
        <v>975</v>
      </c>
      <c r="B423" s="9" t="s">
        <v>976</v>
      </c>
      <c r="C423" s="9" t="s">
        <v>39</v>
      </c>
      <c r="D423" s="7" t="str">
        <f t="shared" si="30"/>
        <v>m</v>
      </c>
      <c r="E423" t="str">
        <f t="shared" si="31"/>
        <v>M</v>
      </c>
      <c r="F423" t="str">
        <f t="shared" si="32"/>
        <v>Lys</v>
      </c>
      <c r="G423" t="str">
        <f t="shared" si="33"/>
        <v>5</v>
      </c>
      <c r="H423" t="str">
        <f t="shared" si="34"/>
        <v>MLys5</v>
      </c>
    </row>
    <row r="424" spans="1:8" x14ac:dyDescent="0.25">
      <c r="A424" s="5" t="s">
        <v>977</v>
      </c>
      <c r="B424" s="6" t="s">
        <v>978</v>
      </c>
      <c r="C424" s="6" t="s">
        <v>979</v>
      </c>
      <c r="D424" s="7" t="str">
        <f t="shared" si="30"/>
        <v>k</v>
      </c>
      <c r="E424" t="str">
        <f t="shared" si="31"/>
        <v>A</v>
      </c>
      <c r="F424" t="str">
        <f t="shared" si="32"/>
        <v>Zdr</v>
      </c>
      <c r="G424" t="str">
        <f t="shared" si="33"/>
        <v>9</v>
      </c>
      <c r="H424" t="str">
        <f t="shared" si="34"/>
        <v>AZdr9</v>
      </c>
    </row>
    <row r="425" spans="1:8" x14ac:dyDescent="0.25">
      <c r="A425" s="8" t="s">
        <v>980</v>
      </c>
      <c r="B425" s="9" t="s">
        <v>981</v>
      </c>
      <c r="C425" s="9" t="s">
        <v>226</v>
      </c>
      <c r="D425" s="7" t="str">
        <f t="shared" si="30"/>
        <v>k</v>
      </c>
      <c r="E425" t="str">
        <f t="shared" si="31"/>
        <v>U</v>
      </c>
      <c r="F425" t="str">
        <f t="shared" si="32"/>
        <v>Eng</v>
      </c>
      <c r="G425" t="str">
        <f t="shared" si="33"/>
        <v>3</v>
      </c>
      <c r="H425" t="str">
        <f t="shared" si="34"/>
        <v>UEng3</v>
      </c>
    </row>
    <row r="426" spans="1:8" x14ac:dyDescent="0.25">
      <c r="A426" s="5" t="s">
        <v>982</v>
      </c>
      <c r="B426" s="6" t="s">
        <v>983</v>
      </c>
      <c r="C426" s="6" t="s">
        <v>979</v>
      </c>
      <c r="D426" s="7" t="str">
        <f t="shared" si="30"/>
        <v>k</v>
      </c>
      <c r="E426" t="str">
        <f t="shared" si="31"/>
        <v>A</v>
      </c>
      <c r="F426" t="str">
        <f t="shared" si="32"/>
        <v>Zga</v>
      </c>
      <c r="G426" t="str">
        <f t="shared" si="33"/>
        <v>8</v>
      </c>
      <c r="H426" t="str">
        <f t="shared" si="34"/>
        <v>AZga8</v>
      </c>
    </row>
    <row r="427" spans="1:8" x14ac:dyDescent="0.25">
      <c r="A427" s="8" t="s">
        <v>984</v>
      </c>
      <c r="B427" s="9" t="s">
        <v>985</v>
      </c>
      <c r="C427" s="9" t="s">
        <v>260</v>
      </c>
      <c r="D427" s="7" t="str">
        <f t="shared" si="30"/>
        <v>m</v>
      </c>
      <c r="E427" t="str">
        <f t="shared" si="31"/>
        <v>F</v>
      </c>
      <c r="F427" t="str">
        <f t="shared" si="32"/>
        <v>Str</v>
      </c>
      <c r="G427" t="str">
        <f t="shared" si="33"/>
        <v>0</v>
      </c>
      <c r="H427" t="str">
        <f t="shared" si="34"/>
        <v>FStr0</v>
      </c>
    </row>
    <row r="428" spans="1:8" x14ac:dyDescent="0.25">
      <c r="A428" s="5" t="s">
        <v>986</v>
      </c>
      <c r="B428" s="6" t="s">
        <v>987</v>
      </c>
      <c r="C428" s="6" t="s">
        <v>309</v>
      </c>
      <c r="D428" s="7" t="str">
        <f t="shared" si="30"/>
        <v>k</v>
      </c>
      <c r="E428" t="str">
        <f t="shared" si="31"/>
        <v>J</v>
      </c>
      <c r="F428" t="str">
        <f t="shared" si="32"/>
        <v>Rec</v>
      </c>
      <c r="G428" t="str">
        <f t="shared" si="33"/>
        <v>8</v>
      </c>
      <c r="H428" t="str">
        <f t="shared" si="34"/>
        <v>JRec8</v>
      </c>
    </row>
    <row r="429" spans="1:8" x14ac:dyDescent="0.25">
      <c r="A429" s="8" t="s">
        <v>988</v>
      </c>
      <c r="B429" s="9" t="s">
        <v>989</v>
      </c>
      <c r="C429" s="9" t="s">
        <v>419</v>
      </c>
      <c r="D429" s="7" t="str">
        <f t="shared" si="30"/>
        <v>k</v>
      </c>
      <c r="E429" t="str">
        <f t="shared" si="31"/>
        <v>L</v>
      </c>
      <c r="F429" t="str">
        <f t="shared" si="32"/>
        <v>Maz</v>
      </c>
      <c r="G429" t="str">
        <f t="shared" si="33"/>
        <v>3</v>
      </c>
      <c r="H429" t="str">
        <f t="shared" si="34"/>
        <v>LMaz3</v>
      </c>
    </row>
    <row r="430" spans="1:8" x14ac:dyDescent="0.25">
      <c r="A430" s="5" t="s">
        <v>990</v>
      </c>
      <c r="B430" s="6" t="s">
        <v>218</v>
      </c>
      <c r="C430" s="6" t="s">
        <v>166</v>
      </c>
      <c r="D430" s="7" t="str">
        <f t="shared" si="30"/>
        <v>m</v>
      </c>
      <c r="E430" t="str">
        <f t="shared" si="31"/>
        <v>J</v>
      </c>
      <c r="F430" t="str">
        <f t="shared" si="32"/>
        <v>Pot</v>
      </c>
      <c r="G430" t="str">
        <f t="shared" si="33"/>
        <v>5</v>
      </c>
      <c r="H430" t="str">
        <f t="shared" si="34"/>
        <v>JPot5</v>
      </c>
    </row>
    <row r="431" spans="1:8" x14ac:dyDescent="0.25">
      <c r="A431" s="8" t="s">
        <v>991</v>
      </c>
      <c r="B431" s="9" t="s">
        <v>992</v>
      </c>
      <c r="C431" s="9" t="s">
        <v>567</v>
      </c>
      <c r="D431" s="7" t="str">
        <f t="shared" si="30"/>
        <v>m</v>
      </c>
      <c r="E431" t="str">
        <f t="shared" si="31"/>
        <v>P</v>
      </c>
      <c r="F431" t="str">
        <f t="shared" si="32"/>
        <v>Fur</v>
      </c>
      <c r="G431" t="str">
        <f t="shared" si="33"/>
        <v>8</v>
      </c>
      <c r="H431" t="str">
        <f t="shared" si="34"/>
        <v>PFur8</v>
      </c>
    </row>
    <row r="432" spans="1:8" x14ac:dyDescent="0.25">
      <c r="A432" s="5" t="s">
        <v>993</v>
      </c>
      <c r="B432" s="6" t="s">
        <v>994</v>
      </c>
      <c r="C432" s="6" t="s">
        <v>419</v>
      </c>
      <c r="D432" s="7" t="str">
        <f t="shared" si="30"/>
        <v>k</v>
      </c>
      <c r="E432" t="str">
        <f t="shared" si="31"/>
        <v>L</v>
      </c>
      <c r="F432" t="str">
        <f t="shared" si="32"/>
        <v>Mar</v>
      </c>
      <c r="G432" t="str">
        <f t="shared" si="33"/>
        <v>4</v>
      </c>
      <c r="H432" t="str">
        <f t="shared" si="34"/>
        <v>LMar4</v>
      </c>
    </row>
    <row r="433" spans="1:8" x14ac:dyDescent="0.25">
      <c r="A433" s="8" t="s">
        <v>995</v>
      </c>
      <c r="B433" s="9" t="s">
        <v>996</v>
      </c>
      <c r="C433" s="9" t="s">
        <v>28</v>
      </c>
      <c r="D433" s="7" t="str">
        <f t="shared" si="30"/>
        <v>m</v>
      </c>
      <c r="E433" t="str">
        <f t="shared" si="31"/>
        <v>B</v>
      </c>
      <c r="F433" t="str">
        <f t="shared" si="32"/>
        <v>Tom</v>
      </c>
      <c r="G433" t="str">
        <f t="shared" si="33"/>
        <v>1</v>
      </c>
      <c r="H433" t="str">
        <f t="shared" si="34"/>
        <v>BTom1</v>
      </c>
    </row>
    <row r="434" spans="1:8" x14ac:dyDescent="0.25">
      <c r="A434" s="5" t="s">
        <v>997</v>
      </c>
      <c r="B434" s="6" t="s">
        <v>998</v>
      </c>
      <c r="C434" s="6" t="s">
        <v>260</v>
      </c>
      <c r="D434" s="7" t="str">
        <f t="shared" si="30"/>
        <v>m</v>
      </c>
      <c r="E434" t="str">
        <f t="shared" si="31"/>
        <v>F</v>
      </c>
      <c r="F434" t="str">
        <f t="shared" si="32"/>
        <v>Str</v>
      </c>
      <c r="G434" t="str">
        <f t="shared" si="33"/>
        <v>7</v>
      </c>
      <c r="H434" t="str">
        <f t="shared" si="34"/>
        <v>FStr7</v>
      </c>
    </row>
    <row r="435" spans="1:8" x14ac:dyDescent="0.25">
      <c r="A435" s="8" t="s">
        <v>999</v>
      </c>
      <c r="B435" s="9" t="s">
        <v>1000</v>
      </c>
      <c r="C435" s="9" t="s">
        <v>284</v>
      </c>
      <c r="D435" s="7" t="str">
        <f t="shared" si="30"/>
        <v>k</v>
      </c>
      <c r="E435" t="str">
        <f t="shared" si="31"/>
        <v>E</v>
      </c>
      <c r="F435" t="str">
        <f t="shared" si="32"/>
        <v>Szc</v>
      </c>
      <c r="G435" t="str">
        <f t="shared" si="33"/>
        <v>9</v>
      </c>
      <c r="H435" t="str">
        <f t="shared" si="34"/>
        <v>ESzc9</v>
      </c>
    </row>
    <row r="436" spans="1:8" x14ac:dyDescent="0.25">
      <c r="A436" s="5" t="s">
        <v>1001</v>
      </c>
      <c r="B436" s="6" t="s">
        <v>1002</v>
      </c>
      <c r="C436" s="6" t="s">
        <v>1003</v>
      </c>
      <c r="D436" s="7" t="str">
        <f t="shared" si="30"/>
        <v>k</v>
      </c>
      <c r="E436" t="str">
        <f t="shared" si="31"/>
        <v>A</v>
      </c>
      <c r="F436" t="str">
        <f t="shared" si="32"/>
        <v>Wam</v>
      </c>
      <c r="G436" t="str">
        <f t="shared" si="33"/>
        <v>3</v>
      </c>
      <c r="H436" t="str">
        <f t="shared" si="34"/>
        <v>AWam3</v>
      </c>
    </row>
    <row r="437" spans="1:8" x14ac:dyDescent="0.25">
      <c r="A437" s="8" t="s">
        <v>1004</v>
      </c>
      <c r="B437" s="9" t="s">
        <v>1005</v>
      </c>
      <c r="C437" s="9" t="s">
        <v>260</v>
      </c>
      <c r="D437" s="7" t="str">
        <f t="shared" si="30"/>
        <v>m</v>
      </c>
      <c r="E437" t="str">
        <f t="shared" si="31"/>
        <v>F</v>
      </c>
      <c r="F437" t="str">
        <f t="shared" si="32"/>
        <v>Spy</v>
      </c>
      <c r="G437" t="str">
        <f t="shared" si="33"/>
        <v>0</v>
      </c>
      <c r="H437" t="str">
        <f t="shared" si="34"/>
        <v>FSpy0</v>
      </c>
    </row>
    <row r="438" spans="1:8" x14ac:dyDescent="0.25">
      <c r="A438" s="5" t="s">
        <v>1006</v>
      </c>
      <c r="B438" s="6" t="s">
        <v>1007</v>
      </c>
      <c r="C438" s="6" t="s">
        <v>263</v>
      </c>
      <c r="D438" s="7" t="str">
        <f t="shared" si="30"/>
        <v>k</v>
      </c>
      <c r="E438" t="str">
        <f t="shared" si="31"/>
        <v>K</v>
      </c>
      <c r="F438" t="str">
        <f t="shared" si="32"/>
        <v>Bia</v>
      </c>
      <c r="G438" t="str">
        <f t="shared" si="33"/>
        <v>7</v>
      </c>
      <c r="H438" t="str">
        <f t="shared" si="34"/>
        <v>KBia7</v>
      </c>
    </row>
    <row r="439" spans="1:8" x14ac:dyDescent="0.25">
      <c r="A439" s="8" t="s">
        <v>1008</v>
      </c>
      <c r="B439" s="9" t="s">
        <v>1009</v>
      </c>
      <c r="C439" s="9" t="s">
        <v>1010</v>
      </c>
      <c r="D439" s="7" t="str">
        <f t="shared" si="30"/>
        <v>k</v>
      </c>
      <c r="E439" t="str">
        <f t="shared" si="31"/>
        <v>A</v>
      </c>
      <c r="F439" t="str">
        <f t="shared" si="32"/>
        <v>Bsk</v>
      </c>
      <c r="G439" t="str">
        <f t="shared" si="33"/>
        <v>2</v>
      </c>
      <c r="H439" t="str">
        <f t="shared" si="34"/>
        <v>ABsk2</v>
      </c>
    </row>
    <row r="440" spans="1:8" x14ac:dyDescent="0.25">
      <c r="A440" s="5" t="s">
        <v>1011</v>
      </c>
      <c r="B440" s="6" t="s">
        <v>1012</v>
      </c>
      <c r="C440" s="6" t="s">
        <v>111</v>
      </c>
      <c r="D440" s="7" t="str">
        <f t="shared" si="30"/>
        <v>k</v>
      </c>
      <c r="E440" t="str">
        <f t="shared" si="31"/>
        <v>A</v>
      </c>
      <c r="F440" t="str">
        <f t="shared" si="32"/>
        <v>Woj</v>
      </c>
      <c r="G440" t="str">
        <f t="shared" si="33"/>
        <v>7</v>
      </c>
      <c r="H440" t="str">
        <f t="shared" si="34"/>
        <v>AWoj7</v>
      </c>
    </row>
    <row r="441" spans="1:8" x14ac:dyDescent="0.25">
      <c r="A441" s="8" t="s">
        <v>1013</v>
      </c>
      <c r="B441" s="9" t="s">
        <v>1014</v>
      </c>
      <c r="C441" s="9" t="s">
        <v>936</v>
      </c>
      <c r="D441" s="7" t="str">
        <f t="shared" si="30"/>
        <v>m</v>
      </c>
      <c r="E441" t="str">
        <f t="shared" si="31"/>
        <v>D</v>
      </c>
      <c r="F441" t="str">
        <f t="shared" si="32"/>
        <v>Szc</v>
      </c>
      <c r="G441" t="str">
        <f t="shared" si="33"/>
        <v>4</v>
      </c>
      <c r="H441" t="str">
        <f t="shared" si="34"/>
        <v>DSzc4</v>
      </c>
    </row>
    <row r="442" spans="1:8" x14ac:dyDescent="0.25">
      <c r="A442" s="5" t="s">
        <v>1015</v>
      </c>
      <c r="B442" s="6" t="s">
        <v>1016</v>
      </c>
      <c r="C442" s="6" t="s">
        <v>1017</v>
      </c>
      <c r="D442" s="7" t="str">
        <f t="shared" si="30"/>
        <v>k</v>
      </c>
      <c r="E442" t="str">
        <f t="shared" si="31"/>
        <v>I</v>
      </c>
      <c r="F442" t="str">
        <f t="shared" si="32"/>
        <v>Hel</v>
      </c>
      <c r="G442" t="str">
        <f t="shared" si="33"/>
        <v>9</v>
      </c>
      <c r="H442" t="str">
        <f t="shared" si="34"/>
        <v>IHel9</v>
      </c>
    </row>
    <row r="443" spans="1:8" x14ac:dyDescent="0.25">
      <c r="A443" s="8" t="s">
        <v>1018</v>
      </c>
      <c r="B443" s="9" t="s">
        <v>1019</v>
      </c>
      <c r="C443" s="9" t="s">
        <v>1020</v>
      </c>
      <c r="D443" s="7" t="str">
        <f t="shared" si="30"/>
        <v>k</v>
      </c>
      <c r="E443" t="str">
        <f t="shared" si="31"/>
        <v>D</v>
      </c>
      <c r="F443" t="str">
        <f t="shared" si="32"/>
        <v>Fel</v>
      </c>
      <c r="G443" t="str">
        <f t="shared" si="33"/>
        <v>5</v>
      </c>
      <c r="H443" t="str">
        <f t="shared" si="34"/>
        <v>DFel5</v>
      </c>
    </row>
    <row r="444" spans="1:8" x14ac:dyDescent="0.25">
      <c r="A444" s="5" t="s">
        <v>1021</v>
      </c>
      <c r="B444" s="6" t="s">
        <v>1022</v>
      </c>
      <c r="C444" s="6" t="s">
        <v>419</v>
      </c>
      <c r="D444" s="7" t="str">
        <f t="shared" si="30"/>
        <v>k</v>
      </c>
      <c r="E444" t="str">
        <f t="shared" si="31"/>
        <v>L</v>
      </c>
      <c r="F444" t="str">
        <f t="shared" si="32"/>
        <v>Mro</v>
      </c>
      <c r="G444" t="str">
        <f t="shared" si="33"/>
        <v>3</v>
      </c>
      <c r="H444" t="str">
        <f t="shared" si="34"/>
        <v>LMro3</v>
      </c>
    </row>
    <row r="445" spans="1:8" x14ac:dyDescent="0.25">
      <c r="A445" s="8" t="s">
        <v>1023</v>
      </c>
      <c r="B445" s="9" t="s">
        <v>1024</v>
      </c>
      <c r="C445" s="9" t="s">
        <v>166</v>
      </c>
      <c r="D445" s="7" t="str">
        <f t="shared" si="30"/>
        <v>m</v>
      </c>
      <c r="E445" t="str">
        <f t="shared" si="31"/>
        <v>J</v>
      </c>
      <c r="F445" t="str">
        <f t="shared" si="32"/>
        <v>Rem</v>
      </c>
      <c r="G445" t="str">
        <f t="shared" si="33"/>
        <v>4</v>
      </c>
      <c r="H445" t="str">
        <f t="shared" si="34"/>
        <v>JRem4</v>
      </c>
    </row>
    <row r="446" spans="1:8" x14ac:dyDescent="0.25">
      <c r="A446" s="5" t="s">
        <v>1025</v>
      </c>
      <c r="B446" s="6" t="s">
        <v>1026</v>
      </c>
      <c r="C446" s="6" t="s">
        <v>275</v>
      </c>
      <c r="D446" s="7" t="str">
        <f t="shared" si="30"/>
        <v>k</v>
      </c>
      <c r="E446" t="str">
        <f t="shared" si="31"/>
        <v>M</v>
      </c>
      <c r="F446" t="str">
        <f t="shared" si="32"/>
        <v>Kle</v>
      </c>
      <c r="G446" t="str">
        <f t="shared" si="33"/>
        <v>3</v>
      </c>
      <c r="H446" t="str">
        <f t="shared" si="34"/>
        <v>MKle3</v>
      </c>
    </row>
    <row r="447" spans="1:8" x14ac:dyDescent="0.25">
      <c r="A447" s="8" t="s">
        <v>1027</v>
      </c>
      <c r="B447" s="9" t="s">
        <v>1028</v>
      </c>
      <c r="C447" s="9" t="s">
        <v>20</v>
      </c>
      <c r="D447" s="7" t="str">
        <f t="shared" si="30"/>
        <v>m</v>
      </c>
      <c r="E447" t="str">
        <f t="shared" si="31"/>
        <v>P</v>
      </c>
      <c r="F447" t="str">
        <f t="shared" si="32"/>
        <v>Ges</v>
      </c>
      <c r="G447" t="str">
        <f t="shared" si="33"/>
        <v>5</v>
      </c>
      <c r="H447" t="str">
        <f t="shared" si="34"/>
        <v>PGes5</v>
      </c>
    </row>
    <row r="448" spans="1:8" x14ac:dyDescent="0.25">
      <c r="A448" s="5" t="s">
        <v>1029</v>
      </c>
      <c r="B448" s="6" t="s">
        <v>1030</v>
      </c>
      <c r="C448" s="6" t="s">
        <v>1031</v>
      </c>
      <c r="D448" s="7" t="str">
        <f t="shared" si="30"/>
        <v>k</v>
      </c>
      <c r="E448" t="str">
        <f t="shared" si="31"/>
        <v>R</v>
      </c>
      <c r="F448" t="str">
        <f t="shared" si="32"/>
        <v>Fra</v>
      </c>
      <c r="G448" t="str">
        <f t="shared" si="33"/>
        <v>3</v>
      </c>
      <c r="H448" t="str">
        <f t="shared" si="34"/>
        <v>RFra3</v>
      </c>
    </row>
    <row r="449" spans="1:8" x14ac:dyDescent="0.25">
      <c r="A449" s="8" t="s">
        <v>1032</v>
      </c>
      <c r="B449" s="9" t="s">
        <v>1033</v>
      </c>
      <c r="C449" s="9" t="s">
        <v>266</v>
      </c>
      <c r="D449" s="7" t="str">
        <f t="shared" si="30"/>
        <v>k</v>
      </c>
      <c r="E449" t="str">
        <f t="shared" si="31"/>
        <v>N</v>
      </c>
      <c r="F449" t="str">
        <f t="shared" si="32"/>
        <v>Jur</v>
      </c>
      <c r="G449" t="str">
        <f t="shared" si="33"/>
        <v>5</v>
      </c>
      <c r="H449" t="str">
        <f t="shared" si="34"/>
        <v>NJur5</v>
      </c>
    </row>
    <row r="450" spans="1:8" x14ac:dyDescent="0.25">
      <c r="A450" s="5" t="s">
        <v>1034</v>
      </c>
      <c r="B450" s="6" t="s">
        <v>1007</v>
      </c>
      <c r="C450" s="6" t="s">
        <v>413</v>
      </c>
      <c r="D450" s="7" t="str">
        <f t="shared" ref="D450:D495" si="35">IF(MOD(LEFT(RIGHT(A450,2),1),2)=0,"k","m")</f>
        <v>k</v>
      </c>
      <c r="E450" t="str">
        <f t="shared" si="31"/>
        <v>K</v>
      </c>
      <c r="F450" t="str">
        <f t="shared" si="32"/>
        <v>Bia</v>
      </c>
      <c r="G450" t="str">
        <f t="shared" si="33"/>
        <v>5</v>
      </c>
      <c r="H450" t="str">
        <f t="shared" si="34"/>
        <v>KBia5</v>
      </c>
    </row>
    <row r="451" spans="1:8" x14ac:dyDescent="0.25">
      <c r="A451" s="8" t="s">
        <v>1035</v>
      </c>
      <c r="B451" s="9" t="s">
        <v>1036</v>
      </c>
      <c r="C451" s="9" t="s">
        <v>214</v>
      </c>
      <c r="D451" s="7" t="str">
        <f t="shared" si="35"/>
        <v>k</v>
      </c>
      <c r="E451" t="str">
        <f t="shared" ref="E451:E495" si="36">LEFT(C451,1)</f>
        <v>M</v>
      </c>
      <c r="F451" t="str">
        <f t="shared" ref="F451:F495" si="37">LEFT(B451,3)</f>
        <v>Kol</v>
      </c>
      <c r="G451" t="str">
        <f t="shared" ref="G451:G495" si="38">RIGHT(A451,1)</f>
        <v>3</v>
      </c>
      <c r="H451" t="str">
        <f t="shared" ref="H451:H495" si="39">_xlfn.TEXTJOIN(,,E451,F451,G451)</f>
        <v>MKol3</v>
      </c>
    </row>
    <row r="452" spans="1:8" x14ac:dyDescent="0.25">
      <c r="A452" s="5" t="s">
        <v>1037</v>
      </c>
      <c r="B452" s="6" t="s">
        <v>1038</v>
      </c>
      <c r="C452" s="6" t="s">
        <v>1039</v>
      </c>
      <c r="D452" s="7" t="str">
        <f t="shared" si="35"/>
        <v>k</v>
      </c>
      <c r="E452" t="str">
        <f t="shared" si="36"/>
        <v>J</v>
      </c>
      <c r="F452" t="str">
        <f t="shared" si="37"/>
        <v>Pro</v>
      </c>
      <c r="G452" t="str">
        <f t="shared" si="38"/>
        <v>3</v>
      </c>
      <c r="H452" t="str">
        <f t="shared" si="39"/>
        <v>JPro3</v>
      </c>
    </row>
    <row r="453" spans="1:8" x14ac:dyDescent="0.25">
      <c r="A453" s="8" t="s">
        <v>1040</v>
      </c>
      <c r="B453" s="9" t="s">
        <v>1041</v>
      </c>
      <c r="C453" s="9" t="s">
        <v>233</v>
      </c>
      <c r="D453" s="7" t="str">
        <f t="shared" si="35"/>
        <v>k</v>
      </c>
      <c r="E453" t="str">
        <f t="shared" si="36"/>
        <v>W</v>
      </c>
      <c r="F453" t="str">
        <f t="shared" si="37"/>
        <v>Cie</v>
      </c>
      <c r="G453" t="str">
        <f t="shared" si="38"/>
        <v>9</v>
      </c>
      <c r="H453" t="str">
        <f t="shared" si="39"/>
        <v>WCie9</v>
      </c>
    </row>
    <row r="454" spans="1:8" x14ac:dyDescent="0.25">
      <c r="A454" s="5" t="s">
        <v>1042</v>
      </c>
      <c r="B454" s="6" t="s">
        <v>1043</v>
      </c>
      <c r="C454" s="6" t="s">
        <v>89</v>
      </c>
      <c r="D454" s="7" t="str">
        <f t="shared" si="35"/>
        <v>k</v>
      </c>
      <c r="E454" t="str">
        <f t="shared" si="36"/>
        <v>M</v>
      </c>
      <c r="F454" t="str">
        <f t="shared" si="37"/>
        <v>Lan</v>
      </c>
      <c r="G454" t="str">
        <f t="shared" si="38"/>
        <v>5</v>
      </c>
      <c r="H454" t="str">
        <f t="shared" si="39"/>
        <v>MLan5</v>
      </c>
    </row>
    <row r="455" spans="1:8" x14ac:dyDescent="0.25">
      <c r="A455" s="8" t="s">
        <v>1044</v>
      </c>
      <c r="B455" s="9" t="s">
        <v>1045</v>
      </c>
      <c r="C455" s="9" t="s">
        <v>1046</v>
      </c>
      <c r="D455" s="7" t="str">
        <f t="shared" si="35"/>
        <v>m</v>
      </c>
      <c r="E455" t="str">
        <f t="shared" si="36"/>
        <v>M</v>
      </c>
      <c r="F455" t="str">
        <f t="shared" si="37"/>
        <v>Kul</v>
      </c>
      <c r="G455" t="str">
        <f t="shared" si="38"/>
        <v>2</v>
      </c>
      <c r="H455" t="str">
        <f t="shared" si="39"/>
        <v>MKul2</v>
      </c>
    </row>
    <row r="456" spans="1:8" x14ac:dyDescent="0.25">
      <c r="A456" s="5" t="s">
        <v>1047</v>
      </c>
      <c r="B456" s="6" t="s">
        <v>1048</v>
      </c>
      <c r="C456" s="6" t="s">
        <v>83</v>
      </c>
      <c r="D456" s="7" t="str">
        <f t="shared" si="35"/>
        <v>k</v>
      </c>
      <c r="E456" t="str">
        <f t="shared" si="36"/>
        <v>M</v>
      </c>
      <c r="F456" t="str">
        <f t="shared" si="37"/>
        <v>Klu</v>
      </c>
      <c r="G456" t="str">
        <f t="shared" si="38"/>
        <v>2</v>
      </c>
      <c r="H456" t="str">
        <f t="shared" si="39"/>
        <v>MKlu2</v>
      </c>
    </row>
    <row r="457" spans="1:8" x14ac:dyDescent="0.25">
      <c r="A457" s="8" t="s">
        <v>1049</v>
      </c>
      <c r="B457" s="9" t="s">
        <v>1050</v>
      </c>
      <c r="C457" s="9" t="s">
        <v>194</v>
      </c>
      <c r="D457" s="7" t="str">
        <f t="shared" si="35"/>
        <v>k</v>
      </c>
      <c r="E457" t="str">
        <f t="shared" si="36"/>
        <v>A</v>
      </c>
      <c r="F457" t="str">
        <f t="shared" si="37"/>
        <v>Trz</v>
      </c>
      <c r="G457" t="str">
        <f t="shared" si="38"/>
        <v>9</v>
      </c>
      <c r="H457" t="str">
        <f t="shared" si="39"/>
        <v>ATrz9</v>
      </c>
    </row>
    <row r="458" spans="1:8" x14ac:dyDescent="0.25">
      <c r="A458" s="5" t="s">
        <v>1051</v>
      </c>
      <c r="B458" s="6" t="s">
        <v>1052</v>
      </c>
      <c r="C458" s="6" t="s">
        <v>194</v>
      </c>
      <c r="D458" s="7" t="str">
        <f t="shared" si="35"/>
        <v>k</v>
      </c>
      <c r="E458" t="str">
        <f t="shared" si="36"/>
        <v>A</v>
      </c>
      <c r="F458" t="str">
        <f t="shared" si="37"/>
        <v>Tom</v>
      </c>
      <c r="G458" t="str">
        <f t="shared" si="38"/>
        <v>9</v>
      </c>
      <c r="H458" t="str">
        <f t="shared" si="39"/>
        <v>ATom9</v>
      </c>
    </row>
    <row r="459" spans="1:8" x14ac:dyDescent="0.25">
      <c r="A459" s="8" t="s">
        <v>1053</v>
      </c>
      <c r="B459" s="9" t="s">
        <v>1054</v>
      </c>
      <c r="C459" s="9" t="s">
        <v>166</v>
      </c>
      <c r="D459" s="7" t="str">
        <f t="shared" si="35"/>
        <v>m</v>
      </c>
      <c r="E459" t="str">
        <f t="shared" si="36"/>
        <v>J</v>
      </c>
      <c r="F459" t="str">
        <f t="shared" si="37"/>
        <v>Prz</v>
      </c>
      <c r="G459" t="str">
        <f t="shared" si="38"/>
        <v>6</v>
      </c>
      <c r="H459" t="str">
        <f t="shared" si="39"/>
        <v>JPrz6</v>
      </c>
    </row>
    <row r="460" spans="1:8" x14ac:dyDescent="0.25">
      <c r="A460" s="5" t="s">
        <v>1055</v>
      </c>
      <c r="B460" s="6" t="s">
        <v>1056</v>
      </c>
      <c r="C460" s="6" t="s">
        <v>70</v>
      </c>
      <c r="D460" s="7" t="str">
        <f t="shared" si="35"/>
        <v>k</v>
      </c>
      <c r="E460" t="str">
        <f t="shared" si="36"/>
        <v>N</v>
      </c>
      <c r="F460" t="str">
        <f t="shared" si="37"/>
        <v>Grz</v>
      </c>
      <c r="G460" t="str">
        <f t="shared" si="38"/>
        <v>8</v>
      </c>
      <c r="H460" t="str">
        <f t="shared" si="39"/>
        <v>NGrz8</v>
      </c>
    </row>
    <row r="461" spans="1:8" x14ac:dyDescent="0.25">
      <c r="A461" s="8" t="s">
        <v>1057</v>
      </c>
      <c r="B461" s="9" t="s">
        <v>1058</v>
      </c>
      <c r="C461" s="9" t="s">
        <v>223</v>
      </c>
      <c r="D461" s="7" t="str">
        <f t="shared" si="35"/>
        <v>m</v>
      </c>
      <c r="E461" t="str">
        <f t="shared" si="36"/>
        <v>S</v>
      </c>
      <c r="F461" t="str">
        <f t="shared" si="37"/>
        <v>Der</v>
      </c>
      <c r="G461" t="str">
        <f t="shared" si="38"/>
        <v>1</v>
      </c>
      <c r="H461" t="str">
        <f t="shared" si="39"/>
        <v>SDer1</v>
      </c>
    </row>
    <row r="462" spans="1:8" x14ac:dyDescent="0.25">
      <c r="A462" s="5" t="s">
        <v>1059</v>
      </c>
      <c r="B462" s="6" t="s">
        <v>1060</v>
      </c>
      <c r="C462" s="6" t="s">
        <v>419</v>
      </c>
      <c r="D462" s="7" t="str">
        <f t="shared" si="35"/>
        <v>k</v>
      </c>
      <c r="E462" t="str">
        <f t="shared" si="36"/>
        <v>L</v>
      </c>
      <c r="F462" t="str">
        <f t="shared" si="37"/>
        <v>Mis</v>
      </c>
      <c r="G462" t="str">
        <f t="shared" si="38"/>
        <v>5</v>
      </c>
      <c r="H462" t="str">
        <f t="shared" si="39"/>
        <v>LMis5</v>
      </c>
    </row>
    <row r="463" spans="1:8" x14ac:dyDescent="0.25">
      <c r="A463" s="8" t="s">
        <v>1061</v>
      </c>
      <c r="B463" s="9" t="s">
        <v>1062</v>
      </c>
      <c r="C463" s="9" t="s">
        <v>89</v>
      </c>
      <c r="D463" s="7" t="str">
        <f t="shared" si="35"/>
        <v>k</v>
      </c>
      <c r="E463" t="str">
        <f t="shared" si="36"/>
        <v>M</v>
      </c>
      <c r="F463" t="str">
        <f t="shared" si="37"/>
        <v>Kwi</v>
      </c>
      <c r="G463" t="str">
        <f t="shared" si="38"/>
        <v>7</v>
      </c>
      <c r="H463" t="str">
        <f t="shared" si="39"/>
        <v>MKwi7</v>
      </c>
    </row>
    <row r="464" spans="1:8" x14ac:dyDescent="0.25">
      <c r="A464" s="5" t="s">
        <v>1063</v>
      </c>
      <c r="B464" s="6" t="s">
        <v>1064</v>
      </c>
      <c r="C464" s="6" t="s">
        <v>147</v>
      </c>
      <c r="D464" s="7" t="str">
        <f t="shared" si="35"/>
        <v>k</v>
      </c>
      <c r="E464" t="str">
        <f t="shared" si="36"/>
        <v>M</v>
      </c>
      <c r="F464" t="str">
        <f t="shared" si="37"/>
        <v>Kad</v>
      </c>
      <c r="G464" t="str">
        <f t="shared" si="38"/>
        <v>4</v>
      </c>
      <c r="H464" t="str">
        <f t="shared" si="39"/>
        <v>MKad4</v>
      </c>
    </row>
    <row r="465" spans="1:8" x14ac:dyDescent="0.25">
      <c r="A465" s="8" t="s">
        <v>1065</v>
      </c>
      <c r="B465" s="9" t="s">
        <v>1066</v>
      </c>
      <c r="C465" s="9" t="s">
        <v>142</v>
      </c>
      <c r="D465" s="7" t="str">
        <f t="shared" si="35"/>
        <v>k</v>
      </c>
      <c r="E465" t="str">
        <f t="shared" si="36"/>
        <v>K</v>
      </c>
      <c r="F465" t="str">
        <f t="shared" si="37"/>
        <v>Now</v>
      </c>
      <c r="G465" t="str">
        <f t="shared" si="38"/>
        <v>4</v>
      </c>
      <c r="H465" t="str">
        <f t="shared" si="39"/>
        <v>KNow4</v>
      </c>
    </row>
    <row r="466" spans="1:8" x14ac:dyDescent="0.25">
      <c r="A466" s="5" t="s">
        <v>1067</v>
      </c>
      <c r="B466" s="6" t="s">
        <v>1068</v>
      </c>
      <c r="C466" s="6" t="s">
        <v>56</v>
      </c>
      <c r="D466" s="7" t="str">
        <f t="shared" si="35"/>
        <v>k</v>
      </c>
      <c r="E466" t="str">
        <f t="shared" si="36"/>
        <v>A</v>
      </c>
      <c r="F466" t="str">
        <f t="shared" si="37"/>
        <v>Wil</v>
      </c>
      <c r="G466" t="str">
        <f t="shared" si="38"/>
        <v>0</v>
      </c>
      <c r="H466" t="str">
        <f t="shared" si="39"/>
        <v>AWil0</v>
      </c>
    </row>
    <row r="467" spans="1:8" x14ac:dyDescent="0.25">
      <c r="A467" s="8" t="s">
        <v>1069</v>
      </c>
      <c r="B467" s="9" t="s">
        <v>1070</v>
      </c>
      <c r="C467" s="9" t="s">
        <v>260</v>
      </c>
      <c r="D467" s="7" t="str">
        <f t="shared" si="35"/>
        <v>m</v>
      </c>
      <c r="E467" t="str">
        <f t="shared" si="36"/>
        <v>F</v>
      </c>
      <c r="F467" t="str">
        <f t="shared" si="37"/>
        <v>Str</v>
      </c>
      <c r="G467" t="str">
        <f t="shared" si="38"/>
        <v>9</v>
      </c>
      <c r="H467" t="str">
        <f t="shared" si="39"/>
        <v>FStr9</v>
      </c>
    </row>
    <row r="468" spans="1:8" x14ac:dyDescent="0.25">
      <c r="A468" s="5" t="s">
        <v>1071</v>
      </c>
      <c r="B468" s="6" t="s">
        <v>1072</v>
      </c>
      <c r="C468" s="6" t="s">
        <v>121</v>
      </c>
      <c r="D468" s="7" t="str">
        <f t="shared" si="35"/>
        <v>m</v>
      </c>
      <c r="E468" t="str">
        <f t="shared" si="36"/>
        <v>J</v>
      </c>
      <c r="F468" t="str">
        <f t="shared" si="37"/>
        <v>Pis</v>
      </c>
      <c r="G468" t="str">
        <f t="shared" si="38"/>
        <v>7</v>
      </c>
      <c r="H468" t="str">
        <f t="shared" si="39"/>
        <v>JPis7</v>
      </c>
    </row>
    <row r="469" spans="1:8" x14ac:dyDescent="0.25">
      <c r="A469" s="8" t="s">
        <v>1073</v>
      </c>
      <c r="B469" s="9" t="s">
        <v>1074</v>
      </c>
      <c r="C469" s="9" t="s">
        <v>166</v>
      </c>
      <c r="D469" s="7" t="str">
        <f t="shared" si="35"/>
        <v>m</v>
      </c>
      <c r="E469" t="str">
        <f t="shared" si="36"/>
        <v>J</v>
      </c>
      <c r="F469" t="str">
        <f t="shared" si="37"/>
        <v>Rad</v>
      </c>
      <c r="G469" t="str">
        <f t="shared" si="38"/>
        <v>4</v>
      </c>
      <c r="H469" t="str">
        <f t="shared" si="39"/>
        <v>JRad4</v>
      </c>
    </row>
    <row r="470" spans="1:8" x14ac:dyDescent="0.25">
      <c r="A470" s="5" t="s">
        <v>1075</v>
      </c>
      <c r="B470" s="6" t="s">
        <v>1076</v>
      </c>
      <c r="C470" s="6" t="s">
        <v>121</v>
      </c>
      <c r="D470" s="7" t="str">
        <f t="shared" si="35"/>
        <v>m</v>
      </c>
      <c r="E470" t="str">
        <f t="shared" si="36"/>
        <v>J</v>
      </c>
      <c r="F470" t="str">
        <f t="shared" si="37"/>
        <v>Pie</v>
      </c>
      <c r="G470" t="str">
        <f t="shared" si="38"/>
        <v>3</v>
      </c>
      <c r="H470" t="str">
        <f t="shared" si="39"/>
        <v>JPie3</v>
      </c>
    </row>
    <row r="471" spans="1:8" x14ac:dyDescent="0.25">
      <c r="A471" s="8" t="s">
        <v>1077</v>
      </c>
      <c r="B471" s="9" t="s">
        <v>123</v>
      </c>
      <c r="C471" s="9" t="s">
        <v>223</v>
      </c>
      <c r="D471" s="7" t="str">
        <f t="shared" si="35"/>
        <v>m</v>
      </c>
      <c r="E471" t="str">
        <f t="shared" si="36"/>
        <v>S</v>
      </c>
      <c r="F471" t="str">
        <f t="shared" si="37"/>
        <v>Dab</v>
      </c>
      <c r="G471" t="str">
        <f t="shared" si="38"/>
        <v>7</v>
      </c>
      <c r="H471" t="str">
        <f t="shared" si="39"/>
        <v>SDab7</v>
      </c>
    </row>
    <row r="472" spans="1:8" x14ac:dyDescent="0.25">
      <c r="A472" s="5" t="s">
        <v>1078</v>
      </c>
      <c r="B472" s="6" t="s">
        <v>1079</v>
      </c>
      <c r="C472" s="6" t="s">
        <v>64</v>
      </c>
      <c r="D472" s="7" t="str">
        <f t="shared" si="35"/>
        <v>m</v>
      </c>
      <c r="E472" t="str">
        <f t="shared" si="36"/>
        <v>M</v>
      </c>
      <c r="F472" t="str">
        <f t="shared" si="37"/>
        <v>Ben</v>
      </c>
      <c r="G472" t="str">
        <f t="shared" si="38"/>
        <v>4</v>
      </c>
      <c r="H472" t="str">
        <f t="shared" si="39"/>
        <v>MBen4</v>
      </c>
    </row>
    <row r="473" spans="1:8" x14ac:dyDescent="0.25">
      <c r="A473" s="8" t="s">
        <v>1080</v>
      </c>
      <c r="B473" s="9" t="s">
        <v>1081</v>
      </c>
      <c r="C473" s="9" t="s">
        <v>17</v>
      </c>
      <c r="D473" s="7" t="str">
        <f t="shared" si="35"/>
        <v>m</v>
      </c>
      <c r="E473" t="str">
        <f t="shared" si="36"/>
        <v>M</v>
      </c>
      <c r="F473" t="str">
        <f t="shared" si="37"/>
        <v>Kor</v>
      </c>
      <c r="G473" t="str">
        <f t="shared" si="38"/>
        <v>0</v>
      </c>
      <c r="H473" t="str">
        <f t="shared" si="39"/>
        <v>MKor0</v>
      </c>
    </row>
    <row r="474" spans="1:8" x14ac:dyDescent="0.25">
      <c r="A474" s="5" t="s">
        <v>1082</v>
      </c>
      <c r="B474" s="6" t="s">
        <v>1083</v>
      </c>
      <c r="C474" s="6" t="s">
        <v>1084</v>
      </c>
      <c r="D474" s="7" t="str">
        <f t="shared" si="35"/>
        <v>k</v>
      </c>
      <c r="E474" t="str">
        <f t="shared" si="36"/>
        <v>N</v>
      </c>
      <c r="F474" t="str">
        <f t="shared" si="37"/>
        <v>Jac</v>
      </c>
      <c r="G474" t="str">
        <f t="shared" si="38"/>
        <v>1</v>
      </c>
      <c r="H474" t="str">
        <f t="shared" si="39"/>
        <v>NJac1</v>
      </c>
    </row>
    <row r="475" spans="1:8" x14ac:dyDescent="0.25">
      <c r="A475" s="8" t="s">
        <v>1085</v>
      </c>
      <c r="B475" s="9" t="s">
        <v>1086</v>
      </c>
      <c r="C475" s="9" t="s">
        <v>428</v>
      </c>
      <c r="D475" s="7" t="str">
        <f t="shared" si="35"/>
        <v>k</v>
      </c>
      <c r="E475" t="str">
        <f t="shared" si="36"/>
        <v>Z</v>
      </c>
      <c r="F475" t="str">
        <f t="shared" si="37"/>
        <v>Bro</v>
      </c>
      <c r="G475" t="str">
        <f t="shared" si="38"/>
        <v>0</v>
      </c>
      <c r="H475" t="str">
        <f t="shared" si="39"/>
        <v>ZBro0</v>
      </c>
    </row>
    <row r="476" spans="1:8" x14ac:dyDescent="0.25">
      <c r="A476" s="5" t="s">
        <v>1087</v>
      </c>
      <c r="B476" s="6" t="s">
        <v>1088</v>
      </c>
      <c r="C476" s="6" t="s">
        <v>275</v>
      </c>
      <c r="D476" s="7" t="str">
        <f t="shared" si="35"/>
        <v>k</v>
      </c>
      <c r="E476" t="str">
        <f t="shared" si="36"/>
        <v>M</v>
      </c>
      <c r="F476" t="str">
        <f t="shared" si="37"/>
        <v>Kle</v>
      </c>
      <c r="G476" t="str">
        <f t="shared" si="38"/>
        <v>8</v>
      </c>
      <c r="H476" t="str">
        <f t="shared" si="39"/>
        <v>MKle8</v>
      </c>
    </row>
    <row r="477" spans="1:8" x14ac:dyDescent="0.25">
      <c r="A477" s="8" t="s">
        <v>1089</v>
      </c>
      <c r="B477" s="9" t="s">
        <v>1090</v>
      </c>
      <c r="C477" s="9" t="s">
        <v>25</v>
      </c>
      <c r="D477" s="7" t="str">
        <f t="shared" si="35"/>
        <v>m</v>
      </c>
      <c r="E477" t="str">
        <f t="shared" si="36"/>
        <v>J</v>
      </c>
      <c r="F477" t="str">
        <f t="shared" si="37"/>
        <v>Cio</v>
      </c>
      <c r="G477" t="str">
        <f t="shared" si="38"/>
        <v>3</v>
      </c>
      <c r="H477" t="str">
        <f t="shared" si="39"/>
        <v>JCio3</v>
      </c>
    </row>
    <row r="478" spans="1:8" x14ac:dyDescent="0.25">
      <c r="A478" s="5" t="s">
        <v>1091</v>
      </c>
      <c r="B478" s="6" t="s">
        <v>1092</v>
      </c>
      <c r="C478" s="6" t="s">
        <v>219</v>
      </c>
      <c r="D478" s="7" t="str">
        <f t="shared" si="35"/>
        <v>m</v>
      </c>
      <c r="E478" t="str">
        <f t="shared" si="36"/>
        <v>M</v>
      </c>
      <c r="F478" t="str">
        <f t="shared" si="37"/>
        <v>Bry</v>
      </c>
      <c r="G478" t="str">
        <f t="shared" si="38"/>
        <v>2</v>
      </c>
      <c r="H478" t="str">
        <f t="shared" si="39"/>
        <v>MBry2</v>
      </c>
    </row>
    <row r="479" spans="1:8" x14ac:dyDescent="0.25">
      <c r="A479" s="8" t="s">
        <v>1093</v>
      </c>
      <c r="B479" s="9" t="s">
        <v>1094</v>
      </c>
      <c r="C479" s="9" t="s">
        <v>1095</v>
      </c>
      <c r="D479" s="7" t="str">
        <f t="shared" si="35"/>
        <v>m</v>
      </c>
      <c r="E479" t="str">
        <f t="shared" si="36"/>
        <v>A</v>
      </c>
      <c r="F479" t="str">
        <f t="shared" si="37"/>
        <v>Wit</v>
      </c>
      <c r="G479" t="str">
        <f t="shared" si="38"/>
        <v>4</v>
      </c>
      <c r="H479" t="str">
        <f t="shared" si="39"/>
        <v>AWit4</v>
      </c>
    </row>
    <row r="480" spans="1:8" x14ac:dyDescent="0.25">
      <c r="A480" s="5" t="s">
        <v>1096</v>
      </c>
      <c r="B480" s="6" t="s">
        <v>1097</v>
      </c>
      <c r="C480" s="6" t="s">
        <v>166</v>
      </c>
      <c r="D480" s="7" t="str">
        <f t="shared" si="35"/>
        <v>m</v>
      </c>
      <c r="E480" t="str">
        <f t="shared" si="36"/>
        <v>J</v>
      </c>
      <c r="F480" t="str">
        <f t="shared" si="37"/>
        <v>Rad</v>
      </c>
      <c r="G480" t="str">
        <f t="shared" si="38"/>
        <v>3</v>
      </c>
      <c r="H480" t="str">
        <f t="shared" si="39"/>
        <v>JRad3</v>
      </c>
    </row>
    <row r="481" spans="1:8" x14ac:dyDescent="0.25">
      <c r="A481" s="8" t="s">
        <v>1098</v>
      </c>
      <c r="B481" s="9" t="s">
        <v>1099</v>
      </c>
      <c r="C481" s="9" t="s">
        <v>137</v>
      </c>
      <c r="D481" s="7" t="str">
        <f t="shared" si="35"/>
        <v>k</v>
      </c>
      <c r="E481" t="str">
        <f t="shared" si="36"/>
        <v>M</v>
      </c>
      <c r="F481" t="str">
        <f t="shared" si="37"/>
        <v>Kor</v>
      </c>
      <c r="G481" t="str">
        <f t="shared" si="38"/>
        <v>9</v>
      </c>
      <c r="H481" t="str">
        <f t="shared" si="39"/>
        <v>MKor9</v>
      </c>
    </row>
    <row r="482" spans="1:8" x14ac:dyDescent="0.25">
      <c r="A482" s="5" t="s">
        <v>1100</v>
      </c>
      <c r="B482" s="6" t="s">
        <v>1101</v>
      </c>
      <c r="C482" s="6" t="s">
        <v>287</v>
      </c>
      <c r="D482" s="7" t="str">
        <f t="shared" si="35"/>
        <v>m</v>
      </c>
      <c r="E482" t="str">
        <f t="shared" si="36"/>
        <v>D</v>
      </c>
      <c r="F482" t="str">
        <f t="shared" si="37"/>
        <v>Szr</v>
      </c>
      <c r="G482" t="str">
        <f t="shared" si="38"/>
        <v>2</v>
      </c>
      <c r="H482" t="str">
        <f t="shared" si="39"/>
        <v>DSzr2</v>
      </c>
    </row>
    <row r="483" spans="1:8" x14ac:dyDescent="0.25">
      <c r="A483" s="8" t="s">
        <v>1102</v>
      </c>
      <c r="B483" s="9" t="s">
        <v>1103</v>
      </c>
      <c r="C483" s="9" t="s">
        <v>617</v>
      </c>
      <c r="D483" s="7" t="str">
        <f t="shared" si="35"/>
        <v>k</v>
      </c>
      <c r="E483" t="str">
        <f t="shared" si="36"/>
        <v>L</v>
      </c>
      <c r="F483" t="str">
        <f t="shared" si="37"/>
        <v>Mur</v>
      </c>
      <c r="G483" t="str">
        <f t="shared" si="38"/>
        <v>3</v>
      </c>
      <c r="H483" t="str">
        <f t="shared" si="39"/>
        <v>LMur3</v>
      </c>
    </row>
    <row r="484" spans="1:8" x14ac:dyDescent="0.25">
      <c r="A484" s="5" t="s">
        <v>1104</v>
      </c>
      <c r="B484" s="6" t="s">
        <v>1105</v>
      </c>
      <c r="C484" s="6" t="s">
        <v>89</v>
      </c>
      <c r="D484" s="7" t="str">
        <f t="shared" si="35"/>
        <v>k</v>
      </c>
      <c r="E484" t="str">
        <f t="shared" si="36"/>
        <v>M</v>
      </c>
      <c r="F484" t="str">
        <f t="shared" si="37"/>
        <v>Kur</v>
      </c>
      <c r="G484" t="str">
        <f t="shared" si="38"/>
        <v>1</v>
      </c>
      <c r="H484" t="str">
        <f t="shared" si="39"/>
        <v>MKur1</v>
      </c>
    </row>
    <row r="485" spans="1:8" x14ac:dyDescent="0.25">
      <c r="A485" s="8" t="s">
        <v>1106</v>
      </c>
      <c r="B485" s="9" t="s">
        <v>1107</v>
      </c>
      <c r="C485" s="9" t="s">
        <v>50</v>
      </c>
      <c r="D485" s="7" t="str">
        <f t="shared" si="35"/>
        <v>m</v>
      </c>
      <c r="E485" t="str">
        <f t="shared" si="36"/>
        <v>O</v>
      </c>
      <c r="F485" t="str">
        <f t="shared" si="37"/>
        <v>Hry</v>
      </c>
      <c r="G485" t="str">
        <f t="shared" si="38"/>
        <v>9</v>
      </c>
      <c r="H485" t="str">
        <f t="shared" si="39"/>
        <v>OHry9</v>
      </c>
    </row>
    <row r="486" spans="1:8" x14ac:dyDescent="0.25">
      <c r="A486" s="5" t="s">
        <v>1108</v>
      </c>
      <c r="B486" s="6" t="s">
        <v>586</v>
      </c>
      <c r="C486" s="6" t="s">
        <v>223</v>
      </c>
      <c r="D486" s="7" t="str">
        <f t="shared" si="35"/>
        <v>m</v>
      </c>
      <c r="E486" t="str">
        <f t="shared" si="36"/>
        <v>S</v>
      </c>
      <c r="F486" t="str">
        <f t="shared" si="37"/>
        <v>Cie</v>
      </c>
      <c r="G486" t="str">
        <f t="shared" si="38"/>
        <v>9</v>
      </c>
      <c r="H486" t="str">
        <f t="shared" si="39"/>
        <v>SCie9</v>
      </c>
    </row>
    <row r="487" spans="1:8" x14ac:dyDescent="0.25">
      <c r="A487" s="8" t="s">
        <v>1109</v>
      </c>
      <c r="B487" s="9" t="s">
        <v>1110</v>
      </c>
      <c r="C487" s="9" t="s">
        <v>1111</v>
      </c>
      <c r="D487" s="7" t="str">
        <f t="shared" si="35"/>
        <v>m</v>
      </c>
      <c r="E487" t="str">
        <f t="shared" si="36"/>
        <v>K</v>
      </c>
      <c r="F487" t="str">
        <f t="shared" si="37"/>
        <v>Mie</v>
      </c>
      <c r="G487" t="str">
        <f t="shared" si="38"/>
        <v>0</v>
      </c>
      <c r="H487" t="str">
        <f t="shared" si="39"/>
        <v>KMie0</v>
      </c>
    </row>
    <row r="488" spans="1:8" x14ac:dyDescent="0.25">
      <c r="A488" s="5" t="s">
        <v>1112</v>
      </c>
      <c r="B488" s="6" t="s">
        <v>1113</v>
      </c>
      <c r="C488" s="6" t="s">
        <v>36</v>
      </c>
      <c r="D488" s="7" t="str">
        <f t="shared" si="35"/>
        <v>m</v>
      </c>
      <c r="E488" t="str">
        <f t="shared" si="36"/>
        <v>M</v>
      </c>
      <c r="F488" t="str">
        <f t="shared" si="37"/>
        <v>Lup</v>
      </c>
      <c r="G488" t="str">
        <f t="shared" si="38"/>
        <v>2</v>
      </c>
      <c r="H488" t="str">
        <f t="shared" si="39"/>
        <v>MLup2</v>
      </c>
    </row>
    <row r="489" spans="1:8" x14ac:dyDescent="0.25">
      <c r="A489" s="8" t="s">
        <v>1114</v>
      </c>
      <c r="B489" s="9" t="s">
        <v>1115</v>
      </c>
      <c r="C489" s="9" t="s">
        <v>464</v>
      </c>
      <c r="D489" s="7" t="str">
        <f t="shared" si="35"/>
        <v>m</v>
      </c>
      <c r="E489" t="str">
        <f t="shared" si="36"/>
        <v>A</v>
      </c>
      <c r="F489" t="str">
        <f t="shared" si="37"/>
        <v>Wyd</v>
      </c>
      <c r="G489" t="str">
        <f t="shared" si="38"/>
        <v>1</v>
      </c>
      <c r="H489" t="str">
        <f t="shared" si="39"/>
        <v>AWyd1</v>
      </c>
    </row>
    <row r="490" spans="1:8" x14ac:dyDescent="0.25">
      <c r="A490" s="5" t="s">
        <v>1116</v>
      </c>
      <c r="B490" s="6" t="s">
        <v>1117</v>
      </c>
      <c r="C490" s="6" t="s">
        <v>340</v>
      </c>
      <c r="D490" s="7" t="str">
        <f t="shared" si="35"/>
        <v>k</v>
      </c>
      <c r="E490" t="str">
        <f t="shared" si="36"/>
        <v>A</v>
      </c>
      <c r="F490" t="str">
        <f t="shared" si="37"/>
        <v>Tar</v>
      </c>
      <c r="G490" t="str">
        <f t="shared" si="38"/>
        <v>5</v>
      </c>
      <c r="H490" t="str">
        <f t="shared" si="39"/>
        <v>ATar5</v>
      </c>
    </row>
    <row r="491" spans="1:8" x14ac:dyDescent="0.25">
      <c r="A491" s="8" t="s">
        <v>1118</v>
      </c>
      <c r="B491" s="9" t="s">
        <v>1119</v>
      </c>
      <c r="C491" s="9" t="s">
        <v>86</v>
      </c>
      <c r="D491" s="7" t="str">
        <f t="shared" si="35"/>
        <v>k</v>
      </c>
      <c r="E491" t="str">
        <f t="shared" si="36"/>
        <v>Z</v>
      </c>
      <c r="F491" t="str">
        <f t="shared" si="37"/>
        <v>Ada</v>
      </c>
      <c r="G491" t="str">
        <f t="shared" si="38"/>
        <v>1</v>
      </c>
      <c r="H491" t="str">
        <f t="shared" si="39"/>
        <v>ZAda1</v>
      </c>
    </row>
    <row r="492" spans="1:8" x14ac:dyDescent="0.25">
      <c r="A492" s="5" t="s">
        <v>1120</v>
      </c>
      <c r="B492" s="6" t="s">
        <v>1121</v>
      </c>
      <c r="C492" s="6" t="s">
        <v>223</v>
      </c>
      <c r="D492" s="7" t="str">
        <f t="shared" si="35"/>
        <v>m</v>
      </c>
      <c r="E492" t="str">
        <f t="shared" si="36"/>
        <v>S</v>
      </c>
      <c r="F492" t="str">
        <f t="shared" si="37"/>
        <v>Bur</v>
      </c>
      <c r="G492" t="str">
        <f t="shared" si="38"/>
        <v>6</v>
      </c>
      <c r="H492" t="str">
        <f t="shared" si="39"/>
        <v>SBur6</v>
      </c>
    </row>
    <row r="493" spans="1:8" x14ac:dyDescent="0.25">
      <c r="A493" s="8" t="s">
        <v>1122</v>
      </c>
      <c r="B493" s="9" t="s">
        <v>1123</v>
      </c>
      <c r="C493" s="9" t="s">
        <v>92</v>
      </c>
      <c r="D493" s="7" t="str">
        <f t="shared" si="35"/>
        <v>m</v>
      </c>
      <c r="E493" t="str">
        <f t="shared" si="36"/>
        <v>I</v>
      </c>
      <c r="F493" t="str">
        <f t="shared" si="37"/>
        <v>Ryb</v>
      </c>
      <c r="G493" t="str">
        <f t="shared" si="38"/>
        <v>3</v>
      </c>
      <c r="H493" t="str">
        <f t="shared" si="39"/>
        <v>IRyb3</v>
      </c>
    </row>
    <row r="494" spans="1:8" x14ac:dyDescent="0.25">
      <c r="A494" s="5" t="s">
        <v>1124</v>
      </c>
      <c r="B494" s="6" t="s">
        <v>168</v>
      </c>
      <c r="C494" s="6" t="s">
        <v>880</v>
      </c>
      <c r="D494" s="7" t="str">
        <f t="shared" si="35"/>
        <v>m</v>
      </c>
      <c r="E494" t="str">
        <f t="shared" si="36"/>
        <v>A</v>
      </c>
      <c r="F494" t="str">
        <f t="shared" si="37"/>
        <v>Woj</v>
      </c>
      <c r="G494" t="str">
        <f t="shared" si="38"/>
        <v>0</v>
      </c>
      <c r="H494" t="str">
        <f t="shared" si="39"/>
        <v>AWoj0</v>
      </c>
    </row>
    <row r="495" spans="1:8" x14ac:dyDescent="0.25">
      <c r="A495" s="10" t="s">
        <v>1125</v>
      </c>
      <c r="B495" s="11" t="s">
        <v>1126</v>
      </c>
      <c r="C495" s="11" t="s">
        <v>121</v>
      </c>
      <c r="D495" s="7" t="str">
        <f t="shared" si="35"/>
        <v>m</v>
      </c>
      <c r="E495" t="str">
        <f t="shared" si="36"/>
        <v>J</v>
      </c>
      <c r="F495" t="str">
        <f t="shared" si="37"/>
        <v>Paw</v>
      </c>
      <c r="G495" t="str">
        <f t="shared" si="38"/>
        <v>3</v>
      </c>
      <c r="H495" t="str">
        <f t="shared" si="39"/>
        <v>JPaw3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8112F1-A071-4879-ADF6-FE6BCFB0D9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dane</vt:lpstr>
      <vt:lpstr>91.1</vt:lpstr>
      <vt:lpstr>91.2</vt:lpstr>
      <vt:lpstr>91.3</vt:lpstr>
      <vt:lpstr>91.4</vt:lpstr>
      <vt:lpstr>91.5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Bartek Starosta</dc:creator>
  <cp:lastModifiedBy>Bartlomiej Starosta</cp:lastModifiedBy>
  <dcterms:created xsi:type="dcterms:W3CDTF">2015-06-05T18:19:34Z</dcterms:created>
  <dcterms:modified xsi:type="dcterms:W3CDTF">2026-01-20T16:02:50Z</dcterms:modified>
</cp:coreProperties>
</file>