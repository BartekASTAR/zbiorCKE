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artl\PycharmProjects\zbiorCKE\zbiorCKE\zad092\"/>
    </mc:Choice>
  </mc:AlternateContent>
  <xr:revisionPtr revIDLastSave="0" documentId="13_ncr:1_{41D8748E-5F5C-48DC-93CA-F8E964AF3E26}" xr6:coauthVersionLast="47" xr6:coauthVersionMax="47" xr10:uidLastSave="{00000000-0000-0000-0000-000000000000}"/>
  <bookViews>
    <workbookView xWindow="38280" yWindow="-120" windowWidth="38640" windowHeight="21120" activeTab="1" xr2:uid="{00000000-000D-0000-FFFF-FFFF00000000}"/>
  </bookViews>
  <sheets>
    <sheet name="dane" sheetId="2" r:id="rId1"/>
    <sheet name="92.1" sheetId="3" r:id="rId2"/>
    <sheet name="92.2" sheetId="4" r:id="rId3"/>
    <sheet name="92.3" sheetId="5" r:id="rId4"/>
    <sheet name="92.4" sheetId="6" r:id="rId5"/>
    <sheet name="92.5" sheetId="7" r:id="rId6"/>
  </sheets>
  <definedNames>
    <definedName name="_xlnm._FilterDatabase" localSheetId="1" hidden="1">'92.1'!$C$1:$C$139</definedName>
    <definedName name="_xlnm._FilterDatabase" localSheetId="2" hidden="1">'92.2'!$C$1:$C$139</definedName>
    <definedName name="_xlnm._FilterDatabase" localSheetId="3" hidden="1">'92.3'!$C$1:$C$139</definedName>
    <definedName name="_xlnm._FilterDatabase" localSheetId="4" hidden="1">'92.4'!$C$1:$C$139</definedName>
    <definedName name="_xlnm._FilterDatabase" localSheetId="5" hidden="1">'92.5'!$C$1:$C$139</definedName>
    <definedName name="_xlnm._FilterDatabase" localSheetId="0" hidden="1">dane!$C$1:$C$139</definedName>
  </definedNames>
  <calcPr calcId="191029"/>
  <pivotCaches>
    <pivotCache cacheId="3" r:id="rId7"/>
    <pivotCache cacheId="9" r:id="rId8"/>
    <pivotCache cacheId="14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" i="3" l="1"/>
  <c r="M4" i="3"/>
  <c r="M5" i="3"/>
  <c r="M6" i="3"/>
  <c r="M7" i="3"/>
  <c r="M8" i="3"/>
  <c r="M9" i="3"/>
  <c r="M10" i="3"/>
  <c r="M11" i="3"/>
  <c r="M12" i="3"/>
  <c r="O12" i="3" s="1"/>
  <c r="P12" i="3" s="1"/>
  <c r="Q12" i="3" s="1"/>
  <c r="M13" i="3"/>
  <c r="O13" i="3" s="1"/>
  <c r="P13" i="3" s="1"/>
  <c r="Q13" i="3" s="1"/>
  <c r="M14" i="3"/>
  <c r="O14" i="3" s="1"/>
  <c r="P14" i="3" s="1"/>
  <c r="Q14" i="3" s="1"/>
  <c r="M15" i="3"/>
  <c r="O15" i="3" s="1"/>
  <c r="P15" i="3" s="1"/>
  <c r="Q15" i="3" s="1"/>
  <c r="M16" i="3"/>
  <c r="O16" i="3" s="1"/>
  <c r="P16" i="3" s="1"/>
  <c r="Q16" i="3" s="1"/>
  <c r="M17" i="3"/>
  <c r="O17" i="3" s="1"/>
  <c r="P17" i="3" s="1"/>
  <c r="Q17" i="3" s="1"/>
  <c r="M18" i="3"/>
  <c r="O18" i="3" s="1"/>
  <c r="P18" i="3" s="1"/>
  <c r="Q18" i="3" s="1"/>
  <c r="M19" i="3"/>
  <c r="O19" i="3" s="1"/>
  <c r="P19" i="3" s="1"/>
  <c r="Q19" i="3" s="1"/>
  <c r="M20" i="3"/>
  <c r="M21" i="3"/>
  <c r="M22" i="3"/>
  <c r="O22" i="3" s="1"/>
  <c r="P22" i="3" s="1"/>
  <c r="Q22" i="3" s="1"/>
  <c r="M23" i="3"/>
  <c r="O23" i="3" s="1"/>
  <c r="P23" i="3" s="1"/>
  <c r="Q23" i="3" s="1"/>
  <c r="M24" i="3"/>
  <c r="O24" i="3" s="1"/>
  <c r="P24" i="3" s="1"/>
  <c r="Q24" i="3" s="1"/>
  <c r="M25" i="3"/>
  <c r="O25" i="3" s="1"/>
  <c r="P25" i="3" s="1"/>
  <c r="Q25" i="3" s="1"/>
  <c r="M26" i="3"/>
  <c r="O26" i="3" s="1"/>
  <c r="P26" i="3" s="1"/>
  <c r="Q26" i="3" s="1"/>
  <c r="M27" i="3"/>
  <c r="O27" i="3" s="1"/>
  <c r="P27" i="3" s="1"/>
  <c r="Q27" i="3" s="1"/>
  <c r="M28" i="3"/>
  <c r="O28" i="3" s="1"/>
  <c r="P28" i="3" s="1"/>
  <c r="Q28" i="3" s="1"/>
  <c r="M29" i="3"/>
  <c r="O29" i="3" s="1"/>
  <c r="P29" i="3" s="1"/>
  <c r="Q29" i="3" s="1"/>
  <c r="M30" i="3"/>
  <c r="O30" i="3" s="1"/>
  <c r="P30" i="3" s="1"/>
  <c r="Q30" i="3" s="1"/>
  <c r="M31" i="3"/>
  <c r="M32" i="3"/>
  <c r="M33" i="3"/>
  <c r="M34" i="3"/>
  <c r="M35" i="3"/>
  <c r="M36" i="3"/>
  <c r="M37" i="3"/>
  <c r="M38" i="3"/>
  <c r="M39" i="3"/>
  <c r="M40" i="3"/>
  <c r="O40" i="3" s="1"/>
  <c r="P40" i="3" s="1"/>
  <c r="Q40" i="3" s="1"/>
  <c r="M41" i="3"/>
  <c r="O41" i="3" s="1"/>
  <c r="P41" i="3" s="1"/>
  <c r="Q41" i="3" s="1"/>
  <c r="M42" i="3"/>
  <c r="O42" i="3" s="1"/>
  <c r="P42" i="3" s="1"/>
  <c r="Q42" i="3" s="1"/>
  <c r="M43" i="3"/>
  <c r="O43" i="3" s="1"/>
  <c r="P43" i="3" s="1"/>
  <c r="Q43" i="3" s="1"/>
  <c r="M44" i="3"/>
  <c r="O44" i="3" s="1"/>
  <c r="P44" i="3" s="1"/>
  <c r="Q44" i="3" s="1"/>
  <c r="M45" i="3"/>
  <c r="O45" i="3" s="1"/>
  <c r="P45" i="3" s="1"/>
  <c r="Q45" i="3" s="1"/>
  <c r="M46" i="3"/>
  <c r="O46" i="3" s="1"/>
  <c r="P46" i="3" s="1"/>
  <c r="Q46" i="3" s="1"/>
  <c r="M47" i="3"/>
  <c r="O47" i="3" s="1"/>
  <c r="P47" i="3" s="1"/>
  <c r="Q47" i="3" s="1"/>
  <c r="M48" i="3"/>
  <c r="M49" i="3"/>
  <c r="M50" i="3"/>
  <c r="O50" i="3" s="1"/>
  <c r="P50" i="3" s="1"/>
  <c r="Q50" i="3" s="1"/>
  <c r="M51" i="3"/>
  <c r="O51" i="3" s="1"/>
  <c r="P51" i="3" s="1"/>
  <c r="Q51" i="3" s="1"/>
  <c r="M52" i="3"/>
  <c r="O52" i="3" s="1"/>
  <c r="P52" i="3" s="1"/>
  <c r="Q52" i="3" s="1"/>
  <c r="M53" i="3"/>
  <c r="O53" i="3" s="1"/>
  <c r="P53" i="3" s="1"/>
  <c r="Q53" i="3" s="1"/>
  <c r="M54" i="3"/>
  <c r="O54" i="3" s="1"/>
  <c r="P54" i="3" s="1"/>
  <c r="Q54" i="3" s="1"/>
  <c r="M55" i="3"/>
  <c r="O55" i="3" s="1"/>
  <c r="P55" i="3" s="1"/>
  <c r="Q55" i="3" s="1"/>
  <c r="M56" i="3"/>
  <c r="O56" i="3" s="1"/>
  <c r="P56" i="3" s="1"/>
  <c r="Q56" i="3" s="1"/>
  <c r="M57" i="3"/>
  <c r="O57" i="3" s="1"/>
  <c r="P57" i="3" s="1"/>
  <c r="Q57" i="3" s="1"/>
  <c r="M58" i="3"/>
  <c r="O58" i="3" s="1"/>
  <c r="P58" i="3" s="1"/>
  <c r="Q58" i="3" s="1"/>
  <c r="M59" i="3"/>
  <c r="M60" i="3"/>
  <c r="M61" i="3"/>
  <c r="M62" i="3"/>
  <c r="M63" i="3"/>
  <c r="M64" i="3"/>
  <c r="M65" i="3"/>
  <c r="M66" i="3"/>
  <c r="M67" i="3"/>
  <c r="M68" i="3"/>
  <c r="O68" i="3" s="1"/>
  <c r="P68" i="3" s="1"/>
  <c r="Q68" i="3" s="1"/>
  <c r="M69" i="3"/>
  <c r="O69" i="3" s="1"/>
  <c r="P69" i="3" s="1"/>
  <c r="Q69" i="3" s="1"/>
  <c r="M70" i="3"/>
  <c r="O70" i="3" s="1"/>
  <c r="P70" i="3" s="1"/>
  <c r="Q70" i="3" s="1"/>
  <c r="M71" i="3"/>
  <c r="O71" i="3" s="1"/>
  <c r="P71" i="3" s="1"/>
  <c r="Q71" i="3" s="1"/>
  <c r="M72" i="3"/>
  <c r="O72" i="3" s="1"/>
  <c r="P72" i="3" s="1"/>
  <c r="Q72" i="3" s="1"/>
  <c r="M73" i="3"/>
  <c r="O73" i="3" s="1"/>
  <c r="P73" i="3" s="1"/>
  <c r="Q73" i="3" s="1"/>
  <c r="M74" i="3"/>
  <c r="O74" i="3" s="1"/>
  <c r="P74" i="3" s="1"/>
  <c r="Q74" i="3" s="1"/>
  <c r="M75" i="3"/>
  <c r="O75" i="3" s="1"/>
  <c r="P75" i="3" s="1"/>
  <c r="Q75" i="3" s="1"/>
  <c r="M76" i="3"/>
  <c r="M77" i="3"/>
  <c r="M78" i="3"/>
  <c r="O78" i="3" s="1"/>
  <c r="P78" i="3" s="1"/>
  <c r="Q78" i="3" s="1"/>
  <c r="M79" i="3"/>
  <c r="O79" i="3" s="1"/>
  <c r="P79" i="3" s="1"/>
  <c r="Q79" i="3" s="1"/>
  <c r="M80" i="3"/>
  <c r="O80" i="3" s="1"/>
  <c r="P80" i="3" s="1"/>
  <c r="Q80" i="3" s="1"/>
  <c r="M81" i="3"/>
  <c r="O81" i="3" s="1"/>
  <c r="P81" i="3" s="1"/>
  <c r="Q81" i="3" s="1"/>
  <c r="M82" i="3"/>
  <c r="O82" i="3" s="1"/>
  <c r="P82" i="3" s="1"/>
  <c r="Q82" i="3" s="1"/>
  <c r="M83" i="3"/>
  <c r="O83" i="3" s="1"/>
  <c r="P83" i="3" s="1"/>
  <c r="Q83" i="3" s="1"/>
  <c r="M84" i="3"/>
  <c r="O84" i="3" s="1"/>
  <c r="P84" i="3" s="1"/>
  <c r="Q84" i="3" s="1"/>
  <c r="M85" i="3"/>
  <c r="O85" i="3" s="1"/>
  <c r="P85" i="3" s="1"/>
  <c r="Q85" i="3" s="1"/>
  <c r="M86" i="3"/>
  <c r="O86" i="3" s="1"/>
  <c r="P86" i="3" s="1"/>
  <c r="Q86" i="3" s="1"/>
  <c r="M87" i="3"/>
  <c r="M88" i="3"/>
  <c r="M89" i="3"/>
  <c r="M90" i="3"/>
  <c r="M91" i="3"/>
  <c r="M92" i="3"/>
  <c r="M93" i="3"/>
  <c r="M94" i="3"/>
  <c r="M95" i="3"/>
  <c r="M96" i="3"/>
  <c r="O96" i="3" s="1"/>
  <c r="P96" i="3" s="1"/>
  <c r="Q96" i="3" s="1"/>
  <c r="M97" i="3"/>
  <c r="O97" i="3" s="1"/>
  <c r="P97" i="3" s="1"/>
  <c r="Q97" i="3" s="1"/>
  <c r="M98" i="3"/>
  <c r="O98" i="3" s="1"/>
  <c r="P98" i="3" s="1"/>
  <c r="Q98" i="3" s="1"/>
  <c r="M99" i="3"/>
  <c r="O99" i="3" s="1"/>
  <c r="P99" i="3" s="1"/>
  <c r="Q99" i="3" s="1"/>
  <c r="M100" i="3"/>
  <c r="O100" i="3" s="1"/>
  <c r="P100" i="3" s="1"/>
  <c r="Q100" i="3" s="1"/>
  <c r="M101" i="3"/>
  <c r="O101" i="3" s="1"/>
  <c r="P101" i="3" s="1"/>
  <c r="Q101" i="3" s="1"/>
  <c r="M102" i="3"/>
  <c r="O102" i="3" s="1"/>
  <c r="P102" i="3" s="1"/>
  <c r="Q102" i="3" s="1"/>
  <c r="M103" i="3"/>
  <c r="O103" i="3" s="1"/>
  <c r="P103" i="3" s="1"/>
  <c r="Q103" i="3" s="1"/>
  <c r="M104" i="3"/>
  <c r="M105" i="3"/>
  <c r="M106" i="3"/>
  <c r="O106" i="3" s="1"/>
  <c r="P106" i="3" s="1"/>
  <c r="Q106" i="3" s="1"/>
  <c r="M107" i="3"/>
  <c r="O107" i="3" s="1"/>
  <c r="P107" i="3" s="1"/>
  <c r="Q107" i="3" s="1"/>
  <c r="M108" i="3"/>
  <c r="O108" i="3" s="1"/>
  <c r="P108" i="3" s="1"/>
  <c r="Q108" i="3" s="1"/>
  <c r="M109" i="3"/>
  <c r="O109" i="3" s="1"/>
  <c r="P109" i="3" s="1"/>
  <c r="Q109" i="3" s="1"/>
  <c r="M110" i="3"/>
  <c r="O110" i="3" s="1"/>
  <c r="P110" i="3" s="1"/>
  <c r="Q110" i="3" s="1"/>
  <c r="M111" i="3"/>
  <c r="O111" i="3" s="1"/>
  <c r="P111" i="3" s="1"/>
  <c r="Q111" i="3" s="1"/>
  <c r="M112" i="3"/>
  <c r="O112" i="3" s="1"/>
  <c r="P112" i="3" s="1"/>
  <c r="Q112" i="3" s="1"/>
  <c r="M113" i="3"/>
  <c r="O113" i="3" s="1"/>
  <c r="P113" i="3" s="1"/>
  <c r="Q113" i="3" s="1"/>
  <c r="M114" i="3"/>
  <c r="O114" i="3" s="1"/>
  <c r="P114" i="3" s="1"/>
  <c r="Q114" i="3" s="1"/>
  <c r="M115" i="3"/>
  <c r="M116" i="3"/>
  <c r="M117" i="3"/>
  <c r="M118" i="3"/>
  <c r="M119" i="3"/>
  <c r="M120" i="3"/>
  <c r="M121" i="3"/>
  <c r="M122" i="3"/>
  <c r="M123" i="3"/>
  <c r="M124" i="3"/>
  <c r="O124" i="3" s="1"/>
  <c r="P124" i="3" s="1"/>
  <c r="Q124" i="3" s="1"/>
  <c r="M125" i="3"/>
  <c r="O125" i="3" s="1"/>
  <c r="P125" i="3" s="1"/>
  <c r="Q125" i="3" s="1"/>
  <c r="M126" i="3"/>
  <c r="O126" i="3" s="1"/>
  <c r="P126" i="3" s="1"/>
  <c r="Q126" i="3" s="1"/>
  <c r="M127" i="3"/>
  <c r="O127" i="3" s="1"/>
  <c r="P127" i="3" s="1"/>
  <c r="Q127" i="3" s="1"/>
  <c r="M128" i="3"/>
  <c r="O128" i="3" s="1"/>
  <c r="P128" i="3" s="1"/>
  <c r="Q128" i="3" s="1"/>
  <c r="M129" i="3"/>
  <c r="O129" i="3" s="1"/>
  <c r="P129" i="3" s="1"/>
  <c r="Q129" i="3" s="1"/>
  <c r="M130" i="3"/>
  <c r="O130" i="3" s="1"/>
  <c r="P130" i="3" s="1"/>
  <c r="Q130" i="3" s="1"/>
  <c r="M131" i="3"/>
  <c r="O131" i="3" s="1"/>
  <c r="P131" i="3" s="1"/>
  <c r="Q131" i="3" s="1"/>
  <c r="M132" i="3"/>
  <c r="M133" i="3"/>
  <c r="M134" i="3"/>
  <c r="O134" i="3" s="1"/>
  <c r="P134" i="3" s="1"/>
  <c r="Q134" i="3" s="1"/>
  <c r="M135" i="3"/>
  <c r="O135" i="3" s="1"/>
  <c r="P135" i="3" s="1"/>
  <c r="Q135" i="3" s="1"/>
  <c r="M136" i="3"/>
  <c r="O136" i="3" s="1"/>
  <c r="P136" i="3" s="1"/>
  <c r="Q136" i="3" s="1"/>
  <c r="M137" i="3"/>
  <c r="O137" i="3" s="1"/>
  <c r="P137" i="3" s="1"/>
  <c r="Q137" i="3" s="1"/>
  <c r="M138" i="3"/>
  <c r="O138" i="3" s="1"/>
  <c r="P138" i="3" s="1"/>
  <c r="Q138" i="3" s="1"/>
  <c r="M139" i="3"/>
  <c r="O139" i="3" s="1"/>
  <c r="P139" i="3" s="1"/>
  <c r="Q139" i="3" s="1"/>
  <c r="M2" i="3"/>
  <c r="Q3" i="3"/>
  <c r="Q4" i="3"/>
  <c r="Q31" i="3"/>
  <c r="Q32" i="3"/>
  <c r="Q59" i="3"/>
  <c r="Q60" i="3"/>
  <c r="Q87" i="3"/>
  <c r="Q88" i="3"/>
  <c r="Q115" i="3"/>
  <c r="Q116" i="3"/>
  <c r="Q2" i="3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2" i="7"/>
  <c r="P5" i="6"/>
  <c r="P6" i="6"/>
  <c r="P7" i="6"/>
  <c r="P8" i="6"/>
  <c r="P9" i="6"/>
  <c r="P10" i="6"/>
  <c r="P4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2" i="6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2" i="5"/>
  <c r="K3" i="4"/>
  <c r="L3" i="4"/>
  <c r="K4" i="4"/>
  <c r="L4" i="4"/>
  <c r="K5" i="4"/>
  <c r="L5" i="4"/>
  <c r="K6" i="4"/>
  <c r="L6" i="4"/>
  <c r="K7" i="4"/>
  <c r="L7" i="4"/>
  <c r="K8" i="4"/>
  <c r="L8" i="4"/>
  <c r="K9" i="4"/>
  <c r="L9" i="4"/>
  <c r="K10" i="4"/>
  <c r="L10" i="4"/>
  <c r="K11" i="4"/>
  <c r="L11" i="4"/>
  <c r="K12" i="4"/>
  <c r="L12" i="4"/>
  <c r="K13" i="4"/>
  <c r="L13" i="4"/>
  <c r="K14" i="4"/>
  <c r="L14" i="4"/>
  <c r="K15" i="4"/>
  <c r="L15" i="4"/>
  <c r="K16" i="4"/>
  <c r="L16" i="4"/>
  <c r="K17" i="4"/>
  <c r="L17" i="4"/>
  <c r="K18" i="4"/>
  <c r="L18" i="4"/>
  <c r="K19" i="4"/>
  <c r="L19" i="4"/>
  <c r="K20" i="4"/>
  <c r="L20" i="4"/>
  <c r="K21" i="4"/>
  <c r="L21" i="4"/>
  <c r="K22" i="4"/>
  <c r="L22" i="4"/>
  <c r="K23" i="4"/>
  <c r="L23" i="4"/>
  <c r="K24" i="4"/>
  <c r="L24" i="4"/>
  <c r="K25" i="4"/>
  <c r="L25" i="4"/>
  <c r="K26" i="4"/>
  <c r="L26" i="4"/>
  <c r="K27" i="4"/>
  <c r="L27" i="4"/>
  <c r="K28" i="4"/>
  <c r="L28" i="4"/>
  <c r="K29" i="4"/>
  <c r="L29" i="4"/>
  <c r="K30" i="4"/>
  <c r="L30" i="4"/>
  <c r="K31" i="4"/>
  <c r="L31" i="4"/>
  <c r="K32" i="4"/>
  <c r="L32" i="4"/>
  <c r="K33" i="4"/>
  <c r="L33" i="4"/>
  <c r="K34" i="4"/>
  <c r="L34" i="4"/>
  <c r="K35" i="4"/>
  <c r="L35" i="4"/>
  <c r="K36" i="4"/>
  <c r="L36" i="4"/>
  <c r="K37" i="4"/>
  <c r="L37" i="4"/>
  <c r="K38" i="4"/>
  <c r="L38" i="4"/>
  <c r="K39" i="4"/>
  <c r="L39" i="4"/>
  <c r="K40" i="4"/>
  <c r="L40" i="4"/>
  <c r="K41" i="4"/>
  <c r="L41" i="4"/>
  <c r="K42" i="4"/>
  <c r="L42" i="4"/>
  <c r="K43" i="4"/>
  <c r="L43" i="4"/>
  <c r="K44" i="4"/>
  <c r="L44" i="4"/>
  <c r="K45" i="4"/>
  <c r="L45" i="4"/>
  <c r="K46" i="4"/>
  <c r="L46" i="4"/>
  <c r="K47" i="4"/>
  <c r="L47" i="4"/>
  <c r="K48" i="4"/>
  <c r="L48" i="4"/>
  <c r="K49" i="4"/>
  <c r="L49" i="4"/>
  <c r="K50" i="4"/>
  <c r="L50" i="4"/>
  <c r="K51" i="4"/>
  <c r="L51" i="4"/>
  <c r="K52" i="4"/>
  <c r="L52" i="4"/>
  <c r="K53" i="4"/>
  <c r="L53" i="4"/>
  <c r="K54" i="4"/>
  <c r="L54" i="4"/>
  <c r="K55" i="4"/>
  <c r="L55" i="4"/>
  <c r="K56" i="4"/>
  <c r="L56" i="4"/>
  <c r="K57" i="4"/>
  <c r="L57" i="4"/>
  <c r="K58" i="4"/>
  <c r="L58" i="4"/>
  <c r="K59" i="4"/>
  <c r="L59" i="4"/>
  <c r="K60" i="4"/>
  <c r="L60" i="4"/>
  <c r="K61" i="4"/>
  <c r="L61" i="4"/>
  <c r="K62" i="4"/>
  <c r="L62" i="4"/>
  <c r="K63" i="4"/>
  <c r="L63" i="4"/>
  <c r="K64" i="4"/>
  <c r="L64" i="4"/>
  <c r="K65" i="4"/>
  <c r="L65" i="4"/>
  <c r="K66" i="4"/>
  <c r="L66" i="4"/>
  <c r="K67" i="4"/>
  <c r="L67" i="4"/>
  <c r="K68" i="4"/>
  <c r="L68" i="4"/>
  <c r="K69" i="4"/>
  <c r="L69" i="4"/>
  <c r="K70" i="4"/>
  <c r="L70" i="4"/>
  <c r="K71" i="4"/>
  <c r="L71" i="4"/>
  <c r="K72" i="4"/>
  <c r="L72" i="4"/>
  <c r="K73" i="4"/>
  <c r="L73" i="4"/>
  <c r="K74" i="4"/>
  <c r="L74" i="4"/>
  <c r="K75" i="4"/>
  <c r="L75" i="4"/>
  <c r="K76" i="4"/>
  <c r="L76" i="4"/>
  <c r="K77" i="4"/>
  <c r="L77" i="4"/>
  <c r="K78" i="4"/>
  <c r="L78" i="4"/>
  <c r="K79" i="4"/>
  <c r="L79" i="4"/>
  <c r="K80" i="4"/>
  <c r="L80" i="4"/>
  <c r="K81" i="4"/>
  <c r="L81" i="4"/>
  <c r="K82" i="4"/>
  <c r="L82" i="4"/>
  <c r="K83" i="4"/>
  <c r="L83" i="4"/>
  <c r="K84" i="4"/>
  <c r="L84" i="4"/>
  <c r="K85" i="4"/>
  <c r="L85" i="4"/>
  <c r="K86" i="4"/>
  <c r="L86" i="4"/>
  <c r="K87" i="4"/>
  <c r="L87" i="4"/>
  <c r="K88" i="4"/>
  <c r="L88" i="4"/>
  <c r="K89" i="4"/>
  <c r="L89" i="4"/>
  <c r="K90" i="4"/>
  <c r="L90" i="4"/>
  <c r="K91" i="4"/>
  <c r="L91" i="4"/>
  <c r="K92" i="4"/>
  <c r="L92" i="4"/>
  <c r="K93" i="4"/>
  <c r="L93" i="4"/>
  <c r="K94" i="4"/>
  <c r="L94" i="4"/>
  <c r="K95" i="4"/>
  <c r="L95" i="4"/>
  <c r="K96" i="4"/>
  <c r="L96" i="4"/>
  <c r="K97" i="4"/>
  <c r="L97" i="4"/>
  <c r="K98" i="4"/>
  <c r="L98" i="4"/>
  <c r="K99" i="4"/>
  <c r="L99" i="4"/>
  <c r="K100" i="4"/>
  <c r="L100" i="4"/>
  <c r="K101" i="4"/>
  <c r="L101" i="4"/>
  <c r="K102" i="4"/>
  <c r="L102" i="4"/>
  <c r="K103" i="4"/>
  <c r="L103" i="4"/>
  <c r="K104" i="4"/>
  <c r="L104" i="4"/>
  <c r="K105" i="4"/>
  <c r="L105" i="4"/>
  <c r="K106" i="4"/>
  <c r="L106" i="4"/>
  <c r="K107" i="4"/>
  <c r="L107" i="4"/>
  <c r="K108" i="4"/>
  <c r="L108" i="4"/>
  <c r="K109" i="4"/>
  <c r="L109" i="4"/>
  <c r="K110" i="4"/>
  <c r="L110" i="4"/>
  <c r="K111" i="4"/>
  <c r="L111" i="4"/>
  <c r="K112" i="4"/>
  <c r="L112" i="4"/>
  <c r="K113" i="4"/>
  <c r="L113" i="4"/>
  <c r="K114" i="4"/>
  <c r="L114" i="4"/>
  <c r="K115" i="4"/>
  <c r="L115" i="4"/>
  <c r="K116" i="4"/>
  <c r="L116" i="4"/>
  <c r="K117" i="4"/>
  <c r="L117" i="4"/>
  <c r="K118" i="4"/>
  <c r="L118" i="4"/>
  <c r="K119" i="4"/>
  <c r="L119" i="4"/>
  <c r="K120" i="4"/>
  <c r="L120" i="4"/>
  <c r="K121" i="4"/>
  <c r="L121" i="4"/>
  <c r="K122" i="4"/>
  <c r="L122" i="4"/>
  <c r="K123" i="4"/>
  <c r="L123" i="4"/>
  <c r="K124" i="4"/>
  <c r="L124" i="4"/>
  <c r="K125" i="4"/>
  <c r="L125" i="4"/>
  <c r="K126" i="4"/>
  <c r="L126" i="4"/>
  <c r="K127" i="4"/>
  <c r="L127" i="4"/>
  <c r="K128" i="4"/>
  <c r="L128" i="4"/>
  <c r="K129" i="4"/>
  <c r="L129" i="4"/>
  <c r="K130" i="4"/>
  <c r="L130" i="4"/>
  <c r="K131" i="4"/>
  <c r="L131" i="4"/>
  <c r="K132" i="4"/>
  <c r="L132" i="4"/>
  <c r="K133" i="4"/>
  <c r="L133" i="4"/>
  <c r="K134" i="4"/>
  <c r="L134" i="4"/>
  <c r="K135" i="4"/>
  <c r="L135" i="4"/>
  <c r="K136" i="4"/>
  <c r="L136" i="4"/>
  <c r="K137" i="4"/>
  <c r="L137" i="4"/>
  <c r="K138" i="4"/>
  <c r="L138" i="4"/>
  <c r="K139" i="4"/>
  <c r="L139" i="4"/>
  <c r="L2" i="4"/>
  <c r="K2" i="4"/>
  <c r="P3" i="3"/>
  <c r="P4" i="3"/>
  <c r="P5" i="3"/>
  <c r="Q5" i="3" s="1"/>
  <c r="P6" i="3"/>
  <c r="Q6" i="3" s="1"/>
  <c r="P7" i="3"/>
  <c r="Q7" i="3" s="1"/>
  <c r="P8" i="3"/>
  <c r="Q8" i="3" s="1"/>
  <c r="P31" i="3"/>
  <c r="P32" i="3"/>
  <c r="P33" i="3"/>
  <c r="Q33" i="3" s="1"/>
  <c r="P34" i="3"/>
  <c r="Q34" i="3" s="1"/>
  <c r="P35" i="3"/>
  <c r="Q35" i="3" s="1"/>
  <c r="P36" i="3"/>
  <c r="Q36" i="3" s="1"/>
  <c r="P59" i="3"/>
  <c r="P60" i="3"/>
  <c r="P61" i="3"/>
  <c r="Q61" i="3" s="1"/>
  <c r="P62" i="3"/>
  <c r="Q62" i="3" s="1"/>
  <c r="P63" i="3"/>
  <c r="Q63" i="3" s="1"/>
  <c r="P64" i="3"/>
  <c r="Q64" i="3" s="1"/>
  <c r="P87" i="3"/>
  <c r="P88" i="3"/>
  <c r="P89" i="3"/>
  <c r="Q89" i="3" s="1"/>
  <c r="P90" i="3"/>
  <c r="Q90" i="3" s="1"/>
  <c r="P91" i="3"/>
  <c r="Q91" i="3" s="1"/>
  <c r="P92" i="3"/>
  <c r="Q92" i="3" s="1"/>
  <c r="P115" i="3"/>
  <c r="P116" i="3"/>
  <c r="P117" i="3"/>
  <c r="Q117" i="3" s="1"/>
  <c r="P118" i="3"/>
  <c r="Q118" i="3" s="1"/>
  <c r="P119" i="3"/>
  <c r="Q119" i="3" s="1"/>
  <c r="P120" i="3"/>
  <c r="Q120" i="3" s="1"/>
  <c r="P2" i="3"/>
  <c r="O3" i="3"/>
  <c r="O4" i="3"/>
  <c r="O5" i="3"/>
  <c r="O6" i="3"/>
  <c r="O7" i="3"/>
  <c r="O8" i="3"/>
  <c r="O9" i="3"/>
  <c r="P9" i="3" s="1"/>
  <c r="Q9" i="3" s="1"/>
  <c r="O10" i="3"/>
  <c r="P10" i="3" s="1"/>
  <c r="Q10" i="3" s="1"/>
  <c r="O11" i="3"/>
  <c r="P11" i="3" s="1"/>
  <c r="Q11" i="3" s="1"/>
  <c r="O20" i="3"/>
  <c r="P20" i="3" s="1"/>
  <c r="Q20" i="3" s="1"/>
  <c r="O21" i="3"/>
  <c r="P21" i="3" s="1"/>
  <c r="Q21" i="3" s="1"/>
  <c r="O31" i="3"/>
  <c r="O32" i="3"/>
  <c r="O33" i="3"/>
  <c r="O34" i="3"/>
  <c r="O35" i="3"/>
  <c r="O36" i="3"/>
  <c r="O37" i="3"/>
  <c r="P37" i="3" s="1"/>
  <c r="Q37" i="3" s="1"/>
  <c r="O38" i="3"/>
  <c r="P38" i="3" s="1"/>
  <c r="Q38" i="3" s="1"/>
  <c r="O39" i="3"/>
  <c r="P39" i="3" s="1"/>
  <c r="Q39" i="3" s="1"/>
  <c r="O48" i="3"/>
  <c r="P48" i="3" s="1"/>
  <c r="Q48" i="3" s="1"/>
  <c r="O49" i="3"/>
  <c r="P49" i="3" s="1"/>
  <c r="Q49" i="3" s="1"/>
  <c r="O59" i="3"/>
  <c r="O60" i="3"/>
  <c r="O61" i="3"/>
  <c r="O62" i="3"/>
  <c r="O63" i="3"/>
  <c r="O64" i="3"/>
  <c r="O65" i="3"/>
  <c r="P65" i="3" s="1"/>
  <c r="Q65" i="3" s="1"/>
  <c r="O66" i="3"/>
  <c r="P66" i="3" s="1"/>
  <c r="Q66" i="3" s="1"/>
  <c r="O67" i="3"/>
  <c r="P67" i="3" s="1"/>
  <c r="Q67" i="3" s="1"/>
  <c r="O76" i="3"/>
  <c r="P76" i="3" s="1"/>
  <c r="Q76" i="3" s="1"/>
  <c r="O77" i="3"/>
  <c r="P77" i="3" s="1"/>
  <c r="Q77" i="3" s="1"/>
  <c r="O87" i="3"/>
  <c r="O88" i="3"/>
  <c r="O89" i="3"/>
  <c r="O90" i="3"/>
  <c r="O91" i="3"/>
  <c r="O92" i="3"/>
  <c r="O93" i="3"/>
  <c r="P93" i="3" s="1"/>
  <c r="Q93" i="3" s="1"/>
  <c r="O94" i="3"/>
  <c r="P94" i="3" s="1"/>
  <c r="Q94" i="3" s="1"/>
  <c r="O95" i="3"/>
  <c r="P95" i="3" s="1"/>
  <c r="Q95" i="3" s="1"/>
  <c r="O104" i="3"/>
  <c r="P104" i="3" s="1"/>
  <c r="Q104" i="3" s="1"/>
  <c r="O105" i="3"/>
  <c r="P105" i="3" s="1"/>
  <c r="Q105" i="3" s="1"/>
  <c r="O115" i="3"/>
  <c r="O116" i="3"/>
  <c r="O117" i="3"/>
  <c r="O118" i="3"/>
  <c r="O119" i="3"/>
  <c r="O120" i="3"/>
  <c r="O121" i="3"/>
  <c r="P121" i="3" s="1"/>
  <c r="Q121" i="3" s="1"/>
  <c r="O122" i="3"/>
  <c r="P122" i="3" s="1"/>
  <c r="Q122" i="3" s="1"/>
  <c r="O123" i="3"/>
  <c r="P123" i="3" s="1"/>
  <c r="Q123" i="3" s="1"/>
  <c r="O132" i="3"/>
  <c r="P132" i="3" s="1"/>
  <c r="Q132" i="3" s="1"/>
  <c r="O133" i="3"/>
  <c r="P133" i="3" s="1"/>
  <c r="Q133" i="3" s="1"/>
  <c r="O2" i="3"/>
  <c r="K3" i="3"/>
  <c r="L3" i="3"/>
  <c r="N3" i="3"/>
  <c r="K4" i="3"/>
  <c r="L4" i="3"/>
  <c r="N4" i="3"/>
  <c r="K5" i="3"/>
  <c r="L5" i="3"/>
  <c r="N5" i="3"/>
  <c r="K6" i="3"/>
  <c r="L6" i="3"/>
  <c r="N6" i="3"/>
  <c r="K7" i="3"/>
  <c r="L7" i="3"/>
  <c r="N7" i="3"/>
  <c r="K8" i="3"/>
  <c r="L8" i="3"/>
  <c r="N8" i="3"/>
  <c r="K9" i="3"/>
  <c r="L9" i="3"/>
  <c r="N9" i="3"/>
  <c r="K10" i="3"/>
  <c r="L10" i="3"/>
  <c r="N10" i="3"/>
  <c r="K11" i="3"/>
  <c r="L11" i="3"/>
  <c r="N11" i="3"/>
  <c r="K12" i="3"/>
  <c r="L12" i="3"/>
  <c r="N12" i="3"/>
  <c r="K13" i="3"/>
  <c r="L13" i="3"/>
  <c r="N13" i="3"/>
  <c r="K14" i="3"/>
  <c r="L14" i="3"/>
  <c r="N14" i="3"/>
  <c r="K15" i="3"/>
  <c r="L15" i="3"/>
  <c r="N15" i="3"/>
  <c r="K16" i="3"/>
  <c r="L16" i="3"/>
  <c r="N16" i="3"/>
  <c r="K17" i="3"/>
  <c r="L17" i="3"/>
  <c r="N17" i="3"/>
  <c r="K18" i="3"/>
  <c r="L18" i="3"/>
  <c r="N18" i="3"/>
  <c r="K19" i="3"/>
  <c r="L19" i="3"/>
  <c r="N19" i="3"/>
  <c r="K20" i="3"/>
  <c r="L20" i="3"/>
  <c r="N20" i="3"/>
  <c r="K21" i="3"/>
  <c r="L21" i="3"/>
  <c r="N21" i="3"/>
  <c r="K22" i="3"/>
  <c r="L22" i="3"/>
  <c r="N22" i="3"/>
  <c r="K23" i="3"/>
  <c r="L23" i="3"/>
  <c r="N23" i="3"/>
  <c r="K24" i="3"/>
  <c r="L24" i="3"/>
  <c r="N24" i="3"/>
  <c r="K25" i="3"/>
  <c r="L25" i="3"/>
  <c r="N25" i="3"/>
  <c r="K26" i="3"/>
  <c r="L26" i="3"/>
  <c r="N26" i="3"/>
  <c r="K27" i="3"/>
  <c r="L27" i="3"/>
  <c r="N27" i="3"/>
  <c r="K28" i="3"/>
  <c r="L28" i="3"/>
  <c r="N28" i="3"/>
  <c r="K29" i="3"/>
  <c r="L29" i="3"/>
  <c r="N29" i="3"/>
  <c r="K30" i="3"/>
  <c r="L30" i="3"/>
  <c r="N30" i="3"/>
  <c r="K31" i="3"/>
  <c r="L31" i="3"/>
  <c r="N31" i="3"/>
  <c r="K32" i="3"/>
  <c r="L32" i="3"/>
  <c r="N32" i="3"/>
  <c r="K33" i="3"/>
  <c r="L33" i="3"/>
  <c r="N33" i="3"/>
  <c r="K34" i="3"/>
  <c r="L34" i="3"/>
  <c r="N34" i="3"/>
  <c r="K35" i="3"/>
  <c r="L35" i="3"/>
  <c r="N35" i="3"/>
  <c r="K36" i="3"/>
  <c r="L36" i="3"/>
  <c r="N36" i="3"/>
  <c r="K37" i="3"/>
  <c r="L37" i="3"/>
  <c r="N37" i="3"/>
  <c r="K38" i="3"/>
  <c r="L38" i="3"/>
  <c r="N38" i="3"/>
  <c r="K39" i="3"/>
  <c r="L39" i="3"/>
  <c r="N39" i="3"/>
  <c r="K40" i="3"/>
  <c r="L40" i="3"/>
  <c r="N40" i="3"/>
  <c r="K41" i="3"/>
  <c r="L41" i="3"/>
  <c r="N41" i="3"/>
  <c r="K42" i="3"/>
  <c r="L42" i="3"/>
  <c r="N42" i="3"/>
  <c r="K43" i="3"/>
  <c r="L43" i="3"/>
  <c r="N43" i="3"/>
  <c r="K44" i="3"/>
  <c r="L44" i="3"/>
  <c r="N44" i="3"/>
  <c r="K45" i="3"/>
  <c r="L45" i="3"/>
  <c r="N45" i="3"/>
  <c r="K46" i="3"/>
  <c r="L46" i="3"/>
  <c r="N46" i="3"/>
  <c r="K47" i="3"/>
  <c r="L47" i="3"/>
  <c r="N47" i="3"/>
  <c r="K48" i="3"/>
  <c r="L48" i="3"/>
  <c r="N48" i="3"/>
  <c r="K49" i="3"/>
  <c r="L49" i="3"/>
  <c r="N49" i="3"/>
  <c r="K50" i="3"/>
  <c r="L50" i="3"/>
  <c r="N50" i="3"/>
  <c r="K51" i="3"/>
  <c r="L51" i="3"/>
  <c r="N51" i="3"/>
  <c r="K52" i="3"/>
  <c r="L52" i="3"/>
  <c r="N52" i="3"/>
  <c r="K53" i="3"/>
  <c r="L53" i="3"/>
  <c r="N53" i="3"/>
  <c r="K54" i="3"/>
  <c r="L54" i="3"/>
  <c r="N54" i="3"/>
  <c r="K55" i="3"/>
  <c r="L55" i="3"/>
  <c r="N55" i="3"/>
  <c r="K56" i="3"/>
  <c r="L56" i="3"/>
  <c r="N56" i="3"/>
  <c r="K57" i="3"/>
  <c r="L57" i="3"/>
  <c r="N57" i="3"/>
  <c r="K58" i="3"/>
  <c r="L58" i="3"/>
  <c r="N58" i="3"/>
  <c r="K59" i="3"/>
  <c r="L59" i="3"/>
  <c r="N59" i="3"/>
  <c r="K60" i="3"/>
  <c r="L60" i="3"/>
  <c r="N60" i="3"/>
  <c r="K61" i="3"/>
  <c r="L61" i="3"/>
  <c r="N61" i="3"/>
  <c r="K62" i="3"/>
  <c r="L62" i="3"/>
  <c r="N62" i="3"/>
  <c r="K63" i="3"/>
  <c r="L63" i="3"/>
  <c r="N63" i="3"/>
  <c r="K64" i="3"/>
  <c r="L64" i="3"/>
  <c r="N64" i="3"/>
  <c r="K65" i="3"/>
  <c r="L65" i="3"/>
  <c r="N65" i="3"/>
  <c r="K66" i="3"/>
  <c r="L66" i="3"/>
  <c r="N66" i="3"/>
  <c r="K67" i="3"/>
  <c r="L67" i="3"/>
  <c r="N67" i="3"/>
  <c r="K68" i="3"/>
  <c r="L68" i="3"/>
  <c r="N68" i="3"/>
  <c r="K69" i="3"/>
  <c r="L69" i="3"/>
  <c r="N69" i="3"/>
  <c r="K70" i="3"/>
  <c r="L70" i="3"/>
  <c r="N70" i="3"/>
  <c r="K71" i="3"/>
  <c r="L71" i="3"/>
  <c r="N71" i="3"/>
  <c r="K72" i="3"/>
  <c r="L72" i="3"/>
  <c r="N72" i="3"/>
  <c r="K73" i="3"/>
  <c r="L73" i="3"/>
  <c r="N73" i="3"/>
  <c r="K74" i="3"/>
  <c r="L74" i="3"/>
  <c r="N74" i="3"/>
  <c r="K75" i="3"/>
  <c r="L75" i="3"/>
  <c r="N75" i="3"/>
  <c r="K76" i="3"/>
  <c r="L76" i="3"/>
  <c r="N76" i="3"/>
  <c r="K77" i="3"/>
  <c r="L77" i="3"/>
  <c r="N77" i="3"/>
  <c r="K78" i="3"/>
  <c r="L78" i="3"/>
  <c r="N78" i="3"/>
  <c r="K79" i="3"/>
  <c r="L79" i="3"/>
  <c r="N79" i="3"/>
  <c r="K80" i="3"/>
  <c r="L80" i="3"/>
  <c r="N80" i="3"/>
  <c r="K81" i="3"/>
  <c r="L81" i="3"/>
  <c r="N81" i="3"/>
  <c r="K82" i="3"/>
  <c r="L82" i="3"/>
  <c r="N82" i="3"/>
  <c r="K83" i="3"/>
  <c r="L83" i="3"/>
  <c r="N83" i="3"/>
  <c r="K84" i="3"/>
  <c r="L84" i="3"/>
  <c r="N84" i="3"/>
  <c r="K85" i="3"/>
  <c r="L85" i="3"/>
  <c r="N85" i="3"/>
  <c r="K86" i="3"/>
  <c r="L86" i="3"/>
  <c r="N86" i="3"/>
  <c r="K87" i="3"/>
  <c r="L87" i="3"/>
  <c r="N87" i="3"/>
  <c r="K88" i="3"/>
  <c r="L88" i="3"/>
  <c r="N88" i="3"/>
  <c r="K89" i="3"/>
  <c r="L89" i="3"/>
  <c r="N89" i="3"/>
  <c r="K90" i="3"/>
  <c r="L90" i="3"/>
  <c r="N90" i="3"/>
  <c r="K91" i="3"/>
  <c r="L91" i="3"/>
  <c r="N91" i="3"/>
  <c r="K92" i="3"/>
  <c r="L92" i="3"/>
  <c r="N92" i="3"/>
  <c r="K93" i="3"/>
  <c r="L93" i="3"/>
  <c r="N93" i="3"/>
  <c r="K94" i="3"/>
  <c r="L94" i="3"/>
  <c r="N94" i="3"/>
  <c r="K95" i="3"/>
  <c r="L95" i="3"/>
  <c r="N95" i="3"/>
  <c r="K96" i="3"/>
  <c r="L96" i="3"/>
  <c r="N96" i="3"/>
  <c r="K97" i="3"/>
  <c r="L97" i="3"/>
  <c r="N97" i="3"/>
  <c r="K98" i="3"/>
  <c r="L98" i="3"/>
  <c r="N98" i="3"/>
  <c r="K99" i="3"/>
  <c r="L99" i="3"/>
  <c r="N99" i="3"/>
  <c r="K100" i="3"/>
  <c r="L100" i="3"/>
  <c r="N100" i="3"/>
  <c r="K101" i="3"/>
  <c r="L101" i="3"/>
  <c r="N101" i="3"/>
  <c r="K102" i="3"/>
  <c r="L102" i="3"/>
  <c r="N102" i="3"/>
  <c r="K103" i="3"/>
  <c r="L103" i="3"/>
  <c r="N103" i="3"/>
  <c r="K104" i="3"/>
  <c r="L104" i="3"/>
  <c r="N104" i="3"/>
  <c r="K105" i="3"/>
  <c r="L105" i="3"/>
  <c r="N105" i="3"/>
  <c r="K106" i="3"/>
  <c r="L106" i="3"/>
  <c r="N106" i="3"/>
  <c r="K107" i="3"/>
  <c r="L107" i="3"/>
  <c r="N107" i="3"/>
  <c r="K108" i="3"/>
  <c r="L108" i="3"/>
  <c r="N108" i="3"/>
  <c r="K109" i="3"/>
  <c r="L109" i="3"/>
  <c r="N109" i="3"/>
  <c r="K110" i="3"/>
  <c r="L110" i="3"/>
  <c r="N110" i="3"/>
  <c r="K111" i="3"/>
  <c r="L111" i="3"/>
  <c r="N111" i="3"/>
  <c r="K112" i="3"/>
  <c r="L112" i="3"/>
  <c r="N112" i="3"/>
  <c r="K113" i="3"/>
  <c r="L113" i="3"/>
  <c r="N113" i="3"/>
  <c r="K114" i="3"/>
  <c r="L114" i="3"/>
  <c r="N114" i="3"/>
  <c r="K115" i="3"/>
  <c r="L115" i="3"/>
  <c r="N115" i="3"/>
  <c r="K116" i="3"/>
  <c r="L116" i="3"/>
  <c r="N116" i="3"/>
  <c r="K117" i="3"/>
  <c r="L117" i="3"/>
  <c r="N117" i="3"/>
  <c r="K118" i="3"/>
  <c r="L118" i="3"/>
  <c r="N118" i="3"/>
  <c r="K119" i="3"/>
  <c r="L119" i="3"/>
  <c r="N119" i="3"/>
  <c r="K120" i="3"/>
  <c r="L120" i="3"/>
  <c r="N120" i="3"/>
  <c r="K121" i="3"/>
  <c r="L121" i="3"/>
  <c r="N121" i="3"/>
  <c r="K122" i="3"/>
  <c r="L122" i="3"/>
  <c r="N122" i="3"/>
  <c r="K123" i="3"/>
  <c r="L123" i="3"/>
  <c r="N123" i="3"/>
  <c r="K124" i="3"/>
  <c r="L124" i="3"/>
  <c r="N124" i="3"/>
  <c r="K125" i="3"/>
  <c r="L125" i="3"/>
  <c r="N125" i="3"/>
  <c r="K126" i="3"/>
  <c r="L126" i="3"/>
  <c r="N126" i="3"/>
  <c r="K127" i="3"/>
  <c r="L127" i="3"/>
  <c r="N127" i="3"/>
  <c r="K128" i="3"/>
  <c r="L128" i="3"/>
  <c r="N128" i="3"/>
  <c r="K129" i="3"/>
  <c r="L129" i="3"/>
  <c r="N129" i="3"/>
  <c r="K130" i="3"/>
  <c r="L130" i="3"/>
  <c r="N130" i="3"/>
  <c r="K131" i="3"/>
  <c r="L131" i="3"/>
  <c r="N131" i="3"/>
  <c r="K132" i="3"/>
  <c r="L132" i="3"/>
  <c r="N132" i="3"/>
  <c r="K133" i="3"/>
  <c r="L133" i="3"/>
  <c r="N133" i="3"/>
  <c r="K134" i="3"/>
  <c r="L134" i="3"/>
  <c r="N134" i="3"/>
  <c r="K135" i="3"/>
  <c r="L135" i="3"/>
  <c r="N135" i="3"/>
  <c r="K136" i="3"/>
  <c r="L136" i="3"/>
  <c r="N136" i="3"/>
  <c r="K137" i="3"/>
  <c r="L137" i="3"/>
  <c r="N137" i="3"/>
  <c r="K138" i="3"/>
  <c r="L138" i="3"/>
  <c r="N138" i="3"/>
  <c r="K139" i="3"/>
  <c r="L139" i="3"/>
  <c r="N139" i="3"/>
  <c r="N2" i="3"/>
  <c r="L2" i="3"/>
  <c r="K2" i="3"/>
  <c r="R2" i="3" l="1"/>
  <c r="T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17E927-4327-4B26-AA3A-542D5EEBDA6B}" keepAlive="1" name="Zapytanie — dane_medale" description="Połączenie z zapytaniem „dane_medale” w skoroszycie." type="5" refreshedVersion="0" background="1">
    <dbPr connection="Provider=Microsoft.Mashup.OleDb.1;Data Source=$Workbook$;Location=dane_medale;Extended Properties=&quot;&quot;" command="SELECT * FROM [dane_medale]"/>
  </connection>
</connections>
</file>

<file path=xl/sharedStrings.xml><?xml version="1.0" encoding="utf-8"?>
<sst xmlns="http://schemas.openxmlformats.org/spreadsheetml/2006/main" count="1749" uniqueCount="166">
  <si>
    <t>Panstwo</t>
  </si>
  <si>
    <t>Kontynent</t>
  </si>
  <si>
    <t>OL_letnie</t>
  </si>
  <si>
    <t>Zloty</t>
  </si>
  <si>
    <t>Srebrny</t>
  </si>
  <si>
    <t>Brazowy</t>
  </si>
  <si>
    <t>OL_zimowe</t>
  </si>
  <si>
    <t>Zloty_1</t>
  </si>
  <si>
    <t>Srebrny_2</t>
  </si>
  <si>
    <t>Brazowy_3</t>
  </si>
  <si>
    <t>Afganistan</t>
  </si>
  <si>
    <t>Azja</t>
  </si>
  <si>
    <t>Algieria</t>
  </si>
  <si>
    <t>Afryka</t>
  </si>
  <si>
    <t>Antyle Holenderskie</t>
  </si>
  <si>
    <t>Ameryka Pld.</t>
  </si>
  <si>
    <t>Arabia Saudyjska</t>
  </si>
  <si>
    <t>Argentyna</t>
  </si>
  <si>
    <t>Armenia</t>
  </si>
  <si>
    <t>Australia</t>
  </si>
  <si>
    <t>Australia i Oc.</t>
  </si>
  <si>
    <t>Austria</t>
  </si>
  <si>
    <t>Europa</t>
  </si>
  <si>
    <t>Azerbejdzan</t>
  </si>
  <si>
    <t>Bahamy</t>
  </si>
  <si>
    <t>Ameryka Pln.</t>
  </si>
  <si>
    <t>Bahrajn</t>
  </si>
  <si>
    <t>Barbados</t>
  </si>
  <si>
    <t>Belgia</t>
  </si>
  <si>
    <t>Bermudy</t>
  </si>
  <si>
    <t>Bialorus</t>
  </si>
  <si>
    <t>Botswana</t>
  </si>
  <si>
    <t>Brazylia</t>
  </si>
  <si>
    <t>Bulgaria</t>
  </si>
  <si>
    <t>Burundi</t>
  </si>
  <si>
    <t>Chile</t>
  </si>
  <si>
    <t>Chiny</t>
  </si>
  <si>
    <t>Chorwacja</t>
  </si>
  <si>
    <t>Cypr</t>
  </si>
  <si>
    <t>Czarnogora</t>
  </si>
  <si>
    <t>Czechoslowacja</t>
  </si>
  <si>
    <t>Czechy</t>
  </si>
  <si>
    <t>Dania</t>
  </si>
  <si>
    <t>Dominikana</t>
  </si>
  <si>
    <t>Dzibuti</t>
  </si>
  <si>
    <t>Egipt</t>
  </si>
  <si>
    <t>Ekwador</t>
  </si>
  <si>
    <t>Erytrea</t>
  </si>
  <si>
    <t>Estonia</t>
  </si>
  <si>
    <t>Etiopia</t>
  </si>
  <si>
    <t>Filipiny</t>
  </si>
  <si>
    <t>Finlandia</t>
  </si>
  <si>
    <t>Francja</t>
  </si>
  <si>
    <t>Gabon</t>
  </si>
  <si>
    <t>Ghana</t>
  </si>
  <si>
    <t>Grecja</t>
  </si>
  <si>
    <t>Gruzja</t>
  </si>
  <si>
    <t>Gujana</t>
  </si>
  <si>
    <t>Haiti</t>
  </si>
  <si>
    <t>Hiszpania</t>
  </si>
  <si>
    <t>Holandia</t>
  </si>
  <si>
    <t>Hongkong</t>
  </si>
  <si>
    <t>Indie</t>
  </si>
  <si>
    <t>Indonezja</t>
  </si>
  <si>
    <t>Irak</t>
  </si>
  <si>
    <t>Iran</t>
  </si>
  <si>
    <t>Irlandia</t>
  </si>
  <si>
    <t>Islandia</t>
  </si>
  <si>
    <t>Izrael</t>
  </si>
  <si>
    <t>Jamajka</t>
  </si>
  <si>
    <t>Japonia</t>
  </si>
  <si>
    <t>Jugoslawia</t>
  </si>
  <si>
    <t>Kamerun</t>
  </si>
  <si>
    <t>Kanada</t>
  </si>
  <si>
    <t>Katar</t>
  </si>
  <si>
    <t>Kazachstan</t>
  </si>
  <si>
    <t>Kenia</t>
  </si>
  <si>
    <t>Kirgistan</t>
  </si>
  <si>
    <t>Kolumbia</t>
  </si>
  <si>
    <t>Korea Poludniowa</t>
  </si>
  <si>
    <t>Korea Polnocna</t>
  </si>
  <si>
    <t>Kostaryka</t>
  </si>
  <si>
    <t>Kuba</t>
  </si>
  <si>
    <t>Kuwejt</t>
  </si>
  <si>
    <t>Liban</t>
  </si>
  <si>
    <t>Liechtenstein</t>
  </si>
  <si>
    <t>Litwa</t>
  </si>
  <si>
    <t>Luksemburg</t>
  </si>
  <si>
    <t>Lotwa</t>
  </si>
  <si>
    <t>Macedonia</t>
  </si>
  <si>
    <t>Malezja</t>
  </si>
  <si>
    <t>Maroko</t>
  </si>
  <si>
    <t>Mauritius</t>
  </si>
  <si>
    <t>Meksyk</t>
  </si>
  <si>
    <t>Moldawia</t>
  </si>
  <si>
    <t>Mongolia</t>
  </si>
  <si>
    <t>Mozambik</t>
  </si>
  <si>
    <t>Namibia</t>
  </si>
  <si>
    <t>Niemcy</t>
  </si>
  <si>
    <t>RFN</t>
  </si>
  <si>
    <t>Wspolna Reprezentacja Niemiec</t>
  </si>
  <si>
    <t>NRD</t>
  </si>
  <si>
    <t>Niger</t>
  </si>
  <si>
    <t>Nigeria</t>
  </si>
  <si>
    <t>Norwegia</t>
  </si>
  <si>
    <t>Nowa Zelandia</t>
  </si>
  <si>
    <t>Pakistan</t>
  </si>
  <si>
    <t>Panama</t>
  </si>
  <si>
    <t>Paragwaj</t>
  </si>
  <si>
    <t>Peru</t>
  </si>
  <si>
    <t>Polska</t>
  </si>
  <si>
    <t>Portoryko</t>
  </si>
  <si>
    <t>Portugalia</t>
  </si>
  <si>
    <t>Republika Poludniowej Afryki</t>
  </si>
  <si>
    <t>Rosja</t>
  </si>
  <si>
    <t>Imperium Rosyjskie</t>
  </si>
  <si>
    <t>Rumunia</t>
  </si>
  <si>
    <t>Senegal</t>
  </si>
  <si>
    <t>Serbia</t>
  </si>
  <si>
    <t>Serbia i Czarnogora</t>
  </si>
  <si>
    <t>Singapur</t>
  </si>
  <si>
    <t>Slowacja</t>
  </si>
  <si>
    <t>Slowenia</t>
  </si>
  <si>
    <t>Sri Lanka</t>
  </si>
  <si>
    <t>StanyZjednoczone</t>
  </si>
  <si>
    <t>Sudan</t>
  </si>
  <si>
    <t>Surinam</t>
  </si>
  <si>
    <t>Syria</t>
  </si>
  <si>
    <t>Szwajcaria</t>
  </si>
  <si>
    <t>Szwecja</t>
  </si>
  <si>
    <t>Tadzykistan</t>
  </si>
  <si>
    <t>Tajlandia</t>
  </si>
  <si>
    <t>Tanzania</t>
  </si>
  <si>
    <t>Togo</t>
  </si>
  <si>
    <t>Tonga</t>
  </si>
  <si>
    <t>Trynidad i Tobago</t>
  </si>
  <si>
    <t>Tunezja</t>
  </si>
  <si>
    <t>Turcja</t>
  </si>
  <si>
    <t>Uganda</t>
  </si>
  <si>
    <t>Ukraina</t>
  </si>
  <si>
    <t>Urugwaj</t>
  </si>
  <si>
    <t>Uzbekistan</t>
  </si>
  <si>
    <t>Wenezuela</t>
  </si>
  <si>
    <t>Wegry</t>
  </si>
  <si>
    <t>Wielka Brytania</t>
  </si>
  <si>
    <t>Wietnam</t>
  </si>
  <si>
    <t>Wlochy</t>
  </si>
  <si>
    <t>WNP</t>
  </si>
  <si>
    <t>Wybrzeze Kosci Sloniowej</t>
  </si>
  <si>
    <t>Wyspy Dziewicze Stanow Zjednoczonych</t>
  </si>
  <si>
    <t>Zambia</t>
  </si>
  <si>
    <t>Zimbabwe</t>
  </si>
  <si>
    <t>Zjednoczone Emiraty Arabskie</t>
  </si>
  <si>
    <t>ZSRR</t>
  </si>
  <si>
    <t>Wystąpił w letniej</t>
  </si>
  <si>
    <t>Wystąpił w zimowej</t>
  </si>
  <si>
    <t>Etykiety wierszy</t>
  </si>
  <si>
    <t>Suma końcowa</t>
  </si>
  <si>
    <t>Suma z OL_letnie</t>
  </si>
  <si>
    <t>Suma z OL_zimowe</t>
  </si>
  <si>
    <t>Ilość Medali</t>
  </si>
  <si>
    <t>Maksimum z Ilość Medali</t>
  </si>
  <si>
    <t>Typ</t>
  </si>
  <si>
    <t>letni</t>
  </si>
  <si>
    <t>zimowy</t>
  </si>
  <si>
    <t>Liczba z Typ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</si>
</sst>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NumberFormat="1"/>
    <xf numFmtId="0" fontId="0" fillId="0" borderId="2" xfId="0" applyFont="1" applyBorder="1"/>
    <xf numFmtId="0" fontId="0" fillId="0" borderId="3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NumberFormat="1" applyFont="1" applyFill="1" applyBorder="1"/>
    <xf numFmtId="0" fontId="0" fillId="3" borderId="5" xfId="0" applyNumberFormat="1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0" borderId="4" xfId="0" applyNumberFormat="1" applyFont="1" applyBorder="1"/>
    <xf numFmtId="0" fontId="0" fillId="0" borderId="5" xfId="0" applyNumberFormat="1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1" xfId="0" applyNumberFormat="1" applyFont="1" applyBorder="1"/>
    <xf numFmtId="0" fontId="0" fillId="0" borderId="2" xfId="0" applyNumberFormat="1" applyFont="1" applyBorder="1"/>
    <xf numFmtId="0" fontId="0" fillId="4" borderId="0" xfId="0" applyFill="1"/>
    <xf numFmtId="0" fontId="1" fillId="2" borderId="0" xfId="0" applyFont="1" applyFill="1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[zad092.xlsx]92.2!Tabela przestawna1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'92.2'!$O$3</c:f>
              <c:strCache>
                <c:ptCount val="1"/>
                <c:pt idx="0">
                  <c:v>Suma z OL_letnie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'92.2'!$N$4:$N$10</c:f>
              <c:strCache>
                <c:ptCount val="6"/>
                <c:pt idx="0">
                  <c:v>Afryka</c:v>
                </c:pt>
                <c:pt idx="1">
                  <c:v>Ameryka Pld.</c:v>
                </c:pt>
                <c:pt idx="2">
                  <c:v>Ameryka Pln.</c:v>
                </c:pt>
                <c:pt idx="3">
                  <c:v>Australia i Oc.</c:v>
                </c:pt>
                <c:pt idx="4">
                  <c:v>Azja</c:v>
                </c:pt>
                <c:pt idx="5">
                  <c:v>Europa</c:v>
                </c:pt>
              </c:strCache>
            </c:strRef>
          </c:cat>
          <c:val>
            <c:numRef>
              <c:f>'92.2'!$O$4:$O$10</c:f>
              <c:numCache>
                <c:formatCode>General</c:formatCode>
                <c:ptCount val="6"/>
                <c:pt idx="0">
                  <c:v>297</c:v>
                </c:pt>
                <c:pt idx="1">
                  <c:v>218</c:v>
                </c:pt>
                <c:pt idx="2">
                  <c:v>236</c:v>
                </c:pt>
                <c:pt idx="3">
                  <c:v>55</c:v>
                </c:pt>
                <c:pt idx="4">
                  <c:v>422</c:v>
                </c:pt>
                <c:pt idx="5">
                  <c:v>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622-41F5-9E2E-298AE1FF0F3B}"/>
            </c:ext>
          </c:extLst>
        </c:ser>
        <c:ser>
          <c:idx val="1"/>
          <c:order val="1"/>
          <c:tx>
            <c:strRef>
              <c:f>'92.2'!$P$3</c:f>
              <c:strCache>
                <c:ptCount val="1"/>
                <c:pt idx="0">
                  <c:v>Suma z OL_zimowe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'92.2'!$N$4:$N$10</c:f>
              <c:strCache>
                <c:ptCount val="6"/>
                <c:pt idx="0">
                  <c:v>Afryka</c:v>
                </c:pt>
                <c:pt idx="1">
                  <c:v>Ameryka Pld.</c:v>
                </c:pt>
                <c:pt idx="2">
                  <c:v>Ameryka Pln.</c:v>
                </c:pt>
                <c:pt idx="3">
                  <c:v>Australia i Oc.</c:v>
                </c:pt>
                <c:pt idx="4">
                  <c:v>Azja</c:v>
                </c:pt>
                <c:pt idx="5">
                  <c:v>Europa</c:v>
                </c:pt>
              </c:strCache>
            </c:strRef>
          </c:cat>
          <c:val>
            <c:numRef>
              <c:f>'92.2'!$P$4:$P$10</c:f>
              <c:numCache>
                <c:formatCode>General</c:formatCode>
                <c:ptCount val="6"/>
                <c:pt idx="0">
                  <c:v>30</c:v>
                </c:pt>
                <c:pt idx="1">
                  <c:v>52</c:v>
                </c:pt>
                <c:pt idx="2">
                  <c:v>88</c:v>
                </c:pt>
                <c:pt idx="3">
                  <c:v>34</c:v>
                </c:pt>
                <c:pt idx="4">
                  <c:v>177</c:v>
                </c:pt>
                <c:pt idx="5">
                  <c:v>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622-41F5-9E2E-298AE1FF0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35510784"/>
        <c:axId val="914390768"/>
      </c:barChart>
      <c:catAx>
        <c:axId val="2135510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14390768"/>
        <c:crosses val="autoZero"/>
        <c:auto val="1"/>
        <c:lblAlgn val="ctr"/>
        <c:lblOffset val="100"/>
        <c:noMultiLvlLbl val="0"/>
      </c:catAx>
      <c:valAx>
        <c:axId val="914390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3551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11</xdr:row>
      <xdr:rowOff>90487</xdr:rowOff>
    </xdr:from>
    <xdr:to>
      <xdr:col>16</xdr:col>
      <xdr:colOff>47625</xdr:colOff>
      <xdr:row>25</xdr:row>
      <xdr:rowOff>166687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A5A8BBF-539F-B02C-34D6-A23D1BAD7E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ek Starosta" refreshedDate="46049.547194907405" createdVersion="8" refreshedVersion="8" minRefreshableVersion="3" recordCount="138" xr:uid="{6997F9E3-5638-4576-9AED-2EE45CE77681}">
  <cacheSource type="worksheet">
    <worksheetSource ref="A1:L139" sheet="92.2"/>
  </cacheSource>
  <cacheFields count="12">
    <cacheField name="Panstwo" numFmtId="0">
      <sharedItems/>
    </cacheField>
    <cacheField name="Kontynent" numFmtId="0">
      <sharedItems count="6">
        <s v="Azja"/>
        <s v="Afryka"/>
        <s v="Ameryka Pld."/>
        <s v="Australia i Oc."/>
        <s v="Europa"/>
        <s v="Ameryka Pln."/>
      </sharedItems>
    </cacheField>
    <cacheField name="OL_letnie" numFmtId="0">
      <sharedItems containsSemiMixedTypes="0" containsString="0" containsNumber="1" containsInteger="1" minValue="1" maxValue="27"/>
    </cacheField>
    <cacheField name="Zloty" numFmtId="0">
      <sharedItems containsSemiMixedTypes="0" containsString="0" containsNumber="1" containsInteger="1" minValue="0" maxValue="976"/>
    </cacheField>
    <cacheField name="Srebrny" numFmtId="0">
      <sharedItems containsSemiMixedTypes="0" containsString="0" containsNumber="1" containsInteger="1" minValue="0" maxValue="758"/>
    </cacheField>
    <cacheField name="Brazowy" numFmtId="0">
      <sharedItems containsSemiMixedTypes="0" containsString="0" containsNumber="1" containsInteger="1" minValue="0" maxValue="666"/>
    </cacheField>
    <cacheField name="OL_zimowe" numFmtId="0">
      <sharedItems containsSemiMixedTypes="0" containsString="0" containsNumber="1" containsInteger="1" minValue="0" maxValue="22"/>
    </cacheField>
    <cacheField name="Zloty_1" numFmtId="0">
      <sharedItems containsSemiMixedTypes="0" containsString="0" containsNumber="1" containsInteger="1" minValue="0" maxValue="118"/>
    </cacheField>
    <cacheField name="Srebrny_2" numFmtId="0">
      <sharedItems containsSemiMixedTypes="0" containsString="0" containsNumber="1" containsInteger="1" minValue="0" maxValue="111"/>
    </cacheField>
    <cacheField name="Brazowy_3" numFmtId="0">
      <sharedItems containsSemiMixedTypes="0" containsString="0" containsNumber="1" containsInteger="1" minValue="0" maxValue="100"/>
    </cacheField>
    <cacheField name="Wystąpił w letniej" numFmtId="0">
      <sharedItems containsSemiMixedTypes="0" containsString="0" containsNumber="1" containsInteger="1" minValue="1" maxValue="1"/>
    </cacheField>
    <cacheField name="Wystąpił w zimowej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ek Starosta" refreshedDate="46049.586392129633" createdVersion="8" refreshedVersion="8" minRefreshableVersion="3" recordCount="138" xr:uid="{27A6796C-2D73-4871-BCBE-50625C3E499D}">
  <cacheSource type="worksheet">
    <worksheetSource ref="A1:K139" sheet="92.4"/>
  </cacheSource>
  <cacheFields count="11">
    <cacheField name="Panstwo" numFmtId="0">
      <sharedItems count="138">
        <s v="Afganistan"/>
        <s v="Algieria"/>
        <s v="Antyle Holenderskie"/>
        <s v="Arabia Saudyjska"/>
        <s v="Argentyna"/>
        <s v="Armenia"/>
        <s v="Australia"/>
        <s v="Austria"/>
        <s v="Azerbejdzan"/>
        <s v="Bahamy"/>
        <s v="Bahrajn"/>
        <s v="Barbados"/>
        <s v="Belgia"/>
        <s v="Bermudy"/>
        <s v="Bialorus"/>
        <s v="Botswana"/>
        <s v="Brazylia"/>
        <s v="Bulgaria"/>
        <s v="Burundi"/>
        <s v="Chile"/>
        <s v="Chiny"/>
        <s v="Chorwacja"/>
        <s v="Cypr"/>
        <s v="Czarnogora"/>
        <s v="Czechoslowacja"/>
        <s v="Czechy"/>
        <s v="Dania"/>
        <s v="Dominikana"/>
        <s v="Dzibuti"/>
        <s v="Egipt"/>
        <s v="Ekwador"/>
        <s v="Erytrea"/>
        <s v="Estonia"/>
        <s v="Etiopia"/>
        <s v="Filipiny"/>
        <s v="Finlandia"/>
        <s v="Francja"/>
        <s v="Gabon"/>
        <s v="Ghana"/>
        <s v="Grecja"/>
        <s v="Gruzja"/>
        <s v="Gujana"/>
        <s v="Haiti"/>
        <s v="Hiszpania"/>
        <s v="Holandia"/>
        <s v="Hongkong"/>
        <s v="Indie"/>
        <s v="Indonezja"/>
        <s v="Irak"/>
        <s v="Iran"/>
        <s v="Irlandia"/>
        <s v="Islandia"/>
        <s v="Izrael"/>
        <s v="Jamajka"/>
        <s v="Japonia"/>
        <s v="Jugoslawia"/>
        <s v="Kamerun"/>
        <s v="Kanada"/>
        <s v="Katar"/>
        <s v="Kazachstan"/>
        <s v="Kenia"/>
        <s v="Kirgistan"/>
        <s v="Kolumbia"/>
        <s v="Korea Poludniowa"/>
        <s v="Korea Polnocna"/>
        <s v="Kostaryka"/>
        <s v="Kuba"/>
        <s v="Kuwejt"/>
        <s v="Liban"/>
        <s v="Liechtenstein"/>
        <s v="Litwa"/>
        <s v="Luksemburg"/>
        <s v="Lotwa"/>
        <s v="Macedonia"/>
        <s v="Malezja"/>
        <s v="Maroko"/>
        <s v="Mauritius"/>
        <s v="Meksyk"/>
        <s v="Moldawia"/>
        <s v="Mongolia"/>
        <s v="Mozambik"/>
        <s v="Namibia"/>
        <s v="Niemcy"/>
        <s v="RFN"/>
        <s v="Wspolna Reprezentacja Niemiec"/>
        <s v="NRD"/>
        <s v="Niger"/>
        <s v="Nigeria"/>
        <s v="Norwegia"/>
        <s v="Nowa Zelandia"/>
        <s v="Pakistan"/>
        <s v="Panama"/>
        <s v="Paragwaj"/>
        <s v="Peru"/>
        <s v="Polska"/>
        <s v="Portoryko"/>
        <s v="Portugalia"/>
        <s v="Republika Poludniowej Afryki"/>
        <s v="Rosja"/>
        <s v="Imperium Rosyjskie"/>
        <s v="Rumunia"/>
        <s v="Senegal"/>
        <s v="Serbia"/>
        <s v="Serbia i Czarnogora"/>
        <s v="Singapur"/>
        <s v="Slowacja"/>
        <s v="Slowenia"/>
        <s v="Sri Lanka"/>
        <s v="StanyZjednoczone"/>
        <s v="Sudan"/>
        <s v="Surinam"/>
        <s v="Syria"/>
        <s v="Szwajcaria"/>
        <s v="Szwecja"/>
        <s v="Tadzykistan"/>
        <s v="Tajlandia"/>
        <s v="Tanzania"/>
        <s v="Togo"/>
        <s v="Tonga"/>
        <s v="Trynidad i Tobago"/>
        <s v="Tunezja"/>
        <s v="Turcja"/>
        <s v="Uganda"/>
        <s v="Ukraina"/>
        <s v="Urugwaj"/>
        <s v="Uzbekistan"/>
        <s v="Wenezuela"/>
        <s v="Wegry"/>
        <s v="Wielka Brytania"/>
        <s v="Wietnam"/>
        <s v="Wlochy"/>
        <s v="WNP"/>
        <s v="Wybrzeze Kosci Sloniowej"/>
        <s v="Wyspy Dziewicze Stanow Zjednoczonych"/>
        <s v="Zambia"/>
        <s v="Zimbabwe"/>
        <s v="Zjednoczone Emiraty Arabskie"/>
        <s v="ZSRR"/>
      </sharedItems>
    </cacheField>
    <cacheField name="Kontynent" numFmtId="0">
      <sharedItems count="6">
        <s v="Azja"/>
        <s v="Afryka"/>
        <s v="Ameryka Pld."/>
        <s v="Australia i Oc."/>
        <s v="Europa"/>
        <s v="Ameryka Pln."/>
      </sharedItems>
    </cacheField>
    <cacheField name="OL_letnie" numFmtId="0">
      <sharedItems containsSemiMixedTypes="0" containsString="0" containsNumber="1" containsInteger="1" minValue="1" maxValue="27"/>
    </cacheField>
    <cacheField name="Zloty" numFmtId="0">
      <sharedItems containsSemiMixedTypes="0" containsString="0" containsNumber="1" containsInteger="1" minValue="0" maxValue="976"/>
    </cacheField>
    <cacheField name="Srebrny" numFmtId="0">
      <sharedItems containsSemiMixedTypes="0" containsString="0" containsNumber="1" containsInteger="1" minValue="0" maxValue="758"/>
    </cacheField>
    <cacheField name="Brazowy" numFmtId="0">
      <sharedItems containsSemiMixedTypes="0" containsString="0" containsNumber="1" containsInteger="1" minValue="0" maxValue="666"/>
    </cacheField>
    <cacheField name="OL_zimowe" numFmtId="0">
      <sharedItems containsSemiMixedTypes="0" containsString="0" containsNumber="1" containsInteger="1" minValue="0" maxValue="22"/>
    </cacheField>
    <cacheField name="Zloty_1" numFmtId="0">
      <sharedItems containsSemiMixedTypes="0" containsString="0" containsNumber="1" containsInteger="1" minValue="0" maxValue="118"/>
    </cacheField>
    <cacheField name="Srebrny_2" numFmtId="0">
      <sharedItems containsSemiMixedTypes="0" containsString="0" containsNumber="1" containsInteger="1" minValue="0" maxValue="111"/>
    </cacheField>
    <cacheField name="Brazowy_3" numFmtId="0">
      <sharedItems containsSemiMixedTypes="0" containsString="0" containsNumber="1" containsInteger="1" minValue="0" maxValue="100"/>
    </cacheField>
    <cacheField name="Ilość Medali" numFmtId="0">
      <sharedItems containsSemiMixedTypes="0" containsString="0" containsNumber="1" containsInteger="1" minValue="1" maxValue="2681" count="74">
        <n v="2"/>
        <n v="15"/>
        <n v="1"/>
        <n v="3"/>
        <n v="70"/>
        <n v="12"/>
        <n v="480"/>
        <n v="304"/>
        <n v="26"/>
        <n v="147"/>
        <n v="91"/>
        <n v="108"/>
        <n v="220"/>
        <n v="13"/>
        <n v="526"/>
        <n v="34"/>
        <n v="168"/>
        <n v="68"/>
        <n v="180"/>
        <n v="6"/>
        <n v="40"/>
        <n v="45"/>
        <n v="9"/>
        <n v="462"/>
        <n v="780"/>
        <n v="4"/>
        <n v="110"/>
        <n v="25"/>
        <n v="133"/>
        <n v="376"/>
        <n v="27"/>
        <n v="60"/>
        <n v="28"/>
        <n v="7"/>
        <n v="67"/>
        <n v="443"/>
        <n v="94"/>
        <n v="5"/>
        <n v="448"/>
        <n v="59"/>
        <n v="86"/>
        <n v="19"/>
        <n v="296"/>
        <n v="49"/>
        <n v="208"/>
        <n v="21"/>
        <n v="22"/>
        <n v="62"/>
        <n v="24"/>
        <n v="782"/>
        <n v="243"/>
        <n v="137"/>
        <n v="519"/>
        <n v="23"/>
        <n v="477"/>
        <n v="100"/>
        <n v="10"/>
        <n v="291"/>
        <n v="8"/>
        <n v="76"/>
        <n v="521"/>
        <n v="302"/>
        <n v="29"/>
        <n v="2681"/>
        <n v="323"/>
        <n v="627"/>
        <n v="18"/>
        <n v="88"/>
        <n v="122"/>
        <n v="482"/>
        <n v="806"/>
        <n v="663"/>
        <n v="135"/>
        <n v="120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ek Starosta" refreshedDate="46049.590850462962" createdVersion="8" refreshedVersion="8" minRefreshableVersion="3" recordCount="138" xr:uid="{63FFAC38-FD5C-4DC2-916E-108857BA20C5}">
  <cacheSource type="worksheet">
    <worksheetSource ref="A1:K139" sheet="92.5"/>
  </cacheSource>
  <cacheFields count="11">
    <cacheField name="Panstwo" numFmtId="0">
      <sharedItems/>
    </cacheField>
    <cacheField name="Kontynent" numFmtId="0">
      <sharedItems count="6">
        <s v="Azja"/>
        <s v="Afryka"/>
        <s v="Ameryka Pld."/>
        <s v="Australia i Oc."/>
        <s v="Europa"/>
        <s v="Ameryka Pln."/>
      </sharedItems>
    </cacheField>
    <cacheField name="OL_letnie" numFmtId="0">
      <sharedItems containsSemiMixedTypes="0" containsString="0" containsNumber="1" containsInteger="1" minValue="1" maxValue="27"/>
    </cacheField>
    <cacheField name="Zloty" numFmtId="0">
      <sharedItems containsSemiMixedTypes="0" containsString="0" containsNumber="1" containsInteger="1" minValue="0" maxValue="976"/>
    </cacheField>
    <cacheField name="Srebrny" numFmtId="0">
      <sharedItems containsSemiMixedTypes="0" containsString="0" containsNumber="1" containsInteger="1" minValue="0" maxValue="758"/>
    </cacheField>
    <cacheField name="Brazowy" numFmtId="0">
      <sharedItems containsSemiMixedTypes="0" containsString="0" containsNumber="1" containsInteger="1" minValue="0" maxValue="666"/>
    </cacheField>
    <cacheField name="OL_zimowe" numFmtId="0">
      <sharedItems containsSemiMixedTypes="0" containsString="0" containsNumber="1" containsInteger="1" minValue="0" maxValue="22"/>
    </cacheField>
    <cacheField name="Zloty_1" numFmtId="0">
      <sharedItems containsSemiMixedTypes="0" containsString="0" containsNumber="1" containsInteger="1" minValue="0" maxValue="118"/>
    </cacheField>
    <cacheField name="Srebrny_2" numFmtId="0">
      <sharedItems containsSemiMixedTypes="0" containsString="0" containsNumber="1" containsInteger="1" minValue="0" maxValue="111"/>
    </cacheField>
    <cacheField name="Brazowy_3" numFmtId="0">
      <sharedItems containsSemiMixedTypes="0" containsString="0" containsNumber="1" containsInteger="1" minValue="0" maxValue="100"/>
    </cacheField>
    <cacheField name="Typ" numFmtId="0">
      <sharedItems count="3">
        <s v=""/>
        <s v="letni"/>
        <s v="zimow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s v="Afganistan"/>
    <x v="0"/>
    <n v="13"/>
    <n v="0"/>
    <n v="0"/>
    <n v="2"/>
    <n v="0"/>
    <n v="0"/>
    <n v="0"/>
    <n v="0"/>
    <n v="1"/>
    <n v="0"/>
  </r>
  <r>
    <s v="Algieria"/>
    <x v="1"/>
    <n v="12"/>
    <n v="5"/>
    <n v="2"/>
    <n v="8"/>
    <n v="3"/>
    <n v="0"/>
    <n v="0"/>
    <n v="0"/>
    <n v="1"/>
    <n v="1"/>
  </r>
  <r>
    <s v="Antyle Holenderskie"/>
    <x v="2"/>
    <n v="13"/>
    <n v="0"/>
    <n v="1"/>
    <n v="0"/>
    <n v="2"/>
    <n v="0"/>
    <n v="0"/>
    <n v="0"/>
    <n v="1"/>
    <n v="1"/>
  </r>
  <r>
    <s v="Arabia Saudyjska"/>
    <x v="0"/>
    <n v="10"/>
    <n v="0"/>
    <n v="1"/>
    <n v="2"/>
    <n v="0"/>
    <n v="0"/>
    <n v="0"/>
    <n v="0"/>
    <n v="1"/>
    <n v="0"/>
  </r>
  <r>
    <s v="Argentyna"/>
    <x v="2"/>
    <n v="23"/>
    <n v="18"/>
    <n v="24"/>
    <n v="28"/>
    <n v="18"/>
    <n v="0"/>
    <n v="0"/>
    <n v="0"/>
    <n v="1"/>
    <n v="1"/>
  </r>
  <r>
    <s v="Armenia"/>
    <x v="0"/>
    <n v="5"/>
    <n v="1"/>
    <n v="2"/>
    <n v="9"/>
    <n v="6"/>
    <n v="0"/>
    <n v="0"/>
    <n v="0"/>
    <n v="1"/>
    <n v="1"/>
  </r>
  <r>
    <s v="Australia"/>
    <x v="3"/>
    <n v="25"/>
    <n v="138"/>
    <n v="153"/>
    <n v="177"/>
    <n v="18"/>
    <n v="5"/>
    <n v="3"/>
    <n v="4"/>
    <n v="1"/>
    <n v="1"/>
  </r>
  <r>
    <s v="Austria"/>
    <x v="4"/>
    <n v="26"/>
    <n v="18"/>
    <n v="33"/>
    <n v="35"/>
    <n v="22"/>
    <n v="59"/>
    <n v="78"/>
    <n v="81"/>
    <n v="1"/>
    <n v="1"/>
  </r>
  <r>
    <s v="Azerbejdzan"/>
    <x v="0"/>
    <n v="5"/>
    <n v="6"/>
    <n v="5"/>
    <n v="15"/>
    <n v="5"/>
    <n v="0"/>
    <n v="0"/>
    <n v="0"/>
    <n v="1"/>
    <n v="1"/>
  </r>
  <r>
    <s v="Bahamy"/>
    <x v="5"/>
    <n v="15"/>
    <n v="5"/>
    <n v="2"/>
    <n v="5"/>
    <n v="0"/>
    <n v="0"/>
    <n v="0"/>
    <n v="0"/>
    <n v="1"/>
    <n v="0"/>
  </r>
  <r>
    <s v="Bahrajn"/>
    <x v="0"/>
    <n v="8"/>
    <n v="0"/>
    <n v="0"/>
    <n v="1"/>
    <n v="0"/>
    <n v="0"/>
    <n v="0"/>
    <n v="0"/>
    <n v="1"/>
    <n v="0"/>
  </r>
  <r>
    <s v="Barbados"/>
    <x v="5"/>
    <n v="11"/>
    <n v="0"/>
    <n v="0"/>
    <n v="1"/>
    <n v="0"/>
    <n v="0"/>
    <n v="0"/>
    <n v="0"/>
    <n v="1"/>
    <n v="0"/>
  </r>
  <r>
    <s v="Belgia"/>
    <x v="4"/>
    <n v="25"/>
    <n v="37"/>
    <n v="52"/>
    <n v="53"/>
    <n v="20"/>
    <n v="1"/>
    <n v="1"/>
    <n v="3"/>
    <n v="1"/>
    <n v="1"/>
  </r>
  <r>
    <s v="Bermudy"/>
    <x v="5"/>
    <n v="17"/>
    <n v="0"/>
    <n v="0"/>
    <n v="1"/>
    <n v="7"/>
    <n v="0"/>
    <n v="0"/>
    <n v="0"/>
    <n v="1"/>
    <n v="1"/>
  </r>
  <r>
    <s v="Bialorus"/>
    <x v="4"/>
    <n v="5"/>
    <n v="12"/>
    <n v="24"/>
    <n v="40"/>
    <n v="6"/>
    <n v="6"/>
    <n v="4"/>
    <n v="5"/>
    <n v="1"/>
    <n v="1"/>
  </r>
  <r>
    <s v="Botswana"/>
    <x v="0"/>
    <n v="9"/>
    <n v="0"/>
    <n v="1"/>
    <n v="0"/>
    <n v="0"/>
    <n v="0"/>
    <n v="0"/>
    <n v="0"/>
    <n v="1"/>
    <n v="0"/>
  </r>
  <r>
    <s v="Brazylia"/>
    <x v="2"/>
    <n v="21"/>
    <n v="23"/>
    <n v="30"/>
    <n v="55"/>
    <n v="7"/>
    <n v="0"/>
    <n v="0"/>
    <n v="0"/>
    <n v="1"/>
    <n v="1"/>
  </r>
  <r>
    <s v="Bulgaria"/>
    <x v="4"/>
    <n v="19"/>
    <n v="51"/>
    <n v="85"/>
    <n v="78"/>
    <n v="19"/>
    <n v="1"/>
    <n v="2"/>
    <n v="3"/>
    <n v="1"/>
    <n v="1"/>
  </r>
  <r>
    <s v="Burundi"/>
    <x v="1"/>
    <n v="5"/>
    <n v="1"/>
    <n v="0"/>
    <n v="0"/>
    <n v="0"/>
    <n v="0"/>
    <n v="0"/>
    <n v="0"/>
    <n v="1"/>
    <n v="0"/>
  </r>
  <r>
    <s v="Chile"/>
    <x v="2"/>
    <n v="22"/>
    <n v="2"/>
    <n v="7"/>
    <n v="4"/>
    <n v="16"/>
    <n v="0"/>
    <n v="0"/>
    <n v="0"/>
    <n v="1"/>
    <n v="1"/>
  </r>
  <r>
    <s v="Chiny"/>
    <x v="0"/>
    <n v="9"/>
    <n v="201"/>
    <n v="144"/>
    <n v="128"/>
    <n v="10"/>
    <n v="12"/>
    <n v="22"/>
    <n v="19"/>
    <n v="1"/>
    <n v="1"/>
  </r>
  <r>
    <s v="Chorwacja"/>
    <x v="4"/>
    <n v="6"/>
    <n v="6"/>
    <n v="7"/>
    <n v="10"/>
    <n v="7"/>
    <n v="4"/>
    <n v="6"/>
    <n v="1"/>
    <n v="1"/>
    <n v="1"/>
  </r>
  <r>
    <s v="Cypr"/>
    <x v="4"/>
    <n v="9"/>
    <n v="0"/>
    <n v="1"/>
    <n v="0"/>
    <n v="10"/>
    <n v="0"/>
    <n v="0"/>
    <n v="0"/>
    <n v="1"/>
    <n v="1"/>
  </r>
  <r>
    <s v="Czarnogora"/>
    <x v="4"/>
    <n v="2"/>
    <n v="0"/>
    <n v="1"/>
    <n v="0"/>
    <n v="2"/>
    <n v="0"/>
    <n v="0"/>
    <n v="0"/>
    <n v="1"/>
    <n v="1"/>
  </r>
  <r>
    <s v="Czechoslowacja"/>
    <x v="4"/>
    <n v="16"/>
    <n v="49"/>
    <n v="49"/>
    <n v="45"/>
    <n v="16"/>
    <n v="2"/>
    <n v="8"/>
    <n v="15"/>
    <n v="1"/>
    <n v="1"/>
  </r>
  <r>
    <s v="Czechy"/>
    <x v="4"/>
    <n v="5"/>
    <n v="14"/>
    <n v="15"/>
    <n v="15"/>
    <n v="6"/>
    <n v="7"/>
    <n v="9"/>
    <n v="8"/>
    <n v="1"/>
    <n v="1"/>
  </r>
  <r>
    <s v="Dania"/>
    <x v="4"/>
    <n v="26"/>
    <n v="43"/>
    <n v="68"/>
    <n v="68"/>
    <n v="13"/>
    <n v="0"/>
    <n v="1"/>
    <n v="0"/>
    <n v="1"/>
    <n v="1"/>
  </r>
  <r>
    <s v="Dominikana"/>
    <x v="5"/>
    <n v="13"/>
    <n v="3"/>
    <n v="2"/>
    <n v="1"/>
    <n v="0"/>
    <n v="0"/>
    <n v="0"/>
    <n v="0"/>
    <n v="1"/>
    <n v="0"/>
  </r>
  <r>
    <s v="Dzibuti"/>
    <x v="1"/>
    <n v="7"/>
    <n v="0"/>
    <n v="0"/>
    <n v="1"/>
    <n v="0"/>
    <n v="0"/>
    <n v="0"/>
    <n v="0"/>
    <n v="1"/>
    <n v="0"/>
  </r>
  <r>
    <s v="Egipt"/>
    <x v="1"/>
    <n v="21"/>
    <n v="7"/>
    <n v="9"/>
    <n v="10"/>
    <n v="1"/>
    <n v="0"/>
    <n v="0"/>
    <n v="0"/>
    <n v="1"/>
    <n v="1"/>
  </r>
  <r>
    <s v="Ekwador"/>
    <x v="2"/>
    <n v="13"/>
    <n v="1"/>
    <n v="1"/>
    <n v="0"/>
    <n v="0"/>
    <n v="0"/>
    <n v="0"/>
    <n v="0"/>
    <n v="1"/>
    <n v="0"/>
  </r>
  <r>
    <s v="Erytrea"/>
    <x v="1"/>
    <n v="4"/>
    <n v="0"/>
    <n v="0"/>
    <n v="1"/>
    <n v="0"/>
    <n v="0"/>
    <n v="0"/>
    <n v="0"/>
    <n v="1"/>
    <n v="0"/>
  </r>
  <r>
    <s v="Estonia"/>
    <x v="4"/>
    <n v="11"/>
    <n v="9"/>
    <n v="9"/>
    <n v="15"/>
    <n v="9"/>
    <n v="4"/>
    <n v="2"/>
    <n v="1"/>
    <n v="1"/>
    <n v="1"/>
  </r>
  <r>
    <s v="Etiopia"/>
    <x v="1"/>
    <n v="12"/>
    <n v="21"/>
    <n v="7"/>
    <n v="17"/>
    <n v="2"/>
    <n v="0"/>
    <n v="0"/>
    <n v="0"/>
    <n v="1"/>
    <n v="1"/>
  </r>
  <r>
    <s v="Filipiny"/>
    <x v="0"/>
    <n v="20"/>
    <n v="0"/>
    <n v="2"/>
    <n v="7"/>
    <n v="4"/>
    <n v="0"/>
    <n v="0"/>
    <n v="0"/>
    <n v="1"/>
    <n v="1"/>
  </r>
  <r>
    <s v="Finlandia"/>
    <x v="4"/>
    <n v="24"/>
    <n v="101"/>
    <n v="84"/>
    <n v="117"/>
    <n v="22"/>
    <n v="42"/>
    <n v="62"/>
    <n v="56"/>
    <n v="1"/>
    <n v="1"/>
  </r>
  <r>
    <s v="Francja"/>
    <x v="4"/>
    <n v="27"/>
    <n v="202"/>
    <n v="223"/>
    <n v="246"/>
    <n v="22"/>
    <n v="31"/>
    <n v="31"/>
    <n v="47"/>
    <n v="1"/>
    <n v="1"/>
  </r>
  <r>
    <s v="Gabon"/>
    <x v="1"/>
    <n v="9"/>
    <n v="0"/>
    <n v="1"/>
    <n v="0"/>
    <n v="0"/>
    <n v="0"/>
    <n v="0"/>
    <n v="0"/>
    <n v="1"/>
    <n v="0"/>
  </r>
  <r>
    <s v="Ghana"/>
    <x v="1"/>
    <n v="13"/>
    <n v="0"/>
    <n v="1"/>
    <n v="3"/>
    <n v="1"/>
    <n v="0"/>
    <n v="0"/>
    <n v="0"/>
    <n v="1"/>
    <n v="1"/>
  </r>
  <r>
    <s v="Grecja"/>
    <x v="4"/>
    <n v="27"/>
    <n v="30"/>
    <n v="42"/>
    <n v="38"/>
    <n v="18"/>
    <n v="0"/>
    <n v="0"/>
    <n v="0"/>
    <n v="1"/>
    <n v="1"/>
  </r>
  <r>
    <s v="Gruzja"/>
    <x v="0"/>
    <n v="5"/>
    <n v="6"/>
    <n v="5"/>
    <n v="14"/>
    <n v="6"/>
    <n v="0"/>
    <n v="0"/>
    <n v="0"/>
    <n v="1"/>
    <n v="1"/>
  </r>
  <r>
    <s v="Gujana"/>
    <x v="2"/>
    <n v="16"/>
    <n v="0"/>
    <n v="0"/>
    <n v="1"/>
    <n v="0"/>
    <n v="0"/>
    <n v="0"/>
    <n v="0"/>
    <n v="1"/>
    <n v="0"/>
  </r>
  <r>
    <s v="Haiti"/>
    <x v="5"/>
    <n v="14"/>
    <n v="0"/>
    <n v="1"/>
    <n v="1"/>
    <n v="0"/>
    <n v="0"/>
    <n v="0"/>
    <n v="0"/>
    <n v="1"/>
    <n v="0"/>
  </r>
  <r>
    <s v="Hiszpania"/>
    <x v="4"/>
    <n v="22"/>
    <n v="37"/>
    <n v="59"/>
    <n v="35"/>
    <n v="19"/>
    <n v="1"/>
    <n v="0"/>
    <n v="1"/>
    <n v="1"/>
    <n v="1"/>
  </r>
  <r>
    <s v="Holandia"/>
    <x v="4"/>
    <n v="25"/>
    <n v="77"/>
    <n v="85"/>
    <n v="104"/>
    <n v="20"/>
    <n v="37"/>
    <n v="38"/>
    <n v="35"/>
    <n v="1"/>
    <n v="1"/>
  </r>
  <r>
    <s v="Hongkong"/>
    <x v="0"/>
    <n v="15"/>
    <n v="1"/>
    <n v="1"/>
    <n v="1"/>
    <n v="4"/>
    <n v="0"/>
    <n v="0"/>
    <n v="0"/>
    <n v="1"/>
    <n v="1"/>
  </r>
  <r>
    <s v="Indie"/>
    <x v="0"/>
    <n v="23"/>
    <n v="9"/>
    <n v="6"/>
    <n v="11"/>
    <n v="9"/>
    <n v="0"/>
    <n v="0"/>
    <n v="0"/>
    <n v="1"/>
    <n v="1"/>
  </r>
  <r>
    <s v="Indonezja"/>
    <x v="0"/>
    <n v="14"/>
    <n v="6"/>
    <n v="10"/>
    <n v="11"/>
    <n v="0"/>
    <n v="0"/>
    <n v="0"/>
    <n v="0"/>
    <n v="1"/>
    <n v="0"/>
  </r>
  <r>
    <s v="Irak"/>
    <x v="0"/>
    <n v="13"/>
    <n v="0"/>
    <n v="0"/>
    <n v="1"/>
    <n v="0"/>
    <n v="0"/>
    <n v="0"/>
    <n v="0"/>
    <n v="1"/>
    <n v="0"/>
  </r>
  <r>
    <s v="Iran"/>
    <x v="0"/>
    <n v="15"/>
    <n v="15"/>
    <n v="20"/>
    <n v="25"/>
    <n v="10"/>
    <n v="0"/>
    <n v="0"/>
    <n v="0"/>
    <n v="1"/>
    <n v="1"/>
  </r>
  <r>
    <s v="Irlandia"/>
    <x v="4"/>
    <n v="20"/>
    <n v="9"/>
    <n v="8"/>
    <n v="11"/>
    <n v="6"/>
    <n v="0"/>
    <n v="0"/>
    <n v="0"/>
    <n v="1"/>
    <n v="1"/>
  </r>
  <r>
    <s v="Islandia"/>
    <x v="4"/>
    <n v="19"/>
    <n v="0"/>
    <n v="2"/>
    <n v="2"/>
    <n v="17"/>
    <n v="0"/>
    <n v="0"/>
    <n v="0"/>
    <n v="1"/>
    <n v="1"/>
  </r>
  <r>
    <s v="Izrael"/>
    <x v="0"/>
    <n v="15"/>
    <n v="1"/>
    <n v="1"/>
    <n v="5"/>
    <n v="6"/>
    <n v="0"/>
    <n v="0"/>
    <n v="0"/>
    <n v="1"/>
    <n v="1"/>
  </r>
  <r>
    <s v="Jamajka"/>
    <x v="5"/>
    <n v="16"/>
    <n v="17"/>
    <n v="30"/>
    <n v="20"/>
    <n v="7"/>
    <n v="0"/>
    <n v="0"/>
    <n v="0"/>
    <n v="1"/>
    <n v="1"/>
  </r>
  <r>
    <s v="Japonia"/>
    <x v="0"/>
    <n v="21"/>
    <n v="130"/>
    <n v="126"/>
    <n v="142"/>
    <n v="20"/>
    <n v="10"/>
    <n v="17"/>
    <n v="18"/>
    <n v="1"/>
    <n v="1"/>
  </r>
  <r>
    <s v="Jugoslawia"/>
    <x v="4"/>
    <n v="18"/>
    <n v="28"/>
    <n v="31"/>
    <n v="31"/>
    <n v="16"/>
    <n v="0"/>
    <n v="3"/>
    <n v="1"/>
    <n v="1"/>
    <n v="1"/>
  </r>
  <r>
    <s v="Kamerun"/>
    <x v="1"/>
    <n v="13"/>
    <n v="3"/>
    <n v="1"/>
    <n v="1"/>
    <n v="1"/>
    <n v="0"/>
    <n v="0"/>
    <n v="0"/>
    <n v="1"/>
    <n v="1"/>
  </r>
  <r>
    <s v="Kanada"/>
    <x v="5"/>
    <n v="25"/>
    <n v="59"/>
    <n v="99"/>
    <n v="120"/>
    <n v="22"/>
    <n v="62"/>
    <n v="55"/>
    <n v="53"/>
    <n v="1"/>
    <n v="1"/>
  </r>
  <r>
    <s v="Katar"/>
    <x v="0"/>
    <n v="8"/>
    <n v="0"/>
    <n v="0"/>
    <n v="4"/>
    <n v="0"/>
    <n v="0"/>
    <n v="0"/>
    <n v="0"/>
    <n v="1"/>
    <n v="0"/>
  </r>
  <r>
    <s v="Kazachstan"/>
    <x v="0"/>
    <n v="5"/>
    <n v="16"/>
    <n v="17"/>
    <n v="19"/>
    <n v="6"/>
    <n v="1"/>
    <n v="3"/>
    <n v="3"/>
    <n v="1"/>
    <n v="1"/>
  </r>
  <r>
    <s v="Kenia"/>
    <x v="1"/>
    <n v="13"/>
    <n v="25"/>
    <n v="32"/>
    <n v="29"/>
    <n v="3"/>
    <n v="0"/>
    <n v="0"/>
    <n v="0"/>
    <n v="1"/>
    <n v="1"/>
  </r>
  <r>
    <s v="Kirgistan"/>
    <x v="0"/>
    <n v="5"/>
    <n v="0"/>
    <n v="1"/>
    <n v="2"/>
    <n v="6"/>
    <n v="0"/>
    <n v="0"/>
    <n v="0"/>
    <n v="1"/>
    <n v="1"/>
  </r>
  <r>
    <s v="Kolumbia"/>
    <x v="2"/>
    <n v="18"/>
    <n v="2"/>
    <n v="6"/>
    <n v="11"/>
    <n v="1"/>
    <n v="0"/>
    <n v="0"/>
    <n v="0"/>
    <n v="1"/>
    <n v="1"/>
  </r>
  <r>
    <s v="Korea Poludniowa"/>
    <x v="0"/>
    <n v="16"/>
    <n v="81"/>
    <n v="82"/>
    <n v="80"/>
    <n v="17"/>
    <n v="26"/>
    <n v="17"/>
    <n v="10"/>
    <n v="1"/>
    <n v="1"/>
  </r>
  <r>
    <s v="Korea Polnocna"/>
    <x v="0"/>
    <n v="9"/>
    <n v="14"/>
    <n v="12"/>
    <n v="21"/>
    <n v="8"/>
    <n v="0"/>
    <n v="1"/>
    <n v="1"/>
    <n v="1"/>
    <n v="1"/>
  </r>
  <r>
    <s v="Kostaryka"/>
    <x v="5"/>
    <n v="14"/>
    <n v="1"/>
    <n v="1"/>
    <n v="2"/>
    <n v="6"/>
    <n v="0"/>
    <n v="0"/>
    <n v="0"/>
    <n v="1"/>
    <n v="1"/>
  </r>
  <r>
    <s v="Kuba"/>
    <x v="5"/>
    <n v="19"/>
    <n v="72"/>
    <n v="67"/>
    <n v="69"/>
    <n v="0"/>
    <n v="0"/>
    <n v="0"/>
    <n v="0"/>
    <n v="1"/>
    <n v="0"/>
  </r>
  <r>
    <s v="Kuwejt"/>
    <x v="0"/>
    <n v="12"/>
    <n v="0"/>
    <n v="0"/>
    <n v="2"/>
    <n v="0"/>
    <n v="0"/>
    <n v="0"/>
    <n v="0"/>
    <n v="1"/>
    <n v="0"/>
  </r>
  <r>
    <s v="Liban"/>
    <x v="0"/>
    <n v="16"/>
    <n v="0"/>
    <n v="2"/>
    <n v="2"/>
    <n v="16"/>
    <n v="0"/>
    <n v="0"/>
    <n v="0"/>
    <n v="1"/>
    <n v="1"/>
  </r>
  <r>
    <s v="Liechtenstein"/>
    <x v="4"/>
    <n v="16"/>
    <n v="0"/>
    <n v="0"/>
    <n v="0"/>
    <n v="18"/>
    <n v="2"/>
    <n v="2"/>
    <n v="5"/>
    <n v="1"/>
    <n v="1"/>
  </r>
  <r>
    <s v="Litwa"/>
    <x v="4"/>
    <n v="8"/>
    <n v="6"/>
    <n v="5"/>
    <n v="10"/>
    <n v="8"/>
    <n v="0"/>
    <n v="0"/>
    <n v="0"/>
    <n v="1"/>
    <n v="1"/>
  </r>
  <r>
    <s v="Luksemburg"/>
    <x v="4"/>
    <n v="22"/>
    <n v="1"/>
    <n v="1"/>
    <n v="0"/>
    <n v="8"/>
    <n v="0"/>
    <n v="2"/>
    <n v="0"/>
    <n v="1"/>
    <n v="1"/>
  </r>
  <r>
    <s v="Lotwa"/>
    <x v="4"/>
    <n v="10"/>
    <n v="3"/>
    <n v="11"/>
    <n v="5"/>
    <n v="10"/>
    <n v="0"/>
    <n v="4"/>
    <n v="3"/>
    <n v="1"/>
    <n v="1"/>
  </r>
  <r>
    <s v="Macedonia"/>
    <x v="4"/>
    <n v="5"/>
    <n v="0"/>
    <n v="0"/>
    <n v="1"/>
    <n v="5"/>
    <n v="0"/>
    <n v="0"/>
    <n v="0"/>
    <n v="1"/>
    <n v="1"/>
  </r>
  <r>
    <s v="Malezja"/>
    <x v="0"/>
    <n v="12"/>
    <n v="0"/>
    <n v="3"/>
    <n v="3"/>
    <n v="0"/>
    <n v="0"/>
    <n v="0"/>
    <n v="0"/>
    <n v="1"/>
    <n v="0"/>
  </r>
  <r>
    <s v="Maroko"/>
    <x v="1"/>
    <n v="13"/>
    <n v="6"/>
    <n v="5"/>
    <n v="11"/>
    <n v="6"/>
    <n v="0"/>
    <n v="0"/>
    <n v="0"/>
    <n v="1"/>
    <n v="1"/>
  </r>
  <r>
    <s v="Mauritius"/>
    <x v="1"/>
    <n v="8"/>
    <n v="0"/>
    <n v="0"/>
    <n v="1"/>
    <n v="0"/>
    <n v="0"/>
    <n v="0"/>
    <n v="0"/>
    <n v="1"/>
    <n v="0"/>
  </r>
  <r>
    <s v="Meksyk"/>
    <x v="5"/>
    <n v="22"/>
    <n v="13"/>
    <n v="21"/>
    <n v="28"/>
    <n v="8"/>
    <n v="0"/>
    <n v="0"/>
    <n v="0"/>
    <n v="1"/>
    <n v="1"/>
  </r>
  <r>
    <s v="Moldawia"/>
    <x v="4"/>
    <n v="5"/>
    <n v="0"/>
    <n v="2"/>
    <n v="5"/>
    <n v="6"/>
    <n v="0"/>
    <n v="0"/>
    <n v="0"/>
    <n v="1"/>
    <n v="1"/>
  </r>
  <r>
    <s v="Mongolia"/>
    <x v="0"/>
    <n v="12"/>
    <n v="2"/>
    <n v="9"/>
    <n v="13"/>
    <n v="13"/>
    <n v="0"/>
    <n v="0"/>
    <n v="0"/>
    <n v="1"/>
    <n v="1"/>
  </r>
  <r>
    <s v="Mozambik"/>
    <x v="1"/>
    <n v="9"/>
    <n v="1"/>
    <n v="0"/>
    <n v="1"/>
    <n v="0"/>
    <n v="0"/>
    <n v="0"/>
    <n v="0"/>
    <n v="1"/>
    <n v="0"/>
  </r>
  <r>
    <s v="Namibia"/>
    <x v="1"/>
    <n v="6"/>
    <n v="0"/>
    <n v="4"/>
    <n v="0"/>
    <n v="0"/>
    <n v="0"/>
    <n v="0"/>
    <n v="0"/>
    <n v="1"/>
    <n v="0"/>
  </r>
  <r>
    <s v="Niemcy"/>
    <x v="4"/>
    <n v="15"/>
    <n v="174"/>
    <n v="182"/>
    <n v="217"/>
    <n v="11"/>
    <n v="78"/>
    <n v="78"/>
    <n v="53"/>
    <n v="1"/>
    <n v="1"/>
  </r>
  <r>
    <s v="RFN"/>
    <x v="4"/>
    <n v="5"/>
    <n v="56"/>
    <n v="67"/>
    <n v="81"/>
    <n v="7"/>
    <n v="11"/>
    <n v="15"/>
    <n v="13"/>
    <n v="1"/>
    <n v="1"/>
  </r>
  <r>
    <s v="Wspolna Reprezentacja Niemiec"/>
    <x v="4"/>
    <n v="3"/>
    <n v="28"/>
    <n v="54"/>
    <n v="36"/>
    <n v="3"/>
    <n v="8"/>
    <n v="6"/>
    <n v="5"/>
    <n v="1"/>
    <n v="1"/>
  </r>
  <r>
    <s v="NRD"/>
    <x v="4"/>
    <n v="5"/>
    <n v="153"/>
    <n v="129"/>
    <n v="127"/>
    <n v="6"/>
    <n v="39"/>
    <n v="36"/>
    <n v="35"/>
    <n v="1"/>
    <n v="1"/>
  </r>
  <r>
    <s v="Niger"/>
    <x v="1"/>
    <n v="11"/>
    <n v="0"/>
    <n v="0"/>
    <n v="1"/>
    <n v="0"/>
    <n v="0"/>
    <n v="0"/>
    <n v="0"/>
    <n v="1"/>
    <n v="0"/>
  </r>
  <r>
    <s v="Nigeria"/>
    <x v="1"/>
    <n v="15"/>
    <n v="3"/>
    <n v="8"/>
    <n v="12"/>
    <n v="0"/>
    <n v="0"/>
    <n v="0"/>
    <n v="0"/>
    <n v="1"/>
    <n v="0"/>
  </r>
  <r>
    <s v="Norwegia"/>
    <x v="4"/>
    <n v="24"/>
    <n v="56"/>
    <n v="49"/>
    <n v="43"/>
    <n v="22"/>
    <n v="118"/>
    <n v="111"/>
    <n v="100"/>
    <n v="1"/>
    <n v="1"/>
  </r>
  <r>
    <s v="Nowa Zelandia"/>
    <x v="3"/>
    <n v="22"/>
    <n v="42"/>
    <n v="18"/>
    <n v="39"/>
    <n v="15"/>
    <n v="0"/>
    <n v="1"/>
    <n v="0"/>
    <n v="1"/>
    <n v="1"/>
  </r>
  <r>
    <s v="Pakistan"/>
    <x v="0"/>
    <n v="16"/>
    <n v="3"/>
    <n v="3"/>
    <n v="4"/>
    <n v="2"/>
    <n v="0"/>
    <n v="0"/>
    <n v="0"/>
    <n v="1"/>
    <n v="1"/>
  </r>
  <r>
    <s v="Panama"/>
    <x v="2"/>
    <n v="16"/>
    <n v="1"/>
    <n v="0"/>
    <n v="2"/>
    <n v="0"/>
    <n v="0"/>
    <n v="0"/>
    <n v="0"/>
    <n v="1"/>
    <n v="0"/>
  </r>
  <r>
    <s v="Paragwaj"/>
    <x v="2"/>
    <n v="11"/>
    <n v="0"/>
    <n v="1"/>
    <n v="0"/>
    <n v="1"/>
    <n v="0"/>
    <n v="0"/>
    <n v="0"/>
    <n v="1"/>
    <n v="1"/>
  </r>
  <r>
    <s v="Peru"/>
    <x v="2"/>
    <n v="17"/>
    <n v="1"/>
    <n v="3"/>
    <n v="0"/>
    <n v="2"/>
    <n v="0"/>
    <n v="0"/>
    <n v="0"/>
    <n v="1"/>
    <n v="1"/>
  </r>
  <r>
    <s v="Polska"/>
    <x v="4"/>
    <n v="20"/>
    <n v="64"/>
    <n v="82"/>
    <n v="125"/>
    <n v="22"/>
    <n v="6"/>
    <n v="7"/>
    <n v="7"/>
    <n v="1"/>
    <n v="1"/>
  </r>
  <r>
    <s v="Portoryko"/>
    <x v="5"/>
    <n v="17"/>
    <n v="0"/>
    <n v="2"/>
    <n v="6"/>
    <n v="6"/>
    <n v="0"/>
    <n v="0"/>
    <n v="0"/>
    <n v="1"/>
    <n v="1"/>
  </r>
  <r>
    <s v="Portugalia"/>
    <x v="4"/>
    <n v="23"/>
    <n v="4"/>
    <n v="8"/>
    <n v="11"/>
    <n v="7"/>
    <n v="0"/>
    <n v="0"/>
    <n v="0"/>
    <n v="1"/>
    <n v="1"/>
  </r>
  <r>
    <s v="Republika Poludniowej Afryki"/>
    <x v="1"/>
    <n v="18"/>
    <n v="23"/>
    <n v="26"/>
    <n v="27"/>
    <n v="6"/>
    <n v="0"/>
    <n v="0"/>
    <n v="0"/>
    <n v="1"/>
    <n v="1"/>
  </r>
  <r>
    <s v="Rosja"/>
    <x v="4"/>
    <n v="5"/>
    <n v="133"/>
    <n v="122"/>
    <n v="142"/>
    <n v="6"/>
    <n v="49"/>
    <n v="40"/>
    <n v="35"/>
    <n v="1"/>
    <n v="1"/>
  </r>
  <r>
    <s v="Imperium Rosyjskie"/>
    <x v="4"/>
    <n v="3"/>
    <n v="1"/>
    <n v="4"/>
    <n v="3"/>
    <n v="0"/>
    <n v="0"/>
    <n v="0"/>
    <n v="0"/>
    <n v="1"/>
    <n v="0"/>
  </r>
  <r>
    <s v="Rumunia"/>
    <x v="4"/>
    <n v="20"/>
    <n v="88"/>
    <n v="94"/>
    <n v="119"/>
    <n v="20"/>
    <n v="0"/>
    <n v="0"/>
    <n v="1"/>
    <n v="1"/>
    <n v="1"/>
  </r>
  <r>
    <s v="Senegal"/>
    <x v="1"/>
    <n v="13"/>
    <n v="0"/>
    <n v="1"/>
    <n v="0"/>
    <n v="5"/>
    <n v="0"/>
    <n v="0"/>
    <n v="0"/>
    <n v="1"/>
    <n v="1"/>
  </r>
  <r>
    <s v="Serbia"/>
    <x v="4"/>
    <n v="3"/>
    <n v="1"/>
    <n v="2"/>
    <n v="4"/>
    <n v="2"/>
    <n v="0"/>
    <n v="0"/>
    <n v="0"/>
    <n v="1"/>
    <n v="1"/>
  </r>
  <r>
    <s v="Serbia i Czarnogora"/>
    <x v="4"/>
    <n v="1"/>
    <n v="0"/>
    <n v="2"/>
    <n v="0"/>
    <n v="1"/>
    <n v="0"/>
    <n v="0"/>
    <n v="0"/>
    <n v="1"/>
    <n v="1"/>
  </r>
  <r>
    <s v="Singapur"/>
    <x v="0"/>
    <n v="15"/>
    <n v="0"/>
    <n v="2"/>
    <n v="2"/>
    <n v="0"/>
    <n v="0"/>
    <n v="0"/>
    <n v="0"/>
    <n v="1"/>
    <n v="0"/>
  </r>
  <r>
    <s v="Slowacja"/>
    <x v="4"/>
    <n v="5"/>
    <n v="7"/>
    <n v="9"/>
    <n v="8"/>
    <n v="6"/>
    <n v="2"/>
    <n v="2"/>
    <n v="1"/>
    <n v="1"/>
    <n v="1"/>
  </r>
  <r>
    <s v="Slowenia"/>
    <x v="4"/>
    <n v="6"/>
    <n v="4"/>
    <n v="6"/>
    <n v="9"/>
    <n v="7"/>
    <n v="2"/>
    <n v="4"/>
    <n v="9"/>
    <n v="1"/>
    <n v="1"/>
  </r>
  <r>
    <s v="Sri Lanka"/>
    <x v="0"/>
    <n v="16"/>
    <n v="0"/>
    <n v="2"/>
    <n v="0"/>
    <n v="0"/>
    <n v="0"/>
    <n v="0"/>
    <n v="0"/>
    <n v="1"/>
    <n v="0"/>
  </r>
  <r>
    <s v="StanyZjednoczone"/>
    <x v="5"/>
    <n v="26"/>
    <n v="976"/>
    <n v="758"/>
    <n v="666"/>
    <n v="22"/>
    <n v="96"/>
    <n v="102"/>
    <n v="83"/>
    <n v="1"/>
    <n v="1"/>
  </r>
  <r>
    <s v="Sudan"/>
    <x v="1"/>
    <n v="11"/>
    <n v="0"/>
    <n v="1"/>
    <n v="0"/>
    <n v="0"/>
    <n v="0"/>
    <n v="0"/>
    <n v="0"/>
    <n v="1"/>
    <n v="0"/>
  </r>
  <r>
    <s v="Surinam"/>
    <x v="2"/>
    <n v="11"/>
    <n v="1"/>
    <n v="0"/>
    <n v="1"/>
    <n v="0"/>
    <n v="0"/>
    <n v="0"/>
    <n v="0"/>
    <n v="1"/>
    <n v="0"/>
  </r>
  <r>
    <s v="Syria"/>
    <x v="0"/>
    <n v="12"/>
    <n v="1"/>
    <n v="1"/>
    <n v="1"/>
    <n v="0"/>
    <n v="0"/>
    <n v="0"/>
    <n v="0"/>
    <n v="1"/>
    <n v="0"/>
  </r>
  <r>
    <s v="Szwajcaria"/>
    <x v="4"/>
    <n v="27"/>
    <n v="47"/>
    <n v="73"/>
    <n v="65"/>
    <n v="22"/>
    <n v="50"/>
    <n v="40"/>
    <n v="48"/>
    <n v="1"/>
    <n v="1"/>
  </r>
  <r>
    <s v="Szwecja"/>
    <x v="4"/>
    <n v="26"/>
    <n v="143"/>
    <n v="164"/>
    <n v="176"/>
    <n v="22"/>
    <n v="50"/>
    <n v="40"/>
    <n v="54"/>
    <n v="1"/>
    <n v="1"/>
  </r>
  <r>
    <s v="Tadzykistan"/>
    <x v="0"/>
    <n v="5"/>
    <n v="0"/>
    <n v="1"/>
    <n v="2"/>
    <n v="4"/>
    <n v="0"/>
    <n v="0"/>
    <n v="0"/>
    <n v="1"/>
    <n v="1"/>
  </r>
  <r>
    <s v="Tajlandia"/>
    <x v="0"/>
    <n v="15"/>
    <n v="7"/>
    <n v="6"/>
    <n v="11"/>
    <n v="3"/>
    <n v="0"/>
    <n v="0"/>
    <n v="0"/>
    <n v="1"/>
    <n v="1"/>
  </r>
  <r>
    <s v="Tanzania"/>
    <x v="1"/>
    <n v="12"/>
    <n v="0"/>
    <n v="2"/>
    <n v="0"/>
    <n v="0"/>
    <n v="0"/>
    <n v="0"/>
    <n v="0"/>
    <n v="1"/>
    <n v="0"/>
  </r>
  <r>
    <s v="Togo"/>
    <x v="1"/>
    <n v="9"/>
    <n v="0"/>
    <n v="0"/>
    <n v="1"/>
    <n v="1"/>
    <n v="0"/>
    <n v="0"/>
    <n v="0"/>
    <n v="1"/>
    <n v="1"/>
  </r>
  <r>
    <s v="Tonga"/>
    <x v="3"/>
    <n v="8"/>
    <n v="0"/>
    <n v="1"/>
    <n v="0"/>
    <n v="1"/>
    <n v="0"/>
    <n v="0"/>
    <n v="0"/>
    <n v="1"/>
    <n v="1"/>
  </r>
  <r>
    <s v="Trynidad i Tobago"/>
    <x v="5"/>
    <n v="16"/>
    <n v="2"/>
    <n v="5"/>
    <n v="11"/>
    <n v="3"/>
    <n v="0"/>
    <n v="0"/>
    <n v="0"/>
    <n v="1"/>
    <n v="1"/>
  </r>
  <r>
    <s v="Tunezja"/>
    <x v="1"/>
    <n v="13"/>
    <n v="3"/>
    <n v="3"/>
    <n v="4"/>
    <n v="0"/>
    <n v="0"/>
    <n v="0"/>
    <n v="0"/>
    <n v="1"/>
    <n v="0"/>
  </r>
  <r>
    <s v="Turcja"/>
    <x v="0"/>
    <n v="21"/>
    <n v="39"/>
    <n v="25"/>
    <n v="24"/>
    <n v="16"/>
    <n v="0"/>
    <n v="0"/>
    <n v="0"/>
    <n v="1"/>
    <n v="1"/>
  </r>
  <r>
    <s v="Uganda"/>
    <x v="1"/>
    <n v="14"/>
    <n v="2"/>
    <n v="3"/>
    <n v="2"/>
    <n v="0"/>
    <n v="0"/>
    <n v="0"/>
    <n v="0"/>
    <n v="1"/>
    <n v="0"/>
  </r>
  <r>
    <s v="Ukraina"/>
    <x v="4"/>
    <n v="5"/>
    <n v="33"/>
    <n v="27"/>
    <n v="55"/>
    <n v="6"/>
    <n v="2"/>
    <n v="1"/>
    <n v="4"/>
    <n v="1"/>
    <n v="1"/>
  </r>
  <r>
    <s v="Urugwaj"/>
    <x v="2"/>
    <n v="20"/>
    <n v="2"/>
    <n v="2"/>
    <n v="6"/>
    <n v="1"/>
    <n v="0"/>
    <n v="0"/>
    <n v="0"/>
    <n v="1"/>
    <n v="1"/>
  </r>
  <r>
    <s v="Uzbekistan"/>
    <x v="0"/>
    <n v="5"/>
    <n v="5"/>
    <n v="5"/>
    <n v="10"/>
    <n v="6"/>
    <n v="1"/>
    <n v="0"/>
    <n v="0"/>
    <n v="1"/>
    <n v="1"/>
  </r>
  <r>
    <s v="Wenezuela"/>
    <x v="2"/>
    <n v="17"/>
    <n v="2"/>
    <n v="2"/>
    <n v="8"/>
    <n v="4"/>
    <n v="0"/>
    <n v="0"/>
    <n v="0"/>
    <n v="1"/>
    <n v="1"/>
  </r>
  <r>
    <s v="Wegry"/>
    <x v="4"/>
    <n v="25"/>
    <n v="167"/>
    <n v="144"/>
    <n v="165"/>
    <n v="22"/>
    <n v="0"/>
    <n v="2"/>
    <n v="4"/>
    <n v="1"/>
    <n v="1"/>
  </r>
  <r>
    <s v="Wielka Brytania"/>
    <x v="4"/>
    <n v="27"/>
    <n v="236"/>
    <n v="272"/>
    <n v="272"/>
    <n v="22"/>
    <n v="10"/>
    <n v="4"/>
    <n v="12"/>
    <n v="1"/>
    <n v="1"/>
  </r>
  <r>
    <s v="Wietnam"/>
    <x v="0"/>
    <n v="14"/>
    <n v="0"/>
    <n v="2"/>
    <n v="0"/>
    <n v="0"/>
    <n v="0"/>
    <n v="0"/>
    <n v="0"/>
    <n v="1"/>
    <n v="0"/>
  </r>
  <r>
    <s v="Wlochy"/>
    <x v="4"/>
    <n v="26"/>
    <n v="198"/>
    <n v="166"/>
    <n v="185"/>
    <n v="22"/>
    <n v="37"/>
    <n v="34"/>
    <n v="43"/>
    <n v="1"/>
    <n v="1"/>
  </r>
  <r>
    <s v="WNP"/>
    <x v="4"/>
    <n v="1"/>
    <n v="45"/>
    <n v="38"/>
    <n v="29"/>
    <n v="1"/>
    <n v="9"/>
    <n v="6"/>
    <n v="8"/>
    <n v="1"/>
    <n v="1"/>
  </r>
  <r>
    <s v="Wybrzeze Kosci Sloniowej"/>
    <x v="1"/>
    <n v="12"/>
    <n v="0"/>
    <n v="1"/>
    <n v="0"/>
    <n v="0"/>
    <n v="0"/>
    <n v="0"/>
    <n v="0"/>
    <n v="1"/>
    <n v="0"/>
  </r>
  <r>
    <s v="Wyspy Dziewicze Stanow Zjednoczonych"/>
    <x v="5"/>
    <n v="11"/>
    <n v="0"/>
    <n v="1"/>
    <n v="0"/>
    <n v="7"/>
    <n v="0"/>
    <n v="0"/>
    <n v="0"/>
    <n v="1"/>
    <n v="1"/>
  </r>
  <r>
    <s v="Zambia"/>
    <x v="1"/>
    <n v="12"/>
    <n v="0"/>
    <n v="1"/>
    <n v="1"/>
    <n v="0"/>
    <n v="0"/>
    <n v="0"/>
    <n v="0"/>
    <n v="1"/>
    <n v="0"/>
  </r>
  <r>
    <s v="Zimbabwe"/>
    <x v="1"/>
    <n v="12"/>
    <n v="3"/>
    <n v="4"/>
    <n v="1"/>
    <n v="1"/>
    <n v="0"/>
    <n v="0"/>
    <n v="0"/>
    <n v="1"/>
    <n v="1"/>
  </r>
  <r>
    <s v="Zjednoczone Emiraty Arabskie"/>
    <x v="0"/>
    <n v="8"/>
    <n v="1"/>
    <n v="0"/>
    <n v="0"/>
    <n v="0"/>
    <n v="0"/>
    <n v="0"/>
    <n v="0"/>
    <n v="1"/>
    <n v="0"/>
  </r>
  <r>
    <s v="ZSRR"/>
    <x v="4"/>
    <n v="9"/>
    <n v="395"/>
    <n v="319"/>
    <n v="296"/>
    <n v="9"/>
    <n v="78"/>
    <n v="57"/>
    <n v="59"/>
    <n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x v="0"/>
    <x v="0"/>
    <n v="13"/>
    <n v="0"/>
    <n v="0"/>
    <n v="2"/>
    <n v="0"/>
    <n v="0"/>
    <n v="0"/>
    <n v="0"/>
    <x v="0"/>
  </r>
  <r>
    <x v="1"/>
    <x v="1"/>
    <n v="12"/>
    <n v="5"/>
    <n v="2"/>
    <n v="8"/>
    <n v="3"/>
    <n v="0"/>
    <n v="0"/>
    <n v="0"/>
    <x v="1"/>
  </r>
  <r>
    <x v="2"/>
    <x v="2"/>
    <n v="13"/>
    <n v="0"/>
    <n v="1"/>
    <n v="0"/>
    <n v="2"/>
    <n v="0"/>
    <n v="0"/>
    <n v="0"/>
    <x v="2"/>
  </r>
  <r>
    <x v="3"/>
    <x v="0"/>
    <n v="10"/>
    <n v="0"/>
    <n v="1"/>
    <n v="2"/>
    <n v="0"/>
    <n v="0"/>
    <n v="0"/>
    <n v="0"/>
    <x v="3"/>
  </r>
  <r>
    <x v="4"/>
    <x v="2"/>
    <n v="23"/>
    <n v="18"/>
    <n v="24"/>
    <n v="28"/>
    <n v="18"/>
    <n v="0"/>
    <n v="0"/>
    <n v="0"/>
    <x v="4"/>
  </r>
  <r>
    <x v="5"/>
    <x v="0"/>
    <n v="5"/>
    <n v="1"/>
    <n v="2"/>
    <n v="9"/>
    <n v="6"/>
    <n v="0"/>
    <n v="0"/>
    <n v="0"/>
    <x v="5"/>
  </r>
  <r>
    <x v="6"/>
    <x v="3"/>
    <n v="25"/>
    <n v="138"/>
    <n v="153"/>
    <n v="177"/>
    <n v="18"/>
    <n v="5"/>
    <n v="3"/>
    <n v="4"/>
    <x v="6"/>
  </r>
  <r>
    <x v="7"/>
    <x v="4"/>
    <n v="26"/>
    <n v="18"/>
    <n v="33"/>
    <n v="35"/>
    <n v="22"/>
    <n v="59"/>
    <n v="78"/>
    <n v="81"/>
    <x v="7"/>
  </r>
  <r>
    <x v="8"/>
    <x v="0"/>
    <n v="5"/>
    <n v="6"/>
    <n v="5"/>
    <n v="15"/>
    <n v="5"/>
    <n v="0"/>
    <n v="0"/>
    <n v="0"/>
    <x v="8"/>
  </r>
  <r>
    <x v="9"/>
    <x v="5"/>
    <n v="15"/>
    <n v="5"/>
    <n v="2"/>
    <n v="5"/>
    <n v="0"/>
    <n v="0"/>
    <n v="0"/>
    <n v="0"/>
    <x v="5"/>
  </r>
  <r>
    <x v="10"/>
    <x v="0"/>
    <n v="8"/>
    <n v="0"/>
    <n v="0"/>
    <n v="1"/>
    <n v="0"/>
    <n v="0"/>
    <n v="0"/>
    <n v="0"/>
    <x v="2"/>
  </r>
  <r>
    <x v="11"/>
    <x v="5"/>
    <n v="11"/>
    <n v="0"/>
    <n v="0"/>
    <n v="1"/>
    <n v="0"/>
    <n v="0"/>
    <n v="0"/>
    <n v="0"/>
    <x v="2"/>
  </r>
  <r>
    <x v="12"/>
    <x v="4"/>
    <n v="25"/>
    <n v="37"/>
    <n v="52"/>
    <n v="53"/>
    <n v="20"/>
    <n v="1"/>
    <n v="1"/>
    <n v="3"/>
    <x v="9"/>
  </r>
  <r>
    <x v="13"/>
    <x v="5"/>
    <n v="17"/>
    <n v="0"/>
    <n v="0"/>
    <n v="1"/>
    <n v="7"/>
    <n v="0"/>
    <n v="0"/>
    <n v="0"/>
    <x v="2"/>
  </r>
  <r>
    <x v="14"/>
    <x v="4"/>
    <n v="5"/>
    <n v="12"/>
    <n v="24"/>
    <n v="40"/>
    <n v="6"/>
    <n v="6"/>
    <n v="4"/>
    <n v="5"/>
    <x v="10"/>
  </r>
  <r>
    <x v="15"/>
    <x v="0"/>
    <n v="9"/>
    <n v="0"/>
    <n v="1"/>
    <n v="0"/>
    <n v="0"/>
    <n v="0"/>
    <n v="0"/>
    <n v="0"/>
    <x v="2"/>
  </r>
  <r>
    <x v="16"/>
    <x v="2"/>
    <n v="21"/>
    <n v="23"/>
    <n v="30"/>
    <n v="55"/>
    <n v="7"/>
    <n v="0"/>
    <n v="0"/>
    <n v="0"/>
    <x v="11"/>
  </r>
  <r>
    <x v="17"/>
    <x v="4"/>
    <n v="19"/>
    <n v="51"/>
    <n v="85"/>
    <n v="78"/>
    <n v="19"/>
    <n v="1"/>
    <n v="2"/>
    <n v="3"/>
    <x v="12"/>
  </r>
  <r>
    <x v="18"/>
    <x v="1"/>
    <n v="5"/>
    <n v="1"/>
    <n v="0"/>
    <n v="0"/>
    <n v="0"/>
    <n v="0"/>
    <n v="0"/>
    <n v="0"/>
    <x v="2"/>
  </r>
  <r>
    <x v="19"/>
    <x v="2"/>
    <n v="22"/>
    <n v="2"/>
    <n v="7"/>
    <n v="4"/>
    <n v="16"/>
    <n v="0"/>
    <n v="0"/>
    <n v="0"/>
    <x v="13"/>
  </r>
  <r>
    <x v="20"/>
    <x v="0"/>
    <n v="9"/>
    <n v="201"/>
    <n v="144"/>
    <n v="128"/>
    <n v="10"/>
    <n v="12"/>
    <n v="22"/>
    <n v="19"/>
    <x v="14"/>
  </r>
  <r>
    <x v="21"/>
    <x v="4"/>
    <n v="6"/>
    <n v="6"/>
    <n v="7"/>
    <n v="10"/>
    <n v="7"/>
    <n v="4"/>
    <n v="6"/>
    <n v="1"/>
    <x v="15"/>
  </r>
  <r>
    <x v="22"/>
    <x v="4"/>
    <n v="9"/>
    <n v="0"/>
    <n v="1"/>
    <n v="0"/>
    <n v="10"/>
    <n v="0"/>
    <n v="0"/>
    <n v="0"/>
    <x v="2"/>
  </r>
  <r>
    <x v="23"/>
    <x v="4"/>
    <n v="2"/>
    <n v="0"/>
    <n v="1"/>
    <n v="0"/>
    <n v="2"/>
    <n v="0"/>
    <n v="0"/>
    <n v="0"/>
    <x v="2"/>
  </r>
  <r>
    <x v="24"/>
    <x v="4"/>
    <n v="16"/>
    <n v="49"/>
    <n v="49"/>
    <n v="45"/>
    <n v="16"/>
    <n v="2"/>
    <n v="8"/>
    <n v="15"/>
    <x v="16"/>
  </r>
  <r>
    <x v="25"/>
    <x v="4"/>
    <n v="5"/>
    <n v="14"/>
    <n v="15"/>
    <n v="15"/>
    <n v="6"/>
    <n v="7"/>
    <n v="9"/>
    <n v="8"/>
    <x v="17"/>
  </r>
  <r>
    <x v="26"/>
    <x v="4"/>
    <n v="26"/>
    <n v="43"/>
    <n v="68"/>
    <n v="68"/>
    <n v="13"/>
    <n v="0"/>
    <n v="1"/>
    <n v="0"/>
    <x v="18"/>
  </r>
  <r>
    <x v="27"/>
    <x v="5"/>
    <n v="13"/>
    <n v="3"/>
    <n v="2"/>
    <n v="1"/>
    <n v="0"/>
    <n v="0"/>
    <n v="0"/>
    <n v="0"/>
    <x v="19"/>
  </r>
  <r>
    <x v="28"/>
    <x v="1"/>
    <n v="7"/>
    <n v="0"/>
    <n v="0"/>
    <n v="1"/>
    <n v="0"/>
    <n v="0"/>
    <n v="0"/>
    <n v="0"/>
    <x v="2"/>
  </r>
  <r>
    <x v="29"/>
    <x v="1"/>
    <n v="21"/>
    <n v="7"/>
    <n v="9"/>
    <n v="10"/>
    <n v="1"/>
    <n v="0"/>
    <n v="0"/>
    <n v="0"/>
    <x v="8"/>
  </r>
  <r>
    <x v="30"/>
    <x v="2"/>
    <n v="13"/>
    <n v="1"/>
    <n v="1"/>
    <n v="0"/>
    <n v="0"/>
    <n v="0"/>
    <n v="0"/>
    <n v="0"/>
    <x v="0"/>
  </r>
  <r>
    <x v="31"/>
    <x v="1"/>
    <n v="4"/>
    <n v="0"/>
    <n v="0"/>
    <n v="1"/>
    <n v="0"/>
    <n v="0"/>
    <n v="0"/>
    <n v="0"/>
    <x v="2"/>
  </r>
  <r>
    <x v="32"/>
    <x v="4"/>
    <n v="11"/>
    <n v="9"/>
    <n v="9"/>
    <n v="15"/>
    <n v="9"/>
    <n v="4"/>
    <n v="2"/>
    <n v="1"/>
    <x v="20"/>
  </r>
  <r>
    <x v="33"/>
    <x v="1"/>
    <n v="12"/>
    <n v="21"/>
    <n v="7"/>
    <n v="17"/>
    <n v="2"/>
    <n v="0"/>
    <n v="0"/>
    <n v="0"/>
    <x v="21"/>
  </r>
  <r>
    <x v="34"/>
    <x v="0"/>
    <n v="20"/>
    <n v="0"/>
    <n v="2"/>
    <n v="7"/>
    <n v="4"/>
    <n v="0"/>
    <n v="0"/>
    <n v="0"/>
    <x v="22"/>
  </r>
  <r>
    <x v="35"/>
    <x v="4"/>
    <n v="24"/>
    <n v="101"/>
    <n v="84"/>
    <n v="117"/>
    <n v="22"/>
    <n v="42"/>
    <n v="62"/>
    <n v="56"/>
    <x v="23"/>
  </r>
  <r>
    <x v="36"/>
    <x v="4"/>
    <n v="27"/>
    <n v="202"/>
    <n v="223"/>
    <n v="246"/>
    <n v="22"/>
    <n v="31"/>
    <n v="31"/>
    <n v="47"/>
    <x v="24"/>
  </r>
  <r>
    <x v="37"/>
    <x v="1"/>
    <n v="9"/>
    <n v="0"/>
    <n v="1"/>
    <n v="0"/>
    <n v="0"/>
    <n v="0"/>
    <n v="0"/>
    <n v="0"/>
    <x v="2"/>
  </r>
  <r>
    <x v="38"/>
    <x v="1"/>
    <n v="13"/>
    <n v="0"/>
    <n v="1"/>
    <n v="3"/>
    <n v="1"/>
    <n v="0"/>
    <n v="0"/>
    <n v="0"/>
    <x v="25"/>
  </r>
  <r>
    <x v="39"/>
    <x v="4"/>
    <n v="27"/>
    <n v="30"/>
    <n v="42"/>
    <n v="38"/>
    <n v="18"/>
    <n v="0"/>
    <n v="0"/>
    <n v="0"/>
    <x v="26"/>
  </r>
  <r>
    <x v="40"/>
    <x v="0"/>
    <n v="5"/>
    <n v="6"/>
    <n v="5"/>
    <n v="14"/>
    <n v="6"/>
    <n v="0"/>
    <n v="0"/>
    <n v="0"/>
    <x v="27"/>
  </r>
  <r>
    <x v="41"/>
    <x v="2"/>
    <n v="16"/>
    <n v="0"/>
    <n v="0"/>
    <n v="1"/>
    <n v="0"/>
    <n v="0"/>
    <n v="0"/>
    <n v="0"/>
    <x v="2"/>
  </r>
  <r>
    <x v="42"/>
    <x v="5"/>
    <n v="14"/>
    <n v="0"/>
    <n v="1"/>
    <n v="1"/>
    <n v="0"/>
    <n v="0"/>
    <n v="0"/>
    <n v="0"/>
    <x v="0"/>
  </r>
  <r>
    <x v="43"/>
    <x v="4"/>
    <n v="22"/>
    <n v="37"/>
    <n v="59"/>
    <n v="35"/>
    <n v="19"/>
    <n v="1"/>
    <n v="0"/>
    <n v="1"/>
    <x v="28"/>
  </r>
  <r>
    <x v="44"/>
    <x v="4"/>
    <n v="25"/>
    <n v="77"/>
    <n v="85"/>
    <n v="104"/>
    <n v="20"/>
    <n v="37"/>
    <n v="38"/>
    <n v="35"/>
    <x v="29"/>
  </r>
  <r>
    <x v="45"/>
    <x v="0"/>
    <n v="15"/>
    <n v="1"/>
    <n v="1"/>
    <n v="1"/>
    <n v="4"/>
    <n v="0"/>
    <n v="0"/>
    <n v="0"/>
    <x v="3"/>
  </r>
  <r>
    <x v="46"/>
    <x v="0"/>
    <n v="23"/>
    <n v="9"/>
    <n v="6"/>
    <n v="11"/>
    <n v="9"/>
    <n v="0"/>
    <n v="0"/>
    <n v="0"/>
    <x v="8"/>
  </r>
  <r>
    <x v="47"/>
    <x v="0"/>
    <n v="14"/>
    <n v="6"/>
    <n v="10"/>
    <n v="11"/>
    <n v="0"/>
    <n v="0"/>
    <n v="0"/>
    <n v="0"/>
    <x v="30"/>
  </r>
  <r>
    <x v="48"/>
    <x v="0"/>
    <n v="13"/>
    <n v="0"/>
    <n v="0"/>
    <n v="1"/>
    <n v="0"/>
    <n v="0"/>
    <n v="0"/>
    <n v="0"/>
    <x v="2"/>
  </r>
  <r>
    <x v="49"/>
    <x v="0"/>
    <n v="15"/>
    <n v="15"/>
    <n v="20"/>
    <n v="25"/>
    <n v="10"/>
    <n v="0"/>
    <n v="0"/>
    <n v="0"/>
    <x v="31"/>
  </r>
  <r>
    <x v="50"/>
    <x v="4"/>
    <n v="20"/>
    <n v="9"/>
    <n v="8"/>
    <n v="11"/>
    <n v="6"/>
    <n v="0"/>
    <n v="0"/>
    <n v="0"/>
    <x v="32"/>
  </r>
  <r>
    <x v="51"/>
    <x v="4"/>
    <n v="19"/>
    <n v="0"/>
    <n v="2"/>
    <n v="2"/>
    <n v="17"/>
    <n v="0"/>
    <n v="0"/>
    <n v="0"/>
    <x v="25"/>
  </r>
  <r>
    <x v="52"/>
    <x v="0"/>
    <n v="15"/>
    <n v="1"/>
    <n v="1"/>
    <n v="5"/>
    <n v="6"/>
    <n v="0"/>
    <n v="0"/>
    <n v="0"/>
    <x v="33"/>
  </r>
  <r>
    <x v="53"/>
    <x v="5"/>
    <n v="16"/>
    <n v="17"/>
    <n v="30"/>
    <n v="20"/>
    <n v="7"/>
    <n v="0"/>
    <n v="0"/>
    <n v="0"/>
    <x v="34"/>
  </r>
  <r>
    <x v="54"/>
    <x v="0"/>
    <n v="21"/>
    <n v="130"/>
    <n v="126"/>
    <n v="142"/>
    <n v="20"/>
    <n v="10"/>
    <n v="17"/>
    <n v="18"/>
    <x v="35"/>
  </r>
  <r>
    <x v="55"/>
    <x v="4"/>
    <n v="18"/>
    <n v="28"/>
    <n v="31"/>
    <n v="31"/>
    <n v="16"/>
    <n v="0"/>
    <n v="3"/>
    <n v="1"/>
    <x v="36"/>
  </r>
  <r>
    <x v="56"/>
    <x v="1"/>
    <n v="13"/>
    <n v="3"/>
    <n v="1"/>
    <n v="1"/>
    <n v="1"/>
    <n v="0"/>
    <n v="0"/>
    <n v="0"/>
    <x v="37"/>
  </r>
  <r>
    <x v="57"/>
    <x v="5"/>
    <n v="25"/>
    <n v="59"/>
    <n v="99"/>
    <n v="120"/>
    <n v="22"/>
    <n v="62"/>
    <n v="55"/>
    <n v="53"/>
    <x v="38"/>
  </r>
  <r>
    <x v="58"/>
    <x v="0"/>
    <n v="8"/>
    <n v="0"/>
    <n v="0"/>
    <n v="4"/>
    <n v="0"/>
    <n v="0"/>
    <n v="0"/>
    <n v="0"/>
    <x v="25"/>
  </r>
  <r>
    <x v="59"/>
    <x v="0"/>
    <n v="5"/>
    <n v="16"/>
    <n v="17"/>
    <n v="19"/>
    <n v="6"/>
    <n v="1"/>
    <n v="3"/>
    <n v="3"/>
    <x v="39"/>
  </r>
  <r>
    <x v="60"/>
    <x v="1"/>
    <n v="13"/>
    <n v="25"/>
    <n v="32"/>
    <n v="29"/>
    <n v="3"/>
    <n v="0"/>
    <n v="0"/>
    <n v="0"/>
    <x v="40"/>
  </r>
  <r>
    <x v="61"/>
    <x v="0"/>
    <n v="5"/>
    <n v="0"/>
    <n v="1"/>
    <n v="2"/>
    <n v="6"/>
    <n v="0"/>
    <n v="0"/>
    <n v="0"/>
    <x v="3"/>
  </r>
  <r>
    <x v="62"/>
    <x v="2"/>
    <n v="18"/>
    <n v="2"/>
    <n v="6"/>
    <n v="11"/>
    <n v="1"/>
    <n v="0"/>
    <n v="0"/>
    <n v="0"/>
    <x v="41"/>
  </r>
  <r>
    <x v="63"/>
    <x v="0"/>
    <n v="16"/>
    <n v="81"/>
    <n v="82"/>
    <n v="80"/>
    <n v="17"/>
    <n v="26"/>
    <n v="17"/>
    <n v="10"/>
    <x v="42"/>
  </r>
  <r>
    <x v="64"/>
    <x v="0"/>
    <n v="9"/>
    <n v="14"/>
    <n v="12"/>
    <n v="21"/>
    <n v="8"/>
    <n v="0"/>
    <n v="1"/>
    <n v="1"/>
    <x v="43"/>
  </r>
  <r>
    <x v="65"/>
    <x v="5"/>
    <n v="14"/>
    <n v="1"/>
    <n v="1"/>
    <n v="2"/>
    <n v="6"/>
    <n v="0"/>
    <n v="0"/>
    <n v="0"/>
    <x v="25"/>
  </r>
  <r>
    <x v="66"/>
    <x v="5"/>
    <n v="19"/>
    <n v="72"/>
    <n v="67"/>
    <n v="69"/>
    <n v="0"/>
    <n v="0"/>
    <n v="0"/>
    <n v="0"/>
    <x v="44"/>
  </r>
  <r>
    <x v="67"/>
    <x v="0"/>
    <n v="12"/>
    <n v="0"/>
    <n v="0"/>
    <n v="2"/>
    <n v="0"/>
    <n v="0"/>
    <n v="0"/>
    <n v="0"/>
    <x v="0"/>
  </r>
  <r>
    <x v="68"/>
    <x v="0"/>
    <n v="16"/>
    <n v="0"/>
    <n v="2"/>
    <n v="2"/>
    <n v="16"/>
    <n v="0"/>
    <n v="0"/>
    <n v="0"/>
    <x v="25"/>
  </r>
  <r>
    <x v="69"/>
    <x v="4"/>
    <n v="16"/>
    <n v="0"/>
    <n v="0"/>
    <n v="0"/>
    <n v="18"/>
    <n v="2"/>
    <n v="2"/>
    <n v="5"/>
    <x v="22"/>
  </r>
  <r>
    <x v="70"/>
    <x v="4"/>
    <n v="8"/>
    <n v="6"/>
    <n v="5"/>
    <n v="10"/>
    <n v="8"/>
    <n v="0"/>
    <n v="0"/>
    <n v="0"/>
    <x v="45"/>
  </r>
  <r>
    <x v="71"/>
    <x v="4"/>
    <n v="22"/>
    <n v="1"/>
    <n v="1"/>
    <n v="0"/>
    <n v="8"/>
    <n v="0"/>
    <n v="2"/>
    <n v="0"/>
    <x v="25"/>
  </r>
  <r>
    <x v="72"/>
    <x v="4"/>
    <n v="10"/>
    <n v="3"/>
    <n v="11"/>
    <n v="5"/>
    <n v="10"/>
    <n v="0"/>
    <n v="4"/>
    <n v="3"/>
    <x v="8"/>
  </r>
  <r>
    <x v="73"/>
    <x v="4"/>
    <n v="5"/>
    <n v="0"/>
    <n v="0"/>
    <n v="1"/>
    <n v="5"/>
    <n v="0"/>
    <n v="0"/>
    <n v="0"/>
    <x v="2"/>
  </r>
  <r>
    <x v="74"/>
    <x v="0"/>
    <n v="12"/>
    <n v="0"/>
    <n v="3"/>
    <n v="3"/>
    <n v="0"/>
    <n v="0"/>
    <n v="0"/>
    <n v="0"/>
    <x v="19"/>
  </r>
  <r>
    <x v="75"/>
    <x v="1"/>
    <n v="13"/>
    <n v="6"/>
    <n v="5"/>
    <n v="11"/>
    <n v="6"/>
    <n v="0"/>
    <n v="0"/>
    <n v="0"/>
    <x v="46"/>
  </r>
  <r>
    <x v="76"/>
    <x v="1"/>
    <n v="8"/>
    <n v="0"/>
    <n v="0"/>
    <n v="1"/>
    <n v="0"/>
    <n v="0"/>
    <n v="0"/>
    <n v="0"/>
    <x v="2"/>
  </r>
  <r>
    <x v="77"/>
    <x v="5"/>
    <n v="22"/>
    <n v="13"/>
    <n v="21"/>
    <n v="28"/>
    <n v="8"/>
    <n v="0"/>
    <n v="0"/>
    <n v="0"/>
    <x v="47"/>
  </r>
  <r>
    <x v="78"/>
    <x v="4"/>
    <n v="5"/>
    <n v="0"/>
    <n v="2"/>
    <n v="5"/>
    <n v="6"/>
    <n v="0"/>
    <n v="0"/>
    <n v="0"/>
    <x v="33"/>
  </r>
  <r>
    <x v="79"/>
    <x v="0"/>
    <n v="12"/>
    <n v="2"/>
    <n v="9"/>
    <n v="13"/>
    <n v="13"/>
    <n v="0"/>
    <n v="0"/>
    <n v="0"/>
    <x v="48"/>
  </r>
  <r>
    <x v="80"/>
    <x v="1"/>
    <n v="9"/>
    <n v="1"/>
    <n v="0"/>
    <n v="1"/>
    <n v="0"/>
    <n v="0"/>
    <n v="0"/>
    <n v="0"/>
    <x v="0"/>
  </r>
  <r>
    <x v="81"/>
    <x v="1"/>
    <n v="6"/>
    <n v="0"/>
    <n v="4"/>
    <n v="0"/>
    <n v="0"/>
    <n v="0"/>
    <n v="0"/>
    <n v="0"/>
    <x v="25"/>
  </r>
  <r>
    <x v="82"/>
    <x v="4"/>
    <n v="15"/>
    <n v="174"/>
    <n v="182"/>
    <n v="217"/>
    <n v="11"/>
    <n v="78"/>
    <n v="78"/>
    <n v="53"/>
    <x v="49"/>
  </r>
  <r>
    <x v="83"/>
    <x v="4"/>
    <n v="5"/>
    <n v="56"/>
    <n v="67"/>
    <n v="81"/>
    <n v="7"/>
    <n v="11"/>
    <n v="15"/>
    <n v="13"/>
    <x v="50"/>
  </r>
  <r>
    <x v="84"/>
    <x v="4"/>
    <n v="3"/>
    <n v="28"/>
    <n v="54"/>
    <n v="36"/>
    <n v="3"/>
    <n v="8"/>
    <n v="6"/>
    <n v="5"/>
    <x v="51"/>
  </r>
  <r>
    <x v="85"/>
    <x v="4"/>
    <n v="5"/>
    <n v="153"/>
    <n v="129"/>
    <n v="127"/>
    <n v="6"/>
    <n v="39"/>
    <n v="36"/>
    <n v="35"/>
    <x v="52"/>
  </r>
  <r>
    <x v="86"/>
    <x v="1"/>
    <n v="11"/>
    <n v="0"/>
    <n v="0"/>
    <n v="1"/>
    <n v="0"/>
    <n v="0"/>
    <n v="0"/>
    <n v="0"/>
    <x v="2"/>
  </r>
  <r>
    <x v="87"/>
    <x v="1"/>
    <n v="15"/>
    <n v="3"/>
    <n v="8"/>
    <n v="12"/>
    <n v="0"/>
    <n v="0"/>
    <n v="0"/>
    <n v="0"/>
    <x v="53"/>
  </r>
  <r>
    <x v="88"/>
    <x v="4"/>
    <n v="24"/>
    <n v="56"/>
    <n v="49"/>
    <n v="43"/>
    <n v="22"/>
    <n v="118"/>
    <n v="111"/>
    <n v="100"/>
    <x v="54"/>
  </r>
  <r>
    <x v="89"/>
    <x v="3"/>
    <n v="22"/>
    <n v="42"/>
    <n v="18"/>
    <n v="39"/>
    <n v="15"/>
    <n v="0"/>
    <n v="1"/>
    <n v="0"/>
    <x v="55"/>
  </r>
  <r>
    <x v="90"/>
    <x v="0"/>
    <n v="16"/>
    <n v="3"/>
    <n v="3"/>
    <n v="4"/>
    <n v="2"/>
    <n v="0"/>
    <n v="0"/>
    <n v="0"/>
    <x v="56"/>
  </r>
  <r>
    <x v="91"/>
    <x v="2"/>
    <n v="16"/>
    <n v="1"/>
    <n v="0"/>
    <n v="2"/>
    <n v="0"/>
    <n v="0"/>
    <n v="0"/>
    <n v="0"/>
    <x v="3"/>
  </r>
  <r>
    <x v="92"/>
    <x v="2"/>
    <n v="11"/>
    <n v="0"/>
    <n v="1"/>
    <n v="0"/>
    <n v="1"/>
    <n v="0"/>
    <n v="0"/>
    <n v="0"/>
    <x v="2"/>
  </r>
  <r>
    <x v="93"/>
    <x v="2"/>
    <n v="17"/>
    <n v="1"/>
    <n v="3"/>
    <n v="0"/>
    <n v="2"/>
    <n v="0"/>
    <n v="0"/>
    <n v="0"/>
    <x v="25"/>
  </r>
  <r>
    <x v="94"/>
    <x v="4"/>
    <n v="20"/>
    <n v="64"/>
    <n v="82"/>
    <n v="125"/>
    <n v="22"/>
    <n v="6"/>
    <n v="7"/>
    <n v="7"/>
    <x v="57"/>
  </r>
  <r>
    <x v="95"/>
    <x v="5"/>
    <n v="17"/>
    <n v="0"/>
    <n v="2"/>
    <n v="6"/>
    <n v="6"/>
    <n v="0"/>
    <n v="0"/>
    <n v="0"/>
    <x v="58"/>
  </r>
  <r>
    <x v="96"/>
    <x v="4"/>
    <n v="23"/>
    <n v="4"/>
    <n v="8"/>
    <n v="11"/>
    <n v="7"/>
    <n v="0"/>
    <n v="0"/>
    <n v="0"/>
    <x v="53"/>
  </r>
  <r>
    <x v="97"/>
    <x v="1"/>
    <n v="18"/>
    <n v="23"/>
    <n v="26"/>
    <n v="27"/>
    <n v="6"/>
    <n v="0"/>
    <n v="0"/>
    <n v="0"/>
    <x v="59"/>
  </r>
  <r>
    <x v="98"/>
    <x v="4"/>
    <n v="5"/>
    <n v="133"/>
    <n v="122"/>
    <n v="142"/>
    <n v="6"/>
    <n v="49"/>
    <n v="40"/>
    <n v="35"/>
    <x v="60"/>
  </r>
  <r>
    <x v="99"/>
    <x v="4"/>
    <n v="3"/>
    <n v="1"/>
    <n v="4"/>
    <n v="3"/>
    <n v="0"/>
    <n v="0"/>
    <n v="0"/>
    <n v="0"/>
    <x v="58"/>
  </r>
  <r>
    <x v="100"/>
    <x v="4"/>
    <n v="20"/>
    <n v="88"/>
    <n v="94"/>
    <n v="119"/>
    <n v="20"/>
    <n v="0"/>
    <n v="0"/>
    <n v="1"/>
    <x v="61"/>
  </r>
  <r>
    <x v="101"/>
    <x v="1"/>
    <n v="13"/>
    <n v="0"/>
    <n v="1"/>
    <n v="0"/>
    <n v="5"/>
    <n v="0"/>
    <n v="0"/>
    <n v="0"/>
    <x v="2"/>
  </r>
  <r>
    <x v="102"/>
    <x v="4"/>
    <n v="3"/>
    <n v="1"/>
    <n v="2"/>
    <n v="4"/>
    <n v="2"/>
    <n v="0"/>
    <n v="0"/>
    <n v="0"/>
    <x v="33"/>
  </r>
  <r>
    <x v="103"/>
    <x v="4"/>
    <n v="1"/>
    <n v="0"/>
    <n v="2"/>
    <n v="0"/>
    <n v="1"/>
    <n v="0"/>
    <n v="0"/>
    <n v="0"/>
    <x v="0"/>
  </r>
  <r>
    <x v="104"/>
    <x v="0"/>
    <n v="15"/>
    <n v="0"/>
    <n v="2"/>
    <n v="2"/>
    <n v="0"/>
    <n v="0"/>
    <n v="0"/>
    <n v="0"/>
    <x v="25"/>
  </r>
  <r>
    <x v="105"/>
    <x v="4"/>
    <n v="5"/>
    <n v="7"/>
    <n v="9"/>
    <n v="8"/>
    <n v="6"/>
    <n v="2"/>
    <n v="2"/>
    <n v="1"/>
    <x v="62"/>
  </r>
  <r>
    <x v="106"/>
    <x v="4"/>
    <n v="6"/>
    <n v="4"/>
    <n v="6"/>
    <n v="9"/>
    <n v="7"/>
    <n v="2"/>
    <n v="4"/>
    <n v="9"/>
    <x v="15"/>
  </r>
  <r>
    <x v="107"/>
    <x v="0"/>
    <n v="16"/>
    <n v="0"/>
    <n v="2"/>
    <n v="0"/>
    <n v="0"/>
    <n v="0"/>
    <n v="0"/>
    <n v="0"/>
    <x v="0"/>
  </r>
  <r>
    <x v="108"/>
    <x v="5"/>
    <n v="26"/>
    <n v="976"/>
    <n v="758"/>
    <n v="666"/>
    <n v="22"/>
    <n v="96"/>
    <n v="102"/>
    <n v="83"/>
    <x v="63"/>
  </r>
  <r>
    <x v="109"/>
    <x v="1"/>
    <n v="11"/>
    <n v="0"/>
    <n v="1"/>
    <n v="0"/>
    <n v="0"/>
    <n v="0"/>
    <n v="0"/>
    <n v="0"/>
    <x v="2"/>
  </r>
  <r>
    <x v="110"/>
    <x v="2"/>
    <n v="11"/>
    <n v="1"/>
    <n v="0"/>
    <n v="1"/>
    <n v="0"/>
    <n v="0"/>
    <n v="0"/>
    <n v="0"/>
    <x v="0"/>
  </r>
  <r>
    <x v="111"/>
    <x v="0"/>
    <n v="12"/>
    <n v="1"/>
    <n v="1"/>
    <n v="1"/>
    <n v="0"/>
    <n v="0"/>
    <n v="0"/>
    <n v="0"/>
    <x v="3"/>
  </r>
  <r>
    <x v="112"/>
    <x v="4"/>
    <n v="27"/>
    <n v="47"/>
    <n v="73"/>
    <n v="65"/>
    <n v="22"/>
    <n v="50"/>
    <n v="40"/>
    <n v="48"/>
    <x v="64"/>
  </r>
  <r>
    <x v="113"/>
    <x v="4"/>
    <n v="26"/>
    <n v="143"/>
    <n v="164"/>
    <n v="176"/>
    <n v="22"/>
    <n v="50"/>
    <n v="40"/>
    <n v="54"/>
    <x v="65"/>
  </r>
  <r>
    <x v="114"/>
    <x v="0"/>
    <n v="5"/>
    <n v="0"/>
    <n v="1"/>
    <n v="2"/>
    <n v="4"/>
    <n v="0"/>
    <n v="0"/>
    <n v="0"/>
    <x v="3"/>
  </r>
  <r>
    <x v="115"/>
    <x v="0"/>
    <n v="15"/>
    <n v="7"/>
    <n v="6"/>
    <n v="11"/>
    <n v="3"/>
    <n v="0"/>
    <n v="0"/>
    <n v="0"/>
    <x v="48"/>
  </r>
  <r>
    <x v="116"/>
    <x v="1"/>
    <n v="12"/>
    <n v="0"/>
    <n v="2"/>
    <n v="0"/>
    <n v="0"/>
    <n v="0"/>
    <n v="0"/>
    <n v="0"/>
    <x v="0"/>
  </r>
  <r>
    <x v="117"/>
    <x v="1"/>
    <n v="9"/>
    <n v="0"/>
    <n v="0"/>
    <n v="1"/>
    <n v="1"/>
    <n v="0"/>
    <n v="0"/>
    <n v="0"/>
    <x v="2"/>
  </r>
  <r>
    <x v="118"/>
    <x v="3"/>
    <n v="8"/>
    <n v="0"/>
    <n v="1"/>
    <n v="0"/>
    <n v="1"/>
    <n v="0"/>
    <n v="0"/>
    <n v="0"/>
    <x v="2"/>
  </r>
  <r>
    <x v="119"/>
    <x v="5"/>
    <n v="16"/>
    <n v="2"/>
    <n v="5"/>
    <n v="11"/>
    <n v="3"/>
    <n v="0"/>
    <n v="0"/>
    <n v="0"/>
    <x v="66"/>
  </r>
  <r>
    <x v="120"/>
    <x v="1"/>
    <n v="13"/>
    <n v="3"/>
    <n v="3"/>
    <n v="4"/>
    <n v="0"/>
    <n v="0"/>
    <n v="0"/>
    <n v="0"/>
    <x v="56"/>
  </r>
  <r>
    <x v="121"/>
    <x v="0"/>
    <n v="21"/>
    <n v="39"/>
    <n v="25"/>
    <n v="24"/>
    <n v="16"/>
    <n v="0"/>
    <n v="0"/>
    <n v="0"/>
    <x v="67"/>
  </r>
  <r>
    <x v="122"/>
    <x v="1"/>
    <n v="14"/>
    <n v="2"/>
    <n v="3"/>
    <n v="2"/>
    <n v="0"/>
    <n v="0"/>
    <n v="0"/>
    <n v="0"/>
    <x v="33"/>
  </r>
  <r>
    <x v="123"/>
    <x v="4"/>
    <n v="5"/>
    <n v="33"/>
    <n v="27"/>
    <n v="55"/>
    <n v="6"/>
    <n v="2"/>
    <n v="1"/>
    <n v="4"/>
    <x v="68"/>
  </r>
  <r>
    <x v="124"/>
    <x v="2"/>
    <n v="20"/>
    <n v="2"/>
    <n v="2"/>
    <n v="6"/>
    <n v="1"/>
    <n v="0"/>
    <n v="0"/>
    <n v="0"/>
    <x v="56"/>
  </r>
  <r>
    <x v="125"/>
    <x v="0"/>
    <n v="5"/>
    <n v="5"/>
    <n v="5"/>
    <n v="10"/>
    <n v="6"/>
    <n v="1"/>
    <n v="0"/>
    <n v="0"/>
    <x v="45"/>
  </r>
  <r>
    <x v="126"/>
    <x v="2"/>
    <n v="17"/>
    <n v="2"/>
    <n v="2"/>
    <n v="8"/>
    <n v="4"/>
    <n v="0"/>
    <n v="0"/>
    <n v="0"/>
    <x v="5"/>
  </r>
  <r>
    <x v="127"/>
    <x v="4"/>
    <n v="25"/>
    <n v="167"/>
    <n v="144"/>
    <n v="165"/>
    <n v="22"/>
    <n v="0"/>
    <n v="2"/>
    <n v="4"/>
    <x v="69"/>
  </r>
  <r>
    <x v="128"/>
    <x v="4"/>
    <n v="27"/>
    <n v="236"/>
    <n v="272"/>
    <n v="272"/>
    <n v="22"/>
    <n v="10"/>
    <n v="4"/>
    <n v="12"/>
    <x v="70"/>
  </r>
  <r>
    <x v="129"/>
    <x v="0"/>
    <n v="14"/>
    <n v="0"/>
    <n v="2"/>
    <n v="0"/>
    <n v="0"/>
    <n v="0"/>
    <n v="0"/>
    <n v="0"/>
    <x v="0"/>
  </r>
  <r>
    <x v="130"/>
    <x v="4"/>
    <n v="26"/>
    <n v="198"/>
    <n v="166"/>
    <n v="185"/>
    <n v="22"/>
    <n v="37"/>
    <n v="34"/>
    <n v="43"/>
    <x v="71"/>
  </r>
  <r>
    <x v="131"/>
    <x v="4"/>
    <n v="1"/>
    <n v="45"/>
    <n v="38"/>
    <n v="29"/>
    <n v="1"/>
    <n v="9"/>
    <n v="6"/>
    <n v="8"/>
    <x v="72"/>
  </r>
  <r>
    <x v="132"/>
    <x v="1"/>
    <n v="12"/>
    <n v="0"/>
    <n v="1"/>
    <n v="0"/>
    <n v="0"/>
    <n v="0"/>
    <n v="0"/>
    <n v="0"/>
    <x v="2"/>
  </r>
  <r>
    <x v="133"/>
    <x v="5"/>
    <n v="11"/>
    <n v="0"/>
    <n v="1"/>
    <n v="0"/>
    <n v="7"/>
    <n v="0"/>
    <n v="0"/>
    <n v="0"/>
    <x v="2"/>
  </r>
  <r>
    <x v="134"/>
    <x v="1"/>
    <n v="12"/>
    <n v="0"/>
    <n v="1"/>
    <n v="1"/>
    <n v="0"/>
    <n v="0"/>
    <n v="0"/>
    <n v="0"/>
    <x v="0"/>
  </r>
  <r>
    <x v="135"/>
    <x v="1"/>
    <n v="12"/>
    <n v="3"/>
    <n v="4"/>
    <n v="1"/>
    <n v="1"/>
    <n v="0"/>
    <n v="0"/>
    <n v="0"/>
    <x v="58"/>
  </r>
  <r>
    <x v="136"/>
    <x v="0"/>
    <n v="8"/>
    <n v="1"/>
    <n v="0"/>
    <n v="0"/>
    <n v="0"/>
    <n v="0"/>
    <n v="0"/>
    <n v="0"/>
    <x v="2"/>
  </r>
  <r>
    <x v="137"/>
    <x v="4"/>
    <n v="9"/>
    <n v="395"/>
    <n v="319"/>
    <n v="296"/>
    <n v="9"/>
    <n v="78"/>
    <n v="57"/>
    <n v="59"/>
    <x v="7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s v="Afganistan"/>
    <x v="0"/>
    <n v="13"/>
    <n v="0"/>
    <n v="0"/>
    <n v="2"/>
    <n v="0"/>
    <n v="0"/>
    <n v="0"/>
    <n v="0"/>
    <x v="0"/>
  </r>
  <r>
    <s v="Algieria"/>
    <x v="1"/>
    <n v="12"/>
    <n v="5"/>
    <n v="2"/>
    <n v="8"/>
    <n v="3"/>
    <n v="0"/>
    <n v="0"/>
    <n v="0"/>
    <x v="1"/>
  </r>
  <r>
    <s v="Antyle Holenderskie"/>
    <x v="2"/>
    <n v="13"/>
    <n v="0"/>
    <n v="1"/>
    <n v="0"/>
    <n v="2"/>
    <n v="0"/>
    <n v="0"/>
    <n v="0"/>
    <x v="0"/>
  </r>
  <r>
    <s v="Arabia Saudyjska"/>
    <x v="0"/>
    <n v="10"/>
    <n v="0"/>
    <n v="1"/>
    <n v="2"/>
    <n v="0"/>
    <n v="0"/>
    <n v="0"/>
    <n v="0"/>
    <x v="0"/>
  </r>
  <r>
    <s v="Argentyna"/>
    <x v="2"/>
    <n v="23"/>
    <n v="18"/>
    <n v="24"/>
    <n v="28"/>
    <n v="18"/>
    <n v="0"/>
    <n v="0"/>
    <n v="0"/>
    <x v="1"/>
  </r>
  <r>
    <s v="Armenia"/>
    <x v="0"/>
    <n v="5"/>
    <n v="1"/>
    <n v="2"/>
    <n v="9"/>
    <n v="6"/>
    <n v="0"/>
    <n v="0"/>
    <n v="0"/>
    <x v="1"/>
  </r>
  <r>
    <s v="Australia"/>
    <x v="3"/>
    <n v="25"/>
    <n v="138"/>
    <n v="153"/>
    <n v="177"/>
    <n v="18"/>
    <n v="5"/>
    <n v="3"/>
    <n v="4"/>
    <x v="1"/>
  </r>
  <r>
    <s v="Austria"/>
    <x v="4"/>
    <n v="26"/>
    <n v="18"/>
    <n v="33"/>
    <n v="35"/>
    <n v="22"/>
    <n v="59"/>
    <n v="78"/>
    <n v="81"/>
    <x v="2"/>
  </r>
  <r>
    <s v="Azerbejdzan"/>
    <x v="0"/>
    <n v="5"/>
    <n v="6"/>
    <n v="5"/>
    <n v="15"/>
    <n v="5"/>
    <n v="0"/>
    <n v="0"/>
    <n v="0"/>
    <x v="1"/>
  </r>
  <r>
    <s v="Bahamy"/>
    <x v="5"/>
    <n v="15"/>
    <n v="5"/>
    <n v="2"/>
    <n v="5"/>
    <n v="0"/>
    <n v="0"/>
    <n v="0"/>
    <n v="0"/>
    <x v="1"/>
  </r>
  <r>
    <s v="Bahrajn"/>
    <x v="0"/>
    <n v="8"/>
    <n v="0"/>
    <n v="0"/>
    <n v="1"/>
    <n v="0"/>
    <n v="0"/>
    <n v="0"/>
    <n v="0"/>
    <x v="0"/>
  </r>
  <r>
    <s v="Barbados"/>
    <x v="5"/>
    <n v="11"/>
    <n v="0"/>
    <n v="0"/>
    <n v="1"/>
    <n v="0"/>
    <n v="0"/>
    <n v="0"/>
    <n v="0"/>
    <x v="0"/>
  </r>
  <r>
    <s v="Belgia"/>
    <x v="4"/>
    <n v="25"/>
    <n v="37"/>
    <n v="52"/>
    <n v="53"/>
    <n v="20"/>
    <n v="1"/>
    <n v="1"/>
    <n v="3"/>
    <x v="1"/>
  </r>
  <r>
    <s v="Bermudy"/>
    <x v="5"/>
    <n v="17"/>
    <n v="0"/>
    <n v="0"/>
    <n v="1"/>
    <n v="7"/>
    <n v="0"/>
    <n v="0"/>
    <n v="0"/>
    <x v="0"/>
  </r>
  <r>
    <s v="Bialorus"/>
    <x v="4"/>
    <n v="5"/>
    <n v="12"/>
    <n v="24"/>
    <n v="40"/>
    <n v="6"/>
    <n v="6"/>
    <n v="4"/>
    <n v="5"/>
    <x v="1"/>
  </r>
  <r>
    <s v="Botswana"/>
    <x v="0"/>
    <n v="9"/>
    <n v="0"/>
    <n v="1"/>
    <n v="0"/>
    <n v="0"/>
    <n v="0"/>
    <n v="0"/>
    <n v="0"/>
    <x v="0"/>
  </r>
  <r>
    <s v="Brazylia"/>
    <x v="2"/>
    <n v="21"/>
    <n v="23"/>
    <n v="30"/>
    <n v="55"/>
    <n v="7"/>
    <n v="0"/>
    <n v="0"/>
    <n v="0"/>
    <x v="1"/>
  </r>
  <r>
    <s v="Bulgaria"/>
    <x v="4"/>
    <n v="19"/>
    <n v="51"/>
    <n v="85"/>
    <n v="78"/>
    <n v="19"/>
    <n v="1"/>
    <n v="2"/>
    <n v="3"/>
    <x v="1"/>
  </r>
  <r>
    <s v="Burundi"/>
    <x v="1"/>
    <n v="5"/>
    <n v="1"/>
    <n v="0"/>
    <n v="0"/>
    <n v="0"/>
    <n v="0"/>
    <n v="0"/>
    <n v="0"/>
    <x v="0"/>
  </r>
  <r>
    <s v="Chile"/>
    <x v="2"/>
    <n v="22"/>
    <n v="2"/>
    <n v="7"/>
    <n v="4"/>
    <n v="16"/>
    <n v="0"/>
    <n v="0"/>
    <n v="0"/>
    <x v="1"/>
  </r>
  <r>
    <s v="Chiny"/>
    <x v="0"/>
    <n v="9"/>
    <n v="201"/>
    <n v="144"/>
    <n v="128"/>
    <n v="10"/>
    <n v="12"/>
    <n v="22"/>
    <n v="19"/>
    <x v="1"/>
  </r>
  <r>
    <s v="Chorwacja"/>
    <x v="4"/>
    <n v="6"/>
    <n v="6"/>
    <n v="7"/>
    <n v="10"/>
    <n v="7"/>
    <n v="4"/>
    <n v="6"/>
    <n v="1"/>
    <x v="1"/>
  </r>
  <r>
    <s v="Cypr"/>
    <x v="4"/>
    <n v="9"/>
    <n v="0"/>
    <n v="1"/>
    <n v="0"/>
    <n v="10"/>
    <n v="0"/>
    <n v="0"/>
    <n v="0"/>
    <x v="0"/>
  </r>
  <r>
    <s v="Czarnogora"/>
    <x v="4"/>
    <n v="2"/>
    <n v="0"/>
    <n v="1"/>
    <n v="0"/>
    <n v="2"/>
    <n v="0"/>
    <n v="0"/>
    <n v="0"/>
    <x v="0"/>
  </r>
  <r>
    <s v="Czechoslowacja"/>
    <x v="4"/>
    <n v="16"/>
    <n v="49"/>
    <n v="49"/>
    <n v="45"/>
    <n v="16"/>
    <n v="2"/>
    <n v="8"/>
    <n v="15"/>
    <x v="1"/>
  </r>
  <r>
    <s v="Czechy"/>
    <x v="4"/>
    <n v="5"/>
    <n v="14"/>
    <n v="15"/>
    <n v="15"/>
    <n v="6"/>
    <n v="7"/>
    <n v="9"/>
    <n v="8"/>
    <x v="1"/>
  </r>
  <r>
    <s v="Dania"/>
    <x v="4"/>
    <n v="26"/>
    <n v="43"/>
    <n v="68"/>
    <n v="68"/>
    <n v="13"/>
    <n v="0"/>
    <n v="1"/>
    <n v="0"/>
    <x v="1"/>
  </r>
  <r>
    <s v="Dominikana"/>
    <x v="5"/>
    <n v="13"/>
    <n v="3"/>
    <n v="2"/>
    <n v="1"/>
    <n v="0"/>
    <n v="0"/>
    <n v="0"/>
    <n v="0"/>
    <x v="1"/>
  </r>
  <r>
    <s v="Dzibuti"/>
    <x v="1"/>
    <n v="7"/>
    <n v="0"/>
    <n v="0"/>
    <n v="1"/>
    <n v="0"/>
    <n v="0"/>
    <n v="0"/>
    <n v="0"/>
    <x v="0"/>
  </r>
  <r>
    <s v="Egipt"/>
    <x v="1"/>
    <n v="21"/>
    <n v="7"/>
    <n v="9"/>
    <n v="10"/>
    <n v="1"/>
    <n v="0"/>
    <n v="0"/>
    <n v="0"/>
    <x v="1"/>
  </r>
  <r>
    <s v="Ekwador"/>
    <x v="2"/>
    <n v="13"/>
    <n v="1"/>
    <n v="1"/>
    <n v="0"/>
    <n v="0"/>
    <n v="0"/>
    <n v="0"/>
    <n v="0"/>
    <x v="0"/>
  </r>
  <r>
    <s v="Erytrea"/>
    <x v="1"/>
    <n v="4"/>
    <n v="0"/>
    <n v="0"/>
    <n v="1"/>
    <n v="0"/>
    <n v="0"/>
    <n v="0"/>
    <n v="0"/>
    <x v="0"/>
  </r>
  <r>
    <s v="Estonia"/>
    <x v="4"/>
    <n v="11"/>
    <n v="9"/>
    <n v="9"/>
    <n v="15"/>
    <n v="9"/>
    <n v="4"/>
    <n v="2"/>
    <n v="1"/>
    <x v="1"/>
  </r>
  <r>
    <s v="Etiopia"/>
    <x v="1"/>
    <n v="12"/>
    <n v="21"/>
    <n v="7"/>
    <n v="17"/>
    <n v="2"/>
    <n v="0"/>
    <n v="0"/>
    <n v="0"/>
    <x v="1"/>
  </r>
  <r>
    <s v="Filipiny"/>
    <x v="0"/>
    <n v="20"/>
    <n v="0"/>
    <n v="2"/>
    <n v="7"/>
    <n v="4"/>
    <n v="0"/>
    <n v="0"/>
    <n v="0"/>
    <x v="0"/>
  </r>
  <r>
    <s v="Finlandia"/>
    <x v="4"/>
    <n v="24"/>
    <n v="101"/>
    <n v="84"/>
    <n v="117"/>
    <n v="22"/>
    <n v="42"/>
    <n v="62"/>
    <n v="56"/>
    <x v="1"/>
  </r>
  <r>
    <s v="Francja"/>
    <x v="4"/>
    <n v="27"/>
    <n v="202"/>
    <n v="223"/>
    <n v="246"/>
    <n v="22"/>
    <n v="31"/>
    <n v="31"/>
    <n v="47"/>
    <x v="1"/>
  </r>
  <r>
    <s v="Gabon"/>
    <x v="1"/>
    <n v="9"/>
    <n v="0"/>
    <n v="1"/>
    <n v="0"/>
    <n v="0"/>
    <n v="0"/>
    <n v="0"/>
    <n v="0"/>
    <x v="0"/>
  </r>
  <r>
    <s v="Ghana"/>
    <x v="1"/>
    <n v="13"/>
    <n v="0"/>
    <n v="1"/>
    <n v="3"/>
    <n v="1"/>
    <n v="0"/>
    <n v="0"/>
    <n v="0"/>
    <x v="0"/>
  </r>
  <r>
    <s v="Grecja"/>
    <x v="4"/>
    <n v="27"/>
    <n v="30"/>
    <n v="42"/>
    <n v="38"/>
    <n v="18"/>
    <n v="0"/>
    <n v="0"/>
    <n v="0"/>
    <x v="1"/>
  </r>
  <r>
    <s v="Gruzja"/>
    <x v="0"/>
    <n v="5"/>
    <n v="6"/>
    <n v="5"/>
    <n v="14"/>
    <n v="6"/>
    <n v="0"/>
    <n v="0"/>
    <n v="0"/>
    <x v="1"/>
  </r>
  <r>
    <s v="Gujana"/>
    <x v="2"/>
    <n v="16"/>
    <n v="0"/>
    <n v="0"/>
    <n v="1"/>
    <n v="0"/>
    <n v="0"/>
    <n v="0"/>
    <n v="0"/>
    <x v="0"/>
  </r>
  <r>
    <s v="Haiti"/>
    <x v="5"/>
    <n v="14"/>
    <n v="0"/>
    <n v="1"/>
    <n v="1"/>
    <n v="0"/>
    <n v="0"/>
    <n v="0"/>
    <n v="0"/>
    <x v="0"/>
  </r>
  <r>
    <s v="Hiszpania"/>
    <x v="4"/>
    <n v="22"/>
    <n v="37"/>
    <n v="59"/>
    <n v="35"/>
    <n v="19"/>
    <n v="1"/>
    <n v="0"/>
    <n v="1"/>
    <x v="1"/>
  </r>
  <r>
    <s v="Holandia"/>
    <x v="4"/>
    <n v="25"/>
    <n v="77"/>
    <n v="85"/>
    <n v="104"/>
    <n v="20"/>
    <n v="37"/>
    <n v="38"/>
    <n v="35"/>
    <x v="1"/>
  </r>
  <r>
    <s v="Hongkong"/>
    <x v="0"/>
    <n v="15"/>
    <n v="1"/>
    <n v="1"/>
    <n v="1"/>
    <n v="4"/>
    <n v="0"/>
    <n v="0"/>
    <n v="0"/>
    <x v="1"/>
  </r>
  <r>
    <s v="Indie"/>
    <x v="0"/>
    <n v="23"/>
    <n v="9"/>
    <n v="6"/>
    <n v="11"/>
    <n v="9"/>
    <n v="0"/>
    <n v="0"/>
    <n v="0"/>
    <x v="1"/>
  </r>
  <r>
    <s v="Indonezja"/>
    <x v="0"/>
    <n v="14"/>
    <n v="6"/>
    <n v="10"/>
    <n v="11"/>
    <n v="0"/>
    <n v="0"/>
    <n v="0"/>
    <n v="0"/>
    <x v="1"/>
  </r>
  <r>
    <s v="Irak"/>
    <x v="0"/>
    <n v="13"/>
    <n v="0"/>
    <n v="0"/>
    <n v="1"/>
    <n v="0"/>
    <n v="0"/>
    <n v="0"/>
    <n v="0"/>
    <x v="0"/>
  </r>
  <r>
    <s v="Iran"/>
    <x v="0"/>
    <n v="15"/>
    <n v="15"/>
    <n v="20"/>
    <n v="25"/>
    <n v="10"/>
    <n v="0"/>
    <n v="0"/>
    <n v="0"/>
    <x v="1"/>
  </r>
  <r>
    <s v="Irlandia"/>
    <x v="4"/>
    <n v="20"/>
    <n v="9"/>
    <n v="8"/>
    <n v="11"/>
    <n v="6"/>
    <n v="0"/>
    <n v="0"/>
    <n v="0"/>
    <x v="1"/>
  </r>
  <r>
    <s v="Islandia"/>
    <x v="4"/>
    <n v="19"/>
    <n v="0"/>
    <n v="2"/>
    <n v="2"/>
    <n v="17"/>
    <n v="0"/>
    <n v="0"/>
    <n v="0"/>
    <x v="0"/>
  </r>
  <r>
    <s v="Izrael"/>
    <x v="0"/>
    <n v="15"/>
    <n v="1"/>
    <n v="1"/>
    <n v="5"/>
    <n v="6"/>
    <n v="0"/>
    <n v="0"/>
    <n v="0"/>
    <x v="1"/>
  </r>
  <r>
    <s v="Jamajka"/>
    <x v="5"/>
    <n v="16"/>
    <n v="17"/>
    <n v="30"/>
    <n v="20"/>
    <n v="7"/>
    <n v="0"/>
    <n v="0"/>
    <n v="0"/>
    <x v="1"/>
  </r>
  <r>
    <s v="Japonia"/>
    <x v="0"/>
    <n v="21"/>
    <n v="130"/>
    <n v="126"/>
    <n v="142"/>
    <n v="20"/>
    <n v="10"/>
    <n v="17"/>
    <n v="18"/>
    <x v="1"/>
  </r>
  <r>
    <s v="Jugoslawia"/>
    <x v="4"/>
    <n v="18"/>
    <n v="28"/>
    <n v="31"/>
    <n v="31"/>
    <n v="16"/>
    <n v="0"/>
    <n v="3"/>
    <n v="1"/>
    <x v="1"/>
  </r>
  <r>
    <s v="Kamerun"/>
    <x v="1"/>
    <n v="13"/>
    <n v="3"/>
    <n v="1"/>
    <n v="1"/>
    <n v="1"/>
    <n v="0"/>
    <n v="0"/>
    <n v="0"/>
    <x v="1"/>
  </r>
  <r>
    <s v="Kanada"/>
    <x v="5"/>
    <n v="25"/>
    <n v="59"/>
    <n v="99"/>
    <n v="120"/>
    <n v="22"/>
    <n v="62"/>
    <n v="55"/>
    <n v="53"/>
    <x v="0"/>
  </r>
  <r>
    <s v="Katar"/>
    <x v="0"/>
    <n v="8"/>
    <n v="0"/>
    <n v="0"/>
    <n v="4"/>
    <n v="0"/>
    <n v="0"/>
    <n v="0"/>
    <n v="0"/>
    <x v="0"/>
  </r>
  <r>
    <s v="Kazachstan"/>
    <x v="0"/>
    <n v="5"/>
    <n v="16"/>
    <n v="17"/>
    <n v="19"/>
    <n v="6"/>
    <n v="1"/>
    <n v="3"/>
    <n v="3"/>
    <x v="1"/>
  </r>
  <r>
    <s v="Kenia"/>
    <x v="1"/>
    <n v="13"/>
    <n v="25"/>
    <n v="32"/>
    <n v="29"/>
    <n v="3"/>
    <n v="0"/>
    <n v="0"/>
    <n v="0"/>
    <x v="1"/>
  </r>
  <r>
    <s v="Kirgistan"/>
    <x v="0"/>
    <n v="5"/>
    <n v="0"/>
    <n v="1"/>
    <n v="2"/>
    <n v="6"/>
    <n v="0"/>
    <n v="0"/>
    <n v="0"/>
    <x v="0"/>
  </r>
  <r>
    <s v="Kolumbia"/>
    <x v="2"/>
    <n v="18"/>
    <n v="2"/>
    <n v="6"/>
    <n v="11"/>
    <n v="1"/>
    <n v="0"/>
    <n v="0"/>
    <n v="0"/>
    <x v="1"/>
  </r>
  <r>
    <s v="Korea Poludniowa"/>
    <x v="0"/>
    <n v="16"/>
    <n v="81"/>
    <n v="82"/>
    <n v="80"/>
    <n v="17"/>
    <n v="26"/>
    <n v="17"/>
    <n v="10"/>
    <x v="1"/>
  </r>
  <r>
    <s v="Korea Polnocna"/>
    <x v="0"/>
    <n v="9"/>
    <n v="14"/>
    <n v="12"/>
    <n v="21"/>
    <n v="8"/>
    <n v="0"/>
    <n v="1"/>
    <n v="1"/>
    <x v="1"/>
  </r>
  <r>
    <s v="Kostaryka"/>
    <x v="5"/>
    <n v="14"/>
    <n v="1"/>
    <n v="1"/>
    <n v="2"/>
    <n v="6"/>
    <n v="0"/>
    <n v="0"/>
    <n v="0"/>
    <x v="1"/>
  </r>
  <r>
    <s v="Kuba"/>
    <x v="5"/>
    <n v="19"/>
    <n v="72"/>
    <n v="67"/>
    <n v="69"/>
    <n v="0"/>
    <n v="0"/>
    <n v="0"/>
    <n v="0"/>
    <x v="1"/>
  </r>
  <r>
    <s v="Kuwejt"/>
    <x v="0"/>
    <n v="12"/>
    <n v="0"/>
    <n v="0"/>
    <n v="2"/>
    <n v="0"/>
    <n v="0"/>
    <n v="0"/>
    <n v="0"/>
    <x v="0"/>
  </r>
  <r>
    <s v="Liban"/>
    <x v="0"/>
    <n v="16"/>
    <n v="0"/>
    <n v="2"/>
    <n v="2"/>
    <n v="16"/>
    <n v="0"/>
    <n v="0"/>
    <n v="0"/>
    <x v="0"/>
  </r>
  <r>
    <s v="Liechtenstein"/>
    <x v="4"/>
    <n v="16"/>
    <n v="0"/>
    <n v="0"/>
    <n v="0"/>
    <n v="18"/>
    <n v="2"/>
    <n v="2"/>
    <n v="5"/>
    <x v="2"/>
  </r>
  <r>
    <s v="Litwa"/>
    <x v="4"/>
    <n v="8"/>
    <n v="6"/>
    <n v="5"/>
    <n v="10"/>
    <n v="8"/>
    <n v="0"/>
    <n v="0"/>
    <n v="0"/>
    <x v="1"/>
  </r>
  <r>
    <s v="Luksemburg"/>
    <x v="4"/>
    <n v="22"/>
    <n v="1"/>
    <n v="1"/>
    <n v="0"/>
    <n v="8"/>
    <n v="0"/>
    <n v="2"/>
    <n v="0"/>
    <x v="0"/>
  </r>
  <r>
    <s v="Lotwa"/>
    <x v="4"/>
    <n v="10"/>
    <n v="3"/>
    <n v="11"/>
    <n v="5"/>
    <n v="10"/>
    <n v="0"/>
    <n v="4"/>
    <n v="3"/>
    <x v="1"/>
  </r>
  <r>
    <s v="Macedonia"/>
    <x v="4"/>
    <n v="5"/>
    <n v="0"/>
    <n v="0"/>
    <n v="1"/>
    <n v="5"/>
    <n v="0"/>
    <n v="0"/>
    <n v="0"/>
    <x v="0"/>
  </r>
  <r>
    <s v="Malezja"/>
    <x v="0"/>
    <n v="12"/>
    <n v="0"/>
    <n v="3"/>
    <n v="3"/>
    <n v="0"/>
    <n v="0"/>
    <n v="0"/>
    <n v="0"/>
    <x v="0"/>
  </r>
  <r>
    <s v="Maroko"/>
    <x v="1"/>
    <n v="13"/>
    <n v="6"/>
    <n v="5"/>
    <n v="11"/>
    <n v="6"/>
    <n v="0"/>
    <n v="0"/>
    <n v="0"/>
    <x v="1"/>
  </r>
  <r>
    <s v="Mauritius"/>
    <x v="1"/>
    <n v="8"/>
    <n v="0"/>
    <n v="0"/>
    <n v="1"/>
    <n v="0"/>
    <n v="0"/>
    <n v="0"/>
    <n v="0"/>
    <x v="0"/>
  </r>
  <r>
    <s v="Meksyk"/>
    <x v="5"/>
    <n v="22"/>
    <n v="13"/>
    <n v="21"/>
    <n v="28"/>
    <n v="8"/>
    <n v="0"/>
    <n v="0"/>
    <n v="0"/>
    <x v="1"/>
  </r>
  <r>
    <s v="Moldawia"/>
    <x v="4"/>
    <n v="5"/>
    <n v="0"/>
    <n v="2"/>
    <n v="5"/>
    <n v="6"/>
    <n v="0"/>
    <n v="0"/>
    <n v="0"/>
    <x v="0"/>
  </r>
  <r>
    <s v="Mongolia"/>
    <x v="0"/>
    <n v="12"/>
    <n v="2"/>
    <n v="9"/>
    <n v="13"/>
    <n v="13"/>
    <n v="0"/>
    <n v="0"/>
    <n v="0"/>
    <x v="1"/>
  </r>
  <r>
    <s v="Mozambik"/>
    <x v="1"/>
    <n v="9"/>
    <n v="1"/>
    <n v="0"/>
    <n v="1"/>
    <n v="0"/>
    <n v="0"/>
    <n v="0"/>
    <n v="0"/>
    <x v="0"/>
  </r>
  <r>
    <s v="Namibia"/>
    <x v="1"/>
    <n v="6"/>
    <n v="0"/>
    <n v="4"/>
    <n v="0"/>
    <n v="0"/>
    <n v="0"/>
    <n v="0"/>
    <n v="0"/>
    <x v="0"/>
  </r>
  <r>
    <s v="Niemcy"/>
    <x v="4"/>
    <n v="15"/>
    <n v="174"/>
    <n v="182"/>
    <n v="217"/>
    <n v="11"/>
    <n v="78"/>
    <n v="78"/>
    <n v="53"/>
    <x v="1"/>
  </r>
  <r>
    <s v="RFN"/>
    <x v="4"/>
    <n v="5"/>
    <n v="56"/>
    <n v="67"/>
    <n v="81"/>
    <n v="7"/>
    <n v="11"/>
    <n v="15"/>
    <n v="13"/>
    <x v="1"/>
  </r>
  <r>
    <s v="Wspolna Reprezentacja Niemiec"/>
    <x v="4"/>
    <n v="3"/>
    <n v="28"/>
    <n v="54"/>
    <n v="36"/>
    <n v="3"/>
    <n v="8"/>
    <n v="6"/>
    <n v="5"/>
    <x v="1"/>
  </r>
  <r>
    <s v="NRD"/>
    <x v="4"/>
    <n v="5"/>
    <n v="153"/>
    <n v="129"/>
    <n v="127"/>
    <n v="6"/>
    <n v="39"/>
    <n v="36"/>
    <n v="35"/>
    <x v="1"/>
  </r>
  <r>
    <s v="Niger"/>
    <x v="1"/>
    <n v="11"/>
    <n v="0"/>
    <n v="0"/>
    <n v="1"/>
    <n v="0"/>
    <n v="0"/>
    <n v="0"/>
    <n v="0"/>
    <x v="0"/>
  </r>
  <r>
    <s v="Nigeria"/>
    <x v="1"/>
    <n v="15"/>
    <n v="3"/>
    <n v="8"/>
    <n v="12"/>
    <n v="0"/>
    <n v="0"/>
    <n v="0"/>
    <n v="0"/>
    <x v="1"/>
  </r>
  <r>
    <s v="Norwegia"/>
    <x v="4"/>
    <n v="24"/>
    <n v="56"/>
    <n v="49"/>
    <n v="43"/>
    <n v="22"/>
    <n v="118"/>
    <n v="111"/>
    <n v="100"/>
    <x v="2"/>
  </r>
  <r>
    <s v="Nowa Zelandia"/>
    <x v="3"/>
    <n v="22"/>
    <n v="42"/>
    <n v="18"/>
    <n v="39"/>
    <n v="15"/>
    <n v="0"/>
    <n v="1"/>
    <n v="0"/>
    <x v="1"/>
  </r>
  <r>
    <s v="Pakistan"/>
    <x v="0"/>
    <n v="16"/>
    <n v="3"/>
    <n v="3"/>
    <n v="4"/>
    <n v="2"/>
    <n v="0"/>
    <n v="0"/>
    <n v="0"/>
    <x v="1"/>
  </r>
  <r>
    <s v="Panama"/>
    <x v="2"/>
    <n v="16"/>
    <n v="1"/>
    <n v="0"/>
    <n v="2"/>
    <n v="0"/>
    <n v="0"/>
    <n v="0"/>
    <n v="0"/>
    <x v="0"/>
  </r>
  <r>
    <s v="Paragwaj"/>
    <x v="2"/>
    <n v="11"/>
    <n v="0"/>
    <n v="1"/>
    <n v="0"/>
    <n v="1"/>
    <n v="0"/>
    <n v="0"/>
    <n v="0"/>
    <x v="0"/>
  </r>
  <r>
    <s v="Peru"/>
    <x v="2"/>
    <n v="17"/>
    <n v="1"/>
    <n v="3"/>
    <n v="0"/>
    <n v="2"/>
    <n v="0"/>
    <n v="0"/>
    <n v="0"/>
    <x v="0"/>
  </r>
  <r>
    <s v="Polska"/>
    <x v="4"/>
    <n v="20"/>
    <n v="64"/>
    <n v="82"/>
    <n v="125"/>
    <n v="22"/>
    <n v="6"/>
    <n v="7"/>
    <n v="7"/>
    <x v="1"/>
  </r>
  <r>
    <s v="Portoryko"/>
    <x v="5"/>
    <n v="17"/>
    <n v="0"/>
    <n v="2"/>
    <n v="6"/>
    <n v="6"/>
    <n v="0"/>
    <n v="0"/>
    <n v="0"/>
    <x v="0"/>
  </r>
  <r>
    <s v="Portugalia"/>
    <x v="4"/>
    <n v="23"/>
    <n v="4"/>
    <n v="8"/>
    <n v="11"/>
    <n v="7"/>
    <n v="0"/>
    <n v="0"/>
    <n v="0"/>
    <x v="1"/>
  </r>
  <r>
    <s v="Republika Poludniowej Afryki"/>
    <x v="1"/>
    <n v="18"/>
    <n v="23"/>
    <n v="26"/>
    <n v="27"/>
    <n v="6"/>
    <n v="0"/>
    <n v="0"/>
    <n v="0"/>
    <x v="1"/>
  </r>
  <r>
    <s v="Rosja"/>
    <x v="4"/>
    <n v="5"/>
    <n v="133"/>
    <n v="122"/>
    <n v="142"/>
    <n v="6"/>
    <n v="49"/>
    <n v="40"/>
    <n v="35"/>
    <x v="1"/>
  </r>
  <r>
    <s v="Imperium Rosyjskie"/>
    <x v="4"/>
    <n v="3"/>
    <n v="1"/>
    <n v="4"/>
    <n v="3"/>
    <n v="0"/>
    <n v="0"/>
    <n v="0"/>
    <n v="0"/>
    <x v="1"/>
  </r>
  <r>
    <s v="Rumunia"/>
    <x v="4"/>
    <n v="20"/>
    <n v="88"/>
    <n v="94"/>
    <n v="119"/>
    <n v="20"/>
    <n v="0"/>
    <n v="0"/>
    <n v="1"/>
    <x v="1"/>
  </r>
  <r>
    <s v="Senegal"/>
    <x v="1"/>
    <n v="13"/>
    <n v="0"/>
    <n v="1"/>
    <n v="0"/>
    <n v="5"/>
    <n v="0"/>
    <n v="0"/>
    <n v="0"/>
    <x v="0"/>
  </r>
  <r>
    <s v="Serbia"/>
    <x v="4"/>
    <n v="3"/>
    <n v="1"/>
    <n v="2"/>
    <n v="4"/>
    <n v="2"/>
    <n v="0"/>
    <n v="0"/>
    <n v="0"/>
    <x v="1"/>
  </r>
  <r>
    <s v="Serbia i Czarnogora"/>
    <x v="4"/>
    <n v="1"/>
    <n v="0"/>
    <n v="2"/>
    <n v="0"/>
    <n v="1"/>
    <n v="0"/>
    <n v="0"/>
    <n v="0"/>
    <x v="0"/>
  </r>
  <r>
    <s v="Singapur"/>
    <x v="0"/>
    <n v="15"/>
    <n v="0"/>
    <n v="2"/>
    <n v="2"/>
    <n v="0"/>
    <n v="0"/>
    <n v="0"/>
    <n v="0"/>
    <x v="0"/>
  </r>
  <r>
    <s v="Slowacja"/>
    <x v="4"/>
    <n v="5"/>
    <n v="7"/>
    <n v="9"/>
    <n v="8"/>
    <n v="6"/>
    <n v="2"/>
    <n v="2"/>
    <n v="1"/>
    <x v="1"/>
  </r>
  <r>
    <s v="Slowenia"/>
    <x v="4"/>
    <n v="6"/>
    <n v="4"/>
    <n v="6"/>
    <n v="9"/>
    <n v="7"/>
    <n v="2"/>
    <n v="4"/>
    <n v="9"/>
    <x v="0"/>
  </r>
  <r>
    <s v="Sri Lanka"/>
    <x v="0"/>
    <n v="16"/>
    <n v="0"/>
    <n v="2"/>
    <n v="0"/>
    <n v="0"/>
    <n v="0"/>
    <n v="0"/>
    <n v="0"/>
    <x v="0"/>
  </r>
  <r>
    <s v="StanyZjednoczone"/>
    <x v="5"/>
    <n v="26"/>
    <n v="976"/>
    <n v="758"/>
    <n v="666"/>
    <n v="22"/>
    <n v="96"/>
    <n v="102"/>
    <n v="83"/>
    <x v="1"/>
  </r>
  <r>
    <s v="Sudan"/>
    <x v="1"/>
    <n v="11"/>
    <n v="0"/>
    <n v="1"/>
    <n v="0"/>
    <n v="0"/>
    <n v="0"/>
    <n v="0"/>
    <n v="0"/>
    <x v="0"/>
  </r>
  <r>
    <s v="Surinam"/>
    <x v="2"/>
    <n v="11"/>
    <n v="1"/>
    <n v="0"/>
    <n v="1"/>
    <n v="0"/>
    <n v="0"/>
    <n v="0"/>
    <n v="0"/>
    <x v="0"/>
  </r>
  <r>
    <s v="Syria"/>
    <x v="0"/>
    <n v="12"/>
    <n v="1"/>
    <n v="1"/>
    <n v="1"/>
    <n v="0"/>
    <n v="0"/>
    <n v="0"/>
    <n v="0"/>
    <x v="1"/>
  </r>
  <r>
    <s v="Szwajcaria"/>
    <x v="4"/>
    <n v="27"/>
    <n v="47"/>
    <n v="73"/>
    <n v="65"/>
    <n v="22"/>
    <n v="50"/>
    <n v="40"/>
    <n v="48"/>
    <x v="0"/>
  </r>
  <r>
    <s v="Szwecja"/>
    <x v="4"/>
    <n v="26"/>
    <n v="143"/>
    <n v="164"/>
    <n v="176"/>
    <n v="22"/>
    <n v="50"/>
    <n v="40"/>
    <n v="54"/>
    <x v="1"/>
  </r>
  <r>
    <s v="Tadzykistan"/>
    <x v="0"/>
    <n v="5"/>
    <n v="0"/>
    <n v="1"/>
    <n v="2"/>
    <n v="4"/>
    <n v="0"/>
    <n v="0"/>
    <n v="0"/>
    <x v="0"/>
  </r>
  <r>
    <s v="Tajlandia"/>
    <x v="0"/>
    <n v="15"/>
    <n v="7"/>
    <n v="6"/>
    <n v="11"/>
    <n v="3"/>
    <n v="0"/>
    <n v="0"/>
    <n v="0"/>
    <x v="1"/>
  </r>
  <r>
    <s v="Tanzania"/>
    <x v="1"/>
    <n v="12"/>
    <n v="0"/>
    <n v="2"/>
    <n v="0"/>
    <n v="0"/>
    <n v="0"/>
    <n v="0"/>
    <n v="0"/>
    <x v="0"/>
  </r>
  <r>
    <s v="Togo"/>
    <x v="1"/>
    <n v="9"/>
    <n v="0"/>
    <n v="0"/>
    <n v="1"/>
    <n v="1"/>
    <n v="0"/>
    <n v="0"/>
    <n v="0"/>
    <x v="0"/>
  </r>
  <r>
    <s v="Tonga"/>
    <x v="3"/>
    <n v="8"/>
    <n v="0"/>
    <n v="1"/>
    <n v="0"/>
    <n v="1"/>
    <n v="0"/>
    <n v="0"/>
    <n v="0"/>
    <x v="0"/>
  </r>
  <r>
    <s v="Trynidad i Tobago"/>
    <x v="5"/>
    <n v="16"/>
    <n v="2"/>
    <n v="5"/>
    <n v="11"/>
    <n v="3"/>
    <n v="0"/>
    <n v="0"/>
    <n v="0"/>
    <x v="1"/>
  </r>
  <r>
    <s v="Tunezja"/>
    <x v="1"/>
    <n v="13"/>
    <n v="3"/>
    <n v="3"/>
    <n v="4"/>
    <n v="0"/>
    <n v="0"/>
    <n v="0"/>
    <n v="0"/>
    <x v="1"/>
  </r>
  <r>
    <s v="Turcja"/>
    <x v="0"/>
    <n v="21"/>
    <n v="39"/>
    <n v="25"/>
    <n v="24"/>
    <n v="16"/>
    <n v="0"/>
    <n v="0"/>
    <n v="0"/>
    <x v="1"/>
  </r>
  <r>
    <s v="Uganda"/>
    <x v="1"/>
    <n v="14"/>
    <n v="2"/>
    <n v="3"/>
    <n v="2"/>
    <n v="0"/>
    <n v="0"/>
    <n v="0"/>
    <n v="0"/>
    <x v="1"/>
  </r>
  <r>
    <s v="Ukraina"/>
    <x v="4"/>
    <n v="5"/>
    <n v="33"/>
    <n v="27"/>
    <n v="55"/>
    <n v="6"/>
    <n v="2"/>
    <n v="1"/>
    <n v="4"/>
    <x v="1"/>
  </r>
  <r>
    <s v="Urugwaj"/>
    <x v="2"/>
    <n v="20"/>
    <n v="2"/>
    <n v="2"/>
    <n v="6"/>
    <n v="1"/>
    <n v="0"/>
    <n v="0"/>
    <n v="0"/>
    <x v="1"/>
  </r>
  <r>
    <s v="Uzbekistan"/>
    <x v="0"/>
    <n v="5"/>
    <n v="5"/>
    <n v="5"/>
    <n v="10"/>
    <n v="6"/>
    <n v="1"/>
    <n v="0"/>
    <n v="0"/>
    <x v="1"/>
  </r>
  <r>
    <s v="Wenezuela"/>
    <x v="2"/>
    <n v="17"/>
    <n v="2"/>
    <n v="2"/>
    <n v="8"/>
    <n v="4"/>
    <n v="0"/>
    <n v="0"/>
    <n v="0"/>
    <x v="1"/>
  </r>
  <r>
    <s v="Wegry"/>
    <x v="4"/>
    <n v="25"/>
    <n v="167"/>
    <n v="144"/>
    <n v="165"/>
    <n v="22"/>
    <n v="0"/>
    <n v="2"/>
    <n v="4"/>
    <x v="1"/>
  </r>
  <r>
    <s v="Wielka Brytania"/>
    <x v="4"/>
    <n v="27"/>
    <n v="236"/>
    <n v="272"/>
    <n v="272"/>
    <n v="22"/>
    <n v="10"/>
    <n v="4"/>
    <n v="12"/>
    <x v="1"/>
  </r>
  <r>
    <s v="Wietnam"/>
    <x v="0"/>
    <n v="14"/>
    <n v="0"/>
    <n v="2"/>
    <n v="0"/>
    <n v="0"/>
    <n v="0"/>
    <n v="0"/>
    <n v="0"/>
    <x v="0"/>
  </r>
  <r>
    <s v="Wlochy"/>
    <x v="4"/>
    <n v="26"/>
    <n v="198"/>
    <n v="166"/>
    <n v="185"/>
    <n v="22"/>
    <n v="37"/>
    <n v="34"/>
    <n v="43"/>
    <x v="1"/>
  </r>
  <r>
    <s v="WNP"/>
    <x v="4"/>
    <n v="1"/>
    <n v="45"/>
    <n v="38"/>
    <n v="29"/>
    <n v="1"/>
    <n v="9"/>
    <n v="6"/>
    <n v="8"/>
    <x v="1"/>
  </r>
  <r>
    <s v="Wybrzeze Kosci Sloniowej"/>
    <x v="1"/>
    <n v="12"/>
    <n v="0"/>
    <n v="1"/>
    <n v="0"/>
    <n v="0"/>
    <n v="0"/>
    <n v="0"/>
    <n v="0"/>
    <x v="0"/>
  </r>
  <r>
    <s v="Wyspy Dziewicze Stanow Zjednoczonych"/>
    <x v="5"/>
    <n v="11"/>
    <n v="0"/>
    <n v="1"/>
    <n v="0"/>
    <n v="7"/>
    <n v="0"/>
    <n v="0"/>
    <n v="0"/>
    <x v="0"/>
  </r>
  <r>
    <s v="Zambia"/>
    <x v="1"/>
    <n v="12"/>
    <n v="0"/>
    <n v="1"/>
    <n v="1"/>
    <n v="0"/>
    <n v="0"/>
    <n v="0"/>
    <n v="0"/>
    <x v="0"/>
  </r>
  <r>
    <s v="Zimbabwe"/>
    <x v="1"/>
    <n v="12"/>
    <n v="3"/>
    <n v="4"/>
    <n v="1"/>
    <n v="1"/>
    <n v="0"/>
    <n v="0"/>
    <n v="0"/>
    <x v="1"/>
  </r>
  <r>
    <s v="Zjednoczone Emiraty Arabskie"/>
    <x v="0"/>
    <n v="8"/>
    <n v="1"/>
    <n v="0"/>
    <n v="0"/>
    <n v="0"/>
    <n v="0"/>
    <n v="0"/>
    <n v="0"/>
    <x v="0"/>
  </r>
  <r>
    <s v="ZSRR"/>
    <x v="4"/>
    <n v="9"/>
    <n v="395"/>
    <n v="319"/>
    <n v="296"/>
    <n v="9"/>
    <n v="78"/>
    <n v="57"/>
    <n v="59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A8935E-1650-445D-8098-64938FB2D5AF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7">
  <location ref="N3:P10" firstHeaderRow="0" firstDataRow="1" firstDataCol="1"/>
  <pivotFields count="12">
    <pivotField showAll="0"/>
    <pivotField axis="axisRow" showAll="0">
      <items count="7">
        <item x="1"/>
        <item x="2"/>
        <item x="5"/>
        <item x="3"/>
        <item x="0"/>
        <item x="4"/>
        <item t="default"/>
      </items>
    </pivotField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z OL_letnie" fld="2" baseField="0" baseItem="0"/>
    <dataField name="Suma z OL_zimowe" fld="6" baseField="0" baseItem="0"/>
  </dataFields>
  <chartFormats count="2">
    <chartFormat chart="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900B23-7F31-456A-B32F-6FDB90F694F2}" name="Tabela przestawna2" cacheId="9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M3:N10" firstHeaderRow="1" firstDataRow="1" firstDataCol="1"/>
  <pivotFields count="11">
    <pivotField showAll="0">
      <items count="1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99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2"/>
        <item x="71"/>
        <item x="73"/>
        <item x="74"/>
        <item x="75"/>
        <item x="76"/>
        <item x="77"/>
        <item x="78"/>
        <item x="79"/>
        <item x="80"/>
        <item x="81"/>
        <item x="82"/>
        <item x="86"/>
        <item x="87"/>
        <item x="88"/>
        <item x="89"/>
        <item x="85"/>
        <item x="90"/>
        <item x="91"/>
        <item x="92"/>
        <item x="93"/>
        <item x="94"/>
        <item x="95"/>
        <item x="96"/>
        <item x="97"/>
        <item x="83"/>
        <item x="98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7"/>
        <item x="126"/>
        <item x="128"/>
        <item x="129"/>
        <item x="130"/>
        <item x="131"/>
        <item x="84"/>
        <item x="132"/>
        <item x="133"/>
        <item x="134"/>
        <item x="135"/>
        <item x="136"/>
        <item x="137"/>
        <item t="default"/>
      </items>
    </pivotField>
    <pivotField axis="axisRow" showAll="0">
      <items count="7">
        <item x="1"/>
        <item x="2"/>
        <item x="5"/>
        <item x="3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75">
        <item x="2"/>
        <item x="0"/>
        <item x="3"/>
        <item x="25"/>
        <item x="37"/>
        <item x="19"/>
        <item x="33"/>
        <item x="58"/>
        <item x="22"/>
        <item x="56"/>
        <item x="5"/>
        <item x="13"/>
        <item x="1"/>
        <item x="66"/>
        <item x="41"/>
        <item x="45"/>
        <item x="46"/>
        <item x="53"/>
        <item x="48"/>
        <item x="27"/>
        <item x="8"/>
        <item x="30"/>
        <item x="32"/>
        <item x="62"/>
        <item x="15"/>
        <item x="20"/>
        <item x="21"/>
        <item x="43"/>
        <item x="39"/>
        <item x="31"/>
        <item x="47"/>
        <item x="34"/>
        <item x="17"/>
        <item x="4"/>
        <item x="59"/>
        <item x="40"/>
        <item x="67"/>
        <item x="10"/>
        <item x="36"/>
        <item x="55"/>
        <item x="11"/>
        <item x="26"/>
        <item x="68"/>
        <item x="28"/>
        <item x="72"/>
        <item x="51"/>
        <item x="9"/>
        <item x="16"/>
        <item x="18"/>
        <item x="44"/>
        <item x="12"/>
        <item x="50"/>
        <item x="57"/>
        <item x="42"/>
        <item x="61"/>
        <item x="7"/>
        <item x="64"/>
        <item x="29"/>
        <item x="35"/>
        <item x="38"/>
        <item x="23"/>
        <item x="54"/>
        <item x="6"/>
        <item x="69"/>
        <item x="52"/>
        <item x="60"/>
        <item x="14"/>
        <item x="65"/>
        <item x="71"/>
        <item x="24"/>
        <item x="49"/>
        <item x="70"/>
        <item x="73"/>
        <item x="63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Maksimum z Ilość Medali" fld="10" subtotal="max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8FBFB5-460E-4CE9-BD74-933F2A952040}" name="Tabela przestawna3" cacheId="14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M3:N7" firstHeaderRow="1" firstDataRow="1" firstDataCol="1" rowPageCount="1" colPageCount="1"/>
  <pivotFields count="11">
    <pivotField showAll="0"/>
    <pivotField axis="axisPage" showAll="0">
      <items count="7">
        <item x="1"/>
        <item x="2"/>
        <item x="5"/>
        <item x="3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" item="5" hier="-1"/>
  </pageFields>
  <dataFields count="1">
    <dataField name="Liczba z Typ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43846-AE71-4F2B-A3EB-12F2125905C5}">
  <dimension ref="A1:J139"/>
  <sheetViews>
    <sheetView workbookViewId="0">
      <selection activeCell="K1" sqref="K1"/>
    </sheetView>
  </sheetViews>
  <sheetFormatPr defaultRowHeight="15" x14ac:dyDescent="0.25"/>
  <cols>
    <col min="1" max="1" width="37.5703125" bestFit="1" customWidth="1"/>
    <col min="2" max="2" width="13.28515625" bestFit="1" customWidth="1"/>
    <col min="3" max="3" width="11.85546875" bestFit="1" customWidth="1"/>
    <col min="4" max="4" width="7.7109375" bestFit="1" customWidth="1"/>
    <col min="5" max="5" width="10.140625" bestFit="1" customWidth="1"/>
    <col min="6" max="6" width="10.7109375" bestFit="1" customWidth="1"/>
    <col min="7" max="7" width="13.5703125" bestFit="1" customWidth="1"/>
    <col min="8" max="8" width="9.7109375" bestFit="1" customWidth="1"/>
    <col min="9" max="9" width="12.140625" bestFit="1" customWidth="1"/>
    <col min="10" max="10" width="12.7109375" bestFit="1" customWidth="1"/>
  </cols>
  <sheetData>
    <row r="1" spans="1:10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</row>
    <row r="2" spans="1:10" x14ac:dyDescent="0.25">
      <c r="A2" s="7" t="s">
        <v>10</v>
      </c>
      <c r="B2" s="8" t="s">
        <v>11</v>
      </c>
      <c r="C2" s="9">
        <v>13</v>
      </c>
      <c r="D2" s="9">
        <v>0</v>
      </c>
      <c r="E2" s="9">
        <v>0</v>
      </c>
      <c r="F2" s="9">
        <v>2</v>
      </c>
      <c r="G2" s="9">
        <v>0</v>
      </c>
      <c r="H2" s="9">
        <v>0</v>
      </c>
      <c r="I2" s="9">
        <v>0</v>
      </c>
      <c r="J2" s="10">
        <v>0</v>
      </c>
    </row>
    <row r="3" spans="1:10" x14ac:dyDescent="0.25">
      <c r="A3" s="11" t="s">
        <v>12</v>
      </c>
      <c r="B3" s="12" t="s">
        <v>13</v>
      </c>
      <c r="C3" s="13">
        <v>12</v>
      </c>
      <c r="D3" s="13">
        <v>5</v>
      </c>
      <c r="E3" s="13">
        <v>2</v>
      </c>
      <c r="F3" s="13">
        <v>8</v>
      </c>
      <c r="G3" s="13">
        <v>3</v>
      </c>
      <c r="H3" s="13">
        <v>0</v>
      </c>
      <c r="I3" s="13">
        <v>0</v>
      </c>
      <c r="J3" s="14">
        <v>0</v>
      </c>
    </row>
    <row r="4" spans="1:10" x14ac:dyDescent="0.25">
      <c r="A4" s="7" t="s">
        <v>14</v>
      </c>
      <c r="B4" s="8" t="s">
        <v>15</v>
      </c>
      <c r="C4" s="9">
        <v>13</v>
      </c>
      <c r="D4" s="9">
        <v>0</v>
      </c>
      <c r="E4" s="9">
        <v>1</v>
      </c>
      <c r="F4" s="9">
        <v>0</v>
      </c>
      <c r="G4" s="9">
        <v>2</v>
      </c>
      <c r="H4" s="9">
        <v>0</v>
      </c>
      <c r="I4" s="9">
        <v>0</v>
      </c>
      <c r="J4" s="10">
        <v>0</v>
      </c>
    </row>
    <row r="5" spans="1:10" x14ac:dyDescent="0.25">
      <c r="A5" s="11" t="s">
        <v>16</v>
      </c>
      <c r="B5" s="12" t="s">
        <v>11</v>
      </c>
      <c r="C5" s="13">
        <v>10</v>
      </c>
      <c r="D5" s="13">
        <v>0</v>
      </c>
      <c r="E5" s="13">
        <v>1</v>
      </c>
      <c r="F5" s="13">
        <v>2</v>
      </c>
      <c r="G5" s="13">
        <v>0</v>
      </c>
      <c r="H5" s="13">
        <v>0</v>
      </c>
      <c r="I5" s="13">
        <v>0</v>
      </c>
      <c r="J5" s="14">
        <v>0</v>
      </c>
    </row>
    <row r="6" spans="1:10" x14ac:dyDescent="0.25">
      <c r="A6" s="7" t="s">
        <v>17</v>
      </c>
      <c r="B6" s="8" t="s">
        <v>15</v>
      </c>
      <c r="C6" s="9">
        <v>23</v>
      </c>
      <c r="D6" s="9">
        <v>18</v>
      </c>
      <c r="E6" s="9">
        <v>24</v>
      </c>
      <c r="F6" s="9">
        <v>28</v>
      </c>
      <c r="G6" s="9">
        <v>18</v>
      </c>
      <c r="H6" s="9">
        <v>0</v>
      </c>
      <c r="I6" s="9">
        <v>0</v>
      </c>
      <c r="J6" s="10">
        <v>0</v>
      </c>
    </row>
    <row r="7" spans="1:10" x14ac:dyDescent="0.25">
      <c r="A7" s="11" t="s">
        <v>18</v>
      </c>
      <c r="B7" s="12" t="s">
        <v>11</v>
      </c>
      <c r="C7" s="13">
        <v>5</v>
      </c>
      <c r="D7" s="13">
        <v>1</v>
      </c>
      <c r="E7" s="13">
        <v>2</v>
      </c>
      <c r="F7" s="13">
        <v>9</v>
      </c>
      <c r="G7" s="13">
        <v>6</v>
      </c>
      <c r="H7" s="13">
        <v>0</v>
      </c>
      <c r="I7" s="13">
        <v>0</v>
      </c>
      <c r="J7" s="14">
        <v>0</v>
      </c>
    </row>
    <row r="8" spans="1:10" x14ac:dyDescent="0.25">
      <c r="A8" s="7" t="s">
        <v>19</v>
      </c>
      <c r="B8" s="8" t="s">
        <v>20</v>
      </c>
      <c r="C8" s="9">
        <v>25</v>
      </c>
      <c r="D8" s="9">
        <v>138</v>
      </c>
      <c r="E8" s="9">
        <v>153</v>
      </c>
      <c r="F8" s="9">
        <v>177</v>
      </c>
      <c r="G8" s="9">
        <v>18</v>
      </c>
      <c r="H8" s="9">
        <v>5</v>
      </c>
      <c r="I8" s="9">
        <v>3</v>
      </c>
      <c r="J8" s="10">
        <v>4</v>
      </c>
    </row>
    <row r="9" spans="1:10" x14ac:dyDescent="0.25">
      <c r="A9" s="11" t="s">
        <v>21</v>
      </c>
      <c r="B9" s="12" t="s">
        <v>22</v>
      </c>
      <c r="C9" s="13">
        <v>26</v>
      </c>
      <c r="D9" s="13">
        <v>18</v>
      </c>
      <c r="E9" s="13">
        <v>33</v>
      </c>
      <c r="F9" s="13">
        <v>35</v>
      </c>
      <c r="G9" s="13">
        <v>22</v>
      </c>
      <c r="H9" s="13">
        <v>59</v>
      </c>
      <c r="I9" s="13">
        <v>78</v>
      </c>
      <c r="J9" s="14">
        <v>81</v>
      </c>
    </row>
    <row r="10" spans="1:10" x14ac:dyDescent="0.25">
      <c r="A10" s="7" t="s">
        <v>23</v>
      </c>
      <c r="B10" s="8" t="s">
        <v>11</v>
      </c>
      <c r="C10" s="9">
        <v>5</v>
      </c>
      <c r="D10" s="9">
        <v>6</v>
      </c>
      <c r="E10" s="9">
        <v>5</v>
      </c>
      <c r="F10" s="9">
        <v>15</v>
      </c>
      <c r="G10" s="9">
        <v>5</v>
      </c>
      <c r="H10" s="9">
        <v>0</v>
      </c>
      <c r="I10" s="9">
        <v>0</v>
      </c>
      <c r="J10" s="10">
        <v>0</v>
      </c>
    </row>
    <row r="11" spans="1:10" x14ac:dyDescent="0.25">
      <c r="A11" s="11" t="s">
        <v>24</v>
      </c>
      <c r="B11" s="12" t="s">
        <v>25</v>
      </c>
      <c r="C11" s="13">
        <v>15</v>
      </c>
      <c r="D11" s="13">
        <v>5</v>
      </c>
      <c r="E11" s="13">
        <v>2</v>
      </c>
      <c r="F11" s="13">
        <v>5</v>
      </c>
      <c r="G11" s="13">
        <v>0</v>
      </c>
      <c r="H11" s="13">
        <v>0</v>
      </c>
      <c r="I11" s="13">
        <v>0</v>
      </c>
      <c r="J11" s="14">
        <v>0</v>
      </c>
    </row>
    <row r="12" spans="1:10" x14ac:dyDescent="0.25">
      <c r="A12" s="7" t="s">
        <v>26</v>
      </c>
      <c r="B12" s="8" t="s">
        <v>11</v>
      </c>
      <c r="C12" s="9">
        <v>8</v>
      </c>
      <c r="D12" s="9">
        <v>0</v>
      </c>
      <c r="E12" s="9">
        <v>0</v>
      </c>
      <c r="F12" s="9">
        <v>1</v>
      </c>
      <c r="G12" s="9">
        <v>0</v>
      </c>
      <c r="H12" s="9">
        <v>0</v>
      </c>
      <c r="I12" s="9">
        <v>0</v>
      </c>
      <c r="J12" s="10">
        <v>0</v>
      </c>
    </row>
    <row r="13" spans="1:10" x14ac:dyDescent="0.25">
      <c r="A13" s="11" t="s">
        <v>27</v>
      </c>
      <c r="B13" s="12" t="s">
        <v>25</v>
      </c>
      <c r="C13" s="13">
        <v>11</v>
      </c>
      <c r="D13" s="13">
        <v>0</v>
      </c>
      <c r="E13" s="13">
        <v>0</v>
      </c>
      <c r="F13" s="13">
        <v>1</v>
      </c>
      <c r="G13" s="13">
        <v>0</v>
      </c>
      <c r="H13" s="13">
        <v>0</v>
      </c>
      <c r="I13" s="13">
        <v>0</v>
      </c>
      <c r="J13" s="14">
        <v>0</v>
      </c>
    </row>
    <row r="14" spans="1:10" x14ac:dyDescent="0.25">
      <c r="A14" s="7" t="s">
        <v>28</v>
      </c>
      <c r="B14" s="8" t="s">
        <v>22</v>
      </c>
      <c r="C14" s="9">
        <v>25</v>
      </c>
      <c r="D14" s="9">
        <v>37</v>
      </c>
      <c r="E14" s="9">
        <v>52</v>
      </c>
      <c r="F14" s="9">
        <v>53</v>
      </c>
      <c r="G14" s="9">
        <v>20</v>
      </c>
      <c r="H14" s="9">
        <v>1</v>
      </c>
      <c r="I14" s="9">
        <v>1</v>
      </c>
      <c r="J14" s="10">
        <v>3</v>
      </c>
    </row>
    <row r="15" spans="1:10" x14ac:dyDescent="0.25">
      <c r="A15" s="11" t="s">
        <v>29</v>
      </c>
      <c r="B15" s="12" t="s">
        <v>25</v>
      </c>
      <c r="C15" s="13">
        <v>17</v>
      </c>
      <c r="D15" s="13">
        <v>0</v>
      </c>
      <c r="E15" s="13">
        <v>0</v>
      </c>
      <c r="F15" s="13">
        <v>1</v>
      </c>
      <c r="G15" s="13">
        <v>7</v>
      </c>
      <c r="H15" s="13">
        <v>0</v>
      </c>
      <c r="I15" s="13">
        <v>0</v>
      </c>
      <c r="J15" s="14">
        <v>0</v>
      </c>
    </row>
    <row r="16" spans="1:10" x14ac:dyDescent="0.25">
      <c r="A16" s="7" t="s">
        <v>30</v>
      </c>
      <c r="B16" s="8" t="s">
        <v>22</v>
      </c>
      <c r="C16" s="9">
        <v>5</v>
      </c>
      <c r="D16" s="9">
        <v>12</v>
      </c>
      <c r="E16" s="9">
        <v>24</v>
      </c>
      <c r="F16" s="9">
        <v>40</v>
      </c>
      <c r="G16" s="9">
        <v>6</v>
      </c>
      <c r="H16" s="9">
        <v>6</v>
      </c>
      <c r="I16" s="9">
        <v>4</v>
      </c>
      <c r="J16" s="10">
        <v>5</v>
      </c>
    </row>
    <row r="17" spans="1:10" x14ac:dyDescent="0.25">
      <c r="A17" s="11" t="s">
        <v>31</v>
      </c>
      <c r="B17" s="12" t="s">
        <v>11</v>
      </c>
      <c r="C17" s="13">
        <v>9</v>
      </c>
      <c r="D17" s="13">
        <v>0</v>
      </c>
      <c r="E17" s="13">
        <v>1</v>
      </c>
      <c r="F17" s="13">
        <v>0</v>
      </c>
      <c r="G17" s="13">
        <v>0</v>
      </c>
      <c r="H17" s="13">
        <v>0</v>
      </c>
      <c r="I17" s="13">
        <v>0</v>
      </c>
      <c r="J17" s="14">
        <v>0</v>
      </c>
    </row>
    <row r="18" spans="1:10" x14ac:dyDescent="0.25">
      <c r="A18" s="7" t="s">
        <v>32</v>
      </c>
      <c r="B18" s="8" t="s">
        <v>15</v>
      </c>
      <c r="C18" s="9">
        <v>21</v>
      </c>
      <c r="D18" s="9">
        <v>23</v>
      </c>
      <c r="E18" s="9">
        <v>30</v>
      </c>
      <c r="F18" s="9">
        <v>55</v>
      </c>
      <c r="G18" s="9">
        <v>7</v>
      </c>
      <c r="H18" s="9">
        <v>0</v>
      </c>
      <c r="I18" s="9">
        <v>0</v>
      </c>
      <c r="J18" s="10">
        <v>0</v>
      </c>
    </row>
    <row r="19" spans="1:10" x14ac:dyDescent="0.25">
      <c r="A19" s="11" t="s">
        <v>33</v>
      </c>
      <c r="B19" s="12" t="s">
        <v>22</v>
      </c>
      <c r="C19" s="13">
        <v>19</v>
      </c>
      <c r="D19" s="13">
        <v>51</v>
      </c>
      <c r="E19" s="13">
        <v>85</v>
      </c>
      <c r="F19" s="13">
        <v>78</v>
      </c>
      <c r="G19" s="13">
        <v>19</v>
      </c>
      <c r="H19" s="13">
        <v>1</v>
      </c>
      <c r="I19" s="13">
        <v>2</v>
      </c>
      <c r="J19" s="14">
        <v>3</v>
      </c>
    </row>
    <row r="20" spans="1:10" x14ac:dyDescent="0.25">
      <c r="A20" s="7" t="s">
        <v>34</v>
      </c>
      <c r="B20" s="8" t="s">
        <v>13</v>
      </c>
      <c r="C20" s="9">
        <v>5</v>
      </c>
      <c r="D20" s="9">
        <v>1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10">
        <v>0</v>
      </c>
    </row>
    <row r="21" spans="1:10" x14ac:dyDescent="0.25">
      <c r="A21" s="11" t="s">
        <v>35</v>
      </c>
      <c r="B21" s="12" t="s">
        <v>15</v>
      </c>
      <c r="C21" s="13">
        <v>22</v>
      </c>
      <c r="D21" s="13">
        <v>2</v>
      </c>
      <c r="E21" s="13">
        <v>7</v>
      </c>
      <c r="F21" s="13">
        <v>4</v>
      </c>
      <c r="G21" s="13">
        <v>16</v>
      </c>
      <c r="H21" s="13">
        <v>0</v>
      </c>
      <c r="I21" s="13">
        <v>0</v>
      </c>
      <c r="J21" s="14">
        <v>0</v>
      </c>
    </row>
    <row r="22" spans="1:10" x14ac:dyDescent="0.25">
      <c r="A22" s="7" t="s">
        <v>36</v>
      </c>
      <c r="B22" s="8" t="s">
        <v>11</v>
      </c>
      <c r="C22" s="9">
        <v>9</v>
      </c>
      <c r="D22" s="9">
        <v>201</v>
      </c>
      <c r="E22" s="9">
        <v>144</v>
      </c>
      <c r="F22" s="9">
        <v>128</v>
      </c>
      <c r="G22" s="9">
        <v>10</v>
      </c>
      <c r="H22" s="9">
        <v>12</v>
      </c>
      <c r="I22" s="9">
        <v>22</v>
      </c>
      <c r="J22" s="10">
        <v>19</v>
      </c>
    </row>
    <row r="23" spans="1:10" x14ac:dyDescent="0.25">
      <c r="A23" s="11" t="s">
        <v>37</v>
      </c>
      <c r="B23" s="12" t="s">
        <v>22</v>
      </c>
      <c r="C23" s="13">
        <v>6</v>
      </c>
      <c r="D23" s="13">
        <v>6</v>
      </c>
      <c r="E23" s="13">
        <v>7</v>
      </c>
      <c r="F23" s="13">
        <v>10</v>
      </c>
      <c r="G23" s="13">
        <v>7</v>
      </c>
      <c r="H23" s="13">
        <v>4</v>
      </c>
      <c r="I23" s="13">
        <v>6</v>
      </c>
      <c r="J23" s="14">
        <v>1</v>
      </c>
    </row>
    <row r="24" spans="1:10" x14ac:dyDescent="0.25">
      <c r="A24" s="7" t="s">
        <v>38</v>
      </c>
      <c r="B24" s="8" t="s">
        <v>22</v>
      </c>
      <c r="C24" s="9">
        <v>9</v>
      </c>
      <c r="D24" s="9">
        <v>0</v>
      </c>
      <c r="E24" s="9">
        <v>1</v>
      </c>
      <c r="F24" s="9">
        <v>0</v>
      </c>
      <c r="G24" s="9">
        <v>10</v>
      </c>
      <c r="H24" s="9">
        <v>0</v>
      </c>
      <c r="I24" s="9">
        <v>0</v>
      </c>
      <c r="J24" s="10">
        <v>0</v>
      </c>
    </row>
    <row r="25" spans="1:10" x14ac:dyDescent="0.25">
      <c r="A25" s="11" t="s">
        <v>39</v>
      </c>
      <c r="B25" s="12" t="s">
        <v>22</v>
      </c>
      <c r="C25" s="13">
        <v>2</v>
      </c>
      <c r="D25" s="13">
        <v>0</v>
      </c>
      <c r="E25" s="13">
        <v>1</v>
      </c>
      <c r="F25" s="13">
        <v>0</v>
      </c>
      <c r="G25" s="13">
        <v>2</v>
      </c>
      <c r="H25" s="13">
        <v>0</v>
      </c>
      <c r="I25" s="13">
        <v>0</v>
      </c>
      <c r="J25" s="14">
        <v>0</v>
      </c>
    </row>
    <row r="26" spans="1:10" x14ac:dyDescent="0.25">
      <c r="A26" s="7" t="s">
        <v>40</v>
      </c>
      <c r="B26" s="8" t="s">
        <v>22</v>
      </c>
      <c r="C26" s="9">
        <v>16</v>
      </c>
      <c r="D26" s="9">
        <v>49</v>
      </c>
      <c r="E26" s="9">
        <v>49</v>
      </c>
      <c r="F26" s="9">
        <v>45</v>
      </c>
      <c r="G26" s="9">
        <v>16</v>
      </c>
      <c r="H26" s="9">
        <v>2</v>
      </c>
      <c r="I26" s="9">
        <v>8</v>
      </c>
      <c r="J26" s="10">
        <v>15</v>
      </c>
    </row>
    <row r="27" spans="1:10" x14ac:dyDescent="0.25">
      <c r="A27" s="11" t="s">
        <v>41</v>
      </c>
      <c r="B27" s="12" t="s">
        <v>22</v>
      </c>
      <c r="C27" s="13">
        <v>5</v>
      </c>
      <c r="D27" s="13">
        <v>14</v>
      </c>
      <c r="E27" s="13">
        <v>15</v>
      </c>
      <c r="F27" s="13">
        <v>15</v>
      </c>
      <c r="G27" s="13">
        <v>6</v>
      </c>
      <c r="H27" s="13">
        <v>7</v>
      </c>
      <c r="I27" s="13">
        <v>9</v>
      </c>
      <c r="J27" s="14">
        <v>8</v>
      </c>
    </row>
    <row r="28" spans="1:10" x14ac:dyDescent="0.25">
      <c r="A28" s="7" t="s">
        <v>42</v>
      </c>
      <c r="B28" s="8" t="s">
        <v>22</v>
      </c>
      <c r="C28" s="9">
        <v>26</v>
      </c>
      <c r="D28" s="9">
        <v>43</v>
      </c>
      <c r="E28" s="9">
        <v>68</v>
      </c>
      <c r="F28" s="9">
        <v>68</v>
      </c>
      <c r="G28" s="9">
        <v>13</v>
      </c>
      <c r="H28" s="9">
        <v>0</v>
      </c>
      <c r="I28" s="9">
        <v>1</v>
      </c>
      <c r="J28" s="10">
        <v>0</v>
      </c>
    </row>
    <row r="29" spans="1:10" x14ac:dyDescent="0.25">
      <c r="A29" s="11" t="s">
        <v>43</v>
      </c>
      <c r="B29" s="12" t="s">
        <v>25</v>
      </c>
      <c r="C29" s="13">
        <v>13</v>
      </c>
      <c r="D29" s="13">
        <v>3</v>
      </c>
      <c r="E29" s="13">
        <v>2</v>
      </c>
      <c r="F29" s="13">
        <v>1</v>
      </c>
      <c r="G29" s="13">
        <v>0</v>
      </c>
      <c r="H29" s="13">
        <v>0</v>
      </c>
      <c r="I29" s="13">
        <v>0</v>
      </c>
      <c r="J29" s="14">
        <v>0</v>
      </c>
    </row>
    <row r="30" spans="1:10" x14ac:dyDescent="0.25">
      <c r="A30" s="7" t="s">
        <v>44</v>
      </c>
      <c r="B30" s="8" t="s">
        <v>13</v>
      </c>
      <c r="C30" s="9">
        <v>7</v>
      </c>
      <c r="D30" s="9">
        <v>0</v>
      </c>
      <c r="E30" s="9">
        <v>0</v>
      </c>
      <c r="F30" s="9">
        <v>1</v>
      </c>
      <c r="G30" s="9">
        <v>0</v>
      </c>
      <c r="H30" s="9">
        <v>0</v>
      </c>
      <c r="I30" s="9">
        <v>0</v>
      </c>
      <c r="J30" s="10">
        <v>0</v>
      </c>
    </row>
    <row r="31" spans="1:10" x14ac:dyDescent="0.25">
      <c r="A31" s="11" t="s">
        <v>45</v>
      </c>
      <c r="B31" s="12" t="s">
        <v>13</v>
      </c>
      <c r="C31" s="13">
        <v>21</v>
      </c>
      <c r="D31" s="13">
        <v>7</v>
      </c>
      <c r="E31" s="13">
        <v>9</v>
      </c>
      <c r="F31" s="13">
        <v>10</v>
      </c>
      <c r="G31" s="13">
        <v>1</v>
      </c>
      <c r="H31" s="13">
        <v>0</v>
      </c>
      <c r="I31" s="13">
        <v>0</v>
      </c>
      <c r="J31" s="14">
        <v>0</v>
      </c>
    </row>
    <row r="32" spans="1:10" x14ac:dyDescent="0.25">
      <c r="A32" s="7" t="s">
        <v>46</v>
      </c>
      <c r="B32" s="8" t="s">
        <v>15</v>
      </c>
      <c r="C32" s="9">
        <v>13</v>
      </c>
      <c r="D32" s="9">
        <v>1</v>
      </c>
      <c r="E32" s="9">
        <v>1</v>
      </c>
      <c r="F32" s="9">
        <v>0</v>
      </c>
      <c r="G32" s="9">
        <v>0</v>
      </c>
      <c r="H32" s="9">
        <v>0</v>
      </c>
      <c r="I32" s="9">
        <v>0</v>
      </c>
      <c r="J32" s="10">
        <v>0</v>
      </c>
    </row>
    <row r="33" spans="1:10" x14ac:dyDescent="0.25">
      <c r="A33" s="11" t="s">
        <v>47</v>
      </c>
      <c r="B33" s="12" t="s">
        <v>13</v>
      </c>
      <c r="C33" s="13">
        <v>4</v>
      </c>
      <c r="D33" s="13">
        <v>0</v>
      </c>
      <c r="E33" s="13">
        <v>0</v>
      </c>
      <c r="F33" s="13">
        <v>1</v>
      </c>
      <c r="G33" s="13">
        <v>0</v>
      </c>
      <c r="H33" s="13">
        <v>0</v>
      </c>
      <c r="I33" s="13">
        <v>0</v>
      </c>
      <c r="J33" s="14">
        <v>0</v>
      </c>
    </row>
    <row r="34" spans="1:10" x14ac:dyDescent="0.25">
      <c r="A34" s="7" t="s">
        <v>48</v>
      </c>
      <c r="B34" s="8" t="s">
        <v>22</v>
      </c>
      <c r="C34" s="9">
        <v>11</v>
      </c>
      <c r="D34" s="9">
        <v>9</v>
      </c>
      <c r="E34" s="9">
        <v>9</v>
      </c>
      <c r="F34" s="9">
        <v>15</v>
      </c>
      <c r="G34" s="9">
        <v>9</v>
      </c>
      <c r="H34" s="9">
        <v>4</v>
      </c>
      <c r="I34" s="9">
        <v>2</v>
      </c>
      <c r="J34" s="10">
        <v>1</v>
      </c>
    </row>
    <row r="35" spans="1:10" x14ac:dyDescent="0.25">
      <c r="A35" s="11" t="s">
        <v>49</v>
      </c>
      <c r="B35" s="12" t="s">
        <v>13</v>
      </c>
      <c r="C35" s="13">
        <v>12</v>
      </c>
      <c r="D35" s="13">
        <v>21</v>
      </c>
      <c r="E35" s="13">
        <v>7</v>
      </c>
      <c r="F35" s="13">
        <v>17</v>
      </c>
      <c r="G35" s="13">
        <v>2</v>
      </c>
      <c r="H35" s="13">
        <v>0</v>
      </c>
      <c r="I35" s="13">
        <v>0</v>
      </c>
      <c r="J35" s="14">
        <v>0</v>
      </c>
    </row>
    <row r="36" spans="1:10" x14ac:dyDescent="0.25">
      <c r="A36" s="7" t="s">
        <v>50</v>
      </c>
      <c r="B36" s="8" t="s">
        <v>11</v>
      </c>
      <c r="C36" s="9">
        <v>20</v>
      </c>
      <c r="D36" s="9">
        <v>0</v>
      </c>
      <c r="E36" s="9">
        <v>2</v>
      </c>
      <c r="F36" s="9">
        <v>7</v>
      </c>
      <c r="G36" s="9">
        <v>4</v>
      </c>
      <c r="H36" s="9">
        <v>0</v>
      </c>
      <c r="I36" s="9">
        <v>0</v>
      </c>
      <c r="J36" s="10">
        <v>0</v>
      </c>
    </row>
    <row r="37" spans="1:10" x14ac:dyDescent="0.25">
      <c r="A37" s="11" t="s">
        <v>51</v>
      </c>
      <c r="B37" s="12" t="s">
        <v>22</v>
      </c>
      <c r="C37" s="13">
        <v>24</v>
      </c>
      <c r="D37" s="13">
        <v>101</v>
      </c>
      <c r="E37" s="13">
        <v>84</v>
      </c>
      <c r="F37" s="13">
        <v>117</v>
      </c>
      <c r="G37" s="13">
        <v>22</v>
      </c>
      <c r="H37" s="13">
        <v>42</v>
      </c>
      <c r="I37" s="13">
        <v>62</v>
      </c>
      <c r="J37" s="14">
        <v>56</v>
      </c>
    </row>
    <row r="38" spans="1:10" x14ac:dyDescent="0.25">
      <c r="A38" s="7" t="s">
        <v>52</v>
      </c>
      <c r="B38" s="8" t="s">
        <v>22</v>
      </c>
      <c r="C38" s="9">
        <v>27</v>
      </c>
      <c r="D38" s="9">
        <v>202</v>
      </c>
      <c r="E38" s="9">
        <v>223</v>
      </c>
      <c r="F38" s="9">
        <v>246</v>
      </c>
      <c r="G38" s="9">
        <v>22</v>
      </c>
      <c r="H38" s="9">
        <v>31</v>
      </c>
      <c r="I38" s="9">
        <v>31</v>
      </c>
      <c r="J38" s="10">
        <v>47</v>
      </c>
    </row>
    <row r="39" spans="1:10" x14ac:dyDescent="0.25">
      <c r="A39" s="11" t="s">
        <v>53</v>
      </c>
      <c r="B39" s="12" t="s">
        <v>13</v>
      </c>
      <c r="C39" s="13">
        <v>9</v>
      </c>
      <c r="D39" s="13">
        <v>0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4">
        <v>0</v>
      </c>
    </row>
    <row r="40" spans="1:10" x14ac:dyDescent="0.25">
      <c r="A40" s="7" t="s">
        <v>54</v>
      </c>
      <c r="B40" s="8" t="s">
        <v>13</v>
      </c>
      <c r="C40" s="9">
        <v>13</v>
      </c>
      <c r="D40" s="9">
        <v>0</v>
      </c>
      <c r="E40" s="9">
        <v>1</v>
      </c>
      <c r="F40" s="9">
        <v>3</v>
      </c>
      <c r="G40" s="9">
        <v>1</v>
      </c>
      <c r="H40" s="9">
        <v>0</v>
      </c>
      <c r="I40" s="9">
        <v>0</v>
      </c>
      <c r="J40" s="10">
        <v>0</v>
      </c>
    </row>
    <row r="41" spans="1:10" x14ac:dyDescent="0.25">
      <c r="A41" s="11" t="s">
        <v>55</v>
      </c>
      <c r="B41" s="12" t="s">
        <v>22</v>
      </c>
      <c r="C41" s="13">
        <v>27</v>
      </c>
      <c r="D41" s="13">
        <v>30</v>
      </c>
      <c r="E41" s="13">
        <v>42</v>
      </c>
      <c r="F41" s="13">
        <v>38</v>
      </c>
      <c r="G41" s="13">
        <v>18</v>
      </c>
      <c r="H41" s="13">
        <v>0</v>
      </c>
      <c r="I41" s="13">
        <v>0</v>
      </c>
      <c r="J41" s="14">
        <v>0</v>
      </c>
    </row>
    <row r="42" spans="1:10" x14ac:dyDescent="0.25">
      <c r="A42" s="7" t="s">
        <v>56</v>
      </c>
      <c r="B42" s="8" t="s">
        <v>11</v>
      </c>
      <c r="C42" s="9">
        <v>5</v>
      </c>
      <c r="D42" s="9">
        <v>6</v>
      </c>
      <c r="E42" s="9">
        <v>5</v>
      </c>
      <c r="F42" s="9">
        <v>14</v>
      </c>
      <c r="G42" s="9">
        <v>6</v>
      </c>
      <c r="H42" s="9">
        <v>0</v>
      </c>
      <c r="I42" s="9">
        <v>0</v>
      </c>
      <c r="J42" s="10">
        <v>0</v>
      </c>
    </row>
    <row r="43" spans="1:10" x14ac:dyDescent="0.25">
      <c r="A43" s="11" t="s">
        <v>57</v>
      </c>
      <c r="B43" s="12" t="s">
        <v>15</v>
      </c>
      <c r="C43" s="13">
        <v>16</v>
      </c>
      <c r="D43" s="13">
        <v>0</v>
      </c>
      <c r="E43" s="13">
        <v>0</v>
      </c>
      <c r="F43" s="13">
        <v>1</v>
      </c>
      <c r="G43" s="13">
        <v>0</v>
      </c>
      <c r="H43" s="13">
        <v>0</v>
      </c>
      <c r="I43" s="13">
        <v>0</v>
      </c>
      <c r="J43" s="14">
        <v>0</v>
      </c>
    </row>
    <row r="44" spans="1:10" x14ac:dyDescent="0.25">
      <c r="A44" s="7" t="s">
        <v>58</v>
      </c>
      <c r="B44" s="8" t="s">
        <v>25</v>
      </c>
      <c r="C44" s="9">
        <v>14</v>
      </c>
      <c r="D44" s="9">
        <v>0</v>
      </c>
      <c r="E44" s="9">
        <v>1</v>
      </c>
      <c r="F44" s="9">
        <v>1</v>
      </c>
      <c r="G44" s="9">
        <v>0</v>
      </c>
      <c r="H44" s="9">
        <v>0</v>
      </c>
      <c r="I44" s="9">
        <v>0</v>
      </c>
      <c r="J44" s="10">
        <v>0</v>
      </c>
    </row>
    <row r="45" spans="1:10" x14ac:dyDescent="0.25">
      <c r="A45" s="11" t="s">
        <v>59</v>
      </c>
      <c r="B45" s="12" t="s">
        <v>22</v>
      </c>
      <c r="C45" s="13">
        <v>22</v>
      </c>
      <c r="D45" s="13">
        <v>37</v>
      </c>
      <c r="E45" s="13">
        <v>59</v>
      </c>
      <c r="F45" s="13">
        <v>35</v>
      </c>
      <c r="G45" s="13">
        <v>19</v>
      </c>
      <c r="H45" s="13">
        <v>1</v>
      </c>
      <c r="I45" s="13">
        <v>0</v>
      </c>
      <c r="J45" s="14">
        <v>1</v>
      </c>
    </row>
    <row r="46" spans="1:10" x14ac:dyDescent="0.25">
      <c r="A46" s="7" t="s">
        <v>60</v>
      </c>
      <c r="B46" s="8" t="s">
        <v>22</v>
      </c>
      <c r="C46" s="9">
        <v>25</v>
      </c>
      <c r="D46" s="9">
        <v>77</v>
      </c>
      <c r="E46" s="9">
        <v>85</v>
      </c>
      <c r="F46" s="9">
        <v>104</v>
      </c>
      <c r="G46" s="9">
        <v>20</v>
      </c>
      <c r="H46" s="9">
        <v>37</v>
      </c>
      <c r="I46" s="9">
        <v>38</v>
      </c>
      <c r="J46" s="10">
        <v>35</v>
      </c>
    </row>
    <row r="47" spans="1:10" x14ac:dyDescent="0.25">
      <c r="A47" s="11" t="s">
        <v>61</v>
      </c>
      <c r="B47" s="12" t="s">
        <v>11</v>
      </c>
      <c r="C47" s="13">
        <v>15</v>
      </c>
      <c r="D47" s="13">
        <v>1</v>
      </c>
      <c r="E47" s="13">
        <v>1</v>
      </c>
      <c r="F47" s="13">
        <v>1</v>
      </c>
      <c r="G47" s="13">
        <v>4</v>
      </c>
      <c r="H47" s="13">
        <v>0</v>
      </c>
      <c r="I47" s="13">
        <v>0</v>
      </c>
      <c r="J47" s="14">
        <v>0</v>
      </c>
    </row>
    <row r="48" spans="1:10" x14ac:dyDescent="0.25">
      <c r="A48" s="7" t="s">
        <v>62</v>
      </c>
      <c r="B48" s="8" t="s">
        <v>11</v>
      </c>
      <c r="C48" s="9">
        <v>23</v>
      </c>
      <c r="D48" s="9">
        <v>9</v>
      </c>
      <c r="E48" s="9">
        <v>6</v>
      </c>
      <c r="F48" s="9">
        <v>11</v>
      </c>
      <c r="G48" s="9">
        <v>9</v>
      </c>
      <c r="H48" s="9">
        <v>0</v>
      </c>
      <c r="I48" s="9">
        <v>0</v>
      </c>
      <c r="J48" s="10">
        <v>0</v>
      </c>
    </row>
    <row r="49" spans="1:10" x14ac:dyDescent="0.25">
      <c r="A49" s="11" t="s">
        <v>63</v>
      </c>
      <c r="B49" s="12" t="s">
        <v>11</v>
      </c>
      <c r="C49" s="13">
        <v>14</v>
      </c>
      <c r="D49" s="13">
        <v>6</v>
      </c>
      <c r="E49" s="13">
        <v>10</v>
      </c>
      <c r="F49" s="13">
        <v>11</v>
      </c>
      <c r="G49" s="13">
        <v>0</v>
      </c>
      <c r="H49" s="13">
        <v>0</v>
      </c>
      <c r="I49" s="13">
        <v>0</v>
      </c>
      <c r="J49" s="14">
        <v>0</v>
      </c>
    </row>
    <row r="50" spans="1:10" x14ac:dyDescent="0.25">
      <c r="A50" s="7" t="s">
        <v>64</v>
      </c>
      <c r="B50" s="8" t="s">
        <v>11</v>
      </c>
      <c r="C50" s="9">
        <v>13</v>
      </c>
      <c r="D50" s="9">
        <v>0</v>
      </c>
      <c r="E50" s="9">
        <v>0</v>
      </c>
      <c r="F50" s="9">
        <v>1</v>
      </c>
      <c r="G50" s="9">
        <v>0</v>
      </c>
      <c r="H50" s="9">
        <v>0</v>
      </c>
      <c r="I50" s="9">
        <v>0</v>
      </c>
      <c r="J50" s="10">
        <v>0</v>
      </c>
    </row>
    <row r="51" spans="1:10" x14ac:dyDescent="0.25">
      <c r="A51" s="11" t="s">
        <v>65</v>
      </c>
      <c r="B51" s="12" t="s">
        <v>11</v>
      </c>
      <c r="C51" s="13">
        <v>15</v>
      </c>
      <c r="D51" s="13">
        <v>15</v>
      </c>
      <c r="E51" s="13">
        <v>20</v>
      </c>
      <c r="F51" s="13">
        <v>25</v>
      </c>
      <c r="G51" s="13">
        <v>10</v>
      </c>
      <c r="H51" s="13">
        <v>0</v>
      </c>
      <c r="I51" s="13">
        <v>0</v>
      </c>
      <c r="J51" s="14">
        <v>0</v>
      </c>
    </row>
    <row r="52" spans="1:10" x14ac:dyDescent="0.25">
      <c r="A52" s="7" t="s">
        <v>66</v>
      </c>
      <c r="B52" s="8" t="s">
        <v>22</v>
      </c>
      <c r="C52" s="9">
        <v>20</v>
      </c>
      <c r="D52" s="9">
        <v>9</v>
      </c>
      <c r="E52" s="9">
        <v>8</v>
      </c>
      <c r="F52" s="9">
        <v>11</v>
      </c>
      <c r="G52" s="9">
        <v>6</v>
      </c>
      <c r="H52" s="9">
        <v>0</v>
      </c>
      <c r="I52" s="9">
        <v>0</v>
      </c>
      <c r="J52" s="10">
        <v>0</v>
      </c>
    </row>
    <row r="53" spans="1:10" x14ac:dyDescent="0.25">
      <c r="A53" s="11" t="s">
        <v>67</v>
      </c>
      <c r="B53" s="12" t="s">
        <v>22</v>
      </c>
      <c r="C53" s="13">
        <v>19</v>
      </c>
      <c r="D53" s="13">
        <v>0</v>
      </c>
      <c r="E53" s="13">
        <v>2</v>
      </c>
      <c r="F53" s="13">
        <v>2</v>
      </c>
      <c r="G53" s="13">
        <v>17</v>
      </c>
      <c r="H53" s="13">
        <v>0</v>
      </c>
      <c r="I53" s="13">
        <v>0</v>
      </c>
      <c r="J53" s="14">
        <v>0</v>
      </c>
    </row>
    <row r="54" spans="1:10" x14ac:dyDescent="0.25">
      <c r="A54" s="7" t="s">
        <v>68</v>
      </c>
      <c r="B54" s="8" t="s">
        <v>11</v>
      </c>
      <c r="C54" s="9">
        <v>15</v>
      </c>
      <c r="D54" s="9">
        <v>1</v>
      </c>
      <c r="E54" s="9">
        <v>1</v>
      </c>
      <c r="F54" s="9">
        <v>5</v>
      </c>
      <c r="G54" s="9">
        <v>6</v>
      </c>
      <c r="H54" s="9">
        <v>0</v>
      </c>
      <c r="I54" s="9">
        <v>0</v>
      </c>
      <c r="J54" s="10">
        <v>0</v>
      </c>
    </row>
    <row r="55" spans="1:10" x14ac:dyDescent="0.25">
      <c r="A55" s="11" t="s">
        <v>69</v>
      </c>
      <c r="B55" s="12" t="s">
        <v>25</v>
      </c>
      <c r="C55" s="13">
        <v>16</v>
      </c>
      <c r="D55" s="13">
        <v>17</v>
      </c>
      <c r="E55" s="13">
        <v>30</v>
      </c>
      <c r="F55" s="13">
        <v>20</v>
      </c>
      <c r="G55" s="13">
        <v>7</v>
      </c>
      <c r="H55" s="13">
        <v>0</v>
      </c>
      <c r="I55" s="13">
        <v>0</v>
      </c>
      <c r="J55" s="14">
        <v>0</v>
      </c>
    </row>
    <row r="56" spans="1:10" x14ac:dyDescent="0.25">
      <c r="A56" s="7" t="s">
        <v>70</v>
      </c>
      <c r="B56" s="8" t="s">
        <v>11</v>
      </c>
      <c r="C56" s="9">
        <v>21</v>
      </c>
      <c r="D56" s="9">
        <v>130</v>
      </c>
      <c r="E56" s="9">
        <v>126</v>
      </c>
      <c r="F56" s="9">
        <v>142</v>
      </c>
      <c r="G56" s="9">
        <v>20</v>
      </c>
      <c r="H56" s="9">
        <v>10</v>
      </c>
      <c r="I56" s="9">
        <v>17</v>
      </c>
      <c r="J56" s="10">
        <v>18</v>
      </c>
    </row>
    <row r="57" spans="1:10" x14ac:dyDescent="0.25">
      <c r="A57" s="11" t="s">
        <v>71</v>
      </c>
      <c r="B57" s="12" t="s">
        <v>22</v>
      </c>
      <c r="C57" s="13">
        <v>18</v>
      </c>
      <c r="D57" s="13">
        <v>28</v>
      </c>
      <c r="E57" s="13">
        <v>31</v>
      </c>
      <c r="F57" s="13">
        <v>31</v>
      </c>
      <c r="G57" s="13">
        <v>16</v>
      </c>
      <c r="H57" s="13">
        <v>0</v>
      </c>
      <c r="I57" s="13">
        <v>3</v>
      </c>
      <c r="J57" s="14">
        <v>1</v>
      </c>
    </row>
    <row r="58" spans="1:10" x14ac:dyDescent="0.25">
      <c r="A58" s="7" t="s">
        <v>72</v>
      </c>
      <c r="B58" s="8" t="s">
        <v>13</v>
      </c>
      <c r="C58" s="9">
        <v>13</v>
      </c>
      <c r="D58" s="9">
        <v>3</v>
      </c>
      <c r="E58" s="9">
        <v>1</v>
      </c>
      <c r="F58" s="9">
        <v>1</v>
      </c>
      <c r="G58" s="9">
        <v>1</v>
      </c>
      <c r="H58" s="9">
        <v>0</v>
      </c>
      <c r="I58" s="9">
        <v>0</v>
      </c>
      <c r="J58" s="10">
        <v>0</v>
      </c>
    </row>
    <row r="59" spans="1:10" x14ac:dyDescent="0.25">
      <c r="A59" s="11" t="s">
        <v>73</v>
      </c>
      <c r="B59" s="12" t="s">
        <v>25</v>
      </c>
      <c r="C59" s="13">
        <v>25</v>
      </c>
      <c r="D59" s="13">
        <v>59</v>
      </c>
      <c r="E59" s="13">
        <v>99</v>
      </c>
      <c r="F59" s="13">
        <v>120</v>
      </c>
      <c r="G59" s="13">
        <v>22</v>
      </c>
      <c r="H59" s="13">
        <v>62</v>
      </c>
      <c r="I59" s="13">
        <v>55</v>
      </c>
      <c r="J59" s="14">
        <v>53</v>
      </c>
    </row>
    <row r="60" spans="1:10" x14ac:dyDescent="0.25">
      <c r="A60" s="7" t="s">
        <v>74</v>
      </c>
      <c r="B60" s="8" t="s">
        <v>11</v>
      </c>
      <c r="C60" s="9">
        <v>8</v>
      </c>
      <c r="D60" s="9">
        <v>0</v>
      </c>
      <c r="E60" s="9">
        <v>0</v>
      </c>
      <c r="F60" s="9">
        <v>4</v>
      </c>
      <c r="G60" s="9">
        <v>0</v>
      </c>
      <c r="H60" s="9">
        <v>0</v>
      </c>
      <c r="I60" s="9">
        <v>0</v>
      </c>
      <c r="J60" s="10">
        <v>0</v>
      </c>
    </row>
    <row r="61" spans="1:10" x14ac:dyDescent="0.25">
      <c r="A61" s="11" t="s">
        <v>75</v>
      </c>
      <c r="B61" s="12" t="s">
        <v>11</v>
      </c>
      <c r="C61" s="13">
        <v>5</v>
      </c>
      <c r="D61" s="13">
        <v>16</v>
      </c>
      <c r="E61" s="13">
        <v>17</v>
      </c>
      <c r="F61" s="13">
        <v>19</v>
      </c>
      <c r="G61" s="13">
        <v>6</v>
      </c>
      <c r="H61" s="13">
        <v>1</v>
      </c>
      <c r="I61" s="13">
        <v>3</v>
      </c>
      <c r="J61" s="14">
        <v>3</v>
      </c>
    </row>
    <row r="62" spans="1:10" x14ac:dyDescent="0.25">
      <c r="A62" s="7" t="s">
        <v>76</v>
      </c>
      <c r="B62" s="8" t="s">
        <v>13</v>
      </c>
      <c r="C62" s="9">
        <v>13</v>
      </c>
      <c r="D62" s="9">
        <v>25</v>
      </c>
      <c r="E62" s="9">
        <v>32</v>
      </c>
      <c r="F62" s="9">
        <v>29</v>
      </c>
      <c r="G62" s="9">
        <v>3</v>
      </c>
      <c r="H62" s="9">
        <v>0</v>
      </c>
      <c r="I62" s="9">
        <v>0</v>
      </c>
      <c r="J62" s="10">
        <v>0</v>
      </c>
    </row>
    <row r="63" spans="1:10" x14ac:dyDescent="0.25">
      <c r="A63" s="11" t="s">
        <v>77</v>
      </c>
      <c r="B63" s="12" t="s">
        <v>11</v>
      </c>
      <c r="C63" s="13">
        <v>5</v>
      </c>
      <c r="D63" s="13">
        <v>0</v>
      </c>
      <c r="E63" s="13">
        <v>1</v>
      </c>
      <c r="F63" s="13">
        <v>2</v>
      </c>
      <c r="G63" s="13">
        <v>6</v>
      </c>
      <c r="H63" s="13">
        <v>0</v>
      </c>
      <c r="I63" s="13">
        <v>0</v>
      </c>
      <c r="J63" s="14">
        <v>0</v>
      </c>
    </row>
    <row r="64" spans="1:10" x14ac:dyDescent="0.25">
      <c r="A64" s="7" t="s">
        <v>78</v>
      </c>
      <c r="B64" s="8" t="s">
        <v>15</v>
      </c>
      <c r="C64" s="9">
        <v>18</v>
      </c>
      <c r="D64" s="9">
        <v>2</v>
      </c>
      <c r="E64" s="9">
        <v>6</v>
      </c>
      <c r="F64" s="9">
        <v>11</v>
      </c>
      <c r="G64" s="9">
        <v>1</v>
      </c>
      <c r="H64" s="9">
        <v>0</v>
      </c>
      <c r="I64" s="9">
        <v>0</v>
      </c>
      <c r="J64" s="10">
        <v>0</v>
      </c>
    </row>
    <row r="65" spans="1:10" x14ac:dyDescent="0.25">
      <c r="A65" s="11" t="s">
        <v>79</v>
      </c>
      <c r="B65" s="12" t="s">
        <v>11</v>
      </c>
      <c r="C65" s="13">
        <v>16</v>
      </c>
      <c r="D65" s="13">
        <v>81</v>
      </c>
      <c r="E65" s="13">
        <v>82</v>
      </c>
      <c r="F65" s="13">
        <v>80</v>
      </c>
      <c r="G65" s="13">
        <v>17</v>
      </c>
      <c r="H65" s="13">
        <v>26</v>
      </c>
      <c r="I65" s="13">
        <v>17</v>
      </c>
      <c r="J65" s="14">
        <v>10</v>
      </c>
    </row>
    <row r="66" spans="1:10" x14ac:dyDescent="0.25">
      <c r="A66" s="7" t="s">
        <v>80</v>
      </c>
      <c r="B66" s="8" t="s">
        <v>11</v>
      </c>
      <c r="C66" s="9">
        <v>9</v>
      </c>
      <c r="D66" s="9">
        <v>14</v>
      </c>
      <c r="E66" s="9">
        <v>12</v>
      </c>
      <c r="F66" s="9">
        <v>21</v>
      </c>
      <c r="G66" s="9">
        <v>8</v>
      </c>
      <c r="H66" s="9">
        <v>0</v>
      </c>
      <c r="I66" s="9">
        <v>1</v>
      </c>
      <c r="J66" s="10">
        <v>1</v>
      </c>
    </row>
    <row r="67" spans="1:10" x14ac:dyDescent="0.25">
      <c r="A67" s="11" t="s">
        <v>81</v>
      </c>
      <c r="B67" s="12" t="s">
        <v>25</v>
      </c>
      <c r="C67" s="13">
        <v>14</v>
      </c>
      <c r="D67" s="13">
        <v>1</v>
      </c>
      <c r="E67" s="13">
        <v>1</v>
      </c>
      <c r="F67" s="13">
        <v>2</v>
      </c>
      <c r="G67" s="13">
        <v>6</v>
      </c>
      <c r="H67" s="13">
        <v>0</v>
      </c>
      <c r="I67" s="13">
        <v>0</v>
      </c>
      <c r="J67" s="14">
        <v>0</v>
      </c>
    </row>
    <row r="68" spans="1:10" x14ac:dyDescent="0.25">
      <c r="A68" s="7" t="s">
        <v>82</v>
      </c>
      <c r="B68" s="8" t="s">
        <v>25</v>
      </c>
      <c r="C68" s="9">
        <v>19</v>
      </c>
      <c r="D68" s="9">
        <v>72</v>
      </c>
      <c r="E68" s="9">
        <v>67</v>
      </c>
      <c r="F68" s="9">
        <v>69</v>
      </c>
      <c r="G68" s="9">
        <v>0</v>
      </c>
      <c r="H68" s="9">
        <v>0</v>
      </c>
      <c r="I68" s="9">
        <v>0</v>
      </c>
      <c r="J68" s="10">
        <v>0</v>
      </c>
    </row>
    <row r="69" spans="1:10" x14ac:dyDescent="0.25">
      <c r="A69" s="11" t="s">
        <v>83</v>
      </c>
      <c r="B69" s="12" t="s">
        <v>11</v>
      </c>
      <c r="C69" s="13">
        <v>12</v>
      </c>
      <c r="D69" s="13">
        <v>0</v>
      </c>
      <c r="E69" s="13">
        <v>0</v>
      </c>
      <c r="F69" s="13">
        <v>2</v>
      </c>
      <c r="G69" s="13">
        <v>0</v>
      </c>
      <c r="H69" s="13">
        <v>0</v>
      </c>
      <c r="I69" s="13">
        <v>0</v>
      </c>
      <c r="J69" s="14">
        <v>0</v>
      </c>
    </row>
    <row r="70" spans="1:10" x14ac:dyDescent="0.25">
      <c r="A70" s="7" t="s">
        <v>84</v>
      </c>
      <c r="B70" s="8" t="s">
        <v>11</v>
      </c>
      <c r="C70" s="9">
        <v>16</v>
      </c>
      <c r="D70" s="9">
        <v>0</v>
      </c>
      <c r="E70" s="9">
        <v>2</v>
      </c>
      <c r="F70" s="9">
        <v>2</v>
      </c>
      <c r="G70" s="9">
        <v>16</v>
      </c>
      <c r="H70" s="9">
        <v>0</v>
      </c>
      <c r="I70" s="9">
        <v>0</v>
      </c>
      <c r="J70" s="10">
        <v>0</v>
      </c>
    </row>
    <row r="71" spans="1:10" x14ac:dyDescent="0.25">
      <c r="A71" s="11" t="s">
        <v>85</v>
      </c>
      <c r="B71" s="12" t="s">
        <v>22</v>
      </c>
      <c r="C71" s="13">
        <v>16</v>
      </c>
      <c r="D71" s="13">
        <v>0</v>
      </c>
      <c r="E71" s="13">
        <v>0</v>
      </c>
      <c r="F71" s="13">
        <v>0</v>
      </c>
      <c r="G71" s="13">
        <v>18</v>
      </c>
      <c r="H71" s="13">
        <v>2</v>
      </c>
      <c r="I71" s="13">
        <v>2</v>
      </c>
      <c r="J71" s="14">
        <v>5</v>
      </c>
    </row>
    <row r="72" spans="1:10" x14ac:dyDescent="0.25">
      <c r="A72" s="7" t="s">
        <v>86</v>
      </c>
      <c r="B72" s="8" t="s">
        <v>22</v>
      </c>
      <c r="C72" s="9">
        <v>8</v>
      </c>
      <c r="D72" s="9">
        <v>6</v>
      </c>
      <c r="E72" s="9">
        <v>5</v>
      </c>
      <c r="F72" s="9">
        <v>10</v>
      </c>
      <c r="G72" s="9">
        <v>8</v>
      </c>
      <c r="H72" s="9">
        <v>0</v>
      </c>
      <c r="I72" s="9">
        <v>0</v>
      </c>
      <c r="J72" s="10">
        <v>0</v>
      </c>
    </row>
    <row r="73" spans="1:10" x14ac:dyDescent="0.25">
      <c r="A73" s="11" t="s">
        <v>87</v>
      </c>
      <c r="B73" s="12" t="s">
        <v>22</v>
      </c>
      <c r="C73" s="13">
        <v>22</v>
      </c>
      <c r="D73" s="13">
        <v>1</v>
      </c>
      <c r="E73" s="13">
        <v>1</v>
      </c>
      <c r="F73" s="13">
        <v>0</v>
      </c>
      <c r="G73" s="13">
        <v>8</v>
      </c>
      <c r="H73" s="13">
        <v>0</v>
      </c>
      <c r="I73" s="13">
        <v>2</v>
      </c>
      <c r="J73" s="14">
        <v>0</v>
      </c>
    </row>
    <row r="74" spans="1:10" x14ac:dyDescent="0.25">
      <c r="A74" s="7" t="s">
        <v>88</v>
      </c>
      <c r="B74" s="8" t="s">
        <v>22</v>
      </c>
      <c r="C74" s="9">
        <v>10</v>
      </c>
      <c r="D74" s="9">
        <v>3</v>
      </c>
      <c r="E74" s="9">
        <v>11</v>
      </c>
      <c r="F74" s="9">
        <v>5</v>
      </c>
      <c r="G74" s="9">
        <v>10</v>
      </c>
      <c r="H74" s="9">
        <v>0</v>
      </c>
      <c r="I74" s="9">
        <v>4</v>
      </c>
      <c r="J74" s="10">
        <v>3</v>
      </c>
    </row>
    <row r="75" spans="1:10" x14ac:dyDescent="0.25">
      <c r="A75" s="11" t="s">
        <v>89</v>
      </c>
      <c r="B75" s="12" t="s">
        <v>22</v>
      </c>
      <c r="C75" s="13">
        <v>5</v>
      </c>
      <c r="D75" s="13">
        <v>0</v>
      </c>
      <c r="E75" s="13">
        <v>0</v>
      </c>
      <c r="F75" s="13">
        <v>1</v>
      </c>
      <c r="G75" s="13">
        <v>5</v>
      </c>
      <c r="H75" s="13">
        <v>0</v>
      </c>
      <c r="I75" s="13">
        <v>0</v>
      </c>
      <c r="J75" s="14">
        <v>0</v>
      </c>
    </row>
    <row r="76" spans="1:10" x14ac:dyDescent="0.25">
      <c r="A76" s="7" t="s">
        <v>90</v>
      </c>
      <c r="B76" s="8" t="s">
        <v>11</v>
      </c>
      <c r="C76" s="9">
        <v>12</v>
      </c>
      <c r="D76" s="9">
        <v>0</v>
      </c>
      <c r="E76" s="9">
        <v>3</v>
      </c>
      <c r="F76" s="9">
        <v>3</v>
      </c>
      <c r="G76" s="9">
        <v>0</v>
      </c>
      <c r="H76" s="9">
        <v>0</v>
      </c>
      <c r="I76" s="9">
        <v>0</v>
      </c>
      <c r="J76" s="10">
        <v>0</v>
      </c>
    </row>
    <row r="77" spans="1:10" x14ac:dyDescent="0.25">
      <c r="A77" s="11" t="s">
        <v>91</v>
      </c>
      <c r="B77" s="12" t="s">
        <v>13</v>
      </c>
      <c r="C77" s="13">
        <v>13</v>
      </c>
      <c r="D77" s="13">
        <v>6</v>
      </c>
      <c r="E77" s="13">
        <v>5</v>
      </c>
      <c r="F77" s="13">
        <v>11</v>
      </c>
      <c r="G77" s="13">
        <v>6</v>
      </c>
      <c r="H77" s="13">
        <v>0</v>
      </c>
      <c r="I77" s="13">
        <v>0</v>
      </c>
      <c r="J77" s="14">
        <v>0</v>
      </c>
    </row>
    <row r="78" spans="1:10" x14ac:dyDescent="0.25">
      <c r="A78" s="7" t="s">
        <v>92</v>
      </c>
      <c r="B78" s="8" t="s">
        <v>13</v>
      </c>
      <c r="C78" s="9">
        <v>8</v>
      </c>
      <c r="D78" s="9">
        <v>0</v>
      </c>
      <c r="E78" s="9">
        <v>0</v>
      </c>
      <c r="F78" s="9">
        <v>1</v>
      </c>
      <c r="G78" s="9">
        <v>0</v>
      </c>
      <c r="H78" s="9">
        <v>0</v>
      </c>
      <c r="I78" s="9">
        <v>0</v>
      </c>
      <c r="J78" s="10">
        <v>0</v>
      </c>
    </row>
    <row r="79" spans="1:10" x14ac:dyDescent="0.25">
      <c r="A79" s="11" t="s">
        <v>93</v>
      </c>
      <c r="B79" s="12" t="s">
        <v>25</v>
      </c>
      <c r="C79" s="13">
        <v>22</v>
      </c>
      <c r="D79" s="13">
        <v>13</v>
      </c>
      <c r="E79" s="13">
        <v>21</v>
      </c>
      <c r="F79" s="13">
        <v>28</v>
      </c>
      <c r="G79" s="13">
        <v>8</v>
      </c>
      <c r="H79" s="13">
        <v>0</v>
      </c>
      <c r="I79" s="13">
        <v>0</v>
      </c>
      <c r="J79" s="14">
        <v>0</v>
      </c>
    </row>
    <row r="80" spans="1:10" x14ac:dyDescent="0.25">
      <c r="A80" s="7" t="s">
        <v>94</v>
      </c>
      <c r="B80" s="8" t="s">
        <v>22</v>
      </c>
      <c r="C80" s="9">
        <v>5</v>
      </c>
      <c r="D80" s="9">
        <v>0</v>
      </c>
      <c r="E80" s="9">
        <v>2</v>
      </c>
      <c r="F80" s="9">
        <v>5</v>
      </c>
      <c r="G80" s="9">
        <v>6</v>
      </c>
      <c r="H80" s="9">
        <v>0</v>
      </c>
      <c r="I80" s="9">
        <v>0</v>
      </c>
      <c r="J80" s="10">
        <v>0</v>
      </c>
    </row>
    <row r="81" spans="1:10" x14ac:dyDescent="0.25">
      <c r="A81" s="11" t="s">
        <v>95</v>
      </c>
      <c r="B81" s="12" t="s">
        <v>11</v>
      </c>
      <c r="C81" s="13">
        <v>12</v>
      </c>
      <c r="D81" s="13">
        <v>2</v>
      </c>
      <c r="E81" s="13">
        <v>9</v>
      </c>
      <c r="F81" s="13">
        <v>13</v>
      </c>
      <c r="G81" s="13">
        <v>13</v>
      </c>
      <c r="H81" s="13">
        <v>0</v>
      </c>
      <c r="I81" s="13">
        <v>0</v>
      </c>
      <c r="J81" s="14">
        <v>0</v>
      </c>
    </row>
    <row r="82" spans="1:10" x14ac:dyDescent="0.25">
      <c r="A82" s="7" t="s">
        <v>96</v>
      </c>
      <c r="B82" s="8" t="s">
        <v>13</v>
      </c>
      <c r="C82" s="9">
        <v>9</v>
      </c>
      <c r="D82" s="9">
        <v>1</v>
      </c>
      <c r="E82" s="9">
        <v>0</v>
      </c>
      <c r="F82" s="9">
        <v>1</v>
      </c>
      <c r="G82" s="9">
        <v>0</v>
      </c>
      <c r="H82" s="9">
        <v>0</v>
      </c>
      <c r="I82" s="9">
        <v>0</v>
      </c>
      <c r="J82" s="10">
        <v>0</v>
      </c>
    </row>
    <row r="83" spans="1:10" x14ac:dyDescent="0.25">
      <c r="A83" s="11" t="s">
        <v>97</v>
      </c>
      <c r="B83" s="12" t="s">
        <v>13</v>
      </c>
      <c r="C83" s="13">
        <v>6</v>
      </c>
      <c r="D83" s="13">
        <v>0</v>
      </c>
      <c r="E83" s="13">
        <v>4</v>
      </c>
      <c r="F83" s="13">
        <v>0</v>
      </c>
      <c r="G83" s="13">
        <v>0</v>
      </c>
      <c r="H83" s="13">
        <v>0</v>
      </c>
      <c r="I83" s="13">
        <v>0</v>
      </c>
      <c r="J83" s="14">
        <v>0</v>
      </c>
    </row>
    <row r="84" spans="1:10" x14ac:dyDescent="0.25">
      <c r="A84" s="7" t="s">
        <v>98</v>
      </c>
      <c r="B84" s="8" t="s">
        <v>22</v>
      </c>
      <c r="C84" s="9">
        <v>15</v>
      </c>
      <c r="D84" s="9">
        <v>174</v>
      </c>
      <c r="E84" s="9">
        <v>182</v>
      </c>
      <c r="F84" s="9">
        <v>217</v>
      </c>
      <c r="G84" s="9">
        <v>11</v>
      </c>
      <c r="H84" s="9">
        <v>78</v>
      </c>
      <c r="I84" s="9">
        <v>78</v>
      </c>
      <c r="J84" s="10">
        <v>53</v>
      </c>
    </row>
    <row r="85" spans="1:10" x14ac:dyDescent="0.25">
      <c r="A85" s="11" t="s">
        <v>99</v>
      </c>
      <c r="B85" s="12" t="s">
        <v>22</v>
      </c>
      <c r="C85" s="13">
        <v>5</v>
      </c>
      <c r="D85" s="13">
        <v>56</v>
      </c>
      <c r="E85" s="13">
        <v>67</v>
      </c>
      <c r="F85" s="13">
        <v>81</v>
      </c>
      <c r="G85" s="13">
        <v>7</v>
      </c>
      <c r="H85" s="13">
        <v>11</v>
      </c>
      <c r="I85" s="13">
        <v>15</v>
      </c>
      <c r="J85" s="14">
        <v>13</v>
      </c>
    </row>
    <row r="86" spans="1:10" x14ac:dyDescent="0.25">
      <c r="A86" s="7" t="s">
        <v>100</v>
      </c>
      <c r="B86" s="8" t="s">
        <v>22</v>
      </c>
      <c r="C86" s="9">
        <v>3</v>
      </c>
      <c r="D86" s="9">
        <v>28</v>
      </c>
      <c r="E86" s="9">
        <v>54</v>
      </c>
      <c r="F86" s="9">
        <v>36</v>
      </c>
      <c r="G86" s="9">
        <v>3</v>
      </c>
      <c r="H86" s="9">
        <v>8</v>
      </c>
      <c r="I86" s="9">
        <v>6</v>
      </c>
      <c r="J86" s="10">
        <v>5</v>
      </c>
    </row>
    <row r="87" spans="1:10" x14ac:dyDescent="0.25">
      <c r="A87" s="11" t="s">
        <v>101</v>
      </c>
      <c r="B87" s="12" t="s">
        <v>22</v>
      </c>
      <c r="C87" s="13">
        <v>5</v>
      </c>
      <c r="D87" s="13">
        <v>153</v>
      </c>
      <c r="E87" s="13">
        <v>129</v>
      </c>
      <c r="F87" s="13">
        <v>127</v>
      </c>
      <c r="G87" s="13">
        <v>6</v>
      </c>
      <c r="H87" s="13">
        <v>39</v>
      </c>
      <c r="I87" s="13">
        <v>36</v>
      </c>
      <c r="J87" s="14">
        <v>35</v>
      </c>
    </row>
    <row r="88" spans="1:10" x14ac:dyDescent="0.25">
      <c r="A88" s="7" t="s">
        <v>102</v>
      </c>
      <c r="B88" s="8" t="s">
        <v>13</v>
      </c>
      <c r="C88" s="9">
        <v>11</v>
      </c>
      <c r="D88" s="9">
        <v>0</v>
      </c>
      <c r="E88" s="9">
        <v>0</v>
      </c>
      <c r="F88" s="9">
        <v>1</v>
      </c>
      <c r="G88" s="9">
        <v>0</v>
      </c>
      <c r="H88" s="9">
        <v>0</v>
      </c>
      <c r="I88" s="9">
        <v>0</v>
      </c>
      <c r="J88" s="10">
        <v>0</v>
      </c>
    </row>
    <row r="89" spans="1:10" x14ac:dyDescent="0.25">
      <c r="A89" s="11" t="s">
        <v>103</v>
      </c>
      <c r="B89" s="12" t="s">
        <v>13</v>
      </c>
      <c r="C89" s="13">
        <v>15</v>
      </c>
      <c r="D89" s="13">
        <v>3</v>
      </c>
      <c r="E89" s="13">
        <v>8</v>
      </c>
      <c r="F89" s="13">
        <v>12</v>
      </c>
      <c r="G89" s="13">
        <v>0</v>
      </c>
      <c r="H89" s="13">
        <v>0</v>
      </c>
      <c r="I89" s="13">
        <v>0</v>
      </c>
      <c r="J89" s="14">
        <v>0</v>
      </c>
    </row>
    <row r="90" spans="1:10" x14ac:dyDescent="0.25">
      <c r="A90" s="7" t="s">
        <v>104</v>
      </c>
      <c r="B90" s="8" t="s">
        <v>22</v>
      </c>
      <c r="C90" s="9">
        <v>24</v>
      </c>
      <c r="D90" s="9">
        <v>56</v>
      </c>
      <c r="E90" s="9">
        <v>49</v>
      </c>
      <c r="F90" s="9">
        <v>43</v>
      </c>
      <c r="G90" s="9">
        <v>22</v>
      </c>
      <c r="H90" s="9">
        <v>118</v>
      </c>
      <c r="I90" s="9">
        <v>111</v>
      </c>
      <c r="J90" s="10">
        <v>100</v>
      </c>
    </row>
    <row r="91" spans="1:10" x14ac:dyDescent="0.25">
      <c r="A91" s="11" t="s">
        <v>105</v>
      </c>
      <c r="B91" s="12" t="s">
        <v>20</v>
      </c>
      <c r="C91" s="13">
        <v>22</v>
      </c>
      <c r="D91" s="13">
        <v>42</v>
      </c>
      <c r="E91" s="13">
        <v>18</v>
      </c>
      <c r="F91" s="13">
        <v>39</v>
      </c>
      <c r="G91" s="13">
        <v>15</v>
      </c>
      <c r="H91" s="13">
        <v>0</v>
      </c>
      <c r="I91" s="13">
        <v>1</v>
      </c>
      <c r="J91" s="14">
        <v>0</v>
      </c>
    </row>
    <row r="92" spans="1:10" x14ac:dyDescent="0.25">
      <c r="A92" s="7" t="s">
        <v>106</v>
      </c>
      <c r="B92" s="8" t="s">
        <v>11</v>
      </c>
      <c r="C92" s="9">
        <v>16</v>
      </c>
      <c r="D92" s="9">
        <v>3</v>
      </c>
      <c r="E92" s="9">
        <v>3</v>
      </c>
      <c r="F92" s="9">
        <v>4</v>
      </c>
      <c r="G92" s="9">
        <v>2</v>
      </c>
      <c r="H92" s="9">
        <v>0</v>
      </c>
      <c r="I92" s="9">
        <v>0</v>
      </c>
      <c r="J92" s="10">
        <v>0</v>
      </c>
    </row>
    <row r="93" spans="1:10" x14ac:dyDescent="0.25">
      <c r="A93" s="11" t="s">
        <v>107</v>
      </c>
      <c r="B93" s="12" t="s">
        <v>15</v>
      </c>
      <c r="C93" s="13">
        <v>16</v>
      </c>
      <c r="D93" s="13">
        <v>1</v>
      </c>
      <c r="E93" s="13">
        <v>0</v>
      </c>
      <c r="F93" s="13">
        <v>2</v>
      </c>
      <c r="G93" s="13">
        <v>0</v>
      </c>
      <c r="H93" s="13">
        <v>0</v>
      </c>
      <c r="I93" s="13">
        <v>0</v>
      </c>
      <c r="J93" s="14">
        <v>0</v>
      </c>
    </row>
    <row r="94" spans="1:10" x14ac:dyDescent="0.25">
      <c r="A94" s="7" t="s">
        <v>108</v>
      </c>
      <c r="B94" s="8" t="s">
        <v>15</v>
      </c>
      <c r="C94" s="9">
        <v>11</v>
      </c>
      <c r="D94" s="9">
        <v>0</v>
      </c>
      <c r="E94" s="9">
        <v>1</v>
      </c>
      <c r="F94" s="9">
        <v>0</v>
      </c>
      <c r="G94" s="9">
        <v>1</v>
      </c>
      <c r="H94" s="9">
        <v>0</v>
      </c>
      <c r="I94" s="9">
        <v>0</v>
      </c>
      <c r="J94" s="10">
        <v>0</v>
      </c>
    </row>
    <row r="95" spans="1:10" x14ac:dyDescent="0.25">
      <c r="A95" s="11" t="s">
        <v>109</v>
      </c>
      <c r="B95" s="12" t="s">
        <v>15</v>
      </c>
      <c r="C95" s="13">
        <v>17</v>
      </c>
      <c r="D95" s="13">
        <v>1</v>
      </c>
      <c r="E95" s="13">
        <v>3</v>
      </c>
      <c r="F95" s="13">
        <v>0</v>
      </c>
      <c r="G95" s="13">
        <v>2</v>
      </c>
      <c r="H95" s="13">
        <v>0</v>
      </c>
      <c r="I95" s="13">
        <v>0</v>
      </c>
      <c r="J95" s="14">
        <v>0</v>
      </c>
    </row>
    <row r="96" spans="1:10" x14ac:dyDescent="0.25">
      <c r="A96" s="7" t="s">
        <v>110</v>
      </c>
      <c r="B96" s="8" t="s">
        <v>22</v>
      </c>
      <c r="C96" s="9">
        <v>20</v>
      </c>
      <c r="D96" s="9">
        <v>64</v>
      </c>
      <c r="E96" s="9">
        <v>82</v>
      </c>
      <c r="F96" s="9">
        <v>125</v>
      </c>
      <c r="G96" s="9">
        <v>22</v>
      </c>
      <c r="H96" s="9">
        <v>6</v>
      </c>
      <c r="I96" s="9">
        <v>7</v>
      </c>
      <c r="J96" s="10">
        <v>7</v>
      </c>
    </row>
    <row r="97" spans="1:10" x14ac:dyDescent="0.25">
      <c r="A97" s="11" t="s">
        <v>111</v>
      </c>
      <c r="B97" s="12" t="s">
        <v>25</v>
      </c>
      <c r="C97" s="13">
        <v>17</v>
      </c>
      <c r="D97" s="13">
        <v>0</v>
      </c>
      <c r="E97" s="13">
        <v>2</v>
      </c>
      <c r="F97" s="13">
        <v>6</v>
      </c>
      <c r="G97" s="13">
        <v>6</v>
      </c>
      <c r="H97" s="13">
        <v>0</v>
      </c>
      <c r="I97" s="13">
        <v>0</v>
      </c>
      <c r="J97" s="14">
        <v>0</v>
      </c>
    </row>
    <row r="98" spans="1:10" x14ac:dyDescent="0.25">
      <c r="A98" s="7" t="s">
        <v>112</v>
      </c>
      <c r="B98" s="8" t="s">
        <v>22</v>
      </c>
      <c r="C98" s="9">
        <v>23</v>
      </c>
      <c r="D98" s="9">
        <v>4</v>
      </c>
      <c r="E98" s="9">
        <v>8</v>
      </c>
      <c r="F98" s="9">
        <v>11</v>
      </c>
      <c r="G98" s="9">
        <v>7</v>
      </c>
      <c r="H98" s="9">
        <v>0</v>
      </c>
      <c r="I98" s="9">
        <v>0</v>
      </c>
      <c r="J98" s="10">
        <v>0</v>
      </c>
    </row>
    <row r="99" spans="1:10" x14ac:dyDescent="0.25">
      <c r="A99" s="11" t="s">
        <v>113</v>
      </c>
      <c r="B99" s="12" t="s">
        <v>13</v>
      </c>
      <c r="C99" s="13">
        <v>18</v>
      </c>
      <c r="D99" s="13">
        <v>23</v>
      </c>
      <c r="E99" s="13">
        <v>26</v>
      </c>
      <c r="F99" s="13">
        <v>27</v>
      </c>
      <c r="G99" s="13">
        <v>6</v>
      </c>
      <c r="H99" s="13">
        <v>0</v>
      </c>
      <c r="I99" s="13">
        <v>0</v>
      </c>
      <c r="J99" s="14">
        <v>0</v>
      </c>
    </row>
    <row r="100" spans="1:10" x14ac:dyDescent="0.25">
      <c r="A100" s="7" t="s">
        <v>114</v>
      </c>
      <c r="B100" s="8" t="s">
        <v>22</v>
      </c>
      <c r="C100" s="9">
        <v>5</v>
      </c>
      <c r="D100" s="9">
        <v>133</v>
      </c>
      <c r="E100" s="9">
        <v>122</v>
      </c>
      <c r="F100" s="9">
        <v>142</v>
      </c>
      <c r="G100" s="9">
        <v>6</v>
      </c>
      <c r="H100" s="9">
        <v>49</v>
      </c>
      <c r="I100" s="9">
        <v>40</v>
      </c>
      <c r="J100" s="10">
        <v>35</v>
      </c>
    </row>
    <row r="101" spans="1:10" x14ac:dyDescent="0.25">
      <c r="A101" s="11" t="s">
        <v>115</v>
      </c>
      <c r="B101" s="12" t="s">
        <v>22</v>
      </c>
      <c r="C101" s="13">
        <v>3</v>
      </c>
      <c r="D101" s="13">
        <v>1</v>
      </c>
      <c r="E101" s="13">
        <v>4</v>
      </c>
      <c r="F101" s="13">
        <v>3</v>
      </c>
      <c r="G101" s="13">
        <v>0</v>
      </c>
      <c r="H101" s="13">
        <v>0</v>
      </c>
      <c r="I101" s="13">
        <v>0</v>
      </c>
      <c r="J101" s="14">
        <v>0</v>
      </c>
    </row>
    <row r="102" spans="1:10" x14ac:dyDescent="0.25">
      <c r="A102" s="7" t="s">
        <v>116</v>
      </c>
      <c r="B102" s="8" t="s">
        <v>22</v>
      </c>
      <c r="C102" s="9">
        <v>20</v>
      </c>
      <c r="D102" s="9">
        <v>88</v>
      </c>
      <c r="E102" s="9">
        <v>94</v>
      </c>
      <c r="F102" s="9">
        <v>119</v>
      </c>
      <c r="G102" s="9">
        <v>20</v>
      </c>
      <c r="H102" s="9">
        <v>0</v>
      </c>
      <c r="I102" s="9">
        <v>0</v>
      </c>
      <c r="J102" s="10">
        <v>1</v>
      </c>
    </row>
    <row r="103" spans="1:10" x14ac:dyDescent="0.25">
      <c r="A103" s="11" t="s">
        <v>117</v>
      </c>
      <c r="B103" s="12" t="s">
        <v>13</v>
      </c>
      <c r="C103" s="13">
        <v>13</v>
      </c>
      <c r="D103" s="13">
        <v>0</v>
      </c>
      <c r="E103" s="13">
        <v>1</v>
      </c>
      <c r="F103" s="13">
        <v>0</v>
      </c>
      <c r="G103" s="13">
        <v>5</v>
      </c>
      <c r="H103" s="13">
        <v>0</v>
      </c>
      <c r="I103" s="13">
        <v>0</v>
      </c>
      <c r="J103" s="14">
        <v>0</v>
      </c>
    </row>
    <row r="104" spans="1:10" x14ac:dyDescent="0.25">
      <c r="A104" s="7" t="s">
        <v>118</v>
      </c>
      <c r="B104" s="8" t="s">
        <v>22</v>
      </c>
      <c r="C104" s="9">
        <v>3</v>
      </c>
      <c r="D104" s="9">
        <v>1</v>
      </c>
      <c r="E104" s="9">
        <v>2</v>
      </c>
      <c r="F104" s="9">
        <v>4</v>
      </c>
      <c r="G104" s="9">
        <v>2</v>
      </c>
      <c r="H104" s="9">
        <v>0</v>
      </c>
      <c r="I104" s="9">
        <v>0</v>
      </c>
      <c r="J104" s="10">
        <v>0</v>
      </c>
    </row>
    <row r="105" spans="1:10" x14ac:dyDescent="0.25">
      <c r="A105" s="11" t="s">
        <v>119</v>
      </c>
      <c r="B105" s="12" t="s">
        <v>22</v>
      </c>
      <c r="C105" s="13">
        <v>1</v>
      </c>
      <c r="D105" s="13">
        <v>0</v>
      </c>
      <c r="E105" s="13">
        <v>2</v>
      </c>
      <c r="F105" s="13">
        <v>0</v>
      </c>
      <c r="G105" s="13">
        <v>1</v>
      </c>
      <c r="H105" s="13">
        <v>0</v>
      </c>
      <c r="I105" s="13">
        <v>0</v>
      </c>
      <c r="J105" s="14">
        <v>0</v>
      </c>
    </row>
    <row r="106" spans="1:10" x14ac:dyDescent="0.25">
      <c r="A106" s="7" t="s">
        <v>120</v>
      </c>
      <c r="B106" s="8" t="s">
        <v>11</v>
      </c>
      <c r="C106" s="9">
        <v>15</v>
      </c>
      <c r="D106" s="9">
        <v>0</v>
      </c>
      <c r="E106" s="9">
        <v>2</v>
      </c>
      <c r="F106" s="9">
        <v>2</v>
      </c>
      <c r="G106" s="9">
        <v>0</v>
      </c>
      <c r="H106" s="9">
        <v>0</v>
      </c>
      <c r="I106" s="9">
        <v>0</v>
      </c>
      <c r="J106" s="10">
        <v>0</v>
      </c>
    </row>
    <row r="107" spans="1:10" x14ac:dyDescent="0.25">
      <c r="A107" s="11" t="s">
        <v>121</v>
      </c>
      <c r="B107" s="12" t="s">
        <v>22</v>
      </c>
      <c r="C107" s="13">
        <v>5</v>
      </c>
      <c r="D107" s="13">
        <v>7</v>
      </c>
      <c r="E107" s="13">
        <v>9</v>
      </c>
      <c r="F107" s="13">
        <v>8</v>
      </c>
      <c r="G107" s="13">
        <v>6</v>
      </c>
      <c r="H107" s="13">
        <v>2</v>
      </c>
      <c r="I107" s="13">
        <v>2</v>
      </c>
      <c r="J107" s="14">
        <v>1</v>
      </c>
    </row>
    <row r="108" spans="1:10" x14ac:dyDescent="0.25">
      <c r="A108" s="7" t="s">
        <v>122</v>
      </c>
      <c r="B108" s="8" t="s">
        <v>22</v>
      </c>
      <c r="C108" s="9">
        <v>6</v>
      </c>
      <c r="D108" s="9">
        <v>4</v>
      </c>
      <c r="E108" s="9">
        <v>6</v>
      </c>
      <c r="F108" s="9">
        <v>9</v>
      </c>
      <c r="G108" s="9">
        <v>7</v>
      </c>
      <c r="H108" s="9">
        <v>2</v>
      </c>
      <c r="I108" s="9">
        <v>4</v>
      </c>
      <c r="J108" s="10">
        <v>9</v>
      </c>
    </row>
    <row r="109" spans="1:10" x14ac:dyDescent="0.25">
      <c r="A109" s="11" t="s">
        <v>123</v>
      </c>
      <c r="B109" s="12" t="s">
        <v>11</v>
      </c>
      <c r="C109" s="13">
        <v>16</v>
      </c>
      <c r="D109" s="13">
        <v>0</v>
      </c>
      <c r="E109" s="13">
        <v>2</v>
      </c>
      <c r="F109" s="13">
        <v>0</v>
      </c>
      <c r="G109" s="13">
        <v>0</v>
      </c>
      <c r="H109" s="13">
        <v>0</v>
      </c>
      <c r="I109" s="13">
        <v>0</v>
      </c>
      <c r="J109" s="14">
        <v>0</v>
      </c>
    </row>
    <row r="110" spans="1:10" x14ac:dyDescent="0.25">
      <c r="A110" s="7" t="s">
        <v>124</v>
      </c>
      <c r="B110" s="8" t="s">
        <v>25</v>
      </c>
      <c r="C110" s="9">
        <v>26</v>
      </c>
      <c r="D110" s="9">
        <v>976</v>
      </c>
      <c r="E110" s="9">
        <v>758</v>
      </c>
      <c r="F110" s="9">
        <v>666</v>
      </c>
      <c r="G110" s="9">
        <v>22</v>
      </c>
      <c r="H110" s="9">
        <v>96</v>
      </c>
      <c r="I110" s="9">
        <v>102</v>
      </c>
      <c r="J110" s="10">
        <v>83</v>
      </c>
    </row>
    <row r="111" spans="1:10" x14ac:dyDescent="0.25">
      <c r="A111" s="11" t="s">
        <v>125</v>
      </c>
      <c r="B111" s="12" t="s">
        <v>13</v>
      </c>
      <c r="C111" s="13">
        <v>11</v>
      </c>
      <c r="D111" s="13">
        <v>0</v>
      </c>
      <c r="E111" s="13">
        <v>1</v>
      </c>
      <c r="F111" s="13">
        <v>0</v>
      </c>
      <c r="G111" s="13">
        <v>0</v>
      </c>
      <c r="H111" s="13">
        <v>0</v>
      </c>
      <c r="I111" s="13">
        <v>0</v>
      </c>
      <c r="J111" s="14">
        <v>0</v>
      </c>
    </row>
    <row r="112" spans="1:10" x14ac:dyDescent="0.25">
      <c r="A112" s="7" t="s">
        <v>126</v>
      </c>
      <c r="B112" s="8" t="s">
        <v>15</v>
      </c>
      <c r="C112" s="9">
        <v>11</v>
      </c>
      <c r="D112" s="9">
        <v>1</v>
      </c>
      <c r="E112" s="9">
        <v>0</v>
      </c>
      <c r="F112" s="9">
        <v>1</v>
      </c>
      <c r="G112" s="9">
        <v>0</v>
      </c>
      <c r="H112" s="9">
        <v>0</v>
      </c>
      <c r="I112" s="9">
        <v>0</v>
      </c>
      <c r="J112" s="10">
        <v>0</v>
      </c>
    </row>
    <row r="113" spans="1:10" x14ac:dyDescent="0.25">
      <c r="A113" s="11" t="s">
        <v>127</v>
      </c>
      <c r="B113" s="12" t="s">
        <v>11</v>
      </c>
      <c r="C113" s="13">
        <v>12</v>
      </c>
      <c r="D113" s="13">
        <v>1</v>
      </c>
      <c r="E113" s="13">
        <v>1</v>
      </c>
      <c r="F113" s="13">
        <v>1</v>
      </c>
      <c r="G113" s="13">
        <v>0</v>
      </c>
      <c r="H113" s="13">
        <v>0</v>
      </c>
      <c r="I113" s="13">
        <v>0</v>
      </c>
      <c r="J113" s="14">
        <v>0</v>
      </c>
    </row>
    <row r="114" spans="1:10" x14ac:dyDescent="0.25">
      <c r="A114" s="7" t="s">
        <v>128</v>
      </c>
      <c r="B114" s="8" t="s">
        <v>22</v>
      </c>
      <c r="C114" s="9">
        <v>27</v>
      </c>
      <c r="D114" s="9">
        <v>47</v>
      </c>
      <c r="E114" s="9">
        <v>73</v>
      </c>
      <c r="F114" s="9">
        <v>65</v>
      </c>
      <c r="G114" s="9">
        <v>22</v>
      </c>
      <c r="H114" s="9">
        <v>50</v>
      </c>
      <c r="I114" s="9">
        <v>40</v>
      </c>
      <c r="J114" s="10">
        <v>48</v>
      </c>
    </row>
    <row r="115" spans="1:10" x14ac:dyDescent="0.25">
      <c r="A115" s="11" t="s">
        <v>129</v>
      </c>
      <c r="B115" s="12" t="s">
        <v>22</v>
      </c>
      <c r="C115" s="13">
        <v>26</v>
      </c>
      <c r="D115" s="13">
        <v>143</v>
      </c>
      <c r="E115" s="13">
        <v>164</v>
      </c>
      <c r="F115" s="13">
        <v>176</v>
      </c>
      <c r="G115" s="13">
        <v>22</v>
      </c>
      <c r="H115" s="13">
        <v>50</v>
      </c>
      <c r="I115" s="13">
        <v>40</v>
      </c>
      <c r="J115" s="14">
        <v>54</v>
      </c>
    </row>
    <row r="116" spans="1:10" x14ac:dyDescent="0.25">
      <c r="A116" s="7" t="s">
        <v>130</v>
      </c>
      <c r="B116" s="8" t="s">
        <v>11</v>
      </c>
      <c r="C116" s="9">
        <v>5</v>
      </c>
      <c r="D116" s="9">
        <v>0</v>
      </c>
      <c r="E116" s="9">
        <v>1</v>
      </c>
      <c r="F116" s="9">
        <v>2</v>
      </c>
      <c r="G116" s="9">
        <v>4</v>
      </c>
      <c r="H116" s="9">
        <v>0</v>
      </c>
      <c r="I116" s="9">
        <v>0</v>
      </c>
      <c r="J116" s="10">
        <v>0</v>
      </c>
    </row>
    <row r="117" spans="1:10" x14ac:dyDescent="0.25">
      <c r="A117" s="11" t="s">
        <v>131</v>
      </c>
      <c r="B117" s="12" t="s">
        <v>11</v>
      </c>
      <c r="C117" s="13">
        <v>15</v>
      </c>
      <c r="D117" s="13">
        <v>7</v>
      </c>
      <c r="E117" s="13">
        <v>6</v>
      </c>
      <c r="F117" s="13">
        <v>11</v>
      </c>
      <c r="G117" s="13">
        <v>3</v>
      </c>
      <c r="H117" s="13">
        <v>0</v>
      </c>
      <c r="I117" s="13">
        <v>0</v>
      </c>
      <c r="J117" s="14">
        <v>0</v>
      </c>
    </row>
    <row r="118" spans="1:10" x14ac:dyDescent="0.25">
      <c r="A118" s="7" t="s">
        <v>132</v>
      </c>
      <c r="B118" s="8" t="s">
        <v>13</v>
      </c>
      <c r="C118" s="9">
        <v>12</v>
      </c>
      <c r="D118" s="9">
        <v>0</v>
      </c>
      <c r="E118" s="9">
        <v>2</v>
      </c>
      <c r="F118" s="9">
        <v>0</v>
      </c>
      <c r="G118" s="9">
        <v>0</v>
      </c>
      <c r="H118" s="9">
        <v>0</v>
      </c>
      <c r="I118" s="9">
        <v>0</v>
      </c>
      <c r="J118" s="10">
        <v>0</v>
      </c>
    </row>
    <row r="119" spans="1:10" x14ac:dyDescent="0.25">
      <c r="A119" s="11" t="s">
        <v>133</v>
      </c>
      <c r="B119" s="12" t="s">
        <v>13</v>
      </c>
      <c r="C119" s="13">
        <v>9</v>
      </c>
      <c r="D119" s="13">
        <v>0</v>
      </c>
      <c r="E119" s="13">
        <v>0</v>
      </c>
      <c r="F119" s="13">
        <v>1</v>
      </c>
      <c r="G119" s="13">
        <v>1</v>
      </c>
      <c r="H119" s="13">
        <v>0</v>
      </c>
      <c r="I119" s="13">
        <v>0</v>
      </c>
      <c r="J119" s="14">
        <v>0</v>
      </c>
    </row>
    <row r="120" spans="1:10" x14ac:dyDescent="0.25">
      <c r="A120" s="7" t="s">
        <v>134</v>
      </c>
      <c r="B120" s="8" t="s">
        <v>20</v>
      </c>
      <c r="C120" s="9">
        <v>8</v>
      </c>
      <c r="D120" s="9">
        <v>0</v>
      </c>
      <c r="E120" s="9">
        <v>1</v>
      </c>
      <c r="F120" s="9">
        <v>0</v>
      </c>
      <c r="G120" s="9">
        <v>1</v>
      </c>
      <c r="H120" s="9">
        <v>0</v>
      </c>
      <c r="I120" s="9">
        <v>0</v>
      </c>
      <c r="J120" s="10">
        <v>0</v>
      </c>
    </row>
    <row r="121" spans="1:10" x14ac:dyDescent="0.25">
      <c r="A121" s="11" t="s">
        <v>135</v>
      </c>
      <c r="B121" s="12" t="s">
        <v>25</v>
      </c>
      <c r="C121" s="13">
        <v>16</v>
      </c>
      <c r="D121" s="13">
        <v>2</v>
      </c>
      <c r="E121" s="13">
        <v>5</v>
      </c>
      <c r="F121" s="13">
        <v>11</v>
      </c>
      <c r="G121" s="13">
        <v>3</v>
      </c>
      <c r="H121" s="13">
        <v>0</v>
      </c>
      <c r="I121" s="13">
        <v>0</v>
      </c>
      <c r="J121" s="14">
        <v>0</v>
      </c>
    </row>
    <row r="122" spans="1:10" x14ac:dyDescent="0.25">
      <c r="A122" s="7" t="s">
        <v>136</v>
      </c>
      <c r="B122" s="8" t="s">
        <v>13</v>
      </c>
      <c r="C122" s="9">
        <v>13</v>
      </c>
      <c r="D122" s="9">
        <v>3</v>
      </c>
      <c r="E122" s="9">
        <v>3</v>
      </c>
      <c r="F122" s="9">
        <v>4</v>
      </c>
      <c r="G122" s="9">
        <v>0</v>
      </c>
      <c r="H122" s="9">
        <v>0</v>
      </c>
      <c r="I122" s="9">
        <v>0</v>
      </c>
      <c r="J122" s="10">
        <v>0</v>
      </c>
    </row>
    <row r="123" spans="1:10" x14ac:dyDescent="0.25">
      <c r="A123" s="11" t="s">
        <v>137</v>
      </c>
      <c r="B123" s="12" t="s">
        <v>11</v>
      </c>
      <c r="C123" s="13">
        <v>21</v>
      </c>
      <c r="D123" s="13">
        <v>39</v>
      </c>
      <c r="E123" s="13">
        <v>25</v>
      </c>
      <c r="F123" s="13">
        <v>24</v>
      </c>
      <c r="G123" s="13">
        <v>16</v>
      </c>
      <c r="H123" s="13">
        <v>0</v>
      </c>
      <c r="I123" s="13">
        <v>0</v>
      </c>
      <c r="J123" s="14">
        <v>0</v>
      </c>
    </row>
    <row r="124" spans="1:10" x14ac:dyDescent="0.25">
      <c r="A124" s="7" t="s">
        <v>138</v>
      </c>
      <c r="B124" s="8" t="s">
        <v>13</v>
      </c>
      <c r="C124" s="9">
        <v>14</v>
      </c>
      <c r="D124" s="9">
        <v>2</v>
      </c>
      <c r="E124" s="9">
        <v>3</v>
      </c>
      <c r="F124" s="9">
        <v>2</v>
      </c>
      <c r="G124" s="9">
        <v>0</v>
      </c>
      <c r="H124" s="9">
        <v>0</v>
      </c>
      <c r="I124" s="9">
        <v>0</v>
      </c>
      <c r="J124" s="10">
        <v>0</v>
      </c>
    </row>
    <row r="125" spans="1:10" x14ac:dyDescent="0.25">
      <c r="A125" s="11" t="s">
        <v>139</v>
      </c>
      <c r="B125" s="12" t="s">
        <v>22</v>
      </c>
      <c r="C125" s="13">
        <v>5</v>
      </c>
      <c r="D125" s="13">
        <v>33</v>
      </c>
      <c r="E125" s="13">
        <v>27</v>
      </c>
      <c r="F125" s="13">
        <v>55</v>
      </c>
      <c r="G125" s="13">
        <v>6</v>
      </c>
      <c r="H125" s="13">
        <v>2</v>
      </c>
      <c r="I125" s="13">
        <v>1</v>
      </c>
      <c r="J125" s="14">
        <v>4</v>
      </c>
    </row>
    <row r="126" spans="1:10" x14ac:dyDescent="0.25">
      <c r="A126" s="7" t="s">
        <v>140</v>
      </c>
      <c r="B126" s="8" t="s">
        <v>15</v>
      </c>
      <c r="C126" s="9">
        <v>20</v>
      </c>
      <c r="D126" s="9">
        <v>2</v>
      </c>
      <c r="E126" s="9">
        <v>2</v>
      </c>
      <c r="F126" s="9">
        <v>6</v>
      </c>
      <c r="G126" s="9">
        <v>1</v>
      </c>
      <c r="H126" s="9">
        <v>0</v>
      </c>
      <c r="I126" s="9">
        <v>0</v>
      </c>
      <c r="J126" s="10">
        <v>0</v>
      </c>
    </row>
    <row r="127" spans="1:10" x14ac:dyDescent="0.25">
      <c r="A127" s="11" t="s">
        <v>141</v>
      </c>
      <c r="B127" s="12" t="s">
        <v>11</v>
      </c>
      <c r="C127" s="13">
        <v>5</v>
      </c>
      <c r="D127" s="13">
        <v>5</v>
      </c>
      <c r="E127" s="13">
        <v>5</v>
      </c>
      <c r="F127" s="13">
        <v>10</v>
      </c>
      <c r="G127" s="13">
        <v>6</v>
      </c>
      <c r="H127" s="13">
        <v>1</v>
      </c>
      <c r="I127" s="13">
        <v>0</v>
      </c>
      <c r="J127" s="14">
        <v>0</v>
      </c>
    </row>
    <row r="128" spans="1:10" x14ac:dyDescent="0.25">
      <c r="A128" s="7" t="s">
        <v>142</v>
      </c>
      <c r="B128" s="8" t="s">
        <v>15</v>
      </c>
      <c r="C128" s="9">
        <v>17</v>
      </c>
      <c r="D128" s="9">
        <v>2</v>
      </c>
      <c r="E128" s="9">
        <v>2</v>
      </c>
      <c r="F128" s="9">
        <v>8</v>
      </c>
      <c r="G128" s="9">
        <v>4</v>
      </c>
      <c r="H128" s="9">
        <v>0</v>
      </c>
      <c r="I128" s="9">
        <v>0</v>
      </c>
      <c r="J128" s="10">
        <v>0</v>
      </c>
    </row>
    <row r="129" spans="1:10" x14ac:dyDescent="0.25">
      <c r="A129" s="11" t="s">
        <v>143</v>
      </c>
      <c r="B129" s="12" t="s">
        <v>22</v>
      </c>
      <c r="C129" s="13">
        <v>25</v>
      </c>
      <c r="D129" s="13">
        <v>167</v>
      </c>
      <c r="E129" s="13">
        <v>144</v>
      </c>
      <c r="F129" s="13">
        <v>165</v>
      </c>
      <c r="G129" s="13">
        <v>22</v>
      </c>
      <c r="H129" s="13">
        <v>0</v>
      </c>
      <c r="I129" s="13">
        <v>2</v>
      </c>
      <c r="J129" s="14">
        <v>4</v>
      </c>
    </row>
    <row r="130" spans="1:10" x14ac:dyDescent="0.25">
      <c r="A130" s="7" t="s">
        <v>144</v>
      </c>
      <c r="B130" s="8" t="s">
        <v>22</v>
      </c>
      <c r="C130" s="9">
        <v>27</v>
      </c>
      <c r="D130" s="9">
        <v>236</v>
      </c>
      <c r="E130" s="9">
        <v>272</v>
      </c>
      <c r="F130" s="9">
        <v>272</v>
      </c>
      <c r="G130" s="9">
        <v>22</v>
      </c>
      <c r="H130" s="9">
        <v>10</v>
      </c>
      <c r="I130" s="9">
        <v>4</v>
      </c>
      <c r="J130" s="10">
        <v>12</v>
      </c>
    </row>
    <row r="131" spans="1:10" x14ac:dyDescent="0.25">
      <c r="A131" s="11" t="s">
        <v>145</v>
      </c>
      <c r="B131" s="12" t="s">
        <v>11</v>
      </c>
      <c r="C131" s="13">
        <v>14</v>
      </c>
      <c r="D131" s="13">
        <v>0</v>
      </c>
      <c r="E131" s="13">
        <v>2</v>
      </c>
      <c r="F131" s="13">
        <v>0</v>
      </c>
      <c r="G131" s="13">
        <v>0</v>
      </c>
      <c r="H131" s="13">
        <v>0</v>
      </c>
      <c r="I131" s="13">
        <v>0</v>
      </c>
      <c r="J131" s="14">
        <v>0</v>
      </c>
    </row>
    <row r="132" spans="1:10" x14ac:dyDescent="0.25">
      <c r="A132" s="7" t="s">
        <v>146</v>
      </c>
      <c r="B132" s="8" t="s">
        <v>22</v>
      </c>
      <c r="C132" s="9">
        <v>26</v>
      </c>
      <c r="D132" s="9">
        <v>198</v>
      </c>
      <c r="E132" s="9">
        <v>166</v>
      </c>
      <c r="F132" s="9">
        <v>185</v>
      </c>
      <c r="G132" s="9">
        <v>22</v>
      </c>
      <c r="H132" s="9">
        <v>37</v>
      </c>
      <c r="I132" s="9">
        <v>34</v>
      </c>
      <c r="J132" s="10">
        <v>43</v>
      </c>
    </row>
    <row r="133" spans="1:10" x14ac:dyDescent="0.25">
      <c r="A133" s="11" t="s">
        <v>147</v>
      </c>
      <c r="B133" s="12" t="s">
        <v>22</v>
      </c>
      <c r="C133" s="13">
        <v>1</v>
      </c>
      <c r="D133" s="13">
        <v>45</v>
      </c>
      <c r="E133" s="13">
        <v>38</v>
      </c>
      <c r="F133" s="13">
        <v>29</v>
      </c>
      <c r="G133" s="13">
        <v>1</v>
      </c>
      <c r="H133" s="13">
        <v>9</v>
      </c>
      <c r="I133" s="13">
        <v>6</v>
      </c>
      <c r="J133" s="14">
        <v>8</v>
      </c>
    </row>
    <row r="134" spans="1:10" x14ac:dyDescent="0.25">
      <c r="A134" s="7" t="s">
        <v>148</v>
      </c>
      <c r="B134" s="8" t="s">
        <v>13</v>
      </c>
      <c r="C134" s="9">
        <v>12</v>
      </c>
      <c r="D134" s="9">
        <v>0</v>
      </c>
      <c r="E134" s="9">
        <v>1</v>
      </c>
      <c r="F134" s="9">
        <v>0</v>
      </c>
      <c r="G134" s="9">
        <v>0</v>
      </c>
      <c r="H134" s="9">
        <v>0</v>
      </c>
      <c r="I134" s="9">
        <v>0</v>
      </c>
      <c r="J134" s="10">
        <v>0</v>
      </c>
    </row>
    <row r="135" spans="1:10" x14ac:dyDescent="0.25">
      <c r="A135" s="11" t="s">
        <v>149</v>
      </c>
      <c r="B135" s="12" t="s">
        <v>25</v>
      </c>
      <c r="C135" s="13">
        <v>11</v>
      </c>
      <c r="D135" s="13">
        <v>0</v>
      </c>
      <c r="E135" s="13">
        <v>1</v>
      </c>
      <c r="F135" s="13">
        <v>0</v>
      </c>
      <c r="G135" s="13">
        <v>7</v>
      </c>
      <c r="H135" s="13">
        <v>0</v>
      </c>
      <c r="I135" s="13">
        <v>0</v>
      </c>
      <c r="J135" s="14">
        <v>0</v>
      </c>
    </row>
    <row r="136" spans="1:10" x14ac:dyDescent="0.25">
      <c r="A136" s="7" t="s">
        <v>150</v>
      </c>
      <c r="B136" s="8" t="s">
        <v>13</v>
      </c>
      <c r="C136" s="9">
        <v>12</v>
      </c>
      <c r="D136" s="9">
        <v>0</v>
      </c>
      <c r="E136" s="9">
        <v>1</v>
      </c>
      <c r="F136" s="9">
        <v>1</v>
      </c>
      <c r="G136" s="9">
        <v>0</v>
      </c>
      <c r="H136" s="9">
        <v>0</v>
      </c>
      <c r="I136" s="9">
        <v>0</v>
      </c>
      <c r="J136" s="10">
        <v>0</v>
      </c>
    </row>
    <row r="137" spans="1:10" x14ac:dyDescent="0.25">
      <c r="A137" s="11" t="s">
        <v>151</v>
      </c>
      <c r="B137" s="12" t="s">
        <v>13</v>
      </c>
      <c r="C137" s="13">
        <v>12</v>
      </c>
      <c r="D137" s="13">
        <v>3</v>
      </c>
      <c r="E137" s="13">
        <v>4</v>
      </c>
      <c r="F137" s="13">
        <v>1</v>
      </c>
      <c r="G137" s="13">
        <v>1</v>
      </c>
      <c r="H137" s="13">
        <v>0</v>
      </c>
      <c r="I137" s="13">
        <v>0</v>
      </c>
      <c r="J137" s="14">
        <v>0</v>
      </c>
    </row>
    <row r="138" spans="1:10" x14ac:dyDescent="0.25">
      <c r="A138" s="7" t="s">
        <v>152</v>
      </c>
      <c r="B138" s="8" t="s">
        <v>11</v>
      </c>
      <c r="C138" s="9">
        <v>8</v>
      </c>
      <c r="D138" s="9">
        <v>1</v>
      </c>
      <c r="E138" s="9">
        <v>0</v>
      </c>
      <c r="F138" s="9">
        <v>0</v>
      </c>
      <c r="G138" s="9">
        <v>0</v>
      </c>
      <c r="H138" s="9">
        <v>0</v>
      </c>
      <c r="I138" s="9">
        <v>0</v>
      </c>
      <c r="J138" s="10">
        <v>0</v>
      </c>
    </row>
    <row r="139" spans="1:10" x14ac:dyDescent="0.25">
      <c r="A139" s="15" t="s">
        <v>153</v>
      </c>
      <c r="B139" s="16" t="s">
        <v>22</v>
      </c>
      <c r="C139" s="2">
        <v>9</v>
      </c>
      <c r="D139" s="2">
        <v>395</v>
      </c>
      <c r="E139" s="2">
        <v>319</v>
      </c>
      <c r="F139" s="2">
        <v>296</v>
      </c>
      <c r="G139" s="2">
        <v>9</v>
      </c>
      <c r="H139" s="2">
        <v>78</v>
      </c>
      <c r="I139" s="2">
        <v>57</v>
      </c>
      <c r="J139" s="3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E32D6-B063-44B7-80AA-7F423F792B4C}">
  <dimension ref="A1:T139"/>
  <sheetViews>
    <sheetView tabSelected="1" workbookViewId="0">
      <selection activeCell="M2" sqref="M2:M139"/>
    </sheetView>
  </sheetViews>
  <sheetFormatPr defaultRowHeight="15" x14ac:dyDescent="0.25"/>
  <cols>
    <col min="1" max="1" width="37.5703125" bestFit="1" customWidth="1"/>
    <col min="2" max="2" width="13.28515625" bestFit="1" customWidth="1"/>
    <col min="3" max="3" width="11.85546875" bestFit="1" customWidth="1"/>
    <col min="4" max="4" width="7.7109375" bestFit="1" customWidth="1"/>
    <col min="5" max="5" width="10.140625" bestFit="1" customWidth="1"/>
    <col min="6" max="6" width="10.7109375" bestFit="1" customWidth="1"/>
    <col min="7" max="7" width="13.5703125" bestFit="1" customWidth="1"/>
    <col min="8" max="8" width="9.7109375" bestFit="1" customWidth="1"/>
    <col min="9" max="9" width="12.140625" bestFit="1" customWidth="1"/>
    <col min="10" max="10" width="12.7109375" bestFit="1" customWidth="1"/>
  </cols>
  <sheetData>
    <row r="1" spans="1:20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>
        <v>1</v>
      </c>
      <c r="L1">
        <v>2</v>
      </c>
      <c r="M1">
        <v>3</v>
      </c>
      <c r="N1">
        <v>4</v>
      </c>
    </row>
    <row r="2" spans="1:20" x14ac:dyDescent="0.25">
      <c r="A2" s="7" t="s">
        <v>10</v>
      </c>
      <c r="B2" s="8" t="s">
        <v>11</v>
      </c>
      <c r="C2" s="9">
        <v>13</v>
      </c>
      <c r="D2" s="9">
        <v>0</v>
      </c>
      <c r="E2" s="9">
        <v>0</v>
      </c>
      <c r="F2" s="9">
        <v>2</v>
      </c>
      <c r="G2" s="9">
        <v>0</v>
      </c>
      <c r="H2" s="9">
        <v>0</v>
      </c>
      <c r="I2" s="9">
        <v>0</v>
      </c>
      <c r="J2" s="10">
        <v>0</v>
      </c>
      <c r="K2">
        <f>IF(C2&gt;0,1,0)</f>
        <v>1</v>
      </c>
      <c r="L2">
        <f>IF(G2&gt;0,1,0)</f>
        <v>0</v>
      </c>
      <c r="M2">
        <f>IF(OR(D2&gt;0,E2&gt;0,F2&gt;0),1,0)</f>
        <v>1</v>
      </c>
      <c r="N2">
        <f>IF(AND(H2=0,I2=0,J2=0),1,0)</f>
        <v>1</v>
      </c>
      <c r="O2">
        <f>SUM(K2:N2)</f>
        <v>3</v>
      </c>
      <c r="P2">
        <f>IF(O2=4,SUM(D2:F2),0)</f>
        <v>0</v>
      </c>
      <c r="Q2">
        <f>IF(P2&gt;0,1,0)</f>
        <v>0</v>
      </c>
      <c r="R2" s="17">
        <f>SUM(P2:P139)</f>
        <v>1218</v>
      </c>
      <c r="T2">
        <f>SUM(Q2:Q139)</f>
        <v>54</v>
      </c>
    </row>
    <row r="3" spans="1:20" x14ac:dyDescent="0.25">
      <c r="A3" s="11" t="s">
        <v>12</v>
      </c>
      <c r="B3" s="12" t="s">
        <v>13</v>
      </c>
      <c r="C3" s="13">
        <v>12</v>
      </c>
      <c r="D3" s="13">
        <v>5</v>
      </c>
      <c r="E3" s="13">
        <v>2</v>
      </c>
      <c r="F3" s="13">
        <v>8</v>
      </c>
      <c r="G3" s="13">
        <v>3</v>
      </c>
      <c r="H3" s="13">
        <v>0</v>
      </c>
      <c r="I3" s="13">
        <v>0</v>
      </c>
      <c r="J3" s="14">
        <v>0</v>
      </c>
      <c r="K3">
        <f t="shared" ref="K3:K66" si="0">IF(C3&gt;0,1,0)</f>
        <v>1</v>
      </c>
      <c r="L3">
        <f t="shared" ref="L3:L66" si="1">IF(G3&gt;0,1,0)</f>
        <v>1</v>
      </c>
      <c r="M3">
        <f t="shared" ref="M3:M66" si="2">IF(OR(D3&gt;0,E3&gt;0,F3&gt;0),1,0)</f>
        <v>1</v>
      </c>
      <c r="N3">
        <f t="shared" ref="N3:N66" si="3">IF(AND(H3=0,I3=0,J3=0),1,0)</f>
        <v>1</v>
      </c>
      <c r="O3">
        <f t="shared" ref="O3:O66" si="4">SUM(K3:N3)</f>
        <v>4</v>
      </c>
      <c r="P3">
        <f t="shared" ref="P3:P66" si="5">IF(O3=4,SUM(D3:F3),0)</f>
        <v>15</v>
      </c>
      <c r="Q3">
        <f t="shared" ref="Q3:Q66" si="6">IF(P3&gt;0,1,0)</f>
        <v>1</v>
      </c>
    </row>
    <row r="4" spans="1:20" x14ac:dyDescent="0.25">
      <c r="A4" s="7" t="s">
        <v>14</v>
      </c>
      <c r="B4" s="8" t="s">
        <v>15</v>
      </c>
      <c r="C4" s="9">
        <v>13</v>
      </c>
      <c r="D4" s="9">
        <v>0</v>
      </c>
      <c r="E4" s="9">
        <v>1</v>
      </c>
      <c r="F4" s="9">
        <v>0</v>
      </c>
      <c r="G4" s="9">
        <v>2</v>
      </c>
      <c r="H4" s="9">
        <v>0</v>
      </c>
      <c r="I4" s="9">
        <v>0</v>
      </c>
      <c r="J4" s="10">
        <v>0</v>
      </c>
      <c r="K4">
        <f t="shared" si="0"/>
        <v>1</v>
      </c>
      <c r="L4">
        <f t="shared" si="1"/>
        <v>1</v>
      </c>
      <c r="M4">
        <f t="shared" si="2"/>
        <v>1</v>
      </c>
      <c r="N4">
        <f t="shared" si="3"/>
        <v>1</v>
      </c>
      <c r="O4">
        <f t="shared" si="4"/>
        <v>4</v>
      </c>
      <c r="P4">
        <f t="shared" si="5"/>
        <v>1</v>
      </c>
      <c r="Q4">
        <f t="shared" si="6"/>
        <v>1</v>
      </c>
    </row>
    <row r="5" spans="1:20" x14ac:dyDescent="0.25">
      <c r="A5" s="11" t="s">
        <v>16</v>
      </c>
      <c r="B5" s="12" t="s">
        <v>11</v>
      </c>
      <c r="C5" s="13">
        <v>10</v>
      </c>
      <c r="D5" s="13">
        <v>0</v>
      </c>
      <c r="E5" s="13">
        <v>1</v>
      </c>
      <c r="F5" s="13">
        <v>2</v>
      </c>
      <c r="G5" s="13">
        <v>0</v>
      </c>
      <c r="H5" s="13">
        <v>0</v>
      </c>
      <c r="I5" s="13">
        <v>0</v>
      </c>
      <c r="J5" s="14">
        <v>0</v>
      </c>
      <c r="K5">
        <f t="shared" si="0"/>
        <v>1</v>
      </c>
      <c r="L5">
        <f t="shared" si="1"/>
        <v>0</v>
      </c>
      <c r="M5">
        <f t="shared" si="2"/>
        <v>1</v>
      </c>
      <c r="N5">
        <f t="shared" si="3"/>
        <v>1</v>
      </c>
      <c r="O5">
        <f t="shared" si="4"/>
        <v>3</v>
      </c>
      <c r="P5">
        <f t="shared" si="5"/>
        <v>0</v>
      </c>
      <c r="Q5">
        <f t="shared" si="6"/>
        <v>0</v>
      </c>
    </row>
    <row r="6" spans="1:20" x14ac:dyDescent="0.25">
      <c r="A6" s="7" t="s">
        <v>17</v>
      </c>
      <c r="B6" s="8" t="s">
        <v>15</v>
      </c>
      <c r="C6" s="9">
        <v>23</v>
      </c>
      <c r="D6" s="9">
        <v>18</v>
      </c>
      <c r="E6" s="9">
        <v>24</v>
      </c>
      <c r="F6" s="9">
        <v>28</v>
      </c>
      <c r="G6" s="9">
        <v>18</v>
      </c>
      <c r="H6" s="9">
        <v>0</v>
      </c>
      <c r="I6" s="9">
        <v>0</v>
      </c>
      <c r="J6" s="10">
        <v>0</v>
      </c>
      <c r="K6">
        <f t="shared" si="0"/>
        <v>1</v>
      </c>
      <c r="L6">
        <f t="shared" si="1"/>
        <v>1</v>
      </c>
      <c r="M6">
        <f t="shared" si="2"/>
        <v>1</v>
      </c>
      <c r="N6">
        <f t="shared" si="3"/>
        <v>1</v>
      </c>
      <c r="O6">
        <f t="shared" si="4"/>
        <v>4</v>
      </c>
      <c r="P6">
        <f t="shared" si="5"/>
        <v>70</v>
      </c>
      <c r="Q6">
        <f t="shared" si="6"/>
        <v>1</v>
      </c>
    </row>
    <row r="7" spans="1:20" x14ac:dyDescent="0.25">
      <c r="A7" s="11" t="s">
        <v>18</v>
      </c>
      <c r="B7" s="12" t="s">
        <v>11</v>
      </c>
      <c r="C7" s="13">
        <v>5</v>
      </c>
      <c r="D7" s="13">
        <v>1</v>
      </c>
      <c r="E7" s="13">
        <v>2</v>
      </c>
      <c r="F7" s="13">
        <v>9</v>
      </c>
      <c r="G7" s="13">
        <v>6</v>
      </c>
      <c r="H7" s="13">
        <v>0</v>
      </c>
      <c r="I7" s="13">
        <v>0</v>
      </c>
      <c r="J7" s="14">
        <v>0</v>
      </c>
      <c r="K7">
        <f t="shared" si="0"/>
        <v>1</v>
      </c>
      <c r="L7">
        <f t="shared" si="1"/>
        <v>1</v>
      </c>
      <c r="M7">
        <f t="shared" si="2"/>
        <v>1</v>
      </c>
      <c r="N7">
        <f t="shared" si="3"/>
        <v>1</v>
      </c>
      <c r="O7">
        <f t="shared" si="4"/>
        <v>4</v>
      </c>
      <c r="P7">
        <f t="shared" si="5"/>
        <v>12</v>
      </c>
      <c r="Q7">
        <f t="shared" si="6"/>
        <v>1</v>
      </c>
    </row>
    <row r="8" spans="1:20" x14ac:dyDescent="0.25">
      <c r="A8" s="7" t="s">
        <v>19</v>
      </c>
      <c r="B8" s="8" t="s">
        <v>20</v>
      </c>
      <c r="C8" s="9">
        <v>25</v>
      </c>
      <c r="D8" s="9">
        <v>138</v>
      </c>
      <c r="E8" s="9">
        <v>153</v>
      </c>
      <c r="F8" s="9">
        <v>177</v>
      </c>
      <c r="G8" s="9">
        <v>18</v>
      </c>
      <c r="H8" s="9">
        <v>5</v>
      </c>
      <c r="I8" s="9">
        <v>3</v>
      </c>
      <c r="J8" s="10">
        <v>4</v>
      </c>
      <c r="K8">
        <f t="shared" si="0"/>
        <v>1</v>
      </c>
      <c r="L8">
        <f t="shared" si="1"/>
        <v>1</v>
      </c>
      <c r="M8">
        <f t="shared" si="2"/>
        <v>1</v>
      </c>
      <c r="N8">
        <f t="shared" si="3"/>
        <v>0</v>
      </c>
      <c r="O8">
        <f t="shared" si="4"/>
        <v>3</v>
      </c>
      <c r="P8">
        <f t="shared" si="5"/>
        <v>0</v>
      </c>
      <c r="Q8">
        <f t="shared" si="6"/>
        <v>0</v>
      </c>
    </row>
    <row r="9" spans="1:20" x14ac:dyDescent="0.25">
      <c r="A9" s="11" t="s">
        <v>21</v>
      </c>
      <c r="B9" s="12" t="s">
        <v>22</v>
      </c>
      <c r="C9" s="13">
        <v>26</v>
      </c>
      <c r="D9" s="13">
        <v>18</v>
      </c>
      <c r="E9" s="13">
        <v>33</v>
      </c>
      <c r="F9" s="13">
        <v>35</v>
      </c>
      <c r="G9" s="13">
        <v>22</v>
      </c>
      <c r="H9" s="13">
        <v>59</v>
      </c>
      <c r="I9" s="13">
        <v>78</v>
      </c>
      <c r="J9" s="14">
        <v>81</v>
      </c>
      <c r="K9">
        <f t="shared" si="0"/>
        <v>1</v>
      </c>
      <c r="L9">
        <f t="shared" si="1"/>
        <v>1</v>
      </c>
      <c r="M9">
        <f t="shared" si="2"/>
        <v>1</v>
      </c>
      <c r="N9">
        <f t="shared" si="3"/>
        <v>0</v>
      </c>
      <c r="O9">
        <f t="shared" si="4"/>
        <v>3</v>
      </c>
      <c r="P9">
        <f t="shared" si="5"/>
        <v>0</v>
      </c>
      <c r="Q9">
        <f t="shared" si="6"/>
        <v>0</v>
      </c>
    </row>
    <row r="10" spans="1:20" x14ac:dyDescent="0.25">
      <c r="A10" s="7" t="s">
        <v>23</v>
      </c>
      <c r="B10" s="8" t="s">
        <v>11</v>
      </c>
      <c r="C10" s="9">
        <v>5</v>
      </c>
      <c r="D10" s="9">
        <v>6</v>
      </c>
      <c r="E10" s="9">
        <v>5</v>
      </c>
      <c r="F10" s="9">
        <v>15</v>
      </c>
      <c r="G10" s="9">
        <v>5</v>
      </c>
      <c r="H10" s="9">
        <v>0</v>
      </c>
      <c r="I10" s="9">
        <v>0</v>
      </c>
      <c r="J10" s="10">
        <v>0</v>
      </c>
      <c r="K10">
        <f t="shared" si="0"/>
        <v>1</v>
      </c>
      <c r="L10">
        <f t="shared" si="1"/>
        <v>1</v>
      </c>
      <c r="M10">
        <f t="shared" si="2"/>
        <v>1</v>
      </c>
      <c r="N10">
        <f t="shared" si="3"/>
        <v>1</v>
      </c>
      <c r="O10">
        <f t="shared" si="4"/>
        <v>4</v>
      </c>
      <c r="P10">
        <f t="shared" si="5"/>
        <v>26</v>
      </c>
      <c r="Q10">
        <f t="shared" si="6"/>
        <v>1</v>
      </c>
    </row>
    <row r="11" spans="1:20" x14ac:dyDescent="0.25">
      <c r="A11" s="11" t="s">
        <v>24</v>
      </c>
      <c r="B11" s="12" t="s">
        <v>25</v>
      </c>
      <c r="C11" s="13">
        <v>15</v>
      </c>
      <c r="D11" s="13">
        <v>5</v>
      </c>
      <c r="E11" s="13">
        <v>2</v>
      </c>
      <c r="F11" s="13">
        <v>5</v>
      </c>
      <c r="G11" s="13">
        <v>0</v>
      </c>
      <c r="H11" s="13">
        <v>0</v>
      </c>
      <c r="I11" s="13">
        <v>0</v>
      </c>
      <c r="J11" s="14">
        <v>0</v>
      </c>
      <c r="K11">
        <f t="shared" si="0"/>
        <v>1</v>
      </c>
      <c r="L11">
        <f t="shared" si="1"/>
        <v>0</v>
      </c>
      <c r="M11">
        <f t="shared" si="2"/>
        <v>1</v>
      </c>
      <c r="N11">
        <f t="shared" si="3"/>
        <v>1</v>
      </c>
      <c r="O11">
        <f t="shared" si="4"/>
        <v>3</v>
      </c>
      <c r="P11">
        <f t="shared" si="5"/>
        <v>0</v>
      </c>
      <c r="Q11">
        <f t="shared" si="6"/>
        <v>0</v>
      </c>
    </row>
    <row r="12" spans="1:20" x14ac:dyDescent="0.25">
      <c r="A12" s="7" t="s">
        <v>26</v>
      </c>
      <c r="B12" s="8" t="s">
        <v>11</v>
      </c>
      <c r="C12" s="9">
        <v>8</v>
      </c>
      <c r="D12" s="9">
        <v>0</v>
      </c>
      <c r="E12" s="9">
        <v>0</v>
      </c>
      <c r="F12" s="9">
        <v>1</v>
      </c>
      <c r="G12" s="9">
        <v>0</v>
      </c>
      <c r="H12" s="9">
        <v>0</v>
      </c>
      <c r="I12" s="9">
        <v>0</v>
      </c>
      <c r="J12" s="10">
        <v>0</v>
      </c>
      <c r="K12">
        <f t="shared" si="0"/>
        <v>1</v>
      </c>
      <c r="L12">
        <f t="shared" si="1"/>
        <v>0</v>
      </c>
      <c r="M12">
        <f t="shared" si="2"/>
        <v>1</v>
      </c>
      <c r="N12">
        <f t="shared" si="3"/>
        <v>1</v>
      </c>
      <c r="O12">
        <f t="shared" si="4"/>
        <v>3</v>
      </c>
      <c r="P12">
        <f t="shared" si="5"/>
        <v>0</v>
      </c>
      <c r="Q12">
        <f t="shared" si="6"/>
        <v>0</v>
      </c>
    </row>
    <row r="13" spans="1:20" x14ac:dyDescent="0.25">
      <c r="A13" s="11" t="s">
        <v>27</v>
      </c>
      <c r="B13" s="12" t="s">
        <v>25</v>
      </c>
      <c r="C13" s="13">
        <v>11</v>
      </c>
      <c r="D13" s="13">
        <v>0</v>
      </c>
      <c r="E13" s="13">
        <v>0</v>
      </c>
      <c r="F13" s="13">
        <v>1</v>
      </c>
      <c r="G13" s="13">
        <v>0</v>
      </c>
      <c r="H13" s="13">
        <v>0</v>
      </c>
      <c r="I13" s="13">
        <v>0</v>
      </c>
      <c r="J13" s="14">
        <v>0</v>
      </c>
      <c r="K13">
        <f t="shared" si="0"/>
        <v>1</v>
      </c>
      <c r="L13">
        <f t="shared" si="1"/>
        <v>0</v>
      </c>
      <c r="M13">
        <f t="shared" si="2"/>
        <v>1</v>
      </c>
      <c r="N13">
        <f t="shared" si="3"/>
        <v>1</v>
      </c>
      <c r="O13">
        <f t="shared" si="4"/>
        <v>3</v>
      </c>
      <c r="P13">
        <f t="shared" si="5"/>
        <v>0</v>
      </c>
      <c r="Q13">
        <f t="shared" si="6"/>
        <v>0</v>
      </c>
    </row>
    <row r="14" spans="1:20" x14ac:dyDescent="0.25">
      <c r="A14" s="7" t="s">
        <v>28</v>
      </c>
      <c r="B14" s="8" t="s">
        <v>22</v>
      </c>
      <c r="C14" s="9">
        <v>25</v>
      </c>
      <c r="D14" s="9">
        <v>37</v>
      </c>
      <c r="E14" s="9">
        <v>52</v>
      </c>
      <c r="F14" s="9">
        <v>53</v>
      </c>
      <c r="G14" s="9">
        <v>20</v>
      </c>
      <c r="H14" s="9">
        <v>1</v>
      </c>
      <c r="I14" s="9">
        <v>1</v>
      </c>
      <c r="J14" s="10">
        <v>3</v>
      </c>
      <c r="K14">
        <f t="shared" si="0"/>
        <v>1</v>
      </c>
      <c r="L14">
        <f t="shared" si="1"/>
        <v>1</v>
      </c>
      <c r="M14">
        <f t="shared" si="2"/>
        <v>1</v>
      </c>
      <c r="N14">
        <f t="shared" si="3"/>
        <v>0</v>
      </c>
      <c r="O14">
        <f t="shared" si="4"/>
        <v>3</v>
      </c>
      <c r="P14">
        <f t="shared" si="5"/>
        <v>0</v>
      </c>
      <c r="Q14">
        <f t="shared" si="6"/>
        <v>0</v>
      </c>
    </row>
    <row r="15" spans="1:20" x14ac:dyDescent="0.25">
      <c r="A15" s="11" t="s">
        <v>29</v>
      </c>
      <c r="B15" s="12" t="s">
        <v>25</v>
      </c>
      <c r="C15" s="13">
        <v>17</v>
      </c>
      <c r="D15" s="13">
        <v>0</v>
      </c>
      <c r="E15" s="13">
        <v>0</v>
      </c>
      <c r="F15" s="13">
        <v>1</v>
      </c>
      <c r="G15" s="13">
        <v>7</v>
      </c>
      <c r="H15" s="13">
        <v>0</v>
      </c>
      <c r="I15" s="13">
        <v>0</v>
      </c>
      <c r="J15" s="14">
        <v>0</v>
      </c>
      <c r="K15">
        <f t="shared" si="0"/>
        <v>1</v>
      </c>
      <c r="L15">
        <f t="shared" si="1"/>
        <v>1</v>
      </c>
      <c r="M15">
        <f t="shared" si="2"/>
        <v>1</v>
      </c>
      <c r="N15">
        <f t="shared" si="3"/>
        <v>1</v>
      </c>
      <c r="O15">
        <f t="shared" si="4"/>
        <v>4</v>
      </c>
      <c r="P15">
        <f t="shared" si="5"/>
        <v>1</v>
      </c>
      <c r="Q15">
        <f t="shared" si="6"/>
        <v>1</v>
      </c>
    </row>
    <row r="16" spans="1:20" x14ac:dyDescent="0.25">
      <c r="A16" s="7" t="s">
        <v>30</v>
      </c>
      <c r="B16" s="8" t="s">
        <v>22</v>
      </c>
      <c r="C16" s="9">
        <v>5</v>
      </c>
      <c r="D16" s="9">
        <v>12</v>
      </c>
      <c r="E16" s="9">
        <v>24</v>
      </c>
      <c r="F16" s="9">
        <v>40</v>
      </c>
      <c r="G16" s="9">
        <v>6</v>
      </c>
      <c r="H16" s="9">
        <v>6</v>
      </c>
      <c r="I16" s="9">
        <v>4</v>
      </c>
      <c r="J16" s="10">
        <v>5</v>
      </c>
      <c r="K16">
        <f t="shared" si="0"/>
        <v>1</v>
      </c>
      <c r="L16">
        <f t="shared" si="1"/>
        <v>1</v>
      </c>
      <c r="M16">
        <f t="shared" si="2"/>
        <v>1</v>
      </c>
      <c r="N16">
        <f t="shared" si="3"/>
        <v>0</v>
      </c>
      <c r="O16">
        <f t="shared" si="4"/>
        <v>3</v>
      </c>
      <c r="P16">
        <f t="shared" si="5"/>
        <v>0</v>
      </c>
      <c r="Q16">
        <f t="shared" si="6"/>
        <v>0</v>
      </c>
    </row>
    <row r="17" spans="1:17" x14ac:dyDescent="0.25">
      <c r="A17" s="11" t="s">
        <v>31</v>
      </c>
      <c r="B17" s="12" t="s">
        <v>11</v>
      </c>
      <c r="C17" s="13">
        <v>9</v>
      </c>
      <c r="D17" s="13">
        <v>0</v>
      </c>
      <c r="E17" s="13">
        <v>1</v>
      </c>
      <c r="F17" s="13">
        <v>0</v>
      </c>
      <c r="G17" s="13">
        <v>0</v>
      </c>
      <c r="H17" s="13">
        <v>0</v>
      </c>
      <c r="I17" s="13">
        <v>0</v>
      </c>
      <c r="J17" s="14">
        <v>0</v>
      </c>
      <c r="K17">
        <f t="shared" si="0"/>
        <v>1</v>
      </c>
      <c r="L17">
        <f t="shared" si="1"/>
        <v>0</v>
      </c>
      <c r="M17">
        <f t="shared" si="2"/>
        <v>1</v>
      </c>
      <c r="N17">
        <f t="shared" si="3"/>
        <v>1</v>
      </c>
      <c r="O17">
        <f t="shared" si="4"/>
        <v>3</v>
      </c>
      <c r="P17">
        <f t="shared" si="5"/>
        <v>0</v>
      </c>
      <c r="Q17">
        <f t="shared" si="6"/>
        <v>0</v>
      </c>
    </row>
    <row r="18" spans="1:17" x14ac:dyDescent="0.25">
      <c r="A18" s="7" t="s">
        <v>32</v>
      </c>
      <c r="B18" s="8" t="s">
        <v>15</v>
      </c>
      <c r="C18" s="9">
        <v>21</v>
      </c>
      <c r="D18" s="9">
        <v>23</v>
      </c>
      <c r="E18" s="9">
        <v>30</v>
      </c>
      <c r="F18" s="9">
        <v>55</v>
      </c>
      <c r="G18" s="9">
        <v>7</v>
      </c>
      <c r="H18" s="9">
        <v>0</v>
      </c>
      <c r="I18" s="9">
        <v>0</v>
      </c>
      <c r="J18" s="10">
        <v>0</v>
      </c>
      <c r="K18">
        <f t="shared" si="0"/>
        <v>1</v>
      </c>
      <c r="L18">
        <f t="shared" si="1"/>
        <v>1</v>
      </c>
      <c r="M18">
        <f t="shared" si="2"/>
        <v>1</v>
      </c>
      <c r="N18">
        <f t="shared" si="3"/>
        <v>1</v>
      </c>
      <c r="O18">
        <f t="shared" si="4"/>
        <v>4</v>
      </c>
      <c r="P18">
        <f t="shared" si="5"/>
        <v>108</v>
      </c>
      <c r="Q18">
        <f t="shared" si="6"/>
        <v>1</v>
      </c>
    </row>
    <row r="19" spans="1:17" x14ac:dyDescent="0.25">
      <c r="A19" s="11" t="s">
        <v>33</v>
      </c>
      <c r="B19" s="12" t="s">
        <v>22</v>
      </c>
      <c r="C19" s="13">
        <v>19</v>
      </c>
      <c r="D19" s="13">
        <v>51</v>
      </c>
      <c r="E19" s="13">
        <v>85</v>
      </c>
      <c r="F19" s="13">
        <v>78</v>
      </c>
      <c r="G19" s="13">
        <v>19</v>
      </c>
      <c r="H19" s="13">
        <v>1</v>
      </c>
      <c r="I19" s="13">
        <v>2</v>
      </c>
      <c r="J19" s="14">
        <v>3</v>
      </c>
      <c r="K19">
        <f t="shared" si="0"/>
        <v>1</v>
      </c>
      <c r="L19">
        <f t="shared" si="1"/>
        <v>1</v>
      </c>
      <c r="M19">
        <f t="shared" si="2"/>
        <v>1</v>
      </c>
      <c r="N19">
        <f t="shared" si="3"/>
        <v>0</v>
      </c>
      <c r="O19">
        <f t="shared" si="4"/>
        <v>3</v>
      </c>
      <c r="P19">
        <f t="shared" si="5"/>
        <v>0</v>
      </c>
      <c r="Q19">
        <f t="shared" si="6"/>
        <v>0</v>
      </c>
    </row>
    <row r="20" spans="1:17" x14ac:dyDescent="0.25">
      <c r="A20" s="7" t="s">
        <v>34</v>
      </c>
      <c r="B20" s="8" t="s">
        <v>13</v>
      </c>
      <c r="C20" s="9">
        <v>5</v>
      </c>
      <c r="D20" s="9">
        <v>1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10">
        <v>0</v>
      </c>
      <c r="K20">
        <f t="shared" si="0"/>
        <v>1</v>
      </c>
      <c r="L20">
        <f t="shared" si="1"/>
        <v>0</v>
      </c>
      <c r="M20">
        <f t="shared" si="2"/>
        <v>1</v>
      </c>
      <c r="N20">
        <f t="shared" si="3"/>
        <v>1</v>
      </c>
      <c r="O20">
        <f t="shared" si="4"/>
        <v>3</v>
      </c>
      <c r="P20">
        <f t="shared" si="5"/>
        <v>0</v>
      </c>
      <c r="Q20">
        <f t="shared" si="6"/>
        <v>0</v>
      </c>
    </row>
    <row r="21" spans="1:17" x14ac:dyDescent="0.25">
      <c r="A21" s="11" t="s">
        <v>35</v>
      </c>
      <c r="B21" s="12" t="s">
        <v>15</v>
      </c>
      <c r="C21" s="13">
        <v>22</v>
      </c>
      <c r="D21" s="13">
        <v>2</v>
      </c>
      <c r="E21" s="13">
        <v>7</v>
      </c>
      <c r="F21" s="13">
        <v>4</v>
      </c>
      <c r="G21" s="13">
        <v>16</v>
      </c>
      <c r="H21" s="13">
        <v>0</v>
      </c>
      <c r="I21" s="13">
        <v>0</v>
      </c>
      <c r="J21" s="14">
        <v>0</v>
      </c>
      <c r="K21">
        <f t="shared" si="0"/>
        <v>1</v>
      </c>
      <c r="L21">
        <f t="shared" si="1"/>
        <v>1</v>
      </c>
      <c r="M21">
        <f t="shared" si="2"/>
        <v>1</v>
      </c>
      <c r="N21">
        <f t="shared" si="3"/>
        <v>1</v>
      </c>
      <c r="O21">
        <f t="shared" si="4"/>
        <v>4</v>
      </c>
      <c r="P21">
        <f t="shared" si="5"/>
        <v>13</v>
      </c>
      <c r="Q21">
        <f t="shared" si="6"/>
        <v>1</v>
      </c>
    </row>
    <row r="22" spans="1:17" x14ac:dyDescent="0.25">
      <c r="A22" s="7" t="s">
        <v>36</v>
      </c>
      <c r="B22" s="8" t="s">
        <v>11</v>
      </c>
      <c r="C22" s="9">
        <v>9</v>
      </c>
      <c r="D22" s="9">
        <v>201</v>
      </c>
      <c r="E22" s="9">
        <v>144</v>
      </c>
      <c r="F22" s="9">
        <v>128</v>
      </c>
      <c r="G22" s="9">
        <v>10</v>
      </c>
      <c r="H22" s="9">
        <v>12</v>
      </c>
      <c r="I22" s="9">
        <v>22</v>
      </c>
      <c r="J22" s="10">
        <v>19</v>
      </c>
      <c r="K22">
        <f t="shared" si="0"/>
        <v>1</v>
      </c>
      <c r="L22">
        <f t="shared" si="1"/>
        <v>1</v>
      </c>
      <c r="M22">
        <f t="shared" si="2"/>
        <v>1</v>
      </c>
      <c r="N22">
        <f t="shared" si="3"/>
        <v>0</v>
      </c>
      <c r="O22">
        <f t="shared" si="4"/>
        <v>3</v>
      </c>
      <c r="P22">
        <f t="shared" si="5"/>
        <v>0</v>
      </c>
      <c r="Q22">
        <f t="shared" si="6"/>
        <v>0</v>
      </c>
    </row>
    <row r="23" spans="1:17" x14ac:dyDescent="0.25">
      <c r="A23" s="11" t="s">
        <v>37</v>
      </c>
      <c r="B23" s="12" t="s">
        <v>22</v>
      </c>
      <c r="C23" s="13">
        <v>6</v>
      </c>
      <c r="D23" s="13">
        <v>6</v>
      </c>
      <c r="E23" s="13">
        <v>7</v>
      </c>
      <c r="F23" s="13">
        <v>10</v>
      </c>
      <c r="G23" s="13">
        <v>7</v>
      </c>
      <c r="H23" s="13">
        <v>4</v>
      </c>
      <c r="I23" s="13">
        <v>6</v>
      </c>
      <c r="J23" s="14">
        <v>1</v>
      </c>
      <c r="K23">
        <f t="shared" si="0"/>
        <v>1</v>
      </c>
      <c r="L23">
        <f t="shared" si="1"/>
        <v>1</v>
      </c>
      <c r="M23">
        <f t="shared" si="2"/>
        <v>1</v>
      </c>
      <c r="N23">
        <f t="shared" si="3"/>
        <v>0</v>
      </c>
      <c r="O23">
        <f t="shared" si="4"/>
        <v>3</v>
      </c>
      <c r="P23">
        <f t="shared" si="5"/>
        <v>0</v>
      </c>
      <c r="Q23">
        <f t="shared" si="6"/>
        <v>0</v>
      </c>
    </row>
    <row r="24" spans="1:17" x14ac:dyDescent="0.25">
      <c r="A24" s="7" t="s">
        <v>38</v>
      </c>
      <c r="B24" s="8" t="s">
        <v>22</v>
      </c>
      <c r="C24" s="9">
        <v>9</v>
      </c>
      <c r="D24" s="9">
        <v>0</v>
      </c>
      <c r="E24" s="9">
        <v>1</v>
      </c>
      <c r="F24" s="9">
        <v>0</v>
      </c>
      <c r="G24" s="9">
        <v>10</v>
      </c>
      <c r="H24" s="9">
        <v>0</v>
      </c>
      <c r="I24" s="9">
        <v>0</v>
      </c>
      <c r="J24" s="10">
        <v>0</v>
      </c>
      <c r="K24">
        <f t="shared" si="0"/>
        <v>1</v>
      </c>
      <c r="L24">
        <f t="shared" si="1"/>
        <v>1</v>
      </c>
      <c r="M24">
        <f t="shared" si="2"/>
        <v>1</v>
      </c>
      <c r="N24">
        <f t="shared" si="3"/>
        <v>1</v>
      </c>
      <c r="O24">
        <f t="shared" si="4"/>
        <v>4</v>
      </c>
      <c r="P24">
        <f t="shared" si="5"/>
        <v>1</v>
      </c>
      <c r="Q24">
        <f t="shared" si="6"/>
        <v>1</v>
      </c>
    </row>
    <row r="25" spans="1:17" x14ac:dyDescent="0.25">
      <c r="A25" s="11" t="s">
        <v>39</v>
      </c>
      <c r="B25" s="12" t="s">
        <v>22</v>
      </c>
      <c r="C25" s="13">
        <v>2</v>
      </c>
      <c r="D25" s="13">
        <v>0</v>
      </c>
      <c r="E25" s="13">
        <v>1</v>
      </c>
      <c r="F25" s="13">
        <v>0</v>
      </c>
      <c r="G25" s="13">
        <v>2</v>
      </c>
      <c r="H25" s="13">
        <v>0</v>
      </c>
      <c r="I25" s="13">
        <v>0</v>
      </c>
      <c r="J25" s="14">
        <v>0</v>
      </c>
      <c r="K25">
        <f t="shared" si="0"/>
        <v>1</v>
      </c>
      <c r="L25">
        <f t="shared" si="1"/>
        <v>1</v>
      </c>
      <c r="M25">
        <f t="shared" si="2"/>
        <v>1</v>
      </c>
      <c r="N25">
        <f t="shared" si="3"/>
        <v>1</v>
      </c>
      <c r="O25">
        <f t="shared" si="4"/>
        <v>4</v>
      </c>
      <c r="P25">
        <f t="shared" si="5"/>
        <v>1</v>
      </c>
      <c r="Q25">
        <f t="shared" si="6"/>
        <v>1</v>
      </c>
    </row>
    <row r="26" spans="1:17" x14ac:dyDescent="0.25">
      <c r="A26" s="7" t="s">
        <v>40</v>
      </c>
      <c r="B26" s="8" t="s">
        <v>22</v>
      </c>
      <c r="C26" s="9">
        <v>16</v>
      </c>
      <c r="D26" s="9">
        <v>49</v>
      </c>
      <c r="E26" s="9">
        <v>49</v>
      </c>
      <c r="F26" s="9">
        <v>45</v>
      </c>
      <c r="G26" s="9">
        <v>16</v>
      </c>
      <c r="H26" s="9">
        <v>2</v>
      </c>
      <c r="I26" s="9">
        <v>8</v>
      </c>
      <c r="J26" s="10">
        <v>15</v>
      </c>
      <c r="K26">
        <f t="shared" si="0"/>
        <v>1</v>
      </c>
      <c r="L26">
        <f t="shared" si="1"/>
        <v>1</v>
      </c>
      <c r="M26">
        <f t="shared" si="2"/>
        <v>1</v>
      </c>
      <c r="N26">
        <f t="shared" si="3"/>
        <v>0</v>
      </c>
      <c r="O26">
        <f t="shared" si="4"/>
        <v>3</v>
      </c>
      <c r="P26">
        <f t="shared" si="5"/>
        <v>0</v>
      </c>
      <c r="Q26">
        <f t="shared" si="6"/>
        <v>0</v>
      </c>
    </row>
    <row r="27" spans="1:17" x14ac:dyDescent="0.25">
      <c r="A27" s="11" t="s">
        <v>41</v>
      </c>
      <c r="B27" s="12" t="s">
        <v>22</v>
      </c>
      <c r="C27" s="13">
        <v>5</v>
      </c>
      <c r="D27" s="13">
        <v>14</v>
      </c>
      <c r="E27" s="13">
        <v>15</v>
      </c>
      <c r="F27" s="13">
        <v>15</v>
      </c>
      <c r="G27" s="13">
        <v>6</v>
      </c>
      <c r="H27" s="13">
        <v>7</v>
      </c>
      <c r="I27" s="13">
        <v>9</v>
      </c>
      <c r="J27" s="14">
        <v>8</v>
      </c>
      <c r="K27">
        <f t="shared" si="0"/>
        <v>1</v>
      </c>
      <c r="L27">
        <f t="shared" si="1"/>
        <v>1</v>
      </c>
      <c r="M27">
        <f t="shared" si="2"/>
        <v>1</v>
      </c>
      <c r="N27">
        <f t="shared" si="3"/>
        <v>0</v>
      </c>
      <c r="O27">
        <f t="shared" si="4"/>
        <v>3</v>
      </c>
      <c r="P27">
        <f t="shared" si="5"/>
        <v>0</v>
      </c>
      <c r="Q27">
        <f t="shared" si="6"/>
        <v>0</v>
      </c>
    </row>
    <row r="28" spans="1:17" x14ac:dyDescent="0.25">
      <c r="A28" s="7" t="s">
        <v>42</v>
      </c>
      <c r="B28" s="8" t="s">
        <v>22</v>
      </c>
      <c r="C28" s="9">
        <v>26</v>
      </c>
      <c r="D28" s="9">
        <v>43</v>
      </c>
      <c r="E28" s="9">
        <v>68</v>
      </c>
      <c r="F28" s="9">
        <v>68</v>
      </c>
      <c r="G28" s="9">
        <v>13</v>
      </c>
      <c r="H28" s="9">
        <v>0</v>
      </c>
      <c r="I28" s="9">
        <v>1</v>
      </c>
      <c r="J28" s="10">
        <v>0</v>
      </c>
      <c r="K28">
        <f t="shared" si="0"/>
        <v>1</v>
      </c>
      <c r="L28">
        <f t="shared" si="1"/>
        <v>1</v>
      </c>
      <c r="M28">
        <f t="shared" si="2"/>
        <v>1</v>
      </c>
      <c r="N28">
        <f t="shared" si="3"/>
        <v>0</v>
      </c>
      <c r="O28">
        <f t="shared" si="4"/>
        <v>3</v>
      </c>
      <c r="P28">
        <f t="shared" si="5"/>
        <v>0</v>
      </c>
      <c r="Q28">
        <f t="shared" si="6"/>
        <v>0</v>
      </c>
    </row>
    <row r="29" spans="1:17" x14ac:dyDescent="0.25">
      <c r="A29" s="11" t="s">
        <v>43</v>
      </c>
      <c r="B29" s="12" t="s">
        <v>25</v>
      </c>
      <c r="C29" s="13">
        <v>13</v>
      </c>
      <c r="D29" s="13">
        <v>3</v>
      </c>
      <c r="E29" s="13">
        <v>2</v>
      </c>
      <c r="F29" s="13">
        <v>1</v>
      </c>
      <c r="G29" s="13">
        <v>0</v>
      </c>
      <c r="H29" s="13">
        <v>0</v>
      </c>
      <c r="I29" s="13">
        <v>0</v>
      </c>
      <c r="J29" s="14">
        <v>0</v>
      </c>
      <c r="K29">
        <f t="shared" si="0"/>
        <v>1</v>
      </c>
      <c r="L29">
        <f t="shared" si="1"/>
        <v>0</v>
      </c>
      <c r="M29">
        <f t="shared" si="2"/>
        <v>1</v>
      </c>
      <c r="N29">
        <f t="shared" si="3"/>
        <v>1</v>
      </c>
      <c r="O29">
        <f t="shared" si="4"/>
        <v>3</v>
      </c>
      <c r="P29">
        <f t="shared" si="5"/>
        <v>0</v>
      </c>
      <c r="Q29">
        <f t="shared" si="6"/>
        <v>0</v>
      </c>
    </row>
    <row r="30" spans="1:17" x14ac:dyDescent="0.25">
      <c r="A30" s="7" t="s">
        <v>44</v>
      </c>
      <c r="B30" s="8" t="s">
        <v>13</v>
      </c>
      <c r="C30" s="9">
        <v>7</v>
      </c>
      <c r="D30" s="9">
        <v>0</v>
      </c>
      <c r="E30" s="9">
        <v>0</v>
      </c>
      <c r="F30" s="9">
        <v>1</v>
      </c>
      <c r="G30" s="9">
        <v>0</v>
      </c>
      <c r="H30" s="9">
        <v>0</v>
      </c>
      <c r="I30" s="9">
        <v>0</v>
      </c>
      <c r="J30" s="10">
        <v>0</v>
      </c>
      <c r="K30">
        <f t="shared" si="0"/>
        <v>1</v>
      </c>
      <c r="L30">
        <f t="shared" si="1"/>
        <v>0</v>
      </c>
      <c r="M30">
        <f t="shared" si="2"/>
        <v>1</v>
      </c>
      <c r="N30">
        <f t="shared" si="3"/>
        <v>1</v>
      </c>
      <c r="O30">
        <f t="shared" si="4"/>
        <v>3</v>
      </c>
      <c r="P30">
        <f t="shared" si="5"/>
        <v>0</v>
      </c>
      <c r="Q30">
        <f t="shared" si="6"/>
        <v>0</v>
      </c>
    </row>
    <row r="31" spans="1:17" x14ac:dyDescent="0.25">
      <c r="A31" s="11" t="s">
        <v>45</v>
      </c>
      <c r="B31" s="12" t="s">
        <v>13</v>
      </c>
      <c r="C31" s="13">
        <v>21</v>
      </c>
      <c r="D31" s="13">
        <v>7</v>
      </c>
      <c r="E31" s="13">
        <v>9</v>
      </c>
      <c r="F31" s="13">
        <v>10</v>
      </c>
      <c r="G31" s="13">
        <v>1</v>
      </c>
      <c r="H31" s="13">
        <v>0</v>
      </c>
      <c r="I31" s="13">
        <v>0</v>
      </c>
      <c r="J31" s="14">
        <v>0</v>
      </c>
      <c r="K31">
        <f t="shared" si="0"/>
        <v>1</v>
      </c>
      <c r="L31">
        <f t="shared" si="1"/>
        <v>1</v>
      </c>
      <c r="M31">
        <f t="shared" si="2"/>
        <v>1</v>
      </c>
      <c r="N31">
        <f t="shared" si="3"/>
        <v>1</v>
      </c>
      <c r="O31">
        <f t="shared" si="4"/>
        <v>4</v>
      </c>
      <c r="P31">
        <f t="shared" si="5"/>
        <v>26</v>
      </c>
      <c r="Q31">
        <f t="shared" si="6"/>
        <v>1</v>
      </c>
    </row>
    <row r="32" spans="1:17" x14ac:dyDescent="0.25">
      <c r="A32" s="7" t="s">
        <v>46</v>
      </c>
      <c r="B32" s="8" t="s">
        <v>15</v>
      </c>
      <c r="C32" s="9">
        <v>13</v>
      </c>
      <c r="D32" s="9">
        <v>1</v>
      </c>
      <c r="E32" s="9">
        <v>1</v>
      </c>
      <c r="F32" s="9">
        <v>0</v>
      </c>
      <c r="G32" s="9">
        <v>0</v>
      </c>
      <c r="H32" s="9">
        <v>0</v>
      </c>
      <c r="I32" s="9">
        <v>0</v>
      </c>
      <c r="J32" s="10">
        <v>0</v>
      </c>
      <c r="K32">
        <f t="shared" si="0"/>
        <v>1</v>
      </c>
      <c r="L32">
        <f t="shared" si="1"/>
        <v>0</v>
      </c>
      <c r="M32">
        <f t="shared" si="2"/>
        <v>1</v>
      </c>
      <c r="N32">
        <f t="shared" si="3"/>
        <v>1</v>
      </c>
      <c r="O32">
        <f t="shared" si="4"/>
        <v>3</v>
      </c>
      <c r="P32">
        <f t="shared" si="5"/>
        <v>0</v>
      </c>
      <c r="Q32">
        <f t="shared" si="6"/>
        <v>0</v>
      </c>
    </row>
    <row r="33" spans="1:17" x14ac:dyDescent="0.25">
      <c r="A33" s="11" t="s">
        <v>47</v>
      </c>
      <c r="B33" s="12" t="s">
        <v>13</v>
      </c>
      <c r="C33" s="13">
        <v>4</v>
      </c>
      <c r="D33" s="13">
        <v>0</v>
      </c>
      <c r="E33" s="13">
        <v>0</v>
      </c>
      <c r="F33" s="13">
        <v>1</v>
      </c>
      <c r="G33" s="13">
        <v>0</v>
      </c>
      <c r="H33" s="13">
        <v>0</v>
      </c>
      <c r="I33" s="13">
        <v>0</v>
      </c>
      <c r="J33" s="14">
        <v>0</v>
      </c>
      <c r="K33">
        <f t="shared" si="0"/>
        <v>1</v>
      </c>
      <c r="L33">
        <f t="shared" si="1"/>
        <v>0</v>
      </c>
      <c r="M33">
        <f t="shared" si="2"/>
        <v>1</v>
      </c>
      <c r="N33">
        <f t="shared" si="3"/>
        <v>1</v>
      </c>
      <c r="O33">
        <f t="shared" si="4"/>
        <v>3</v>
      </c>
      <c r="P33">
        <f t="shared" si="5"/>
        <v>0</v>
      </c>
      <c r="Q33">
        <f t="shared" si="6"/>
        <v>0</v>
      </c>
    </row>
    <row r="34" spans="1:17" x14ac:dyDescent="0.25">
      <c r="A34" s="7" t="s">
        <v>48</v>
      </c>
      <c r="B34" s="8" t="s">
        <v>22</v>
      </c>
      <c r="C34" s="9">
        <v>11</v>
      </c>
      <c r="D34" s="9">
        <v>9</v>
      </c>
      <c r="E34" s="9">
        <v>9</v>
      </c>
      <c r="F34" s="9">
        <v>15</v>
      </c>
      <c r="G34" s="9">
        <v>9</v>
      </c>
      <c r="H34" s="9">
        <v>4</v>
      </c>
      <c r="I34" s="9">
        <v>2</v>
      </c>
      <c r="J34" s="10">
        <v>1</v>
      </c>
      <c r="K34">
        <f t="shared" si="0"/>
        <v>1</v>
      </c>
      <c r="L34">
        <f t="shared" si="1"/>
        <v>1</v>
      </c>
      <c r="M34">
        <f t="shared" si="2"/>
        <v>1</v>
      </c>
      <c r="N34">
        <f t="shared" si="3"/>
        <v>0</v>
      </c>
      <c r="O34">
        <f t="shared" si="4"/>
        <v>3</v>
      </c>
      <c r="P34">
        <f t="shared" si="5"/>
        <v>0</v>
      </c>
      <c r="Q34">
        <f t="shared" si="6"/>
        <v>0</v>
      </c>
    </row>
    <row r="35" spans="1:17" x14ac:dyDescent="0.25">
      <c r="A35" s="11" t="s">
        <v>49</v>
      </c>
      <c r="B35" s="12" t="s">
        <v>13</v>
      </c>
      <c r="C35" s="13">
        <v>12</v>
      </c>
      <c r="D35" s="13">
        <v>21</v>
      </c>
      <c r="E35" s="13">
        <v>7</v>
      </c>
      <c r="F35" s="13">
        <v>17</v>
      </c>
      <c r="G35" s="13">
        <v>2</v>
      </c>
      <c r="H35" s="13">
        <v>0</v>
      </c>
      <c r="I35" s="13">
        <v>0</v>
      </c>
      <c r="J35" s="14">
        <v>0</v>
      </c>
      <c r="K35">
        <f t="shared" si="0"/>
        <v>1</v>
      </c>
      <c r="L35">
        <f t="shared" si="1"/>
        <v>1</v>
      </c>
      <c r="M35">
        <f t="shared" si="2"/>
        <v>1</v>
      </c>
      <c r="N35">
        <f t="shared" si="3"/>
        <v>1</v>
      </c>
      <c r="O35">
        <f t="shared" si="4"/>
        <v>4</v>
      </c>
      <c r="P35">
        <f t="shared" si="5"/>
        <v>45</v>
      </c>
      <c r="Q35">
        <f t="shared" si="6"/>
        <v>1</v>
      </c>
    </row>
    <row r="36" spans="1:17" x14ac:dyDescent="0.25">
      <c r="A36" s="7" t="s">
        <v>50</v>
      </c>
      <c r="B36" s="8" t="s">
        <v>11</v>
      </c>
      <c r="C36" s="9">
        <v>20</v>
      </c>
      <c r="D36" s="9">
        <v>0</v>
      </c>
      <c r="E36" s="9">
        <v>2</v>
      </c>
      <c r="F36" s="9">
        <v>7</v>
      </c>
      <c r="G36" s="9">
        <v>4</v>
      </c>
      <c r="H36" s="9">
        <v>0</v>
      </c>
      <c r="I36" s="9">
        <v>0</v>
      </c>
      <c r="J36" s="10">
        <v>0</v>
      </c>
      <c r="K36">
        <f t="shared" si="0"/>
        <v>1</v>
      </c>
      <c r="L36">
        <f t="shared" si="1"/>
        <v>1</v>
      </c>
      <c r="M36">
        <f t="shared" si="2"/>
        <v>1</v>
      </c>
      <c r="N36">
        <f t="shared" si="3"/>
        <v>1</v>
      </c>
      <c r="O36">
        <f t="shared" si="4"/>
        <v>4</v>
      </c>
      <c r="P36">
        <f t="shared" si="5"/>
        <v>9</v>
      </c>
      <c r="Q36">
        <f t="shared" si="6"/>
        <v>1</v>
      </c>
    </row>
    <row r="37" spans="1:17" x14ac:dyDescent="0.25">
      <c r="A37" s="11" t="s">
        <v>51</v>
      </c>
      <c r="B37" s="12" t="s">
        <v>22</v>
      </c>
      <c r="C37" s="13">
        <v>24</v>
      </c>
      <c r="D37" s="13">
        <v>101</v>
      </c>
      <c r="E37" s="13">
        <v>84</v>
      </c>
      <c r="F37" s="13">
        <v>117</v>
      </c>
      <c r="G37" s="13">
        <v>22</v>
      </c>
      <c r="H37" s="13">
        <v>42</v>
      </c>
      <c r="I37" s="13">
        <v>62</v>
      </c>
      <c r="J37" s="14">
        <v>56</v>
      </c>
      <c r="K37">
        <f t="shared" si="0"/>
        <v>1</v>
      </c>
      <c r="L37">
        <f t="shared" si="1"/>
        <v>1</v>
      </c>
      <c r="M37">
        <f t="shared" si="2"/>
        <v>1</v>
      </c>
      <c r="N37">
        <f t="shared" si="3"/>
        <v>0</v>
      </c>
      <c r="O37">
        <f t="shared" si="4"/>
        <v>3</v>
      </c>
      <c r="P37">
        <f t="shared" si="5"/>
        <v>0</v>
      </c>
      <c r="Q37">
        <f t="shared" si="6"/>
        <v>0</v>
      </c>
    </row>
    <row r="38" spans="1:17" x14ac:dyDescent="0.25">
      <c r="A38" s="7" t="s">
        <v>52</v>
      </c>
      <c r="B38" s="8" t="s">
        <v>22</v>
      </c>
      <c r="C38" s="9">
        <v>27</v>
      </c>
      <c r="D38" s="9">
        <v>202</v>
      </c>
      <c r="E38" s="9">
        <v>223</v>
      </c>
      <c r="F38" s="9">
        <v>246</v>
      </c>
      <c r="G38" s="9">
        <v>22</v>
      </c>
      <c r="H38" s="9">
        <v>31</v>
      </c>
      <c r="I38" s="9">
        <v>31</v>
      </c>
      <c r="J38" s="10">
        <v>47</v>
      </c>
      <c r="K38">
        <f t="shared" si="0"/>
        <v>1</v>
      </c>
      <c r="L38">
        <f t="shared" si="1"/>
        <v>1</v>
      </c>
      <c r="M38">
        <f t="shared" si="2"/>
        <v>1</v>
      </c>
      <c r="N38">
        <f t="shared" si="3"/>
        <v>0</v>
      </c>
      <c r="O38">
        <f t="shared" si="4"/>
        <v>3</v>
      </c>
      <c r="P38">
        <f t="shared" si="5"/>
        <v>0</v>
      </c>
      <c r="Q38">
        <f t="shared" si="6"/>
        <v>0</v>
      </c>
    </row>
    <row r="39" spans="1:17" x14ac:dyDescent="0.25">
      <c r="A39" s="11" t="s">
        <v>53</v>
      </c>
      <c r="B39" s="12" t="s">
        <v>13</v>
      </c>
      <c r="C39" s="13">
        <v>9</v>
      </c>
      <c r="D39" s="13">
        <v>0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4">
        <v>0</v>
      </c>
      <c r="K39">
        <f t="shared" si="0"/>
        <v>1</v>
      </c>
      <c r="L39">
        <f t="shared" si="1"/>
        <v>0</v>
      </c>
      <c r="M39">
        <f t="shared" si="2"/>
        <v>1</v>
      </c>
      <c r="N39">
        <f t="shared" si="3"/>
        <v>1</v>
      </c>
      <c r="O39">
        <f t="shared" si="4"/>
        <v>3</v>
      </c>
      <c r="P39">
        <f t="shared" si="5"/>
        <v>0</v>
      </c>
      <c r="Q39">
        <f t="shared" si="6"/>
        <v>0</v>
      </c>
    </row>
    <row r="40" spans="1:17" x14ac:dyDescent="0.25">
      <c r="A40" s="7" t="s">
        <v>54</v>
      </c>
      <c r="B40" s="8" t="s">
        <v>13</v>
      </c>
      <c r="C40" s="9">
        <v>13</v>
      </c>
      <c r="D40" s="9">
        <v>0</v>
      </c>
      <c r="E40" s="9">
        <v>1</v>
      </c>
      <c r="F40" s="9">
        <v>3</v>
      </c>
      <c r="G40" s="9">
        <v>1</v>
      </c>
      <c r="H40" s="9">
        <v>0</v>
      </c>
      <c r="I40" s="9">
        <v>0</v>
      </c>
      <c r="J40" s="10">
        <v>0</v>
      </c>
      <c r="K40">
        <f t="shared" si="0"/>
        <v>1</v>
      </c>
      <c r="L40">
        <f t="shared" si="1"/>
        <v>1</v>
      </c>
      <c r="M40">
        <f t="shared" si="2"/>
        <v>1</v>
      </c>
      <c r="N40">
        <f t="shared" si="3"/>
        <v>1</v>
      </c>
      <c r="O40">
        <f t="shared" si="4"/>
        <v>4</v>
      </c>
      <c r="P40">
        <f t="shared" si="5"/>
        <v>4</v>
      </c>
      <c r="Q40">
        <f t="shared" si="6"/>
        <v>1</v>
      </c>
    </row>
    <row r="41" spans="1:17" x14ac:dyDescent="0.25">
      <c r="A41" s="11" t="s">
        <v>55</v>
      </c>
      <c r="B41" s="12" t="s">
        <v>22</v>
      </c>
      <c r="C41" s="13">
        <v>27</v>
      </c>
      <c r="D41" s="13">
        <v>30</v>
      </c>
      <c r="E41" s="13">
        <v>42</v>
      </c>
      <c r="F41" s="13">
        <v>38</v>
      </c>
      <c r="G41" s="13">
        <v>18</v>
      </c>
      <c r="H41" s="13">
        <v>0</v>
      </c>
      <c r="I41" s="13">
        <v>0</v>
      </c>
      <c r="J41" s="14">
        <v>0</v>
      </c>
      <c r="K41">
        <f t="shared" si="0"/>
        <v>1</v>
      </c>
      <c r="L41">
        <f t="shared" si="1"/>
        <v>1</v>
      </c>
      <c r="M41">
        <f t="shared" si="2"/>
        <v>1</v>
      </c>
      <c r="N41">
        <f t="shared" si="3"/>
        <v>1</v>
      </c>
      <c r="O41">
        <f t="shared" si="4"/>
        <v>4</v>
      </c>
      <c r="P41">
        <f t="shared" si="5"/>
        <v>110</v>
      </c>
      <c r="Q41">
        <f t="shared" si="6"/>
        <v>1</v>
      </c>
    </row>
    <row r="42" spans="1:17" x14ac:dyDescent="0.25">
      <c r="A42" s="7" t="s">
        <v>56</v>
      </c>
      <c r="B42" s="8" t="s">
        <v>11</v>
      </c>
      <c r="C42" s="9">
        <v>5</v>
      </c>
      <c r="D42" s="9">
        <v>6</v>
      </c>
      <c r="E42" s="9">
        <v>5</v>
      </c>
      <c r="F42" s="9">
        <v>14</v>
      </c>
      <c r="G42" s="9">
        <v>6</v>
      </c>
      <c r="H42" s="9">
        <v>0</v>
      </c>
      <c r="I42" s="9">
        <v>0</v>
      </c>
      <c r="J42" s="10">
        <v>0</v>
      </c>
      <c r="K42">
        <f t="shared" si="0"/>
        <v>1</v>
      </c>
      <c r="L42">
        <f t="shared" si="1"/>
        <v>1</v>
      </c>
      <c r="M42">
        <f t="shared" si="2"/>
        <v>1</v>
      </c>
      <c r="N42">
        <f t="shared" si="3"/>
        <v>1</v>
      </c>
      <c r="O42">
        <f t="shared" si="4"/>
        <v>4</v>
      </c>
      <c r="P42">
        <f t="shared" si="5"/>
        <v>25</v>
      </c>
      <c r="Q42">
        <f t="shared" si="6"/>
        <v>1</v>
      </c>
    </row>
    <row r="43" spans="1:17" x14ac:dyDescent="0.25">
      <c r="A43" s="11" t="s">
        <v>57</v>
      </c>
      <c r="B43" s="12" t="s">
        <v>15</v>
      </c>
      <c r="C43" s="13">
        <v>16</v>
      </c>
      <c r="D43" s="13">
        <v>0</v>
      </c>
      <c r="E43" s="13">
        <v>0</v>
      </c>
      <c r="F43" s="13">
        <v>1</v>
      </c>
      <c r="G43" s="13">
        <v>0</v>
      </c>
      <c r="H43" s="13">
        <v>0</v>
      </c>
      <c r="I43" s="13">
        <v>0</v>
      </c>
      <c r="J43" s="14">
        <v>0</v>
      </c>
      <c r="K43">
        <f t="shared" si="0"/>
        <v>1</v>
      </c>
      <c r="L43">
        <f t="shared" si="1"/>
        <v>0</v>
      </c>
      <c r="M43">
        <f t="shared" si="2"/>
        <v>1</v>
      </c>
      <c r="N43">
        <f t="shared" si="3"/>
        <v>1</v>
      </c>
      <c r="O43">
        <f t="shared" si="4"/>
        <v>3</v>
      </c>
      <c r="P43">
        <f t="shared" si="5"/>
        <v>0</v>
      </c>
      <c r="Q43">
        <f t="shared" si="6"/>
        <v>0</v>
      </c>
    </row>
    <row r="44" spans="1:17" x14ac:dyDescent="0.25">
      <c r="A44" s="7" t="s">
        <v>58</v>
      </c>
      <c r="B44" s="8" t="s">
        <v>25</v>
      </c>
      <c r="C44" s="9">
        <v>14</v>
      </c>
      <c r="D44" s="9">
        <v>0</v>
      </c>
      <c r="E44" s="9">
        <v>1</v>
      </c>
      <c r="F44" s="9">
        <v>1</v>
      </c>
      <c r="G44" s="9">
        <v>0</v>
      </c>
      <c r="H44" s="9">
        <v>0</v>
      </c>
      <c r="I44" s="9">
        <v>0</v>
      </c>
      <c r="J44" s="10">
        <v>0</v>
      </c>
      <c r="K44">
        <f t="shared" si="0"/>
        <v>1</v>
      </c>
      <c r="L44">
        <f t="shared" si="1"/>
        <v>0</v>
      </c>
      <c r="M44">
        <f t="shared" si="2"/>
        <v>1</v>
      </c>
      <c r="N44">
        <f t="shared" si="3"/>
        <v>1</v>
      </c>
      <c r="O44">
        <f t="shared" si="4"/>
        <v>3</v>
      </c>
      <c r="P44">
        <f t="shared" si="5"/>
        <v>0</v>
      </c>
      <c r="Q44">
        <f t="shared" si="6"/>
        <v>0</v>
      </c>
    </row>
    <row r="45" spans="1:17" x14ac:dyDescent="0.25">
      <c r="A45" s="11" t="s">
        <v>59</v>
      </c>
      <c r="B45" s="12" t="s">
        <v>22</v>
      </c>
      <c r="C45" s="13">
        <v>22</v>
      </c>
      <c r="D45" s="13">
        <v>37</v>
      </c>
      <c r="E45" s="13">
        <v>59</v>
      </c>
      <c r="F45" s="13">
        <v>35</v>
      </c>
      <c r="G45" s="13">
        <v>19</v>
      </c>
      <c r="H45" s="13">
        <v>1</v>
      </c>
      <c r="I45" s="13">
        <v>0</v>
      </c>
      <c r="J45" s="14">
        <v>1</v>
      </c>
      <c r="K45">
        <f t="shared" si="0"/>
        <v>1</v>
      </c>
      <c r="L45">
        <f t="shared" si="1"/>
        <v>1</v>
      </c>
      <c r="M45">
        <f t="shared" si="2"/>
        <v>1</v>
      </c>
      <c r="N45">
        <f t="shared" si="3"/>
        <v>0</v>
      </c>
      <c r="O45">
        <f t="shared" si="4"/>
        <v>3</v>
      </c>
      <c r="P45">
        <f t="shared" si="5"/>
        <v>0</v>
      </c>
      <c r="Q45">
        <f t="shared" si="6"/>
        <v>0</v>
      </c>
    </row>
    <row r="46" spans="1:17" x14ac:dyDescent="0.25">
      <c r="A46" s="7" t="s">
        <v>60</v>
      </c>
      <c r="B46" s="8" t="s">
        <v>22</v>
      </c>
      <c r="C46" s="9">
        <v>25</v>
      </c>
      <c r="D46" s="9">
        <v>77</v>
      </c>
      <c r="E46" s="9">
        <v>85</v>
      </c>
      <c r="F46" s="9">
        <v>104</v>
      </c>
      <c r="G46" s="9">
        <v>20</v>
      </c>
      <c r="H46" s="9">
        <v>37</v>
      </c>
      <c r="I46" s="9">
        <v>38</v>
      </c>
      <c r="J46" s="10">
        <v>35</v>
      </c>
      <c r="K46">
        <f t="shared" si="0"/>
        <v>1</v>
      </c>
      <c r="L46">
        <f t="shared" si="1"/>
        <v>1</v>
      </c>
      <c r="M46">
        <f t="shared" si="2"/>
        <v>1</v>
      </c>
      <c r="N46">
        <f t="shared" si="3"/>
        <v>0</v>
      </c>
      <c r="O46">
        <f t="shared" si="4"/>
        <v>3</v>
      </c>
      <c r="P46">
        <f t="shared" si="5"/>
        <v>0</v>
      </c>
      <c r="Q46">
        <f t="shared" si="6"/>
        <v>0</v>
      </c>
    </row>
    <row r="47" spans="1:17" x14ac:dyDescent="0.25">
      <c r="A47" s="11" t="s">
        <v>61</v>
      </c>
      <c r="B47" s="12" t="s">
        <v>11</v>
      </c>
      <c r="C47" s="13">
        <v>15</v>
      </c>
      <c r="D47" s="13">
        <v>1</v>
      </c>
      <c r="E47" s="13">
        <v>1</v>
      </c>
      <c r="F47" s="13">
        <v>1</v>
      </c>
      <c r="G47" s="13">
        <v>4</v>
      </c>
      <c r="H47" s="13">
        <v>0</v>
      </c>
      <c r="I47" s="13">
        <v>0</v>
      </c>
      <c r="J47" s="14">
        <v>0</v>
      </c>
      <c r="K47">
        <f t="shared" si="0"/>
        <v>1</v>
      </c>
      <c r="L47">
        <f t="shared" si="1"/>
        <v>1</v>
      </c>
      <c r="M47">
        <f t="shared" si="2"/>
        <v>1</v>
      </c>
      <c r="N47">
        <f t="shared" si="3"/>
        <v>1</v>
      </c>
      <c r="O47">
        <f t="shared" si="4"/>
        <v>4</v>
      </c>
      <c r="P47">
        <f t="shared" si="5"/>
        <v>3</v>
      </c>
      <c r="Q47">
        <f t="shared" si="6"/>
        <v>1</v>
      </c>
    </row>
    <row r="48" spans="1:17" x14ac:dyDescent="0.25">
      <c r="A48" s="7" t="s">
        <v>62</v>
      </c>
      <c r="B48" s="8" t="s">
        <v>11</v>
      </c>
      <c r="C48" s="9">
        <v>23</v>
      </c>
      <c r="D48" s="9">
        <v>9</v>
      </c>
      <c r="E48" s="9">
        <v>6</v>
      </c>
      <c r="F48" s="9">
        <v>11</v>
      </c>
      <c r="G48" s="9">
        <v>9</v>
      </c>
      <c r="H48" s="9">
        <v>0</v>
      </c>
      <c r="I48" s="9">
        <v>0</v>
      </c>
      <c r="J48" s="10">
        <v>0</v>
      </c>
      <c r="K48">
        <f t="shared" si="0"/>
        <v>1</v>
      </c>
      <c r="L48">
        <f t="shared" si="1"/>
        <v>1</v>
      </c>
      <c r="M48">
        <f t="shared" si="2"/>
        <v>1</v>
      </c>
      <c r="N48">
        <f t="shared" si="3"/>
        <v>1</v>
      </c>
      <c r="O48">
        <f t="shared" si="4"/>
        <v>4</v>
      </c>
      <c r="P48">
        <f t="shared" si="5"/>
        <v>26</v>
      </c>
      <c r="Q48">
        <f t="shared" si="6"/>
        <v>1</v>
      </c>
    </row>
    <row r="49" spans="1:17" x14ac:dyDescent="0.25">
      <c r="A49" s="11" t="s">
        <v>63</v>
      </c>
      <c r="B49" s="12" t="s">
        <v>11</v>
      </c>
      <c r="C49" s="13">
        <v>14</v>
      </c>
      <c r="D49" s="13">
        <v>6</v>
      </c>
      <c r="E49" s="13">
        <v>10</v>
      </c>
      <c r="F49" s="13">
        <v>11</v>
      </c>
      <c r="G49" s="13">
        <v>0</v>
      </c>
      <c r="H49" s="13">
        <v>0</v>
      </c>
      <c r="I49" s="13">
        <v>0</v>
      </c>
      <c r="J49" s="14">
        <v>0</v>
      </c>
      <c r="K49">
        <f t="shared" si="0"/>
        <v>1</v>
      </c>
      <c r="L49">
        <f t="shared" si="1"/>
        <v>0</v>
      </c>
      <c r="M49">
        <f t="shared" si="2"/>
        <v>1</v>
      </c>
      <c r="N49">
        <f t="shared" si="3"/>
        <v>1</v>
      </c>
      <c r="O49">
        <f t="shared" si="4"/>
        <v>3</v>
      </c>
      <c r="P49">
        <f t="shared" si="5"/>
        <v>0</v>
      </c>
      <c r="Q49">
        <f t="shared" si="6"/>
        <v>0</v>
      </c>
    </row>
    <row r="50" spans="1:17" x14ac:dyDescent="0.25">
      <c r="A50" s="7" t="s">
        <v>64</v>
      </c>
      <c r="B50" s="8" t="s">
        <v>11</v>
      </c>
      <c r="C50" s="9">
        <v>13</v>
      </c>
      <c r="D50" s="9">
        <v>0</v>
      </c>
      <c r="E50" s="9">
        <v>0</v>
      </c>
      <c r="F50" s="9">
        <v>1</v>
      </c>
      <c r="G50" s="9">
        <v>0</v>
      </c>
      <c r="H50" s="9">
        <v>0</v>
      </c>
      <c r="I50" s="9">
        <v>0</v>
      </c>
      <c r="J50" s="10">
        <v>0</v>
      </c>
      <c r="K50">
        <f t="shared" si="0"/>
        <v>1</v>
      </c>
      <c r="L50">
        <f t="shared" si="1"/>
        <v>0</v>
      </c>
      <c r="M50">
        <f t="shared" si="2"/>
        <v>1</v>
      </c>
      <c r="N50">
        <f t="shared" si="3"/>
        <v>1</v>
      </c>
      <c r="O50">
        <f t="shared" si="4"/>
        <v>3</v>
      </c>
      <c r="P50">
        <f t="shared" si="5"/>
        <v>0</v>
      </c>
      <c r="Q50">
        <f t="shared" si="6"/>
        <v>0</v>
      </c>
    </row>
    <row r="51" spans="1:17" x14ac:dyDescent="0.25">
      <c r="A51" s="11" t="s">
        <v>65</v>
      </c>
      <c r="B51" s="12" t="s">
        <v>11</v>
      </c>
      <c r="C51" s="13">
        <v>15</v>
      </c>
      <c r="D51" s="13">
        <v>15</v>
      </c>
      <c r="E51" s="13">
        <v>20</v>
      </c>
      <c r="F51" s="13">
        <v>25</v>
      </c>
      <c r="G51" s="13">
        <v>10</v>
      </c>
      <c r="H51" s="13">
        <v>0</v>
      </c>
      <c r="I51" s="13">
        <v>0</v>
      </c>
      <c r="J51" s="14">
        <v>0</v>
      </c>
      <c r="K51">
        <f t="shared" si="0"/>
        <v>1</v>
      </c>
      <c r="L51">
        <f t="shared" si="1"/>
        <v>1</v>
      </c>
      <c r="M51">
        <f t="shared" si="2"/>
        <v>1</v>
      </c>
      <c r="N51">
        <f t="shared" si="3"/>
        <v>1</v>
      </c>
      <c r="O51">
        <f t="shared" si="4"/>
        <v>4</v>
      </c>
      <c r="P51">
        <f t="shared" si="5"/>
        <v>60</v>
      </c>
      <c r="Q51">
        <f t="shared" si="6"/>
        <v>1</v>
      </c>
    </row>
    <row r="52" spans="1:17" x14ac:dyDescent="0.25">
      <c r="A52" s="7" t="s">
        <v>66</v>
      </c>
      <c r="B52" s="8" t="s">
        <v>22</v>
      </c>
      <c r="C52" s="9">
        <v>20</v>
      </c>
      <c r="D52" s="9">
        <v>9</v>
      </c>
      <c r="E52" s="9">
        <v>8</v>
      </c>
      <c r="F52" s="9">
        <v>11</v>
      </c>
      <c r="G52" s="9">
        <v>6</v>
      </c>
      <c r="H52" s="9">
        <v>0</v>
      </c>
      <c r="I52" s="9">
        <v>0</v>
      </c>
      <c r="J52" s="10">
        <v>0</v>
      </c>
      <c r="K52">
        <f t="shared" si="0"/>
        <v>1</v>
      </c>
      <c r="L52">
        <f t="shared" si="1"/>
        <v>1</v>
      </c>
      <c r="M52">
        <f t="shared" si="2"/>
        <v>1</v>
      </c>
      <c r="N52">
        <f t="shared" si="3"/>
        <v>1</v>
      </c>
      <c r="O52">
        <f t="shared" si="4"/>
        <v>4</v>
      </c>
      <c r="P52">
        <f t="shared" si="5"/>
        <v>28</v>
      </c>
      <c r="Q52">
        <f t="shared" si="6"/>
        <v>1</v>
      </c>
    </row>
    <row r="53" spans="1:17" x14ac:dyDescent="0.25">
      <c r="A53" s="11" t="s">
        <v>67</v>
      </c>
      <c r="B53" s="12" t="s">
        <v>22</v>
      </c>
      <c r="C53" s="13">
        <v>19</v>
      </c>
      <c r="D53" s="13">
        <v>0</v>
      </c>
      <c r="E53" s="13">
        <v>2</v>
      </c>
      <c r="F53" s="13">
        <v>2</v>
      </c>
      <c r="G53" s="13">
        <v>17</v>
      </c>
      <c r="H53" s="13">
        <v>0</v>
      </c>
      <c r="I53" s="13">
        <v>0</v>
      </c>
      <c r="J53" s="14">
        <v>0</v>
      </c>
      <c r="K53">
        <f t="shared" si="0"/>
        <v>1</v>
      </c>
      <c r="L53">
        <f t="shared" si="1"/>
        <v>1</v>
      </c>
      <c r="M53">
        <f t="shared" si="2"/>
        <v>1</v>
      </c>
      <c r="N53">
        <f t="shared" si="3"/>
        <v>1</v>
      </c>
      <c r="O53">
        <f t="shared" si="4"/>
        <v>4</v>
      </c>
      <c r="P53">
        <f t="shared" si="5"/>
        <v>4</v>
      </c>
      <c r="Q53">
        <f t="shared" si="6"/>
        <v>1</v>
      </c>
    </row>
    <row r="54" spans="1:17" x14ac:dyDescent="0.25">
      <c r="A54" s="7" t="s">
        <v>68</v>
      </c>
      <c r="B54" s="8" t="s">
        <v>11</v>
      </c>
      <c r="C54" s="9">
        <v>15</v>
      </c>
      <c r="D54" s="9">
        <v>1</v>
      </c>
      <c r="E54" s="9">
        <v>1</v>
      </c>
      <c r="F54" s="9">
        <v>5</v>
      </c>
      <c r="G54" s="9">
        <v>6</v>
      </c>
      <c r="H54" s="9">
        <v>0</v>
      </c>
      <c r="I54" s="9">
        <v>0</v>
      </c>
      <c r="J54" s="10">
        <v>0</v>
      </c>
      <c r="K54">
        <f t="shared" si="0"/>
        <v>1</v>
      </c>
      <c r="L54">
        <f t="shared" si="1"/>
        <v>1</v>
      </c>
      <c r="M54">
        <f t="shared" si="2"/>
        <v>1</v>
      </c>
      <c r="N54">
        <f t="shared" si="3"/>
        <v>1</v>
      </c>
      <c r="O54">
        <f t="shared" si="4"/>
        <v>4</v>
      </c>
      <c r="P54">
        <f t="shared" si="5"/>
        <v>7</v>
      </c>
      <c r="Q54">
        <f t="shared" si="6"/>
        <v>1</v>
      </c>
    </row>
    <row r="55" spans="1:17" x14ac:dyDescent="0.25">
      <c r="A55" s="11" t="s">
        <v>69</v>
      </c>
      <c r="B55" s="12" t="s">
        <v>25</v>
      </c>
      <c r="C55" s="13">
        <v>16</v>
      </c>
      <c r="D55" s="13">
        <v>17</v>
      </c>
      <c r="E55" s="13">
        <v>30</v>
      </c>
      <c r="F55" s="13">
        <v>20</v>
      </c>
      <c r="G55" s="13">
        <v>7</v>
      </c>
      <c r="H55" s="13">
        <v>0</v>
      </c>
      <c r="I55" s="13">
        <v>0</v>
      </c>
      <c r="J55" s="14">
        <v>0</v>
      </c>
      <c r="K55">
        <f t="shared" si="0"/>
        <v>1</v>
      </c>
      <c r="L55">
        <f t="shared" si="1"/>
        <v>1</v>
      </c>
      <c r="M55">
        <f t="shared" si="2"/>
        <v>1</v>
      </c>
      <c r="N55">
        <f t="shared" si="3"/>
        <v>1</v>
      </c>
      <c r="O55">
        <f t="shared" si="4"/>
        <v>4</v>
      </c>
      <c r="P55">
        <f t="shared" si="5"/>
        <v>67</v>
      </c>
      <c r="Q55">
        <f t="shared" si="6"/>
        <v>1</v>
      </c>
    </row>
    <row r="56" spans="1:17" x14ac:dyDescent="0.25">
      <c r="A56" s="7" t="s">
        <v>70</v>
      </c>
      <c r="B56" s="8" t="s">
        <v>11</v>
      </c>
      <c r="C56" s="9">
        <v>21</v>
      </c>
      <c r="D56" s="9">
        <v>130</v>
      </c>
      <c r="E56" s="9">
        <v>126</v>
      </c>
      <c r="F56" s="9">
        <v>142</v>
      </c>
      <c r="G56" s="9">
        <v>20</v>
      </c>
      <c r="H56" s="9">
        <v>10</v>
      </c>
      <c r="I56" s="9">
        <v>17</v>
      </c>
      <c r="J56" s="10">
        <v>18</v>
      </c>
      <c r="K56">
        <f t="shared" si="0"/>
        <v>1</v>
      </c>
      <c r="L56">
        <f t="shared" si="1"/>
        <v>1</v>
      </c>
      <c r="M56">
        <f t="shared" si="2"/>
        <v>1</v>
      </c>
      <c r="N56">
        <f t="shared" si="3"/>
        <v>0</v>
      </c>
      <c r="O56">
        <f t="shared" si="4"/>
        <v>3</v>
      </c>
      <c r="P56">
        <f t="shared" si="5"/>
        <v>0</v>
      </c>
      <c r="Q56">
        <f t="shared" si="6"/>
        <v>0</v>
      </c>
    </row>
    <row r="57" spans="1:17" x14ac:dyDescent="0.25">
      <c r="A57" s="11" t="s">
        <v>71</v>
      </c>
      <c r="B57" s="12" t="s">
        <v>22</v>
      </c>
      <c r="C57" s="13">
        <v>18</v>
      </c>
      <c r="D57" s="13">
        <v>28</v>
      </c>
      <c r="E57" s="13">
        <v>31</v>
      </c>
      <c r="F57" s="13">
        <v>31</v>
      </c>
      <c r="G57" s="13">
        <v>16</v>
      </c>
      <c r="H57" s="13">
        <v>0</v>
      </c>
      <c r="I57" s="13">
        <v>3</v>
      </c>
      <c r="J57" s="14">
        <v>1</v>
      </c>
      <c r="K57">
        <f t="shared" si="0"/>
        <v>1</v>
      </c>
      <c r="L57">
        <f t="shared" si="1"/>
        <v>1</v>
      </c>
      <c r="M57">
        <f t="shared" si="2"/>
        <v>1</v>
      </c>
      <c r="N57">
        <f t="shared" si="3"/>
        <v>0</v>
      </c>
      <c r="O57">
        <f t="shared" si="4"/>
        <v>3</v>
      </c>
      <c r="P57">
        <f t="shared" si="5"/>
        <v>0</v>
      </c>
      <c r="Q57">
        <f t="shared" si="6"/>
        <v>0</v>
      </c>
    </row>
    <row r="58" spans="1:17" x14ac:dyDescent="0.25">
      <c r="A58" s="7" t="s">
        <v>72</v>
      </c>
      <c r="B58" s="8" t="s">
        <v>13</v>
      </c>
      <c r="C58" s="9">
        <v>13</v>
      </c>
      <c r="D58" s="9">
        <v>3</v>
      </c>
      <c r="E58" s="9">
        <v>1</v>
      </c>
      <c r="F58" s="9">
        <v>1</v>
      </c>
      <c r="G58" s="9">
        <v>1</v>
      </c>
      <c r="H58" s="9">
        <v>0</v>
      </c>
      <c r="I58" s="9">
        <v>0</v>
      </c>
      <c r="J58" s="10">
        <v>0</v>
      </c>
      <c r="K58">
        <f t="shared" si="0"/>
        <v>1</v>
      </c>
      <c r="L58">
        <f t="shared" si="1"/>
        <v>1</v>
      </c>
      <c r="M58">
        <f t="shared" si="2"/>
        <v>1</v>
      </c>
      <c r="N58">
        <f t="shared" si="3"/>
        <v>1</v>
      </c>
      <c r="O58">
        <f t="shared" si="4"/>
        <v>4</v>
      </c>
      <c r="P58">
        <f t="shared" si="5"/>
        <v>5</v>
      </c>
      <c r="Q58">
        <f t="shared" si="6"/>
        <v>1</v>
      </c>
    </row>
    <row r="59" spans="1:17" x14ac:dyDescent="0.25">
      <c r="A59" s="11" t="s">
        <v>73</v>
      </c>
      <c r="B59" s="12" t="s">
        <v>25</v>
      </c>
      <c r="C59" s="13">
        <v>25</v>
      </c>
      <c r="D59" s="13">
        <v>59</v>
      </c>
      <c r="E59" s="13">
        <v>99</v>
      </c>
      <c r="F59" s="13">
        <v>120</v>
      </c>
      <c r="G59" s="13">
        <v>22</v>
      </c>
      <c r="H59" s="13">
        <v>62</v>
      </c>
      <c r="I59" s="13">
        <v>55</v>
      </c>
      <c r="J59" s="14">
        <v>53</v>
      </c>
      <c r="K59">
        <f t="shared" si="0"/>
        <v>1</v>
      </c>
      <c r="L59">
        <f t="shared" si="1"/>
        <v>1</v>
      </c>
      <c r="M59">
        <f t="shared" si="2"/>
        <v>1</v>
      </c>
      <c r="N59">
        <f t="shared" si="3"/>
        <v>0</v>
      </c>
      <c r="O59">
        <f t="shared" si="4"/>
        <v>3</v>
      </c>
      <c r="P59">
        <f t="shared" si="5"/>
        <v>0</v>
      </c>
      <c r="Q59">
        <f t="shared" si="6"/>
        <v>0</v>
      </c>
    </row>
    <row r="60" spans="1:17" x14ac:dyDescent="0.25">
      <c r="A60" s="7" t="s">
        <v>74</v>
      </c>
      <c r="B60" s="8" t="s">
        <v>11</v>
      </c>
      <c r="C60" s="9">
        <v>8</v>
      </c>
      <c r="D60" s="9">
        <v>0</v>
      </c>
      <c r="E60" s="9">
        <v>0</v>
      </c>
      <c r="F60" s="9">
        <v>4</v>
      </c>
      <c r="G60" s="9">
        <v>0</v>
      </c>
      <c r="H60" s="9">
        <v>0</v>
      </c>
      <c r="I60" s="9">
        <v>0</v>
      </c>
      <c r="J60" s="10">
        <v>0</v>
      </c>
      <c r="K60">
        <f t="shared" si="0"/>
        <v>1</v>
      </c>
      <c r="L60">
        <f t="shared" si="1"/>
        <v>0</v>
      </c>
      <c r="M60">
        <f t="shared" si="2"/>
        <v>1</v>
      </c>
      <c r="N60">
        <f t="shared" si="3"/>
        <v>1</v>
      </c>
      <c r="O60">
        <f t="shared" si="4"/>
        <v>3</v>
      </c>
      <c r="P60">
        <f t="shared" si="5"/>
        <v>0</v>
      </c>
      <c r="Q60">
        <f t="shared" si="6"/>
        <v>0</v>
      </c>
    </row>
    <row r="61" spans="1:17" x14ac:dyDescent="0.25">
      <c r="A61" s="11" t="s">
        <v>75</v>
      </c>
      <c r="B61" s="12" t="s">
        <v>11</v>
      </c>
      <c r="C61" s="13">
        <v>5</v>
      </c>
      <c r="D61" s="13">
        <v>16</v>
      </c>
      <c r="E61" s="13">
        <v>17</v>
      </c>
      <c r="F61" s="13">
        <v>19</v>
      </c>
      <c r="G61" s="13">
        <v>6</v>
      </c>
      <c r="H61" s="13">
        <v>1</v>
      </c>
      <c r="I61" s="13">
        <v>3</v>
      </c>
      <c r="J61" s="14">
        <v>3</v>
      </c>
      <c r="K61">
        <f t="shared" si="0"/>
        <v>1</v>
      </c>
      <c r="L61">
        <f t="shared" si="1"/>
        <v>1</v>
      </c>
      <c r="M61">
        <f t="shared" si="2"/>
        <v>1</v>
      </c>
      <c r="N61">
        <f t="shared" si="3"/>
        <v>0</v>
      </c>
      <c r="O61">
        <f t="shared" si="4"/>
        <v>3</v>
      </c>
      <c r="P61">
        <f t="shared" si="5"/>
        <v>0</v>
      </c>
      <c r="Q61">
        <f t="shared" si="6"/>
        <v>0</v>
      </c>
    </row>
    <row r="62" spans="1:17" x14ac:dyDescent="0.25">
      <c r="A62" s="7" t="s">
        <v>76</v>
      </c>
      <c r="B62" s="8" t="s">
        <v>13</v>
      </c>
      <c r="C62" s="9">
        <v>13</v>
      </c>
      <c r="D62" s="9">
        <v>25</v>
      </c>
      <c r="E62" s="9">
        <v>32</v>
      </c>
      <c r="F62" s="9">
        <v>29</v>
      </c>
      <c r="G62" s="9">
        <v>3</v>
      </c>
      <c r="H62" s="9">
        <v>0</v>
      </c>
      <c r="I62" s="9">
        <v>0</v>
      </c>
      <c r="J62" s="10">
        <v>0</v>
      </c>
      <c r="K62">
        <f t="shared" si="0"/>
        <v>1</v>
      </c>
      <c r="L62">
        <f t="shared" si="1"/>
        <v>1</v>
      </c>
      <c r="M62">
        <f t="shared" si="2"/>
        <v>1</v>
      </c>
      <c r="N62">
        <f t="shared" si="3"/>
        <v>1</v>
      </c>
      <c r="O62">
        <f t="shared" si="4"/>
        <v>4</v>
      </c>
      <c r="P62">
        <f t="shared" si="5"/>
        <v>86</v>
      </c>
      <c r="Q62">
        <f t="shared" si="6"/>
        <v>1</v>
      </c>
    </row>
    <row r="63" spans="1:17" x14ac:dyDescent="0.25">
      <c r="A63" s="11" t="s">
        <v>77</v>
      </c>
      <c r="B63" s="12" t="s">
        <v>11</v>
      </c>
      <c r="C63" s="13">
        <v>5</v>
      </c>
      <c r="D63" s="13">
        <v>0</v>
      </c>
      <c r="E63" s="13">
        <v>1</v>
      </c>
      <c r="F63" s="13">
        <v>2</v>
      </c>
      <c r="G63" s="13">
        <v>6</v>
      </c>
      <c r="H63" s="13">
        <v>0</v>
      </c>
      <c r="I63" s="13">
        <v>0</v>
      </c>
      <c r="J63" s="14">
        <v>0</v>
      </c>
      <c r="K63">
        <f t="shared" si="0"/>
        <v>1</v>
      </c>
      <c r="L63">
        <f t="shared" si="1"/>
        <v>1</v>
      </c>
      <c r="M63">
        <f t="shared" si="2"/>
        <v>1</v>
      </c>
      <c r="N63">
        <f t="shared" si="3"/>
        <v>1</v>
      </c>
      <c r="O63">
        <f t="shared" si="4"/>
        <v>4</v>
      </c>
      <c r="P63">
        <f t="shared" si="5"/>
        <v>3</v>
      </c>
      <c r="Q63">
        <f t="shared" si="6"/>
        <v>1</v>
      </c>
    </row>
    <row r="64" spans="1:17" x14ac:dyDescent="0.25">
      <c r="A64" s="7" t="s">
        <v>78</v>
      </c>
      <c r="B64" s="8" t="s">
        <v>15</v>
      </c>
      <c r="C64" s="9">
        <v>18</v>
      </c>
      <c r="D64" s="9">
        <v>2</v>
      </c>
      <c r="E64" s="9">
        <v>6</v>
      </c>
      <c r="F64" s="9">
        <v>11</v>
      </c>
      <c r="G64" s="9">
        <v>1</v>
      </c>
      <c r="H64" s="9">
        <v>0</v>
      </c>
      <c r="I64" s="9">
        <v>0</v>
      </c>
      <c r="J64" s="10">
        <v>0</v>
      </c>
      <c r="K64">
        <f t="shared" si="0"/>
        <v>1</v>
      </c>
      <c r="L64">
        <f t="shared" si="1"/>
        <v>1</v>
      </c>
      <c r="M64">
        <f t="shared" si="2"/>
        <v>1</v>
      </c>
      <c r="N64">
        <f t="shared" si="3"/>
        <v>1</v>
      </c>
      <c r="O64">
        <f t="shared" si="4"/>
        <v>4</v>
      </c>
      <c r="P64">
        <f t="shared" si="5"/>
        <v>19</v>
      </c>
      <c r="Q64">
        <f t="shared" si="6"/>
        <v>1</v>
      </c>
    </row>
    <row r="65" spans="1:17" x14ac:dyDescent="0.25">
      <c r="A65" s="11" t="s">
        <v>79</v>
      </c>
      <c r="B65" s="12" t="s">
        <v>11</v>
      </c>
      <c r="C65" s="13">
        <v>16</v>
      </c>
      <c r="D65" s="13">
        <v>81</v>
      </c>
      <c r="E65" s="13">
        <v>82</v>
      </c>
      <c r="F65" s="13">
        <v>80</v>
      </c>
      <c r="G65" s="13">
        <v>17</v>
      </c>
      <c r="H65" s="13">
        <v>26</v>
      </c>
      <c r="I65" s="13">
        <v>17</v>
      </c>
      <c r="J65" s="14">
        <v>10</v>
      </c>
      <c r="K65">
        <f t="shared" si="0"/>
        <v>1</v>
      </c>
      <c r="L65">
        <f t="shared" si="1"/>
        <v>1</v>
      </c>
      <c r="M65">
        <f t="shared" si="2"/>
        <v>1</v>
      </c>
      <c r="N65">
        <f t="shared" si="3"/>
        <v>0</v>
      </c>
      <c r="O65">
        <f t="shared" si="4"/>
        <v>3</v>
      </c>
      <c r="P65">
        <f t="shared" si="5"/>
        <v>0</v>
      </c>
      <c r="Q65">
        <f t="shared" si="6"/>
        <v>0</v>
      </c>
    </row>
    <row r="66" spans="1:17" x14ac:dyDescent="0.25">
      <c r="A66" s="7" t="s">
        <v>80</v>
      </c>
      <c r="B66" s="8" t="s">
        <v>11</v>
      </c>
      <c r="C66" s="9">
        <v>9</v>
      </c>
      <c r="D66" s="9">
        <v>14</v>
      </c>
      <c r="E66" s="9">
        <v>12</v>
      </c>
      <c r="F66" s="9">
        <v>21</v>
      </c>
      <c r="G66" s="9">
        <v>8</v>
      </c>
      <c r="H66" s="9">
        <v>0</v>
      </c>
      <c r="I66" s="9">
        <v>1</v>
      </c>
      <c r="J66" s="10">
        <v>1</v>
      </c>
      <c r="K66">
        <f t="shared" si="0"/>
        <v>1</v>
      </c>
      <c r="L66">
        <f t="shared" si="1"/>
        <v>1</v>
      </c>
      <c r="M66">
        <f t="shared" si="2"/>
        <v>1</v>
      </c>
      <c r="N66">
        <f t="shared" si="3"/>
        <v>0</v>
      </c>
      <c r="O66">
        <f t="shared" si="4"/>
        <v>3</v>
      </c>
      <c r="P66">
        <f t="shared" si="5"/>
        <v>0</v>
      </c>
      <c r="Q66">
        <f t="shared" si="6"/>
        <v>0</v>
      </c>
    </row>
    <row r="67" spans="1:17" x14ac:dyDescent="0.25">
      <c r="A67" s="11" t="s">
        <v>81</v>
      </c>
      <c r="B67" s="12" t="s">
        <v>25</v>
      </c>
      <c r="C67" s="13">
        <v>14</v>
      </c>
      <c r="D67" s="13">
        <v>1</v>
      </c>
      <c r="E67" s="13">
        <v>1</v>
      </c>
      <c r="F67" s="13">
        <v>2</v>
      </c>
      <c r="G67" s="13">
        <v>6</v>
      </c>
      <c r="H67" s="13">
        <v>0</v>
      </c>
      <c r="I67" s="13">
        <v>0</v>
      </c>
      <c r="J67" s="14">
        <v>0</v>
      </c>
      <c r="K67">
        <f t="shared" ref="K67:K130" si="7">IF(C67&gt;0,1,0)</f>
        <v>1</v>
      </c>
      <c r="L67">
        <f t="shared" ref="L67:L130" si="8">IF(G67&gt;0,1,0)</f>
        <v>1</v>
      </c>
      <c r="M67">
        <f t="shared" ref="M67:M130" si="9">IF(OR(D67&gt;0,E67&gt;0,F67&gt;0),1,0)</f>
        <v>1</v>
      </c>
      <c r="N67">
        <f t="shared" ref="N67:N130" si="10">IF(AND(H67=0,I67=0,J67=0),1,0)</f>
        <v>1</v>
      </c>
      <c r="O67">
        <f t="shared" ref="O67:O130" si="11">SUM(K67:N67)</f>
        <v>4</v>
      </c>
      <c r="P67">
        <f t="shared" ref="P67:P130" si="12">IF(O67=4,SUM(D67:F67),0)</f>
        <v>4</v>
      </c>
      <c r="Q67">
        <f t="shared" ref="Q67:Q130" si="13">IF(P67&gt;0,1,0)</f>
        <v>1</v>
      </c>
    </row>
    <row r="68" spans="1:17" x14ac:dyDescent="0.25">
      <c r="A68" s="7" t="s">
        <v>82</v>
      </c>
      <c r="B68" s="8" t="s">
        <v>25</v>
      </c>
      <c r="C68" s="9">
        <v>19</v>
      </c>
      <c r="D68" s="9">
        <v>72</v>
      </c>
      <c r="E68" s="9">
        <v>67</v>
      </c>
      <c r="F68" s="9">
        <v>69</v>
      </c>
      <c r="G68" s="9">
        <v>0</v>
      </c>
      <c r="H68" s="9">
        <v>0</v>
      </c>
      <c r="I68" s="9">
        <v>0</v>
      </c>
      <c r="J68" s="10">
        <v>0</v>
      </c>
      <c r="K68">
        <f t="shared" si="7"/>
        <v>1</v>
      </c>
      <c r="L68">
        <f t="shared" si="8"/>
        <v>0</v>
      </c>
      <c r="M68">
        <f t="shared" si="9"/>
        <v>1</v>
      </c>
      <c r="N68">
        <f t="shared" si="10"/>
        <v>1</v>
      </c>
      <c r="O68">
        <f t="shared" si="11"/>
        <v>3</v>
      </c>
      <c r="P68">
        <f t="shared" si="12"/>
        <v>0</v>
      </c>
      <c r="Q68">
        <f t="shared" si="13"/>
        <v>0</v>
      </c>
    </row>
    <row r="69" spans="1:17" x14ac:dyDescent="0.25">
      <c r="A69" s="11" t="s">
        <v>83</v>
      </c>
      <c r="B69" s="12" t="s">
        <v>11</v>
      </c>
      <c r="C69" s="13">
        <v>12</v>
      </c>
      <c r="D69" s="13">
        <v>0</v>
      </c>
      <c r="E69" s="13">
        <v>0</v>
      </c>
      <c r="F69" s="13">
        <v>2</v>
      </c>
      <c r="G69" s="13">
        <v>0</v>
      </c>
      <c r="H69" s="13">
        <v>0</v>
      </c>
      <c r="I69" s="13">
        <v>0</v>
      </c>
      <c r="J69" s="14">
        <v>0</v>
      </c>
      <c r="K69">
        <f t="shared" si="7"/>
        <v>1</v>
      </c>
      <c r="L69">
        <f t="shared" si="8"/>
        <v>0</v>
      </c>
      <c r="M69">
        <f t="shared" si="9"/>
        <v>1</v>
      </c>
      <c r="N69">
        <f t="shared" si="10"/>
        <v>1</v>
      </c>
      <c r="O69">
        <f t="shared" si="11"/>
        <v>3</v>
      </c>
      <c r="P69">
        <f t="shared" si="12"/>
        <v>0</v>
      </c>
      <c r="Q69">
        <f t="shared" si="13"/>
        <v>0</v>
      </c>
    </row>
    <row r="70" spans="1:17" x14ac:dyDescent="0.25">
      <c r="A70" s="7" t="s">
        <v>84</v>
      </c>
      <c r="B70" s="8" t="s">
        <v>11</v>
      </c>
      <c r="C70" s="9">
        <v>16</v>
      </c>
      <c r="D70" s="9">
        <v>0</v>
      </c>
      <c r="E70" s="9">
        <v>2</v>
      </c>
      <c r="F70" s="9">
        <v>2</v>
      </c>
      <c r="G70" s="9">
        <v>16</v>
      </c>
      <c r="H70" s="9">
        <v>0</v>
      </c>
      <c r="I70" s="9">
        <v>0</v>
      </c>
      <c r="J70" s="10">
        <v>0</v>
      </c>
      <c r="K70">
        <f t="shared" si="7"/>
        <v>1</v>
      </c>
      <c r="L70">
        <f t="shared" si="8"/>
        <v>1</v>
      </c>
      <c r="M70">
        <f t="shared" si="9"/>
        <v>1</v>
      </c>
      <c r="N70">
        <f t="shared" si="10"/>
        <v>1</v>
      </c>
      <c r="O70">
        <f t="shared" si="11"/>
        <v>4</v>
      </c>
      <c r="P70">
        <f t="shared" si="12"/>
        <v>4</v>
      </c>
      <c r="Q70">
        <f t="shared" si="13"/>
        <v>1</v>
      </c>
    </row>
    <row r="71" spans="1:17" x14ac:dyDescent="0.25">
      <c r="A71" s="11" t="s">
        <v>85</v>
      </c>
      <c r="B71" s="12" t="s">
        <v>22</v>
      </c>
      <c r="C71" s="13">
        <v>16</v>
      </c>
      <c r="D71" s="13">
        <v>0</v>
      </c>
      <c r="E71" s="13">
        <v>0</v>
      </c>
      <c r="F71" s="13">
        <v>0</v>
      </c>
      <c r="G71" s="13">
        <v>18</v>
      </c>
      <c r="H71" s="13">
        <v>2</v>
      </c>
      <c r="I71" s="13">
        <v>2</v>
      </c>
      <c r="J71" s="14">
        <v>5</v>
      </c>
      <c r="K71">
        <f t="shared" si="7"/>
        <v>1</v>
      </c>
      <c r="L71">
        <f t="shared" si="8"/>
        <v>1</v>
      </c>
      <c r="M71">
        <f t="shared" si="9"/>
        <v>0</v>
      </c>
      <c r="N71">
        <f t="shared" si="10"/>
        <v>0</v>
      </c>
      <c r="O71">
        <f t="shared" si="11"/>
        <v>2</v>
      </c>
      <c r="P71">
        <f t="shared" si="12"/>
        <v>0</v>
      </c>
      <c r="Q71">
        <f t="shared" si="13"/>
        <v>0</v>
      </c>
    </row>
    <row r="72" spans="1:17" x14ac:dyDescent="0.25">
      <c r="A72" s="7" t="s">
        <v>86</v>
      </c>
      <c r="B72" s="8" t="s">
        <v>22</v>
      </c>
      <c r="C72" s="9">
        <v>8</v>
      </c>
      <c r="D72" s="9">
        <v>6</v>
      </c>
      <c r="E72" s="9">
        <v>5</v>
      </c>
      <c r="F72" s="9">
        <v>10</v>
      </c>
      <c r="G72" s="9">
        <v>8</v>
      </c>
      <c r="H72" s="9">
        <v>0</v>
      </c>
      <c r="I72" s="9">
        <v>0</v>
      </c>
      <c r="J72" s="10">
        <v>0</v>
      </c>
      <c r="K72">
        <f t="shared" si="7"/>
        <v>1</v>
      </c>
      <c r="L72">
        <f t="shared" si="8"/>
        <v>1</v>
      </c>
      <c r="M72">
        <f t="shared" si="9"/>
        <v>1</v>
      </c>
      <c r="N72">
        <f t="shared" si="10"/>
        <v>1</v>
      </c>
      <c r="O72">
        <f t="shared" si="11"/>
        <v>4</v>
      </c>
      <c r="P72">
        <f t="shared" si="12"/>
        <v>21</v>
      </c>
      <c r="Q72">
        <f t="shared" si="13"/>
        <v>1</v>
      </c>
    </row>
    <row r="73" spans="1:17" x14ac:dyDescent="0.25">
      <c r="A73" s="11" t="s">
        <v>87</v>
      </c>
      <c r="B73" s="12" t="s">
        <v>22</v>
      </c>
      <c r="C73" s="13">
        <v>22</v>
      </c>
      <c r="D73" s="13">
        <v>1</v>
      </c>
      <c r="E73" s="13">
        <v>1</v>
      </c>
      <c r="F73" s="13">
        <v>0</v>
      </c>
      <c r="G73" s="13">
        <v>8</v>
      </c>
      <c r="H73" s="13">
        <v>0</v>
      </c>
      <c r="I73" s="13">
        <v>2</v>
      </c>
      <c r="J73" s="14">
        <v>0</v>
      </c>
      <c r="K73">
        <f t="shared" si="7"/>
        <v>1</v>
      </c>
      <c r="L73">
        <f t="shared" si="8"/>
        <v>1</v>
      </c>
      <c r="M73">
        <f t="shared" si="9"/>
        <v>1</v>
      </c>
      <c r="N73">
        <f t="shared" si="10"/>
        <v>0</v>
      </c>
      <c r="O73">
        <f t="shared" si="11"/>
        <v>3</v>
      </c>
      <c r="P73">
        <f t="shared" si="12"/>
        <v>0</v>
      </c>
      <c r="Q73">
        <f t="shared" si="13"/>
        <v>0</v>
      </c>
    </row>
    <row r="74" spans="1:17" x14ac:dyDescent="0.25">
      <c r="A74" s="7" t="s">
        <v>88</v>
      </c>
      <c r="B74" s="8" t="s">
        <v>22</v>
      </c>
      <c r="C74" s="9">
        <v>10</v>
      </c>
      <c r="D74" s="9">
        <v>3</v>
      </c>
      <c r="E74" s="9">
        <v>11</v>
      </c>
      <c r="F74" s="9">
        <v>5</v>
      </c>
      <c r="G74" s="9">
        <v>10</v>
      </c>
      <c r="H74" s="9">
        <v>0</v>
      </c>
      <c r="I74" s="9">
        <v>4</v>
      </c>
      <c r="J74" s="10">
        <v>3</v>
      </c>
      <c r="K74">
        <f t="shared" si="7"/>
        <v>1</v>
      </c>
      <c r="L74">
        <f t="shared" si="8"/>
        <v>1</v>
      </c>
      <c r="M74">
        <f t="shared" si="9"/>
        <v>1</v>
      </c>
      <c r="N74">
        <f t="shared" si="10"/>
        <v>0</v>
      </c>
      <c r="O74">
        <f t="shared" si="11"/>
        <v>3</v>
      </c>
      <c r="P74">
        <f t="shared" si="12"/>
        <v>0</v>
      </c>
      <c r="Q74">
        <f t="shared" si="13"/>
        <v>0</v>
      </c>
    </row>
    <row r="75" spans="1:17" x14ac:dyDescent="0.25">
      <c r="A75" s="11" t="s">
        <v>89</v>
      </c>
      <c r="B75" s="12" t="s">
        <v>22</v>
      </c>
      <c r="C75" s="13">
        <v>5</v>
      </c>
      <c r="D75" s="13">
        <v>0</v>
      </c>
      <c r="E75" s="13">
        <v>0</v>
      </c>
      <c r="F75" s="13">
        <v>1</v>
      </c>
      <c r="G75" s="13">
        <v>5</v>
      </c>
      <c r="H75" s="13">
        <v>0</v>
      </c>
      <c r="I75" s="13">
        <v>0</v>
      </c>
      <c r="J75" s="14">
        <v>0</v>
      </c>
      <c r="K75">
        <f t="shared" si="7"/>
        <v>1</v>
      </c>
      <c r="L75">
        <f t="shared" si="8"/>
        <v>1</v>
      </c>
      <c r="M75">
        <f t="shared" si="9"/>
        <v>1</v>
      </c>
      <c r="N75">
        <f t="shared" si="10"/>
        <v>1</v>
      </c>
      <c r="O75">
        <f t="shared" si="11"/>
        <v>4</v>
      </c>
      <c r="P75">
        <f t="shared" si="12"/>
        <v>1</v>
      </c>
      <c r="Q75">
        <f t="shared" si="13"/>
        <v>1</v>
      </c>
    </row>
    <row r="76" spans="1:17" x14ac:dyDescent="0.25">
      <c r="A76" s="7" t="s">
        <v>90</v>
      </c>
      <c r="B76" s="8" t="s">
        <v>11</v>
      </c>
      <c r="C76" s="9">
        <v>12</v>
      </c>
      <c r="D76" s="9">
        <v>0</v>
      </c>
      <c r="E76" s="9">
        <v>3</v>
      </c>
      <c r="F76" s="9">
        <v>3</v>
      </c>
      <c r="G76" s="9">
        <v>0</v>
      </c>
      <c r="H76" s="9">
        <v>0</v>
      </c>
      <c r="I76" s="9">
        <v>0</v>
      </c>
      <c r="J76" s="10">
        <v>0</v>
      </c>
      <c r="K76">
        <f t="shared" si="7"/>
        <v>1</v>
      </c>
      <c r="L76">
        <f t="shared" si="8"/>
        <v>0</v>
      </c>
      <c r="M76">
        <f t="shared" si="9"/>
        <v>1</v>
      </c>
      <c r="N76">
        <f t="shared" si="10"/>
        <v>1</v>
      </c>
      <c r="O76">
        <f t="shared" si="11"/>
        <v>3</v>
      </c>
      <c r="P76">
        <f t="shared" si="12"/>
        <v>0</v>
      </c>
      <c r="Q76">
        <f t="shared" si="13"/>
        <v>0</v>
      </c>
    </row>
    <row r="77" spans="1:17" x14ac:dyDescent="0.25">
      <c r="A77" s="11" t="s">
        <v>91</v>
      </c>
      <c r="B77" s="12" t="s">
        <v>13</v>
      </c>
      <c r="C77" s="13">
        <v>13</v>
      </c>
      <c r="D77" s="13">
        <v>6</v>
      </c>
      <c r="E77" s="13">
        <v>5</v>
      </c>
      <c r="F77" s="13">
        <v>11</v>
      </c>
      <c r="G77" s="13">
        <v>6</v>
      </c>
      <c r="H77" s="13">
        <v>0</v>
      </c>
      <c r="I77" s="13">
        <v>0</v>
      </c>
      <c r="J77" s="14">
        <v>0</v>
      </c>
      <c r="K77">
        <f t="shared" si="7"/>
        <v>1</v>
      </c>
      <c r="L77">
        <f t="shared" si="8"/>
        <v>1</v>
      </c>
      <c r="M77">
        <f t="shared" si="9"/>
        <v>1</v>
      </c>
      <c r="N77">
        <f t="shared" si="10"/>
        <v>1</v>
      </c>
      <c r="O77">
        <f t="shared" si="11"/>
        <v>4</v>
      </c>
      <c r="P77">
        <f t="shared" si="12"/>
        <v>22</v>
      </c>
      <c r="Q77">
        <f t="shared" si="13"/>
        <v>1</v>
      </c>
    </row>
    <row r="78" spans="1:17" x14ac:dyDescent="0.25">
      <c r="A78" s="7" t="s">
        <v>92</v>
      </c>
      <c r="B78" s="8" t="s">
        <v>13</v>
      </c>
      <c r="C78" s="9">
        <v>8</v>
      </c>
      <c r="D78" s="9">
        <v>0</v>
      </c>
      <c r="E78" s="9">
        <v>0</v>
      </c>
      <c r="F78" s="9">
        <v>1</v>
      </c>
      <c r="G78" s="9">
        <v>0</v>
      </c>
      <c r="H78" s="9">
        <v>0</v>
      </c>
      <c r="I78" s="9">
        <v>0</v>
      </c>
      <c r="J78" s="10">
        <v>0</v>
      </c>
      <c r="K78">
        <f t="shared" si="7"/>
        <v>1</v>
      </c>
      <c r="L78">
        <f t="shared" si="8"/>
        <v>0</v>
      </c>
      <c r="M78">
        <f t="shared" si="9"/>
        <v>1</v>
      </c>
      <c r="N78">
        <f t="shared" si="10"/>
        <v>1</v>
      </c>
      <c r="O78">
        <f t="shared" si="11"/>
        <v>3</v>
      </c>
      <c r="P78">
        <f t="shared" si="12"/>
        <v>0</v>
      </c>
      <c r="Q78">
        <f t="shared" si="13"/>
        <v>0</v>
      </c>
    </row>
    <row r="79" spans="1:17" x14ac:dyDescent="0.25">
      <c r="A79" s="11" t="s">
        <v>93</v>
      </c>
      <c r="B79" s="12" t="s">
        <v>25</v>
      </c>
      <c r="C79" s="13">
        <v>22</v>
      </c>
      <c r="D79" s="13">
        <v>13</v>
      </c>
      <c r="E79" s="13">
        <v>21</v>
      </c>
      <c r="F79" s="13">
        <v>28</v>
      </c>
      <c r="G79" s="13">
        <v>8</v>
      </c>
      <c r="H79" s="13">
        <v>0</v>
      </c>
      <c r="I79" s="13">
        <v>0</v>
      </c>
      <c r="J79" s="14">
        <v>0</v>
      </c>
      <c r="K79">
        <f t="shared" si="7"/>
        <v>1</v>
      </c>
      <c r="L79">
        <f t="shared" si="8"/>
        <v>1</v>
      </c>
      <c r="M79">
        <f t="shared" si="9"/>
        <v>1</v>
      </c>
      <c r="N79">
        <f t="shared" si="10"/>
        <v>1</v>
      </c>
      <c r="O79">
        <f t="shared" si="11"/>
        <v>4</v>
      </c>
      <c r="P79">
        <f t="shared" si="12"/>
        <v>62</v>
      </c>
      <c r="Q79">
        <f t="shared" si="13"/>
        <v>1</v>
      </c>
    </row>
    <row r="80" spans="1:17" x14ac:dyDescent="0.25">
      <c r="A80" s="7" t="s">
        <v>94</v>
      </c>
      <c r="B80" s="8" t="s">
        <v>22</v>
      </c>
      <c r="C80" s="9">
        <v>5</v>
      </c>
      <c r="D80" s="9">
        <v>0</v>
      </c>
      <c r="E80" s="9">
        <v>2</v>
      </c>
      <c r="F80" s="9">
        <v>5</v>
      </c>
      <c r="G80" s="9">
        <v>6</v>
      </c>
      <c r="H80" s="9">
        <v>0</v>
      </c>
      <c r="I80" s="9">
        <v>0</v>
      </c>
      <c r="J80" s="10">
        <v>0</v>
      </c>
      <c r="K80">
        <f t="shared" si="7"/>
        <v>1</v>
      </c>
      <c r="L80">
        <f t="shared" si="8"/>
        <v>1</v>
      </c>
      <c r="M80">
        <f t="shared" si="9"/>
        <v>1</v>
      </c>
      <c r="N80">
        <f t="shared" si="10"/>
        <v>1</v>
      </c>
      <c r="O80">
        <f t="shared" si="11"/>
        <v>4</v>
      </c>
      <c r="P80">
        <f t="shared" si="12"/>
        <v>7</v>
      </c>
      <c r="Q80">
        <f t="shared" si="13"/>
        <v>1</v>
      </c>
    </row>
    <row r="81" spans="1:17" x14ac:dyDescent="0.25">
      <c r="A81" s="11" t="s">
        <v>95</v>
      </c>
      <c r="B81" s="12" t="s">
        <v>11</v>
      </c>
      <c r="C81" s="13">
        <v>12</v>
      </c>
      <c r="D81" s="13">
        <v>2</v>
      </c>
      <c r="E81" s="13">
        <v>9</v>
      </c>
      <c r="F81" s="13">
        <v>13</v>
      </c>
      <c r="G81" s="13">
        <v>13</v>
      </c>
      <c r="H81" s="13">
        <v>0</v>
      </c>
      <c r="I81" s="13">
        <v>0</v>
      </c>
      <c r="J81" s="14">
        <v>0</v>
      </c>
      <c r="K81">
        <f t="shared" si="7"/>
        <v>1</v>
      </c>
      <c r="L81">
        <f t="shared" si="8"/>
        <v>1</v>
      </c>
      <c r="M81">
        <f t="shared" si="9"/>
        <v>1</v>
      </c>
      <c r="N81">
        <f t="shared" si="10"/>
        <v>1</v>
      </c>
      <c r="O81">
        <f t="shared" si="11"/>
        <v>4</v>
      </c>
      <c r="P81">
        <f t="shared" si="12"/>
        <v>24</v>
      </c>
      <c r="Q81">
        <f t="shared" si="13"/>
        <v>1</v>
      </c>
    </row>
    <row r="82" spans="1:17" x14ac:dyDescent="0.25">
      <c r="A82" s="7" t="s">
        <v>96</v>
      </c>
      <c r="B82" s="8" t="s">
        <v>13</v>
      </c>
      <c r="C82" s="9">
        <v>9</v>
      </c>
      <c r="D82" s="9">
        <v>1</v>
      </c>
      <c r="E82" s="9">
        <v>0</v>
      </c>
      <c r="F82" s="9">
        <v>1</v>
      </c>
      <c r="G82" s="9">
        <v>0</v>
      </c>
      <c r="H82" s="9">
        <v>0</v>
      </c>
      <c r="I82" s="9">
        <v>0</v>
      </c>
      <c r="J82" s="10">
        <v>0</v>
      </c>
      <c r="K82">
        <f t="shared" si="7"/>
        <v>1</v>
      </c>
      <c r="L82">
        <f t="shared" si="8"/>
        <v>0</v>
      </c>
      <c r="M82">
        <f t="shared" si="9"/>
        <v>1</v>
      </c>
      <c r="N82">
        <f t="shared" si="10"/>
        <v>1</v>
      </c>
      <c r="O82">
        <f t="shared" si="11"/>
        <v>3</v>
      </c>
      <c r="P82">
        <f t="shared" si="12"/>
        <v>0</v>
      </c>
      <c r="Q82">
        <f t="shared" si="13"/>
        <v>0</v>
      </c>
    </row>
    <row r="83" spans="1:17" x14ac:dyDescent="0.25">
      <c r="A83" s="11" t="s">
        <v>97</v>
      </c>
      <c r="B83" s="12" t="s">
        <v>13</v>
      </c>
      <c r="C83" s="13">
        <v>6</v>
      </c>
      <c r="D83" s="13">
        <v>0</v>
      </c>
      <c r="E83" s="13">
        <v>4</v>
      </c>
      <c r="F83" s="13">
        <v>0</v>
      </c>
      <c r="G83" s="13">
        <v>0</v>
      </c>
      <c r="H83" s="13">
        <v>0</v>
      </c>
      <c r="I83" s="13">
        <v>0</v>
      </c>
      <c r="J83" s="14">
        <v>0</v>
      </c>
      <c r="K83">
        <f t="shared" si="7"/>
        <v>1</v>
      </c>
      <c r="L83">
        <f t="shared" si="8"/>
        <v>0</v>
      </c>
      <c r="M83">
        <f t="shared" si="9"/>
        <v>1</v>
      </c>
      <c r="N83">
        <f t="shared" si="10"/>
        <v>1</v>
      </c>
      <c r="O83">
        <f t="shared" si="11"/>
        <v>3</v>
      </c>
      <c r="P83">
        <f t="shared" si="12"/>
        <v>0</v>
      </c>
      <c r="Q83">
        <f t="shared" si="13"/>
        <v>0</v>
      </c>
    </row>
    <row r="84" spans="1:17" x14ac:dyDescent="0.25">
      <c r="A84" s="7" t="s">
        <v>98</v>
      </c>
      <c r="B84" s="8" t="s">
        <v>22</v>
      </c>
      <c r="C84" s="9">
        <v>15</v>
      </c>
      <c r="D84" s="9">
        <v>174</v>
      </c>
      <c r="E84" s="9">
        <v>182</v>
      </c>
      <c r="F84" s="9">
        <v>217</v>
      </c>
      <c r="G84" s="9">
        <v>11</v>
      </c>
      <c r="H84" s="9">
        <v>78</v>
      </c>
      <c r="I84" s="9">
        <v>78</v>
      </c>
      <c r="J84" s="10">
        <v>53</v>
      </c>
      <c r="K84">
        <f t="shared" si="7"/>
        <v>1</v>
      </c>
      <c r="L84">
        <f t="shared" si="8"/>
        <v>1</v>
      </c>
      <c r="M84">
        <f t="shared" si="9"/>
        <v>1</v>
      </c>
      <c r="N84">
        <f t="shared" si="10"/>
        <v>0</v>
      </c>
      <c r="O84">
        <f t="shared" si="11"/>
        <v>3</v>
      </c>
      <c r="P84">
        <f t="shared" si="12"/>
        <v>0</v>
      </c>
      <c r="Q84">
        <f t="shared" si="13"/>
        <v>0</v>
      </c>
    </row>
    <row r="85" spans="1:17" x14ac:dyDescent="0.25">
      <c r="A85" s="11" t="s">
        <v>99</v>
      </c>
      <c r="B85" s="12" t="s">
        <v>22</v>
      </c>
      <c r="C85" s="13">
        <v>5</v>
      </c>
      <c r="D85" s="13">
        <v>56</v>
      </c>
      <c r="E85" s="13">
        <v>67</v>
      </c>
      <c r="F85" s="13">
        <v>81</v>
      </c>
      <c r="G85" s="13">
        <v>7</v>
      </c>
      <c r="H85" s="13">
        <v>11</v>
      </c>
      <c r="I85" s="13">
        <v>15</v>
      </c>
      <c r="J85" s="14">
        <v>13</v>
      </c>
      <c r="K85">
        <f t="shared" si="7"/>
        <v>1</v>
      </c>
      <c r="L85">
        <f t="shared" si="8"/>
        <v>1</v>
      </c>
      <c r="M85">
        <f t="shared" si="9"/>
        <v>1</v>
      </c>
      <c r="N85">
        <f t="shared" si="10"/>
        <v>0</v>
      </c>
      <c r="O85">
        <f t="shared" si="11"/>
        <v>3</v>
      </c>
      <c r="P85">
        <f t="shared" si="12"/>
        <v>0</v>
      </c>
      <c r="Q85">
        <f t="shared" si="13"/>
        <v>0</v>
      </c>
    </row>
    <row r="86" spans="1:17" x14ac:dyDescent="0.25">
      <c r="A86" s="7" t="s">
        <v>100</v>
      </c>
      <c r="B86" s="8" t="s">
        <v>22</v>
      </c>
      <c r="C86" s="9">
        <v>3</v>
      </c>
      <c r="D86" s="9">
        <v>28</v>
      </c>
      <c r="E86" s="9">
        <v>54</v>
      </c>
      <c r="F86" s="9">
        <v>36</v>
      </c>
      <c r="G86" s="9">
        <v>3</v>
      </c>
      <c r="H86" s="9">
        <v>8</v>
      </c>
      <c r="I86" s="9">
        <v>6</v>
      </c>
      <c r="J86" s="10">
        <v>5</v>
      </c>
      <c r="K86">
        <f t="shared" si="7"/>
        <v>1</v>
      </c>
      <c r="L86">
        <f t="shared" si="8"/>
        <v>1</v>
      </c>
      <c r="M86">
        <f t="shared" si="9"/>
        <v>1</v>
      </c>
      <c r="N86">
        <f t="shared" si="10"/>
        <v>0</v>
      </c>
      <c r="O86">
        <f t="shared" si="11"/>
        <v>3</v>
      </c>
      <c r="P86">
        <f t="shared" si="12"/>
        <v>0</v>
      </c>
      <c r="Q86">
        <f t="shared" si="13"/>
        <v>0</v>
      </c>
    </row>
    <row r="87" spans="1:17" x14ac:dyDescent="0.25">
      <c r="A87" s="11" t="s">
        <v>101</v>
      </c>
      <c r="B87" s="12" t="s">
        <v>22</v>
      </c>
      <c r="C87" s="13">
        <v>5</v>
      </c>
      <c r="D87" s="13">
        <v>153</v>
      </c>
      <c r="E87" s="13">
        <v>129</v>
      </c>
      <c r="F87" s="13">
        <v>127</v>
      </c>
      <c r="G87" s="13">
        <v>6</v>
      </c>
      <c r="H87" s="13">
        <v>39</v>
      </c>
      <c r="I87" s="13">
        <v>36</v>
      </c>
      <c r="J87" s="14">
        <v>35</v>
      </c>
      <c r="K87">
        <f t="shared" si="7"/>
        <v>1</v>
      </c>
      <c r="L87">
        <f t="shared" si="8"/>
        <v>1</v>
      </c>
      <c r="M87">
        <f t="shared" si="9"/>
        <v>1</v>
      </c>
      <c r="N87">
        <f t="shared" si="10"/>
        <v>0</v>
      </c>
      <c r="O87">
        <f t="shared" si="11"/>
        <v>3</v>
      </c>
      <c r="P87">
        <f t="shared" si="12"/>
        <v>0</v>
      </c>
      <c r="Q87">
        <f t="shared" si="13"/>
        <v>0</v>
      </c>
    </row>
    <row r="88" spans="1:17" x14ac:dyDescent="0.25">
      <c r="A88" s="7" t="s">
        <v>102</v>
      </c>
      <c r="B88" s="8" t="s">
        <v>13</v>
      </c>
      <c r="C88" s="9">
        <v>11</v>
      </c>
      <c r="D88" s="9">
        <v>0</v>
      </c>
      <c r="E88" s="9">
        <v>0</v>
      </c>
      <c r="F88" s="9">
        <v>1</v>
      </c>
      <c r="G88" s="9">
        <v>0</v>
      </c>
      <c r="H88" s="9">
        <v>0</v>
      </c>
      <c r="I88" s="9">
        <v>0</v>
      </c>
      <c r="J88" s="10">
        <v>0</v>
      </c>
      <c r="K88">
        <f t="shared" si="7"/>
        <v>1</v>
      </c>
      <c r="L88">
        <f t="shared" si="8"/>
        <v>0</v>
      </c>
      <c r="M88">
        <f t="shared" si="9"/>
        <v>1</v>
      </c>
      <c r="N88">
        <f t="shared" si="10"/>
        <v>1</v>
      </c>
      <c r="O88">
        <f t="shared" si="11"/>
        <v>3</v>
      </c>
      <c r="P88">
        <f t="shared" si="12"/>
        <v>0</v>
      </c>
      <c r="Q88">
        <f t="shared" si="13"/>
        <v>0</v>
      </c>
    </row>
    <row r="89" spans="1:17" x14ac:dyDescent="0.25">
      <c r="A89" s="11" t="s">
        <v>103</v>
      </c>
      <c r="B89" s="12" t="s">
        <v>13</v>
      </c>
      <c r="C89" s="13">
        <v>15</v>
      </c>
      <c r="D89" s="13">
        <v>3</v>
      </c>
      <c r="E89" s="13">
        <v>8</v>
      </c>
      <c r="F89" s="13">
        <v>12</v>
      </c>
      <c r="G89" s="13">
        <v>0</v>
      </c>
      <c r="H89" s="13">
        <v>0</v>
      </c>
      <c r="I89" s="13">
        <v>0</v>
      </c>
      <c r="J89" s="14">
        <v>0</v>
      </c>
      <c r="K89">
        <f t="shared" si="7"/>
        <v>1</v>
      </c>
      <c r="L89">
        <f t="shared" si="8"/>
        <v>0</v>
      </c>
      <c r="M89">
        <f t="shared" si="9"/>
        <v>1</v>
      </c>
      <c r="N89">
        <f t="shared" si="10"/>
        <v>1</v>
      </c>
      <c r="O89">
        <f t="shared" si="11"/>
        <v>3</v>
      </c>
      <c r="P89">
        <f t="shared" si="12"/>
        <v>0</v>
      </c>
      <c r="Q89">
        <f t="shared" si="13"/>
        <v>0</v>
      </c>
    </row>
    <row r="90" spans="1:17" x14ac:dyDescent="0.25">
      <c r="A90" s="7" t="s">
        <v>104</v>
      </c>
      <c r="B90" s="8" t="s">
        <v>22</v>
      </c>
      <c r="C90" s="9">
        <v>24</v>
      </c>
      <c r="D90" s="9">
        <v>56</v>
      </c>
      <c r="E90" s="9">
        <v>49</v>
      </c>
      <c r="F90" s="9">
        <v>43</v>
      </c>
      <c r="G90" s="9">
        <v>22</v>
      </c>
      <c r="H90" s="9">
        <v>118</v>
      </c>
      <c r="I90" s="9">
        <v>111</v>
      </c>
      <c r="J90" s="10">
        <v>100</v>
      </c>
      <c r="K90">
        <f t="shared" si="7"/>
        <v>1</v>
      </c>
      <c r="L90">
        <f t="shared" si="8"/>
        <v>1</v>
      </c>
      <c r="M90">
        <f t="shared" si="9"/>
        <v>1</v>
      </c>
      <c r="N90">
        <f t="shared" si="10"/>
        <v>0</v>
      </c>
      <c r="O90">
        <f t="shared" si="11"/>
        <v>3</v>
      </c>
      <c r="P90">
        <f t="shared" si="12"/>
        <v>0</v>
      </c>
      <c r="Q90">
        <f t="shared" si="13"/>
        <v>0</v>
      </c>
    </row>
    <row r="91" spans="1:17" x14ac:dyDescent="0.25">
      <c r="A91" s="11" t="s">
        <v>105</v>
      </c>
      <c r="B91" s="12" t="s">
        <v>20</v>
      </c>
      <c r="C91" s="13">
        <v>22</v>
      </c>
      <c r="D91" s="13">
        <v>42</v>
      </c>
      <c r="E91" s="13">
        <v>18</v>
      </c>
      <c r="F91" s="13">
        <v>39</v>
      </c>
      <c r="G91" s="13">
        <v>15</v>
      </c>
      <c r="H91" s="13">
        <v>0</v>
      </c>
      <c r="I91" s="13">
        <v>1</v>
      </c>
      <c r="J91" s="14">
        <v>0</v>
      </c>
      <c r="K91">
        <f t="shared" si="7"/>
        <v>1</v>
      </c>
      <c r="L91">
        <f t="shared" si="8"/>
        <v>1</v>
      </c>
      <c r="M91">
        <f t="shared" si="9"/>
        <v>1</v>
      </c>
      <c r="N91">
        <f t="shared" si="10"/>
        <v>0</v>
      </c>
      <c r="O91">
        <f t="shared" si="11"/>
        <v>3</v>
      </c>
      <c r="P91">
        <f t="shared" si="12"/>
        <v>0</v>
      </c>
      <c r="Q91">
        <f t="shared" si="13"/>
        <v>0</v>
      </c>
    </row>
    <row r="92" spans="1:17" x14ac:dyDescent="0.25">
      <c r="A92" s="7" t="s">
        <v>106</v>
      </c>
      <c r="B92" s="8" t="s">
        <v>11</v>
      </c>
      <c r="C92" s="9">
        <v>16</v>
      </c>
      <c r="D92" s="9">
        <v>3</v>
      </c>
      <c r="E92" s="9">
        <v>3</v>
      </c>
      <c r="F92" s="9">
        <v>4</v>
      </c>
      <c r="G92" s="9">
        <v>2</v>
      </c>
      <c r="H92" s="9">
        <v>0</v>
      </c>
      <c r="I92" s="9">
        <v>0</v>
      </c>
      <c r="J92" s="10">
        <v>0</v>
      </c>
      <c r="K92">
        <f t="shared" si="7"/>
        <v>1</v>
      </c>
      <c r="L92">
        <f t="shared" si="8"/>
        <v>1</v>
      </c>
      <c r="M92">
        <f t="shared" si="9"/>
        <v>1</v>
      </c>
      <c r="N92">
        <f t="shared" si="10"/>
        <v>1</v>
      </c>
      <c r="O92">
        <f t="shared" si="11"/>
        <v>4</v>
      </c>
      <c r="P92">
        <f t="shared" si="12"/>
        <v>10</v>
      </c>
      <c r="Q92">
        <f t="shared" si="13"/>
        <v>1</v>
      </c>
    </row>
    <row r="93" spans="1:17" x14ac:dyDescent="0.25">
      <c r="A93" s="11" t="s">
        <v>107</v>
      </c>
      <c r="B93" s="12" t="s">
        <v>15</v>
      </c>
      <c r="C93" s="13">
        <v>16</v>
      </c>
      <c r="D93" s="13">
        <v>1</v>
      </c>
      <c r="E93" s="13">
        <v>0</v>
      </c>
      <c r="F93" s="13">
        <v>2</v>
      </c>
      <c r="G93" s="13">
        <v>0</v>
      </c>
      <c r="H93" s="13">
        <v>0</v>
      </c>
      <c r="I93" s="13">
        <v>0</v>
      </c>
      <c r="J93" s="14">
        <v>0</v>
      </c>
      <c r="K93">
        <f t="shared" si="7"/>
        <v>1</v>
      </c>
      <c r="L93">
        <f t="shared" si="8"/>
        <v>0</v>
      </c>
      <c r="M93">
        <f t="shared" si="9"/>
        <v>1</v>
      </c>
      <c r="N93">
        <f t="shared" si="10"/>
        <v>1</v>
      </c>
      <c r="O93">
        <f t="shared" si="11"/>
        <v>3</v>
      </c>
      <c r="P93">
        <f t="shared" si="12"/>
        <v>0</v>
      </c>
      <c r="Q93">
        <f t="shared" si="13"/>
        <v>0</v>
      </c>
    </row>
    <row r="94" spans="1:17" x14ac:dyDescent="0.25">
      <c r="A94" s="7" t="s">
        <v>108</v>
      </c>
      <c r="B94" s="8" t="s">
        <v>15</v>
      </c>
      <c r="C94" s="9">
        <v>11</v>
      </c>
      <c r="D94" s="9">
        <v>0</v>
      </c>
      <c r="E94" s="9">
        <v>1</v>
      </c>
      <c r="F94" s="9">
        <v>0</v>
      </c>
      <c r="G94" s="9">
        <v>1</v>
      </c>
      <c r="H94" s="9">
        <v>0</v>
      </c>
      <c r="I94" s="9">
        <v>0</v>
      </c>
      <c r="J94" s="10">
        <v>0</v>
      </c>
      <c r="K94">
        <f t="shared" si="7"/>
        <v>1</v>
      </c>
      <c r="L94">
        <f t="shared" si="8"/>
        <v>1</v>
      </c>
      <c r="M94">
        <f t="shared" si="9"/>
        <v>1</v>
      </c>
      <c r="N94">
        <f t="shared" si="10"/>
        <v>1</v>
      </c>
      <c r="O94">
        <f t="shared" si="11"/>
        <v>4</v>
      </c>
      <c r="P94">
        <f t="shared" si="12"/>
        <v>1</v>
      </c>
      <c r="Q94">
        <f t="shared" si="13"/>
        <v>1</v>
      </c>
    </row>
    <row r="95" spans="1:17" x14ac:dyDescent="0.25">
      <c r="A95" s="11" t="s">
        <v>109</v>
      </c>
      <c r="B95" s="12" t="s">
        <v>15</v>
      </c>
      <c r="C95" s="13">
        <v>17</v>
      </c>
      <c r="D95" s="13">
        <v>1</v>
      </c>
      <c r="E95" s="13">
        <v>3</v>
      </c>
      <c r="F95" s="13">
        <v>0</v>
      </c>
      <c r="G95" s="13">
        <v>2</v>
      </c>
      <c r="H95" s="13">
        <v>0</v>
      </c>
      <c r="I95" s="13">
        <v>0</v>
      </c>
      <c r="J95" s="14">
        <v>0</v>
      </c>
      <c r="K95">
        <f t="shared" si="7"/>
        <v>1</v>
      </c>
      <c r="L95">
        <f t="shared" si="8"/>
        <v>1</v>
      </c>
      <c r="M95">
        <f t="shared" si="9"/>
        <v>1</v>
      </c>
      <c r="N95">
        <f t="shared" si="10"/>
        <v>1</v>
      </c>
      <c r="O95">
        <f t="shared" si="11"/>
        <v>4</v>
      </c>
      <c r="P95">
        <f t="shared" si="12"/>
        <v>4</v>
      </c>
      <c r="Q95">
        <f t="shared" si="13"/>
        <v>1</v>
      </c>
    </row>
    <row r="96" spans="1:17" x14ac:dyDescent="0.25">
      <c r="A96" s="7" t="s">
        <v>110</v>
      </c>
      <c r="B96" s="8" t="s">
        <v>22</v>
      </c>
      <c r="C96" s="9">
        <v>20</v>
      </c>
      <c r="D96" s="9">
        <v>64</v>
      </c>
      <c r="E96" s="9">
        <v>82</v>
      </c>
      <c r="F96" s="9">
        <v>125</v>
      </c>
      <c r="G96" s="9">
        <v>22</v>
      </c>
      <c r="H96" s="9">
        <v>6</v>
      </c>
      <c r="I96" s="9">
        <v>7</v>
      </c>
      <c r="J96" s="10">
        <v>7</v>
      </c>
      <c r="K96">
        <f t="shared" si="7"/>
        <v>1</v>
      </c>
      <c r="L96">
        <f t="shared" si="8"/>
        <v>1</v>
      </c>
      <c r="M96">
        <f t="shared" si="9"/>
        <v>1</v>
      </c>
      <c r="N96">
        <f t="shared" si="10"/>
        <v>0</v>
      </c>
      <c r="O96">
        <f t="shared" si="11"/>
        <v>3</v>
      </c>
      <c r="P96">
        <f t="shared" si="12"/>
        <v>0</v>
      </c>
      <c r="Q96">
        <f t="shared" si="13"/>
        <v>0</v>
      </c>
    </row>
    <row r="97" spans="1:17" x14ac:dyDescent="0.25">
      <c r="A97" s="11" t="s">
        <v>111</v>
      </c>
      <c r="B97" s="12" t="s">
        <v>25</v>
      </c>
      <c r="C97" s="13">
        <v>17</v>
      </c>
      <c r="D97" s="13">
        <v>0</v>
      </c>
      <c r="E97" s="13">
        <v>2</v>
      </c>
      <c r="F97" s="13">
        <v>6</v>
      </c>
      <c r="G97" s="13">
        <v>6</v>
      </c>
      <c r="H97" s="13">
        <v>0</v>
      </c>
      <c r="I97" s="13">
        <v>0</v>
      </c>
      <c r="J97" s="14">
        <v>0</v>
      </c>
      <c r="K97">
        <f t="shared" si="7"/>
        <v>1</v>
      </c>
      <c r="L97">
        <f t="shared" si="8"/>
        <v>1</v>
      </c>
      <c r="M97">
        <f t="shared" si="9"/>
        <v>1</v>
      </c>
      <c r="N97">
        <f t="shared" si="10"/>
        <v>1</v>
      </c>
      <c r="O97">
        <f t="shared" si="11"/>
        <v>4</v>
      </c>
      <c r="P97">
        <f t="shared" si="12"/>
        <v>8</v>
      </c>
      <c r="Q97">
        <f t="shared" si="13"/>
        <v>1</v>
      </c>
    </row>
    <row r="98" spans="1:17" x14ac:dyDescent="0.25">
      <c r="A98" s="7" t="s">
        <v>112</v>
      </c>
      <c r="B98" s="8" t="s">
        <v>22</v>
      </c>
      <c r="C98" s="9">
        <v>23</v>
      </c>
      <c r="D98" s="9">
        <v>4</v>
      </c>
      <c r="E98" s="9">
        <v>8</v>
      </c>
      <c r="F98" s="9">
        <v>11</v>
      </c>
      <c r="G98" s="9">
        <v>7</v>
      </c>
      <c r="H98" s="9">
        <v>0</v>
      </c>
      <c r="I98" s="9">
        <v>0</v>
      </c>
      <c r="J98" s="10">
        <v>0</v>
      </c>
      <c r="K98">
        <f t="shared" si="7"/>
        <v>1</v>
      </c>
      <c r="L98">
        <f t="shared" si="8"/>
        <v>1</v>
      </c>
      <c r="M98">
        <f t="shared" si="9"/>
        <v>1</v>
      </c>
      <c r="N98">
        <f t="shared" si="10"/>
        <v>1</v>
      </c>
      <c r="O98">
        <f t="shared" si="11"/>
        <v>4</v>
      </c>
      <c r="P98">
        <f t="shared" si="12"/>
        <v>23</v>
      </c>
      <c r="Q98">
        <f t="shared" si="13"/>
        <v>1</v>
      </c>
    </row>
    <row r="99" spans="1:17" x14ac:dyDescent="0.25">
      <c r="A99" s="11" t="s">
        <v>113</v>
      </c>
      <c r="B99" s="12" t="s">
        <v>13</v>
      </c>
      <c r="C99" s="13">
        <v>18</v>
      </c>
      <c r="D99" s="13">
        <v>23</v>
      </c>
      <c r="E99" s="13">
        <v>26</v>
      </c>
      <c r="F99" s="13">
        <v>27</v>
      </c>
      <c r="G99" s="13">
        <v>6</v>
      </c>
      <c r="H99" s="13">
        <v>0</v>
      </c>
      <c r="I99" s="13">
        <v>0</v>
      </c>
      <c r="J99" s="14">
        <v>0</v>
      </c>
      <c r="K99">
        <f t="shared" si="7"/>
        <v>1</v>
      </c>
      <c r="L99">
        <f t="shared" si="8"/>
        <v>1</v>
      </c>
      <c r="M99">
        <f t="shared" si="9"/>
        <v>1</v>
      </c>
      <c r="N99">
        <f t="shared" si="10"/>
        <v>1</v>
      </c>
      <c r="O99">
        <f t="shared" si="11"/>
        <v>4</v>
      </c>
      <c r="P99">
        <f t="shared" si="12"/>
        <v>76</v>
      </c>
      <c r="Q99">
        <f t="shared" si="13"/>
        <v>1</v>
      </c>
    </row>
    <row r="100" spans="1:17" x14ac:dyDescent="0.25">
      <c r="A100" s="7" t="s">
        <v>114</v>
      </c>
      <c r="B100" s="8" t="s">
        <v>22</v>
      </c>
      <c r="C100" s="9">
        <v>5</v>
      </c>
      <c r="D100" s="9">
        <v>133</v>
      </c>
      <c r="E100" s="9">
        <v>122</v>
      </c>
      <c r="F100" s="9">
        <v>142</v>
      </c>
      <c r="G100" s="9">
        <v>6</v>
      </c>
      <c r="H100" s="9">
        <v>49</v>
      </c>
      <c r="I100" s="9">
        <v>40</v>
      </c>
      <c r="J100" s="10">
        <v>35</v>
      </c>
      <c r="K100">
        <f t="shared" si="7"/>
        <v>1</v>
      </c>
      <c r="L100">
        <f t="shared" si="8"/>
        <v>1</v>
      </c>
      <c r="M100">
        <f t="shared" si="9"/>
        <v>1</v>
      </c>
      <c r="N100">
        <f t="shared" si="10"/>
        <v>0</v>
      </c>
      <c r="O100">
        <f t="shared" si="11"/>
        <v>3</v>
      </c>
      <c r="P100">
        <f t="shared" si="12"/>
        <v>0</v>
      </c>
      <c r="Q100">
        <f t="shared" si="13"/>
        <v>0</v>
      </c>
    </row>
    <row r="101" spans="1:17" x14ac:dyDescent="0.25">
      <c r="A101" s="11" t="s">
        <v>115</v>
      </c>
      <c r="B101" s="12" t="s">
        <v>22</v>
      </c>
      <c r="C101" s="13">
        <v>3</v>
      </c>
      <c r="D101" s="13">
        <v>1</v>
      </c>
      <c r="E101" s="13">
        <v>4</v>
      </c>
      <c r="F101" s="13">
        <v>3</v>
      </c>
      <c r="G101" s="13">
        <v>0</v>
      </c>
      <c r="H101" s="13">
        <v>0</v>
      </c>
      <c r="I101" s="13">
        <v>0</v>
      </c>
      <c r="J101" s="14">
        <v>0</v>
      </c>
      <c r="K101">
        <f t="shared" si="7"/>
        <v>1</v>
      </c>
      <c r="L101">
        <f t="shared" si="8"/>
        <v>0</v>
      </c>
      <c r="M101">
        <f t="shared" si="9"/>
        <v>1</v>
      </c>
      <c r="N101">
        <f t="shared" si="10"/>
        <v>1</v>
      </c>
      <c r="O101">
        <f t="shared" si="11"/>
        <v>3</v>
      </c>
      <c r="P101">
        <f t="shared" si="12"/>
        <v>0</v>
      </c>
      <c r="Q101">
        <f t="shared" si="13"/>
        <v>0</v>
      </c>
    </row>
    <row r="102" spans="1:17" x14ac:dyDescent="0.25">
      <c r="A102" s="7" t="s">
        <v>116</v>
      </c>
      <c r="B102" s="8" t="s">
        <v>22</v>
      </c>
      <c r="C102" s="9">
        <v>20</v>
      </c>
      <c r="D102" s="9">
        <v>88</v>
      </c>
      <c r="E102" s="9">
        <v>94</v>
      </c>
      <c r="F102" s="9">
        <v>119</v>
      </c>
      <c r="G102" s="9">
        <v>20</v>
      </c>
      <c r="H102" s="9">
        <v>0</v>
      </c>
      <c r="I102" s="9">
        <v>0</v>
      </c>
      <c r="J102" s="10">
        <v>1</v>
      </c>
      <c r="K102">
        <f t="shared" si="7"/>
        <v>1</v>
      </c>
      <c r="L102">
        <f t="shared" si="8"/>
        <v>1</v>
      </c>
      <c r="M102">
        <f t="shared" si="9"/>
        <v>1</v>
      </c>
      <c r="N102">
        <f t="shared" si="10"/>
        <v>0</v>
      </c>
      <c r="O102">
        <f t="shared" si="11"/>
        <v>3</v>
      </c>
      <c r="P102">
        <f t="shared" si="12"/>
        <v>0</v>
      </c>
      <c r="Q102">
        <f t="shared" si="13"/>
        <v>0</v>
      </c>
    </row>
    <row r="103" spans="1:17" x14ac:dyDescent="0.25">
      <c r="A103" s="11" t="s">
        <v>117</v>
      </c>
      <c r="B103" s="12" t="s">
        <v>13</v>
      </c>
      <c r="C103" s="13">
        <v>13</v>
      </c>
      <c r="D103" s="13">
        <v>0</v>
      </c>
      <c r="E103" s="13">
        <v>1</v>
      </c>
      <c r="F103" s="13">
        <v>0</v>
      </c>
      <c r="G103" s="13">
        <v>5</v>
      </c>
      <c r="H103" s="13">
        <v>0</v>
      </c>
      <c r="I103" s="13">
        <v>0</v>
      </c>
      <c r="J103" s="14">
        <v>0</v>
      </c>
      <c r="K103">
        <f t="shared" si="7"/>
        <v>1</v>
      </c>
      <c r="L103">
        <f t="shared" si="8"/>
        <v>1</v>
      </c>
      <c r="M103">
        <f t="shared" si="9"/>
        <v>1</v>
      </c>
      <c r="N103">
        <f t="shared" si="10"/>
        <v>1</v>
      </c>
      <c r="O103">
        <f t="shared" si="11"/>
        <v>4</v>
      </c>
      <c r="P103">
        <f t="shared" si="12"/>
        <v>1</v>
      </c>
      <c r="Q103">
        <f t="shared" si="13"/>
        <v>1</v>
      </c>
    </row>
    <row r="104" spans="1:17" x14ac:dyDescent="0.25">
      <c r="A104" s="7" t="s">
        <v>118</v>
      </c>
      <c r="B104" s="8" t="s">
        <v>22</v>
      </c>
      <c r="C104" s="9">
        <v>3</v>
      </c>
      <c r="D104" s="9">
        <v>1</v>
      </c>
      <c r="E104" s="9">
        <v>2</v>
      </c>
      <c r="F104" s="9">
        <v>4</v>
      </c>
      <c r="G104" s="9">
        <v>2</v>
      </c>
      <c r="H104" s="9">
        <v>0</v>
      </c>
      <c r="I104" s="9">
        <v>0</v>
      </c>
      <c r="J104" s="10">
        <v>0</v>
      </c>
      <c r="K104">
        <f t="shared" si="7"/>
        <v>1</v>
      </c>
      <c r="L104">
        <f t="shared" si="8"/>
        <v>1</v>
      </c>
      <c r="M104">
        <f t="shared" si="9"/>
        <v>1</v>
      </c>
      <c r="N104">
        <f t="shared" si="10"/>
        <v>1</v>
      </c>
      <c r="O104">
        <f t="shared" si="11"/>
        <v>4</v>
      </c>
      <c r="P104">
        <f t="shared" si="12"/>
        <v>7</v>
      </c>
      <c r="Q104">
        <f t="shared" si="13"/>
        <v>1</v>
      </c>
    </row>
    <row r="105" spans="1:17" x14ac:dyDescent="0.25">
      <c r="A105" s="11" t="s">
        <v>119</v>
      </c>
      <c r="B105" s="12" t="s">
        <v>22</v>
      </c>
      <c r="C105" s="13">
        <v>1</v>
      </c>
      <c r="D105" s="13">
        <v>0</v>
      </c>
      <c r="E105" s="13">
        <v>2</v>
      </c>
      <c r="F105" s="13">
        <v>0</v>
      </c>
      <c r="G105" s="13">
        <v>1</v>
      </c>
      <c r="H105" s="13">
        <v>0</v>
      </c>
      <c r="I105" s="13">
        <v>0</v>
      </c>
      <c r="J105" s="14">
        <v>0</v>
      </c>
      <c r="K105">
        <f t="shared" si="7"/>
        <v>1</v>
      </c>
      <c r="L105">
        <f t="shared" si="8"/>
        <v>1</v>
      </c>
      <c r="M105">
        <f t="shared" si="9"/>
        <v>1</v>
      </c>
      <c r="N105">
        <f t="shared" si="10"/>
        <v>1</v>
      </c>
      <c r="O105">
        <f t="shared" si="11"/>
        <v>4</v>
      </c>
      <c r="P105">
        <f t="shared" si="12"/>
        <v>2</v>
      </c>
      <c r="Q105">
        <f t="shared" si="13"/>
        <v>1</v>
      </c>
    </row>
    <row r="106" spans="1:17" x14ac:dyDescent="0.25">
      <c r="A106" s="7" t="s">
        <v>120</v>
      </c>
      <c r="B106" s="8" t="s">
        <v>11</v>
      </c>
      <c r="C106" s="9">
        <v>15</v>
      </c>
      <c r="D106" s="9">
        <v>0</v>
      </c>
      <c r="E106" s="9">
        <v>2</v>
      </c>
      <c r="F106" s="9">
        <v>2</v>
      </c>
      <c r="G106" s="9">
        <v>0</v>
      </c>
      <c r="H106" s="9">
        <v>0</v>
      </c>
      <c r="I106" s="9">
        <v>0</v>
      </c>
      <c r="J106" s="10">
        <v>0</v>
      </c>
      <c r="K106">
        <f t="shared" si="7"/>
        <v>1</v>
      </c>
      <c r="L106">
        <f t="shared" si="8"/>
        <v>0</v>
      </c>
      <c r="M106">
        <f t="shared" si="9"/>
        <v>1</v>
      </c>
      <c r="N106">
        <f t="shared" si="10"/>
        <v>1</v>
      </c>
      <c r="O106">
        <f t="shared" si="11"/>
        <v>3</v>
      </c>
      <c r="P106">
        <f t="shared" si="12"/>
        <v>0</v>
      </c>
      <c r="Q106">
        <f t="shared" si="13"/>
        <v>0</v>
      </c>
    </row>
    <row r="107" spans="1:17" x14ac:dyDescent="0.25">
      <c r="A107" s="11" t="s">
        <v>121</v>
      </c>
      <c r="B107" s="12" t="s">
        <v>22</v>
      </c>
      <c r="C107" s="13">
        <v>5</v>
      </c>
      <c r="D107" s="13">
        <v>7</v>
      </c>
      <c r="E107" s="13">
        <v>9</v>
      </c>
      <c r="F107" s="13">
        <v>8</v>
      </c>
      <c r="G107" s="13">
        <v>6</v>
      </c>
      <c r="H107" s="13">
        <v>2</v>
      </c>
      <c r="I107" s="13">
        <v>2</v>
      </c>
      <c r="J107" s="14">
        <v>1</v>
      </c>
      <c r="K107">
        <f t="shared" si="7"/>
        <v>1</v>
      </c>
      <c r="L107">
        <f t="shared" si="8"/>
        <v>1</v>
      </c>
      <c r="M107">
        <f t="shared" si="9"/>
        <v>1</v>
      </c>
      <c r="N107">
        <f t="shared" si="10"/>
        <v>0</v>
      </c>
      <c r="O107">
        <f t="shared" si="11"/>
        <v>3</v>
      </c>
      <c r="P107">
        <f t="shared" si="12"/>
        <v>0</v>
      </c>
      <c r="Q107">
        <f t="shared" si="13"/>
        <v>0</v>
      </c>
    </row>
    <row r="108" spans="1:17" x14ac:dyDescent="0.25">
      <c r="A108" s="7" t="s">
        <v>122</v>
      </c>
      <c r="B108" s="8" t="s">
        <v>22</v>
      </c>
      <c r="C108" s="9">
        <v>6</v>
      </c>
      <c r="D108" s="9">
        <v>4</v>
      </c>
      <c r="E108" s="9">
        <v>6</v>
      </c>
      <c r="F108" s="9">
        <v>9</v>
      </c>
      <c r="G108" s="9">
        <v>7</v>
      </c>
      <c r="H108" s="9">
        <v>2</v>
      </c>
      <c r="I108" s="9">
        <v>4</v>
      </c>
      <c r="J108" s="10">
        <v>9</v>
      </c>
      <c r="K108">
        <f t="shared" si="7"/>
        <v>1</v>
      </c>
      <c r="L108">
        <f t="shared" si="8"/>
        <v>1</v>
      </c>
      <c r="M108">
        <f t="shared" si="9"/>
        <v>1</v>
      </c>
      <c r="N108">
        <f t="shared" si="10"/>
        <v>0</v>
      </c>
      <c r="O108">
        <f t="shared" si="11"/>
        <v>3</v>
      </c>
      <c r="P108">
        <f t="shared" si="12"/>
        <v>0</v>
      </c>
      <c r="Q108">
        <f t="shared" si="13"/>
        <v>0</v>
      </c>
    </row>
    <row r="109" spans="1:17" x14ac:dyDescent="0.25">
      <c r="A109" s="11" t="s">
        <v>123</v>
      </c>
      <c r="B109" s="12" t="s">
        <v>11</v>
      </c>
      <c r="C109" s="13">
        <v>16</v>
      </c>
      <c r="D109" s="13">
        <v>0</v>
      </c>
      <c r="E109" s="13">
        <v>2</v>
      </c>
      <c r="F109" s="13">
        <v>0</v>
      </c>
      <c r="G109" s="13">
        <v>0</v>
      </c>
      <c r="H109" s="13">
        <v>0</v>
      </c>
      <c r="I109" s="13">
        <v>0</v>
      </c>
      <c r="J109" s="14">
        <v>0</v>
      </c>
      <c r="K109">
        <f t="shared" si="7"/>
        <v>1</v>
      </c>
      <c r="L109">
        <f t="shared" si="8"/>
        <v>0</v>
      </c>
      <c r="M109">
        <f t="shared" si="9"/>
        <v>1</v>
      </c>
      <c r="N109">
        <f t="shared" si="10"/>
        <v>1</v>
      </c>
      <c r="O109">
        <f t="shared" si="11"/>
        <v>3</v>
      </c>
      <c r="P109">
        <f t="shared" si="12"/>
        <v>0</v>
      </c>
      <c r="Q109">
        <f t="shared" si="13"/>
        <v>0</v>
      </c>
    </row>
    <row r="110" spans="1:17" x14ac:dyDescent="0.25">
      <c r="A110" s="7" t="s">
        <v>124</v>
      </c>
      <c r="B110" s="8" t="s">
        <v>25</v>
      </c>
      <c r="C110" s="9">
        <v>26</v>
      </c>
      <c r="D110" s="9">
        <v>976</v>
      </c>
      <c r="E110" s="9">
        <v>758</v>
      </c>
      <c r="F110" s="9">
        <v>666</v>
      </c>
      <c r="G110" s="9">
        <v>22</v>
      </c>
      <c r="H110" s="9">
        <v>96</v>
      </c>
      <c r="I110" s="9">
        <v>102</v>
      </c>
      <c r="J110" s="10">
        <v>83</v>
      </c>
      <c r="K110">
        <f t="shared" si="7"/>
        <v>1</v>
      </c>
      <c r="L110">
        <f t="shared" si="8"/>
        <v>1</v>
      </c>
      <c r="M110">
        <f t="shared" si="9"/>
        <v>1</v>
      </c>
      <c r="N110">
        <f t="shared" si="10"/>
        <v>0</v>
      </c>
      <c r="O110">
        <f t="shared" si="11"/>
        <v>3</v>
      </c>
      <c r="P110">
        <f t="shared" si="12"/>
        <v>0</v>
      </c>
      <c r="Q110">
        <f t="shared" si="13"/>
        <v>0</v>
      </c>
    </row>
    <row r="111" spans="1:17" x14ac:dyDescent="0.25">
      <c r="A111" s="11" t="s">
        <v>125</v>
      </c>
      <c r="B111" s="12" t="s">
        <v>13</v>
      </c>
      <c r="C111" s="13">
        <v>11</v>
      </c>
      <c r="D111" s="13">
        <v>0</v>
      </c>
      <c r="E111" s="13">
        <v>1</v>
      </c>
      <c r="F111" s="13">
        <v>0</v>
      </c>
      <c r="G111" s="13">
        <v>0</v>
      </c>
      <c r="H111" s="13">
        <v>0</v>
      </c>
      <c r="I111" s="13">
        <v>0</v>
      </c>
      <c r="J111" s="14">
        <v>0</v>
      </c>
      <c r="K111">
        <f t="shared" si="7"/>
        <v>1</v>
      </c>
      <c r="L111">
        <f t="shared" si="8"/>
        <v>0</v>
      </c>
      <c r="M111">
        <f t="shared" si="9"/>
        <v>1</v>
      </c>
      <c r="N111">
        <f t="shared" si="10"/>
        <v>1</v>
      </c>
      <c r="O111">
        <f t="shared" si="11"/>
        <v>3</v>
      </c>
      <c r="P111">
        <f t="shared" si="12"/>
        <v>0</v>
      </c>
      <c r="Q111">
        <f t="shared" si="13"/>
        <v>0</v>
      </c>
    </row>
    <row r="112" spans="1:17" x14ac:dyDescent="0.25">
      <c r="A112" s="7" t="s">
        <v>126</v>
      </c>
      <c r="B112" s="8" t="s">
        <v>15</v>
      </c>
      <c r="C112" s="9">
        <v>11</v>
      </c>
      <c r="D112" s="9">
        <v>1</v>
      </c>
      <c r="E112" s="9">
        <v>0</v>
      </c>
      <c r="F112" s="9">
        <v>1</v>
      </c>
      <c r="G112" s="9">
        <v>0</v>
      </c>
      <c r="H112" s="9">
        <v>0</v>
      </c>
      <c r="I112" s="9">
        <v>0</v>
      </c>
      <c r="J112" s="10">
        <v>0</v>
      </c>
      <c r="K112">
        <f t="shared" si="7"/>
        <v>1</v>
      </c>
      <c r="L112">
        <f t="shared" si="8"/>
        <v>0</v>
      </c>
      <c r="M112">
        <f t="shared" si="9"/>
        <v>1</v>
      </c>
      <c r="N112">
        <f t="shared" si="10"/>
        <v>1</v>
      </c>
      <c r="O112">
        <f t="shared" si="11"/>
        <v>3</v>
      </c>
      <c r="P112">
        <f t="shared" si="12"/>
        <v>0</v>
      </c>
      <c r="Q112">
        <f t="shared" si="13"/>
        <v>0</v>
      </c>
    </row>
    <row r="113" spans="1:17" x14ac:dyDescent="0.25">
      <c r="A113" s="11" t="s">
        <v>127</v>
      </c>
      <c r="B113" s="12" t="s">
        <v>11</v>
      </c>
      <c r="C113" s="13">
        <v>12</v>
      </c>
      <c r="D113" s="13">
        <v>1</v>
      </c>
      <c r="E113" s="13">
        <v>1</v>
      </c>
      <c r="F113" s="13">
        <v>1</v>
      </c>
      <c r="G113" s="13">
        <v>0</v>
      </c>
      <c r="H113" s="13">
        <v>0</v>
      </c>
      <c r="I113" s="13">
        <v>0</v>
      </c>
      <c r="J113" s="14">
        <v>0</v>
      </c>
      <c r="K113">
        <f t="shared" si="7"/>
        <v>1</v>
      </c>
      <c r="L113">
        <f t="shared" si="8"/>
        <v>0</v>
      </c>
      <c r="M113">
        <f t="shared" si="9"/>
        <v>1</v>
      </c>
      <c r="N113">
        <f t="shared" si="10"/>
        <v>1</v>
      </c>
      <c r="O113">
        <f t="shared" si="11"/>
        <v>3</v>
      </c>
      <c r="P113">
        <f t="shared" si="12"/>
        <v>0</v>
      </c>
      <c r="Q113">
        <f t="shared" si="13"/>
        <v>0</v>
      </c>
    </row>
    <row r="114" spans="1:17" x14ac:dyDescent="0.25">
      <c r="A114" s="7" t="s">
        <v>128</v>
      </c>
      <c r="B114" s="8" t="s">
        <v>22</v>
      </c>
      <c r="C114" s="9">
        <v>27</v>
      </c>
      <c r="D114" s="9">
        <v>47</v>
      </c>
      <c r="E114" s="9">
        <v>73</v>
      </c>
      <c r="F114" s="9">
        <v>65</v>
      </c>
      <c r="G114" s="9">
        <v>22</v>
      </c>
      <c r="H114" s="9">
        <v>50</v>
      </c>
      <c r="I114" s="9">
        <v>40</v>
      </c>
      <c r="J114" s="10">
        <v>48</v>
      </c>
      <c r="K114">
        <f t="shared" si="7"/>
        <v>1</v>
      </c>
      <c r="L114">
        <f t="shared" si="8"/>
        <v>1</v>
      </c>
      <c r="M114">
        <f t="shared" si="9"/>
        <v>1</v>
      </c>
      <c r="N114">
        <f t="shared" si="10"/>
        <v>0</v>
      </c>
      <c r="O114">
        <f t="shared" si="11"/>
        <v>3</v>
      </c>
      <c r="P114">
        <f t="shared" si="12"/>
        <v>0</v>
      </c>
      <c r="Q114">
        <f t="shared" si="13"/>
        <v>0</v>
      </c>
    </row>
    <row r="115" spans="1:17" x14ac:dyDescent="0.25">
      <c r="A115" s="11" t="s">
        <v>129</v>
      </c>
      <c r="B115" s="12" t="s">
        <v>22</v>
      </c>
      <c r="C115" s="13">
        <v>26</v>
      </c>
      <c r="D115" s="13">
        <v>143</v>
      </c>
      <c r="E115" s="13">
        <v>164</v>
      </c>
      <c r="F115" s="13">
        <v>176</v>
      </c>
      <c r="G115" s="13">
        <v>22</v>
      </c>
      <c r="H115" s="13">
        <v>50</v>
      </c>
      <c r="I115" s="13">
        <v>40</v>
      </c>
      <c r="J115" s="14">
        <v>54</v>
      </c>
      <c r="K115">
        <f t="shared" si="7"/>
        <v>1</v>
      </c>
      <c r="L115">
        <f t="shared" si="8"/>
        <v>1</v>
      </c>
      <c r="M115">
        <f t="shared" si="9"/>
        <v>1</v>
      </c>
      <c r="N115">
        <f t="shared" si="10"/>
        <v>0</v>
      </c>
      <c r="O115">
        <f t="shared" si="11"/>
        <v>3</v>
      </c>
      <c r="P115">
        <f t="shared" si="12"/>
        <v>0</v>
      </c>
      <c r="Q115">
        <f t="shared" si="13"/>
        <v>0</v>
      </c>
    </row>
    <row r="116" spans="1:17" x14ac:dyDescent="0.25">
      <c r="A116" s="7" t="s">
        <v>130</v>
      </c>
      <c r="B116" s="8" t="s">
        <v>11</v>
      </c>
      <c r="C116" s="9">
        <v>5</v>
      </c>
      <c r="D116" s="9">
        <v>0</v>
      </c>
      <c r="E116" s="9">
        <v>1</v>
      </c>
      <c r="F116" s="9">
        <v>2</v>
      </c>
      <c r="G116" s="9">
        <v>4</v>
      </c>
      <c r="H116" s="9">
        <v>0</v>
      </c>
      <c r="I116" s="9">
        <v>0</v>
      </c>
      <c r="J116" s="10">
        <v>0</v>
      </c>
      <c r="K116">
        <f t="shared" si="7"/>
        <v>1</v>
      </c>
      <c r="L116">
        <f t="shared" si="8"/>
        <v>1</v>
      </c>
      <c r="M116">
        <f t="shared" si="9"/>
        <v>1</v>
      </c>
      <c r="N116">
        <f t="shared" si="10"/>
        <v>1</v>
      </c>
      <c r="O116">
        <f t="shared" si="11"/>
        <v>4</v>
      </c>
      <c r="P116">
        <f t="shared" si="12"/>
        <v>3</v>
      </c>
      <c r="Q116">
        <f t="shared" si="13"/>
        <v>1</v>
      </c>
    </row>
    <row r="117" spans="1:17" x14ac:dyDescent="0.25">
      <c r="A117" s="11" t="s">
        <v>131</v>
      </c>
      <c r="B117" s="12" t="s">
        <v>11</v>
      </c>
      <c r="C117" s="13">
        <v>15</v>
      </c>
      <c r="D117" s="13">
        <v>7</v>
      </c>
      <c r="E117" s="13">
        <v>6</v>
      </c>
      <c r="F117" s="13">
        <v>11</v>
      </c>
      <c r="G117" s="13">
        <v>3</v>
      </c>
      <c r="H117" s="13">
        <v>0</v>
      </c>
      <c r="I117" s="13">
        <v>0</v>
      </c>
      <c r="J117" s="14">
        <v>0</v>
      </c>
      <c r="K117">
        <f t="shared" si="7"/>
        <v>1</v>
      </c>
      <c r="L117">
        <f t="shared" si="8"/>
        <v>1</v>
      </c>
      <c r="M117">
        <f t="shared" si="9"/>
        <v>1</v>
      </c>
      <c r="N117">
        <f t="shared" si="10"/>
        <v>1</v>
      </c>
      <c r="O117">
        <f t="shared" si="11"/>
        <v>4</v>
      </c>
      <c r="P117">
        <f t="shared" si="12"/>
        <v>24</v>
      </c>
      <c r="Q117">
        <f t="shared" si="13"/>
        <v>1</v>
      </c>
    </row>
    <row r="118" spans="1:17" x14ac:dyDescent="0.25">
      <c r="A118" s="7" t="s">
        <v>132</v>
      </c>
      <c r="B118" s="8" t="s">
        <v>13</v>
      </c>
      <c r="C118" s="9">
        <v>12</v>
      </c>
      <c r="D118" s="9">
        <v>0</v>
      </c>
      <c r="E118" s="9">
        <v>2</v>
      </c>
      <c r="F118" s="9">
        <v>0</v>
      </c>
      <c r="G118" s="9">
        <v>0</v>
      </c>
      <c r="H118" s="9">
        <v>0</v>
      </c>
      <c r="I118" s="9">
        <v>0</v>
      </c>
      <c r="J118" s="10">
        <v>0</v>
      </c>
      <c r="K118">
        <f t="shared" si="7"/>
        <v>1</v>
      </c>
      <c r="L118">
        <f t="shared" si="8"/>
        <v>0</v>
      </c>
      <c r="M118">
        <f t="shared" si="9"/>
        <v>1</v>
      </c>
      <c r="N118">
        <f t="shared" si="10"/>
        <v>1</v>
      </c>
      <c r="O118">
        <f t="shared" si="11"/>
        <v>3</v>
      </c>
      <c r="P118">
        <f t="shared" si="12"/>
        <v>0</v>
      </c>
      <c r="Q118">
        <f t="shared" si="13"/>
        <v>0</v>
      </c>
    </row>
    <row r="119" spans="1:17" x14ac:dyDescent="0.25">
      <c r="A119" s="11" t="s">
        <v>133</v>
      </c>
      <c r="B119" s="12" t="s">
        <v>13</v>
      </c>
      <c r="C119" s="13">
        <v>9</v>
      </c>
      <c r="D119" s="13">
        <v>0</v>
      </c>
      <c r="E119" s="13">
        <v>0</v>
      </c>
      <c r="F119" s="13">
        <v>1</v>
      </c>
      <c r="G119" s="13">
        <v>1</v>
      </c>
      <c r="H119" s="13">
        <v>0</v>
      </c>
      <c r="I119" s="13">
        <v>0</v>
      </c>
      <c r="J119" s="14">
        <v>0</v>
      </c>
      <c r="K119">
        <f t="shared" si="7"/>
        <v>1</v>
      </c>
      <c r="L119">
        <f t="shared" si="8"/>
        <v>1</v>
      </c>
      <c r="M119">
        <f t="shared" si="9"/>
        <v>1</v>
      </c>
      <c r="N119">
        <f t="shared" si="10"/>
        <v>1</v>
      </c>
      <c r="O119">
        <f t="shared" si="11"/>
        <v>4</v>
      </c>
      <c r="P119">
        <f t="shared" si="12"/>
        <v>1</v>
      </c>
      <c r="Q119">
        <f t="shared" si="13"/>
        <v>1</v>
      </c>
    </row>
    <row r="120" spans="1:17" x14ac:dyDescent="0.25">
      <c r="A120" s="7" t="s">
        <v>134</v>
      </c>
      <c r="B120" s="8" t="s">
        <v>20</v>
      </c>
      <c r="C120" s="9">
        <v>8</v>
      </c>
      <c r="D120" s="9">
        <v>0</v>
      </c>
      <c r="E120" s="9">
        <v>1</v>
      </c>
      <c r="F120" s="9">
        <v>0</v>
      </c>
      <c r="G120" s="9">
        <v>1</v>
      </c>
      <c r="H120" s="9">
        <v>0</v>
      </c>
      <c r="I120" s="9">
        <v>0</v>
      </c>
      <c r="J120" s="10">
        <v>0</v>
      </c>
      <c r="K120">
        <f t="shared" si="7"/>
        <v>1</v>
      </c>
      <c r="L120">
        <f t="shared" si="8"/>
        <v>1</v>
      </c>
      <c r="M120">
        <f t="shared" si="9"/>
        <v>1</v>
      </c>
      <c r="N120">
        <f t="shared" si="10"/>
        <v>1</v>
      </c>
      <c r="O120">
        <f t="shared" si="11"/>
        <v>4</v>
      </c>
      <c r="P120">
        <f t="shared" si="12"/>
        <v>1</v>
      </c>
      <c r="Q120">
        <f t="shared" si="13"/>
        <v>1</v>
      </c>
    </row>
    <row r="121" spans="1:17" x14ac:dyDescent="0.25">
      <c r="A121" s="11" t="s">
        <v>135</v>
      </c>
      <c r="B121" s="12" t="s">
        <v>25</v>
      </c>
      <c r="C121" s="13">
        <v>16</v>
      </c>
      <c r="D121" s="13">
        <v>2</v>
      </c>
      <c r="E121" s="13">
        <v>5</v>
      </c>
      <c r="F121" s="13">
        <v>11</v>
      </c>
      <c r="G121" s="13">
        <v>3</v>
      </c>
      <c r="H121" s="13">
        <v>0</v>
      </c>
      <c r="I121" s="13">
        <v>0</v>
      </c>
      <c r="J121" s="14">
        <v>0</v>
      </c>
      <c r="K121">
        <f t="shared" si="7"/>
        <v>1</v>
      </c>
      <c r="L121">
        <f t="shared" si="8"/>
        <v>1</v>
      </c>
      <c r="M121">
        <f t="shared" si="9"/>
        <v>1</v>
      </c>
      <c r="N121">
        <f t="shared" si="10"/>
        <v>1</v>
      </c>
      <c r="O121">
        <f t="shared" si="11"/>
        <v>4</v>
      </c>
      <c r="P121">
        <f t="shared" si="12"/>
        <v>18</v>
      </c>
      <c r="Q121">
        <f t="shared" si="13"/>
        <v>1</v>
      </c>
    </row>
    <row r="122" spans="1:17" x14ac:dyDescent="0.25">
      <c r="A122" s="7" t="s">
        <v>136</v>
      </c>
      <c r="B122" s="8" t="s">
        <v>13</v>
      </c>
      <c r="C122" s="9">
        <v>13</v>
      </c>
      <c r="D122" s="9">
        <v>3</v>
      </c>
      <c r="E122" s="9">
        <v>3</v>
      </c>
      <c r="F122" s="9">
        <v>4</v>
      </c>
      <c r="G122" s="9">
        <v>0</v>
      </c>
      <c r="H122" s="9">
        <v>0</v>
      </c>
      <c r="I122" s="9">
        <v>0</v>
      </c>
      <c r="J122" s="10">
        <v>0</v>
      </c>
      <c r="K122">
        <f t="shared" si="7"/>
        <v>1</v>
      </c>
      <c r="L122">
        <f t="shared" si="8"/>
        <v>0</v>
      </c>
      <c r="M122">
        <f t="shared" si="9"/>
        <v>1</v>
      </c>
      <c r="N122">
        <f t="shared" si="10"/>
        <v>1</v>
      </c>
      <c r="O122">
        <f t="shared" si="11"/>
        <v>3</v>
      </c>
      <c r="P122">
        <f t="shared" si="12"/>
        <v>0</v>
      </c>
      <c r="Q122">
        <f t="shared" si="13"/>
        <v>0</v>
      </c>
    </row>
    <row r="123" spans="1:17" x14ac:dyDescent="0.25">
      <c r="A123" s="11" t="s">
        <v>137</v>
      </c>
      <c r="B123" s="12" t="s">
        <v>11</v>
      </c>
      <c r="C123" s="13">
        <v>21</v>
      </c>
      <c r="D123" s="13">
        <v>39</v>
      </c>
      <c r="E123" s="13">
        <v>25</v>
      </c>
      <c r="F123" s="13">
        <v>24</v>
      </c>
      <c r="G123" s="13">
        <v>16</v>
      </c>
      <c r="H123" s="13">
        <v>0</v>
      </c>
      <c r="I123" s="13">
        <v>0</v>
      </c>
      <c r="J123" s="14">
        <v>0</v>
      </c>
      <c r="K123">
        <f t="shared" si="7"/>
        <v>1</v>
      </c>
      <c r="L123">
        <f t="shared" si="8"/>
        <v>1</v>
      </c>
      <c r="M123">
        <f t="shared" si="9"/>
        <v>1</v>
      </c>
      <c r="N123">
        <f t="shared" si="10"/>
        <v>1</v>
      </c>
      <c r="O123">
        <f t="shared" si="11"/>
        <v>4</v>
      </c>
      <c r="P123">
        <f t="shared" si="12"/>
        <v>88</v>
      </c>
      <c r="Q123">
        <f t="shared" si="13"/>
        <v>1</v>
      </c>
    </row>
    <row r="124" spans="1:17" x14ac:dyDescent="0.25">
      <c r="A124" s="7" t="s">
        <v>138</v>
      </c>
      <c r="B124" s="8" t="s">
        <v>13</v>
      </c>
      <c r="C124" s="9">
        <v>14</v>
      </c>
      <c r="D124" s="9">
        <v>2</v>
      </c>
      <c r="E124" s="9">
        <v>3</v>
      </c>
      <c r="F124" s="9">
        <v>2</v>
      </c>
      <c r="G124" s="9">
        <v>0</v>
      </c>
      <c r="H124" s="9">
        <v>0</v>
      </c>
      <c r="I124" s="9">
        <v>0</v>
      </c>
      <c r="J124" s="10">
        <v>0</v>
      </c>
      <c r="K124">
        <f t="shared" si="7"/>
        <v>1</v>
      </c>
      <c r="L124">
        <f t="shared" si="8"/>
        <v>0</v>
      </c>
      <c r="M124">
        <f t="shared" si="9"/>
        <v>1</v>
      </c>
      <c r="N124">
        <f t="shared" si="10"/>
        <v>1</v>
      </c>
      <c r="O124">
        <f t="shared" si="11"/>
        <v>3</v>
      </c>
      <c r="P124">
        <f t="shared" si="12"/>
        <v>0</v>
      </c>
      <c r="Q124">
        <f t="shared" si="13"/>
        <v>0</v>
      </c>
    </row>
    <row r="125" spans="1:17" x14ac:dyDescent="0.25">
      <c r="A125" s="11" t="s">
        <v>139</v>
      </c>
      <c r="B125" s="12" t="s">
        <v>22</v>
      </c>
      <c r="C125" s="13">
        <v>5</v>
      </c>
      <c r="D125" s="13">
        <v>33</v>
      </c>
      <c r="E125" s="13">
        <v>27</v>
      </c>
      <c r="F125" s="13">
        <v>55</v>
      </c>
      <c r="G125" s="13">
        <v>6</v>
      </c>
      <c r="H125" s="13">
        <v>2</v>
      </c>
      <c r="I125" s="13">
        <v>1</v>
      </c>
      <c r="J125" s="14">
        <v>4</v>
      </c>
      <c r="K125">
        <f t="shared" si="7"/>
        <v>1</v>
      </c>
      <c r="L125">
        <f t="shared" si="8"/>
        <v>1</v>
      </c>
      <c r="M125">
        <f t="shared" si="9"/>
        <v>1</v>
      </c>
      <c r="N125">
        <f t="shared" si="10"/>
        <v>0</v>
      </c>
      <c r="O125">
        <f t="shared" si="11"/>
        <v>3</v>
      </c>
      <c r="P125">
        <f t="shared" si="12"/>
        <v>0</v>
      </c>
      <c r="Q125">
        <f t="shared" si="13"/>
        <v>0</v>
      </c>
    </row>
    <row r="126" spans="1:17" x14ac:dyDescent="0.25">
      <c r="A126" s="7" t="s">
        <v>140</v>
      </c>
      <c r="B126" s="8" t="s">
        <v>15</v>
      </c>
      <c r="C126" s="9">
        <v>20</v>
      </c>
      <c r="D126" s="9">
        <v>2</v>
      </c>
      <c r="E126" s="9">
        <v>2</v>
      </c>
      <c r="F126" s="9">
        <v>6</v>
      </c>
      <c r="G126" s="9">
        <v>1</v>
      </c>
      <c r="H126" s="9">
        <v>0</v>
      </c>
      <c r="I126" s="9">
        <v>0</v>
      </c>
      <c r="J126" s="10">
        <v>0</v>
      </c>
      <c r="K126">
        <f t="shared" si="7"/>
        <v>1</v>
      </c>
      <c r="L126">
        <f t="shared" si="8"/>
        <v>1</v>
      </c>
      <c r="M126">
        <f t="shared" si="9"/>
        <v>1</v>
      </c>
      <c r="N126">
        <f t="shared" si="10"/>
        <v>1</v>
      </c>
      <c r="O126">
        <f t="shared" si="11"/>
        <v>4</v>
      </c>
      <c r="P126">
        <f t="shared" si="12"/>
        <v>10</v>
      </c>
      <c r="Q126">
        <f t="shared" si="13"/>
        <v>1</v>
      </c>
    </row>
    <row r="127" spans="1:17" x14ac:dyDescent="0.25">
      <c r="A127" s="11" t="s">
        <v>141</v>
      </c>
      <c r="B127" s="12" t="s">
        <v>11</v>
      </c>
      <c r="C127" s="13">
        <v>5</v>
      </c>
      <c r="D127" s="13">
        <v>5</v>
      </c>
      <c r="E127" s="13">
        <v>5</v>
      </c>
      <c r="F127" s="13">
        <v>10</v>
      </c>
      <c r="G127" s="13">
        <v>6</v>
      </c>
      <c r="H127" s="13">
        <v>1</v>
      </c>
      <c r="I127" s="13">
        <v>0</v>
      </c>
      <c r="J127" s="14">
        <v>0</v>
      </c>
      <c r="K127">
        <f t="shared" si="7"/>
        <v>1</v>
      </c>
      <c r="L127">
        <f t="shared" si="8"/>
        <v>1</v>
      </c>
      <c r="M127">
        <f t="shared" si="9"/>
        <v>1</v>
      </c>
      <c r="N127">
        <f t="shared" si="10"/>
        <v>0</v>
      </c>
      <c r="O127">
        <f t="shared" si="11"/>
        <v>3</v>
      </c>
      <c r="P127">
        <f t="shared" si="12"/>
        <v>0</v>
      </c>
      <c r="Q127">
        <f t="shared" si="13"/>
        <v>0</v>
      </c>
    </row>
    <row r="128" spans="1:17" x14ac:dyDescent="0.25">
      <c r="A128" s="7" t="s">
        <v>142</v>
      </c>
      <c r="B128" s="8" t="s">
        <v>15</v>
      </c>
      <c r="C128" s="9">
        <v>17</v>
      </c>
      <c r="D128" s="9">
        <v>2</v>
      </c>
      <c r="E128" s="9">
        <v>2</v>
      </c>
      <c r="F128" s="9">
        <v>8</v>
      </c>
      <c r="G128" s="9">
        <v>4</v>
      </c>
      <c r="H128" s="9">
        <v>0</v>
      </c>
      <c r="I128" s="9">
        <v>0</v>
      </c>
      <c r="J128" s="10">
        <v>0</v>
      </c>
      <c r="K128">
        <f t="shared" si="7"/>
        <v>1</v>
      </c>
      <c r="L128">
        <f t="shared" si="8"/>
        <v>1</v>
      </c>
      <c r="M128">
        <f t="shared" si="9"/>
        <v>1</v>
      </c>
      <c r="N128">
        <f t="shared" si="10"/>
        <v>1</v>
      </c>
      <c r="O128">
        <f t="shared" si="11"/>
        <v>4</v>
      </c>
      <c r="P128">
        <f t="shared" si="12"/>
        <v>12</v>
      </c>
      <c r="Q128">
        <f t="shared" si="13"/>
        <v>1</v>
      </c>
    </row>
    <row r="129" spans="1:17" x14ac:dyDescent="0.25">
      <c r="A129" s="11" t="s">
        <v>143</v>
      </c>
      <c r="B129" s="12" t="s">
        <v>22</v>
      </c>
      <c r="C129" s="13">
        <v>25</v>
      </c>
      <c r="D129" s="13">
        <v>167</v>
      </c>
      <c r="E129" s="13">
        <v>144</v>
      </c>
      <c r="F129" s="13">
        <v>165</v>
      </c>
      <c r="G129" s="13">
        <v>22</v>
      </c>
      <c r="H129" s="13">
        <v>0</v>
      </c>
      <c r="I129" s="13">
        <v>2</v>
      </c>
      <c r="J129" s="14">
        <v>4</v>
      </c>
      <c r="K129">
        <f t="shared" si="7"/>
        <v>1</v>
      </c>
      <c r="L129">
        <f t="shared" si="8"/>
        <v>1</v>
      </c>
      <c r="M129">
        <f t="shared" si="9"/>
        <v>1</v>
      </c>
      <c r="N129">
        <f t="shared" si="10"/>
        <v>0</v>
      </c>
      <c r="O129">
        <f t="shared" si="11"/>
        <v>3</v>
      </c>
      <c r="P129">
        <f t="shared" si="12"/>
        <v>0</v>
      </c>
      <c r="Q129">
        <f t="shared" si="13"/>
        <v>0</v>
      </c>
    </row>
    <row r="130" spans="1:17" x14ac:dyDescent="0.25">
      <c r="A130" s="7" t="s">
        <v>144</v>
      </c>
      <c r="B130" s="8" t="s">
        <v>22</v>
      </c>
      <c r="C130" s="9">
        <v>27</v>
      </c>
      <c r="D130" s="9">
        <v>236</v>
      </c>
      <c r="E130" s="9">
        <v>272</v>
      </c>
      <c r="F130" s="9">
        <v>272</v>
      </c>
      <c r="G130" s="9">
        <v>22</v>
      </c>
      <c r="H130" s="9">
        <v>10</v>
      </c>
      <c r="I130" s="9">
        <v>4</v>
      </c>
      <c r="J130" s="10">
        <v>12</v>
      </c>
      <c r="K130">
        <f t="shared" si="7"/>
        <v>1</v>
      </c>
      <c r="L130">
        <f t="shared" si="8"/>
        <v>1</v>
      </c>
      <c r="M130">
        <f t="shared" si="9"/>
        <v>1</v>
      </c>
      <c r="N130">
        <f t="shared" si="10"/>
        <v>0</v>
      </c>
      <c r="O130">
        <f t="shared" si="11"/>
        <v>3</v>
      </c>
      <c r="P130">
        <f t="shared" si="12"/>
        <v>0</v>
      </c>
      <c r="Q130">
        <f t="shared" si="13"/>
        <v>0</v>
      </c>
    </row>
    <row r="131" spans="1:17" x14ac:dyDescent="0.25">
      <c r="A131" s="11" t="s">
        <v>145</v>
      </c>
      <c r="B131" s="12" t="s">
        <v>11</v>
      </c>
      <c r="C131" s="13">
        <v>14</v>
      </c>
      <c r="D131" s="13">
        <v>0</v>
      </c>
      <c r="E131" s="13">
        <v>2</v>
      </c>
      <c r="F131" s="13">
        <v>0</v>
      </c>
      <c r="G131" s="13">
        <v>0</v>
      </c>
      <c r="H131" s="13">
        <v>0</v>
      </c>
      <c r="I131" s="13">
        <v>0</v>
      </c>
      <c r="J131" s="14">
        <v>0</v>
      </c>
      <c r="K131">
        <f t="shared" ref="K131:K139" si="14">IF(C131&gt;0,1,0)</f>
        <v>1</v>
      </c>
      <c r="L131">
        <f t="shared" ref="L131:L139" si="15">IF(G131&gt;0,1,0)</f>
        <v>0</v>
      </c>
      <c r="M131">
        <f t="shared" ref="M131:M139" si="16">IF(OR(D131&gt;0,E131&gt;0,F131&gt;0),1,0)</f>
        <v>1</v>
      </c>
      <c r="N131">
        <f t="shared" ref="N131:N139" si="17">IF(AND(H131=0,I131=0,J131=0),1,0)</f>
        <v>1</v>
      </c>
      <c r="O131">
        <f t="shared" ref="O131:O139" si="18">SUM(K131:N131)</f>
        <v>3</v>
      </c>
      <c r="P131">
        <f t="shared" ref="P131:P139" si="19">IF(O131=4,SUM(D131:F131),0)</f>
        <v>0</v>
      </c>
      <c r="Q131">
        <f t="shared" ref="Q131:Q139" si="20">IF(P131&gt;0,1,0)</f>
        <v>0</v>
      </c>
    </row>
    <row r="132" spans="1:17" x14ac:dyDescent="0.25">
      <c r="A132" s="7" t="s">
        <v>146</v>
      </c>
      <c r="B132" s="8" t="s">
        <v>22</v>
      </c>
      <c r="C132" s="9">
        <v>26</v>
      </c>
      <c r="D132" s="9">
        <v>198</v>
      </c>
      <c r="E132" s="9">
        <v>166</v>
      </c>
      <c r="F132" s="9">
        <v>185</v>
      </c>
      <c r="G132" s="9">
        <v>22</v>
      </c>
      <c r="H132" s="9">
        <v>37</v>
      </c>
      <c r="I132" s="9">
        <v>34</v>
      </c>
      <c r="J132" s="10">
        <v>43</v>
      </c>
      <c r="K132">
        <f t="shared" si="14"/>
        <v>1</v>
      </c>
      <c r="L132">
        <f t="shared" si="15"/>
        <v>1</v>
      </c>
      <c r="M132">
        <f t="shared" si="16"/>
        <v>1</v>
      </c>
      <c r="N132">
        <f t="shared" si="17"/>
        <v>0</v>
      </c>
      <c r="O132">
        <f t="shared" si="18"/>
        <v>3</v>
      </c>
      <c r="P132">
        <f t="shared" si="19"/>
        <v>0</v>
      </c>
      <c r="Q132">
        <f t="shared" si="20"/>
        <v>0</v>
      </c>
    </row>
    <row r="133" spans="1:17" x14ac:dyDescent="0.25">
      <c r="A133" s="11" t="s">
        <v>147</v>
      </c>
      <c r="B133" s="12" t="s">
        <v>22</v>
      </c>
      <c r="C133" s="13">
        <v>1</v>
      </c>
      <c r="D133" s="13">
        <v>45</v>
      </c>
      <c r="E133" s="13">
        <v>38</v>
      </c>
      <c r="F133" s="13">
        <v>29</v>
      </c>
      <c r="G133" s="13">
        <v>1</v>
      </c>
      <c r="H133" s="13">
        <v>9</v>
      </c>
      <c r="I133" s="13">
        <v>6</v>
      </c>
      <c r="J133" s="14">
        <v>8</v>
      </c>
      <c r="K133">
        <f t="shared" si="14"/>
        <v>1</v>
      </c>
      <c r="L133">
        <f t="shared" si="15"/>
        <v>1</v>
      </c>
      <c r="M133">
        <f t="shared" si="16"/>
        <v>1</v>
      </c>
      <c r="N133">
        <f t="shared" si="17"/>
        <v>0</v>
      </c>
      <c r="O133">
        <f t="shared" si="18"/>
        <v>3</v>
      </c>
      <c r="P133">
        <f t="shared" si="19"/>
        <v>0</v>
      </c>
      <c r="Q133">
        <f t="shared" si="20"/>
        <v>0</v>
      </c>
    </row>
    <row r="134" spans="1:17" x14ac:dyDescent="0.25">
      <c r="A134" s="7" t="s">
        <v>148</v>
      </c>
      <c r="B134" s="8" t="s">
        <v>13</v>
      </c>
      <c r="C134" s="9">
        <v>12</v>
      </c>
      <c r="D134" s="9">
        <v>0</v>
      </c>
      <c r="E134" s="9">
        <v>1</v>
      </c>
      <c r="F134" s="9">
        <v>0</v>
      </c>
      <c r="G134" s="9">
        <v>0</v>
      </c>
      <c r="H134" s="9">
        <v>0</v>
      </c>
      <c r="I134" s="9">
        <v>0</v>
      </c>
      <c r="J134" s="10">
        <v>0</v>
      </c>
      <c r="K134">
        <f t="shared" si="14"/>
        <v>1</v>
      </c>
      <c r="L134">
        <f t="shared" si="15"/>
        <v>0</v>
      </c>
      <c r="M134">
        <f t="shared" si="16"/>
        <v>1</v>
      </c>
      <c r="N134">
        <f t="shared" si="17"/>
        <v>1</v>
      </c>
      <c r="O134">
        <f t="shared" si="18"/>
        <v>3</v>
      </c>
      <c r="P134">
        <f t="shared" si="19"/>
        <v>0</v>
      </c>
      <c r="Q134">
        <f t="shared" si="20"/>
        <v>0</v>
      </c>
    </row>
    <row r="135" spans="1:17" x14ac:dyDescent="0.25">
      <c r="A135" s="11" t="s">
        <v>149</v>
      </c>
      <c r="B135" s="12" t="s">
        <v>25</v>
      </c>
      <c r="C135" s="13">
        <v>11</v>
      </c>
      <c r="D135" s="13">
        <v>0</v>
      </c>
      <c r="E135" s="13">
        <v>1</v>
      </c>
      <c r="F135" s="13">
        <v>0</v>
      </c>
      <c r="G135" s="13">
        <v>7</v>
      </c>
      <c r="H135" s="13">
        <v>0</v>
      </c>
      <c r="I135" s="13">
        <v>0</v>
      </c>
      <c r="J135" s="14">
        <v>0</v>
      </c>
      <c r="K135">
        <f t="shared" si="14"/>
        <v>1</v>
      </c>
      <c r="L135">
        <f t="shared" si="15"/>
        <v>1</v>
      </c>
      <c r="M135">
        <f t="shared" si="16"/>
        <v>1</v>
      </c>
      <c r="N135">
        <f t="shared" si="17"/>
        <v>1</v>
      </c>
      <c r="O135">
        <f t="shared" si="18"/>
        <v>4</v>
      </c>
      <c r="P135">
        <f t="shared" si="19"/>
        <v>1</v>
      </c>
      <c r="Q135">
        <f t="shared" si="20"/>
        <v>1</v>
      </c>
    </row>
    <row r="136" spans="1:17" x14ac:dyDescent="0.25">
      <c r="A136" s="7" t="s">
        <v>150</v>
      </c>
      <c r="B136" s="8" t="s">
        <v>13</v>
      </c>
      <c r="C136" s="9">
        <v>12</v>
      </c>
      <c r="D136" s="9">
        <v>0</v>
      </c>
      <c r="E136" s="9">
        <v>1</v>
      </c>
      <c r="F136" s="9">
        <v>1</v>
      </c>
      <c r="G136" s="9">
        <v>0</v>
      </c>
      <c r="H136" s="9">
        <v>0</v>
      </c>
      <c r="I136" s="9">
        <v>0</v>
      </c>
      <c r="J136" s="10">
        <v>0</v>
      </c>
      <c r="K136">
        <f t="shared" si="14"/>
        <v>1</v>
      </c>
      <c r="L136">
        <f t="shared" si="15"/>
        <v>0</v>
      </c>
      <c r="M136">
        <f t="shared" si="16"/>
        <v>1</v>
      </c>
      <c r="N136">
        <f t="shared" si="17"/>
        <v>1</v>
      </c>
      <c r="O136">
        <f t="shared" si="18"/>
        <v>3</v>
      </c>
      <c r="P136">
        <f t="shared" si="19"/>
        <v>0</v>
      </c>
      <c r="Q136">
        <f t="shared" si="20"/>
        <v>0</v>
      </c>
    </row>
    <row r="137" spans="1:17" x14ac:dyDescent="0.25">
      <c r="A137" s="11" t="s">
        <v>151</v>
      </c>
      <c r="B137" s="12" t="s">
        <v>13</v>
      </c>
      <c r="C137" s="13">
        <v>12</v>
      </c>
      <c r="D137" s="13">
        <v>3</v>
      </c>
      <c r="E137" s="13">
        <v>4</v>
      </c>
      <c r="F137" s="13">
        <v>1</v>
      </c>
      <c r="G137" s="13">
        <v>1</v>
      </c>
      <c r="H137" s="13">
        <v>0</v>
      </c>
      <c r="I137" s="13">
        <v>0</v>
      </c>
      <c r="J137" s="14">
        <v>0</v>
      </c>
      <c r="K137">
        <f t="shared" si="14"/>
        <v>1</v>
      </c>
      <c r="L137">
        <f t="shared" si="15"/>
        <v>1</v>
      </c>
      <c r="M137">
        <f t="shared" si="16"/>
        <v>1</v>
      </c>
      <c r="N137">
        <f t="shared" si="17"/>
        <v>1</v>
      </c>
      <c r="O137">
        <f t="shared" si="18"/>
        <v>4</v>
      </c>
      <c r="P137">
        <f t="shared" si="19"/>
        <v>8</v>
      </c>
      <c r="Q137">
        <f t="shared" si="20"/>
        <v>1</v>
      </c>
    </row>
    <row r="138" spans="1:17" x14ac:dyDescent="0.25">
      <c r="A138" s="7" t="s">
        <v>152</v>
      </c>
      <c r="B138" s="8" t="s">
        <v>11</v>
      </c>
      <c r="C138" s="9">
        <v>8</v>
      </c>
      <c r="D138" s="9">
        <v>1</v>
      </c>
      <c r="E138" s="9">
        <v>0</v>
      </c>
      <c r="F138" s="9">
        <v>0</v>
      </c>
      <c r="G138" s="9">
        <v>0</v>
      </c>
      <c r="H138" s="9">
        <v>0</v>
      </c>
      <c r="I138" s="9">
        <v>0</v>
      </c>
      <c r="J138" s="10">
        <v>0</v>
      </c>
      <c r="K138">
        <f t="shared" si="14"/>
        <v>1</v>
      </c>
      <c r="L138">
        <f t="shared" si="15"/>
        <v>0</v>
      </c>
      <c r="M138">
        <f t="shared" si="16"/>
        <v>1</v>
      </c>
      <c r="N138">
        <f t="shared" si="17"/>
        <v>1</v>
      </c>
      <c r="O138">
        <f t="shared" si="18"/>
        <v>3</v>
      </c>
      <c r="P138">
        <f t="shared" si="19"/>
        <v>0</v>
      </c>
      <c r="Q138">
        <f t="shared" si="20"/>
        <v>0</v>
      </c>
    </row>
    <row r="139" spans="1:17" x14ac:dyDescent="0.25">
      <c r="A139" s="15" t="s">
        <v>153</v>
      </c>
      <c r="B139" s="16" t="s">
        <v>22</v>
      </c>
      <c r="C139" s="2">
        <v>9</v>
      </c>
      <c r="D139" s="2">
        <v>395</v>
      </c>
      <c r="E139" s="2">
        <v>319</v>
      </c>
      <c r="F139" s="2">
        <v>296</v>
      </c>
      <c r="G139" s="2">
        <v>9</v>
      </c>
      <c r="H139" s="2">
        <v>78</v>
      </c>
      <c r="I139" s="2">
        <v>57</v>
      </c>
      <c r="J139" s="3">
        <v>59</v>
      </c>
      <c r="K139">
        <f t="shared" si="14"/>
        <v>1</v>
      </c>
      <c r="L139">
        <f t="shared" si="15"/>
        <v>1</v>
      </c>
      <c r="M139">
        <f t="shared" si="16"/>
        <v>1</v>
      </c>
      <c r="N139">
        <f t="shared" si="17"/>
        <v>0</v>
      </c>
      <c r="O139">
        <f t="shared" si="18"/>
        <v>3</v>
      </c>
      <c r="P139">
        <f t="shared" si="19"/>
        <v>0</v>
      </c>
      <c r="Q139">
        <f t="shared" si="2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973BA-CE0A-4613-A911-6FC2B194E4D0}">
  <dimension ref="A1:P139"/>
  <sheetViews>
    <sheetView workbookViewId="0">
      <selection activeCell="P10" sqref="N3:P10"/>
    </sheetView>
  </sheetViews>
  <sheetFormatPr defaultRowHeight="15" x14ac:dyDescent="0.25"/>
  <cols>
    <col min="1" max="1" width="37.5703125" bestFit="1" customWidth="1"/>
    <col min="2" max="2" width="13.28515625" bestFit="1" customWidth="1"/>
    <col min="3" max="3" width="11.85546875" bestFit="1" customWidth="1"/>
    <col min="4" max="4" width="7.7109375" bestFit="1" customWidth="1"/>
    <col min="5" max="5" width="10.140625" bestFit="1" customWidth="1"/>
    <col min="6" max="6" width="10.7109375" bestFit="1" customWidth="1"/>
    <col min="7" max="7" width="13.5703125" bestFit="1" customWidth="1"/>
    <col min="8" max="8" width="9.7109375" bestFit="1" customWidth="1"/>
    <col min="9" max="9" width="12.140625" bestFit="1" customWidth="1"/>
    <col min="10" max="10" width="12.7109375" bestFit="1" customWidth="1"/>
    <col min="14" max="14" width="17.7109375" bestFit="1" customWidth="1"/>
    <col min="15" max="15" width="16.28515625" bestFit="1" customWidth="1"/>
    <col min="16" max="16" width="18.140625" bestFit="1" customWidth="1"/>
    <col min="17" max="17" width="12.7109375" bestFit="1" customWidth="1"/>
    <col min="18" max="18" width="13.28515625" bestFit="1" customWidth="1"/>
    <col min="19" max="19" width="4.7109375" bestFit="1" customWidth="1"/>
    <col min="20" max="20" width="7.140625" bestFit="1" customWidth="1"/>
    <col min="21" max="21" width="14.28515625" bestFit="1" customWidth="1"/>
    <col min="22" max="25" width="26" bestFit="1" customWidth="1"/>
    <col min="26" max="26" width="31.28515625" bestFit="1" customWidth="1"/>
    <col min="27" max="27" width="33" bestFit="1" customWidth="1"/>
  </cols>
  <sheetData>
    <row r="1" spans="1:16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18" t="s">
        <v>154</v>
      </c>
      <c r="L1" s="18" t="s">
        <v>155</v>
      </c>
    </row>
    <row r="2" spans="1:16" x14ac:dyDescent="0.25">
      <c r="A2" s="7" t="s">
        <v>10</v>
      </c>
      <c r="B2" s="8" t="s">
        <v>11</v>
      </c>
      <c r="C2" s="9">
        <v>13</v>
      </c>
      <c r="D2" s="9">
        <v>0</v>
      </c>
      <c r="E2" s="9">
        <v>0</v>
      </c>
      <c r="F2" s="9">
        <v>2</v>
      </c>
      <c r="G2" s="9">
        <v>0</v>
      </c>
      <c r="H2" s="9">
        <v>0</v>
      </c>
      <c r="I2" s="9">
        <v>0</v>
      </c>
      <c r="J2" s="10">
        <v>0</v>
      </c>
      <c r="K2">
        <f>IF(C2&gt;0,1,0)</f>
        <v>1</v>
      </c>
      <c r="L2">
        <f>IF(G2&gt;0,1,0)</f>
        <v>0</v>
      </c>
    </row>
    <row r="3" spans="1:16" x14ac:dyDescent="0.25">
      <c r="A3" s="11" t="s">
        <v>12</v>
      </c>
      <c r="B3" s="12" t="s">
        <v>13</v>
      </c>
      <c r="C3" s="13">
        <v>12</v>
      </c>
      <c r="D3" s="13">
        <v>5</v>
      </c>
      <c r="E3" s="13">
        <v>2</v>
      </c>
      <c r="F3" s="13">
        <v>8</v>
      </c>
      <c r="G3" s="13">
        <v>3</v>
      </c>
      <c r="H3" s="13">
        <v>0</v>
      </c>
      <c r="I3" s="13">
        <v>0</v>
      </c>
      <c r="J3" s="14">
        <v>0</v>
      </c>
      <c r="K3">
        <f t="shared" ref="K3:K66" si="0">IF(C3&gt;0,1,0)</f>
        <v>1</v>
      </c>
      <c r="L3">
        <f t="shared" ref="L3:L66" si="1">IF(G3&gt;0,1,0)</f>
        <v>1</v>
      </c>
      <c r="N3" s="19" t="s">
        <v>156</v>
      </c>
      <c r="O3" t="s">
        <v>158</v>
      </c>
      <c r="P3" t="s">
        <v>159</v>
      </c>
    </row>
    <row r="4" spans="1:16" x14ac:dyDescent="0.25">
      <c r="A4" s="7" t="s">
        <v>14</v>
      </c>
      <c r="B4" s="8" t="s">
        <v>15</v>
      </c>
      <c r="C4" s="9">
        <v>13</v>
      </c>
      <c r="D4" s="9">
        <v>0</v>
      </c>
      <c r="E4" s="9">
        <v>1</v>
      </c>
      <c r="F4" s="9">
        <v>0</v>
      </c>
      <c r="G4" s="9">
        <v>2</v>
      </c>
      <c r="H4" s="9">
        <v>0</v>
      </c>
      <c r="I4" s="9">
        <v>0</v>
      </c>
      <c r="J4" s="10">
        <v>0</v>
      </c>
      <c r="K4">
        <f t="shared" si="0"/>
        <v>1</v>
      </c>
      <c r="L4">
        <f t="shared" si="1"/>
        <v>1</v>
      </c>
      <c r="N4" s="20" t="s">
        <v>13</v>
      </c>
      <c r="O4" s="1">
        <v>297</v>
      </c>
      <c r="P4" s="1">
        <v>30</v>
      </c>
    </row>
    <row r="5" spans="1:16" x14ac:dyDescent="0.25">
      <c r="A5" s="11" t="s">
        <v>16</v>
      </c>
      <c r="B5" s="12" t="s">
        <v>11</v>
      </c>
      <c r="C5" s="13">
        <v>10</v>
      </c>
      <c r="D5" s="13">
        <v>0</v>
      </c>
      <c r="E5" s="13">
        <v>1</v>
      </c>
      <c r="F5" s="13">
        <v>2</v>
      </c>
      <c r="G5" s="13">
        <v>0</v>
      </c>
      <c r="H5" s="13">
        <v>0</v>
      </c>
      <c r="I5" s="13">
        <v>0</v>
      </c>
      <c r="J5" s="14">
        <v>0</v>
      </c>
      <c r="K5">
        <f t="shared" si="0"/>
        <v>1</v>
      </c>
      <c r="L5">
        <f t="shared" si="1"/>
        <v>0</v>
      </c>
      <c r="N5" s="20" t="s">
        <v>15</v>
      </c>
      <c r="O5" s="1">
        <v>218</v>
      </c>
      <c r="P5" s="1">
        <v>52</v>
      </c>
    </row>
    <row r="6" spans="1:16" x14ac:dyDescent="0.25">
      <c r="A6" s="7" t="s">
        <v>17</v>
      </c>
      <c r="B6" s="8" t="s">
        <v>15</v>
      </c>
      <c r="C6" s="9">
        <v>23</v>
      </c>
      <c r="D6" s="9">
        <v>18</v>
      </c>
      <c r="E6" s="9">
        <v>24</v>
      </c>
      <c r="F6" s="9">
        <v>28</v>
      </c>
      <c r="G6" s="9">
        <v>18</v>
      </c>
      <c r="H6" s="9">
        <v>0</v>
      </c>
      <c r="I6" s="9">
        <v>0</v>
      </c>
      <c r="J6" s="10">
        <v>0</v>
      </c>
      <c r="K6">
        <f t="shared" si="0"/>
        <v>1</v>
      </c>
      <c r="L6">
        <f t="shared" si="1"/>
        <v>1</v>
      </c>
      <c r="N6" s="20" t="s">
        <v>25</v>
      </c>
      <c r="O6" s="1">
        <v>236</v>
      </c>
      <c r="P6" s="1">
        <v>88</v>
      </c>
    </row>
    <row r="7" spans="1:16" x14ac:dyDescent="0.25">
      <c r="A7" s="11" t="s">
        <v>18</v>
      </c>
      <c r="B7" s="12" t="s">
        <v>11</v>
      </c>
      <c r="C7" s="13">
        <v>5</v>
      </c>
      <c r="D7" s="13">
        <v>1</v>
      </c>
      <c r="E7" s="13">
        <v>2</v>
      </c>
      <c r="F7" s="13">
        <v>9</v>
      </c>
      <c r="G7" s="13">
        <v>6</v>
      </c>
      <c r="H7" s="13">
        <v>0</v>
      </c>
      <c r="I7" s="13">
        <v>0</v>
      </c>
      <c r="J7" s="14">
        <v>0</v>
      </c>
      <c r="K7">
        <f t="shared" si="0"/>
        <v>1</v>
      </c>
      <c r="L7">
        <f t="shared" si="1"/>
        <v>1</v>
      </c>
      <c r="N7" s="20" t="s">
        <v>20</v>
      </c>
      <c r="O7" s="1">
        <v>55</v>
      </c>
      <c r="P7" s="1">
        <v>34</v>
      </c>
    </row>
    <row r="8" spans="1:16" x14ac:dyDescent="0.25">
      <c r="A8" s="7" t="s">
        <v>19</v>
      </c>
      <c r="B8" s="8" t="s">
        <v>20</v>
      </c>
      <c r="C8" s="9">
        <v>25</v>
      </c>
      <c r="D8" s="9">
        <v>138</v>
      </c>
      <c r="E8" s="9">
        <v>153</v>
      </c>
      <c r="F8" s="9">
        <v>177</v>
      </c>
      <c r="G8" s="9">
        <v>18</v>
      </c>
      <c r="H8" s="9">
        <v>5</v>
      </c>
      <c r="I8" s="9">
        <v>3</v>
      </c>
      <c r="J8" s="10">
        <v>4</v>
      </c>
      <c r="K8">
        <f t="shared" si="0"/>
        <v>1</v>
      </c>
      <c r="L8">
        <f t="shared" si="1"/>
        <v>1</v>
      </c>
      <c r="N8" s="20" t="s">
        <v>11</v>
      </c>
      <c r="O8" s="1">
        <v>422</v>
      </c>
      <c r="P8" s="1">
        <v>177</v>
      </c>
    </row>
    <row r="9" spans="1:16" x14ac:dyDescent="0.25">
      <c r="A9" s="11" t="s">
        <v>21</v>
      </c>
      <c r="B9" s="12" t="s">
        <v>22</v>
      </c>
      <c r="C9" s="13">
        <v>26</v>
      </c>
      <c r="D9" s="13">
        <v>18</v>
      </c>
      <c r="E9" s="13">
        <v>33</v>
      </c>
      <c r="F9" s="13">
        <v>35</v>
      </c>
      <c r="G9" s="13">
        <v>22</v>
      </c>
      <c r="H9" s="13">
        <v>59</v>
      </c>
      <c r="I9" s="13">
        <v>78</v>
      </c>
      <c r="J9" s="14">
        <v>81</v>
      </c>
      <c r="K9">
        <f t="shared" si="0"/>
        <v>1</v>
      </c>
      <c r="L9">
        <f t="shared" si="1"/>
        <v>1</v>
      </c>
      <c r="N9" s="20" t="s">
        <v>22</v>
      </c>
      <c r="O9" s="1">
        <v>682</v>
      </c>
      <c r="P9" s="1">
        <v>571</v>
      </c>
    </row>
    <row r="10" spans="1:16" x14ac:dyDescent="0.25">
      <c r="A10" s="7" t="s">
        <v>23</v>
      </c>
      <c r="B10" s="8" t="s">
        <v>11</v>
      </c>
      <c r="C10" s="9">
        <v>5</v>
      </c>
      <c r="D10" s="9">
        <v>6</v>
      </c>
      <c r="E10" s="9">
        <v>5</v>
      </c>
      <c r="F10" s="9">
        <v>15</v>
      </c>
      <c r="G10" s="9">
        <v>5</v>
      </c>
      <c r="H10" s="9">
        <v>0</v>
      </c>
      <c r="I10" s="9">
        <v>0</v>
      </c>
      <c r="J10" s="10">
        <v>0</v>
      </c>
      <c r="K10">
        <f t="shared" si="0"/>
        <v>1</v>
      </c>
      <c r="L10">
        <f t="shared" si="1"/>
        <v>1</v>
      </c>
      <c r="N10" s="20" t="s">
        <v>157</v>
      </c>
      <c r="O10" s="1">
        <v>1910</v>
      </c>
      <c r="P10" s="1">
        <v>952</v>
      </c>
    </row>
    <row r="11" spans="1:16" x14ac:dyDescent="0.25">
      <c r="A11" s="11" t="s">
        <v>24</v>
      </c>
      <c r="B11" s="12" t="s">
        <v>25</v>
      </c>
      <c r="C11" s="13">
        <v>15</v>
      </c>
      <c r="D11" s="13">
        <v>5</v>
      </c>
      <c r="E11" s="13">
        <v>2</v>
      </c>
      <c r="F11" s="13">
        <v>5</v>
      </c>
      <c r="G11" s="13">
        <v>0</v>
      </c>
      <c r="H11" s="13">
        <v>0</v>
      </c>
      <c r="I11" s="13">
        <v>0</v>
      </c>
      <c r="J11" s="14">
        <v>0</v>
      </c>
      <c r="K11">
        <f t="shared" si="0"/>
        <v>1</v>
      </c>
      <c r="L11">
        <f t="shared" si="1"/>
        <v>0</v>
      </c>
    </row>
    <row r="12" spans="1:16" x14ac:dyDescent="0.25">
      <c r="A12" s="7" t="s">
        <v>26</v>
      </c>
      <c r="B12" s="8" t="s">
        <v>11</v>
      </c>
      <c r="C12" s="9">
        <v>8</v>
      </c>
      <c r="D12" s="9">
        <v>0</v>
      </c>
      <c r="E12" s="9">
        <v>0</v>
      </c>
      <c r="F12" s="9">
        <v>1</v>
      </c>
      <c r="G12" s="9">
        <v>0</v>
      </c>
      <c r="H12" s="9">
        <v>0</v>
      </c>
      <c r="I12" s="9">
        <v>0</v>
      </c>
      <c r="J12" s="10">
        <v>0</v>
      </c>
      <c r="K12">
        <f t="shared" si="0"/>
        <v>1</v>
      </c>
      <c r="L12">
        <f t="shared" si="1"/>
        <v>0</v>
      </c>
    </row>
    <row r="13" spans="1:16" x14ac:dyDescent="0.25">
      <c r="A13" s="11" t="s">
        <v>27</v>
      </c>
      <c r="B13" s="12" t="s">
        <v>25</v>
      </c>
      <c r="C13" s="13">
        <v>11</v>
      </c>
      <c r="D13" s="13">
        <v>0</v>
      </c>
      <c r="E13" s="13">
        <v>0</v>
      </c>
      <c r="F13" s="13">
        <v>1</v>
      </c>
      <c r="G13" s="13">
        <v>0</v>
      </c>
      <c r="H13" s="13">
        <v>0</v>
      </c>
      <c r="I13" s="13">
        <v>0</v>
      </c>
      <c r="J13" s="14">
        <v>0</v>
      </c>
      <c r="K13">
        <f t="shared" si="0"/>
        <v>1</v>
      </c>
      <c r="L13">
        <f t="shared" si="1"/>
        <v>0</v>
      </c>
    </row>
    <row r="14" spans="1:16" x14ac:dyDescent="0.25">
      <c r="A14" s="7" t="s">
        <v>28</v>
      </c>
      <c r="B14" s="8" t="s">
        <v>22</v>
      </c>
      <c r="C14" s="9">
        <v>25</v>
      </c>
      <c r="D14" s="9">
        <v>37</v>
      </c>
      <c r="E14" s="9">
        <v>52</v>
      </c>
      <c r="F14" s="9">
        <v>53</v>
      </c>
      <c r="G14" s="9">
        <v>20</v>
      </c>
      <c r="H14" s="9">
        <v>1</v>
      </c>
      <c r="I14" s="9">
        <v>1</v>
      </c>
      <c r="J14" s="10">
        <v>3</v>
      </c>
      <c r="K14">
        <f t="shared" si="0"/>
        <v>1</v>
      </c>
      <c r="L14">
        <f t="shared" si="1"/>
        <v>1</v>
      </c>
    </row>
    <row r="15" spans="1:16" x14ac:dyDescent="0.25">
      <c r="A15" s="11" t="s">
        <v>29</v>
      </c>
      <c r="B15" s="12" t="s">
        <v>25</v>
      </c>
      <c r="C15" s="13">
        <v>17</v>
      </c>
      <c r="D15" s="13">
        <v>0</v>
      </c>
      <c r="E15" s="13">
        <v>0</v>
      </c>
      <c r="F15" s="13">
        <v>1</v>
      </c>
      <c r="G15" s="13">
        <v>7</v>
      </c>
      <c r="H15" s="13">
        <v>0</v>
      </c>
      <c r="I15" s="13">
        <v>0</v>
      </c>
      <c r="J15" s="14">
        <v>0</v>
      </c>
      <c r="K15">
        <f t="shared" si="0"/>
        <v>1</v>
      </c>
      <c r="L15">
        <f t="shared" si="1"/>
        <v>1</v>
      </c>
    </row>
    <row r="16" spans="1:16" x14ac:dyDescent="0.25">
      <c r="A16" s="7" t="s">
        <v>30</v>
      </c>
      <c r="B16" s="8" t="s">
        <v>22</v>
      </c>
      <c r="C16" s="9">
        <v>5</v>
      </c>
      <c r="D16" s="9">
        <v>12</v>
      </c>
      <c r="E16" s="9">
        <v>24</v>
      </c>
      <c r="F16" s="9">
        <v>40</v>
      </c>
      <c r="G16" s="9">
        <v>6</v>
      </c>
      <c r="H16" s="9">
        <v>6</v>
      </c>
      <c r="I16" s="9">
        <v>4</v>
      </c>
      <c r="J16" s="10">
        <v>5</v>
      </c>
      <c r="K16">
        <f t="shared" si="0"/>
        <v>1</v>
      </c>
      <c r="L16">
        <f t="shared" si="1"/>
        <v>1</v>
      </c>
    </row>
    <row r="17" spans="1:12" x14ac:dyDescent="0.25">
      <c r="A17" s="11" t="s">
        <v>31</v>
      </c>
      <c r="B17" s="12" t="s">
        <v>11</v>
      </c>
      <c r="C17" s="13">
        <v>9</v>
      </c>
      <c r="D17" s="13">
        <v>0</v>
      </c>
      <c r="E17" s="13">
        <v>1</v>
      </c>
      <c r="F17" s="13">
        <v>0</v>
      </c>
      <c r="G17" s="13">
        <v>0</v>
      </c>
      <c r="H17" s="13">
        <v>0</v>
      </c>
      <c r="I17" s="13">
        <v>0</v>
      </c>
      <c r="J17" s="14">
        <v>0</v>
      </c>
      <c r="K17">
        <f t="shared" si="0"/>
        <v>1</v>
      </c>
      <c r="L17">
        <f t="shared" si="1"/>
        <v>0</v>
      </c>
    </row>
    <row r="18" spans="1:12" x14ac:dyDescent="0.25">
      <c r="A18" s="7" t="s">
        <v>32</v>
      </c>
      <c r="B18" s="8" t="s">
        <v>15</v>
      </c>
      <c r="C18" s="9">
        <v>21</v>
      </c>
      <c r="D18" s="9">
        <v>23</v>
      </c>
      <c r="E18" s="9">
        <v>30</v>
      </c>
      <c r="F18" s="9">
        <v>55</v>
      </c>
      <c r="G18" s="9">
        <v>7</v>
      </c>
      <c r="H18" s="9">
        <v>0</v>
      </c>
      <c r="I18" s="9">
        <v>0</v>
      </c>
      <c r="J18" s="10">
        <v>0</v>
      </c>
      <c r="K18">
        <f t="shared" si="0"/>
        <v>1</v>
      </c>
      <c r="L18">
        <f t="shared" si="1"/>
        <v>1</v>
      </c>
    </row>
    <row r="19" spans="1:12" x14ac:dyDescent="0.25">
      <c r="A19" s="11" t="s">
        <v>33</v>
      </c>
      <c r="B19" s="12" t="s">
        <v>22</v>
      </c>
      <c r="C19" s="13">
        <v>19</v>
      </c>
      <c r="D19" s="13">
        <v>51</v>
      </c>
      <c r="E19" s="13">
        <v>85</v>
      </c>
      <c r="F19" s="13">
        <v>78</v>
      </c>
      <c r="G19" s="13">
        <v>19</v>
      </c>
      <c r="H19" s="13">
        <v>1</v>
      </c>
      <c r="I19" s="13">
        <v>2</v>
      </c>
      <c r="J19" s="14">
        <v>3</v>
      </c>
      <c r="K19">
        <f t="shared" si="0"/>
        <v>1</v>
      </c>
      <c r="L19">
        <f t="shared" si="1"/>
        <v>1</v>
      </c>
    </row>
    <row r="20" spans="1:12" x14ac:dyDescent="0.25">
      <c r="A20" s="7" t="s">
        <v>34</v>
      </c>
      <c r="B20" s="8" t="s">
        <v>13</v>
      </c>
      <c r="C20" s="9">
        <v>5</v>
      </c>
      <c r="D20" s="9">
        <v>1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10">
        <v>0</v>
      </c>
      <c r="K20">
        <f t="shared" si="0"/>
        <v>1</v>
      </c>
      <c r="L20">
        <f t="shared" si="1"/>
        <v>0</v>
      </c>
    </row>
    <row r="21" spans="1:12" x14ac:dyDescent="0.25">
      <c r="A21" s="11" t="s">
        <v>35</v>
      </c>
      <c r="B21" s="12" t="s">
        <v>15</v>
      </c>
      <c r="C21" s="13">
        <v>22</v>
      </c>
      <c r="D21" s="13">
        <v>2</v>
      </c>
      <c r="E21" s="13">
        <v>7</v>
      </c>
      <c r="F21" s="13">
        <v>4</v>
      </c>
      <c r="G21" s="13">
        <v>16</v>
      </c>
      <c r="H21" s="13">
        <v>0</v>
      </c>
      <c r="I21" s="13">
        <v>0</v>
      </c>
      <c r="J21" s="14">
        <v>0</v>
      </c>
      <c r="K21">
        <f t="shared" si="0"/>
        <v>1</v>
      </c>
      <c r="L21">
        <f t="shared" si="1"/>
        <v>1</v>
      </c>
    </row>
    <row r="22" spans="1:12" x14ac:dyDescent="0.25">
      <c r="A22" s="7" t="s">
        <v>36</v>
      </c>
      <c r="B22" s="8" t="s">
        <v>11</v>
      </c>
      <c r="C22" s="9">
        <v>9</v>
      </c>
      <c r="D22" s="9">
        <v>201</v>
      </c>
      <c r="E22" s="9">
        <v>144</v>
      </c>
      <c r="F22" s="9">
        <v>128</v>
      </c>
      <c r="G22" s="9">
        <v>10</v>
      </c>
      <c r="H22" s="9">
        <v>12</v>
      </c>
      <c r="I22" s="9">
        <v>22</v>
      </c>
      <c r="J22" s="10">
        <v>19</v>
      </c>
      <c r="K22">
        <f t="shared" si="0"/>
        <v>1</v>
      </c>
      <c r="L22">
        <f t="shared" si="1"/>
        <v>1</v>
      </c>
    </row>
    <row r="23" spans="1:12" x14ac:dyDescent="0.25">
      <c r="A23" s="11" t="s">
        <v>37</v>
      </c>
      <c r="B23" s="12" t="s">
        <v>22</v>
      </c>
      <c r="C23" s="13">
        <v>6</v>
      </c>
      <c r="D23" s="13">
        <v>6</v>
      </c>
      <c r="E23" s="13">
        <v>7</v>
      </c>
      <c r="F23" s="13">
        <v>10</v>
      </c>
      <c r="G23" s="13">
        <v>7</v>
      </c>
      <c r="H23" s="13">
        <v>4</v>
      </c>
      <c r="I23" s="13">
        <v>6</v>
      </c>
      <c r="J23" s="14">
        <v>1</v>
      </c>
      <c r="K23">
        <f t="shared" si="0"/>
        <v>1</v>
      </c>
      <c r="L23">
        <f t="shared" si="1"/>
        <v>1</v>
      </c>
    </row>
    <row r="24" spans="1:12" x14ac:dyDescent="0.25">
      <c r="A24" s="7" t="s">
        <v>38</v>
      </c>
      <c r="B24" s="8" t="s">
        <v>22</v>
      </c>
      <c r="C24" s="9">
        <v>9</v>
      </c>
      <c r="D24" s="9">
        <v>0</v>
      </c>
      <c r="E24" s="9">
        <v>1</v>
      </c>
      <c r="F24" s="9">
        <v>0</v>
      </c>
      <c r="G24" s="9">
        <v>10</v>
      </c>
      <c r="H24" s="9">
        <v>0</v>
      </c>
      <c r="I24" s="9">
        <v>0</v>
      </c>
      <c r="J24" s="10">
        <v>0</v>
      </c>
      <c r="K24">
        <f t="shared" si="0"/>
        <v>1</v>
      </c>
      <c r="L24">
        <f t="shared" si="1"/>
        <v>1</v>
      </c>
    </row>
    <row r="25" spans="1:12" x14ac:dyDescent="0.25">
      <c r="A25" s="11" t="s">
        <v>39</v>
      </c>
      <c r="B25" s="12" t="s">
        <v>22</v>
      </c>
      <c r="C25" s="13">
        <v>2</v>
      </c>
      <c r="D25" s="13">
        <v>0</v>
      </c>
      <c r="E25" s="13">
        <v>1</v>
      </c>
      <c r="F25" s="13">
        <v>0</v>
      </c>
      <c r="G25" s="13">
        <v>2</v>
      </c>
      <c r="H25" s="13">
        <v>0</v>
      </c>
      <c r="I25" s="13">
        <v>0</v>
      </c>
      <c r="J25" s="14">
        <v>0</v>
      </c>
      <c r="K25">
        <f t="shared" si="0"/>
        <v>1</v>
      </c>
      <c r="L25">
        <f t="shared" si="1"/>
        <v>1</v>
      </c>
    </row>
    <row r="26" spans="1:12" x14ac:dyDescent="0.25">
      <c r="A26" s="7" t="s">
        <v>40</v>
      </c>
      <c r="B26" s="8" t="s">
        <v>22</v>
      </c>
      <c r="C26" s="9">
        <v>16</v>
      </c>
      <c r="D26" s="9">
        <v>49</v>
      </c>
      <c r="E26" s="9">
        <v>49</v>
      </c>
      <c r="F26" s="9">
        <v>45</v>
      </c>
      <c r="G26" s="9">
        <v>16</v>
      </c>
      <c r="H26" s="9">
        <v>2</v>
      </c>
      <c r="I26" s="9">
        <v>8</v>
      </c>
      <c r="J26" s="10">
        <v>15</v>
      </c>
      <c r="K26">
        <f t="shared" si="0"/>
        <v>1</v>
      </c>
      <c r="L26">
        <f t="shared" si="1"/>
        <v>1</v>
      </c>
    </row>
    <row r="27" spans="1:12" x14ac:dyDescent="0.25">
      <c r="A27" s="11" t="s">
        <v>41</v>
      </c>
      <c r="B27" s="12" t="s">
        <v>22</v>
      </c>
      <c r="C27" s="13">
        <v>5</v>
      </c>
      <c r="D27" s="13">
        <v>14</v>
      </c>
      <c r="E27" s="13">
        <v>15</v>
      </c>
      <c r="F27" s="13">
        <v>15</v>
      </c>
      <c r="G27" s="13">
        <v>6</v>
      </c>
      <c r="H27" s="13">
        <v>7</v>
      </c>
      <c r="I27" s="13">
        <v>9</v>
      </c>
      <c r="J27" s="14">
        <v>8</v>
      </c>
      <c r="K27">
        <f t="shared" si="0"/>
        <v>1</v>
      </c>
      <c r="L27">
        <f t="shared" si="1"/>
        <v>1</v>
      </c>
    </row>
    <row r="28" spans="1:12" x14ac:dyDescent="0.25">
      <c r="A28" s="7" t="s">
        <v>42</v>
      </c>
      <c r="B28" s="8" t="s">
        <v>22</v>
      </c>
      <c r="C28" s="9">
        <v>26</v>
      </c>
      <c r="D28" s="9">
        <v>43</v>
      </c>
      <c r="E28" s="9">
        <v>68</v>
      </c>
      <c r="F28" s="9">
        <v>68</v>
      </c>
      <c r="G28" s="9">
        <v>13</v>
      </c>
      <c r="H28" s="9">
        <v>0</v>
      </c>
      <c r="I28" s="9">
        <v>1</v>
      </c>
      <c r="J28" s="10">
        <v>0</v>
      </c>
      <c r="K28">
        <f t="shared" si="0"/>
        <v>1</v>
      </c>
      <c r="L28">
        <f t="shared" si="1"/>
        <v>1</v>
      </c>
    </row>
    <row r="29" spans="1:12" x14ac:dyDescent="0.25">
      <c r="A29" s="11" t="s">
        <v>43</v>
      </c>
      <c r="B29" s="12" t="s">
        <v>25</v>
      </c>
      <c r="C29" s="13">
        <v>13</v>
      </c>
      <c r="D29" s="13">
        <v>3</v>
      </c>
      <c r="E29" s="13">
        <v>2</v>
      </c>
      <c r="F29" s="13">
        <v>1</v>
      </c>
      <c r="G29" s="13">
        <v>0</v>
      </c>
      <c r="H29" s="13">
        <v>0</v>
      </c>
      <c r="I29" s="13">
        <v>0</v>
      </c>
      <c r="J29" s="14">
        <v>0</v>
      </c>
      <c r="K29">
        <f t="shared" si="0"/>
        <v>1</v>
      </c>
      <c r="L29">
        <f t="shared" si="1"/>
        <v>0</v>
      </c>
    </row>
    <row r="30" spans="1:12" x14ac:dyDescent="0.25">
      <c r="A30" s="7" t="s">
        <v>44</v>
      </c>
      <c r="B30" s="8" t="s">
        <v>13</v>
      </c>
      <c r="C30" s="9">
        <v>7</v>
      </c>
      <c r="D30" s="9">
        <v>0</v>
      </c>
      <c r="E30" s="9">
        <v>0</v>
      </c>
      <c r="F30" s="9">
        <v>1</v>
      </c>
      <c r="G30" s="9">
        <v>0</v>
      </c>
      <c r="H30" s="9">
        <v>0</v>
      </c>
      <c r="I30" s="9">
        <v>0</v>
      </c>
      <c r="J30" s="10">
        <v>0</v>
      </c>
      <c r="K30">
        <f t="shared" si="0"/>
        <v>1</v>
      </c>
      <c r="L30">
        <f t="shared" si="1"/>
        <v>0</v>
      </c>
    </row>
    <row r="31" spans="1:12" x14ac:dyDescent="0.25">
      <c r="A31" s="11" t="s">
        <v>45</v>
      </c>
      <c r="B31" s="12" t="s">
        <v>13</v>
      </c>
      <c r="C31" s="13">
        <v>21</v>
      </c>
      <c r="D31" s="13">
        <v>7</v>
      </c>
      <c r="E31" s="13">
        <v>9</v>
      </c>
      <c r="F31" s="13">
        <v>10</v>
      </c>
      <c r="G31" s="13">
        <v>1</v>
      </c>
      <c r="H31" s="13">
        <v>0</v>
      </c>
      <c r="I31" s="13">
        <v>0</v>
      </c>
      <c r="J31" s="14">
        <v>0</v>
      </c>
      <c r="K31">
        <f t="shared" si="0"/>
        <v>1</v>
      </c>
      <c r="L31">
        <f t="shared" si="1"/>
        <v>1</v>
      </c>
    </row>
    <row r="32" spans="1:12" x14ac:dyDescent="0.25">
      <c r="A32" s="7" t="s">
        <v>46</v>
      </c>
      <c r="B32" s="8" t="s">
        <v>15</v>
      </c>
      <c r="C32" s="9">
        <v>13</v>
      </c>
      <c r="D32" s="9">
        <v>1</v>
      </c>
      <c r="E32" s="9">
        <v>1</v>
      </c>
      <c r="F32" s="9">
        <v>0</v>
      </c>
      <c r="G32" s="9">
        <v>0</v>
      </c>
      <c r="H32" s="9">
        <v>0</v>
      </c>
      <c r="I32" s="9">
        <v>0</v>
      </c>
      <c r="J32" s="10">
        <v>0</v>
      </c>
      <c r="K32">
        <f t="shared" si="0"/>
        <v>1</v>
      </c>
      <c r="L32">
        <f t="shared" si="1"/>
        <v>0</v>
      </c>
    </row>
    <row r="33" spans="1:12" x14ac:dyDescent="0.25">
      <c r="A33" s="11" t="s">
        <v>47</v>
      </c>
      <c r="B33" s="12" t="s">
        <v>13</v>
      </c>
      <c r="C33" s="13">
        <v>4</v>
      </c>
      <c r="D33" s="13">
        <v>0</v>
      </c>
      <c r="E33" s="13">
        <v>0</v>
      </c>
      <c r="F33" s="13">
        <v>1</v>
      </c>
      <c r="G33" s="13">
        <v>0</v>
      </c>
      <c r="H33" s="13">
        <v>0</v>
      </c>
      <c r="I33" s="13">
        <v>0</v>
      </c>
      <c r="J33" s="14">
        <v>0</v>
      </c>
      <c r="K33">
        <f t="shared" si="0"/>
        <v>1</v>
      </c>
      <c r="L33">
        <f t="shared" si="1"/>
        <v>0</v>
      </c>
    </row>
    <row r="34" spans="1:12" x14ac:dyDescent="0.25">
      <c r="A34" s="7" t="s">
        <v>48</v>
      </c>
      <c r="B34" s="8" t="s">
        <v>22</v>
      </c>
      <c r="C34" s="9">
        <v>11</v>
      </c>
      <c r="D34" s="9">
        <v>9</v>
      </c>
      <c r="E34" s="9">
        <v>9</v>
      </c>
      <c r="F34" s="9">
        <v>15</v>
      </c>
      <c r="G34" s="9">
        <v>9</v>
      </c>
      <c r="H34" s="9">
        <v>4</v>
      </c>
      <c r="I34" s="9">
        <v>2</v>
      </c>
      <c r="J34" s="10">
        <v>1</v>
      </c>
      <c r="K34">
        <f t="shared" si="0"/>
        <v>1</v>
      </c>
      <c r="L34">
        <f t="shared" si="1"/>
        <v>1</v>
      </c>
    </row>
    <row r="35" spans="1:12" x14ac:dyDescent="0.25">
      <c r="A35" s="11" t="s">
        <v>49</v>
      </c>
      <c r="B35" s="12" t="s">
        <v>13</v>
      </c>
      <c r="C35" s="13">
        <v>12</v>
      </c>
      <c r="D35" s="13">
        <v>21</v>
      </c>
      <c r="E35" s="13">
        <v>7</v>
      </c>
      <c r="F35" s="13">
        <v>17</v>
      </c>
      <c r="G35" s="13">
        <v>2</v>
      </c>
      <c r="H35" s="13">
        <v>0</v>
      </c>
      <c r="I35" s="13">
        <v>0</v>
      </c>
      <c r="J35" s="14">
        <v>0</v>
      </c>
      <c r="K35">
        <f t="shared" si="0"/>
        <v>1</v>
      </c>
      <c r="L35">
        <f t="shared" si="1"/>
        <v>1</v>
      </c>
    </row>
    <row r="36" spans="1:12" x14ac:dyDescent="0.25">
      <c r="A36" s="7" t="s">
        <v>50</v>
      </c>
      <c r="B36" s="8" t="s">
        <v>11</v>
      </c>
      <c r="C36" s="9">
        <v>20</v>
      </c>
      <c r="D36" s="9">
        <v>0</v>
      </c>
      <c r="E36" s="9">
        <v>2</v>
      </c>
      <c r="F36" s="9">
        <v>7</v>
      </c>
      <c r="G36" s="9">
        <v>4</v>
      </c>
      <c r="H36" s="9">
        <v>0</v>
      </c>
      <c r="I36" s="9">
        <v>0</v>
      </c>
      <c r="J36" s="10">
        <v>0</v>
      </c>
      <c r="K36">
        <f t="shared" si="0"/>
        <v>1</v>
      </c>
      <c r="L36">
        <f t="shared" si="1"/>
        <v>1</v>
      </c>
    </row>
    <row r="37" spans="1:12" x14ac:dyDescent="0.25">
      <c r="A37" s="11" t="s">
        <v>51</v>
      </c>
      <c r="B37" s="12" t="s">
        <v>22</v>
      </c>
      <c r="C37" s="13">
        <v>24</v>
      </c>
      <c r="D37" s="13">
        <v>101</v>
      </c>
      <c r="E37" s="13">
        <v>84</v>
      </c>
      <c r="F37" s="13">
        <v>117</v>
      </c>
      <c r="G37" s="13">
        <v>22</v>
      </c>
      <c r="H37" s="13">
        <v>42</v>
      </c>
      <c r="I37" s="13">
        <v>62</v>
      </c>
      <c r="J37" s="14">
        <v>56</v>
      </c>
      <c r="K37">
        <f t="shared" si="0"/>
        <v>1</v>
      </c>
      <c r="L37">
        <f t="shared" si="1"/>
        <v>1</v>
      </c>
    </row>
    <row r="38" spans="1:12" x14ac:dyDescent="0.25">
      <c r="A38" s="7" t="s">
        <v>52</v>
      </c>
      <c r="B38" s="8" t="s">
        <v>22</v>
      </c>
      <c r="C38" s="9">
        <v>27</v>
      </c>
      <c r="D38" s="9">
        <v>202</v>
      </c>
      <c r="E38" s="9">
        <v>223</v>
      </c>
      <c r="F38" s="9">
        <v>246</v>
      </c>
      <c r="G38" s="9">
        <v>22</v>
      </c>
      <c r="H38" s="9">
        <v>31</v>
      </c>
      <c r="I38" s="9">
        <v>31</v>
      </c>
      <c r="J38" s="10">
        <v>47</v>
      </c>
      <c r="K38">
        <f t="shared" si="0"/>
        <v>1</v>
      </c>
      <c r="L38">
        <f t="shared" si="1"/>
        <v>1</v>
      </c>
    </row>
    <row r="39" spans="1:12" x14ac:dyDescent="0.25">
      <c r="A39" s="11" t="s">
        <v>53</v>
      </c>
      <c r="B39" s="12" t="s">
        <v>13</v>
      </c>
      <c r="C39" s="13">
        <v>9</v>
      </c>
      <c r="D39" s="13">
        <v>0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4">
        <v>0</v>
      </c>
      <c r="K39">
        <f t="shared" si="0"/>
        <v>1</v>
      </c>
      <c r="L39">
        <f t="shared" si="1"/>
        <v>0</v>
      </c>
    </row>
    <row r="40" spans="1:12" x14ac:dyDescent="0.25">
      <c r="A40" s="7" t="s">
        <v>54</v>
      </c>
      <c r="B40" s="8" t="s">
        <v>13</v>
      </c>
      <c r="C40" s="9">
        <v>13</v>
      </c>
      <c r="D40" s="9">
        <v>0</v>
      </c>
      <c r="E40" s="9">
        <v>1</v>
      </c>
      <c r="F40" s="9">
        <v>3</v>
      </c>
      <c r="G40" s="9">
        <v>1</v>
      </c>
      <c r="H40" s="9">
        <v>0</v>
      </c>
      <c r="I40" s="9">
        <v>0</v>
      </c>
      <c r="J40" s="10">
        <v>0</v>
      </c>
      <c r="K40">
        <f t="shared" si="0"/>
        <v>1</v>
      </c>
      <c r="L40">
        <f t="shared" si="1"/>
        <v>1</v>
      </c>
    </row>
    <row r="41" spans="1:12" x14ac:dyDescent="0.25">
      <c r="A41" s="11" t="s">
        <v>55</v>
      </c>
      <c r="B41" s="12" t="s">
        <v>22</v>
      </c>
      <c r="C41" s="13">
        <v>27</v>
      </c>
      <c r="D41" s="13">
        <v>30</v>
      </c>
      <c r="E41" s="13">
        <v>42</v>
      </c>
      <c r="F41" s="13">
        <v>38</v>
      </c>
      <c r="G41" s="13">
        <v>18</v>
      </c>
      <c r="H41" s="13">
        <v>0</v>
      </c>
      <c r="I41" s="13">
        <v>0</v>
      </c>
      <c r="J41" s="14">
        <v>0</v>
      </c>
      <c r="K41">
        <f t="shared" si="0"/>
        <v>1</v>
      </c>
      <c r="L41">
        <f t="shared" si="1"/>
        <v>1</v>
      </c>
    </row>
    <row r="42" spans="1:12" x14ac:dyDescent="0.25">
      <c r="A42" s="7" t="s">
        <v>56</v>
      </c>
      <c r="B42" s="8" t="s">
        <v>11</v>
      </c>
      <c r="C42" s="9">
        <v>5</v>
      </c>
      <c r="D42" s="9">
        <v>6</v>
      </c>
      <c r="E42" s="9">
        <v>5</v>
      </c>
      <c r="F42" s="9">
        <v>14</v>
      </c>
      <c r="G42" s="9">
        <v>6</v>
      </c>
      <c r="H42" s="9">
        <v>0</v>
      </c>
      <c r="I42" s="9">
        <v>0</v>
      </c>
      <c r="J42" s="10">
        <v>0</v>
      </c>
      <c r="K42">
        <f t="shared" si="0"/>
        <v>1</v>
      </c>
      <c r="L42">
        <f t="shared" si="1"/>
        <v>1</v>
      </c>
    </row>
    <row r="43" spans="1:12" x14ac:dyDescent="0.25">
      <c r="A43" s="11" t="s">
        <v>57</v>
      </c>
      <c r="B43" s="12" t="s">
        <v>15</v>
      </c>
      <c r="C43" s="13">
        <v>16</v>
      </c>
      <c r="D43" s="13">
        <v>0</v>
      </c>
      <c r="E43" s="13">
        <v>0</v>
      </c>
      <c r="F43" s="13">
        <v>1</v>
      </c>
      <c r="G43" s="13">
        <v>0</v>
      </c>
      <c r="H43" s="13">
        <v>0</v>
      </c>
      <c r="I43" s="13">
        <v>0</v>
      </c>
      <c r="J43" s="14">
        <v>0</v>
      </c>
      <c r="K43">
        <f t="shared" si="0"/>
        <v>1</v>
      </c>
      <c r="L43">
        <f t="shared" si="1"/>
        <v>0</v>
      </c>
    </row>
    <row r="44" spans="1:12" x14ac:dyDescent="0.25">
      <c r="A44" s="7" t="s">
        <v>58</v>
      </c>
      <c r="B44" s="8" t="s">
        <v>25</v>
      </c>
      <c r="C44" s="9">
        <v>14</v>
      </c>
      <c r="D44" s="9">
        <v>0</v>
      </c>
      <c r="E44" s="9">
        <v>1</v>
      </c>
      <c r="F44" s="9">
        <v>1</v>
      </c>
      <c r="G44" s="9">
        <v>0</v>
      </c>
      <c r="H44" s="9">
        <v>0</v>
      </c>
      <c r="I44" s="9">
        <v>0</v>
      </c>
      <c r="J44" s="10">
        <v>0</v>
      </c>
      <c r="K44">
        <f t="shared" si="0"/>
        <v>1</v>
      </c>
      <c r="L44">
        <f t="shared" si="1"/>
        <v>0</v>
      </c>
    </row>
    <row r="45" spans="1:12" x14ac:dyDescent="0.25">
      <c r="A45" s="11" t="s">
        <v>59</v>
      </c>
      <c r="B45" s="12" t="s">
        <v>22</v>
      </c>
      <c r="C45" s="13">
        <v>22</v>
      </c>
      <c r="D45" s="13">
        <v>37</v>
      </c>
      <c r="E45" s="13">
        <v>59</v>
      </c>
      <c r="F45" s="13">
        <v>35</v>
      </c>
      <c r="G45" s="13">
        <v>19</v>
      </c>
      <c r="H45" s="13">
        <v>1</v>
      </c>
      <c r="I45" s="13">
        <v>0</v>
      </c>
      <c r="J45" s="14">
        <v>1</v>
      </c>
      <c r="K45">
        <f t="shared" si="0"/>
        <v>1</v>
      </c>
      <c r="L45">
        <f t="shared" si="1"/>
        <v>1</v>
      </c>
    </row>
    <row r="46" spans="1:12" x14ac:dyDescent="0.25">
      <c r="A46" s="7" t="s">
        <v>60</v>
      </c>
      <c r="B46" s="8" t="s">
        <v>22</v>
      </c>
      <c r="C46" s="9">
        <v>25</v>
      </c>
      <c r="D46" s="9">
        <v>77</v>
      </c>
      <c r="E46" s="9">
        <v>85</v>
      </c>
      <c r="F46" s="9">
        <v>104</v>
      </c>
      <c r="G46" s="9">
        <v>20</v>
      </c>
      <c r="H46" s="9">
        <v>37</v>
      </c>
      <c r="I46" s="9">
        <v>38</v>
      </c>
      <c r="J46" s="10">
        <v>35</v>
      </c>
      <c r="K46">
        <f t="shared" si="0"/>
        <v>1</v>
      </c>
      <c r="L46">
        <f t="shared" si="1"/>
        <v>1</v>
      </c>
    </row>
    <row r="47" spans="1:12" x14ac:dyDescent="0.25">
      <c r="A47" s="11" t="s">
        <v>61</v>
      </c>
      <c r="B47" s="12" t="s">
        <v>11</v>
      </c>
      <c r="C47" s="13">
        <v>15</v>
      </c>
      <c r="D47" s="13">
        <v>1</v>
      </c>
      <c r="E47" s="13">
        <v>1</v>
      </c>
      <c r="F47" s="13">
        <v>1</v>
      </c>
      <c r="G47" s="13">
        <v>4</v>
      </c>
      <c r="H47" s="13">
        <v>0</v>
      </c>
      <c r="I47" s="13">
        <v>0</v>
      </c>
      <c r="J47" s="14">
        <v>0</v>
      </c>
      <c r="K47">
        <f t="shared" si="0"/>
        <v>1</v>
      </c>
      <c r="L47">
        <f t="shared" si="1"/>
        <v>1</v>
      </c>
    </row>
    <row r="48" spans="1:12" x14ac:dyDescent="0.25">
      <c r="A48" s="7" t="s">
        <v>62</v>
      </c>
      <c r="B48" s="8" t="s">
        <v>11</v>
      </c>
      <c r="C48" s="9">
        <v>23</v>
      </c>
      <c r="D48" s="9">
        <v>9</v>
      </c>
      <c r="E48" s="9">
        <v>6</v>
      </c>
      <c r="F48" s="9">
        <v>11</v>
      </c>
      <c r="G48" s="9">
        <v>9</v>
      </c>
      <c r="H48" s="9">
        <v>0</v>
      </c>
      <c r="I48" s="9">
        <v>0</v>
      </c>
      <c r="J48" s="10">
        <v>0</v>
      </c>
      <c r="K48">
        <f t="shared" si="0"/>
        <v>1</v>
      </c>
      <c r="L48">
        <f t="shared" si="1"/>
        <v>1</v>
      </c>
    </row>
    <row r="49" spans="1:12" x14ac:dyDescent="0.25">
      <c r="A49" s="11" t="s">
        <v>63</v>
      </c>
      <c r="B49" s="12" t="s">
        <v>11</v>
      </c>
      <c r="C49" s="13">
        <v>14</v>
      </c>
      <c r="D49" s="13">
        <v>6</v>
      </c>
      <c r="E49" s="13">
        <v>10</v>
      </c>
      <c r="F49" s="13">
        <v>11</v>
      </c>
      <c r="G49" s="13">
        <v>0</v>
      </c>
      <c r="H49" s="13">
        <v>0</v>
      </c>
      <c r="I49" s="13">
        <v>0</v>
      </c>
      <c r="J49" s="14">
        <v>0</v>
      </c>
      <c r="K49">
        <f t="shared" si="0"/>
        <v>1</v>
      </c>
      <c r="L49">
        <f t="shared" si="1"/>
        <v>0</v>
      </c>
    </row>
    <row r="50" spans="1:12" x14ac:dyDescent="0.25">
      <c r="A50" s="7" t="s">
        <v>64</v>
      </c>
      <c r="B50" s="8" t="s">
        <v>11</v>
      </c>
      <c r="C50" s="9">
        <v>13</v>
      </c>
      <c r="D50" s="9">
        <v>0</v>
      </c>
      <c r="E50" s="9">
        <v>0</v>
      </c>
      <c r="F50" s="9">
        <v>1</v>
      </c>
      <c r="G50" s="9">
        <v>0</v>
      </c>
      <c r="H50" s="9">
        <v>0</v>
      </c>
      <c r="I50" s="9">
        <v>0</v>
      </c>
      <c r="J50" s="10">
        <v>0</v>
      </c>
      <c r="K50">
        <f t="shared" si="0"/>
        <v>1</v>
      </c>
      <c r="L50">
        <f t="shared" si="1"/>
        <v>0</v>
      </c>
    </row>
    <row r="51" spans="1:12" x14ac:dyDescent="0.25">
      <c r="A51" s="11" t="s">
        <v>65</v>
      </c>
      <c r="B51" s="12" t="s">
        <v>11</v>
      </c>
      <c r="C51" s="13">
        <v>15</v>
      </c>
      <c r="D51" s="13">
        <v>15</v>
      </c>
      <c r="E51" s="13">
        <v>20</v>
      </c>
      <c r="F51" s="13">
        <v>25</v>
      </c>
      <c r="G51" s="13">
        <v>10</v>
      </c>
      <c r="H51" s="13">
        <v>0</v>
      </c>
      <c r="I51" s="13">
        <v>0</v>
      </c>
      <c r="J51" s="14">
        <v>0</v>
      </c>
      <c r="K51">
        <f t="shared" si="0"/>
        <v>1</v>
      </c>
      <c r="L51">
        <f t="shared" si="1"/>
        <v>1</v>
      </c>
    </row>
    <row r="52" spans="1:12" x14ac:dyDescent="0.25">
      <c r="A52" s="7" t="s">
        <v>66</v>
      </c>
      <c r="B52" s="8" t="s">
        <v>22</v>
      </c>
      <c r="C52" s="9">
        <v>20</v>
      </c>
      <c r="D52" s="9">
        <v>9</v>
      </c>
      <c r="E52" s="9">
        <v>8</v>
      </c>
      <c r="F52" s="9">
        <v>11</v>
      </c>
      <c r="G52" s="9">
        <v>6</v>
      </c>
      <c r="H52" s="9">
        <v>0</v>
      </c>
      <c r="I52" s="9">
        <v>0</v>
      </c>
      <c r="J52" s="10">
        <v>0</v>
      </c>
      <c r="K52">
        <f t="shared" si="0"/>
        <v>1</v>
      </c>
      <c r="L52">
        <f t="shared" si="1"/>
        <v>1</v>
      </c>
    </row>
    <row r="53" spans="1:12" x14ac:dyDescent="0.25">
      <c r="A53" s="11" t="s">
        <v>67</v>
      </c>
      <c r="B53" s="12" t="s">
        <v>22</v>
      </c>
      <c r="C53" s="13">
        <v>19</v>
      </c>
      <c r="D53" s="13">
        <v>0</v>
      </c>
      <c r="E53" s="13">
        <v>2</v>
      </c>
      <c r="F53" s="13">
        <v>2</v>
      </c>
      <c r="G53" s="13">
        <v>17</v>
      </c>
      <c r="H53" s="13">
        <v>0</v>
      </c>
      <c r="I53" s="13">
        <v>0</v>
      </c>
      <c r="J53" s="14">
        <v>0</v>
      </c>
      <c r="K53">
        <f t="shared" si="0"/>
        <v>1</v>
      </c>
      <c r="L53">
        <f t="shared" si="1"/>
        <v>1</v>
      </c>
    </row>
    <row r="54" spans="1:12" x14ac:dyDescent="0.25">
      <c r="A54" s="7" t="s">
        <v>68</v>
      </c>
      <c r="B54" s="8" t="s">
        <v>11</v>
      </c>
      <c r="C54" s="9">
        <v>15</v>
      </c>
      <c r="D54" s="9">
        <v>1</v>
      </c>
      <c r="E54" s="9">
        <v>1</v>
      </c>
      <c r="F54" s="9">
        <v>5</v>
      </c>
      <c r="G54" s="9">
        <v>6</v>
      </c>
      <c r="H54" s="9">
        <v>0</v>
      </c>
      <c r="I54" s="9">
        <v>0</v>
      </c>
      <c r="J54" s="10">
        <v>0</v>
      </c>
      <c r="K54">
        <f t="shared" si="0"/>
        <v>1</v>
      </c>
      <c r="L54">
        <f t="shared" si="1"/>
        <v>1</v>
      </c>
    </row>
    <row r="55" spans="1:12" x14ac:dyDescent="0.25">
      <c r="A55" s="11" t="s">
        <v>69</v>
      </c>
      <c r="B55" s="12" t="s">
        <v>25</v>
      </c>
      <c r="C55" s="13">
        <v>16</v>
      </c>
      <c r="D55" s="13">
        <v>17</v>
      </c>
      <c r="E55" s="13">
        <v>30</v>
      </c>
      <c r="F55" s="13">
        <v>20</v>
      </c>
      <c r="G55" s="13">
        <v>7</v>
      </c>
      <c r="H55" s="13">
        <v>0</v>
      </c>
      <c r="I55" s="13">
        <v>0</v>
      </c>
      <c r="J55" s="14">
        <v>0</v>
      </c>
      <c r="K55">
        <f t="shared" si="0"/>
        <v>1</v>
      </c>
      <c r="L55">
        <f t="shared" si="1"/>
        <v>1</v>
      </c>
    </row>
    <row r="56" spans="1:12" x14ac:dyDescent="0.25">
      <c r="A56" s="7" t="s">
        <v>70</v>
      </c>
      <c r="B56" s="8" t="s">
        <v>11</v>
      </c>
      <c r="C56" s="9">
        <v>21</v>
      </c>
      <c r="D56" s="9">
        <v>130</v>
      </c>
      <c r="E56" s="9">
        <v>126</v>
      </c>
      <c r="F56" s="9">
        <v>142</v>
      </c>
      <c r="G56" s="9">
        <v>20</v>
      </c>
      <c r="H56" s="9">
        <v>10</v>
      </c>
      <c r="I56" s="9">
        <v>17</v>
      </c>
      <c r="J56" s="10">
        <v>18</v>
      </c>
      <c r="K56">
        <f t="shared" si="0"/>
        <v>1</v>
      </c>
      <c r="L56">
        <f t="shared" si="1"/>
        <v>1</v>
      </c>
    </row>
    <row r="57" spans="1:12" x14ac:dyDescent="0.25">
      <c r="A57" s="11" t="s">
        <v>71</v>
      </c>
      <c r="B57" s="12" t="s">
        <v>22</v>
      </c>
      <c r="C57" s="13">
        <v>18</v>
      </c>
      <c r="D57" s="13">
        <v>28</v>
      </c>
      <c r="E57" s="13">
        <v>31</v>
      </c>
      <c r="F57" s="13">
        <v>31</v>
      </c>
      <c r="G57" s="13">
        <v>16</v>
      </c>
      <c r="H57" s="13">
        <v>0</v>
      </c>
      <c r="I57" s="13">
        <v>3</v>
      </c>
      <c r="J57" s="14">
        <v>1</v>
      </c>
      <c r="K57">
        <f t="shared" si="0"/>
        <v>1</v>
      </c>
      <c r="L57">
        <f t="shared" si="1"/>
        <v>1</v>
      </c>
    </row>
    <row r="58" spans="1:12" x14ac:dyDescent="0.25">
      <c r="A58" s="7" t="s">
        <v>72</v>
      </c>
      <c r="B58" s="8" t="s">
        <v>13</v>
      </c>
      <c r="C58" s="9">
        <v>13</v>
      </c>
      <c r="D58" s="9">
        <v>3</v>
      </c>
      <c r="E58" s="9">
        <v>1</v>
      </c>
      <c r="F58" s="9">
        <v>1</v>
      </c>
      <c r="G58" s="9">
        <v>1</v>
      </c>
      <c r="H58" s="9">
        <v>0</v>
      </c>
      <c r="I58" s="9">
        <v>0</v>
      </c>
      <c r="J58" s="10">
        <v>0</v>
      </c>
      <c r="K58">
        <f t="shared" si="0"/>
        <v>1</v>
      </c>
      <c r="L58">
        <f t="shared" si="1"/>
        <v>1</v>
      </c>
    </row>
    <row r="59" spans="1:12" x14ac:dyDescent="0.25">
      <c r="A59" s="11" t="s">
        <v>73</v>
      </c>
      <c r="B59" s="12" t="s">
        <v>25</v>
      </c>
      <c r="C59" s="13">
        <v>25</v>
      </c>
      <c r="D59" s="13">
        <v>59</v>
      </c>
      <c r="E59" s="13">
        <v>99</v>
      </c>
      <c r="F59" s="13">
        <v>120</v>
      </c>
      <c r="G59" s="13">
        <v>22</v>
      </c>
      <c r="H59" s="13">
        <v>62</v>
      </c>
      <c r="I59" s="13">
        <v>55</v>
      </c>
      <c r="J59" s="14">
        <v>53</v>
      </c>
      <c r="K59">
        <f t="shared" si="0"/>
        <v>1</v>
      </c>
      <c r="L59">
        <f t="shared" si="1"/>
        <v>1</v>
      </c>
    </row>
    <row r="60" spans="1:12" x14ac:dyDescent="0.25">
      <c r="A60" s="7" t="s">
        <v>74</v>
      </c>
      <c r="B60" s="8" t="s">
        <v>11</v>
      </c>
      <c r="C60" s="9">
        <v>8</v>
      </c>
      <c r="D60" s="9">
        <v>0</v>
      </c>
      <c r="E60" s="9">
        <v>0</v>
      </c>
      <c r="F60" s="9">
        <v>4</v>
      </c>
      <c r="G60" s="9">
        <v>0</v>
      </c>
      <c r="H60" s="9">
        <v>0</v>
      </c>
      <c r="I60" s="9">
        <v>0</v>
      </c>
      <c r="J60" s="10">
        <v>0</v>
      </c>
      <c r="K60">
        <f t="shared" si="0"/>
        <v>1</v>
      </c>
      <c r="L60">
        <f t="shared" si="1"/>
        <v>0</v>
      </c>
    </row>
    <row r="61" spans="1:12" x14ac:dyDescent="0.25">
      <c r="A61" s="11" t="s">
        <v>75</v>
      </c>
      <c r="B61" s="12" t="s">
        <v>11</v>
      </c>
      <c r="C61" s="13">
        <v>5</v>
      </c>
      <c r="D61" s="13">
        <v>16</v>
      </c>
      <c r="E61" s="13">
        <v>17</v>
      </c>
      <c r="F61" s="13">
        <v>19</v>
      </c>
      <c r="G61" s="13">
        <v>6</v>
      </c>
      <c r="H61" s="13">
        <v>1</v>
      </c>
      <c r="I61" s="13">
        <v>3</v>
      </c>
      <c r="J61" s="14">
        <v>3</v>
      </c>
      <c r="K61">
        <f t="shared" si="0"/>
        <v>1</v>
      </c>
      <c r="L61">
        <f t="shared" si="1"/>
        <v>1</v>
      </c>
    </row>
    <row r="62" spans="1:12" x14ac:dyDescent="0.25">
      <c r="A62" s="7" t="s">
        <v>76</v>
      </c>
      <c r="B62" s="8" t="s">
        <v>13</v>
      </c>
      <c r="C62" s="9">
        <v>13</v>
      </c>
      <c r="D62" s="9">
        <v>25</v>
      </c>
      <c r="E62" s="9">
        <v>32</v>
      </c>
      <c r="F62" s="9">
        <v>29</v>
      </c>
      <c r="G62" s="9">
        <v>3</v>
      </c>
      <c r="H62" s="9">
        <v>0</v>
      </c>
      <c r="I62" s="9">
        <v>0</v>
      </c>
      <c r="J62" s="10">
        <v>0</v>
      </c>
      <c r="K62">
        <f t="shared" si="0"/>
        <v>1</v>
      </c>
      <c r="L62">
        <f t="shared" si="1"/>
        <v>1</v>
      </c>
    </row>
    <row r="63" spans="1:12" x14ac:dyDescent="0.25">
      <c r="A63" s="11" t="s">
        <v>77</v>
      </c>
      <c r="B63" s="12" t="s">
        <v>11</v>
      </c>
      <c r="C63" s="13">
        <v>5</v>
      </c>
      <c r="D63" s="13">
        <v>0</v>
      </c>
      <c r="E63" s="13">
        <v>1</v>
      </c>
      <c r="F63" s="13">
        <v>2</v>
      </c>
      <c r="G63" s="13">
        <v>6</v>
      </c>
      <c r="H63" s="13">
        <v>0</v>
      </c>
      <c r="I63" s="13">
        <v>0</v>
      </c>
      <c r="J63" s="14">
        <v>0</v>
      </c>
      <c r="K63">
        <f t="shared" si="0"/>
        <v>1</v>
      </c>
      <c r="L63">
        <f t="shared" si="1"/>
        <v>1</v>
      </c>
    </row>
    <row r="64" spans="1:12" x14ac:dyDescent="0.25">
      <c r="A64" s="7" t="s">
        <v>78</v>
      </c>
      <c r="B64" s="8" t="s">
        <v>15</v>
      </c>
      <c r="C64" s="9">
        <v>18</v>
      </c>
      <c r="D64" s="9">
        <v>2</v>
      </c>
      <c r="E64" s="9">
        <v>6</v>
      </c>
      <c r="F64" s="9">
        <v>11</v>
      </c>
      <c r="G64" s="9">
        <v>1</v>
      </c>
      <c r="H64" s="9">
        <v>0</v>
      </c>
      <c r="I64" s="9">
        <v>0</v>
      </c>
      <c r="J64" s="10">
        <v>0</v>
      </c>
      <c r="K64">
        <f t="shared" si="0"/>
        <v>1</v>
      </c>
      <c r="L64">
        <f t="shared" si="1"/>
        <v>1</v>
      </c>
    </row>
    <row r="65" spans="1:12" x14ac:dyDescent="0.25">
      <c r="A65" s="11" t="s">
        <v>79</v>
      </c>
      <c r="B65" s="12" t="s">
        <v>11</v>
      </c>
      <c r="C65" s="13">
        <v>16</v>
      </c>
      <c r="D65" s="13">
        <v>81</v>
      </c>
      <c r="E65" s="13">
        <v>82</v>
      </c>
      <c r="F65" s="13">
        <v>80</v>
      </c>
      <c r="G65" s="13">
        <v>17</v>
      </c>
      <c r="H65" s="13">
        <v>26</v>
      </c>
      <c r="I65" s="13">
        <v>17</v>
      </c>
      <c r="J65" s="14">
        <v>10</v>
      </c>
      <c r="K65">
        <f t="shared" si="0"/>
        <v>1</v>
      </c>
      <c r="L65">
        <f t="shared" si="1"/>
        <v>1</v>
      </c>
    </row>
    <row r="66" spans="1:12" x14ac:dyDescent="0.25">
      <c r="A66" s="7" t="s">
        <v>80</v>
      </c>
      <c r="B66" s="8" t="s">
        <v>11</v>
      </c>
      <c r="C66" s="9">
        <v>9</v>
      </c>
      <c r="D66" s="9">
        <v>14</v>
      </c>
      <c r="E66" s="9">
        <v>12</v>
      </c>
      <c r="F66" s="9">
        <v>21</v>
      </c>
      <c r="G66" s="9">
        <v>8</v>
      </c>
      <c r="H66" s="9">
        <v>0</v>
      </c>
      <c r="I66" s="9">
        <v>1</v>
      </c>
      <c r="J66" s="10">
        <v>1</v>
      </c>
      <c r="K66">
        <f t="shared" si="0"/>
        <v>1</v>
      </c>
      <c r="L66">
        <f t="shared" si="1"/>
        <v>1</v>
      </c>
    </row>
    <row r="67" spans="1:12" x14ac:dyDescent="0.25">
      <c r="A67" s="11" t="s">
        <v>81</v>
      </c>
      <c r="B67" s="12" t="s">
        <v>25</v>
      </c>
      <c r="C67" s="13">
        <v>14</v>
      </c>
      <c r="D67" s="13">
        <v>1</v>
      </c>
      <c r="E67" s="13">
        <v>1</v>
      </c>
      <c r="F67" s="13">
        <v>2</v>
      </c>
      <c r="G67" s="13">
        <v>6</v>
      </c>
      <c r="H67" s="13">
        <v>0</v>
      </c>
      <c r="I67" s="13">
        <v>0</v>
      </c>
      <c r="J67" s="14">
        <v>0</v>
      </c>
      <c r="K67">
        <f t="shared" ref="K67:K130" si="2">IF(C67&gt;0,1,0)</f>
        <v>1</v>
      </c>
      <c r="L67">
        <f t="shared" ref="L67:L130" si="3">IF(G67&gt;0,1,0)</f>
        <v>1</v>
      </c>
    </row>
    <row r="68" spans="1:12" x14ac:dyDescent="0.25">
      <c r="A68" s="7" t="s">
        <v>82</v>
      </c>
      <c r="B68" s="8" t="s">
        <v>25</v>
      </c>
      <c r="C68" s="9">
        <v>19</v>
      </c>
      <c r="D68" s="9">
        <v>72</v>
      </c>
      <c r="E68" s="9">
        <v>67</v>
      </c>
      <c r="F68" s="9">
        <v>69</v>
      </c>
      <c r="G68" s="9">
        <v>0</v>
      </c>
      <c r="H68" s="9">
        <v>0</v>
      </c>
      <c r="I68" s="9">
        <v>0</v>
      </c>
      <c r="J68" s="10">
        <v>0</v>
      </c>
      <c r="K68">
        <f t="shared" si="2"/>
        <v>1</v>
      </c>
      <c r="L68">
        <f t="shared" si="3"/>
        <v>0</v>
      </c>
    </row>
    <row r="69" spans="1:12" x14ac:dyDescent="0.25">
      <c r="A69" s="11" t="s">
        <v>83</v>
      </c>
      <c r="B69" s="12" t="s">
        <v>11</v>
      </c>
      <c r="C69" s="13">
        <v>12</v>
      </c>
      <c r="D69" s="13">
        <v>0</v>
      </c>
      <c r="E69" s="13">
        <v>0</v>
      </c>
      <c r="F69" s="13">
        <v>2</v>
      </c>
      <c r="G69" s="13">
        <v>0</v>
      </c>
      <c r="H69" s="13">
        <v>0</v>
      </c>
      <c r="I69" s="13">
        <v>0</v>
      </c>
      <c r="J69" s="14">
        <v>0</v>
      </c>
      <c r="K69">
        <f t="shared" si="2"/>
        <v>1</v>
      </c>
      <c r="L69">
        <f t="shared" si="3"/>
        <v>0</v>
      </c>
    </row>
    <row r="70" spans="1:12" x14ac:dyDescent="0.25">
      <c r="A70" s="7" t="s">
        <v>84</v>
      </c>
      <c r="B70" s="8" t="s">
        <v>11</v>
      </c>
      <c r="C70" s="9">
        <v>16</v>
      </c>
      <c r="D70" s="9">
        <v>0</v>
      </c>
      <c r="E70" s="9">
        <v>2</v>
      </c>
      <c r="F70" s="9">
        <v>2</v>
      </c>
      <c r="G70" s="9">
        <v>16</v>
      </c>
      <c r="H70" s="9">
        <v>0</v>
      </c>
      <c r="I70" s="9">
        <v>0</v>
      </c>
      <c r="J70" s="10">
        <v>0</v>
      </c>
      <c r="K70">
        <f t="shared" si="2"/>
        <v>1</v>
      </c>
      <c r="L70">
        <f t="shared" si="3"/>
        <v>1</v>
      </c>
    </row>
    <row r="71" spans="1:12" x14ac:dyDescent="0.25">
      <c r="A71" s="11" t="s">
        <v>85</v>
      </c>
      <c r="B71" s="12" t="s">
        <v>22</v>
      </c>
      <c r="C71" s="13">
        <v>16</v>
      </c>
      <c r="D71" s="13">
        <v>0</v>
      </c>
      <c r="E71" s="13">
        <v>0</v>
      </c>
      <c r="F71" s="13">
        <v>0</v>
      </c>
      <c r="G71" s="13">
        <v>18</v>
      </c>
      <c r="H71" s="13">
        <v>2</v>
      </c>
      <c r="I71" s="13">
        <v>2</v>
      </c>
      <c r="J71" s="14">
        <v>5</v>
      </c>
      <c r="K71">
        <f t="shared" si="2"/>
        <v>1</v>
      </c>
      <c r="L71">
        <f t="shared" si="3"/>
        <v>1</v>
      </c>
    </row>
    <row r="72" spans="1:12" x14ac:dyDescent="0.25">
      <c r="A72" s="7" t="s">
        <v>86</v>
      </c>
      <c r="B72" s="8" t="s">
        <v>22</v>
      </c>
      <c r="C72" s="9">
        <v>8</v>
      </c>
      <c r="D72" s="9">
        <v>6</v>
      </c>
      <c r="E72" s="9">
        <v>5</v>
      </c>
      <c r="F72" s="9">
        <v>10</v>
      </c>
      <c r="G72" s="9">
        <v>8</v>
      </c>
      <c r="H72" s="9">
        <v>0</v>
      </c>
      <c r="I72" s="9">
        <v>0</v>
      </c>
      <c r="J72" s="10">
        <v>0</v>
      </c>
      <c r="K72">
        <f t="shared" si="2"/>
        <v>1</v>
      </c>
      <c r="L72">
        <f t="shared" si="3"/>
        <v>1</v>
      </c>
    </row>
    <row r="73" spans="1:12" x14ac:dyDescent="0.25">
      <c r="A73" s="11" t="s">
        <v>87</v>
      </c>
      <c r="B73" s="12" t="s">
        <v>22</v>
      </c>
      <c r="C73" s="13">
        <v>22</v>
      </c>
      <c r="D73" s="13">
        <v>1</v>
      </c>
      <c r="E73" s="13">
        <v>1</v>
      </c>
      <c r="F73" s="13">
        <v>0</v>
      </c>
      <c r="G73" s="13">
        <v>8</v>
      </c>
      <c r="H73" s="13">
        <v>0</v>
      </c>
      <c r="I73" s="13">
        <v>2</v>
      </c>
      <c r="J73" s="14">
        <v>0</v>
      </c>
      <c r="K73">
        <f t="shared" si="2"/>
        <v>1</v>
      </c>
      <c r="L73">
        <f t="shared" si="3"/>
        <v>1</v>
      </c>
    </row>
    <row r="74" spans="1:12" x14ac:dyDescent="0.25">
      <c r="A74" s="7" t="s">
        <v>88</v>
      </c>
      <c r="B74" s="8" t="s">
        <v>22</v>
      </c>
      <c r="C74" s="9">
        <v>10</v>
      </c>
      <c r="D74" s="9">
        <v>3</v>
      </c>
      <c r="E74" s="9">
        <v>11</v>
      </c>
      <c r="F74" s="9">
        <v>5</v>
      </c>
      <c r="G74" s="9">
        <v>10</v>
      </c>
      <c r="H74" s="9">
        <v>0</v>
      </c>
      <c r="I74" s="9">
        <v>4</v>
      </c>
      <c r="J74" s="10">
        <v>3</v>
      </c>
      <c r="K74">
        <f t="shared" si="2"/>
        <v>1</v>
      </c>
      <c r="L74">
        <f t="shared" si="3"/>
        <v>1</v>
      </c>
    </row>
    <row r="75" spans="1:12" x14ac:dyDescent="0.25">
      <c r="A75" s="11" t="s">
        <v>89</v>
      </c>
      <c r="B75" s="12" t="s">
        <v>22</v>
      </c>
      <c r="C75" s="13">
        <v>5</v>
      </c>
      <c r="D75" s="13">
        <v>0</v>
      </c>
      <c r="E75" s="13">
        <v>0</v>
      </c>
      <c r="F75" s="13">
        <v>1</v>
      </c>
      <c r="G75" s="13">
        <v>5</v>
      </c>
      <c r="H75" s="13">
        <v>0</v>
      </c>
      <c r="I75" s="13">
        <v>0</v>
      </c>
      <c r="J75" s="14">
        <v>0</v>
      </c>
      <c r="K75">
        <f t="shared" si="2"/>
        <v>1</v>
      </c>
      <c r="L75">
        <f t="shared" si="3"/>
        <v>1</v>
      </c>
    </row>
    <row r="76" spans="1:12" x14ac:dyDescent="0.25">
      <c r="A76" s="7" t="s">
        <v>90</v>
      </c>
      <c r="B76" s="8" t="s">
        <v>11</v>
      </c>
      <c r="C76" s="9">
        <v>12</v>
      </c>
      <c r="D76" s="9">
        <v>0</v>
      </c>
      <c r="E76" s="9">
        <v>3</v>
      </c>
      <c r="F76" s="9">
        <v>3</v>
      </c>
      <c r="G76" s="9">
        <v>0</v>
      </c>
      <c r="H76" s="9">
        <v>0</v>
      </c>
      <c r="I76" s="9">
        <v>0</v>
      </c>
      <c r="J76" s="10">
        <v>0</v>
      </c>
      <c r="K76">
        <f t="shared" si="2"/>
        <v>1</v>
      </c>
      <c r="L76">
        <f t="shared" si="3"/>
        <v>0</v>
      </c>
    </row>
    <row r="77" spans="1:12" x14ac:dyDescent="0.25">
      <c r="A77" s="11" t="s">
        <v>91</v>
      </c>
      <c r="B77" s="12" t="s">
        <v>13</v>
      </c>
      <c r="C77" s="13">
        <v>13</v>
      </c>
      <c r="D77" s="13">
        <v>6</v>
      </c>
      <c r="E77" s="13">
        <v>5</v>
      </c>
      <c r="F77" s="13">
        <v>11</v>
      </c>
      <c r="G77" s="13">
        <v>6</v>
      </c>
      <c r="H77" s="13">
        <v>0</v>
      </c>
      <c r="I77" s="13">
        <v>0</v>
      </c>
      <c r="J77" s="14">
        <v>0</v>
      </c>
      <c r="K77">
        <f t="shared" si="2"/>
        <v>1</v>
      </c>
      <c r="L77">
        <f t="shared" si="3"/>
        <v>1</v>
      </c>
    </row>
    <row r="78" spans="1:12" x14ac:dyDescent="0.25">
      <c r="A78" s="7" t="s">
        <v>92</v>
      </c>
      <c r="B78" s="8" t="s">
        <v>13</v>
      </c>
      <c r="C78" s="9">
        <v>8</v>
      </c>
      <c r="D78" s="9">
        <v>0</v>
      </c>
      <c r="E78" s="9">
        <v>0</v>
      </c>
      <c r="F78" s="9">
        <v>1</v>
      </c>
      <c r="G78" s="9">
        <v>0</v>
      </c>
      <c r="H78" s="9">
        <v>0</v>
      </c>
      <c r="I78" s="9">
        <v>0</v>
      </c>
      <c r="J78" s="10">
        <v>0</v>
      </c>
      <c r="K78">
        <f t="shared" si="2"/>
        <v>1</v>
      </c>
      <c r="L78">
        <f t="shared" si="3"/>
        <v>0</v>
      </c>
    </row>
    <row r="79" spans="1:12" x14ac:dyDescent="0.25">
      <c r="A79" s="11" t="s">
        <v>93</v>
      </c>
      <c r="B79" s="12" t="s">
        <v>25</v>
      </c>
      <c r="C79" s="13">
        <v>22</v>
      </c>
      <c r="D79" s="13">
        <v>13</v>
      </c>
      <c r="E79" s="13">
        <v>21</v>
      </c>
      <c r="F79" s="13">
        <v>28</v>
      </c>
      <c r="G79" s="13">
        <v>8</v>
      </c>
      <c r="H79" s="13">
        <v>0</v>
      </c>
      <c r="I79" s="13">
        <v>0</v>
      </c>
      <c r="J79" s="14">
        <v>0</v>
      </c>
      <c r="K79">
        <f t="shared" si="2"/>
        <v>1</v>
      </c>
      <c r="L79">
        <f t="shared" si="3"/>
        <v>1</v>
      </c>
    </row>
    <row r="80" spans="1:12" x14ac:dyDescent="0.25">
      <c r="A80" s="7" t="s">
        <v>94</v>
      </c>
      <c r="B80" s="8" t="s">
        <v>22</v>
      </c>
      <c r="C80" s="9">
        <v>5</v>
      </c>
      <c r="D80" s="9">
        <v>0</v>
      </c>
      <c r="E80" s="9">
        <v>2</v>
      </c>
      <c r="F80" s="9">
        <v>5</v>
      </c>
      <c r="G80" s="9">
        <v>6</v>
      </c>
      <c r="H80" s="9">
        <v>0</v>
      </c>
      <c r="I80" s="9">
        <v>0</v>
      </c>
      <c r="J80" s="10">
        <v>0</v>
      </c>
      <c r="K80">
        <f t="shared" si="2"/>
        <v>1</v>
      </c>
      <c r="L80">
        <f t="shared" si="3"/>
        <v>1</v>
      </c>
    </row>
    <row r="81" spans="1:12" x14ac:dyDescent="0.25">
      <c r="A81" s="11" t="s">
        <v>95</v>
      </c>
      <c r="B81" s="12" t="s">
        <v>11</v>
      </c>
      <c r="C81" s="13">
        <v>12</v>
      </c>
      <c r="D81" s="13">
        <v>2</v>
      </c>
      <c r="E81" s="13">
        <v>9</v>
      </c>
      <c r="F81" s="13">
        <v>13</v>
      </c>
      <c r="G81" s="13">
        <v>13</v>
      </c>
      <c r="H81" s="13">
        <v>0</v>
      </c>
      <c r="I81" s="13">
        <v>0</v>
      </c>
      <c r="J81" s="14">
        <v>0</v>
      </c>
      <c r="K81">
        <f t="shared" si="2"/>
        <v>1</v>
      </c>
      <c r="L81">
        <f t="shared" si="3"/>
        <v>1</v>
      </c>
    </row>
    <row r="82" spans="1:12" x14ac:dyDescent="0.25">
      <c r="A82" s="7" t="s">
        <v>96</v>
      </c>
      <c r="B82" s="8" t="s">
        <v>13</v>
      </c>
      <c r="C82" s="9">
        <v>9</v>
      </c>
      <c r="D82" s="9">
        <v>1</v>
      </c>
      <c r="E82" s="9">
        <v>0</v>
      </c>
      <c r="F82" s="9">
        <v>1</v>
      </c>
      <c r="G82" s="9">
        <v>0</v>
      </c>
      <c r="H82" s="9">
        <v>0</v>
      </c>
      <c r="I82" s="9">
        <v>0</v>
      </c>
      <c r="J82" s="10">
        <v>0</v>
      </c>
      <c r="K82">
        <f t="shared" si="2"/>
        <v>1</v>
      </c>
      <c r="L82">
        <f t="shared" si="3"/>
        <v>0</v>
      </c>
    </row>
    <row r="83" spans="1:12" x14ac:dyDescent="0.25">
      <c r="A83" s="11" t="s">
        <v>97</v>
      </c>
      <c r="B83" s="12" t="s">
        <v>13</v>
      </c>
      <c r="C83" s="13">
        <v>6</v>
      </c>
      <c r="D83" s="13">
        <v>0</v>
      </c>
      <c r="E83" s="13">
        <v>4</v>
      </c>
      <c r="F83" s="13">
        <v>0</v>
      </c>
      <c r="G83" s="13">
        <v>0</v>
      </c>
      <c r="H83" s="13">
        <v>0</v>
      </c>
      <c r="I83" s="13">
        <v>0</v>
      </c>
      <c r="J83" s="14">
        <v>0</v>
      </c>
      <c r="K83">
        <f t="shared" si="2"/>
        <v>1</v>
      </c>
      <c r="L83">
        <f t="shared" si="3"/>
        <v>0</v>
      </c>
    </row>
    <row r="84" spans="1:12" x14ac:dyDescent="0.25">
      <c r="A84" s="7" t="s">
        <v>98</v>
      </c>
      <c r="B84" s="8" t="s">
        <v>22</v>
      </c>
      <c r="C84" s="9">
        <v>15</v>
      </c>
      <c r="D84" s="9">
        <v>174</v>
      </c>
      <c r="E84" s="9">
        <v>182</v>
      </c>
      <c r="F84" s="9">
        <v>217</v>
      </c>
      <c r="G84" s="9">
        <v>11</v>
      </c>
      <c r="H84" s="9">
        <v>78</v>
      </c>
      <c r="I84" s="9">
        <v>78</v>
      </c>
      <c r="J84" s="10">
        <v>53</v>
      </c>
      <c r="K84">
        <f t="shared" si="2"/>
        <v>1</v>
      </c>
      <c r="L84">
        <f t="shared" si="3"/>
        <v>1</v>
      </c>
    </row>
    <row r="85" spans="1:12" x14ac:dyDescent="0.25">
      <c r="A85" s="11" t="s">
        <v>99</v>
      </c>
      <c r="B85" s="12" t="s">
        <v>22</v>
      </c>
      <c r="C85" s="13">
        <v>5</v>
      </c>
      <c r="D85" s="13">
        <v>56</v>
      </c>
      <c r="E85" s="13">
        <v>67</v>
      </c>
      <c r="F85" s="13">
        <v>81</v>
      </c>
      <c r="G85" s="13">
        <v>7</v>
      </c>
      <c r="H85" s="13">
        <v>11</v>
      </c>
      <c r="I85" s="13">
        <v>15</v>
      </c>
      <c r="J85" s="14">
        <v>13</v>
      </c>
      <c r="K85">
        <f t="shared" si="2"/>
        <v>1</v>
      </c>
      <c r="L85">
        <f t="shared" si="3"/>
        <v>1</v>
      </c>
    </row>
    <row r="86" spans="1:12" x14ac:dyDescent="0.25">
      <c r="A86" s="7" t="s">
        <v>100</v>
      </c>
      <c r="B86" s="8" t="s">
        <v>22</v>
      </c>
      <c r="C86" s="9">
        <v>3</v>
      </c>
      <c r="D86" s="9">
        <v>28</v>
      </c>
      <c r="E86" s="9">
        <v>54</v>
      </c>
      <c r="F86" s="9">
        <v>36</v>
      </c>
      <c r="G86" s="9">
        <v>3</v>
      </c>
      <c r="H86" s="9">
        <v>8</v>
      </c>
      <c r="I86" s="9">
        <v>6</v>
      </c>
      <c r="J86" s="10">
        <v>5</v>
      </c>
      <c r="K86">
        <f t="shared" si="2"/>
        <v>1</v>
      </c>
      <c r="L86">
        <f t="shared" si="3"/>
        <v>1</v>
      </c>
    </row>
    <row r="87" spans="1:12" x14ac:dyDescent="0.25">
      <c r="A87" s="11" t="s">
        <v>101</v>
      </c>
      <c r="B87" s="12" t="s">
        <v>22</v>
      </c>
      <c r="C87" s="13">
        <v>5</v>
      </c>
      <c r="D87" s="13">
        <v>153</v>
      </c>
      <c r="E87" s="13">
        <v>129</v>
      </c>
      <c r="F87" s="13">
        <v>127</v>
      </c>
      <c r="G87" s="13">
        <v>6</v>
      </c>
      <c r="H87" s="13">
        <v>39</v>
      </c>
      <c r="I87" s="13">
        <v>36</v>
      </c>
      <c r="J87" s="14">
        <v>35</v>
      </c>
      <c r="K87">
        <f t="shared" si="2"/>
        <v>1</v>
      </c>
      <c r="L87">
        <f t="shared" si="3"/>
        <v>1</v>
      </c>
    </row>
    <row r="88" spans="1:12" x14ac:dyDescent="0.25">
      <c r="A88" s="7" t="s">
        <v>102</v>
      </c>
      <c r="B88" s="8" t="s">
        <v>13</v>
      </c>
      <c r="C88" s="9">
        <v>11</v>
      </c>
      <c r="D88" s="9">
        <v>0</v>
      </c>
      <c r="E88" s="9">
        <v>0</v>
      </c>
      <c r="F88" s="9">
        <v>1</v>
      </c>
      <c r="G88" s="9">
        <v>0</v>
      </c>
      <c r="H88" s="9">
        <v>0</v>
      </c>
      <c r="I88" s="9">
        <v>0</v>
      </c>
      <c r="J88" s="10">
        <v>0</v>
      </c>
      <c r="K88">
        <f t="shared" si="2"/>
        <v>1</v>
      </c>
      <c r="L88">
        <f t="shared" si="3"/>
        <v>0</v>
      </c>
    </row>
    <row r="89" spans="1:12" x14ac:dyDescent="0.25">
      <c r="A89" s="11" t="s">
        <v>103</v>
      </c>
      <c r="B89" s="12" t="s">
        <v>13</v>
      </c>
      <c r="C89" s="13">
        <v>15</v>
      </c>
      <c r="D89" s="13">
        <v>3</v>
      </c>
      <c r="E89" s="13">
        <v>8</v>
      </c>
      <c r="F89" s="13">
        <v>12</v>
      </c>
      <c r="G89" s="13">
        <v>0</v>
      </c>
      <c r="H89" s="13">
        <v>0</v>
      </c>
      <c r="I89" s="13">
        <v>0</v>
      </c>
      <c r="J89" s="14">
        <v>0</v>
      </c>
      <c r="K89">
        <f t="shared" si="2"/>
        <v>1</v>
      </c>
      <c r="L89">
        <f t="shared" si="3"/>
        <v>0</v>
      </c>
    </row>
    <row r="90" spans="1:12" x14ac:dyDescent="0.25">
      <c r="A90" s="7" t="s">
        <v>104</v>
      </c>
      <c r="B90" s="8" t="s">
        <v>22</v>
      </c>
      <c r="C90" s="9">
        <v>24</v>
      </c>
      <c r="D90" s="9">
        <v>56</v>
      </c>
      <c r="E90" s="9">
        <v>49</v>
      </c>
      <c r="F90" s="9">
        <v>43</v>
      </c>
      <c r="G90" s="9">
        <v>22</v>
      </c>
      <c r="H90" s="9">
        <v>118</v>
      </c>
      <c r="I90" s="9">
        <v>111</v>
      </c>
      <c r="J90" s="10">
        <v>100</v>
      </c>
      <c r="K90">
        <f t="shared" si="2"/>
        <v>1</v>
      </c>
      <c r="L90">
        <f t="shared" si="3"/>
        <v>1</v>
      </c>
    </row>
    <row r="91" spans="1:12" x14ac:dyDescent="0.25">
      <c r="A91" s="11" t="s">
        <v>105</v>
      </c>
      <c r="B91" s="12" t="s">
        <v>20</v>
      </c>
      <c r="C91" s="13">
        <v>22</v>
      </c>
      <c r="D91" s="13">
        <v>42</v>
      </c>
      <c r="E91" s="13">
        <v>18</v>
      </c>
      <c r="F91" s="13">
        <v>39</v>
      </c>
      <c r="G91" s="13">
        <v>15</v>
      </c>
      <c r="H91" s="13">
        <v>0</v>
      </c>
      <c r="I91" s="13">
        <v>1</v>
      </c>
      <c r="J91" s="14">
        <v>0</v>
      </c>
      <c r="K91">
        <f t="shared" si="2"/>
        <v>1</v>
      </c>
      <c r="L91">
        <f t="shared" si="3"/>
        <v>1</v>
      </c>
    </row>
    <row r="92" spans="1:12" x14ac:dyDescent="0.25">
      <c r="A92" s="7" t="s">
        <v>106</v>
      </c>
      <c r="B92" s="8" t="s">
        <v>11</v>
      </c>
      <c r="C92" s="9">
        <v>16</v>
      </c>
      <c r="D92" s="9">
        <v>3</v>
      </c>
      <c r="E92" s="9">
        <v>3</v>
      </c>
      <c r="F92" s="9">
        <v>4</v>
      </c>
      <c r="G92" s="9">
        <v>2</v>
      </c>
      <c r="H92" s="9">
        <v>0</v>
      </c>
      <c r="I92" s="9">
        <v>0</v>
      </c>
      <c r="J92" s="10">
        <v>0</v>
      </c>
      <c r="K92">
        <f t="shared" si="2"/>
        <v>1</v>
      </c>
      <c r="L92">
        <f t="shared" si="3"/>
        <v>1</v>
      </c>
    </row>
    <row r="93" spans="1:12" x14ac:dyDescent="0.25">
      <c r="A93" s="11" t="s">
        <v>107</v>
      </c>
      <c r="B93" s="12" t="s">
        <v>15</v>
      </c>
      <c r="C93" s="13">
        <v>16</v>
      </c>
      <c r="D93" s="13">
        <v>1</v>
      </c>
      <c r="E93" s="13">
        <v>0</v>
      </c>
      <c r="F93" s="13">
        <v>2</v>
      </c>
      <c r="G93" s="13">
        <v>0</v>
      </c>
      <c r="H93" s="13">
        <v>0</v>
      </c>
      <c r="I93" s="13">
        <v>0</v>
      </c>
      <c r="J93" s="14">
        <v>0</v>
      </c>
      <c r="K93">
        <f t="shared" si="2"/>
        <v>1</v>
      </c>
      <c r="L93">
        <f t="shared" si="3"/>
        <v>0</v>
      </c>
    </row>
    <row r="94" spans="1:12" x14ac:dyDescent="0.25">
      <c r="A94" s="7" t="s">
        <v>108</v>
      </c>
      <c r="B94" s="8" t="s">
        <v>15</v>
      </c>
      <c r="C94" s="9">
        <v>11</v>
      </c>
      <c r="D94" s="9">
        <v>0</v>
      </c>
      <c r="E94" s="9">
        <v>1</v>
      </c>
      <c r="F94" s="9">
        <v>0</v>
      </c>
      <c r="G94" s="9">
        <v>1</v>
      </c>
      <c r="H94" s="9">
        <v>0</v>
      </c>
      <c r="I94" s="9">
        <v>0</v>
      </c>
      <c r="J94" s="10">
        <v>0</v>
      </c>
      <c r="K94">
        <f t="shared" si="2"/>
        <v>1</v>
      </c>
      <c r="L94">
        <f t="shared" si="3"/>
        <v>1</v>
      </c>
    </row>
    <row r="95" spans="1:12" x14ac:dyDescent="0.25">
      <c r="A95" s="11" t="s">
        <v>109</v>
      </c>
      <c r="B95" s="12" t="s">
        <v>15</v>
      </c>
      <c r="C95" s="13">
        <v>17</v>
      </c>
      <c r="D95" s="13">
        <v>1</v>
      </c>
      <c r="E95" s="13">
        <v>3</v>
      </c>
      <c r="F95" s="13">
        <v>0</v>
      </c>
      <c r="G95" s="13">
        <v>2</v>
      </c>
      <c r="H95" s="13">
        <v>0</v>
      </c>
      <c r="I95" s="13">
        <v>0</v>
      </c>
      <c r="J95" s="14">
        <v>0</v>
      </c>
      <c r="K95">
        <f t="shared" si="2"/>
        <v>1</v>
      </c>
      <c r="L95">
        <f t="shared" si="3"/>
        <v>1</v>
      </c>
    </row>
    <row r="96" spans="1:12" x14ac:dyDescent="0.25">
      <c r="A96" s="7" t="s">
        <v>110</v>
      </c>
      <c r="B96" s="8" t="s">
        <v>22</v>
      </c>
      <c r="C96" s="9">
        <v>20</v>
      </c>
      <c r="D96" s="9">
        <v>64</v>
      </c>
      <c r="E96" s="9">
        <v>82</v>
      </c>
      <c r="F96" s="9">
        <v>125</v>
      </c>
      <c r="G96" s="9">
        <v>22</v>
      </c>
      <c r="H96" s="9">
        <v>6</v>
      </c>
      <c r="I96" s="9">
        <v>7</v>
      </c>
      <c r="J96" s="10">
        <v>7</v>
      </c>
      <c r="K96">
        <f t="shared" si="2"/>
        <v>1</v>
      </c>
      <c r="L96">
        <f t="shared" si="3"/>
        <v>1</v>
      </c>
    </row>
    <row r="97" spans="1:12" x14ac:dyDescent="0.25">
      <c r="A97" s="11" t="s">
        <v>111</v>
      </c>
      <c r="B97" s="12" t="s">
        <v>25</v>
      </c>
      <c r="C97" s="13">
        <v>17</v>
      </c>
      <c r="D97" s="13">
        <v>0</v>
      </c>
      <c r="E97" s="13">
        <v>2</v>
      </c>
      <c r="F97" s="13">
        <v>6</v>
      </c>
      <c r="G97" s="13">
        <v>6</v>
      </c>
      <c r="H97" s="13">
        <v>0</v>
      </c>
      <c r="I97" s="13">
        <v>0</v>
      </c>
      <c r="J97" s="14">
        <v>0</v>
      </c>
      <c r="K97">
        <f t="shared" si="2"/>
        <v>1</v>
      </c>
      <c r="L97">
        <f t="shared" si="3"/>
        <v>1</v>
      </c>
    </row>
    <row r="98" spans="1:12" x14ac:dyDescent="0.25">
      <c r="A98" s="7" t="s">
        <v>112</v>
      </c>
      <c r="B98" s="8" t="s">
        <v>22</v>
      </c>
      <c r="C98" s="9">
        <v>23</v>
      </c>
      <c r="D98" s="9">
        <v>4</v>
      </c>
      <c r="E98" s="9">
        <v>8</v>
      </c>
      <c r="F98" s="9">
        <v>11</v>
      </c>
      <c r="G98" s="9">
        <v>7</v>
      </c>
      <c r="H98" s="9">
        <v>0</v>
      </c>
      <c r="I98" s="9">
        <v>0</v>
      </c>
      <c r="J98" s="10">
        <v>0</v>
      </c>
      <c r="K98">
        <f t="shared" si="2"/>
        <v>1</v>
      </c>
      <c r="L98">
        <f t="shared" si="3"/>
        <v>1</v>
      </c>
    </row>
    <row r="99" spans="1:12" x14ac:dyDescent="0.25">
      <c r="A99" s="11" t="s">
        <v>113</v>
      </c>
      <c r="B99" s="12" t="s">
        <v>13</v>
      </c>
      <c r="C99" s="13">
        <v>18</v>
      </c>
      <c r="D99" s="13">
        <v>23</v>
      </c>
      <c r="E99" s="13">
        <v>26</v>
      </c>
      <c r="F99" s="13">
        <v>27</v>
      </c>
      <c r="G99" s="13">
        <v>6</v>
      </c>
      <c r="H99" s="13">
        <v>0</v>
      </c>
      <c r="I99" s="13">
        <v>0</v>
      </c>
      <c r="J99" s="14">
        <v>0</v>
      </c>
      <c r="K99">
        <f t="shared" si="2"/>
        <v>1</v>
      </c>
      <c r="L99">
        <f t="shared" si="3"/>
        <v>1</v>
      </c>
    </row>
    <row r="100" spans="1:12" x14ac:dyDescent="0.25">
      <c r="A100" s="7" t="s">
        <v>114</v>
      </c>
      <c r="B100" s="8" t="s">
        <v>22</v>
      </c>
      <c r="C100" s="9">
        <v>5</v>
      </c>
      <c r="D100" s="9">
        <v>133</v>
      </c>
      <c r="E100" s="9">
        <v>122</v>
      </c>
      <c r="F100" s="9">
        <v>142</v>
      </c>
      <c r="G100" s="9">
        <v>6</v>
      </c>
      <c r="H100" s="9">
        <v>49</v>
      </c>
      <c r="I100" s="9">
        <v>40</v>
      </c>
      <c r="J100" s="10">
        <v>35</v>
      </c>
      <c r="K100">
        <f t="shared" si="2"/>
        <v>1</v>
      </c>
      <c r="L100">
        <f t="shared" si="3"/>
        <v>1</v>
      </c>
    </row>
    <row r="101" spans="1:12" x14ac:dyDescent="0.25">
      <c r="A101" s="11" t="s">
        <v>115</v>
      </c>
      <c r="B101" s="12" t="s">
        <v>22</v>
      </c>
      <c r="C101" s="13">
        <v>3</v>
      </c>
      <c r="D101" s="13">
        <v>1</v>
      </c>
      <c r="E101" s="13">
        <v>4</v>
      </c>
      <c r="F101" s="13">
        <v>3</v>
      </c>
      <c r="G101" s="13">
        <v>0</v>
      </c>
      <c r="H101" s="13">
        <v>0</v>
      </c>
      <c r="I101" s="13">
        <v>0</v>
      </c>
      <c r="J101" s="14">
        <v>0</v>
      </c>
      <c r="K101">
        <f t="shared" si="2"/>
        <v>1</v>
      </c>
      <c r="L101">
        <f t="shared" si="3"/>
        <v>0</v>
      </c>
    </row>
    <row r="102" spans="1:12" x14ac:dyDescent="0.25">
      <c r="A102" s="7" t="s">
        <v>116</v>
      </c>
      <c r="B102" s="8" t="s">
        <v>22</v>
      </c>
      <c r="C102" s="9">
        <v>20</v>
      </c>
      <c r="D102" s="9">
        <v>88</v>
      </c>
      <c r="E102" s="9">
        <v>94</v>
      </c>
      <c r="F102" s="9">
        <v>119</v>
      </c>
      <c r="G102" s="9">
        <v>20</v>
      </c>
      <c r="H102" s="9">
        <v>0</v>
      </c>
      <c r="I102" s="9">
        <v>0</v>
      </c>
      <c r="J102" s="10">
        <v>1</v>
      </c>
      <c r="K102">
        <f t="shared" si="2"/>
        <v>1</v>
      </c>
      <c r="L102">
        <f t="shared" si="3"/>
        <v>1</v>
      </c>
    </row>
    <row r="103" spans="1:12" x14ac:dyDescent="0.25">
      <c r="A103" s="11" t="s">
        <v>117</v>
      </c>
      <c r="B103" s="12" t="s">
        <v>13</v>
      </c>
      <c r="C103" s="13">
        <v>13</v>
      </c>
      <c r="D103" s="13">
        <v>0</v>
      </c>
      <c r="E103" s="13">
        <v>1</v>
      </c>
      <c r="F103" s="13">
        <v>0</v>
      </c>
      <c r="G103" s="13">
        <v>5</v>
      </c>
      <c r="H103" s="13">
        <v>0</v>
      </c>
      <c r="I103" s="13">
        <v>0</v>
      </c>
      <c r="J103" s="14">
        <v>0</v>
      </c>
      <c r="K103">
        <f t="shared" si="2"/>
        <v>1</v>
      </c>
      <c r="L103">
        <f t="shared" si="3"/>
        <v>1</v>
      </c>
    </row>
    <row r="104" spans="1:12" x14ac:dyDescent="0.25">
      <c r="A104" s="7" t="s">
        <v>118</v>
      </c>
      <c r="B104" s="8" t="s">
        <v>22</v>
      </c>
      <c r="C104" s="9">
        <v>3</v>
      </c>
      <c r="D104" s="9">
        <v>1</v>
      </c>
      <c r="E104" s="9">
        <v>2</v>
      </c>
      <c r="F104" s="9">
        <v>4</v>
      </c>
      <c r="G104" s="9">
        <v>2</v>
      </c>
      <c r="H104" s="9">
        <v>0</v>
      </c>
      <c r="I104" s="9">
        <v>0</v>
      </c>
      <c r="J104" s="10">
        <v>0</v>
      </c>
      <c r="K104">
        <f t="shared" si="2"/>
        <v>1</v>
      </c>
      <c r="L104">
        <f t="shared" si="3"/>
        <v>1</v>
      </c>
    </row>
    <row r="105" spans="1:12" x14ac:dyDescent="0.25">
      <c r="A105" s="11" t="s">
        <v>119</v>
      </c>
      <c r="B105" s="12" t="s">
        <v>22</v>
      </c>
      <c r="C105" s="13">
        <v>1</v>
      </c>
      <c r="D105" s="13">
        <v>0</v>
      </c>
      <c r="E105" s="13">
        <v>2</v>
      </c>
      <c r="F105" s="13">
        <v>0</v>
      </c>
      <c r="G105" s="13">
        <v>1</v>
      </c>
      <c r="H105" s="13">
        <v>0</v>
      </c>
      <c r="I105" s="13">
        <v>0</v>
      </c>
      <c r="J105" s="14">
        <v>0</v>
      </c>
      <c r="K105">
        <f t="shared" si="2"/>
        <v>1</v>
      </c>
      <c r="L105">
        <f t="shared" si="3"/>
        <v>1</v>
      </c>
    </row>
    <row r="106" spans="1:12" x14ac:dyDescent="0.25">
      <c r="A106" s="7" t="s">
        <v>120</v>
      </c>
      <c r="B106" s="8" t="s">
        <v>11</v>
      </c>
      <c r="C106" s="9">
        <v>15</v>
      </c>
      <c r="D106" s="9">
        <v>0</v>
      </c>
      <c r="E106" s="9">
        <v>2</v>
      </c>
      <c r="F106" s="9">
        <v>2</v>
      </c>
      <c r="G106" s="9">
        <v>0</v>
      </c>
      <c r="H106" s="9">
        <v>0</v>
      </c>
      <c r="I106" s="9">
        <v>0</v>
      </c>
      <c r="J106" s="10">
        <v>0</v>
      </c>
      <c r="K106">
        <f t="shared" si="2"/>
        <v>1</v>
      </c>
      <c r="L106">
        <f t="shared" si="3"/>
        <v>0</v>
      </c>
    </row>
    <row r="107" spans="1:12" x14ac:dyDescent="0.25">
      <c r="A107" s="11" t="s">
        <v>121</v>
      </c>
      <c r="B107" s="12" t="s">
        <v>22</v>
      </c>
      <c r="C107" s="13">
        <v>5</v>
      </c>
      <c r="D107" s="13">
        <v>7</v>
      </c>
      <c r="E107" s="13">
        <v>9</v>
      </c>
      <c r="F107" s="13">
        <v>8</v>
      </c>
      <c r="G107" s="13">
        <v>6</v>
      </c>
      <c r="H107" s="13">
        <v>2</v>
      </c>
      <c r="I107" s="13">
        <v>2</v>
      </c>
      <c r="J107" s="14">
        <v>1</v>
      </c>
      <c r="K107">
        <f t="shared" si="2"/>
        <v>1</v>
      </c>
      <c r="L107">
        <f t="shared" si="3"/>
        <v>1</v>
      </c>
    </row>
    <row r="108" spans="1:12" x14ac:dyDescent="0.25">
      <c r="A108" s="7" t="s">
        <v>122</v>
      </c>
      <c r="B108" s="8" t="s">
        <v>22</v>
      </c>
      <c r="C108" s="9">
        <v>6</v>
      </c>
      <c r="D108" s="9">
        <v>4</v>
      </c>
      <c r="E108" s="9">
        <v>6</v>
      </c>
      <c r="F108" s="9">
        <v>9</v>
      </c>
      <c r="G108" s="9">
        <v>7</v>
      </c>
      <c r="H108" s="9">
        <v>2</v>
      </c>
      <c r="I108" s="9">
        <v>4</v>
      </c>
      <c r="J108" s="10">
        <v>9</v>
      </c>
      <c r="K108">
        <f t="shared" si="2"/>
        <v>1</v>
      </c>
      <c r="L108">
        <f t="shared" si="3"/>
        <v>1</v>
      </c>
    </row>
    <row r="109" spans="1:12" x14ac:dyDescent="0.25">
      <c r="A109" s="11" t="s">
        <v>123</v>
      </c>
      <c r="B109" s="12" t="s">
        <v>11</v>
      </c>
      <c r="C109" s="13">
        <v>16</v>
      </c>
      <c r="D109" s="13">
        <v>0</v>
      </c>
      <c r="E109" s="13">
        <v>2</v>
      </c>
      <c r="F109" s="13">
        <v>0</v>
      </c>
      <c r="G109" s="13">
        <v>0</v>
      </c>
      <c r="H109" s="13">
        <v>0</v>
      </c>
      <c r="I109" s="13">
        <v>0</v>
      </c>
      <c r="J109" s="14">
        <v>0</v>
      </c>
      <c r="K109">
        <f t="shared" si="2"/>
        <v>1</v>
      </c>
      <c r="L109">
        <f t="shared" si="3"/>
        <v>0</v>
      </c>
    </row>
    <row r="110" spans="1:12" x14ac:dyDescent="0.25">
      <c r="A110" s="7" t="s">
        <v>124</v>
      </c>
      <c r="B110" s="8" t="s">
        <v>25</v>
      </c>
      <c r="C110" s="9">
        <v>26</v>
      </c>
      <c r="D110" s="9">
        <v>976</v>
      </c>
      <c r="E110" s="9">
        <v>758</v>
      </c>
      <c r="F110" s="9">
        <v>666</v>
      </c>
      <c r="G110" s="9">
        <v>22</v>
      </c>
      <c r="H110" s="9">
        <v>96</v>
      </c>
      <c r="I110" s="9">
        <v>102</v>
      </c>
      <c r="J110" s="10">
        <v>83</v>
      </c>
      <c r="K110">
        <f t="shared" si="2"/>
        <v>1</v>
      </c>
      <c r="L110">
        <f t="shared" si="3"/>
        <v>1</v>
      </c>
    </row>
    <row r="111" spans="1:12" x14ac:dyDescent="0.25">
      <c r="A111" s="11" t="s">
        <v>125</v>
      </c>
      <c r="B111" s="12" t="s">
        <v>13</v>
      </c>
      <c r="C111" s="13">
        <v>11</v>
      </c>
      <c r="D111" s="13">
        <v>0</v>
      </c>
      <c r="E111" s="13">
        <v>1</v>
      </c>
      <c r="F111" s="13">
        <v>0</v>
      </c>
      <c r="G111" s="13">
        <v>0</v>
      </c>
      <c r="H111" s="13">
        <v>0</v>
      </c>
      <c r="I111" s="13">
        <v>0</v>
      </c>
      <c r="J111" s="14">
        <v>0</v>
      </c>
      <c r="K111">
        <f t="shared" si="2"/>
        <v>1</v>
      </c>
      <c r="L111">
        <f t="shared" si="3"/>
        <v>0</v>
      </c>
    </row>
    <row r="112" spans="1:12" x14ac:dyDescent="0.25">
      <c r="A112" s="7" t="s">
        <v>126</v>
      </c>
      <c r="B112" s="8" t="s">
        <v>15</v>
      </c>
      <c r="C112" s="9">
        <v>11</v>
      </c>
      <c r="D112" s="9">
        <v>1</v>
      </c>
      <c r="E112" s="9">
        <v>0</v>
      </c>
      <c r="F112" s="9">
        <v>1</v>
      </c>
      <c r="G112" s="9">
        <v>0</v>
      </c>
      <c r="H112" s="9">
        <v>0</v>
      </c>
      <c r="I112" s="9">
        <v>0</v>
      </c>
      <c r="J112" s="10">
        <v>0</v>
      </c>
      <c r="K112">
        <f t="shared" si="2"/>
        <v>1</v>
      </c>
      <c r="L112">
        <f t="shared" si="3"/>
        <v>0</v>
      </c>
    </row>
    <row r="113" spans="1:12" x14ac:dyDescent="0.25">
      <c r="A113" s="11" t="s">
        <v>127</v>
      </c>
      <c r="B113" s="12" t="s">
        <v>11</v>
      </c>
      <c r="C113" s="13">
        <v>12</v>
      </c>
      <c r="D113" s="13">
        <v>1</v>
      </c>
      <c r="E113" s="13">
        <v>1</v>
      </c>
      <c r="F113" s="13">
        <v>1</v>
      </c>
      <c r="G113" s="13">
        <v>0</v>
      </c>
      <c r="H113" s="13">
        <v>0</v>
      </c>
      <c r="I113" s="13">
        <v>0</v>
      </c>
      <c r="J113" s="14">
        <v>0</v>
      </c>
      <c r="K113">
        <f t="shared" si="2"/>
        <v>1</v>
      </c>
      <c r="L113">
        <f t="shared" si="3"/>
        <v>0</v>
      </c>
    </row>
    <row r="114" spans="1:12" x14ac:dyDescent="0.25">
      <c r="A114" s="7" t="s">
        <v>128</v>
      </c>
      <c r="B114" s="8" t="s">
        <v>22</v>
      </c>
      <c r="C114" s="9">
        <v>27</v>
      </c>
      <c r="D114" s="9">
        <v>47</v>
      </c>
      <c r="E114" s="9">
        <v>73</v>
      </c>
      <c r="F114" s="9">
        <v>65</v>
      </c>
      <c r="G114" s="9">
        <v>22</v>
      </c>
      <c r="H114" s="9">
        <v>50</v>
      </c>
      <c r="I114" s="9">
        <v>40</v>
      </c>
      <c r="J114" s="10">
        <v>48</v>
      </c>
      <c r="K114">
        <f t="shared" si="2"/>
        <v>1</v>
      </c>
      <c r="L114">
        <f t="shared" si="3"/>
        <v>1</v>
      </c>
    </row>
    <row r="115" spans="1:12" x14ac:dyDescent="0.25">
      <c r="A115" s="11" t="s">
        <v>129</v>
      </c>
      <c r="B115" s="12" t="s">
        <v>22</v>
      </c>
      <c r="C115" s="13">
        <v>26</v>
      </c>
      <c r="D115" s="13">
        <v>143</v>
      </c>
      <c r="E115" s="13">
        <v>164</v>
      </c>
      <c r="F115" s="13">
        <v>176</v>
      </c>
      <c r="G115" s="13">
        <v>22</v>
      </c>
      <c r="H115" s="13">
        <v>50</v>
      </c>
      <c r="I115" s="13">
        <v>40</v>
      </c>
      <c r="J115" s="14">
        <v>54</v>
      </c>
      <c r="K115">
        <f t="shared" si="2"/>
        <v>1</v>
      </c>
      <c r="L115">
        <f t="shared" si="3"/>
        <v>1</v>
      </c>
    </row>
    <row r="116" spans="1:12" x14ac:dyDescent="0.25">
      <c r="A116" s="7" t="s">
        <v>130</v>
      </c>
      <c r="B116" s="8" t="s">
        <v>11</v>
      </c>
      <c r="C116" s="9">
        <v>5</v>
      </c>
      <c r="D116" s="9">
        <v>0</v>
      </c>
      <c r="E116" s="9">
        <v>1</v>
      </c>
      <c r="F116" s="9">
        <v>2</v>
      </c>
      <c r="G116" s="9">
        <v>4</v>
      </c>
      <c r="H116" s="9">
        <v>0</v>
      </c>
      <c r="I116" s="9">
        <v>0</v>
      </c>
      <c r="J116" s="10">
        <v>0</v>
      </c>
      <c r="K116">
        <f t="shared" si="2"/>
        <v>1</v>
      </c>
      <c r="L116">
        <f t="shared" si="3"/>
        <v>1</v>
      </c>
    </row>
    <row r="117" spans="1:12" x14ac:dyDescent="0.25">
      <c r="A117" s="11" t="s">
        <v>131</v>
      </c>
      <c r="B117" s="12" t="s">
        <v>11</v>
      </c>
      <c r="C117" s="13">
        <v>15</v>
      </c>
      <c r="D117" s="13">
        <v>7</v>
      </c>
      <c r="E117" s="13">
        <v>6</v>
      </c>
      <c r="F117" s="13">
        <v>11</v>
      </c>
      <c r="G117" s="13">
        <v>3</v>
      </c>
      <c r="H117" s="13">
        <v>0</v>
      </c>
      <c r="I117" s="13">
        <v>0</v>
      </c>
      <c r="J117" s="14">
        <v>0</v>
      </c>
      <c r="K117">
        <f t="shared" si="2"/>
        <v>1</v>
      </c>
      <c r="L117">
        <f t="shared" si="3"/>
        <v>1</v>
      </c>
    </row>
    <row r="118" spans="1:12" x14ac:dyDescent="0.25">
      <c r="A118" s="7" t="s">
        <v>132</v>
      </c>
      <c r="B118" s="8" t="s">
        <v>13</v>
      </c>
      <c r="C118" s="9">
        <v>12</v>
      </c>
      <c r="D118" s="9">
        <v>0</v>
      </c>
      <c r="E118" s="9">
        <v>2</v>
      </c>
      <c r="F118" s="9">
        <v>0</v>
      </c>
      <c r="G118" s="9">
        <v>0</v>
      </c>
      <c r="H118" s="9">
        <v>0</v>
      </c>
      <c r="I118" s="9">
        <v>0</v>
      </c>
      <c r="J118" s="10">
        <v>0</v>
      </c>
      <c r="K118">
        <f t="shared" si="2"/>
        <v>1</v>
      </c>
      <c r="L118">
        <f t="shared" si="3"/>
        <v>0</v>
      </c>
    </row>
    <row r="119" spans="1:12" x14ac:dyDescent="0.25">
      <c r="A119" s="11" t="s">
        <v>133</v>
      </c>
      <c r="B119" s="12" t="s">
        <v>13</v>
      </c>
      <c r="C119" s="13">
        <v>9</v>
      </c>
      <c r="D119" s="13">
        <v>0</v>
      </c>
      <c r="E119" s="13">
        <v>0</v>
      </c>
      <c r="F119" s="13">
        <v>1</v>
      </c>
      <c r="G119" s="13">
        <v>1</v>
      </c>
      <c r="H119" s="13">
        <v>0</v>
      </c>
      <c r="I119" s="13">
        <v>0</v>
      </c>
      <c r="J119" s="14">
        <v>0</v>
      </c>
      <c r="K119">
        <f t="shared" si="2"/>
        <v>1</v>
      </c>
      <c r="L119">
        <f t="shared" si="3"/>
        <v>1</v>
      </c>
    </row>
    <row r="120" spans="1:12" x14ac:dyDescent="0.25">
      <c r="A120" s="7" t="s">
        <v>134</v>
      </c>
      <c r="B120" s="8" t="s">
        <v>20</v>
      </c>
      <c r="C120" s="9">
        <v>8</v>
      </c>
      <c r="D120" s="9">
        <v>0</v>
      </c>
      <c r="E120" s="9">
        <v>1</v>
      </c>
      <c r="F120" s="9">
        <v>0</v>
      </c>
      <c r="G120" s="9">
        <v>1</v>
      </c>
      <c r="H120" s="9">
        <v>0</v>
      </c>
      <c r="I120" s="9">
        <v>0</v>
      </c>
      <c r="J120" s="10">
        <v>0</v>
      </c>
      <c r="K120">
        <f t="shared" si="2"/>
        <v>1</v>
      </c>
      <c r="L120">
        <f t="shared" si="3"/>
        <v>1</v>
      </c>
    </row>
    <row r="121" spans="1:12" x14ac:dyDescent="0.25">
      <c r="A121" s="11" t="s">
        <v>135</v>
      </c>
      <c r="B121" s="12" t="s">
        <v>25</v>
      </c>
      <c r="C121" s="13">
        <v>16</v>
      </c>
      <c r="D121" s="13">
        <v>2</v>
      </c>
      <c r="E121" s="13">
        <v>5</v>
      </c>
      <c r="F121" s="13">
        <v>11</v>
      </c>
      <c r="G121" s="13">
        <v>3</v>
      </c>
      <c r="H121" s="13">
        <v>0</v>
      </c>
      <c r="I121" s="13">
        <v>0</v>
      </c>
      <c r="J121" s="14">
        <v>0</v>
      </c>
      <c r="K121">
        <f t="shared" si="2"/>
        <v>1</v>
      </c>
      <c r="L121">
        <f t="shared" si="3"/>
        <v>1</v>
      </c>
    </row>
    <row r="122" spans="1:12" x14ac:dyDescent="0.25">
      <c r="A122" s="7" t="s">
        <v>136</v>
      </c>
      <c r="B122" s="8" t="s">
        <v>13</v>
      </c>
      <c r="C122" s="9">
        <v>13</v>
      </c>
      <c r="D122" s="9">
        <v>3</v>
      </c>
      <c r="E122" s="9">
        <v>3</v>
      </c>
      <c r="F122" s="9">
        <v>4</v>
      </c>
      <c r="G122" s="9">
        <v>0</v>
      </c>
      <c r="H122" s="9">
        <v>0</v>
      </c>
      <c r="I122" s="9">
        <v>0</v>
      </c>
      <c r="J122" s="10">
        <v>0</v>
      </c>
      <c r="K122">
        <f t="shared" si="2"/>
        <v>1</v>
      </c>
      <c r="L122">
        <f t="shared" si="3"/>
        <v>0</v>
      </c>
    </row>
    <row r="123" spans="1:12" x14ac:dyDescent="0.25">
      <c r="A123" s="11" t="s">
        <v>137</v>
      </c>
      <c r="B123" s="12" t="s">
        <v>11</v>
      </c>
      <c r="C123" s="13">
        <v>21</v>
      </c>
      <c r="D123" s="13">
        <v>39</v>
      </c>
      <c r="E123" s="13">
        <v>25</v>
      </c>
      <c r="F123" s="13">
        <v>24</v>
      </c>
      <c r="G123" s="13">
        <v>16</v>
      </c>
      <c r="H123" s="13">
        <v>0</v>
      </c>
      <c r="I123" s="13">
        <v>0</v>
      </c>
      <c r="J123" s="14">
        <v>0</v>
      </c>
      <c r="K123">
        <f t="shared" si="2"/>
        <v>1</v>
      </c>
      <c r="L123">
        <f t="shared" si="3"/>
        <v>1</v>
      </c>
    </row>
    <row r="124" spans="1:12" x14ac:dyDescent="0.25">
      <c r="A124" s="7" t="s">
        <v>138</v>
      </c>
      <c r="B124" s="8" t="s">
        <v>13</v>
      </c>
      <c r="C124" s="9">
        <v>14</v>
      </c>
      <c r="D124" s="9">
        <v>2</v>
      </c>
      <c r="E124" s="9">
        <v>3</v>
      </c>
      <c r="F124" s="9">
        <v>2</v>
      </c>
      <c r="G124" s="9">
        <v>0</v>
      </c>
      <c r="H124" s="9">
        <v>0</v>
      </c>
      <c r="I124" s="9">
        <v>0</v>
      </c>
      <c r="J124" s="10">
        <v>0</v>
      </c>
      <c r="K124">
        <f t="shared" si="2"/>
        <v>1</v>
      </c>
      <c r="L124">
        <f t="shared" si="3"/>
        <v>0</v>
      </c>
    </row>
    <row r="125" spans="1:12" x14ac:dyDescent="0.25">
      <c r="A125" s="11" t="s">
        <v>139</v>
      </c>
      <c r="B125" s="12" t="s">
        <v>22</v>
      </c>
      <c r="C125" s="13">
        <v>5</v>
      </c>
      <c r="D125" s="13">
        <v>33</v>
      </c>
      <c r="E125" s="13">
        <v>27</v>
      </c>
      <c r="F125" s="13">
        <v>55</v>
      </c>
      <c r="G125" s="13">
        <v>6</v>
      </c>
      <c r="H125" s="13">
        <v>2</v>
      </c>
      <c r="I125" s="13">
        <v>1</v>
      </c>
      <c r="J125" s="14">
        <v>4</v>
      </c>
      <c r="K125">
        <f t="shared" si="2"/>
        <v>1</v>
      </c>
      <c r="L125">
        <f t="shared" si="3"/>
        <v>1</v>
      </c>
    </row>
    <row r="126" spans="1:12" x14ac:dyDescent="0.25">
      <c r="A126" s="7" t="s">
        <v>140</v>
      </c>
      <c r="B126" s="8" t="s">
        <v>15</v>
      </c>
      <c r="C126" s="9">
        <v>20</v>
      </c>
      <c r="D126" s="9">
        <v>2</v>
      </c>
      <c r="E126" s="9">
        <v>2</v>
      </c>
      <c r="F126" s="9">
        <v>6</v>
      </c>
      <c r="G126" s="9">
        <v>1</v>
      </c>
      <c r="H126" s="9">
        <v>0</v>
      </c>
      <c r="I126" s="9">
        <v>0</v>
      </c>
      <c r="J126" s="10">
        <v>0</v>
      </c>
      <c r="K126">
        <f t="shared" si="2"/>
        <v>1</v>
      </c>
      <c r="L126">
        <f t="shared" si="3"/>
        <v>1</v>
      </c>
    </row>
    <row r="127" spans="1:12" x14ac:dyDescent="0.25">
      <c r="A127" s="11" t="s">
        <v>141</v>
      </c>
      <c r="B127" s="12" t="s">
        <v>11</v>
      </c>
      <c r="C127" s="13">
        <v>5</v>
      </c>
      <c r="D127" s="13">
        <v>5</v>
      </c>
      <c r="E127" s="13">
        <v>5</v>
      </c>
      <c r="F127" s="13">
        <v>10</v>
      </c>
      <c r="G127" s="13">
        <v>6</v>
      </c>
      <c r="H127" s="13">
        <v>1</v>
      </c>
      <c r="I127" s="13">
        <v>0</v>
      </c>
      <c r="J127" s="14">
        <v>0</v>
      </c>
      <c r="K127">
        <f t="shared" si="2"/>
        <v>1</v>
      </c>
      <c r="L127">
        <f t="shared" si="3"/>
        <v>1</v>
      </c>
    </row>
    <row r="128" spans="1:12" x14ac:dyDescent="0.25">
      <c r="A128" s="7" t="s">
        <v>142</v>
      </c>
      <c r="B128" s="8" t="s">
        <v>15</v>
      </c>
      <c r="C128" s="9">
        <v>17</v>
      </c>
      <c r="D128" s="9">
        <v>2</v>
      </c>
      <c r="E128" s="9">
        <v>2</v>
      </c>
      <c r="F128" s="9">
        <v>8</v>
      </c>
      <c r="G128" s="9">
        <v>4</v>
      </c>
      <c r="H128" s="9">
        <v>0</v>
      </c>
      <c r="I128" s="9">
        <v>0</v>
      </c>
      <c r="J128" s="10">
        <v>0</v>
      </c>
      <c r="K128">
        <f t="shared" si="2"/>
        <v>1</v>
      </c>
      <c r="L128">
        <f t="shared" si="3"/>
        <v>1</v>
      </c>
    </row>
    <row r="129" spans="1:12" x14ac:dyDescent="0.25">
      <c r="A129" s="11" t="s">
        <v>143</v>
      </c>
      <c r="B129" s="12" t="s">
        <v>22</v>
      </c>
      <c r="C129" s="13">
        <v>25</v>
      </c>
      <c r="D129" s="13">
        <v>167</v>
      </c>
      <c r="E129" s="13">
        <v>144</v>
      </c>
      <c r="F129" s="13">
        <v>165</v>
      </c>
      <c r="G129" s="13">
        <v>22</v>
      </c>
      <c r="H129" s="13">
        <v>0</v>
      </c>
      <c r="I129" s="13">
        <v>2</v>
      </c>
      <c r="J129" s="14">
        <v>4</v>
      </c>
      <c r="K129">
        <f t="shared" si="2"/>
        <v>1</v>
      </c>
      <c r="L129">
        <f t="shared" si="3"/>
        <v>1</v>
      </c>
    </row>
    <row r="130" spans="1:12" x14ac:dyDescent="0.25">
      <c r="A130" s="7" t="s">
        <v>144</v>
      </c>
      <c r="B130" s="8" t="s">
        <v>22</v>
      </c>
      <c r="C130" s="9">
        <v>27</v>
      </c>
      <c r="D130" s="9">
        <v>236</v>
      </c>
      <c r="E130" s="9">
        <v>272</v>
      </c>
      <c r="F130" s="9">
        <v>272</v>
      </c>
      <c r="G130" s="9">
        <v>22</v>
      </c>
      <c r="H130" s="9">
        <v>10</v>
      </c>
      <c r="I130" s="9">
        <v>4</v>
      </c>
      <c r="J130" s="10">
        <v>12</v>
      </c>
      <c r="K130">
        <f t="shared" si="2"/>
        <v>1</v>
      </c>
      <c r="L130">
        <f t="shared" si="3"/>
        <v>1</v>
      </c>
    </row>
    <row r="131" spans="1:12" x14ac:dyDescent="0.25">
      <c r="A131" s="11" t="s">
        <v>145</v>
      </c>
      <c r="B131" s="12" t="s">
        <v>11</v>
      </c>
      <c r="C131" s="13">
        <v>14</v>
      </c>
      <c r="D131" s="13">
        <v>0</v>
      </c>
      <c r="E131" s="13">
        <v>2</v>
      </c>
      <c r="F131" s="13">
        <v>0</v>
      </c>
      <c r="G131" s="13">
        <v>0</v>
      </c>
      <c r="H131" s="13">
        <v>0</v>
      </c>
      <c r="I131" s="13">
        <v>0</v>
      </c>
      <c r="J131" s="14">
        <v>0</v>
      </c>
      <c r="K131">
        <f t="shared" ref="K131:K139" si="4">IF(C131&gt;0,1,0)</f>
        <v>1</v>
      </c>
      <c r="L131">
        <f t="shared" ref="L131:L139" si="5">IF(G131&gt;0,1,0)</f>
        <v>0</v>
      </c>
    </row>
    <row r="132" spans="1:12" x14ac:dyDescent="0.25">
      <c r="A132" s="7" t="s">
        <v>146</v>
      </c>
      <c r="B132" s="8" t="s">
        <v>22</v>
      </c>
      <c r="C132" s="9">
        <v>26</v>
      </c>
      <c r="D132" s="9">
        <v>198</v>
      </c>
      <c r="E132" s="9">
        <v>166</v>
      </c>
      <c r="F132" s="9">
        <v>185</v>
      </c>
      <c r="G132" s="9">
        <v>22</v>
      </c>
      <c r="H132" s="9">
        <v>37</v>
      </c>
      <c r="I132" s="9">
        <v>34</v>
      </c>
      <c r="J132" s="10">
        <v>43</v>
      </c>
      <c r="K132">
        <f t="shared" si="4"/>
        <v>1</v>
      </c>
      <c r="L132">
        <f t="shared" si="5"/>
        <v>1</v>
      </c>
    </row>
    <row r="133" spans="1:12" x14ac:dyDescent="0.25">
      <c r="A133" s="11" t="s">
        <v>147</v>
      </c>
      <c r="B133" s="12" t="s">
        <v>22</v>
      </c>
      <c r="C133" s="13">
        <v>1</v>
      </c>
      <c r="D133" s="13">
        <v>45</v>
      </c>
      <c r="E133" s="13">
        <v>38</v>
      </c>
      <c r="F133" s="13">
        <v>29</v>
      </c>
      <c r="G133" s="13">
        <v>1</v>
      </c>
      <c r="H133" s="13">
        <v>9</v>
      </c>
      <c r="I133" s="13">
        <v>6</v>
      </c>
      <c r="J133" s="14">
        <v>8</v>
      </c>
      <c r="K133">
        <f t="shared" si="4"/>
        <v>1</v>
      </c>
      <c r="L133">
        <f t="shared" si="5"/>
        <v>1</v>
      </c>
    </row>
    <row r="134" spans="1:12" x14ac:dyDescent="0.25">
      <c r="A134" s="7" t="s">
        <v>148</v>
      </c>
      <c r="B134" s="8" t="s">
        <v>13</v>
      </c>
      <c r="C134" s="9">
        <v>12</v>
      </c>
      <c r="D134" s="9">
        <v>0</v>
      </c>
      <c r="E134" s="9">
        <v>1</v>
      </c>
      <c r="F134" s="9">
        <v>0</v>
      </c>
      <c r="G134" s="9">
        <v>0</v>
      </c>
      <c r="H134" s="9">
        <v>0</v>
      </c>
      <c r="I134" s="9">
        <v>0</v>
      </c>
      <c r="J134" s="10">
        <v>0</v>
      </c>
      <c r="K134">
        <f t="shared" si="4"/>
        <v>1</v>
      </c>
      <c r="L134">
        <f t="shared" si="5"/>
        <v>0</v>
      </c>
    </row>
    <row r="135" spans="1:12" x14ac:dyDescent="0.25">
      <c r="A135" s="11" t="s">
        <v>149</v>
      </c>
      <c r="B135" s="12" t="s">
        <v>25</v>
      </c>
      <c r="C135" s="13">
        <v>11</v>
      </c>
      <c r="D135" s="13">
        <v>0</v>
      </c>
      <c r="E135" s="13">
        <v>1</v>
      </c>
      <c r="F135" s="13">
        <v>0</v>
      </c>
      <c r="G135" s="13">
        <v>7</v>
      </c>
      <c r="H135" s="13">
        <v>0</v>
      </c>
      <c r="I135" s="13">
        <v>0</v>
      </c>
      <c r="J135" s="14">
        <v>0</v>
      </c>
      <c r="K135">
        <f t="shared" si="4"/>
        <v>1</v>
      </c>
      <c r="L135">
        <f t="shared" si="5"/>
        <v>1</v>
      </c>
    </row>
    <row r="136" spans="1:12" x14ac:dyDescent="0.25">
      <c r="A136" s="7" t="s">
        <v>150</v>
      </c>
      <c r="B136" s="8" t="s">
        <v>13</v>
      </c>
      <c r="C136" s="9">
        <v>12</v>
      </c>
      <c r="D136" s="9">
        <v>0</v>
      </c>
      <c r="E136" s="9">
        <v>1</v>
      </c>
      <c r="F136" s="9">
        <v>1</v>
      </c>
      <c r="G136" s="9">
        <v>0</v>
      </c>
      <c r="H136" s="9">
        <v>0</v>
      </c>
      <c r="I136" s="9">
        <v>0</v>
      </c>
      <c r="J136" s="10">
        <v>0</v>
      </c>
      <c r="K136">
        <f t="shared" si="4"/>
        <v>1</v>
      </c>
      <c r="L136">
        <f t="shared" si="5"/>
        <v>0</v>
      </c>
    </row>
    <row r="137" spans="1:12" x14ac:dyDescent="0.25">
      <c r="A137" s="11" t="s">
        <v>151</v>
      </c>
      <c r="B137" s="12" t="s">
        <v>13</v>
      </c>
      <c r="C137" s="13">
        <v>12</v>
      </c>
      <c r="D137" s="13">
        <v>3</v>
      </c>
      <c r="E137" s="13">
        <v>4</v>
      </c>
      <c r="F137" s="13">
        <v>1</v>
      </c>
      <c r="G137" s="13">
        <v>1</v>
      </c>
      <c r="H137" s="13">
        <v>0</v>
      </c>
      <c r="I137" s="13">
        <v>0</v>
      </c>
      <c r="J137" s="14">
        <v>0</v>
      </c>
      <c r="K137">
        <f t="shared" si="4"/>
        <v>1</v>
      </c>
      <c r="L137">
        <f t="shared" si="5"/>
        <v>1</v>
      </c>
    </row>
    <row r="138" spans="1:12" x14ac:dyDescent="0.25">
      <c r="A138" s="7" t="s">
        <v>152</v>
      </c>
      <c r="B138" s="8" t="s">
        <v>11</v>
      </c>
      <c r="C138" s="9">
        <v>8</v>
      </c>
      <c r="D138" s="9">
        <v>1</v>
      </c>
      <c r="E138" s="9">
        <v>0</v>
      </c>
      <c r="F138" s="9">
        <v>0</v>
      </c>
      <c r="G138" s="9">
        <v>0</v>
      </c>
      <c r="H138" s="9">
        <v>0</v>
      </c>
      <c r="I138" s="9">
        <v>0</v>
      </c>
      <c r="J138" s="10">
        <v>0</v>
      </c>
      <c r="K138">
        <f t="shared" si="4"/>
        <v>1</v>
      </c>
      <c r="L138">
        <f t="shared" si="5"/>
        <v>0</v>
      </c>
    </row>
    <row r="139" spans="1:12" x14ac:dyDescent="0.25">
      <c r="A139" s="15" t="s">
        <v>153</v>
      </c>
      <c r="B139" s="16" t="s">
        <v>22</v>
      </c>
      <c r="C139" s="2">
        <v>9</v>
      </c>
      <c r="D139" s="2">
        <v>395</v>
      </c>
      <c r="E139" s="2">
        <v>319</v>
      </c>
      <c r="F139" s="2">
        <v>296</v>
      </c>
      <c r="G139" s="2">
        <v>9</v>
      </c>
      <c r="H139" s="2">
        <v>78</v>
      </c>
      <c r="I139" s="2">
        <v>57</v>
      </c>
      <c r="J139" s="3">
        <v>59</v>
      </c>
      <c r="K139">
        <f t="shared" si="4"/>
        <v>1</v>
      </c>
      <c r="L139">
        <f t="shared" si="5"/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5C355-1490-4B41-81E3-52686DB02538}">
  <dimension ref="A1:M139"/>
  <sheetViews>
    <sheetView zoomScale="145" zoomScaleNormal="145" workbookViewId="0">
      <selection activeCell="M4" sqref="M4"/>
    </sheetView>
  </sheetViews>
  <sheetFormatPr defaultRowHeight="15" x14ac:dyDescent="0.25"/>
  <cols>
    <col min="1" max="1" width="37.5703125" bestFit="1" customWidth="1"/>
    <col min="2" max="2" width="13.28515625" bestFit="1" customWidth="1"/>
    <col min="3" max="3" width="11.85546875" bestFit="1" customWidth="1"/>
    <col min="4" max="4" width="7.7109375" bestFit="1" customWidth="1"/>
    <col min="5" max="5" width="10.140625" bestFit="1" customWidth="1"/>
    <col min="6" max="6" width="10.7109375" bestFit="1" customWidth="1"/>
    <col min="7" max="7" width="13.5703125" bestFit="1" customWidth="1"/>
    <col min="8" max="8" width="9.7109375" bestFit="1" customWidth="1"/>
    <col min="9" max="9" width="12.140625" bestFit="1" customWidth="1"/>
    <col min="10" max="10" width="12.7109375" bestFit="1" customWidth="1"/>
  </cols>
  <sheetData>
    <row r="1" spans="1:13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</row>
    <row r="2" spans="1:13" x14ac:dyDescent="0.25">
      <c r="A2" s="7" t="s">
        <v>10</v>
      </c>
      <c r="B2" s="8" t="s">
        <v>11</v>
      </c>
      <c r="C2" s="9">
        <v>13</v>
      </c>
      <c r="D2" s="9">
        <v>0</v>
      </c>
      <c r="E2" s="9">
        <v>0</v>
      </c>
      <c r="F2" s="9">
        <v>2</v>
      </c>
      <c r="G2" s="9">
        <v>0</v>
      </c>
      <c r="H2" s="9">
        <v>0</v>
      </c>
      <c r="I2" s="9">
        <v>0</v>
      </c>
      <c r="J2" s="10">
        <v>0</v>
      </c>
      <c r="K2" t="str">
        <f>IF(SUM(H2,D2)&gt;SUM(E2,F2,I2,J2),A2,"")</f>
        <v/>
      </c>
      <c r="M2" s="7" t="s">
        <v>34</v>
      </c>
    </row>
    <row r="3" spans="1:13" x14ac:dyDescent="0.25">
      <c r="A3" s="11" t="s">
        <v>12</v>
      </c>
      <c r="B3" s="12" t="s">
        <v>13</v>
      </c>
      <c r="C3" s="13">
        <v>12</v>
      </c>
      <c r="D3" s="13">
        <v>5</v>
      </c>
      <c r="E3" s="13">
        <v>2</v>
      </c>
      <c r="F3" s="13">
        <v>8</v>
      </c>
      <c r="G3" s="13">
        <v>3</v>
      </c>
      <c r="H3" s="13">
        <v>0</v>
      </c>
      <c r="I3" s="13">
        <v>0</v>
      </c>
      <c r="J3" s="14">
        <v>0</v>
      </c>
      <c r="K3" t="str">
        <f t="shared" ref="K3:M66" si="0">IF(SUM(H3,D3)&gt;SUM(E3,F3,I3,J3),A3,"")</f>
        <v/>
      </c>
      <c r="M3" s="7" t="s">
        <v>72</v>
      </c>
    </row>
    <row r="4" spans="1:13" x14ac:dyDescent="0.25">
      <c r="A4" s="7" t="s">
        <v>14</v>
      </c>
      <c r="B4" s="8" t="s">
        <v>15</v>
      </c>
      <c r="C4" s="9">
        <v>13</v>
      </c>
      <c r="D4" s="9">
        <v>0</v>
      </c>
      <c r="E4" s="9">
        <v>1</v>
      </c>
      <c r="F4" s="9">
        <v>0</v>
      </c>
      <c r="G4" s="9">
        <v>2</v>
      </c>
      <c r="H4" s="9">
        <v>0</v>
      </c>
      <c r="I4" s="9">
        <v>0</v>
      </c>
      <c r="J4" s="10">
        <v>0</v>
      </c>
      <c r="K4" t="str">
        <f t="shared" si="0"/>
        <v/>
      </c>
      <c r="M4" s="7" t="s">
        <v>152</v>
      </c>
    </row>
    <row r="5" spans="1:13" x14ac:dyDescent="0.25">
      <c r="A5" s="11" t="s">
        <v>16</v>
      </c>
      <c r="B5" s="12" t="s">
        <v>11</v>
      </c>
      <c r="C5" s="13">
        <v>10</v>
      </c>
      <c r="D5" s="13">
        <v>0</v>
      </c>
      <c r="E5" s="13">
        <v>1</v>
      </c>
      <c r="F5" s="13">
        <v>2</v>
      </c>
      <c r="G5" s="13">
        <v>0</v>
      </c>
      <c r="H5" s="13">
        <v>0</v>
      </c>
      <c r="I5" s="13">
        <v>0</v>
      </c>
      <c r="J5" s="14">
        <v>0</v>
      </c>
      <c r="K5" t="str">
        <f t="shared" si="0"/>
        <v/>
      </c>
    </row>
    <row r="6" spans="1:13" x14ac:dyDescent="0.25">
      <c r="A6" s="7" t="s">
        <v>17</v>
      </c>
      <c r="B6" s="8" t="s">
        <v>15</v>
      </c>
      <c r="C6" s="9">
        <v>23</v>
      </c>
      <c r="D6" s="9">
        <v>18</v>
      </c>
      <c r="E6" s="9">
        <v>24</v>
      </c>
      <c r="F6" s="9">
        <v>28</v>
      </c>
      <c r="G6" s="9">
        <v>18</v>
      </c>
      <c r="H6" s="9">
        <v>0</v>
      </c>
      <c r="I6" s="9">
        <v>0</v>
      </c>
      <c r="J6" s="10">
        <v>0</v>
      </c>
      <c r="K6" t="str">
        <f t="shared" si="0"/>
        <v/>
      </c>
    </row>
    <row r="7" spans="1:13" x14ac:dyDescent="0.25">
      <c r="A7" s="11" t="s">
        <v>18</v>
      </c>
      <c r="B7" s="12" t="s">
        <v>11</v>
      </c>
      <c r="C7" s="13">
        <v>5</v>
      </c>
      <c r="D7" s="13">
        <v>1</v>
      </c>
      <c r="E7" s="13">
        <v>2</v>
      </c>
      <c r="F7" s="13">
        <v>9</v>
      </c>
      <c r="G7" s="13">
        <v>6</v>
      </c>
      <c r="H7" s="13">
        <v>0</v>
      </c>
      <c r="I7" s="13">
        <v>0</v>
      </c>
      <c r="J7" s="14">
        <v>0</v>
      </c>
      <c r="K7" t="str">
        <f t="shared" si="0"/>
        <v/>
      </c>
    </row>
    <row r="8" spans="1:13" x14ac:dyDescent="0.25">
      <c r="A8" s="7" t="s">
        <v>19</v>
      </c>
      <c r="B8" s="8" t="s">
        <v>20</v>
      </c>
      <c r="C8" s="9">
        <v>25</v>
      </c>
      <c r="D8" s="9">
        <v>138</v>
      </c>
      <c r="E8" s="9">
        <v>153</v>
      </c>
      <c r="F8" s="9">
        <v>177</v>
      </c>
      <c r="G8" s="9">
        <v>18</v>
      </c>
      <c r="H8" s="9">
        <v>5</v>
      </c>
      <c r="I8" s="9">
        <v>3</v>
      </c>
      <c r="J8" s="10">
        <v>4</v>
      </c>
      <c r="K8" t="str">
        <f t="shared" si="0"/>
        <v/>
      </c>
    </row>
    <row r="9" spans="1:13" x14ac:dyDescent="0.25">
      <c r="A9" s="11" t="s">
        <v>21</v>
      </c>
      <c r="B9" s="12" t="s">
        <v>22</v>
      </c>
      <c r="C9" s="13">
        <v>26</v>
      </c>
      <c r="D9" s="13">
        <v>18</v>
      </c>
      <c r="E9" s="13">
        <v>33</v>
      </c>
      <c r="F9" s="13">
        <v>35</v>
      </c>
      <c r="G9" s="13">
        <v>22</v>
      </c>
      <c r="H9" s="13">
        <v>59</v>
      </c>
      <c r="I9" s="13">
        <v>78</v>
      </c>
      <c r="J9" s="14">
        <v>81</v>
      </c>
      <c r="K9" t="str">
        <f t="shared" si="0"/>
        <v/>
      </c>
    </row>
    <row r="10" spans="1:13" x14ac:dyDescent="0.25">
      <c r="A10" s="7" t="s">
        <v>23</v>
      </c>
      <c r="B10" s="8" t="s">
        <v>11</v>
      </c>
      <c r="C10" s="9">
        <v>5</v>
      </c>
      <c r="D10" s="9">
        <v>6</v>
      </c>
      <c r="E10" s="9">
        <v>5</v>
      </c>
      <c r="F10" s="9">
        <v>15</v>
      </c>
      <c r="G10" s="9">
        <v>5</v>
      </c>
      <c r="H10" s="9">
        <v>0</v>
      </c>
      <c r="I10" s="9">
        <v>0</v>
      </c>
      <c r="J10" s="10">
        <v>0</v>
      </c>
      <c r="K10" t="str">
        <f t="shared" si="0"/>
        <v/>
      </c>
    </row>
    <row r="11" spans="1:13" x14ac:dyDescent="0.25">
      <c r="A11" s="11" t="s">
        <v>24</v>
      </c>
      <c r="B11" s="12" t="s">
        <v>25</v>
      </c>
      <c r="C11" s="13">
        <v>15</v>
      </c>
      <c r="D11" s="13">
        <v>5</v>
      </c>
      <c r="E11" s="13">
        <v>2</v>
      </c>
      <c r="F11" s="13">
        <v>5</v>
      </c>
      <c r="G11" s="13">
        <v>0</v>
      </c>
      <c r="H11" s="13">
        <v>0</v>
      </c>
      <c r="I11" s="13">
        <v>0</v>
      </c>
      <c r="J11" s="14">
        <v>0</v>
      </c>
      <c r="K11" t="str">
        <f t="shared" si="0"/>
        <v/>
      </c>
    </row>
    <row r="12" spans="1:13" x14ac:dyDescent="0.25">
      <c r="A12" s="7" t="s">
        <v>26</v>
      </c>
      <c r="B12" s="8" t="s">
        <v>11</v>
      </c>
      <c r="C12" s="9">
        <v>8</v>
      </c>
      <c r="D12" s="9">
        <v>0</v>
      </c>
      <c r="E12" s="9">
        <v>0</v>
      </c>
      <c r="F12" s="9">
        <v>1</v>
      </c>
      <c r="G12" s="9">
        <v>0</v>
      </c>
      <c r="H12" s="9">
        <v>0</v>
      </c>
      <c r="I12" s="9">
        <v>0</v>
      </c>
      <c r="J12" s="10">
        <v>0</v>
      </c>
      <c r="K12" t="str">
        <f t="shared" si="0"/>
        <v/>
      </c>
    </row>
    <row r="13" spans="1:13" x14ac:dyDescent="0.25">
      <c r="A13" s="11" t="s">
        <v>27</v>
      </c>
      <c r="B13" s="12" t="s">
        <v>25</v>
      </c>
      <c r="C13" s="13">
        <v>11</v>
      </c>
      <c r="D13" s="13">
        <v>0</v>
      </c>
      <c r="E13" s="13">
        <v>0</v>
      </c>
      <c r="F13" s="13">
        <v>1</v>
      </c>
      <c r="G13" s="13">
        <v>0</v>
      </c>
      <c r="H13" s="13">
        <v>0</v>
      </c>
      <c r="I13" s="13">
        <v>0</v>
      </c>
      <c r="J13" s="14">
        <v>0</v>
      </c>
      <c r="K13" t="str">
        <f t="shared" si="0"/>
        <v/>
      </c>
    </row>
    <row r="14" spans="1:13" x14ac:dyDescent="0.25">
      <c r="A14" s="7" t="s">
        <v>28</v>
      </c>
      <c r="B14" s="8" t="s">
        <v>22</v>
      </c>
      <c r="C14" s="9">
        <v>25</v>
      </c>
      <c r="D14" s="9">
        <v>37</v>
      </c>
      <c r="E14" s="9">
        <v>52</v>
      </c>
      <c r="F14" s="9">
        <v>53</v>
      </c>
      <c r="G14" s="9">
        <v>20</v>
      </c>
      <c r="H14" s="9">
        <v>1</v>
      </c>
      <c r="I14" s="9">
        <v>1</v>
      </c>
      <c r="J14" s="10">
        <v>3</v>
      </c>
      <c r="K14" t="str">
        <f t="shared" si="0"/>
        <v/>
      </c>
    </row>
    <row r="15" spans="1:13" x14ac:dyDescent="0.25">
      <c r="A15" s="11" t="s">
        <v>29</v>
      </c>
      <c r="B15" s="12" t="s">
        <v>25</v>
      </c>
      <c r="C15" s="13">
        <v>17</v>
      </c>
      <c r="D15" s="13">
        <v>0</v>
      </c>
      <c r="E15" s="13">
        <v>0</v>
      </c>
      <c r="F15" s="13">
        <v>1</v>
      </c>
      <c r="G15" s="13">
        <v>7</v>
      </c>
      <c r="H15" s="13">
        <v>0</v>
      </c>
      <c r="I15" s="13">
        <v>0</v>
      </c>
      <c r="J15" s="14">
        <v>0</v>
      </c>
      <c r="K15" t="str">
        <f t="shared" si="0"/>
        <v/>
      </c>
    </row>
    <row r="16" spans="1:13" x14ac:dyDescent="0.25">
      <c r="A16" s="7" t="s">
        <v>30</v>
      </c>
      <c r="B16" s="8" t="s">
        <v>22</v>
      </c>
      <c r="C16" s="9">
        <v>5</v>
      </c>
      <c r="D16" s="9">
        <v>12</v>
      </c>
      <c r="E16" s="9">
        <v>24</v>
      </c>
      <c r="F16" s="9">
        <v>40</v>
      </c>
      <c r="G16" s="9">
        <v>6</v>
      </c>
      <c r="H16" s="9">
        <v>6</v>
      </c>
      <c r="I16" s="9">
        <v>4</v>
      </c>
      <c r="J16" s="10">
        <v>5</v>
      </c>
      <c r="K16" t="str">
        <f t="shared" si="0"/>
        <v/>
      </c>
    </row>
    <row r="17" spans="1:11" x14ac:dyDescent="0.25">
      <c r="A17" s="11" t="s">
        <v>31</v>
      </c>
      <c r="B17" s="12" t="s">
        <v>11</v>
      </c>
      <c r="C17" s="13">
        <v>9</v>
      </c>
      <c r="D17" s="13">
        <v>0</v>
      </c>
      <c r="E17" s="13">
        <v>1</v>
      </c>
      <c r="F17" s="13">
        <v>0</v>
      </c>
      <c r="G17" s="13">
        <v>0</v>
      </c>
      <c r="H17" s="13">
        <v>0</v>
      </c>
      <c r="I17" s="13">
        <v>0</v>
      </c>
      <c r="J17" s="14">
        <v>0</v>
      </c>
      <c r="K17" t="str">
        <f t="shared" si="0"/>
        <v/>
      </c>
    </row>
    <row r="18" spans="1:11" x14ac:dyDescent="0.25">
      <c r="A18" s="7" t="s">
        <v>32</v>
      </c>
      <c r="B18" s="8" t="s">
        <v>15</v>
      </c>
      <c r="C18" s="9">
        <v>21</v>
      </c>
      <c r="D18" s="9">
        <v>23</v>
      </c>
      <c r="E18" s="9">
        <v>30</v>
      </c>
      <c r="F18" s="9">
        <v>55</v>
      </c>
      <c r="G18" s="9">
        <v>7</v>
      </c>
      <c r="H18" s="9">
        <v>0</v>
      </c>
      <c r="I18" s="9">
        <v>0</v>
      </c>
      <c r="J18" s="10">
        <v>0</v>
      </c>
      <c r="K18" t="str">
        <f t="shared" si="0"/>
        <v/>
      </c>
    </row>
    <row r="19" spans="1:11" x14ac:dyDescent="0.25">
      <c r="A19" s="11" t="s">
        <v>33</v>
      </c>
      <c r="B19" s="12" t="s">
        <v>22</v>
      </c>
      <c r="C19" s="13">
        <v>19</v>
      </c>
      <c r="D19" s="13">
        <v>51</v>
      </c>
      <c r="E19" s="13">
        <v>85</v>
      </c>
      <c r="F19" s="13">
        <v>78</v>
      </c>
      <c r="G19" s="13">
        <v>19</v>
      </c>
      <c r="H19" s="13">
        <v>1</v>
      </c>
      <c r="I19" s="13">
        <v>2</v>
      </c>
      <c r="J19" s="14">
        <v>3</v>
      </c>
      <c r="K19" t="str">
        <f t="shared" si="0"/>
        <v/>
      </c>
    </row>
    <row r="20" spans="1:11" x14ac:dyDescent="0.25">
      <c r="A20" s="7" t="s">
        <v>34</v>
      </c>
      <c r="B20" s="8" t="s">
        <v>13</v>
      </c>
      <c r="C20" s="9">
        <v>5</v>
      </c>
      <c r="D20" s="9">
        <v>1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10">
        <v>0</v>
      </c>
      <c r="K20" t="str">
        <f t="shared" si="0"/>
        <v>Burundi</v>
      </c>
    </row>
    <row r="21" spans="1:11" x14ac:dyDescent="0.25">
      <c r="A21" s="11" t="s">
        <v>35</v>
      </c>
      <c r="B21" s="12" t="s">
        <v>15</v>
      </c>
      <c r="C21" s="13">
        <v>22</v>
      </c>
      <c r="D21" s="13">
        <v>2</v>
      </c>
      <c r="E21" s="13">
        <v>7</v>
      </c>
      <c r="F21" s="13">
        <v>4</v>
      </c>
      <c r="G21" s="13">
        <v>16</v>
      </c>
      <c r="H21" s="13">
        <v>0</v>
      </c>
      <c r="I21" s="13">
        <v>0</v>
      </c>
      <c r="J21" s="14">
        <v>0</v>
      </c>
      <c r="K21" t="str">
        <f t="shared" si="0"/>
        <v/>
      </c>
    </row>
    <row r="22" spans="1:11" x14ac:dyDescent="0.25">
      <c r="A22" s="7" t="s">
        <v>36</v>
      </c>
      <c r="B22" s="8" t="s">
        <v>11</v>
      </c>
      <c r="C22" s="9">
        <v>9</v>
      </c>
      <c r="D22" s="9">
        <v>201</v>
      </c>
      <c r="E22" s="9">
        <v>144</v>
      </c>
      <c r="F22" s="9">
        <v>128</v>
      </c>
      <c r="G22" s="9">
        <v>10</v>
      </c>
      <c r="H22" s="9">
        <v>12</v>
      </c>
      <c r="I22" s="9">
        <v>22</v>
      </c>
      <c r="J22" s="10">
        <v>19</v>
      </c>
      <c r="K22" t="str">
        <f t="shared" si="0"/>
        <v/>
      </c>
    </row>
    <row r="23" spans="1:11" x14ac:dyDescent="0.25">
      <c r="A23" s="11" t="s">
        <v>37</v>
      </c>
      <c r="B23" s="12" t="s">
        <v>22</v>
      </c>
      <c r="C23" s="13">
        <v>6</v>
      </c>
      <c r="D23" s="13">
        <v>6</v>
      </c>
      <c r="E23" s="13">
        <v>7</v>
      </c>
      <c r="F23" s="13">
        <v>10</v>
      </c>
      <c r="G23" s="13">
        <v>7</v>
      </c>
      <c r="H23" s="13">
        <v>4</v>
      </c>
      <c r="I23" s="13">
        <v>6</v>
      </c>
      <c r="J23" s="14">
        <v>1</v>
      </c>
      <c r="K23" t="str">
        <f t="shared" si="0"/>
        <v/>
      </c>
    </row>
    <row r="24" spans="1:11" x14ac:dyDescent="0.25">
      <c r="A24" s="7" t="s">
        <v>38</v>
      </c>
      <c r="B24" s="8" t="s">
        <v>22</v>
      </c>
      <c r="C24" s="9">
        <v>9</v>
      </c>
      <c r="D24" s="9">
        <v>0</v>
      </c>
      <c r="E24" s="9">
        <v>1</v>
      </c>
      <c r="F24" s="9">
        <v>0</v>
      </c>
      <c r="G24" s="9">
        <v>10</v>
      </c>
      <c r="H24" s="9">
        <v>0</v>
      </c>
      <c r="I24" s="9">
        <v>0</v>
      </c>
      <c r="J24" s="10">
        <v>0</v>
      </c>
      <c r="K24" t="str">
        <f t="shared" si="0"/>
        <v/>
      </c>
    </row>
    <row r="25" spans="1:11" x14ac:dyDescent="0.25">
      <c r="A25" s="11" t="s">
        <v>39</v>
      </c>
      <c r="B25" s="12" t="s">
        <v>22</v>
      </c>
      <c r="C25" s="13">
        <v>2</v>
      </c>
      <c r="D25" s="13">
        <v>0</v>
      </c>
      <c r="E25" s="13">
        <v>1</v>
      </c>
      <c r="F25" s="13">
        <v>0</v>
      </c>
      <c r="G25" s="13">
        <v>2</v>
      </c>
      <c r="H25" s="13">
        <v>0</v>
      </c>
      <c r="I25" s="13">
        <v>0</v>
      </c>
      <c r="J25" s="14">
        <v>0</v>
      </c>
      <c r="K25" t="str">
        <f t="shared" si="0"/>
        <v/>
      </c>
    </row>
    <row r="26" spans="1:11" x14ac:dyDescent="0.25">
      <c r="A26" s="7" t="s">
        <v>40</v>
      </c>
      <c r="B26" s="8" t="s">
        <v>22</v>
      </c>
      <c r="C26" s="9">
        <v>16</v>
      </c>
      <c r="D26" s="9">
        <v>49</v>
      </c>
      <c r="E26" s="9">
        <v>49</v>
      </c>
      <c r="F26" s="9">
        <v>45</v>
      </c>
      <c r="G26" s="9">
        <v>16</v>
      </c>
      <c r="H26" s="9">
        <v>2</v>
      </c>
      <c r="I26" s="9">
        <v>8</v>
      </c>
      <c r="J26" s="10">
        <v>15</v>
      </c>
      <c r="K26" t="str">
        <f t="shared" si="0"/>
        <v/>
      </c>
    </row>
    <row r="27" spans="1:11" x14ac:dyDescent="0.25">
      <c r="A27" s="11" t="s">
        <v>41</v>
      </c>
      <c r="B27" s="12" t="s">
        <v>22</v>
      </c>
      <c r="C27" s="13">
        <v>5</v>
      </c>
      <c r="D27" s="13">
        <v>14</v>
      </c>
      <c r="E27" s="13">
        <v>15</v>
      </c>
      <c r="F27" s="13">
        <v>15</v>
      </c>
      <c r="G27" s="13">
        <v>6</v>
      </c>
      <c r="H27" s="13">
        <v>7</v>
      </c>
      <c r="I27" s="13">
        <v>9</v>
      </c>
      <c r="J27" s="14">
        <v>8</v>
      </c>
      <c r="K27" t="str">
        <f t="shared" si="0"/>
        <v/>
      </c>
    </row>
    <row r="28" spans="1:11" x14ac:dyDescent="0.25">
      <c r="A28" s="7" t="s">
        <v>42</v>
      </c>
      <c r="B28" s="8" t="s">
        <v>22</v>
      </c>
      <c r="C28" s="9">
        <v>26</v>
      </c>
      <c r="D28" s="9">
        <v>43</v>
      </c>
      <c r="E28" s="9">
        <v>68</v>
      </c>
      <c r="F28" s="9">
        <v>68</v>
      </c>
      <c r="G28" s="9">
        <v>13</v>
      </c>
      <c r="H28" s="9">
        <v>0</v>
      </c>
      <c r="I28" s="9">
        <v>1</v>
      </c>
      <c r="J28" s="10">
        <v>0</v>
      </c>
      <c r="K28" t="str">
        <f t="shared" si="0"/>
        <v/>
      </c>
    </row>
    <row r="29" spans="1:11" x14ac:dyDescent="0.25">
      <c r="A29" s="11" t="s">
        <v>43</v>
      </c>
      <c r="B29" s="12" t="s">
        <v>25</v>
      </c>
      <c r="C29" s="13">
        <v>13</v>
      </c>
      <c r="D29" s="13">
        <v>3</v>
      </c>
      <c r="E29" s="13">
        <v>2</v>
      </c>
      <c r="F29" s="13">
        <v>1</v>
      </c>
      <c r="G29" s="13">
        <v>0</v>
      </c>
      <c r="H29" s="13">
        <v>0</v>
      </c>
      <c r="I29" s="13">
        <v>0</v>
      </c>
      <c r="J29" s="14">
        <v>0</v>
      </c>
      <c r="K29" t="str">
        <f t="shared" si="0"/>
        <v/>
      </c>
    </row>
    <row r="30" spans="1:11" x14ac:dyDescent="0.25">
      <c r="A30" s="7" t="s">
        <v>44</v>
      </c>
      <c r="B30" s="8" t="s">
        <v>13</v>
      </c>
      <c r="C30" s="9">
        <v>7</v>
      </c>
      <c r="D30" s="9">
        <v>0</v>
      </c>
      <c r="E30" s="9">
        <v>0</v>
      </c>
      <c r="F30" s="9">
        <v>1</v>
      </c>
      <c r="G30" s="9">
        <v>0</v>
      </c>
      <c r="H30" s="9">
        <v>0</v>
      </c>
      <c r="I30" s="9">
        <v>0</v>
      </c>
      <c r="J30" s="10">
        <v>0</v>
      </c>
      <c r="K30" t="str">
        <f t="shared" si="0"/>
        <v/>
      </c>
    </row>
    <row r="31" spans="1:11" x14ac:dyDescent="0.25">
      <c r="A31" s="11" t="s">
        <v>45</v>
      </c>
      <c r="B31" s="12" t="s">
        <v>13</v>
      </c>
      <c r="C31" s="13">
        <v>21</v>
      </c>
      <c r="D31" s="13">
        <v>7</v>
      </c>
      <c r="E31" s="13">
        <v>9</v>
      </c>
      <c r="F31" s="13">
        <v>10</v>
      </c>
      <c r="G31" s="13">
        <v>1</v>
      </c>
      <c r="H31" s="13">
        <v>0</v>
      </c>
      <c r="I31" s="13">
        <v>0</v>
      </c>
      <c r="J31" s="14">
        <v>0</v>
      </c>
      <c r="K31" t="str">
        <f t="shared" si="0"/>
        <v/>
      </c>
    </row>
    <row r="32" spans="1:11" x14ac:dyDescent="0.25">
      <c r="A32" s="7" t="s">
        <v>46</v>
      </c>
      <c r="B32" s="8" t="s">
        <v>15</v>
      </c>
      <c r="C32" s="9">
        <v>13</v>
      </c>
      <c r="D32" s="9">
        <v>1</v>
      </c>
      <c r="E32" s="9">
        <v>1</v>
      </c>
      <c r="F32" s="9">
        <v>0</v>
      </c>
      <c r="G32" s="9">
        <v>0</v>
      </c>
      <c r="H32" s="9">
        <v>0</v>
      </c>
      <c r="I32" s="9">
        <v>0</v>
      </c>
      <c r="J32" s="10">
        <v>0</v>
      </c>
      <c r="K32" t="str">
        <f t="shared" si="0"/>
        <v/>
      </c>
    </row>
    <row r="33" spans="1:11" x14ac:dyDescent="0.25">
      <c r="A33" s="11" t="s">
        <v>47</v>
      </c>
      <c r="B33" s="12" t="s">
        <v>13</v>
      </c>
      <c r="C33" s="13">
        <v>4</v>
      </c>
      <c r="D33" s="13">
        <v>0</v>
      </c>
      <c r="E33" s="13">
        <v>0</v>
      </c>
      <c r="F33" s="13">
        <v>1</v>
      </c>
      <c r="G33" s="13">
        <v>0</v>
      </c>
      <c r="H33" s="13">
        <v>0</v>
      </c>
      <c r="I33" s="13">
        <v>0</v>
      </c>
      <c r="J33" s="14">
        <v>0</v>
      </c>
      <c r="K33" t="str">
        <f t="shared" si="0"/>
        <v/>
      </c>
    </row>
    <row r="34" spans="1:11" x14ac:dyDescent="0.25">
      <c r="A34" s="7" t="s">
        <v>48</v>
      </c>
      <c r="B34" s="8" t="s">
        <v>22</v>
      </c>
      <c r="C34" s="9">
        <v>11</v>
      </c>
      <c r="D34" s="9">
        <v>9</v>
      </c>
      <c r="E34" s="9">
        <v>9</v>
      </c>
      <c r="F34" s="9">
        <v>15</v>
      </c>
      <c r="G34" s="9">
        <v>9</v>
      </c>
      <c r="H34" s="9">
        <v>4</v>
      </c>
      <c r="I34" s="9">
        <v>2</v>
      </c>
      <c r="J34" s="10">
        <v>1</v>
      </c>
      <c r="K34" t="str">
        <f t="shared" si="0"/>
        <v/>
      </c>
    </row>
    <row r="35" spans="1:11" x14ac:dyDescent="0.25">
      <c r="A35" s="11" t="s">
        <v>49</v>
      </c>
      <c r="B35" s="12" t="s">
        <v>13</v>
      </c>
      <c r="C35" s="13">
        <v>12</v>
      </c>
      <c r="D35" s="13">
        <v>21</v>
      </c>
      <c r="E35" s="13">
        <v>7</v>
      </c>
      <c r="F35" s="13">
        <v>17</v>
      </c>
      <c r="G35" s="13">
        <v>2</v>
      </c>
      <c r="H35" s="13">
        <v>0</v>
      </c>
      <c r="I35" s="13">
        <v>0</v>
      </c>
      <c r="J35" s="14">
        <v>0</v>
      </c>
      <c r="K35" t="str">
        <f t="shared" si="0"/>
        <v/>
      </c>
    </row>
    <row r="36" spans="1:11" x14ac:dyDescent="0.25">
      <c r="A36" s="7" t="s">
        <v>50</v>
      </c>
      <c r="B36" s="8" t="s">
        <v>11</v>
      </c>
      <c r="C36" s="9">
        <v>20</v>
      </c>
      <c r="D36" s="9">
        <v>0</v>
      </c>
      <c r="E36" s="9">
        <v>2</v>
      </c>
      <c r="F36" s="9">
        <v>7</v>
      </c>
      <c r="G36" s="9">
        <v>4</v>
      </c>
      <c r="H36" s="9">
        <v>0</v>
      </c>
      <c r="I36" s="9">
        <v>0</v>
      </c>
      <c r="J36" s="10">
        <v>0</v>
      </c>
      <c r="K36" t="str">
        <f t="shared" si="0"/>
        <v/>
      </c>
    </row>
    <row r="37" spans="1:11" x14ac:dyDescent="0.25">
      <c r="A37" s="11" t="s">
        <v>51</v>
      </c>
      <c r="B37" s="12" t="s">
        <v>22</v>
      </c>
      <c r="C37" s="13">
        <v>24</v>
      </c>
      <c r="D37" s="13">
        <v>101</v>
      </c>
      <c r="E37" s="13">
        <v>84</v>
      </c>
      <c r="F37" s="13">
        <v>117</v>
      </c>
      <c r="G37" s="13">
        <v>22</v>
      </c>
      <c r="H37" s="13">
        <v>42</v>
      </c>
      <c r="I37" s="13">
        <v>62</v>
      </c>
      <c r="J37" s="14">
        <v>56</v>
      </c>
      <c r="K37" t="str">
        <f t="shared" si="0"/>
        <v/>
      </c>
    </row>
    <row r="38" spans="1:11" x14ac:dyDescent="0.25">
      <c r="A38" s="7" t="s">
        <v>52</v>
      </c>
      <c r="B38" s="8" t="s">
        <v>22</v>
      </c>
      <c r="C38" s="9">
        <v>27</v>
      </c>
      <c r="D38" s="9">
        <v>202</v>
      </c>
      <c r="E38" s="9">
        <v>223</v>
      </c>
      <c r="F38" s="9">
        <v>246</v>
      </c>
      <c r="G38" s="9">
        <v>22</v>
      </c>
      <c r="H38" s="9">
        <v>31</v>
      </c>
      <c r="I38" s="9">
        <v>31</v>
      </c>
      <c r="J38" s="10">
        <v>47</v>
      </c>
      <c r="K38" t="str">
        <f t="shared" si="0"/>
        <v/>
      </c>
    </row>
    <row r="39" spans="1:11" x14ac:dyDescent="0.25">
      <c r="A39" s="11" t="s">
        <v>53</v>
      </c>
      <c r="B39" s="12" t="s">
        <v>13</v>
      </c>
      <c r="C39" s="13">
        <v>9</v>
      </c>
      <c r="D39" s="13">
        <v>0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4">
        <v>0</v>
      </c>
      <c r="K39" t="str">
        <f t="shared" si="0"/>
        <v/>
      </c>
    </row>
    <row r="40" spans="1:11" x14ac:dyDescent="0.25">
      <c r="A40" s="7" t="s">
        <v>54</v>
      </c>
      <c r="B40" s="8" t="s">
        <v>13</v>
      </c>
      <c r="C40" s="9">
        <v>13</v>
      </c>
      <c r="D40" s="9">
        <v>0</v>
      </c>
      <c r="E40" s="9">
        <v>1</v>
      </c>
      <c r="F40" s="9">
        <v>3</v>
      </c>
      <c r="G40" s="9">
        <v>1</v>
      </c>
      <c r="H40" s="9">
        <v>0</v>
      </c>
      <c r="I40" s="9">
        <v>0</v>
      </c>
      <c r="J40" s="10">
        <v>0</v>
      </c>
      <c r="K40" t="str">
        <f t="shared" si="0"/>
        <v/>
      </c>
    </row>
    <row r="41" spans="1:11" x14ac:dyDescent="0.25">
      <c r="A41" s="11" t="s">
        <v>55</v>
      </c>
      <c r="B41" s="12" t="s">
        <v>22</v>
      </c>
      <c r="C41" s="13">
        <v>27</v>
      </c>
      <c r="D41" s="13">
        <v>30</v>
      </c>
      <c r="E41" s="13">
        <v>42</v>
      </c>
      <c r="F41" s="13">
        <v>38</v>
      </c>
      <c r="G41" s="13">
        <v>18</v>
      </c>
      <c r="H41" s="13">
        <v>0</v>
      </c>
      <c r="I41" s="13">
        <v>0</v>
      </c>
      <c r="J41" s="14">
        <v>0</v>
      </c>
      <c r="K41" t="str">
        <f t="shared" si="0"/>
        <v/>
      </c>
    </row>
    <row r="42" spans="1:11" x14ac:dyDescent="0.25">
      <c r="A42" s="7" t="s">
        <v>56</v>
      </c>
      <c r="B42" s="8" t="s">
        <v>11</v>
      </c>
      <c r="C42" s="9">
        <v>5</v>
      </c>
      <c r="D42" s="9">
        <v>6</v>
      </c>
      <c r="E42" s="9">
        <v>5</v>
      </c>
      <c r="F42" s="9">
        <v>14</v>
      </c>
      <c r="G42" s="9">
        <v>6</v>
      </c>
      <c r="H42" s="9">
        <v>0</v>
      </c>
      <c r="I42" s="9">
        <v>0</v>
      </c>
      <c r="J42" s="10">
        <v>0</v>
      </c>
      <c r="K42" t="str">
        <f t="shared" si="0"/>
        <v/>
      </c>
    </row>
    <row r="43" spans="1:11" x14ac:dyDescent="0.25">
      <c r="A43" s="11" t="s">
        <v>57</v>
      </c>
      <c r="B43" s="12" t="s">
        <v>15</v>
      </c>
      <c r="C43" s="13">
        <v>16</v>
      </c>
      <c r="D43" s="13">
        <v>0</v>
      </c>
      <c r="E43" s="13">
        <v>0</v>
      </c>
      <c r="F43" s="13">
        <v>1</v>
      </c>
      <c r="G43" s="13">
        <v>0</v>
      </c>
      <c r="H43" s="13">
        <v>0</v>
      </c>
      <c r="I43" s="13">
        <v>0</v>
      </c>
      <c r="J43" s="14">
        <v>0</v>
      </c>
      <c r="K43" t="str">
        <f t="shared" si="0"/>
        <v/>
      </c>
    </row>
    <row r="44" spans="1:11" x14ac:dyDescent="0.25">
      <c r="A44" s="7" t="s">
        <v>58</v>
      </c>
      <c r="B44" s="8" t="s">
        <v>25</v>
      </c>
      <c r="C44" s="9">
        <v>14</v>
      </c>
      <c r="D44" s="9">
        <v>0</v>
      </c>
      <c r="E44" s="9">
        <v>1</v>
      </c>
      <c r="F44" s="9">
        <v>1</v>
      </c>
      <c r="G44" s="9">
        <v>0</v>
      </c>
      <c r="H44" s="9">
        <v>0</v>
      </c>
      <c r="I44" s="9">
        <v>0</v>
      </c>
      <c r="J44" s="10">
        <v>0</v>
      </c>
      <c r="K44" t="str">
        <f t="shared" si="0"/>
        <v/>
      </c>
    </row>
    <row r="45" spans="1:11" x14ac:dyDescent="0.25">
      <c r="A45" s="11" t="s">
        <v>59</v>
      </c>
      <c r="B45" s="12" t="s">
        <v>22</v>
      </c>
      <c r="C45" s="13">
        <v>22</v>
      </c>
      <c r="D45" s="13">
        <v>37</v>
      </c>
      <c r="E45" s="13">
        <v>59</v>
      </c>
      <c r="F45" s="13">
        <v>35</v>
      </c>
      <c r="G45" s="13">
        <v>19</v>
      </c>
      <c r="H45" s="13">
        <v>1</v>
      </c>
      <c r="I45" s="13">
        <v>0</v>
      </c>
      <c r="J45" s="14">
        <v>1</v>
      </c>
      <c r="K45" t="str">
        <f t="shared" si="0"/>
        <v/>
      </c>
    </row>
    <row r="46" spans="1:11" x14ac:dyDescent="0.25">
      <c r="A46" s="7" t="s">
        <v>60</v>
      </c>
      <c r="B46" s="8" t="s">
        <v>22</v>
      </c>
      <c r="C46" s="9">
        <v>25</v>
      </c>
      <c r="D46" s="9">
        <v>77</v>
      </c>
      <c r="E46" s="9">
        <v>85</v>
      </c>
      <c r="F46" s="9">
        <v>104</v>
      </c>
      <c r="G46" s="9">
        <v>20</v>
      </c>
      <c r="H46" s="9">
        <v>37</v>
      </c>
      <c r="I46" s="9">
        <v>38</v>
      </c>
      <c r="J46" s="10">
        <v>35</v>
      </c>
      <c r="K46" t="str">
        <f t="shared" si="0"/>
        <v/>
      </c>
    </row>
    <row r="47" spans="1:11" x14ac:dyDescent="0.25">
      <c r="A47" s="11" t="s">
        <v>61</v>
      </c>
      <c r="B47" s="12" t="s">
        <v>11</v>
      </c>
      <c r="C47" s="13">
        <v>15</v>
      </c>
      <c r="D47" s="13">
        <v>1</v>
      </c>
      <c r="E47" s="13">
        <v>1</v>
      </c>
      <c r="F47" s="13">
        <v>1</v>
      </c>
      <c r="G47" s="13">
        <v>4</v>
      </c>
      <c r="H47" s="13">
        <v>0</v>
      </c>
      <c r="I47" s="13">
        <v>0</v>
      </c>
      <c r="J47" s="14">
        <v>0</v>
      </c>
      <c r="K47" t="str">
        <f t="shared" si="0"/>
        <v/>
      </c>
    </row>
    <row r="48" spans="1:11" x14ac:dyDescent="0.25">
      <c r="A48" s="7" t="s">
        <v>62</v>
      </c>
      <c r="B48" s="8" t="s">
        <v>11</v>
      </c>
      <c r="C48" s="9">
        <v>23</v>
      </c>
      <c r="D48" s="9">
        <v>9</v>
      </c>
      <c r="E48" s="9">
        <v>6</v>
      </c>
      <c r="F48" s="9">
        <v>11</v>
      </c>
      <c r="G48" s="9">
        <v>9</v>
      </c>
      <c r="H48" s="9">
        <v>0</v>
      </c>
      <c r="I48" s="9">
        <v>0</v>
      </c>
      <c r="J48" s="10">
        <v>0</v>
      </c>
      <c r="K48" t="str">
        <f t="shared" si="0"/>
        <v/>
      </c>
    </row>
    <row r="49" spans="1:11" x14ac:dyDescent="0.25">
      <c r="A49" s="11" t="s">
        <v>63</v>
      </c>
      <c r="B49" s="12" t="s">
        <v>11</v>
      </c>
      <c r="C49" s="13">
        <v>14</v>
      </c>
      <c r="D49" s="13">
        <v>6</v>
      </c>
      <c r="E49" s="13">
        <v>10</v>
      </c>
      <c r="F49" s="13">
        <v>11</v>
      </c>
      <c r="G49" s="13">
        <v>0</v>
      </c>
      <c r="H49" s="13">
        <v>0</v>
      </c>
      <c r="I49" s="13">
        <v>0</v>
      </c>
      <c r="J49" s="14">
        <v>0</v>
      </c>
      <c r="K49" t="str">
        <f t="shared" si="0"/>
        <v/>
      </c>
    </row>
    <row r="50" spans="1:11" x14ac:dyDescent="0.25">
      <c r="A50" s="7" t="s">
        <v>64</v>
      </c>
      <c r="B50" s="8" t="s">
        <v>11</v>
      </c>
      <c r="C50" s="9">
        <v>13</v>
      </c>
      <c r="D50" s="9">
        <v>0</v>
      </c>
      <c r="E50" s="9">
        <v>0</v>
      </c>
      <c r="F50" s="9">
        <v>1</v>
      </c>
      <c r="G50" s="9">
        <v>0</v>
      </c>
      <c r="H50" s="9">
        <v>0</v>
      </c>
      <c r="I50" s="9">
        <v>0</v>
      </c>
      <c r="J50" s="10">
        <v>0</v>
      </c>
      <c r="K50" t="str">
        <f t="shared" si="0"/>
        <v/>
      </c>
    </row>
    <row r="51" spans="1:11" x14ac:dyDescent="0.25">
      <c r="A51" s="11" t="s">
        <v>65</v>
      </c>
      <c r="B51" s="12" t="s">
        <v>11</v>
      </c>
      <c r="C51" s="13">
        <v>15</v>
      </c>
      <c r="D51" s="13">
        <v>15</v>
      </c>
      <c r="E51" s="13">
        <v>20</v>
      </c>
      <c r="F51" s="13">
        <v>25</v>
      </c>
      <c r="G51" s="13">
        <v>10</v>
      </c>
      <c r="H51" s="13">
        <v>0</v>
      </c>
      <c r="I51" s="13">
        <v>0</v>
      </c>
      <c r="J51" s="14">
        <v>0</v>
      </c>
      <c r="K51" t="str">
        <f t="shared" si="0"/>
        <v/>
      </c>
    </row>
    <row r="52" spans="1:11" x14ac:dyDescent="0.25">
      <c r="A52" s="7" t="s">
        <v>66</v>
      </c>
      <c r="B52" s="8" t="s">
        <v>22</v>
      </c>
      <c r="C52" s="9">
        <v>20</v>
      </c>
      <c r="D52" s="9">
        <v>9</v>
      </c>
      <c r="E52" s="9">
        <v>8</v>
      </c>
      <c r="F52" s="9">
        <v>11</v>
      </c>
      <c r="G52" s="9">
        <v>6</v>
      </c>
      <c r="H52" s="9">
        <v>0</v>
      </c>
      <c r="I52" s="9">
        <v>0</v>
      </c>
      <c r="J52" s="10">
        <v>0</v>
      </c>
      <c r="K52" t="str">
        <f t="shared" si="0"/>
        <v/>
      </c>
    </row>
    <row r="53" spans="1:11" x14ac:dyDescent="0.25">
      <c r="A53" s="11" t="s">
        <v>67</v>
      </c>
      <c r="B53" s="12" t="s">
        <v>22</v>
      </c>
      <c r="C53" s="13">
        <v>19</v>
      </c>
      <c r="D53" s="13">
        <v>0</v>
      </c>
      <c r="E53" s="13">
        <v>2</v>
      </c>
      <c r="F53" s="13">
        <v>2</v>
      </c>
      <c r="G53" s="13">
        <v>17</v>
      </c>
      <c r="H53" s="13">
        <v>0</v>
      </c>
      <c r="I53" s="13">
        <v>0</v>
      </c>
      <c r="J53" s="14">
        <v>0</v>
      </c>
      <c r="K53" t="str">
        <f t="shared" si="0"/>
        <v/>
      </c>
    </row>
    <row r="54" spans="1:11" x14ac:dyDescent="0.25">
      <c r="A54" s="7" t="s">
        <v>68</v>
      </c>
      <c r="B54" s="8" t="s">
        <v>11</v>
      </c>
      <c r="C54" s="9">
        <v>15</v>
      </c>
      <c r="D54" s="9">
        <v>1</v>
      </c>
      <c r="E54" s="9">
        <v>1</v>
      </c>
      <c r="F54" s="9">
        <v>5</v>
      </c>
      <c r="G54" s="9">
        <v>6</v>
      </c>
      <c r="H54" s="9">
        <v>0</v>
      </c>
      <c r="I54" s="9">
        <v>0</v>
      </c>
      <c r="J54" s="10">
        <v>0</v>
      </c>
      <c r="K54" t="str">
        <f t="shared" si="0"/>
        <v/>
      </c>
    </row>
    <row r="55" spans="1:11" x14ac:dyDescent="0.25">
      <c r="A55" s="11" t="s">
        <v>69</v>
      </c>
      <c r="B55" s="12" t="s">
        <v>25</v>
      </c>
      <c r="C55" s="13">
        <v>16</v>
      </c>
      <c r="D55" s="13">
        <v>17</v>
      </c>
      <c r="E55" s="13">
        <v>30</v>
      </c>
      <c r="F55" s="13">
        <v>20</v>
      </c>
      <c r="G55" s="13">
        <v>7</v>
      </c>
      <c r="H55" s="13">
        <v>0</v>
      </c>
      <c r="I55" s="13">
        <v>0</v>
      </c>
      <c r="J55" s="14">
        <v>0</v>
      </c>
      <c r="K55" t="str">
        <f t="shared" si="0"/>
        <v/>
      </c>
    </row>
    <row r="56" spans="1:11" x14ac:dyDescent="0.25">
      <c r="A56" s="7" t="s">
        <v>70</v>
      </c>
      <c r="B56" s="8" t="s">
        <v>11</v>
      </c>
      <c r="C56" s="9">
        <v>21</v>
      </c>
      <c r="D56" s="9">
        <v>130</v>
      </c>
      <c r="E56" s="9">
        <v>126</v>
      </c>
      <c r="F56" s="9">
        <v>142</v>
      </c>
      <c r="G56" s="9">
        <v>20</v>
      </c>
      <c r="H56" s="9">
        <v>10</v>
      </c>
      <c r="I56" s="9">
        <v>17</v>
      </c>
      <c r="J56" s="10">
        <v>18</v>
      </c>
      <c r="K56" t="str">
        <f t="shared" si="0"/>
        <v/>
      </c>
    </row>
    <row r="57" spans="1:11" x14ac:dyDescent="0.25">
      <c r="A57" s="11" t="s">
        <v>71</v>
      </c>
      <c r="B57" s="12" t="s">
        <v>22</v>
      </c>
      <c r="C57" s="13">
        <v>18</v>
      </c>
      <c r="D57" s="13">
        <v>28</v>
      </c>
      <c r="E57" s="13">
        <v>31</v>
      </c>
      <c r="F57" s="13">
        <v>31</v>
      </c>
      <c r="G57" s="13">
        <v>16</v>
      </c>
      <c r="H57" s="13">
        <v>0</v>
      </c>
      <c r="I57" s="13">
        <v>3</v>
      </c>
      <c r="J57" s="14">
        <v>1</v>
      </c>
      <c r="K57" t="str">
        <f t="shared" si="0"/>
        <v/>
      </c>
    </row>
    <row r="58" spans="1:11" x14ac:dyDescent="0.25">
      <c r="A58" s="7" t="s">
        <v>72</v>
      </c>
      <c r="B58" s="8" t="s">
        <v>13</v>
      </c>
      <c r="C58" s="9">
        <v>13</v>
      </c>
      <c r="D58" s="9">
        <v>3</v>
      </c>
      <c r="E58" s="9">
        <v>1</v>
      </c>
      <c r="F58" s="9">
        <v>1</v>
      </c>
      <c r="G58" s="9">
        <v>1</v>
      </c>
      <c r="H58" s="9">
        <v>0</v>
      </c>
      <c r="I58" s="9">
        <v>0</v>
      </c>
      <c r="J58" s="10">
        <v>0</v>
      </c>
      <c r="K58" t="str">
        <f t="shared" si="0"/>
        <v>Kamerun</v>
      </c>
    </row>
    <row r="59" spans="1:11" x14ac:dyDescent="0.25">
      <c r="A59" s="11" t="s">
        <v>73</v>
      </c>
      <c r="B59" s="12" t="s">
        <v>25</v>
      </c>
      <c r="C59" s="13">
        <v>25</v>
      </c>
      <c r="D59" s="13">
        <v>59</v>
      </c>
      <c r="E59" s="13">
        <v>99</v>
      </c>
      <c r="F59" s="13">
        <v>120</v>
      </c>
      <c r="G59" s="13">
        <v>22</v>
      </c>
      <c r="H59" s="13">
        <v>62</v>
      </c>
      <c r="I59" s="13">
        <v>55</v>
      </c>
      <c r="J59" s="14">
        <v>53</v>
      </c>
      <c r="K59" t="str">
        <f t="shared" si="0"/>
        <v/>
      </c>
    </row>
    <row r="60" spans="1:11" x14ac:dyDescent="0.25">
      <c r="A60" s="7" t="s">
        <v>74</v>
      </c>
      <c r="B60" s="8" t="s">
        <v>11</v>
      </c>
      <c r="C60" s="9">
        <v>8</v>
      </c>
      <c r="D60" s="9">
        <v>0</v>
      </c>
      <c r="E60" s="9">
        <v>0</v>
      </c>
      <c r="F60" s="9">
        <v>4</v>
      </c>
      <c r="G60" s="9">
        <v>0</v>
      </c>
      <c r="H60" s="9">
        <v>0</v>
      </c>
      <c r="I60" s="9">
        <v>0</v>
      </c>
      <c r="J60" s="10">
        <v>0</v>
      </c>
      <c r="K60" t="str">
        <f t="shared" si="0"/>
        <v/>
      </c>
    </row>
    <row r="61" spans="1:11" x14ac:dyDescent="0.25">
      <c r="A61" s="11" t="s">
        <v>75</v>
      </c>
      <c r="B61" s="12" t="s">
        <v>11</v>
      </c>
      <c r="C61" s="13">
        <v>5</v>
      </c>
      <c r="D61" s="13">
        <v>16</v>
      </c>
      <c r="E61" s="13">
        <v>17</v>
      </c>
      <c r="F61" s="13">
        <v>19</v>
      </c>
      <c r="G61" s="13">
        <v>6</v>
      </c>
      <c r="H61" s="13">
        <v>1</v>
      </c>
      <c r="I61" s="13">
        <v>3</v>
      </c>
      <c r="J61" s="14">
        <v>3</v>
      </c>
      <c r="K61" t="str">
        <f t="shared" si="0"/>
        <v/>
      </c>
    </row>
    <row r="62" spans="1:11" x14ac:dyDescent="0.25">
      <c r="A62" s="7" t="s">
        <v>76</v>
      </c>
      <c r="B62" s="8" t="s">
        <v>13</v>
      </c>
      <c r="C62" s="9">
        <v>13</v>
      </c>
      <c r="D62" s="9">
        <v>25</v>
      </c>
      <c r="E62" s="9">
        <v>32</v>
      </c>
      <c r="F62" s="9">
        <v>29</v>
      </c>
      <c r="G62" s="9">
        <v>3</v>
      </c>
      <c r="H62" s="9">
        <v>0</v>
      </c>
      <c r="I62" s="9">
        <v>0</v>
      </c>
      <c r="J62" s="10">
        <v>0</v>
      </c>
      <c r="K62" t="str">
        <f t="shared" si="0"/>
        <v/>
      </c>
    </row>
    <row r="63" spans="1:11" x14ac:dyDescent="0.25">
      <c r="A63" s="11" t="s">
        <v>77</v>
      </c>
      <c r="B63" s="12" t="s">
        <v>11</v>
      </c>
      <c r="C63" s="13">
        <v>5</v>
      </c>
      <c r="D63" s="13">
        <v>0</v>
      </c>
      <c r="E63" s="13">
        <v>1</v>
      </c>
      <c r="F63" s="13">
        <v>2</v>
      </c>
      <c r="G63" s="13">
        <v>6</v>
      </c>
      <c r="H63" s="13">
        <v>0</v>
      </c>
      <c r="I63" s="13">
        <v>0</v>
      </c>
      <c r="J63" s="14">
        <v>0</v>
      </c>
      <c r="K63" t="str">
        <f t="shared" si="0"/>
        <v/>
      </c>
    </row>
    <row r="64" spans="1:11" x14ac:dyDescent="0.25">
      <c r="A64" s="7" t="s">
        <v>78</v>
      </c>
      <c r="B64" s="8" t="s">
        <v>15</v>
      </c>
      <c r="C64" s="9">
        <v>18</v>
      </c>
      <c r="D64" s="9">
        <v>2</v>
      </c>
      <c r="E64" s="9">
        <v>6</v>
      </c>
      <c r="F64" s="9">
        <v>11</v>
      </c>
      <c r="G64" s="9">
        <v>1</v>
      </c>
      <c r="H64" s="9">
        <v>0</v>
      </c>
      <c r="I64" s="9">
        <v>0</v>
      </c>
      <c r="J64" s="10">
        <v>0</v>
      </c>
      <c r="K64" t="str">
        <f t="shared" si="0"/>
        <v/>
      </c>
    </row>
    <row r="65" spans="1:11" x14ac:dyDescent="0.25">
      <c r="A65" s="11" t="s">
        <v>79</v>
      </c>
      <c r="B65" s="12" t="s">
        <v>11</v>
      </c>
      <c r="C65" s="13">
        <v>16</v>
      </c>
      <c r="D65" s="13">
        <v>81</v>
      </c>
      <c r="E65" s="13">
        <v>82</v>
      </c>
      <c r="F65" s="13">
        <v>80</v>
      </c>
      <c r="G65" s="13">
        <v>17</v>
      </c>
      <c r="H65" s="13">
        <v>26</v>
      </c>
      <c r="I65" s="13">
        <v>17</v>
      </c>
      <c r="J65" s="14">
        <v>10</v>
      </c>
      <c r="K65" t="str">
        <f t="shared" si="0"/>
        <v/>
      </c>
    </row>
    <row r="66" spans="1:11" x14ac:dyDescent="0.25">
      <c r="A66" s="7" t="s">
        <v>80</v>
      </c>
      <c r="B66" s="8" t="s">
        <v>11</v>
      </c>
      <c r="C66" s="9">
        <v>9</v>
      </c>
      <c r="D66" s="9">
        <v>14</v>
      </c>
      <c r="E66" s="9">
        <v>12</v>
      </c>
      <c r="F66" s="9">
        <v>21</v>
      </c>
      <c r="G66" s="9">
        <v>8</v>
      </c>
      <c r="H66" s="9">
        <v>0</v>
      </c>
      <c r="I66" s="9">
        <v>1</v>
      </c>
      <c r="J66" s="10">
        <v>1</v>
      </c>
      <c r="K66" t="str">
        <f t="shared" si="0"/>
        <v/>
      </c>
    </row>
    <row r="67" spans="1:11" x14ac:dyDescent="0.25">
      <c r="A67" s="11" t="s">
        <v>81</v>
      </c>
      <c r="B67" s="12" t="s">
        <v>25</v>
      </c>
      <c r="C67" s="13">
        <v>14</v>
      </c>
      <c r="D67" s="13">
        <v>1</v>
      </c>
      <c r="E67" s="13">
        <v>1</v>
      </c>
      <c r="F67" s="13">
        <v>2</v>
      </c>
      <c r="G67" s="13">
        <v>6</v>
      </c>
      <c r="H67" s="13">
        <v>0</v>
      </c>
      <c r="I67" s="13">
        <v>0</v>
      </c>
      <c r="J67" s="14">
        <v>0</v>
      </c>
      <c r="K67" t="str">
        <f t="shared" ref="K67:K130" si="1">IF(SUM(H67,D67)&gt;SUM(E67,F67,I67,J67),A67,"")</f>
        <v/>
      </c>
    </row>
    <row r="68" spans="1:11" x14ac:dyDescent="0.25">
      <c r="A68" s="7" t="s">
        <v>82</v>
      </c>
      <c r="B68" s="8" t="s">
        <v>25</v>
      </c>
      <c r="C68" s="9">
        <v>19</v>
      </c>
      <c r="D68" s="9">
        <v>72</v>
      </c>
      <c r="E68" s="9">
        <v>67</v>
      </c>
      <c r="F68" s="9">
        <v>69</v>
      </c>
      <c r="G68" s="9">
        <v>0</v>
      </c>
      <c r="H68" s="9">
        <v>0</v>
      </c>
      <c r="I68" s="9">
        <v>0</v>
      </c>
      <c r="J68" s="10">
        <v>0</v>
      </c>
      <c r="K68" t="str">
        <f t="shared" si="1"/>
        <v/>
      </c>
    </row>
    <row r="69" spans="1:11" x14ac:dyDescent="0.25">
      <c r="A69" s="11" t="s">
        <v>83</v>
      </c>
      <c r="B69" s="12" t="s">
        <v>11</v>
      </c>
      <c r="C69" s="13">
        <v>12</v>
      </c>
      <c r="D69" s="13">
        <v>0</v>
      </c>
      <c r="E69" s="13">
        <v>0</v>
      </c>
      <c r="F69" s="13">
        <v>2</v>
      </c>
      <c r="G69" s="13">
        <v>0</v>
      </c>
      <c r="H69" s="13">
        <v>0</v>
      </c>
      <c r="I69" s="13">
        <v>0</v>
      </c>
      <c r="J69" s="14">
        <v>0</v>
      </c>
      <c r="K69" t="str">
        <f t="shared" si="1"/>
        <v/>
      </c>
    </row>
    <row r="70" spans="1:11" x14ac:dyDescent="0.25">
      <c r="A70" s="7" t="s">
        <v>84</v>
      </c>
      <c r="B70" s="8" t="s">
        <v>11</v>
      </c>
      <c r="C70" s="9">
        <v>16</v>
      </c>
      <c r="D70" s="9">
        <v>0</v>
      </c>
      <c r="E70" s="9">
        <v>2</v>
      </c>
      <c r="F70" s="9">
        <v>2</v>
      </c>
      <c r="G70" s="9">
        <v>16</v>
      </c>
      <c r="H70" s="9">
        <v>0</v>
      </c>
      <c r="I70" s="9">
        <v>0</v>
      </c>
      <c r="J70" s="10">
        <v>0</v>
      </c>
      <c r="K70" t="str">
        <f t="shared" si="1"/>
        <v/>
      </c>
    </row>
    <row r="71" spans="1:11" x14ac:dyDescent="0.25">
      <c r="A71" s="11" t="s">
        <v>85</v>
      </c>
      <c r="B71" s="12" t="s">
        <v>22</v>
      </c>
      <c r="C71" s="13">
        <v>16</v>
      </c>
      <c r="D71" s="13">
        <v>0</v>
      </c>
      <c r="E71" s="13">
        <v>0</v>
      </c>
      <c r="F71" s="13">
        <v>0</v>
      </c>
      <c r="G71" s="13">
        <v>18</v>
      </c>
      <c r="H71" s="13">
        <v>2</v>
      </c>
      <c r="I71" s="13">
        <v>2</v>
      </c>
      <c r="J71" s="14">
        <v>5</v>
      </c>
      <c r="K71" t="str">
        <f t="shared" si="1"/>
        <v/>
      </c>
    </row>
    <row r="72" spans="1:11" x14ac:dyDescent="0.25">
      <c r="A72" s="7" t="s">
        <v>86</v>
      </c>
      <c r="B72" s="8" t="s">
        <v>22</v>
      </c>
      <c r="C72" s="9">
        <v>8</v>
      </c>
      <c r="D72" s="9">
        <v>6</v>
      </c>
      <c r="E72" s="9">
        <v>5</v>
      </c>
      <c r="F72" s="9">
        <v>10</v>
      </c>
      <c r="G72" s="9">
        <v>8</v>
      </c>
      <c r="H72" s="9">
        <v>0</v>
      </c>
      <c r="I72" s="9">
        <v>0</v>
      </c>
      <c r="J72" s="10">
        <v>0</v>
      </c>
      <c r="K72" t="str">
        <f t="shared" si="1"/>
        <v/>
      </c>
    </row>
    <row r="73" spans="1:11" x14ac:dyDescent="0.25">
      <c r="A73" s="11" t="s">
        <v>87</v>
      </c>
      <c r="B73" s="12" t="s">
        <v>22</v>
      </c>
      <c r="C73" s="13">
        <v>22</v>
      </c>
      <c r="D73" s="13">
        <v>1</v>
      </c>
      <c r="E73" s="13">
        <v>1</v>
      </c>
      <c r="F73" s="13">
        <v>0</v>
      </c>
      <c r="G73" s="13">
        <v>8</v>
      </c>
      <c r="H73" s="13">
        <v>0</v>
      </c>
      <c r="I73" s="13">
        <v>2</v>
      </c>
      <c r="J73" s="14">
        <v>0</v>
      </c>
      <c r="K73" t="str">
        <f t="shared" si="1"/>
        <v/>
      </c>
    </row>
    <row r="74" spans="1:11" x14ac:dyDescent="0.25">
      <c r="A74" s="7" t="s">
        <v>88</v>
      </c>
      <c r="B74" s="8" t="s">
        <v>22</v>
      </c>
      <c r="C74" s="9">
        <v>10</v>
      </c>
      <c r="D74" s="9">
        <v>3</v>
      </c>
      <c r="E74" s="9">
        <v>11</v>
      </c>
      <c r="F74" s="9">
        <v>5</v>
      </c>
      <c r="G74" s="9">
        <v>10</v>
      </c>
      <c r="H74" s="9">
        <v>0</v>
      </c>
      <c r="I74" s="9">
        <v>4</v>
      </c>
      <c r="J74" s="10">
        <v>3</v>
      </c>
      <c r="K74" t="str">
        <f t="shared" si="1"/>
        <v/>
      </c>
    </row>
    <row r="75" spans="1:11" x14ac:dyDescent="0.25">
      <c r="A75" s="11" t="s">
        <v>89</v>
      </c>
      <c r="B75" s="12" t="s">
        <v>22</v>
      </c>
      <c r="C75" s="13">
        <v>5</v>
      </c>
      <c r="D75" s="13">
        <v>0</v>
      </c>
      <c r="E75" s="13">
        <v>0</v>
      </c>
      <c r="F75" s="13">
        <v>1</v>
      </c>
      <c r="G75" s="13">
        <v>5</v>
      </c>
      <c r="H75" s="13">
        <v>0</v>
      </c>
      <c r="I75" s="13">
        <v>0</v>
      </c>
      <c r="J75" s="14">
        <v>0</v>
      </c>
      <c r="K75" t="str">
        <f t="shared" si="1"/>
        <v/>
      </c>
    </row>
    <row r="76" spans="1:11" x14ac:dyDescent="0.25">
      <c r="A76" s="7" t="s">
        <v>90</v>
      </c>
      <c r="B76" s="8" t="s">
        <v>11</v>
      </c>
      <c r="C76" s="9">
        <v>12</v>
      </c>
      <c r="D76" s="9">
        <v>0</v>
      </c>
      <c r="E76" s="9">
        <v>3</v>
      </c>
      <c r="F76" s="9">
        <v>3</v>
      </c>
      <c r="G76" s="9">
        <v>0</v>
      </c>
      <c r="H76" s="9">
        <v>0</v>
      </c>
      <c r="I76" s="9">
        <v>0</v>
      </c>
      <c r="J76" s="10">
        <v>0</v>
      </c>
      <c r="K76" t="str">
        <f t="shared" si="1"/>
        <v/>
      </c>
    </row>
    <row r="77" spans="1:11" x14ac:dyDescent="0.25">
      <c r="A77" s="11" t="s">
        <v>91</v>
      </c>
      <c r="B77" s="12" t="s">
        <v>13</v>
      </c>
      <c r="C77" s="13">
        <v>13</v>
      </c>
      <c r="D77" s="13">
        <v>6</v>
      </c>
      <c r="E77" s="13">
        <v>5</v>
      </c>
      <c r="F77" s="13">
        <v>11</v>
      </c>
      <c r="G77" s="13">
        <v>6</v>
      </c>
      <c r="H77" s="13">
        <v>0</v>
      </c>
      <c r="I77" s="13">
        <v>0</v>
      </c>
      <c r="J77" s="14">
        <v>0</v>
      </c>
      <c r="K77" t="str">
        <f t="shared" si="1"/>
        <v/>
      </c>
    </row>
    <row r="78" spans="1:11" x14ac:dyDescent="0.25">
      <c r="A78" s="7" t="s">
        <v>92</v>
      </c>
      <c r="B78" s="8" t="s">
        <v>13</v>
      </c>
      <c r="C78" s="9">
        <v>8</v>
      </c>
      <c r="D78" s="9">
        <v>0</v>
      </c>
      <c r="E78" s="9">
        <v>0</v>
      </c>
      <c r="F78" s="9">
        <v>1</v>
      </c>
      <c r="G78" s="9">
        <v>0</v>
      </c>
      <c r="H78" s="9">
        <v>0</v>
      </c>
      <c r="I78" s="9">
        <v>0</v>
      </c>
      <c r="J78" s="10">
        <v>0</v>
      </c>
      <c r="K78" t="str">
        <f t="shared" si="1"/>
        <v/>
      </c>
    </row>
    <row r="79" spans="1:11" x14ac:dyDescent="0.25">
      <c r="A79" s="11" t="s">
        <v>93</v>
      </c>
      <c r="B79" s="12" t="s">
        <v>25</v>
      </c>
      <c r="C79" s="13">
        <v>22</v>
      </c>
      <c r="D79" s="13">
        <v>13</v>
      </c>
      <c r="E79" s="13">
        <v>21</v>
      </c>
      <c r="F79" s="13">
        <v>28</v>
      </c>
      <c r="G79" s="13">
        <v>8</v>
      </c>
      <c r="H79" s="13">
        <v>0</v>
      </c>
      <c r="I79" s="13">
        <v>0</v>
      </c>
      <c r="J79" s="14">
        <v>0</v>
      </c>
      <c r="K79" t="str">
        <f t="shared" si="1"/>
        <v/>
      </c>
    </row>
    <row r="80" spans="1:11" x14ac:dyDescent="0.25">
      <c r="A80" s="7" t="s">
        <v>94</v>
      </c>
      <c r="B80" s="8" t="s">
        <v>22</v>
      </c>
      <c r="C80" s="9">
        <v>5</v>
      </c>
      <c r="D80" s="9">
        <v>0</v>
      </c>
      <c r="E80" s="9">
        <v>2</v>
      </c>
      <c r="F80" s="9">
        <v>5</v>
      </c>
      <c r="G80" s="9">
        <v>6</v>
      </c>
      <c r="H80" s="9">
        <v>0</v>
      </c>
      <c r="I80" s="9">
        <v>0</v>
      </c>
      <c r="J80" s="10">
        <v>0</v>
      </c>
      <c r="K80" t="str">
        <f t="shared" si="1"/>
        <v/>
      </c>
    </row>
    <row r="81" spans="1:11" x14ac:dyDescent="0.25">
      <c r="A81" s="11" t="s">
        <v>95</v>
      </c>
      <c r="B81" s="12" t="s">
        <v>11</v>
      </c>
      <c r="C81" s="13">
        <v>12</v>
      </c>
      <c r="D81" s="13">
        <v>2</v>
      </c>
      <c r="E81" s="13">
        <v>9</v>
      </c>
      <c r="F81" s="13">
        <v>13</v>
      </c>
      <c r="G81" s="13">
        <v>13</v>
      </c>
      <c r="H81" s="13">
        <v>0</v>
      </c>
      <c r="I81" s="13">
        <v>0</v>
      </c>
      <c r="J81" s="14">
        <v>0</v>
      </c>
      <c r="K81" t="str">
        <f t="shared" si="1"/>
        <v/>
      </c>
    </row>
    <row r="82" spans="1:11" x14ac:dyDescent="0.25">
      <c r="A82" s="7" t="s">
        <v>96</v>
      </c>
      <c r="B82" s="8" t="s">
        <v>13</v>
      </c>
      <c r="C82" s="9">
        <v>9</v>
      </c>
      <c r="D82" s="9">
        <v>1</v>
      </c>
      <c r="E82" s="9">
        <v>0</v>
      </c>
      <c r="F82" s="9">
        <v>1</v>
      </c>
      <c r="G82" s="9">
        <v>0</v>
      </c>
      <c r="H82" s="9">
        <v>0</v>
      </c>
      <c r="I82" s="9">
        <v>0</v>
      </c>
      <c r="J82" s="10">
        <v>0</v>
      </c>
      <c r="K82" t="str">
        <f t="shared" si="1"/>
        <v/>
      </c>
    </row>
    <row r="83" spans="1:11" x14ac:dyDescent="0.25">
      <c r="A83" s="11" t="s">
        <v>97</v>
      </c>
      <c r="B83" s="12" t="s">
        <v>13</v>
      </c>
      <c r="C83" s="13">
        <v>6</v>
      </c>
      <c r="D83" s="13">
        <v>0</v>
      </c>
      <c r="E83" s="13">
        <v>4</v>
      </c>
      <c r="F83" s="13">
        <v>0</v>
      </c>
      <c r="G83" s="13">
        <v>0</v>
      </c>
      <c r="H83" s="13">
        <v>0</v>
      </c>
      <c r="I83" s="13">
        <v>0</v>
      </c>
      <c r="J83" s="14">
        <v>0</v>
      </c>
      <c r="K83" t="str">
        <f t="shared" si="1"/>
        <v/>
      </c>
    </row>
    <row r="84" spans="1:11" x14ac:dyDescent="0.25">
      <c r="A84" s="7" t="s">
        <v>98</v>
      </c>
      <c r="B84" s="8" t="s">
        <v>22</v>
      </c>
      <c r="C84" s="9">
        <v>15</v>
      </c>
      <c r="D84" s="9">
        <v>174</v>
      </c>
      <c r="E84" s="9">
        <v>182</v>
      </c>
      <c r="F84" s="9">
        <v>217</v>
      </c>
      <c r="G84" s="9">
        <v>11</v>
      </c>
      <c r="H84" s="9">
        <v>78</v>
      </c>
      <c r="I84" s="9">
        <v>78</v>
      </c>
      <c r="J84" s="10">
        <v>53</v>
      </c>
      <c r="K84" t="str">
        <f t="shared" si="1"/>
        <v/>
      </c>
    </row>
    <row r="85" spans="1:11" x14ac:dyDescent="0.25">
      <c r="A85" s="11" t="s">
        <v>99</v>
      </c>
      <c r="B85" s="12" t="s">
        <v>22</v>
      </c>
      <c r="C85" s="13">
        <v>5</v>
      </c>
      <c r="D85" s="13">
        <v>56</v>
      </c>
      <c r="E85" s="13">
        <v>67</v>
      </c>
      <c r="F85" s="13">
        <v>81</v>
      </c>
      <c r="G85" s="13">
        <v>7</v>
      </c>
      <c r="H85" s="13">
        <v>11</v>
      </c>
      <c r="I85" s="13">
        <v>15</v>
      </c>
      <c r="J85" s="14">
        <v>13</v>
      </c>
      <c r="K85" t="str">
        <f t="shared" si="1"/>
        <v/>
      </c>
    </row>
    <row r="86" spans="1:11" x14ac:dyDescent="0.25">
      <c r="A86" s="7" t="s">
        <v>100</v>
      </c>
      <c r="B86" s="8" t="s">
        <v>22</v>
      </c>
      <c r="C86" s="9">
        <v>3</v>
      </c>
      <c r="D86" s="9">
        <v>28</v>
      </c>
      <c r="E86" s="9">
        <v>54</v>
      </c>
      <c r="F86" s="9">
        <v>36</v>
      </c>
      <c r="G86" s="9">
        <v>3</v>
      </c>
      <c r="H86" s="9">
        <v>8</v>
      </c>
      <c r="I86" s="9">
        <v>6</v>
      </c>
      <c r="J86" s="10">
        <v>5</v>
      </c>
      <c r="K86" t="str">
        <f t="shared" si="1"/>
        <v/>
      </c>
    </row>
    <row r="87" spans="1:11" x14ac:dyDescent="0.25">
      <c r="A87" s="11" t="s">
        <v>101</v>
      </c>
      <c r="B87" s="12" t="s">
        <v>22</v>
      </c>
      <c r="C87" s="13">
        <v>5</v>
      </c>
      <c r="D87" s="13">
        <v>153</v>
      </c>
      <c r="E87" s="13">
        <v>129</v>
      </c>
      <c r="F87" s="13">
        <v>127</v>
      </c>
      <c r="G87" s="13">
        <v>6</v>
      </c>
      <c r="H87" s="13">
        <v>39</v>
      </c>
      <c r="I87" s="13">
        <v>36</v>
      </c>
      <c r="J87" s="14">
        <v>35</v>
      </c>
      <c r="K87" t="str">
        <f t="shared" si="1"/>
        <v/>
      </c>
    </row>
    <row r="88" spans="1:11" x14ac:dyDescent="0.25">
      <c r="A88" s="7" t="s">
        <v>102</v>
      </c>
      <c r="B88" s="8" t="s">
        <v>13</v>
      </c>
      <c r="C88" s="9">
        <v>11</v>
      </c>
      <c r="D88" s="9">
        <v>0</v>
      </c>
      <c r="E88" s="9">
        <v>0</v>
      </c>
      <c r="F88" s="9">
        <v>1</v>
      </c>
      <c r="G88" s="9">
        <v>0</v>
      </c>
      <c r="H88" s="9">
        <v>0</v>
      </c>
      <c r="I88" s="9">
        <v>0</v>
      </c>
      <c r="J88" s="10">
        <v>0</v>
      </c>
      <c r="K88" t="str">
        <f t="shared" si="1"/>
        <v/>
      </c>
    </row>
    <row r="89" spans="1:11" x14ac:dyDescent="0.25">
      <c r="A89" s="11" t="s">
        <v>103</v>
      </c>
      <c r="B89" s="12" t="s">
        <v>13</v>
      </c>
      <c r="C89" s="13">
        <v>15</v>
      </c>
      <c r="D89" s="13">
        <v>3</v>
      </c>
      <c r="E89" s="13">
        <v>8</v>
      </c>
      <c r="F89" s="13">
        <v>12</v>
      </c>
      <c r="G89" s="13">
        <v>0</v>
      </c>
      <c r="H89" s="13">
        <v>0</v>
      </c>
      <c r="I89" s="13">
        <v>0</v>
      </c>
      <c r="J89" s="14">
        <v>0</v>
      </c>
      <c r="K89" t="str">
        <f t="shared" si="1"/>
        <v/>
      </c>
    </row>
    <row r="90" spans="1:11" x14ac:dyDescent="0.25">
      <c r="A90" s="7" t="s">
        <v>104</v>
      </c>
      <c r="B90" s="8" t="s">
        <v>22</v>
      </c>
      <c r="C90" s="9">
        <v>24</v>
      </c>
      <c r="D90" s="9">
        <v>56</v>
      </c>
      <c r="E90" s="9">
        <v>49</v>
      </c>
      <c r="F90" s="9">
        <v>43</v>
      </c>
      <c r="G90" s="9">
        <v>22</v>
      </c>
      <c r="H90" s="9">
        <v>118</v>
      </c>
      <c r="I90" s="9">
        <v>111</v>
      </c>
      <c r="J90" s="10">
        <v>100</v>
      </c>
      <c r="K90" t="str">
        <f t="shared" si="1"/>
        <v/>
      </c>
    </row>
    <row r="91" spans="1:11" x14ac:dyDescent="0.25">
      <c r="A91" s="11" t="s">
        <v>105</v>
      </c>
      <c r="B91" s="12" t="s">
        <v>20</v>
      </c>
      <c r="C91" s="13">
        <v>22</v>
      </c>
      <c r="D91" s="13">
        <v>42</v>
      </c>
      <c r="E91" s="13">
        <v>18</v>
      </c>
      <c r="F91" s="13">
        <v>39</v>
      </c>
      <c r="G91" s="13">
        <v>15</v>
      </c>
      <c r="H91" s="13">
        <v>0</v>
      </c>
      <c r="I91" s="13">
        <v>1</v>
      </c>
      <c r="J91" s="14">
        <v>0</v>
      </c>
      <c r="K91" t="str">
        <f t="shared" si="1"/>
        <v/>
      </c>
    </row>
    <row r="92" spans="1:11" x14ac:dyDescent="0.25">
      <c r="A92" s="7" t="s">
        <v>106</v>
      </c>
      <c r="B92" s="8" t="s">
        <v>11</v>
      </c>
      <c r="C92" s="9">
        <v>16</v>
      </c>
      <c r="D92" s="9">
        <v>3</v>
      </c>
      <c r="E92" s="9">
        <v>3</v>
      </c>
      <c r="F92" s="9">
        <v>4</v>
      </c>
      <c r="G92" s="9">
        <v>2</v>
      </c>
      <c r="H92" s="9">
        <v>0</v>
      </c>
      <c r="I92" s="9">
        <v>0</v>
      </c>
      <c r="J92" s="10">
        <v>0</v>
      </c>
      <c r="K92" t="str">
        <f t="shared" si="1"/>
        <v/>
      </c>
    </row>
    <row r="93" spans="1:11" x14ac:dyDescent="0.25">
      <c r="A93" s="11" t="s">
        <v>107</v>
      </c>
      <c r="B93" s="12" t="s">
        <v>15</v>
      </c>
      <c r="C93" s="13">
        <v>16</v>
      </c>
      <c r="D93" s="13">
        <v>1</v>
      </c>
      <c r="E93" s="13">
        <v>0</v>
      </c>
      <c r="F93" s="13">
        <v>2</v>
      </c>
      <c r="G93" s="13">
        <v>0</v>
      </c>
      <c r="H93" s="13">
        <v>0</v>
      </c>
      <c r="I93" s="13">
        <v>0</v>
      </c>
      <c r="J93" s="14">
        <v>0</v>
      </c>
      <c r="K93" t="str">
        <f t="shared" si="1"/>
        <v/>
      </c>
    </row>
    <row r="94" spans="1:11" x14ac:dyDescent="0.25">
      <c r="A94" s="7" t="s">
        <v>108</v>
      </c>
      <c r="B94" s="8" t="s">
        <v>15</v>
      </c>
      <c r="C94" s="9">
        <v>11</v>
      </c>
      <c r="D94" s="9">
        <v>0</v>
      </c>
      <c r="E94" s="9">
        <v>1</v>
      </c>
      <c r="F94" s="9">
        <v>0</v>
      </c>
      <c r="G94" s="9">
        <v>1</v>
      </c>
      <c r="H94" s="9">
        <v>0</v>
      </c>
      <c r="I94" s="9">
        <v>0</v>
      </c>
      <c r="J94" s="10">
        <v>0</v>
      </c>
      <c r="K94" t="str">
        <f t="shared" si="1"/>
        <v/>
      </c>
    </row>
    <row r="95" spans="1:11" x14ac:dyDescent="0.25">
      <c r="A95" s="11" t="s">
        <v>109</v>
      </c>
      <c r="B95" s="12" t="s">
        <v>15</v>
      </c>
      <c r="C95" s="13">
        <v>17</v>
      </c>
      <c r="D95" s="13">
        <v>1</v>
      </c>
      <c r="E95" s="13">
        <v>3</v>
      </c>
      <c r="F95" s="13">
        <v>0</v>
      </c>
      <c r="G95" s="13">
        <v>2</v>
      </c>
      <c r="H95" s="13">
        <v>0</v>
      </c>
      <c r="I95" s="13">
        <v>0</v>
      </c>
      <c r="J95" s="14">
        <v>0</v>
      </c>
      <c r="K95" t="str">
        <f t="shared" si="1"/>
        <v/>
      </c>
    </row>
    <row r="96" spans="1:11" x14ac:dyDescent="0.25">
      <c r="A96" s="7" t="s">
        <v>110</v>
      </c>
      <c r="B96" s="8" t="s">
        <v>22</v>
      </c>
      <c r="C96" s="9">
        <v>20</v>
      </c>
      <c r="D96" s="9">
        <v>64</v>
      </c>
      <c r="E96" s="9">
        <v>82</v>
      </c>
      <c r="F96" s="9">
        <v>125</v>
      </c>
      <c r="G96" s="9">
        <v>22</v>
      </c>
      <c r="H96" s="9">
        <v>6</v>
      </c>
      <c r="I96" s="9">
        <v>7</v>
      </c>
      <c r="J96" s="10">
        <v>7</v>
      </c>
      <c r="K96" t="str">
        <f t="shared" si="1"/>
        <v/>
      </c>
    </row>
    <row r="97" spans="1:11" x14ac:dyDescent="0.25">
      <c r="A97" s="11" t="s">
        <v>111</v>
      </c>
      <c r="B97" s="12" t="s">
        <v>25</v>
      </c>
      <c r="C97" s="13">
        <v>17</v>
      </c>
      <c r="D97" s="13">
        <v>0</v>
      </c>
      <c r="E97" s="13">
        <v>2</v>
      </c>
      <c r="F97" s="13">
        <v>6</v>
      </c>
      <c r="G97" s="13">
        <v>6</v>
      </c>
      <c r="H97" s="13">
        <v>0</v>
      </c>
      <c r="I97" s="13">
        <v>0</v>
      </c>
      <c r="J97" s="14">
        <v>0</v>
      </c>
      <c r="K97" t="str">
        <f t="shared" si="1"/>
        <v/>
      </c>
    </row>
    <row r="98" spans="1:11" x14ac:dyDescent="0.25">
      <c r="A98" s="7" t="s">
        <v>112</v>
      </c>
      <c r="B98" s="8" t="s">
        <v>22</v>
      </c>
      <c r="C98" s="9">
        <v>23</v>
      </c>
      <c r="D98" s="9">
        <v>4</v>
      </c>
      <c r="E98" s="9">
        <v>8</v>
      </c>
      <c r="F98" s="9">
        <v>11</v>
      </c>
      <c r="G98" s="9">
        <v>7</v>
      </c>
      <c r="H98" s="9">
        <v>0</v>
      </c>
      <c r="I98" s="9">
        <v>0</v>
      </c>
      <c r="J98" s="10">
        <v>0</v>
      </c>
      <c r="K98" t="str">
        <f t="shared" si="1"/>
        <v/>
      </c>
    </row>
    <row r="99" spans="1:11" x14ac:dyDescent="0.25">
      <c r="A99" s="11" t="s">
        <v>113</v>
      </c>
      <c r="B99" s="12" t="s">
        <v>13</v>
      </c>
      <c r="C99" s="13">
        <v>18</v>
      </c>
      <c r="D99" s="13">
        <v>23</v>
      </c>
      <c r="E99" s="13">
        <v>26</v>
      </c>
      <c r="F99" s="13">
        <v>27</v>
      </c>
      <c r="G99" s="13">
        <v>6</v>
      </c>
      <c r="H99" s="13">
        <v>0</v>
      </c>
      <c r="I99" s="13">
        <v>0</v>
      </c>
      <c r="J99" s="14">
        <v>0</v>
      </c>
      <c r="K99" t="str">
        <f t="shared" si="1"/>
        <v/>
      </c>
    </row>
    <row r="100" spans="1:11" x14ac:dyDescent="0.25">
      <c r="A100" s="7" t="s">
        <v>114</v>
      </c>
      <c r="B100" s="8" t="s">
        <v>22</v>
      </c>
      <c r="C100" s="9">
        <v>5</v>
      </c>
      <c r="D100" s="9">
        <v>133</v>
      </c>
      <c r="E100" s="9">
        <v>122</v>
      </c>
      <c r="F100" s="9">
        <v>142</v>
      </c>
      <c r="G100" s="9">
        <v>6</v>
      </c>
      <c r="H100" s="9">
        <v>49</v>
      </c>
      <c r="I100" s="9">
        <v>40</v>
      </c>
      <c r="J100" s="10">
        <v>35</v>
      </c>
      <c r="K100" t="str">
        <f t="shared" si="1"/>
        <v/>
      </c>
    </row>
    <row r="101" spans="1:11" x14ac:dyDescent="0.25">
      <c r="A101" s="11" t="s">
        <v>115</v>
      </c>
      <c r="B101" s="12" t="s">
        <v>22</v>
      </c>
      <c r="C101" s="13">
        <v>3</v>
      </c>
      <c r="D101" s="13">
        <v>1</v>
      </c>
      <c r="E101" s="13">
        <v>4</v>
      </c>
      <c r="F101" s="13">
        <v>3</v>
      </c>
      <c r="G101" s="13">
        <v>0</v>
      </c>
      <c r="H101" s="13">
        <v>0</v>
      </c>
      <c r="I101" s="13">
        <v>0</v>
      </c>
      <c r="J101" s="14">
        <v>0</v>
      </c>
      <c r="K101" t="str">
        <f t="shared" si="1"/>
        <v/>
      </c>
    </row>
    <row r="102" spans="1:11" x14ac:dyDescent="0.25">
      <c r="A102" s="7" t="s">
        <v>116</v>
      </c>
      <c r="B102" s="8" t="s">
        <v>22</v>
      </c>
      <c r="C102" s="9">
        <v>20</v>
      </c>
      <c r="D102" s="9">
        <v>88</v>
      </c>
      <c r="E102" s="9">
        <v>94</v>
      </c>
      <c r="F102" s="9">
        <v>119</v>
      </c>
      <c r="G102" s="9">
        <v>20</v>
      </c>
      <c r="H102" s="9">
        <v>0</v>
      </c>
      <c r="I102" s="9">
        <v>0</v>
      </c>
      <c r="J102" s="10">
        <v>1</v>
      </c>
      <c r="K102" t="str">
        <f t="shared" si="1"/>
        <v/>
      </c>
    </row>
    <row r="103" spans="1:11" x14ac:dyDescent="0.25">
      <c r="A103" s="11" t="s">
        <v>117</v>
      </c>
      <c r="B103" s="12" t="s">
        <v>13</v>
      </c>
      <c r="C103" s="13">
        <v>13</v>
      </c>
      <c r="D103" s="13">
        <v>0</v>
      </c>
      <c r="E103" s="13">
        <v>1</v>
      </c>
      <c r="F103" s="13">
        <v>0</v>
      </c>
      <c r="G103" s="13">
        <v>5</v>
      </c>
      <c r="H103" s="13">
        <v>0</v>
      </c>
      <c r="I103" s="13">
        <v>0</v>
      </c>
      <c r="J103" s="14">
        <v>0</v>
      </c>
      <c r="K103" t="str">
        <f t="shared" si="1"/>
        <v/>
      </c>
    </row>
    <row r="104" spans="1:11" x14ac:dyDescent="0.25">
      <c r="A104" s="7" t="s">
        <v>118</v>
      </c>
      <c r="B104" s="8" t="s">
        <v>22</v>
      </c>
      <c r="C104" s="9">
        <v>3</v>
      </c>
      <c r="D104" s="9">
        <v>1</v>
      </c>
      <c r="E104" s="9">
        <v>2</v>
      </c>
      <c r="F104" s="9">
        <v>4</v>
      </c>
      <c r="G104" s="9">
        <v>2</v>
      </c>
      <c r="H104" s="9">
        <v>0</v>
      </c>
      <c r="I104" s="9">
        <v>0</v>
      </c>
      <c r="J104" s="10">
        <v>0</v>
      </c>
      <c r="K104" t="str">
        <f t="shared" si="1"/>
        <v/>
      </c>
    </row>
    <row r="105" spans="1:11" x14ac:dyDescent="0.25">
      <c r="A105" s="11" t="s">
        <v>119</v>
      </c>
      <c r="B105" s="12" t="s">
        <v>22</v>
      </c>
      <c r="C105" s="13">
        <v>1</v>
      </c>
      <c r="D105" s="13">
        <v>0</v>
      </c>
      <c r="E105" s="13">
        <v>2</v>
      </c>
      <c r="F105" s="13">
        <v>0</v>
      </c>
      <c r="G105" s="13">
        <v>1</v>
      </c>
      <c r="H105" s="13">
        <v>0</v>
      </c>
      <c r="I105" s="13">
        <v>0</v>
      </c>
      <c r="J105" s="14">
        <v>0</v>
      </c>
      <c r="K105" t="str">
        <f t="shared" si="1"/>
        <v/>
      </c>
    </row>
    <row r="106" spans="1:11" x14ac:dyDescent="0.25">
      <c r="A106" s="7" t="s">
        <v>120</v>
      </c>
      <c r="B106" s="8" t="s">
        <v>11</v>
      </c>
      <c r="C106" s="9">
        <v>15</v>
      </c>
      <c r="D106" s="9">
        <v>0</v>
      </c>
      <c r="E106" s="9">
        <v>2</v>
      </c>
      <c r="F106" s="9">
        <v>2</v>
      </c>
      <c r="G106" s="9">
        <v>0</v>
      </c>
      <c r="H106" s="9">
        <v>0</v>
      </c>
      <c r="I106" s="9">
        <v>0</v>
      </c>
      <c r="J106" s="10">
        <v>0</v>
      </c>
      <c r="K106" t="str">
        <f t="shared" si="1"/>
        <v/>
      </c>
    </row>
    <row r="107" spans="1:11" x14ac:dyDescent="0.25">
      <c r="A107" s="11" t="s">
        <v>121</v>
      </c>
      <c r="B107" s="12" t="s">
        <v>22</v>
      </c>
      <c r="C107" s="13">
        <v>5</v>
      </c>
      <c r="D107" s="13">
        <v>7</v>
      </c>
      <c r="E107" s="13">
        <v>9</v>
      </c>
      <c r="F107" s="13">
        <v>8</v>
      </c>
      <c r="G107" s="13">
        <v>6</v>
      </c>
      <c r="H107" s="13">
        <v>2</v>
      </c>
      <c r="I107" s="13">
        <v>2</v>
      </c>
      <c r="J107" s="14">
        <v>1</v>
      </c>
      <c r="K107" t="str">
        <f t="shared" si="1"/>
        <v/>
      </c>
    </row>
    <row r="108" spans="1:11" x14ac:dyDescent="0.25">
      <c r="A108" s="7" t="s">
        <v>122</v>
      </c>
      <c r="B108" s="8" t="s">
        <v>22</v>
      </c>
      <c r="C108" s="9">
        <v>6</v>
      </c>
      <c r="D108" s="9">
        <v>4</v>
      </c>
      <c r="E108" s="9">
        <v>6</v>
      </c>
      <c r="F108" s="9">
        <v>9</v>
      </c>
      <c r="G108" s="9">
        <v>7</v>
      </c>
      <c r="H108" s="9">
        <v>2</v>
      </c>
      <c r="I108" s="9">
        <v>4</v>
      </c>
      <c r="J108" s="10">
        <v>9</v>
      </c>
      <c r="K108" t="str">
        <f t="shared" si="1"/>
        <v/>
      </c>
    </row>
    <row r="109" spans="1:11" x14ac:dyDescent="0.25">
      <c r="A109" s="11" t="s">
        <v>123</v>
      </c>
      <c r="B109" s="12" t="s">
        <v>11</v>
      </c>
      <c r="C109" s="13">
        <v>16</v>
      </c>
      <c r="D109" s="13">
        <v>0</v>
      </c>
      <c r="E109" s="13">
        <v>2</v>
      </c>
      <c r="F109" s="13">
        <v>0</v>
      </c>
      <c r="G109" s="13">
        <v>0</v>
      </c>
      <c r="H109" s="13">
        <v>0</v>
      </c>
      <c r="I109" s="13">
        <v>0</v>
      </c>
      <c r="J109" s="14">
        <v>0</v>
      </c>
      <c r="K109" t="str">
        <f t="shared" si="1"/>
        <v/>
      </c>
    </row>
    <row r="110" spans="1:11" x14ac:dyDescent="0.25">
      <c r="A110" s="7" t="s">
        <v>124</v>
      </c>
      <c r="B110" s="8" t="s">
        <v>25</v>
      </c>
      <c r="C110" s="9">
        <v>26</v>
      </c>
      <c r="D110" s="9">
        <v>976</v>
      </c>
      <c r="E110" s="9">
        <v>758</v>
      </c>
      <c r="F110" s="9">
        <v>666</v>
      </c>
      <c r="G110" s="9">
        <v>22</v>
      </c>
      <c r="H110" s="9">
        <v>96</v>
      </c>
      <c r="I110" s="9">
        <v>102</v>
      </c>
      <c r="J110" s="10">
        <v>83</v>
      </c>
      <c r="K110" t="str">
        <f t="shared" si="1"/>
        <v/>
      </c>
    </row>
    <row r="111" spans="1:11" x14ac:dyDescent="0.25">
      <c r="A111" s="11" t="s">
        <v>125</v>
      </c>
      <c r="B111" s="12" t="s">
        <v>13</v>
      </c>
      <c r="C111" s="13">
        <v>11</v>
      </c>
      <c r="D111" s="13">
        <v>0</v>
      </c>
      <c r="E111" s="13">
        <v>1</v>
      </c>
      <c r="F111" s="13">
        <v>0</v>
      </c>
      <c r="G111" s="13">
        <v>0</v>
      </c>
      <c r="H111" s="13">
        <v>0</v>
      </c>
      <c r="I111" s="13">
        <v>0</v>
      </c>
      <c r="J111" s="14">
        <v>0</v>
      </c>
      <c r="K111" t="str">
        <f t="shared" si="1"/>
        <v/>
      </c>
    </row>
    <row r="112" spans="1:11" x14ac:dyDescent="0.25">
      <c r="A112" s="7" t="s">
        <v>126</v>
      </c>
      <c r="B112" s="8" t="s">
        <v>15</v>
      </c>
      <c r="C112" s="9">
        <v>11</v>
      </c>
      <c r="D112" s="9">
        <v>1</v>
      </c>
      <c r="E112" s="9">
        <v>0</v>
      </c>
      <c r="F112" s="9">
        <v>1</v>
      </c>
      <c r="G112" s="9">
        <v>0</v>
      </c>
      <c r="H112" s="9">
        <v>0</v>
      </c>
      <c r="I112" s="9">
        <v>0</v>
      </c>
      <c r="J112" s="10">
        <v>0</v>
      </c>
      <c r="K112" t="str">
        <f t="shared" si="1"/>
        <v/>
      </c>
    </row>
    <row r="113" spans="1:11" x14ac:dyDescent="0.25">
      <c r="A113" s="11" t="s">
        <v>127</v>
      </c>
      <c r="B113" s="12" t="s">
        <v>11</v>
      </c>
      <c r="C113" s="13">
        <v>12</v>
      </c>
      <c r="D113" s="13">
        <v>1</v>
      </c>
      <c r="E113" s="13">
        <v>1</v>
      </c>
      <c r="F113" s="13">
        <v>1</v>
      </c>
      <c r="G113" s="13">
        <v>0</v>
      </c>
      <c r="H113" s="13">
        <v>0</v>
      </c>
      <c r="I113" s="13">
        <v>0</v>
      </c>
      <c r="J113" s="14">
        <v>0</v>
      </c>
      <c r="K113" t="str">
        <f t="shared" si="1"/>
        <v/>
      </c>
    </row>
    <row r="114" spans="1:11" x14ac:dyDescent="0.25">
      <c r="A114" s="7" t="s">
        <v>128</v>
      </c>
      <c r="B114" s="8" t="s">
        <v>22</v>
      </c>
      <c r="C114" s="9">
        <v>27</v>
      </c>
      <c r="D114" s="9">
        <v>47</v>
      </c>
      <c r="E114" s="9">
        <v>73</v>
      </c>
      <c r="F114" s="9">
        <v>65</v>
      </c>
      <c r="G114" s="9">
        <v>22</v>
      </c>
      <c r="H114" s="9">
        <v>50</v>
      </c>
      <c r="I114" s="9">
        <v>40</v>
      </c>
      <c r="J114" s="10">
        <v>48</v>
      </c>
      <c r="K114" t="str">
        <f t="shared" si="1"/>
        <v/>
      </c>
    </row>
    <row r="115" spans="1:11" x14ac:dyDescent="0.25">
      <c r="A115" s="11" t="s">
        <v>129</v>
      </c>
      <c r="B115" s="12" t="s">
        <v>22</v>
      </c>
      <c r="C115" s="13">
        <v>26</v>
      </c>
      <c r="D115" s="13">
        <v>143</v>
      </c>
      <c r="E115" s="13">
        <v>164</v>
      </c>
      <c r="F115" s="13">
        <v>176</v>
      </c>
      <c r="G115" s="13">
        <v>22</v>
      </c>
      <c r="H115" s="13">
        <v>50</v>
      </c>
      <c r="I115" s="13">
        <v>40</v>
      </c>
      <c r="J115" s="14">
        <v>54</v>
      </c>
      <c r="K115" t="str">
        <f t="shared" si="1"/>
        <v/>
      </c>
    </row>
    <row r="116" spans="1:11" x14ac:dyDescent="0.25">
      <c r="A116" s="7" t="s">
        <v>130</v>
      </c>
      <c r="B116" s="8" t="s">
        <v>11</v>
      </c>
      <c r="C116" s="9">
        <v>5</v>
      </c>
      <c r="D116" s="9">
        <v>0</v>
      </c>
      <c r="E116" s="9">
        <v>1</v>
      </c>
      <c r="F116" s="9">
        <v>2</v>
      </c>
      <c r="G116" s="9">
        <v>4</v>
      </c>
      <c r="H116" s="9">
        <v>0</v>
      </c>
      <c r="I116" s="9">
        <v>0</v>
      </c>
      <c r="J116" s="10">
        <v>0</v>
      </c>
      <c r="K116" t="str">
        <f t="shared" si="1"/>
        <v/>
      </c>
    </row>
    <row r="117" spans="1:11" x14ac:dyDescent="0.25">
      <c r="A117" s="11" t="s">
        <v>131</v>
      </c>
      <c r="B117" s="12" t="s">
        <v>11</v>
      </c>
      <c r="C117" s="13">
        <v>15</v>
      </c>
      <c r="D117" s="13">
        <v>7</v>
      </c>
      <c r="E117" s="13">
        <v>6</v>
      </c>
      <c r="F117" s="13">
        <v>11</v>
      </c>
      <c r="G117" s="13">
        <v>3</v>
      </c>
      <c r="H117" s="13">
        <v>0</v>
      </c>
      <c r="I117" s="13">
        <v>0</v>
      </c>
      <c r="J117" s="14">
        <v>0</v>
      </c>
      <c r="K117" t="str">
        <f t="shared" si="1"/>
        <v/>
      </c>
    </row>
    <row r="118" spans="1:11" x14ac:dyDescent="0.25">
      <c r="A118" s="7" t="s">
        <v>132</v>
      </c>
      <c r="B118" s="8" t="s">
        <v>13</v>
      </c>
      <c r="C118" s="9">
        <v>12</v>
      </c>
      <c r="D118" s="9">
        <v>0</v>
      </c>
      <c r="E118" s="9">
        <v>2</v>
      </c>
      <c r="F118" s="9">
        <v>0</v>
      </c>
      <c r="G118" s="9">
        <v>0</v>
      </c>
      <c r="H118" s="9">
        <v>0</v>
      </c>
      <c r="I118" s="9">
        <v>0</v>
      </c>
      <c r="J118" s="10">
        <v>0</v>
      </c>
      <c r="K118" t="str">
        <f t="shared" si="1"/>
        <v/>
      </c>
    </row>
    <row r="119" spans="1:11" x14ac:dyDescent="0.25">
      <c r="A119" s="11" t="s">
        <v>133</v>
      </c>
      <c r="B119" s="12" t="s">
        <v>13</v>
      </c>
      <c r="C119" s="13">
        <v>9</v>
      </c>
      <c r="D119" s="13">
        <v>0</v>
      </c>
      <c r="E119" s="13">
        <v>0</v>
      </c>
      <c r="F119" s="13">
        <v>1</v>
      </c>
      <c r="G119" s="13">
        <v>1</v>
      </c>
      <c r="H119" s="13">
        <v>0</v>
      </c>
      <c r="I119" s="13">
        <v>0</v>
      </c>
      <c r="J119" s="14">
        <v>0</v>
      </c>
      <c r="K119" t="str">
        <f t="shared" si="1"/>
        <v/>
      </c>
    </row>
    <row r="120" spans="1:11" x14ac:dyDescent="0.25">
      <c r="A120" s="7" t="s">
        <v>134</v>
      </c>
      <c r="B120" s="8" t="s">
        <v>20</v>
      </c>
      <c r="C120" s="9">
        <v>8</v>
      </c>
      <c r="D120" s="9">
        <v>0</v>
      </c>
      <c r="E120" s="9">
        <v>1</v>
      </c>
      <c r="F120" s="9">
        <v>0</v>
      </c>
      <c r="G120" s="9">
        <v>1</v>
      </c>
      <c r="H120" s="9">
        <v>0</v>
      </c>
      <c r="I120" s="9">
        <v>0</v>
      </c>
      <c r="J120" s="10">
        <v>0</v>
      </c>
      <c r="K120" t="str">
        <f t="shared" si="1"/>
        <v/>
      </c>
    </row>
    <row r="121" spans="1:11" x14ac:dyDescent="0.25">
      <c r="A121" s="11" t="s">
        <v>135</v>
      </c>
      <c r="B121" s="12" t="s">
        <v>25</v>
      </c>
      <c r="C121" s="13">
        <v>16</v>
      </c>
      <c r="D121" s="13">
        <v>2</v>
      </c>
      <c r="E121" s="13">
        <v>5</v>
      </c>
      <c r="F121" s="13">
        <v>11</v>
      </c>
      <c r="G121" s="13">
        <v>3</v>
      </c>
      <c r="H121" s="13">
        <v>0</v>
      </c>
      <c r="I121" s="13">
        <v>0</v>
      </c>
      <c r="J121" s="14">
        <v>0</v>
      </c>
      <c r="K121" t="str">
        <f t="shared" si="1"/>
        <v/>
      </c>
    </row>
    <row r="122" spans="1:11" x14ac:dyDescent="0.25">
      <c r="A122" s="7" t="s">
        <v>136</v>
      </c>
      <c r="B122" s="8" t="s">
        <v>13</v>
      </c>
      <c r="C122" s="9">
        <v>13</v>
      </c>
      <c r="D122" s="9">
        <v>3</v>
      </c>
      <c r="E122" s="9">
        <v>3</v>
      </c>
      <c r="F122" s="9">
        <v>4</v>
      </c>
      <c r="G122" s="9">
        <v>0</v>
      </c>
      <c r="H122" s="9">
        <v>0</v>
      </c>
      <c r="I122" s="9">
        <v>0</v>
      </c>
      <c r="J122" s="10">
        <v>0</v>
      </c>
      <c r="K122" t="str">
        <f t="shared" si="1"/>
        <v/>
      </c>
    </row>
    <row r="123" spans="1:11" x14ac:dyDescent="0.25">
      <c r="A123" s="11" t="s">
        <v>137</v>
      </c>
      <c r="B123" s="12" t="s">
        <v>11</v>
      </c>
      <c r="C123" s="13">
        <v>21</v>
      </c>
      <c r="D123" s="13">
        <v>39</v>
      </c>
      <c r="E123" s="13">
        <v>25</v>
      </c>
      <c r="F123" s="13">
        <v>24</v>
      </c>
      <c r="G123" s="13">
        <v>16</v>
      </c>
      <c r="H123" s="13">
        <v>0</v>
      </c>
      <c r="I123" s="13">
        <v>0</v>
      </c>
      <c r="J123" s="14">
        <v>0</v>
      </c>
      <c r="K123" t="str">
        <f t="shared" si="1"/>
        <v/>
      </c>
    </row>
    <row r="124" spans="1:11" x14ac:dyDescent="0.25">
      <c r="A124" s="7" t="s">
        <v>138</v>
      </c>
      <c r="B124" s="8" t="s">
        <v>13</v>
      </c>
      <c r="C124" s="9">
        <v>14</v>
      </c>
      <c r="D124" s="9">
        <v>2</v>
      </c>
      <c r="E124" s="9">
        <v>3</v>
      </c>
      <c r="F124" s="9">
        <v>2</v>
      </c>
      <c r="G124" s="9">
        <v>0</v>
      </c>
      <c r="H124" s="9">
        <v>0</v>
      </c>
      <c r="I124" s="9">
        <v>0</v>
      </c>
      <c r="J124" s="10">
        <v>0</v>
      </c>
      <c r="K124" t="str">
        <f t="shared" si="1"/>
        <v/>
      </c>
    </row>
    <row r="125" spans="1:11" x14ac:dyDescent="0.25">
      <c r="A125" s="11" t="s">
        <v>139</v>
      </c>
      <c r="B125" s="12" t="s">
        <v>22</v>
      </c>
      <c r="C125" s="13">
        <v>5</v>
      </c>
      <c r="D125" s="13">
        <v>33</v>
      </c>
      <c r="E125" s="13">
        <v>27</v>
      </c>
      <c r="F125" s="13">
        <v>55</v>
      </c>
      <c r="G125" s="13">
        <v>6</v>
      </c>
      <c r="H125" s="13">
        <v>2</v>
      </c>
      <c r="I125" s="13">
        <v>1</v>
      </c>
      <c r="J125" s="14">
        <v>4</v>
      </c>
      <c r="K125" t="str">
        <f t="shared" si="1"/>
        <v/>
      </c>
    </row>
    <row r="126" spans="1:11" x14ac:dyDescent="0.25">
      <c r="A126" s="7" t="s">
        <v>140</v>
      </c>
      <c r="B126" s="8" t="s">
        <v>15</v>
      </c>
      <c r="C126" s="9">
        <v>20</v>
      </c>
      <c r="D126" s="9">
        <v>2</v>
      </c>
      <c r="E126" s="9">
        <v>2</v>
      </c>
      <c r="F126" s="9">
        <v>6</v>
      </c>
      <c r="G126" s="9">
        <v>1</v>
      </c>
      <c r="H126" s="9">
        <v>0</v>
      </c>
      <c r="I126" s="9">
        <v>0</v>
      </c>
      <c r="J126" s="10">
        <v>0</v>
      </c>
      <c r="K126" t="str">
        <f t="shared" si="1"/>
        <v/>
      </c>
    </row>
    <row r="127" spans="1:11" x14ac:dyDescent="0.25">
      <c r="A127" s="11" t="s">
        <v>141</v>
      </c>
      <c r="B127" s="12" t="s">
        <v>11</v>
      </c>
      <c r="C127" s="13">
        <v>5</v>
      </c>
      <c r="D127" s="13">
        <v>5</v>
      </c>
      <c r="E127" s="13">
        <v>5</v>
      </c>
      <c r="F127" s="13">
        <v>10</v>
      </c>
      <c r="G127" s="13">
        <v>6</v>
      </c>
      <c r="H127" s="13">
        <v>1</v>
      </c>
      <c r="I127" s="13">
        <v>0</v>
      </c>
      <c r="J127" s="14">
        <v>0</v>
      </c>
      <c r="K127" t="str">
        <f t="shared" si="1"/>
        <v/>
      </c>
    </row>
    <row r="128" spans="1:11" x14ac:dyDescent="0.25">
      <c r="A128" s="7" t="s">
        <v>142</v>
      </c>
      <c r="B128" s="8" t="s">
        <v>15</v>
      </c>
      <c r="C128" s="9">
        <v>17</v>
      </c>
      <c r="D128" s="9">
        <v>2</v>
      </c>
      <c r="E128" s="9">
        <v>2</v>
      </c>
      <c r="F128" s="9">
        <v>8</v>
      </c>
      <c r="G128" s="9">
        <v>4</v>
      </c>
      <c r="H128" s="9">
        <v>0</v>
      </c>
      <c r="I128" s="9">
        <v>0</v>
      </c>
      <c r="J128" s="10">
        <v>0</v>
      </c>
      <c r="K128" t="str">
        <f t="shared" si="1"/>
        <v/>
      </c>
    </row>
    <row r="129" spans="1:11" x14ac:dyDescent="0.25">
      <c r="A129" s="11" t="s">
        <v>143</v>
      </c>
      <c r="B129" s="12" t="s">
        <v>22</v>
      </c>
      <c r="C129" s="13">
        <v>25</v>
      </c>
      <c r="D129" s="13">
        <v>167</v>
      </c>
      <c r="E129" s="13">
        <v>144</v>
      </c>
      <c r="F129" s="13">
        <v>165</v>
      </c>
      <c r="G129" s="13">
        <v>22</v>
      </c>
      <c r="H129" s="13">
        <v>0</v>
      </c>
      <c r="I129" s="13">
        <v>2</v>
      </c>
      <c r="J129" s="14">
        <v>4</v>
      </c>
      <c r="K129" t="str">
        <f t="shared" si="1"/>
        <v/>
      </c>
    </row>
    <row r="130" spans="1:11" x14ac:dyDescent="0.25">
      <c r="A130" s="7" t="s">
        <v>144</v>
      </c>
      <c r="B130" s="8" t="s">
        <v>22</v>
      </c>
      <c r="C130" s="9">
        <v>27</v>
      </c>
      <c r="D130" s="9">
        <v>236</v>
      </c>
      <c r="E130" s="9">
        <v>272</v>
      </c>
      <c r="F130" s="9">
        <v>272</v>
      </c>
      <c r="G130" s="9">
        <v>22</v>
      </c>
      <c r="H130" s="9">
        <v>10</v>
      </c>
      <c r="I130" s="9">
        <v>4</v>
      </c>
      <c r="J130" s="10">
        <v>12</v>
      </c>
      <c r="K130" t="str">
        <f t="shared" si="1"/>
        <v/>
      </c>
    </row>
    <row r="131" spans="1:11" x14ac:dyDescent="0.25">
      <c r="A131" s="11" t="s">
        <v>145</v>
      </c>
      <c r="B131" s="12" t="s">
        <v>11</v>
      </c>
      <c r="C131" s="13">
        <v>14</v>
      </c>
      <c r="D131" s="13">
        <v>0</v>
      </c>
      <c r="E131" s="13">
        <v>2</v>
      </c>
      <c r="F131" s="13">
        <v>0</v>
      </c>
      <c r="G131" s="13">
        <v>0</v>
      </c>
      <c r="H131" s="13">
        <v>0</v>
      </c>
      <c r="I131" s="13">
        <v>0</v>
      </c>
      <c r="J131" s="14">
        <v>0</v>
      </c>
      <c r="K131" t="str">
        <f t="shared" ref="K131:K139" si="2">IF(SUM(H131,D131)&gt;SUM(E131,F131,I131,J131),A131,"")</f>
        <v/>
      </c>
    </row>
    <row r="132" spans="1:11" x14ac:dyDescent="0.25">
      <c r="A132" s="7" t="s">
        <v>146</v>
      </c>
      <c r="B132" s="8" t="s">
        <v>22</v>
      </c>
      <c r="C132" s="9">
        <v>26</v>
      </c>
      <c r="D132" s="9">
        <v>198</v>
      </c>
      <c r="E132" s="9">
        <v>166</v>
      </c>
      <c r="F132" s="9">
        <v>185</v>
      </c>
      <c r="G132" s="9">
        <v>22</v>
      </c>
      <c r="H132" s="9">
        <v>37</v>
      </c>
      <c r="I132" s="9">
        <v>34</v>
      </c>
      <c r="J132" s="10">
        <v>43</v>
      </c>
      <c r="K132" t="str">
        <f t="shared" si="2"/>
        <v/>
      </c>
    </row>
    <row r="133" spans="1:11" x14ac:dyDescent="0.25">
      <c r="A133" s="11" t="s">
        <v>147</v>
      </c>
      <c r="B133" s="12" t="s">
        <v>22</v>
      </c>
      <c r="C133" s="13">
        <v>1</v>
      </c>
      <c r="D133" s="13">
        <v>45</v>
      </c>
      <c r="E133" s="13">
        <v>38</v>
      </c>
      <c r="F133" s="13">
        <v>29</v>
      </c>
      <c r="G133" s="13">
        <v>1</v>
      </c>
      <c r="H133" s="13">
        <v>9</v>
      </c>
      <c r="I133" s="13">
        <v>6</v>
      </c>
      <c r="J133" s="14">
        <v>8</v>
      </c>
      <c r="K133" t="str">
        <f t="shared" si="2"/>
        <v/>
      </c>
    </row>
    <row r="134" spans="1:11" x14ac:dyDescent="0.25">
      <c r="A134" s="7" t="s">
        <v>148</v>
      </c>
      <c r="B134" s="8" t="s">
        <v>13</v>
      </c>
      <c r="C134" s="9">
        <v>12</v>
      </c>
      <c r="D134" s="9">
        <v>0</v>
      </c>
      <c r="E134" s="9">
        <v>1</v>
      </c>
      <c r="F134" s="9">
        <v>0</v>
      </c>
      <c r="G134" s="9">
        <v>0</v>
      </c>
      <c r="H134" s="9">
        <v>0</v>
      </c>
      <c r="I134" s="9">
        <v>0</v>
      </c>
      <c r="J134" s="10">
        <v>0</v>
      </c>
      <c r="K134" t="str">
        <f t="shared" si="2"/>
        <v/>
      </c>
    </row>
    <row r="135" spans="1:11" x14ac:dyDescent="0.25">
      <c r="A135" s="11" t="s">
        <v>149</v>
      </c>
      <c r="B135" s="12" t="s">
        <v>25</v>
      </c>
      <c r="C135" s="13">
        <v>11</v>
      </c>
      <c r="D135" s="13">
        <v>0</v>
      </c>
      <c r="E135" s="13">
        <v>1</v>
      </c>
      <c r="F135" s="13">
        <v>0</v>
      </c>
      <c r="G135" s="13">
        <v>7</v>
      </c>
      <c r="H135" s="13">
        <v>0</v>
      </c>
      <c r="I135" s="13">
        <v>0</v>
      </c>
      <c r="J135" s="14">
        <v>0</v>
      </c>
      <c r="K135" t="str">
        <f t="shared" si="2"/>
        <v/>
      </c>
    </row>
    <row r="136" spans="1:11" x14ac:dyDescent="0.25">
      <c r="A136" s="7" t="s">
        <v>150</v>
      </c>
      <c r="B136" s="8" t="s">
        <v>13</v>
      </c>
      <c r="C136" s="9">
        <v>12</v>
      </c>
      <c r="D136" s="9">
        <v>0</v>
      </c>
      <c r="E136" s="9">
        <v>1</v>
      </c>
      <c r="F136" s="9">
        <v>1</v>
      </c>
      <c r="G136" s="9">
        <v>0</v>
      </c>
      <c r="H136" s="9">
        <v>0</v>
      </c>
      <c r="I136" s="9">
        <v>0</v>
      </c>
      <c r="J136" s="10">
        <v>0</v>
      </c>
      <c r="K136" t="str">
        <f t="shared" si="2"/>
        <v/>
      </c>
    </row>
    <row r="137" spans="1:11" x14ac:dyDescent="0.25">
      <c r="A137" s="11" t="s">
        <v>151</v>
      </c>
      <c r="B137" s="12" t="s">
        <v>13</v>
      </c>
      <c r="C137" s="13">
        <v>12</v>
      </c>
      <c r="D137" s="13">
        <v>3</v>
      </c>
      <c r="E137" s="13">
        <v>4</v>
      </c>
      <c r="F137" s="13">
        <v>1</v>
      </c>
      <c r="G137" s="13">
        <v>1</v>
      </c>
      <c r="H137" s="13">
        <v>0</v>
      </c>
      <c r="I137" s="13">
        <v>0</v>
      </c>
      <c r="J137" s="14">
        <v>0</v>
      </c>
      <c r="K137" t="str">
        <f t="shared" si="2"/>
        <v/>
      </c>
    </row>
    <row r="138" spans="1:11" x14ac:dyDescent="0.25">
      <c r="A138" s="7" t="s">
        <v>152</v>
      </c>
      <c r="B138" s="8" t="s">
        <v>11</v>
      </c>
      <c r="C138" s="9">
        <v>8</v>
      </c>
      <c r="D138" s="9">
        <v>1</v>
      </c>
      <c r="E138" s="9">
        <v>0</v>
      </c>
      <c r="F138" s="9">
        <v>0</v>
      </c>
      <c r="G138" s="9">
        <v>0</v>
      </c>
      <c r="H138" s="9">
        <v>0</v>
      </c>
      <c r="I138" s="9">
        <v>0</v>
      </c>
      <c r="J138" s="10">
        <v>0</v>
      </c>
      <c r="K138" t="str">
        <f t="shared" si="2"/>
        <v>Zjednoczone Emiraty Arabskie</v>
      </c>
    </row>
    <row r="139" spans="1:11" x14ac:dyDescent="0.25">
      <c r="A139" s="15" t="s">
        <v>153</v>
      </c>
      <c r="B139" s="16" t="s">
        <v>22</v>
      </c>
      <c r="C139" s="2">
        <v>9</v>
      </c>
      <c r="D139" s="2">
        <v>395</v>
      </c>
      <c r="E139" s="2">
        <v>319</v>
      </c>
      <c r="F139" s="2">
        <v>296</v>
      </c>
      <c r="G139" s="2">
        <v>9</v>
      </c>
      <c r="H139" s="2">
        <v>78</v>
      </c>
      <c r="I139" s="2">
        <v>57</v>
      </c>
      <c r="J139" s="3">
        <v>59</v>
      </c>
      <c r="K139" t="str">
        <f t="shared" si="2"/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D13E6-A50D-41A1-A4D8-37A80E09D7A3}">
  <dimension ref="A1:P139"/>
  <sheetViews>
    <sheetView workbookViewId="0">
      <selection activeCell="P12" sqref="P12"/>
    </sheetView>
  </sheetViews>
  <sheetFormatPr defaultRowHeight="15" x14ac:dyDescent="0.25"/>
  <cols>
    <col min="1" max="1" width="37.5703125" bestFit="1" customWidth="1"/>
    <col min="2" max="2" width="13.28515625" bestFit="1" customWidth="1"/>
    <col min="3" max="3" width="11.85546875" bestFit="1" customWidth="1"/>
    <col min="4" max="4" width="7.7109375" bestFit="1" customWidth="1"/>
    <col min="5" max="5" width="10.140625" bestFit="1" customWidth="1"/>
    <col min="6" max="6" width="10.7109375" bestFit="1" customWidth="1"/>
    <col min="7" max="7" width="13.5703125" bestFit="1" customWidth="1"/>
    <col min="8" max="8" width="9.7109375" bestFit="1" customWidth="1"/>
    <col min="9" max="9" width="12.140625" bestFit="1" customWidth="1"/>
    <col min="10" max="10" width="12.7109375" bestFit="1" customWidth="1"/>
    <col min="13" max="13" width="17.7109375" bestFit="1" customWidth="1"/>
    <col min="14" max="14" width="23.7109375" bestFit="1" customWidth="1"/>
    <col min="15" max="15" width="23.7109375" customWidth="1"/>
    <col min="16" max="16" width="34.42578125" customWidth="1"/>
    <col min="17" max="23" width="2" bestFit="1" customWidth="1"/>
    <col min="24" max="53" width="3" bestFit="1" customWidth="1"/>
    <col min="54" max="86" width="4" bestFit="1" customWidth="1"/>
    <col min="87" max="88" width="5" bestFit="1" customWidth="1"/>
    <col min="89" max="89" width="14.28515625" bestFit="1" customWidth="1"/>
  </cols>
  <sheetData>
    <row r="1" spans="1:16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18" t="s">
        <v>160</v>
      </c>
    </row>
    <row r="2" spans="1:16" x14ac:dyDescent="0.25">
      <c r="A2" s="7" t="s">
        <v>10</v>
      </c>
      <c r="B2" s="8" t="s">
        <v>11</v>
      </c>
      <c r="C2" s="9">
        <v>13</v>
      </c>
      <c r="D2" s="9">
        <v>0</v>
      </c>
      <c r="E2" s="9">
        <v>0</v>
      </c>
      <c r="F2" s="9">
        <v>2</v>
      </c>
      <c r="G2" s="9">
        <v>0</v>
      </c>
      <c r="H2" s="9">
        <v>0</v>
      </c>
      <c r="I2" s="9">
        <v>0</v>
      </c>
      <c r="J2" s="10">
        <v>0</v>
      </c>
      <c r="K2">
        <f>SUM(D2:F2,H2:J2)</f>
        <v>2</v>
      </c>
    </row>
    <row r="3" spans="1:16" x14ac:dyDescent="0.25">
      <c r="A3" s="11" t="s">
        <v>12</v>
      </c>
      <c r="B3" s="12" t="s">
        <v>13</v>
      </c>
      <c r="C3" s="13">
        <v>12</v>
      </c>
      <c r="D3" s="13">
        <v>5</v>
      </c>
      <c r="E3" s="13">
        <v>2</v>
      </c>
      <c r="F3" s="13">
        <v>8</v>
      </c>
      <c r="G3" s="13">
        <v>3</v>
      </c>
      <c r="H3" s="13">
        <v>0</v>
      </c>
      <c r="I3" s="13">
        <v>0</v>
      </c>
      <c r="J3" s="14">
        <v>0</v>
      </c>
      <c r="K3">
        <f t="shared" ref="K3:K66" si="0">SUM(D3:F3,H3:J3)</f>
        <v>15</v>
      </c>
      <c r="M3" s="19" t="s">
        <v>156</v>
      </c>
      <c r="N3" t="s">
        <v>161</v>
      </c>
    </row>
    <row r="4" spans="1:16" x14ac:dyDescent="0.25">
      <c r="A4" s="7" t="s">
        <v>14</v>
      </c>
      <c r="B4" s="8" t="s">
        <v>15</v>
      </c>
      <c r="C4" s="9">
        <v>13</v>
      </c>
      <c r="D4" s="9">
        <v>0</v>
      </c>
      <c r="E4" s="9">
        <v>1</v>
      </c>
      <c r="F4" s="9">
        <v>0</v>
      </c>
      <c r="G4" s="9">
        <v>2</v>
      </c>
      <c r="H4" s="9">
        <v>0</v>
      </c>
      <c r="I4" s="9">
        <v>0</v>
      </c>
      <c r="J4" s="10">
        <v>0</v>
      </c>
      <c r="K4">
        <f t="shared" si="0"/>
        <v>1</v>
      </c>
      <c r="M4" s="20" t="s">
        <v>13</v>
      </c>
      <c r="N4" s="1">
        <v>86</v>
      </c>
      <c r="O4" s="1">
        <v>86</v>
      </c>
      <c r="P4" t="str">
        <f>_xlfn.XLOOKUP(O4,$K$2:$K$139,$A$2:$A$139,,0,1)</f>
        <v>Kenia</v>
      </c>
    </row>
    <row r="5" spans="1:16" x14ac:dyDescent="0.25">
      <c r="A5" s="11" t="s">
        <v>16</v>
      </c>
      <c r="B5" s="12" t="s">
        <v>11</v>
      </c>
      <c r="C5" s="13">
        <v>10</v>
      </c>
      <c r="D5" s="13">
        <v>0</v>
      </c>
      <c r="E5" s="13">
        <v>1</v>
      </c>
      <c r="F5" s="13">
        <v>2</v>
      </c>
      <c r="G5" s="13">
        <v>0</v>
      </c>
      <c r="H5" s="13">
        <v>0</v>
      </c>
      <c r="I5" s="13">
        <v>0</v>
      </c>
      <c r="J5" s="14">
        <v>0</v>
      </c>
      <c r="K5">
        <f t="shared" si="0"/>
        <v>3</v>
      </c>
      <c r="M5" s="20" t="s">
        <v>15</v>
      </c>
      <c r="N5" s="1">
        <v>108</v>
      </c>
      <c r="O5" s="1">
        <v>108</v>
      </c>
      <c r="P5" t="str">
        <f t="shared" ref="P5:P10" si="1">_xlfn.XLOOKUP(O5,$K$2:$K$139,$A$2:$A$139,,0,1)</f>
        <v>Brazylia</v>
      </c>
    </row>
    <row r="6" spans="1:16" x14ac:dyDescent="0.25">
      <c r="A6" s="7" t="s">
        <v>17</v>
      </c>
      <c r="B6" s="8" t="s">
        <v>15</v>
      </c>
      <c r="C6" s="9">
        <v>23</v>
      </c>
      <c r="D6" s="9">
        <v>18</v>
      </c>
      <c r="E6" s="9">
        <v>24</v>
      </c>
      <c r="F6" s="9">
        <v>28</v>
      </c>
      <c r="G6" s="9">
        <v>18</v>
      </c>
      <c r="H6" s="9">
        <v>0</v>
      </c>
      <c r="I6" s="9">
        <v>0</v>
      </c>
      <c r="J6" s="10">
        <v>0</v>
      </c>
      <c r="K6">
        <f t="shared" si="0"/>
        <v>70</v>
      </c>
      <c r="M6" s="20" t="s">
        <v>25</v>
      </c>
      <c r="N6" s="1">
        <v>2681</v>
      </c>
      <c r="O6" s="1">
        <v>2681</v>
      </c>
      <c r="P6" t="str">
        <f t="shared" si="1"/>
        <v>StanyZjednoczone</v>
      </c>
    </row>
    <row r="7" spans="1:16" x14ac:dyDescent="0.25">
      <c r="A7" s="11" t="s">
        <v>18</v>
      </c>
      <c r="B7" s="12" t="s">
        <v>11</v>
      </c>
      <c r="C7" s="13">
        <v>5</v>
      </c>
      <c r="D7" s="13">
        <v>1</v>
      </c>
      <c r="E7" s="13">
        <v>2</v>
      </c>
      <c r="F7" s="13">
        <v>9</v>
      </c>
      <c r="G7" s="13">
        <v>6</v>
      </c>
      <c r="H7" s="13">
        <v>0</v>
      </c>
      <c r="I7" s="13">
        <v>0</v>
      </c>
      <c r="J7" s="14">
        <v>0</v>
      </c>
      <c r="K7">
        <f t="shared" si="0"/>
        <v>12</v>
      </c>
      <c r="M7" s="20" t="s">
        <v>20</v>
      </c>
      <c r="N7" s="1">
        <v>480</v>
      </c>
      <c r="O7" s="1">
        <v>480</v>
      </c>
      <c r="P7" t="str">
        <f t="shared" si="1"/>
        <v>Australia</v>
      </c>
    </row>
    <row r="8" spans="1:16" x14ac:dyDescent="0.25">
      <c r="A8" s="7" t="s">
        <v>19</v>
      </c>
      <c r="B8" s="8" t="s">
        <v>20</v>
      </c>
      <c r="C8" s="9">
        <v>25</v>
      </c>
      <c r="D8" s="9">
        <v>138</v>
      </c>
      <c r="E8" s="9">
        <v>153</v>
      </c>
      <c r="F8" s="9">
        <v>177</v>
      </c>
      <c r="G8" s="9">
        <v>18</v>
      </c>
      <c r="H8" s="9">
        <v>5</v>
      </c>
      <c r="I8" s="9">
        <v>3</v>
      </c>
      <c r="J8" s="10">
        <v>4</v>
      </c>
      <c r="K8">
        <f t="shared" si="0"/>
        <v>480</v>
      </c>
      <c r="M8" s="20" t="s">
        <v>11</v>
      </c>
      <c r="N8" s="1">
        <v>526</v>
      </c>
      <c r="O8" s="1">
        <v>526</v>
      </c>
      <c r="P8" t="str">
        <f t="shared" si="1"/>
        <v>Chiny</v>
      </c>
    </row>
    <row r="9" spans="1:16" x14ac:dyDescent="0.25">
      <c r="A9" s="11" t="s">
        <v>21</v>
      </c>
      <c r="B9" s="12" t="s">
        <v>22</v>
      </c>
      <c r="C9" s="13">
        <v>26</v>
      </c>
      <c r="D9" s="13">
        <v>18</v>
      </c>
      <c r="E9" s="13">
        <v>33</v>
      </c>
      <c r="F9" s="13">
        <v>35</v>
      </c>
      <c r="G9" s="13">
        <v>22</v>
      </c>
      <c r="H9" s="13">
        <v>59</v>
      </c>
      <c r="I9" s="13">
        <v>78</v>
      </c>
      <c r="J9" s="14">
        <v>81</v>
      </c>
      <c r="K9">
        <f t="shared" si="0"/>
        <v>304</v>
      </c>
      <c r="M9" s="20" t="s">
        <v>22</v>
      </c>
      <c r="N9" s="1">
        <v>1204</v>
      </c>
      <c r="O9" s="1">
        <v>1204</v>
      </c>
      <c r="P9" t="str">
        <f t="shared" si="1"/>
        <v>ZSRR</v>
      </c>
    </row>
    <row r="10" spans="1:16" x14ac:dyDescent="0.25">
      <c r="A10" s="7" t="s">
        <v>23</v>
      </c>
      <c r="B10" s="8" t="s">
        <v>11</v>
      </c>
      <c r="C10" s="9">
        <v>5</v>
      </c>
      <c r="D10" s="9">
        <v>6</v>
      </c>
      <c r="E10" s="9">
        <v>5</v>
      </c>
      <c r="F10" s="9">
        <v>15</v>
      </c>
      <c r="G10" s="9">
        <v>5</v>
      </c>
      <c r="H10" s="9">
        <v>0</v>
      </c>
      <c r="I10" s="9">
        <v>0</v>
      </c>
      <c r="J10" s="10">
        <v>0</v>
      </c>
      <c r="K10">
        <f t="shared" si="0"/>
        <v>26</v>
      </c>
      <c r="M10" s="20" t="s">
        <v>157</v>
      </c>
      <c r="N10" s="1">
        <v>2681</v>
      </c>
      <c r="O10" s="1"/>
      <c r="P10" t="e">
        <f t="shared" si="1"/>
        <v>#N/A</v>
      </c>
    </row>
    <row r="11" spans="1:16" x14ac:dyDescent="0.25">
      <c r="A11" s="11" t="s">
        <v>24</v>
      </c>
      <c r="B11" s="12" t="s">
        <v>25</v>
      </c>
      <c r="C11" s="13">
        <v>15</v>
      </c>
      <c r="D11" s="13">
        <v>5</v>
      </c>
      <c r="E11" s="13">
        <v>2</v>
      </c>
      <c r="F11" s="13">
        <v>5</v>
      </c>
      <c r="G11" s="13">
        <v>0</v>
      </c>
      <c r="H11" s="13">
        <v>0</v>
      </c>
      <c r="I11" s="13">
        <v>0</v>
      </c>
      <c r="J11" s="14">
        <v>0</v>
      </c>
      <c r="K11">
        <f t="shared" si="0"/>
        <v>12</v>
      </c>
    </row>
    <row r="12" spans="1:16" x14ac:dyDescent="0.25">
      <c r="A12" s="7" t="s">
        <v>26</v>
      </c>
      <c r="B12" s="8" t="s">
        <v>11</v>
      </c>
      <c r="C12" s="9">
        <v>8</v>
      </c>
      <c r="D12" s="9">
        <v>0</v>
      </c>
      <c r="E12" s="9">
        <v>0</v>
      </c>
      <c r="F12" s="9">
        <v>1</v>
      </c>
      <c r="G12" s="9">
        <v>0</v>
      </c>
      <c r="H12" s="9">
        <v>0</v>
      </c>
      <c r="I12" s="9">
        <v>0</v>
      </c>
      <c r="J12" s="10">
        <v>0</v>
      </c>
      <c r="K12">
        <f t="shared" si="0"/>
        <v>1</v>
      </c>
    </row>
    <row r="13" spans="1:16" x14ac:dyDescent="0.25">
      <c r="A13" s="11" t="s">
        <v>27</v>
      </c>
      <c r="B13" s="12" t="s">
        <v>25</v>
      </c>
      <c r="C13" s="13">
        <v>11</v>
      </c>
      <c r="D13" s="13">
        <v>0</v>
      </c>
      <c r="E13" s="13">
        <v>0</v>
      </c>
      <c r="F13" s="13">
        <v>1</v>
      </c>
      <c r="G13" s="13">
        <v>0</v>
      </c>
      <c r="H13" s="13">
        <v>0</v>
      </c>
      <c r="I13" s="13">
        <v>0</v>
      </c>
      <c r="J13" s="14">
        <v>0</v>
      </c>
      <c r="K13">
        <f t="shared" si="0"/>
        <v>1</v>
      </c>
    </row>
    <row r="14" spans="1:16" x14ac:dyDescent="0.25">
      <c r="A14" s="7" t="s">
        <v>28</v>
      </c>
      <c r="B14" s="8" t="s">
        <v>22</v>
      </c>
      <c r="C14" s="9">
        <v>25</v>
      </c>
      <c r="D14" s="9">
        <v>37</v>
      </c>
      <c r="E14" s="9">
        <v>52</v>
      </c>
      <c r="F14" s="9">
        <v>53</v>
      </c>
      <c r="G14" s="9">
        <v>20</v>
      </c>
      <c r="H14" s="9">
        <v>1</v>
      </c>
      <c r="I14" s="9">
        <v>1</v>
      </c>
      <c r="J14" s="10">
        <v>3</v>
      </c>
      <c r="K14">
        <f t="shared" si="0"/>
        <v>147</v>
      </c>
    </row>
    <row r="15" spans="1:16" x14ac:dyDescent="0.25">
      <c r="A15" s="11" t="s">
        <v>29</v>
      </c>
      <c r="B15" s="12" t="s">
        <v>25</v>
      </c>
      <c r="C15" s="13">
        <v>17</v>
      </c>
      <c r="D15" s="13">
        <v>0</v>
      </c>
      <c r="E15" s="13">
        <v>0</v>
      </c>
      <c r="F15" s="13">
        <v>1</v>
      </c>
      <c r="G15" s="13">
        <v>7</v>
      </c>
      <c r="H15" s="13">
        <v>0</v>
      </c>
      <c r="I15" s="13">
        <v>0</v>
      </c>
      <c r="J15" s="14">
        <v>0</v>
      </c>
      <c r="K15">
        <f t="shared" si="0"/>
        <v>1</v>
      </c>
    </row>
    <row r="16" spans="1:16" x14ac:dyDescent="0.25">
      <c r="A16" s="7" t="s">
        <v>30</v>
      </c>
      <c r="B16" s="8" t="s">
        <v>22</v>
      </c>
      <c r="C16" s="9">
        <v>5</v>
      </c>
      <c r="D16" s="9">
        <v>12</v>
      </c>
      <c r="E16" s="9">
        <v>24</v>
      </c>
      <c r="F16" s="9">
        <v>40</v>
      </c>
      <c r="G16" s="9">
        <v>6</v>
      </c>
      <c r="H16" s="9">
        <v>6</v>
      </c>
      <c r="I16" s="9">
        <v>4</v>
      </c>
      <c r="J16" s="10">
        <v>5</v>
      </c>
      <c r="K16">
        <f t="shared" si="0"/>
        <v>91</v>
      </c>
    </row>
    <row r="17" spans="1:11" x14ac:dyDescent="0.25">
      <c r="A17" s="11" t="s">
        <v>31</v>
      </c>
      <c r="B17" s="12" t="s">
        <v>11</v>
      </c>
      <c r="C17" s="13">
        <v>9</v>
      </c>
      <c r="D17" s="13">
        <v>0</v>
      </c>
      <c r="E17" s="13">
        <v>1</v>
      </c>
      <c r="F17" s="13">
        <v>0</v>
      </c>
      <c r="G17" s="13">
        <v>0</v>
      </c>
      <c r="H17" s="13">
        <v>0</v>
      </c>
      <c r="I17" s="13">
        <v>0</v>
      </c>
      <c r="J17" s="14">
        <v>0</v>
      </c>
      <c r="K17">
        <f t="shared" si="0"/>
        <v>1</v>
      </c>
    </row>
    <row r="18" spans="1:11" x14ac:dyDescent="0.25">
      <c r="A18" s="7" t="s">
        <v>32</v>
      </c>
      <c r="B18" s="8" t="s">
        <v>15</v>
      </c>
      <c r="C18" s="9">
        <v>21</v>
      </c>
      <c r="D18" s="9">
        <v>23</v>
      </c>
      <c r="E18" s="9">
        <v>30</v>
      </c>
      <c r="F18" s="9">
        <v>55</v>
      </c>
      <c r="G18" s="9">
        <v>7</v>
      </c>
      <c r="H18" s="9">
        <v>0</v>
      </c>
      <c r="I18" s="9">
        <v>0</v>
      </c>
      <c r="J18" s="10">
        <v>0</v>
      </c>
      <c r="K18">
        <f t="shared" si="0"/>
        <v>108</v>
      </c>
    </row>
    <row r="19" spans="1:11" x14ac:dyDescent="0.25">
      <c r="A19" s="11" t="s">
        <v>33</v>
      </c>
      <c r="B19" s="12" t="s">
        <v>22</v>
      </c>
      <c r="C19" s="13">
        <v>19</v>
      </c>
      <c r="D19" s="13">
        <v>51</v>
      </c>
      <c r="E19" s="13">
        <v>85</v>
      </c>
      <c r="F19" s="13">
        <v>78</v>
      </c>
      <c r="G19" s="13">
        <v>19</v>
      </c>
      <c r="H19" s="13">
        <v>1</v>
      </c>
      <c r="I19" s="13">
        <v>2</v>
      </c>
      <c r="J19" s="14">
        <v>3</v>
      </c>
      <c r="K19">
        <f t="shared" si="0"/>
        <v>220</v>
      </c>
    </row>
    <row r="20" spans="1:11" x14ac:dyDescent="0.25">
      <c r="A20" s="7" t="s">
        <v>34</v>
      </c>
      <c r="B20" s="8" t="s">
        <v>13</v>
      </c>
      <c r="C20" s="9">
        <v>5</v>
      </c>
      <c r="D20" s="9">
        <v>1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10">
        <v>0</v>
      </c>
      <c r="K20">
        <f t="shared" si="0"/>
        <v>1</v>
      </c>
    </row>
    <row r="21" spans="1:11" x14ac:dyDescent="0.25">
      <c r="A21" s="11" t="s">
        <v>35</v>
      </c>
      <c r="B21" s="12" t="s">
        <v>15</v>
      </c>
      <c r="C21" s="13">
        <v>22</v>
      </c>
      <c r="D21" s="13">
        <v>2</v>
      </c>
      <c r="E21" s="13">
        <v>7</v>
      </c>
      <c r="F21" s="13">
        <v>4</v>
      </c>
      <c r="G21" s="13">
        <v>16</v>
      </c>
      <c r="H21" s="13">
        <v>0</v>
      </c>
      <c r="I21" s="13">
        <v>0</v>
      </c>
      <c r="J21" s="14">
        <v>0</v>
      </c>
      <c r="K21">
        <f t="shared" si="0"/>
        <v>13</v>
      </c>
    </row>
    <row r="22" spans="1:11" x14ac:dyDescent="0.25">
      <c r="A22" s="7" t="s">
        <v>36</v>
      </c>
      <c r="B22" s="8" t="s">
        <v>11</v>
      </c>
      <c r="C22" s="9">
        <v>9</v>
      </c>
      <c r="D22" s="9">
        <v>201</v>
      </c>
      <c r="E22" s="9">
        <v>144</v>
      </c>
      <c r="F22" s="9">
        <v>128</v>
      </c>
      <c r="G22" s="9">
        <v>10</v>
      </c>
      <c r="H22" s="9">
        <v>12</v>
      </c>
      <c r="I22" s="9">
        <v>22</v>
      </c>
      <c r="J22" s="10">
        <v>19</v>
      </c>
      <c r="K22">
        <f t="shared" si="0"/>
        <v>526</v>
      </c>
    </row>
    <row r="23" spans="1:11" x14ac:dyDescent="0.25">
      <c r="A23" s="11" t="s">
        <v>37</v>
      </c>
      <c r="B23" s="12" t="s">
        <v>22</v>
      </c>
      <c r="C23" s="13">
        <v>6</v>
      </c>
      <c r="D23" s="13">
        <v>6</v>
      </c>
      <c r="E23" s="13">
        <v>7</v>
      </c>
      <c r="F23" s="13">
        <v>10</v>
      </c>
      <c r="G23" s="13">
        <v>7</v>
      </c>
      <c r="H23" s="13">
        <v>4</v>
      </c>
      <c r="I23" s="13">
        <v>6</v>
      </c>
      <c r="J23" s="14">
        <v>1</v>
      </c>
      <c r="K23">
        <f t="shared" si="0"/>
        <v>34</v>
      </c>
    </row>
    <row r="24" spans="1:11" x14ac:dyDescent="0.25">
      <c r="A24" s="7" t="s">
        <v>38</v>
      </c>
      <c r="B24" s="8" t="s">
        <v>22</v>
      </c>
      <c r="C24" s="9">
        <v>9</v>
      </c>
      <c r="D24" s="9">
        <v>0</v>
      </c>
      <c r="E24" s="9">
        <v>1</v>
      </c>
      <c r="F24" s="9">
        <v>0</v>
      </c>
      <c r="G24" s="9">
        <v>10</v>
      </c>
      <c r="H24" s="9">
        <v>0</v>
      </c>
      <c r="I24" s="9">
        <v>0</v>
      </c>
      <c r="J24" s="10">
        <v>0</v>
      </c>
      <c r="K24">
        <f t="shared" si="0"/>
        <v>1</v>
      </c>
    </row>
    <row r="25" spans="1:11" x14ac:dyDescent="0.25">
      <c r="A25" s="11" t="s">
        <v>39</v>
      </c>
      <c r="B25" s="12" t="s">
        <v>22</v>
      </c>
      <c r="C25" s="13">
        <v>2</v>
      </c>
      <c r="D25" s="13">
        <v>0</v>
      </c>
      <c r="E25" s="13">
        <v>1</v>
      </c>
      <c r="F25" s="13">
        <v>0</v>
      </c>
      <c r="G25" s="13">
        <v>2</v>
      </c>
      <c r="H25" s="13">
        <v>0</v>
      </c>
      <c r="I25" s="13">
        <v>0</v>
      </c>
      <c r="J25" s="14">
        <v>0</v>
      </c>
      <c r="K25">
        <f t="shared" si="0"/>
        <v>1</v>
      </c>
    </row>
    <row r="26" spans="1:11" x14ac:dyDescent="0.25">
      <c r="A26" s="7" t="s">
        <v>40</v>
      </c>
      <c r="B26" s="8" t="s">
        <v>22</v>
      </c>
      <c r="C26" s="9">
        <v>16</v>
      </c>
      <c r="D26" s="9">
        <v>49</v>
      </c>
      <c r="E26" s="9">
        <v>49</v>
      </c>
      <c r="F26" s="9">
        <v>45</v>
      </c>
      <c r="G26" s="9">
        <v>16</v>
      </c>
      <c r="H26" s="9">
        <v>2</v>
      </c>
      <c r="I26" s="9">
        <v>8</v>
      </c>
      <c r="J26" s="10">
        <v>15</v>
      </c>
      <c r="K26">
        <f t="shared" si="0"/>
        <v>168</v>
      </c>
    </row>
    <row r="27" spans="1:11" x14ac:dyDescent="0.25">
      <c r="A27" s="11" t="s">
        <v>41</v>
      </c>
      <c r="B27" s="12" t="s">
        <v>22</v>
      </c>
      <c r="C27" s="13">
        <v>5</v>
      </c>
      <c r="D27" s="13">
        <v>14</v>
      </c>
      <c r="E27" s="13">
        <v>15</v>
      </c>
      <c r="F27" s="13">
        <v>15</v>
      </c>
      <c r="G27" s="13">
        <v>6</v>
      </c>
      <c r="H27" s="13">
        <v>7</v>
      </c>
      <c r="I27" s="13">
        <v>9</v>
      </c>
      <c r="J27" s="14">
        <v>8</v>
      </c>
      <c r="K27">
        <f t="shared" si="0"/>
        <v>68</v>
      </c>
    </row>
    <row r="28" spans="1:11" x14ac:dyDescent="0.25">
      <c r="A28" s="7" t="s">
        <v>42</v>
      </c>
      <c r="B28" s="8" t="s">
        <v>22</v>
      </c>
      <c r="C28" s="9">
        <v>26</v>
      </c>
      <c r="D28" s="9">
        <v>43</v>
      </c>
      <c r="E28" s="9">
        <v>68</v>
      </c>
      <c r="F28" s="9">
        <v>68</v>
      </c>
      <c r="G28" s="9">
        <v>13</v>
      </c>
      <c r="H28" s="9">
        <v>0</v>
      </c>
      <c r="I28" s="9">
        <v>1</v>
      </c>
      <c r="J28" s="10">
        <v>0</v>
      </c>
      <c r="K28">
        <f t="shared" si="0"/>
        <v>180</v>
      </c>
    </row>
    <row r="29" spans="1:11" x14ac:dyDescent="0.25">
      <c r="A29" s="11" t="s">
        <v>43</v>
      </c>
      <c r="B29" s="12" t="s">
        <v>25</v>
      </c>
      <c r="C29" s="13">
        <v>13</v>
      </c>
      <c r="D29" s="13">
        <v>3</v>
      </c>
      <c r="E29" s="13">
        <v>2</v>
      </c>
      <c r="F29" s="13">
        <v>1</v>
      </c>
      <c r="G29" s="13">
        <v>0</v>
      </c>
      <c r="H29" s="13">
        <v>0</v>
      </c>
      <c r="I29" s="13">
        <v>0</v>
      </c>
      <c r="J29" s="14">
        <v>0</v>
      </c>
      <c r="K29">
        <f t="shared" si="0"/>
        <v>6</v>
      </c>
    </row>
    <row r="30" spans="1:11" x14ac:dyDescent="0.25">
      <c r="A30" s="7" t="s">
        <v>44</v>
      </c>
      <c r="B30" s="8" t="s">
        <v>13</v>
      </c>
      <c r="C30" s="9">
        <v>7</v>
      </c>
      <c r="D30" s="9">
        <v>0</v>
      </c>
      <c r="E30" s="9">
        <v>0</v>
      </c>
      <c r="F30" s="9">
        <v>1</v>
      </c>
      <c r="G30" s="9">
        <v>0</v>
      </c>
      <c r="H30" s="9">
        <v>0</v>
      </c>
      <c r="I30" s="9">
        <v>0</v>
      </c>
      <c r="J30" s="10">
        <v>0</v>
      </c>
      <c r="K30">
        <f t="shared" si="0"/>
        <v>1</v>
      </c>
    </row>
    <row r="31" spans="1:11" x14ac:dyDescent="0.25">
      <c r="A31" s="11" t="s">
        <v>45</v>
      </c>
      <c r="B31" s="12" t="s">
        <v>13</v>
      </c>
      <c r="C31" s="13">
        <v>21</v>
      </c>
      <c r="D31" s="13">
        <v>7</v>
      </c>
      <c r="E31" s="13">
        <v>9</v>
      </c>
      <c r="F31" s="13">
        <v>10</v>
      </c>
      <c r="G31" s="13">
        <v>1</v>
      </c>
      <c r="H31" s="13">
        <v>0</v>
      </c>
      <c r="I31" s="13">
        <v>0</v>
      </c>
      <c r="J31" s="14">
        <v>0</v>
      </c>
      <c r="K31">
        <f t="shared" si="0"/>
        <v>26</v>
      </c>
    </row>
    <row r="32" spans="1:11" x14ac:dyDescent="0.25">
      <c r="A32" s="7" t="s">
        <v>46</v>
      </c>
      <c r="B32" s="8" t="s">
        <v>15</v>
      </c>
      <c r="C32" s="9">
        <v>13</v>
      </c>
      <c r="D32" s="9">
        <v>1</v>
      </c>
      <c r="E32" s="9">
        <v>1</v>
      </c>
      <c r="F32" s="9">
        <v>0</v>
      </c>
      <c r="G32" s="9">
        <v>0</v>
      </c>
      <c r="H32" s="9">
        <v>0</v>
      </c>
      <c r="I32" s="9">
        <v>0</v>
      </c>
      <c r="J32" s="10">
        <v>0</v>
      </c>
      <c r="K32">
        <f t="shared" si="0"/>
        <v>2</v>
      </c>
    </row>
    <row r="33" spans="1:11" x14ac:dyDescent="0.25">
      <c r="A33" s="11" t="s">
        <v>47</v>
      </c>
      <c r="B33" s="12" t="s">
        <v>13</v>
      </c>
      <c r="C33" s="13">
        <v>4</v>
      </c>
      <c r="D33" s="13">
        <v>0</v>
      </c>
      <c r="E33" s="13">
        <v>0</v>
      </c>
      <c r="F33" s="13">
        <v>1</v>
      </c>
      <c r="G33" s="13">
        <v>0</v>
      </c>
      <c r="H33" s="13">
        <v>0</v>
      </c>
      <c r="I33" s="13">
        <v>0</v>
      </c>
      <c r="J33" s="14">
        <v>0</v>
      </c>
      <c r="K33">
        <f t="shared" si="0"/>
        <v>1</v>
      </c>
    </row>
    <row r="34" spans="1:11" x14ac:dyDescent="0.25">
      <c r="A34" s="7" t="s">
        <v>48</v>
      </c>
      <c r="B34" s="8" t="s">
        <v>22</v>
      </c>
      <c r="C34" s="9">
        <v>11</v>
      </c>
      <c r="D34" s="9">
        <v>9</v>
      </c>
      <c r="E34" s="9">
        <v>9</v>
      </c>
      <c r="F34" s="9">
        <v>15</v>
      </c>
      <c r="G34" s="9">
        <v>9</v>
      </c>
      <c r="H34" s="9">
        <v>4</v>
      </c>
      <c r="I34" s="9">
        <v>2</v>
      </c>
      <c r="J34" s="10">
        <v>1</v>
      </c>
      <c r="K34">
        <f t="shared" si="0"/>
        <v>40</v>
      </c>
    </row>
    <row r="35" spans="1:11" x14ac:dyDescent="0.25">
      <c r="A35" s="11" t="s">
        <v>49</v>
      </c>
      <c r="B35" s="12" t="s">
        <v>13</v>
      </c>
      <c r="C35" s="13">
        <v>12</v>
      </c>
      <c r="D35" s="13">
        <v>21</v>
      </c>
      <c r="E35" s="13">
        <v>7</v>
      </c>
      <c r="F35" s="13">
        <v>17</v>
      </c>
      <c r="G35" s="13">
        <v>2</v>
      </c>
      <c r="H35" s="13">
        <v>0</v>
      </c>
      <c r="I35" s="13">
        <v>0</v>
      </c>
      <c r="J35" s="14">
        <v>0</v>
      </c>
      <c r="K35">
        <f t="shared" si="0"/>
        <v>45</v>
      </c>
    </row>
    <row r="36" spans="1:11" x14ac:dyDescent="0.25">
      <c r="A36" s="7" t="s">
        <v>50</v>
      </c>
      <c r="B36" s="8" t="s">
        <v>11</v>
      </c>
      <c r="C36" s="9">
        <v>20</v>
      </c>
      <c r="D36" s="9">
        <v>0</v>
      </c>
      <c r="E36" s="9">
        <v>2</v>
      </c>
      <c r="F36" s="9">
        <v>7</v>
      </c>
      <c r="G36" s="9">
        <v>4</v>
      </c>
      <c r="H36" s="9">
        <v>0</v>
      </c>
      <c r="I36" s="9">
        <v>0</v>
      </c>
      <c r="J36" s="10">
        <v>0</v>
      </c>
      <c r="K36">
        <f t="shared" si="0"/>
        <v>9</v>
      </c>
    </row>
    <row r="37" spans="1:11" x14ac:dyDescent="0.25">
      <c r="A37" s="11" t="s">
        <v>51</v>
      </c>
      <c r="B37" s="12" t="s">
        <v>22</v>
      </c>
      <c r="C37" s="13">
        <v>24</v>
      </c>
      <c r="D37" s="13">
        <v>101</v>
      </c>
      <c r="E37" s="13">
        <v>84</v>
      </c>
      <c r="F37" s="13">
        <v>117</v>
      </c>
      <c r="G37" s="13">
        <v>22</v>
      </c>
      <c r="H37" s="13">
        <v>42</v>
      </c>
      <c r="I37" s="13">
        <v>62</v>
      </c>
      <c r="J37" s="14">
        <v>56</v>
      </c>
      <c r="K37">
        <f t="shared" si="0"/>
        <v>462</v>
      </c>
    </row>
    <row r="38" spans="1:11" x14ac:dyDescent="0.25">
      <c r="A38" s="7" t="s">
        <v>52</v>
      </c>
      <c r="B38" s="8" t="s">
        <v>22</v>
      </c>
      <c r="C38" s="9">
        <v>27</v>
      </c>
      <c r="D38" s="9">
        <v>202</v>
      </c>
      <c r="E38" s="9">
        <v>223</v>
      </c>
      <c r="F38" s="9">
        <v>246</v>
      </c>
      <c r="G38" s="9">
        <v>22</v>
      </c>
      <c r="H38" s="9">
        <v>31</v>
      </c>
      <c r="I38" s="9">
        <v>31</v>
      </c>
      <c r="J38" s="10">
        <v>47</v>
      </c>
      <c r="K38">
        <f t="shared" si="0"/>
        <v>780</v>
      </c>
    </row>
    <row r="39" spans="1:11" x14ac:dyDescent="0.25">
      <c r="A39" s="11" t="s">
        <v>53</v>
      </c>
      <c r="B39" s="12" t="s">
        <v>13</v>
      </c>
      <c r="C39" s="13">
        <v>9</v>
      </c>
      <c r="D39" s="13">
        <v>0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4">
        <v>0</v>
      </c>
      <c r="K39">
        <f t="shared" si="0"/>
        <v>1</v>
      </c>
    </row>
    <row r="40" spans="1:11" x14ac:dyDescent="0.25">
      <c r="A40" s="7" t="s">
        <v>54</v>
      </c>
      <c r="B40" s="8" t="s">
        <v>13</v>
      </c>
      <c r="C40" s="9">
        <v>13</v>
      </c>
      <c r="D40" s="9">
        <v>0</v>
      </c>
      <c r="E40" s="9">
        <v>1</v>
      </c>
      <c r="F40" s="9">
        <v>3</v>
      </c>
      <c r="G40" s="9">
        <v>1</v>
      </c>
      <c r="H40" s="9">
        <v>0</v>
      </c>
      <c r="I40" s="9">
        <v>0</v>
      </c>
      <c r="J40" s="10">
        <v>0</v>
      </c>
      <c r="K40">
        <f t="shared" si="0"/>
        <v>4</v>
      </c>
    </row>
    <row r="41" spans="1:11" x14ac:dyDescent="0.25">
      <c r="A41" s="11" t="s">
        <v>55</v>
      </c>
      <c r="B41" s="12" t="s">
        <v>22</v>
      </c>
      <c r="C41" s="13">
        <v>27</v>
      </c>
      <c r="D41" s="13">
        <v>30</v>
      </c>
      <c r="E41" s="13">
        <v>42</v>
      </c>
      <c r="F41" s="13">
        <v>38</v>
      </c>
      <c r="G41" s="13">
        <v>18</v>
      </c>
      <c r="H41" s="13">
        <v>0</v>
      </c>
      <c r="I41" s="13">
        <v>0</v>
      </c>
      <c r="J41" s="14">
        <v>0</v>
      </c>
      <c r="K41">
        <f t="shared" si="0"/>
        <v>110</v>
      </c>
    </row>
    <row r="42" spans="1:11" x14ac:dyDescent="0.25">
      <c r="A42" s="7" t="s">
        <v>56</v>
      </c>
      <c r="B42" s="8" t="s">
        <v>11</v>
      </c>
      <c r="C42" s="9">
        <v>5</v>
      </c>
      <c r="D42" s="9">
        <v>6</v>
      </c>
      <c r="E42" s="9">
        <v>5</v>
      </c>
      <c r="F42" s="9">
        <v>14</v>
      </c>
      <c r="G42" s="9">
        <v>6</v>
      </c>
      <c r="H42" s="9">
        <v>0</v>
      </c>
      <c r="I42" s="9">
        <v>0</v>
      </c>
      <c r="J42" s="10">
        <v>0</v>
      </c>
      <c r="K42">
        <f t="shared" si="0"/>
        <v>25</v>
      </c>
    </row>
    <row r="43" spans="1:11" x14ac:dyDescent="0.25">
      <c r="A43" s="11" t="s">
        <v>57</v>
      </c>
      <c r="B43" s="12" t="s">
        <v>15</v>
      </c>
      <c r="C43" s="13">
        <v>16</v>
      </c>
      <c r="D43" s="13">
        <v>0</v>
      </c>
      <c r="E43" s="13">
        <v>0</v>
      </c>
      <c r="F43" s="13">
        <v>1</v>
      </c>
      <c r="G43" s="13">
        <v>0</v>
      </c>
      <c r="H43" s="13">
        <v>0</v>
      </c>
      <c r="I43" s="13">
        <v>0</v>
      </c>
      <c r="J43" s="14">
        <v>0</v>
      </c>
      <c r="K43">
        <f t="shared" si="0"/>
        <v>1</v>
      </c>
    </row>
    <row r="44" spans="1:11" x14ac:dyDescent="0.25">
      <c r="A44" s="7" t="s">
        <v>58</v>
      </c>
      <c r="B44" s="8" t="s">
        <v>25</v>
      </c>
      <c r="C44" s="9">
        <v>14</v>
      </c>
      <c r="D44" s="9">
        <v>0</v>
      </c>
      <c r="E44" s="9">
        <v>1</v>
      </c>
      <c r="F44" s="9">
        <v>1</v>
      </c>
      <c r="G44" s="9">
        <v>0</v>
      </c>
      <c r="H44" s="9">
        <v>0</v>
      </c>
      <c r="I44" s="9">
        <v>0</v>
      </c>
      <c r="J44" s="10">
        <v>0</v>
      </c>
      <c r="K44">
        <f t="shared" si="0"/>
        <v>2</v>
      </c>
    </row>
    <row r="45" spans="1:11" x14ac:dyDescent="0.25">
      <c r="A45" s="11" t="s">
        <v>59</v>
      </c>
      <c r="B45" s="12" t="s">
        <v>22</v>
      </c>
      <c r="C45" s="13">
        <v>22</v>
      </c>
      <c r="D45" s="13">
        <v>37</v>
      </c>
      <c r="E45" s="13">
        <v>59</v>
      </c>
      <c r="F45" s="13">
        <v>35</v>
      </c>
      <c r="G45" s="13">
        <v>19</v>
      </c>
      <c r="H45" s="13">
        <v>1</v>
      </c>
      <c r="I45" s="13">
        <v>0</v>
      </c>
      <c r="J45" s="14">
        <v>1</v>
      </c>
      <c r="K45">
        <f t="shared" si="0"/>
        <v>133</v>
      </c>
    </row>
    <row r="46" spans="1:11" x14ac:dyDescent="0.25">
      <c r="A46" s="7" t="s">
        <v>60</v>
      </c>
      <c r="B46" s="8" t="s">
        <v>22</v>
      </c>
      <c r="C46" s="9">
        <v>25</v>
      </c>
      <c r="D46" s="9">
        <v>77</v>
      </c>
      <c r="E46" s="9">
        <v>85</v>
      </c>
      <c r="F46" s="9">
        <v>104</v>
      </c>
      <c r="G46" s="9">
        <v>20</v>
      </c>
      <c r="H46" s="9">
        <v>37</v>
      </c>
      <c r="I46" s="9">
        <v>38</v>
      </c>
      <c r="J46" s="10">
        <v>35</v>
      </c>
      <c r="K46">
        <f t="shared" si="0"/>
        <v>376</v>
      </c>
    </row>
    <row r="47" spans="1:11" x14ac:dyDescent="0.25">
      <c r="A47" s="11" t="s">
        <v>61</v>
      </c>
      <c r="B47" s="12" t="s">
        <v>11</v>
      </c>
      <c r="C47" s="13">
        <v>15</v>
      </c>
      <c r="D47" s="13">
        <v>1</v>
      </c>
      <c r="E47" s="13">
        <v>1</v>
      </c>
      <c r="F47" s="13">
        <v>1</v>
      </c>
      <c r="G47" s="13">
        <v>4</v>
      </c>
      <c r="H47" s="13">
        <v>0</v>
      </c>
      <c r="I47" s="13">
        <v>0</v>
      </c>
      <c r="J47" s="14">
        <v>0</v>
      </c>
      <c r="K47">
        <f t="shared" si="0"/>
        <v>3</v>
      </c>
    </row>
    <row r="48" spans="1:11" x14ac:dyDescent="0.25">
      <c r="A48" s="7" t="s">
        <v>62</v>
      </c>
      <c r="B48" s="8" t="s">
        <v>11</v>
      </c>
      <c r="C48" s="9">
        <v>23</v>
      </c>
      <c r="D48" s="9">
        <v>9</v>
      </c>
      <c r="E48" s="9">
        <v>6</v>
      </c>
      <c r="F48" s="9">
        <v>11</v>
      </c>
      <c r="G48" s="9">
        <v>9</v>
      </c>
      <c r="H48" s="9">
        <v>0</v>
      </c>
      <c r="I48" s="9">
        <v>0</v>
      </c>
      <c r="J48" s="10">
        <v>0</v>
      </c>
      <c r="K48">
        <f t="shared" si="0"/>
        <v>26</v>
      </c>
    </row>
    <row r="49" spans="1:11" x14ac:dyDescent="0.25">
      <c r="A49" s="11" t="s">
        <v>63</v>
      </c>
      <c r="B49" s="12" t="s">
        <v>11</v>
      </c>
      <c r="C49" s="13">
        <v>14</v>
      </c>
      <c r="D49" s="13">
        <v>6</v>
      </c>
      <c r="E49" s="13">
        <v>10</v>
      </c>
      <c r="F49" s="13">
        <v>11</v>
      </c>
      <c r="G49" s="13">
        <v>0</v>
      </c>
      <c r="H49" s="13">
        <v>0</v>
      </c>
      <c r="I49" s="13">
        <v>0</v>
      </c>
      <c r="J49" s="14">
        <v>0</v>
      </c>
      <c r="K49">
        <f t="shared" si="0"/>
        <v>27</v>
      </c>
    </row>
    <row r="50" spans="1:11" x14ac:dyDescent="0.25">
      <c r="A50" s="7" t="s">
        <v>64</v>
      </c>
      <c r="B50" s="8" t="s">
        <v>11</v>
      </c>
      <c r="C50" s="9">
        <v>13</v>
      </c>
      <c r="D50" s="9">
        <v>0</v>
      </c>
      <c r="E50" s="9">
        <v>0</v>
      </c>
      <c r="F50" s="9">
        <v>1</v>
      </c>
      <c r="G50" s="9">
        <v>0</v>
      </c>
      <c r="H50" s="9">
        <v>0</v>
      </c>
      <c r="I50" s="9">
        <v>0</v>
      </c>
      <c r="J50" s="10">
        <v>0</v>
      </c>
      <c r="K50">
        <f t="shared" si="0"/>
        <v>1</v>
      </c>
    </row>
    <row r="51" spans="1:11" x14ac:dyDescent="0.25">
      <c r="A51" s="11" t="s">
        <v>65</v>
      </c>
      <c r="B51" s="12" t="s">
        <v>11</v>
      </c>
      <c r="C51" s="13">
        <v>15</v>
      </c>
      <c r="D51" s="13">
        <v>15</v>
      </c>
      <c r="E51" s="13">
        <v>20</v>
      </c>
      <c r="F51" s="13">
        <v>25</v>
      </c>
      <c r="G51" s="13">
        <v>10</v>
      </c>
      <c r="H51" s="13">
        <v>0</v>
      </c>
      <c r="I51" s="13">
        <v>0</v>
      </c>
      <c r="J51" s="14">
        <v>0</v>
      </c>
      <c r="K51">
        <f t="shared" si="0"/>
        <v>60</v>
      </c>
    </row>
    <row r="52" spans="1:11" x14ac:dyDescent="0.25">
      <c r="A52" s="7" t="s">
        <v>66</v>
      </c>
      <c r="B52" s="8" t="s">
        <v>22</v>
      </c>
      <c r="C52" s="9">
        <v>20</v>
      </c>
      <c r="D52" s="9">
        <v>9</v>
      </c>
      <c r="E52" s="9">
        <v>8</v>
      </c>
      <c r="F52" s="9">
        <v>11</v>
      </c>
      <c r="G52" s="9">
        <v>6</v>
      </c>
      <c r="H52" s="9">
        <v>0</v>
      </c>
      <c r="I52" s="9">
        <v>0</v>
      </c>
      <c r="J52" s="10">
        <v>0</v>
      </c>
      <c r="K52">
        <f t="shared" si="0"/>
        <v>28</v>
      </c>
    </row>
    <row r="53" spans="1:11" x14ac:dyDescent="0.25">
      <c r="A53" s="11" t="s">
        <v>67</v>
      </c>
      <c r="B53" s="12" t="s">
        <v>22</v>
      </c>
      <c r="C53" s="13">
        <v>19</v>
      </c>
      <c r="D53" s="13">
        <v>0</v>
      </c>
      <c r="E53" s="13">
        <v>2</v>
      </c>
      <c r="F53" s="13">
        <v>2</v>
      </c>
      <c r="G53" s="13">
        <v>17</v>
      </c>
      <c r="H53" s="13">
        <v>0</v>
      </c>
      <c r="I53" s="13">
        <v>0</v>
      </c>
      <c r="J53" s="14">
        <v>0</v>
      </c>
      <c r="K53">
        <f t="shared" si="0"/>
        <v>4</v>
      </c>
    </row>
    <row r="54" spans="1:11" x14ac:dyDescent="0.25">
      <c r="A54" s="7" t="s">
        <v>68</v>
      </c>
      <c r="B54" s="8" t="s">
        <v>11</v>
      </c>
      <c r="C54" s="9">
        <v>15</v>
      </c>
      <c r="D54" s="9">
        <v>1</v>
      </c>
      <c r="E54" s="9">
        <v>1</v>
      </c>
      <c r="F54" s="9">
        <v>5</v>
      </c>
      <c r="G54" s="9">
        <v>6</v>
      </c>
      <c r="H54" s="9">
        <v>0</v>
      </c>
      <c r="I54" s="9">
        <v>0</v>
      </c>
      <c r="J54" s="10">
        <v>0</v>
      </c>
      <c r="K54">
        <f t="shared" si="0"/>
        <v>7</v>
      </c>
    </row>
    <row r="55" spans="1:11" x14ac:dyDescent="0.25">
      <c r="A55" s="11" t="s">
        <v>69</v>
      </c>
      <c r="B55" s="12" t="s">
        <v>25</v>
      </c>
      <c r="C55" s="13">
        <v>16</v>
      </c>
      <c r="D55" s="13">
        <v>17</v>
      </c>
      <c r="E55" s="13">
        <v>30</v>
      </c>
      <c r="F55" s="13">
        <v>20</v>
      </c>
      <c r="G55" s="13">
        <v>7</v>
      </c>
      <c r="H55" s="13">
        <v>0</v>
      </c>
      <c r="I55" s="13">
        <v>0</v>
      </c>
      <c r="J55" s="14">
        <v>0</v>
      </c>
      <c r="K55">
        <f t="shared" si="0"/>
        <v>67</v>
      </c>
    </row>
    <row r="56" spans="1:11" x14ac:dyDescent="0.25">
      <c r="A56" s="7" t="s">
        <v>70</v>
      </c>
      <c r="B56" s="8" t="s">
        <v>11</v>
      </c>
      <c r="C56" s="9">
        <v>21</v>
      </c>
      <c r="D56" s="9">
        <v>130</v>
      </c>
      <c r="E56" s="9">
        <v>126</v>
      </c>
      <c r="F56" s="9">
        <v>142</v>
      </c>
      <c r="G56" s="9">
        <v>20</v>
      </c>
      <c r="H56" s="9">
        <v>10</v>
      </c>
      <c r="I56" s="9">
        <v>17</v>
      </c>
      <c r="J56" s="10">
        <v>18</v>
      </c>
      <c r="K56">
        <f t="shared" si="0"/>
        <v>443</v>
      </c>
    </row>
    <row r="57" spans="1:11" x14ac:dyDescent="0.25">
      <c r="A57" s="11" t="s">
        <v>71</v>
      </c>
      <c r="B57" s="12" t="s">
        <v>22</v>
      </c>
      <c r="C57" s="13">
        <v>18</v>
      </c>
      <c r="D57" s="13">
        <v>28</v>
      </c>
      <c r="E57" s="13">
        <v>31</v>
      </c>
      <c r="F57" s="13">
        <v>31</v>
      </c>
      <c r="G57" s="13">
        <v>16</v>
      </c>
      <c r="H57" s="13">
        <v>0</v>
      </c>
      <c r="I57" s="13">
        <v>3</v>
      </c>
      <c r="J57" s="14">
        <v>1</v>
      </c>
      <c r="K57">
        <f t="shared" si="0"/>
        <v>94</v>
      </c>
    </row>
    <row r="58" spans="1:11" x14ac:dyDescent="0.25">
      <c r="A58" s="7" t="s">
        <v>72</v>
      </c>
      <c r="B58" s="8" t="s">
        <v>13</v>
      </c>
      <c r="C58" s="9">
        <v>13</v>
      </c>
      <c r="D58" s="9">
        <v>3</v>
      </c>
      <c r="E58" s="9">
        <v>1</v>
      </c>
      <c r="F58" s="9">
        <v>1</v>
      </c>
      <c r="G58" s="9">
        <v>1</v>
      </c>
      <c r="H58" s="9">
        <v>0</v>
      </c>
      <c r="I58" s="9">
        <v>0</v>
      </c>
      <c r="J58" s="10">
        <v>0</v>
      </c>
      <c r="K58">
        <f t="shared" si="0"/>
        <v>5</v>
      </c>
    </row>
    <row r="59" spans="1:11" x14ac:dyDescent="0.25">
      <c r="A59" s="11" t="s">
        <v>73</v>
      </c>
      <c r="B59" s="12" t="s">
        <v>25</v>
      </c>
      <c r="C59" s="13">
        <v>25</v>
      </c>
      <c r="D59" s="13">
        <v>59</v>
      </c>
      <c r="E59" s="13">
        <v>99</v>
      </c>
      <c r="F59" s="13">
        <v>120</v>
      </c>
      <c r="G59" s="13">
        <v>22</v>
      </c>
      <c r="H59" s="13">
        <v>62</v>
      </c>
      <c r="I59" s="13">
        <v>55</v>
      </c>
      <c r="J59" s="14">
        <v>53</v>
      </c>
      <c r="K59">
        <f t="shared" si="0"/>
        <v>448</v>
      </c>
    </row>
    <row r="60" spans="1:11" x14ac:dyDescent="0.25">
      <c r="A60" s="7" t="s">
        <v>74</v>
      </c>
      <c r="B60" s="8" t="s">
        <v>11</v>
      </c>
      <c r="C60" s="9">
        <v>8</v>
      </c>
      <c r="D60" s="9">
        <v>0</v>
      </c>
      <c r="E60" s="9">
        <v>0</v>
      </c>
      <c r="F60" s="9">
        <v>4</v>
      </c>
      <c r="G60" s="9">
        <v>0</v>
      </c>
      <c r="H60" s="9">
        <v>0</v>
      </c>
      <c r="I60" s="9">
        <v>0</v>
      </c>
      <c r="J60" s="10">
        <v>0</v>
      </c>
      <c r="K60">
        <f t="shared" si="0"/>
        <v>4</v>
      </c>
    </row>
    <row r="61" spans="1:11" x14ac:dyDescent="0.25">
      <c r="A61" s="11" t="s">
        <v>75</v>
      </c>
      <c r="B61" s="12" t="s">
        <v>11</v>
      </c>
      <c r="C61" s="13">
        <v>5</v>
      </c>
      <c r="D61" s="13">
        <v>16</v>
      </c>
      <c r="E61" s="13">
        <v>17</v>
      </c>
      <c r="F61" s="13">
        <v>19</v>
      </c>
      <c r="G61" s="13">
        <v>6</v>
      </c>
      <c r="H61" s="13">
        <v>1</v>
      </c>
      <c r="I61" s="13">
        <v>3</v>
      </c>
      <c r="J61" s="14">
        <v>3</v>
      </c>
      <c r="K61">
        <f t="shared" si="0"/>
        <v>59</v>
      </c>
    </row>
    <row r="62" spans="1:11" x14ac:dyDescent="0.25">
      <c r="A62" s="7" t="s">
        <v>76</v>
      </c>
      <c r="B62" s="8" t="s">
        <v>13</v>
      </c>
      <c r="C62" s="9">
        <v>13</v>
      </c>
      <c r="D62" s="9">
        <v>25</v>
      </c>
      <c r="E62" s="9">
        <v>32</v>
      </c>
      <c r="F62" s="9">
        <v>29</v>
      </c>
      <c r="G62" s="9">
        <v>3</v>
      </c>
      <c r="H62" s="9">
        <v>0</v>
      </c>
      <c r="I62" s="9">
        <v>0</v>
      </c>
      <c r="J62" s="10">
        <v>0</v>
      </c>
      <c r="K62">
        <f t="shared" si="0"/>
        <v>86</v>
      </c>
    </row>
    <row r="63" spans="1:11" x14ac:dyDescent="0.25">
      <c r="A63" s="11" t="s">
        <v>77</v>
      </c>
      <c r="B63" s="12" t="s">
        <v>11</v>
      </c>
      <c r="C63" s="13">
        <v>5</v>
      </c>
      <c r="D63" s="13">
        <v>0</v>
      </c>
      <c r="E63" s="13">
        <v>1</v>
      </c>
      <c r="F63" s="13">
        <v>2</v>
      </c>
      <c r="G63" s="13">
        <v>6</v>
      </c>
      <c r="H63" s="13">
        <v>0</v>
      </c>
      <c r="I63" s="13">
        <v>0</v>
      </c>
      <c r="J63" s="14">
        <v>0</v>
      </c>
      <c r="K63">
        <f t="shared" si="0"/>
        <v>3</v>
      </c>
    </row>
    <row r="64" spans="1:11" x14ac:dyDescent="0.25">
      <c r="A64" s="7" t="s">
        <v>78</v>
      </c>
      <c r="B64" s="8" t="s">
        <v>15</v>
      </c>
      <c r="C64" s="9">
        <v>18</v>
      </c>
      <c r="D64" s="9">
        <v>2</v>
      </c>
      <c r="E64" s="9">
        <v>6</v>
      </c>
      <c r="F64" s="9">
        <v>11</v>
      </c>
      <c r="G64" s="9">
        <v>1</v>
      </c>
      <c r="H64" s="9">
        <v>0</v>
      </c>
      <c r="I64" s="9">
        <v>0</v>
      </c>
      <c r="J64" s="10">
        <v>0</v>
      </c>
      <c r="K64">
        <f t="shared" si="0"/>
        <v>19</v>
      </c>
    </row>
    <row r="65" spans="1:11" x14ac:dyDescent="0.25">
      <c r="A65" s="11" t="s">
        <v>79</v>
      </c>
      <c r="B65" s="12" t="s">
        <v>11</v>
      </c>
      <c r="C65" s="13">
        <v>16</v>
      </c>
      <c r="D65" s="13">
        <v>81</v>
      </c>
      <c r="E65" s="13">
        <v>82</v>
      </c>
      <c r="F65" s="13">
        <v>80</v>
      </c>
      <c r="G65" s="13">
        <v>17</v>
      </c>
      <c r="H65" s="13">
        <v>26</v>
      </c>
      <c r="I65" s="13">
        <v>17</v>
      </c>
      <c r="J65" s="14">
        <v>10</v>
      </c>
      <c r="K65">
        <f t="shared" si="0"/>
        <v>296</v>
      </c>
    </row>
    <row r="66" spans="1:11" x14ac:dyDescent="0.25">
      <c r="A66" s="7" t="s">
        <v>80</v>
      </c>
      <c r="B66" s="8" t="s">
        <v>11</v>
      </c>
      <c r="C66" s="9">
        <v>9</v>
      </c>
      <c r="D66" s="9">
        <v>14</v>
      </c>
      <c r="E66" s="9">
        <v>12</v>
      </c>
      <c r="F66" s="9">
        <v>21</v>
      </c>
      <c r="G66" s="9">
        <v>8</v>
      </c>
      <c r="H66" s="9">
        <v>0</v>
      </c>
      <c r="I66" s="9">
        <v>1</v>
      </c>
      <c r="J66" s="10">
        <v>1</v>
      </c>
      <c r="K66">
        <f t="shared" si="0"/>
        <v>49</v>
      </c>
    </row>
    <row r="67" spans="1:11" x14ac:dyDescent="0.25">
      <c r="A67" s="11" t="s">
        <v>81</v>
      </c>
      <c r="B67" s="12" t="s">
        <v>25</v>
      </c>
      <c r="C67" s="13">
        <v>14</v>
      </c>
      <c r="D67" s="13">
        <v>1</v>
      </c>
      <c r="E67" s="13">
        <v>1</v>
      </c>
      <c r="F67" s="13">
        <v>2</v>
      </c>
      <c r="G67" s="13">
        <v>6</v>
      </c>
      <c r="H67" s="13">
        <v>0</v>
      </c>
      <c r="I67" s="13">
        <v>0</v>
      </c>
      <c r="J67" s="14">
        <v>0</v>
      </c>
      <c r="K67">
        <f t="shared" ref="K67:K130" si="2">SUM(D67:F67,H67:J67)</f>
        <v>4</v>
      </c>
    </row>
    <row r="68" spans="1:11" x14ac:dyDescent="0.25">
      <c r="A68" s="7" t="s">
        <v>82</v>
      </c>
      <c r="B68" s="8" t="s">
        <v>25</v>
      </c>
      <c r="C68" s="9">
        <v>19</v>
      </c>
      <c r="D68" s="9">
        <v>72</v>
      </c>
      <c r="E68" s="9">
        <v>67</v>
      </c>
      <c r="F68" s="9">
        <v>69</v>
      </c>
      <c r="G68" s="9">
        <v>0</v>
      </c>
      <c r="H68" s="9">
        <v>0</v>
      </c>
      <c r="I68" s="9">
        <v>0</v>
      </c>
      <c r="J68" s="10">
        <v>0</v>
      </c>
      <c r="K68">
        <f t="shared" si="2"/>
        <v>208</v>
      </c>
    </row>
    <row r="69" spans="1:11" x14ac:dyDescent="0.25">
      <c r="A69" s="11" t="s">
        <v>83</v>
      </c>
      <c r="B69" s="12" t="s">
        <v>11</v>
      </c>
      <c r="C69" s="13">
        <v>12</v>
      </c>
      <c r="D69" s="13">
        <v>0</v>
      </c>
      <c r="E69" s="13">
        <v>0</v>
      </c>
      <c r="F69" s="13">
        <v>2</v>
      </c>
      <c r="G69" s="13">
        <v>0</v>
      </c>
      <c r="H69" s="13">
        <v>0</v>
      </c>
      <c r="I69" s="13">
        <v>0</v>
      </c>
      <c r="J69" s="14">
        <v>0</v>
      </c>
      <c r="K69">
        <f t="shared" si="2"/>
        <v>2</v>
      </c>
    </row>
    <row r="70" spans="1:11" x14ac:dyDescent="0.25">
      <c r="A70" s="7" t="s">
        <v>84</v>
      </c>
      <c r="B70" s="8" t="s">
        <v>11</v>
      </c>
      <c r="C70" s="9">
        <v>16</v>
      </c>
      <c r="D70" s="9">
        <v>0</v>
      </c>
      <c r="E70" s="9">
        <v>2</v>
      </c>
      <c r="F70" s="9">
        <v>2</v>
      </c>
      <c r="G70" s="9">
        <v>16</v>
      </c>
      <c r="H70" s="9">
        <v>0</v>
      </c>
      <c r="I70" s="9">
        <v>0</v>
      </c>
      <c r="J70" s="10">
        <v>0</v>
      </c>
      <c r="K70">
        <f t="shared" si="2"/>
        <v>4</v>
      </c>
    </row>
    <row r="71" spans="1:11" x14ac:dyDescent="0.25">
      <c r="A71" s="11" t="s">
        <v>85</v>
      </c>
      <c r="B71" s="12" t="s">
        <v>22</v>
      </c>
      <c r="C71" s="13">
        <v>16</v>
      </c>
      <c r="D71" s="13">
        <v>0</v>
      </c>
      <c r="E71" s="13">
        <v>0</v>
      </c>
      <c r="F71" s="13">
        <v>0</v>
      </c>
      <c r="G71" s="13">
        <v>18</v>
      </c>
      <c r="H71" s="13">
        <v>2</v>
      </c>
      <c r="I71" s="13">
        <v>2</v>
      </c>
      <c r="J71" s="14">
        <v>5</v>
      </c>
      <c r="K71">
        <f t="shared" si="2"/>
        <v>9</v>
      </c>
    </row>
    <row r="72" spans="1:11" x14ac:dyDescent="0.25">
      <c r="A72" s="7" t="s">
        <v>86</v>
      </c>
      <c r="B72" s="8" t="s">
        <v>22</v>
      </c>
      <c r="C72" s="9">
        <v>8</v>
      </c>
      <c r="D72" s="9">
        <v>6</v>
      </c>
      <c r="E72" s="9">
        <v>5</v>
      </c>
      <c r="F72" s="9">
        <v>10</v>
      </c>
      <c r="G72" s="9">
        <v>8</v>
      </c>
      <c r="H72" s="9">
        <v>0</v>
      </c>
      <c r="I72" s="9">
        <v>0</v>
      </c>
      <c r="J72" s="10">
        <v>0</v>
      </c>
      <c r="K72">
        <f t="shared" si="2"/>
        <v>21</v>
      </c>
    </row>
    <row r="73" spans="1:11" x14ac:dyDescent="0.25">
      <c r="A73" s="11" t="s">
        <v>87</v>
      </c>
      <c r="B73" s="12" t="s">
        <v>22</v>
      </c>
      <c r="C73" s="13">
        <v>22</v>
      </c>
      <c r="D73" s="13">
        <v>1</v>
      </c>
      <c r="E73" s="13">
        <v>1</v>
      </c>
      <c r="F73" s="13">
        <v>0</v>
      </c>
      <c r="G73" s="13">
        <v>8</v>
      </c>
      <c r="H73" s="13">
        <v>0</v>
      </c>
      <c r="I73" s="13">
        <v>2</v>
      </c>
      <c r="J73" s="14">
        <v>0</v>
      </c>
      <c r="K73">
        <f t="shared" si="2"/>
        <v>4</v>
      </c>
    </row>
    <row r="74" spans="1:11" x14ac:dyDescent="0.25">
      <c r="A74" s="7" t="s">
        <v>88</v>
      </c>
      <c r="B74" s="8" t="s">
        <v>22</v>
      </c>
      <c r="C74" s="9">
        <v>10</v>
      </c>
      <c r="D74" s="9">
        <v>3</v>
      </c>
      <c r="E74" s="9">
        <v>11</v>
      </c>
      <c r="F74" s="9">
        <v>5</v>
      </c>
      <c r="G74" s="9">
        <v>10</v>
      </c>
      <c r="H74" s="9">
        <v>0</v>
      </c>
      <c r="I74" s="9">
        <v>4</v>
      </c>
      <c r="J74" s="10">
        <v>3</v>
      </c>
      <c r="K74">
        <f t="shared" si="2"/>
        <v>26</v>
      </c>
    </row>
    <row r="75" spans="1:11" x14ac:dyDescent="0.25">
      <c r="A75" s="11" t="s">
        <v>89</v>
      </c>
      <c r="B75" s="12" t="s">
        <v>22</v>
      </c>
      <c r="C75" s="13">
        <v>5</v>
      </c>
      <c r="D75" s="13">
        <v>0</v>
      </c>
      <c r="E75" s="13">
        <v>0</v>
      </c>
      <c r="F75" s="13">
        <v>1</v>
      </c>
      <c r="G75" s="13">
        <v>5</v>
      </c>
      <c r="H75" s="13">
        <v>0</v>
      </c>
      <c r="I75" s="13">
        <v>0</v>
      </c>
      <c r="J75" s="14">
        <v>0</v>
      </c>
      <c r="K75">
        <f t="shared" si="2"/>
        <v>1</v>
      </c>
    </row>
    <row r="76" spans="1:11" x14ac:dyDescent="0.25">
      <c r="A76" s="7" t="s">
        <v>90</v>
      </c>
      <c r="B76" s="8" t="s">
        <v>11</v>
      </c>
      <c r="C76" s="9">
        <v>12</v>
      </c>
      <c r="D76" s="9">
        <v>0</v>
      </c>
      <c r="E76" s="9">
        <v>3</v>
      </c>
      <c r="F76" s="9">
        <v>3</v>
      </c>
      <c r="G76" s="9">
        <v>0</v>
      </c>
      <c r="H76" s="9">
        <v>0</v>
      </c>
      <c r="I76" s="9">
        <v>0</v>
      </c>
      <c r="J76" s="10">
        <v>0</v>
      </c>
      <c r="K76">
        <f t="shared" si="2"/>
        <v>6</v>
      </c>
    </row>
    <row r="77" spans="1:11" x14ac:dyDescent="0.25">
      <c r="A77" s="11" t="s">
        <v>91</v>
      </c>
      <c r="B77" s="12" t="s">
        <v>13</v>
      </c>
      <c r="C77" s="13">
        <v>13</v>
      </c>
      <c r="D77" s="13">
        <v>6</v>
      </c>
      <c r="E77" s="13">
        <v>5</v>
      </c>
      <c r="F77" s="13">
        <v>11</v>
      </c>
      <c r="G77" s="13">
        <v>6</v>
      </c>
      <c r="H77" s="13">
        <v>0</v>
      </c>
      <c r="I77" s="13">
        <v>0</v>
      </c>
      <c r="J77" s="14">
        <v>0</v>
      </c>
      <c r="K77">
        <f t="shared" si="2"/>
        <v>22</v>
      </c>
    </row>
    <row r="78" spans="1:11" x14ac:dyDescent="0.25">
      <c r="A78" s="7" t="s">
        <v>92</v>
      </c>
      <c r="B78" s="8" t="s">
        <v>13</v>
      </c>
      <c r="C78" s="9">
        <v>8</v>
      </c>
      <c r="D78" s="9">
        <v>0</v>
      </c>
      <c r="E78" s="9">
        <v>0</v>
      </c>
      <c r="F78" s="9">
        <v>1</v>
      </c>
      <c r="G78" s="9">
        <v>0</v>
      </c>
      <c r="H78" s="9">
        <v>0</v>
      </c>
      <c r="I78" s="9">
        <v>0</v>
      </c>
      <c r="J78" s="10">
        <v>0</v>
      </c>
      <c r="K78">
        <f t="shared" si="2"/>
        <v>1</v>
      </c>
    </row>
    <row r="79" spans="1:11" x14ac:dyDescent="0.25">
      <c r="A79" s="11" t="s">
        <v>93</v>
      </c>
      <c r="B79" s="12" t="s">
        <v>25</v>
      </c>
      <c r="C79" s="13">
        <v>22</v>
      </c>
      <c r="D79" s="13">
        <v>13</v>
      </c>
      <c r="E79" s="13">
        <v>21</v>
      </c>
      <c r="F79" s="13">
        <v>28</v>
      </c>
      <c r="G79" s="13">
        <v>8</v>
      </c>
      <c r="H79" s="13">
        <v>0</v>
      </c>
      <c r="I79" s="13">
        <v>0</v>
      </c>
      <c r="J79" s="14">
        <v>0</v>
      </c>
      <c r="K79">
        <f t="shared" si="2"/>
        <v>62</v>
      </c>
    </row>
    <row r="80" spans="1:11" x14ac:dyDescent="0.25">
      <c r="A80" s="7" t="s">
        <v>94</v>
      </c>
      <c r="B80" s="8" t="s">
        <v>22</v>
      </c>
      <c r="C80" s="9">
        <v>5</v>
      </c>
      <c r="D80" s="9">
        <v>0</v>
      </c>
      <c r="E80" s="9">
        <v>2</v>
      </c>
      <c r="F80" s="9">
        <v>5</v>
      </c>
      <c r="G80" s="9">
        <v>6</v>
      </c>
      <c r="H80" s="9">
        <v>0</v>
      </c>
      <c r="I80" s="9">
        <v>0</v>
      </c>
      <c r="J80" s="10">
        <v>0</v>
      </c>
      <c r="K80">
        <f t="shared" si="2"/>
        <v>7</v>
      </c>
    </row>
    <row r="81" spans="1:11" x14ac:dyDescent="0.25">
      <c r="A81" s="11" t="s">
        <v>95</v>
      </c>
      <c r="B81" s="12" t="s">
        <v>11</v>
      </c>
      <c r="C81" s="13">
        <v>12</v>
      </c>
      <c r="D81" s="13">
        <v>2</v>
      </c>
      <c r="E81" s="13">
        <v>9</v>
      </c>
      <c r="F81" s="13">
        <v>13</v>
      </c>
      <c r="G81" s="13">
        <v>13</v>
      </c>
      <c r="H81" s="13">
        <v>0</v>
      </c>
      <c r="I81" s="13">
        <v>0</v>
      </c>
      <c r="J81" s="14">
        <v>0</v>
      </c>
      <c r="K81">
        <f t="shared" si="2"/>
        <v>24</v>
      </c>
    </row>
    <row r="82" spans="1:11" x14ac:dyDescent="0.25">
      <c r="A82" s="7" t="s">
        <v>96</v>
      </c>
      <c r="B82" s="8" t="s">
        <v>13</v>
      </c>
      <c r="C82" s="9">
        <v>9</v>
      </c>
      <c r="D82" s="9">
        <v>1</v>
      </c>
      <c r="E82" s="9">
        <v>0</v>
      </c>
      <c r="F82" s="9">
        <v>1</v>
      </c>
      <c r="G82" s="9">
        <v>0</v>
      </c>
      <c r="H82" s="9">
        <v>0</v>
      </c>
      <c r="I82" s="9">
        <v>0</v>
      </c>
      <c r="J82" s="10">
        <v>0</v>
      </c>
      <c r="K82">
        <f t="shared" si="2"/>
        <v>2</v>
      </c>
    </row>
    <row r="83" spans="1:11" x14ac:dyDescent="0.25">
      <c r="A83" s="11" t="s">
        <v>97</v>
      </c>
      <c r="B83" s="12" t="s">
        <v>13</v>
      </c>
      <c r="C83" s="13">
        <v>6</v>
      </c>
      <c r="D83" s="13">
        <v>0</v>
      </c>
      <c r="E83" s="13">
        <v>4</v>
      </c>
      <c r="F83" s="13">
        <v>0</v>
      </c>
      <c r="G83" s="13">
        <v>0</v>
      </c>
      <c r="H83" s="13">
        <v>0</v>
      </c>
      <c r="I83" s="13">
        <v>0</v>
      </c>
      <c r="J83" s="14">
        <v>0</v>
      </c>
      <c r="K83">
        <f t="shared" si="2"/>
        <v>4</v>
      </c>
    </row>
    <row r="84" spans="1:11" x14ac:dyDescent="0.25">
      <c r="A84" s="7" t="s">
        <v>98</v>
      </c>
      <c r="B84" s="8" t="s">
        <v>22</v>
      </c>
      <c r="C84" s="9">
        <v>15</v>
      </c>
      <c r="D84" s="9">
        <v>174</v>
      </c>
      <c r="E84" s="9">
        <v>182</v>
      </c>
      <c r="F84" s="9">
        <v>217</v>
      </c>
      <c r="G84" s="9">
        <v>11</v>
      </c>
      <c r="H84" s="9">
        <v>78</v>
      </c>
      <c r="I84" s="9">
        <v>78</v>
      </c>
      <c r="J84" s="10">
        <v>53</v>
      </c>
      <c r="K84">
        <f t="shared" si="2"/>
        <v>782</v>
      </c>
    </row>
    <row r="85" spans="1:11" x14ac:dyDescent="0.25">
      <c r="A85" s="11" t="s">
        <v>99</v>
      </c>
      <c r="B85" s="12" t="s">
        <v>22</v>
      </c>
      <c r="C85" s="13">
        <v>5</v>
      </c>
      <c r="D85" s="13">
        <v>56</v>
      </c>
      <c r="E85" s="13">
        <v>67</v>
      </c>
      <c r="F85" s="13">
        <v>81</v>
      </c>
      <c r="G85" s="13">
        <v>7</v>
      </c>
      <c r="H85" s="13">
        <v>11</v>
      </c>
      <c r="I85" s="13">
        <v>15</v>
      </c>
      <c r="J85" s="14">
        <v>13</v>
      </c>
      <c r="K85">
        <f t="shared" si="2"/>
        <v>243</v>
      </c>
    </row>
    <row r="86" spans="1:11" x14ac:dyDescent="0.25">
      <c r="A86" s="7" t="s">
        <v>100</v>
      </c>
      <c r="B86" s="8" t="s">
        <v>22</v>
      </c>
      <c r="C86" s="9">
        <v>3</v>
      </c>
      <c r="D86" s="9">
        <v>28</v>
      </c>
      <c r="E86" s="9">
        <v>54</v>
      </c>
      <c r="F86" s="9">
        <v>36</v>
      </c>
      <c r="G86" s="9">
        <v>3</v>
      </c>
      <c r="H86" s="9">
        <v>8</v>
      </c>
      <c r="I86" s="9">
        <v>6</v>
      </c>
      <c r="J86" s="10">
        <v>5</v>
      </c>
      <c r="K86">
        <f t="shared" si="2"/>
        <v>137</v>
      </c>
    </row>
    <row r="87" spans="1:11" x14ac:dyDescent="0.25">
      <c r="A87" s="11" t="s">
        <v>101</v>
      </c>
      <c r="B87" s="12" t="s">
        <v>22</v>
      </c>
      <c r="C87" s="13">
        <v>5</v>
      </c>
      <c r="D87" s="13">
        <v>153</v>
      </c>
      <c r="E87" s="13">
        <v>129</v>
      </c>
      <c r="F87" s="13">
        <v>127</v>
      </c>
      <c r="G87" s="13">
        <v>6</v>
      </c>
      <c r="H87" s="13">
        <v>39</v>
      </c>
      <c r="I87" s="13">
        <v>36</v>
      </c>
      <c r="J87" s="14">
        <v>35</v>
      </c>
      <c r="K87">
        <f t="shared" si="2"/>
        <v>519</v>
      </c>
    </row>
    <row r="88" spans="1:11" x14ac:dyDescent="0.25">
      <c r="A88" s="7" t="s">
        <v>102</v>
      </c>
      <c r="B88" s="8" t="s">
        <v>13</v>
      </c>
      <c r="C88" s="9">
        <v>11</v>
      </c>
      <c r="D88" s="9">
        <v>0</v>
      </c>
      <c r="E88" s="9">
        <v>0</v>
      </c>
      <c r="F88" s="9">
        <v>1</v>
      </c>
      <c r="G88" s="9">
        <v>0</v>
      </c>
      <c r="H88" s="9">
        <v>0</v>
      </c>
      <c r="I88" s="9">
        <v>0</v>
      </c>
      <c r="J88" s="10">
        <v>0</v>
      </c>
      <c r="K88">
        <f t="shared" si="2"/>
        <v>1</v>
      </c>
    </row>
    <row r="89" spans="1:11" x14ac:dyDescent="0.25">
      <c r="A89" s="11" t="s">
        <v>103</v>
      </c>
      <c r="B89" s="12" t="s">
        <v>13</v>
      </c>
      <c r="C89" s="13">
        <v>15</v>
      </c>
      <c r="D89" s="13">
        <v>3</v>
      </c>
      <c r="E89" s="13">
        <v>8</v>
      </c>
      <c r="F89" s="13">
        <v>12</v>
      </c>
      <c r="G89" s="13">
        <v>0</v>
      </c>
      <c r="H89" s="13">
        <v>0</v>
      </c>
      <c r="I89" s="13">
        <v>0</v>
      </c>
      <c r="J89" s="14">
        <v>0</v>
      </c>
      <c r="K89">
        <f t="shared" si="2"/>
        <v>23</v>
      </c>
    </row>
    <row r="90" spans="1:11" x14ac:dyDescent="0.25">
      <c r="A90" s="7" t="s">
        <v>104</v>
      </c>
      <c r="B90" s="8" t="s">
        <v>22</v>
      </c>
      <c r="C90" s="9">
        <v>24</v>
      </c>
      <c r="D90" s="9">
        <v>56</v>
      </c>
      <c r="E90" s="9">
        <v>49</v>
      </c>
      <c r="F90" s="9">
        <v>43</v>
      </c>
      <c r="G90" s="9">
        <v>22</v>
      </c>
      <c r="H90" s="9">
        <v>118</v>
      </c>
      <c r="I90" s="9">
        <v>111</v>
      </c>
      <c r="J90" s="10">
        <v>100</v>
      </c>
      <c r="K90">
        <f t="shared" si="2"/>
        <v>477</v>
      </c>
    </row>
    <row r="91" spans="1:11" x14ac:dyDescent="0.25">
      <c r="A91" s="11" t="s">
        <v>105</v>
      </c>
      <c r="B91" s="12" t="s">
        <v>20</v>
      </c>
      <c r="C91" s="13">
        <v>22</v>
      </c>
      <c r="D91" s="13">
        <v>42</v>
      </c>
      <c r="E91" s="13">
        <v>18</v>
      </c>
      <c r="F91" s="13">
        <v>39</v>
      </c>
      <c r="G91" s="13">
        <v>15</v>
      </c>
      <c r="H91" s="13">
        <v>0</v>
      </c>
      <c r="I91" s="13">
        <v>1</v>
      </c>
      <c r="J91" s="14">
        <v>0</v>
      </c>
      <c r="K91">
        <f t="shared" si="2"/>
        <v>100</v>
      </c>
    </row>
    <row r="92" spans="1:11" x14ac:dyDescent="0.25">
      <c r="A92" s="7" t="s">
        <v>106</v>
      </c>
      <c r="B92" s="8" t="s">
        <v>11</v>
      </c>
      <c r="C92" s="9">
        <v>16</v>
      </c>
      <c r="D92" s="9">
        <v>3</v>
      </c>
      <c r="E92" s="9">
        <v>3</v>
      </c>
      <c r="F92" s="9">
        <v>4</v>
      </c>
      <c r="G92" s="9">
        <v>2</v>
      </c>
      <c r="H92" s="9">
        <v>0</v>
      </c>
      <c r="I92" s="9">
        <v>0</v>
      </c>
      <c r="J92" s="10">
        <v>0</v>
      </c>
      <c r="K92">
        <f t="shared" si="2"/>
        <v>10</v>
      </c>
    </row>
    <row r="93" spans="1:11" x14ac:dyDescent="0.25">
      <c r="A93" s="11" t="s">
        <v>107</v>
      </c>
      <c r="B93" s="12" t="s">
        <v>15</v>
      </c>
      <c r="C93" s="13">
        <v>16</v>
      </c>
      <c r="D93" s="13">
        <v>1</v>
      </c>
      <c r="E93" s="13">
        <v>0</v>
      </c>
      <c r="F93" s="13">
        <v>2</v>
      </c>
      <c r="G93" s="13">
        <v>0</v>
      </c>
      <c r="H93" s="13">
        <v>0</v>
      </c>
      <c r="I93" s="13">
        <v>0</v>
      </c>
      <c r="J93" s="14">
        <v>0</v>
      </c>
      <c r="K93">
        <f t="shared" si="2"/>
        <v>3</v>
      </c>
    </row>
    <row r="94" spans="1:11" x14ac:dyDescent="0.25">
      <c r="A94" s="7" t="s">
        <v>108</v>
      </c>
      <c r="B94" s="8" t="s">
        <v>15</v>
      </c>
      <c r="C94" s="9">
        <v>11</v>
      </c>
      <c r="D94" s="9">
        <v>0</v>
      </c>
      <c r="E94" s="9">
        <v>1</v>
      </c>
      <c r="F94" s="9">
        <v>0</v>
      </c>
      <c r="G94" s="9">
        <v>1</v>
      </c>
      <c r="H94" s="9">
        <v>0</v>
      </c>
      <c r="I94" s="9">
        <v>0</v>
      </c>
      <c r="J94" s="10">
        <v>0</v>
      </c>
      <c r="K94">
        <f t="shared" si="2"/>
        <v>1</v>
      </c>
    </row>
    <row r="95" spans="1:11" x14ac:dyDescent="0.25">
      <c r="A95" s="11" t="s">
        <v>109</v>
      </c>
      <c r="B95" s="12" t="s">
        <v>15</v>
      </c>
      <c r="C95" s="13">
        <v>17</v>
      </c>
      <c r="D95" s="13">
        <v>1</v>
      </c>
      <c r="E95" s="13">
        <v>3</v>
      </c>
      <c r="F95" s="13">
        <v>0</v>
      </c>
      <c r="G95" s="13">
        <v>2</v>
      </c>
      <c r="H95" s="13">
        <v>0</v>
      </c>
      <c r="I95" s="13">
        <v>0</v>
      </c>
      <c r="J95" s="14">
        <v>0</v>
      </c>
      <c r="K95">
        <f t="shared" si="2"/>
        <v>4</v>
      </c>
    </row>
    <row r="96" spans="1:11" x14ac:dyDescent="0.25">
      <c r="A96" s="7" t="s">
        <v>110</v>
      </c>
      <c r="B96" s="8" t="s">
        <v>22</v>
      </c>
      <c r="C96" s="9">
        <v>20</v>
      </c>
      <c r="D96" s="9">
        <v>64</v>
      </c>
      <c r="E96" s="9">
        <v>82</v>
      </c>
      <c r="F96" s="9">
        <v>125</v>
      </c>
      <c r="G96" s="9">
        <v>22</v>
      </c>
      <c r="H96" s="9">
        <v>6</v>
      </c>
      <c r="I96" s="9">
        <v>7</v>
      </c>
      <c r="J96" s="10">
        <v>7</v>
      </c>
      <c r="K96">
        <f t="shared" si="2"/>
        <v>291</v>
      </c>
    </row>
    <row r="97" spans="1:11" x14ac:dyDescent="0.25">
      <c r="A97" s="11" t="s">
        <v>111</v>
      </c>
      <c r="B97" s="12" t="s">
        <v>25</v>
      </c>
      <c r="C97" s="13">
        <v>17</v>
      </c>
      <c r="D97" s="13">
        <v>0</v>
      </c>
      <c r="E97" s="13">
        <v>2</v>
      </c>
      <c r="F97" s="13">
        <v>6</v>
      </c>
      <c r="G97" s="13">
        <v>6</v>
      </c>
      <c r="H97" s="13">
        <v>0</v>
      </c>
      <c r="I97" s="13">
        <v>0</v>
      </c>
      <c r="J97" s="14">
        <v>0</v>
      </c>
      <c r="K97">
        <f t="shared" si="2"/>
        <v>8</v>
      </c>
    </row>
    <row r="98" spans="1:11" x14ac:dyDescent="0.25">
      <c r="A98" s="7" t="s">
        <v>112</v>
      </c>
      <c r="B98" s="8" t="s">
        <v>22</v>
      </c>
      <c r="C98" s="9">
        <v>23</v>
      </c>
      <c r="D98" s="9">
        <v>4</v>
      </c>
      <c r="E98" s="9">
        <v>8</v>
      </c>
      <c r="F98" s="9">
        <v>11</v>
      </c>
      <c r="G98" s="9">
        <v>7</v>
      </c>
      <c r="H98" s="9">
        <v>0</v>
      </c>
      <c r="I98" s="9">
        <v>0</v>
      </c>
      <c r="J98" s="10">
        <v>0</v>
      </c>
      <c r="K98">
        <f t="shared" si="2"/>
        <v>23</v>
      </c>
    </row>
    <row r="99" spans="1:11" x14ac:dyDescent="0.25">
      <c r="A99" s="11" t="s">
        <v>113</v>
      </c>
      <c r="B99" s="12" t="s">
        <v>13</v>
      </c>
      <c r="C99" s="13">
        <v>18</v>
      </c>
      <c r="D99" s="13">
        <v>23</v>
      </c>
      <c r="E99" s="13">
        <v>26</v>
      </c>
      <c r="F99" s="13">
        <v>27</v>
      </c>
      <c r="G99" s="13">
        <v>6</v>
      </c>
      <c r="H99" s="13">
        <v>0</v>
      </c>
      <c r="I99" s="13">
        <v>0</v>
      </c>
      <c r="J99" s="14">
        <v>0</v>
      </c>
      <c r="K99">
        <f t="shared" si="2"/>
        <v>76</v>
      </c>
    </row>
    <row r="100" spans="1:11" x14ac:dyDescent="0.25">
      <c r="A100" s="7" t="s">
        <v>114</v>
      </c>
      <c r="B100" s="8" t="s">
        <v>22</v>
      </c>
      <c r="C100" s="9">
        <v>5</v>
      </c>
      <c r="D100" s="9">
        <v>133</v>
      </c>
      <c r="E100" s="9">
        <v>122</v>
      </c>
      <c r="F100" s="9">
        <v>142</v>
      </c>
      <c r="G100" s="9">
        <v>6</v>
      </c>
      <c r="H100" s="9">
        <v>49</v>
      </c>
      <c r="I100" s="9">
        <v>40</v>
      </c>
      <c r="J100" s="10">
        <v>35</v>
      </c>
      <c r="K100">
        <f t="shared" si="2"/>
        <v>521</v>
      </c>
    </row>
    <row r="101" spans="1:11" x14ac:dyDescent="0.25">
      <c r="A101" s="11" t="s">
        <v>115</v>
      </c>
      <c r="B101" s="12" t="s">
        <v>22</v>
      </c>
      <c r="C101" s="13">
        <v>3</v>
      </c>
      <c r="D101" s="13">
        <v>1</v>
      </c>
      <c r="E101" s="13">
        <v>4</v>
      </c>
      <c r="F101" s="13">
        <v>3</v>
      </c>
      <c r="G101" s="13">
        <v>0</v>
      </c>
      <c r="H101" s="13">
        <v>0</v>
      </c>
      <c r="I101" s="13">
        <v>0</v>
      </c>
      <c r="J101" s="14">
        <v>0</v>
      </c>
      <c r="K101">
        <f t="shared" si="2"/>
        <v>8</v>
      </c>
    </row>
    <row r="102" spans="1:11" x14ac:dyDescent="0.25">
      <c r="A102" s="7" t="s">
        <v>116</v>
      </c>
      <c r="B102" s="8" t="s">
        <v>22</v>
      </c>
      <c r="C102" s="9">
        <v>20</v>
      </c>
      <c r="D102" s="9">
        <v>88</v>
      </c>
      <c r="E102" s="9">
        <v>94</v>
      </c>
      <c r="F102" s="9">
        <v>119</v>
      </c>
      <c r="G102" s="9">
        <v>20</v>
      </c>
      <c r="H102" s="9">
        <v>0</v>
      </c>
      <c r="I102" s="9">
        <v>0</v>
      </c>
      <c r="J102" s="10">
        <v>1</v>
      </c>
      <c r="K102">
        <f t="shared" si="2"/>
        <v>302</v>
      </c>
    </row>
    <row r="103" spans="1:11" x14ac:dyDescent="0.25">
      <c r="A103" s="11" t="s">
        <v>117</v>
      </c>
      <c r="B103" s="12" t="s">
        <v>13</v>
      </c>
      <c r="C103" s="13">
        <v>13</v>
      </c>
      <c r="D103" s="13">
        <v>0</v>
      </c>
      <c r="E103" s="13">
        <v>1</v>
      </c>
      <c r="F103" s="13">
        <v>0</v>
      </c>
      <c r="G103" s="13">
        <v>5</v>
      </c>
      <c r="H103" s="13">
        <v>0</v>
      </c>
      <c r="I103" s="13">
        <v>0</v>
      </c>
      <c r="J103" s="14">
        <v>0</v>
      </c>
      <c r="K103">
        <f t="shared" si="2"/>
        <v>1</v>
      </c>
    </row>
    <row r="104" spans="1:11" x14ac:dyDescent="0.25">
      <c r="A104" s="7" t="s">
        <v>118</v>
      </c>
      <c r="B104" s="8" t="s">
        <v>22</v>
      </c>
      <c r="C104" s="9">
        <v>3</v>
      </c>
      <c r="D104" s="9">
        <v>1</v>
      </c>
      <c r="E104" s="9">
        <v>2</v>
      </c>
      <c r="F104" s="9">
        <v>4</v>
      </c>
      <c r="G104" s="9">
        <v>2</v>
      </c>
      <c r="H104" s="9">
        <v>0</v>
      </c>
      <c r="I104" s="9">
        <v>0</v>
      </c>
      <c r="J104" s="10">
        <v>0</v>
      </c>
      <c r="K104">
        <f t="shared" si="2"/>
        <v>7</v>
      </c>
    </row>
    <row r="105" spans="1:11" x14ac:dyDescent="0.25">
      <c r="A105" s="11" t="s">
        <v>119</v>
      </c>
      <c r="B105" s="12" t="s">
        <v>22</v>
      </c>
      <c r="C105" s="13">
        <v>1</v>
      </c>
      <c r="D105" s="13">
        <v>0</v>
      </c>
      <c r="E105" s="13">
        <v>2</v>
      </c>
      <c r="F105" s="13">
        <v>0</v>
      </c>
      <c r="G105" s="13">
        <v>1</v>
      </c>
      <c r="H105" s="13">
        <v>0</v>
      </c>
      <c r="I105" s="13">
        <v>0</v>
      </c>
      <c r="J105" s="14">
        <v>0</v>
      </c>
      <c r="K105">
        <f t="shared" si="2"/>
        <v>2</v>
      </c>
    </row>
    <row r="106" spans="1:11" x14ac:dyDescent="0.25">
      <c r="A106" s="7" t="s">
        <v>120</v>
      </c>
      <c r="B106" s="8" t="s">
        <v>11</v>
      </c>
      <c r="C106" s="9">
        <v>15</v>
      </c>
      <c r="D106" s="9">
        <v>0</v>
      </c>
      <c r="E106" s="9">
        <v>2</v>
      </c>
      <c r="F106" s="9">
        <v>2</v>
      </c>
      <c r="G106" s="9">
        <v>0</v>
      </c>
      <c r="H106" s="9">
        <v>0</v>
      </c>
      <c r="I106" s="9">
        <v>0</v>
      </c>
      <c r="J106" s="10">
        <v>0</v>
      </c>
      <c r="K106">
        <f t="shared" si="2"/>
        <v>4</v>
      </c>
    </row>
    <row r="107" spans="1:11" x14ac:dyDescent="0.25">
      <c r="A107" s="11" t="s">
        <v>121</v>
      </c>
      <c r="B107" s="12" t="s">
        <v>22</v>
      </c>
      <c r="C107" s="13">
        <v>5</v>
      </c>
      <c r="D107" s="13">
        <v>7</v>
      </c>
      <c r="E107" s="13">
        <v>9</v>
      </c>
      <c r="F107" s="13">
        <v>8</v>
      </c>
      <c r="G107" s="13">
        <v>6</v>
      </c>
      <c r="H107" s="13">
        <v>2</v>
      </c>
      <c r="I107" s="13">
        <v>2</v>
      </c>
      <c r="J107" s="14">
        <v>1</v>
      </c>
      <c r="K107">
        <f t="shared" si="2"/>
        <v>29</v>
      </c>
    </row>
    <row r="108" spans="1:11" x14ac:dyDescent="0.25">
      <c r="A108" s="7" t="s">
        <v>122</v>
      </c>
      <c r="B108" s="8" t="s">
        <v>22</v>
      </c>
      <c r="C108" s="9">
        <v>6</v>
      </c>
      <c r="D108" s="9">
        <v>4</v>
      </c>
      <c r="E108" s="9">
        <v>6</v>
      </c>
      <c r="F108" s="9">
        <v>9</v>
      </c>
      <c r="G108" s="9">
        <v>7</v>
      </c>
      <c r="H108" s="9">
        <v>2</v>
      </c>
      <c r="I108" s="9">
        <v>4</v>
      </c>
      <c r="J108" s="10">
        <v>9</v>
      </c>
      <c r="K108">
        <f t="shared" si="2"/>
        <v>34</v>
      </c>
    </row>
    <row r="109" spans="1:11" x14ac:dyDescent="0.25">
      <c r="A109" s="11" t="s">
        <v>123</v>
      </c>
      <c r="B109" s="12" t="s">
        <v>11</v>
      </c>
      <c r="C109" s="13">
        <v>16</v>
      </c>
      <c r="D109" s="13">
        <v>0</v>
      </c>
      <c r="E109" s="13">
        <v>2</v>
      </c>
      <c r="F109" s="13">
        <v>0</v>
      </c>
      <c r="G109" s="13">
        <v>0</v>
      </c>
      <c r="H109" s="13">
        <v>0</v>
      </c>
      <c r="I109" s="13">
        <v>0</v>
      </c>
      <c r="J109" s="14">
        <v>0</v>
      </c>
      <c r="K109">
        <f t="shared" si="2"/>
        <v>2</v>
      </c>
    </row>
    <row r="110" spans="1:11" x14ac:dyDescent="0.25">
      <c r="A110" s="7" t="s">
        <v>124</v>
      </c>
      <c r="B110" s="8" t="s">
        <v>25</v>
      </c>
      <c r="C110" s="9">
        <v>26</v>
      </c>
      <c r="D110" s="9">
        <v>976</v>
      </c>
      <c r="E110" s="9">
        <v>758</v>
      </c>
      <c r="F110" s="9">
        <v>666</v>
      </c>
      <c r="G110" s="9">
        <v>22</v>
      </c>
      <c r="H110" s="9">
        <v>96</v>
      </c>
      <c r="I110" s="9">
        <v>102</v>
      </c>
      <c r="J110" s="10">
        <v>83</v>
      </c>
      <c r="K110">
        <f t="shared" si="2"/>
        <v>2681</v>
      </c>
    </row>
    <row r="111" spans="1:11" x14ac:dyDescent="0.25">
      <c r="A111" s="11" t="s">
        <v>125</v>
      </c>
      <c r="B111" s="12" t="s">
        <v>13</v>
      </c>
      <c r="C111" s="13">
        <v>11</v>
      </c>
      <c r="D111" s="13">
        <v>0</v>
      </c>
      <c r="E111" s="13">
        <v>1</v>
      </c>
      <c r="F111" s="13">
        <v>0</v>
      </c>
      <c r="G111" s="13">
        <v>0</v>
      </c>
      <c r="H111" s="13">
        <v>0</v>
      </c>
      <c r="I111" s="13">
        <v>0</v>
      </c>
      <c r="J111" s="14">
        <v>0</v>
      </c>
      <c r="K111">
        <f t="shared" si="2"/>
        <v>1</v>
      </c>
    </row>
    <row r="112" spans="1:11" x14ac:dyDescent="0.25">
      <c r="A112" s="7" t="s">
        <v>126</v>
      </c>
      <c r="B112" s="8" t="s">
        <v>15</v>
      </c>
      <c r="C112" s="9">
        <v>11</v>
      </c>
      <c r="D112" s="9">
        <v>1</v>
      </c>
      <c r="E112" s="9">
        <v>0</v>
      </c>
      <c r="F112" s="9">
        <v>1</v>
      </c>
      <c r="G112" s="9">
        <v>0</v>
      </c>
      <c r="H112" s="9">
        <v>0</v>
      </c>
      <c r="I112" s="9">
        <v>0</v>
      </c>
      <c r="J112" s="10">
        <v>0</v>
      </c>
      <c r="K112">
        <f t="shared" si="2"/>
        <v>2</v>
      </c>
    </row>
    <row r="113" spans="1:11" x14ac:dyDescent="0.25">
      <c r="A113" s="11" t="s">
        <v>127</v>
      </c>
      <c r="B113" s="12" t="s">
        <v>11</v>
      </c>
      <c r="C113" s="13">
        <v>12</v>
      </c>
      <c r="D113" s="13">
        <v>1</v>
      </c>
      <c r="E113" s="13">
        <v>1</v>
      </c>
      <c r="F113" s="13">
        <v>1</v>
      </c>
      <c r="G113" s="13">
        <v>0</v>
      </c>
      <c r="H113" s="13">
        <v>0</v>
      </c>
      <c r="I113" s="13">
        <v>0</v>
      </c>
      <c r="J113" s="14">
        <v>0</v>
      </c>
      <c r="K113">
        <f t="shared" si="2"/>
        <v>3</v>
      </c>
    </row>
    <row r="114" spans="1:11" x14ac:dyDescent="0.25">
      <c r="A114" s="7" t="s">
        <v>128</v>
      </c>
      <c r="B114" s="8" t="s">
        <v>22</v>
      </c>
      <c r="C114" s="9">
        <v>27</v>
      </c>
      <c r="D114" s="9">
        <v>47</v>
      </c>
      <c r="E114" s="9">
        <v>73</v>
      </c>
      <c r="F114" s="9">
        <v>65</v>
      </c>
      <c r="G114" s="9">
        <v>22</v>
      </c>
      <c r="H114" s="9">
        <v>50</v>
      </c>
      <c r="I114" s="9">
        <v>40</v>
      </c>
      <c r="J114" s="10">
        <v>48</v>
      </c>
      <c r="K114">
        <f t="shared" si="2"/>
        <v>323</v>
      </c>
    </row>
    <row r="115" spans="1:11" x14ac:dyDescent="0.25">
      <c r="A115" s="11" t="s">
        <v>129</v>
      </c>
      <c r="B115" s="12" t="s">
        <v>22</v>
      </c>
      <c r="C115" s="13">
        <v>26</v>
      </c>
      <c r="D115" s="13">
        <v>143</v>
      </c>
      <c r="E115" s="13">
        <v>164</v>
      </c>
      <c r="F115" s="13">
        <v>176</v>
      </c>
      <c r="G115" s="13">
        <v>22</v>
      </c>
      <c r="H115" s="13">
        <v>50</v>
      </c>
      <c r="I115" s="13">
        <v>40</v>
      </c>
      <c r="J115" s="14">
        <v>54</v>
      </c>
      <c r="K115">
        <f t="shared" si="2"/>
        <v>627</v>
      </c>
    </row>
    <row r="116" spans="1:11" x14ac:dyDescent="0.25">
      <c r="A116" s="7" t="s">
        <v>130</v>
      </c>
      <c r="B116" s="8" t="s">
        <v>11</v>
      </c>
      <c r="C116" s="9">
        <v>5</v>
      </c>
      <c r="D116" s="9">
        <v>0</v>
      </c>
      <c r="E116" s="9">
        <v>1</v>
      </c>
      <c r="F116" s="9">
        <v>2</v>
      </c>
      <c r="G116" s="9">
        <v>4</v>
      </c>
      <c r="H116" s="9">
        <v>0</v>
      </c>
      <c r="I116" s="9">
        <v>0</v>
      </c>
      <c r="J116" s="10">
        <v>0</v>
      </c>
      <c r="K116">
        <f t="shared" si="2"/>
        <v>3</v>
      </c>
    </row>
    <row r="117" spans="1:11" x14ac:dyDescent="0.25">
      <c r="A117" s="11" t="s">
        <v>131</v>
      </c>
      <c r="B117" s="12" t="s">
        <v>11</v>
      </c>
      <c r="C117" s="13">
        <v>15</v>
      </c>
      <c r="D117" s="13">
        <v>7</v>
      </c>
      <c r="E117" s="13">
        <v>6</v>
      </c>
      <c r="F117" s="13">
        <v>11</v>
      </c>
      <c r="G117" s="13">
        <v>3</v>
      </c>
      <c r="H117" s="13">
        <v>0</v>
      </c>
      <c r="I117" s="13">
        <v>0</v>
      </c>
      <c r="J117" s="14">
        <v>0</v>
      </c>
      <c r="K117">
        <f t="shared" si="2"/>
        <v>24</v>
      </c>
    </row>
    <row r="118" spans="1:11" x14ac:dyDescent="0.25">
      <c r="A118" s="7" t="s">
        <v>132</v>
      </c>
      <c r="B118" s="8" t="s">
        <v>13</v>
      </c>
      <c r="C118" s="9">
        <v>12</v>
      </c>
      <c r="D118" s="9">
        <v>0</v>
      </c>
      <c r="E118" s="9">
        <v>2</v>
      </c>
      <c r="F118" s="9">
        <v>0</v>
      </c>
      <c r="G118" s="9">
        <v>0</v>
      </c>
      <c r="H118" s="9">
        <v>0</v>
      </c>
      <c r="I118" s="9">
        <v>0</v>
      </c>
      <c r="J118" s="10">
        <v>0</v>
      </c>
      <c r="K118">
        <f t="shared" si="2"/>
        <v>2</v>
      </c>
    </row>
    <row r="119" spans="1:11" x14ac:dyDescent="0.25">
      <c r="A119" s="11" t="s">
        <v>133</v>
      </c>
      <c r="B119" s="12" t="s">
        <v>13</v>
      </c>
      <c r="C119" s="13">
        <v>9</v>
      </c>
      <c r="D119" s="13">
        <v>0</v>
      </c>
      <c r="E119" s="13">
        <v>0</v>
      </c>
      <c r="F119" s="13">
        <v>1</v>
      </c>
      <c r="G119" s="13">
        <v>1</v>
      </c>
      <c r="H119" s="13">
        <v>0</v>
      </c>
      <c r="I119" s="13">
        <v>0</v>
      </c>
      <c r="J119" s="14">
        <v>0</v>
      </c>
      <c r="K119">
        <f t="shared" si="2"/>
        <v>1</v>
      </c>
    </row>
    <row r="120" spans="1:11" x14ac:dyDescent="0.25">
      <c r="A120" s="7" t="s">
        <v>134</v>
      </c>
      <c r="B120" s="8" t="s">
        <v>20</v>
      </c>
      <c r="C120" s="9">
        <v>8</v>
      </c>
      <c r="D120" s="9">
        <v>0</v>
      </c>
      <c r="E120" s="9">
        <v>1</v>
      </c>
      <c r="F120" s="9">
        <v>0</v>
      </c>
      <c r="G120" s="9">
        <v>1</v>
      </c>
      <c r="H120" s="9">
        <v>0</v>
      </c>
      <c r="I120" s="9">
        <v>0</v>
      </c>
      <c r="J120" s="10">
        <v>0</v>
      </c>
      <c r="K120">
        <f t="shared" si="2"/>
        <v>1</v>
      </c>
    </row>
    <row r="121" spans="1:11" x14ac:dyDescent="0.25">
      <c r="A121" s="11" t="s">
        <v>135</v>
      </c>
      <c r="B121" s="12" t="s">
        <v>25</v>
      </c>
      <c r="C121" s="13">
        <v>16</v>
      </c>
      <c r="D121" s="13">
        <v>2</v>
      </c>
      <c r="E121" s="13">
        <v>5</v>
      </c>
      <c r="F121" s="13">
        <v>11</v>
      </c>
      <c r="G121" s="13">
        <v>3</v>
      </c>
      <c r="H121" s="13">
        <v>0</v>
      </c>
      <c r="I121" s="13">
        <v>0</v>
      </c>
      <c r="J121" s="14">
        <v>0</v>
      </c>
      <c r="K121">
        <f t="shared" si="2"/>
        <v>18</v>
      </c>
    </row>
    <row r="122" spans="1:11" x14ac:dyDescent="0.25">
      <c r="A122" s="7" t="s">
        <v>136</v>
      </c>
      <c r="B122" s="8" t="s">
        <v>13</v>
      </c>
      <c r="C122" s="9">
        <v>13</v>
      </c>
      <c r="D122" s="9">
        <v>3</v>
      </c>
      <c r="E122" s="9">
        <v>3</v>
      </c>
      <c r="F122" s="9">
        <v>4</v>
      </c>
      <c r="G122" s="9">
        <v>0</v>
      </c>
      <c r="H122" s="9">
        <v>0</v>
      </c>
      <c r="I122" s="9">
        <v>0</v>
      </c>
      <c r="J122" s="10">
        <v>0</v>
      </c>
      <c r="K122">
        <f t="shared" si="2"/>
        <v>10</v>
      </c>
    </row>
    <row r="123" spans="1:11" x14ac:dyDescent="0.25">
      <c r="A123" s="11" t="s">
        <v>137</v>
      </c>
      <c r="B123" s="12" t="s">
        <v>11</v>
      </c>
      <c r="C123" s="13">
        <v>21</v>
      </c>
      <c r="D123" s="13">
        <v>39</v>
      </c>
      <c r="E123" s="13">
        <v>25</v>
      </c>
      <c r="F123" s="13">
        <v>24</v>
      </c>
      <c r="G123" s="13">
        <v>16</v>
      </c>
      <c r="H123" s="13">
        <v>0</v>
      </c>
      <c r="I123" s="13">
        <v>0</v>
      </c>
      <c r="J123" s="14">
        <v>0</v>
      </c>
      <c r="K123">
        <f t="shared" si="2"/>
        <v>88</v>
      </c>
    </row>
    <row r="124" spans="1:11" x14ac:dyDescent="0.25">
      <c r="A124" s="7" t="s">
        <v>138</v>
      </c>
      <c r="B124" s="8" t="s">
        <v>13</v>
      </c>
      <c r="C124" s="9">
        <v>14</v>
      </c>
      <c r="D124" s="9">
        <v>2</v>
      </c>
      <c r="E124" s="9">
        <v>3</v>
      </c>
      <c r="F124" s="9">
        <v>2</v>
      </c>
      <c r="G124" s="9">
        <v>0</v>
      </c>
      <c r="H124" s="9">
        <v>0</v>
      </c>
      <c r="I124" s="9">
        <v>0</v>
      </c>
      <c r="J124" s="10">
        <v>0</v>
      </c>
      <c r="K124">
        <f t="shared" si="2"/>
        <v>7</v>
      </c>
    </row>
    <row r="125" spans="1:11" x14ac:dyDescent="0.25">
      <c r="A125" s="11" t="s">
        <v>139</v>
      </c>
      <c r="B125" s="12" t="s">
        <v>22</v>
      </c>
      <c r="C125" s="13">
        <v>5</v>
      </c>
      <c r="D125" s="13">
        <v>33</v>
      </c>
      <c r="E125" s="13">
        <v>27</v>
      </c>
      <c r="F125" s="13">
        <v>55</v>
      </c>
      <c r="G125" s="13">
        <v>6</v>
      </c>
      <c r="H125" s="13">
        <v>2</v>
      </c>
      <c r="I125" s="13">
        <v>1</v>
      </c>
      <c r="J125" s="14">
        <v>4</v>
      </c>
      <c r="K125">
        <f t="shared" si="2"/>
        <v>122</v>
      </c>
    </row>
    <row r="126" spans="1:11" x14ac:dyDescent="0.25">
      <c r="A126" s="7" t="s">
        <v>140</v>
      </c>
      <c r="B126" s="8" t="s">
        <v>15</v>
      </c>
      <c r="C126" s="9">
        <v>20</v>
      </c>
      <c r="D126" s="9">
        <v>2</v>
      </c>
      <c r="E126" s="9">
        <v>2</v>
      </c>
      <c r="F126" s="9">
        <v>6</v>
      </c>
      <c r="G126" s="9">
        <v>1</v>
      </c>
      <c r="H126" s="9">
        <v>0</v>
      </c>
      <c r="I126" s="9">
        <v>0</v>
      </c>
      <c r="J126" s="10">
        <v>0</v>
      </c>
      <c r="K126">
        <f t="shared" si="2"/>
        <v>10</v>
      </c>
    </row>
    <row r="127" spans="1:11" x14ac:dyDescent="0.25">
      <c r="A127" s="11" t="s">
        <v>141</v>
      </c>
      <c r="B127" s="12" t="s">
        <v>11</v>
      </c>
      <c r="C127" s="13">
        <v>5</v>
      </c>
      <c r="D127" s="13">
        <v>5</v>
      </c>
      <c r="E127" s="13">
        <v>5</v>
      </c>
      <c r="F127" s="13">
        <v>10</v>
      </c>
      <c r="G127" s="13">
        <v>6</v>
      </c>
      <c r="H127" s="13">
        <v>1</v>
      </c>
      <c r="I127" s="13">
        <v>0</v>
      </c>
      <c r="J127" s="14">
        <v>0</v>
      </c>
      <c r="K127">
        <f t="shared" si="2"/>
        <v>21</v>
      </c>
    </row>
    <row r="128" spans="1:11" x14ac:dyDescent="0.25">
      <c r="A128" s="7" t="s">
        <v>142</v>
      </c>
      <c r="B128" s="8" t="s">
        <v>15</v>
      </c>
      <c r="C128" s="9">
        <v>17</v>
      </c>
      <c r="D128" s="9">
        <v>2</v>
      </c>
      <c r="E128" s="9">
        <v>2</v>
      </c>
      <c r="F128" s="9">
        <v>8</v>
      </c>
      <c r="G128" s="9">
        <v>4</v>
      </c>
      <c r="H128" s="9">
        <v>0</v>
      </c>
      <c r="I128" s="9">
        <v>0</v>
      </c>
      <c r="J128" s="10">
        <v>0</v>
      </c>
      <c r="K128">
        <f t="shared" si="2"/>
        <v>12</v>
      </c>
    </row>
    <row r="129" spans="1:11" x14ac:dyDescent="0.25">
      <c r="A129" s="11" t="s">
        <v>143</v>
      </c>
      <c r="B129" s="12" t="s">
        <v>22</v>
      </c>
      <c r="C129" s="13">
        <v>25</v>
      </c>
      <c r="D129" s="13">
        <v>167</v>
      </c>
      <c r="E129" s="13">
        <v>144</v>
      </c>
      <c r="F129" s="13">
        <v>165</v>
      </c>
      <c r="G129" s="13">
        <v>22</v>
      </c>
      <c r="H129" s="13">
        <v>0</v>
      </c>
      <c r="I129" s="13">
        <v>2</v>
      </c>
      <c r="J129" s="14">
        <v>4</v>
      </c>
      <c r="K129">
        <f t="shared" si="2"/>
        <v>482</v>
      </c>
    </row>
    <row r="130" spans="1:11" x14ac:dyDescent="0.25">
      <c r="A130" s="7" t="s">
        <v>144</v>
      </c>
      <c r="B130" s="8" t="s">
        <v>22</v>
      </c>
      <c r="C130" s="9">
        <v>27</v>
      </c>
      <c r="D130" s="9">
        <v>236</v>
      </c>
      <c r="E130" s="9">
        <v>272</v>
      </c>
      <c r="F130" s="9">
        <v>272</v>
      </c>
      <c r="G130" s="9">
        <v>22</v>
      </c>
      <c r="H130" s="9">
        <v>10</v>
      </c>
      <c r="I130" s="9">
        <v>4</v>
      </c>
      <c r="J130" s="10">
        <v>12</v>
      </c>
      <c r="K130">
        <f t="shared" si="2"/>
        <v>806</v>
      </c>
    </row>
    <row r="131" spans="1:11" x14ac:dyDescent="0.25">
      <c r="A131" s="11" t="s">
        <v>145</v>
      </c>
      <c r="B131" s="12" t="s">
        <v>11</v>
      </c>
      <c r="C131" s="13">
        <v>14</v>
      </c>
      <c r="D131" s="13">
        <v>0</v>
      </c>
      <c r="E131" s="13">
        <v>2</v>
      </c>
      <c r="F131" s="13">
        <v>0</v>
      </c>
      <c r="G131" s="13">
        <v>0</v>
      </c>
      <c r="H131" s="13">
        <v>0</v>
      </c>
      <c r="I131" s="13">
        <v>0</v>
      </c>
      <c r="J131" s="14">
        <v>0</v>
      </c>
      <c r="K131">
        <f t="shared" ref="K131:K139" si="3">SUM(D131:F131,H131:J131)</f>
        <v>2</v>
      </c>
    </row>
    <row r="132" spans="1:11" x14ac:dyDescent="0.25">
      <c r="A132" s="7" t="s">
        <v>146</v>
      </c>
      <c r="B132" s="8" t="s">
        <v>22</v>
      </c>
      <c r="C132" s="9">
        <v>26</v>
      </c>
      <c r="D132" s="9">
        <v>198</v>
      </c>
      <c r="E132" s="9">
        <v>166</v>
      </c>
      <c r="F132" s="9">
        <v>185</v>
      </c>
      <c r="G132" s="9">
        <v>22</v>
      </c>
      <c r="H132" s="9">
        <v>37</v>
      </c>
      <c r="I132" s="9">
        <v>34</v>
      </c>
      <c r="J132" s="10">
        <v>43</v>
      </c>
      <c r="K132">
        <f t="shared" si="3"/>
        <v>663</v>
      </c>
    </row>
    <row r="133" spans="1:11" x14ac:dyDescent="0.25">
      <c r="A133" s="11" t="s">
        <v>147</v>
      </c>
      <c r="B133" s="12" t="s">
        <v>22</v>
      </c>
      <c r="C133" s="13">
        <v>1</v>
      </c>
      <c r="D133" s="13">
        <v>45</v>
      </c>
      <c r="E133" s="13">
        <v>38</v>
      </c>
      <c r="F133" s="13">
        <v>29</v>
      </c>
      <c r="G133" s="13">
        <v>1</v>
      </c>
      <c r="H133" s="13">
        <v>9</v>
      </c>
      <c r="I133" s="13">
        <v>6</v>
      </c>
      <c r="J133" s="14">
        <v>8</v>
      </c>
      <c r="K133">
        <f t="shared" si="3"/>
        <v>135</v>
      </c>
    </row>
    <row r="134" spans="1:11" x14ac:dyDescent="0.25">
      <c r="A134" s="7" t="s">
        <v>148</v>
      </c>
      <c r="B134" s="8" t="s">
        <v>13</v>
      </c>
      <c r="C134" s="9">
        <v>12</v>
      </c>
      <c r="D134" s="9">
        <v>0</v>
      </c>
      <c r="E134" s="9">
        <v>1</v>
      </c>
      <c r="F134" s="9">
        <v>0</v>
      </c>
      <c r="G134" s="9">
        <v>0</v>
      </c>
      <c r="H134" s="9">
        <v>0</v>
      </c>
      <c r="I134" s="9">
        <v>0</v>
      </c>
      <c r="J134" s="10">
        <v>0</v>
      </c>
      <c r="K134">
        <f t="shared" si="3"/>
        <v>1</v>
      </c>
    </row>
    <row r="135" spans="1:11" x14ac:dyDescent="0.25">
      <c r="A135" s="11" t="s">
        <v>149</v>
      </c>
      <c r="B135" s="12" t="s">
        <v>25</v>
      </c>
      <c r="C135" s="13">
        <v>11</v>
      </c>
      <c r="D135" s="13">
        <v>0</v>
      </c>
      <c r="E135" s="13">
        <v>1</v>
      </c>
      <c r="F135" s="13">
        <v>0</v>
      </c>
      <c r="G135" s="13">
        <v>7</v>
      </c>
      <c r="H135" s="13">
        <v>0</v>
      </c>
      <c r="I135" s="13">
        <v>0</v>
      </c>
      <c r="J135" s="14">
        <v>0</v>
      </c>
      <c r="K135">
        <f t="shared" si="3"/>
        <v>1</v>
      </c>
    </row>
    <row r="136" spans="1:11" x14ac:dyDescent="0.25">
      <c r="A136" s="7" t="s">
        <v>150</v>
      </c>
      <c r="B136" s="8" t="s">
        <v>13</v>
      </c>
      <c r="C136" s="9">
        <v>12</v>
      </c>
      <c r="D136" s="9">
        <v>0</v>
      </c>
      <c r="E136" s="9">
        <v>1</v>
      </c>
      <c r="F136" s="9">
        <v>1</v>
      </c>
      <c r="G136" s="9">
        <v>0</v>
      </c>
      <c r="H136" s="9">
        <v>0</v>
      </c>
      <c r="I136" s="9">
        <v>0</v>
      </c>
      <c r="J136" s="10">
        <v>0</v>
      </c>
      <c r="K136">
        <f t="shared" si="3"/>
        <v>2</v>
      </c>
    </row>
    <row r="137" spans="1:11" x14ac:dyDescent="0.25">
      <c r="A137" s="11" t="s">
        <v>151</v>
      </c>
      <c r="B137" s="12" t="s">
        <v>13</v>
      </c>
      <c r="C137" s="13">
        <v>12</v>
      </c>
      <c r="D137" s="13">
        <v>3</v>
      </c>
      <c r="E137" s="13">
        <v>4</v>
      </c>
      <c r="F137" s="13">
        <v>1</v>
      </c>
      <c r="G137" s="13">
        <v>1</v>
      </c>
      <c r="H137" s="13">
        <v>0</v>
      </c>
      <c r="I137" s="13">
        <v>0</v>
      </c>
      <c r="J137" s="14">
        <v>0</v>
      </c>
      <c r="K137">
        <f t="shared" si="3"/>
        <v>8</v>
      </c>
    </row>
    <row r="138" spans="1:11" x14ac:dyDescent="0.25">
      <c r="A138" s="7" t="s">
        <v>152</v>
      </c>
      <c r="B138" s="8" t="s">
        <v>11</v>
      </c>
      <c r="C138" s="9">
        <v>8</v>
      </c>
      <c r="D138" s="9">
        <v>1</v>
      </c>
      <c r="E138" s="9">
        <v>0</v>
      </c>
      <c r="F138" s="9">
        <v>0</v>
      </c>
      <c r="G138" s="9">
        <v>0</v>
      </c>
      <c r="H138" s="9">
        <v>0</v>
      </c>
      <c r="I138" s="9">
        <v>0</v>
      </c>
      <c r="J138" s="10">
        <v>0</v>
      </c>
      <c r="K138">
        <f t="shared" si="3"/>
        <v>1</v>
      </c>
    </row>
    <row r="139" spans="1:11" x14ac:dyDescent="0.25">
      <c r="A139" s="15" t="s">
        <v>153</v>
      </c>
      <c r="B139" s="16" t="s">
        <v>22</v>
      </c>
      <c r="C139" s="2">
        <v>9</v>
      </c>
      <c r="D139" s="2">
        <v>395</v>
      </c>
      <c r="E139" s="2">
        <v>319</v>
      </c>
      <c r="F139" s="2">
        <v>296</v>
      </c>
      <c r="G139" s="2">
        <v>9</v>
      </c>
      <c r="H139" s="2">
        <v>78</v>
      </c>
      <c r="I139" s="2">
        <v>57</v>
      </c>
      <c r="J139" s="3">
        <v>59</v>
      </c>
      <c r="K139">
        <f t="shared" si="3"/>
        <v>1204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1EA3-61ED-47C0-8BBC-AB63FB3964F5}">
  <dimension ref="A1:N139"/>
  <sheetViews>
    <sheetView workbookViewId="0">
      <selection activeCell="M1" sqref="M1"/>
    </sheetView>
  </sheetViews>
  <sheetFormatPr defaultRowHeight="15" x14ac:dyDescent="0.25"/>
  <cols>
    <col min="1" max="1" width="37.5703125" bestFit="1" customWidth="1"/>
    <col min="2" max="2" width="13.28515625" bestFit="1" customWidth="1"/>
    <col min="3" max="3" width="11.85546875" bestFit="1" customWidth="1"/>
    <col min="4" max="4" width="7.7109375" bestFit="1" customWidth="1"/>
    <col min="5" max="5" width="10.140625" bestFit="1" customWidth="1"/>
    <col min="6" max="6" width="10.7109375" bestFit="1" customWidth="1"/>
    <col min="7" max="7" width="13.5703125" bestFit="1" customWidth="1"/>
    <col min="8" max="8" width="9.7109375" bestFit="1" customWidth="1"/>
    <col min="9" max="9" width="12.140625" bestFit="1" customWidth="1"/>
    <col min="10" max="10" width="12.7109375" bestFit="1" customWidth="1"/>
    <col min="13" max="13" width="17.7109375" bestFit="1" customWidth="1"/>
    <col min="14" max="14" width="11.140625" bestFit="1" customWidth="1"/>
  </cols>
  <sheetData>
    <row r="1" spans="1:14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18" t="s">
        <v>162</v>
      </c>
      <c r="M1" s="19" t="s">
        <v>1</v>
      </c>
      <c r="N1" t="s">
        <v>22</v>
      </c>
    </row>
    <row r="2" spans="1:14" x14ac:dyDescent="0.25">
      <c r="A2" s="7" t="s">
        <v>10</v>
      </c>
      <c r="B2" s="8" t="s">
        <v>11</v>
      </c>
      <c r="C2" s="9">
        <v>13</v>
      </c>
      <c r="D2" s="9">
        <v>0</v>
      </c>
      <c r="E2" s="9">
        <v>0</v>
      </c>
      <c r="F2" s="9">
        <v>2</v>
      </c>
      <c r="G2" s="9">
        <v>0</v>
      </c>
      <c r="H2" s="9">
        <v>0</v>
      </c>
      <c r="I2" s="9">
        <v>0</v>
      </c>
      <c r="J2" s="10">
        <v>0</v>
      </c>
      <c r="K2" t="str">
        <f>IF(AND(D2&gt;H2,E2&gt;I2,F2&gt;J2),"letni",IF(AND(D2&lt;H2,E2&lt;I2,F2&lt;J2),"zimowy",""))</f>
        <v/>
      </c>
    </row>
    <row r="3" spans="1:14" x14ac:dyDescent="0.25">
      <c r="A3" s="11" t="s">
        <v>12</v>
      </c>
      <c r="B3" s="12" t="s">
        <v>13</v>
      </c>
      <c r="C3" s="13">
        <v>12</v>
      </c>
      <c r="D3" s="13">
        <v>5</v>
      </c>
      <c r="E3" s="13">
        <v>2</v>
      </c>
      <c r="F3" s="13">
        <v>8</v>
      </c>
      <c r="G3" s="13">
        <v>3</v>
      </c>
      <c r="H3" s="13">
        <v>0</v>
      </c>
      <c r="I3" s="13">
        <v>0</v>
      </c>
      <c r="J3" s="14">
        <v>0</v>
      </c>
      <c r="K3" t="str">
        <f t="shared" ref="K3:K66" si="0">IF(AND(D3&gt;H3,E3&gt;I3,F3&gt;J3),"letni",IF(AND(D3&lt;H3,E3&lt;I3,F3&lt;J3),"zimowy",""))</f>
        <v>letni</v>
      </c>
      <c r="M3" s="19" t="s">
        <v>156</v>
      </c>
      <c r="N3" t="s">
        <v>165</v>
      </c>
    </row>
    <row r="4" spans="1:14" x14ac:dyDescent="0.25">
      <c r="A4" s="7" t="s">
        <v>14</v>
      </c>
      <c r="B4" s="8" t="s">
        <v>15</v>
      </c>
      <c r="C4" s="9">
        <v>13</v>
      </c>
      <c r="D4" s="9">
        <v>0</v>
      </c>
      <c r="E4" s="9">
        <v>1</v>
      </c>
      <c r="F4" s="9">
        <v>0</v>
      </c>
      <c r="G4" s="9">
        <v>2</v>
      </c>
      <c r="H4" s="9">
        <v>0</v>
      </c>
      <c r="I4" s="9">
        <v>0</v>
      </c>
      <c r="J4" s="10">
        <v>0</v>
      </c>
      <c r="K4" t="str">
        <f t="shared" si="0"/>
        <v/>
      </c>
      <c r="M4" s="20"/>
      <c r="N4" s="1">
        <v>9</v>
      </c>
    </row>
    <row r="5" spans="1:14" x14ac:dyDescent="0.25">
      <c r="A5" s="11" t="s">
        <v>16</v>
      </c>
      <c r="B5" s="12" t="s">
        <v>11</v>
      </c>
      <c r="C5" s="13">
        <v>10</v>
      </c>
      <c r="D5" s="13">
        <v>0</v>
      </c>
      <c r="E5" s="13">
        <v>1</v>
      </c>
      <c r="F5" s="13">
        <v>2</v>
      </c>
      <c r="G5" s="13">
        <v>0</v>
      </c>
      <c r="H5" s="13">
        <v>0</v>
      </c>
      <c r="I5" s="13">
        <v>0</v>
      </c>
      <c r="J5" s="14">
        <v>0</v>
      </c>
      <c r="K5" t="str">
        <f t="shared" si="0"/>
        <v/>
      </c>
      <c r="M5" s="20" t="s">
        <v>163</v>
      </c>
      <c r="N5" s="1">
        <v>35</v>
      </c>
    </row>
    <row r="6" spans="1:14" x14ac:dyDescent="0.25">
      <c r="A6" s="7" t="s">
        <v>17</v>
      </c>
      <c r="B6" s="8" t="s">
        <v>15</v>
      </c>
      <c r="C6" s="9">
        <v>23</v>
      </c>
      <c r="D6" s="9">
        <v>18</v>
      </c>
      <c r="E6" s="9">
        <v>24</v>
      </c>
      <c r="F6" s="9">
        <v>28</v>
      </c>
      <c r="G6" s="9">
        <v>18</v>
      </c>
      <c r="H6" s="9">
        <v>0</v>
      </c>
      <c r="I6" s="9">
        <v>0</v>
      </c>
      <c r="J6" s="10">
        <v>0</v>
      </c>
      <c r="K6" t="str">
        <f t="shared" si="0"/>
        <v>letni</v>
      </c>
      <c r="M6" s="20" t="s">
        <v>164</v>
      </c>
      <c r="N6" s="1">
        <v>3</v>
      </c>
    </row>
    <row r="7" spans="1:14" x14ac:dyDescent="0.25">
      <c r="A7" s="11" t="s">
        <v>18</v>
      </c>
      <c r="B7" s="12" t="s">
        <v>11</v>
      </c>
      <c r="C7" s="13">
        <v>5</v>
      </c>
      <c r="D7" s="13">
        <v>1</v>
      </c>
      <c r="E7" s="13">
        <v>2</v>
      </c>
      <c r="F7" s="13">
        <v>9</v>
      </c>
      <c r="G7" s="13">
        <v>6</v>
      </c>
      <c r="H7" s="13">
        <v>0</v>
      </c>
      <c r="I7" s="13">
        <v>0</v>
      </c>
      <c r="J7" s="14">
        <v>0</v>
      </c>
      <c r="K7" t="str">
        <f t="shared" si="0"/>
        <v>letni</v>
      </c>
      <c r="M7" s="20" t="s">
        <v>157</v>
      </c>
      <c r="N7" s="1">
        <v>47</v>
      </c>
    </row>
    <row r="8" spans="1:14" x14ac:dyDescent="0.25">
      <c r="A8" s="7" t="s">
        <v>19</v>
      </c>
      <c r="B8" s="8" t="s">
        <v>20</v>
      </c>
      <c r="C8" s="9">
        <v>25</v>
      </c>
      <c r="D8" s="9">
        <v>138</v>
      </c>
      <c r="E8" s="9">
        <v>153</v>
      </c>
      <c r="F8" s="9">
        <v>177</v>
      </c>
      <c r="G8" s="9">
        <v>18</v>
      </c>
      <c r="H8" s="9">
        <v>5</v>
      </c>
      <c r="I8" s="9">
        <v>3</v>
      </c>
      <c r="J8" s="10">
        <v>4</v>
      </c>
      <c r="K8" t="str">
        <f t="shared" si="0"/>
        <v>letni</v>
      </c>
    </row>
    <row r="9" spans="1:14" x14ac:dyDescent="0.25">
      <c r="A9" s="11" t="s">
        <v>21</v>
      </c>
      <c r="B9" s="12" t="s">
        <v>22</v>
      </c>
      <c r="C9" s="13">
        <v>26</v>
      </c>
      <c r="D9" s="13">
        <v>18</v>
      </c>
      <c r="E9" s="13">
        <v>33</v>
      </c>
      <c r="F9" s="13">
        <v>35</v>
      </c>
      <c r="G9" s="13">
        <v>22</v>
      </c>
      <c r="H9" s="13">
        <v>59</v>
      </c>
      <c r="I9" s="13">
        <v>78</v>
      </c>
      <c r="J9" s="14">
        <v>81</v>
      </c>
      <c r="K9" t="str">
        <f t="shared" si="0"/>
        <v>zimowy</v>
      </c>
    </row>
    <row r="10" spans="1:14" x14ac:dyDescent="0.25">
      <c r="A10" s="7" t="s">
        <v>23</v>
      </c>
      <c r="B10" s="8" t="s">
        <v>11</v>
      </c>
      <c r="C10" s="9">
        <v>5</v>
      </c>
      <c r="D10" s="9">
        <v>6</v>
      </c>
      <c r="E10" s="9">
        <v>5</v>
      </c>
      <c r="F10" s="9">
        <v>15</v>
      </c>
      <c r="G10" s="9">
        <v>5</v>
      </c>
      <c r="H10" s="9">
        <v>0</v>
      </c>
      <c r="I10" s="9">
        <v>0</v>
      </c>
      <c r="J10" s="10">
        <v>0</v>
      </c>
      <c r="K10" t="str">
        <f t="shared" si="0"/>
        <v>letni</v>
      </c>
    </row>
    <row r="11" spans="1:14" x14ac:dyDescent="0.25">
      <c r="A11" s="11" t="s">
        <v>24</v>
      </c>
      <c r="B11" s="12" t="s">
        <v>25</v>
      </c>
      <c r="C11" s="13">
        <v>15</v>
      </c>
      <c r="D11" s="13">
        <v>5</v>
      </c>
      <c r="E11" s="13">
        <v>2</v>
      </c>
      <c r="F11" s="13">
        <v>5</v>
      </c>
      <c r="G11" s="13">
        <v>0</v>
      </c>
      <c r="H11" s="13">
        <v>0</v>
      </c>
      <c r="I11" s="13">
        <v>0</v>
      </c>
      <c r="J11" s="14">
        <v>0</v>
      </c>
      <c r="K11" t="str">
        <f t="shared" si="0"/>
        <v>letni</v>
      </c>
    </row>
    <row r="12" spans="1:14" x14ac:dyDescent="0.25">
      <c r="A12" s="7" t="s">
        <v>26</v>
      </c>
      <c r="B12" s="8" t="s">
        <v>11</v>
      </c>
      <c r="C12" s="9">
        <v>8</v>
      </c>
      <c r="D12" s="9">
        <v>0</v>
      </c>
      <c r="E12" s="9">
        <v>0</v>
      </c>
      <c r="F12" s="9">
        <v>1</v>
      </c>
      <c r="G12" s="9">
        <v>0</v>
      </c>
      <c r="H12" s="9">
        <v>0</v>
      </c>
      <c r="I12" s="9">
        <v>0</v>
      </c>
      <c r="J12" s="10">
        <v>0</v>
      </c>
      <c r="K12" t="str">
        <f t="shared" si="0"/>
        <v/>
      </c>
    </row>
    <row r="13" spans="1:14" x14ac:dyDescent="0.25">
      <c r="A13" s="11" t="s">
        <v>27</v>
      </c>
      <c r="B13" s="12" t="s">
        <v>25</v>
      </c>
      <c r="C13" s="13">
        <v>11</v>
      </c>
      <c r="D13" s="13">
        <v>0</v>
      </c>
      <c r="E13" s="13">
        <v>0</v>
      </c>
      <c r="F13" s="13">
        <v>1</v>
      </c>
      <c r="G13" s="13">
        <v>0</v>
      </c>
      <c r="H13" s="13">
        <v>0</v>
      </c>
      <c r="I13" s="13">
        <v>0</v>
      </c>
      <c r="J13" s="14">
        <v>0</v>
      </c>
      <c r="K13" t="str">
        <f t="shared" si="0"/>
        <v/>
      </c>
    </row>
    <row r="14" spans="1:14" x14ac:dyDescent="0.25">
      <c r="A14" s="7" t="s">
        <v>28</v>
      </c>
      <c r="B14" s="8" t="s">
        <v>22</v>
      </c>
      <c r="C14" s="9">
        <v>25</v>
      </c>
      <c r="D14" s="9">
        <v>37</v>
      </c>
      <c r="E14" s="9">
        <v>52</v>
      </c>
      <c r="F14" s="9">
        <v>53</v>
      </c>
      <c r="G14" s="9">
        <v>20</v>
      </c>
      <c r="H14" s="9">
        <v>1</v>
      </c>
      <c r="I14" s="9">
        <v>1</v>
      </c>
      <c r="J14" s="10">
        <v>3</v>
      </c>
      <c r="K14" t="str">
        <f t="shared" si="0"/>
        <v>letni</v>
      </c>
    </row>
    <row r="15" spans="1:14" x14ac:dyDescent="0.25">
      <c r="A15" s="11" t="s">
        <v>29</v>
      </c>
      <c r="B15" s="12" t="s">
        <v>25</v>
      </c>
      <c r="C15" s="13">
        <v>17</v>
      </c>
      <c r="D15" s="13">
        <v>0</v>
      </c>
      <c r="E15" s="13">
        <v>0</v>
      </c>
      <c r="F15" s="13">
        <v>1</v>
      </c>
      <c r="G15" s="13">
        <v>7</v>
      </c>
      <c r="H15" s="13">
        <v>0</v>
      </c>
      <c r="I15" s="13">
        <v>0</v>
      </c>
      <c r="J15" s="14">
        <v>0</v>
      </c>
      <c r="K15" t="str">
        <f t="shared" si="0"/>
        <v/>
      </c>
    </row>
    <row r="16" spans="1:14" x14ac:dyDescent="0.25">
      <c r="A16" s="7" t="s">
        <v>30</v>
      </c>
      <c r="B16" s="8" t="s">
        <v>22</v>
      </c>
      <c r="C16" s="9">
        <v>5</v>
      </c>
      <c r="D16" s="9">
        <v>12</v>
      </c>
      <c r="E16" s="9">
        <v>24</v>
      </c>
      <c r="F16" s="9">
        <v>40</v>
      </c>
      <c r="G16" s="9">
        <v>6</v>
      </c>
      <c r="H16" s="9">
        <v>6</v>
      </c>
      <c r="I16" s="9">
        <v>4</v>
      </c>
      <c r="J16" s="10">
        <v>5</v>
      </c>
      <c r="K16" t="str">
        <f t="shared" si="0"/>
        <v>letni</v>
      </c>
    </row>
    <row r="17" spans="1:11" x14ac:dyDescent="0.25">
      <c r="A17" s="11" t="s">
        <v>31</v>
      </c>
      <c r="B17" s="12" t="s">
        <v>11</v>
      </c>
      <c r="C17" s="13">
        <v>9</v>
      </c>
      <c r="D17" s="13">
        <v>0</v>
      </c>
      <c r="E17" s="13">
        <v>1</v>
      </c>
      <c r="F17" s="13">
        <v>0</v>
      </c>
      <c r="G17" s="13">
        <v>0</v>
      </c>
      <c r="H17" s="13">
        <v>0</v>
      </c>
      <c r="I17" s="13">
        <v>0</v>
      </c>
      <c r="J17" s="14">
        <v>0</v>
      </c>
      <c r="K17" t="str">
        <f t="shared" si="0"/>
        <v/>
      </c>
    </row>
    <row r="18" spans="1:11" x14ac:dyDescent="0.25">
      <c r="A18" s="7" t="s">
        <v>32</v>
      </c>
      <c r="B18" s="8" t="s">
        <v>15</v>
      </c>
      <c r="C18" s="9">
        <v>21</v>
      </c>
      <c r="D18" s="9">
        <v>23</v>
      </c>
      <c r="E18" s="9">
        <v>30</v>
      </c>
      <c r="F18" s="9">
        <v>55</v>
      </c>
      <c r="G18" s="9">
        <v>7</v>
      </c>
      <c r="H18" s="9">
        <v>0</v>
      </c>
      <c r="I18" s="9">
        <v>0</v>
      </c>
      <c r="J18" s="10">
        <v>0</v>
      </c>
      <c r="K18" t="str">
        <f t="shared" si="0"/>
        <v>letni</v>
      </c>
    </row>
    <row r="19" spans="1:11" x14ac:dyDescent="0.25">
      <c r="A19" s="11" t="s">
        <v>33</v>
      </c>
      <c r="B19" s="12" t="s">
        <v>22</v>
      </c>
      <c r="C19" s="13">
        <v>19</v>
      </c>
      <c r="D19" s="13">
        <v>51</v>
      </c>
      <c r="E19" s="13">
        <v>85</v>
      </c>
      <c r="F19" s="13">
        <v>78</v>
      </c>
      <c r="G19" s="13">
        <v>19</v>
      </c>
      <c r="H19" s="13">
        <v>1</v>
      </c>
      <c r="I19" s="13">
        <v>2</v>
      </c>
      <c r="J19" s="14">
        <v>3</v>
      </c>
      <c r="K19" t="str">
        <f t="shared" si="0"/>
        <v>letni</v>
      </c>
    </row>
    <row r="20" spans="1:11" x14ac:dyDescent="0.25">
      <c r="A20" s="7" t="s">
        <v>34</v>
      </c>
      <c r="B20" s="8" t="s">
        <v>13</v>
      </c>
      <c r="C20" s="9">
        <v>5</v>
      </c>
      <c r="D20" s="9">
        <v>1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10">
        <v>0</v>
      </c>
      <c r="K20" t="str">
        <f t="shared" si="0"/>
        <v/>
      </c>
    </row>
    <row r="21" spans="1:11" x14ac:dyDescent="0.25">
      <c r="A21" s="11" t="s">
        <v>35</v>
      </c>
      <c r="B21" s="12" t="s">
        <v>15</v>
      </c>
      <c r="C21" s="13">
        <v>22</v>
      </c>
      <c r="D21" s="13">
        <v>2</v>
      </c>
      <c r="E21" s="13">
        <v>7</v>
      </c>
      <c r="F21" s="13">
        <v>4</v>
      </c>
      <c r="G21" s="13">
        <v>16</v>
      </c>
      <c r="H21" s="13">
        <v>0</v>
      </c>
      <c r="I21" s="13">
        <v>0</v>
      </c>
      <c r="J21" s="14">
        <v>0</v>
      </c>
      <c r="K21" t="str">
        <f t="shared" si="0"/>
        <v>letni</v>
      </c>
    </row>
    <row r="22" spans="1:11" x14ac:dyDescent="0.25">
      <c r="A22" s="7" t="s">
        <v>36</v>
      </c>
      <c r="B22" s="8" t="s">
        <v>11</v>
      </c>
      <c r="C22" s="9">
        <v>9</v>
      </c>
      <c r="D22" s="9">
        <v>201</v>
      </c>
      <c r="E22" s="9">
        <v>144</v>
      </c>
      <c r="F22" s="9">
        <v>128</v>
      </c>
      <c r="G22" s="9">
        <v>10</v>
      </c>
      <c r="H22" s="9">
        <v>12</v>
      </c>
      <c r="I22" s="9">
        <v>22</v>
      </c>
      <c r="J22" s="10">
        <v>19</v>
      </c>
      <c r="K22" t="str">
        <f t="shared" si="0"/>
        <v>letni</v>
      </c>
    </row>
    <row r="23" spans="1:11" x14ac:dyDescent="0.25">
      <c r="A23" s="11" t="s">
        <v>37</v>
      </c>
      <c r="B23" s="12" t="s">
        <v>22</v>
      </c>
      <c r="C23" s="13">
        <v>6</v>
      </c>
      <c r="D23" s="13">
        <v>6</v>
      </c>
      <c r="E23" s="13">
        <v>7</v>
      </c>
      <c r="F23" s="13">
        <v>10</v>
      </c>
      <c r="G23" s="13">
        <v>7</v>
      </c>
      <c r="H23" s="13">
        <v>4</v>
      </c>
      <c r="I23" s="13">
        <v>6</v>
      </c>
      <c r="J23" s="14">
        <v>1</v>
      </c>
      <c r="K23" t="str">
        <f t="shared" si="0"/>
        <v>letni</v>
      </c>
    </row>
    <row r="24" spans="1:11" x14ac:dyDescent="0.25">
      <c r="A24" s="7" t="s">
        <v>38</v>
      </c>
      <c r="B24" s="8" t="s">
        <v>22</v>
      </c>
      <c r="C24" s="9">
        <v>9</v>
      </c>
      <c r="D24" s="9">
        <v>0</v>
      </c>
      <c r="E24" s="9">
        <v>1</v>
      </c>
      <c r="F24" s="9">
        <v>0</v>
      </c>
      <c r="G24" s="9">
        <v>10</v>
      </c>
      <c r="H24" s="9">
        <v>0</v>
      </c>
      <c r="I24" s="9">
        <v>0</v>
      </c>
      <c r="J24" s="10">
        <v>0</v>
      </c>
      <c r="K24" t="str">
        <f t="shared" si="0"/>
        <v/>
      </c>
    </row>
    <row r="25" spans="1:11" x14ac:dyDescent="0.25">
      <c r="A25" s="11" t="s">
        <v>39</v>
      </c>
      <c r="B25" s="12" t="s">
        <v>22</v>
      </c>
      <c r="C25" s="13">
        <v>2</v>
      </c>
      <c r="D25" s="13">
        <v>0</v>
      </c>
      <c r="E25" s="13">
        <v>1</v>
      </c>
      <c r="F25" s="13">
        <v>0</v>
      </c>
      <c r="G25" s="13">
        <v>2</v>
      </c>
      <c r="H25" s="13">
        <v>0</v>
      </c>
      <c r="I25" s="13">
        <v>0</v>
      </c>
      <c r="J25" s="14">
        <v>0</v>
      </c>
      <c r="K25" t="str">
        <f t="shared" si="0"/>
        <v/>
      </c>
    </row>
    <row r="26" spans="1:11" x14ac:dyDescent="0.25">
      <c r="A26" s="7" t="s">
        <v>40</v>
      </c>
      <c r="B26" s="8" t="s">
        <v>22</v>
      </c>
      <c r="C26" s="9">
        <v>16</v>
      </c>
      <c r="D26" s="9">
        <v>49</v>
      </c>
      <c r="E26" s="9">
        <v>49</v>
      </c>
      <c r="F26" s="9">
        <v>45</v>
      </c>
      <c r="G26" s="9">
        <v>16</v>
      </c>
      <c r="H26" s="9">
        <v>2</v>
      </c>
      <c r="I26" s="9">
        <v>8</v>
      </c>
      <c r="J26" s="10">
        <v>15</v>
      </c>
      <c r="K26" t="str">
        <f t="shared" si="0"/>
        <v>letni</v>
      </c>
    </row>
    <row r="27" spans="1:11" x14ac:dyDescent="0.25">
      <c r="A27" s="11" t="s">
        <v>41</v>
      </c>
      <c r="B27" s="12" t="s">
        <v>22</v>
      </c>
      <c r="C27" s="13">
        <v>5</v>
      </c>
      <c r="D27" s="13">
        <v>14</v>
      </c>
      <c r="E27" s="13">
        <v>15</v>
      </c>
      <c r="F27" s="13">
        <v>15</v>
      </c>
      <c r="G27" s="13">
        <v>6</v>
      </c>
      <c r="H27" s="13">
        <v>7</v>
      </c>
      <c r="I27" s="13">
        <v>9</v>
      </c>
      <c r="J27" s="14">
        <v>8</v>
      </c>
      <c r="K27" t="str">
        <f t="shared" si="0"/>
        <v>letni</v>
      </c>
    </row>
    <row r="28" spans="1:11" x14ac:dyDescent="0.25">
      <c r="A28" s="7" t="s">
        <v>42</v>
      </c>
      <c r="B28" s="8" t="s">
        <v>22</v>
      </c>
      <c r="C28" s="9">
        <v>26</v>
      </c>
      <c r="D28" s="9">
        <v>43</v>
      </c>
      <c r="E28" s="9">
        <v>68</v>
      </c>
      <c r="F28" s="9">
        <v>68</v>
      </c>
      <c r="G28" s="9">
        <v>13</v>
      </c>
      <c r="H28" s="9">
        <v>0</v>
      </c>
      <c r="I28" s="9">
        <v>1</v>
      </c>
      <c r="J28" s="10">
        <v>0</v>
      </c>
      <c r="K28" t="str">
        <f t="shared" si="0"/>
        <v>letni</v>
      </c>
    </row>
    <row r="29" spans="1:11" x14ac:dyDescent="0.25">
      <c r="A29" s="11" t="s">
        <v>43</v>
      </c>
      <c r="B29" s="12" t="s">
        <v>25</v>
      </c>
      <c r="C29" s="13">
        <v>13</v>
      </c>
      <c r="D29" s="13">
        <v>3</v>
      </c>
      <c r="E29" s="13">
        <v>2</v>
      </c>
      <c r="F29" s="13">
        <v>1</v>
      </c>
      <c r="G29" s="13">
        <v>0</v>
      </c>
      <c r="H29" s="13">
        <v>0</v>
      </c>
      <c r="I29" s="13">
        <v>0</v>
      </c>
      <c r="J29" s="14">
        <v>0</v>
      </c>
      <c r="K29" t="str">
        <f t="shared" si="0"/>
        <v>letni</v>
      </c>
    </row>
    <row r="30" spans="1:11" x14ac:dyDescent="0.25">
      <c r="A30" s="7" t="s">
        <v>44</v>
      </c>
      <c r="B30" s="8" t="s">
        <v>13</v>
      </c>
      <c r="C30" s="9">
        <v>7</v>
      </c>
      <c r="D30" s="9">
        <v>0</v>
      </c>
      <c r="E30" s="9">
        <v>0</v>
      </c>
      <c r="F30" s="9">
        <v>1</v>
      </c>
      <c r="G30" s="9">
        <v>0</v>
      </c>
      <c r="H30" s="9">
        <v>0</v>
      </c>
      <c r="I30" s="9">
        <v>0</v>
      </c>
      <c r="J30" s="10">
        <v>0</v>
      </c>
      <c r="K30" t="str">
        <f t="shared" si="0"/>
        <v/>
      </c>
    </row>
    <row r="31" spans="1:11" x14ac:dyDescent="0.25">
      <c r="A31" s="11" t="s">
        <v>45</v>
      </c>
      <c r="B31" s="12" t="s">
        <v>13</v>
      </c>
      <c r="C31" s="13">
        <v>21</v>
      </c>
      <c r="D31" s="13">
        <v>7</v>
      </c>
      <c r="E31" s="13">
        <v>9</v>
      </c>
      <c r="F31" s="13">
        <v>10</v>
      </c>
      <c r="G31" s="13">
        <v>1</v>
      </c>
      <c r="H31" s="13">
        <v>0</v>
      </c>
      <c r="I31" s="13">
        <v>0</v>
      </c>
      <c r="J31" s="14">
        <v>0</v>
      </c>
      <c r="K31" t="str">
        <f t="shared" si="0"/>
        <v>letni</v>
      </c>
    </row>
    <row r="32" spans="1:11" x14ac:dyDescent="0.25">
      <c r="A32" s="7" t="s">
        <v>46</v>
      </c>
      <c r="B32" s="8" t="s">
        <v>15</v>
      </c>
      <c r="C32" s="9">
        <v>13</v>
      </c>
      <c r="D32" s="9">
        <v>1</v>
      </c>
      <c r="E32" s="9">
        <v>1</v>
      </c>
      <c r="F32" s="9">
        <v>0</v>
      </c>
      <c r="G32" s="9">
        <v>0</v>
      </c>
      <c r="H32" s="9">
        <v>0</v>
      </c>
      <c r="I32" s="9">
        <v>0</v>
      </c>
      <c r="J32" s="10">
        <v>0</v>
      </c>
      <c r="K32" t="str">
        <f t="shared" si="0"/>
        <v/>
      </c>
    </row>
    <row r="33" spans="1:11" x14ac:dyDescent="0.25">
      <c r="A33" s="11" t="s">
        <v>47</v>
      </c>
      <c r="B33" s="12" t="s">
        <v>13</v>
      </c>
      <c r="C33" s="13">
        <v>4</v>
      </c>
      <c r="D33" s="13">
        <v>0</v>
      </c>
      <c r="E33" s="13">
        <v>0</v>
      </c>
      <c r="F33" s="13">
        <v>1</v>
      </c>
      <c r="G33" s="13">
        <v>0</v>
      </c>
      <c r="H33" s="13">
        <v>0</v>
      </c>
      <c r="I33" s="13">
        <v>0</v>
      </c>
      <c r="J33" s="14">
        <v>0</v>
      </c>
      <c r="K33" t="str">
        <f t="shared" si="0"/>
        <v/>
      </c>
    </row>
    <row r="34" spans="1:11" x14ac:dyDescent="0.25">
      <c r="A34" s="7" t="s">
        <v>48</v>
      </c>
      <c r="B34" s="8" t="s">
        <v>22</v>
      </c>
      <c r="C34" s="9">
        <v>11</v>
      </c>
      <c r="D34" s="9">
        <v>9</v>
      </c>
      <c r="E34" s="9">
        <v>9</v>
      </c>
      <c r="F34" s="9">
        <v>15</v>
      </c>
      <c r="G34" s="9">
        <v>9</v>
      </c>
      <c r="H34" s="9">
        <v>4</v>
      </c>
      <c r="I34" s="9">
        <v>2</v>
      </c>
      <c r="J34" s="10">
        <v>1</v>
      </c>
      <c r="K34" t="str">
        <f t="shared" si="0"/>
        <v>letni</v>
      </c>
    </row>
    <row r="35" spans="1:11" x14ac:dyDescent="0.25">
      <c r="A35" s="11" t="s">
        <v>49</v>
      </c>
      <c r="B35" s="12" t="s">
        <v>13</v>
      </c>
      <c r="C35" s="13">
        <v>12</v>
      </c>
      <c r="D35" s="13">
        <v>21</v>
      </c>
      <c r="E35" s="13">
        <v>7</v>
      </c>
      <c r="F35" s="13">
        <v>17</v>
      </c>
      <c r="G35" s="13">
        <v>2</v>
      </c>
      <c r="H35" s="13">
        <v>0</v>
      </c>
      <c r="I35" s="13">
        <v>0</v>
      </c>
      <c r="J35" s="14">
        <v>0</v>
      </c>
      <c r="K35" t="str">
        <f t="shared" si="0"/>
        <v>letni</v>
      </c>
    </row>
    <row r="36" spans="1:11" x14ac:dyDescent="0.25">
      <c r="A36" s="7" t="s">
        <v>50</v>
      </c>
      <c r="B36" s="8" t="s">
        <v>11</v>
      </c>
      <c r="C36" s="9">
        <v>20</v>
      </c>
      <c r="D36" s="9">
        <v>0</v>
      </c>
      <c r="E36" s="9">
        <v>2</v>
      </c>
      <c r="F36" s="9">
        <v>7</v>
      </c>
      <c r="G36" s="9">
        <v>4</v>
      </c>
      <c r="H36" s="9">
        <v>0</v>
      </c>
      <c r="I36" s="9">
        <v>0</v>
      </c>
      <c r="J36" s="10">
        <v>0</v>
      </c>
      <c r="K36" t="str">
        <f t="shared" si="0"/>
        <v/>
      </c>
    </row>
    <row r="37" spans="1:11" x14ac:dyDescent="0.25">
      <c r="A37" s="11" t="s">
        <v>51</v>
      </c>
      <c r="B37" s="12" t="s">
        <v>22</v>
      </c>
      <c r="C37" s="13">
        <v>24</v>
      </c>
      <c r="D37" s="13">
        <v>101</v>
      </c>
      <c r="E37" s="13">
        <v>84</v>
      </c>
      <c r="F37" s="13">
        <v>117</v>
      </c>
      <c r="G37" s="13">
        <v>22</v>
      </c>
      <c r="H37" s="13">
        <v>42</v>
      </c>
      <c r="I37" s="13">
        <v>62</v>
      </c>
      <c r="J37" s="14">
        <v>56</v>
      </c>
      <c r="K37" t="str">
        <f t="shared" si="0"/>
        <v>letni</v>
      </c>
    </row>
    <row r="38" spans="1:11" x14ac:dyDescent="0.25">
      <c r="A38" s="7" t="s">
        <v>52</v>
      </c>
      <c r="B38" s="8" t="s">
        <v>22</v>
      </c>
      <c r="C38" s="9">
        <v>27</v>
      </c>
      <c r="D38" s="9">
        <v>202</v>
      </c>
      <c r="E38" s="9">
        <v>223</v>
      </c>
      <c r="F38" s="9">
        <v>246</v>
      </c>
      <c r="G38" s="9">
        <v>22</v>
      </c>
      <c r="H38" s="9">
        <v>31</v>
      </c>
      <c r="I38" s="9">
        <v>31</v>
      </c>
      <c r="J38" s="10">
        <v>47</v>
      </c>
      <c r="K38" t="str">
        <f t="shared" si="0"/>
        <v>letni</v>
      </c>
    </row>
    <row r="39" spans="1:11" x14ac:dyDescent="0.25">
      <c r="A39" s="11" t="s">
        <v>53</v>
      </c>
      <c r="B39" s="12" t="s">
        <v>13</v>
      </c>
      <c r="C39" s="13">
        <v>9</v>
      </c>
      <c r="D39" s="13">
        <v>0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4">
        <v>0</v>
      </c>
      <c r="K39" t="str">
        <f t="shared" si="0"/>
        <v/>
      </c>
    </row>
    <row r="40" spans="1:11" x14ac:dyDescent="0.25">
      <c r="A40" s="7" t="s">
        <v>54</v>
      </c>
      <c r="B40" s="8" t="s">
        <v>13</v>
      </c>
      <c r="C40" s="9">
        <v>13</v>
      </c>
      <c r="D40" s="9">
        <v>0</v>
      </c>
      <c r="E40" s="9">
        <v>1</v>
      </c>
      <c r="F40" s="9">
        <v>3</v>
      </c>
      <c r="G40" s="9">
        <v>1</v>
      </c>
      <c r="H40" s="9">
        <v>0</v>
      </c>
      <c r="I40" s="9">
        <v>0</v>
      </c>
      <c r="J40" s="10">
        <v>0</v>
      </c>
      <c r="K40" t="str">
        <f t="shared" si="0"/>
        <v/>
      </c>
    </row>
    <row r="41" spans="1:11" x14ac:dyDescent="0.25">
      <c r="A41" s="11" t="s">
        <v>55</v>
      </c>
      <c r="B41" s="12" t="s">
        <v>22</v>
      </c>
      <c r="C41" s="13">
        <v>27</v>
      </c>
      <c r="D41" s="13">
        <v>30</v>
      </c>
      <c r="E41" s="13">
        <v>42</v>
      </c>
      <c r="F41" s="13">
        <v>38</v>
      </c>
      <c r="G41" s="13">
        <v>18</v>
      </c>
      <c r="H41" s="13">
        <v>0</v>
      </c>
      <c r="I41" s="13">
        <v>0</v>
      </c>
      <c r="J41" s="14">
        <v>0</v>
      </c>
      <c r="K41" t="str">
        <f t="shared" si="0"/>
        <v>letni</v>
      </c>
    </row>
    <row r="42" spans="1:11" x14ac:dyDescent="0.25">
      <c r="A42" s="7" t="s">
        <v>56</v>
      </c>
      <c r="B42" s="8" t="s">
        <v>11</v>
      </c>
      <c r="C42" s="9">
        <v>5</v>
      </c>
      <c r="D42" s="9">
        <v>6</v>
      </c>
      <c r="E42" s="9">
        <v>5</v>
      </c>
      <c r="F42" s="9">
        <v>14</v>
      </c>
      <c r="G42" s="9">
        <v>6</v>
      </c>
      <c r="H42" s="9">
        <v>0</v>
      </c>
      <c r="I42" s="9">
        <v>0</v>
      </c>
      <c r="J42" s="10">
        <v>0</v>
      </c>
      <c r="K42" t="str">
        <f t="shared" si="0"/>
        <v>letni</v>
      </c>
    </row>
    <row r="43" spans="1:11" x14ac:dyDescent="0.25">
      <c r="A43" s="11" t="s">
        <v>57</v>
      </c>
      <c r="B43" s="12" t="s">
        <v>15</v>
      </c>
      <c r="C43" s="13">
        <v>16</v>
      </c>
      <c r="D43" s="13">
        <v>0</v>
      </c>
      <c r="E43" s="13">
        <v>0</v>
      </c>
      <c r="F43" s="13">
        <v>1</v>
      </c>
      <c r="G43" s="13">
        <v>0</v>
      </c>
      <c r="H43" s="13">
        <v>0</v>
      </c>
      <c r="I43" s="13">
        <v>0</v>
      </c>
      <c r="J43" s="14">
        <v>0</v>
      </c>
      <c r="K43" t="str">
        <f t="shared" si="0"/>
        <v/>
      </c>
    </row>
    <row r="44" spans="1:11" x14ac:dyDescent="0.25">
      <c r="A44" s="7" t="s">
        <v>58</v>
      </c>
      <c r="B44" s="8" t="s">
        <v>25</v>
      </c>
      <c r="C44" s="9">
        <v>14</v>
      </c>
      <c r="D44" s="9">
        <v>0</v>
      </c>
      <c r="E44" s="9">
        <v>1</v>
      </c>
      <c r="F44" s="9">
        <v>1</v>
      </c>
      <c r="G44" s="9">
        <v>0</v>
      </c>
      <c r="H44" s="9">
        <v>0</v>
      </c>
      <c r="I44" s="9">
        <v>0</v>
      </c>
      <c r="J44" s="10">
        <v>0</v>
      </c>
      <c r="K44" t="str">
        <f t="shared" si="0"/>
        <v/>
      </c>
    </row>
    <row r="45" spans="1:11" x14ac:dyDescent="0.25">
      <c r="A45" s="11" t="s">
        <v>59</v>
      </c>
      <c r="B45" s="12" t="s">
        <v>22</v>
      </c>
      <c r="C45" s="13">
        <v>22</v>
      </c>
      <c r="D45" s="13">
        <v>37</v>
      </c>
      <c r="E45" s="13">
        <v>59</v>
      </c>
      <c r="F45" s="13">
        <v>35</v>
      </c>
      <c r="G45" s="13">
        <v>19</v>
      </c>
      <c r="H45" s="13">
        <v>1</v>
      </c>
      <c r="I45" s="13">
        <v>0</v>
      </c>
      <c r="J45" s="14">
        <v>1</v>
      </c>
      <c r="K45" t="str">
        <f t="shared" si="0"/>
        <v>letni</v>
      </c>
    </row>
    <row r="46" spans="1:11" x14ac:dyDescent="0.25">
      <c r="A46" s="7" t="s">
        <v>60</v>
      </c>
      <c r="B46" s="8" t="s">
        <v>22</v>
      </c>
      <c r="C46" s="9">
        <v>25</v>
      </c>
      <c r="D46" s="9">
        <v>77</v>
      </c>
      <c r="E46" s="9">
        <v>85</v>
      </c>
      <c r="F46" s="9">
        <v>104</v>
      </c>
      <c r="G46" s="9">
        <v>20</v>
      </c>
      <c r="H46" s="9">
        <v>37</v>
      </c>
      <c r="I46" s="9">
        <v>38</v>
      </c>
      <c r="J46" s="10">
        <v>35</v>
      </c>
      <c r="K46" t="str">
        <f t="shared" si="0"/>
        <v>letni</v>
      </c>
    </row>
    <row r="47" spans="1:11" x14ac:dyDescent="0.25">
      <c r="A47" s="11" t="s">
        <v>61</v>
      </c>
      <c r="B47" s="12" t="s">
        <v>11</v>
      </c>
      <c r="C47" s="13">
        <v>15</v>
      </c>
      <c r="D47" s="13">
        <v>1</v>
      </c>
      <c r="E47" s="13">
        <v>1</v>
      </c>
      <c r="F47" s="13">
        <v>1</v>
      </c>
      <c r="G47" s="13">
        <v>4</v>
      </c>
      <c r="H47" s="13">
        <v>0</v>
      </c>
      <c r="I47" s="13">
        <v>0</v>
      </c>
      <c r="J47" s="14">
        <v>0</v>
      </c>
      <c r="K47" t="str">
        <f t="shared" si="0"/>
        <v>letni</v>
      </c>
    </row>
    <row r="48" spans="1:11" x14ac:dyDescent="0.25">
      <c r="A48" s="7" t="s">
        <v>62</v>
      </c>
      <c r="B48" s="8" t="s">
        <v>11</v>
      </c>
      <c r="C48" s="9">
        <v>23</v>
      </c>
      <c r="D48" s="9">
        <v>9</v>
      </c>
      <c r="E48" s="9">
        <v>6</v>
      </c>
      <c r="F48" s="9">
        <v>11</v>
      </c>
      <c r="G48" s="9">
        <v>9</v>
      </c>
      <c r="H48" s="9">
        <v>0</v>
      </c>
      <c r="I48" s="9">
        <v>0</v>
      </c>
      <c r="J48" s="10">
        <v>0</v>
      </c>
      <c r="K48" t="str">
        <f t="shared" si="0"/>
        <v>letni</v>
      </c>
    </row>
    <row r="49" spans="1:11" x14ac:dyDescent="0.25">
      <c r="A49" s="11" t="s">
        <v>63</v>
      </c>
      <c r="B49" s="12" t="s">
        <v>11</v>
      </c>
      <c r="C49" s="13">
        <v>14</v>
      </c>
      <c r="D49" s="13">
        <v>6</v>
      </c>
      <c r="E49" s="13">
        <v>10</v>
      </c>
      <c r="F49" s="13">
        <v>11</v>
      </c>
      <c r="G49" s="13">
        <v>0</v>
      </c>
      <c r="H49" s="13">
        <v>0</v>
      </c>
      <c r="I49" s="13">
        <v>0</v>
      </c>
      <c r="J49" s="14">
        <v>0</v>
      </c>
      <c r="K49" t="str">
        <f t="shared" si="0"/>
        <v>letni</v>
      </c>
    </row>
    <row r="50" spans="1:11" x14ac:dyDescent="0.25">
      <c r="A50" s="7" t="s">
        <v>64</v>
      </c>
      <c r="B50" s="8" t="s">
        <v>11</v>
      </c>
      <c r="C50" s="9">
        <v>13</v>
      </c>
      <c r="D50" s="9">
        <v>0</v>
      </c>
      <c r="E50" s="9">
        <v>0</v>
      </c>
      <c r="F50" s="9">
        <v>1</v>
      </c>
      <c r="G50" s="9">
        <v>0</v>
      </c>
      <c r="H50" s="9">
        <v>0</v>
      </c>
      <c r="I50" s="9">
        <v>0</v>
      </c>
      <c r="J50" s="10">
        <v>0</v>
      </c>
      <c r="K50" t="str">
        <f t="shared" si="0"/>
        <v/>
      </c>
    </row>
    <row r="51" spans="1:11" x14ac:dyDescent="0.25">
      <c r="A51" s="11" t="s">
        <v>65</v>
      </c>
      <c r="B51" s="12" t="s">
        <v>11</v>
      </c>
      <c r="C51" s="13">
        <v>15</v>
      </c>
      <c r="D51" s="13">
        <v>15</v>
      </c>
      <c r="E51" s="13">
        <v>20</v>
      </c>
      <c r="F51" s="13">
        <v>25</v>
      </c>
      <c r="G51" s="13">
        <v>10</v>
      </c>
      <c r="H51" s="13">
        <v>0</v>
      </c>
      <c r="I51" s="13">
        <v>0</v>
      </c>
      <c r="J51" s="14">
        <v>0</v>
      </c>
      <c r="K51" t="str">
        <f t="shared" si="0"/>
        <v>letni</v>
      </c>
    </row>
    <row r="52" spans="1:11" x14ac:dyDescent="0.25">
      <c r="A52" s="7" t="s">
        <v>66</v>
      </c>
      <c r="B52" s="8" t="s">
        <v>22</v>
      </c>
      <c r="C52" s="9">
        <v>20</v>
      </c>
      <c r="D52" s="9">
        <v>9</v>
      </c>
      <c r="E52" s="9">
        <v>8</v>
      </c>
      <c r="F52" s="9">
        <v>11</v>
      </c>
      <c r="G52" s="9">
        <v>6</v>
      </c>
      <c r="H52" s="9">
        <v>0</v>
      </c>
      <c r="I52" s="9">
        <v>0</v>
      </c>
      <c r="J52" s="10">
        <v>0</v>
      </c>
      <c r="K52" t="str">
        <f t="shared" si="0"/>
        <v>letni</v>
      </c>
    </row>
    <row r="53" spans="1:11" x14ac:dyDescent="0.25">
      <c r="A53" s="11" t="s">
        <v>67</v>
      </c>
      <c r="B53" s="12" t="s">
        <v>22</v>
      </c>
      <c r="C53" s="13">
        <v>19</v>
      </c>
      <c r="D53" s="13">
        <v>0</v>
      </c>
      <c r="E53" s="13">
        <v>2</v>
      </c>
      <c r="F53" s="13">
        <v>2</v>
      </c>
      <c r="G53" s="13">
        <v>17</v>
      </c>
      <c r="H53" s="13">
        <v>0</v>
      </c>
      <c r="I53" s="13">
        <v>0</v>
      </c>
      <c r="J53" s="14">
        <v>0</v>
      </c>
      <c r="K53" t="str">
        <f t="shared" si="0"/>
        <v/>
      </c>
    </row>
    <row r="54" spans="1:11" x14ac:dyDescent="0.25">
      <c r="A54" s="7" t="s">
        <v>68</v>
      </c>
      <c r="B54" s="8" t="s">
        <v>11</v>
      </c>
      <c r="C54" s="9">
        <v>15</v>
      </c>
      <c r="D54" s="9">
        <v>1</v>
      </c>
      <c r="E54" s="9">
        <v>1</v>
      </c>
      <c r="F54" s="9">
        <v>5</v>
      </c>
      <c r="G54" s="9">
        <v>6</v>
      </c>
      <c r="H54" s="9">
        <v>0</v>
      </c>
      <c r="I54" s="9">
        <v>0</v>
      </c>
      <c r="J54" s="10">
        <v>0</v>
      </c>
      <c r="K54" t="str">
        <f t="shared" si="0"/>
        <v>letni</v>
      </c>
    </row>
    <row r="55" spans="1:11" x14ac:dyDescent="0.25">
      <c r="A55" s="11" t="s">
        <v>69</v>
      </c>
      <c r="B55" s="12" t="s">
        <v>25</v>
      </c>
      <c r="C55" s="13">
        <v>16</v>
      </c>
      <c r="D55" s="13">
        <v>17</v>
      </c>
      <c r="E55" s="13">
        <v>30</v>
      </c>
      <c r="F55" s="13">
        <v>20</v>
      </c>
      <c r="G55" s="13">
        <v>7</v>
      </c>
      <c r="H55" s="13">
        <v>0</v>
      </c>
      <c r="I55" s="13">
        <v>0</v>
      </c>
      <c r="J55" s="14">
        <v>0</v>
      </c>
      <c r="K55" t="str">
        <f t="shared" si="0"/>
        <v>letni</v>
      </c>
    </row>
    <row r="56" spans="1:11" x14ac:dyDescent="0.25">
      <c r="A56" s="7" t="s">
        <v>70</v>
      </c>
      <c r="B56" s="8" t="s">
        <v>11</v>
      </c>
      <c r="C56" s="9">
        <v>21</v>
      </c>
      <c r="D56" s="9">
        <v>130</v>
      </c>
      <c r="E56" s="9">
        <v>126</v>
      </c>
      <c r="F56" s="9">
        <v>142</v>
      </c>
      <c r="G56" s="9">
        <v>20</v>
      </c>
      <c r="H56" s="9">
        <v>10</v>
      </c>
      <c r="I56" s="9">
        <v>17</v>
      </c>
      <c r="J56" s="10">
        <v>18</v>
      </c>
      <c r="K56" t="str">
        <f t="shared" si="0"/>
        <v>letni</v>
      </c>
    </row>
    <row r="57" spans="1:11" x14ac:dyDescent="0.25">
      <c r="A57" s="11" t="s">
        <v>71</v>
      </c>
      <c r="B57" s="12" t="s">
        <v>22</v>
      </c>
      <c r="C57" s="13">
        <v>18</v>
      </c>
      <c r="D57" s="13">
        <v>28</v>
      </c>
      <c r="E57" s="13">
        <v>31</v>
      </c>
      <c r="F57" s="13">
        <v>31</v>
      </c>
      <c r="G57" s="13">
        <v>16</v>
      </c>
      <c r="H57" s="13">
        <v>0</v>
      </c>
      <c r="I57" s="13">
        <v>3</v>
      </c>
      <c r="J57" s="14">
        <v>1</v>
      </c>
      <c r="K57" t="str">
        <f t="shared" si="0"/>
        <v>letni</v>
      </c>
    </row>
    <row r="58" spans="1:11" x14ac:dyDescent="0.25">
      <c r="A58" s="7" t="s">
        <v>72</v>
      </c>
      <c r="B58" s="8" t="s">
        <v>13</v>
      </c>
      <c r="C58" s="9">
        <v>13</v>
      </c>
      <c r="D58" s="9">
        <v>3</v>
      </c>
      <c r="E58" s="9">
        <v>1</v>
      </c>
      <c r="F58" s="9">
        <v>1</v>
      </c>
      <c r="G58" s="9">
        <v>1</v>
      </c>
      <c r="H58" s="9">
        <v>0</v>
      </c>
      <c r="I58" s="9">
        <v>0</v>
      </c>
      <c r="J58" s="10">
        <v>0</v>
      </c>
      <c r="K58" t="str">
        <f t="shared" si="0"/>
        <v>letni</v>
      </c>
    </row>
    <row r="59" spans="1:11" x14ac:dyDescent="0.25">
      <c r="A59" s="11" t="s">
        <v>73</v>
      </c>
      <c r="B59" s="12" t="s">
        <v>25</v>
      </c>
      <c r="C59" s="13">
        <v>25</v>
      </c>
      <c r="D59" s="13">
        <v>59</v>
      </c>
      <c r="E59" s="13">
        <v>99</v>
      </c>
      <c r="F59" s="13">
        <v>120</v>
      </c>
      <c r="G59" s="13">
        <v>22</v>
      </c>
      <c r="H59" s="13">
        <v>62</v>
      </c>
      <c r="I59" s="13">
        <v>55</v>
      </c>
      <c r="J59" s="14">
        <v>53</v>
      </c>
      <c r="K59" t="str">
        <f t="shared" si="0"/>
        <v/>
      </c>
    </row>
    <row r="60" spans="1:11" x14ac:dyDescent="0.25">
      <c r="A60" s="7" t="s">
        <v>74</v>
      </c>
      <c r="B60" s="8" t="s">
        <v>11</v>
      </c>
      <c r="C60" s="9">
        <v>8</v>
      </c>
      <c r="D60" s="9">
        <v>0</v>
      </c>
      <c r="E60" s="9">
        <v>0</v>
      </c>
      <c r="F60" s="9">
        <v>4</v>
      </c>
      <c r="G60" s="9">
        <v>0</v>
      </c>
      <c r="H60" s="9">
        <v>0</v>
      </c>
      <c r="I60" s="9">
        <v>0</v>
      </c>
      <c r="J60" s="10">
        <v>0</v>
      </c>
      <c r="K60" t="str">
        <f t="shared" si="0"/>
        <v/>
      </c>
    </row>
    <row r="61" spans="1:11" x14ac:dyDescent="0.25">
      <c r="A61" s="11" t="s">
        <v>75</v>
      </c>
      <c r="B61" s="12" t="s">
        <v>11</v>
      </c>
      <c r="C61" s="13">
        <v>5</v>
      </c>
      <c r="D61" s="13">
        <v>16</v>
      </c>
      <c r="E61" s="13">
        <v>17</v>
      </c>
      <c r="F61" s="13">
        <v>19</v>
      </c>
      <c r="G61" s="13">
        <v>6</v>
      </c>
      <c r="H61" s="13">
        <v>1</v>
      </c>
      <c r="I61" s="13">
        <v>3</v>
      </c>
      <c r="J61" s="14">
        <v>3</v>
      </c>
      <c r="K61" t="str">
        <f t="shared" si="0"/>
        <v>letni</v>
      </c>
    </row>
    <row r="62" spans="1:11" x14ac:dyDescent="0.25">
      <c r="A62" s="7" t="s">
        <v>76</v>
      </c>
      <c r="B62" s="8" t="s">
        <v>13</v>
      </c>
      <c r="C62" s="9">
        <v>13</v>
      </c>
      <c r="D62" s="9">
        <v>25</v>
      </c>
      <c r="E62" s="9">
        <v>32</v>
      </c>
      <c r="F62" s="9">
        <v>29</v>
      </c>
      <c r="G62" s="9">
        <v>3</v>
      </c>
      <c r="H62" s="9">
        <v>0</v>
      </c>
      <c r="I62" s="9">
        <v>0</v>
      </c>
      <c r="J62" s="10">
        <v>0</v>
      </c>
      <c r="K62" t="str">
        <f t="shared" si="0"/>
        <v>letni</v>
      </c>
    </row>
    <row r="63" spans="1:11" x14ac:dyDescent="0.25">
      <c r="A63" s="11" t="s">
        <v>77</v>
      </c>
      <c r="B63" s="12" t="s">
        <v>11</v>
      </c>
      <c r="C63" s="13">
        <v>5</v>
      </c>
      <c r="D63" s="13">
        <v>0</v>
      </c>
      <c r="E63" s="13">
        <v>1</v>
      </c>
      <c r="F63" s="13">
        <v>2</v>
      </c>
      <c r="G63" s="13">
        <v>6</v>
      </c>
      <c r="H63" s="13">
        <v>0</v>
      </c>
      <c r="I63" s="13">
        <v>0</v>
      </c>
      <c r="J63" s="14">
        <v>0</v>
      </c>
      <c r="K63" t="str">
        <f t="shared" si="0"/>
        <v/>
      </c>
    </row>
    <row r="64" spans="1:11" x14ac:dyDescent="0.25">
      <c r="A64" s="7" t="s">
        <v>78</v>
      </c>
      <c r="B64" s="8" t="s">
        <v>15</v>
      </c>
      <c r="C64" s="9">
        <v>18</v>
      </c>
      <c r="D64" s="9">
        <v>2</v>
      </c>
      <c r="E64" s="9">
        <v>6</v>
      </c>
      <c r="F64" s="9">
        <v>11</v>
      </c>
      <c r="G64" s="9">
        <v>1</v>
      </c>
      <c r="H64" s="9">
        <v>0</v>
      </c>
      <c r="I64" s="9">
        <v>0</v>
      </c>
      <c r="J64" s="10">
        <v>0</v>
      </c>
      <c r="K64" t="str">
        <f t="shared" si="0"/>
        <v>letni</v>
      </c>
    </row>
    <row r="65" spans="1:11" x14ac:dyDescent="0.25">
      <c r="A65" s="11" t="s">
        <v>79</v>
      </c>
      <c r="B65" s="12" t="s">
        <v>11</v>
      </c>
      <c r="C65" s="13">
        <v>16</v>
      </c>
      <c r="D65" s="13">
        <v>81</v>
      </c>
      <c r="E65" s="13">
        <v>82</v>
      </c>
      <c r="F65" s="13">
        <v>80</v>
      </c>
      <c r="G65" s="13">
        <v>17</v>
      </c>
      <c r="H65" s="13">
        <v>26</v>
      </c>
      <c r="I65" s="13">
        <v>17</v>
      </c>
      <c r="J65" s="14">
        <v>10</v>
      </c>
      <c r="K65" t="str">
        <f t="shared" si="0"/>
        <v>letni</v>
      </c>
    </row>
    <row r="66" spans="1:11" x14ac:dyDescent="0.25">
      <c r="A66" s="7" t="s">
        <v>80</v>
      </c>
      <c r="B66" s="8" t="s">
        <v>11</v>
      </c>
      <c r="C66" s="9">
        <v>9</v>
      </c>
      <c r="D66" s="9">
        <v>14</v>
      </c>
      <c r="E66" s="9">
        <v>12</v>
      </c>
      <c r="F66" s="9">
        <v>21</v>
      </c>
      <c r="G66" s="9">
        <v>8</v>
      </c>
      <c r="H66" s="9">
        <v>0</v>
      </c>
      <c r="I66" s="9">
        <v>1</v>
      </c>
      <c r="J66" s="10">
        <v>1</v>
      </c>
      <c r="K66" t="str">
        <f t="shared" si="0"/>
        <v>letni</v>
      </c>
    </row>
    <row r="67" spans="1:11" x14ac:dyDescent="0.25">
      <c r="A67" s="11" t="s">
        <v>81</v>
      </c>
      <c r="B67" s="12" t="s">
        <v>25</v>
      </c>
      <c r="C67" s="13">
        <v>14</v>
      </c>
      <c r="D67" s="13">
        <v>1</v>
      </c>
      <c r="E67" s="13">
        <v>1</v>
      </c>
      <c r="F67" s="13">
        <v>2</v>
      </c>
      <c r="G67" s="13">
        <v>6</v>
      </c>
      <c r="H67" s="13">
        <v>0</v>
      </c>
      <c r="I67" s="13">
        <v>0</v>
      </c>
      <c r="J67" s="14">
        <v>0</v>
      </c>
      <c r="K67" t="str">
        <f t="shared" ref="K67:K130" si="1">IF(AND(D67&gt;H67,E67&gt;I67,F67&gt;J67),"letni",IF(AND(D67&lt;H67,E67&lt;I67,F67&lt;J67),"zimowy",""))</f>
        <v>letni</v>
      </c>
    </row>
    <row r="68" spans="1:11" x14ac:dyDescent="0.25">
      <c r="A68" s="7" t="s">
        <v>82</v>
      </c>
      <c r="B68" s="8" t="s">
        <v>25</v>
      </c>
      <c r="C68" s="9">
        <v>19</v>
      </c>
      <c r="D68" s="9">
        <v>72</v>
      </c>
      <c r="E68" s="9">
        <v>67</v>
      </c>
      <c r="F68" s="9">
        <v>69</v>
      </c>
      <c r="G68" s="9">
        <v>0</v>
      </c>
      <c r="H68" s="9">
        <v>0</v>
      </c>
      <c r="I68" s="9">
        <v>0</v>
      </c>
      <c r="J68" s="10">
        <v>0</v>
      </c>
      <c r="K68" t="str">
        <f t="shared" si="1"/>
        <v>letni</v>
      </c>
    </row>
    <row r="69" spans="1:11" x14ac:dyDescent="0.25">
      <c r="A69" s="11" t="s">
        <v>83</v>
      </c>
      <c r="B69" s="12" t="s">
        <v>11</v>
      </c>
      <c r="C69" s="13">
        <v>12</v>
      </c>
      <c r="D69" s="13">
        <v>0</v>
      </c>
      <c r="E69" s="13">
        <v>0</v>
      </c>
      <c r="F69" s="13">
        <v>2</v>
      </c>
      <c r="G69" s="13">
        <v>0</v>
      </c>
      <c r="H69" s="13">
        <v>0</v>
      </c>
      <c r="I69" s="13">
        <v>0</v>
      </c>
      <c r="J69" s="14">
        <v>0</v>
      </c>
      <c r="K69" t="str">
        <f t="shared" si="1"/>
        <v/>
      </c>
    </row>
    <row r="70" spans="1:11" x14ac:dyDescent="0.25">
      <c r="A70" s="7" t="s">
        <v>84</v>
      </c>
      <c r="B70" s="8" t="s">
        <v>11</v>
      </c>
      <c r="C70" s="9">
        <v>16</v>
      </c>
      <c r="D70" s="9">
        <v>0</v>
      </c>
      <c r="E70" s="9">
        <v>2</v>
      </c>
      <c r="F70" s="9">
        <v>2</v>
      </c>
      <c r="G70" s="9">
        <v>16</v>
      </c>
      <c r="H70" s="9">
        <v>0</v>
      </c>
      <c r="I70" s="9">
        <v>0</v>
      </c>
      <c r="J70" s="10">
        <v>0</v>
      </c>
      <c r="K70" t="str">
        <f t="shared" si="1"/>
        <v/>
      </c>
    </row>
    <row r="71" spans="1:11" x14ac:dyDescent="0.25">
      <c r="A71" s="11" t="s">
        <v>85</v>
      </c>
      <c r="B71" s="12" t="s">
        <v>22</v>
      </c>
      <c r="C71" s="13">
        <v>16</v>
      </c>
      <c r="D71" s="13">
        <v>0</v>
      </c>
      <c r="E71" s="13">
        <v>0</v>
      </c>
      <c r="F71" s="13">
        <v>0</v>
      </c>
      <c r="G71" s="13">
        <v>18</v>
      </c>
      <c r="H71" s="13">
        <v>2</v>
      </c>
      <c r="I71" s="13">
        <v>2</v>
      </c>
      <c r="J71" s="14">
        <v>5</v>
      </c>
      <c r="K71" t="str">
        <f t="shared" si="1"/>
        <v>zimowy</v>
      </c>
    </row>
    <row r="72" spans="1:11" x14ac:dyDescent="0.25">
      <c r="A72" s="7" t="s">
        <v>86</v>
      </c>
      <c r="B72" s="8" t="s">
        <v>22</v>
      </c>
      <c r="C72" s="9">
        <v>8</v>
      </c>
      <c r="D72" s="9">
        <v>6</v>
      </c>
      <c r="E72" s="9">
        <v>5</v>
      </c>
      <c r="F72" s="9">
        <v>10</v>
      </c>
      <c r="G72" s="9">
        <v>8</v>
      </c>
      <c r="H72" s="9">
        <v>0</v>
      </c>
      <c r="I72" s="9">
        <v>0</v>
      </c>
      <c r="J72" s="10">
        <v>0</v>
      </c>
      <c r="K72" t="str">
        <f t="shared" si="1"/>
        <v>letni</v>
      </c>
    </row>
    <row r="73" spans="1:11" x14ac:dyDescent="0.25">
      <c r="A73" s="11" t="s">
        <v>87</v>
      </c>
      <c r="B73" s="12" t="s">
        <v>22</v>
      </c>
      <c r="C73" s="13">
        <v>22</v>
      </c>
      <c r="D73" s="13">
        <v>1</v>
      </c>
      <c r="E73" s="13">
        <v>1</v>
      </c>
      <c r="F73" s="13">
        <v>0</v>
      </c>
      <c r="G73" s="13">
        <v>8</v>
      </c>
      <c r="H73" s="13">
        <v>0</v>
      </c>
      <c r="I73" s="13">
        <v>2</v>
      </c>
      <c r="J73" s="14">
        <v>0</v>
      </c>
      <c r="K73" t="str">
        <f t="shared" si="1"/>
        <v/>
      </c>
    </row>
    <row r="74" spans="1:11" x14ac:dyDescent="0.25">
      <c r="A74" s="7" t="s">
        <v>88</v>
      </c>
      <c r="B74" s="8" t="s">
        <v>22</v>
      </c>
      <c r="C74" s="9">
        <v>10</v>
      </c>
      <c r="D74" s="9">
        <v>3</v>
      </c>
      <c r="E74" s="9">
        <v>11</v>
      </c>
      <c r="F74" s="9">
        <v>5</v>
      </c>
      <c r="G74" s="9">
        <v>10</v>
      </c>
      <c r="H74" s="9">
        <v>0</v>
      </c>
      <c r="I74" s="9">
        <v>4</v>
      </c>
      <c r="J74" s="10">
        <v>3</v>
      </c>
      <c r="K74" t="str">
        <f t="shared" si="1"/>
        <v>letni</v>
      </c>
    </row>
    <row r="75" spans="1:11" x14ac:dyDescent="0.25">
      <c r="A75" s="11" t="s">
        <v>89</v>
      </c>
      <c r="B75" s="12" t="s">
        <v>22</v>
      </c>
      <c r="C75" s="13">
        <v>5</v>
      </c>
      <c r="D75" s="13">
        <v>0</v>
      </c>
      <c r="E75" s="13">
        <v>0</v>
      </c>
      <c r="F75" s="13">
        <v>1</v>
      </c>
      <c r="G75" s="13">
        <v>5</v>
      </c>
      <c r="H75" s="13">
        <v>0</v>
      </c>
      <c r="I75" s="13">
        <v>0</v>
      </c>
      <c r="J75" s="14">
        <v>0</v>
      </c>
      <c r="K75" t="str">
        <f t="shared" si="1"/>
        <v/>
      </c>
    </row>
    <row r="76" spans="1:11" x14ac:dyDescent="0.25">
      <c r="A76" s="7" t="s">
        <v>90</v>
      </c>
      <c r="B76" s="8" t="s">
        <v>11</v>
      </c>
      <c r="C76" s="9">
        <v>12</v>
      </c>
      <c r="D76" s="9">
        <v>0</v>
      </c>
      <c r="E76" s="9">
        <v>3</v>
      </c>
      <c r="F76" s="9">
        <v>3</v>
      </c>
      <c r="G76" s="9">
        <v>0</v>
      </c>
      <c r="H76" s="9">
        <v>0</v>
      </c>
      <c r="I76" s="9">
        <v>0</v>
      </c>
      <c r="J76" s="10">
        <v>0</v>
      </c>
      <c r="K76" t="str">
        <f t="shared" si="1"/>
        <v/>
      </c>
    </row>
    <row r="77" spans="1:11" x14ac:dyDescent="0.25">
      <c r="A77" s="11" t="s">
        <v>91</v>
      </c>
      <c r="B77" s="12" t="s">
        <v>13</v>
      </c>
      <c r="C77" s="13">
        <v>13</v>
      </c>
      <c r="D77" s="13">
        <v>6</v>
      </c>
      <c r="E77" s="13">
        <v>5</v>
      </c>
      <c r="F77" s="13">
        <v>11</v>
      </c>
      <c r="G77" s="13">
        <v>6</v>
      </c>
      <c r="H77" s="13">
        <v>0</v>
      </c>
      <c r="I77" s="13">
        <v>0</v>
      </c>
      <c r="J77" s="14">
        <v>0</v>
      </c>
      <c r="K77" t="str">
        <f t="shared" si="1"/>
        <v>letni</v>
      </c>
    </row>
    <row r="78" spans="1:11" x14ac:dyDescent="0.25">
      <c r="A78" s="7" t="s">
        <v>92</v>
      </c>
      <c r="B78" s="8" t="s">
        <v>13</v>
      </c>
      <c r="C78" s="9">
        <v>8</v>
      </c>
      <c r="D78" s="9">
        <v>0</v>
      </c>
      <c r="E78" s="9">
        <v>0</v>
      </c>
      <c r="F78" s="9">
        <v>1</v>
      </c>
      <c r="G78" s="9">
        <v>0</v>
      </c>
      <c r="H78" s="9">
        <v>0</v>
      </c>
      <c r="I78" s="9">
        <v>0</v>
      </c>
      <c r="J78" s="10">
        <v>0</v>
      </c>
      <c r="K78" t="str">
        <f t="shared" si="1"/>
        <v/>
      </c>
    </row>
    <row r="79" spans="1:11" x14ac:dyDescent="0.25">
      <c r="A79" s="11" t="s">
        <v>93</v>
      </c>
      <c r="B79" s="12" t="s">
        <v>25</v>
      </c>
      <c r="C79" s="13">
        <v>22</v>
      </c>
      <c r="D79" s="13">
        <v>13</v>
      </c>
      <c r="E79" s="13">
        <v>21</v>
      </c>
      <c r="F79" s="13">
        <v>28</v>
      </c>
      <c r="G79" s="13">
        <v>8</v>
      </c>
      <c r="H79" s="13">
        <v>0</v>
      </c>
      <c r="I79" s="13">
        <v>0</v>
      </c>
      <c r="J79" s="14">
        <v>0</v>
      </c>
      <c r="K79" t="str">
        <f t="shared" si="1"/>
        <v>letni</v>
      </c>
    </row>
    <row r="80" spans="1:11" x14ac:dyDescent="0.25">
      <c r="A80" s="7" t="s">
        <v>94</v>
      </c>
      <c r="B80" s="8" t="s">
        <v>22</v>
      </c>
      <c r="C80" s="9">
        <v>5</v>
      </c>
      <c r="D80" s="9">
        <v>0</v>
      </c>
      <c r="E80" s="9">
        <v>2</v>
      </c>
      <c r="F80" s="9">
        <v>5</v>
      </c>
      <c r="G80" s="9">
        <v>6</v>
      </c>
      <c r="H80" s="9">
        <v>0</v>
      </c>
      <c r="I80" s="9">
        <v>0</v>
      </c>
      <c r="J80" s="10">
        <v>0</v>
      </c>
      <c r="K80" t="str">
        <f t="shared" si="1"/>
        <v/>
      </c>
    </row>
    <row r="81" spans="1:11" x14ac:dyDescent="0.25">
      <c r="A81" s="11" t="s">
        <v>95</v>
      </c>
      <c r="B81" s="12" t="s">
        <v>11</v>
      </c>
      <c r="C81" s="13">
        <v>12</v>
      </c>
      <c r="D81" s="13">
        <v>2</v>
      </c>
      <c r="E81" s="13">
        <v>9</v>
      </c>
      <c r="F81" s="13">
        <v>13</v>
      </c>
      <c r="G81" s="13">
        <v>13</v>
      </c>
      <c r="H81" s="13">
        <v>0</v>
      </c>
      <c r="I81" s="13">
        <v>0</v>
      </c>
      <c r="J81" s="14">
        <v>0</v>
      </c>
      <c r="K81" t="str">
        <f t="shared" si="1"/>
        <v>letni</v>
      </c>
    </row>
    <row r="82" spans="1:11" x14ac:dyDescent="0.25">
      <c r="A82" s="7" t="s">
        <v>96</v>
      </c>
      <c r="B82" s="8" t="s">
        <v>13</v>
      </c>
      <c r="C82" s="9">
        <v>9</v>
      </c>
      <c r="D82" s="9">
        <v>1</v>
      </c>
      <c r="E82" s="9">
        <v>0</v>
      </c>
      <c r="F82" s="9">
        <v>1</v>
      </c>
      <c r="G82" s="9">
        <v>0</v>
      </c>
      <c r="H82" s="9">
        <v>0</v>
      </c>
      <c r="I82" s="9">
        <v>0</v>
      </c>
      <c r="J82" s="10">
        <v>0</v>
      </c>
      <c r="K82" t="str">
        <f t="shared" si="1"/>
        <v/>
      </c>
    </row>
    <row r="83" spans="1:11" x14ac:dyDescent="0.25">
      <c r="A83" s="11" t="s">
        <v>97</v>
      </c>
      <c r="B83" s="12" t="s">
        <v>13</v>
      </c>
      <c r="C83" s="13">
        <v>6</v>
      </c>
      <c r="D83" s="13">
        <v>0</v>
      </c>
      <c r="E83" s="13">
        <v>4</v>
      </c>
      <c r="F83" s="13">
        <v>0</v>
      </c>
      <c r="G83" s="13">
        <v>0</v>
      </c>
      <c r="H83" s="13">
        <v>0</v>
      </c>
      <c r="I83" s="13">
        <v>0</v>
      </c>
      <c r="J83" s="14">
        <v>0</v>
      </c>
      <c r="K83" t="str">
        <f t="shared" si="1"/>
        <v/>
      </c>
    </row>
    <row r="84" spans="1:11" x14ac:dyDescent="0.25">
      <c r="A84" s="7" t="s">
        <v>98</v>
      </c>
      <c r="B84" s="8" t="s">
        <v>22</v>
      </c>
      <c r="C84" s="9">
        <v>15</v>
      </c>
      <c r="D84" s="9">
        <v>174</v>
      </c>
      <c r="E84" s="9">
        <v>182</v>
      </c>
      <c r="F84" s="9">
        <v>217</v>
      </c>
      <c r="G84" s="9">
        <v>11</v>
      </c>
      <c r="H84" s="9">
        <v>78</v>
      </c>
      <c r="I84" s="9">
        <v>78</v>
      </c>
      <c r="J84" s="10">
        <v>53</v>
      </c>
      <c r="K84" t="str">
        <f t="shared" si="1"/>
        <v>letni</v>
      </c>
    </row>
    <row r="85" spans="1:11" x14ac:dyDescent="0.25">
      <c r="A85" s="11" t="s">
        <v>99</v>
      </c>
      <c r="B85" s="12" t="s">
        <v>22</v>
      </c>
      <c r="C85" s="13">
        <v>5</v>
      </c>
      <c r="D85" s="13">
        <v>56</v>
      </c>
      <c r="E85" s="13">
        <v>67</v>
      </c>
      <c r="F85" s="13">
        <v>81</v>
      </c>
      <c r="G85" s="13">
        <v>7</v>
      </c>
      <c r="H85" s="13">
        <v>11</v>
      </c>
      <c r="I85" s="13">
        <v>15</v>
      </c>
      <c r="J85" s="14">
        <v>13</v>
      </c>
      <c r="K85" t="str">
        <f t="shared" si="1"/>
        <v>letni</v>
      </c>
    </row>
    <row r="86" spans="1:11" x14ac:dyDescent="0.25">
      <c r="A86" s="7" t="s">
        <v>100</v>
      </c>
      <c r="B86" s="8" t="s">
        <v>22</v>
      </c>
      <c r="C86" s="9">
        <v>3</v>
      </c>
      <c r="D86" s="9">
        <v>28</v>
      </c>
      <c r="E86" s="9">
        <v>54</v>
      </c>
      <c r="F86" s="9">
        <v>36</v>
      </c>
      <c r="G86" s="9">
        <v>3</v>
      </c>
      <c r="H86" s="9">
        <v>8</v>
      </c>
      <c r="I86" s="9">
        <v>6</v>
      </c>
      <c r="J86" s="10">
        <v>5</v>
      </c>
      <c r="K86" t="str">
        <f t="shared" si="1"/>
        <v>letni</v>
      </c>
    </row>
    <row r="87" spans="1:11" x14ac:dyDescent="0.25">
      <c r="A87" s="11" t="s">
        <v>101</v>
      </c>
      <c r="B87" s="12" t="s">
        <v>22</v>
      </c>
      <c r="C87" s="13">
        <v>5</v>
      </c>
      <c r="D87" s="13">
        <v>153</v>
      </c>
      <c r="E87" s="13">
        <v>129</v>
      </c>
      <c r="F87" s="13">
        <v>127</v>
      </c>
      <c r="G87" s="13">
        <v>6</v>
      </c>
      <c r="H87" s="13">
        <v>39</v>
      </c>
      <c r="I87" s="13">
        <v>36</v>
      </c>
      <c r="J87" s="14">
        <v>35</v>
      </c>
      <c r="K87" t="str">
        <f t="shared" si="1"/>
        <v>letni</v>
      </c>
    </row>
    <row r="88" spans="1:11" x14ac:dyDescent="0.25">
      <c r="A88" s="7" t="s">
        <v>102</v>
      </c>
      <c r="B88" s="8" t="s">
        <v>13</v>
      </c>
      <c r="C88" s="9">
        <v>11</v>
      </c>
      <c r="D88" s="9">
        <v>0</v>
      </c>
      <c r="E88" s="9">
        <v>0</v>
      </c>
      <c r="F88" s="9">
        <v>1</v>
      </c>
      <c r="G88" s="9">
        <v>0</v>
      </c>
      <c r="H88" s="9">
        <v>0</v>
      </c>
      <c r="I88" s="9">
        <v>0</v>
      </c>
      <c r="J88" s="10">
        <v>0</v>
      </c>
      <c r="K88" t="str">
        <f t="shared" si="1"/>
        <v/>
      </c>
    </row>
    <row r="89" spans="1:11" x14ac:dyDescent="0.25">
      <c r="A89" s="11" t="s">
        <v>103</v>
      </c>
      <c r="B89" s="12" t="s">
        <v>13</v>
      </c>
      <c r="C89" s="13">
        <v>15</v>
      </c>
      <c r="D89" s="13">
        <v>3</v>
      </c>
      <c r="E89" s="13">
        <v>8</v>
      </c>
      <c r="F89" s="13">
        <v>12</v>
      </c>
      <c r="G89" s="13">
        <v>0</v>
      </c>
      <c r="H89" s="13">
        <v>0</v>
      </c>
      <c r="I89" s="13">
        <v>0</v>
      </c>
      <c r="J89" s="14">
        <v>0</v>
      </c>
      <c r="K89" t="str">
        <f t="shared" si="1"/>
        <v>letni</v>
      </c>
    </row>
    <row r="90" spans="1:11" x14ac:dyDescent="0.25">
      <c r="A90" s="7" t="s">
        <v>104</v>
      </c>
      <c r="B90" s="8" t="s">
        <v>22</v>
      </c>
      <c r="C90" s="9">
        <v>24</v>
      </c>
      <c r="D90" s="9">
        <v>56</v>
      </c>
      <c r="E90" s="9">
        <v>49</v>
      </c>
      <c r="F90" s="9">
        <v>43</v>
      </c>
      <c r="G90" s="9">
        <v>22</v>
      </c>
      <c r="H90" s="9">
        <v>118</v>
      </c>
      <c r="I90" s="9">
        <v>111</v>
      </c>
      <c r="J90" s="10">
        <v>100</v>
      </c>
      <c r="K90" t="str">
        <f t="shared" si="1"/>
        <v>zimowy</v>
      </c>
    </row>
    <row r="91" spans="1:11" x14ac:dyDescent="0.25">
      <c r="A91" s="11" t="s">
        <v>105</v>
      </c>
      <c r="B91" s="12" t="s">
        <v>20</v>
      </c>
      <c r="C91" s="13">
        <v>22</v>
      </c>
      <c r="D91" s="13">
        <v>42</v>
      </c>
      <c r="E91" s="13">
        <v>18</v>
      </c>
      <c r="F91" s="13">
        <v>39</v>
      </c>
      <c r="G91" s="13">
        <v>15</v>
      </c>
      <c r="H91" s="13">
        <v>0</v>
      </c>
      <c r="I91" s="13">
        <v>1</v>
      </c>
      <c r="J91" s="14">
        <v>0</v>
      </c>
      <c r="K91" t="str">
        <f t="shared" si="1"/>
        <v>letni</v>
      </c>
    </row>
    <row r="92" spans="1:11" x14ac:dyDescent="0.25">
      <c r="A92" s="7" t="s">
        <v>106</v>
      </c>
      <c r="B92" s="8" t="s">
        <v>11</v>
      </c>
      <c r="C92" s="9">
        <v>16</v>
      </c>
      <c r="D92" s="9">
        <v>3</v>
      </c>
      <c r="E92" s="9">
        <v>3</v>
      </c>
      <c r="F92" s="9">
        <v>4</v>
      </c>
      <c r="G92" s="9">
        <v>2</v>
      </c>
      <c r="H92" s="9">
        <v>0</v>
      </c>
      <c r="I92" s="9">
        <v>0</v>
      </c>
      <c r="J92" s="10">
        <v>0</v>
      </c>
      <c r="K92" t="str">
        <f t="shared" si="1"/>
        <v>letni</v>
      </c>
    </row>
    <row r="93" spans="1:11" x14ac:dyDescent="0.25">
      <c r="A93" s="11" t="s">
        <v>107</v>
      </c>
      <c r="B93" s="12" t="s">
        <v>15</v>
      </c>
      <c r="C93" s="13">
        <v>16</v>
      </c>
      <c r="D93" s="13">
        <v>1</v>
      </c>
      <c r="E93" s="13">
        <v>0</v>
      </c>
      <c r="F93" s="13">
        <v>2</v>
      </c>
      <c r="G93" s="13">
        <v>0</v>
      </c>
      <c r="H93" s="13">
        <v>0</v>
      </c>
      <c r="I93" s="13">
        <v>0</v>
      </c>
      <c r="J93" s="14">
        <v>0</v>
      </c>
      <c r="K93" t="str">
        <f t="shared" si="1"/>
        <v/>
      </c>
    </row>
    <row r="94" spans="1:11" x14ac:dyDescent="0.25">
      <c r="A94" s="7" t="s">
        <v>108</v>
      </c>
      <c r="B94" s="8" t="s">
        <v>15</v>
      </c>
      <c r="C94" s="9">
        <v>11</v>
      </c>
      <c r="D94" s="9">
        <v>0</v>
      </c>
      <c r="E94" s="9">
        <v>1</v>
      </c>
      <c r="F94" s="9">
        <v>0</v>
      </c>
      <c r="G94" s="9">
        <v>1</v>
      </c>
      <c r="H94" s="9">
        <v>0</v>
      </c>
      <c r="I94" s="9">
        <v>0</v>
      </c>
      <c r="J94" s="10">
        <v>0</v>
      </c>
      <c r="K94" t="str">
        <f t="shared" si="1"/>
        <v/>
      </c>
    </row>
    <row r="95" spans="1:11" x14ac:dyDescent="0.25">
      <c r="A95" s="11" t="s">
        <v>109</v>
      </c>
      <c r="B95" s="12" t="s">
        <v>15</v>
      </c>
      <c r="C95" s="13">
        <v>17</v>
      </c>
      <c r="D95" s="13">
        <v>1</v>
      </c>
      <c r="E95" s="13">
        <v>3</v>
      </c>
      <c r="F95" s="13">
        <v>0</v>
      </c>
      <c r="G95" s="13">
        <v>2</v>
      </c>
      <c r="H95" s="13">
        <v>0</v>
      </c>
      <c r="I95" s="13">
        <v>0</v>
      </c>
      <c r="J95" s="14">
        <v>0</v>
      </c>
      <c r="K95" t="str">
        <f t="shared" si="1"/>
        <v/>
      </c>
    </row>
    <row r="96" spans="1:11" x14ac:dyDescent="0.25">
      <c r="A96" s="7" t="s">
        <v>110</v>
      </c>
      <c r="B96" s="8" t="s">
        <v>22</v>
      </c>
      <c r="C96" s="9">
        <v>20</v>
      </c>
      <c r="D96" s="9">
        <v>64</v>
      </c>
      <c r="E96" s="9">
        <v>82</v>
      </c>
      <c r="F96" s="9">
        <v>125</v>
      </c>
      <c r="G96" s="9">
        <v>22</v>
      </c>
      <c r="H96" s="9">
        <v>6</v>
      </c>
      <c r="I96" s="9">
        <v>7</v>
      </c>
      <c r="J96" s="10">
        <v>7</v>
      </c>
      <c r="K96" t="str">
        <f t="shared" si="1"/>
        <v>letni</v>
      </c>
    </row>
    <row r="97" spans="1:11" x14ac:dyDescent="0.25">
      <c r="A97" s="11" t="s">
        <v>111</v>
      </c>
      <c r="B97" s="12" t="s">
        <v>25</v>
      </c>
      <c r="C97" s="13">
        <v>17</v>
      </c>
      <c r="D97" s="13">
        <v>0</v>
      </c>
      <c r="E97" s="13">
        <v>2</v>
      </c>
      <c r="F97" s="13">
        <v>6</v>
      </c>
      <c r="G97" s="13">
        <v>6</v>
      </c>
      <c r="H97" s="13">
        <v>0</v>
      </c>
      <c r="I97" s="13">
        <v>0</v>
      </c>
      <c r="J97" s="14">
        <v>0</v>
      </c>
      <c r="K97" t="str">
        <f t="shared" si="1"/>
        <v/>
      </c>
    </row>
    <row r="98" spans="1:11" x14ac:dyDescent="0.25">
      <c r="A98" s="7" t="s">
        <v>112</v>
      </c>
      <c r="B98" s="8" t="s">
        <v>22</v>
      </c>
      <c r="C98" s="9">
        <v>23</v>
      </c>
      <c r="D98" s="9">
        <v>4</v>
      </c>
      <c r="E98" s="9">
        <v>8</v>
      </c>
      <c r="F98" s="9">
        <v>11</v>
      </c>
      <c r="G98" s="9">
        <v>7</v>
      </c>
      <c r="H98" s="9">
        <v>0</v>
      </c>
      <c r="I98" s="9">
        <v>0</v>
      </c>
      <c r="J98" s="10">
        <v>0</v>
      </c>
      <c r="K98" t="str">
        <f t="shared" si="1"/>
        <v>letni</v>
      </c>
    </row>
    <row r="99" spans="1:11" x14ac:dyDescent="0.25">
      <c r="A99" s="11" t="s">
        <v>113</v>
      </c>
      <c r="B99" s="12" t="s">
        <v>13</v>
      </c>
      <c r="C99" s="13">
        <v>18</v>
      </c>
      <c r="D99" s="13">
        <v>23</v>
      </c>
      <c r="E99" s="13">
        <v>26</v>
      </c>
      <c r="F99" s="13">
        <v>27</v>
      </c>
      <c r="G99" s="13">
        <v>6</v>
      </c>
      <c r="H99" s="13">
        <v>0</v>
      </c>
      <c r="I99" s="13">
        <v>0</v>
      </c>
      <c r="J99" s="14">
        <v>0</v>
      </c>
      <c r="K99" t="str">
        <f t="shared" si="1"/>
        <v>letni</v>
      </c>
    </row>
    <row r="100" spans="1:11" x14ac:dyDescent="0.25">
      <c r="A100" s="7" t="s">
        <v>114</v>
      </c>
      <c r="B100" s="8" t="s">
        <v>22</v>
      </c>
      <c r="C100" s="9">
        <v>5</v>
      </c>
      <c r="D100" s="9">
        <v>133</v>
      </c>
      <c r="E100" s="9">
        <v>122</v>
      </c>
      <c r="F100" s="9">
        <v>142</v>
      </c>
      <c r="G100" s="9">
        <v>6</v>
      </c>
      <c r="H100" s="9">
        <v>49</v>
      </c>
      <c r="I100" s="9">
        <v>40</v>
      </c>
      <c r="J100" s="10">
        <v>35</v>
      </c>
      <c r="K100" t="str">
        <f t="shared" si="1"/>
        <v>letni</v>
      </c>
    </row>
    <row r="101" spans="1:11" x14ac:dyDescent="0.25">
      <c r="A101" s="11" t="s">
        <v>115</v>
      </c>
      <c r="B101" s="12" t="s">
        <v>22</v>
      </c>
      <c r="C101" s="13">
        <v>3</v>
      </c>
      <c r="D101" s="13">
        <v>1</v>
      </c>
      <c r="E101" s="13">
        <v>4</v>
      </c>
      <c r="F101" s="13">
        <v>3</v>
      </c>
      <c r="G101" s="13">
        <v>0</v>
      </c>
      <c r="H101" s="13">
        <v>0</v>
      </c>
      <c r="I101" s="13">
        <v>0</v>
      </c>
      <c r="J101" s="14">
        <v>0</v>
      </c>
      <c r="K101" t="str">
        <f t="shared" si="1"/>
        <v>letni</v>
      </c>
    </row>
    <row r="102" spans="1:11" x14ac:dyDescent="0.25">
      <c r="A102" s="7" t="s">
        <v>116</v>
      </c>
      <c r="B102" s="8" t="s">
        <v>22</v>
      </c>
      <c r="C102" s="9">
        <v>20</v>
      </c>
      <c r="D102" s="9">
        <v>88</v>
      </c>
      <c r="E102" s="9">
        <v>94</v>
      </c>
      <c r="F102" s="9">
        <v>119</v>
      </c>
      <c r="G102" s="9">
        <v>20</v>
      </c>
      <c r="H102" s="9">
        <v>0</v>
      </c>
      <c r="I102" s="9">
        <v>0</v>
      </c>
      <c r="J102" s="10">
        <v>1</v>
      </c>
      <c r="K102" t="str">
        <f t="shared" si="1"/>
        <v>letni</v>
      </c>
    </row>
    <row r="103" spans="1:11" x14ac:dyDescent="0.25">
      <c r="A103" s="11" t="s">
        <v>117</v>
      </c>
      <c r="B103" s="12" t="s">
        <v>13</v>
      </c>
      <c r="C103" s="13">
        <v>13</v>
      </c>
      <c r="D103" s="13">
        <v>0</v>
      </c>
      <c r="E103" s="13">
        <v>1</v>
      </c>
      <c r="F103" s="13">
        <v>0</v>
      </c>
      <c r="G103" s="13">
        <v>5</v>
      </c>
      <c r="H103" s="13">
        <v>0</v>
      </c>
      <c r="I103" s="13">
        <v>0</v>
      </c>
      <c r="J103" s="14">
        <v>0</v>
      </c>
      <c r="K103" t="str">
        <f t="shared" si="1"/>
        <v/>
      </c>
    </row>
    <row r="104" spans="1:11" x14ac:dyDescent="0.25">
      <c r="A104" s="7" t="s">
        <v>118</v>
      </c>
      <c r="B104" s="8" t="s">
        <v>22</v>
      </c>
      <c r="C104" s="9">
        <v>3</v>
      </c>
      <c r="D104" s="9">
        <v>1</v>
      </c>
      <c r="E104" s="9">
        <v>2</v>
      </c>
      <c r="F104" s="9">
        <v>4</v>
      </c>
      <c r="G104" s="9">
        <v>2</v>
      </c>
      <c r="H104" s="9">
        <v>0</v>
      </c>
      <c r="I104" s="9">
        <v>0</v>
      </c>
      <c r="J104" s="10">
        <v>0</v>
      </c>
      <c r="K104" t="str">
        <f t="shared" si="1"/>
        <v>letni</v>
      </c>
    </row>
    <row r="105" spans="1:11" x14ac:dyDescent="0.25">
      <c r="A105" s="11" t="s">
        <v>119</v>
      </c>
      <c r="B105" s="12" t="s">
        <v>22</v>
      </c>
      <c r="C105" s="13">
        <v>1</v>
      </c>
      <c r="D105" s="13">
        <v>0</v>
      </c>
      <c r="E105" s="13">
        <v>2</v>
      </c>
      <c r="F105" s="13">
        <v>0</v>
      </c>
      <c r="G105" s="13">
        <v>1</v>
      </c>
      <c r="H105" s="13">
        <v>0</v>
      </c>
      <c r="I105" s="13">
        <v>0</v>
      </c>
      <c r="J105" s="14">
        <v>0</v>
      </c>
      <c r="K105" t="str">
        <f t="shared" si="1"/>
        <v/>
      </c>
    </row>
    <row r="106" spans="1:11" x14ac:dyDescent="0.25">
      <c r="A106" s="7" t="s">
        <v>120</v>
      </c>
      <c r="B106" s="8" t="s">
        <v>11</v>
      </c>
      <c r="C106" s="9">
        <v>15</v>
      </c>
      <c r="D106" s="9">
        <v>0</v>
      </c>
      <c r="E106" s="9">
        <v>2</v>
      </c>
      <c r="F106" s="9">
        <v>2</v>
      </c>
      <c r="G106" s="9">
        <v>0</v>
      </c>
      <c r="H106" s="9">
        <v>0</v>
      </c>
      <c r="I106" s="9">
        <v>0</v>
      </c>
      <c r="J106" s="10">
        <v>0</v>
      </c>
      <c r="K106" t="str">
        <f t="shared" si="1"/>
        <v/>
      </c>
    </row>
    <row r="107" spans="1:11" x14ac:dyDescent="0.25">
      <c r="A107" s="11" t="s">
        <v>121</v>
      </c>
      <c r="B107" s="12" t="s">
        <v>22</v>
      </c>
      <c r="C107" s="13">
        <v>5</v>
      </c>
      <c r="D107" s="13">
        <v>7</v>
      </c>
      <c r="E107" s="13">
        <v>9</v>
      </c>
      <c r="F107" s="13">
        <v>8</v>
      </c>
      <c r="G107" s="13">
        <v>6</v>
      </c>
      <c r="H107" s="13">
        <v>2</v>
      </c>
      <c r="I107" s="13">
        <v>2</v>
      </c>
      <c r="J107" s="14">
        <v>1</v>
      </c>
      <c r="K107" t="str">
        <f t="shared" si="1"/>
        <v>letni</v>
      </c>
    </row>
    <row r="108" spans="1:11" x14ac:dyDescent="0.25">
      <c r="A108" s="7" t="s">
        <v>122</v>
      </c>
      <c r="B108" s="8" t="s">
        <v>22</v>
      </c>
      <c r="C108" s="9">
        <v>6</v>
      </c>
      <c r="D108" s="9">
        <v>4</v>
      </c>
      <c r="E108" s="9">
        <v>6</v>
      </c>
      <c r="F108" s="9">
        <v>9</v>
      </c>
      <c r="G108" s="9">
        <v>7</v>
      </c>
      <c r="H108" s="9">
        <v>2</v>
      </c>
      <c r="I108" s="9">
        <v>4</v>
      </c>
      <c r="J108" s="10">
        <v>9</v>
      </c>
      <c r="K108" t="str">
        <f t="shared" si="1"/>
        <v/>
      </c>
    </row>
    <row r="109" spans="1:11" x14ac:dyDescent="0.25">
      <c r="A109" s="11" t="s">
        <v>123</v>
      </c>
      <c r="B109" s="12" t="s">
        <v>11</v>
      </c>
      <c r="C109" s="13">
        <v>16</v>
      </c>
      <c r="D109" s="13">
        <v>0</v>
      </c>
      <c r="E109" s="13">
        <v>2</v>
      </c>
      <c r="F109" s="13">
        <v>0</v>
      </c>
      <c r="G109" s="13">
        <v>0</v>
      </c>
      <c r="H109" s="13">
        <v>0</v>
      </c>
      <c r="I109" s="13">
        <v>0</v>
      </c>
      <c r="J109" s="14">
        <v>0</v>
      </c>
      <c r="K109" t="str">
        <f t="shared" si="1"/>
        <v/>
      </c>
    </row>
    <row r="110" spans="1:11" x14ac:dyDescent="0.25">
      <c r="A110" s="7" t="s">
        <v>124</v>
      </c>
      <c r="B110" s="8" t="s">
        <v>25</v>
      </c>
      <c r="C110" s="9">
        <v>26</v>
      </c>
      <c r="D110" s="9">
        <v>976</v>
      </c>
      <c r="E110" s="9">
        <v>758</v>
      </c>
      <c r="F110" s="9">
        <v>666</v>
      </c>
      <c r="G110" s="9">
        <v>22</v>
      </c>
      <c r="H110" s="9">
        <v>96</v>
      </c>
      <c r="I110" s="9">
        <v>102</v>
      </c>
      <c r="J110" s="10">
        <v>83</v>
      </c>
      <c r="K110" t="str">
        <f t="shared" si="1"/>
        <v>letni</v>
      </c>
    </row>
    <row r="111" spans="1:11" x14ac:dyDescent="0.25">
      <c r="A111" s="11" t="s">
        <v>125</v>
      </c>
      <c r="B111" s="12" t="s">
        <v>13</v>
      </c>
      <c r="C111" s="13">
        <v>11</v>
      </c>
      <c r="D111" s="13">
        <v>0</v>
      </c>
      <c r="E111" s="13">
        <v>1</v>
      </c>
      <c r="F111" s="13">
        <v>0</v>
      </c>
      <c r="G111" s="13">
        <v>0</v>
      </c>
      <c r="H111" s="13">
        <v>0</v>
      </c>
      <c r="I111" s="13">
        <v>0</v>
      </c>
      <c r="J111" s="14">
        <v>0</v>
      </c>
      <c r="K111" t="str">
        <f t="shared" si="1"/>
        <v/>
      </c>
    </row>
    <row r="112" spans="1:11" x14ac:dyDescent="0.25">
      <c r="A112" s="7" t="s">
        <v>126</v>
      </c>
      <c r="B112" s="8" t="s">
        <v>15</v>
      </c>
      <c r="C112" s="9">
        <v>11</v>
      </c>
      <c r="D112" s="9">
        <v>1</v>
      </c>
      <c r="E112" s="9">
        <v>0</v>
      </c>
      <c r="F112" s="9">
        <v>1</v>
      </c>
      <c r="G112" s="9">
        <v>0</v>
      </c>
      <c r="H112" s="9">
        <v>0</v>
      </c>
      <c r="I112" s="9">
        <v>0</v>
      </c>
      <c r="J112" s="10">
        <v>0</v>
      </c>
      <c r="K112" t="str">
        <f t="shared" si="1"/>
        <v/>
      </c>
    </row>
    <row r="113" spans="1:11" x14ac:dyDescent="0.25">
      <c r="A113" s="11" t="s">
        <v>127</v>
      </c>
      <c r="B113" s="12" t="s">
        <v>11</v>
      </c>
      <c r="C113" s="13">
        <v>12</v>
      </c>
      <c r="D113" s="13">
        <v>1</v>
      </c>
      <c r="E113" s="13">
        <v>1</v>
      </c>
      <c r="F113" s="13">
        <v>1</v>
      </c>
      <c r="G113" s="13">
        <v>0</v>
      </c>
      <c r="H113" s="13">
        <v>0</v>
      </c>
      <c r="I113" s="13">
        <v>0</v>
      </c>
      <c r="J113" s="14">
        <v>0</v>
      </c>
      <c r="K113" t="str">
        <f t="shared" si="1"/>
        <v>letni</v>
      </c>
    </row>
    <row r="114" spans="1:11" x14ac:dyDescent="0.25">
      <c r="A114" s="7" t="s">
        <v>128</v>
      </c>
      <c r="B114" s="8" t="s">
        <v>22</v>
      </c>
      <c r="C114" s="9">
        <v>27</v>
      </c>
      <c r="D114" s="9">
        <v>47</v>
      </c>
      <c r="E114" s="9">
        <v>73</v>
      </c>
      <c r="F114" s="9">
        <v>65</v>
      </c>
      <c r="G114" s="9">
        <v>22</v>
      </c>
      <c r="H114" s="9">
        <v>50</v>
      </c>
      <c r="I114" s="9">
        <v>40</v>
      </c>
      <c r="J114" s="10">
        <v>48</v>
      </c>
      <c r="K114" t="str">
        <f t="shared" si="1"/>
        <v/>
      </c>
    </row>
    <row r="115" spans="1:11" x14ac:dyDescent="0.25">
      <c r="A115" s="11" t="s">
        <v>129</v>
      </c>
      <c r="B115" s="12" t="s">
        <v>22</v>
      </c>
      <c r="C115" s="13">
        <v>26</v>
      </c>
      <c r="D115" s="13">
        <v>143</v>
      </c>
      <c r="E115" s="13">
        <v>164</v>
      </c>
      <c r="F115" s="13">
        <v>176</v>
      </c>
      <c r="G115" s="13">
        <v>22</v>
      </c>
      <c r="H115" s="13">
        <v>50</v>
      </c>
      <c r="I115" s="13">
        <v>40</v>
      </c>
      <c r="J115" s="14">
        <v>54</v>
      </c>
      <c r="K115" t="str">
        <f t="shared" si="1"/>
        <v>letni</v>
      </c>
    </row>
    <row r="116" spans="1:11" x14ac:dyDescent="0.25">
      <c r="A116" s="7" t="s">
        <v>130</v>
      </c>
      <c r="B116" s="8" t="s">
        <v>11</v>
      </c>
      <c r="C116" s="9">
        <v>5</v>
      </c>
      <c r="D116" s="9">
        <v>0</v>
      </c>
      <c r="E116" s="9">
        <v>1</v>
      </c>
      <c r="F116" s="9">
        <v>2</v>
      </c>
      <c r="G116" s="9">
        <v>4</v>
      </c>
      <c r="H116" s="9">
        <v>0</v>
      </c>
      <c r="I116" s="9">
        <v>0</v>
      </c>
      <c r="J116" s="10">
        <v>0</v>
      </c>
      <c r="K116" t="str">
        <f t="shared" si="1"/>
        <v/>
      </c>
    </row>
    <row r="117" spans="1:11" x14ac:dyDescent="0.25">
      <c r="A117" s="11" t="s">
        <v>131</v>
      </c>
      <c r="B117" s="12" t="s">
        <v>11</v>
      </c>
      <c r="C117" s="13">
        <v>15</v>
      </c>
      <c r="D117" s="13">
        <v>7</v>
      </c>
      <c r="E117" s="13">
        <v>6</v>
      </c>
      <c r="F117" s="13">
        <v>11</v>
      </c>
      <c r="G117" s="13">
        <v>3</v>
      </c>
      <c r="H117" s="13">
        <v>0</v>
      </c>
      <c r="I117" s="13">
        <v>0</v>
      </c>
      <c r="J117" s="14">
        <v>0</v>
      </c>
      <c r="K117" t="str">
        <f t="shared" si="1"/>
        <v>letni</v>
      </c>
    </row>
    <row r="118" spans="1:11" x14ac:dyDescent="0.25">
      <c r="A118" s="7" t="s">
        <v>132</v>
      </c>
      <c r="B118" s="8" t="s">
        <v>13</v>
      </c>
      <c r="C118" s="9">
        <v>12</v>
      </c>
      <c r="D118" s="9">
        <v>0</v>
      </c>
      <c r="E118" s="9">
        <v>2</v>
      </c>
      <c r="F118" s="9">
        <v>0</v>
      </c>
      <c r="G118" s="9">
        <v>0</v>
      </c>
      <c r="H118" s="9">
        <v>0</v>
      </c>
      <c r="I118" s="9">
        <v>0</v>
      </c>
      <c r="J118" s="10">
        <v>0</v>
      </c>
      <c r="K118" t="str">
        <f t="shared" si="1"/>
        <v/>
      </c>
    </row>
    <row r="119" spans="1:11" x14ac:dyDescent="0.25">
      <c r="A119" s="11" t="s">
        <v>133</v>
      </c>
      <c r="B119" s="12" t="s">
        <v>13</v>
      </c>
      <c r="C119" s="13">
        <v>9</v>
      </c>
      <c r="D119" s="13">
        <v>0</v>
      </c>
      <c r="E119" s="13">
        <v>0</v>
      </c>
      <c r="F119" s="13">
        <v>1</v>
      </c>
      <c r="G119" s="13">
        <v>1</v>
      </c>
      <c r="H119" s="13">
        <v>0</v>
      </c>
      <c r="I119" s="13">
        <v>0</v>
      </c>
      <c r="J119" s="14">
        <v>0</v>
      </c>
      <c r="K119" t="str">
        <f t="shared" si="1"/>
        <v/>
      </c>
    </row>
    <row r="120" spans="1:11" x14ac:dyDescent="0.25">
      <c r="A120" s="7" t="s">
        <v>134</v>
      </c>
      <c r="B120" s="8" t="s">
        <v>20</v>
      </c>
      <c r="C120" s="9">
        <v>8</v>
      </c>
      <c r="D120" s="9">
        <v>0</v>
      </c>
      <c r="E120" s="9">
        <v>1</v>
      </c>
      <c r="F120" s="9">
        <v>0</v>
      </c>
      <c r="G120" s="9">
        <v>1</v>
      </c>
      <c r="H120" s="9">
        <v>0</v>
      </c>
      <c r="I120" s="9">
        <v>0</v>
      </c>
      <c r="J120" s="10">
        <v>0</v>
      </c>
      <c r="K120" t="str">
        <f t="shared" si="1"/>
        <v/>
      </c>
    </row>
    <row r="121" spans="1:11" x14ac:dyDescent="0.25">
      <c r="A121" s="11" t="s">
        <v>135</v>
      </c>
      <c r="B121" s="12" t="s">
        <v>25</v>
      </c>
      <c r="C121" s="13">
        <v>16</v>
      </c>
      <c r="D121" s="13">
        <v>2</v>
      </c>
      <c r="E121" s="13">
        <v>5</v>
      </c>
      <c r="F121" s="13">
        <v>11</v>
      </c>
      <c r="G121" s="13">
        <v>3</v>
      </c>
      <c r="H121" s="13">
        <v>0</v>
      </c>
      <c r="I121" s="13">
        <v>0</v>
      </c>
      <c r="J121" s="14">
        <v>0</v>
      </c>
      <c r="K121" t="str">
        <f t="shared" si="1"/>
        <v>letni</v>
      </c>
    </row>
    <row r="122" spans="1:11" x14ac:dyDescent="0.25">
      <c r="A122" s="7" t="s">
        <v>136</v>
      </c>
      <c r="B122" s="8" t="s">
        <v>13</v>
      </c>
      <c r="C122" s="9">
        <v>13</v>
      </c>
      <c r="D122" s="9">
        <v>3</v>
      </c>
      <c r="E122" s="9">
        <v>3</v>
      </c>
      <c r="F122" s="9">
        <v>4</v>
      </c>
      <c r="G122" s="9">
        <v>0</v>
      </c>
      <c r="H122" s="9">
        <v>0</v>
      </c>
      <c r="I122" s="9">
        <v>0</v>
      </c>
      <c r="J122" s="10">
        <v>0</v>
      </c>
      <c r="K122" t="str">
        <f t="shared" si="1"/>
        <v>letni</v>
      </c>
    </row>
    <row r="123" spans="1:11" x14ac:dyDescent="0.25">
      <c r="A123" s="11" t="s">
        <v>137</v>
      </c>
      <c r="B123" s="12" t="s">
        <v>11</v>
      </c>
      <c r="C123" s="13">
        <v>21</v>
      </c>
      <c r="D123" s="13">
        <v>39</v>
      </c>
      <c r="E123" s="13">
        <v>25</v>
      </c>
      <c r="F123" s="13">
        <v>24</v>
      </c>
      <c r="G123" s="13">
        <v>16</v>
      </c>
      <c r="H123" s="13">
        <v>0</v>
      </c>
      <c r="I123" s="13">
        <v>0</v>
      </c>
      <c r="J123" s="14">
        <v>0</v>
      </c>
      <c r="K123" t="str">
        <f t="shared" si="1"/>
        <v>letni</v>
      </c>
    </row>
    <row r="124" spans="1:11" x14ac:dyDescent="0.25">
      <c r="A124" s="7" t="s">
        <v>138</v>
      </c>
      <c r="B124" s="8" t="s">
        <v>13</v>
      </c>
      <c r="C124" s="9">
        <v>14</v>
      </c>
      <c r="D124" s="9">
        <v>2</v>
      </c>
      <c r="E124" s="9">
        <v>3</v>
      </c>
      <c r="F124" s="9">
        <v>2</v>
      </c>
      <c r="G124" s="9">
        <v>0</v>
      </c>
      <c r="H124" s="9">
        <v>0</v>
      </c>
      <c r="I124" s="9">
        <v>0</v>
      </c>
      <c r="J124" s="10">
        <v>0</v>
      </c>
      <c r="K124" t="str">
        <f t="shared" si="1"/>
        <v>letni</v>
      </c>
    </row>
    <row r="125" spans="1:11" x14ac:dyDescent="0.25">
      <c r="A125" s="11" t="s">
        <v>139</v>
      </c>
      <c r="B125" s="12" t="s">
        <v>22</v>
      </c>
      <c r="C125" s="13">
        <v>5</v>
      </c>
      <c r="D125" s="13">
        <v>33</v>
      </c>
      <c r="E125" s="13">
        <v>27</v>
      </c>
      <c r="F125" s="13">
        <v>55</v>
      </c>
      <c r="G125" s="13">
        <v>6</v>
      </c>
      <c r="H125" s="13">
        <v>2</v>
      </c>
      <c r="I125" s="13">
        <v>1</v>
      </c>
      <c r="J125" s="14">
        <v>4</v>
      </c>
      <c r="K125" t="str">
        <f t="shared" si="1"/>
        <v>letni</v>
      </c>
    </row>
    <row r="126" spans="1:11" x14ac:dyDescent="0.25">
      <c r="A126" s="7" t="s">
        <v>140</v>
      </c>
      <c r="B126" s="8" t="s">
        <v>15</v>
      </c>
      <c r="C126" s="9">
        <v>20</v>
      </c>
      <c r="D126" s="9">
        <v>2</v>
      </c>
      <c r="E126" s="9">
        <v>2</v>
      </c>
      <c r="F126" s="9">
        <v>6</v>
      </c>
      <c r="G126" s="9">
        <v>1</v>
      </c>
      <c r="H126" s="9">
        <v>0</v>
      </c>
      <c r="I126" s="9">
        <v>0</v>
      </c>
      <c r="J126" s="10">
        <v>0</v>
      </c>
      <c r="K126" t="str">
        <f t="shared" si="1"/>
        <v>letni</v>
      </c>
    </row>
    <row r="127" spans="1:11" x14ac:dyDescent="0.25">
      <c r="A127" s="11" t="s">
        <v>141</v>
      </c>
      <c r="B127" s="12" t="s">
        <v>11</v>
      </c>
      <c r="C127" s="13">
        <v>5</v>
      </c>
      <c r="D127" s="13">
        <v>5</v>
      </c>
      <c r="E127" s="13">
        <v>5</v>
      </c>
      <c r="F127" s="13">
        <v>10</v>
      </c>
      <c r="G127" s="13">
        <v>6</v>
      </c>
      <c r="H127" s="13">
        <v>1</v>
      </c>
      <c r="I127" s="13">
        <v>0</v>
      </c>
      <c r="J127" s="14">
        <v>0</v>
      </c>
      <c r="K127" t="str">
        <f t="shared" si="1"/>
        <v>letni</v>
      </c>
    </row>
    <row r="128" spans="1:11" x14ac:dyDescent="0.25">
      <c r="A128" s="7" t="s">
        <v>142</v>
      </c>
      <c r="B128" s="8" t="s">
        <v>15</v>
      </c>
      <c r="C128" s="9">
        <v>17</v>
      </c>
      <c r="D128" s="9">
        <v>2</v>
      </c>
      <c r="E128" s="9">
        <v>2</v>
      </c>
      <c r="F128" s="9">
        <v>8</v>
      </c>
      <c r="G128" s="9">
        <v>4</v>
      </c>
      <c r="H128" s="9">
        <v>0</v>
      </c>
      <c r="I128" s="9">
        <v>0</v>
      </c>
      <c r="J128" s="10">
        <v>0</v>
      </c>
      <c r="K128" t="str">
        <f t="shared" si="1"/>
        <v>letni</v>
      </c>
    </row>
    <row r="129" spans="1:11" x14ac:dyDescent="0.25">
      <c r="A129" s="11" t="s">
        <v>143</v>
      </c>
      <c r="B129" s="12" t="s">
        <v>22</v>
      </c>
      <c r="C129" s="13">
        <v>25</v>
      </c>
      <c r="D129" s="13">
        <v>167</v>
      </c>
      <c r="E129" s="13">
        <v>144</v>
      </c>
      <c r="F129" s="13">
        <v>165</v>
      </c>
      <c r="G129" s="13">
        <v>22</v>
      </c>
      <c r="H129" s="13">
        <v>0</v>
      </c>
      <c r="I129" s="13">
        <v>2</v>
      </c>
      <c r="J129" s="14">
        <v>4</v>
      </c>
      <c r="K129" t="str">
        <f t="shared" si="1"/>
        <v>letni</v>
      </c>
    </row>
    <row r="130" spans="1:11" x14ac:dyDescent="0.25">
      <c r="A130" s="7" t="s">
        <v>144</v>
      </c>
      <c r="B130" s="8" t="s">
        <v>22</v>
      </c>
      <c r="C130" s="9">
        <v>27</v>
      </c>
      <c r="D130" s="9">
        <v>236</v>
      </c>
      <c r="E130" s="9">
        <v>272</v>
      </c>
      <c r="F130" s="9">
        <v>272</v>
      </c>
      <c r="G130" s="9">
        <v>22</v>
      </c>
      <c r="H130" s="9">
        <v>10</v>
      </c>
      <c r="I130" s="9">
        <v>4</v>
      </c>
      <c r="J130" s="10">
        <v>12</v>
      </c>
      <c r="K130" t="str">
        <f t="shared" si="1"/>
        <v>letni</v>
      </c>
    </row>
    <row r="131" spans="1:11" x14ac:dyDescent="0.25">
      <c r="A131" s="11" t="s">
        <v>145</v>
      </c>
      <c r="B131" s="12" t="s">
        <v>11</v>
      </c>
      <c r="C131" s="13">
        <v>14</v>
      </c>
      <c r="D131" s="13">
        <v>0</v>
      </c>
      <c r="E131" s="13">
        <v>2</v>
      </c>
      <c r="F131" s="13">
        <v>0</v>
      </c>
      <c r="G131" s="13">
        <v>0</v>
      </c>
      <c r="H131" s="13">
        <v>0</v>
      </c>
      <c r="I131" s="13">
        <v>0</v>
      </c>
      <c r="J131" s="14">
        <v>0</v>
      </c>
      <c r="K131" t="str">
        <f t="shared" ref="K131:K139" si="2">IF(AND(D131&gt;H131,E131&gt;I131,F131&gt;J131),"letni",IF(AND(D131&lt;H131,E131&lt;I131,F131&lt;J131),"zimowy",""))</f>
        <v/>
      </c>
    </row>
    <row r="132" spans="1:11" x14ac:dyDescent="0.25">
      <c r="A132" s="7" t="s">
        <v>146</v>
      </c>
      <c r="B132" s="8" t="s">
        <v>22</v>
      </c>
      <c r="C132" s="9">
        <v>26</v>
      </c>
      <c r="D132" s="9">
        <v>198</v>
      </c>
      <c r="E132" s="9">
        <v>166</v>
      </c>
      <c r="F132" s="9">
        <v>185</v>
      </c>
      <c r="G132" s="9">
        <v>22</v>
      </c>
      <c r="H132" s="9">
        <v>37</v>
      </c>
      <c r="I132" s="9">
        <v>34</v>
      </c>
      <c r="J132" s="10">
        <v>43</v>
      </c>
      <c r="K132" t="str">
        <f t="shared" si="2"/>
        <v>letni</v>
      </c>
    </row>
    <row r="133" spans="1:11" x14ac:dyDescent="0.25">
      <c r="A133" s="11" t="s">
        <v>147</v>
      </c>
      <c r="B133" s="12" t="s">
        <v>22</v>
      </c>
      <c r="C133" s="13">
        <v>1</v>
      </c>
      <c r="D133" s="13">
        <v>45</v>
      </c>
      <c r="E133" s="13">
        <v>38</v>
      </c>
      <c r="F133" s="13">
        <v>29</v>
      </c>
      <c r="G133" s="13">
        <v>1</v>
      </c>
      <c r="H133" s="13">
        <v>9</v>
      </c>
      <c r="I133" s="13">
        <v>6</v>
      </c>
      <c r="J133" s="14">
        <v>8</v>
      </c>
      <c r="K133" t="str">
        <f t="shared" si="2"/>
        <v>letni</v>
      </c>
    </row>
    <row r="134" spans="1:11" x14ac:dyDescent="0.25">
      <c r="A134" s="7" t="s">
        <v>148</v>
      </c>
      <c r="B134" s="8" t="s">
        <v>13</v>
      </c>
      <c r="C134" s="9">
        <v>12</v>
      </c>
      <c r="D134" s="9">
        <v>0</v>
      </c>
      <c r="E134" s="9">
        <v>1</v>
      </c>
      <c r="F134" s="9">
        <v>0</v>
      </c>
      <c r="G134" s="9">
        <v>0</v>
      </c>
      <c r="H134" s="9">
        <v>0</v>
      </c>
      <c r="I134" s="9">
        <v>0</v>
      </c>
      <c r="J134" s="10">
        <v>0</v>
      </c>
      <c r="K134" t="str">
        <f t="shared" si="2"/>
        <v/>
      </c>
    </row>
    <row r="135" spans="1:11" x14ac:dyDescent="0.25">
      <c r="A135" s="11" t="s">
        <v>149</v>
      </c>
      <c r="B135" s="12" t="s">
        <v>25</v>
      </c>
      <c r="C135" s="13">
        <v>11</v>
      </c>
      <c r="D135" s="13">
        <v>0</v>
      </c>
      <c r="E135" s="13">
        <v>1</v>
      </c>
      <c r="F135" s="13">
        <v>0</v>
      </c>
      <c r="G135" s="13">
        <v>7</v>
      </c>
      <c r="H135" s="13">
        <v>0</v>
      </c>
      <c r="I135" s="13">
        <v>0</v>
      </c>
      <c r="J135" s="14">
        <v>0</v>
      </c>
      <c r="K135" t="str">
        <f t="shared" si="2"/>
        <v/>
      </c>
    </row>
    <row r="136" spans="1:11" x14ac:dyDescent="0.25">
      <c r="A136" s="7" t="s">
        <v>150</v>
      </c>
      <c r="B136" s="8" t="s">
        <v>13</v>
      </c>
      <c r="C136" s="9">
        <v>12</v>
      </c>
      <c r="D136" s="9">
        <v>0</v>
      </c>
      <c r="E136" s="9">
        <v>1</v>
      </c>
      <c r="F136" s="9">
        <v>1</v>
      </c>
      <c r="G136" s="9">
        <v>0</v>
      </c>
      <c r="H136" s="9">
        <v>0</v>
      </c>
      <c r="I136" s="9">
        <v>0</v>
      </c>
      <c r="J136" s="10">
        <v>0</v>
      </c>
      <c r="K136" t="str">
        <f t="shared" si="2"/>
        <v/>
      </c>
    </row>
    <row r="137" spans="1:11" x14ac:dyDescent="0.25">
      <c r="A137" s="11" t="s">
        <v>151</v>
      </c>
      <c r="B137" s="12" t="s">
        <v>13</v>
      </c>
      <c r="C137" s="13">
        <v>12</v>
      </c>
      <c r="D137" s="13">
        <v>3</v>
      </c>
      <c r="E137" s="13">
        <v>4</v>
      </c>
      <c r="F137" s="13">
        <v>1</v>
      </c>
      <c r="G137" s="13">
        <v>1</v>
      </c>
      <c r="H137" s="13">
        <v>0</v>
      </c>
      <c r="I137" s="13">
        <v>0</v>
      </c>
      <c r="J137" s="14">
        <v>0</v>
      </c>
      <c r="K137" t="str">
        <f t="shared" si="2"/>
        <v>letni</v>
      </c>
    </row>
    <row r="138" spans="1:11" x14ac:dyDescent="0.25">
      <c r="A138" s="7" t="s">
        <v>152</v>
      </c>
      <c r="B138" s="8" t="s">
        <v>11</v>
      </c>
      <c r="C138" s="9">
        <v>8</v>
      </c>
      <c r="D138" s="9">
        <v>1</v>
      </c>
      <c r="E138" s="9">
        <v>0</v>
      </c>
      <c r="F138" s="9">
        <v>0</v>
      </c>
      <c r="G138" s="9">
        <v>0</v>
      </c>
      <c r="H138" s="9">
        <v>0</v>
      </c>
      <c r="I138" s="9">
        <v>0</v>
      </c>
      <c r="J138" s="10">
        <v>0</v>
      </c>
      <c r="K138" t="str">
        <f t="shared" si="2"/>
        <v/>
      </c>
    </row>
    <row r="139" spans="1:11" x14ac:dyDescent="0.25">
      <c r="A139" s="15" t="s">
        <v>153</v>
      </c>
      <c r="B139" s="16" t="s">
        <v>22</v>
      </c>
      <c r="C139" s="2">
        <v>9</v>
      </c>
      <c r="D139" s="2">
        <v>395</v>
      </c>
      <c r="E139" s="2">
        <v>319</v>
      </c>
      <c r="F139" s="2">
        <v>296</v>
      </c>
      <c r="G139" s="2">
        <v>9</v>
      </c>
      <c r="H139" s="2">
        <v>78</v>
      </c>
      <c r="I139" s="2">
        <v>57</v>
      </c>
      <c r="J139" s="3">
        <v>59</v>
      </c>
      <c r="K139" t="str">
        <f t="shared" si="2"/>
        <v>letni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B86458-DE25-4024-9A80-A9C289C070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dane</vt:lpstr>
      <vt:lpstr>92.1</vt:lpstr>
      <vt:lpstr>92.2</vt:lpstr>
      <vt:lpstr>92.3</vt:lpstr>
      <vt:lpstr>92.4</vt:lpstr>
      <vt:lpstr>92.5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Bartek Starosta</dc:creator>
  <cp:lastModifiedBy>Bartlomiej Starosta</cp:lastModifiedBy>
  <dcterms:created xsi:type="dcterms:W3CDTF">2015-06-05T18:19:34Z</dcterms:created>
  <dcterms:modified xsi:type="dcterms:W3CDTF">2026-01-27T13:13:53Z</dcterms:modified>
</cp:coreProperties>
</file>