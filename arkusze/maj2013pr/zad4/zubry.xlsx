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maj2013pr\zad4\"/>
    </mc:Choice>
  </mc:AlternateContent>
  <xr:revisionPtr revIDLastSave="0" documentId="13_ncr:1_{3F8EFA18-C2A7-42E1-8F1F-CF7ED1DAB30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zubry" sheetId="1" r:id="rId1"/>
    <sheet name="4a" sheetId="2" r:id="rId2"/>
    <sheet name="4b" sheetId="3" r:id="rId3"/>
    <sheet name="4c" sheetId="4" r:id="rId4"/>
    <sheet name="4d" sheetId="5" r:id="rId5"/>
    <sheet name="4e" sheetId="6" r:id="rId6"/>
  </sheet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G3" i="6" s="1"/>
  <c r="E4" i="6" s="1"/>
  <c r="K4" i="4"/>
  <c r="J4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L3" i="2"/>
  <c r="K3" i="2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G3" i="4" s="1"/>
  <c r="E4" i="4" s="1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F3" i="3" s="1"/>
  <c r="D4" i="3" s="1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E4" i="2"/>
  <c r="B4" i="2"/>
  <c r="B3" i="2"/>
  <c r="G3" i="2" s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G3" i="1" s="1"/>
  <c r="E4" i="1" s="1"/>
  <c r="B92" i="5"/>
  <c r="D92" i="5"/>
  <c r="E92" i="5"/>
  <c r="F92" i="5"/>
  <c r="G92" i="5"/>
  <c r="B89" i="5"/>
  <c r="D89" i="5"/>
  <c r="E89" i="5"/>
  <c r="F89" i="5"/>
  <c r="D90" i="5" s="1"/>
  <c r="G89" i="5"/>
  <c r="E90" i="5" s="1"/>
  <c r="B90" i="5"/>
  <c r="B91" i="5"/>
  <c r="B73" i="5"/>
  <c r="D73" i="5"/>
  <c r="G73" i="5" s="1"/>
  <c r="E74" i="5" s="1"/>
  <c r="E73" i="5"/>
  <c r="F73" i="5"/>
  <c r="D74" i="5" s="1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62" i="5"/>
  <c r="D62" i="5"/>
  <c r="E62" i="5"/>
  <c r="F62" i="5"/>
  <c r="D63" i="5" s="1"/>
  <c r="G62" i="5"/>
  <c r="E63" i="5" s="1"/>
  <c r="B63" i="5"/>
  <c r="B64" i="5"/>
  <c r="B65" i="5"/>
  <c r="B66" i="5"/>
  <c r="B67" i="5"/>
  <c r="B68" i="5"/>
  <c r="B69" i="5"/>
  <c r="B70" i="5"/>
  <c r="B71" i="5"/>
  <c r="B7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4" i="5"/>
  <c r="B4" i="5"/>
  <c r="G3" i="5"/>
  <c r="B3" i="5"/>
  <c r="F3" i="5" s="1"/>
  <c r="D4" i="5" s="1"/>
  <c r="H3" i="4"/>
  <c r="F3" i="6" l="1"/>
  <c r="D4" i="6" s="1"/>
  <c r="F3" i="4"/>
  <c r="D4" i="4" s="1"/>
  <c r="F4" i="3"/>
  <c r="D5" i="3" s="1"/>
  <c r="G3" i="3"/>
  <c r="E4" i="3" s="1"/>
  <c r="G4" i="3" s="1"/>
  <c r="F3" i="2"/>
  <c r="D4" i="2" s="1"/>
  <c r="F3" i="1"/>
  <c r="D4" i="1" s="1"/>
  <c r="F90" i="5"/>
  <c r="D91" i="5" s="1"/>
  <c r="G90" i="5"/>
  <c r="E91" i="5" s="1"/>
  <c r="F74" i="5"/>
  <c r="D75" i="5" s="1"/>
  <c r="G74" i="5"/>
  <c r="E75" i="5" s="1"/>
  <c r="G63" i="5"/>
  <c r="E64" i="5" s="1"/>
  <c r="F63" i="5"/>
  <c r="D64" i="5" s="1"/>
  <c r="G4" i="5"/>
  <c r="E5" i="5" s="1"/>
  <c r="F4" i="5"/>
  <c r="D5" i="5" s="1"/>
  <c r="G4" i="6" l="1"/>
  <c r="E5" i="6" s="1"/>
  <c r="F4" i="6"/>
  <c r="D5" i="6" s="1"/>
  <c r="G4" i="4"/>
  <c r="E5" i="4" s="1"/>
  <c r="F4" i="4"/>
  <c r="D5" i="4" s="1"/>
  <c r="H4" i="4"/>
  <c r="E5" i="3"/>
  <c r="G5" i="3" s="1"/>
  <c r="E6" i="3" s="1"/>
  <c r="I4" i="3"/>
  <c r="F5" i="3"/>
  <c r="D6" i="3" s="1"/>
  <c r="G4" i="2"/>
  <c r="F4" i="2"/>
  <c r="G4" i="1"/>
  <c r="E5" i="1" s="1"/>
  <c r="F4" i="1"/>
  <c r="D5" i="1" s="1"/>
  <c r="F91" i="5"/>
  <c r="G91" i="5"/>
  <c r="F75" i="5"/>
  <c r="D76" i="5" s="1"/>
  <c r="G75" i="5"/>
  <c r="E76" i="5" s="1"/>
  <c r="F64" i="5"/>
  <c r="D65" i="5" s="1"/>
  <c r="G64" i="5"/>
  <c r="E65" i="5" s="1"/>
  <c r="G5" i="5"/>
  <c r="E6" i="5" s="1"/>
  <c r="F5" i="5"/>
  <c r="D6" i="5" s="1"/>
  <c r="G5" i="6" l="1"/>
  <c r="E6" i="6" s="1"/>
  <c r="F5" i="6"/>
  <c r="D6" i="6" s="1"/>
  <c r="G5" i="4"/>
  <c r="E6" i="4" s="1"/>
  <c r="F5" i="4"/>
  <c r="D6" i="4" s="1"/>
  <c r="H5" i="4"/>
  <c r="G6" i="3"/>
  <c r="E7" i="3" s="1"/>
  <c r="F6" i="3"/>
  <c r="D7" i="3" s="1"/>
  <c r="H4" i="2"/>
  <c r="D5" i="2"/>
  <c r="I4" i="2"/>
  <c r="E5" i="2"/>
  <c r="G5" i="1"/>
  <c r="E6" i="1" s="1"/>
  <c r="F5" i="1"/>
  <c r="D6" i="1" s="1"/>
  <c r="F76" i="5"/>
  <c r="D77" i="5" s="1"/>
  <c r="G76" i="5"/>
  <c r="E77" i="5" s="1"/>
  <c r="F65" i="5"/>
  <c r="D66" i="5" s="1"/>
  <c r="G65" i="5"/>
  <c r="E66" i="5" s="1"/>
  <c r="G6" i="5"/>
  <c r="E7" i="5" s="1"/>
  <c r="F6" i="5"/>
  <c r="D7" i="5" s="1"/>
  <c r="G6" i="6" l="1"/>
  <c r="E7" i="6" s="1"/>
  <c r="F6" i="6"/>
  <c r="D7" i="6" s="1"/>
  <c r="G6" i="4"/>
  <c r="E7" i="4" s="1"/>
  <c r="F6" i="4"/>
  <c r="D7" i="4" s="1"/>
  <c r="H6" i="4"/>
  <c r="G7" i="3"/>
  <c r="E8" i="3" s="1"/>
  <c r="F7" i="3"/>
  <c r="D8" i="3" s="1"/>
  <c r="G5" i="2"/>
  <c r="F5" i="2"/>
  <c r="G6" i="1"/>
  <c r="E7" i="1" s="1"/>
  <c r="F6" i="1"/>
  <c r="D7" i="1" s="1"/>
  <c r="F77" i="5"/>
  <c r="D78" i="5" s="1"/>
  <c r="G77" i="5"/>
  <c r="E78" i="5" s="1"/>
  <c r="G66" i="5"/>
  <c r="E67" i="5" s="1"/>
  <c r="F66" i="5"/>
  <c r="D67" i="5" s="1"/>
  <c r="G7" i="5"/>
  <c r="E8" i="5" s="1"/>
  <c r="F7" i="5"/>
  <c r="D8" i="5" s="1"/>
  <c r="G7" i="6" l="1"/>
  <c r="E8" i="6" s="1"/>
  <c r="F7" i="6"/>
  <c r="D8" i="6" s="1"/>
  <c r="G7" i="4"/>
  <c r="E8" i="4" s="1"/>
  <c r="F7" i="4"/>
  <c r="D8" i="4" s="1"/>
  <c r="H7" i="4"/>
  <c r="G8" i="3"/>
  <c r="E9" i="3" s="1"/>
  <c r="F8" i="3"/>
  <c r="D9" i="3" s="1"/>
  <c r="D6" i="2"/>
  <c r="H5" i="2"/>
  <c r="E6" i="2"/>
  <c r="I5" i="2"/>
  <c r="G7" i="1"/>
  <c r="E8" i="1" s="1"/>
  <c r="F7" i="1"/>
  <c r="D8" i="1" s="1"/>
  <c r="F78" i="5"/>
  <c r="D79" i="5" s="1"/>
  <c r="G78" i="5"/>
  <c r="E79" i="5" s="1"/>
  <c r="G67" i="5"/>
  <c r="E68" i="5" s="1"/>
  <c r="F67" i="5"/>
  <c r="D68" i="5" s="1"/>
  <c r="G8" i="5"/>
  <c r="E9" i="5" s="1"/>
  <c r="F8" i="5"/>
  <c r="D9" i="5" s="1"/>
  <c r="I5" i="3"/>
  <c r="F8" i="6" l="1"/>
  <c r="D9" i="6" s="1"/>
  <c r="G8" i="6"/>
  <c r="E9" i="6" s="1"/>
  <c r="H8" i="4"/>
  <c r="G8" i="4"/>
  <c r="E9" i="4" s="1"/>
  <c r="F8" i="4"/>
  <c r="D9" i="4" s="1"/>
  <c r="F9" i="3"/>
  <c r="D10" i="3" s="1"/>
  <c r="G9" i="3"/>
  <c r="E10" i="3" s="1"/>
  <c r="F6" i="2"/>
  <c r="G6" i="2"/>
  <c r="G8" i="1"/>
  <c r="E9" i="1" s="1"/>
  <c r="F8" i="1"/>
  <c r="D9" i="1" s="1"/>
  <c r="F79" i="5"/>
  <c r="D80" i="5" s="1"/>
  <c r="G79" i="5"/>
  <c r="E80" i="5" s="1"/>
  <c r="F68" i="5"/>
  <c r="D69" i="5" s="1"/>
  <c r="G68" i="5"/>
  <c r="E69" i="5" s="1"/>
  <c r="G9" i="5"/>
  <c r="E10" i="5" s="1"/>
  <c r="F9" i="5"/>
  <c r="D10" i="5" s="1"/>
  <c r="F9" i="6" l="1"/>
  <c r="D10" i="6" s="1"/>
  <c r="G9" i="6"/>
  <c r="E10" i="6" s="1"/>
  <c r="H9" i="4"/>
  <c r="G9" i="4"/>
  <c r="E10" i="4" s="1"/>
  <c r="F9" i="4"/>
  <c r="D10" i="4" s="1"/>
  <c r="G10" i="3"/>
  <c r="E11" i="3" s="1"/>
  <c r="F10" i="3"/>
  <c r="D11" i="3" s="1"/>
  <c r="I6" i="2"/>
  <c r="E7" i="2"/>
  <c r="H6" i="2"/>
  <c r="D7" i="2"/>
  <c r="F9" i="1"/>
  <c r="D10" i="1" s="1"/>
  <c r="G9" i="1"/>
  <c r="E10" i="1" s="1"/>
  <c r="F80" i="5"/>
  <c r="D81" i="5" s="1"/>
  <c r="G80" i="5"/>
  <c r="E81" i="5" s="1"/>
  <c r="F69" i="5"/>
  <c r="D70" i="5" s="1"/>
  <c r="G69" i="5"/>
  <c r="E70" i="5" s="1"/>
  <c r="F10" i="5"/>
  <c r="D11" i="5" s="1"/>
  <c r="G10" i="5"/>
  <c r="E11" i="5" s="1"/>
  <c r="I6" i="3"/>
  <c r="G10" i="6" l="1"/>
  <c r="E11" i="6" s="1"/>
  <c r="F10" i="6"/>
  <c r="D11" i="6" s="1"/>
  <c r="H10" i="4"/>
  <c r="G10" i="4"/>
  <c r="E11" i="4" s="1"/>
  <c r="F10" i="4"/>
  <c r="D11" i="4" s="1"/>
  <c r="G11" i="3"/>
  <c r="E12" i="3" s="1"/>
  <c r="F11" i="3"/>
  <c r="D12" i="3" s="1"/>
  <c r="G7" i="2"/>
  <c r="F7" i="2"/>
  <c r="G10" i="1"/>
  <c r="E11" i="1" s="1"/>
  <c r="F10" i="1"/>
  <c r="D11" i="1" s="1"/>
  <c r="F81" i="5"/>
  <c r="D82" i="5" s="1"/>
  <c r="G81" i="5"/>
  <c r="E82" i="5" s="1"/>
  <c r="F70" i="5"/>
  <c r="D71" i="5" s="1"/>
  <c r="G70" i="5"/>
  <c r="E71" i="5" s="1"/>
  <c r="G11" i="5"/>
  <c r="E12" i="5" s="1"/>
  <c r="F11" i="5"/>
  <c r="D12" i="5" s="1"/>
  <c r="G11" i="6" l="1"/>
  <c r="E12" i="6" s="1"/>
  <c r="F11" i="6"/>
  <c r="D12" i="6" s="1"/>
  <c r="H11" i="4"/>
  <c r="G11" i="4"/>
  <c r="E12" i="4" s="1"/>
  <c r="F11" i="4"/>
  <c r="D12" i="4" s="1"/>
  <c r="G12" i="3"/>
  <c r="E13" i="3" s="1"/>
  <c r="F12" i="3"/>
  <c r="D13" i="3" s="1"/>
  <c r="H7" i="2"/>
  <c r="D8" i="2"/>
  <c r="I7" i="2"/>
  <c r="E8" i="2"/>
  <c r="F11" i="1"/>
  <c r="D12" i="1" s="1"/>
  <c r="G11" i="1"/>
  <c r="E12" i="1" s="1"/>
  <c r="F82" i="5"/>
  <c r="D83" i="5" s="1"/>
  <c r="G82" i="5"/>
  <c r="E83" i="5" s="1"/>
  <c r="F71" i="5"/>
  <c r="D72" i="5" s="1"/>
  <c r="G71" i="5"/>
  <c r="E72" i="5" s="1"/>
  <c r="G12" i="5"/>
  <c r="E13" i="5" s="1"/>
  <c r="F12" i="5"/>
  <c r="D13" i="5" s="1"/>
  <c r="I7" i="3"/>
  <c r="G12" i="6" l="1"/>
  <c r="E13" i="6" s="1"/>
  <c r="F12" i="6"/>
  <c r="D13" i="6" s="1"/>
  <c r="G12" i="4"/>
  <c r="E13" i="4" s="1"/>
  <c r="F12" i="4"/>
  <c r="D13" i="4" s="1"/>
  <c r="H12" i="4"/>
  <c r="F13" i="3"/>
  <c r="D14" i="3" s="1"/>
  <c r="G13" i="3"/>
  <c r="E14" i="3" s="1"/>
  <c r="G8" i="2"/>
  <c r="F8" i="2"/>
  <c r="G12" i="1"/>
  <c r="E13" i="1" s="1"/>
  <c r="F12" i="1"/>
  <c r="D13" i="1" s="1"/>
  <c r="F83" i="5"/>
  <c r="D84" i="5" s="1"/>
  <c r="G83" i="5"/>
  <c r="E84" i="5" s="1"/>
  <c r="F72" i="5"/>
  <c r="G72" i="5"/>
  <c r="G13" i="5"/>
  <c r="E14" i="5" s="1"/>
  <c r="F13" i="5"/>
  <c r="D14" i="5" s="1"/>
  <c r="G13" i="6" l="1"/>
  <c r="E14" i="6" s="1"/>
  <c r="F13" i="6"/>
  <c r="D14" i="6" s="1"/>
  <c r="G13" i="4"/>
  <c r="E14" i="4" s="1"/>
  <c r="F13" i="4"/>
  <c r="D14" i="4" s="1"/>
  <c r="H13" i="4"/>
  <c r="G14" i="3"/>
  <c r="E15" i="3" s="1"/>
  <c r="F14" i="3"/>
  <c r="D15" i="3" s="1"/>
  <c r="D9" i="2"/>
  <c r="H8" i="2"/>
  <c r="E9" i="2"/>
  <c r="I8" i="2"/>
  <c r="G13" i="1"/>
  <c r="E14" i="1" s="1"/>
  <c r="F13" i="1"/>
  <c r="D14" i="1" s="1"/>
  <c r="F84" i="5"/>
  <c r="D85" i="5" s="1"/>
  <c r="G84" i="5"/>
  <c r="E85" i="5" s="1"/>
  <c r="G14" i="5"/>
  <c r="E15" i="5" s="1"/>
  <c r="F14" i="5"/>
  <c r="D15" i="5" s="1"/>
  <c r="I8" i="3"/>
  <c r="G14" i="6" l="1"/>
  <c r="E15" i="6" s="1"/>
  <c r="F14" i="6"/>
  <c r="D15" i="6" s="1"/>
  <c r="F14" i="4"/>
  <c r="D15" i="4" s="1"/>
  <c r="H14" i="4"/>
  <c r="G14" i="4"/>
  <c r="E15" i="4" s="1"/>
  <c r="G15" i="3"/>
  <c r="E16" i="3" s="1"/>
  <c r="F15" i="3"/>
  <c r="D16" i="3" s="1"/>
  <c r="F9" i="2"/>
  <c r="G9" i="2"/>
  <c r="F14" i="1"/>
  <c r="D15" i="1" s="1"/>
  <c r="G14" i="1"/>
  <c r="E15" i="1" s="1"/>
  <c r="G85" i="5"/>
  <c r="E86" i="5" s="1"/>
  <c r="F85" i="5"/>
  <c r="D86" i="5" s="1"/>
  <c r="G15" i="5"/>
  <c r="E16" i="5" s="1"/>
  <c r="F15" i="5"/>
  <c r="D16" i="5" s="1"/>
  <c r="G15" i="6" l="1"/>
  <c r="E16" i="6" s="1"/>
  <c r="F15" i="6"/>
  <c r="D16" i="6" s="1"/>
  <c r="H15" i="4"/>
  <c r="G15" i="4"/>
  <c r="E16" i="4" s="1"/>
  <c r="F15" i="4"/>
  <c r="D16" i="4" s="1"/>
  <c r="G16" i="3"/>
  <c r="E17" i="3" s="1"/>
  <c r="F16" i="3"/>
  <c r="D17" i="3" s="1"/>
  <c r="E10" i="2"/>
  <c r="I9" i="2"/>
  <c r="D10" i="2"/>
  <c r="H9" i="2"/>
  <c r="G15" i="1"/>
  <c r="E16" i="1" s="1"/>
  <c r="F15" i="1"/>
  <c r="D16" i="1" s="1"/>
  <c r="F86" i="5"/>
  <c r="D87" i="5" s="1"/>
  <c r="G86" i="5"/>
  <c r="E87" i="5" s="1"/>
  <c r="G16" i="5"/>
  <c r="E17" i="5" s="1"/>
  <c r="F16" i="5"/>
  <c r="D17" i="5" s="1"/>
  <c r="I9" i="3"/>
  <c r="F16" i="6" l="1"/>
  <c r="D17" i="6" s="1"/>
  <c r="G16" i="6"/>
  <c r="E17" i="6" s="1"/>
  <c r="H16" i="4"/>
  <c r="G16" i="4"/>
  <c r="E17" i="4" s="1"/>
  <c r="F16" i="4"/>
  <c r="D17" i="4" s="1"/>
  <c r="G17" i="3"/>
  <c r="E18" i="3" s="1"/>
  <c r="F17" i="3"/>
  <c r="D18" i="3" s="1"/>
  <c r="G10" i="2"/>
  <c r="F10" i="2"/>
  <c r="G16" i="1"/>
  <c r="E17" i="1" s="1"/>
  <c r="F16" i="1"/>
  <c r="D17" i="1" s="1"/>
  <c r="G87" i="5"/>
  <c r="E88" i="5" s="1"/>
  <c r="F87" i="5"/>
  <c r="D88" i="5" s="1"/>
  <c r="G17" i="5"/>
  <c r="E18" i="5" s="1"/>
  <c r="F17" i="5"/>
  <c r="D18" i="5" s="1"/>
  <c r="G17" i="6" l="1"/>
  <c r="E18" i="6" s="1"/>
  <c r="F17" i="6"/>
  <c r="D18" i="6" s="1"/>
  <c r="G17" i="4"/>
  <c r="E18" i="4" s="1"/>
  <c r="F17" i="4"/>
  <c r="D18" i="4" s="1"/>
  <c r="H17" i="4"/>
  <c r="F18" i="3"/>
  <c r="D19" i="3" s="1"/>
  <c r="G18" i="3"/>
  <c r="E19" i="3" s="1"/>
  <c r="H10" i="2"/>
  <c r="D11" i="2"/>
  <c r="E11" i="2"/>
  <c r="I10" i="2"/>
  <c r="F17" i="1"/>
  <c r="D18" i="1" s="1"/>
  <c r="G17" i="1"/>
  <c r="E18" i="1" s="1"/>
  <c r="F88" i="5"/>
  <c r="G88" i="5"/>
  <c r="G18" i="5"/>
  <c r="E19" i="5" s="1"/>
  <c r="F18" i="5"/>
  <c r="D19" i="5" s="1"/>
  <c r="I10" i="3"/>
  <c r="F18" i="6" l="1"/>
  <c r="D19" i="6" s="1"/>
  <c r="G18" i="6"/>
  <c r="E19" i="6" s="1"/>
  <c r="H18" i="4"/>
  <c r="G18" i="4"/>
  <c r="E19" i="4" s="1"/>
  <c r="F18" i="4"/>
  <c r="D19" i="4" s="1"/>
  <c r="F19" i="3"/>
  <c r="D20" i="3" s="1"/>
  <c r="G19" i="3"/>
  <c r="E20" i="3" s="1"/>
  <c r="G11" i="2"/>
  <c r="F11" i="2"/>
  <c r="G18" i="1"/>
  <c r="E19" i="1" s="1"/>
  <c r="F18" i="1"/>
  <c r="D19" i="1" s="1"/>
  <c r="G19" i="5"/>
  <c r="E20" i="5" s="1"/>
  <c r="F19" i="5"/>
  <c r="D20" i="5" s="1"/>
  <c r="F19" i="6" l="1"/>
  <c r="D20" i="6" s="1"/>
  <c r="G19" i="6"/>
  <c r="E20" i="6" s="1"/>
  <c r="H19" i="4"/>
  <c r="G19" i="4"/>
  <c r="E20" i="4" s="1"/>
  <c r="F19" i="4"/>
  <c r="D20" i="4" s="1"/>
  <c r="G20" i="3"/>
  <c r="E21" i="3" s="1"/>
  <c r="F20" i="3"/>
  <c r="D21" i="3" s="1"/>
  <c r="H11" i="2"/>
  <c r="D12" i="2"/>
  <c r="E12" i="2"/>
  <c r="I11" i="2"/>
  <c r="F19" i="1"/>
  <c r="D20" i="1" s="1"/>
  <c r="G19" i="1"/>
  <c r="E20" i="1" s="1"/>
  <c r="G20" i="5"/>
  <c r="E21" i="5" s="1"/>
  <c r="F20" i="5"/>
  <c r="D21" i="5" s="1"/>
  <c r="I11" i="3"/>
  <c r="G20" i="6" l="1"/>
  <c r="E21" i="6" s="1"/>
  <c r="F20" i="6"/>
  <c r="D21" i="6" s="1"/>
  <c r="G20" i="4"/>
  <c r="E21" i="4" s="1"/>
  <c r="F20" i="4"/>
  <c r="D21" i="4" s="1"/>
  <c r="H20" i="4"/>
  <c r="G21" i="3"/>
  <c r="E22" i="3" s="1"/>
  <c r="F21" i="3"/>
  <c r="D22" i="3" s="1"/>
  <c r="G12" i="2"/>
  <c r="F12" i="2"/>
  <c r="F20" i="1"/>
  <c r="D21" i="1" s="1"/>
  <c r="G20" i="1"/>
  <c r="E21" i="1" s="1"/>
  <c r="F21" i="5"/>
  <c r="D22" i="5" s="1"/>
  <c r="G21" i="5"/>
  <c r="E22" i="5" s="1"/>
  <c r="G21" i="6" l="1"/>
  <c r="E22" i="6" s="1"/>
  <c r="F21" i="6"/>
  <c r="D22" i="6" s="1"/>
  <c r="G21" i="4"/>
  <c r="E22" i="4" s="1"/>
  <c r="F21" i="4"/>
  <c r="D22" i="4" s="1"/>
  <c r="H21" i="4"/>
  <c r="G22" i="3"/>
  <c r="E23" i="3" s="1"/>
  <c r="F22" i="3"/>
  <c r="D23" i="3" s="1"/>
  <c r="H12" i="2"/>
  <c r="D13" i="2"/>
  <c r="I12" i="2"/>
  <c r="E13" i="2"/>
  <c r="G21" i="1"/>
  <c r="E22" i="1" s="1"/>
  <c r="F21" i="1"/>
  <c r="D22" i="1" s="1"/>
  <c r="G22" i="5"/>
  <c r="E23" i="5" s="1"/>
  <c r="F22" i="5"/>
  <c r="D23" i="5" s="1"/>
  <c r="I12" i="3"/>
  <c r="G22" i="6" l="1"/>
  <c r="E23" i="6" s="1"/>
  <c r="F22" i="6"/>
  <c r="D23" i="6" s="1"/>
  <c r="G22" i="4"/>
  <c r="E23" i="4" s="1"/>
  <c r="F22" i="4"/>
  <c r="D23" i="4" s="1"/>
  <c r="H22" i="4"/>
  <c r="G23" i="3"/>
  <c r="E24" i="3" s="1"/>
  <c r="F23" i="3"/>
  <c r="D24" i="3" s="1"/>
  <c r="G13" i="2"/>
  <c r="F13" i="2"/>
  <c r="G22" i="1"/>
  <c r="E23" i="1" s="1"/>
  <c r="F22" i="1"/>
  <c r="D23" i="1" s="1"/>
  <c r="F23" i="5"/>
  <c r="D24" i="5" s="1"/>
  <c r="G23" i="5"/>
  <c r="E24" i="5" s="1"/>
  <c r="F23" i="6" l="1"/>
  <c r="D24" i="6" s="1"/>
  <c r="G23" i="6"/>
  <c r="E24" i="6" s="1"/>
  <c r="G23" i="4"/>
  <c r="E24" i="4" s="1"/>
  <c r="F23" i="4"/>
  <c r="D24" i="4" s="1"/>
  <c r="H23" i="4"/>
  <c r="G24" i="3"/>
  <c r="E25" i="3" s="1"/>
  <c r="F24" i="3"/>
  <c r="D25" i="3" s="1"/>
  <c r="D14" i="2"/>
  <c r="H13" i="2"/>
  <c r="E14" i="2"/>
  <c r="I13" i="2"/>
  <c r="F23" i="1"/>
  <c r="D24" i="1" s="1"/>
  <c r="G23" i="1"/>
  <c r="E24" i="1" s="1"/>
  <c r="F24" i="5"/>
  <c r="D25" i="5" s="1"/>
  <c r="G24" i="5"/>
  <c r="E25" i="5" s="1"/>
  <c r="I13" i="3"/>
  <c r="F24" i="6" l="1"/>
  <c r="D25" i="6" s="1"/>
  <c r="G24" i="6"/>
  <c r="E25" i="6" s="1"/>
  <c r="F24" i="4"/>
  <c r="D25" i="4" s="1"/>
  <c r="H24" i="4"/>
  <c r="G24" i="4"/>
  <c r="E25" i="4" s="1"/>
  <c r="F25" i="3"/>
  <c r="D26" i="3" s="1"/>
  <c r="G25" i="3"/>
  <c r="E26" i="3" s="1"/>
  <c r="F14" i="2"/>
  <c r="G14" i="2"/>
  <c r="G24" i="1"/>
  <c r="E25" i="1" s="1"/>
  <c r="F24" i="1"/>
  <c r="D25" i="1" s="1"/>
  <c r="G25" i="5"/>
  <c r="E26" i="5" s="1"/>
  <c r="F25" i="5"/>
  <c r="D26" i="5" s="1"/>
  <c r="F25" i="6" l="1"/>
  <c r="D26" i="6" s="1"/>
  <c r="G25" i="6"/>
  <c r="E26" i="6" s="1"/>
  <c r="F25" i="4"/>
  <c r="D26" i="4" s="1"/>
  <c r="H25" i="4"/>
  <c r="G25" i="4"/>
  <c r="E26" i="4" s="1"/>
  <c r="G26" i="3"/>
  <c r="E27" i="3" s="1"/>
  <c r="F26" i="3"/>
  <c r="D27" i="3" s="1"/>
  <c r="I14" i="2"/>
  <c r="E15" i="2"/>
  <c r="H14" i="2"/>
  <c r="D15" i="2"/>
  <c r="F25" i="1"/>
  <c r="D26" i="1" s="1"/>
  <c r="G25" i="1"/>
  <c r="E26" i="1" s="1"/>
  <c r="F26" i="5"/>
  <c r="D27" i="5" s="1"/>
  <c r="G26" i="5"/>
  <c r="E27" i="5" s="1"/>
  <c r="I14" i="3"/>
  <c r="G26" i="6" l="1"/>
  <c r="E27" i="6" s="1"/>
  <c r="F26" i="6"/>
  <c r="D27" i="6" s="1"/>
  <c r="G26" i="4"/>
  <c r="E27" i="4" s="1"/>
  <c r="H26" i="4"/>
  <c r="F26" i="4"/>
  <c r="D27" i="4" s="1"/>
  <c r="G27" i="3"/>
  <c r="E28" i="3" s="1"/>
  <c r="F27" i="3"/>
  <c r="D28" i="3" s="1"/>
  <c r="G15" i="2"/>
  <c r="F15" i="2"/>
  <c r="G26" i="1"/>
  <c r="E27" i="1" s="1"/>
  <c r="F26" i="1"/>
  <c r="D27" i="1" s="1"/>
  <c r="G27" i="5"/>
  <c r="E28" i="5" s="1"/>
  <c r="F27" i="5"/>
  <c r="D28" i="5" s="1"/>
  <c r="G27" i="6" l="1"/>
  <c r="E28" i="6" s="1"/>
  <c r="F27" i="6"/>
  <c r="D28" i="6" s="1"/>
  <c r="H27" i="4"/>
  <c r="G27" i="4"/>
  <c r="E28" i="4" s="1"/>
  <c r="F27" i="4"/>
  <c r="D28" i="4" s="1"/>
  <c r="G28" i="3"/>
  <c r="E29" i="3" s="1"/>
  <c r="F28" i="3"/>
  <c r="D29" i="3" s="1"/>
  <c r="H15" i="2"/>
  <c r="D16" i="2"/>
  <c r="E16" i="2"/>
  <c r="I15" i="2"/>
  <c r="G27" i="1"/>
  <c r="E28" i="1" s="1"/>
  <c r="F27" i="1"/>
  <c r="D28" i="1" s="1"/>
  <c r="G28" i="5"/>
  <c r="E29" i="5" s="1"/>
  <c r="F28" i="5"/>
  <c r="D29" i="5" s="1"/>
  <c r="I15" i="3"/>
  <c r="G28" i="6" l="1"/>
  <c r="E29" i="6" s="1"/>
  <c r="F28" i="6"/>
  <c r="D29" i="6" s="1"/>
  <c r="H28" i="4"/>
  <c r="G28" i="4"/>
  <c r="E29" i="4" s="1"/>
  <c r="F28" i="4"/>
  <c r="D29" i="4" s="1"/>
  <c r="F29" i="3"/>
  <c r="D30" i="3" s="1"/>
  <c r="G29" i="3"/>
  <c r="E30" i="3" s="1"/>
  <c r="F16" i="2"/>
  <c r="G16" i="2"/>
  <c r="G28" i="1"/>
  <c r="E29" i="1" s="1"/>
  <c r="F28" i="1"/>
  <c r="D29" i="1" s="1"/>
  <c r="G29" i="5"/>
  <c r="E30" i="5" s="1"/>
  <c r="F29" i="5"/>
  <c r="D30" i="5" s="1"/>
  <c r="F29" i="6" l="1"/>
  <c r="D30" i="6" s="1"/>
  <c r="G29" i="6"/>
  <c r="E30" i="6" s="1"/>
  <c r="H29" i="4"/>
  <c r="G29" i="4"/>
  <c r="E30" i="4" s="1"/>
  <c r="F29" i="4"/>
  <c r="D30" i="4" s="1"/>
  <c r="G30" i="3"/>
  <c r="E31" i="3" s="1"/>
  <c r="F30" i="3"/>
  <c r="D31" i="3" s="1"/>
  <c r="E17" i="2"/>
  <c r="I16" i="2"/>
  <c r="D17" i="2"/>
  <c r="H16" i="2"/>
  <c r="G29" i="1"/>
  <c r="E30" i="1" s="1"/>
  <c r="F29" i="1"/>
  <c r="D30" i="1" s="1"/>
  <c r="G30" i="5"/>
  <c r="E31" i="5" s="1"/>
  <c r="F30" i="5"/>
  <c r="D31" i="5" s="1"/>
  <c r="I16" i="3"/>
  <c r="G30" i="6" l="1"/>
  <c r="E31" i="6" s="1"/>
  <c r="F30" i="6"/>
  <c r="D31" i="6" s="1"/>
  <c r="F30" i="4"/>
  <c r="D31" i="4" s="1"/>
  <c r="H30" i="4"/>
  <c r="G30" i="4"/>
  <c r="E31" i="4" s="1"/>
  <c r="G31" i="3"/>
  <c r="E32" i="3" s="1"/>
  <c r="F31" i="3"/>
  <c r="D32" i="3" s="1"/>
  <c r="G17" i="2"/>
  <c r="F17" i="2"/>
  <c r="G30" i="1"/>
  <c r="E31" i="1" s="1"/>
  <c r="F30" i="1"/>
  <c r="D31" i="1" s="1"/>
  <c r="G31" i="5"/>
  <c r="E32" i="5" s="1"/>
  <c r="F31" i="5"/>
  <c r="D32" i="5" s="1"/>
  <c r="G31" i="6" l="1"/>
  <c r="E32" i="6" s="1"/>
  <c r="F31" i="6"/>
  <c r="D32" i="6" s="1"/>
  <c r="H31" i="4"/>
  <c r="G31" i="4"/>
  <c r="E32" i="4" s="1"/>
  <c r="F31" i="4"/>
  <c r="D32" i="4" s="1"/>
  <c r="G32" i="3"/>
  <c r="E33" i="3" s="1"/>
  <c r="F32" i="3"/>
  <c r="D33" i="3" s="1"/>
  <c r="H17" i="2"/>
  <c r="D18" i="2"/>
  <c r="I17" i="2"/>
  <c r="E18" i="2"/>
  <c r="G31" i="1"/>
  <c r="E32" i="1" s="1"/>
  <c r="F31" i="1"/>
  <c r="D32" i="1" s="1"/>
  <c r="G32" i="5"/>
  <c r="E33" i="5" s="1"/>
  <c r="F32" i="5"/>
  <c r="D33" i="5" s="1"/>
  <c r="I17" i="3"/>
  <c r="G32" i="6" l="1"/>
  <c r="E33" i="6" s="1"/>
  <c r="F32" i="6"/>
  <c r="D33" i="6" s="1"/>
  <c r="H32" i="4"/>
  <c r="G32" i="4"/>
  <c r="E33" i="4" s="1"/>
  <c r="F32" i="4"/>
  <c r="D33" i="4" s="1"/>
  <c r="G33" i="3"/>
  <c r="E34" i="3" s="1"/>
  <c r="F33" i="3"/>
  <c r="D34" i="3" s="1"/>
  <c r="G18" i="2"/>
  <c r="F18" i="2"/>
  <c r="G32" i="1"/>
  <c r="E33" i="1" s="1"/>
  <c r="F32" i="1"/>
  <c r="D33" i="1" s="1"/>
  <c r="G33" i="5"/>
  <c r="E34" i="5" s="1"/>
  <c r="F33" i="5"/>
  <c r="D34" i="5" s="1"/>
  <c r="G33" i="6" l="1"/>
  <c r="E34" i="6" s="1"/>
  <c r="F33" i="6"/>
  <c r="D34" i="6" s="1"/>
  <c r="G33" i="4"/>
  <c r="E34" i="4" s="1"/>
  <c r="F33" i="4"/>
  <c r="D34" i="4" s="1"/>
  <c r="H33" i="4"/>
  <c r="G34" i="3"/>
  <c r="E35" i="3" s="1"/>
  <c r="F34" i="3"/>
  <c r="D35" i="3" s="1"/>
  <c r="D19" i="2"/>
  <c r="H18" i="2"/>
  <c r="I18" i="2"/>
  <c r="E19" i="2"/>
  <c r="F33" i="1"/>
  <c r="D34" i="1" s="1"/>
  <c r="G33" i="1"/>
  <c r="E34" i="1" s="1"/>
  <c r="G34" i="5"/>
  <c r="E35" i="5" s="1"/>
  <c r="F34" i="5"/>
  <c r="D35" i="5" s="1"/>
  <c r="I18" i="3"/>
  <c r="G34" i="6" l="1"/>
  <c r="E35" i="6" s="1"/>
  <c r="F34" i="6"/>
  <c r="D35" i="6" s="1"/>
  <c r="G34" i="4"/>
  <c r="E35" i="4" s="1"/>
  <c r="H34" i="4"/>
  <c r="F34" i="4"/>
  <c r="D35" i="4" s="1"/>
  <c r="G35" i="3"/>
  <c r="E36" i="3" s="1"/>
  <c r="F35" i="3"/>
  <c r="D36" i="3" s="1"/>
  <c r="G19" i="2"/>
  <c r="F19" i="2"/>
  <c r="G34" i="1"/>
  <c r="E35" i="1" s="1"/>
  <c r="F34" i="1"/>
  <c r="D35" i="1" s="1"/>
  <c r="G35" i="5"/>
  <c r="E36" i="5" s="1"/>
  <c r="F35" i="5"/>
  <c r="D36" i="5" s="1"/>
  <c r="G35" i="6" l="1"/>
  <c r="E36" i="6" s="1"/>
  <c r="F35" i="6"/>
  <c r="D36" i="6" s="1"/>
  <c r="G35" i="4"/>
  <c r="E36" i="4" s="1"/>
  <c r="H35" i="4"/>
  <c r="F35" i="4"/>
  <c r="D36" i="4" s="1"/>
  <c r="G36" i="3"/>
  <c r="E37" i="3" s="1"/>
  <c r="F36" i="3"/>
  <c r="D37" i="3" s="1"/>
  <c r="H19" i="2"/>
  <c r="D20" i="2"/>
  <c r="E20" i="2"/>
  <c r="I19" i="2"/>
  <c r="G35" i="1"/>
  <c r="E36" i="1" s="1"/>
  <c r="F35" i="1"/>
  <c r="D36" i="1" s="1"/>
  <c r="G36" i="5"/>
  <c r="E37" i="5" s="1"/>
  <c r="F36" i="5"/>
  <c r="D37" i="5" s="1"/>
  <c r="I19" i="3"/>
  <c r="G36" i="6" l="1"/>
  <c r="E37" i="6" s="1"/>
  <c r="F36" i="6"/>
  <c r="D37" i="6" s="1"/>
  <c r="G36" i="4"/>
  <c r="E37" i="4" s="1"/>
  <c r="F36" i="4"/>
  <c r="D37" i="4" s="1"/>
  <c r="H36" i="4"/>
  <c r="G37" i="3"/>
  <c r="E38" i="3" s="1"/>
  <c r="F37" i="3"/>
  <c r="D38" i="3" s="1"/>
  <c r="G20" i="2"/>
  <c r="F20" i="2"/>
  <c r="G36" i="1"/>
  <c r="E37" i="1" s="1"/>
  <c r="F36" i="1"/>
  <c r="D37" i="1" s="1"/>
  <c r="G37" i="5"/>
  <c r="E38" i="5" s="1"/>
  <c r="F37" i="5"/>
  <c r="D38" i="5" s="1"/>
  <c r="G37" i="6" l="1"/>
  <c r="E38" i="6" s="1"/>
  <c r="F37" i="6"/>
  <c r="D38" i="6" s="1"/>
  <c r="H37" i="4"/>
  <c r="F37" i="4"/>
  <c r="D38" i="4" s="1"/>
  <c r="G37" i="4"/>
  <c r="E38" i="4" s="1"/>
  <c r="G38" i="3"/>
  <c r="E39" i="3" s="1"/>
  <c r="F38" i="3"/>
  <c r="D39" i="3" s="1"/>
  <c r="D21" i="2"/>
  <c r="H20" i="2"/>
  <c r="E21" i="2"/>
  <c r="I20" i="2"/>
  <c r="G37" i="1"/>
  <c r="E38" i="1" s="1"/>
  <c r="F37" i="1"/>
  <c r="D38" i="1" s="1"/>
  <c r="G38" i="5"/>
  <c r="E39" i="5" s="1"/>
  <c r="F38" i="5"/>
  <c r="D39" i="5" s="1"/>
  <c r="I20" i="3"/>
  <c r="F38" i="6" l="1"/>
  <c r="D39" i="6" s="1"/>
  <c r="G38" i="6"/>
  <c r="E39" i="6" s="1"/>
  <c r="G38" i="4"/>
  <c r="E39" i="4" s="1"/>
  <c r="H38" i="4"/>
  <c r="F38" i="4"/>
  <c r="D39" i="4" s="1"/>
  <c r="G39" i="3"/>
  <c r="E40" i="3" s="1"/>
  <c r="F39" i="3"/>
  <c r="D40" i="3" s="1"/>
  <c r="G21" i="2"/>
  <c r="F21" i="2"/>
  <c r="G38" i="1"/>
  <c r="E39" i="1" s="1"/>
  <c r="F38" i="1"/>
  <c r="D39" i="1" s="1"/>
  <c r="G39" i="5"/>
  <c r="E40" i="5" s="1"/>
  <c r="F39" i="5"/>
  <c r="D40" i="5" s="1"/>
  <c r="F39" i="6" l="1"/>
  <c r="D40" i="6" s="1"/>
  <c r="G39" i="6"/>
  <c r="E40" i="6" s="1"/>
  <c r="G39" i="4"/>
  <c r="E40" i="4" s="1"/>
  <c r="H39" i="4"/>
  <c r="F39" i="4"/>
  <c r="D40" i="4" s="1"/>
  <c r="G40" i="3"/>
  <c r="E41" i="3" s="1"/>
  <c r="F40" i="3"/>
  <c r="D41" i="3" s="1"/>
  <c r="E22" i="2"/>
  <c r="I21" i="2"/>
  <c r="D22" i="2"/>
  <c r="H21" i="2"/>
  <c r="F39" i="1"/>
  <c r="D40" i="1" s="1"/>
  <c r="G39" i="1"/>
  <c r="E40" i="1" s="1"/>
  <c r="F40" i="5"/>
  <c r="D41" i="5" s="1"/>
  <c r="G40" i="5"/>
  <c r="E41" i="5" s="1"/>
  <c r="I21" i="3"/>
  <c r="F40" i="6" l="1"/>
  <c r="D41" i="6" s="1"/>
  <c r="G40" i="6"/>
  <c r="E41" i="6" s="1"/>
  <c r="G40" i="4"/>
  <c r="E41" i="4" s="1"/>
  <c r="F40" i="4"/>
  <c r="D41" i="4" s="1"/>
  <c r="H40" i="4"/>
  <c r="F41" i="3"/>
  <c r="D42" i="3" s="1"/>
  <c r="G41" i="3"/>
  <c r="E42" i="3" s="1"/>
  <c r="G22" i="2"/>
  <c r="F22" i="2"/>
  <c r="G40" i="1"/>
  <c r="E41" i="1" s="1"/>
  <c r="F40" i="1"/>
  <c r="D41" i="1" s="1"/>
  <c r="G41" i="5"/>
  <c r="E42" i="5" s="1"/>
  <c r="F41" i="5"/>
  <c r="D42" i="5" s="1"/>
  <c r="F41" i="6" l="1"/>
  <c r="D42" i="6" s="1"/>
  <c r="G41" i="6"/>
  <c r="E42" i="6" s="1"/>
  <c r="G41" i="4"/>
  <c r="E42" i="4" s="1"/>
  <c r="H41" i="4"/>
  <c r="F41" i="4"/>
  <c r="D42" i="4" s="1"/>
  <c r="G42" i="3"/>
  <c r="E43" i="3" s="1"/>
  <c r="F42" i="3"/>
  <c r="D43" i="3" s="1"/>
  <c r="H22" i="2"/>
  <c r="D23" i="2"/>
  <c r="I22" i="2"/>
  <c r="E23" i="2"/>
  <c r="F41" i="1"/>
  <c r="D42" i="1" s="1"/>
  <c r="G41" i="1"/>
  <c r="E42" i="1" s="1"/>
  <c r="F42" i="5"/>
  <c r="D43" i="5" s="1"/>
  <c r="G42" i="5"/>
  <c r="E43" i="5" s="1"/>
  <c r="I22" i="3"/>
  <c r="G42" i="6" l="1"/>
  <c r="E43" i="6" s="1"/>
  <c r="F42" i="6"/>
  <c r="D43" i="6" s="1"/>
  <c r="G42" i="4"/>
  <c r="E43" i="4" s="1"/>
  <c r="F42" i="4"/>
  <c r="D43" i="4" s="1"/>
  <c r="H42" i="4"/>
  <c r="G43" i="3"/>
  <c r="E44" i="3" s="1"/>
  <c r="F43" i="3"/>
  <c r="D44" i="3" s="1"/>
  <c r="G23" i="2"/>
  <c r="F23" i="2"/>
  <c r="G42" i="1"/>
  <c r="E43" i="1" s="1"/>
  <c r="F42" i="1"/>
  <c r="D43" i="1" s="1"/>
  <c r="G43" i="5"/>
  <c r="E44" i="5" s="1"/>
  <c r="F43" i="5"/>
  <c r="D44" i="5" s="1"/>
  <c r="G43" i="6" l="1"/>
  <c r="E44" i="6" s="1"/>
  <c r="F43" i="6"/>
  <c r="D44" i="6" s="1"/>
  <c r="G43" i="4"/>
  <c r="E44" i="4" s="1"/>
  <c r="F43" i="4"/>
  <c r="D44" i="4" s="1"/>
  <c r="H43" i="4"/>
  <c r="G44" i="3"/>
  <c r="E45" i="3" s="1"/>
  <c r="F44" i="3"/>
  <c r="D45" i="3" s="1"/>
  <c r="H23" i="2"/>
  <c r="D24" i="2"/>
  <c r="E24" i="2"/>
  <c r="I23" i="2"/>
  <c r="G43" i="1"/>
  <c r="E44" i="1" s="1"/>
  <c r="F43" i="1"/>
  <c r="D44" i="1" s="1"/>
  <c r="G44" i="5"/>
  <c r="E45" i="5" s="1"/>
  <c r="F44" i="5"/>
  <c r="D45" i="5" s="1"/>
  <c r="I23" i="3"/>
  <c r="G44" i="6" l="1"/>
  <c r="E45" i="6" s="1"/>
  <c r="F44" i="6"/>
  <c r="D45" i="6" s="1"/>
  <c r="F44" i="4"/>
  <c r="D45" i="4" s="1"/>
  <c r="H44" i="4"/>
  <c r="G44" i="4"/>
  <c r="E45" i="4" s="1"/>
  <c r="G45" i="3"/>
  <c r="E46" i="3" s="1"/>
  <c r="F45" i="3"/>
  <c r="D46" i="3" s="1"/>
  <c r="G24" i="2"/>
  <c r="F24" i="2"/>
  <c r="G44" i="1"/>
  <c r="E45" i="1" s="1"/>
  <c r="F44" i="1"/>
  <c r="D45" i="1" s="1"/>
  <c r="G45" i="5"/>
  <c r="E46" i="5" s="1"/>
  <c r="F45" i="5"/>
  <c r="D46" i="5" s="1"/>
  <c r="G45" i="6" l="1"/>
  <c r="E46" i="6" s="1"/>
  <c r="F45" i="6"/>
  <c r="D46" i="6" s="1"/>
  <c r="G45" i="4"/>
  <c r="E46" i="4" s="1"/>
  <c r="F45" i="4"/>
  <c r="D46" i="4" s="1"/>
  <c r="H45" i="4"/>
  <c r="G46" i="3"/>
  <c r="E47" i="3" s="1"/>
  <c r="F46" i="3"/>
  <c r="D47" i="3" s="1"/>
  <c r="D25" i="2"/>
  <c r="H24" i="2"/>
  <c r="E25" i="2"/>
  <c r="I24" i="2"/>
  <c r="G45" i="1"/>
  <c r="E46" i="1" s="1"/>
  <c r="F45" i="1"/>
  <c r="D46" i="1" s="1"/>
  <c r="G46" i="5"/>
  <c r="E47" i="5" s="1"/>
  <c r="F46" i="5"/>
  <c r="D47" i="5" s="1"/>
  <c r="I24" i="3"/>
  <c r="G46" i="6" l="1"/>
  <c r="E47" i="6" s="1"/>
  <c r="F46" i="6"/>
  <c r="D47" i="6" s="1"/>
  <c r="F46" i="4"/>
  <c r="D47" i="4" s="1"/>
  <c r="H46" i="4"/>
  <c r="G46" i="4"/>
  <c r="E47" i="4" s="1"/>
  <c r="G47" i="3"/>
  <c r="E48" i="3" s="1"/>
  <c r="F47" i="3"/>
  <c r="D48" i="3" s="1"/>
  <c r="F25" i="2"/>
  <c r="G25" i="2"/>
  <c r="F46" i="1"/>
  <c r="D47" i="1" s="1"/>
  <c r="G46" i="1"/>
  <c r="E47" i="1" s="1"/>
  <c r="G47" i="5"/>
  <c r="E48" i="5" s="1"/>
  <c r="F47" i="5"/>
  <c r="D48" i="5" s="1"/>
  <c r="F47" i="6" l="1"/>
  <c r="D48" i="6" s="1"/>
  <c r="G47" i="6"/>
  <c r="E48" i="6" s="1"/>
  <c r="H47" i="4"/>
  <c r="G47" i="4"/>
  <c r="E48" i="4" s="1"/>
  <c r="F47" i="4"/>
  <c r="D48" i="4" s="1"/>
  <c r="G48" i="3"/>
  <c r="E49" i="3" s="1"/>
  <c r="F48" i="3"/>
  <c r="D49" i="3" s="1"/>
  <c r="E26" i="2"/>
  <c r="I25" i="2"/>
  <c r="D26" i="2"/>
  <c r="H25" i="2"/>
  <c r="F47" i="1"/>
  <c r="D48" i="1" s="1"/>
  <c r="G47" i="1"/>
  <c r="E48" i="1" s="1"/>
  <c r="G48" i="5"/>
  <c r="E49" i="5" s="1"/>
  <c r="F48" i="5"/>
  <c r="D49" i="5" s="1"/>
  <c r="I25" i="3"/>
  <c r="G48" i="6" l="1"/>
  <c r="E49" i="6" s="1"/>
  <c r="F48" i="6"/>
  <c r="D49" i="6" s="1"/>
  <c r="H48" i="4"/>
  <c r="G48" i="4"/>
  <c r="E49" i="4" s="1"/>
  <c r="F48" i="4"/>
  <c r="D49" i="4" s="1"/>
  <c r="G49" i="3"/>
  <c r="E50" i="3" s="1"/>
  <c r="F49" i="3"/>
  <c r="D50" i="3" s="1"/>
  <c r="G26" i="2"/>
  <c r="F26" i="2"/>
  <c r="G48" i="1"/>
  <c r="E49" i="1" s="1"/>
  <c r="F48" i="1"/>
  <c r="D49" i="1" s="1"/>
  <c r="G49" i="5"/>
  <c r="E50" i="5" s="1"/>
  <c r="F49" i="5"/>
  <c r="D50" i="5" s="1"/>
  <c r="G49" i="6" l="1"/>
  <c r="E50" i="6" s="1"/>
  <c r="F49" i="6"/>
  <c r="D50" i="6" s="1"/>
  <c r="G49" i="4"/>
  <c r="E50" i="4" s="1"/>
  <c r="F49" i="4"/>
  <c r="D50" i="4" s="1"/>
  <c r="H49" i="4"/>
  <c r="F50" i="3"/>
  <c r="D51" i="3" s="1"/>
  <c r="G50" i="3"/>
  <c r="E51" i="3" s="1"/>
  <c r="H26" i="2"/>
  <c r="D27" i="2"/>
  <c r="E27" i="2"/>
  <c r="I26" i="2"/>
  <c r="G49" i="1"/>
  <c r="E50" i="1" s="1"/>
  <c r="F49" i="1"/>
  <c r="D50" i="1" s="1"/>
  <c r="G50" i="5"/>
  <c r="E51" i="5" s="1"/>
  <c r="F50" i="5"/>
  <c r="D51" i="5" s="1"/>
  <c r="I26" i="3"/>
  <c r="F50" i="6" l="1"/>
  <c r="D51" i="6" s="1"/>
  <c r="G50" i="6"/>
  <c r="E51" i="6" s="1"/>
  <c r="H50" i="4"/>
  <c r="G50" i="4"/>
  <c r="E51" i="4" s="1"/>
  <c r="F50" i="4"/>
  <c r="D51" i="4" s="1"/>
  <c r="F51" i="3"/>
  <c r="D52" i="3" s="1"/>
  <c r="G51" i="3"/>
  <c r="E52" i="3" s="1"/>
  <c r="G27" i="2"/>
  <c r="F27" i="2"/>
  <c r="G50" i="1"/>
  <c r="E51" i="1" s="1"/>
  <c r="F50" i="1"/>
  <c r="D51" i="1" s="1"/>
  <c r="G51" i="5"/>
  <c r="E52" i="5" s="1"/>
  <c r="F51" i="5"/>
  <c r="D52" i="5" s="1"/>
  <c r="G51" i="6" l="1"/>
  <c r="E52" i="6" s="1"/>
  <c r="F51" i="6"/>
  <c r="D52" i="6" s="1"/>
  <c r="G51" i="4"/>
  <c r="E52" i="4" s="1"/>
  <c r="F51" i="4"/>
  <c r="D52" i="4" s="1"/>
  <c r="H51" i="4"/>
  <c r="G52" i="3"/>
  <c r="E53" i="3" s="1"/>
  <c r="F52" i="3"/>
  <c r="D53" i="3" s="1"/>
  <c r="H27" i="2"/>
  <c r="D28" i="2"/>
  <c r="E28" i="2"/>
  <c r="I27" i="2"/>
  <c r="G51" i="1"/>
  <c r="E52" i="1" s="1"/>
  <c r="F51" i="1"/>
  <c r="D52" i="1" s="1"/>
  <c r="F52" i="5"/>
  <c r="D53" i="5" s="1"/>
  <c r="G52" i="5"/>
  <c r="E53" i="5" s="1"/>
  <c r="I27" i="3"/>
  <c r="G52" i="6" l="1"/>
  <c r="E53" i="6" s="1"/>
  <c r="F52" i="6"/>
  <c r="D53" i="6" s="1"/>
  <c r="G52" i="4"/>
  <c r="E53" i="4" s="1"/>
  <c r="F52" i="4"/>
  <c r="D53" i="4" s="1"/>
  <c r="H52" i="4"/>
  <c r="G53" i="3"/>
  <c r="E54" i="3" s="1"/>
  <c r="F53" i="3"/>
  <c r="D54" i="3" s="1"/>
  <c r="G28" i="2"/>
  <c r="F28" i="2"/>
  <c r="F52" i="1"/>
  <c r="D53" i="1" s="1"/>
  <c r="G52" i="1"/>
  <c r="E53" i="1" s="1"/>
  <c r="G53" i="5"/>
  <c r="E54" i="5" s="1"/>
  <c r="F53" i="5"/>
  <c r="D54" i="5" s="1"/>
  <c r="G53" i="6" l="1"/>
  <c r="E54" i="6" s="1"/>
  <c r="F53" i="6"/>
  <c r="D54" i="6" s="1"/>
  <c r="G53" i="4"/>
  <c r="E54" i="4" s="1"/>
  <c r="F53" i="4"/>
  <c r="D54" i="4" s="1"/>
  <c r="H53" i="4"/>
  <c r="G54" i="3"/>
  <c r="E55" i="3" s="1"/>
  <c r="F54" i="3"/>
  <c r="D55" i="3" s="1"/>
  <c r="D29" i="2"/>
  <c r="H28" i="2"/>
  <c r="E29" i="2"/>
  <c r="I28" i="2"/>
  <c r="G53" i="1"/>
  <c r="E54" i="1" s="1"/>
  <c r="F53" i="1"/>
  <c r="D54" i="1" s="1"/>
  <c r="G54" i="5"/>
  <c r="E55" i="5" s="1"/>
  <c r="F54" i="5"/>
  <c r="D55" i="5" s="1"/>
  <c r="I28" i="3"/>
  <c r="F54" i="6" l="1"/>
  <c r="D55" i="6" s="1"/>
  <c r="G54" i="6"/>
  <c r="E55" i="6" s="1"/>
  <c r="F54" i="4"/>
  <c r="D55" i="4" s="1"/>
  <c r="H54" i="4"/>
  <c r="G54" i="4"/>
  <c r="E55" i="4" s="1"/>
  <c r="G55" i="3"/>
  <c r="E56" i="3" s="1"/>
  <c r="F55" i="3"/>
  <c r="D56" i="3" s="1"/>
  <c r="G29" i="2"/>
  <c r="F29" i="2"/>
  <c r="G54" i="1"/>
  <c r="E55" i="1" s="1"/>
  <c r="F54" i="1"/>
  <c r="D55" i="1" s="1"/>
  <c r="G55" i="5"/>
  <c r="E56" i="5" s="1"/>
  <c r="F55" i="5"/>
  <c r="D56" i="5" s="1"/>
  <c r="G55" i="6" l="1"/>
  <c r="E56" i="6" s="1"/>
  <c r="F55" i="6"/>
  <c r="D56" i="6" s="1"/>
  <c r="G55" i="4"/>
  <c r="E56" i="4" s="1"/>
  <c r="F55" i="4"/>
  <c r="D56" i="4" s="1"/>
  <c r="H55" i="4"/>
  <c r="G56" i="3"/>
  <c r="E57" i="3" s="1"/>
  <c r="F56" i="3"/>
  <c r="D57" i="3" s="1"/>
  <c r="D30" i="2"/>
  <c r="H29" i="2"/>
  <c r="E30" i="2"/>
  <c r="I29" i="2"/>
  <c r="G55" i="1"/>
  <c r="E56" i="1" s="1"/>
  <c r="F55" i="1"/>
  <c r="D56" i="1" s="1"/>
  <c r="F56" i="5"/>
  <c r="D57" i="5" s="1"/>
  <c r="G56" i="5"/>
  <c r="E57" i="5" s="1"/>
  <c r="I29" i="3"/>
  <c r="F56" i="6" l="1"/>
  <c r="D57" i="6" s="1"/>
  <c r="G56" i="6"/>
  <c r="E57" i="6" s="1"/>
  <c r="H56" i="4"/>
  <c r="G56" i="4"/>
  <c r="E57" i="4" s="1"/>
  <c r="F56" i="4"/>
  <c r="D57" i="4" s="1"/>
  <c r="F57" i="3"/>
  <c r="D58" i="3" s="1"/>
  <c r="G57" i="3"/>
  <c r="E58" i="3" s="1"/>
  <c r="F30" i="2"/>
  <c r="G30" i="2"/>
  <c r="G56" i="1"/>
  <c r="E57" i="1" s="1"/>
  <c r="F56" i="1"/>
  <c r="D57" i="1" s="1"/>
  <c r="G57" i="5"/>
  <c r="E58" i="5" s="1"/>
  <c r="F57" i="5"/>
  <c r="D58" i="5" s="1"/>
  <c r="F57" i="6" l="1"/>
  <c r="D58" i="6" s="1"/>
  <c r="G57" i="6"/>
  <c r="E58" i="6" s="1"/>
  <c r="G57" i="4"/>
  <c r="E58" i="4" s="1"/>
  <c r="H57" i="4"/>
  <c r="F57" i="4"/>
  <c r="D58" i="4" s="1"/>
  <c r="G58" i="3"/>
  <c r="E59" i="3" s="1"/>
  <c r="F58" i="3"/>
  <c r="D59" i="3" s="1"/>
  <c r="I30" i="2"/>
  <c r="E31" i="2"/>
  <c r="H30" i="2"/>
  <c r="D31" i="2"/>
  <c r="F57" i="1"/>
  <c r="D58" i="1" s="1"/>
  <c r="G57" i="1"/>
  <c r="E58" i="1" s="1"/>
  <c r="F58" i="5"/>
  <c r="D59" i="5" s="1"/>
  <c r="G58" i="5"/>
  <c r="E59" i="5" s="1"/>
  <c r="I30" i="3"/>
  <c r="G58" i="6" l="1"/>
  <c r="E59" i="6" s="1"/>
  <c r="F58" i="6"/>
  <c r="D59" i="6" s="1"/>
  <c r="G58" i="4"/>
  <c r="E59" i="4" s="1"/>
  <c r="F58" i="4"/>
  <c r="D59" i="4" s="1"/>
  <c r="H58" i="4"/>
  <c r="G59" i="3"/>
  <c r="E60" i="3" s="1"/>
  <c r="F59" i="3"/>
  <c r="D60" i="3" s="1"/>
  <c r="G31" i="2"/>
  <c r="F31" i="2"/>
  <c r="G58" i="1"/>
  <c r="E59" i="1" s="1"/>
  <c r="F58" i="1"/>
  <c r="D59" i="1" s="1"/>
  <c r="G59" i="5"/>
  <c r="E60" i="5" s="1"/>
  <c r="F59" i="5"/>
  <c r="D60" i="5" s="1"/>
  <c r="G59" i="6" l="1"/>
  <c r="E60" i="6" s="1"/>
  <c r="F59" i="6"/>
  <c r="D60" i="6" s="1"/>
  <c r="G59" i="4"/>
  <c r="E60" i="4" s="1"/>
  <c r="F59" i="4"/>
  <c r="D60" i="4" s="1"/>
  <c r="H59" i="4"/>
  <c r="G60" i="3"/>
  <c r="E61" i="3" s="1"/>
  <c r="F60" i="3"/>
  <c r="D61" i="3" s="1"/>
  <c r="H31" i="2"/>
  <c r="D32" i="2"/>
  <c r="E32" i="2"/>
  <c r="I31" i="2"/>
  <c r="G59" i="1"/>
  <c r="E60" i="1" s="1"/>
  <c r="F59" i="1"/>
  <c r="D60" i="1" s="1"/>
  <c r="G60" i="5"/>
  <c r="E61" i="5" s="1"/>
  <c r="F60" i="5"/>
  <c r="D61" i="5" s="1"/>
  <c r="I31" i="3"/>
  <c r="G60" i="6" l="1"/>
  <c r="E61" i="6" s="1"/>
  <c r="F60" i="6"/>
  <c r="D61" i="6" s="1"/>
  <c r="G60" i="4"/>
  <c r="E61" i="4" s="1"/>
  <c r="F60" i="4"/>
  <c r="D61" i="4" s="1"/>
  <c r="H60" i="4"/>
  <c r="G61" i="3"/>
  <c r="E62" i="3" s="1"/>
  <c r="F61" i="3"/>
  <c r="D62" i="3" s="1"/>
  <c r="G32" i="2"/>
  <c r="F32" i="2"/>
  <c r="G60" i="1"/>
  <c r="E61" i="1" s="1"/>
  <c r="F60" i="1"/>
  <c r="D61" i="1" s="1"/>
  <c r="G61" i="5"/>
  <c r="F61" i="5"/>
  <c r="G61" i="6" l="1"/>
  <c r="E62" i="6" s="1"/>
  <c r="F61" i="6"/>
  <c r="D62" i="6" s="1"/>
  <c r="G61" i="4"/>
  <c r="E62" i="4" s="1"/>
  <c r="F61" i="4"/>
  <c r="D62" i="4" s="1"/>
  <c r="H61" i="4"/>
  <c r="G62" i="3"/>
  <c r="E63" i="3" s="1"/>
  <c r="F62" i="3"/>
  <c r="D63" i="3" s="1"/>
  <c r="D33" i="2"/>
  <c r="H32" i="2"/>
  <c r="E33" i="2"/>
  <c r="I32" i="2"/>
  <c r="G61" i="1"/>
  <c r="E62" i="1" s="1"/>
  <c r="F61" i="1"/>
  <c r="D62" i="1" s="1"/>
  <c r="I32" i="3"/>
  <c r="G62" i="6" l="1"/>
  <c r="E63" i="6" s="1"/>
  <c r="F62" i="6"/>
  <c r="D63" i="6" s="1"/>
  <c r="F62" i="4"/>
  <c r="D63" i="4" s="1"/>
  <c r="G62" i="4"/>
  <c r="E63" i="4" s="1"/>
  <c r="G63" i="3"/>
  <c r="E64" i="3" s="1"/>
  <c r="F63" i="3"/>
  <c r="D64" i="3" s="1"/>
  <c r="G33" i="2"/>
  <c r="F33" i="2"/>
  <c r="G62" i="1"/>
  <c r="E63" i="1" s="1"/>
  <c r="F62" i="1"/>
  <c r="D63" i="1" s="1"/>
  <c r="F63" i="6" l="1"/>
  <c r="D64" i="6" s="1"/>
  <c r="G63" i="6"/>
  <c r="E64" i="6" s="1"/>
  <c r="G63" i="4"/>
  <c r="E64" i="4" s="1"/>
  <c r="F63" i="4"/>
  <c r="D64" i="4" s="1"/>
  <c r="G64" i="3"/>
  <c r="E65" i="3" s="1"/>
  <c r="F64" i="3"/>
  <c r="D65" i="3" s="1"/>
  <c r="H33" i="2"/>
  <c r="D34" i="2"/>
  <c r="I33" i="2"/>
  <c r="E34" i="2"/>
  <c r="G63" i="1"/>
  <c r="E64" i="1" s="1"/>
  <c r="F63" i="1"/>
  <c r="D64" i="1" s="1"/>
  <c r="I33" i="3"/>
  <c r="F64" i="6" l="1"/>
  <c r="D65" i="6" s="1"/>
  <c r="G64" i="6"/>
  <c r="E65" i="6" s="1"/>
  <c r="G64" i="4"/>
  <c r="E65" i="4" s="1"/>
  <c r="F64" i="4"/>
  <c r="D65" i="4" s="1"/>
  <c r="G65" i="3"/>
  <c r="E66" i="3" s="1"/>
  <c r="F65" i="3"/>
  <c r="D66" i="3" s="1"/>
  <c r="G34" i="2"/>
  <c r="F34" i="2"/>
  <c r="F64" i="1"/>
  <c r="D65" i="1" s="1"/>
  <c r="G64" i="1"/>
  <c r="E65" i="1" s="1"/>
  <c r="G65" i="6" l="1"/>
  <c r="E66" i="6" s="1"/>
  <c r="F65" i="6"/>
  <c r="D66" i="6" s="1"/>
  <c r="G65" i="4"/>
  <c r="E66" i="4" s="1"/>
  <c r="F65" i="4"/>
  <c r="D66" i="4" s="1"/>
  <c r="G66" i="3"/>
  <c r="E67" i="3" s="1"/>
  <c r="F66" i="3"/>
  <c r="D67" i="3" s="1"/>
  <c r="D35" i="2"/>
  <c r="H34" i="2"/>
  <c r="I34" i="2"/>
  <c r="E35" i="2"/>
  <c r="F65" i="1"/>
  <c r="D66" i="1" s="1"/>
  <c r="G65" i="1"/>
  <c r="E66" i="1" s="1"/>
  <c r="I34" i="3"/>
  <c r="G66" i="6" l="1"/>
  <c r="E67" i="6" s="1"/>
  <c r="F66" i="6"/>
  <c r="D67" i="6" s="1"/>
  <c r="G66" i="4"/>
  <c r="E67" i="4" s="1"/>
  <c r="F66" i="4"/>
  <c r="D67" i="4" s="1"/>
  <c r="F67" i="3"/>
  <c r="D68" i="3" s="1"/>
  <c r="G67" i="3"/>
  <c r="E68" i="3" s="1"/>
  <c r="G35" i="2"/>
  <c r="F35" i="2"/>
  <c r="G66" i="1"/>
  <c r="E67" i="1" s="1"/>
  <c r="F66" i="1"/>
  <c r="D67" i="1" s="1"/>
  <c r="F67" i="6" l="1"/>
  <c r="D68" i="6" s="1"/>
  <c r="G67" i="6"/>
  <c r="E68" i="6" s="1"/>
  <c r="G67" i="4"/>
  <c r="E68" i="4" s="1"/>
  <c r="F67" i="4"/>
  <c r="D68" i="4" s="1"/>
  <c r="G68" i="3"/>
  <c r="E69" i="3" s="1"/>
  <c r="F68" i="3"/>
  <c r="D69" i="3" s="1"/>
  <c r="E36" i="2"/>
  <c r="I35" i="2"/>
  <c r="H35" i="2"/>
  <c r="D36" i="2"/>
  <c r="G67" i="1"/>
  <c r="E68" i="1" s="1"/>
  <c r="F67" i="1"/>
  <c r="D68" i="1" s="1"/>
  <c r="I35" i="3"/>
  <c r="G68" i="6" l="1"/>
  <c r="E69" i="6" s="1"/>
  <c r="F68" i="6"/>
  <c r="D69" i="6" s="1"/>
  <c r="G68" i="4"/>
  <c r="E69" i="4" s="1"/>
  <c r="F68" i="4"/>
  <c r="D69" i="4" s="1"/>
  <c r="G69" i="3"/>
  <c r="E70" i="3" s="1"/>
  <c r="F69" i="3"/>
  <c r="D70" i="3" s="1"/>
  <c r="G36" i="2"/>
  <c r="F36" i="2"/>
  <c r="G68" i="1"/>
  <c r="E69" i="1" s="1"/>
  <c r="F68" i="1"/>
  <c r="D69" i="1" s="1"/>
  <c r="G69" i="6" l="1"/>
  <c r="E70" i="6" s="1"/>
  <c r="F69" i="6"/>
  <c r="D70" i="6" s="1"/>
  <c r="G69" i="4"/>
  <c r="E70" i="4" s="1"/>
  <c r="F69" i="4"/>
  <c r="D70" i="4" s="1"/>
  <c r="G70" i="3"/>
  <c r="E71" i="3" s="1"/>
  <c r="F70" i="3"/>
  <c r="D71" i="3" s="1"/>
  <c r="D37" i="2"/>
  <c r="H36" i="2"/>
  <c r="E37" i="2"/>
  <c r="I36" i="2"/>
  <c r="G69" i="1"/>
  <c r="E70" i="1" s="1"/>
  <c r="F69" i="1"/>
  <c r="D70" i="1" s="1"/>
  <c r="I36" i="3"/>
  <c r="F70" i="6" l="1"/>
  <c r="D71" i="6" s="1"/>
  <c r="G70" i="6"/>
  <c r="E71" i="6" s="1"/>
  <c r="G70" i="4"/>
  <c r="E71" i="4" s="1"/>
  <c r="F70" i="4"/>
  <c r="D71" i="4" s="1"/>
  <c r="F71" i="3"/>
  <c r="D72" i="3" s="1"/>
  <c r="G71" i="3"/>
  <c r="E72" i="3" s="1"/>
  <c r="G37" i="2"/>
  <c r="F37" i="2"/>
  <c r="G70" i="1"/>
  <c r="E71" i="1" s="1"/>
  <c r="F70" i="1"/>
  <c r="D71" i="1" s="1"/>
  <c r="G71" i="6" l="1"/>
  <c r="E72" i="6" s="1"/>
  <c r="F71" i="6"/>
  <c r="D72" i="6" s="1"/>
  <c r="G71" i="4"/>
  <c r="E72" i="4" s="1"/>
  <c r="F71" i="4"/>
  <c r="D72" i="4" s="1"/>
  <c r="G72" i="3"/>
  <c r="E73" i="3" s="1"/>
  <c r="F72" i="3"/>
  <c r="D73" i="3" s="1"/>
  <c r="D38" i="2"/>
  <c r="H37" i="2"/>
  <c r="E38" i="2"/>
  <c r="I37" i="2"/>
  <c r="G71" i="1"/>
  <c r="E72" i="1" s="1"/>
  <c r="F71" i="1"/>
  <c r="D72" i="1" s="1"/>
  <c r="I37" i="3"/>
  <c r="G72" i="6" l="1"/>
  <c r="E73" i="6" s="1"/>
  <c r="F72" i="6"/>
  <c r="D73" i="6" s="1"/>
  <c r="G72" i="4"/>
  <c r="E73" i="4" s="1"/>
  <c r="F72" i="4"/>
  <c r="D73" i="4" s="1"/>
  <c r="F73" i="3"/>
  <c r="D74" i="3" s="1"/>
  <c r="G73" i="3"/>
  <c r="E74" i="3" s="1"/>
  <c r="G38" i="2"/>
  <c r="F38" i="2"/>
  <c r="G72" i="1"/>
  <c r="E73" i="1" s="1"/>
  <c r="F72" i="1"/>
  <c r="D73" i="1" s="1"/>
  <c r="F73" i="6" l="1"/>
  <c r="D74" i="6" s="1"/>
  <c r="G73" i="6"/>
  <c r="E74" i="6" s="1"/>
  <c r="G73" i="4"/>
  <c r="E74" i="4" s="1"/>
  <c r="F73" i="4"/>
  <c r="D74" i="4" s="1"/>
  <c r="G74" i="3"/>
  <c r="E75" i="3" s="1"/>
  <c r="F74" i="3"/>
  <c r="D75" i="3" s="1"/>
  <c r="H38" i="2"/>
  <c r="D39" i="2"/>
  <c r="I38" i="2"/>
  <c r="E39" i="2"/>
  <c r="F73" i="1"/>
  <c r="D74" i="1" s="1"/>
  <c r="G73" i="1"/>
  <c r="E74" i="1" s="1"/>
  <c r="I38" i="3"/>
  <c r="G74" i="6" l="1"/>
  <c r="E75" i="6" s="1"/>
  <c r="F74" i="6"/>
  <c r="D75" i="6" s="1"/>
  <c r="G74" i="4"/>
  <c r="E75" i="4" s="1"/>
  <c r="F74" i="4"/>
  <c r="D75" i="4" s="1"/>
  <c r="G75" i="3"/>
  <c r="E76" i="3" s="1"/>
  <c r="F75" i="3"/>
  <c r="D76" i="3" s="1"/>
  <c r="G39" i="2"/>
  <c r="F39" i="2"/>
  <c r="G74" i="1"/>
  <c r="E75" i="1" s="1"/>
  <c r="F74" i="1"/>
  <c r="D75" i="1" s="1"/>
  <c r="G75" i="6" l="1"/>
  <c r="E76" i="6" s="1"/>
  <c r="F75" i="6"/>
  <c r="D76" i="6" s="1"/>
  <c r="G75" i="4"/>
  <c r="E76" i="4" s="1"/>
  <c r="F75" i="4"/>
  <c r="D76" i="4" s="1"/>
  <c r="G76" i="3"/>
  <c r="E77" i="3" s="1"/>
  <c r="F76" i="3"/>
  <c r="D77" i="3" s="1"/>
  <c r="H39" i="2"/>
  <c r="D40" i="2"/>
  <c r="I39" i="2"/>
  <c r="E40" i="2"/>
  <c r="G75" i="1"/>
  <c r="E76" i="1" s="1"/>
  <c r="F75" i="1"/>
  <c r="D76" i="1" s="1"/>
  <c r="I39" i="3"/>
  <c r="G76" i="6" l="1"/>
  <c r="E77" i="6" s="1"/>
  <c r="F76" i="6"/>
  <c r="D77" i="6" s="1"/>
  <c r="F76" i="4"/>
  <c r="D77" i="4" s="1"/>
  <c r="G76" i="4"/>
  <c r="E77" i="4" s="1"/>
  <c r="G77" i="3"/>
  <c r="E78" i="3" s="1"/>
  <c r="F77" i="3"/>
  <c r="D78" i="3" s="1"/>
  <c r="G40" i="2"/>
  <c r="F40" i="2"/>
  <c r="G76" i="1"/>
  <c r="E77" i="1" s="1"/>
  <c r="F76" i="1"/>
  <c r="D77" i="1" s="1"/>
  <c r="G77" i="6" l="1"/>
  <c r="E78" i="6" s="1"/>
  <c r="F77" i="6"/>
  <c r="D78" i="6" s="1"/>
  <c r="G77" i="4"/>
  <c r="E78" i="4" s="1"/>
  <c r="F77" i="4"/>
  <c r="D78" i="4" s="1"/>
  <c r="G78" i="3"/>
  <c r="E79" i="3" s="1"/>
  <c r="F78" i="3"/>
  <c r="D79" i="3" s="1"/>
  <c r="H40" i="2"/>
  <c r="D41" i="2"/>
  <c r="E41" i="2"/>
  <c r="I40" i="2"/>
  <c r="G77" i="1"/>
  <c r="E78" i="1" s="1"/>
  <c r="F77" i="1"/>
  <c r="D78" i="1" s="1"/>
  <c r="I40" i="3"/>
  <c r="G78" i="6" l="1"/>
  <c r="E79" i="6" s="1"/>
  <c r="F78" i="6"/>
  <c r="D79" i="6" s="1"/>
  <c r="F78" i="4"/>
  <c r="D79" i="4" s="1"/>
  <c r="G78" i="4"/>
  <c r="E79" i="4" s="1"/>
  <c r="G79" i="3"/>
  <c r="E80" i="3" s="1"/>
  <c r="F79" i="3"/>
  <c r="D80" i="3" s="1"/>
  <c r="F41" i="2"/>
  <c r="G41" i="2"/>
  <c r="G78" i="1"/>
  <c r="E79" i="1" s="1"/>
  <c r="F78" i="1"/>
  <c r="D79" i="1" s="1"/>
  <c r="F79" i="6" l="1"/>
  <c r="D80" i="6" s="1"/>
  <c r="G79" i="6"/>
  <c r="E80" i="6" s="1"/>
  <c r="G79" i="4"/>
  <c r="E80" i="4" s="1"/>
  <c r="F79" i="4"/>
  <c r="D80" i="4" s="1"/>
  <c r="G80" i="3"/>
  <c r="E81" i="3" s="1"/>
  <c r="F80" i="3"/>
  <c r="D81" i="3" s="1"/>
  <c r="I41" i="2"/>
  <c r="E42" i="2"/>
  <c r="D42" i="2"/>
  <c r="H41" i="2"/>
  <c r="G79" i="1"/>
  <c r="E80" i="1" s="1"/>
  <c r="F79" i="1"/>
  <c r="D80" i="1" s="1"/>
  <c r="I41" i="3"/>
  <c r="F80" i="6" l="1"/>
  <c r="D81" i="6" s="1"/>
  <c r="G80" i="6"/>
  <c r="E81" i="6" s="1"/>
  <c r="G80" i="4"/>
  <c r="E81" i="4" s="1"/>
  <c r="F80" i="4"/>
  <c r="D81" i="4" s="1"/>
  <c r="G81" i="3"/>
  <c r="E82" i="3" s="1"/>
  <c r="F81" i="3"/>
  <c r="D82" i="3" s="1"/>
  <c r="G42" i="2"/>
  <c r="F42" i="2"/>
  <c r="G80" i="1"/>
  <c r="E81" i="1" s="1"/>
  <c r="F80" i="1"/>
  <c r="D81" i="1" s="1"/>
  <c r="G81" i="6" l="1"/>
  <c r="E82" i="6" s="1"/>
  <c r="F81" i="6"/>
  <c r="D82" i="6" s="1"/>
  <c r="G81" i="4"/>
  <c r="E82" i="4" s="1"/>
  <c r="F81" i="4"/>
  <c r="D82" i="4" s="1"/>
  <c r="F82" i="3"/>
  <c r="D83" i="3" s="1"/>
  <c r="G82" i="3"/>
  <c r="E83" i="3" s="1"/>
  <c r="H42" i="2"/>
  <c r="D43" i="2"/>
  <c r="E43" i="2"/>
  <c r="I42" i="2"/>
  <c r="F81" i="1"/>
  <c r="D82" i="1" s="1"/>
  <c r="G81" i="1"/>
  <c r="E82" i="1" s="1"/>
  <c r="I42" i="3"/>
  <c r="F82" i="6" l="1"/>
  <c r="D83" i="6" s="1"/>
  <c r="G82" i="6"/>
  <c r="E83" i="6" s="1"/>
  <c r="G82" i="4"/>
  <c r="E83" i="4" s="1"/>
  <c r="F82" i="4"/>
  <c r="D83" i="4" s="1"/>
  <c r="G83" i="3"/>
  <c r="E84" i="3" s="1"/>
  <c r="F83" i="3"/>
  <c r="D84" i="3" s="1"/>
  <c r="G43" i="2"/>
  <c r="F43" i="2"/>
  <c r="G82" i="1"/>
  <c r="E83" i="1" s="1"/>
  <c r="F82" i="1"/>
  <c r="D83" i="1" s="1"/>
  <c r="F83" i="6" l="1"/>
  <c r="D84" i="6" s="1"/>
  <c r="G83" i="6"/>
  <c r="E84" i="6" s="1"/>
  <c r="G83" i="4"/>
  <c r="E84" i="4" s="1"/>
  <c r="F83" i="4"/>
  <c r="D84" i="4" s="1"/>
  <c r="G84" i="3"/>
  <c r="E85" i="3" s="1"/>
  <c r="F84" i="3"/>
  <c r="D85" i="3" s="1"/>
  <c r="H43" i="2"/>
  <c r="D44" i="2"/>
  <c r="I43" i="2"/>
  <c r="E44" i="2"/>
  <c r="F83" i="1"/>
  <c r="D84" i="1" s="1"/>
  <c r="G83" i="1"/>
  <c r="E84" i="1" s="1"/>
  <c r="I43" i="3"/>
  <c r="G84" i="6" l="1"/>
  <c r="E85" i="6" s="1"/>
  <c r="F84" i="6"/>
  <c r="D85" i="6" s="1"/>
  <c r="G84" i="4"/>
  <c r="E85" i="4" s="1"/>
  <c r="F84" i="4"/>
  <c r="D85" i="4" s="1"/>
  <c r="G85" i="3"/>
  <c r="E86" i="3" s="1"/>
  <c r="F85" i="3"/>
  <c r="D86" i="3" s="1"/>
  <c r="G44" i="2"/>
  <c r="F44" i="2"/>
  <c r="G84" i="1"/>
  <c r="E85" i="1" s="1"/>
  <c r="F84" i="1"/>
  <c r="D85" i="1" s="1"/>
  <c r="G85" i="6" l="1"/>
  <c r="E86" i="6" s="1"/>
  <c r="F85" i="6"/>
  <c r="D86" i="6" s="1"/>
  <c r="G85" i="4"/>
  <c r="E86" i="4" s="1"/>
  <c r="F85" i="4"/>
  <c r="D86" i="4" s="1"/>
  <c r="G86" i="3"/>
  <c r="E87" i="3" s="1"/>
  <c r="F86" i="3"/>
  <c r="D87" i="3" s="1"/>
  <c r="H44" i="2"/>
  <c r="D45" i="2"/>
  <c r="I44" i="2"/>
  <c r="E45" i="2"/>
  <c r="G85" i="1"/>
  <c r="E86" i="1" s="1"/>
  <c r="F85" i="1"/>
  <c r="D86" i="1" s="1"/>
  <c r="I44" i="3"/>
  <c r="F86" i="6" l="1"/>
  <c r="D87" i="6" s="1"/>
  <c r="G86" i="6"/>
  <c r="E87" i="6" s="1"/>
  <c r="G86" i="4"/>
  <c r="E87" i="4" s="1"/>
  <c r="F86" i="4"/>
  <c r="D87" i="4" s="1"/>
  <c r="G87" i="3"/>
  <c r="E88" i="3" s="1"/>
  <c r="F87" i="3"/>
  <c r="D88" i="3" s="1"/>
  <c r="G45" i="2"/>
  <c r="F45" i="2"/>
  <c r="G86" i="1"/>
  <c r="E87" i="1" s="1"/>
  <c r="F86" i="1"/>
  <c r="D87" i="1" s="1"/>
  <c r="F87" i="6" l="1"/>
  <c r="D88" i="6" s="1"/>
  <c r="G87" i="6"/>
  <c r="E88" i="6" s="1"/>
  <c r="G87" i="4"/>
  <c r="E88" i="4" s="1"/>
  <c r="F87" i="4"/>
  <c r="D88" i="4" s="1"/>
  <c r="G88" i="3"/>
  <c r="E89" i="3" s="1"/>
  <c r="F88" i="3"/>
  <c r="D89" i="3" s="1"/>
  <c r="D46" i="2"/>
  <c r="H45" i="2"/>
  <c r="E46" i="2"/>
  <c r="I45" i="2"/>
  <c r="G87" i="1"/>
  <c r="E88" i="1" s="1"/>
  <c r="F87" i="1"/>
  <c r="D88" i="1" s="1"/>
  <c r="I45" i="3"/>
  <c r="G88" i="6" l="1"/>
  <c r="E89" i="6" s="1"/>
  <c r="F88" i="6"/>
  <c r="D89" i="6" s="1"/>
  <c r="G88" i="4"/>
  <c r="E89" i="4" s="1"/>
  <c r="F88" i="4"/>
  <c r="D89" i="4" s="1"/>
  <c r="F89" i="3"/>
  <c r="D90" i="3" s="1"/>
  <c r="G89" i="3"/>
  <c r="E90" i="3" s="1"/>
  <c r="F46" i="2"/>
  <c r="G46" i="2"/>
  <c r="G88" i="1"/>
  <c r="E89" i="1" s="1"/>
  <c r="F88" i="1"/>
  <c r="D89" i="1" s="1"/>
  <c r="F89" i="6" l="1"/>
  <c r="D90" i="6" s="1"/>
  <c r="G89" i="6"/>
  <c r="E90" i="6" s="1"/>
  <c r="G89" i="4"/>
  <c r="E90" i="4" s="1"/>
  <c r="F89" i="4"/>
  <c r="D90" i="4" s="1"/>
  <c r="G90" i="3"/>
  <c r="E91" i="3" s="1"/>
  <c r="F90" i="3"/>
  <c r="D91" i="3" s="1"/>
  <c r="I46" i="2"/>
  <c r="E47" i="2"/>
  <c r="H46" i="2"/>
  <c r="D47" i="2"/>
  <c r="F89" i="1"/>
  <c r="D90" i="1" s="1"/>
  <c r="G89" i="1"/>
  <c r="E90" i="1" s="1"/>
  <c r="I46" i="3"/>
  <c r="F90" i="6" l="1"/>
  <c r="D91" i="6" s="1"/>
  <c r="G90" i="6"/>
  <c r="E91" i="6" s="1"/>
  <c r="G90" i="4"/>
  <c r="E91" i="4" s="1"/>
  <c r="F90" i="4"/>
  <c r="D91" i="4" s="1"/>
  <c r="G91" i="3"/>
  <c r="E92" i="3" s="1"/>
  <c r="F91" i="3"/>
  <c r="D92" i="3" s="1"/>
  <c r="G47" i="2"/>
  <c r="F47" i="2"/>
  <c r="G90" i="1"/>
  <c r="E91" i="1" s="1"/>
  <c r="F90" i="1"/>
  <c r="D91" i="1" s="1"/>
  <c r="G91" i="6" l="1"/>
  <c r="E92" i="6" s="1"/>
  <c r="F91" i="6"/>
  <c r="D92" i="6" s="1"/>
  <c r="G91" i="4"/>
  <c r="E92" i="4" s="1"/>
  <c r="F91" i="4"/>
  <c r="D92" i="4" s="1"/>
  <c r="G92" i="3"/>
  <c r="F92" i="3"/>
  <c r="D48" i="2"/>
  <c r="H47" i="2"/>
  <c r="E48" i="2"/>
  <c r="I47" i="2"/>
  <c r="G91" i="1"/>
  <c r="E92" i="1" s="1"/>
  <c r="F91" i="1"/>
  <c r="D92" i="1" s="1"/>
  <c r="I47" i="3"/>
  <c r="G92" i="6" l="1"/>
  <c r="F92" i="6"/>
  <c r="F92" i="4"/>
  <c r="G92" i="4"/>
  <c r="G48" i="2"/>
  <c r="F48" i="2"/>
  <c r="G92" i="1"/>
  <c r="F92" i="1"/>
  <c r="H48" i="2" l="1"/>
  <c r="D49" i="2"/>
  <c r="E49" i="2"/>
  <c r="I48" i="2"/>
  <c r="I48" i="3"/>
  <c r="G49" i="2" l="1"/>
  <c r="F49" i="2"/>
  <c r="D50" i="2" l="1"/>
  <c r="H49" i="2"/>
  <c r="E50" i="2"/>
  <c r="I49" i="2"/>
  <c r="I49" i="3"/>
  <c r="G50" i="2" l="1"/>
  <c r="F50" i="2"/>
  <c r="D51" i="2" l="1"/>
  <c r="H50" i="2"/>
  <c r="I50" i="2"/>
  <c r="E51" i="2"/>
  <c r="I50" i="3"/>
  <c r="F51" i="2" l="1"/>
  <c r="G51" i="2"/>
  <c r="I51" i="2" l="1"/>
  <c r="E52" i="2"/>
  <c r="H51" i="2"/>
  <c r="D52" i="2"/>
  <c r="I51" i="3"/>
  <c r="G52" i="2" l="1"/>
  <c r="F52" i="2"/>
  <c r="H52" i="2" l="1"/>
  <c r="D53" i="2"/>
  <c r="I52" i="2"/>
  <c r="E53" i="2"/>
  <c r="I52" i="3"/>
  <c r="G53" i="2" l="1"/>
  <c r="F53" i="2"/>
  <c r="D54" i="2" l="1"/>
  <c r="H53" i="2"/>
  <c r="E54" i="2"/>
  <c r="I53" i="2"/>
  <c r="I53" i="3"/>
  <c r="G54" i="2" l="1"/>
  <c r="F54" i="2"/>
  <c r="H54" i="2" l="1"/>
  <c r="D55" i="2"/>
  <c r="I54" i="2"/>
  <c r="E55" i="2"/>
  <c r="I54" i="3"/>
  <c r="G55" i="2" l="1"/>
  <c r="F55" i="2"/>
  <c r="D56" i="2" l="1"/>
  <c r="H55" i="2"/>
  <c r="I55" i="2"/>
  <c r="E56" i="2"/>
  <c r="I55" i="3"/>
  <c r="G56" i="2" l="1"/>
  <c r="F56" i="2"/>
  <c r="D57" i="2" l="1"/>
  <c r="H56" i="2"/>
  <c r="E57" i="2"/>
  <c r="I56" i="2"/>
  <c r="I56" i="3"/>
  <c r="F57" i="2" l="1"/>
  <c r="G57" i="2"/>
  <c r="E58" i="2" l="1"/>
  <c r="I57" i="2"/>
  <c r="D58" i="2"/>
  <c r="H57" i="2"/>
  <c r="I57" i="3"/>
  <c r="G58" i="2" l="1"/>
  <c r="F58" i="2"/>
  <c r="H58" i="2" l="1"/>
  <c r="D59" i="2"/>
  <c r="E59" i="2"/>
  <c r="I58" i="2"/>
  <c r="I58" i="3"/>
  <c r="G59" i="2" l="1"/>
  <c r="F59" i="2"/>
  <c r="H59" i="2" l="1"/>
  <c r="D60" i="2"/>
  <c r="I59" i="2"/>
  <c r="E60" i="2"/>
  <c r="I59" i="3"/>
  <c r="G60" i="2" l="1"/>
  <c r="F60" i="2"/>
  <c r="H60" i="2" l="1"/>
  <c r="D61" i="2"/>
  <c r="I60" i="2"/>
  <c r="E61" i="2"/>
  <c r="I60" i="3"/>
  <c r="G61" i="2" l="1"/>
  <c r="F61" i="2"/>
  <c r="I61" i="3"/>
  <c r="D62" i="2" l="1"/>
  <c r="H61" i="2"/>
  <c r="E62" i="2"/>
  <c r="I61" i="2"/>
  <c r="F62" i="2" l="1"/>
  <c r="D63" i="2" s="1"/>
  <c r="G62" i="2"/>
  <c r="E63" i="2" s="1"/>
  <c r="G63" i="2" l="1"/>
  <c r="E64" i="2" s="1"/>
  <c r="F63" i="2"/>
  <c r="D64" i="2" s="1"/>
  <c r="G64" i="2" l="1"/>
  <c r="E65" i="2" s="1"/>
  <c r="F64" i="2"/>
  <c r="D65" i="2" s="1"/>
  <c r="G65" i="2" l="1"/>
  <c r="E66" i="2" s="1"/>
  <c r="F65" i="2"/>
  <c r="D66" i="2" s="1"/>
  <c r="G66" i="2" l="1"/>
  <c r="E67" i="2" s="1"/>
  <c r="F66" i="2"/>
  <c r="D67" i="2" s="1"/>
  <c r="G67" i="2" l="1"/>
  <c r="E68" i="2" s="1"/>
  <c r="F67" i="2"/>
  <c r="D68" i="2" s="1"/>
  <c r="G68" i="2" l="1"/>
  <c r="E69" i="2" s="1"/>
  <c r="F68" i="2"/>
  <c r="D69" i="2" s="1"/>
  <c r="G69" i="2" l="1"/>
  <c r="E70" i="2" s="1"/>
  <c r="F69" i="2"/>
  <c r="D70" i="2" s="1"/>
  <c r="F70" i="2" l="1"/>
  <c r="D71" i="2" s="1"/>
  <c r="G70" i="2"/>
  <c r="E71" i="2" s="1"/>
  <c r="G71" i="2" l="1"/>
  <c r="E72" i="2" s="1"/>
  <c r="F71" i="2"/>
  <c r="D72" i="2" s="1"/>
  <c r="G72" i="2" l="1"/>
  <c r="E73" i="2" s="1"/>
  <c r="F72" i="2"/>
  <c r="D73" i="2" s="1"/>
  <c r="F73" i="2" l="1"/>
  <c r="D74" i="2" s="1"/>
  <c r="G73" i="2"/>
  <c r="E74" i="2" s="1"/>
  <c r="G74" i="2" l="1"/>
  <c r="E75" i="2" s="1"/>
  <c r="F74" i="2"/>
  <c r="D75" i="2" s="1"/>
  <c r="F75" i="2" l="1"/>
  <c r="D76" i="2" s="1"/>
  <c r="G75" i="2"/>
  <c r="E76" i="2" s="1"/>
  <c r="G76" i="2" l="1"/>
  <c r="E77" i="2" s="1"/>
  <c r="F76" i="2"/>
  <c r="D77" i="2" s="1"/>
  <c r="G77" i="2" l="1"/>
  <c r="E78" i="2" s="1"/>
  <c r="F77" i="2"/>
  <c r="D78" i="2" s="1"/>
  <c r="F78" i="2" l="1"/>
  <c r="D79" i="2" s="1"/>
  <c r="G78" i="2"/>
  <c r="E79" i="2" s="1"/>
  <c r="G79" i="2" l="1"/>
  <c r="E80" i="2" s="1"/>
  <c r="F79" i="2"/>
  <c r="D80" i="2" s="1"/>
  <c r="F80" i="2" l="1"/>
  <c r="D81" i="2" s="1"/>
  <c r="G80" i="2"/>
  <c r="E81" i="2" s="1"/>
  <c r="G81" i="2" l="1"/>
  <c r="E82" i="2" s="1"/>
  <c r="F81" i="2"/>
  <c r="D82" i="2" s="1"/>
  <c r="G82" i="2" l="1"/>
  <c r="E83" i="2" s="1"/>
  <c r="F82" i="2"/>
  <c r="D83" i="2" s="1"/>
  <c r="G83" i="2" l="1"/>
  <c r="E84" i="2" s="1"/>
  <c r="F83" i="2"/>
  <c r="D84" i="2" s="1"/>
  <c r="G84" i="2" l="1"/>
  <c r="E85" i="2" s="1"/>
  <c r="F84" i="2"/>
  <c r="D85" i="2" s="1"/>
  <c r="G85" i="2" l="1"/>
  <c r="E86" i="2" s="1"/>
  <c r="F85" i="2"/>
  <c r="D86" i="2" s="1"/>
  <c r="F86" i="2" l="1"/>
  <c r="D87" i="2" s="1"/>
  <c r="G86" i="2"/>
  <c r="E87" i="2" s="1"/>
  <c r="G87" i="2" l="1"/>
  <c r="E88" i="2" s="1"/>
  <c r="F87" i="2"/>
  <c r="D88" i="2" s="1"/>
  <c r="G88" i="2" l="1"/>
  <c r="E89" i="2" s="1"/>
  <c r="F88" i="2"/>
  <c r="D89" i="2" s="1"/>
  <c r="F89" i="2" l="1"/>
  <c r="D90" i="2" s="1"/>
  <c r="G89" i="2"/>
  <c r="E90" i="2" s="1"/>
  <c r="G90" i="2" l="1"/>
  <c r="E91" i="2" s="1"/>
  <c r="F90" i="2"/>
  <c r="D91" i="2" s="1"/>
  <c r="F91" i="2" l="1"/>
  <c r="D92" i="2" s="1"/>
  <c r="G91" i="2"/>
  <c r="E92" i="2" s="1"/>
  <c r="G92" i="2" l="1"/>
  <c r="F92" i="2"/>
</calcChain>
</file>

<file path=xl/sharedStrings.xml><?xml version="1.0" encoding="utf-8"?>
<sst xmlns="http://schemas.openxmlformats.org/spreadsheetml/2006/main" count="67" uniqueCount="20">
  <si>
    <t>data</t>
  </si>
  <si>
    <t>żubry</t>
  </si>
  <si>
    <t>Przed</t>
  </si>
  <si>
    <t>Po</t>
  </si>
  <si>
    <t>d tygodnia</t>
  </si>
  <si>
    <t>Dostawy s</t>
  </si>
  <si>
    <t>Dostawy z</t>
  </si>
  <si>
    <t>czym_karmimy</t>
  </si>
  <si>
    <t>Siano</t>
  </si>
  <si>
    <t>Żołędzie</t>
  </si>
  <si>
    <t>siano_przd</t>
  </si>
  <si>
    <t>żołędzie_przed</t>
  </si>
  <si>
    <t>siano_po</t>
  </si>
  <si>
    <t>żołędzie_po</t>
  </si>
  <si>
    <t>Etykiety wierszy</t>
  </si>
  <si>
    <t>Suma końcowa</t>
  </si>
  <si>
    <t>Suma z siano_przd</t>
  </si>
  <si>
    <t>Suma z żołędzie_przed</t>
  </si>
  <si>
    <t>Data</t>
  </si>
  <si>
    <t>Liczba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</si>
</sst>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Siano i żołędzie na koniec miesiąca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'4d'!$J$10</c:f>
              <c:strCache>
                <c:ptCount val="1"/>
                <c:pt idx="0">
                  <c:v>Siano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'4d'!$I$11:$I$13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'4d'!$J$11:$J$13</c:f>
              <c:numCache>
                <c:formatCode>General</c:formatCode>
                <c:ptCount val="3"/>
                <c:pt idx="0">
                  <c:v>55600</c:v>
                </c:pt>
                <c:pt idx="1">
                  <c:v>47200</c:v>
                </c:pt>
                <c:pt idx="2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9-49B4-B086-0DDF768F6C9B}"/>
            </c:ext>
          </c:extLst>
        </c:ser>
        <c:ser>
          <c:idx val="1"/>
          <c:order val="1"/>
          <c:tx>
            <c:strRef>
              <c:f>'4d'!$K$10</c:f>
              <c:strCache>
                <c:ptCount val="1"/>
                <c:pt idx="0">
                  <c:v>Żołędzie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'4d'!$I$11:$I$13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'4d'!$K$11:$K$13</c:f>
              <c:numCache>
                <c:formatCode>General</c:formatCode>
                <c:ptCount val="3"/>
                <c:pt idx="0">
                  <c:v>19200</c:v>
                </c:pt>
                <c:pt idx="1">
                  <c:v>17600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9-49B4-B086-0DDF768F6C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008512"/>
        <c:axId val="149017152"/>
      </c:barChart>
      <c:dateAx>
        <c:axId val="149008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017152"/>
        <c:crosses val="autoZero"/>
        <c:auto val="1"/>
        <c:lblOffset val="100"/>
        <c:baseTimeUnit val="months"/>
      </c:dateAx>
      <c:valAx>
        <c:axId val="1490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masa(kg)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0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17</xdr:row>
      <xdr:rowOff>61912</xdr:rowOff>
    </xdr:from>
    <xdr:to>
      <xdr:col>14</xdr:col>
      <xdr:colOff>514350</xdr:colOff>
      <xdr:row>31</xdr:row>
      <xdr:rowOff>138112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7697AC-6C32-56B3-4090-43846139A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7.366160532409" createdVersion="8" refreshedVersion="8" minRefreshableVersion="3" recordCount="90" xr:uid="{D7F5086A-55BD-4247-BA3F-5654130C745F}">
  <cacheSource type="worksheet">
    <worksheetSource ref="A2:G92" sheet="4d"/>
  </cacheSource>
  <cacheFields count="10">
    <cacheField name="data" numFmtId="14">
      <sharedItems containsSemiMixedTypes="0" containsNonDate="0" containsDate="1" containsString="0" minDate="2012-12-01T00:00:00" maxDate="2013-03-01T00:00:00" count="90"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</sharedItems>
      <fieldGroup par="9"/>
    </cacheField>
    <cacheField name="d tygodnia" numFmtId="1">
      <sharedItems containsSemiMixedTypes="0" containsString="0" containsNumber="1" containsInteger="1" minValue="1" maxValue="7"/>
    </cacheField>
    <cacheField name="żubry" numFmtId="0">
      <sharedItems containsSemiMixedTypes="0" containsString="0" containsNumber="1" containsInteger="1" minValue="90" maxValue="90"/>
    </cacheField>
    <cacheField name="siano_przd" numFmtId="0">
      <sharedItems containsSemiMixedTypes="0" containsString="0" containsNumber="1" containsInteger="1" minValue="46600" maxValue="100000"/>
    </cacheField>
    <cacheField name="żołędzie_przed" numFmtId="0">
      <sharedItems containsSemiMixedTypes="0" containsString="0" containsNumber="1" containsInteger="1" minValue="5000" maxValue="23200"/>
    </cacheField>
    <cacheField name="siano_po" numFmtId="0">
      <sharedItems containsSemiMixedTypes="0" containsString="0" containsNumber="1" containsInteger="1" minValue="46600" maxValue="96400"/>
    </cacheField>
    <cacheField name="żołędzie_po" numFmtId="0">
      <sharedItems containsSemiMixedTypes="0" containsString="0" containsNumber="1" containsInteger="1" minValue="5000" maxValue="23200"/>
    </cacheField>
    <cacheField name="Miesiące (data)" numFmtId="0" databaseField="0">
      <fieldGroup base="0">
        <rangePr groupBy="months" startDate="2012-12-01T00:00:00" endDate="2013-03-01T00:00:00"/>
        <groupItems count="14">
          <s v="&lt;1.12.201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3.2013"/>
        </groupItems>
      </fieldGroup>
    </cacheField>
    <cacheField name="Kwartały (data)" numFmtId="0" databaseField="0">
      <fieldGroup base="0">
        <rangePr groupBy="quarters" startDate="2012-12-01T00:00:00" endDate="2013-03-01T00:00:00"/>
        <groupItems count="6">
          <s v="&lt;1.12.2012"/>
          <s v="Kwartał1"/>
          <s v="Kwartał2"/>
          <s v="Kwartał3"/>
          <s v="Kwartał4"/>
          <s v="&gt;1.03.2013"/>
        </groupItems>
      </fieldGroup>
    </cacheField>
    <cacheField name="Lata (data)" numFmtId="0" databaseField="0">
      <fieldGroup base="0">
        <rangePr groupBy="years" startDate="2012-12-01T00:00:00" endDate="2013-03-01T00:00:00"/>
        <groupItems count="4">
          <s v="&lt;1.12.2012"/>
          <s v="2012"/>
          <s v="2013"/>
          <s v="&gt;1.03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6"/>
    <n v="90"/>
    <n v="100000"/>
    <n v="5000"/>
    <n v="96400"/>
    <n v="5000"/>
  </r>
  <r>
    <x v="1"/>
    <n v="7"/>
    <n v="90"/>
    <n v="96400"/>
    <n v="5000"/>
    <n v="92800"/>
    <n v="5000"/>
  </r>
  <r>
    <x v="2"/>
    <n v="1"/>
    <n v="90"/>
    <n v="92800"/>
    <n v="5000"/>
    <n v="89200"/>
    <n v="5000"/>
  </r>
  <r>
    <x v="3"/>
    <n v="2"/>
    <n v="90"/>
    <n v="89200"/>
    <n v="5000"/>
    <n v="85600"/>
    <n v="9000"/>
  </r>
  <r>
    <x v="4"/>
    <n v="3"/>
    <n v="90"/>
    <n v="85600"/>
    <n v="9000"/>
    <n v="82000"/>
    <n v="9000"/>
  </r>
  <r>
    <x v="5"/>
    <n v="4"/>
    <n v="90"/>
    <n v="82000"/>
    <n v="9000"/>
    <n v="78400"/>
    <n v="9000"/>
  </r>
  <r>
    <x v="6"/>
    <n v="5"/>
    <n v="90"/>
    <n v="78400"/>
    <n v="9000"/>
    <n v="89800"/>
    <n v="9000"/>
  </r>
  <r>
    <x v="7"/>
    <n v="6"/>
    <n v="90"/>
    <n v="89800"/>
    <n v="9000"/>
    <n v="86200"/>
    <n v="9000"/>
  </r>
  <r>
    <x v="8"/>
    <n v="7"/>
    <n v="90"/>
    <n v="86200"/>
    <n v="9000"/>
    <n v="82600"/>
    <n v="9000"/>
  </r>
  <r>
    <x v="9"/>
    <n v="1"/>
    <n v="90"/>
    <n v="82600"/>
    <n v="9000"/>
    <n v="79000"/>
    <n v="9000"/>
  </r>
  <r>
    <x v="10"/>
    <n v="2"/>
    <n v="90"/>
    <n v="79000"/>
    <n v="9000"/>
    <n v="75400"/>
    <n v="13000"/>
  </r>
  <r>
    <x v="11"/>
    <n v="3"/>
    <n v="90"/>
    <n v="75400"/>
    <n v="13000"/>
    <n v="71800"/>
    <n v="13000"/>
  </r>
  <r>
    <x v="12"/>
    <n v="4"/>
    <n v="90"/>
    <n v="71800"/>
    <n v="13000"/>
    <n v="68200"/>
    <n v="13000"/>
  </r>
  <r>
    <x v="13"/>
    <n v="5"/>
    <n v="90"/>
    <n v="68200"/>
    <n v="13000"/>
    <n v="79600"/>
    <n v="13000"/>
  </r>
  <r>
    <x v="14"/>
    <n v="6"/>
    <n v="90"/>
    <n v="79600"/>
    <n v="13000"/>
    <n v="76000"/>
    <n v="13000"/>
  </r>
  <r>
    <x v="15"/>
    <n v="7"/>
    <n v="90"/>
    <n v="76000"/>
    <n v="13000"/>
    <n v="72400"/>
    <n v="13000"/>
  </r>
  <r>
    <x v="16"/>
    <n v="1"/>
    <n v="90"/>
    <n v="72400"/>
    <n v="13000"/>
    <n v="68800"/>
    <n v="13000"/>
  </r>
  <r>
    <x v="17"/>
    <n v="2"/>
    <n v="90"/>
    <n v="68800"/>
    <n v="13000"/>
    <n v="65200"/>
    <n v="17000"/>
  </r>
  <r>
    <x v="18"/>
    <n v="3"/>
    <n v="90"/>
    <n v="65200"/>
    <n v="17000"/>
    <n v="61600"/>
    <n v="17000"/>
  </r>
  <r>
    <x v="19"/>
    <n v="4"/>
    <n v="90"/>
    <n v="61600"/>
    <n v="17000"/>
    <n v="58000"/>
    <n v="17000"/>
  </r>
  <r>
    <x v="20"/>
    <n v="5"/>
    <n v="90"/>
    <n v="58000"/>
    <n v="17000"/>
    <n v="69400"/>
    <n v="17000"/>
  </r>
  <r>
    <x v="21"/>
    <n v="6"/>
    <n v="90"/>
    <n v="69400"/>
    <n v="17000"/>
    <n v="65800"/>
    <n v="17000"/>
  </r>
  <r>
    <x v="22"/>
    <n v="7"/>
    <n v="90"/>
    <n v="65800"/>
    <n v="17000"/>
    <n v="62200"/>
    <n v="17000"/>
  </r>
  <r>
    <x v="23"/>
    <n v="1"/>
    <n v="90"/>
    <n v="62200"/>
    <n v="17000"/>
    <n v="58600"/>
    <n v="17000"/>
  </r>
  <r>
    <x v="24"/>
    <n v="2"/>
    <n v="90"/>
    <n v="58600"/>
    <n v="17000"/>
    <n v="55000"/>
    <n v="21000"/>
  </r>
  <r>
    <x v="25"/>
    <n v="3"/>
    <n v="90"/>
    <n v="55000"/>
    <n v="21000"/>
    <n v="51400"/>
    <n v="21000"/>
  </r>
  <r>
    <x v="26"/>
    <n v="4"/>
    <n v="90"/>
    <n v="51400"/>
    <n v="21000"/>
    <n v="47800"/>
    <n v="21000"/>
  </r>
  <r>
    <x v="27"/>
    <n v="5"/>
    <n v="90"/>
    <n v="47800"/>
    <n v="21000"/>
    <n v="62800"/>
    <n v="19200"/>
  </r>
  <r>
    <x v="28"/>
    <n v="6"/>
    <n v="90"/>
    <n v="62800"/>
    <n v="19200"/>
    <n v="59200"/>
    <n v="19200"/>
  </r>
  <r>
    <x v="29"/>
    <n v="7"/>
    <n v="90"/>
    <n v="59200"/>
    <n v="19200"/>
    <n v="55600"/>
    <n v="19200"/>
  </r>
  <r>
    <x v="30"/>
    <n v="1"/>
    <n v="90"/>
    <n v="55600"/>
    <n v="19200"/>
    <n v="52000"/>
    <n v="19200"/>
  </r>
  <r>
    <x v="31"/>
    <n v="2"/>
    <n v="90"/>
    <n v="52000"/>
    <n v="19200"/>
    <n v="48400"/>
    <n v="23200"/>
  </r>
  <r>
    <x v="32"/>
    <n v="3"/>
    <n v="90"/>
    <n v="48400"/>
    <n v="23200"/>
    <n v="48400"/>
    <n v="21400"/>
  </r>
  <r>
    <x v="33"/>
    <n v="4"/>
    <n v="90"/>
    <n v="48400"/>
    <n v="21400"/>
    <n v="48400"/>
    <n v="19600"/>
  </r>
  <r>
    <x v="34"/>
    <n v="5"/>
    <n v="90"/>
    <n v="48400"/>
    <n v="19600"/>
    <n v="63400"/>
    <n v="17800"/>
  </r>
  <r>
    <x v="35"/>
    <n v="6"/>
    <n v="90"/>
    <n v="63400"/>
    <n v="17800"/>
    <n v="59800"/>
    <n v="17800"/>
  </r>
  <r>
    <x v="36"/>
    <n v="7"/>
    <n v="90"/>
    <n v="59800"/>
    <n v="17800"/>
    <n v="56200"/>
    <n v="17800"/>
  </r>
  <r>
    <x v="37"/>
    <n v="1"/>
    <n v="90"/>
    <n v="56200"/>
    <n v="17800"/>
    <n v="52600"/>
    <n v="17800"/>
  </r>
  <r>
    <x v="38"/>
    <n v="2"/>
    <n v="90"/>
    <n v="52600"/>
    <n v="17800"/>
    <n v="49000"/>
    <n v="21800"/>
  </r>
  <r>
    <x v="39"/>
    <n v="3"/>
    <n v="90"/>
    <n v="49000"/>
    <n v="21800"/>
    <n v="49000"/>
    <n v="20000"/>
  </r>
  <r>
    <x v="40"/>
    <n v="4"/>
    <n v="90"/>
    <n v="49000"/>
    <n v="20000"/>
    <n v="49000"/>
    <n v="18200"/>
  </r>
  <r>
    <x v="41"/>
    <n v="5"/>
    <n v="90"/>
    <n v="49000"/>
    <n v="18200"/>
    <n v="64000"/>
    <n v="16400"/>
  </r>
  <r>
    <x v="42"/>
    <n v="6"/>
    <n v="90"/>
    <n v="64000"/>
    <n v="16400"/>
    <n v="60400"/>
    <n v="16400"/>
  </r>
  <r>
    <x v="43"/>
    <n v="7"/>
    <n v="90"/>
    <n v="60400"/>
    <n v="16400"/>
    <n v="56800"/>
    <n v="16400"/>
  </r>
  <r>
    <x v="44"/>
    <n v="1"/>
    <n v="90"/>
    <n v="56800"/>
    <n v="16400"/>
    <n v="53200"/>
    <n v="16400"/>
  </r>
  <r>
    <x v="45"/>
    <n v="2"/>
    <n v="90"/>
    <n v="53200"/>
    <n v="16400"/>
    <n v="49600"/>
    <n v="20400"/>
  </r>
  <r>
    <x v="46"/>
    <n v="3"/>
    <n v="90"/>
    <n v="49600"/>
    <n v="20400"/>
    <n v="49600"/>
    <n v="18600"/>
  </r>
  <r>
    <x v="47"/>
    <n v="4"/>
    <n v="90"/>
    <n v="49600"/>
    <n v="18600"/>
    <n v="49600"/>
    <n v="16800"/>
  </r>
  <r>
    <x v="48"/>
    <n v="5"/>
    <n v="90"/>
    <n v="49600"/>
    <n v="16800"/>
    <n v="64600"/>
    <n v="15000"/>
  </r>
  <r>
    <x v="49"/>
    <n v="6"/>
    <n v="90"/>
    <n v="64600"/>
    <n v="15000"/>
    <n v="61000"/>
    <n v="15000"/>
  </r>
  <r>
    <x v="50"/>
    <n v="7"/>
    <n v="90"/>
    <n v="61000"/>
    <n v="15000"/>
    <n v="57400"/>
    <n v="15000"/>
  </r>
  <r>
    <x v="51"/>
    <n v="1"/>
    <n v="90"/>
    <n v="57400"/>
    <n v="15000"/>
    <n v="53800"/>
    <n v="15000"/>
  </r>
  <r>
    <x v="52"/>
    <n v="2"/>
    <n v="90"/>
    <n v="53800"/>
    <n v="15000"/>
    <n v="50200"/>
    <n v="19000"/>
  </r>
  <r>
    <x v="53"/>
    <n v="3"/>
    <n v="90"/>
    <n v="50200"/>
    <n v="19000"/>
    <n v="46600"/>
    <n v="19000"/>
  </r>
  <r>
    <x v="54"/>
    <n v="4"/>
    <n v="90"/>
    <n v="46600"/>
    <n v="19000"/>
    <n v="46600"/>
    <n v="17200"/>
  </r>
  <r>
    <x v="55"/>
    <n v="5"/>
    <n v="90"/>
    <n v="46600"/>
    <n v="17200"/>
    <n v="61600"/>
    <n v="15400"/>
  </r>
  <r>
    <x v="56"/>
    <n v="6"/>
    <n v="90"/>
    <n v="61600"/>
    <n v="15400"/>
    <n v="58000"/>
    <n v="15400"/>
  </r>
  <r>
    <x v="57"/>
    <n v="7"/>
    <n v="90"/>
    <n v="58000"/>
    <n v="15400"/>
    <n v="54400"/>
    <n v="15400"/>
  </r>
  <r>
    <x v="58"/>
    <n v="1"/>
    <n v="90"/>
    <n v="54400"/>
    <n v="15400"/>
    <n v="50800"/>
    <n v="15400"/>
  </r>
  <r>
    <x v="59"/>
    <n v="2"/>
    <n v="90"/>
    <n v="50800"/>
    <n v="15400"/>
    <n v="47200"/>
    <n v="19400"/>
  </r>
  <r>
    <x v="60"/>
    <n v="3"/>
    <n v="90"/>
    <n v="47200"/>
    <n v="19400"/>
    <n v="47200"/>
    <n v="17600"/>
  </r>
  <r>
    <x v="61"/>
    <n v="4"/>
    <n v="90"/>
    <n v="47200"/>
    <n v="17600"/>
    <n v="47200"/>
    <n v="15800"/>
  </r>
  <r>
    <x v="62"/>
    <n v="5"/>
    <n v="90"/>
    <n v="47200"/>
    <n v="15800"/>
    <n v="62200"/>
    <n v="14000"/>
  </r>
  <r>
    <x v="63"/>
    <n v="6"/>
    <n v="90"/>
    <n v="62200"/>
    <n v="14000"/>
    <n v="58600"/>
    <n v="14000"/>
  </r>
  <r>
    <x v="64"/>
    <n v="7"/>
    <n v="90"/>
    <n v="58600"/>
    <n v="14000"/>
    <n v="55000"/>
    <n v="14000"/>
  </r>
  <r>
    <x v="65"/>
    <n v="1"/>
    <n v="90"/>
    <n v="55000"/>
    <n v="14000"/>
    <n v="51400"/>
    <n v="14000"/>
  </r>
  <r>
    <x v="66"/>
    <n v="2"/>
    <n v="90"/>
    <n v="51400"/>
    <n v="14000"/>
    <n v="47800"/>
    <n v="18000"/>
  </r>
  <r>
    <x v="67"/>
    <n v="3"/>
    <n v="90"/>
    <n v="47800"/>
    <n v="18000"/>
    <n v="47800"/>
    <n v="16200"/>
  </r>
  <r>
    <x v="68"/>
    <n v="4"/>
    <n v="90"/>
    <n v="47800"/>
    <n v="16200"/>
    <n v="47800"/>
    <n v="14400"/>
  </r>
  <r>
    <x v="69"/>
    <n v="5"/>
    <n v="90"/>
    <n v="47800"/>
    <n v="14400"/>
    <n v="62800"/>
    <n v="12600"/>
  </r>
  <r>
    <x v="70"/>
    <n v="6"/>
    <n v="90"/>
    <n v="62800"/>
    <n v="12600"/>
    <n v="59200"/>
    <n v="12600"/>
  </r>
  <r>
    <x v="71"/>
    <n v="7"/>
    <n v="90"/>
    <n v="59200"/>
    <n v="12600"/>
    <n v="55600"/>
    <n v="12600"/>
  </r>
  <r>
    <x v="72"/>
    <n v="1"/>
    <n v="90"/>
    <n v="55600"/>
    <n v="12600"/>
    <n v="52000"/>
    <n v="12600"/>
  </r>
  <r>
    <x v="73"/>
    <n v="2"/>
    <n v="90"/>
    <n v="52000"/>
    <n v="12600"/>
    <n v="48400"/>
    <n v="16600"/>
  </r>
  <r>
    <x v="74"/>
    <n v="3"/>
    <n v="90"/>
    <n v="48400"/>
    <n v="16600"/>
    <n v="48400"/>
    <n v="14800"/>
  </r>
  <r>
    <x v="75"/>
    <n v="4"/>
    <n v="90"/>
    <n v="48400"/>
    <n v="14800"/>
    <n v="48400"/>
    <n v="13000"/>
  </r>
  <r>
    <x v="76"/>
    <n v="5"/>
    <n v="90"/>
    <n v="48400"/>
    <n v="13000"/>
    <n v="63400"/>
    <n v="11200"/>
  </r>
  <r>
    <x v="77"/>
    <n v="6"/>
    <n v="90"/>
    <n v="63400"/>
    <n v="11200"/>
    <n v="59800"/>
    <n v="11200"/>
  </r>
  <r>
    <x v="78"/>
    <n v="7"/>
    <n v="90"/>
    <n v="59800"/>
    <n v="11200"/>
    <n v="56200"/>
    <n v="11200"/>
  </r>
  <r>
    <x v="79"/>
    <n v="1"/>
    <n v="90"/>
    <n v="56200"/>
    <n v="11200"/>
    <n v="52600"/>
    <n v="11200"/>
  </r>
  <r>
    <x v="80"/>
    <n v="2"/>
    <n v="90"/>
    <n v="52600"/>
    <n v="11200"/>
    <n v="49000"/>
    <n v="15200"/>
  </r>
  <r>
    <x v="81"/>
    <n v="3"/>
    <n v="90"/>
    <n v="49000"/>
    <n v="15200"/>
    <n v="49000"/>
    <n v="13400"/>
  </r>
  <r>
    <x v="82"/>
    <n v="4"/>
    <n v="90"/>
    <n v="49000"/>
    <n v="13400"/>
    <n v="49000"/>
    <n v="11600"/>
  </r>
  <r>
    <x v="83"/>
    <n v="5"/>
    <n v="90"/>
    <n v="49000"/>
    <n v="11600"/>
    <n v="64000"/>
    <n v="9800"/>
  </r>
  <r>
    <x v="84"/>
    <n v="6"/>
    <n v="90"/>
    <n v="64000"/>
    <n v="9800"/>
    <n v="60400"/>
    <n v="9800"/>
  </r>
  <r>
    <x v="85"/>
    <n v="7"/>
    <n v="90"/>
    <n v="60400"/>
    <n v="9800"/>
    <n v="56800"/>
    <n v="9800"/>
  </r>
  <r>
    <x v="86"/>
    <n v="1"/>
    <n v="90"/>
    <n v="56800"/>
    <n v="9800"/>
    <n v="53200"/>
    <n v="9800"/>
  </r>
  <r>
    <x v="87"/>
    <n v="2"/>
    <n v="90"/>
    <n v="53200"/>
    <n v="9800"/>
    <n v="49600"/>
    <n v="13800"/>
  </r>
  <r>
    <x v="88"/>
    <n v="3"/>
    <n v="90"/>
    <n v="49600"/>
    <n v="13800"/>
    <n v="49600"/>
    <n v="12000"/>
  </r>
  <r>
    <x v="89"/>
    <n v="4"/>
    <n v="90"/>
    <n v="49600"/>
    <n v="12000"/>
    <n v="49600"/>
    <n v="10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2286-9895-48DC-9C19-5458710890EF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I2:K6" firstHeaderRow="0" firstDataRow="1" firstDataCol="1"/>
  <pivotFields count="10">
    <pivotField axis="axisRow" numFmtId="14" showAll="0">
      <items count="9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x="89"/>
        <item t="default"/>
      </items>
    </pivotField>
    <pivotField numFmtId="1" showAll="0"/>
    <pivotField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4">
    <i>
      <x v="30"/>
    </i>
    <i>
      <x v="61"/>
    </i>
    <i>
      <x v="8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iano_przd" fld="3" baseField="0" baseItem="0"/>
    <dataField name="Suma z żołędzie_przed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7"/>
  <sheetViews>
    <sheetView workbookViewId="0">
      <selection activeCell="C37" sqref="C37"/>
    </sheetView>
  </sheetViews>
  <sheetFormatPr defaultRowHeight="15" x14ac:dyDescent="0.25"/>
  <cols>
    <col min="1" max="1" width="10.140625" bestFit="1" customWidth="1"/>
    <col min="2" max="2" width="10.28515625" style="2" bestFit="1" customWidth="1"/>
  </cols>
  <sheetData>
    <row r="1" spans="1:7" x14ac:dyDescent="0.25">
      <c r="D1" t="s">
        <v>2</v>
      </c>
      <c r="F1" t="s">
        <v>3</v>
      </c>
    </row>
    <row r="2" spans="1:7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1">
        <v>41244</v>
      </c>
      <c r="B3" s="2">
        <f>WEEKDAY(A3,2)</f>
        <v>6</v>
      </c>
      <c r="C3">
        <v>90</v>
      </c>
      <c r="D3">
        <v>100000</v>
      </c>
      <c r="E3">
        <v>5000</v>
      </c>
      <c r="F3">
        <f>IF(D3&gt;=50000,D3-(C3*40),D3)+IF(B3=5,15000,0)</f>
        <v>96400</v>
      </c>
      <c r="G3">
        <f>IF(D3&lt;50000,E3-(C3*20),E3)+IF(B3=2,4000,0)</f>
        <v>5000</v>
      </c>
    </row>
    <row r="4" spans="1:7" x14ac:dyDescent="0.25">
      <c r="A4" s="1">
        <v>41245</v>
      </c>
      <c r="B4" s="2">
        <f t="shared" ref="B4:B67" si="0">WEEKDAY(A4,2)</f>
        <v>7</v>
      </c>
      <c r="C4">
        <v>90</v>
      </c>
      <c r="D4">
        <f>F3</f>
        <v>96400</v>
      </c>
      <c r="E4">
        <f>G3</f>
        <v>5000</v>
      </c>
      <c r="F4">
        <f t="shared" ref="F4:F67" si="1">IF(D4&gt;=50000,D4-(C4*40),D4)+IF(B4=5,15000,0)</f>
        <v>92800</v>
      </c>
      <c r="G4">
        <f t="shared" ref="G4:G67" si="2">IF(D4&lt;50000,E4-(C4*20),E4)+IF(B4=2,4000,0)</f>
        <v>5000</v>
      </c>
    </row>
    <row r="5" spans="1:7" x14ac:dyDescent="0.25">
      <c r="A5" s="1">
        <v>41246</v>
      </c>
      <c r="B5" s="2">
        <f t="shared" si="0"/>
        <v>1</v>
      </c>
      <c r="C5">
        <v>90</v>
      </c>
      <c r="D5">
        <f t="shared" ref="D5:E68" si="3">F4</f>
        <v>92800</v>
      </c>
      <c r="E5">
        <f t="shared" si="3"/>
        <v>5000</v>
      </c>
      <c r="F5">
        <f t="shared" si="1"/>
        <v>89200</v>
      </c>
      <c r="G5">
        <f>IF(D5&lt;50000,E5-(C5*20),E5)+IF(B5=2,4000,0)</f>
        <v>5000</v>
      </c>
    </row>
    <row r="6" spans="1:7" x14ac:dyDescent="0.25">
      <c r="A6" s="1">
        <v>41247</v>
      </c>
      <c r="B6" s="2">
        <f t="shared" si="0"/>
        <v>2</v>
      </c>
      <c r="C6">
        <v>90</v>
      </c>
      <c r="D6">
        <f t="shared" si="3"/>
        <v>89200</v>
      </c>
      <c r="E6">
        <f t="shared" si="3"/>
        <v>5000</v>
      </c>
      <c r="F6">
        <f t="shared" si="1"/>
        <v>85600</v>
      </c>
      <c r="G6">
        <f>IF(D6&lt;50000,E6-(C6*20),E6)+IF(B6=2,4000,0)</f>
        <v>9000</v>
      </c>
    </row>
    <row r="7" spans="1:7" x14ac:dyDescent="0.25">
      <c r="A7" s="1">
        <v>41248</v>
      </c>
      <c r="B7" s="2">
        <f t="shared" si="0"/>
        <v>3</v>
      </c>
      <c r="C7">
        <v>90</v>
      </c>
      <c r="D7">
        <f t="shared" si="3"/>
        <v>85600</v>
      </c>
      <c r="E7">
        <f t="shared" si="3"/>
        <v>9000</v>
      </c>
      <c r="F7">
        <f t="shared" si="1"/>
        <v>82000</v>
      </c>
      <c r="G7">
        <f t="shared" si="2"/>
        <v>9000</v>
      </c>
    </row>
    <row r="8" spans="1:7" x14ac:dyDescent="0.25">
      <c r="A8" s="1">
        <v>41249</v>
      </c>
      <c r="B8" s="2">
        <f t="shared" si="0"/>
        <v>4</v>
      </c>
      <c r="C8">
        <v>90</v>
      </c>
      <c r="D8">
        <f t="shared" si="3"/>
        <v>82000</v>
      </c>
      <c r="E8">
        <f t="shared" si="3"/>
        <v>9000</v>
      </c>
      <c r="F8">
        <f t="shared" si="1"/>
        <v>78400</v>
      </c>
      <c r="G8">
        <f t="shared" si="2"/>
        <v>9000</v>
      </c>
    </row>
    <row r="9" spans="1:7" x14ac:dyDescent="0.25">
      <c r="A9" s="1">
        <v>41250</v>
      </c>
      <c r="B9" s="2">
        <f t="shared" si="0"/>
        <v>5</v>
      </c>
      <c r="C9">
        <v>90</v>
      </c>
      <c r="D9">
        <f t="shared" si="3"/>
        <v>78400</v>
      </c>
      <c r="E9">
        <f t="shared" si="3"/>
        <v>9000</v>
      </c>
      <c r="F9">
        <f t="shared" si="1"/>
        <v>89800</v>
      </c>
      <c r="G9">
        <f t="shared" si="2"/>
        <v>9000</v>
      </c>
    </row>
    <row r="10" spans="1:7" x14ac:dyDescent="0.25">
      <c r="A10" s="1">
        <v>41251</v>
      </c>
      <c r="B10" s="2">
        <f t="shared" si="0"/>
        <v>6</v>
      </c>
      <c r="C10">
        <v>90</v>
      </c>
      <c r="D10">
        <f t="shared" si="3"/>
        <v>89800</v>
      </c>
      <c r="E10">
        <f t="shared" si="3"/>
        <v>9000</v>
      </c>
      <c r="F10">
        <f t="shared" si="1"/>
        <v>86200</v>
      </c>
      <c r="G10">
        <f t="shared" si="2"/>
        <v>9000</v>
      </c>
    </row>
    <row r="11" spans="1:7" x14ac:dyDescent="0.25">
      <c r="A11" s="1">
        <v>41252</v>
      </c>
      <c r="B11" s="2">
        <f t="shared" si="0"/>
        <v>7</v>
      </c>
      <c r="C11">
        <v>90</v>
      </c>
      <c r="D11">
        <f t="shared" si="3"/>
        <v>86200</v>
      </c>
      <c r="E11">
        <f t="shared" si="3"/>
        <v>9000</v>
      </c>
      <c r="F11">
        <f t="shared" si="1"/>
        <v>82600</v>
      </c>
      <c r="G11">
        <f t="shared" si="2"/>
        <v>9000</v>
      </c>
    </row>
    <row r="12" spans="1:7" x14ac:dyDescent="0.25">
      <c r="A12" s="1">
        <v>41253</v>
      </c>
      <c r="B12" s="2">
        <f t="shared" si="0"/>
        <v>1</v>
      </c>
      <c r="C12">
        <v>90</v>
      </c>
      <c r="D12">
        <f t="shared" si="3"/>
        <v>82600</v>
      </c>
      <c r="E12">
        <f t="shared" si="3"/>
        <v>9000</v>
      </c>
      <c r="F12">
        <f t="shared" si="1"/>
        <v>79000</v>
      </c>
      <c r="G12">
        <f t="shared" si="2"/>
        <v>9000</v>
      </c>
    </row>
    <row r="13" spans="1:7" x14ac:dyDescent="0.25">
      <c r="A13" s="1">
        <v>41254</v>
      </c>
      <c r="B13" s="2">
        <f t="shared" si="0"/>
        <v>2</v>
      </c>
      <c r="C13">
        <v>90</v>
      </c>
      <c r="D13">
        <f t="shared" si="3"/>
        <v>79000</v>
      </c>
      <c r="E13">
        <f t="shared" si="3"/>
        <v>9000</v>
      </c>
      <c r="F13">
        <f t="shared" si="1"/>
        <v>75400</v>
      </c>
      <c r="G13">
        <f t="shared" si="2"/>
        <v>13000</v>
      </c>
    </row>
    <row r="14" spans="1:7" x14ac:dyDescent="0.25">
      <c r="A14" s="1">
        <v>41255</v>
      </c>
      <c r="B14" s="2">
        <f t="shared" si="0"/>
        <v>3</v>
      </c>
      <c r="C14">
        <v>90</v>
      </c>
      <c r="D14">
        <f t="shared" si="3"/>
        <v>75400</v>
      </c>
      <c r="E14">
        <f t="shared" si="3"/>
        <v>13000</v>
      </c>
      <c r="F14">
        <f t="shared" si="1"/>
        <v>71800</v>
      </c>
      <c r="G14">
        <f t="shared" si="2"/>
        <v>13000</v>
      </c>
    </row>
    <row r="15" spans="1:7" x14ac:dyDescent="0.25">
      <c r="A15" s="1">
        <v>41256</v>
      </c>
      <c r="B15" s="2">
        <f t="shared" si="0"/>
        <v>4</v>
      </c>
      <c r="C15">
        <v>90</v>
      </c>
      <c r="D15">
        <f t="shared" si="3"/>
        <v>71800</v>
      </c>
      <c r="E15">
        <f t="shared" si="3"/>
        <v>13000</v>
      </c>
      <c r="F15">
        <f t="shared" si="1"/>
        <v>68200</v>
      </c>
      <c r="G15">
        <f t="shared" si="2"/>
        <v>13000</v>
      </c>
    </row>
    <row r="16" spans="1:7" x14ac:dyDescent="0.25">
      <c r="A16" s="1">
        <v>41257</v>
      </c>
      <c r="B16" s="2">
        <f t="shared" si="0"/>
        <v>5</v>
      </c>
      <c r="C16">
        <v>90</v>
      </c>
      <c r="D16">
        <f t="shared" si="3"/>
        <v>68200</v>
      </c>
      <c r="E16">
        <f t="shared" si="3"/>
        <v>13000</v>
      </c>
      <c r="F16">
        <f t="shared" si="1"/>
        <v>79600</v>
      </c>
      <c r="G16">
        <f t="shared" si="2"/>
        <v>13000</v>
      </c>
    </row>
    <row r="17" spans="1:7" x14ac:dyDescent="0.25">
      <c r="A17" s="1">
        <v>41258</v>
      </c>
      <c r="B17" s="2">
        <f t="shared" si="0"/>
        <v>6</v>
      </c>
      <c r="C17">
        <v>90</v>
      </c>
      <c r="D17">
        <f t="shared" si="3"/>
        <v>79600</v>
      </c>
      <c r="E17">
        <f t="shared" si="3"/>
        <v>13000</v>
      </c>
      <c r="F17">
        <f t="shared" si="1"/>
        <v>76000</v>
      </c>
      <c r="G17">
        <f t="shared" si="2"/>
        <v>13000</v>
      </c>
    </row>
    <row r="18" spans="1:7" x14ac:dyDescent="0.25">
      <c r="A18" s="1">
        <v>41259</v>
      </c>
      <c r="B18" s="2">
        <f t="shared" si="0"/>
        <v>7</v>
      </c>
      <c r="C18">
        <v>90</v>
      </c>
      <c r="D18">
        <f t="shared" si="3"/>
        <v>76000</v>
      </c>
      <c r="E18">
        <f t="shared" si="3"/>
        <v>13000</v>
      </c>
      <c r="F18">
        <f t="shared" si="1"/>
        <v>72400</v>
      </c>
      <c r="G18">
        <f t="shared" si="2"/>
        <v>13000</v>
      </c>
    </row>
    <row r="19" spans="1:7" x14ac:dyDescent="0.25">
      <c r="A19" s="1">
        <v>41260</v>
      </c>
      <c r="B19" s="2">
        <f t="shared" si="0"/>
        <v>1</v>
      </c>
      <c r="C19">
        <v>90</v>
      </c>
      <c r="D19">
        <f t="shared" si="3"/>
        <v>72400</v>
      </c>
      <c r="E19">
        <f t="shared" si="3"/>
        <v>13000</v>
      </c>
      <c r="F19">
        <f t="shared" si="1"/>
        <v>68800</v>
      </c>
      <c r="G19">
        <f t="shared" si="2"/>
        <v>13000</v>
      </c>
    </row>
    <row r="20" spans="1:7" x14ac:dyDescent="0.25">
      <c r="A20" s="1">
        <v>41261</v>
      </c>
      <c r="B20" s="2">
        <f t="shared" si="0"/>
        <v>2</v>
      </c>
      <c r="C20">
        <v>90</v>
      </c>
      <c r="D20">
        <f t="shared" si="3"/>
        <v>68800</v>
      </c>
      <c r="E20">
        <f t="shared" si="3"/>
        <v>13000</v>
      </c>
      <c r="F20">
        <f t="shared" si="1"/>
        <v>65200</v>
      </c>
      <c r="G20">
        <f t="shared" si="2"/>
        <v>17000</v>
      </c>
    </row>
    <row r="21" spans="1:7" x14ac:dyDescent="0.25">
      <c r="A21" s="1">
        <v>41262</v>
      </c>
      <c r="B21" s="2">
        <f t="shared" si="0"/>
        <v>3</v>
      </c>
      <c r="C21">
        <v>90</v>
      </c>
      <c r="D21">
        <f t="shared" si="3"/>
        <v>65200</v>
      </c>
      <c r="E21">
        <f t="shared" si="3"/>
        <v>17000</v>
      </c>
      <c r="F21">
        <f t="shared" si="1"/>
        <v>61600</v>
      </c>
      <c r="G21">
        <f t="shared" si="2"/>
        <v>17000</v>
      </c>
    </row>
    <row r="22" spans="1:7" x14ac:dyDescent="0.25">
      <c r="A22" s="1">
        <v>41263</v>
      </c>
      <c r="B22" s="2">
        <f t="shared" si="0"/>
        <v>4</v>
      </c>
      <c r="C22">
        <v>90</v>
      </c>
      <c r="D22">
        <f t="shared" si="3"/>
        <v>61600</v>
      </c>
      <c r="E22">
        <f t="shared" si="3"/>
        <v>17000</v>
      </c>
      <c r="F22">
        <f t="shared" si="1"/>
        <v>58000</v>
      </c>
      <c r="G22">
        <f t="shared" si="2"/>
        <v>17000</v>
      </c>
    </row>
    <row r="23" spans="1:7" x14ac:dyDescent="0.25">
      <c r="A23" s="1">
        <v>41264</v>
      </c>
      <c r="B23" s="2">
        <f t="shared" si="0"/>
        <v>5</v>
      </c>
      <c r="C23">
        <v>90</v>
      </c>
      <c r="D23">
        <f t="shared" si="3"/>
        <v>58000</v>
      </c>
      <c r="E23">
        <f t="shared" si="3"/>
        <v>17000</v>
      </c>
      <c r="F23">
        <f t="shared" si="1"/>
        <v>69400</v>
      </c>
      <c r="G23">
        <f t="shared" si="2"/>
        <v>17000</v>
      </c>
    </row>
    <row r="24" spans="1:7" x14ac:dyDescent="0.25">
      <c r="A24" s="1">
        <v>41265</v>
      </c>
      <c r="B24" s="2">
        <f t="shared" si="0"/>
        <v>6</v>
      </c>
      <c r="C24">
        <v>90</v>
      </c>
      <c r="D24">
        <f t="shared" si="3"/>
        <v>69400</v>
      </c>
      <c r="E24">
        <f t="shared" si="3"/>
        <v>17000</v>
      </c>
      <c r="F24">
        <f t="shared" si="1"/>
        <v>65800</v>
      </c>
      <c r="G24">
        <f t="shared" si="2"/>
        <v>17000</v>
      </c>
    </row>
    <row r="25" spans="1:7" x14ac:dyDescent="0.25">
      <c r="A25" s="1">
        <v>41266</v>
      </c>
      <c r="B25" s="2">
        <f t="shared" si="0"/>
        <v>7</v>
      </c>
      <c r="C25">
        <v>90</v>
      </c>
      <c r="D25">
        <f t="shared" si="3"/>
        <v>65800</v>
      </c>
      <c r="E25">
        <f t="shared" si="3"/>
        <v>17000</v>
      </c>
      <c r="F25">
        <f t="shared" si="1"/>
        <v>62200</v>
      </c>
      <c r="G25">
        <f t="shared" si="2"/>
        <v>17000</v>
      </c>
    </row>
    <row r="26" spans="1:7" x14ac:dyDescent="0.25">
      <c r="A26" s="1">
        <v>41267</v>
      </c>
      <c r="B26" s="2">
        <f t="shared" si="0"/>
        <v>1</v>
      </c>
      <c r="C26">
        <v>90</v>
      </c>
      <c r="D26">
        <f t="shared" si="3"/>
        <v>62200</v>
      </c>
      <c r="E26">
        <f t="shared" si="3"/>
        <v>17000</v>
      </c>
      <c r="F26">
        <f t="shared" si="1"/>
        <v>58600</v>
      </c>
      <c r="G26">
        <f t="shared" si="2"/>
        <v>17000</v>
      </c>
    </row>
    <row r="27" spans="1:7" x14ac:dyDescent="0.25">
      <c r="A27" s="1">
        <v>41268</v>
      </c>
      <c r="B27" s="2">
        <f t="shared" si="0"/>
        <v>2</v>
      </c>
      <c r="C27">
        <v>90</v>
      </c>
      <c r="D27">
        <f t="shared" si="3"/>
        <v>58600</v>
      </c>
      <c r="E27">
        <f t="shared" si="3"/>
        <v>17000</v>
      </c>
      <c r="F27">
        <f t="shared" si="1"/>
        <v>55000</v>
      </c>
      <c r="G27">
        <f t="shared" si="2"/>
        <v>21000</v>
      </c>
    </row>
    <row r="28" spans="1:7" x14ac:dyDescent="0.25">
      <c r="A28" s="1">
        <v>41269</v>
      </c>
      <c r="B28" s="2">
        <f t="shared" si="0"/>
        <v>3</v>
      </c>
      <c r="C28">
        <v>90</v>
      </c>
      <c r="D28">
        <f t="shared" si="3"/>
        <v>55000</v>
      </c>
      <c r="E28">
        <f t="shared" si="3"/>
        <v>21000</v>
      </c>
      <c r="F28">
        <f t="shared" si="1"/>
        <v>51400</v>
      </c>
      <c r="G28">
        <f t="shared" si="2"/>
        <v>21000</v>
      </c>
    </row>
    <row r="29" spans="1:7" x14ac:dyDescent="0.25">
      <c r="A29" s="1">
        <v>41270</v>
      </c>
      <c r="B29" s="2">
        <f t="shared" si="0"/>
        <v>4</v>
      </c>
      <c r="C29">
        <v>90</v>
      </c>
      <c r="D29">
        <f t="shared" si="3"/>
        <v>51400</v>
      </c>
      <c r="E29">
        <f t="shared" si="3"/>
        <v>21000</v>
      </c>
      <c r="F29">
        <f t="shared" si="1"/>
        <v>47800</v>
      </c>
      <c r="G29">
        <f t="shared" si="2"/>
        <v>21000</v>
      </c>
    </row>
    <row r="30" spans="1:7" x14ac:dyDescent="0.25">
      <c r="A30" s="1">
        <v>41271</v>
      </c>
      <c r="B30" s="2">
        <f t="shared" si="0"/>
        <v>5</v>
      </c>
      <c r="C30">
        <v>90</v>
      </c>
      <c r="D30">
        <f t="shared" si="3"/>
        <v>47800</v>
      </c>
      <c r="E30">
        <f t="shared" si="3"/>
        <v>21000</v>
      </c>
      <c r="F30">
        <f t="shared" si="1"/>
        <v>62800</v>
      </c>
      <c r="G30">
        <f t="shared" si="2"/>
        <v>19200</v>
      </c>
    </row>
    <row r="31" spans="1:7" x14ac:dyDescent="0.25">
      <c r="A31" s="1">
        <v>41272</v>
      </c>
      <c r="B31" s="2">
        <f t="shared" si="0"/>
        <v>6</v>
      </c>
      <c r="C31">
        <v>90</v>
      </c>
      <c r="D31">
        <f t="shared" si="3"/>
        <v>62800</v>
      </c>
      <c r="E31">
        <f t="shared" si="3"/>
        <v>19200</v>
      </c>
      <c r="F31">
        <f t="shared" si="1"/>
        <v>59200</v>
      </c>
      <c r="G31">
        <f t="shared" si="2"/>
        <v>19200</v>
      </c>
    </row>
    <row r="32" spans="1:7" x14ac:dyDescent="0.25">
      <c r="A32" s="1">
        <v>41273</v>
      </c>
      <c r="B32" s="2">
        <f t="shared" si="0"/>
        <v>7</v>
      </c>
      <c r="C32">
        <v>90</v>
      </c>
      <c r="D32">
        <f t="shared" si="3"/>
        <v>59200</v>
      </c>
      <c r="E32">
        <f t="shared" si="3"/>
        <v>19200</v>
      </c>
      <c r="F32">
        <f t="shared" si="1"/>
        <v>55600</v>
      </c>
      <c r="G32">
        <f t="shared" si="2"/>
        <v>19200</v>
      </c>
    </row>
    <row r="33" spans="1:7" x14ac:dyDescent="0.25">
      <c r="A33" s="1">
        <v>41274</v>
      </c>
      <c r="B33" s="2">
        <f t="shared" si="0"/>
        <v>1</v>
      </c>
      <c r="C33">
        <v>90</v>
      </c>
      <c r="D33">
        <f t="shared" si="3"/>
        <v>55600</v>
      </c>
      <c r="E33">
        <f t="shared" si="3"/>
        <v>19200</v>
      </c>
      <c r="F33">
        <f t="shared" si="1"/>
        <v>52000</v>
      </c>
      <c r="G33">
        <f t="shared" si="2"/>
        <v>19200</v>
      </c>
    </row>
    <row r="34" spans="1:7" x14ac:dyDescent="0.25">
      <c r="A34" s="1">
        <v>41275</v>
      </c>
      <c r="B34" s="2">
        <f t="shared" si="0"/>
        <v>2</v>
      </c>
      <c r="C34">
        <v>90</v>
      </c>
      <c r="D34">
        <f t="shared" si="3"/>
        <v>52000</v>
      </c>
      <c r="E34">
        <f t="shared" si="3"/>
        <v>19200</v>
      </c>
      <c r="F34">
        <f t="shared" si="1"/>
        <v>48400</v>
      </c>
      <c r="G34">
        <f t="shared" si="2"/>
        <v>23200</v>
      </c>
    </row>
    <row r="35" spans="1:7" x14ac:dyDescent="0.25">
      <c r="A35" s="1">
        <v>41276</v>
      </c>
      <c r="B35" s="2">
        <f t="shared" si="0"/>
        <v>3</v>
      </c>
      <c r="C35">
        <v>90</v>
      </c>
      <c r="D35">
        <f t="shared" si="3"/>
        <v>48400</v>
      </c>
      <c r="E35">
        <f t="shared" si="3"/>
        <v>23200</v>
      </c>
      <c r="F35">
        <f t="shared" si="1"/>
        <v>48400</v>
      </c>
      <c r="G35">
        <f t="shared" si="2"/>
        <v>21400</v>
      </c>
    </row>
    <row r="36" spans="1:7" x14ac:dyDescent="0.25">
      <c r="A36" s="1">
        <v>41277</v>
      </c>
      <c r="B36" s="2">
        <f t="shared" si="0"/>
        <v>4</v>
      </c>
      <c r="C36">
        <v>90</v>
      </c>
      <c r="D36">
        <f t="shared" si="3"/>
        <v>48400</v>
      </c>
      <c r="E36">
        <f t="shared" si="3"/>
        <v>21400</v>
      </c>
      <c r="F36">
        <f t="shared" si="1"/>
        <v>48400</v>
      </c>
      <c r="G36">
        <f t="shared" si="2"/>
        <v>19600</v>
      </c>
    </row>
    <row r="37" spans="1:7" x14ac:dyDescent="0.25">
      <c r="A37" s="1">
        <v>41278</v>
      </c>
      <c r="B37" s="2">
        <f t="shared" si="0"/>
        <v>5</v>
      </c>
      <c r="C37">
        <v>90</v>
      </c>
      <c r="D37">
        <f t="shared" si="3"/>
        <v>48400</v>
      </c>
      <c r="E37">
        <f t="shared" si="3"/>
        <v>19600</v>
      </c>
      <c r="F37">
        <f t="shared" si="1"/>
        <v>63400</v>
      </c>
      <c r="G37">
        <f t="shared" si="2"/>
        <v>17800</v>
      </c>
    </row>
    <row r="38" spans="1:7" x14ac:dyDescent="0.25">
      <c r="A38" s="1">
        <v>41279</v>
      </c>
      <c r="B38" s="2">
        <f t="shared" si="0"/>
        <v>6</v>
      </c>
      <c r="C38">
        <v>90</v>
      </c>
      <c r="D38">
        <f t="shared" si="3"/>
        <v>63400</v>
      </c>
      <c r="E38">
        <f t="shared" si="3"/>
        <v>17800</v>
      </c>
      <c r="F38">
        <f t="shared" si="1"/>
        <v>59800</v>
      </c>
      <c r="G38">
        <f t="shared" si="2"/>
        <v>17800</v>
      </c>
    </row>
    <row r="39" spans="1:7" x14ac:dyDescent="0.25">
      <c r="A39" s="1">
        <v>41280</v>
      </c>
      <c r="B39" s="2">
        <f t="shared" si="0"/>
        <v>7</v>
      </c>
      <c r="C39">
        <v>90</v>
      </c>
      <c r="D39">
        <f t="shared" si="3"/>
        <v>59800</v>
      </c>
      <c r="E39">
        <f t="shared" si="3"/>
        <v>17800</v>
      </c>
      <c r="F39">
        <f t="shared" si="1"/>
        <v>56200</v>
      </c>
      <c r="G39">
        <f t="shared" si="2"/>
        <v>17800</v>
      </c>
    </row>
    <row r="40" spans="1:7" x14ac:dyDescent="0.25">
      <c r="A40" s="1">
        <v>41281</v>
      </c>
      <c r="B40" s="2">
        <f t="shared" si="0"/>
        <v>1</v>
      </c>
      <c r="C40">
        <v>90</v>
      </c>
      <c r="D40">
        <f t="shared" si="3"/>
        <v>56200</v>
      </c>
      <c r="E40">
        <f t="shared" si="3"/>
        <v>17800</v>
      </c>
      <c r="F40">
        <f t="shared" si="1"/>
        <v>52600</v>
      </c>
      <c r="G40">
        <f t="shared" si="2"/>
        <v>17800</v>
      </c>
    </row>
    <row r="41" spans="1:7" x14ac:dyDescent="0.25">
      <c r="A41" s="1">
        <v>41282</v>
      </c>
      <c r="B41" s="2">
        <f t="shared" si="0"/>
        <v>2</v>
      </c>
      <c r="C41">
        <v>90</v>
      </c>
      <c r="D41">
        <f t="shared" si="3"/>
        <v>52600</v>
      </c>
      <c r="E41">
        <f t="shared" si="3"/>
        <v>17800</v>
      </c>
      <c r="F41">
        <f t="shared" si="1"/>
        <v>49000</v>
      </c>
      <c r="G41">
        <f t="shared" si="2"/>
        <v>21800</v>
      </c>
    </row>
    <row r="42" spans="1:7" x14ac:dyDescent="0.25">
      <c r="A42" s="1">
        <v>41283</v>
      </c>
      <c r="B42" s="2">
        <f t="shared" si="0"/>
        <v>3</v>
      </c>
      <c r="C42">
        <v>90</v>
      </c>
      <c r="D42">
        <f t="shared" si="3"/>
        <v>49000</v>
      </c>
      <c r="E42">
        <f t="shared" si="3"/>
        <v>21800</v>
      </c>
      <c r="F42">
        <f t="shared" si="1"/>
        <v>49000</v>
      </c>
      <c r="G42">
        <f t="shared" si="2"/>
        <v>20000</v>
      </c>
    </row>
    <row r="43" spans="1:7" x14ac:dyDescent="0.25">
      <c r="A43" s="1">
        <v>41284</v>
      </c>
      <c r="B43" s="2">
        <f t="shared" si="0"/>
        <v>4</v>
      </c>
      <c r="C43">
        <v>90</v>
      </c>
      <c r="D43">
        <f t="shared" si="3"/>
        <v>49000</v>
      </c>
      <c r="E43">
        <f t="shared" si="3"/>
        <v>20000</v>
      </c>
      <c r="F43">
        <f t="shared" si="1"/>
        <v>49000</v>
      </c>
      <c r="G43">
        <f t="shared" si="2"/>
        <v>18200</v>
      </c>
    </row>
    <row r="44" spans="1:7" x14ac:dyDescent="0.25">
      <c r="A44" s="1">
        <v>41285</v>
      </c>
      <c r="B44" s="2">
        <f t="shared" si="0"/>
        <v>5</v>
      </c>
      <c r="C44">
        <v>90</v>
      </c>
      <c r="D44">
        <f t="shared" si="3"/>
        <v>49000</v>
      </c>
      <c r="E44">
        <f t="shared" si="3"/>
        <v>18200</v>
      </c>
      <c r="F44">
        <f t="shared" si="1"/>
        <v>64000</v>
      </c>
      <c r="G44">
        <f t="shared" si="2"/>
        <v>16400</v>
      </c>
    </row>
    <row r="45" spans="1:7" x14ac:dyDescent="0.25">
      <c r="A45" s="1">
        <v>41286</v>
      </c>
      <c r="B45" s="2">
        <f t="shared" si="0"/>
        <v>6</v>
      </c>
      <c r="C45">
        <v>90</v>
      </c>
      <c r="D45">
        <f t="shared" si="3"/>
        <v>64000</v>
      </c>
      <c r="E45">
        <f t="shared" si="3"/>
        <v>16400</v>
      </c>
      <c r="F45">
        <f t="shared" si="1"/>
        <v>60400</v>
      </c>
      <c r="G45">
        <f t="shared" si="2"/>
        <v>16400</v>
      </c>
    </row>
    <row r="46" spans="1:7" x14ac:dyDescent="0.25">
      <c r="A46" s="1">
        <v>41287</v>
      </c>
      <c r="B46" s="2">
        <f t="shared" si="0"/>
        <v>7</v>
      </c>
      <c r="C46">
        <v>90</v>
      </c>
      <c r="D46">
        <f t="shared" si="3"/>
        <v>60400</v>
      </c>
      <c r="E46">
        <f t="shared" si="3"/>
        <v>16400</v>
      </c>
      <c r="F46">
        <f t="shared" si="1"/>
        <v>56800</v>
      </c>
      <c r="G46">
        <f t="shared" si="2"/>
        <v>16400</v>
      </c>
    </row>
    <row r="47" spans="1:7" x14ac:dyDescent="0.25">
      <c r="A47" s="1">
        <v>41288</v>
      </c>
      <c r="B47" s="2">
        <f t="shared" si="0"/>
        <v>1</v>
      </c>
      <c r="C47">
        <v>90</v>
      </c>
      <c r="D47">
        <f t="shared" si="3"/>
        <v>56800</v>
      </c>
      <c r="E47">
        <f t="shared" si="3"/>
        <v>16400</v>
      </c>
      <c r="F47">
        <f t="shared" si="1"/>
        <v>53200</v>
      </c>
      <c r="G47">
        <f t="shared" si="2"/>
        <v>16400</v>
      </c>
    </row>
    <row r="48" spans="1:7" x14ac:dyDescent="0.25">
      <c r="A48" s="1">
        <v>41289</v>
      </c>
      <c r="B48" s="2">
        <f t="shared" si="0"/>
        <v>2</v>
      </c>
      <c r="C48">
        <v>90</v>
      </c>
      <c r="D48">
        <f t="shared" si="3"/>
        <v>53200</v>
      </c>
      <c r="E48">
        <f t="shared" si="3"/>
        <v>16400</v>
      </c>
      <c r="F48">
        <f t="shared" si="1"/>
        <v>49600</v>
      </c>
      <c r="G48">
        <f t="shared" si="2"/>
        <v>20400</v>
      </c>
    </row>
    <row r="49" spans="1:7" x14ac:dyDescent="0.25">
      <c r="A49" s="1">
        <v>41290</v>
      </c>
      <c r="B49" s="2">
        <f t="shared" si="0"/>
        <v>3</v>
      </c>
      <c r="C49">
        <v>90</v>
      </c>
      <c r="D49">
        <f t="shared" si="3"/>
        <v>49600</v>
      </c>
      <c r="E49">
        <f t="shared" si="3"/>
        <v>20400</v>
      </c>
      <c r="F49">
        <f t="shared" si="1"/>
        <v>49600</v>
      </c>
      <c r="G49">
        <f t="shared" si="2"/>
        <v>18600</v>
      </c>
    </row>
    <row r="50" spans="1:7" x14ac:dyDescent="0.25">
      <c r="A50" s="1">
        <v>41291</v>
      </c>
      <c r="B50" s="2">
        <f t="shared" si="0"/>
        <v>4</v>
      </c>
      <c r="C50">
        <v>90</v>
      </c>
      <c r="D50">
        <f t="shared" si="3"/>
        <v>49600</v>
      </c>
      <c r="E50">
        <f t="shared" si="3"/>
        <v>18600</v>
      </c>
      <c r="F50">
        <f t="shared" si="1"/>
        <v>49600</v>
      </c>
      <c r="G50">
        <f t="shared" si="2"/>
        <v>16800</v>
      </c>
    </row>
    <row r="51" spans="1:7" x14ac:dyDescent="0.25">
      <c r="A51" s="1">
        <v>41292</v>
      </c>
      <c r="B51" s="2">
        <f t="shared" si="0"/>
        <v>5</v>
      </c>
      <c r="C51">
        <v>90</v>
      </c>
      <c r="D51">
        <f t="shared" si="3"/>
        <v>49600</v>
      </c>
      <c r="E51">
        <f t="shared" si="3"/>
        <v>16800</v>
      </c>
      <c r="F51">
        <f t="shared" si="1"/>
        <v>64600</v>
      </c>
      <c r="G51">
        <f t="shared" si="2"/>
        <v>15000</v>
      </c>
    </row>
    <row r="52" spans="1:7" x14ac:dyDescent="0.25">
      <c r="A52" s="1">
        <v>41293</v>
      </c>
      <c r="B52" s="2">
        <f t="shared" si="0"/>
        <v>6</v>
      </c>
      <c r="C52">
        <v>90</v>
      </c>
      <c r="D52">
        <f t="shared" si="3"/>
        <v>64600</v>
      </c>
      <c r="E52">
        <f t="shared" si="3"/>
        <v>15000</v>
      </c>
      <c r="F52">
        <f t="shared" si="1"/>
        <v>61000</v>
      </c>
      <c r="G52">
        <f t="shared" si="2"/>
        <v>15000</v>
      </c>
    </row>
    <row r="53" spans="1:7" x14ac:dyDescent="0.25">
      <c r="A53" s="1">
        <v>41294</v>
      </c>
      <c r="B53" s="2">
        <f t="shared" si="0"/>
        <v>7</v>
      </c>
      <c r="C53">
        <v>90</v>
      </c>
      <c r="D53">
        <f t="shared" si="3"/>
        <v>61000</v>
      </c>
      <c r="E53">
        <f t="shared" si="3"/>
        <v>15000</v>
      </c>
      <c r="F53">
        <f t="shared" si="1"/>
        <v>57400</v>
      </c>
      <c r="G53">
        <f t="shared" si="2"/>
        <v>15000</v>
      </c>
    </row>
    <row r="54" spans="1:7" x14ac:dyDescent="0.25">
      <c r="A54" s="1">
        <v>41295</v>
      </c>
      <c r="B54" s="2">
        <f t="shared" si="0"/>
        <v>1</v>
      </c>
      <c r="C54">
        <v>90</v>
      </c>
      <c r="D54">
        <f t="shared" si="3"/>
        <v>57400</v>
      </c>
      <c r="E54">
        <f t="shared" si="3"/>
        <v>15000</v>
      </c>
      <c r="F54">
        <f t="shared" si="1"/>
        <v>53800</v>
      </c>
      <c r="G54">
        <f t="shared" si="2"/>
        <v>15000</v>
      </c>
    </row>
    <row r="55" spans="1:7" x14ac:dyDescent="0.25">
      <c r="A55" s="1">
        <v>41296</v>
      </c>
      <c r="B55" s="2">
        <f t="shared" si="0"/>
        <v>2</v>
      </c>
      <c r="C55">
        <v>90</v>
      </c>
      <c r="D55">
        <f t="shared" si="3"/>
        <v>53800</v>
      </c>
      <c r="E55">
        <f t="shared" si="3"/>
        <v>15000</v>
      </c>
      <c r="F55">
        <f t="shared" si="1"/>
        <v>50200</v>
      </c>
      <c r="G55">
        <f t="shared" si="2"/>
        <v>19000</v>
      </c>
    </row>
    <row r="56" spans="1:7" x14ac:dyDescent="0.25">
      <c r="A56" s="1">
        <v>41297</v>
      </c>
      <c r="B56" s="2">
        <f t="shared" si="0"/>
        <v>3</v>
      </c>
      <c r="C56">
        <v>90</v>
      </c>
      <c r="D56">
        <f t="shared" si="3"/>
        <v>50200</v>
      </c>
      <c r="E56">
        <f t="shared" si="3"/>
        <v>19000</v>
      </c>
      <c r="F56">
        <f t="shared" si="1"/>
        <v>46600</v>
      </c>
      <c r="G56">
        <f t="shared" si="2"/>
        <v>19000</v>
      </c>
    </row>
    <row r="57" spans="1:7" x14ac:dyDescent="0.25">
      <c r="A57" s="1">
        <v>41298</v>
      </c>
      <c r="B57" s="2">
        <f t="shared" si="0"/>
        <v>4</v>
      </c>
      <c r="C57">
        <v>90</v>
      </c>
      <c r="D57">
        <f t="shared" si="3"/>
        <v>46600</v>
      </c>
      <c r="E57">
        <f t="shared" si="3"/>
        <v>19000</v>
      </c>
      <c r="F57">
        <f t="shared" si="1"/>
        <v>46600</v>
      </c>
      <c r="G57">
        <f t="shared" si="2"/>
        <v>17200</v>
      </c>
    </row>
    <row r="58" spans="1:7" x14ac:dyDescent="0.25">
      <c r="A58" s="1">
        <v>41299</v>
      </c>
      <c r="B58" s="2">
        <f t="shared" si="0"/>
        <v>5</v>
      </c>
      <c r="C58">
        <v>90</v>
      </c>
      <c r="D58">
        <f t="shared" si="3"/>
        <v>46600</v>
      </c>
      <c r="E58">
        <f t="shared" si="3"/>
        <v>17200</v>
      </c>
      <c r="F58">
        <f t="shared" si="1"/>
        <v>61600</v>
      </c>
      <c r="G58">
        <f t="shared" si="2"/>
        <v>15400</v>
      </c>
    </row>
    <row r="59" spans="1:7" x14ac:dyDescent="0.25">
      <c r="A59" s="1">
        <v>41300</v>
      </c>
      <c r="B59" s="2">
        <f t="shared" si="0"/>
        <v>6</v>
      </c>
      <c r="C59">
        <v>90</v>
      </c>
      <c r="D59">
        <f t="shared" si="3"/>
        <v>61600</v>
      </c>
      <c r="E59">
        <f t="shared" si="3"/>
        <v>15400</v>
      </c>
      <c r="F59">
        <f t="shared" si="1"/>
        <v>58000</v>
      </c>
      <c r="G59">
        <f t="shared" si="2"/>
        <v>15400</v>
      </c>
    </row>
    <row r="60" spans="1:7" x14ac:dyDescent="0.25">
      <c r="A60" s="1">
        <v>41301</v>
      </c>
      <c r="B60" s="2">
        <f t="shared" si="0"/>
        <v>7</v>
      </c>
      <c r="C60">
        <v>90</v>
      </c>
      <c r="D60">
        <f t="shared" si="3"/>
        <v>58000</v>
      </c>
      <c r="E60">
        <f t="shared" si="3"/>
        <v>15400</v>
      </c>
      <c r="F60">
        <f t="shared" si="1"/>
        <v>54400</v>
      </c>
      <c r="G60">
        <f t="shared" si="2"/>
        <v>15400</v>
      </c>
    </row>
    <row r="61" spans="1:7" x14ac:dyDescent="0.25">
      <c r="A61" s="1">
        <v>41302</v>
      </c>
      <c r="B61" s="2">
        <f t="shared" si="0"/>
        <v>1</v>
      </c>
      <c r="C61">
        <v>90</v>
      </c>
      <c r="D61">
        <f t="shared" si="3"/>
        <v>54400</v>
      </c>
      <c r="E61">
        <f t="shared" si="3"/>
        <v>15400</v>
      </c>
      <c r="F61">
        <f t="shared" si="1"/>
        <v>50800</v>
      </c>
      <c r="G61">
        <f t="shared" si="2"/>
        <v>15400</v>
      </c>
    </row>
    <row r="62" spans="1:7" x14ac:dyDescent="0.25">
      <c r="A62" s="1">
        <v>41303</v>
      </c>
      <c r="B62" s="2">
        <f t="shared" si="0"/>
        <v>2</v>
      </c>
      <c r="C62">
        <v>90</v>
      </c>
      <c r="D62">
        <f t="shared" si="3"/>
        <v>50800</v>
      </c>
      <c r="E62">
        <f t="shared" si="3"/>
        <v>15400</v>
      </c>
      <c r="F62">
        <f t="shared" si="1"/>
        <v>47200</v>
      </c>
      <c r="G62">
        <f t="shared" si="2"/>
        <v>19400</v>
      </c>
    </row>
    <row r="63" spans="1:7" x14ac:dyDescent="0.25">
      <c r="A63" s="1">
        <v>41304</v>
      </c>
      <c r="B63" s="2">
        <f t="shared" si="0"/>
        <v>3</v>
      </c>
      <c r="C63">
        <v>90</v>
      </c>
      <c r="D63">
        <f t="shared" si="3"/>
        <v>47200</v>
      </c>
      <c r="E63">
        <f t="shared" si="3"/>
        <v>19400</v>
      </c>
      <c r="F63">
        <f t="shared" si="1"/>
        <v>47200</v>
      </c>
      <c r="G63">
        <f t="shared" si="2"/>
        <v>17600</v>
      </c>
    </row>
    <row r="64" spans="1:7" x14ac:dyDescent="0.25">
      <c r="A64" s="1">
        <v>41305</v>
      </c>
      <c r="B64" s="2">
        <f t="shared" si="0"/>
        <v>4</v>
      </c>
      <c r="C64">
        <v>90</v>
      </c>
      <c r="D64">
        <f t="shared" si="3"/>
        <v>47200</v>
      </c>
      <c r="E64">
        <f t="shared" si="3"/>
        <v>17600</v>
      </c>
      <c r="F64">
        <f t="shared" si="1"/>
        <v>47200</v>
      </c>
      <c r="G64">
        <f t="shared" si="2"/>
        <v>15800</v>
      </c>
    </row>
    <row r="65" spans="1:7" x14ac:dyDescent="0.25">
      <c r="A65" s="1">
        <v>41306</v>
      </c>
      <c r="B65" s="2">
        <f t="shared" si="0"/>
        <v>5</v>
      </c>
      <c r="C65">
        <v>90</v>
      </c>
      <c r="D65">
        <f t="shared" si="3"/>
        <v>47200</v>
      </c>
      <c r="E65">
        <f t="shared" si="3"/>
        <v>15800</v>
      </c>
      <c r="F65">
        <f t="shared" si="1"/>
        <v>62200</v>
      </c>
      <c r="G65">
        <f t="shared" si="2"/>
        <v>14000</v>
      </c>
    </row>
    <row r="66" spans="1:7" x14ac:dyDescent="0.25">
      <c r="A66" s="1">
        <v>41307</v>
      </c>
      <c r="B66" s="2">
        <f t="shared" si="0"/>
        <v>6</v>
      </c>
      <c r="C66">
        <v>90</v>
      </c>
      <c r="D66">
        <f t="shared" si="3"/>
        <v>62200</v>
      </c>
      <c r="E66">
        <f t="shared" si="3"/>
        <v>14000</v>
      </c>
      <c r="F66">
        <f t="shared" si="1"/>
        <v>58600</v>
      </c>
      <c r="G66">
        <f t="shared" si="2"/>
        <v>14000</v>
      </c>
    </row>
    <row r="67" spans="1:7" x14ac:dyDescent="0.25">
      <c r="A67" s="1">
        <v>41308</v>
      </c>
      <c r="B67" s="2">
        <f t="shared" si="0"/>
        <v>7</v>
      </c>
      <c r="C67">
        <v>90</v>
      </c>
      <c r="D67">
        <f t="shared" si="3"/>
        <v>58600</v>
      </c>
      <c r="E67">
        <f t="shared" si="3"/>
        <v>14000</v>
      </c>
      <c r="F67">
        <f t="shared" si="1"/>
        <v>55000</v>
      </c>
      <c r="G67">
        <f t="shared" si="2"/>
        <v>14000</v>
      </c>
    </row>
    <row r="68" spans="1:7" x14ac:dyDescent="0.25">
      <c r="A68" s="1">
        <v>41309</v>
      </c>
      <c r="B68" s="2">
        <f t="shared" ref="B68:B92" si="4">WEEKDAY(A68,2)</f>
        <v>1</v>
      </c>
      <c r="C68">
        <v>90</v>
      </c>
      <c r="D68">
        <f t="shared" si="3"/>
        <v>55000</v>
      </c>
      <c r="E68">
        <f t="shared" si="3"/>
        <v>14000</v>
      </c>
      <c r="F68">
        <f t="shared" ref="F68:F92" si="5">IF(D68&gt;=50000,D68-(C68*40),D68)+IF(B68=5,15000,0)</f>
        <v>51400</v>
      </c>
      <c r="G68">
        <f t="shared" ref="G68:G92" si="6">IF(D68&lt;50000,E68-(C68*20),E68)+IF(B68=2,4000,0)</f>
        <v>14000</v>
      </c>
    </row>
    <row r="69" spans="1:7" x14ac:dyDescent="0.25">
      <c r="A69" s="1">
        <v>41310</v>
      </c>
      <c r="B69" s="2">
        <f t="shared" si="4"/>
        <v>2</v>
      </c>
      <c r="C69">
        <v>90</v>
      </c>
      <c r="D69">
        <f t="shared" ref="D69:E84" si="7">F68</f>
        <v>51400</v>
      </c>
      <c r="E69">
        <f t="shared" si="7"/>
        <v>14000</v>
      </c>
      <c r="F69">
        <f t="shared" si="5"/>
        <v>47800</v>
      </c>
      <c r="G69">
        <f t="shared" si="6"/>
        <v>18000</v>
      </c>
    </row>
    <row r="70" spans="1:7" x14ac:dyDescent="0.25">
      <c r="A70" s="1">
        <v>41311</v>
      </c>
      <c r="B70" s="2">
        <f t="shared" si="4"/>
        <v>3</v>
      </c>
      <c r="C70">
        <v>90</v>
      </c>
      <c r="D70">
        <f t="shared" si="7"/>
        <v>47800</v>
      </c>
      <c r="E70">
        <f t="shared" si="7"/>
        <v>18000</v>
      </c>
      <c r="F70">
        <f t="shared" si="5"/>
        <v>47800</v>
      </c>
      <c r="G70">
        <f t="shared" si="6"/>
        <v>16200</v>
      </c>
    </row>
    <row r="71" spans="1:7" x14ac:dyDescent="0.25">
      <c r="A71" s="1">
        <v>41312</v>
      </c>
      <c r="B71" s="2">
        <f t="shared" si="4"/>
        <v>4</v>
      </c>
      <c r="C71">
        <v>90</v>
      </c>
      <c r="D71">
        <f t="shared" si="7"/>
        <v>47800</v>
      </c>
      <c r="E71">
        <f t="shared" si="7"/>
        <v>16200</v>
      </c>
      <c r="F71">
        <f t="shared" si="5"/>
        <v>47800</v>
      </c>
      <c r="G71">
        <f t="shared" si="6"/>
        <v>14400</v>
      </c>
    </row>
    <row r="72" spans="1:7" x14ac:dyDescent="0.25">
      <c r="A72" s="1">
        <v>41313</v>
      </c>
      <c r="B72" s="2">
        <f t="shared" si="4"/>
        <v>5</v>
      </c>
      <c r="C72">
        <v>90</v>
      </c>
      <c r="D72">
        <f t="shared" si="7"/>
        <v>47800</v>
      </c>
      <c r="E72">
        <f t="shared" si="7"/>
        <v>14400</v>
      </c>
      <c r="F72">
        <f t="shared" si="5"/>
        <v>62800</v>
      </c>
      <c r="G72">
        <f t="shared" si="6"/>
        <v>12600</v>
      </c>
    </row>
    <row r="73" spans="1:7" x14ac:dyDescent="0.25">
      <c r="A73" s="1">
        <v>41314</v>
      </c>
      <c r="B73" s="2">
        <f t="shared" si="4"/>
        <v>6</v>
      </c>
      <c r="C73">
        <v>90</v>
      </c>
      <c r="D73">
        <f t="shared" si="7"/>
        <v>62800</v>
      </c>
      <c r="E73">
        <f t="shared" si="7"/>
        <v>12600</v>
      </c>
      <c r="F73">
        <f t="shared" si="5"/>
        <v>59200</v>
      </c>
      <c r="G73">
        <f t="shared" si="6"/>
        <v>12600</v>
      </c>
    </row>
    <row r="74" spans="1:7" x14ac:dyDescent="0.25">
      <c r="A74" s="1">
        <v>41315</v>
      </c>
      <c r="B74" s="2">
        <f t="shared" si="4"/>
        <v>7</v>
      </c>
      <c r="C74">
        <v>90</v>
      </c>
      <c r="D74">
        <f t="shared" si="7"/>
        <v>59200</v>
      </c>
      <c r="E74">
        <f t="shared" si="7"/>
        <v>12600</v>
      </c>
      <c r="F74">
        <f t="shared" si="5"/>
        <v>55600</v>
      </c>
      <c r="G74">
        <f t="shared" si="6"/>
        <v>12600</v>
      </c>
    </row>
    <row r="75" spans="1:7" x14ac:dyDescent="0.25">
      <c r="A75" s="1">
        <v>41316</v>
      </c>
      <c r="B75" s="2">
        <f t="shared" si="4"/>
        <v>1</v>
      </c>
      <c r="C75">
        <v>90</v>
      </c>
      <c r="D75">
        <f t="shared" si="7"/>
        <v>55600</v>
      </c>
      <c r="E75">
        <f t="shared" si="7"/>
        <v>12600</v>
      </c>
      <c r="F75">
        <f t="shared" si="5"/>
        <v>52000</v>
      </c>
      <c r="G75">
        <f t="shared" si="6"/>
        <v>12600</v>
      </c>
    </row>
    <row r="76" spans="1:7" x14ac:dyDescent="0.25">
      <c r="A76" s="1">
        <v>41317</v>
      </c>
      <c r="B76" s="2">
        <f t="shared" si="4"/>
        <v>2</v>
      </c>
      <c r="C76">
        <v>90</v>
      </c>
      <c r="D76">
        <f t="shared" si="7"/>
        <v>52000</v>
      </c>
      <c r="E76">
        <f t="shared" si="7"/>
        <v>12600</v>
      </c>
      <c r="F76">
        <f t="shared" si="5"/>
        <v>48400</v>
      </c>
      <c r="G76">
        <f t="shared" si="6"/>
        <v>16600</v>
      </c>
    </row>
    <row r="77" spans="1:7" x14ac:dyDescent="0.25">
      <c r="A77" s="1">
        <v>41318</v>
      </c>
      <c r="B77" s="2">
        <f t="shared" si="4"/>
        <v>3</v>
      </c>
      <c r="C77">
        <v>90</v>
      </c>
      <c r="D77">
        <f t="shared" si="7"/>
        <v>48400</v>
      </c>
      <c r="E77">
        <f t="shared" si="7"/>
        <v>16600</v>
      </c>
      <c r="F77">
        <f t="shared" si="5"/>
        <v>48400</v>
      </c>
      <c r="G77">
        <f t="shared" si="6"/>
        <v>14800</v>
      </c>
    </row>
    <row r="78" spans="1:7" x14ac:dyDescent="0.25">
      <c r="A78" s="1">
        <v>41319</v>
      </c>
      <c r="B78" s="2">
        <f t="shared" si="4"/>
        <v>4</v>
      </c>
      <c r="C78">
        <v>90</v>
      </c>
      <c r="D78">
        <f t="shared" si="7"/>
        <v>48400</v>
      </c>
      <c r="E78">
        <f t="shared" si="7"/>
        <v>14800</v>
      </c>
      <c r="F78">
        <f t="shared" si="5"/>
        <v>48400</v>
      </c>
      <c r="G78">
        <f t="shared" si="6"/>
        <v>13000</v>
      </c>
    </row>
    <row r="79" spans="1:7" x14ac:dyDescent="0.25">
      <c r="A79" s="1">
        <v>41320</v>
      </c>
      <c r="B79" s="2">
        <f t="shared" si="4"/>
        <v>5</v>
      </c>
      <c r="C79">
        <v>90</v>
      </c>
      <c r="D79">
        <f t="shared" si="7"/>
        <v>48400</v>
      </c>
      <c r="E79">
        <f t="shared" si="7"/>
        <v>13000</v>
      </c>
      <c r="F79">
        <f t="shared" si="5"/>
        <v>63400</v>
      </c>
      <c r="G79">
        <f t="shared" si="6"/>
        <v>11200</v>
      </c>
    </row>
    <row r="80" spans="1:7" x14ac:dyDescent="0.25">
      <c r="A80" s="1">
        <v>41321</v>
      </c>
      <c r="B80" s="2">
        <f t="shared" si="4"/>
        <v>6</v>
      </c>
      <c r="C80">
        <v>90</v>
      </c>
      <c r="D80">
        <f t="shared" si="7"/>
        <v>63400</v>
      </c>
      <c r="E80">
        <f t="shared" si="7"/>
        <v>11200</v>
      </c>
      <c r="F80">
        <f t="shared" si="5"/>
        <v>59800</v>
      </c>
      <c r="G80">
        <f t="shared" si="6"/>
        <v>11200</v>
      </c>
    </row>
    <row r="81" spans="1:7" x14ac:dyDescent="0.25">
      <c r="A81" s="1">
        <v>41322</v>
      </c>
      <c r="B81" s="2">
        <f t="shared" si="4"/>
        <v>7</v>
      </c>
      <c r="C81">
        <v>90</v>
      </c>
      <c r="D81">
        <f t="shared" si="7"/>
        <v>59800</v>
      </c>
      <c r="E81">
        <f t="shared" si="7"/>
        <v>11200</v>
      </c>
      <c r="F81">
        <f t="shared" si="5"/>
        <v>56200</v>
      </c>
      <c r="G81">
        <f t="shared" si="6"/>
        <v>11200</v>
      </c>
    </row>
    <row r="82" spans="1:7" x14ac:dyDescent="0.25">
      <c r="A82" s="1">
        <v>41323</v>
      </c>
      <c r="B82" s="2">
        <f t="shared" si="4"/>
        <v>1</v>
      </c>
      <c r="C82">
        <v>90</v>
      </c>
      <c r="D82">
        <f t="shared" si="7"/>
        <v>56200</v>
      </c>
      <c r="E82">
        <f t="shared" si="7"/>
        <v>11200</v>
      </c>
      <c r="F82">
        <f t="shared" si="5"/>
        <v>52600</v>
      </c>
      <c r="G82">
        <f t="shared" si="6"/>
        <v>11200</v>
      </c>
    </row>
    <row r="83" spans="1:7" x14ac:dyDescent="0.25">
      <c r="A83" s="1">
        <v>41324</v>
      </c>
      <c r="B83" s="2">
        <f t="shared" si="4"/>
        <v>2</v>
      </c>
      <c r="C83">
        <v>90</v>
      </c>
      <c r="D83">
        <f t="shared" si="7"/>
        <v>52600</v>
      </c>
      <c r="E83">
        <f t="shared" si="7"/>
        <v>11200</v>
      </c>
      <c r="F83">
        <f t="shared" si="5"/>
        <v>49000</v>
      </c>
      <c r="G83">
        <f t="shared" si="6"/>
        <v>15200</v>
      </c>
    </row>
    <row r="84" spans="1:7" x14ac:dyDescent="0.25">
      <c r="A84" s="1">
        <v>41325</v>
      </c>
      <c r="B84" s="2">
        <f t="shared" si="4"/>
        <v>3</v>
      </c>
      <c r="C84">
        <v>90</v>
      </c>
      <c r="D84">
        <f t="shared" si="7"/>
        <v>49000</v>
      </c>
      <c r="E84">
        <f t="shared" si="7"/>
        <v>15200</v>
      </c>
      <c r="F84">
        <f t="shared" si="5"/>
        <v>49000</v>
      </c>
      <c r="G84">
        <f t="shared" si="6"/>
        <v>13400</v>
      </c>
    </row>
    <row r="85" spans="1:7" x14ac:dyDescent="0.25">
      <c r="A85" s="1">
        <v>41326</v>
      </c>
      <c r="B85" s="2">
        <f t="shared" si="4"/>
        <v>4</v>
      </c>
      <c r="C85">
        <v>90</v>
      </c>
      <c r="D85">
        <f t="shared" ref="D85:E92" si="8">F84</f>
        <v>49000</v>
      </c>
      <c r="E85">
        <f t="shared" si="8"/>
        <v>13400</v>
      </c>
      <c r="F85">
        <f t="shared" si="5"/>
        <v>49000</v>
      </c>
      <c r="G85">
        <f t="shared" si="6"/>
        <v>11600</v>
      </c>
    </row>
    <row r="86" spans="1:7" x14ac:dyDescent="0.25">
      <c r="A86" s="1">
        <v>41327</v>
      </c>
      <c r="B86" s="2">
        <f t="shared" si="4"/>
        <v>5</v>
      </c>
      <c r="C86">
        <v>90</v>
      </c>
      <c r="D86">
        <f t="shared" si="8"/>
        <v>49000</v>
      </c>
      <c r="E86">
        <f t="shared" si="8"/>
        <v>11600</v>
      </c>
      <c r="F86">
        <f t="shared" si="5"/>
        <v>64000</v>
      </c>
      <c r="G86">
        <f t="shared" si="6"/>
        <v>9800</v>
      </c>
    </row>
    <row r="87" spans="1:7" x14ac:dyDescent="0.25">
      <c r="A87" s="1">
        <v>41328</v>
      </c>
      <c r="B87" s="2">
        <f t="shared" si="4"/>
        <v>6</v>
      </c>
      <c r="C87">
        <v>90</v>
      </c>
      <c r="D87">
        <f t="shared" si="8"/>
        <v>64000</v>
      </c>
      <c r="E87">
        <f t="shared" si="8"/>
        <v>9800</v>
      </c>
      <c r="F87">
        <f t="shared" si="5"/>
        <v>60400</v>
      </c>
      <c r="G87">
        <f t="shared" si="6"/>
        <v>9800</v>
      </c>
    </row>
    <row r="88" spans="1:7" x14ac:dyDescent="0.25">
      <c r="A88" s="1">
        <v>41329</v>
      </c>
      <c r="B88" s="2">
        <f t="shared" si="4"/>
        <v>7</v>
      </c>
      <c r="C88">
        <v>90</v>
      </c>
      <c r="D88">
        <f t="shared" si="8"/>
        <v>60400</v>
      </c>
      <c r="E88">
        <f t="shared" si="8"/>
        <v>9800</v>
      </c>
      <c r="F88">
        <f t="shared" si="5"/>
        <v>56800</v>
      </c>
      <c r="G88">
        <f t="shared" si="6"/>
        <v>9800</v>
      </c>
    </row>
    <row r="89" spans="1:7" x14ac:dyDescent="0.25">
      <c r="A89" s="1">
        <v>41330</v>
      </c>
      <c r="B89" s="2">
        <f t="shared" si="4"/>
        <v>1</v>
      </c>
      <c r="C89">
        <v>90</v>
      </c>
      <c r="D89">
        <f t="shared" si="8"/>
        <v>56800</v>
      </c>
      <c r="E89">
        <f t="shared" si="8"/>
        <v>9800</v>
      </c>
      <c r="F89">
        <f t="shared" si="5"/>
        <v>53200</v>
      </c>
      <c r="G89">
        <f t="shared" si="6"/>
        <v>9800</v>
      </c>
    </row>
    <row r="90" spans="1:7" x14ac:dyDescent="0.25">
      <c r="A90" s="1">
        <v>41331</v>
      </c>
      <c r="B90" s="2">
        <f t="shared" si="4"/>
        <v>2</v>
      </c>
      <c r="C90">
        <v>90</v>
      </c>
      <c r="D90">
        <f t="shared" si="8"/>
        <v>53200</v>
      </c>
      <c r="E90">
        <f t="shared" si="8"/>
        <v>9800</v>
      </c>
      <c r="F90">
        <f t="shared" si="5"/>
        <v>49600</v>
      </c>
      <c r="G90">
        <f t="shared" si="6"/>
        <v>13800</v>
      </c>
    </row>
    <row r="91" spans="1:7" x14ac:dyDescent="0.25">
      <c r="A91" s="1">
        <v>41332</v>
      </c>
      <c r="B91" s="2">
        <f t="shared" si="4"/>
        <v>3</v>
      </c>
      <c r="C91">
        <v>90</v>
      </c>
      <c r="D91">
        <f t="shared" si="8"/>
        <v>49600</v>
      </c>
      <c r="E91">
        <f t="shared" si="8"/>
        <v>13800</v>
      </c>
      <c r="F91">
        <f t="shared" si="5"/>
        <v>49600</v>
      </c>
      <c r="G91">
        <f t="shared" si="6"/>
        <v>12000</v>
      </c>
    </row>
    <row r="92" spans="1:7" x14ac:dyDescent="0.25">
      <c r="A92" s="1">
        <v>41333</v>
      </c>
      <c r="B92" s="2">
        <f t="shared" si="4"/>
        <v>4</v>
      </c>
      <c r="C92">
        <v>90</v>
      </c>
      <c r="D92">
        <f t="shared" si="8"/>
        <v>49600</v>
      </c>
      <c r="E92">
        <f t="shared" si="8"/>
        <v>12000</v>
      </c>
      <c r="F92">
        <f t="shared" si="5"/>
        <v>49600</v>
      </c>
      <c r="G92">
        <f t="shared" si="6"/>
        <v>10200</v>
      </c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2BB4-ADB8-48B0-A636-A181BAA13D66}">
  <dimension ref="A1:L457"/>
  <sheetViews>
    <sheetView workbookViewId="0">
      <selection activeCell="K4" sqref="K4:L4"/>
    </sheetView>
  </sheetViews>
  <sheetFormatPr defaultRowHeight="15" x14ac:dyDescent="0.25"/>
  <cols>
    <col min="1" max="1" width="10.140625" bestFit="1" customWidth="1"/>
    <col min="2" max="2" width="10.28515625" style="2" bestFit="1" customWidth="1"/>
    <col min="11" max="12" width="9.85546875" bestFit="1" customWidth="1"/>
  </cols>
  <sheetData>
    <row r="1" spans="1:12" x14ac:dyDescent="0.25">
      <c r="D1" t="s">
        <v>2</v>
      </c>
      <c r="F1" t="s">
        <v>3</v>
      </c>
    </row>
    <row r="2" spans="1:12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  <c r="K2" t="s">
        <v>5</v>
      </c>
      <c r="L2" t="s">
        <v>6</v>
      </c>
    </row>
    <row r="3" spans="1:12" x14ac:dyDescent="0.25">
      <c r="A3" s="1">
        <v>41244</v>
      </c>
      <c r="B3" s="2">
        <f>WEEKDAY(A3,2)</f>
        <v>6</v>
      </c>
      <c r="C3">
        <v>90</v>
      </c>
      <c r="D3">
        <v>100000</v>
      </c>
      <c r="E3">
        <v>5000</v>
      </c>
      <c r="F3">
        <f>IF(D3&gt;=50000,D3-(C3*40),D3)+IF(B3=5,15000,0)</f>
        <v>96400</v>
      </c>
      <c r="G3">
        <f>IF(D3&lt;50000,E3-(C3*20),E3)+IF(B3=2,4000,0)</f>
        <v>5000</v>
      </c>
      <c r="K3">
        <f>COUNTIF(B3:B92,5)</f>
        <v>12</v>
      </c>
      <c r="L3">
        <f>COUNTIF(B3:B92,2)</f>
        <v>13</v>
      </c>
    </row>
    <row r="4" spans="1:12" x14ac:dyDescent="0.25">
      <c r="A4" s="1">
        <v>41245</v>
      </c>
      <c r="B4" s="2">
        <f t="shared" ref="B4:B67" si="0">WEEKDAY(A4,2)</f>
        <v>7</v>
      </c>
      <c r="C4">
        <v>90</v>
      </c>
      <c r="D4">
        <f>F3</f>
        <v>96400</v>
      </c>
      <c r="E4">
        <f>G3</f>
        <v>5000</v>
      </c>
      <c r="F4">
        <f t="shared" ref="F4:F67" si="1">IF(D4&gt;=50000,D4-(C4*40),D4)+IF(B4=5,15000,0)</f>
        <v>92800</v>
      </c>
      <c r="G4">
        <f t="shared" ref="G4:G67" si="2">IF(D4&lt;50000,E4-(C4*20),E4)+IF(B4=2,4000,0)</f>
        <v>5000</v>
      </c>
      <c r="H4">
        <f>IF(F4&gt;F3,1,0)</f>
        <v>0</v>
      </c>
      <c r="I4">
        <f>IF(G4&gt;G3,1,0)</f>
        <v>0</v>
      </c>
    </row>
    <row r="5" spans="1:12" x14ac:dyDescent="0.25">
      <c r="A5" s="1">
        <v>41246</v>
      </c>
      <c r="B5" s="2">
        <f t="shared" si="0"/>
        <v>1</v>
      </c>
      <c r="C5">
        <v>90</v>
      </c>
      <c r="D5">
        <f t="shared" ref="D5:E68" si="3">F4</f>
        <v>92800</v>
      </c>
      <c r="E5">
        <f t="shared" si="3"/>
        <v>5000</v>
      </c>
      <c r="F5">
        <f t="shared" si="1"/>
        <v>89200</v>
      </c>
      <c r="G5">
        <f>IF(D5&lt;50000,E5-(C5*20),E5)+IF(B5=2,4000,0)</f>
        <v>5000</v>
      </c>
      <c r="H5">
        <f t="shared" ref="H5:H61" si="4">IF(F5&gt;F4,1,0)</f>
        <v>0</v>
      </c>
      <c r="I5">
        <f t="shared" ref="I5:I61" si="5">IF(G5&gt;G4,1,0)</f>
        <v>0</v>
      </c>
    </row>
    <row r="6" spans="1:12" x14ac:dyDescent="0.25">
      <c r="A6" s="1">
        <v>41247</v>
      </c>
      <c r="B6" s="2">
        <f t="shared" si="0"/>
        <v>2</v>
      </c>
      <c r="C6">
        <v>90</v>
      </c>
      <c r="D6">
        <f t="shared" si="3"/>
        <v>89200</v>
      </c>
      <c r="E6">
        <f t="shared" si="3"/>
        <v>5000</v>
      </c>
      <c r="F6">
        <f t="shared" si="1"/>
        <v>85600</v>
      </c>
      <c r="G6">
        <f>IF(D6&lt;50000,E6-(C6*20),E6)+IF(B6=2,4000,0)</f>
        <v>9000</v>
      </c>
      <c r="H6">
        <f t="shared" si="4"/>
        <v>0</v>
      </c>
      <c r="I6">
        <f t="shared" si="5"/>
        <v>1</v>
      </c>
    </row>
    <row r="7" spans="1:12" x14ac:dyDescent="0.25">
      <c r="A7" s="1">
        <v>41248</v>
      </c>
      <c r="B7" s="2">
        <f t="shared" si="0"/>
        <v>3</v>
      </c>
      <c r="C7">
        <v>90</v>
      </c>
      <c r="D7">
        <f t="shared" si="3"/>
        <v>85600</v>
      </c>
      <c r="E7">
        <f t="shared" si="3"/>
        <v>9000</v>
      </c>
      <c r="F7">
        <f t="shared" si="1"/>
        <v>82000</v>
      </c>
      <c r="G7">
        <f t="shared" si="2"/>
        <v>9000</v>
      </c>
      <c r="H7">
        <f t="shared" si="4"/>
        <v>0</v>
      </c>
      <c r="I7">
        <f t="shared" si="5"/>
        <v>0</v>
      </c>
    </row>
    <row r="8" spans="1:12" x14ac:dyDescent="0.25">
      <c r="A8" s="1">
        <v>41249</v>
      </c>
      <c r="B8" s="2">
        <f t="shared" si="0"/>
        <v>4</v>
      </c>
      <c r="C8">
        <v>90</v>
      </c>
      <c r="D8">
        <f t="shared" si="3"/>
        <v>82000</v>
      </c>
      <c r="E8">
        <f t="shared" si="3"/>
        <v>9000</v>
      </c>
      <c r="F8">
        <f t="shared" si="1"/>
        <v>78400</v>
      </c>
      <c r="G8">
        <f t="shared" si="2"/>
        <v>9000</v>
      </c>
      <c r="H8">
        <f t="shared" si="4"/>
        <v>0</v>
      </c>
      <c r="I8">
        <f t="shared" si="5"/>
        <v>0</v>
      </c>
    </row>
    <row r="9" spans="1:12" x14ac:dyDescent="0.25">
      <c r="A9" s="1">
        <v>41250</v>
      </c>
      <c r="B9" s="2">
        <f t="shared" si="0"/>
        <v>5</v>
      </c>
      <c r="C9">
        <v>90</v>
      </c>
      <c r="D9">
        <f t="shared" si="3"/>
        <v>78400</v>
      </c>
      <c r="E9">
        <f t="shared" si="3"/>
        <v>9000</v>
      </c>
      <c r="F9">
        <f t="shared" si="1"/>
        <v>89800</v>
      </c>
      <c r="G9">
        <f t="shared" si="2"/>
        <v>9000</v>
      </c>
      <c r="H9">
        <f t="shared" si="4"/>
        <v>1</v>
      </c>
      <c r="I9">
        <f t="shared" si="5"/>
        <v>0</v>
      </c>
    </row>
    <row r="10" spans="1:12" x14ac:dyDescent="0.25">
      <c r="A10" s="1">
        <v>41251</v>
      </c>
      <c r="B10" s="2">
        <f t="shared" si="0"/>
        <v>6</v>
      </c>
      <c r="C10">
        <v>90</v>
      </c>
      <c r="D10">
        <f t="shared" si="3"/>
        <v>89800</v>
      </c>
      <c r="E10">
        <f t="shared" si="3"/>
        <v>9000</v>
      </c>
      <c r="F10">
        <f t="shared" si="1"/>
        <v>86200</v>
      </c>
      <c r="G10">
        <f t="shared" si="2"/>
        <v>9000</v>
      </c>
      <c r="H10">
        <f t="shared" si="4"/>
        <v>0</v>
      </c>
      <c r="I10">
        <f t="shared" si="5"/>
        <v>0</v>
      </c>
    </row>
    <row r="11" spans="1:12" x14ac:dyDescent="0.25">
      <c r="A11" s="1">
        <v>41252</v>
      </c>
      <c r="B11" s="2">
        <f t="shared" si="0"/>
        <v>7</v>
      </c>
      <c r="C11">
        <v>90</v>
      </c>
      <c r="D11">
        <f t="shared" si="3"/>
        <v>86200</v>
      </c>
      <c r="E11">
        <f t="shared" si="3"/>
        <v>9000</v>
      </c>
      <c r="F11">
        <f t="shared" si="1"/>
        <v>82600</v>
      </c>
      <c r="G11">
        <f t="shared" si="2"/>
        <v>9000</v>
      </c>
      <c r="H11">
        <f t="shared" si="4"/>
        <v>0</v>
      </c>
      <c r="I11">
        <f t="shared" si="5"/>
        <v>0</v>
      </c>
    </row>
    <row r="12" spans="1:12" x14ac:dyDescent="0.25">
      <c r="A12" s="1">
        <v>41253</v>
      </c>
      <c r="B12" s="2">
        <f t="shared" si="0"/>
        <v>1</v>
      </c>
      <c r="C12">
        <v>90</v>
      </c>
      <c r="D12">
        <f t="shared" si="3"/>
        <v>82600</v>
      </c>
      <c r="E12">
        <f t="shared" si="3"/>
        <v>9000</v>
      </c>
      <c r="F12">
        <f t="shared" si="1"/>
        <v>79000</v>
      </c>
      <c r="G12">
        <f t="shared" si="2"/>
        <v>9000</v>
      </c>
      <c r="H12">
        <f t="shared" si="4"/>
        <v>0</v>
      </c>
      <c r="I12">
        <f t="shared" si="5"/>
        <v>0</v>
      </c>
    </row>
    <row r="13" spans="1:12" x14ac:dyDescent="0.25">
      <c r="A13" s="1">
        <v>41254</v>
      </c>
      <c r="B13" s="2">
        <f t="shared" si="0"/>
        <v>2</v>
      </c>
      <c r="C13">
        <v>90</v>
      </c>
      <c r="D13">
        <f t="shared" si="3"/>
        <v>79000</v>
      </c>
      <c r="E13">
        <f t="shared" si="3"/>
        <v>9000</v>
      </c>
      <c r="F13">
        <f t="shared" si="1"/>
        <v>75400</v>
      </c>
      <c r="G13">
        <f t="shared" si="2"/>
        <v>13000</v>
      </c>
      <c r="H13">
        <f t="shared" si="4"/>
        <v>0</v>
      </c>
      <c r="I13">
        <f t="shared" si="5"/>
        <v>1</v>
      </c>
    </row>
    <row r="14" spans="1:12" x14ac:dyDescent="0.25">
      <c r="A14" s="1">
        <v>41255</v>
      </c>
      <c r="B14" s="2">
        <f t="shared" si="0"/>
        <v>3</v>
      </c>
      <c r="C14">
        <v>90</v>
      </c>
      <c r="D14">
        <f t="shared" si="3"/>
        <v>75400</v>
      </c>
      <c r="E14">
        <f t="shared" si="3"/>
        <v>13000</v>
      </c>
      <c r="F14">
        <f t="shared" si="1"/>
        <v>71800</v>
      </c>
      <c r="G14">
        <f t="shared" si="2"/>
        <v>13000</v>
      </c>
      <c r="H14">
        <f t="shared" si="4"/>
        <v>0</v>
      </c>
      <c r="I14">
        <f t="shared" si="5"/>
        <v>0</v>
      </c>
    </row>
    <row r="15" spans="1:12" x14ac:dyDescent="0.25">
      <c r="A15" s="1">
        <v>41256</v>
      </c>
      <c r="B15" s="2">
        <f t="shared" si="0"/>
        <v>4</v>
      </c>
      <c r="C15">
        <v>90</v>
      </c>
      <c r="D15">
        <f t="shared" si="3"/>
        <v>71800</v>
      </c>
      <c r="E15">
        <f t="shared" si="3"/>
        <v>13000</v>
      </c>
      <c r="F15">
        <f t="shared" si="1"/>
        <v>68200</v>
      </c>
      <c r="G15">
        <f t="shared" si="2"/>
        <v>13000</v>
      </c>
      <c r="H15">
        <f t="shared" si="4"/>
        <v>0</v>
      </c>
      <c r="I15">
        <f t="shared" si="5"/>
        <v>0</v>
      </c>
    </row>
    <row r="16" spans="1:12" x14ac:dyDescent="0.25">
      <c r="A16" s="1">
        <v>41257</v>
      </c>
      <c r="B16" s="2">
        <f t="shared" si="0"/>
        <v>5</v>
      </c>
      <c r="C16">
        <v>90</v>
      </c>
      <c r="D16">
        <f t="shared" si="3"/>
        <v>68200</v>
      </c>
      <c r="E16">
        <f t="shared" si="3"/>
        <v>13000</v>
      </c>
      <c r="F16">
        <f t="shared" si="1"/>
        <v>79600</v>
      </c>
      <c r="G16">
        <f t="shared" si="2"/>
        <v>13000</v>
      </c>
      <c r="H16">
        <f t="shared" si="4"/>
        <v>1</v>
      </c>
      <c r="I16">
        <f t="shared" si="5"/>
        <v>0</v>
      </c>
    </row>
    <row r="17" spans="1:9" x14ac:dyDescent="0.25">
      <c r="A17" s="1">
        <v>41258</v>
      </c>
      <c r="B17" s="2">
        <f t="shared" si="0"/>
        <v>6</v>
      </c>
      <c r="C17">
        <v>90</v>
      </c>
      <c r="D17">
        <f t="shared" si="3"/>
        <v>79600</v>
      </c>
      <c r="E17">
        <f t="shared" si="3"/>
        <v>13000</v>
      </c>
      <c r="F17">
        <f t="shared" si="1"/>
        <v>76000</v>
      </c>
      <c r="G17">
        <f t="shared" si="2"/>
        <v>13000</v>
      </c>
      <c r="H17">
        <f t="shared" si="4"/>
        <v>0</v>
      </c>
      <c r="I17">
        <f t="shared" si="5"/>
        <v>0</v>
      </c>
    </row>
    <row r="18" spans="1:9" x14ac:dyDescent="0.25">
      <c r="A18" s="1">
        <v>41259</v>
      </c>
      <c r="B18" s="2">
        <f t="shared" si="0"/>
        <v>7</v>
      </c>
      <c r="C18">
        <v>90</v>
      </c>
      <c r="D18">
        <f t="shared" si="3"/>
        <v>76000</v>
      </c>
      <c r="E18">
        <f t="shared" si="3"/>
        <v>13000</v>
      </c>
      <c r="F18">
        <f t="shared" si="1"/>
        <v>72400</v>
      </c>
      <c r="G18">
        <f t="shared" si="2"/>
        <v>13000</v>
      </c>
      <c r="H18">
        <f t="shared" si="4"/>
        <v>0</v>
      </c>
      <c r="I18">
        <f t="shared" si="5"/>
        <v>0</v>
      </c>
    </row>
    <row r="19" spans="1:9" x14ac:dyDescent="0.25">
      <c r="A19" s="1">
        <v>41260</v>
      </c>
      <c r="B19" s="2">
        <f t="shared" si="0"/>
        <v>1</v>
      </c>
      <c r="C19">
        <v>90</v>
      </c>
      <c r="D19">
        <f t="shared" si="3"/>
        <v>72400</v>
      </c>
      <c r="E19">
        <f t="shared" si="3"/>
        <v>13000</v>
      </c>
      <c r="F19">
        <f t="shared" si="1"/>
        <v>68800</v>
      </c>
      <c r="G19">
        <f t="shared" si="2"/>
        <v>13000</v>
      </c>
      <c r="H19">
        <f t="shared" si="4"/>
        <v>0</v>
      </c>
      <c r="I19">
        <f t="shared" si="5"/>
        <v>0</v>
      </c>
    </row>
    <row r="20" spans="1:9" x14ac:dyDescent="0.25">
      <c r="A20" s="1">
        <v>41261</v>
      </c>
      <c r="B20" s="2">
        <f t="shared" si="0"/>
        <v>2</v>
      </c>
      <c r="C20">
        <v>90</v>
      </c>
      <c r="D20">
        <f t="shared" si="3"/>
        <v>68800</v>
      </c>
      <c r="E20">
        <f t="shared" si="3"/>
        <v>13000</v>
      </c>
      <c r="F20">
        <f t="shared" si="1"/>
        <v>65200</v>
      </c>
      <c r="G20">
        <f t="shared" si="2"/>
        <v>17000</v>
      </c>
      <c r="H20">
        <f t="shared" si="4"/>
        <v>0</v>
      </c>
      <c r="I20">
        <f t="shared" si="5"/>
        <v>1</v>
      </c>
    </row>
    <row r="21" spans="1:9" x14ac:dyDescent="0.25">
      <c r="A21" s="1">
        <v>41262</v>
      </c>
      <c r="B21" s="2">
        <f t="shared" si="0"/>
        <v>3</v>
      </c>
      <c r="C21">
        <v>90</v>
      </c>
      <c r="D21">
        <f t="shared" si="3"/>
        <v>65200</v>
      </c>
      <c r="E21">
        <f t="shared" si="3"/>
        <v>17000</v>
      </c>
      <c r="F21">
        <f t="shared" si="1"/>
        <v>61600</v>
      </c>
      <c r="G21">
        <f t="shared" si="2"/>
        <v>17000</v>
      </c>
      <c r="H21">
        <f t="shared" si="4"/>
        <v>0</v>
      </c>
      <c r="I21">
        <f t="shared" si="5"/>
        <v>0</v>
      </c>
    </row>
    <row r="22" spans="1:9" x14ac:dyDescent="0.25">
      <c r="A22" s="1">
        <v>41263</v>
      </c>
      <c r="B22" s="2">
        <f t="shared" si="0"/>
        <v>4</v>
      </c>
      <c r="C22">
        <v>90</v>
      </c>
      <c r="D22">
        <f t="shared" si="3"/>
        <v>61600</v>
      </c>
      <c r="E22">
        <f t="shared" si="3"/>
        <v>17000</v>
      </c>
      <c r="F22">
        <f t="shared" si="1"/>
        <v>58000</v>
      </c>
      <c r="G22">
        <f t="shared" si="2"/>
        <v>17000</v>
      </c>
      <c r="H22">
        <f t="shared" si="4"/>
        <v>0</v>
      </c>
      <c r="I22">
        <f t="shared" si="5"/>
        <v>0</v>
      </c>
    </row>
    <row r="23" spans="1:9" x14ac:dyDescent="0.25">
      <c r="A23" s="1">
        <v>41264</v>
      </c>
      <c r="B23" s="2">
        <f t="shared" si="0"/>
        <v>5</v>
      </c>
      <c r="C23">
        <v>90</v>
      </c>
      <c r="D23">
        <f t="shared" si="3"/>
        <v>58000</v>
      </c>
      <c r="E23">
        <f t="shared" si="3"/>
        <v>17000</v>
      </c>
      <c r="F23">
        <f t="shared" si="1"/>
        <v>69400</v>
      </c>
      <c r="G23">
        <f t="shared" si="2"/>
        <v>17000</v>
      </c>
      <c r="H23">
        <f t="shared" si="4"/>
        <v>1</v>
      </c>
      <c r="I23">
        <f t="shared" si="5"/>
        <v>0</v>
      </c>
    </row>
    <row r="24" spans="1:9" x14ac:dyDescent="0.25">
      <c r="A24" s="1">
        <v>41265</v>
      </c>
      <c r="B24" s="2">
        <f t="shared" si="0"/>
        <v>6</v>
      </c>
      <c r="C24">
        <v>90</v>
      </c>
      <c r="D24">
        <f t="shared" si="3"/>
        <v>69400</v>
      </c>
      <c r="E24">
        <f t="shared" si="3"/>
        <v>17000</v>
      </c>
      <c r="F24">
        <f t="shared" si="1"/>
        <v>65800</v>
      </c>
      <c r="G24">
        <f t="shared" si="2"/>
        <v>17000</v>
      </c>
      <c r="H24">
        <f t="shared" si="4"/>
        <v>0</v>
      </c>
      <c r="I24">
        <f t="shared" si="5"/>
        <v>0</v>
      </c>
    </row>
    <row r="25" spans="1:9" x14ac:dyDescent="0.25">
      <c r="A25" s="1">
        <v>41266</v>
      </c>
      <c r="B25" s="2">
        <f t="shared" si="0"/>
        <v>7</v>
      </c>
      <c r="C25">
        <v>90</v>
      </c>
      <c r="D25">
        <f t="shared" si="3"/>
        <v>65800</v>
      </c>
      <c r="E25">
        <f t="shared" si="3"/>
        <v>17000</v>
      </c>
      <c r="F25">
        <f t="shared" si="1"/>
        <v>62200</v>
      </c>
      <c r="G25">
        <f t="shared" si="2"/>
        <v>17000</v>
      </c>
      <c r="H25">
        <f t="shared" si="4"/>
        <v>0</v>
      </c>
      <c r="I25">
        <f t="shared" si="5"/>
        <v>0</v>
      </c>
    </row>
    <row r="26" spans="1:9" x14ac:dyDescent="0.25">
      <c r="A26" s="1">
        <v>41267</v>
      </c>
      <c r="B26" s="2">
        <f t="shared" si="0"/>
        <v>1</v>
      </c>
      <c r="C26">
        <v>90</v>
      </c>
      <c r="D26">
        <f t="shared" si="3"/>
        <v>62200</v>
      </c>
      <c r="E26">
        <f t="shared" si="3"/>
        <v>17000</v>
      </c>
      <c r="F26">
        <f t="shared" si="1"/>
        <v>58600</v>
      </c>
      <c r="G26">
        <f t="shared" si="2"/>
        <v>17000</v>
      </c>
      <c r="H26">
        <f t="shared" si="4"/>
        <v>0</v>
      </c>
      <c r="I26">
        <f t="shared" si="5"/>
        <v>0</v>
      </c>
    </row>
    <row r="27" spans="1:9" x14ac:dyDescent="0.25">
      <c r="A27" s="1">
        <v>41268</v>
      </c>
      <c r="B27" s="2">
        <f t="shared" si="0"/>
        <v>2</v>
      </c>
      <c r="C27">
        <v>90</v>
      </c>
      <c r="D27">
        <f t="shared" si="3"/>
        <v>58600</v>
      </c>
      <c r="E27">
        <f t="shared" si="3"/>
        <v>17000</v>
      </c>
      <c r="F27">
        <f t="shared" si="1"/>
        <v>55000</v>
      </c>
      <c r="G27">
        <f t="shared" si="2"/>
        <v>21000</v>
      </c>
      <c r="H27">
        <f t="shared" si="4"/>
        <v>0</v>
      </c>
      <c r="I27">
        <f t="shared" si="5"/>
        <v>1</v>
      </c>
    </row>
    <row r="28" spans="1:9" x14ac:dyDescent="0.25">
      <c r="A28" s="1">
        <v>41269</v>
      </c>
      <c r="B28" s="2">
        <f t="shared" si="0"/>
        <v>3</v>
      </c>
      <c r="C28">
        <v>90</v>
      </c>
      <c r="D28">
        <f t="shared" si="3"/>
        <v>55000</v>
      </c>
      <c r="E28">
        <f t="shared" si="3"/>
        <v>21000</v>
      </c>
      <c r="F28">
        <f t="shared" si="1"/>
        <v>51400</v>
      </c>
      <c r="G28">
        <f t="shared" si="2"/>
        <v>21000</v>
      </c>
      <c r="H28">
        <f t="shared" si="4"/>
        <v>0</v>
      </c>
      <c r="I28">
        <f t="shared" si="5"/>
        <v>0</v>
      </c>
    </row>
    <row r="29" spans="1:9" x14ac:dyDescent="0.25">
      <c r="A29" s="1">
        <v>41270</v>
      </c>
      <c r="B29" s="2">
        <f t="shared" si="0"/>
        <v>4</v>
      </c>
      <c r="C29">
        <v>90</v>
      </c>
      <c r="D29">
        <f t="shared" si="3"/>
        <v>51400</v>
      </c>
      <c r="E29">
        <f t="shared" si="3"/>
        <v>21000</v>
      </c>
      <c r="F29">
        <f t="shared" si="1"/>
        <v>47800</v>
      </c>
      <c r="G29">
        <f t="shared" si="2"/>
        <v>21000</v>
      </c>
      <c r="H29">
        <f t="shared" si="4"/>
        <v>0</v>
      </c>
      <c r="I29">
        <f t="shared" si="5"/>
        <v>0</v>
      </c>
    </row>
    <row r="30" spans="1:9" x14ac:dyDescent="0.25">
      <c r="A30" s="1">
        <v>41271</v>
      </c>
      <c r="B30" s="2">
        <f t="shared" si="0"/>
        <v>5</v>
      </c>
      <c r="C30">
        <v>90</v>
      </c>
      <c r="D30">
        <f t="shared" si="3"/>
        <v>47800</v>
      </c>
      <c r="E30">
        <f t="shared" si="3"/>
        <v>21000</v>
      </c>
      <c r="F30">
        <f t="shared" si="1"/>
        <v>62800</v>
      </c>
      <c r="G30">
        <f t="shared" si="2"/>
        <v>19200</v>
      </c>
      <c r="H30">
        <f t="shared" si="4"/>
        <v>1</v>
      </c>
      <c r="I30">
        <f t="shared" si="5"/>
        <v>0</v>
      </c>
    </row>
    <row r="31" spans="1:9" x14ac:dyDescent="0.25">
      <c r="A31" s="1">
        <v>41272</v>
      </c>
      <c r="B31" s="2">
        <f t="shared" si="0"/>
        <v>6</v>
      </c>
      <c r="C31">
        <v>90</v>
      </c>
      <c r="D31">
        <f t="shared" si="3"/>
        <v>62800</v>
      </c>
      <c r="E31">
        <f t="shared" si="3"/>
        <v>19200</v>
      </c>
      <c r="F31">
        <f t="shared" si="1"/>
        <v>59200</v>
      </c>
      <c r="G31">
        <f t="shared" si="2"/>
        <v>19200</v>
      </c>
      <c r="H31">
        <f t="shared" si="4"/>
        <v>0</v>
      </c>
      <c r="I31">
        <f t="shared" si="5"/>
        <v>0</v>
      </c>
    </row>
    <row r="32" spans="1:9" x14ac:dyDescent="0.25">
      <c r="A32" s="1">
        <v>41273</v>
      </c>
      <c r="B32" s="2">
        <f t="shared" si="0"/>
        <v>7</v>
      </c>
      <c r="C32">
        <v>90</v>
      </c>
      <c r="D32">
        <f t="shared" si="3"/>
        <v>59200</v>
      </c>
      <c r="E32">
        <f t="shared" si="3"/>
        <v>19200</v>
      </c>
      <c r="F32">
        <f t="shared" si="1"/>
        <v>55600</v>
      </c>
      <c r="G32">
        <f t="shared" si="2"/>
        <v>19200</v>
      </c>
      <c r="H32">
        <f t="shared" si="4"/>
        <v>0</v>
      </c>
      <c r="I32">
        <f t="shared" si="5"/>
        <v>0</v>
      </c>
    </row>
    <row r="33" spans="1:9" x14ac:dyDescent="0.25">
      <c r="A33" s="1">
        <v>41274</v>
      </c>
      <c r="B33" s="2">
        <f t="shared" si="0"/>
        <v>1</v>
      </c>
      <c r="C33">
        <v>90</v>
      </c>
      <c r="D33">
        <f t="shared" si="3"/>
        <v>55600</v>
      </c>
      <c r="E33">
        <f t="shared" si="3"/>
        <v>19200</v>
      </c>
      <c r="F33">
        <f t="shared" si="1"/>
        <v>52000</v>
      </c>
      <c r="G33">
        <f t="shared" si="2"/>
        <v>19200</v>
      </c>
      <c r="H33">
        <f t="shared" si="4"/>
        <v>0</v>
      </c>
      <c r="I33">
        <f t="shared" si="5"/>
        <v>0</v>
      </c>
    </row>
    <row r="34" spans="1:9" x14ac:dyDescent="0.25">
      <c r="A34" s="1">
        <v>41275</v>
      </c>
      <c r="B34" s="2">
        <f t="shared" si="0"/>
        <v>2</v>
      </c>
      <c r="C34">
        <v>90</v>
      </c>
      <c r="D34">
        <f t="shared" si="3"/>
        <v>52000</v>
      </c>
      <c r="E34">
        <f t="shared" si="3"/>
        <v>19200</v>
      </c>
      <c r="F34">
        <f t="shared" si="1"/>
        <v>48400</v>
      </c>
      <c r="G34">
        <f t="shared" si="2"/>
        <v>23200</v>
      </c>
      <c r="H34">
        <f t="shared" si="4"/>
        <v>0</v>
      </c>
      <c r="I34">
        <f t="shared" si="5"/>
        <v>1</v>
      </c>
    </row>
    <row r="35" spans="1:9" x14ac:dyDescent="0.25">
      <c r="A35" s="1">
        <v>41276</v>
      </c>
      <c r="B35" s="2">
        <f t="shared" si="0"/>
        <v>3</v>
      </c>
      <c r="C35">
        <v>90</v>
      </c>
      <c r="D35">
        <f t="shared" si="3"/>
        <v>48400</v>
      </c>
      <c r="E35">
        <f t="shared" si="3"/>
        <v>23200</v>
      </c>
      <c r="F35">
        <f t="shared" si="1"/>
        <v>48400</v>
      </c>
      <c r="G35">
        <f t="shared" si="2"/>
        <v>21400</v>
      </c>
      <c r="H35">
        <f t="shared" si="4"/>
        <v>0</v>
      </c>
      <c r="I35">
        <f t="shared" si="5"/>
        <v>0</v>
      </c>
    </row>
    <row r="36" spans="1:9" x14ac:dyDescent="0.25">
      <c r="A36" s="1">
        <v>41277</v>
      </c>
      <c r="B36" s="2">
        <f t="shared" si="0"/>
        <v>4</v>
      </c>
      <c r="C36">
        <v>90</v>
      </c>
      <c r="D36">
        <f t="shared" si="3"/>
        <v>48400</v>
      </c>
      <c r="E36">
        <f t="shared" si="3"/>
        <v>21400</v>
      </c>
      <c r="F36">
        <f t="shared" si="1"/>
        <v>48400</v>
      </c>
      <c r="G36">
        <f t="shared" si="2"/>
        <v>19600</v>
      </c>
      <c r="H36">
        <f t="shared" si="4"/>
        <v>0</v>
      </c>
      <c r="I36">
        <f t="shared" si="5"/>
        <v>0</v>
      </c>
    </row>
    <row r="37" spans="1:9" x14ac:dyDescent="0.25">
      <c r="A37" s="1">
        <v>41278</v>
      </c>
      <c r="B37" s="2">
        <f t="shared" si="0"/>
        <v>5</v>
      </c>
      <c r="C37">
        <v>90</v>
      </c>
      <c r="D37">
        <f t="shared" si="3"/>
        <v>48400</v>
      </c>
      <c r="E37">
        <f t="shared" si="3"/>
        <v>19600</v>
      </c>
      <c r="F37">
        <f t="shared" si="1"/>
        <v>63400</v>
      </c>
      <c r="G37">
        <f t="shared" si="2"/>
        <v>17800</v>
      </c>
      <c r="H37">
        <f t="shared" si="4"/>
        <v>1</v>
      </c>
      <c r="I37">
        <f t="shared" si="5"/>
        <v>0</v>
      </c>
    </row>
    <row r="38" spans="1:9" x14ac:dyDescent="0.25">
      <c r="A38" s="1">
        <v>41279</v>
      </c>
      <c r="B38" s="2">
        <f t="shared" si="0"/>
        <v>6</v>
      </c>
      <c r="C38">
        <v>90</v>
      </c>
      <c r="D38">
        <f t="shared" si="3"/>
        <v>63400</v>
      </c>
      <c r="E38">
        <f t="shared" si="3"/>
        <v>17800</v>
      </c>
      <c r="F38">
        <f t="shared" si="1"/>
        <v>59800</v>
      </c>
      <c r="G38">
        <f t="shared" si="2"/>
        <v>17800</v>
      </c>
      <c r="H38">
        <f t="shared" si="4"/>
        <v>0</v>
      </c>
      <c r="I38">
        <f t="shared" si="5"/>
        <v>0</v>
      </c>
    </row>
    <row r="39" spans="1:9" x14ac:dyDescent="0.25">
      <c r="A39" s="1">
        <v>41280</v>
      </c>
      <c r="B39" s="2">
        <f t="shared" si="0"/>
        <v>7</v>
      </c>
      <c r="C39">
        <v>90</v>
      </c>
      <c r="D39">
        <f t="shared" si="3"/>
        <v>59800</v>
      </c>
      <c r="E39">
        <f t="shared" si="3"/>
        <v>17800</v>
      </c>
      <c r="F39">
        <f t="shared" si="1"/>
        <v>56200</v>
      </c>
      <c r="G39">
        <f t="shared" si="2"/>
        <v>17800</v>
      </c>
      <c r="H39">
        <f t="shared" si="4"/>
        <v>0</v>
      </c>
      <c r="I39">
        <f t="shared" si="5"/>
        <v>0</v>
      </c>
    </row>
    <row r="40" spans="1:9" x14ac:dyDescent="0.25">
      <c r="A40" s="1">
        <v>41281</v>
      </c>
      <c r="B40" s="2">
        <f t="shared" si="0"/>
        <v>1</v>
      </c>
      <c r="C40">
        <v>90</v>
      </c>
      <c r="D40">
        <f t="shared" si="3"/>
        <v>56200</v>
      </c>
      <c r="E40">
        <f t="shared" si="3"/>
        <v>17800</v>
      </c>
      <c r="F40">
        <f t="shared" si="1"/>
        <v>52600</v>
      </c>
      <c r="G40">
        <f t="shared" si="2"/>
        <v>17800</v>
      </c>
      <c r="H40">
        <f t="shared" si="4"/>
        <v>0</v>
      </c>
      <c r="I40">
        <f t="shared" si="5"/>
        <v>0</v>
      </c>
    </row>
    <row r="41" spans="1:9" x14ac:dyDescent="0.25">
      <c r="A41" s="1">
        <v>41282</v>
      </c>
      <c r="B41" s="2">
        <f t="shared" si="0"/>
        <v>2</v>
      </c>
      <c r="C41">
        <v>90</v>
      </c>
      <c r="D41">
        <f t="shared" si="3"/>
        <v>52600</v>
      </c>
      <c r="E41">
        <f t="shared" si="3"/>
        <v>17800</v>
      </c>
      <c r="F41">
        <f t="shared" si="1"/>
        <v>49000</v>
      </c>
      <c r="G41">
        <f t="shared" si="2"/>
        <v>21800</v>
      </c>
      <c r="H41">
        <f t="shared" si="4"/>
        <v>0</v>
      </c>
      <c r="I41">
        <f t="shared" si="5"/>
        <v>1</v>
      </c>
    </row>
    <row r="42" spans="1:9" x14ac:dyDescent="0.25">
      <c r="A42" s="1">
        <v>41283</v>
      </c>
      <c r="B42" s="2">
        <f t="shared" si="0"/>
        <v>3</v>
      </c>
      <c r="C42">
        <v>90</v>
      </c>
      <c r="D42">
        <f t="shared" si="3"/>
        <v>49000</v>
      </c>
      <c r="E42">
        <f t="shared" si="3"/>
        <v>21800</v>
      </c>
      <c r="F42">
        <f t="shared" si="1"/>
        <v>49000</v>
      </c>
      <c r="G42">
        <f t="shared" si="2"/>
        <v>20000</v>
      </c>
      <c r="H42">
        <f t="shared" si="4"/>
        <v>0</v>
      </c>
      <c r="I42">
        <f t="shared" si="5"/>
        <v>0</v>
      </c>
    </row>
    <row r="43" spans="1:9" x14ac:dyDescent="0.25">
      <c r="A43" s="1">
        <v>41284</v>
      </c>
      <c r="B43" s="2">
        <f t="shared" si="0"/>
        <v>4</v>
      </c>
      <c r="C43">
        <v>90</v>
      </c>
      <c r="D43">
        <f t="shared" si="3"/>
        <v>49000</v>
      </c>
      <c r="E43">
        <f t="shared" si="3"/>
        <v>20000</v>
      </c>
      <c r="F43">
        <f t="shared" si="1"/>
        <v>49000</v>
      </c>
      <c r="G43">
        <f t="shared" si="2"/>
        <v>18200</v>
      </c>
      <c r="H43">
        <f t="shared" si="4"/>
        <v>0</v>
      </c>
      <c r="I43">
        <f t="shared" si="5"/>
        <v>0</v>
      </c>
    </row>
    <row r="44" spans="1:9" x14ac:dyDescent="0.25">
      <c r="A44" s="1">
        <v>41285</v>
      </c>
      <c r="B44" s="2">
        <f t="shared" si="0"/>
        <v>5</v>
      </c>
      <c r="C44">
        <v>90</v>
      </c>
      <c r="D44">
        <f t="shared" si="3"/>
        <v>49000</v>
      </c>
      <c r="E44">
        <f t="shared" si="3"/>
        <v>18200</v>
      </c>
      <c r="F44">
        <f t="shared" si="1"/>
        <v>64000</v>
      </c>
      <c r="G44">
        <f t="shared" si="2"/>
        <v>16400</v>
      </c>
      <c r="H44">
        <f t="shared" si="4"/>
        <v>1</v>
      </c>
      <c r="I44">
        <f t="shared" si="5"/>
        <v>0</v>
      </c>
    </row>
    <row r="45" spans="1:9" x14ac:dyDescent="0.25">
      <c r="A45" s="1">
        <v>41286</v>
      </c>
      <c r="B45" s="2">
        <f t="shared" si="0"/>
        <v>6</v>
      </c>
      <c r="C45">
        <v>90</v>
      </c>
      <c r="D45">
        <f t="shared" si="3"/>
        <v>64000</v>
      </c>
      <c r="E45">
        <f t="shared" si="3"/>
        <v>16400</v>
      </c>
      <c r="F45">
        <f t="shared" si="1"/>
        <v>60400</v>
      </c>
      <c r="G45">
        <f t="shared" si="2"/>
        <v>16400</v>
      </c>
      <c r="H45">
        <f t="shared" si="4"/>
        <v>0</v>
      </c>
      <c r="I45">
        <f t="shared" si="5"/>
        <v>0</v>
      </c>
    </row>
    <row r="46" spans="1:9" x14ac:dyDescent="0.25">
      <c r="A46" s="1">
        <v>41287</v>
      </c>
      <c r="B46" s="2">
        <f t="shared" si="0"/>
        <v>7</v>
      </c>
      <c r="C46">
        <v>90</v>
      </c>
      <c r="D46">
        <f t="shared" si="3"/>
        <v>60400</v>
      </c>
      <c r="E46">
        <f t="shared" si="3"/>
        <v>16400</v>
      </c>
      <c r="F46">
        <f t="shared" si="1"/>
        <v>56800</v>
      </c>
      <c r="G46">
        <f t="shared" si="2"/>
        <v>16400</v>
      </c>
      <c r="H46">
        <f t="shared" si="4"/>
        <v>0</v>
      </c>
      <c r="I46">
        <f t="shared" si="5"/>
        <v>0</v>
      </c>
    </row>
    <row r="47" spans="1:9" x14ac:dyDescent="0.25">
      <c r="A47" s="1">
        <v>41288</v>
      </c>
      <c r="B47" s="2">
        <f t="shared" si="0"/>
        <v>1</v>
      </c>
      <c r="C47">
        <v>90</v>
      </c>
      <c r="D47">
        <f t="shared" si="3"/>
        <v>56800</v>
      </c>
      <c r="E47">
        <f t="shared" si="3"/>
        <v>16400</v>
      </c>
      <c r="F47">
        <f t="shared" si="1"/>
        <v>53200</v>
      </c>
      <c r="G47">
        <f t="shared" si="2"/>
        <v>16400</v>
      </c>
      <c r="H47">
        <f t="shared" si="4"/>
        <v>0</v>
      </c>
      <c r="I47">
        <f t="shared" si="5"/>
        <v>0</v>
      </c>
    </row>
    <row r="48" spans="1:9" x14ac:dyDescent="0.25">
      <c r="A48" s="1">
        <v>41289</v>
      </c>
      <c r="B48" s="2">
        <f t="shared" si="0"/>
        <v>2</v>
      </c>
      <c r="C48">
        <v>90</v>
      </c>
      <c r="D48">
        <f t="shared" si="3"/>
        <v>53200</v>
      </c>
      <c r="E48">
        <f t="shared" si="3"/>
        <v>16400</v>
      </c>
      <c r="F48">
        <f t="shared" si="1"/>
        <v>49600</v>
      </c>
      <c r="G48">
        <f t="shared" si="2"/>
        <v>20400</v>
      </c>
      <c r="H48">
        <f t="shared" si="4"/>
        <v>0</v>
      </c>
      <c r="I48">
        <f t="shared" si="5"/>
        <v>1</v>
      </c>
    </row>
    <row r="49" spans="1:9" x14ac:dyDescent="0.25">
      <c r="A49" s="1">
        <v>41290</v>
      </c>
      <c r="B49" s="2">
        <f t="shared" si="0"/>
        <v>3</v>
      </c>
      <c r="C49">
        <v>90</v>
      </c>
      <c r="D49">
        <f t="shared" si="3"/>
        <v>49600</v>
      </c>
      <c r="E49">
        <f t="shared" si="3"/>
        <v>20400</v>
      </c>
      <c r="F49">
        <f t="shared" si="1"/>
        <v>49600</v>
      </c>
      <c r="G49">
        <f t="shared" si="2"/>
        <v>18600</v>
      </c>
      <c r="H49">
        <f t="shared" si="4"/>
        <v>0</v>
      </c>
      <c r="I49">
        <f t="shared" si="5"/>
        <v>0</v>
      </c>
    </row>
    <row r="50" spans="1:9" x14ac:dyDescent="0.25">
      <c r="A50" s="1">
        <v>41291</v>
      </c>
      <c r="B50" s="2">
        <f t="shared" si="0"/>
        <v>4</v>
      </c>
      <c r="C50">
        <v>90</v>
      </c>
      <c r="D50">
        <f t="shared" si="3"/>
        <v>49600</v>
      </c>
      <c r="E50">
        <f t="shared" si="3"/>
        <v>18600</v>
      </c>
      <c r="F50">
        <f t="shared" si="1"/>
        <v>49600</v>
      </c>
      <c r="G50">
        <f t="shared" si="2"/>
        <v>16800</v>
      </c>
      <c r="H50">
        <f t="shared" si="4"/>
        <v>0</v>
      </c>
      <c r="I50">
        <f t="shared" si="5"/>
        <v>0</v>
      </c>
    </row>
    <row r="51" spans="1:9" x14ac:dyDescent="0.25">
      <c r="A51" s="1">
        <v>41292</v>
      </c>
      <c r="B51" s="2">
        <f t="shared" si="0"/>
        <v>5</v>
      </c>
      <c r="C51">
        <v>90</v>
      </c>
      <c r="D51">
        <f t="shared" si="3"/>
        <v>49600</v>
      </c>
      <c r="E51">
        <f t="shared" si="3"/>
        <v>16800</v>
      </c>
      <c r="F51">
        <f t="shared" si="1"/>
        <v>64600</v>
      </c>
      <c r="G51">
        <f t="shared" si="2"/>
        <v>15000</v>
      </c>
      <c r="H51">
        <f t="shared" si="4"/>
        <v>1</v>
      </c>
      <c r="I51">
        <f t="shared" si="5"/>
        <v>0</v>
      </c>
    </row>
    <row r="52" spans="1:9" x14ac:dyDescent="0.25">
      <c r="A52" s="1">
        <v>41293</v>
      </c>
      <c r="B52" s="2">
        <f t="shared" si="0"/>
        <v>6</v>
      </c>
      <c r="C52">
        <v>90</v>
      </c>
      <c r="D52">
        <f t="shared" si="3"/>
        <v>64600</v>
      </c>
      <c r="E52">
        <f t="shared" si="3"/>
        <v>15000</v>
      </c>
      <c r="F52">
        <f t="shared" si="1"/>
        <v>61000</v>
      </c>
      <c r="G52">
        <f t="shared" si="2"/>
        <v>15000</v>
      </c>
      <c r="H52">
        <f t="shared" si="4"/>
        <v>0</v>
      </c>
      <c r="I52">
        <f t="shared" si="5"/>
        <v>0</v>
      </c>
    </row>
    <row r="53" spans="1:9" x14ac:dyDescent="0.25">
      <c r="A53" s="1">
        <v>41294</v>
      </c>
      <c r="B53" s="2">
        <f t="shared" si="0"/>
        <v>7</v>
      </c>
      <c r="C53">
        <v>90</v>
      </c>
      <c r="D53">
        <f t="shared" si="3"/>
        <v>61000</v>
      </c>
      <c r="E53">
        <f t="shared" si="3"/>
        <v>15000</v>
      </c>
      <c r="F53">
        <f t="shared" si="1"/>
        <v>57400</v>
      </c>
      <c r="G53">
        <f t="shared" si="2"/>
        <v>15000</v>
      </c>
      <c r="H53">
        <f t="shared" si="4"/>
        <v>0</v>
      </c>
      <c r="I53">
        <f t="shared" si="5"/>
        <v>0</v>
      </c>
    </row>
    <row r="54" spans="1:9" x14ac:dyDescent="0.25">
      <c r="A54" s="1">
        <v>41295</v>
      </c>
      <c r="B54" s="2">
        <f t="shared" si="0"/>
        <v>1</v>
      </c>
      <c r="C54">
        <v>90</v>
      </c>
      <c r="D54">
        <f t="shared" si="3"/>
        <v>57400</v>
      </c>
      <c r="E54">
        <f t="shared" si="3"/>
        <v>15000</v>
      </c>
      <c r="F54">
        <f t="shared" si="1"/>
        <v>53800</v>
      </c>
      <c r="G54">
        <f t="shared" si="2"/>
        <v>15000</v>
      </c>
      <c r="H54">
        <f t="shared" si="4"/>
        <v>0</v>
      </c>
      <c r="I54">
        <f t="shared" si="5"/>
        <v>0</v>
      </c>
    </row>
    <row r="55" spans="1:9" x14ac:dyDescent="0.25">
      <c r="A55" s="1">
        <v>41296</v>
      </c>
      <c r="B55" s="2">
        <f t="shared" si="0"/>
        <v>2</v>
      </c>
      <c r="C55">
        <v>90</v>
      </c>
      <c r="D55">
        <f t="shared" si="3"/>
        <v>53800</v>
      </c>
      <c r="E55">
        <f t="shared" si="3"/>
        <v>15000</v>
      </c>
      <c r="F55">
        <f t="shared" si="1"/>
        <v>50200</v>
      </c>
      <c r="G55">
        <f t="shared" si="2"/>
        <v>19000</v>
      </c>
      <c r="H55">
        <f t="shared" si="4"/>
        <v>0</v>
      </c>
      <c r="I55">
        <f t="shared" si="5"/>
        <v>1</v>
      </c>
    </row>
    <row r="56" spans="1:9" x14ac:dyDescent="0.25">
      <c r="A56" s="1">
        <v>41297</v>
      </c>
      <c r="B56" s="2">
        <f t="shared" si="0"/>
        <v>3</v>
      </c>
      <c r="C56">
        <v>90</v>
      </c>
      <c r="D56">
        <f t="shared" si="3"/>
        <v>50200</v>
      </c>
      <c r="E56">
        <f t="shared" si="3"/>
        <v>19000</v>
      </c>
      <c r="F56">
        <f t="shared" si="1"/>
        <v>46600</v>
      </c>
      <c r="G56">
        <f t="shared" si="2"/>
        <v>19000</v>
      </c>
      <c r="H56">
        <f t="shared" si="4"/>
        <v>0</v>
      </c>
      <c r="I56">
        <f t="shared" si="5"/>
        <v>0</v>
      </c>
    </row>
    <row r="57" spans="1:9" x14ac:dyDescent="0.25">
      <c r="A57" s="1">
        <v>41298</v>
      </c>
      <c r="B57" s="2">
        <f t="shared" si="0"/>
        <v>4</v>
      </c>
      <c r="C57">
        <v>90</v>
      </c>
      <c r="D57">
        <f t="shared" si="3"/>
        <v>46600</v>
      </c>
      <c r="E57">
        <f t="shared" si="3"/>
        <v>19000</v>
      </c>
      <c r="F57">
        <f t="shared" si="1"/>
        <v>46600</v>
      </c>
      <c r="G57">
        <f t="shared" si="2"/>
        <v>17200</v>
      </c>
      <c r="H57">
        <f t="shared" si="4"/>
        <v>0</v>
      </c>
      <c r="I57">
        <f t="shared" si="5"/>
        <v>0</v>
      </c>
    </row>
    <row r="58" spans="1:9" x14ac:dyDescent="0.25">
      <c r="A58" s="1">
        <v>41299</v>
      </c>
      <c r="B58" s="2">
        <f t="shared" si="0"/>
        <v>5</v>
      </c>
      <c r="C58">
        <v>90</v>
      </c>
      <c r="D58">
        <f t="shared" si="3"/>
        <v>46600</v>
      </c>
      <c r="E58">
        <f t="shared" si="3"/>
        <v>17200</v>
      </c>
      <c r="F58">
        <f t="shared" si="1"/>
        <v>61600</v>
      </c>
      <c r="G58">
        <f t="shared" si="2"/>
        <v>15400</v>
      </c>
      <c r="H58">
        <f t="shared" si="4"/>
        <v>1</v>
      </c>
      <c r="I58">
        <f t="shared" si="5"/>
        <v>0</v>
      </c>
    </row>
    <row r="59" spans="1:9" x14ac:dyDescent="0.25">
      <c r="A59" s="1">
        <v>41300</v>
      </c>
      <c r="B59" s="2">
        <f t="shared" si="0"/>
        <v>6</v>
      </c>
      <c r="C59">
        <v>90</v>
      </c>
      <c r="D59">
        <f t="shared" si="3"/>
        <v>61600</v>
      </c>
      <c r="E59">
        <f t="shared" si="3"/>
        <v>15400</v>
      </c>
      <c r="F59">
        <f t="shared" si="1"/>
        <v>58000</v>
      </c>
      <c r="G59">
        <f t="shared" si="2"/>
        <v>15400</v>
      </c>
      <c r="H59">
        <f t="shared" si="4"/>
        <v>0</v>
      </c>
      <c r="I59">
        <f t="shared" si="5"/>
        <v>0</v>
      </c>
    </row>
    <row r="60" spans="1:9" x14ac:dyDescent="0.25">
      <c r="A60" s="1">
        <v>41301</v>
      </c>
      <c r="B60" s="2">
        <f t="shared" si="0"/>
        <v>7</v>
      </c>
      <c r="C60">
        <v>90</v>
      </c>
      <c r="D60">
        <f t="shared" si="3"/>
        <v>58000</v>
      </c>
      <c r="E60">
        <f t="shared" si="3"/>
        <v>15400</v>
      </c>
      <c r="F60">
        <f t="shared" si="1"/>
        <v>54400</v>
      </c>
      <c r="G60">
        <f t="shared" si="2"/>
        <v>15400</v>
      </c>
      <c r="H60">
        <f t="shared" si="4"/>
        <v>0</v>
      </c>
      <c r="I60">
        <f t="shared" si="5"/>
        <v>0</v>
      </c>
    </row>
    <row r="61" spans="1:9" x14ac:dyDescent="0.25">
      <c r="A61" s="1">
        <v>41302</v>
      </c>
      <c r="B61" s="2">
        <f t="shared" si="0"/>
        <v>1</v>
      </c>
      <c r="C61">
        <v>90</v>
      </c>
      <c r="D61">
        <f t="shared" si="3"/>
        <v>54400</v>
      </c>
      <c r="E61">
        <f t="shared" si="3"/>
        <v>15400</v>
      </c>
      <c r="F61">
        <f t="shared" si="1"/>
        <v>50800</v>
      </c>
      <c r="G61">
        <f t="shared" si="2"/>
        <v>15400</v>
      </c>
      <c r="H61">
        <f t="shared" si="4"/>
        <v>0</v>
      </c>
      <c r="I61">
        <f t="shared" si="5"/>
        <v>0</v>
      </c>
    </row>
    <row r="62" spans="1:9" x14ac:dyDescent="0.25">
      <c r="A62" s="1">
        <v>41303</v>
      </c>
      <c r="B62" s="2">
        <f t="shared" si="0"/>
        <v>2</v>
      </c>
      <c r="C62">
        <v>90</v>
      </c>
      <c r="D62">
        <f t="shared" si="3"/>
        <v>50800</v>
      </c>
      <c r="E62">
        <f t="shared" si="3"/>
        <v>15400</v>
      </c>
      <c r="F62">
        <f t="shared" si="1"/>
        <v>47200</v>
      </c>
      <c r="G62">
        <f t="shared" si="2"/>
        <v>19400</v>
      </c>
    </row>
    <row r="63" spans="1:9" x14ac:dyDescent="0.25">
      <c r="A63" s="1">
        <v>41304</v>
      </c>
      <c r="B63" s="2">
        <f t="shared" si="0"/>
        <v>3</v>
      </c>
      <c r="C63">
        <v>90</v>
      </c>
      <c r="D63">
        <f t="shared" si="3"/>
        <v>47200</v>
      </c>
      <c r="E63">
        <f t="shared" si="3"/>
        <v>19400</v>
      </c>
      <c r="F63">
        <f t="shared" si="1"/>
        <v>47200</v>
      </c>
      <c r="G63">
        <f t="shared" si="2"/>
        <v>17600</v>
      </c>
    </row>
    <row r="64" spans="1:9" x14ac:dyDescent="0.25">
      <c r="A64" s="1">
        <v>41305</v>
      </c>
      <c r="B64" s="2">
        <f t="shared" si="0"/>
        <v>4</v>
      </c>
      <c r="C64">
        <v>90</v>
      </c>
      <c r="D64">
        <f t="shared" si="3"/>
        <v>47200</v>
      </c>
      <c r="E64">
        <f t="shared" si="3"/>
        <v>17600</v>
      </c>
      <c r="F64">
        <f t="shared" si="1"/>
        <v>47200</v>
      </c>
      <c r="G64">
        <f t="shared" si="2"/>
        <v>15800</v>
      </c>
    </row>
    <row r="65" spans="1:7" x14ac:dyDescent="0.25">
      <c r="A65" s="1">
        <v>41306</v>
      </c>
      <c r="B65" s="2">
        <f t="shared" si="0"/>
        <v>5</v>
      </c>
      <c r="C65">
        <v>90</v>
      </c>
      <c r="D65">
        <f t="shared" si="3"/>
        <v>47200</v>
      </c>
      <c r="E65">
        <f t="shared" si="3"/>
        <v>15800</v>
      </c>
      <c r="F65">
        <f t="shared" si="1"/>
        <v>62200</v>
      </c>
      <c r="G65">
        <f t="shared" si="2"/>
        <v>14000</v>
      </c>
    </row>
    <row r="66" spans="1:7" x14ac:dyDescent="0.25">
      <c r="A66" s="1">
        <v>41307</v>
      </c>
      <c r="B66" s="2">
        <f t="shared" si="0"/>
        <v>6</v>
      </c>
      <c r="C66">
        <v>90</v>
      </c>
      <c r="D66">
        <f t="shared" si="3"/>
        <v>62200</v>
      </c>
      <c r="E66">
        <f t="shared" si="3"/>
        <v>14000</v>
      </c>
      <c r="F66">
        <f t="shared" si="1"/>
        <v>58600</v>
      </c>
      <c r="G66">
        <f t="shared" si="2"/>
        <v>14000</v>
      </c>
    </row>
    <row r="67" spans="1:7" x14ac:dyDescent="0.25">
      <c r="A67" s="1">
        <v>41308</v>
      </c>
      <c r="B67" s="2">
        <f t="shared" si="0"/>
        <v>7</v>
      </c>
      <c r="C67">
        <v>90</v>
      </c>
      <c r="D67">
        <f t="shared" si="3"/>
        <v>58600</v>
      </c>
      <c r="E67">
        <f t="shared" si="3"/>
        <v>14000</v>
      </c>
      <c r="F67">
        <f t="shared" si="1"/>
        <v>55000</v>
      </c>
      <c r="G67">
        <f t="shared" si="2"/>
        <v>14000</v>
      </c>
    </row>
    <row r="68" spans="1:7" x14ac:dyDescent="0.25">
      <c r="A68" s="1">
        <v>41309</v>
      </c>
      <c r="B68" s="2">
        <f t="shared" ref="B68:B92" si="6">WEEKDAY(A68,2)</f>
        <v>1</v>
      </c>
      <c r="C68">
        <v>90</v>
      </c>
      <c r="D68">
        <f t="shared" si="3"/>
        <v>55000</v>
      </c>
      <c r="E68">
        <f t="shared" si="3"/>
        <v>14000</v>
      </c>
      <c r="F68">
        <f t="shared" ref="F68:F92" si="7">IF(D68&gt;=50000,D68-(C68*40),D68)+IF(B68=5,15000,0)</f>
        <v>51400</v>
      </c>
      <c r="G68">
        <f t="shared" ref="G68:G92" si="8">IF(D68&lt;50000,E68-(C68*20),E68)+IF(B68=2,4000,0)</f>
        <v>14000</v>
      </c>
    </row>
    <row r="69" spans="1:7" x14ac:dyDescent="0.25">
      <c r="A69" s="1">
        <v>41310</v>
      </c>
      <c r="B69" s="2">
        <f t="shared" si="6"/>
        <v>2</v>
      </c>
      <c r="C69">
        <v>90</v>
      </c>
      <c r="D69">
        <f t="shared" ref="D69:E84" si="9">F68</f>
        <v>51400</v>
      </c>
      <c r="E69">
        <f t="shared" si="9"/>
        <v>14000</v>
      </c>
      <c r="F69">
        <f t="shared" si="7"/>
        <v>47800</v>
      </c>
      <c r="G69">
        <f t="shared" si="8"/>
        <v>18000</v>
      </c>
    </row>
    <row r="70" spans="1:7" x14ac:dyDescent="0.25">
      <c r="A70" s="1">
        <v>41311</v>
      </c>
      <c r="B70" s="2">
        <f t="shared" si="6"/>
        <v>3</v>
      </c>
      <c r="C70">
        <v>90</v>
      </c>
      <c r="D70">
        <f t="shared" si="9"/>
        <v>47800</v>
      </c>
      <c r="E70">
        <f t="shared" si="9"/>
        <v>18000</v>
      </c>
      <c r="F70">
        <f t="shared" si="7"/>
        <v>47800</v>
      </c>
      <c r="G70">
        <f t="shared" si="8"/>
        <v>16200</v>
      </c>
    </row>
    <row r="71" spans="1:7" x14ac:dyDescent="0.25">
      <c r="A71" s="1">
        <v>41312</v>
      </c>
      <c r="B71" s="2">
        <f t="shared" si="6"/>
        <v>4</v>
      </c>
      <c r="C71">
        <v>90</v>
      </c>
      <c r="D71">
        <f t="shared" si="9"/>
        <v>47800</v>
      </c>
      <c r="E71">
        <f t="shared" si="9"/>
        <v>16200</v>
      </c>
      <c r="F71">
        <f t="shared" si="7"/>
        <v>47800</v>
      </c>
      <c r="G71">
        <f t="shared" si="8"/>
        <v>14400</v>
      </c>
    </row>
    <row r="72" spans="1:7" x14ac:dyDescent="0.25">
      <c r="A72" s="1">
        <v>41313</v>
      </c>
      <c r="B72" s="2">
        <f t="shared" si="6"/>
        <v>5</v>
      </c>
      <c r="C72">
        <v>90</v>
      </c>
      <c r="D72">
        <f t="shared" si="9"/>
        <v>47800</v>
      </c>
      <c r="E72">
        <f t="shared" si="9"/>
        <v>14400</v>
      </c>
      <c r="F72">
        <f t="shared" si="7"/>
        <v>62800</v>
      </c>
      <c r="G72">
        <f t="shared" si="8"/>
        <v>12600</v>
      </c>
    </row>
    <row r="73" spans="1:7" x14ac:dyDescent="0.25">
      <c r="A73" s="1">
        <v>41314</v>
      </c>
      <c r="B73" s="2">
        <f t="shared" si="6"/>
        <v>6</v>
      </c>
      <c r="C73">
        <v>90</v>
      </c>
      <c r="D73">
        <f t="shared" si="9"/>
        <v>62800</v>
      </c>
      <c r="E73">
        <f t="shared" si="9"/>
        <v>12600</v>
      </c>
      <c r="F73">
        <f t="shared" si="7"/>
        <v>59200</v>
      </c>
      <c r="G73">
        <f t="shared" si="8"/>
        <v>12600</v>
      </c>
    </row>
    <row r="74" spans="1:7" x14ac:dyDescent="0.25">
      <c r="A74" s="1">
        <v>41315</v>
      </c>
      <c r="B74" s="2">
        <f t="shared" si="6"/>
        <v>7</v>
      </c>
      <c r="C74">
        <v>90</v>
      </c>
      <c r="D74">
        <f t="shared" si="9"/>
        <v>59200</v>
      </c>
      <c r="E74">
        <f t="shared" si="9"/>
        <v>12600</v>
      </c>
      <c r="F74">
        <f t="shared" si="7"/>
        <v>55600</v>
      </c>
      <c r="G74">
        <f t="shared" si="8"/>
        <v>12600</v>
      </c>
    </row>
    <row r="75" spans="1:7" x14ac:dyDescent="0.25">
      <c r="A75" s="1">
        <v>41316</v>
      </c>
      <c r="B75" s="2">
        <f t="shared" si="6"/>
        <v>1</v>
      </c>
      <c r="C75">
        <v>90</v>
      </c>
      <c r="D75">
        <f t="shared" si="9"/>
        <v>55600</v>
      </c>
      <c r="E75">
        <f t="shared" si="9"/>
        <v>12600</v>
      </c>
      <c r="F75">
        <f t="shared" si="7"/>
        <v>52000</v>
      </c>
      <c r="G75">
        <f t="shared" si="8"/>
        <v>12600</v>
      </c>
    </row>
    <row r="76" spans="1:7" x14ac:dyDescent="0.25">
      <c r="A76" s="1">
        <v>41317</v>
      </c>
      <c r="B76" s="2">
        <f t="shared" si="6"/>
        <v>2</v>
      </c>
      <c r="C76">
        <v>90</v>
      </c>
      <c r="D76">
        <f t="shared" si="9"/>
        <v>52000</v>
      </c>
      <c r="E76">
        <f t="shared" si="9"/>
        <v>12600</v>
      </c>
      <c r="F76">
        <f t="shared" si="7"/>
        <v>48400</v>
      </c>
      <c r="G76">
        <f t="shared" si="8"/>
        <v>16600</v>
      </c>
    </row>
    <row r="77" spans="1:7" x14ac:dyDescent="0.25">
      <c r="A77" s="1">
        <v>41318</v>
      </c>
      <c r="B77" s="2">
        <f t="shared" si="6"/>
        <v>3</v>
      </c>
      <c r="C77">
        <v>90</v>
      </c>
      <c r="D77">
        <f t="shared" si="9"/>
        <v>48400</v>
      </c>
      <c r="E77">
        <f t="shared" si="9"/>
        <v>16600</v>
      </c>
      <c r="F77">
        <f t="shared" si="7"/>
        <v>48400</v>
      </c>
      <c r="G77">
        <f t="shared" si="8"/>
        <v>14800</v>
      </c>
    </row>
    <row r="78" spans="1:7" x14ac:dyDescent="0.25">
      <c r="A78" s="1">
        <v>41319</v>
      </c>
      <c r="B78" s="2">
        <f t="shared" si="6"/>
        <v>4</v>
      </c>
      <c r="C78">
        <v>90</v>
      </c>
      <c r="D78">
        <f t="shared" si="9"/>
        <v>48400</v>
      </c>
      <c r="E78">
        <f t="shared" si="9"/>
        <v>14800</v>
      </c>
      <c r="F78">
        <f t="shared" si="7"/>
        <v>48400</v>
      </c>
      <c r="G78">
        <f t="shared" si="8"/>
        <v>13000</v>
      </c>
    </row>
    <row r="79" spans="1:7" x14ac:dyDescent="0.25">
      <c r="A79" s="1">
        <v>41320</v>
      </c>
      <c r="B79" s="2">
        <f t="shared" si="6"/>
        <v>5</v>
      </c>
      <c r="C79">
        <v>90</v>
      </c>
      <c r="D79">
        <f t="shared" si="9"/>
        <v>48400</v>
      </c>
      <c r="E79">
        <f t="shared" si="9"/>
        <v>13000</v>
      </c>
      <c r="F79">
        <f t="shared" si="7"/>
        <v>63400</v>
      </c>
      <c r="G79">
        <f t="shared" si="8"/>
        <v>11200</v>
      </c>
    </row>
    <row r="80" spans="1:7" x14ac:dyDescent="0.25">
      <c r="A80" s="1">
        <v>41321</v>
      </c>
      <c r="B80" s="2">
        <f t="shared" si="6"/>
        <v>6</v>
      </c>
      <c r="C80">
        <v>90</v>
      </c>
      <c r="D80">
        <f t="shared" si="9"/>
        <v>63400</v>
      </c>
      <c r="E80">
        <f t="shared" si="9"/>
        <v>11200</v>
      </c>
      <c r="F80">
        <f t="shared" si="7"/>
        <v>59800</v>
      </c>
      <c r="G80">
        <f t="shared" si="8"/>
        <v>11200</v>
      </c>
    </row>
    <row r="81" spans="1:7" x14ac:dyDescent="0.25">
      <c r="A81" s="1">
        <v>41322</v>
      </c>
      <c r="B81" s="2">
        <f t="shared" si="6"/>
        <v>7</v>
      </c>
      <c r="C81">
        <v>90</v>
      </c>
      <c r="D81">
        <f t="shared" si="9"/>
        <v>59800</v>
      </c>
      <c r="E81">
        <f t="shared" si="9"/>
        <v>11200</v>
      </c>
      <c r="F81">
        <f t="shared" si="7"/>
        <v>56200</v>
      </c>
      <c r="G81">
        <f t="shared" si="8"/>
        <v>11200</v>
      </c>
    </row>
    <row r="82" spans="1:7" x14ac:dyDescent="0.25">
      <c r="A82" s="1">
        <v>41323</v>
      </c>
      <c r="B82" s="2">
        <f t="shared" si="6"/>
        <v>1</v>
      </c>
      <c r="C82">
        <v>90</v>
      </c>
      <c r="D82">
        <f t="shared" si="9"/>
        <v>56200</v>
      </c>
      <c r="E82">
        <f t="shared" si="9"/>
        <v>11200</v>
      </c>
      <c r="F82">
        <f t="shared" si="7"/>
        <v>52600</v>
      </c>
      <c r="G82">
        <f t="shared" si="8"/>
        <v>11200</v>
      </c>
    </row>
    <row r="83" spans="1:7" x14ac:dyDescent="0.25">
      <c r="A83" s="1">
        <v>41324</v>
      </c>
      <c r="B83" s="2">
        <f t="shared" si="6"/>
        <v>2</v>
      </c>
      <c r="C83">
        <v>90</v>
      </c>
      <c r="D83">
        <f t="shared" si="9"/>
        <v>52600</v>
      </c>
      <c r="E83">
        <f t="shared" si="9"/>
        <v>11200</v>
      </c>
      <c r="F83">
        <f t="shared" si="7"/>
        <v>49000</v>
      </c>
      <c r="G83">
        <f t="shared" si="8"/>
        <v>15200</v>
      </c>
    </row>
    <row r="84" spans="1:7" x14ac:dyDescent="0.25">
      <c r="A84" s="1">
        <v>41325</v>
      </c>
      <c r="B84" s="2">
        <f t="shared" si="6"/>
        <v>3</v>
      </c>
      <c r="C84">
        <v>90</v>
      </c>
      <c r="D84">
        <f t="shared" si="9"/>
        <v>49000</v>
      </c>
      <c r="E84">
        <f t="shared" si="9"/>
        <v>15200</v>
      </c>
      <c r="F84">
        <f t="shared" si="7"/>
        <v>49000</v>
      </c>
      <c r="G84">
        <f t="shared" si="8"/>
        <v>13400</v>
      </c>
    </row>
    <row r="85" spans="1:7" x14ac:dyDescent="0.25">
      <c r="A85" s="1">
        <v>41326</v>
      </c>
      <c r="B85" s="2">
        <f t="shared" si="6"/>
        <v>4</v>
      </c>
      <c r="C85">
        <v>90</v>
      </c>
      <c r="D85">
        <f t="shared" ref="D85:E92" si="10">F84</f>
        <v>49000</v>
      </c>
      <c r="E85">
        <f t="shared" si="10"/>
        <v>13400</v>
      </c>
      <c r="F85">
        <f t="shared" si="7"/>
        <v>49000</v>
      </c>
      <c r="G85">
        <f t="shared" si="8"/>
        <v>11600</v>
      </c>
    </row>
    <row r="86" spans="1:7" x14ac:dyDescent="0.25">
      <c r="A86" s="1">
        <v>41327</v>
      </c>
      <c r="B86" s="2">
        <f t="shared" si="6"/>
        <v>5</v>
      </c>
      <c r="C86">
        <v>90</v>
      </c>
      <c r="D86">
        <f t="shared" si="10"/>
        <v>49000</v>
      </c>
      <c r="E86">
        <f t="shared" si="10"/>
        <v>11600</v>
      </c>
      <c r="F86">
        <f t="shared" si="7"/>
        <v>64000</v>
      </c>
      <c r="G86">
        <f t="shared" si="8"/>
        <v>9800</v>
      </c>
    </row>
    <row r="87" spans="1:7" x14ac:dyDescent="0.25">
      <c r="A87" s="1">
        <v>41328</v>
      </c>
      <c r="B87" s="2">
        <f t="shared" si="6"/>
        <v>6</v>
      </c>
      <c r="C87">
        <v>90</v>
      </c>
      <c r="D87">
        <f t="shared" si="10"/>
        <v>64000</v>
      </c>
      <c r="E87">
        <f t="shared" si="10"/>
        <v>9800</v>
      </c>
      <c r="F87">
        <f t="shared" si="7"/>
        <v>60400</v>
      </c>
      <c r="G87">
        <f t="shared" si="8"/>
        <v>9800</v>
      </c>
    </row>
    <row r="88" spans="1:7" x14ac:dyDescent="0.25">
      <c r="A88" s="1">
        <v>41329</v>
      </c>
      <c r="B88" s="2">
        <f t="shared" si="6"/>
        <v>7</v>
      </c>
      <c r="C88">
        <v>90</v>
      </c>
      <c r="D88">
        <f t="shared" si="10"/>
        <v>60400</v>
      </c>
      <c r="E88">
        <f t="shared" si="10"/>
        <v>9800</v>
      </c>
      <c r="F88">
        <f t="shared" si="7"/>
        <v>56800</v>
      </c>
      <c r="G88">
        <f t="shared" si="8"/>
        <v>9800</v>
      </c>
    </row>
    <row r="89" spans="1:7" x14ac:dyDescent="0.25">
      <c r="A89" s="1">
        <v>41330</v>
      </c>
      <c r="B89" s="2">
        <f t="shared" si="6"/>
        <v>1</v>
      </c>
      <c r="C89">
        <v>90</v>
      </c>
      <c r="D89">
        <f t="shared" si="10"/>
        <v>56800</v>
      </c>
      <c r="E89">
        <f t="shared" si="10"/>
        <v>9800</v>
      </c>
      <c r="F89">
        <f t="shared" si="7"/>
        <v>53200</v>
      </c>
      <c r="G89">
        <f t="shared" si="8"/>
        <v>9800</v>
      </c>
    </row>
    <row r="90" spans="1:7" x14ac:dyDescent="0.25">
      <c r="A90" s="1">
        <v>41331</v>
      </c>
      <c r="B90" s="2">
        <f t="shared" si="6"/>
        <v>2</v>
      </c>
      <c r="C90">
        <v>90</v>
      </c>
      <c r="D90">
        <f t="shared" si="10"/>
        <v>53200</v>
      </c>
      <c r="E90">
        <f t="shared" si="10"/>
        <v>9800</v>
      </c>
      <c r="F90">
        <f t="shared" si="7"/>
        <v>49600</v>
      </c>
      <c r="G90">
        <f t="shared" si="8"/>
        <v>13800</v>
      </c>
    </row>
    <row r="91" spans="1:7" x14ac:dyDescent="0.25">
      <c r="A91" s="1">
        <v>41332</v>
      </c>
      <c r="B91" s="2">
        <f t="shared" si="6"/>
        <v>3</v>
      </c>
      <c r="C91">
        <v>90</v>
      </c>
      <c r="D91">
        <f t="shared" si="10"/>
        <v>49600</v>
      </c>
      <c r="E91">
        <f t="shared" si="10"/>
        <v>13800</v>
      </c>
      <c r="F91">
        <f t="shared" si="7"/>
        <v>49600</v>
      </c>
      <c r="G91">
        <f t="shared" si="8"/>
        <v>12000</v>
      </c>
    </row>
    <row r="92" spans="1:7" x14ac:dyDescent="0.25">
      <c r="A92" s="1">
        <v>41333</v>
      </c>
      <c r="B92" s="2">
        <f t="shared" si="6"/>
        <v>4</v>
      </c>
      <c r="C92">
        <v>90</v>
      </c>
      <c r="D92">
        <f t="shared" si="10"/>
        <v>49600</v>
      </c>
      <c r="E92">
        <f t="shared" si="10"/>
        <v>12000</v>
      </c>
      <c r="F92">
        <f t="shared" si="7"/>
        <v>49600</v>
      </c>
      <c r="G92">
        <f t="shared" si="8"/>
        <v>10200</v>
      </c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7D7C-53B8-4FAB-857B-9182E7D2ADBF}">
  <dimension ref="A1:I457"/>
  <sheetViews>
    <sheetView workbookViewId="0">
      <selection activeCell="I61" sqref="I61"/>
    </sheetView>
  </sheetViews>
  <sheetFormatPr defaultRowHeight="15" x14ac:dyDescent="0.25"/>
  <cols>
    <col min="1" max="1" width="10.140625" bestFit="1" customWidth="1"/>
    <col min="2" max="2" width="10.28515625" style="2" bestFit="1" customWidth="1"/>
    <col min="11" max="12" width="9.85546875" bestFit="1" customWidth="1"/>
  </cols>
  <sheetData>
    <row r="1" spans="1:9" x14ac:dyDescent="0.25">
      <c r="D1" t="s">
        <v>2</v>
      </c>
      <c r="F1" t="s">
        <v>3</v>
      </c>
    </row>
    <row r="2" spans="1:9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25">
      <c r="A3" s="1">
        <v>41244</v>
      </c>
      <c r="B3" s="2">
        <f>WEEKDAY(A3,2)</f>
        <v>6</v>
      </c>
      <c r="C3">
        <v>90</v>
      </c>
      <c r="D3">
        <v>100000</v>
      </c>
      <c r="E3">
        <v>5000</v>
      </c>
      <c r="F3">
        <f>IF(D3&gt;=50000,D3-(C3*40),D3)+IF(B3=5,15000,0)</f>
        <v>96400</v>
      </c>
      <c r="G3">
        <f>IF(D3&lt;50000,E3-(C3*20),E3)+IF(B3=2,4000,0)</f>
        <v>5000</v>
      </c>
    </row>
    <row r="4" spans="1:9" x14ac:dyDescent="0.25">
      <c r="A4" s="1">
        <v>41245</v>
      </c>
      <c r="B4" s="2">
        <f t="shared" ref="B4:B67" si="0">WEEKDAY(A4,2)</f>
        <v>7</v>
      </c>
      <c r="C4">
        <v>90</v>
      </c>
      <c r="D4">
        <f>F3</f>
        <v>96400</v>
      </c>
      <c r="E4">
        <f>G3</f>
        <v>5000</v>
      </c>
      <c r="F4">
        <f t="shared" ref="F4:F67" si="1">IF(D4&gt;=50000,D4-(C4*40),D4)+IF(B4=5,15000,0)</f>
        <v>92800</v>
      </c>
      <c r="G4">
        <f t="shared" ref="G4:G67" si="2">IF(D4&lt;50000,E4-(C4*20),E4)+IF(B4=2,4000,0)</f>
        <v>5000</v>
      </c>
      <c r="I4">
        <f>IF(G4&gt;G3,1,0)</f>
        <v>0</v>
      </c>
    </row>
    <row r="5" spans="1:9" x14ac:dyDescent="0.25">
      <c r="A5" s="1">
        <v>41246</v>
      </c>
      <c r="B5" s="2">
        <f t="shared" si="0"/>
        <v>1</v>
      </c>
      <c r="C5">
        <v>90</v>
      </c>
      <c r="D5">
        <f t="shared" ref="D5:E68" si="3">F4</f>
        <v>92800</v>
      </c>
      <c r="E5">
        <f t="shared" si="3"/>
        <v>5000</v>
      </c>
      <c r="F5">
        <f t="shared" si="1"/>
        <v>89200</v>
      </c>
      <c r="G5">
        <f>IF(D5&lt;50000,E5-(C5*20),E5)+IF(B5=2,4000,0)</f>
        <v>5000</v>
      </c>
      <c r="I5">
        <f t="shared" ref="H5:I61" si="4">IF(G5&gt;G4,1,0)</f>
        <v>0</v>
      </c>
    </row>
    <row r="6" spans="1:9" x14ac:dyDescent="0.25">
      <c r="A6" s="1">
        <v>41247</v>
      </c>
      <c r="B6" s="2">
        <f t="shared" si="0"/>
        <v>2</v>
      </c>
      <c r="C6">
        <v>90</v>
      </c>
      <c r="D6">
        <f t="shared" si="3"/>
        <v>89200</v>
      </c>
      <c r="E6">
        <f t="shared" si="3"/>
        <v>5000</v>
      </c>
      <c r="F6">
        <f t="shared" si="1"/>
        <v>85600</v>
      </c>
      <c r="G6">
        <f>IF(D6&lt;50000,E6-(C6*20),E6)+IF(B6=2,4000,0)</f>
        <v>9000</v>
      </c>
      <c r="I6">
        <f t="shared" si="4"/>
        <v>1</v>
      </c>
    </row>
    <row r="7" spans="1:9" x14ac:dyDescent="0.25">
      <c r="A7" s="1">
        <v>41248</v>
      </c>
      <c r="B7" s="2">
        <f t="shared" si="0"/>
        <v>3</v>
      </c>
      <c r="C7">
        <v>90</v>
      </c>
      <c r="D7">
        <f t="shared" si="3"/>
        <v>85600</v>
      </c>
      <c r="E7">
        <f t="shared" si="3"/>
        <v>9000</v>
      </c>
      <c r="F7">
        <f t="shared" si="1"/>
        <v>82000</v>
      </c>
      <c r="G7">
        <f t="shared" si="2"/>
        <v>9000</v>
      </c>
      <c r="I7">
        <f t="shared" si="4"/>
        <v>0</v>
      </c>
    </row>
    <row r="8" spans="1:9" x14ac:dyDescent="0.25">
      <c r="A8" s="1">
        <v>41249</v>
      </c>
      <c r="B8" s="2">
        <f t="shared" si="0"/>
        <v>4</v>
      </c>
      <c r="C8">
        <v>90</v>
      </c>
      <c r="D8">
        <f t="shared" si="3"/>
        <v>82000</v>
      </c>
      <c r="E8">
        <f t="shared" si="3"/>
        <v>9000</v>
      </c>
      <c r="F8">
        <f t="shared" si="1"/>
        <v>78400</v>
      </c>
      <c r="G8">
        <f t="shared" si="2"/>
        <v>9000</v>
      </c>
      <c r="I8">
        <f t="shared" si="4"/>
        <v>0</v>
      </c>
    </row>
    <row r="9" spans="1:9" x14ac:dyDescent="0.25">
      <c r="A9" s="1">
        <v>41250</v>
      </c>
      <c r="B9" s="2">
        <f t="shared" si="0"/>
        <v>5</v>
      </c>
      <c r="C9">
        <v>90</v>
      </c>
      <c r="D9">
        <f t="shared" si="3"/>
        <v>78400</v>
      </c>
      <c r="E9">
        <f t="shared" si="3"/>
        <v>9000</v>
      </c>
      <c r="F9">
        <f t="shared" si="1"/>
        <v>89800</v>
      </c>
      <c r="G9">
        <f t="shared" si="2"/>
        <v>9000</v>
      </c>
      <c r="I9">
        <f t="shared" si="4"/>
        <v>0</v>
      </c>
    </row>
    <row r="10" spans="1:9" x14ac:dyDescent="0.25">
      <c r="A10" s="1">
        <v>41251</v>
      </c>
      <c r="B10" s="2">
        <f t="shared" si="0"/>
        <v>6</v>
      </c>
      <c r="C10">
        <v>90</v>
      </c>
      <c r="D10">
        <f t="shared" si="3"/>
        <v>89800</v>
      </c>
      <c r="E10">
        <f t="shared" si="3"/>
        <v>9000</v>
      </c>
      <c r="F10">
        <f t="shared" si="1"/>
        <v>86200</v>
      </c>
      <c r="G10">
        <f t="shared" si="2"/>
        <v>9000</v>
      </c>
      <c r="I10">
        <f t="shared" si="4"/>
        <v>0</v>
      </c>
    </row>
    <row r="11" spans="1:9" x14ac:dyDescent="0.25">
      <c r="A11" s="1">
        <v>41252</v>
      </c>
      <c r="B11" s="2">
        <f t="shared" si="0"/>
        <v>7</v>
      </c>
      <c r="C11">
        <v>90</v>
      </c>
      <c r="D11">
        <f t="shared" si="3"/>
        <v>86200</v>
      </c>
      <c r="E11">
        <f t="shared" si="3"/>
        <v>9000</v>
      </c>
      <c r="F11">
        <f t="shared" si="1"/>
        <v>82600</v>
      </c>
      <c r="G11">
        <f t="shared" si="2"/>
        <v>9000</v>
      </c>
      <c r="I11">
        <f t="shared" si="4"/>
        <v>0</v>
      </c>
    </row>
    <row r="12" spans="1:9" x14ac:dyDescent="0.25">
      <c r="A12" s="1">
        <v>41253</v>
      </c>
      <c r="B12" s="2">
        <f t="shared" si="0"/>
        <v>1</v>
      </c>
      <c r="C12">
        <v>90</v>
      </c>
      <c r="D12">
        <f t="shared" si="3"/>
        <v>82600</v>
      </c>
      <c r="E12">
        <f t="shared" si="3"/>
        <v>9000</v>
      </c>
      <c r="F12">
        <f t="shared" si="1"/>
        <v>79000</v>
      </c>
      <c r="G12">
        <f t="shared" si="2"/>
        <v>9000</v>
      </c>
      <c r="I12">
        <f t="shared" si="4"/>
        <v>0</v>
      </c>
    </row>
    <row r="13" spans="1:9" x14ac:dyDescent="0.25">
      <c r="A13" s="1">
        <v>41254</v>
      </c>
      <c r="B13" s="2">
        <f t="shared" si="0"/>
        <v>2</v>
      </c>
      <c r="C13">
        <v>90</v>
      </c>
      <c r="D13">
        <f t="shared" si="3"/>
        <v>79000</v>
      </c>
      <c r="E13">
        <f t="shared" si="3"/>
        <v>9000</v>
      </c>
      <c r="F13">
        <f t="shared" si="1"/>
        <v>75400</v>
      </c>
      <c r="G13">
        <f t="shared" si="2"/>
        <v>13000</v>
      </c>
      <c r="I13">
        <f t="shared" si="4"/>
        <v>1</v>
      </c>
    </row>
    <row r="14" spans="1:9" x14ac:dyDescent="0.25">
      <c r="A14" s="1">
        <v>41255</v>
      </c>
      <c r="B14" s="2">
        <f t="shared" si="0"/>
        <v>3</v>
      </c>
      <c r="C14">
        <v>90</v>
      </c>
      <c r="D14">
        <f t="shared" si="3"/>
        <v>75400</v>
      </c>
      <c r="E14">
        <f t="shared" si="3"/>
        <v>13000</v>
      </c>
      <c r="F14">
        <f t="shared" si="1"/>
        <v>71800</v>
      </c>
      <c r="G14">
        <f t="shared" si="2"/>
        <v>13000</v>
      </c>
      <c r="I14">
        <f t="shared" si="4"/>
        <v>0</v>
      </c>
    </row>
    <row r="15" spans="1:9" x14ac:dyDescent="0.25">
      <c r="A15" s="1">
        <v>41256</v>
      </c>
      <c r="B15" s="2">
        <f t="shared" si="0"/>
        <v>4</v>
      </c>
      <c r="C15">
        <v>90</v>
      </c>
      <c r="D15">
        <f t="shared" si="3"/>
        <v>71800</v>
      </c>
      <c r="E15">
        <f t="shared" si="3"/>
        <v>13000</v>
      </c>
      <c r="F15">
        <f t="shared" si="1"/>
        <v>68200</v>
      </c>
      <c r="G15">
        <f t="shared" si="2"/>
        <v>13000</v>
      </c>
      <c r="I15">
        <f t="shared" si="4"/>
        <v>0</v>
      </c>
    </row>
    <row r="16" spans="1:9" x14ac:dyDescent="0.25">
      <c r="A16" s="1">
        <v>41257</v>
      </c>
      <c r="B16" s="2">
        <f t="shared" si="0"/>
        <v>5</v>
      </c>
      <c r="C16">
        <v>90</v>
      </c>
      <c r="D16">
        <f t="shared" si="3"/>
        <v>68200</v>
      </c>
      <c r="E16">
        <f t="shared" si="3"/>
        <v>13000</v>
      </c>
      <c r="F16">
        <f t="shared" si="1"/>
        <v>79600</v>
      </c>
      <c r="G16">
        <f t="shared" si="2"/>
        <v>13000</v>
      </c>
      <c r="I16">
        <f t="shared" si="4"/>
        <v>0</v>
      </c>
    </row>
    <row r="17" spans="1:9" x14ac:dyDescent="0.25">
      <c r="A17" s="1">
        <v>41258</v>
      </c>
      <c r="B17" s="2">
        <f t="shared" si="0"/>
        <v>6</v>
      </c>
      <c r="C17">
        <v>90</v>
      </c>
      <c r="D17">
        <f t="shared" si="3"/>
        <v>79600</v>
      </c>
      <c r="E17">
        <f t="shared" si="3"/>
        <v>13000</v>
      </c>
      <c r="F17">
        <f t="shared" si="1"/>
        <v>76000</v>
      </c>
      <c r="G17">
        <f t="shared" si="2"/>
        <v>13000</v>
      </c>
      <c r="I17">
        <f t="shared" si="4"/>
        <v>0</v>
      </c>
    </row>
    <row r="18" spans="1:9" x14ac:dyDescent="0.25">
      <c r="A18" s="1">
        <v>41259</v>
      </c>
      <c r="B18" s="2">
        <f t="shared" si="0"/>
        <v>7</v>
      </c>
      <c r="C18">
        <v>90</v>
      </c>
      <c r="D18">
        <f t="shared" si="3"/>
        <v>76000</v>
      </c>
      <c r="E18">
        <f t="shared" si="3"/>
        <v>13000</v>
      </c>
      <c r="F18">
        <f t="shared" si="1"/>
        <v>72400</v>
      </c>
      <c r="G18">
        <f t="shared" si="2"/>
        <v>13000</v>
      </c>
      <c r="I18">
        <f t="shared" si="4"/>
        <v>0</v>
      </c>
    </row>
    <row r="19" spans="1:9" x14ac:dyDescent="0.25">
      <c r="A19" s="1">
        <v>41260</v>
      </c>
      <c r="B19" s="2">
        <f t="shared" si="0"/>
        <v>1</v>
      </c>
      <c r="C19">
        <v>90</v>
      </c>
      <c r="D19">
        <f t="shared" si="3"/>
        <v>72400</v>
      </c>
      <c r="E19">
        <f t="shared" si="3"/>
        <v>13000</v>
      </c>
      <c r="F19">
        <f t="shared" si="1"/>
        <v>68800</v>
      </c>
      <c r="G19">
        <f t="shared" si="2"/>
        <v>13000</v>
      </c>
      <c r="I19">
        <f t="shared" si="4"/>
        <v>0</v>
      </c>
    </row>
    <row r="20" spans="1:9" x14ac:dyDescent="0.25">
      <c r="A20" s="1">
        <v>41261</v>
      </c>
      <c r="B20" s="2">
        <f t="shared" si="0"/>
        <v>2</v>
      </c>
      <c r="C20">
        <v>90</v>
      </c>
      <c r="D20">
        <f t="shared" si="3"/>
        <v>68800</v>
      </c>
      <c r="E20">
        <f t="shared" si="3"/>
        <v>13000</v>
      </c>
      <c r="F20">
        <f t="shared" si="1"/>
        <v>65200</v>
      </c>
      <c r="G20">
        <f t="shared" si="2"/>
        <v>17000</v>
      </c>
      <c r="I20">
        <f t="shared" si="4"/>
        <v>1</v>
      </c>
    </row>
    <row r="21" spans="1:9" x14ac:dyDescent="0.25">
      <c r="A21" s="1">
        <v>41262</v>
      </c>
      <c r="B21" s="2">
        <f t="shared" si="0"/>
        <v>3</v>
      </c>
      <c r="C21">
        <v>90</v>
      </c>
      <c r="D21">
        <f t="shared" si="3"/>
        <v>65200</v>
      </c>
      <c r="E21">
        <f t="shared" si="3"/>
        <v>17000</v>
      </c>
      <c r="F21">
        <f t="shared" si="1"/>
        <v>61600</v>
      </c>
      <c r="G21">
        <f t="shared" si="2"/>
        <v>17000</v>
      </c>
      <c r="I21">
        <f t="shared" si="4"/>
        <v>0</v>
      </c>
    </row>
    <row r="22" spans="1:9" x14ac:dyDescent="0.25">
      <c r="A22" s="1">
        <v>41263</v>
      </c>
      <c r="B22" s="2">
        <f t="shared" si="0"/>
        <v>4</v>
      </c>
      <c r="C22">
        <v>90</v>
      </c>
      <c r="D22">
        <f t="shared" si="3"/>
        <v>61600</v>
      </c>
      <c r="E22">
        <f t="shared" si="3"/>
        <v>17000</v>
      </c>
      <c r="F22">
        <f t="shared" si="1"/>
        <v>58000</v>
      </c>
      <c r="G22">
        <f t="shared" si="2"/>
        <v>17000</v>
      </c>
      <c r="I22">
        <f t="shared" si="4"/>
        <v>0</v>
      </c>
    </row>
    <row r="23" spans="1:9" x14ac:dyDescent="0.25">
      <c r="A23" s="1">
        <v>41264</v>
      </c>
      <c r="B23" s="2">
        <f t="shared" si="0"/>
        <v>5</v>
      </c>
      <c r="C23">
        <v>90</v>
      </c>
      <c r="D23">
        <f t="shared" si="3"/>
        <v>58000</v>
      </c>
      <c r="E23">
        <f t="shared" si="3"/>
        <v>17000</v>
      </c>
      <c r="F23">
        <f t="shared" si="1"/>
        <v>69400</v>
      </c>
      <c r="G23">
        <f t="shared" si="2"/>
        <v>17000</v>
      </c>
      <c r="I23">
        <f t="shared" si="4"/>
        <v>0</v>
      </c>
    </row>
    <row r="24" spans="1:9" x14ac:dyDescent="0.25">
      <c r="A24" s="1">
        <v>41265</v>
      </c>
      <c r="B24" s="2">
        <f t="shared" si="0"/>
        <v>6</v>
      </c>
      <c r="C24">
        <v>90</v>
      </c>
      <c r="D24">
        <f t="shared" si="3"/>
        <v>69400</v>
      </c>
      <c r="E24">
        <f t="shared" si="3"/>
        <v>17000</v>
      </c>
      <c r="F24">
        <f t="shared" si="1"/>
        <v>65800</v>
      </c>
      <c r="G24">
        <f t="shared" si="2"/>
        <v>17000</v>
      </c>
      <c r="I24">
        <f t="shared" si="4"/>
        <v>0</v>
      </c>
    </row>
    <row r="25" spans="1:9" x14ac:dyDescent="0.25">
      <c r="A25" s="1">
        <v>41266</v>
      </c>
      <c r="B25" s="2">
        <f t="shared" si="0"/>
        <v>7</v>
      </c>
      <c r="C25">
        <v>90</v>
      </c>
      <c r="D25">
        <f t="shared" si="3"/>
        <v>65800</v>
      </c>
      <c r="E25">
        <f t="shared" si="3"/>
        <v>17000</v>
      </c>
      <c r="F25">
        <f t="shared" si="1"/>
        <v>62200</v>
      </c>
      <c r="G25">
        <f t="shared" si="2"/>
        <v>17000</v>
      </c>
      <c r="I25">
        <f t="shared" si="4"/>
        <v>0</v>
      </c>
    </row>
    <row r="26" spans="1:9" x14ac:dyDescent="0.25">
      <c r="A26" s="1">
        <v>41267</v>
      </c>
      <c r="B26" s="2">
        <f t="shared" si="0"/>
        <v>1</v>
      </c>
      <c r="C26">
        <v>90</v>
      </c>
      <c r="D26">
        <f t="shared" si="3"/>
        <v>62200</v>
      </c>
      <c r="E26">
        <f t="shared" si="3"/>
        <v>17000</v>
      </c>
      <c r="F26">
        <f t="shared" si="1"/>
        <v>58600</v>
      </c>
      <c r="G26">
        <f t="shared" si="2"/>
        <v>17000</v>
      </c>
      <c r="I26">
        <f t="shared" si="4"/>
        <v>0</v>
      </c>
    </row>
    <row r="27" spans="1:9" x14ac:dyDescent="0.25">
      <c r="A27" s="1">
        <v>41268</v>
      </c>
      <c r="B27" s="2">
        <f t="shared" si="0"/>
        <v>2</v>
      </c>
      <c r="C27">
        <v>90</v>
      </c>
      <c r="D27">
        <f t="shared" si="3"/>
        <v>58600</v>
      </c>
      <c r="E27">
        <f t="shared" si="3"/>
        <v>17000</v>
      </c>
      <c r="F27">
        <f t="shared" si="1"/>
        <v>55000</v>
      </c>
      <c r="G27">
        <f t="shared" si="2"/>
        <v>21000</v>
      </c>
      <c r="I27">
        <f t="shared" si="4"/>
        <v>1</v>
      </c>
    </row>
    <row r="28" spans="1:9" x14ac:dyDescent="0.25">
      <c r="A28" s="1">
        <v>41269</v>
      </c>
      <c r="B28" s="2">
        <f t="shared" si="0"/>
        <v>3</v>
      </c>
      <c r="C28">
        <v>90</v>
      </c>
      <c r="D28">
        <f t="shared" si="3"/>
        <v>55000</v>
      </c>
      <c r="E28">
        <f t="shared" si="3"/>
        <v>21000</v>
      </c>
      <c r="F28">
        <f t="shared" si="1"/>
        <v>51400</v>
      </c>
      <c r="G28">
        <f t="shared" si="2"/>
        <v>21000</v>
      </c>
      <c r="I28">
        <f t="shared" si="4"/>
        <v>0</v>
      </c>
    </row>
    <row r="29" spans="1:9" x14ac:dyDescent="0.25">
      <c r="A29" s="1">
        <v>41270</v>
      </c>
      <c r="B29" s="2">
        <f t="shared" si="0"/>
        <v>4</v>
      </c>
      <c r="C29">
        <v>90</v>
      </c>
      <c r="D29">
        <f t="shared" si="3"/>
        <v>51400</v>
      </c>
      <c r="E29">
        <f t="shared" si="3"/>
        <v>21000</v>
      </c>
      <c r="F29">
        <f t="shared" si="1"/>
        <v>47800</v>
      </c>
      <c r="G29">
        <f t="shared" si="2"/>
        <v>21000</v>
      </c>
      <c r="I29">
        <f t="shared" si="4"/>
        <v>0</v>
      </c>
    </row>
    <row r="30" spans="1:9" x14ac:dyDescent="0.25">
      <c r="A30" s="3">
        <v>41271</v>
      </c>
      <c r="B30" s="4">
        <f t="shared" si="0"/>
        <v>5</v>
      </c>
      <c r="C30" s="5">
        <v>90</v>
      </c>
      <c r="D30" s="5">
        <f t="shared" si="3"/>
        <v>47800</v>
      </c>
      <c r="E30" s="5">
        <f t="shared" si="3"/>
        <v>21000</v>
      </c>
      <c r="F30" s="5">
        <f t="shared" si="1"/>
        <v>62800</v>
      </c>
      <c r="G30" s="5">
        <f t="shared" si="2"/>
        <v>19200</v>
      </c>
      <c r="I30">
        <f t="shared" si="4"/>
        <v>0</v>
      </c>
    </row>
    <row r="31" spans="1:9" x14ac:dyDescent="0.25">
      <c r="A31" s="1">
        <v>41272</v>
      </c>
      <c r="B31" s="2">
        <f t="shared" si="0"/>
        <v>6</v>
      </c>
      <c r="C31">
        <v>90</v>
      </c>
      <c r="D31">
        <f t="shared" si="3"/>
        <v>62800</v>
      </c>
      <c r="E31">
        <f t="shared" si="3"/>
        <v>19200</v>
      </c>
      <c r="F31">
        <f t="shared" si="1"/>
        <v>59200</v>
      </c>
      <c r="G31">
        <f t="shared" si="2"/>
        <v>19200</v>
      </c>
      <c r="I31">
        <f t="shared" si="4"/>
        <v>0</v>
      </c>
    </row>
    <row r="32" spans="1:9" x14ac:dyDescent="0.25">
      <c r="A32" s="1">
        <v>41273</v>
      </c>
      <c r="B32" s="2">
        <f t="shared" si="0"/>
        <v>7</v>
      </c>
      <c r="C32">
        <v>90</v>
      </c>
      <c r="D32">
        <f t="shared" si="3"/>
        <v>59200</v>
      </c>
      <c r="E32">
        <f t="shared" si="3"/>
        <v>19200</v>
      </c>
      <c r="F32">
        <f t="shared" si="1"/>
        <v>55600</v>
      </c>
      <c r="G32">
        <f t="shared" si="2"/>
        <v>19200</v>
      </c>
      <c r="I32">
        <f t="shared" si="4"/>
        <v>0</v>
      </c>
    </row>
    <row r="33" spans="1:9" x14ac:dyDescent="0.25">
      <c r="A33" s="1">
        <v>41274</v>
      </c>
      <c r="B33" s="2">
        <f t="shared" si="0"/>
        <v>1</v>
      </c>
      <c r="C33">
        <v>90</v>
      </c>
      <c r="D33">
        <f t="shared" si="3"/>
        <v>55600</v>
      </c>
      <c r="E33">
        <f t="shared" si="3"/>
        <v>19200</v>
      </c>
      <c r="F33">
        <f t="shared" si="1"/>
        <v>52000</v>
      </c>
      <c r="G33">
        <f t="shared" si="2"/>
        <v>19200</v>
      </c>
      <c r="I33">
        <f t="shared" si="4"/>
        <v>0</v>
      </c>
    </row>
    <row r="34" spans="1:9" x14ac:dyDescent="0.25">
      <c r="A34" s="1">
        <v>41275</v>
      </c>
      <c r="B34" s="2">
        <f t="shared" si="0"/>
        <v>2</v>
      </c>
      <c r="C34">
        <v>90</v>
      </c>
      <c r="D34">
        <f t="shared" si="3"/>
        <v>52000</v>
      </c>
      <c r="E34">
        <f t="shared" si="3"/>
        <v>19200</v>
      </c>
      <c r="F34">
        <f t="shared" si="1"/>
        <v>48400</v>
      </c>
      <c r="G34">
        <f t="shared" si="2"/>
        <v>23200</v>
      </c>
      <c r="I34">
        <f t="shared" si="4"/>
        <v>1</v>
      </c>
    </row>
    <row r="35" spans="1:9" x14ac:dyDescent="0.25">
      <c r="A35" s="1">
        <v>41276</v>
      </c>
      <c r="B35" s="2">
        <f t="shared" si="0"/>
        <v>3</v>
      </c>
      <c r="C35">
        <v>90</v>
      </c>
      <c r="D35">
        <f t="shared" si="3"/>
        <v>48400</v>
      </c>
      <c r="E35">
        <f t="shared" si="3"/>
        <v>23200</v>
      </c>
      <c r="F35">
        <f t="shared" si="1"/>
        <v>48400</v>
      </c>
      <c r="G35">
        <f t="shared" si="2"/>
        <v>21400</v>
      </c>
      <c r="I35">
        <f t="shared" si="4"/>
        <v>0</v>
      </c>
    </row>
    <row r="36" spans="1:9" x14ac:dyDescent="0.25">
      <c r="A36" s="1">
        <v>41277</v>
      </c>
      <c r="B36" s="2">
        <f t="shared" si="0"/>
        <v>4</v>
      </c>
      <c r="C36">
        <v>90</v>
      </c>
      <c r="D36">
        <f t="shared" si="3"/>
        <v>48400</v>
      </c>
      <c r="E36">
        <f t="shared" si="3"/>
        <v>21400</v>
      </c>
      <c r="F36">
        <f t="shared" si="1"/>
        <v>48400</v>
      </c>
      <c r="G36">
        <f t="shared" si="2"/>
        <v>19600</v>
      </c>
      <c r="I36">
        <f t="shared" si="4"/>
        <v>0</v>
      </c>
    </row>
    <row r="37" spans="1:9" x14ac:dyDescent="0.25">
      <c r="A37" s="1">
        <v>41278</v>
      </c>
      <c r="B37" s="2">
        <f t="shared" si="0"/>
        <v>5</v>
      </c>
      <c r="C37">
        <v>90</v>
      </c>
      <c r="D37">
        <f t="shared" si="3"/>
        <v>48400</v>
      </c>
      <c r="E37">
        <f t="shared" si="3"/>
        <v>19600</v>
      </c>
      <c r="F37">
        <f t="shared" si="1"/>
        <v>63400</v>
      </c>
      <c r="G37">
        <f t="shared" si="2"/>
        <v>17800</v>
      </c>
      <c r="I37">
        <f t="shared" si="4"/>
        <v>0</v>
      </c>
    </row>
    <row r="38" spans="1:9" x14ac:dyDescent="0.25">
      <c r="A38" s="1">
        <v>41279</v>
      </c>
      <c r="B38" s="2">
        <f t="shared" si="0"/>
        <v>6</v>
      </c>
      <c r="C38">
        <v>90</v>
      </c>
      <c r="D38">
        <f t="shared" si="3"/>
        <v>63400</v>
      </c>
      <c r="E38">
        <f t="shared" si="3"/>
        <v>17800</v>
      </c>
      <c r="F38">
        <f t="shared" si="1"/>
        <v>59800</v>
      </c>
      <c r="G38">
        <f t="shared" si="2"/>
        <v>17800</v>
      </c>
      <c r="I38">
        <f t="shared" si="4"/>
        <v>0</v>
      </c>
    </row>
    <row r="39" spans="1:9" x14ac:dyDescent="0.25">
      <c r="A39" s="1">
        <v>41280</v>
      </c>
      <c r="B39" s="2">
        <f t="shared" si="0"/>
        <v>7</v>
      </c>
      <c r="C39">
        <v>90</v>
      </c>
      <c r="D39">
        <f t="shared" si="3"/>
        <v>59800</v>
      </c>
      <c r="E39">
        <f t="shared" si="3"/>
        <v>17800</v>
      </c>
      <c r="F39">
        <f t="shared" si="1"/>
        <v>56200</v>
      </c>
      <c r="G39">
        <f t="shared" si="2"/>
        <v>17800</v>
      </c>
      <c r="I39">
        <f t="shared" si="4"/>
        <v>0</v>
      </c>
    </row>
    <row r="40" spans="1:9" x14ac:dyDescent="0.25">
      <c r="A40" s="1">
        <v>41281</v>
      </c>
      <c r="B40" s="2">
        <f t="shared" si="0"/>
        <v>1</v>
      </c>
      <c r="C40">
        <v>90</v>
      </c>
      <c r="D40">
        <f t="shared" si="3"/>
        <v>56200</v>
      </c>
      <c r="E40">
        <f t="shared" si="3"/>
        <v>17800</v>
      </c>
      <c r="F40">
        <f t="shared" si="1"/>
        <v>52600</v>
      </c>
      <c r="G40">
        <f t="shared" si="2"/>
        <v>17800</v>
      </c>
      <c r="I40">
        <f t="shared" si="4"/>
        <v>0</v>
      </c>
    </row>
    <row r="41" spans="1:9" x14ac:dyDescent="0.25">
      <c r="A41" s="1">
        <v>41282</v>
      </c>
      <c r="B41" s="2">
        <f t="shared" si="0"/>
        <v>2</v>
      </c>
      <c r="C41">
        <v>90</v>
      </c>
      <c r="D41">
        <f t="shared" si="3"/>
        <v>52600</v>
      </c>
      <c r="E41">
        <f t="shared" si="3"/>
        <v>17800</v>
      </c>
      <c r="F41">
        <f t="shared" si="1"/>
        <v>49000</v>
      </c>
      <c r="G41">
        <f t="shared" si="2"/>
        <v>21800</v>
      </c>
      <c r="I41">
        <f t="shared" si="4"/>
        <v>1</v>
      </c>
    </row>
    <row r="42" spans="1:9" x14ac:dyDescent="0.25">
      <c r="A42" s="1">
        <v>41283</v>
      </c>
      <c r="B42" s="2">
        <f t="shared" si="0"/>
        <v>3</v>
      </c>
      <c r="C42">
        <v>90</v>
      </c>
      <c r="D42">
        <f t="shared" si="3"/>
        <v>49000</v>
      </c>
      <c r="E42">
        <f t="shared" si="3"/>
        <v>21800</v>
      </c>
      <c r="F42">
        <f t="shared" si="1"/>
        <v>49000</v>
      </c>
      <c r="G42">
        <f t="shared" si="2"/>
        <v>20000</v>
      </c>
      <c r="I42">
        <f t="shared" si="4"/>
        <v>0</v>
      </c>
    </row>
    <row r="43" spans="1:9" x14ac:dyDescent="0.25">
      <c r="A43" s="1">
        <v>41284</v>
      </c>
      <c r="B43" s="2">
        <f t="shared" si="0"/>
        <v>4</v>
      </c>
      <c r="C43">
        <v>90</v>
      </c>
      <c r="D43">
        <f t="shared" si="3"/>
        <v>49000</v>
      </c>
      <c r="E43">
        <f t="shared" si="3"/>
        <v>20000</v>
      </c>
      <c r="F43">
        <f t="shared" si="1"/>
        <v>49000</v>
      </c>
      <c r="G43">
        <f t="shared" si="2"/>
        <v>18200</v>
      </c>
      <c r="I43">
        <f t="shared" si="4"/>
        <v>0</v>
      </c>
    </row>
    <row r="44" spans="1:9" x14ac:dyDescent="0.25">
      <c r="A44" s="1">
        <v>41285</v>
      </c>
      <c r="B44" s="2">
        <f t="shared" si="0"/>
        <v>5</v>
      </c>
      <c r="C44">
        <v>90</v>
      </c>
      <c r="D44">
        <f t="shared" si="3"/>
        <v>49000</v>
      </c>
      <c r="E44">
        <f t="shared" si="3"/>
        <v>18200</v>
      </c>
      <c r="F44">
        <f t="shared" si="1"/>
        <v>64000</v>
      </c>
      <c r="G44">
        <f t="shared" si="2"/>
        <v>16400</v>
      </c>
      <c r="I44">
        <f t="shared" si="4"/>
        <v>0</v>
      </c>
    </row>
    <row r="45" spans="1:9" x14ac:dyDescent="0.25">
      <c r="A45" s="1">
        <v>41286</v>
      </c>
      <c r="B45" s="2">
        <f t="shared" si="0"/>
        <v>6</v>
      </c>
      <c r="C45">
        <v>90</v>
      </c>
      <c r="D45">
        <f t="shared" si="3"/>
        <v>64000</v>
      </c>
      <c r="E45">
        <f t="shared" si="3"/>
        <v>16400</v>
      </c>
      <c r="F45">
        <f t="shared" si="1"/>
        <v>60400</v>
      </c>
      <c r="G45">
        <f t="shared" si="2"/>
        <v>16400</v>
      </c>
      <c r="I45">
        <f t="shared" si="4"/>
        <v>0</v>
      </c>
    </row>
    <row r="46" spans="1:9" x14ac:dyDescent="0.25">
      <c r="A46" s="1">
        <v>41287</v>
      </c>
      <c r="B46" s="2">
        <f t="shared" si="0"/>
        <v>7</v>
      </c>
      <c r="C46">
        <v>90</v>
      </c>
      <c r="D46">
        <f t="shared" si="3"/>
        <v>60400</v>
      </c>
      <c r="E46">
        <f t="shared" si="3"/>
        <v>16400</v>
      </c>
      <c r="F46">
        <f t="shared" si="1"/>
        <v>56800</v>
      </c>
      <c r="G46">
        <f t="shared" si="2"/>
        <v>16400</v>
      </c>
      <c r="I46">
        <f t="shared" si="4"/>
        <v>0</v>
      </c>
    </row>
    <row r="47" spans="1:9" x14ac:dyDescent="0.25">
      <c r="A47" s="1">
        <v>41288</v>
      </c>
      <c r="B47" s="2">
        <f t="shared" si="0"/>
        <v>1</v>
      </c>
      <c r="C47">
        <v>90</v>
      </c>
      <c r="D47">
        <f t="shared" si="3"/>
        <v>56800</v>
      </c>
      <c r="E47">
        <f t="shared" si="3"/>
        <v>16400</v>
      </c>
      <c r="F47">
        <f t="shared" si="1"/>
        <v>53200</v>
      </c>
      <c r="G47">
        <f t="shared" si="2"/>
        <v>16400</v>
      </c>
      <c r="I47">
        <f t="shared" si="4"/>
        <v>0</v>
      </c>
    </row>
    <row r="48" spans="1:9" x14ac:dyDescent="0.25">
      <c r="A48" s="1">
        <v>41289</v>
      </c>
      <c r="B48" s="2">
        <f t="shared" si="0"/>
        <v>2</v>
      </c>
      <c r="C48">
        <v>90</v>
      </c>
      <c r="D48">
        <f t="shared" si="3"/>
        <v>53200</v>
      </c>
      <c r="E48">
        <f t="shared" si="3"/>
        <v>16400</v>
      </c>
      <c r="F48">
        <f t="shared" si="1"/>
        <v>49600</v>
      </c>
      <c r="G48">
        <f t="shared" si="2"/>
        <v>20400</v>
      </c>
      <c r="I48">
        <f t="shared" si="4"/>
        <v>1</v>
      </c>
    </row>
    <row r="49" spans="1:9" x14ac:dyDescent="0.25">
      <c r="A49" s="1">
        <v>41290</v>
      </c>
      <c r="B49" s="2">
        <f t="shared" si="0"/>
        <v>3</v>
      </c>
      <c r="C49">
        <v>90</v>
      </c>
      <c r="D49">
        <f t="shared" si="3"/>
        <v>49600</v>
      </c>
      <c r="E49">
        <f t="shared" si="3"/>
        <v>20400</v>
      </c>
      <c r="F49">
        <f t="shared" si="1"/>
        <v>49600</v>
      </c>
      <c r="G49">
        <f t="shared" si="2"/>
        <v>18600</v>
      </c>
      <c r="I49">
        <f t="shared" si="4"/>
        <v>0</v>
      </c>
    </row>
    <row r="50" spans="1:9" x14ac:dyDescent="0.25">
      <c r="A50" s="1">
        <v>41291</v>
      </c>
      <c r="B50" s="2">
        <f t="shared" si="0"/>
        <v>4</v>
      </c>
      <c r="C50">
        <v>90</v>
      </c>
      <c r="D50">
        <f t="shared" si="3"/>
        <v>49600</v>
      </c>
      <c r="E50">
        <f t="shared" si="3"/>
        <v>18600</v>
      </c>
      <c r="F50">
        <f t="shared" si="1"/>
        <v>49600</v>
      </c>
      <c r="G50">
        <f t="shared" si="2"/>
        <v>16800</v>
      </c>
      <c r="I50">
        <f t="shared" si="4"/>
        <v>0</v>
      </c>
    </row>
    <row r="51" spans="1:9" x14ac:dyDescent="0.25">
      <c r="A51" s="1">
        <v>41292</v>
      </c>
      <c r="B51" s="2">
        <f t="shared" si="0"/>
        <v>5</v>
      </c>
      <c r="C51">
        <v>90</v>
      </c>
      <c r="D51">
        <f t="shared" si="3"/>
        <v>49600</v>
      </c>
      <c r="E51">
        <f t="shared" si="3"/>
        <v>16800</v>
      </c>
      <c r="F51">
        <f t="shared" si="1"/>
        <v>64600</v>
      </c>
      <c r="G51">
        <f t="shared" si="2"/>
        <v>15000</v>
      </c>
      <c r="I51">
        <f t="shared" si="4"/>
        <v>0</v>
      </c>
    </row>
    <row r="52" spans="1:9" x14ac:dyDescent="0.25">
      <c r="A52" s="1">
        <v>41293</v>
      </c>
      <c r="B52" s="2">
        <f t="shared" si="0"/>
        <v>6</v>
      </c>
      <c r="C52">
        <v>90</v>
      </c>
      <c r="D52">
        <f t="shared" si="3"/>
        <v>64600</v>
      </c>
      <c r="E52">
        <f t="shared" si="3"/>
        <v>15000</v>
      </c>
      <c r="F52">
        <f t="shared" si="1"/>
        <v>61000</v>
      </c>
      <c r="G52">
        <f t="shared" si="2"/>
        <v>15000</v>
      </c>
      <c r="I52">
        <f t="shared" si="4"/>
        <v>0</v>
      </c>
    </row>
    <row r="53" spans="1:9" x14ac:dyDescent="0.25">
      <c r="A53" s="1">
        <v>41294</v>
      </c>
      <c r="B53" s="2">
        <f t="shared" si="0"/>
        <v>7</v>
      </c>
      <c r="C53">
        <v>90</v>
      </c>
      <c r="D53">
        <f t="shared" si="3"/>
        <v>61000</v>
      </c>
      <c r="E53">
        <f t="shared" si="3"/>
        <v>15000</v>
      </c>
      <c r="F53">
        <f t="shared" si="1"/>
        <v>57400</v>
      </c>
      <c r="G53">
        <f t="shared" si="2"/>
        <v>15000</v>
      </c>
      <c r="I53">
        <f t="shared" si="4"/>
        <v>0</v>
      </c>
    </row>
    <row r="54" spans="1:9" x14ac:dyDescent="0.25">
      <c r="A54" s="1">
        <v>41295</v>
      </c>
      <c r="B54" s="2">
        <f t="shared" si="0"/>
        <v>1</v>
      </c>
      <c r="C54">
        <v>90</v>
      </c>
      <c r="D54">
        <f t="shared" si="3"/>
        <v>57400</v>
      </c>
      <c r="E54">
        <f t="shared" si="3"/>
        <v>15000</v>
      </c>
      <c r="F54">
        <f t="shared" si="1"/>
        <v>53800</v>
      </c>
      <c r="G54">
        <f t="shared" si="2"/>
        <v>15000</v>
      </c>
      <c r="I54">
        <f t="shared" si="4"/>
        <v>0</v>
      </c>
    </row>
    <row r="55" spans="1:9" x14ac:dyDescent="0.25">
      <c r="A55" s="1">
        <v>41296</v>
      </c>
      <c r="B55" s="2">
        <f t="shared" si="0"/>
        <v>2</v>
      </c>
      <c r="C55">
        <v>90</v>
      </c>
      <c r="D55">
        <f t="shared" si="3"/>
        <v>53800</v>
      </c>
      <c r="E55">
        <f t="shared" si="3"/>
        <v>15000</v>
      </c>
      <c r="F55">
        <f t="shared" si="1"/>
        <v>50200</v>
      </c>
      <c r="G55">
        <f t="shared" si="2"/>
        <v>19000</v>
      </c>
      <c r="I55">
        <f t="shared" si="4"/>
        <v>1</v>
      </c>
    </row>
    <row r="56" spans="1:9" x14ac:dyDescent="0.25">
      <c r="A56" s="1">
        <v>41297</v>
      </c>
      <c r="B56" s="2">
        <f t="shared" si="0"/>
        <v>3</v>
      </c>
      <c r="C56">
        <v>90</v>
      </c>
      <c r="D56">
        <f t="shared" si="3"/>
        <v>50200</v>
      </c>
      <c r="E56">
        <f t="shared" si="3"/>
        <v>19000</v>
      </c>
      <c r="F56">
        <f t="shared" si="1"/>
        <v>46600</v>
      </c>
      <c r="G56">
        <f t="shared" si="2"/>
        <v>19000</v>
      </c>
      <c r="I56">
        <f t="shared" si="4"/>
        <v>0</v>
      </c>
    </row>
    <row r="57" spans="1:9" x14ac:dyDescent="0.25">
      <c r="A57" s="1">
        <v>41298</v>
      </c>
      <c r="B57" s="2">
        <f t="shared" si="0"/>
        <v>4</v>
      </c>
      <c r="C57">
        <v>90</v>
      </c>
      <c r="D57">
        <f t="shared" si="3"/>
        <v>46600</v>
      </c>
      <c r="E57">
        <f t="shared" si="3"/>
        <v>19000</v>
      </c>
      <c r="F57">
        <f t="shared" si="1"/>
        <v>46600</v>
      </c>
      <c r="G57">
        <f t="shared" si="2"/>
        <v>17200</v>
      </c>
      <c r="I57">
        <f t="shared" si="4"/>
        <v>0</v>
      </c>
    </row>
    <row r="58" spans="1:9" x14ac:dyDescent="0.25">
      <c r="A58" s="1">
        <v>41299</v>
      </c>
      <c r="B58" s="2">
        <f t="shared" si="0"/>
        <v>5</v>
      </c>
      <c r="C58">
        <v>90</v>
      </c>
      <c r="D58">
        <f t="shared" si="3"/>
        <v>46600</v>
      </c>
      <c r="E58">
        <f t="shared" si="3"/>
        <v>17200</v>
      </c>
      <c r="F58">
        <f t="shared" si="1"/>
        <v>61600</v>
      </c>
      <c r="G58">
        <f t="shared" si="2"/>
        <v>15400</v>
      </c>
      <c r="I58">
        <f t="shared" si="4"/>
        <v>0</v>
      </c>
    </row>
    <row r="59" spans="1:9" x14ac:dyDescent="0.25">
      <c r="A59" s="1">
        <v>41300</v>
      </c>
      <c r="B59" s="2">
        <f t="shared" si="0"/>
        <v>6</v>
      </c>
      <c r="C59">
        <v>90</v>
      </c>
      <c r="D59">
        <f t="shared" si="3"/>
        <v>61600</v>
      </c>
      <c r="E59">
        <f t="shared" si="3"/>
        <v>15400</v>
      </c>
      <c r="F59">
        <f t="shared" si="1"/>
        <v>58000</v>
      </c>
      <c r="G59">
        <f t="shared" si="2"/>
        <v>15400</v>
      </c>
      <c r="I59">
        <f t="shared" si="4"/>
        <v>0</v>
      </c>
    </row>
    <row r="60" spans="1:9" x14ac:dyDescent="0.25">
      <c r="A60" s="1">
        <v>41301</v>
      </c>
      <c r="B60" s="2">
        <f t="shared" si="0"/>
        <v>7</v>
      </c>
      <c r="C60">
        <v>90</v>
      </c>
      <c r="D60">
        <f t="shared" si="3"/>
        <v>58000</v>
      </c>
      <c r="E60">
        <f t="shared" si="3"/>
        <v>15400</v>
      </c>
      <c r="F60">
        <f t="shared" si="1"/>
        <v>54400</v>
      </c>
      <c r="G60">
        <f t="shared" si="2"/>
        <v>15400</v>
      </c>
      <c r="I60">
        <f t="shared" si="4"/>
        <v>0</v>
      </c>
    </row>
    <row r="61" spans="1:9" x14ac:dyDescent="0.25">
      <c r="A61" s="1">
        <v>41302</v>
      </c>
      <c r="B61" s="2">
        <f t="shared" si="0"/>
        <v>1</v>
      </c>
      <c r="C61">
        <v>90</v>
      </c>
      <c r="D61">
        <f t="shared" si="3"/>
        <v>54400</v>
      </c>
      <c r="E61">
        <f t="shared" si="3"/>
        <v>15400</v>
      </c>
      <c r="F61">
        <f t="shared" si="1"/>
        <v>50800</v>
      </c>
      <c r="G61">
        <f t="shared" si="2"/>
        <v>15400</v>
      </c>
      <c r="I61">
        <f t="shared" si="4"/>
        <v>0</v>
      </c>
    </row>
    <row r="62" spans="1:9" x14ac:dyDescent="0.25">
      <c r="A62" s="1">
        <v>41303</v>
      </c>
      <c r="B62" s="2">
        <f t="shared" si="0"/>
        <v>2</v>
      </c>
      <c r="C62">
        <v>90</v>
      </c>
      <c r="D62">
        <f t="shared" si="3"/>
        <v>50800</v>
      </c>
      <c r="E62">
        <f t="shared" si="3"/>
        <v>15400</v>
      </c>
      <c r="F62">
        <f t="shared" si="1"/>
        <v>47200</v>
      </c>
      <c r="G62">
        <f t="shared" si="2"/>
        <v>19400</v>
      </c>
    </row>
    <row r="63" spans="1:9" x14ac:dyDescent="0.25">
      <c r="A63" s="1">
        <v>41304</v>
      </c>
      <c r="B63" s="2">
        <f t="shared" si="0"/>
        <v>3</v>
      </c>
      <c r="C63">
        <v>90</v>
      </c>
      <c r="D63">
        <f t="shared" si="3"/>
        <v>47200</v>
      </c>
      <c r="E63">
        <f t="shared" si="3"/>
        <v>19400</v>
      </c>
      <c r="F63">
        <f t="shared" si="1"/>
        <v>47200</v>
      </c>
      <c r="G63">
        <f t="shared" si="2"/>
        <v>17600</v>
      </c>
    </row>
    <row r="64" spans="1:9" x14ac:dyDescent="0.25">
      <c r="A64" s="1">
        <v>41305</v>
      </c>
      <c r="B64" s="2">
        <f t="shared" si="0"/>
        <v>4</v>
      </c>
      <c r="C64">
        <v>90</v>
      </c>
      <c r="D64">
        <f t="shared" si="3"/>
        <v>47200</v>
      </c>
      <c r="E64">
        <f t="shared" si="3"/>
        <v>17600</v>
      </c>
      <c r="F64">
        <f t="shared" si="1"/>
        <v>47200</v>
      </c>
      <c r="G64">
        <f t="shared" si="2"/>
        <v>15800</v>
      </c>
    </row>
    <row r="65" spans="1:7" x14ac:dyDescent="0.25">
      <c r="A65" s="1">
        <v>41306</v>
      </c>
      <c r="B65" s="2">
        <f t="shared" si="0"/>
        <v>5</v>
      </c>
      <c r="C65">
        <v>90</v>
      </c>
      <c r="D65">
        <f t="shared" si="3"/>
        <v>47200</v>
      </c>
      <c r="E65">
        <f t="shared" si="3"/>
        <v>15800</v>
      </c>
      <c r="F65">
        <f t="shared" si="1"/>
        <v>62200</v>
      </c>
      <c r="G65">
        <f t="shared" si="2"/>
        <v>14000</v>
      </c>
    </row>
    <row r="66" spans="1:7" x14ac:dyDescent="0.25">
      <c r="A66" s="1">
        <v>41307</v>
      </c>
      <c r="B66" s="2">
        <f t="shared" si="0"/>
        <v>6</v>
      </c>
      <c r="C66">
        <v>90</v>
      </c>
      <c r="D66">
        <f t="shared" si="3"/>
        <v>62200</v>
      </c>
      <c r="E66">
        <f t="shared" si="3"/>
        <v>14000</v>
      </c>
      <c r="F66">
        <f t="shared" si="1"/>
        <v>58600</v>
      </c>
      <c r="G66">
        <f t="shared" si="2"/>
        <v>14000</v>
      </c>
    </row>
    <row r="67" spans="1:7" x14ac:dyDescent="0.25">
      <c r="A67" s="1">
        <v>41308</v>
      </c>
      <c r="B67" s="2">
        <f t="shared" si="0"/>
        <v>7</v>
      </c>
      <c r="C67">
        <v>90</v>
      </c>
      <c r="D67">
        <f t="shared" si="3"/>
        <v>58600</v>
      </c>
      <c r="E67">
        <f t="shared" si="3"/>
        <v>14000</v>
      </c>
      <c r="F67">
        <f t="shared" si="1"/>
        <v>55000</v>
      </c>
      <c r="G67">
        <f t="shared" si="2"/>
        <v>14000</v>
      </c>
    </row>
    <row r="68" spans="1:7" x14ac:dyDescent="0.25">
      <c r="A68" s="1">
        <v>41309</v>
      </c>
      <c r="B68" s="2">
        <f t="shared" ref="B68:B92" si="5">WEEKDAY(A68,2)</f>
        <v>1</v>
      </c>
      <c r="C68">
        <v>90</v>
      </c>
      <c r="D68">
        <f t="shared" si="3"/>
        <v>55000</v>
      </c>
      <c r="E68">
        <f t="shared" si="3"/>
        <v>14000</v>
      </c>
      <c r="F68">
        <f t="shared" ref="F68:F92" si="6">IF(D68&gt;=50000,D68-(C68*40),D68)+IF(B68=5,15000,0)</f>
        <v>51400</v>
      </c>
      <c r="G68">
        <f t="shared" ref="G68:G92" si="7">IF(D68&lt;50000,E68-(C68*20),E68)+IF(B68=2,4000,0)</f>
        <v>14000</v>
      </c>
    </row>
    <row r="69" spans="1:7" x14ac:dyDescent="0.25">
      <c r="A69" s="1">
        <v>41310</v>
      </c>
      <c r="B69" s="2">
        <f t="shared" si="5"/>
        <v>2</v>
      </c>
      <c r="C69">
        <v>90</v>
      </c>
      <c r="D69">
        <f t="shared" ref="D69:E84" si="8">F68</f>
        <v>51400</v>
      </c>
      <c r="E69">
        <f t="shared" si="8"/>
        <v>14000</v>
      </c>
      <c r="F69">
        <f t="shared" si="6"/>
        <v>47800</v>
      </c>
      <c r="G69">
        <f t="shared" si="7"/>
        <v>18000</v>
      </c>
    </row>
    <row r="70" spans="1:7" x14ac:dyDescent="0.25">
      <c r="A70" s="1">
        <v>41311</v>
      </c>
      <c r="B70" s="2">
        <f t="shared" si="5"/>
        <v>3</v>
      </c>
      <c r="C70">
        <v>90</v>
      </c>
      <c r="D70">
        <f t="shared" si="8"/>
        <v>47800</v>
      </c>
      <c r="E70">
        <f t="shared" si="8"/>
        <v>18000</v>
      </c>
      <c r="F70">
        <f t="shared" si="6"/>
        <v>47800</v>
      </c>
      <c r="G70">
        <f t="shared" si="7"/>
        <v>16200</v>
      </c>
    </row>
    <row r="71" spans="1:7" x14ac:dyDescent="0.25">
      <c r="A71" s="1">
        <v>41312</v>
      </c>
      <c r="B71" s="2">
        <f t="shared" si="5"/>
        <v>4</v>
      </c>
      <c r="C71">
        <v>90</v>
      </c>
      <c r="D71">
        <f t="shared" si="8"/>
        <v>47800</v>
      </c>
      <c r="E71">
        <f t="shared" si="8"/>
        <v>16200</v>
      </c>
      <c r="F71">
        <f t="shared" si="6"/>
        <v>47800</v>
      </c>
      <c r="G71">
        <f t="shared" si="7"/>
        <v>14400</v>
      </c>
    </row>
    <row r="72" spans="1:7" x14ac:dyDescent="0.25">
      <c r="A72" s="1">
        <v>41313</v>
      </c>
      <c r="B72" s="2">
        <f t="shared" si="5"/>
        <v>5</v>
      </c>
      <c r="C72">
        <v>90</v>
      </c>
      <c r="D72">
        <f t="shared" si="8"/>
        <v>47800</v>
      </c>
      <c r="E72">
        <f t="shared" si="8"/>
        <v>14400</v>
      </c>
      <c r="F72">
        <f t="shared" si="6"/>
        <v>62800</v>
      </c>
      <c r="G72">
        <f t="shared" si="7"/>
        <v>12600</v>
      </c>
    </row>
    <row r="73" spans="1:7" x14ac:dyDescent="0.25">
      <c r="A73" s="1">
        <v>41314</v>
      </c>
      <c r="B73" s="2">
        <f t="shared" si="5"/>
        <v>6</v>
      </c>
      <c r="C73">
        <v>90</v>
      </c>
      <c r="D73">
        <f t="shared" si="8"/>
        <v>62800</v>
      </c>
      <c r="E73">
        <f t="shared" si="8"/>
        <v>12600</v>
      </c>
      <c r="F73">
        <f t="shared" si="6"/>
        <v>59200</v>
      </c>
      <c r="G73">
        <f t="shared" si="7"/>
        <v>12600</v>
      </c>
    </row>
    <row r="74" spans="1:7" x14ac:dyDescent="0.25">
      <c r="A74" s="1">
        <v>41315</v>
      </c>
      <c r="B74" s="2">
        <f t="shared" si="5"/>
        <v>7</v>
      </c>
      <c r="C74">
        <v>90</v>
      </c>
      <c r="D74">
        <f t="shared" si="8"/>
        <v>59200</v>
      </c>
      <c r="E74">
        <f t="shared" si="8"/>
        <v>12600</v>
      </c>
      <c r="F74">
        <f t="shared" si="6"/>
        <v>55600</v>
      </c>
      <c r="G74">
        <f t="shared" si="7"/>
        <v>12600</v>
      </c>
    </row>
    <row r="75" spans="1:7" x14ac:dyDescent="0.25">
      <c r="A75" s="1">
        <v>41316</v>
      </c>
      <c r="B75" s="2">
        <f t="shared" si="5"/>
        <v>1</v>
      </c>
      <c r="C75">
        <v>90</v>
      </c>
      <c r="D75">
        <f t="shared" si="8"/>
        <v>55600</v>
      </c>
      <c r="E75">
        <f t="shared" si="8"/>
        <v>12600</v>
      </c>
      <c r="F75">
        <f t="shared" si="6"/>
        <v>52000</v>
      </c>
      <c r="G75">
        <f t="shared" si="7"/>
        <v>12600</v>
      </c>
    </row>
    <row r="76" spans="1:7" x14ac:dyDescent="0.25">
      <c r="A76" s="1">
        <v>41317</v>
      </c>
      <c r="B76" s="2">
        <f t="shared" si="5"/>
        <v>2</v>
      </c>
      <c r="C76">
        <v>90</v>
      </c>
      <c r="D76">
        <f t="shared" si="8"/>
        <v>52000</v>
      </c>
      <c r="E76">
        <f t="shared" si="8"/>
        <v>12600</v>
      </c>
      <c r="F76">
        <f t="shared" si="6"/>
        <v>48400</v>
      </c>
      <c r="G76">
        <f t="shared" si="7"/>
        <v>16600</v>
      </c>
    </row>
    <row r="77" spans="1:7" x14ac:dyDescent="0.25">
      <c r="A77" s="1">
        <v>41318</v>
      </c>
      <c r="B77" s="2">
        <f t="shared" si="5"/>
        <v>3</v>
      </c>
      <c r="C77">
        <v>90</v>
      </c>
      <c r="D77">
        <f t="shared" si="8"/>
        <v>48400</v>
      </c>
      <c r="E77">
        <f t="shared" si="8"/>
        <v>16600</v>
      </c>
      <c r="F77">
        <f t="shared" si="6"/>
        <v>48400</v>
      </c>
      <c r="G77">
        <f t="shared" si="7"/>
        <v>14800</v>
      </c>
    </row>
    <row r="78" spans="1:7" x14ac:dyDescent="0.25">
      <c r="A78" s="1">
        <v>41319</v>
      </c>
      <c r="B78" s="2">
        <f t="shared" si="5"/>
        <v>4</v>
      </c>
      <c r="C78">
        <v>90</v>
      </c>
      <c r="D78">
        <f t="shared" si="8"/>
        <v>48400</v>
      </c>
      <c r="E78">
        <f t="shared" si="8"/>
        <v>14800</v>
      </c>
      <c r="F78">
        <f t="shared" si="6"/>
        <v>48400</v>
      </c>
      <c r="G78">
        <f t="shared" si="7"/>
        <v>13000</v>
      </c>
    </row>
    <row r="79" spans="1:7" x14ac:dyDescent="0.25">
      <c r="A79" s="1">
        <v>41320</v>
      </c>
      <c r="B79" s="2">
        <f t="shared" si="5"/>
        <v>5</v>
      </c>
      <c r="C79">
        <v>90</v>
      </c>
      <c r="D79">
        <f t="shared" si="8"/>
        <v>48400</v>
      </c>
      <c r="E79">
        <f t="shared" si="8"/>
        <v>13000</v>
      </c>
      <c r="F79">
        <f t="shared" si="6"/>
        <v>63400</v>
      </c>
      <c r="G79">
        <f t="shared" si="7"/>
        <v>11200</v>
      </c>
    </row>
    <row r="80" spans="1:7" x14ac:dyDescent="0.25">
      <c r="A80" s="1">
        <v>41321</v>
      </c>
      <c r="B80" s="2">
        <f t="shared" si="5"/>
        <v>6</v>
      </c>
      <c r="C80">
        <v>90</v>
      </c>
      <c r="D80">
        <f t="shared" si="8"/>
        <v>63400</v>
      </c>
      <c r="E80">
        <f t="shared" si="8"/>
        <v>11200</v>
      </c>
      <c r="F80">
        <f t="shared" si="6"/>
        <v>59800</v>
      </c>
      <c r="G80">
        <f t="shared" si="7"/>
        <v>11200</v>
      </c>
    </row>
    <row r="81" spans="1:7" x14ac:dyDescent="0.25">
      <c r="A81" s="1">
        <v>41322</v>
      </c>
      <c r="B81" s="2">
        <f t="shared" si="5"/>
        <v>7</v>
      </c>
      <c r="C81">
        <v>90</v>
      </c>
      <c r="D81">
        <f t="shared" si="8"/>
        <v>59800</v>
      </c>
      <c r="E81">
        <f t="shared" si="8"/>
        <v>11200</v>
      </c>
      <c r="F81">
        <f t="shared" si="6"/>
        <v>56200</v>
      </c>
      <c r="G81">
        <f t="shared" si="7"/>
        <v>11200</v>
      </c>
    </row>
    <row r="82" spans="1:7" x14ac:dyDescent="0.25">
      <c r="A82" s="1">
        <v>41323</v>
      </c>
      <c r="B82" s="2">
        <f t="shared" si="5"/>
        <v>1</v>
      </c>
      <c r="C82">
        <v>90</v>
      </c>
      <c r="D82">
        <f t="shared" si="8"/>
        <v>56200</v>
      </c>
      <c r="E82">
        <f t="shared" si="8"/>
        <v>11200</v>
      </c>
      <c r="F82">
        <f t="shared" si="6"/>
        <v>52600</v>
      </c>
      <c r="G82">
        <f t="shared" si="7"/>
        <v>11200</v>
      </c>
    </row>
    <row r="83" spans="1:7" x14ac:dyDescent="0.25">
      <c r="A83" s="1">
        <v>41324</v>
      </c>
      <c r="B83" s="2">
        <f t="shared" si="5"/>
        <v>2</v>
      </c>
      <c r="C83">
        <v>90</v>
      </c>
      <c r="D83">
        <f t="shared" si="8"/>
        <v>52600</v>
      </c>
      <c r="E83">
        <f t="shared" si="8"/>
        <v>11200</v>
      </c>
      <c r="F83">
        <f t="shared" si="6"/>
        <v>49000</v>
      </c>
      <c r="G83">
        <f t="shared" si="7"/>
        <v>15200</v>
      </c>
    </row>
    <row r="84" spans="1:7" x14ac:dyDescent="0.25">
      <c r="A84" s="1">
        <v>41325</v>
      </c>
      <c r="B84" s="2">
        <f t="shared" si="5"/>
        <v>3</v>
      </c>
      <c r="C84">
        <v>90</v>
      </c>
      <c r="D84">
        <f t="shared" si="8"/>
        <v>49000</v>
      </c>
      <c r="E84">
        <f t="shared" si="8"/>
        <v>15200</v>
      </c>
      <c r="F84">
        <f t="shared" si="6"/>
        <v>49000</v>
      </c>
      <c r="G84">
        <f t="shared" si="7"/>
        <v>13400</v>
      </c>
    </row>
    <row r="85" spans="1:7" x14ac:dyDescent="0.25">
      <c r="A85" s="1">
        <v>41326</v>
      </c>
      <c r="B85" s="2">
        <f t="shared" si="5"/>
        <v>4</v>
      </c>
      <c r="C85">
        <v>90</v>
      </c>
      <c r="D85">
        <f t="shared" ref="D85:E92" si="9">F84</f>
        <v>49000</v>
      </c>
      <c r="E85">
        <f t="shared" si="9"/>
        <v>13400</v>
      </c>
      <c r="F85">
        <f t="shared" si="6"/>
        <v>49000</v>
      </c>
      <c r="G85">
        <f t="shared" si="7"/>
        <v>11600</v>
      </c>
    </row>
    <row r="86" spans="1:7" x14ac:dyDescent="0.25">
      <c r="A86" s="1">
        <v>41327</v>
      </c>
      <c r="B86" s="2">
        <f t="shared" si="5"/>
        <v>5</v>
      </c>
      <c r="C86">
        <v>90</v>
      </c>
      <c r="D86">
        <f t="shared" si="9"/>
        <v>49000</v>
      </c>
      <c r="E86">
        <f t="shared" si="9"/>
        <v>11600</v>
      </c>
      <c r="F86">
        <f t="shared" si="6"/>
        <v>64000</v>
      </c>
      <c r="G86">
        <f t="shared" si="7"/>
        <v>9800</v>
      </c>
    </row>
    <row r="87" spans="1:7" x14ac:dyDescent="0.25">
      <c r="A87" s="1">
        <v>41328</v>
      </c>
      <c r="B87" s="2">
        <f t="shared" si="5"/>
        <v>6</v>
      </c>
      <c r="C87">
        <v>90</v>
      </c>
      <c r="D87">
        <f t="shared" si="9"/>
        <v>64000</v>
      </c>
      <c r="E87">
        <f t="shared" si="9"/>
        <v>9800</v>
      </c>
      <c r="F87">
        <f t="shared" si="6"/>
        <v>60400</v>
      </c>
      <c r="G87">
        <f t="shared" si="7"/>
        <v>9800</v>
      </c>
    </row>
    <row r="88" spans="1:7" x14ac:dyDescent="0.25">
      <c r="A88" s="1">
        <v>41329</v>
      </c>
      <c r="B88" s="2">
        <f t="shared" si="5"/>
        <v>7</v>
      </c>
      <c r="C88">
        <v>90</v>
      </c>
      <c r="D88">
        <f t="shared" si="9"/>
        <v>60400</v>
      </c>
      <c r="E88">
        <f t="shared" si="9"/>
        <v>9800</v>
      </c>
      <c r="F88">
        <f t="shared" si="6"/>
        <v>56800</v>
      </c>
      <c r="G88">
        <f t="shared" si="7"/>
        <v>9800</v>
      </c>
    </row>
    <row r="89" spans="1:7" x14ac:dyDescent="0.25">
      <c r="A89" s="1">
        <v>41330</v>
      </c>
      <c r="B89" s="2">
        <f t="shared" si="5"/>
        <v>1</v>
      </c>
      <c r="C89">
        <v>90</v>
      </c>
      <c r="D89">
        <f t="shared" si="9"/>
        <v>56800</v>
      </c>
      <c r="E89">
        <f t="shared" si="9"/>
        <v>9800</v>
      </c>
      <c r="F89">
        <f t="shared" si="6"/>
        <v>53200</v>
      </c>
      <c r="G89">
        <f t="shared" si="7"/>
        <v>9800</v>
      </c>
    </row>
    <row r="90" spans="1:7" x14ac:dyDescent="0.25">
      <c r="A90" s="1">
        <v>41331</v>
      </c>
      <c r="B90" s="2">
        <f t="shared" si="5"/>
        <v>2</v>
      </c>
      <c r="C90">
        <v>90</v>
      </c>
      <c r="D90">
        <f t="shared" si="9"/>
        <v>53200</v>
      </c>
      <c r="E90">
        <f t="shared" si="9"/>
        <v>9800</v>
      </c>
      <c r="F90">
        <f t="shared" si="6"/>
        <v>49600</v>
      </c>
      <c r="G90">
        <f t="shared" si="7"/>
        <v>13800</v>
      </c>
    </row>
    <row r="91" spans="1:7" x14ac:dyDescent="0.25">
      <c r="A91" s="1">
        <v>41332</v>
      </c>
      <c r="B91" s="2">
        <f t="shared" si="5"/>
        <v>3</v>
      </c>
      <c r="C91">
        <v>90</v>
      </c>
      <c r="D91">
        <f t="shared" si="9"/>
        <v>49600</v>
      </c>
      <c r="E91">
        <f t="shared" si="9"/>
        <v>13800</v>
      </c>
      <c r="F91">
        <f t="shared" si="6"/>
        <v>49600</v>
      </c>
      <c r="G91">
        <f t="shared" si="7"/>
        <v>12000</v>
      </c>
    </row>
    <row r="92" spans="1:7" x14ac:dyDescent="0.25">
      <c r="A92" s="1">
        <v>41333</v>
      </c>
      <c r="B92" s="2">
        <f t="shared" si="5"/>
        <v>4</v>
      </c>
      <c r="C92">
        <v>90</v>
      </c>
      <c r="D92">
        <f t="shared" si="9"/>
        <v>49600</v>
      </c>
      <c r="E92">
        <f t="shared" si="9"/>
        <v>12000</v>
      </c>
      <c r="F92">
        <f t="shared" si="6"/>
        <v>49600</v>
      </c>
      <c r="G92">
        <f t="shared" si="7"/>
        <v>10200</v>
      </c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F395-CBEF-4C3F-BA59-5A9E80A817C7}">
  <dimension ref="A1:K457"/>
  <sheetViews>
    <sheetView workbookViewId="0">
      <selection activeCell="J4" sqref="J4"/>
    </sheetView>
  </sheetViews>
  <sheetFormatPr defaultRowHeight="15" x14ac:dyDescent="0.25"/>
  <cols>
    <col min="1" max="1" width="10.140625" bestFit="1" customWidth="1"/>
    <col min="2" max="2" width="10.28515625" style="2" bestFit="1" customWidth="1"/>
    <col min="8" max="8" width="9.85546875" bestFit="1" customWidth="1"/>
  </cols>
  <sheetData>
    <row r="1" spans="1:11" x14ac:dyDescent="0.25">
      <c r="D1" t="s">
        <v>2</v>
      </c>
      <c r="F1" t="s">
        <v>3</v>
      </c>
    </row>
    <row r="2" spans="1:11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  <c r="H2" t="s">
        <v>7</v>
      </c>
    </row>
    <row r="3" spans="1:11" x14ac:dyDescent="0.25">
      <c r="A3" s="1">
        <v>41244</v>
      </c>
      <c r="B3" s="2">
        <f>WEEKDAY(A3,2)</f>
        <v>6</v>
      </c>
      <c r="C3">
        <v>90</v>
      </c>
      <c r="D3">
        <v>100000</v>
      </c>
      <c r="E3">
        <v>5000</v>
      </c>
      <c r="F3">
        <f>IF(D3&gt;=50000,D3-(C3*40),D3)+IF(B3=5,15000,0)</f>
        <v>96400</v>
      </c>
      <c r="G3">
        <f>IF(D3&lt;50000,E3-(C3*20),E3)+IF(B3=2,4000,0)</f>
        <v>5000</v>
      </c>
      <c r="H3" t="str">
        <f>IF(D3&gt;=50000,"s","ż")</f>
        <v>s</v>
      </c>
      <c r="J3" t="s">
        <v>8</v>
      </c>
      <c r="K3" t="s">
        <v>9</v>
      </c>
    </row>
    <row r="4" spans="1:11" x14ac:dyDescent="0.25">
      <c r="A4" s="1">
        <v>41245</v>
      </c>
      <c r="B4" s="2">
        <f t="shared" ref="B4:B67" si="0">WEEKDAY(A4,2)</f>
        <v>7</v>
      </c>
      <c r="C4">
        <v>90</v>
      </c>
      <c r="D4">
        <f>F3</f>
        <v>96400</v>
      </c>
      <c r="E4">
        <f>G3</f>
        <v>5000</v>
      </c>
      <c r="F4">
        <f t="shared" ref="F4:F67" si="1">IF(D4&gt;=50000,D4-(C4*40),D4)+IF(B4=5,15000,0)</f>
        <v>92800</v>
      </c>
      <c r="G4">
        <f t="shared" ref="G4:G67" si="2">IF(D4&lt;50000,E4-(C4*20),E4)+IF(B4=2,4000,0)</f>
        <v>5000</v>
      </c>
      <c r="H4" t="str">
        <f t="shared" ref="H4:H67" si="3">IF(D4&gt;=50000,"s","ż")</f>
        <v>s</v>
      </c>
      <c r="J4">
        <f>COUNTIF(H3:H92,"s")</f>
        <v>64</v>
      </c>
      <c r="K4">
        <f>COUNTIF(H3:H92,"ż")</f>
        <v>26</v>
      </c>
    </row>
    <row r="5" spans="1:11" x14ac:dyDescent="0.25">
      <c r="A5" s="1">
        <v>41246</v>
      </c>
      <c r="B5" s="2">
        <f t="shared" si="0"/>
        <v>1</v>
      </c>
      <c r="C5">
        <v>90</v>
      </c>
      <c r="D5">
        <f t="shared" ref="D5:E68" si="4">F4</f>
        <v>92800</v>
      </c>
      <c r="E5">
        <f t="shared" si="4"/>
        <v>5000</v>
      </c>
      <c r="F5">
        <f t="shared" si="1"/>
        <v>89200</v>
      </c>
      <c r="G5">
        <f>IF(D5&lt;50000,E5-(C5*20),E5)+IF(B5=2,4000,0)</f>
        <v>5000</v>
      </c>
      <c r="H5" t="str">
        <f t="shared" si="3"/>
        <v>s</v>
      </c>
    </row>
    <row r="6" spans="1:11" x14ac:dyDescent="0.25">
      <c r="A6" s="1">
        <v>41247</v>
      </c>
      <c r="B6" s="2">
        <f t="shared" si="0"/>
        <v>2</v>
      </c>
      <c r="C6">
        <v>90</v>
      </c>
      <c r="D6">
        <f t="shared" si="4"/>
        <v>89200</v>
      </c>
      <c r="E6">
        <f t="shared" si="4"/>
        <v>5000</v>
      </c>
      <c r="F6">
        <f t="shared" si="1"/>
        <v>85600</v>
      </c>
      <c r="G6">
        <f>IF(D6&lt;50000,E6-(C6*20),E6)+IF(B6=2,4000,0)</f>
        <v>9000</v>
      </c>
      <c r="H6" t="str">
        <f t="shared" si="3"/>
        <v>s</v>
      </c>
    </row>
    <row r="7" spans="1:11" x14ac:dyDescent="0.25">
      <c r="A7" s="1">
        <v>41248</v>
      </c>
      <c r="B7" s="2">
        <f t="shared" si="0"/>
        <v>3</v>
      </c>
      <c r="C7">
        <v>90</v>
      </c>
      <c r="D7">
        <f t="shared" si="4"/>
        <v>85600</v>
      </c>
      <c r="E7">
        <f t="shared" si="4"/>
        <v>9000</v>
      </c>
      <c r="F7">
        <f t="shared" si="1"/>
        <v>82000</v>
      </c>
      <c r="G7">
        <f t="shared" si="2"/>
        <v>9000</v>
      </c>
      <c r="H7" t="str">
        <f t="shared" si="3"/>
        <v>s</v>
      </c>
    </row>
    <row r="8" spans="1:11" x14ac:dyDescent="0.25">
      <c r="A8" s="1">
        <v>41249</v>
      </c>
      <c r="B8" s="2">
        <f t="shared" si="0"/>
        <v>4</v>
      </c>
      <c r="C8">
        <v>90</v>
      </c>
      <c r="D8">
        <f t="shared" si="4"/>
        <v>82000</v>
      </c>
      <c r="E8">
        <f t="shared" si="4"/>
        <v>9000</v>
      </c>
      <c r="F8">
        <f t="shared" si="1"/>
        <v>78400</v>
      </c>
      <c r="G8">
        <f t="shared" si="2"/>
        <v>9000</v>
      </c>
      <c r="H8" t="str">
        <f t="shared" si="3"/>
        <v>s</v>
      </c>
    </row>
    <row r="9" spans="1:11" x14ac:dyDescent="0.25">
      <c r="A9" s="1">
        <v>41250</v>
      </c>
      <c r="B9" s="2">
        <f t="shared" si="0"/>
        <v>5</v>
      </c>
      <c r="C9">
        <v>90</v>
      </c>
      <c r="D9">
        <f t="shared" si="4"/>
        <v>78400</v>
      </c>
      <c r="E9">
        <f t="shared" si="4"/>
        <v>9000</v>
      </c>
      <c r="F9">
        <f t="shared" si="1"/>
        <v>89800</v>
      </c>
      <c r="G9">
        <f t="shared" si="2"/>
        <v>9000</v>
      </c>
      <c r="H9" t="str">
        <f t="shared" si="3"/>
        <v>s</v>
      </c>
    </row>
    <row r="10" spans="1:11" x14ac:dyDescent="0.25">
      <c r="A10" s="1">
        <v>41251</v>
      </c>
      <c r="B10" s="2">
        <f t="shared" si="0"/>
        <v>6</v>
      </c>
      <c r="C10">
        <v>90</v>
      </c>
      <c r="D10">
        <f t="shared" si="4"/>
        <v>89800</v>
      </c>
      <c r="E10">
        <f t="shared" si="4"/>
        <v>9000</v>
      </c>
      <c r="F10">
        <f t="shared" si="1"/>
        <v>86200</v>
      </c>
      <c r="G10">
        <f t="shared" si="2"/>
        <v>9000</v>
      </c>
      <c r="H10" t="str">
        <f t="shared" si="3"/>
        <v>s</v>
      </c>
    </row>
    <row r="11" spans="1:11" x14ac:dyDescent="0.25">
      <c r="A11" s="1">
        <v>41252</v>
      </c>
      <c r="B11" s="2">
        <f t="shared" si="0"/>
        <v>7</v>
      </c>
      <c r="C11">
        <v>90</v>
      </c>
      <c r="D11">
        <f t="shared" si="4"/>
        <v>86200</v>
      </c>
      <c r="E11">
        <f t="shared" si="4"/>
        <v>9000</v>
      </c>
      <c r="F11">
        <f t="shared" si="1"/>
        <v>82600</v>
      </c>
      <c r="G11">
        <f t="shared" si="2"/>
        <v>9000</v>
      </c>
      <c r="H11" t="str">
        <f t="shared" si="3"/>
        <v>s</v>
      </c>
    </row>
    <row r="12" spans="1:11" x14ac:dyDescent="0.25">
      <c r="A12" s="1">
        <v>41253</v>
      </c>
      <c r="B12" s="2">
        <f t="shared" si="0"/>
        <v>1</v>
      </c>
      <c r="C12">
        <v>90</v>
      </c>
      <c r="D12">
        <f t="shared" si="4"/>
        <v>82600</v>
      </c>
      <c r="E12">
        <f t="shared" si="4"/>
        <v>9000</v>
      </c>
      <c r="F12">
        <f t="shared" si="1"/>
        <v>79000</v>
      </c>
      <c r="G12">
        <f t="shared" si="2"/>
        <v>9000</v>
      </c>
      <c r="H12" t="str">
        <f t="shared" si="3"/>
        <v>s</v>
      </c>
    </row>
    <row r="13" spans="1:11" x14ac:dyDescent="0.25">
      <c r="A13" s="1">
        <v>41254</v>
      </c>
      <c r="B13" s="2">
        <f t="shared" si="0"/>
        <v>2</v>
      </c>
      <c r="C13">
        <v>90</v>
      </c>
      <c r="D13">
        <f t="shared" si="4"/>
        <v>79000</v>
      </c>
      <c r="E13">
        <f t="shared" si="4"/>
        <v>9000</v>
      </c>
      <c r="F13">
        <f t="shared" si="1"/>
        <v>75400</v>
      </c>
      <c r="G13">
        <f t="shared" si="2"/>
        <v>13000</v>
      </c>
      <c r="H13" t="str">
        <f t="shared" si="3"/>
        <v>s</v>
      </c>
    </row>
    <row r="14" spans="1:11" x14ac:dyDescent="0.25">
      <c r="A14" s="1">
        <v>41255</v>
      </c>
      <c r="B14" s="2">
        <f t="shared" si="0"/>
        <v>3</v>
      </c>
      <c r="C14">
        <v>90</v>
      </c>
      <c r="D14">
        <f t="shared" si="4"/>
        <v>75400</v>
      </c>
      <c r="E14">
        <f t="shared" si="4"/>
        <v>13000</v>
      </c>
      <c r="F14">
        <f t="shared" si="1"/>
        <v>71800</v>
      </c>
      <c r="G14">
        <f t="shared" si="2"/>
        <v>13000</v>
      </c>
      <c r="H14" t="str">
        <f t="shared" si="3"/>
        <v>s</v>
      </c>
    </row>
    <row r="15" spans="1:11" x14ac:dyDescent="0.25">
      <c r="A15" s="1">
        <v>41256</v>
      </c>
      <c r="B15" s="2">
        <f t="shared" si="0"/>
        <v>4</v>
      </c>
      <c r="C15">
        <v>90</v>
      </c>
      <c r="D15">
        <f t="shared" si="4"/>
        <v>71800</v>
      </c>
      <c r="E15">
        <f t="shared" si="4"/>
        <v>13000</v>
      </c>
      <c r="F15">
        <f t="shared" si="1"/>
        <v>68200</v>
      </c>
      <c r="G15">
        <f t="shared" si="2"/>
        <v>13000</v>
      </c>
      <c r="H15" t="str">
        <f t="shared" si="3"/>
        <v>s</v>
      </c>
    </row>
    <row r="16" spans="1:11" x14ac:dyDescent="0.25">
      <c r="A16" s="1">
        <v>41257</v>
      </c>
      <c r="B16" s="2">
        <f t="shared" si="0"/>
        <v>5</v>
      </c>
      <c r="C16">
        <v>90</v>
      </c>
      <c r="D16">
        <f t="shared" si="4"/>
        <v>68200</v>
      </c>
      <c r="E16">
        <f t="shared" si="4"/>
        <v>13000</v>
      </c>
      <c r="F16">
        <f t="shared" si="1"/>
        <v>79600</v>
      </c>
      <c r="G16">
        <f t="shared" si="2"/>
        <v>13000</v>
      </c>
      <c r="H16" t="str">
        <f t="shared" si="3"/>
        <v>s</v>
      </c>
    </row>
    <row r="17" spans="1:8" x14ac:dyDescent="0.25">
      <c r="A17" s="1">
        <v>41258</v>
      </c>
      <c r="B17" s="2">
        <f t="shared" si="0"/>
        <v>6</v>
      </c>
      <c r="C17">
        <v>90</v>
      </c>
      <c r="D17">
        <f t="shared" si="4"/>
        <v>79600</v>
      </c>
      <c r="E17">
        <f t="shared" si="4"/>
        <v>13000</v>
      </c>
      <c r="F17">
        <f t="shared" si="1"/>
        <v>76000</v>
      </c>
      <c r="G17">
        <f t="shared" si="2"/>
        <v>13000</v>
      </c>
      <c r="H17" t="str">
        <f t="shared" si="3"/>
        <v>s</v>
      </c>
    </row>
    <row r="18" spans="1:8" x14ac:dyDescent="0.25">
      <c r="A18" s="1">
        <v>41259</v>
      </c>
      <c r="B18" s="2">
        <f t="shared" si="0"/>
        <v>7</v>
      </c>
      <c r="C18">
        <v>90</v>
      </c>
      <c r="D18">
        <f t="shared" si="4"/>
        <v>76000</v>
      </c>
      <c r="E18">
        <f t="shared" si="4"/>
        <v>13000</v>
      </c>
      <c r="F18">
        <f t="shared" si="1"/>
        <v>72400</v>
      </c>
      <c r="G18">
        <f t="shared" si="2"/>
        <v>13000</v>
      </c>
      <c r="H18" t="str">
        <f t="shared" si="3"/>
        <v>s</v>
      </c>
    </row>
    <row r="19" spans="1:8" x14ac:dyDescent="0.25">
      <c r="A19" s="1">
        <v>41260</v>
      </c>
      <c r="B19" s="2">
        <f t="shared" si="0"/>
        <v>1</v>
      </c>
      <c r="C19">
        <v>90</v>
      </c>
      <c r="D19">
        <f t="shared" si="4"/>
        <v>72400</v>
      </c>
      <c r="E19">
        <f t="shared" si="4"/>
        <v>13000</v>
      </c>
      <c r="F19">
        <f t="shared" si="1"/>
        <v>68800</v>
      </c>
      <c r="G19">
        <f t="shared" si="2"/>
        <v>13000</v>
      </c>
      <c r="H19" t="str">
        <f t="shared" si="3"/>
        <v>s</v>
      </c>
    </row>
    <row r="20" spans="1:8" x14ac:dyDescent="0.25">
      <c r="A20" s="1">
        <v>41261</v>
      </c>
      <c r="B20" s="2">
        <f t="shared" si="0"/>
        <v>2</v>
      </c>
      <c r="C20">
        <v>90</v>
      </c>
      <c r="D20">
        <f t="shared" si="4"/>
        <v>68800</v>
      </c>
      <c r="E20">
        <f t="shared" si="4"/>
        <v>13000</v>
      </c>
      <c r="F20">
        <f t="shared" si="1"/>
        <v>65200</v>
      </c>
      <c r="G20">
        <f t="shared" si="2"/>
        <v>17000</v>
      </c>
      <c r="H20" t="str">
        <f t="shared" si="3"/>
        <v>s</v>
      </c>
    </row>
    <row r="21" spans="1:8" x14ac:dyDescent="0.25">
      <c r="A21" s="1">
        <v>41262</v>
      </c>
      <c r="B21" s="2">
        <f t="shared" si="0"/>
        <v>3</v>
      </c>
      <c r="C21">
        <v>90</v>
      </c>
      <c r="D21">
        <f t="shared" si="4"/>
        <v>65200</v>
      </c>
      <c r="E21">
        <f t="shared" si="4"/>
        <v>17000</v>
      </c>
      <c r="F21">
        <f t="shared" si="1"/>
        <v>61600</v>
      </c>
      <c r="G21">
        <f t="shared" si="2"/>
        <v>17000</v>
      </c>
      <c r="H21" t="str">
        <f t="shared" si="3"/>
        <v>s</v>
      </c>
    </row>
    <row r="22" spans="1:8" x14ac:dyDescent="0.25">
      <c r="A22" s="1">
        <v>41263</v>
      </c>
      <c r="B22" s="2">
        <f t="shared" si="0"/>
        <v>4</v>
      </c>
      <c r="C22">
        <v>90</v>
      </c>
      <c r="D22">
        <f t="shared" si="4"/>
        <v>61600</v>
      </c>
      <c r="E22">
        <f t="shared" si="4"/>
        <v>17000</v>
      </c>
      <c r="F22">
        <f t="shared" si="1"/>
        <v>58000</v>
      </c>
      <c r="G22">
        <f t="shared" si="2"/>
        <v>17000</v>
      </c>
      <c r="H22" t="str">
        <f t="shared" si="3"/>
        <v>s</v>
      </c>
    </row>
    <row r="23" spans="1:8" x14ac:dyDescent="0.25">
      <c r="A23" s="1">
        <v>41264</v>
      </c>
      <c r="B23" s="2">
        <f t="shared" si="0"/>
        <v>5</v>
      </c>
      <c r="C23">
        <v>90</v>
      </c>
      <c r="D23">
        <f t="shared" si="4"/>
        <v>58000</v>
      </c>
      <c r="E23">
        <f t="shared" si="4"/>
        <v>17000</v>
      </c>
      <c r="F23">
        <f t="shared" si="1"/>
        <v>69400</v>
      </c>
      <c r="G23">
        <f t="shared" si="2"/>
        <v>17000</v>
      </c>
      <c r="H23" t="str">
        <f t="shared" si="3"/>
        <v>s</v>
      </c>
    </row>
    <row r="24" spans="1:8" x14ac:dyDescent="0.25">
      <c r="A24" s="1">
        <v>41265</v>
      </c>
      <c r="B24" s="2">
        <f t="shared" si="0"/>
        <v>6</v>
      </c>
      <c r="C24">
        <v>90</v>
      </c>
      <c r="D24">
        <f t="shared" si="4"/>
        <v>69400</v>
      </c>
      <c r="E24">
        <f t="shared" si="4"/>
        <v>17000</v>
      </c>
      <c r="F24">
        <f t="shared" si="1"/>
        <v>65800</v>
      </c>
      <c r="G24">
        <f t="shared" si="2"/>
        <v>17000</v>
      </c>
      <c r="H24" t="str">
        <f t="shared" si="3"/>
        <v>s</v>
      </c>
    </row>
    <row r="25" spans="1:8" x14ac:dyDescent="0.25">
      <c r="A25" s="1">
        <v>41266</v>
      </c>
      <c r="B25" s="2">
        <f t="shared" si="0"/>
        <v>7</v>
      </c>
      <c r="C25">
        <v>90</v>
      </c>
      <c r="D25">
        <f t="shared" si="4"/>
        <v>65800</v>
      </c>
      <c r="E25">
        <f t="shared" si="4"/>
        <v>17000</v>
      </c>
      <c r="F25">
        <f t="shared" si="1"/>
        <v>62200</v>
      </c>
      <c r="G25">
        <f t="shared" si="2"/>
        <v>17000</v>
      </c>
      <c r="H25" t="str">
        <f t="shared" si="3"/>
        <v>s</v>
      </c>
    </row>
    <row r="26" spans="1:8" x14ac:dyDescent="0.25">
      <c r="A26" s="1">
        <v>41267</v>
      </c>
      <c r="B26" s="2">
        <f t="shared" si="0"/>
        <v>1</v>
      </c>
      <c r="C26">
        <v>90</v>
      </c>
      <c r="D26">
        <f t="shared" si="4"/>
        <v>62200</v>
      </c>
      <c r="E26">
        <f t="shared" si="4"/>
        <v>17000</v>
      </c>
      <c r="F26">
        <f t="shared" si="1"/>
        <v>58600</v>
      </c>
      <c r="G26">
        <f t="shared" si="2"/>
        <v>17000</v>
      </c>
      <c r="H26" t="str">
        <f t="shared" si="3"/>
        <v>s</v>
      </c>
    </row>
    <row r="27" spans="1:8" x14ac:dyDescent="0.25">
      <c r="A27" s="1">
        <v>41268</v>
      </c>
      <c r="B27" s="2">
        <f t="shared" si="0"/>
        <v>2</v>
      </c>
      <c r="C27">
        <v>90</v>
      </c>
      <c r="D27">
        <f t="shared" si="4"/>
        <v>58600</v>
      </c>
      <c r="E27">
        <f t="shared" si="4"/>
        <v>17000</v>
      </c>
      <c r="F27">
        <f t="shared" si="1"/>
        <v>55000</v>
      </c>
      <c r="G27">
        <f t="shared" si="2"/>
        <v>21000</v>
      </c>
      <c r="H27" t="str">
        <f t="shared" si="3"/>
        <v>s</v>
      </c>
    </row>
    <row r="28" spans="1:8" x14ac:dyDescent="0.25">
      <c r="A28" s="1">
        <v>41269</v>
      </c>
      <c r="B28" s="2">
        <f t="shared" si="0"/>
        <v>3</v>
      </c>
      <c r="C28">
        <v>90</v>
      </c>
      <c r="D28">
        <f t="shared" si="4"/>
        <v>55000</v>
      </c>
      <c r="E28">
        <f t="shared" si="4"/>
        <v>21000</v>
      </c>
      <c r="F28">
        <f t="shared" si="1"/>
        <v>51400</v>
      </c>
      <c r="G28">
        <f t="shared" si="2"/>
        <v>21000</v>
      </c>
      <c r="H28" t="str">
        <f t="shared" si="3"/>
        <v>s</v>
      </c>
    </row>
    <row r="29" spans="1:8" x14ac:dyDescent="0.25">
      <c r="A29" s="1">
        <v>41270</v>
      </c>
      <c r="B29" s="2">
        <f t="shared" si="0"/>
        <v>4</v>
      </c>
      <c r="C29">
        <v>90</v>
      </c>
      <c r="D29">
        <f t="shared" si="4"/>
        <v>51400</v>
      </c>
      <c r="E29">
        <f t="shared" si="4"/>
        <v>21000</v>
      </c>
      <c r="F29">
        <f t="shared" si="1"/>
        <v>47800</v>
      </c>
      <c r="G29">
        <f t="shared" si="2"/>
        <v>21000</v>
      </c>
      <c r="H29" t="str">
        <f t="shared" si="3"/>
        <v>s</v>
      </c>
    </row>
    <row r="30" spans="1:8" x14ac:dyDescent="0.25">
      <c r="A30" s="1">
        <v>41271</v>
      </c>
      <c r="B30" s="2">
        <f t="shared" si="0"/>
        <v>5</v>
      </c>
      <c r="C30">
        <v>90</v>
      </c>
      <c r="D30">
        <f t="shared" si="4"/>
        <v>47800</v>
      </c>
      <c r="E30">
        <f t="shared" si="4"/>
        <v>21000</v>
      </c>
      <c r="F30">
        <f t="shared" si="1"/>
        <v>62800</v>
      </c>
      <c r="G30">
        <f t="shared" si="2"/>
        <v>19200</v>
      </c>
      <c r="H30" t="str">
        <f t="shared" si="3"/>
        <v>ż</v>
      </c>
    </row>
    <row r="31" spans="1:8" x14ac:dyDescent="0.25">
      <c r="A31" s="1">
        <v>41272</v>
      </c>
      <c r="B31" s="2">
        <f t="shared" si="0"/>
        <v>6</v>
      </c>
      <c r="C31">
        <v>90</v>
      </c>
      <c r="D31">
        <f t="shared" si="4"/>
        <v>62800</v>
      </c>
      <c r="E31">
        <f t="shared" si="4"/>
        <v>19200</v>
      </c>
      <c r="F31">
        <f t="shared" si="1"/>
        <v>59200</v>
      </c>
      <c r="G31">
        <f t="shared" si="2"/>
        <v>19200</v>
      </c>
      <c r="H31" t="str">
        <f t="shared" si="3"/>
        <v>s</v>
      </c>
    </row>
    <row r="32" spans="1:8" x14ac:dyDescent="0.25">
      <c r="A32" s="1">
        <v>41273</v>
      </c>
      <c r="B32" s="2">
        <f t="shared" si="0"/>
        <v>7</v>
      </c>
      <c r="C32">
        <v>90</v>
      </c>
      <c r="D32">
        <f t="shared" si="4"/>
        <v>59200</v>
      </c>
      <c r="E32">
        <f t="shared" si="4"/>
        <v>19200</v>
      </c>
      <c r="F32">
        <f t="shared" si="1"/>
        <v>55600</v>
      </c>
      <c r="G32">
        <f t="shared" si="2"/>
        <v>19200</v>
      </c>
      <c r="H32" t="str">
        <f t="shared" si="3"/>
        <v>s</v>
      </c>
    </row>
    <row r="33" spans="1:8" x14ac:dyDescent="0.25">
      <c r="A33" s="1">
        <v>41274</v>
      </c>
      <c r="B33" s="2">
        <f t="shared" si="0"/>
        <v>1</v>
      </c>
      <c r="C33">
        <v>90</v>
      </c>
      <c r="D33">
        <f t="shared" si="4"/>
        <v>55600</v>
      </c>
      <c r="E33">
        <f t="shared" si="4"/>
        <v>19200</v>
      </c>
      <c r="F33">
        <f t="shared" si="1"/>
        <v>52000</v>
      </c>
      <c r="G33">
        <f t="shared" si="2"/>
        <v>19200</v>
      </c>
      <c r="H33" t="str">
        <f t="shared" si="3"/>
        <v>s</v>
      </c>
    </row>
    <row r="34" spans="1:8" x14ac:dyDescent="0.25">
      <c r="A34" s="1">
        <v>41275</v>
      </c>
      <c r="B34" s="2">
        <f t="shared" si="0"/>
        <v>2</v>
      </c>
      <c r="C34">
        <v>90</v>
      </c>
      <c r="D34">
        <f t="shared" si="4"/>
        <v>52000</v>
      </c>
      <c r="E34">
        <f t="shared" si="4"/>
        <v>19200</v>
      </c>
      <c r="F34">
        <f t="shared" si="1"/>
        <v>48400</v>
      </c>
      <c r="G34">
        <f t="shared" si="2"/>
        <v>23200</v>
      </c>
      <c r="H34" t="str">
        <f t="shared" si="3"/>
        <v>s</v>
      </c>
    </row>
    <row r="35" spans="1:8" x14ac:dyDescent="0.25">
      <c r="A35" s="1">
        <v>41276</v>
      </c>
      <c r="B35" s="2">
        <f t="shared" si="0"/>
        <v>3</v>
      </c>
      <c r="C35">
        <v>90</v>
      </c>
      <c r="D35">
        <f t="shared" si="4"/>
        <v>48400</v>
      </c>
      <c r="E35">
        <f t="shared" si="4"/>
        <v>23200</v>
      </c>
      <c r="F35">
        <f t="shared" si="1"/>
        <v>48400</v>
      </c>
      <c r="G35">
        <f t="shared" si="2"/>
        <v>21400</v>
      </c>
      <c r="H35" t="str">
        <f t="shared" si="3"/>
        <v>ż</v>
      </c>
    </row>
    <row r="36" spans="1:8" x14ac:dyDescent="0.25">
      <c r="A36" s="1">
        <v>41277</v>
      </c>
      <c r="B36" s="2">
        <f t="shared" si="0"/>
        <v>4</v>
      </c>
      <c r="C36">
        <v>90</v>
      </c>
      <c r="D36">
        <f t="shared" si="4"/>
        <v>48400</v>
      </c>
      <c r="E36">
        <f t="shared" si="4"/>
        <v>21400</v>
      </c>
      <c r="F36">
        <f t="shared" si="1"/>
        <v>48400</v>
      </c>
      <c r="G36">
        <f t="shared" si="2"/>
        <v>19600</v>
      </c>
      <c r="H36" t="str">
        <f t="shared" si="3"/>
        <v>ż</v>
      </c>
    </row>
    <row r="37" spans="1:8" x14ac:dyDescent="0.25">
      <c r="A37" s="1">
        <v>41278</v>
      </c>
      <c r="B37" s="2">
        <f t="shared" si="0"/>
        <v>5</v>
      </c>
      <c r="C37">
        <v>90</v>
      </c>
      <c r="D37">
        <f t="shared" si="4"/>
        <v>48400</v>
      </c>
      <c r="E37">
        <f t="shared" si="4"/>
        <v>19600</v>
      </c>
      <c r="F37">
        <f t="shared" si="1"/>
        <v>63400</v>
      </c>
      <c r="G37">
        <f t="shared" si="2"/>
        <v>17800</v>
      </c>
      <c r="H37" t="str">
        <f t="shared" si="3"/>
        <v>ż</v>
      </c>
    </row>
    <row r="38" spans="1:8" x14ac:dyDescent="0.25">
      <c r="A38" s="1">
        <v>41279</v>
      </c>
      <c r="B38" s="2">
        <f t="shared" si="0"/>
        <v>6</v>
      </c>
      <c r="C38">
        <v>90</v>
      </c>
      <c r="D38">
        <f t="shared" si="4"/>
        <v>63400</v>
      </c>
      <c r="E38">
        <f t="shared" si="4"/>
        <v>17800</v>
      </c>
      <c r="F38">
        <f t="shared" si="1"/>
        <v>59800</v>
      </c>
      <c r="G38">
        <f t="shared" si="2"/>
        <v>17800</v>
      </c>
      <c r="H38" t="str">
        <f t="shared" si="3"/>
        <v>s</v>
      </c>
    </row>
    <row r="39" spans="1:8" x14ac:dyDescent="0.25">
      <c r="A39" s="1">
        <v>41280</v>
      </c>
      <c r="B39" s="2">
        <f t="shared" si="0"/>
        <v>7</v>
      </c>
      <c r="C39">
        <v>90</v>
      </c>
      <c r="D39">
        <f t="shared" si="4"/>
        <v>59800</v>
      </c>
      <c r="E39">
        <f t="shared" si="4"/>
        <v>17800</v>
      </c>
      <c r="F39">
        <f t="shared" si="1"/>
        <v>56200</v>
      </c>
      <c r="G39">
        <f t="shared" si="2"/>
        <v>17800</v>
      </c>
      <c r="H39" t="str">
        <f t="shared" si="3"/>
        <v>s</v>
      </c>
    </row>
    <row r="40" spans="1:8" x14ac:dyDescent="0.25">
      <c r="A40" s="1">
        <v>41281</v>
      </c>
      <c r="B40" s="2">
        <f t="shared" si="0"/>
        <v>1</v>
      </c>
      <c r="C40">
        <v>90</v>
      </c>
      <c r="D40">
        <f t="shared" si="4"/>
        <v>56200</v>
      </c>
      <c r="E40">
        <f t="shared" si="4"/>
        <v>17800</v>
      </c>
      <c r="F40">
        <f t="shared" si="1"/>
        <v>52600</v>
      </c>
      <c r="G40">
        <f t="shared" si="2"/>
        <v>17800</v>
      </c>
      <c r="H40" t="str">
        <f t="shared" si="3"/>
        <v>s</v>
      </c>
    </row>
    <row r="41" spans="1:8" x14ac:dyDescent="0.25">
      <c r="A41" s="1">
        <v>41282</v>
      </c>
      <c r="B41" s="2">
        <f t="shared" si="0"/>
        <v>2</v>
      </c>
      <c r="C41">
        <v>90</v>
      </c>
      <c r="D41">
        <f t="shared" si="4"/>
        <v>52600</v>
      </c>
      <c r="E41">
        <f t="shared" si="4"/>
        <v>17800</v>
      </c>
      <c r="F41">
        <f t="shared" si="1"/>
        <v>49000</v>
      </c>
      <c r="G41">
        <f t="shared" si="2"/>
        <v>21800</v>
      </c>
      <c r="H41" t="str">
        <f t="shared" si="3"/>
        <v>s</v>
      </c>
    </row>
    <row r="42" spans="1:8" x14ac:dyDescent="0.25">
      <c r="A42" s="1">
        <v>41283</v>
      </c>
      <c r="B42" s="2">
        <f t="shared" si="0"/>
        <v>3</v>
      </c>
      <c r="C42">
        <v>90</v>
      </c>
      <c r="D42">
        <f t="shared" si="4"/>
        <v>49000</v>
      </c>
      <c r="E42">
        <f t="shared" si="4"/>
        <v>21800</v>
      </c>
      <c r="F42">
        <f t="shared" si="1"/>
        <v>49000</v>
      </c>
      <c r="G42">
        <f t="shared" si="2"/>
        <v>20000</v>
      </c>
      <c r="H42" t="str">
        <f t="shared" si="3"/>
        <v>ż</v>
      </c>
    </row>
    <row r="43" spans="1:8" x14ac:dyDescent="0.25">
      <c r="A43" s="1">
        <v>41284</v>
      </c>
      <c r="B43" s="2">
        <f t="shared" si="0"/>
        <v>4</v>
      </c>
      <c r="C43">
        <v>90</v>
      </c>
      <c r="D43">
        <f t="shared" si="4"/>
        <v>49000</v>
      </c>
      <c r="E43">
        <f t="shared" si="4"/>
        <v>20000</v>
      </c>
      <c r="F43">
        <f t="shared" si="1"/>
        <v>49000</v>
      </c>
      <c r="G43">
        <f t="shared" si="2"/>
        <v>18200</v>
      </c>
      <c r="H43" t="str">
        <f t="shared" si="3"/>
        <v>ż</v>
      </c>
    </row>
    <row r="44" spans="1:8" x14ac:dyDescent="0.25">
      <c r="A44" s="1">
        <v>41285</v>
      </c>
      <c r="B44" s="2">
        <f t="shared" si="0"/>
        <v>5</v>
      </c>
      <c r="C44">
        <v>90</v>
      </c>
      <c r="D44">
        <f t="shared" si="4"/>
        <v>49000</v>
      </c>
      <c r="E44">
        <f t="shared" si="4"/>
        <v>18200</v>
      </c>
      <c r="F44">
        <f t="shared" si="1"/>
        <v>64000</v>
      </c>
      <c r="G44">
        <f t="shared" si="2"/>
        <v>16400</v>
      </c>
      <c r="H44" t="str">
        <f t="shared" si="3"/>
        <v>ż</v>
      </c>
    </row>
    <row r="45" spans="1:8" x14ac:dyDescent="0.25">
      <c r="A45" s="1">
        <v>41286</v>
      </c>
      <c r="B45" s="2">
        <f t="shared" si="0"/>
        <v>6</v>
      </c>
      <c r="C45">
        <v>90</v>
      </c>
      <c r="D45">
        <f t="shared" si="4"/>
        <v>64000</v>
      </c>
      <c r="E45">
        <f t="shared" si="4"/>
        <v>16400</v>
      </c>
      <c r="F45">
        <f t="shared" si="1"/>
        <v>60400</v>
      </c>
      <c r="G45">
        <f t="shared" si="2"/>
        <v>16400</v>
      </c>
      <c r="H45" t="str">
        <f t="shared" si="3"/>
        <v>s</v>
      </c>
    </row>
    <row r="46" spans="1:8" x14ac:dyDescent="0.25">
      <c r="A46" s="1">
        <v>41287</v>
      </c>
      <c r="B46" s="2">
        <f t="shared" si="0"/>
        <v>7</v>
      </c>
      <c r="C46">
        <v>90</v>
      </c>
      <c r="D46">
        <f t="shared" si="4"/>
        <v>60400</v>
      </c>
      <c r="E46">
        <f t="shared" si="4"/>
        <v>16400</v>
      </c>
      <c r="F46">
        <f t="shared" si="1"/>
        <v>56800</v>
      </c>
      <c r="G46">
        <f t="shared" si="2"/>
        <v>16400</v>
      </c>
      <c r="H46" t="str">
        <f t="shared" si="3"/>
        <v>s</v>
      </c>
    </row>
    <row r="47" spans="1:8" x14ac:dyDescent="0.25">
      <c r="A47" s="1">
        <v>41288</v>
      </c>
      <c r="B47" s="2">
        <f t="shared" si="0"/>
        <v>1</v>
      </c>
      <c r="C47">
        <v>90</v>
      </c>
      <c r="D47">
        <f t="shared" si="4"/>
        <v>56800</v>
      </c>
      <c r="E47">
        <f t="shared" si="4"/>
        <v>16400</v>
      </c>
      <c r="F47">
        <f t="shared" si="1"/>
        <v>53200</v>
      </c>
      <c r="G47">
        <f t="shared" si="2"/>
        <v>16400</v>
      </c>
      <c r="H47" t="str">
        <f t="shared" si="3"/>
        <v>s</v>
      </c>
    </row>
    <row r="48" spans="1:8" x14ac:dyDescent="0.25">
      <c r="A48" s="1">
        <v>41289</v>
      </c>
      <c r="B48" s="2">
        <f t="shared" si="0"/>
        <v>2</v>
      </c>
      <c r="C48">
        <v>90</v>
      </c>
      <c r="D48">
        <f t="shared" si="4"/>
        <v>53200</v>
      </c>
      <c r="E48">
        <f t="shared" si="4"/>
        <v>16400</v>
      </c>
      <c r="F48">
        <f t="shared" si="1"/>
        <v>49600</v>
      </c>
      <c r="G48">
        <f t="shared" si="2"/>
        <v>20400</v>
      </c>
      <c r="H48" t="str">
        <f t="shared" si="3"/>
        <v>s</v>
      </c>
    </row>
    <row r="49" spans="1:8" x14ac:dyDescent="0.25">
      <c r="A49" s="1">
        <v>41290</v>
      </c>
      <c r="B49" s="2">
        <f t="shared" si="0"/>
        <v>3</v>
      </c>
      <c r="C49">
        <v>90</v>
      </c>
      <c r="D49">
        <f t="shared" si="4"/>
        <v>49600</v>
      </c>
      <c r="E49">
        <f t="shared" si="4"/>
        <v>20400</v>
      </c>
      <c r="F49">
        <f t="shared" si="1"/>
        <v>49600</v>
      </c>
      <c r="G49">
        <f t="shared" si="2"/>
        <v>18600</v>
      </c>
      <c r="H49" t="str">
        <f t="shared" si="3"/>
        <v>ż</v>
      </c>
    </row>
    <row r="50" spans="1:8" x14ac:dyDescent="0.25">
      <c r="A50" s="1">
        <v>41291</v>
      </c>
      <c r="B50" s="2">
        <f t="shared" si="0"/>
        <v>4</v>
      </c>
      <c r="C50">
        <v>90</v>
      </c>
      <c r="D50">
        <f t="shared" si="4"/>
        <v>49600</v>
      </c>
      <c r="E50">
        <f t="shared" si="4"/>
        <v>18600</v>
      </c>
      <c r="F50">
        <f t="shared" si="1"/>
        <v>49600</v>
      </c>
      <c r="G50">
        <f t="shared" si="2"/>
        <v>16800</v>
      </c>
      <c r="H50" t="str">
        <f t="shared" si="3"/>
        <v>ż</v>
      </c>
    </row>
    <row r="51" spans="1:8" x14ac:dyDescent="0.25">
      <c r="A51" s="1">
        <v>41292</v>
      </c>
      <c r="B51" s="2">
        <f t="shared" si="0"/>
        <v>5</v>
      </c>
      <c r="C51">
        <v>90</v>
      </c>
      <c r="D51">
        <f t="shared" si="4"/>
        <v>49600</v>
      </c>
      <c r="E51">
        <f t="shared" si="4"/>
        <v>16800</v>
      </c>
      <c r="F51">
        <f t="shared" si="1"/>
        <v>64600</v>
      </c>
      <c r="G51">
        <f t="shared" si="2"/>
        <v>15000</v>
      </c>
      <c r="H51" t="str">
        <f t="shared" si="3"/>
        <v>ż</v>
      </c>
    </row>
    <row r="52" spans="1:8" x14ac:dyDescent="0.25">
      <c r="A52" s="1">
        <v>41293</v>
      </c>
      <c r="B52" s="2">
        <f t="shared" si="0"/>
        <v>6</v>
      </c>
      <c r="C52">
        <v>90</v>
      </c>
      <c r="D52">
        <f t="shared" si="4"/>
        <v>64600</v>
      </c>
      <c r="E52">
        <f t="shared" si="4"/>
        <v>15000</v>
      </c>
      <c r="F52">
        <f t="shared" si="1"/>
        <v>61000</v>
      </c>
      <c r="G52">
        <f t="shared" si="2"/>
        <v>15000</v>
      </c>
      <c r="H52" t="str">
        <f t="shared" si="3"/>
        <v>s</v>
      </c>
    </row>
    <row r="53" spans="1:8" x14ac:dyDescent="0.25">
      <c r="A53" s="1">
        <v>41294</v>
      </c>
      <c r="B53" s="2">
        <f t="shared" si="0"/>
        <v>7</v>
      </c>
      <c r="C53">
        <v>90</v>
      </c>
      <c r="D53">
        <f t="shared" si="4"/>
        <v>61000</v>
      </c>
      <c r="E53">
        <f t="shared" si="4"/>
        <v>15000</v>
      </c>
      <c r="F53">
        <f t="shared" si="1"/>
        <v>57400</v>
      </c>
      <c r="G53">
        <f t="shared" si="2"/>
        <v>15000</v>
      </c>
      <c r="H53" t="str">
        <f t="shared" si="3"/>
        <v>s</v>
      </c>
    </row>
    <row r="54" spans="1:8" x14ac:dyDescent="0.25">
      <c r="A54" s="1">
        <v>41295</v>
      </c>
      <c r="B54" s="2">
        <f t="shared" si="0"/>
        <v>1</v>
      </c>
      <c r="C54">
        <v>90</v>
      </c>
      <c r="D54">
        <f t="shared" si="4"/>
        <v>57400</v>
      </c>
      <c r="E54">
        <f t="shared" si="4"/>
        <v>15000</v>
      </c>
      <c r="F54">
        <f t="shared" si="1"/>
        <v>53800</v>
      </c>
      <c r="G54">
        <f t="shared" si="2"/>
        <v>15000</v>
      </c>
      <c r="H54" t="str">
        <f t="shared" si="3"/>
        <v>s</v>
      </c>
    </row>
    <row r="55" spans="1:8" x14ac:dyDescent="0.25">
      <c r="A55" s="1">
        <v>41296</v>
      </c>
      <c r="B55" s="2">
        <f t="shared" si="0"/>
        <v>2</v>
      </c>
      <c r="C55">
        <v>90</v>
      </c>
      <c r="D55">
        <f t="shared" si="4"/>
        <v>53800</v>
      </c>
      <c r="E55">
        <f t="shared" si="4"/>
        <v>15000</v>
      </c>
      <c r="F55">
        <f t="shared" si="1"/>
        <v>50200</v>
      </c>
      <c r="G55">
        <f t="shared" si="2"/>
        <v>19000</v>
      </c>
      <c r="H55" t="str">
        <f t="shared" si="3"/>
        <v>s</v>
      </c>
    </row>
    <row r="56" spans="1:8" x14ac:dyDescent="0.25">
      <c r="A56" s="1">
        <v>41297</v>
      </c>
      <c r="B56" s="2">
        <f t="shared" si="0"/>
        <v>3</v>
      </c>
      <c r="C56">
        <v>90</v>
      </c>
      <c r="D56">
        <f t="shared" si="4"/>
        <v>50200</v>
      </c>
      <c r="E56">
        <f t="shared" si="4"/>
        <v>19000</v>
      </c>
      <c r="F56">
        <f t="shared" si="1"/>
        <v>46600</v>
      </c>
      <c r="G56">
        <f t="shared" si="2"/>
        <v>19000</v>
      </c>
      <c r="H56" t="str">
        <f t="shared" si="3"/>
        <v>s</v>
      </c>
    </row>
    <row r="57" spans="1:8" x14ac:dyDescent="0.25">
      <c r="A57" s="1">
        <v>41298</v>
      </c>
      <c r="B57" s="2">
        <f t="shared" si="0"/>
        <v>4</v>
      </c>
      <c r="C57">
        <v>90</v>
      </c>
      <c r="D57">
        <f t="shared" si="4"/>
        <v>46600</v>
      </c>
      <c r="E57">
        <f t="shared" si="4"/>
        <v>19000</v>
      </c>
      <c r="F57">
        <f t="shared" si="1"/>
        <v>46600</v>
      </c>
      <c r="G57">
        <f t="shared" si="2"/>
        <v>17200</v>
      </c>
      <c r="H57" t="str">
        <f t="shared" si="3"/>
        <v>ż</v>
      </c>
    </row>
    <row r="58" spans="1:8" x14ac:dyDescent="0.25">
      <c r="A58" s="1">
        <v>41299</v>
      </c>
      <c r="B58" s="2">
        <f t="shared" si="0"/>
        <v>5</v>
      </c>
      <c r="C58">
        <v>90</v>
      </c>
      <c r="D58">
        <f t="shared" si="4"/>
        <v>46600</v>
      </c>
      <c r="E58">
        <f t="shared" si="4"/>
        <v>17200</v>
      </c>
      <c r="F58">
        <f t="shared" si="1"/>
        <v>61600</v>
      </c>
      <c r="G58">
        <f t="shared" si="2"/>
        <v>15400</v>
      </c>
      <c r="H58" t="str">
        <f t="shared" si="3"/>
        <v>ż</v>
      </c>
    </row>
    <row r="59" spans="1:8" x14ac:dyDescent="0.25">
      <c r="A59" s="1">
        <v>41300</v>
      </c>
      <c r="B59" s="2">
        <f t="shared" si="0"/>
        <v>6</v>
      </c>
      <c r="C59">
        <v>90</v>
      </c>
      <c r="D59">
        <f t="shared" si="4"/>
        <v>61600</v>
      </c>
      <c r="E59">
        <f t="shared" si="4"/>
        <v>15400</v>
      </c>
      <c r="F59">
        <f t="shared" si="1"/>
        <v>58000</v>
      </c>
      <c r="G59">
        <f t="shared" si="2"/>
        <v>15400</v>
      </c>
      <c r="H59" t="str">
        <f t="shared" si="3"/>
        <v>s</v>
      </c>
    </row>
    <row r="60" spans="1:8" x14ac:dyDescent="0.25">
      <c r="A60" s="1">
        <v>41301</v>
      </c>
      <c r="B60" s="2">
        <f t="shared" si="0"/>
        <v>7</v>
      </c>
      <c r="C60">
        <v>90</v>
      </c>
      <c r="D60">
        <f t="shared" si="4"/>
        <v>58000</v>
      </c>
      <c r="E60">
        <f t="shared" si="4"/>
        <v>15400</v>
      </c>
      <c r="F60">
        <f t="shared" si="1"/>
        <v>54400</v>
      </c>
      <c r="G60">
        <f t="shared" si="2"/>
        <v>15400</v>
      </c>
      <c r="H60" t="str">
        <f t="shared" si="3"/>
        <v>s</v>
      </c>
    </row>
    <row r="61" spans="1:8" x14ac:dyDescent="0.25">
      <c r="A61" s="1">
        <v>41302</v>
      </c>
      <c r="B61" s="2">
        <f t="shared" si="0"/>
        <v>1</v>
      </c>
      <c r="C61">
        <v>90</v>
      </c>
      <c r="D61">
        <f t="shared" si="4"/>
        <v>54400</v>
      </c>
      <c r="E61">
        <f t="shared" si="4"/>
        <v>15400</v>
      </c>
      <c r="F61">
        <f t="shared" si="1"/>
        <v>50800</v>
      </c>
      <c r="G61">
        <f t="shared" si="2"/>
        <v>15400</v>
      </c>
      <c r="H61" t="str">
        <f t="shared" si="3"/>
        <v>s</v>
      </c>
    </row>
    <row r="62" spans="1:8" x14ac:dyDescent="0.25">
      <c r="A62" s="1">
        <v>41303</v>
      </c>
      <c r="B62" s="2">
        <f t="shared" si="0"/>
        <v>2</v>
      </c>
      <c r="C62">
        <v>90</v>
      </c>
      <c r="D62">
        <f t="shared" si="4"/>
        <v>50800</v>
      </c>
      <c r="E62">
        <f t="shared" si="4"/>
        <v>15400</v>
      </c>
      <c r="F62">
        <f t="shared" si="1"/>
        <v>47200</v>
      </c>
      <c r="G62">
        <f t="shared" si="2"/>
        <v>19400</v>
      </c>
      <c r="H62" t="str">
        <f t="shared" si="3"/>
        <v>s</v>
      </c>
    </row>
    <row r="63" spans="1:8" x14ac:dyDescent="0.25">
      <c r="A63" s="1">
        <v>41304</v>
      </c>
      <c r="B63" s="2">
        <f t="shared" si="0"/>
        <v>3</v>
      </c>
      <c r="C63">
        <v>90</v>
      </c>
      <c r="D63">
        <f t="shared" si="4"/>
        <v>47200</v>
      </c>
      <c r="E63">
        <f t="shared" si="4"/>
        <v>19400</v>
      </c>
      <c r="F63">
        <f t="shared" si="1"/>
        <v>47200</v>
      </c>
      <c r="G63">
        <f t="shared" si="2"/>
        <v>17600</v>
      </c>
      <c r="H63" t="str">
        <f t="shared" si="3"/>
        <v>ż</v>
      </c>
    </row>
    <row r="64" spans="1:8" x14ac:dyDescent="0.25">
      <c r="A64" s="1">
        <v>41305</v>
      </c>
      <c r="B64" s="2">
        <f t="shared" si="0"/>
        <v>4</v>
      </c>
      <c r="C64">
        <v>90</v>
      </c>
      <c r="D64">
        <f t="shared" si="4"/>
        <v>47200</v>
      </c>
      <c r="E64">
        <f t="shared" si="4"/>
        <v>17600</v>
      </c>
      <c r="F64">
        <f t="shared" si="1"/>
        <v>47200</v>
      </c>
      <c r="G64">
        <f t="shared" si="2"/>
        <v>15800</v>
      </c>
      <c r="H64" t="str">
        <f t="shared" si="3"/>
        <v>ż</v>
      </c>
    </row>
    <row r="65" spans="1:8" x14ac:dyDescent="0.25">
      <c r="A65" s="1">
        <v>41306</v>
      </c>
      <c r="B65" s="2">
        <f t="shared" si="0"/>
        <v>5</v>
      </c>
      <c r="C65">
        <v>90</v>
      </c>
      <c r="D65">
        <f t="shared" si="4"/>
        <v>47200</v>
      </c>
      <c r="E65">
        <f t="shared" si="4"/>
        <v>15800</v>
      </c>
      <c r="F65">
        <f t="shared" si="1"/>
        <v>62200</v>
      </c>
      <c r="G65">
        <f t="shared" si="2"/>
        <v>14000</v>
      </c>
      <c r="H65" t="str">
        <f t="shared" si="3"/>
        <v>ż</v>
      </c>
    </row>
    <row r="66" spans="1:8" x14ac:dyDescent="0.25">
      <c r="A66" s="1">
        <v>41307</v>
      </c>
      <c r="B66" s="2">
        <f t="shared" si="0"/>
        <v>6</v>
      </c>
      <c r="C66">
        <v>90</v>
      </c>
      <c r="D66">
        <f t="shared" si="4"/>
        <v>62200</v>
      </c>
      <c r="E66">
        <f t="shared" si="4"/>
        <v>14000</v>
      </c>
      <c r="F66">
        <f t="shared" si="1"/>
        <v>58600</v>
      </c>
      <c r="G66">
        <f t="shared" si="2"/>
        <v>14000</v>
      </c>
      <c r="H66" t="str">
        <f t="shared" si="3"/>
        <v>s</v>
      </c>
    </row>
    <row r="67" spans="1:8" x14ac:dyDescent="0.25">
      <c r="A67" s="1">
        <v>41308</v>
      </c>
      <c r="B67" s="2">
        <f t="shared" si="0"/>
        <v>7</v>
      </c>
      <c r="C67">
        <v>90</v>
      </c>
      <c r="D67">
        <f t="shared" si="4"/>
        <v>58600</v>
      </c>
      <c r="E67">
        <f t="shared" si="4"/>
        <v>14000</v>
      </c>
      <c r="F67">
        <f t="shared" si="1"/>
        <v>55000</v>
      </c>
      <c r="G67">
        <f t="shared" si="2"/>
        <v>14000</v>
      </c>
      <c r="H67" t="str">
        <f t="shared" si="3"/>
        <v>s</v>
      </c>
    </row>
    <row r="68" spans="1:8" x14ac:dyDescent="0.25">
      <c r="A68" s="1">
        <v>41309</v>
      </c>
      <c r="B68" s="2">
        <f t="shared" ref="B68:B92" si="5">WEEKDAY(A68,2)</f>
        <v>1</v>
      </c>
      <c r="C68">
        <v>90</v>
      </c>
      <c r="D68">
        <f t="shared" si="4"/>
        <v>55000</v>
      </c>
      <c r="E68">
        <f t="shared" si="4"/>
        <v>14000</v>
      </c>
      <c r="F68">
        <f t="shared" ref="F68:F92" si="6">IF(D68&gt;=50000,D68-(C68*40),D68)+IF(B68=5,15000,0)</f>
        <v>51400</v>
      </c>
      <c r="G68">
        <f t="shared" ref="G68:G92" si="7">IF(D68&lt;50000,E68-(C68*20),E68)+IF(B68=2,4000,0)</f>
        <v>14000</v>
      </c>
      <c r="H68" t="str">
        <f t="shared" ref="H68:H92" si="8">IF(D68&gt;=50000,"s","ż")</f>
        <v>s</v>
      </c>
    </row>
    <row r="69" spans="1:8" x14ac:dyDescent="0.25">
      <c r="A69" s="1">
        <v>41310</v>
      </c>
      <c r="B69" s="2">
        <f t="shared" si="5"/>
        <v>2</v>
      </c>
      <c r="C69">
        <v>90</v>
      </c>
      <c r="D69">
        <f t="shared" ref="D69:E84" si="9">F68</f>
        <v>51400</v>
      </c>
      <c r="E69">
        <f t="shared" si="9"/>
        <v>14000</v>
      </c>
      <c r="F69">
        <f t="shared" si="6"/>
        <v>47800</v>
      </c>
      <c r="G69">
        <f t="shared" si="7"/>
        <v>18000</v>
      </c>
      <c r="H69" t="str">
        <f t="shared" si="8"/>
        <v>s</v>
      </c>
    </row>
    <row r="70" spans="1:8" x14ac:dyDescent="0.25">
      <c r="A70" s="1">
        <v>41311</v>
      </c>
      <c r="B70" s="2">
        <f t="shared" si="5"/>
        <v>3</v>
      </c>
      <c r="C70">
        <v>90</v>
      </c>
      <c r="D70">
        <f t="shared" si="9"/>
        <v>47800</v>
      </c>
      <c r="E70">
        <f t="shared" si="9"/>
        <v>18000</v>
      </c>
      <c r="F70">
        <f t="shared" si="6"/>
        <v>47800</v>
      </c>
      <c r="G70">
        <f t="shared" si="7"/>
        <v>16200</v>
      </c>
      <c r="H70" t="str">
        <f t="shared" si="8"/>
        <v>ż</v>
      </c>
    </row>
    <row r="71" spans="1:8" x14ac:dyDescent="0.25">
      <c r="A71" s="1">
        <v>41312</v>
      </c>
      <c r="B71" s="2">
        <f t="shared" si="5"/>
        <v>4</v>
      </c>
      <c r="C71">
        <v>90</v>
      </c>
      <c r="D71">
        <f t="shared" si="9"/>
        <v>47800</v>
      </c>
      <c r="E71">
        <f t="shared" si="9"/>
        <v>16200</v>
      </c>
      <c r="F71">
        <f t="shared" si="6"/>
        <v>47800</v>
      </c>
      <c r="G71">
        <f t="shared" si="7"/>
        <v>14400</v>
      </c>
      <c r="H71" t="str">
        <f t="shared" si="8"/>
        <v>ż</v>
      </c>
    </row>
    <row r="72" spans="1:8" x14ac:dyDescent="0.25">
      <c r="A72" s="1">
        <v>41313</v>
      </c>
      <c r="B72" s="2">
        <f t="shared" si="5"/>
        <v>5</v>
      </c>
      <c r="C72">
        <v>90</v>
      </c>
      <c r="D72">
        <f t="shared" si="9"/>
        <v>47800</v>
      </c>
      <c r="E72">
        <f t="shared" si="9"/>
        <v>14400</v>
      </c>
      <c r="F72">
        <f t="shared" si="6"/>
        <v>62800</v>
      </c>
      <c r="G72">
        <f t="shared" si="7"/>
        <v>12600</v>
      </c>
      <c r="H72" t="str">
        <f t="shared" si="8"/>
        <v>ż</v>
      </c>
    </row>
    <row r="73" spans="1:8" x14ac:dyDescent="0.25">
      <c r="A73" s="1">
        <v>41314</v>
      </c>
      <c r="B73" s="2">
        <f t="shared" si="5"/>
        <v>6</v>
      </c>
      <c r="C73">
        <v>90</v>
      </c>
      <c r="D73">
        <f t="shared" si="9"/>
        <v>62800</v>
      </c>
      <c r="E73">
        <f t="shared" si="9"/>
        <v>12600</v>
      </c>
      <c r="F73">
        <f t="shared" si="6"/>
        <v>59200</v>
      </c>
      <c r="G73">
        <f t="shared" si="7"/>
        <v>12600</v>
      </c>
      <c r="H73" t="str">
        <f t="shared" si="8"/>
        <v>s</v>
      </c>
    </row>
    <row r="74" spans="1:8" x14ac:dyDescent="0.25">
      <c r="A74" s="1">
        <v>41315</v>
      </c>
      <c r="B74" s="2">
        <f t="shared" si="5"/>
        <v>7</v>
      </c>
      <c r="C74">
        <v>90</v>
      </c>
      <c r="D74">
        <f t="shared" si="9"/>
        <v>59200</v>
      </c>
      <c r="E74">
        <f t="shared" si="9"/>
        <v>12600</v>
      </c>
      <c r="F74">
        <f t="shared" si="6"/>
        <v>55600</v>
      </c>
      <c r="G74">
        <f t="shared" si="7"/>
        <v>12600</v>
      </c>
      <c r="H74" t="str">
        <f t="shared" si="8"/>
        <v>s</v>
      </c>
    </row>
    <row r="75" spans="1:8" x14ac:dyDescent="0.25">
      <c r="A75" s="1">
        <v>41316</v>
      </c>
      <c r="B75" s="2">
        <f t="shared" si="5"/>
        <v>1</v>
      </c>
      <c r="C75">
        <v>90</v>
      </c>
      <c r="D75">
        <f t="shared" si="9"/>
        <v>55600</v>
      </c>
      <c r="E75">
        <f t="shared" si="9"/>
        <v>12600</v>
      </c>
      <c r="F75">
        <f t="shared" si="6"/>
        <v>52000</v>
      </c>
      <c r="G75">
        <f t="shared" si="7"/>
        <v>12600</v>
      </c>
      <c r="H75" t="str">
        <f t="shared" si="8"/>
        <v>s</v>
      </c>
    </row>
    <row r="76" spans="1:8" x14ac:dyDescent="0.25">
      <c r="A76" s="1">
        <v>41317</v>
      </c>
      <c r="B76" s="2">
        <f t="shared" si="5"/>
        <v>2</v>
      </c>
      <c r="C76">
        <v>90</v>
      </c>
      <c r="D76">
        <f t="shared" si="9"/>
        <v>52000</v>
      </c>
      <c r="E76">
        <f t="shared" si="9"/>
        <v>12600</v>
      </c>
      <c r="F76">
        <f t="shared" si="6"/>
        <v>48400</v>
      </c>
      <c r="G76">
        <f t="shared" si="7"/>
        <v>16600</v>
      </c>
      <c r="H76" t="str">
        <f t="shared" si="8"/>
        <v>s</v>
      </c>
    </row>
    <row r="77" spans="1:8" x14ac:dyDescent="0.25">
      <c r="A77" s="1">
        <v>41318</v>
      </c>
      <c r="B77" s="2">
        <f t="shared" si="5"/>
        <v>3</v>
      </c>
      <c r="C77">
        <v>90</v>
      </c>
      <c r="D77">
        <f t="shared" si="9"/>
        <v>48400</v>
      </c>
      <c r="E77">
        <f t="shared" si="9"/>
        <v>16600</v>
      </c>
      <c r="F77">
        <f t="shared" si="6"/>
        <v>48400</v>
      </c>
      <c r="G77">
        <f t="shared" si="7"/>
        <v>14800</v>
      </c>
      <c r="H77" t="str">
        <f t="shared" si="8"/>
        <v>ż</v>
      </c>
    </row>
    <row r="78" spans="1:8" x14ac:dyDescent="0.25">
      <c r="A78" s="1">
        <v>41319</v>
      </c>
      <c r="B78" s="2">
        <f t="shared" si="5"/>
        <v>4</v>
      </c>
      <c r="C78">
        <v>90</v>
      </c>
      <c r="D78">
        <f t="shared" si="9"/>
        <v>48400</v>
      </c>
      <c r="E78">
        <f t="shared" si="9"/>
        <v>14800</v>
      </c>
      <c r="F78">
        <f t="shared" si="6"/>
        <v>48400</v>
      </c>
      <c r="G78">
        <f t="shared" si="7"/>
        <v>13000</v>
      </c>
      <c r="H78" t="str">
        <f t="shared" si="8"/>
        <v>ż</v>
      </c>
    </row>
    <row r="79" spans="1:8" x14ac:dyDescent="0.25">
      <c r="A79" s="1">
        <v>41320</v>
      </c>
      <c r="B79" s="2">
        <f t="shared" si="5"/>
        <v>5</v>
      </c>
      <c r="C79">
        <v>90</v>
      </c>
      <c r="D79">
        <f t="shared" si="9"/>
        <v>48400</v>
      </c>
      <c r="E79">
        <f t="shared" si="9"/>
        <v>13000</v>
      </c>
      <c r="F79">
        <f t="shared" si="6"/>
        <v>63400</v>
      </c>
      <c r="G79">
        <f t="shared" si="7"/>
        <v>11200</v>
      </c>
      <c r="H79" t="str">
        <f t="shared" si="8"/>
        <v>ż</v>
      </c>
    </row>
    <row r="80" spans="1:8" x14ac:dyDescent="0.25">
      <c r="A80" s="1">
        <v>41321</v>
      </c>
      <c r="B80" s="2">
        <f t="shared" si="5"/>
        <v>6</v>
      </c>
      <c r="C80">
        <v>90</v>
      </c>
      <c r="D80">
        <f t="shared" si="9"/>
        <v>63400</v>
      </c>
      <c r="E80">
        <f t="shared" si="9"/>
        <v>11200</v>
      </c>
      <c r="F80">
        <f t="shared" si="6"/>
        <v>59800</v>
      </c>
      <c r="G80">
        <f t="shared" si="7"/>
        <v>11200</v>
      </c>
      <c r="H80" t="str">
        <f t="shared" si="8"/>
        <v>s</v>
      </c>
    </row>
    <row r="81" spans="1:8" x14ac:dyDescent="0.25">
      <c r="A81" s="1">
        <v>41322</v>
      </c>
      <c r="B81" s="2">
        <f t="shared" si="5"/>
        <v>7</v>
      </c>
      <c r="C81">
        <v>90</v>
      </c>
      <c r="D81">
        <f t="shared" si="9"/>
        <v>59800</v>
      </c>
      <c r="E81">
        <f t="shared" si="9"/>
        <v>11200</v>
      </c>
      <c r="F81">
        <f t="shared" si="6"/>
        <v>56200</v>
      </c>
      <c r="G81">
        <f t="shared" si="7"/>
        <v>11200</v>
      </c>
      <c r="H81" t="str">
        <f t="shared" si="8"/>
        <v>s</v>
      </c>
    </row>
    <row r="82" spans="1:8" x14ac:dyDescent="0.25">
      <c r="A82" s="1">
        <v>41323</v>
      </c>
      <c r="B82" s="2">
        <f t="shared" si="5"/>
        <v>1</v>
      </c>
      <c r="C82">
        <v>90</v>
      </c>
      <c r="D82">
        <f t="shared" si="9"/>
        <v>56200</v>
      </c>
      <c r="E82">
        <f t="shared" si="9"/>
        <v>11200</v>
      </c>
      <c r="F82">
        <f t="shared" si="6"/>
        <v>52600</v>
      </c>
      <c r="G82">
        <f t="shared" si="7"/>
        <v>11200</v>
      </c>
      <c r="H82" t="str">
        <f t="shared" si="8"/>
        <v>s</v>
      </c>
    </row>
    <row r="83" spans="1:8" x14ac:dyDescent="0.25">
      <c r="A83" s="1">
        <v>41324</v>
      </c>
      <c r="B83" s="2">
        <f t="shared" si="5"/>
        <v>2</v>
      </c>
      <c r="C83">
        <v>90</v>
      </c>
      <c r="D83">
        <f t="shared" si="9"/>
        <v>52600</v>
      </c>
      <c r="E83">
        <f t="shared" si="9"/>
        <v>11200</v>
      </c>
      <c r="F83">
        <f t="shared" si="6"/>
        <v>49000</v>
      </c>
      <c r="G83">
        <f t="shared" si="7"/>
        <v>15200</v>
      </c>
      <c r="H83" t="str">
        <f t="shared" si="8"/>
        <v>s</v>
      </c>
    </row>
    <row r="84" spans="1:8" x14ac:dyDescent="0.25">
      <c r="A84" s="1">
        <v>41325</v>
      </c>
      <c r="B84" s="2">
        <f t="shared" si="5"/>
        <v>3</v>
      </c>
      <c r="C84">
        <v>90</v>
      </c>
      <c r="D84">
        <f t="shared" si="9"/>
        <v>49000</v>
      </c>
      <c r="E84">
        <f t="shared" si="9"/>
        <v>15200</v>
      </c>
      <c r="F84">
        <f t="shared" si="6"/>
        <v>49000</v>
      </c>
      <c r="G84">
        <f t="shared" si="7"/>
        <v>13400</v>
      </c>
      <c r="H84" t="str">
        <f t="shared" si="8"/>
        <v>ż</v>
      </c>
    </row>
    <row r="85" spans="1:8" x14ac:dyDescent="0.25">
      <c r="A85" s="1">
        <v>41326</v>
      </c>
      <c r="B85" s="2">
        <f t="shared" si="5"/>
        <v>4</v>
      </c>
      <c r="C85">
        <v>90</v>
      </c>
      <c r="D85">
        <f t="shared" ref="D85:E92" si="10">F84</f>
        <v>49000</v>
      </c>
      <c r="E85">
        <f t="shared" si="10"/>
        <v>13400</v>
      </c>
      <c r="F85">
        <f t="shared" si="6"/>
        <v>49000</v>
      </c>
      <c r="G85">
        <f t="shared" si="7"/>
        <v>11600</v>
      </c>
      <c r="H85" t="str">
        <f t="shared" si="8"/>
        <v>ż</v>
      </c>
    </row>
    <row r="86" spans="1:8" x14ac:dyDescent="0.25">
      <c r="A86" s="1">
        <v>41327</v>
      </c>
      <c r="B86" s="2">
        <f t="shared" si="5"/>
        <v>5</v>
      </c>
      <c r="C86">
        <v>90</v>
      </c>
      <c r="D86">
        <f t="shared" si="10"/>
        <v>49000</v>
      </c>
      <c r="E86">
        <f t="shared" si="10"/>
        <v>11600</v>
      </c>
      <c r="F86">
        <f t="shared" si="6"/>
        <v>64000</v>
      </c>
      <c r="G86">
        <f t="shared" si="7"/>
        <v>9800</v>
      </c>
      <c r="H86" t="str">
        <f t="shared" si="8"/>
        <v>ż</v>
      </c>
    </row>
    <row r="87" spans="1:8" x14ac:dyDescent="0.25">
      <c r="A87" s="1">
        <v>41328</v>
      </c>
      <c r="B87" s="2">
        <f t="shared" si="5"/>
        <v>6</v>
      </c>
      <c r="C87">
        <v>90</v>
      </c>
      <c r="D87">
        <f t="shared" si="10"/>
        <v>64000</v>
      </c>
      <c r="E87">
        <f t="shared" si="10"/>
        <v>9800</v>
      </c>
      <c r="F87">
        <f t="shared" si="6"/>
        <v>60400</v>
      </c>
      <c r="G87">
        <f t="shared" si="7"/>
        <v>9800</v>
      </c>
      <c r="H87" t="str">
        <f t="shared" si="8"/>
        <v>s</v>
      </c>
    </row>
    <row r="88" spans="1:8" x14ac:dyDescent="0.25">
      <c r="A88" s="1">
        <v>41329</v>
      </c>
      <c r="B88" s="2">
        <f t="shared" si="5"/>
        <v>7</v>
      </c>
      <c r="C88">
        <v>90</v>
      </c>
      <c r="D88">
        <f t="shared" si="10"/>
        <v>60400</v>
      </c>
      <c r="E88">
        <f t="shared" si="10"/>
        <v>9800</v>
      </c>
      <c r="F88">
        <f t="shared" si="6"/>
        <v>56800</v>
      </c>
      <c r="G88">
        <f t="shared" si="7"/>
        <v>9800</v>
      </c>
      <c r="H88" t="str">
        <f t="shared" si="8"/>
        <v>s</v>
      </c>
    </row>
    <row r="89" spans="1:8" x14ac:dyDescent="0.25">
      <c r="A89" s="1">
        <v>41330</v>
      </c>
      <c r="B89" s="2">
        <f t="shared" si="5"/>
        <v>1</v>
      </c>
      <c r="C89">
        <v>90</v>
      </c>
      <c r="D89">
        <f t="shared" si="10"/>
        <v>56800</v>
      </c>
      <c r="E89">
        <f t="shared" si="10"/>
        <v>9800</v>
      </c>
      <c r="F89">
        <f t="shared" si="6"/>
        <v>53200</v>
      </c>
      <c r="G89">
        <f t="shared" si="7"/>
        <v>9800</v>
      </c>
      <c r="H89" t="str">
        <f t="shared" si="8"/>
        <v>s</v>
      </c>
    </row>
    <row r="90" spans="1:8" x14ac:dyDescent="0.25">
      <c r="A90" s="1">
        <v>41331</v>
      </c>
      <c r="B90" s="2">
        <f t="shared" si="5"/>
        <v>2</v>
      </c>
      <c r="C90">
        <v>90</v>
      </c>
      <c r="D90">
        <f t="shared" si="10"/>
        <v>53200</v>
      </c>
      <c r="E90">
        <f t="shared" si="10"/>
        <v>9800</v>
      </c>
      <c r="F90">
        <f t="shared" si="6"/>
        <v>49600</v>
      </c>
      <c r="G90">
        <f t="shared" si="7"/>
        <v>13800</v>
      </c>
      <c r="H90" t="str">
        <f t="shared" si="8"/>
        <v>s</v>
      </c>
    </row>
    <row r="91" spans="1:8" x14ac:dyDescent="0.25">
      <c r="A91" s="1">
        <v>41332</v>
      </c>
      <c r="B91" s="2">
        <f t="shared" si="5"/>
        <v>3</v>
      </c>
      <c r="C91">
        <v>90</v>
      </c>
      <c r="D91">
        <f t="shared" si="10"/>
        <v>49600</v>
      </c>
      <c r="E91">
        <f t="shared" si="10"/>
        <v>13800</v>
      </c>
      <c r="F91">
        <f t="shared" si="6"/>
        <v>49600</v>
      </c>
      <c r="G91">
        <f t="shared" si="7"/>
        <v>12000</v>
      </c>
      <c r="H91" t="str">
        <f t="shared" si="8"/>
        <v>ż</v>
      </c>
    </row>
    <row r="92" spans="1:8" x14ac:dyDescent="0.25">
      <c r="A92" s="1">
        <v>41333</v>
      </c>
      <c r="B92" s="2">
        <f t="shared" si="5"/>
        <v>4</v>
      </c>
      <c r="C92">
        <v>90</v>
      </c>
      <c r="D92">
        <f t="shared" si="10"/>
        <v>49600</v>
      </c>
      <c r="E92">
        <f t="shared" si="10"/>
        <v>12000</v>
      </c>
      <c r="F92">
        <f t="shared" si="6"/>
        <v>49600</v>
      </c>
      <c r="G92">
        <f t="shared" si="7"/>
        <v>10200</v>
      </c>
      <c r="H92" t="str">
        <f t="shared" si="8"/>
        <v>ż</v>
      </c>
    </row>
    <row r="93" spans="1:8" x14ac:dyDescent="0.25">
      <c r="A93" s="1"/>
    </row>
    <row r="94" spans="1:8" x14ac:dyDescent="0.25">
      <c r="A94" s="1"/>
    </row>
    <row r="95" spans="1:8" x14ac:dyDescent="0.25">
      <c r="A95" s="1"/>
    </row>
    <row r="96" spans="1:8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9393-C4C3-46DD-878C-A14DDAA6F76B}">
  <dimension ref="A1:K457"/>
  <sheetViews>
    <sheetView workbookViewId="0">
      <selection activeCell="I10" sqref="I10:K13"/>
    </sheetView>
  </sheetViews>
  <sheetFormatPr defaultRowHeight="15" x14ac:dyDescent="0.25"/>
  <cols>
    <col min="1" max="1" width="10.140625" bestFit="1" customWidth="1"/>
    <col min="2" max="2" width="10.28515625" style="2" bestFit="1" customWidth="1"/>
    <col min="4" max="4" width="10.5703125" bestFit="1" customWidth="1"/>
    <col min="5" max="5" width="14.42578125" bestFit="1" customWidth="1"/>
    <col min="6" max="6" width="9" bestFit="1" customWidth="1"/>
    <col min="7" max="7" width="11.5703125" bestFit="1" customWidth="1"/>
    <col min="9" max="9" width="17.7109375" bestFit="1" customWidth="1"/>
    <col min="10" max="10" width="17.42578125" bestFit="1" customWidth="1"/>
    <col min="11" max="11" width="21.42578125" bestFit="1" customWidth="1"/>
  </cols>
  <sheetData>
    <row r="1" spans="1:11" x14ac:dyDescent="0.25">
      <c r="D1" t="s">
        <v>2</v>
      </c>
      <c r="F1" t="s">
        <v>3</v>
      </c>
    </row>
    <row r="2" spans="1:11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  <c r="I2" s="6" t="s">
        <v>14</v>
      </c>
      <c r="J2" t="s">
        <v>16</v>
      </c>
      <c r="K2" t="s">
        <v>17</v>
      </c>
    </row>
    <row r="3" spans="1:11" x14ac:dyDescent="0.25">
      <c r="A3" s="1">
        <v>41244</v>
      </c>
      <c r="B3" s="2">
        <f>WEEKDAY(A3,2)</f>
        <v>6</v>
      </c>
      <c r="C3">
        <v>90</v>
      </c>
      <c r="D3">
        <v>100000</v>
      </c>
      <c r="E3">
        <v>5000</v>
      </c>
      <c r="F3">
        <f>IF(D3&gt;=50000,D3-(C3*40),D3)+IF(B3=5,15000,0)</f>
        <v>96400</v>
      </c>
      <c r="G3">
        <f>IF(D3&lt;50000,E3-(C3*20),E3)+IF(B3=2,4000,0)</f>
        <v>5000</v>
      </c>
      <c r="I3" s="7">
        <v>41274</v>
      </c>
      <c r="J3" s="8">
        <v>55600</v>
      </c>
      <c r="K3" s="8">
        <v>19200</v>
      </c>
    </row>
    <row r="4" spans="1:11" x14ac:dyDescent="0.25">
      <c r="A4" s="1">
        <v>41245</v>
      </c>
      <c r="B4" s="2">
        <f t="shared" ref="B4:B67" si="0">WEEKDAY(A4,2)</f>
        <v>7</v>
      </c>
      <c r="C4">
        <v>90</v>
      </c>
      <c r="D4">
        <f>F3</f>
        <v>96400</v>
      </c>
      <c r="E4">
        <f>G3</f>
        <v>5000</v>
      </c>
      <c r="F4">
        <f t="shared" ref="F4:F67" si="1">IF(D4&gt;=50000,D4-(C4*40),D4)+IF(B4=5,15000,0)</f>
        <v>92800</v>
      </c>
      <c r="G4">
        <f t="shared" ref="G4:G67" si="2">IF(D4&lt;50000,E4-(C4*20),E4)+IF(B4=2,4000,0)</f>
        <v>5000</v>
      </c>
      <c r="I4" s="7">
        <v>41305</v>
      </c>
      <c r="J4" s="8">
        <v>47200</v>
      </c>
      <c r="K4" s="8">
        <v>17600</v>
      </c>
    </row>
    <row r="5" spans="1:11" x14ac:dyDescent="0.25">
      <c r="A5" s="1">
        <v>41246</v>
      </c>
      <c r="B5" s="2">
        <f t="shared" si="0"/>
        <v>1</v>
      </c>
      <c r="C5">
        <v>90</v>
      </c>
      <c r="D5">
        <f t="shared" ref="D5:E68" si="3">F4</f>
        <v>92800</v>
      </c>
      <c r="E5">
        <f t="shared" si="3"/>
        <v>5000</v>
      </c>
      <c r="F5">
        <f t="shared" si="1"/>
        <v>89200</v>
      </c>
      <c r="G5">
        <f>IF(D5&lt;50000,E5-(C5*20),E5)+IF(B5=2,4000,0)</f>
        <v>5000</v>
      </c>
      <c r="I5" s="7">
        <v>41333</v>
      </c>
      <c r="J5" s="8">
        <v>49600</v>
      </c>
      <c r="K5" s="8">
        <v>12000</v>
      </c>
    </row>
    <row r="6" spans="1:11" x14ac:dyDescent="0.25">
      <c r="A6" s="1">
        <v>41247</v>
      </c>
      <c r="B6" s="2">
        <f t="shared" si="0"/>
        <v>2</v>
      </c>
      <c r="C6">
        <v>90</v>
      </c>
      <c r="D6">
        <f t="shared" si="3"/>
        <v>89200</v>
      </c>
      <c r="E6">
        <f t="shared" si="3"/>
        <v>5000</v>
      </c>
      <c r="F6">
        <f t="shared" si="1"/>
        <v>85600</v>
      </c>
      <c r="G6">
        <f>IF(D6&lt;50000,E6-(C6*20),E6)+IF(B6=2,4000,0)</f>
        <v>9000</v>
      </c>
      <c r="I6" s="7" t="s">
        <v>15</v>
      </c>
      <c r="J6" s="8">
        <v>152400</v>
      </c>
      <c r="K6" s="8">
        <v>48800</v>
      </c>
    </row>
    <row r="7" spans="1:11" x14ac:dyDescent="0.25">
      <c r="A7" s="1">
        <v>41248</v>
      </c>
      <c r="B7" s="2">
        <f t="shared" si="0"/>
        <v>3</v>
      </c>
      <c r="C7">
        <v>90</v>
      </c>
      <c r="D7">
        <f t="shared" si="3"/>
        <v>85600</v>
      </c>
      <c r="E7">
        <f t="shared" si="3"/>
        <v>9000</v>
      </c>
      <c r="F7">
        <f t="shared" si="1"/>
        <v>82000</v>
      </c>
      <c r="G7">
        <f t="shared" si="2"/>
        <v>9000</v>
      </c>
    </row>
    <row r="8" spans="1:11" x14ac:dyDescent="0.25">
      <c r="A8" s="1">
        <v>41249</v>
      </c>
      <c r="B8" s="2">
        <f t="shared" si="0"/>
        <v>4</v>
      </c>
      <c r="C8">
        <v>90</v>
      </c>
      <c r="D8">
        <f t="shared" si="3"/>
        <v>82000</v>
      </c>
      <c r="E8">
        <f t="shared" si="3"/>
        <v>9000</v>
      </c>
      <c r="F8">
        <f t="shared" si="1"/>
        <v>78400</v>
      </c>
      <c r="G8">
        <f t="shared" si="2"/>
        <v>9000</v>
      </c>
    </row>
    <row r="9" spans="1:11" x14ac:dyDescent="0.25">
      <c r="A9" s="1">
        <v>41250</v>
      </c>
      <c r="B9" s="2">
        <f t="shared" si="0"/>
        <v>5</v>
      </c>
      <c r="C9">
        <v>90</v>
      </c>
      <c r="D9">
        <f t="shared" si="3"/>
        <v>78400</v>
      </c>
      <c r="E9">
        <f t="shared" si="3"/>
        <v>9000</v>
      </c>
      <c r="F9">
        <f t="shared" si="1"/>
        <v>89800</v>
      </c>
      <c r="G9">
        <f t="shared" si="2"/>
        <v>9000</v>
      </c>
    </row>
    <row r="10" spans="1:11" x14ac:dyDescent="0.25">
      <c r="A10" s="1">
        <v>41251</v>
      </c>
      <c r="B10" s="2">
        <f t="shared" si="0"/>
        <v>6</v>
      </c>
      <c r="C10">
        <v>90</v>
      </c>
      <c r="D10">
        <f t="shared" si="3"/>
        <v>89800</v>
      </c>
      <c r="E10">
        <f t="shared" si="3"/>
        <v>9000</v>
      </c>
      <c r="F10">
        <f t="shared" si="1"/>
        <v>86200</v>
      </c>
      <c r="G10">
        <f t="shared" si="2"/>
        <v>9000</v>
      </c>
      <c r="I10" t="s">
        <v>18</v>
      </c>
      <c r="J10" t="s">
        <v>8</v>
      </c>
      <c r="K10" t="s">
        <v>9</v>
      </c>
    </row>
    <row r="11" spans="1:11" x14ac:dyDescent="0.25">
      <c r="A11" s="1">
        <v>41252</v>
      </c>
      <c r="B11" s="2">
        <f t="shared" si="0"/>
        <v>7</v>
      </c>
      <c r="C11">
        <v>90</v>
      </c>
      <c r="D11">
        <f t="shared" si="3"/>
        <v>86200</v>
      </c>
      <c r="E11">
        <f t="shared" si="3"/>
        <v>9000</v>
      </c>
      <c r="F11">
        <f t="shared" si="1"/>
        <v>82600</v>
      </c>
      <c r="G11">
        <f t="shared" si="2"/>
        <v>9000</v>
      </c>
      <c r="I11" s="7">
        <v>41274</v>
      </c>
      <c r="J11" s="8">
        <v>55600</v>
      </c>
      <c r="K11" s="8">
        <v>19200</v>
      </c>
    </row>
    <row r="12" spans="1:11" x14ac:dyDescent="0.25">
      <c r="A12" s="1">
        <v>41253</v>
      </c>
      <c r="B12" s="2">
        <f t="shared" si="0"/>
        <v>1</v>
      </c>
      <c r="C12">
        <v>90</v>
      </c>
      <c r="D12">
        <f t="shared" si="3"/>
        <v>82600</v>
      </c>
      <c r="E12">
        <f t="shared" si="3"/>
        <v>9000</v>
      </c>
      <c r="F12">
        <f t="shared" si="1"/>
        <v>79000</v>
      </c>
      <c r="G12">
        <f t="shared" si="2"/>
        <v>9000</v>
      </c>
      <c r="I12" s="7">
        <v>41305</v>
      </c>
      <c r="J12" s="8">
        <v>47200</v>
      </c>
      <c r="K12" s="8">
        <v>17600</v>
      </c>
    </row>
    <row r="13" spans="1:11" x14ac:dyDescent="0.25">
      <c r="A13" s="1">
        <v>41254</v>
      </c>
      <c r="B13" s="2">
        <f t="shared" si="0"/>
        <v>2</v>
      </c>
      <c r="C13">
        <v>90</v>
      </c>
      <c r="D13">
        <f t="shared" si="3"/>
        <v>79000</v>
      </c>
      <c r="E13">
        <f t="shared" si="3"/>
        <v>9000</v>
      </c>
      <c r="F13">
        <f t="shared" si="1"/>
        <v>75400</v>
      </c>
      <c r="G13">
        <f t="shared" si="2"/>
        <v>13000</v>
      </c>
      <c r="I13" s="7">
        <v>41333</v>
      </c>
      <c r="J13" s="8">
        <v>49600</v>
      </c>
      <c r="K13" s="8">
        <v>12000</v>
      </c>
    </row>
    <row r="14" spans="1:11" x14ac:dyDescent="0.25">
      <c r="A14" s="1">
        <v>41255</v>
      </c>
      <c r="B14" s="2">
        <f t="shared" si="0"/>
        <v>3</v>
      </c>
      <c r="C14">
        <v>90</v>
      </c>
      <c r="D14">
        <f t="shared" si="3"/>
        <v>75400</v>
      </c>
      <c r="E14">
        <f t="shared" si="3"/>
        <v>13000</v>
      </c>
      <c r="F14">
        <f t="shared" si="1"/>
        <v>71800</v>
      </c>
      <c r="G14">
        <f t="shared" si="2"/>
        <v>13000</v>
      </c>
    </row>
    <row r="15" spans="1:11" x14ac:dyDescent="0.25">
      <c r="A15" s="1">
        <v>41256</v>
      </c>
      <c r="B15" s="2">
        <f t="shared" si="0"/>
        <v>4</v>
      </c>
      <c r="C15">
        <v>90</v>
      </c>
      <c r="D15">
        <f t="shared" si="3"/>
        <v>71800</v>
      </c>
      <c r="E15">
        <f t="shared" si="3"/>
        <v>13000</v>
      </c>
      <c r="F15">
        <f t="shared" si="1"/>
        <v>68200</v>
      </c>
      <c r="G15">
        <f t="shared" si="2"/>
        <v>13000</v>
      </c>
    </row>
    <row r="16" spans="1:11" x14ac:dyDescent="0.25">
      <c r="A16" s="1">
        <v>41257</v>
      </c>
      <c r="B16" s="2">
        <f t="shared" si="0"/>
        <v>5</v>
      </c>
      <c r="C16">
        <v>90</v>
      </c>
      <c r="D16">
        <f t="shared" si="3"/>
        <v>68200</v>
      </c>
      <c r="E16">
        <f t="shared" si="3"/>
        <v>13000</v>
      </c>
      <c r="F16">
        <f t="shared" si="1"/>
        <v>79600</v>
      </c>
      <c r="G16">
        <f t="shared" si="2"/>
        <v>13000</v>
      </c>
    </row>
    <row r="17" spans="1:7" x14ac:dyDescent="0.25">
      <c r="A17" s="1">
        <v>41258</v>
      </c>
      <c r="B17" s="2">
        <f t="shared" si="0"/>
        <v>6</v>
      </c>
      <c r="C17">
        <v>90</v>
      </c>
      <c r="D17">
        <f t="shared" si="3"/>
        <v>79600</v>
      </c>
      <c r="E17">
        <f t="shared" si="3"/>
        <v>13000</v>
      </c>
      <c r="F17">
        <f t="shared" si="1"/>
        <v>76000</v>
      </c>
      <c r="G17">
        <f t="shared" si="2"/>
        <v>13000</v>
      </c>
    </row>
    <row r="18" spans="1:7" x14ac:dyDescent="0.25">
      <c r="A18" s="1">
        <v>41259</v>
      </c>
      <c r="B18" s="2">
        <f t="shared" si="0"/>
        <v>7</v>
      </c>
      <c r="C18">
        <v>90</v>
      </c>
      <c r="D18">
        <f t="shared" si="3"/>
        <v>76000</v>
      </c>
      <c r="E18">
        <f t="shared" si="3"/>
        <v>13000</v>
      </c>
      <c r="F18">
        <f t="shared" si="1"/>
        <v>72400</v>
      </c>
      <c r="G18">
        <f t="shared" si="2"/>
        <v>13000</v>
      </c>
    </row>
    <row r="19" spans="1:7" x14ac:dyDescent="0.25">
      <c r="A19" s="1">
        <v>41260</v>
      </c>
      <c r="B19" s="2">
        <f t="shared" si="0"/>
        <v>1</v>
      </c>
      <c r="C19">
        <v>90</v>
      </c>
      <c r="D19">
        <f t="shared" si="3"/>
        <v>72400</v>
      </c>
      <c r="E19">
        <f t="shared" si="3"/>
        <v>13000</v>
      </c>
      <c r="F19">
        <f t="shared" si="1"/>
        <v>68800</v>
      </c>
      <c r="G19">
        <f t="shared" si="2"/>
        <v>13000</v>
      </c>
    </row>
    <row r="20" spans="1:7" x14ac:dyDescent="0.25">
      <c r="A20" s="1">
        <v>41261</v>
      </c>
      <c r="B20" s="2">
        <f t="shared" si="0"/>
        <v>2</v>
      </c>
      <c r="C20">
        <v>90</v>
      </c>
      <c r="D20">
        <f t="shared" si="3"/>
        <v>68800</v>
      </c>
      <c r="E20">
        <f t="shared" si="3"/>
        <v>13000</v>
      </c>
      <c r="F20">
        <f t="shared" si="1"/>
        <v>65200</v>
      </c>
      <c r="G20">
        <f t="shared" si="2"/>
        <v>17000</v>
      </c>
    </row>
    <row r="21" spans="1:7" x14ac:dyDescent="0.25">
      <c r="A21" s="1">
        <v>41262</v>
      </c>
      <c r="B21" s="2">
        <f t="shared" si="0"/>
        <v>3</v>
      </c>
      <c r="C21">
        <v>90</v>
      </c>
      <c r="D21">
        <f t="shared" si="3"/>
        <v>65200</v>
      </c>
      <c r="E21">
        <f t="shared" si="3"/>
        <v>17000</v>
      </c>
      <c r="F21">
        <f t="shared" si="1"/>
        <v>61600</v>
      </c>
      <c r="G21">
        <f t="shared" si="2"/>
        <v>17000</v>
      </c>
    </row>
    <row r="22" spans="1:7" x14ac:dyDescent="0.25">
      <c r="A22" s="1">
        <v>41263</v>
      </c>
      <c r="B22" s="2">
        <f t="shared" si="0"/>
        <v>4</v>
      </c>
      <c r="C22">
        <v>90</v>
      </c>
      <c r="D22">
        <f t="shared" si="3"/>
        <v>61600</v>
      </c>
      <c r="E22">
        <f t="shared" si="3"/>
        <v>17000</v>
      </c>
      <c r="F22">
        <f t="shared" si="1"/>
        <v>58000</v>
      </c>
      <c r="G22">
        <f t="shared" si="2"/>
        <v>17000</v>
      </c>
    </row>
    <row r="23" spans="1:7" x14ac:dyDescent="0.25">
      <c r="A23" s="1">
        <v>41264</v>
      </c>
      <c r="B23" s="2">
        <f t="shared" si="0"/>
        <v>5</v>
      </c>
      <c r="C23">
        <v>90</v>
      </c>
      <c r="D23">
        <f t="shared" si="3"/>
        <v>58000</v>
      </c>
      <c r="E23">
        <f t="shared" si="3"/>
        <v>17000</v>
      </c>
      <c r="F23">
        <f t="shared" si="1"/>
        <v>69400</v>
      </c>
      <c r="G23">
        <f t="shared" si="2"/>
        <v>17000</v>
      </c>
    </row>
    <row r="24" spans="1:7" x14ac:dyDescent="0.25">
      <c r="A24" s="1">
        <v>41265</v>
      </c>
      <c r="B24" s="2">
        <f t="shared" si="0"/>
        <v>6</v>
      </c>
      <c r="C24">
        <v>90</v>
      </c>
      <c r="D24">
        <f t="shared" si="3"/>
        <v>69400</v>
      </c>
      <c r="E24">
        <f t="shared" si="3"/>
        <v>17000</v>
      </c>
      <c r="F24">
        <f t="shared" si="1"/>
        <v>65800</v>
      </c>
      <c r="G24">
        <f t="shared" si="2"/>
        <v>17000</v>
      </c>
    </row>
    <row r="25" spans="1:7" x14ac:dyDescent="0.25">
      <c r="A25" s="1">
        <v>41266</v>
      </c>
      <c r="B25" s="2">
        <f t="shared" si="0"/>
        <v>7</v>
      </c>
      <c r="C25">
        <v>90</v>
      </c>
      <c r="D25">
        <f t="shared" si="3"/>
        <v>65800</v>
      </c>
      <c r="E25">
        <f t="shared" si="3"/>
        <v>17000</v>
      </c>
      <c r="F25">
        <f t="shared" si="1"/>
        <v>62200</v>
      </c>
      <c r="G25">
        <f t="shared" si="2"/>
        <v>17000</v>
      </c>
    </row>
    <row r="26" spans="1:7" x14ac:dyDescent="0.25">
      <c r="A26" s="1">
        <v>41267</v>
      </c>
      <c r="B26" s="2">
        <f t="shared" si="0"/>
        <v>1</v>
      </c>
      <c r="C26">
        <v>90</v>
      </c>
      <c r="D26">
        <f t="shared" si="3"/>
        <v>62200</v>
      </c>
      <c r="E26">
        <f t="shared" si="3"/>
        <v>17000</v>
      </c>
      <c r="F26">
        <f t="shared" si="1"/>
        <v>58600</v>
      </c>
      <c r="G26">
        <f t="shared" si="2"/>
        <v>17000</v>
      </c>
    </row>
    <row r="27" spans="1:7" x14ac:dyDescent="0.25">
      <c r="A27" s="1">
        <v>41268</v>
      </c>
      <c r="B27" s="2">
        <f t="shared" si="0"/>
        <v>2</v>
      </c>
      <c r="C27">
        <v>90</v>
      </c>
      <c r="D27">
        <f t="shared" si="3"/>
        <v>58600</v>
      </c>
      <c r="E27">
        <f t="shared" si="3"/>
        <v>17000</v>
      </c>
      <c r="F27">
        <f t="shared" si="1"/>
        <v>55000</v>
      </c>
      <c r="G27">
        <f t="shared" si="2"/>
        <v>21000</v>
      </c>
    </row>
    <row r="28" spans="1:7" x14ac:dyDescent="0.25">
      <c r="A28" s="1">
        <v>41269</v>
      </c>
      <c r="B28" s="2">
        <f t="shared" si="0"/>
        <v>3</v>
      </c>
      <c r="C28">
        <v>90</v>
      </c>
      <c r="D28">
        <f t="shared" si="3"/>
        <v>55000</v>
      </c>
      <c r="E28">
        <f t="shared" si="3"/>
        <v>21000</v>
      </c>
      <c r="F28">
        <f t="shared" si="1"/>
        <v>51400</v>
      </c>
      <c r="G28">
        <f t="shared" si="2"/>
        <v>21000</v>
      </c>
    </row>
    <row r="29" spans="1:7" x14ac:dyDescent="0.25">
      <c r="A29" s="1">
        <v>41270</v>
      </c>
      <c r="B29" s="2">
        <f t="shared" si="0"/>
        <v>4</v>
      </c>
      <c r="C29">
        <v>90</v>
      </c>
      <c r="D29">
        <f t="shared" si="3"/>
        <v>51400</v>
      </c>
      <c r="E29">
        <f t="shared" si="3"/>
        <v>21000</v>
      </c>
      <c r="F29">
        <f t="shared" si="1"/>
        <v>47800</v>
      </c>
      <c r="G29">
        <f t="shared" si="2"/>
        <v>21000</v>
      </c>
    </row>
    <row r="30" spans="1:7" x14ac:dyDescent="0.25">
      <c r="A30" s="1">
        <v>41271</v>
      </c>
      <c r="B30" s="2">
        <f t="shared" si="0"/>
        <v>5</v>
      </c>
      <c r="C30">
        <v>90</v>
      </c>
      <c r="D30">
        <f t="shared" si="3"/>
        <v>47800</v>
      </c>
      <c r="E30">
        <f t="shared" si="3"/>
        <v>21000</v>
      </c>
      <c r="F30">
        <f t="shared" si="1"/>
        <v>62800</v>
      </c>
      <c r="G30">
        <f t="shared" si="2"/>
        <v>19200</v>
      </c>
    </row>
    <row r="31" spans="1:7" x14ac:dyDescent="0.25">
      <c r="A31" s="1">
        <v>41272</v>
      </c>
      <c r="B31" s="2">
        <f t="shared" si="0"/>
        <v>6</v>
      </c>
      <c r="C31">
        <v>90</v>
      </c>
      <c r="D31">
        <f t="shared" si="3"/>
        <v>62800</v>
      </c>
      <c r="E31">
        <f t="shared" si="3"/>
        <v>19200</v>
      </c>
      <c r="F31">
        <f t="shared" si="1"/>
        <v>59200</v>
      </c>
      <c r="G31">
        <f t="shared" si="2"/>
        <v>19200</v>
      </c>
    </row>
    <row r="32" spans="1:7" x14ac:dyDescent="0.25">
      <c r="A32" s="1">
        <v>41273</v>
      </c>
      <c r="B32" s="2">
        <f t="shared" si="0"/>
        <v>7</v>
      </c>
      <c r="C32">
        <v>90</v>
      </c>
      <c r="D32">
        <f t="shared" si="3"/>
        <v>59200</v>
      </c>
      <c r="E32">
        <f t="shared" si="3"/>
        <v>19200</v>
      </c>
      <c r="F32">
        <f t="shared" si="1"/>
        <v>55600</v>
      </c>
      <c r="G32">
        <f t="shared" si="2"/>
        <v>19200</v>
      </c>
    </row>
    <row r="33" spans="1:7" x14ac:dyDescent="0.25">
      <c r="A33" s="1">
        <v>41274</v>
      </c>
      <c r="B33" s="2">
        <f t="shared" si="0"/>
        <v>1</v>
      </c>
      <c r="C33">
        <v>90</v>
      </c>
      <c r="D33">
        <f t="shared" si="3"/>
        <v>55600</v>
      </c>
      <c r="E33">
        <f t="shared" si="3"/>
        <v>19200</v>
      </c>
      <c r="F33">
        <f t="shared" si="1"/>
        <v>52000</v>
      </c>
      <c r="G33">
        <f t="shared" si="2"/>
        <v>19200</v>
      </c>
    </row>
    <row r="34" spans="1:7" x14ac:dyDescent="0.25">
      <c r="A34" s="1">
        <v>41275</v>
      </c>
      <c r="B34" s="2">
        <f t="shared" si="0"/>
        <v>2</v>
      </c>
      <c r="C34">
        <v>90</v>
      </c>
      <c r="D34">
        <f t="shared" si="3"/>
        <v>52000</v>
      </c>
      <c r="E34">
        <f t="shared" si="3"/>
        <v>19200</v>
      </c>
      <c r="F34">
        <f t="shared" si="1"/>
        <v>48400</v>
      </c>
      <c r="G34">
        <f t="shared" si="2"/>
        <v>23200</v>
      </c>
    </row>
    <row r="35" spans="1:7" x14ac:dyDescent="0.25">
      <c r="A35" s="1">
        <v>41276</v>
      </c>
      <c r="B35" s="2">
        <f t="shared" si="0"/>
        <v>3</v>
      </c>
      <c r="C35">
        <v>90</v>
      </c>
      <c r="D35">
        <f t="shared" si="3"/>
        <v>48400</v>
      </c>
      <c r="E35">
        <f t="shared" si="3"/>
        <v>23200</v>
      </c>
      <c r="F35">
        <f t="shared" si="1"/>
        <v>48400</v>
      </c>
      <c r="G35">
        <f t="shared" si="2"/>
        <v>21400</v>
      </c>
    </row>
    <row r="36" spans="1:7" x14ac:dyDescent="0.25">
      <c r="A36" s="1">
        <v>41277</v>
      </c>
      <c r="B36" s="2">
        <f t="shared" si="0"/>
        <v>4</v>
      </c>
      <c r="C36">
        <v>90</v>
      </c>
      <c r="D36">
        <f t="shared" si="3"/>
        <v>48400</v>
      </c>
      <c r="E36">
        <f t="shared" si="3"/>
        <v>21400</v>
      </c>
      <c r="F36">
        <f t="shared" si="1"/>
        <v>48400</v>
      </c>
      <c r="G36">
        <f t="shared" si="2"/>
        <v>19600</v>
      </c>
    </row>
    <row r="37" spans="1:7" x14ac:dyDescent="0.25">
      <c r="A37" s="1">
        <v>41278</v>
      </c>
      <c r="B37" s="2">
        <f t="shared" si="0"/>
        <v>5</v>
      </c>
      <c r="C37">
        <v>90</v>
      </c>
      <c r="D37">
        <f t="shared" si="3"/>
        <v>48400</v>
      </c>
      <c r="E37">
        <f t="shared" si="3"/>
        <v>19600</v>
      </c>
      <c r="F37">
        <f t="shared" si="1"/>
        <v>63400</v>
      </c>
      <c r="G37">
        <f t="shared" si="2"/>
        <v>17800</v>
      </c>
    </row>
    <row r="38" spans="1:7" x14ac:dyDescent="0.25">
      <c r="A38" s="1">
        <v>41279</v>
      </c>
      <c r="B38" s="2">
        <f t="shared" si="0"/>
        <v>6</v>
      </c>
      <c r="C38">
        <v>90</v>
      </c>
      <c r="D38">
        <f t="shared" si="3"/>
        <v>63400</v>
      </c>
      <c r="E38">
        <f t="shared" si="3"/>
        <v>17800</v>
      </c>
      <c r="F38">
        <f t="shared" si="1"/>
        <v>59800</v>
      </c>
      <c r="G38">
        <f t="shared" si="2"/>
        <v>17800</v>
      </c>
    </row>
    <row r="39" spans="1:7" x14ac:dyDescent="0.25">
      <c r="A39" s="1">
        <v>41280</v>
      </c>
      <c r="B39" s="2">
        <f t="shared" si="0"/>
        <v>7</v>
      </c>
      <c r="C39">
        <v>90</v>
      </c>
      <c r="D39">
        <f t="shared" si="3"/>
        <v>59800</v>
      </c>
      <c r="E39">
        <f t="shared" si="3"/>
        <v>17800</v>
      </c>
      <c r="F39">
        <f t="shared" si="1"/>
        <v>56200</v>
      </c>
      <c r="G39">
        <f t="shared" si="2"/>
        <v>17800</v>
      </c>
    </row>
    <row r="40" spans="1:7" x14ac:dyDescent="0.25">
      <c r="A40" s="1">
        <v>41281</v>
      </c>
      <c r="B40" s="2">
        <f t="shared" si="0"/>
        <v>1</v>
      </c>
      <c r="C40">
        <v>90</v>
      </c>
      <c r="D40">
        <f t="shared" si="3"/>
        <v>56200</v>
      </c>
      <c r="E40">
        <f t="shared" si="3"/>
        <v>17800</v>
      </c>
      <c r="F40">
        <f t="shared" si="1"/>
        <v>52600</v>
      </c>
      <c r="G40">
        <f t="shared" si="2"/>
        <v>17800</v>
      </c>
    </row>
    <row r="41" spans="1:7" x14ac:dyDescent="0.25">
      <c r="A41" s="1">
        <v>41282</v>
      </c>
      <c r="B41" s="2">
        <f t="shared" si="0"/>
        <v>2</v>
      </c>
      <c r="C41">
        <v>90</v>
      </c>
      <c r="D41">
        <f t="shared" si="3"/>
        <v>52600</v>
      </c>
      <c r="E41">
        <f t="shared" si="3"/>
        <v>17800</v>
      </c>
      <c r="F41">
        <f t="shared" si="1"/>
        <v>49000</v>
      </c>
      <c r="G41">
        <f t="shared" si="2"/>
        <v>21800</v>
      </c>
    </row>
    <row r="42" spans="1:7" x14ac:dyDescent="0.25">
      <c r="A42" s="1">
        <v>41283</v>
      </c>
      <c r="B42" s="2">
        <f t="shared" si="0"/>
        <v>3</v>
      </c>
      <c r="C42">
        <v>90</v>
      </c>
      <c r="D42">
        <f t="shared" si="3"/>
        <v>49000</v>
      </c>
      <c r="E42">
        <f t="shared" si="3"/>
        <v>21800</v>
      </c>
      <c r="F42">
        <f t="shared" si="1"/>
        <v>49000</v>
      </c>
      <c r="G42">
        <f t="shared" si="2"/>
        <v>20000</v>
      </c>
    </row>
    <row r="43" spans="1:7" x14ac:dyDescent="0.25">
      <c r="A43" s="1">
        <v>41284</v>
      </c>
      <c r="B43" s="2">
        <f t="shared" si="0"/>
        <v>4</v>
      </c>
      <c r="C43">
        <v>90</v>
      </c>
      <c r="D43">
        <f t="shared" si="3"/>
        <v>49000</v>
      </c>
      <c r="E43">
        <f t="shared" si="3"/>
        <v>20000</v>
      </c>
      <c r="F43">
        <f t="shared" si="1"/>
        <v>49000</v>
      </c>
      <c r="G43">
        <f t="shared" si="2"/>
        <v>18200</v>
      </c>
    </row>
    <row r="44" spans="1:7" x14ac:dyDescent="0.25">
      <c r="A44" s="1">
        <v>41285</v>
      </c>
      <c r="B44" s="2">
        <f t="shared" si="0"/>
        <v>5</v>
      </c>
      <c r="C44">
        <v>90</v>
      </c>
      <c r="D44">
        <f t="shared" si="3"/>
        <v>49000</v>
      </c>
      <c r="E44">
        <f t="shared" si="3"/>
        <v>18200</v>
      </c>
      <c r="F44">
        <f t="shared" si="1"/>
        <v>64000</v>
      </c>
      <c r="G44">
        <f t="shared" si="2"/>
        <v>16400</v>
      </c>
    </row>
    <row r="45" spans="1:7" x14ac:dyDescent="0.25">
      <c r="A45" s="1">
        <v>41286</v>
      </c>
      <c r="B45" s="2">
        <f t="shared" si="0"/>
        <v>6</v>
      </c>
      <c r="C45">
        <v>90</v>
      </c>
      <c r="D45">
        <f t="shared" si="3"/>
        <v>64000</v>
      </c>
      <c r="E45">
        <f t="shared" si="3"/>
        <v>16400</v>
      </c>
      <c r="F45">
        <f t="shared" si="1"/>
        <v>60400</v>
      </c>
      <c r="G45">
        <f t="shared" si="2"/>
        <v>16400</v>
      </c>
    </row>
    <row r="46" spans="1:7" x14ac:dyDescent="0.25">
      <c r="A46" s="1">
        <v>41287</v>
      </c>
      <c r="B46" s="2">
        <f t="shared" si="0"/>
        <v>7</v>
      </c>
      <c r="C46">
        <v>90</v>
      </c>
      <c r="D46">
        <f t="shared" si="3"/>
        <v>60400</v>
      </c>
      <c r="E46">
        <f t="shared" si="3"/>
        <v>16400</v>
      </c>
      <c r="F46">
        <f t="shared" si="1"/>
        <v>56800</v>
      </c>
      <c r="G46">
        <f t="shared" si="2"/>
        <v>16400</v>
      </c>
    </row>
    <row r="47" spans="1:7" x14ac:dyDescent="0.25">
      <c r="A47" s="1">
        <v>41288</v>
      </c>
      <c r="B47" s="2">
        <f t="shared" si="0"/>
        <v>1</v>
      </c>
      <c r="C47">
        <v>90</v>
      </c>
      <c r="D47">
        <f t="shared" si="3"/>
        <v>56800</v>
      </c>
      <c r="E47">
        <f t="shared" si="3"/>
        <v>16400</v>
      </c>
      <c r="F47">
        <f t="shared" si="1"/>
        <v>53200</v>
      </c>
      <c r="G47">
        <f t="shared" si="2"/>
        <v>16400</v>
      </c>
    </row>
    <row r="48" spans="1:7" x14ac:dyDescent="0.25">
      <c r="A48" s="1">
        <v>41289</v>
      </c>
      <c r="B48" s="2">
        <f t="shared" si="0"/>
        <v>2</v>
      </c>
      <c r="C48">
        <v>90</v>
      </c>
      <c r="D48">
        <f t="shared" si="3"/>
        <v>53200</v>
      </c>
      <c r="E48">
        <f t="shared" si="3"/>
        <v>16400</v>
      </c>
      <c r="F48">
        <f t="shared" si="1"/>
        <v>49600</v>
      </c>
      <c r="G48">
        <f t="shared" si="2"/>
        <v>20400</v>
      </c>
    </row>
    <row r="49" spans="1:7" x14ac:dyDescent="0.25">
      <c r="A49" s="1">
        <v>41290</v>
      </c>
      <c r="B49" s="2">
        <f t="shared" si="0"/>
        <v>3</v>
      </c>
      <c r="C49">
        <v>90</v>
      </c>
      <c r="D49">
        <f t="shared" si="3"/>
        <v>49600</v>
      </c>
      <c r="E49">
        <f t="shared" si="3"/>
        <v>20400</v>
      </c>
      <c r="F49">
        <f t="shared" si="1"/>
        <v>49600</v>
      </c>
      <c r="G49">
        <f t="shared" si="2"/>
        <v>18600</v>
      </c>
    </row>
    <row r="50" spans="1:7" x14ac:dyDescent="0.25">
      <c r="A50" s="1">
        <v>41291</v>
      </c>
      <c r="B50" s="2">
        <f t="shared" si="0"/>
        <v>4</v>
      </c>
      <c r="C50">
        <v>90</v>
      </c>
      <c r="D50">
        <f t="shared" si="3"/>
        <v>49600</v>
      </c>
      <c r="E50">
        <f t="shared" si="3"/>
        <v>18600</v>
      </c>
      <c r="F50">
        <f t="shared" si="1"/>
        <v>49600</v>
      </c>
      <c r="G50">
        <f t="shared" si="2"/>
        <v>16800</v>
      </c>
    </row>
    <row r="51" spans="1:7" x14ac:dyDescent="0.25">
      <c r="A51" s="1">
        <v>41292</v>
      </c>
      <c r="B51" s="2">
        <f t="shared" si="0"/>
        <v>5</v>
      </c>
      <c r="C51">
        <v>90</v>
      </c>
      <c r="D51">
        <f t="shared" si="3"/>
        <v>49600</v>
      </c>
      <c r="E51">
        <f t="shared" si="3"/>
        <v>16800</v>
      </c>
      <c r="F51">
        <f t="shared" si="1"/>
        <v>64600</v>
      </c>
      <c r="G51">
        <f t="shared" si="2"/>
        <v>15000</v>
      </c>
    </row>
    <row r="52" spans="1:7" x14ac:dyDescent="0.25">
      <c r="A52" s="1">
        <v>41293</v>
      </c>
      <c r="B52" s="2">
        <f t="shared" si="0"/>
        <v>6</v>
      </c>
      <c r="C52">
        <v>90</v>
      </c>
      <c r="D52">
        <f t="shared" si="3"/>
        <v>64600</v>
      </c>
      <c r="E52">
        <f t="shared" si="3"/>
        <v>15000</v>
      </c>
      <c r="F52">
        <f t="shared" si="1"/>
        <v>61000</v>
      </c>
      <c r="G52">
        <f t="shared" si="2"/>
        <v>15000</v>
      </c>
    </row>
    <row r="53" spans="1:7" x14ac:dyDescent="0.25">
      <c r="A53" s="1">
        <v>41294</v>
      </c>
      <c r="B53" s="2">
        <f t="shared" si="0"/>
        <v>7</v>
      </c>
      <c r="C53">
        <v>90</v>
      </c>
      <c r="D53">
        <f t="shared" si="3"/>
        <v>61000</v>
      </c>
      <c r="E53">
        <f t="shared" si="3"/>
        <v>15000</v>
      </c>
      <c r="F53">
        <f t="shared" si="1"/>
        <v>57400</v>
      </c>
      <c r="G53">
        <f t="shared" si="2"/>
        <v>15000</v>
      </c>
    </row>
    <row r="54" spans="1:7" x14ac:dyDescent="0.25">
      <c r="A54" s="1">
        <v>41295</v>
      </c>
      <c r="B54" s="2">
        <f t="shared" si="0"/>
        <v>1</v>
      </c>
      <c r="C54">
        <v>90</v>
      </c>
      <c r="D54">
        <f t="shared" si="3"/>
        <v>57400</v>
      </c>
      <c r="E54">
        <f t="shared" si="3"/>
        <v>15000</v>
      </c>
      <c r="F54">
        <f t="shared" si="1"/>
        <v>53800</v>
      </c>
      <c r="G54">
        <f t="shared" si="2"/>
        <v>15000</v>
      </c>
    </row>
    <row r="55" spans="1:7" x14ac:dyDescent="0.25">
      <c r="A55" s="1">
        <v>41296</v>
      </c>
      <c r="B55" s="2">
        <f t="shared" si="0"/>
        <v>2</v>
      </c>
      <c r="C55">
        <v>90</v>
      </c>
      <c r="D55">
        <f t="shared" si="3"/>
        <v>53800</v>
      </c>
      <c r="E55">
        <f t="shared" si="3"/>
        <v>15000</v>
      </c>
      <c r="F55">
        <f t="shared" si="1"/>
        <v>50200</v>
      </c>
      <c r="G55">
        <f t="shared" si="2"/>
        <v>19000</v>
      </c>
    </row>
    <row r="56" spans="1:7" x14ac:dyDescent="0.25">
      <c r="A56" s="1">
        <v>41297</v>
      </c>
      <c r="B56" s="2">
        <f t="shared" si="0"/>
        <v>3</v>
      </c>
      <c r="C56">
        <v>90</v>
      </c>
      <c r="D56">
        <f t="shared" si="3"/>
        <v>50200</v>
      </c>
      <c r="E56">
        <f t="shared" si="3"/>
        <v>19000</v>
      </c>
      <c r="F56">
        <f t="shared" si="1"/>
        <v>46600</v>
      </c>
      <c r="G56">
        <f t="shared" si="2"/>
        <v>19000</v>
      </c>
    </row>
    <row r="57" spans="1:7" x14ac:dyDescent="0.25">
      <c r="A57" s="1">
        <v>41298</v>
      </c>
      <c r="B57" s="2">
        <f t="shared" si="0"/>
        <v>4</v>
      </c>
      <c r="C57">
        <v>90</v>
      </c>
      <c r="D57">
        <f t="shared" si="3"/>
        <v>46600</v>
      </c>
      <c r="E57">
        <f t="shared" si="3"/>
        <v>19000</v>
      </c>
      <c r="F57">
        <f t="shared" si="1"/>
        <v>46600</v>
      </c>
      <c r="G57">
        <f t="shared" si="2"/>
        <v>17200</v>
      </c>
    </row>
    <row r="58" spans="1:7" x14ac:dyDescent="0.25">
      <c r="A58" s="1">
        <v>41299</v>
      </c>
      <c r="B58" s="2">
        <f t="shared" si="0"/>
        <v>5</v>
      </c>
      <c r="C58">
        <v>90</v>
      </c>
      <c r="D58">
        <f t="shared" si="3"/>
        <v>46600</v>
      </c>
      <c r="E58">
        <f t="shared" si="3"/>
        <v>17200</v>
      </c>
      <c r="F58">
        <f t="shared" si="1"/>
        <v>61600</v>
      </c>
      <c r="G58">
        <f t="shared" si="2"/>
        <v>15400</v>
      </c>
    </row>
    <row r="59" spans="1:7" x14ac:dyDescent="0.25">
      <c r="A59" s="1">
        <v>41300</v>
      </c>
      <c r="B59" s="2">
        <f t="shared" si="0"/>
        <v>6</v>
      </c>
      <c r="C59">
        <v>90</v>
      </c>
      <c r="D59">
        <f t="shared" si="3"/>
        <v>61600</v>
      </c>
      <c r="E59">
        <f t="shared" si="3"/>
        <v>15400</v>
      </c>
      <c r="F59">
        <f t="shared" si="1"/>
        <v>58000</v>
      </c>
      <c r="G59">
        <f t="shared" si="2"/>
        <v>15400</v>
      </c>
    </row>
    <row r="60" spans="1:7" x14ac:dyDescent="0.25">
      <c r="A60" s="1">
        <v>41301</v>
      </c>
      <c r="B60" s="2">
        <f t="shared" si="0"/>
        <v>7</v>
      </c>
      <c r="C60">
        <v>90</v>
      </c>
      <c r="D60">
        <f t="shared" si="3"/>
        <v>58000</v>
      </c>
      <c r="E60">
        <f t="shared" si="3"/>
        <v>15400</v>
      </c>
      <c r="F60">
        <f t="shared" si="1"/>
        <v>54400</v>
      </c>
      <c r="G60">
        <f t="shared" si="2"/>
        <v>15400</v>
      </c>
    </row>
    <row r="61" spans="1:7" x14ac:dyDescent="0.25">
      <c r="A61" s="1">
        <v>41302</v>
      </c>
      <c r="B61" s="2">
        <f t="shared" si="0"/>
        <v>1</v>
      </c>
      <c r="C61">
        <v>90</v>
      </c>
      <c r="D61">
        <f t="shared" si="3"/>
        <v>54400</v>
      </c>
      <c r="E61">
        <f t="shared" si="3"/>
        <v>15400</v>
      </c>
      <c r="F61">
        <f t="shared" si="1"/>
        <v>50800</v>
      </c>
      <c r="G61">
        <f t="shared" si="2"/>
        <v>15400</v>
      </c>
    </row>
    <row r="62" spans="1:7" x14ac:dyDescent="0.25">
      <c r="A62" s="1">
        <v>41303</v>
      </c>
      <c r="B62" s="2">
        <f t="shared" si="0"/>
        <v>2</v>
      </c>
      <c r="C62">
        <v>90</v>
      </c>
      <c r="D62">
        <f t="shared" ref="D62:D77" si="4">F61</f>
        <v>50800</v>
      </c>
      <c r="E62">
        <f t="shared" ref="E62:E77" si="5">G61</f>
        <v>15400</v>
      </c>
      <c r="F62">
        <f t="shared" ref="F62:F77" si="6">IF(D62&gt;=50000,D62-(C62*40),D62)+IF(B62=5,15000,0)</f>
        <v>47200</v>
      </c>
      <c r="G62">
        <f t="shared" ref="G62:G77" si="7">IF(D62&lt;50000,E62-(C62*20),E62)+IF(B62=2,4000,0)</f>
        <v>19400</v>
      </c>
    </row>
    <row r="63" spans="1:7" x14ac:dyDescent="0.25">
      <c r="A63" s="1">
        <v>41304</v>
      </c>
      <c r="B63" s="2">
        <f t="shared" si="0"/>
        <v>3</v>
      </c>
      <c r="C63">
        <v>90</v>
      </c>
      <c r="D63">
        <f t="shared" si="4"/>
        <v>47200</v>
      </c>
      <c r="E63">
        <f t="shared" si="5"/>
        <v>19400</v>
      </c>
      <c r="F63">
        <f t="shared" si="6"/>
        <v>47200</v>
      </c>
      <c r="G63">
        <f t="shared" si="7"/>
        <v>17600</v>
      </c>
    </row>
    <row r="64" spans="1:7" x14ac:dyDescent="0.25">
      <c r="A64" s="1">
        <v>41305</v>
      </c>
      <c r="B64" s="2">
        <f t="shared" si="0"/>
        <v>4</v>
      </c>
      <c r="C64">
        <v>90</v>
      </c>
      <c r="D64">
        <f t="shared" si="4"/>
        <v>47200</v>
      </c>
      <c r="E64">
        <f t="shared" si="5"/>
        <v>17600</v>
      </c>
      <c r="F64">
        <f t="shared" si="6"/>
        <v>47200</v>
      </c>
      <c r="G64">
        <f t="shared" si="7"/>
        <v>15800</v>
      </c>
    </row>
    <row r="65" spans="1:7" x14ac:dyDescent="0.25">
      <c r="A65" s="1">
        <v>41306</v>
      </c>
      <c r="B65" s="2">
        <f t="shared" si="0"/>
        <v>5</v>
      </c>
      <c r="C65">
        <v>90</v>
      </c>
      <c r="D65">
        <f t="shared" si="4"/>
        <v>47200</v>
      </c>
      <c r="E65">
        <f t="shared" si="5"/>
        <v>15800</v>
      </c>
      <c r="F65">
        <f t="shared" si="6"/>
        <v>62200</v>
      </c>
      <c r="G65">
        <f t="shared" si="7"/>
        <v>14000</v>
      </c>
    </row>
    <row r="66" spans="1:7" x14ac:dyDescent="0.25">
      <c r="A66" s="1">
        <v>41307</v>
      </c>
      <c r="B66" s="2">
        <f t="shared" si="0"/>
        <v>6</v>
      </c>
      <c r="C66">
        <v>90</v>
      </c>
      <c r="D66">
        <f t="shared" si="4"/>
        <v>62200</v>
      </c>
      <c r="E66">
        <f t="shared" si="5"/>
        <v>14000</v>
      </c>
      <c r="F66">
        <f t="shared" si="6"/>
        <v>58600</v>
      </c>
      <c r="G66">
        <f t="shared" si="7"/>
        <v>14000</v>
      </c>
    </row>
    <row r="67" spans="1:7" x14ac:dyDescent="0.25">
      <c r="A67" s="1">
        <v>41308</v>
      </c>
      <c r="B67" s="2">
        <f t="shared" si="0"/>
        <v>7</v>
      </c>
      <c r="C67">
        <v>90</v>
      </c>
      <c r="D67">
        <f t="shared" si="4"/>
        <v>58600</v>
      </c>
      <c r="E67">
        <f t="shared" si="5"/>
        <v>14000</v>
      </c>
      <c r="F67">
        <f t="shared" si="6"/>
        <v>55000</v>
      </c>
      <c r="G67">
        <f t="shared" si="7"/>
        <v>14000</v>
      </c>
    </row>
    <row r="68" spans="1:7" x14ac:dyDescent="0.25">
      <c r="A68" s="1">
        <v>41309</v>
      </c>
      <c r="B68" s="2">
        <f t="shared" ref="B68:B92" si="8">WEEKDAY(A68,2)</f>
        <v>1</v>
      </c>
      <c r="C68">
        <v>90</v>
      </c>
      <c r="D68">
        <f t="shared" si="4"/>
        <v>55000</v>
      </c>
      <c r="E68">
        <f t="shared" si="5"/>
        <v>14000</v>
      </c>
      <c r="F68">
        <f t="shared" si="6"/>
        <v>51400</v>
      </c>
      <c r="G68">
        <f t="shared" si="7"/>
        <v>14000</v>
      </c>
    </row>
    <row r="69" spans="1:7" x14ac:dyDescent="0.25">
      <c r="A69" s="1">
        <v>41310</v>
      </c>
      <c r="B69" s="2">
        <f t="shared" si="8"/>
        <v>2</v>
      </c>
      <c r="C69">
        <v>90</v>
      </c>
      <c r="D69">
        <f t="shared" si="4"/>
        <v>51400</v>
      </c>
      <c r="E69">
        <f t="shared" si="5"/>
        <v>14000</v>
      </c>
      <c r="F69">
        <f t="shared" si="6"/>
        <v>47800</v>
      </c>
      <c r="G69">
        <f t="shared" si="7"/>
        <v>18000</v>
      </c>
    </row>
    <row r="70" spans="1:7" x14ac:dyDescent="0.25">
      <c r="A70" s="1">
        <v>41311</v>
      </c>
      <c r="B70" s="2">
        <f t="shared" si="8"/>
        <v>3</v>
      </c>
      <c r="C70">
        <v>90</v>
      </c>
      <c r="D70">
        <f t="shared" si="4"/>
        <v>47800</v>
      </c>
      <c r="E70">
        <f t="shared" si="5"/>
        <v>18000</v>
      </c>
      <c r="F70">
        <f t="shared" si="6"/>
        <v>47800</v>
      </c>
      <c r="G70">
        <f t="shared" si="7"/>
        <v>16200</v>
      </c>
    </row>
    <row r="71" spans="1:7" x14ac:dyDescent="0.25">
      <c r="A71" s="1">
        <v>41312</v>
      </c>
      <c r="B71" s="2">
        <f t="shared" si="8"/>
        <v>4</v>
      </c>
      <c r="C71">
        <v>90</v>
      </c>
      <c r="D71">
        <f t="shared" si="4"/>
        <v>47800</v>
      </c>
      <c r="E71">
        <f t="shared" si="5"/>
        <v>16200</v>
      </c>
      <c r="F71">
        <f t="shared" si="6"/>
        <v>47800</v>
      </c>
      <c r="G71">
        <f t="shared" si="7"/>
        <v>14400</v>
      </c>
    </row>
    <row r="72" spans="1:7" x14ac:dyDescent="0.25">
      <c r="A72" s="1">
        <v>41313</v>
      </c>
      <c r="B72" s="2">
        <f t="shared" si="8"/>
        <v>5</v>
      </c>
      <c r="C72">
        <v>90</v>
      </c>
      <c r="D72">
        <f t="shared" si="4"/>
        <v>47800</v>
      </c>
      <c r="E72">
        <f t="shared" si="5"/>
        <v>14400</v>
      </c>
      <c r="F72">
        <f t="shared" si="6"/>
        <v>62800</v>
      </c>
      <c r="G72">
        <f t="shared" si="7"/>
        <v>12600</v>
      </c>
    </row>
    <row r="73" spans="1:7" x14ac:dyDescent="0.25">
      <c r="A73" s="1">
        <v>41314</v>
      </c>
      <c r="B73" s="2">
        <f t="shared" si="8"/>
        <v>6</v>
      </c>
      <c r="C73">
        <v>90</v>
      </c>
      <c r="D73">
        <f t="shared" si="4"/>
        <v>62800</v>
      </c>
      <c r="E73">
        <f t="shared" si="5"/>
        <v>12600</v>
      </c>
      <c r="F73">
        <f t="shared" si="6"/>
        <v>59200</v>
      </c>
      <c r="G73">
        <f t="shared" si="7"/>
        <v>12600</v>
      </c>
    </row>
    <row r="74" spans="1:7" x14ac:dyDescent="0.25">
      <c r="A74" s="1">
        <v>41315</v>
      </c>
      <c r="B74" s="2">
        <f t="shared" si="8"/>
        <v>7</v>
      </c>
      <c r="C74">
        <v>90</v>
      </c>
      <c r="D74">
        <f t="shared" si="4"/>
        <v>59200</v>
      </c>
      <c r="E74">
        <f t="shared" si="5"/>
        <v>12600</v>
      </c>
      <c r="F74">
        <f t="shared" si="6"/>
        <v>55600</v>
      </c>
      <c r="G74">
        <f t="shared" si="7"/>
        <v>12600</v>
      </c>
    </row>
    <row r="75" spans="1:7" x14ac:dyDescent="0.25">
      <c r="A75" s="1">
        <v>41316</v>
      </c>
      <c r="B75" s="2">
        <f t="shared" si="8"/>
        <v>1</v>
      </c>
      <c r="C75">
        <v>90</v>
      </c>
      <c r="D75">
        <f t="shared" si="4"/>
        <v>55600</v>
      </c>
      <c r="E75">
        <f t="shared" si="5"/>
        <v>12600</v>
      </c>
      <c r="F75">
        <f t="shared" si="6"/>
        <v>52000</v>
      </c>
      <c r="G75">
        <f t="shared" si="7"/>
        <v>12600</v>
      </c>
    </row>
    <row r="76" spans="1:7" x14ac:dyDescent="0.25">
      <c r="A76" s="1">
        <v>41317</v>
      </c>
      <c r="B76" s="2">
        <f t="shared" si="8"/>
        <v>2</v>
      </c>
      <c r="C76">
        <v>90</v>
      </c>
      <c r="D76">
        <f t="shared" si="4"/>
        <v>52000</v>
      </c>
      <c r="E76">
        <f t="shared" si="5"/>
        <v>12600</v>
      </c>
      <c r="F76">
        <f t="shared" si="6"/>
        <v>48400</v>
      </c>
      <c r="G76">
        <f t="shared" si="7"/>
        <v>16600</v>
      </c>
    </row>
    <row r="77" spans="1:7" x14ac:dyDescent="0.25">
      <c r="A77" s="1">
        <v>41318</v>
      </c>
      <c r="B77" s="2">
        <f t="shared" si="8"/>
        <v>3</v>
      </c>
      <c r="C77">
        <v>90</v>
      </c>
      <c r="D77">
        <f t="shared" si="4"/>
        <v>48400</v>
      </c>
      <c r="E77">
        <f t="shared" si="5"/>
        <v>16600</v>
      </c>
      <c r="F77">
        <f t="shared" si="6"/>
        <v>48400</v>
      </c>
      <c r="G77">
        <f t="shared" si="7"/>
        <v>14800</v>
      </c>
    </row>
    <row r="78" spans="1:7" x14ac:dyDescent="0.25">
      <c r="A78" s="1">
        <v>41319</v>
      </c>
      <c r="B78" s="2">
        <f t="shared" si="8"/>
        <v>4</v>
      </c>
      <c r="C78">
        <v>90</v>
      </c>
      <c r="D78">
        <f t="shared" ref="D78:D92" si="9">F77</f>
        <v>48400</v>
      </c>
      <c r="E78">
        <f t="shared" ref="E78:E92" si="10">G77</f>
        <v>14800</v>
      </c>
      <c r="F78">
        <f t="shared" ref="F78:F92" si="11">IF(D78&gt;=50000,D78-(C78*40),D78)+IF(B78=5,15000,0)</f>
        <v>48400</v>
      </c>
      <c r="G78">
        <f t="shared" ref="G78:G92" si="12">IF(D78&lt;50000,E78-(C78*20),E78)+IF(B78=2,4000,0)</f>
        <v>13000</v>
      </c>
    </row>
    <row r="79" spans="1:7" x14ac:dyDescent="0.25">
      <c r="A79" s="1">
        <v>41320</v>
      </c>
      <c r="B79" s="2">
        <f t="shared" si="8"/>
        <v>5</v>
      </c>
      <c r="C79">
        <v>90</v>
      </c>
      <c r="D79">
        <f t="shared" si="9"/>
        <v>48400</v>
      </c>
      <c r="E79">
        <f t="shared" si="10"/>
        <v>13000</v>
      </c>
      <c r="F79">
        <f t="shared" si="11"/>
        <v>63400</v>
      </c>
      <c r="G79">
        <f t="shared" si="12"/>
        <v>11200</v>
      </c>
    </row>
    <row r="80" spans="1:7" x14ac:dyDescent="0.25">
      <c r="A80" s="1">
        <v>41321</v>
      </c>
      <c r="B80" s="2">
        <f t="shared" si="8"/>
        <v>6</v>
      </c>
      <c r="C80">
        <v>90</v>
      </c>
      <c r="D80">
        <f t="shared" si="9"/>
        <v>63400</v>
      </c>
      <c r="E80">
        <f t="shared" si="10"/>
        <v>11200</v>
      </c>
      <c r="F80">
        <f t="shared" si="11"/>
        <v>59800</v>
      </c>
      <c r="G80">
        <f t="shared" si="12"/>
        <v>11200</v>
      </c>
    </row>
    <row r="81" spans="1:7" x14ac:dyDescent="0.25">
      <c r="A81" s="1">
        <v>41322</v>
      </c>
      <c r="B81" s="2">
        <f t="shared" si="8"/>
        <v>7</v>
      </c>
      <c r="C81">
        <v>90</v>
      </c>
      <c r="D81">
        <f t="shared" si="9"/>
        <v>59800</v>
      </c>
      <c r="E81">
        <f t="shared" si="10"/>
        <v>11200</v>
      </c>
      <c r="F81">
        <f t="shared" si="11"/>
        <v>56200</v>
      </c>
      <c r="G81">
        <f t="shared" si="12"/>
        <v>11200</v>
      </c>
    </row>
    <row r="82" spans="1:7" x14ac:dyDescent="0.25">
      <c r="A82" s="1">
        <v>41323</v>
      </c>
      <c r="B82" s="2">
        <f t="shared" si="8"/>
        <v>1</v>
      </c>
      <c r="C82">
        <v>90</v>
      </c>
      <c r="D82">
        <f t="shared" si="9"/>
        <v>56200</v>
      </c>
      <c r="E82">
        <f t="shared" si="10"/>
        <v>11200</v>
      </c>
      <c r="F82">
        <f t="shared" si="11"/>
        <v>52600</v>
      </c>
      <c r="G82">
        <f t="shared" si="12"/>
        <v>11200</v>
      </c>
    </row>
    <row r="83" spans="1:7" x14ac:dyDescent="0.25">
      <c r="A83" s="1">
        <v>41324</v>
      </c>
      <c r="B83" s="2">
        <f t="shared" si="8"/>
        <v>2</v>
      </c>
      <c r="C83">
        <v>90</v>
      </c>
      <c r="D83">
        <f t="shared" si="9"/>
        <v>52600</v>
      </c>
      <c r="E83">
        <f t="shared" si="10"/>
        <v>11200</v>
      </c>
      <c r="F83">
        <f t="shared" si="11"/>
        <v>49000</v>
      </c>
      <c r="G83">
        <f t="shared" si="12"/>
        <v>15200</v>
      </c>
    </row>
    <row r="84" spans="1:7" x14ac:dyDescent="0.25">
      <c r="A84" s="1">
        <v>41325</v>
      </c>
      <c r="B84" s="2">
        <f t="shared" si="8"/>
        <v>3</v>
      </c>
      <c r="C84">
        <v>90</v>
      </c>
      <c r="D84">
        <f t="shared" si="9"/>
        <v>49000</v>
      </c>
      <c r="E84">
        <f t="shared" si="10"/>
        <v>15200</v>
      </c>
      <c r="F84">
        <f t="shared" si="11"/>
        <v>49000</v>
      </c>
      <c r="G84">
        <f t="shared" si="12"/>
        <v>13400</v>
      </c>
    </row>
    <row r="85" spans="1:7" x14ac:dyDescent="0.25">
      <c r="A85" s="1">
        <v>41326</v>
      </c>
      <c r="B85" s="2">
        <f t="shared" si="8"/>
        <v>4</v>
      </c>
      <c r="C85">
        <v>90</v>
      </c>
      <c r="D85">
        <f t="shared" si="9"/>
        <v>49000</v>
      </c>
      <c r="E85">
        <f t="shared" si="10"/>
        <v>13400</v>
      </c>
      <c r="F85">
        <f t="shared" si="11"/>
        <v>49000</v>
      </c>
      <c r="G85">
        <f t="shared" si="12"/>
        <v>11600</v>
      </c>
    </row>
    <row r="86" spans="1:7" x14ac:dyDescent="0.25">
      <c r="A86" s="1">
        <v>41327</v>
      </c>
      <c r="B86" s="2">
        <f t="shared" si="8"/>
        <v>5</v>
      </c>
      <c r="C86">
        <v>90</v>
      </c>
      <c r="D86">
        <f t="shared" si="9"/>
        <v>49000</v>
      </c>
      <c r="E86">
        <f t="shared" si="10"/>
        <v>11600</v>
      </c>
      <c r="F86">
        <f t="shared" si="11"/>
        <v>64000</v>
      </c>
      <c r="G86">
        <f t="shared" si="12"/>
        <v>9800</v>
      </c>
    </row>
    <row r="87" spans="1:7" x14ac:dyDescent="0.25">
      <c r="A87" s="1">
        <v>41328</v>
      </c>
      <c r="B87" s="2">
        <f t="shared" si="8"/>
        <v>6</v>
      </c>
      <c r="C87">
        <v>90</v>
      </c>
      <c r="D87">
        <f t="shared" si="9"/>
        <v>64000</v>
      </c>
      <c r="E87">
        <f t="shared" si="10"/>
        <v>9800</v>
      </c>
      <c r="F87">
        <f t="shared" si="11"/>
        <v>60400</v>
      </c>
      <c r="G87">
        <f t="shared" si="12"/>
        <v>9800</v>
      </c>
    </row>
    <row r="88" spans="1:7" x14ac:dyDescent="0.25">
      <c r="A88" s="1">
        <v>41329</v>
      </c>
      <c r="B88" s="2">
        <f t="shared" si="8"/>
        <v>7</v>
      </c>
      <c r="C88">
        <v>90</v>
      </c>
      <c r="D88">
        <f t="shared" si="9"/>
        <v>60400</v>
      </c>
      <c r="E88">
        <f t="shared" si="10"/>
        <v>9800</v>
      </c>
      <c r="F88">
        <f t="shared" si="11"/>
        <v>56800</v>
      </c>
      <c r="G88">
        <f t="shared" si="12"/>
        <v>9800</v>
      </c>
    </row>
    <row r="89" spans="1:7" x14ac:dyDescent="0.25">
      <c r="A89" s="1">
        <v>41330</v>
      </c>
      <c r="B89" s="2">
        <f t="shared" si="8"/>
        <v>1</v>
      </c>
      <c r="C89">
        <v>90</v>
      </c>
      <c r="D89">
        <f t="shared" si="9"/>
        <v>56800</v>
      </c>
      <c r="E89">
        <f t="shared" si="10"/>
        <v>9800</v>
      </c>
      <c r="F89">
        <f t="shared" si="11"/>
        <v>53200</v>
      </c>
      <c r="G89">
        <f t="shared" si="12"/>
        <v>9800</v>
      </c>
    </row>
    <row r="90" spans="1:7" x14ac:dyDescent="0.25">
      <c r="A90" s="1">
        <v>41331</v>
      </c>
      <c r="B90" s="2">
        <f t="shared" si="8"/>
        <v>2</v>
      </c>
      <c r="C90">
        <v>90</v>
      </c>
      <c r="D90">
        <f t="shared" si="9"/>
        <v>53200</v>
      </c>
      <c r="E90">
        <f t="shared" si="10"/>
        <v>9800</v>
      </c>
      <c r="F90">
        <f t="shared" si="11"/>
        <v>49600</v>
      </c>
      <c r="G90">
        <f t="shared" si="12"/>
        <v>13800</v>
      </c>
    </row>
    <row r="91" spans="1:7" x14ac:dyDescent="0.25">
      <c r="A91" s="1">
        <v>41332</v>
      </c>
      <c r="B91" s="2">
        <f t="shared" si="8"/>
        <v>3</v>
      </c>
      <c r="C91">
        <v>90</v>
      </c>
      <c r="D91">
        <f t="shared" si="9"/>
        <v>49600</v>
      </c>
      <c r="E91">
        <f t="shared" si="10"/>
        <v>13800</v>
      </c>
      <c r="F91">
        <f t="shared" si="11"/>
        <v>49600</v>
      </c>
      <c r="G91">
        <f t="shared" si="12"/>
        <v>12000</v>
      </c>
    </row>
    <row r="92" spans="1:7" x14ac:dyDescent="0.25">
      <c r="A92" s="1">
        <v>41333</v>
      </c>
      <c r="B92" s="2">
        <f t="shared" si="8"/>
        <v>4</v>
      </c>
      <c r="C92">
        <v>90</v>
      </c>
      <c r="D92">
        <f t="shared" si="9"/>
        <v>49600</v>
      </c>
      <c r="E92">
        <f t="shared" si="10"/>
        <v>12000</v>
      </c>
      <c r="F92">
        <f t="shared" si="11"/>
        <v>49600</v>
      </c>
      <c r="G92">
        <f t="shared" si="12"/>
        <v>10200</v>
      </c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B241-18FD-4AED-83E8-878C3BF9D5DC}">
  <dimension ref="A1:K457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0.140625" bestFit="1" customWidth="1"/>
    <col min="2" max="2" width="10.28515625" style="2" bestFit="1" customWidth="1"/>
  </cols>
  <sheetData>
    <row r="1" spans="1:11" x14ac:dyDescent="0.25">
      <c r="D1" t="s">
        <v>2</v>
      </c>
      <c r="F1" t="s">
        <v>3</v>
      </c>
    </row>
    <row r="2" spans="1:11" x14ac:dyDescent="0.25">
      <c r="A2" t="s">
        <v>0</v>
      </c>
      <c r="B2" s="2" t="s">
        <v>4</v>
      </c>
      <c r="C2" t="s">
        <v>1</v>
      </c>
      <c r="D2" t="s">
        <v>10</v>
      </c>
      <c r="E2" t="s">
        <v>11</v>
      </c>
      <c r="F2" t="s">
        <v>12</v>
      </c>
      <c r="G2" t="s">
        <v>13</v>
      </c>
      <c r="J2" t="s">
        <v>19</v>
      </c>
      <c r="K2">
        <v>95</v>
      </c>
    </row>
    <row r="3" spans="1:11" x14ac:dyDescent="0.25">
      <c r="A3" s="1">
        <v>41244</v>
      </c>
      <c r="B3" s="2">
        <f>WEEKDAY(A3,2)</f>
        <v>6</v>
      </c>
      <c r="C3">
        <f>$K$2</f>
        <v>95</v>
      </c>
      <c r="D3">
        <v>100000</v>
      </c>
      <c r="E3">
        <v>5000</v>
      </c>
      <c r="F3">
        <f>IF(D3&gt;=50000,D3-(C3*40),D3)+IF(B3=5,15000,0)</f>
        <v>96200</v>
      </c>
      <c r="G3">
        <f>IF(D3&lt;50000,E3-(C3*20),E3)+IF(B3=2,4000,0)</f>
        <v>5000</v>
      </c>
    </row>
    <row r="4" spans="1:11" x14ac:dyDescent="0.25">
      <c r="A4" s="1">
        <v>41245</v>
      </c>
      <c r="B4" s="2">
        <f t="shared" ref="B4:B67" si="0">WEEKDAY(A4,2)</f>
        <v>7</v>
      </c>
      <c r="C4">
        <f t="shared" ref="C4:C67" si="1">$K$2</f>
        <v>95</v>
      </c>
      <c r="D4">
        <f>F3</f>
        <v>96200</v>
      </c>
      <c r="E4">
        <f>G3</f>
        <v>5000</v>
      </c>
      <c r="F4">
        <f t="shared" ref="F4:F67" si="2">IF(D4&gt;=50000,D4-(C4*40),D4)+IF(B4=5,15000,0)</f>
        <v>92400</v>
      </c>
      <c r="G4">
        <f t="shared" ref="G4:G67" si="3">IF(D4&lt;50000,E4-(C4*20),E4)+IF(B4=2,4000,0)</f>
        <v>5000</v>
      </c>
      <c r="K4">
        <f>K2-90</f>
        <v>5</v>
      </c>
    </row>
    <row r="5" spans="1:11" x14ac:dyDescent="0.25">
      <c r="A5" s="1">
        <v>41246</v>
      </c>
      <c r="B5" s="2">
        <f t="shared" si="0"/>
        <v>1</v>
      </c>
      <c r="C5">
        <f t="shared" si="1"/>
        <v>95</v>
      </c>
      <c r="D5">
        <f t="shared" ref="D5:E68" si="4">F4</f>
        <v>92400</v>
      </c>
      <c r="E5">
        <f t="shared" si="4"/>
        <v>5000</v>
      </c>
      <c r="F5">
        <f t="shared" si="2"/>
        <v>88600</v>
      </c>
      <c r="G5">
        <f>IF(D5&lt;50000,E5-(C5*20),E5)+IF(B5=2,4000,0)</f>
        <v>5000</v>
      </c>
    </row>
    <row r="6" spans="1:11" x14ac:dyDescent="0.25">
      <c r="A6" s="1">
        <v>41247</v>
      </c>
      <c r="B6" s="2">
        <f t="shared" si="0"/>
        <v>2</v>
      </c>
      <c r="C6">
        <f t="shared" si="1"/>
        <v>95</v>
      </c>
      <c r="D6">
        <f t="shared" si="4"/>
        <v>88600</v>
      </c>
      <c r="E6">
        <f t="shared" si="4"/>
        <v>5000</v>
      </c>
      <c r="F6">
        <f t="shared" si="2"/>
        <v>84800</v>
      </c>
      <c r="G6">
        <f>IF(D6&lt;50000,E6-(C6*20),E6)+IF(B6=2,4000,0)</f>
        <v>9000</v>
      </c>
    </row>
    <row r="7" spans="1:11" x14ac:dyDescent="0.25">
      <c r="A7" s="1">
        <v>41248</v>
      </c>
      <c r="B7" s="2">
        <f t="shared" si="0"/>
        <v>3</v>
      </c>
      <c r="C7">
        <f t="shared" si="1"/>
        <v>95</v>
      </c>
      <c r="D7">
        <f t="shared" si="4"/>
        <v>84800</v>
      </c>
      <c r="E7">
        <f t="shared" si="4"/>
        <v>9000</v>
      </c>
      <c r="F7">
        <f t="shared" si="2"/>
        <v>81000</v>
      </c>
      <c r="G7">
        <f t="shared" si="3"/>
        <v>9000</v>
      </c>
    </row>
    <row r="8" spans="1:11" x14ac:dyDescent="0.25">
      <c r="A8" s="1">
        <v>41249</v>
      </c>
      <c r="B8" s="2">
        <f t="shared" si="0"/>
        <v>4</v>
      </c>
      <c r="C8">
        <f t="shared" si="1"/>
        <v>95</v>
      </c>
      <c r="D8">
        <f t="shared" si="4"/>
        <v>81000</v>
      </c>
      <c r="E8">
        <f t="shared" si="4"/>
        <v>9000</v>
      </c>
      <c r="F8">
        <f t="shared" si="2"/>
        <v>77200</v>
      </c>
      <c r="G8">
        <f t="shared" si="3"/>
        <v>9000</v>
      </c>
    </row>
    <row r="9" spans="1:11" x14ac:dyDescent="0.25">
      <c r="A9" s="1">
        <v>41250</v>
      </c>
      <c r="B9" s="2">
        <f t="shared" si="0"/>
        <v>5</v>
      </c>
      <c r="C9">
        <f t="shared" si="1"/>
        <v>95</v>
      </c>
      <c r="D9">
        <f t="shared" si="4"/>
        <v>77200</v>
      </c>
      <c r="E9">
        <f t="shared" si="4"/>
        <v>9000</v>
      </c>
      <c r="F9">
        <f t="shared" si="2"/>
        <v>88400</v>
      </c>
      <c r="G9">
        <f t="shared" si="3"/>
        <v>9000</v>
      </c>
    </row>
    <row r="10" spans="1:11" x14ac:dyDescent="0.25">
      <c r="A10" s="1">
        <v>41251</v>
      </c>
      <c r="B10" s="2">
        <f t="shared" si="0"/>
        <v>6</v>
      </c>
      <c r="C10">
        <f t="shared" si="1"/>
        <v>95</v>
      </c>
      <c r="D10">
        <f t="shared" si="4"/>
        <v>88400</v>
      </c>
      <c r="E10">
        <f t="shared" si="4"/>
        <v>9000</v>
      </c>
      <c r="F10">
        <f t="shared" si="2"/>
        <v>84600</v>
      </c>
      <c r="G10">
        <f t="shared" si="3"/>
        <v>9000</v>
      </c>
    </row>
    <row r="11" spans="1:11" x14ac:dyDescent="0.25">
      <c r="A11" s="1">
        <v>41252</v>
      </c>
      <c r="B11" s="2">
        <f t="shared" si="0"/>
        <v>7</v>
      </c>
      <c r="C11">
        <f t="shared" si="1"/>
        <v>95</v>
      </c>
      <c r="D11">
        <f t="shared" si="4"/>
        <v>84600</v>
      </c>
      <c r="E11">
        <f t="shared" si="4"/>
        <v>9000</v>
      </c>
      <c r="F11">
        <f t="shared" si="2"/>
        <v>80800</v>
      </c>
      <c r="G11">
        <f t="shared" si="3"/>
        <v>9000</v>
      </c>
    </row>
    <row r="12" spans="1:11" x14ac:dyDescent="0.25">
      <c r="A12" s="1">
        <v>41253</v>
      </c>
      <c r="B12" s="2">
        <f t="shared" si="0"/>
        <v>1</v>
      </c>
      <c r="C12">
        <f t="shared" si="1"/>
        <v>95</v>
      </c>
      <c r="D12">
        <f t="shared" si="4"/>
        <v>80800</v>
      </c>
      <c r="E12">
        <f t="shared" si="4"/>
        <v>9000</v>
      </c>
      <c r="F12">
        <f t="shared" si="2"/>
        <v>77000</v>
      </c>
      <c r="G12">
        <f t="shared" si="3"/>
        <v>9000</v>
      </c>
    </row>
    <row r="13" spans="1:11" x14ac:dyDescent="0.25">
      <c r="A13" s="1">
        <v>41254</v>
      </c>
      <c r="B13" s="2">
        <f t="shared" si="0"/>
        <v>2</v>
      </c>
      <c r="C13">
        <f t="shared" si="1"/>
        <v>95</v>
      </c>
      <c r="D13">
        <f t="shared" si="4"/>
        <v>77000</v>
      </c>
      <c r="E13">
        <f t="shared" si="4"/>
        <v>9000</v>
      </c>
      <c r="F13">
        <f t="shared" si="2"/>
        <v>73200</v>
      </c>
      <c r="G13">
        <f t="shared" si="3"/>
        <v>13000</v>
      </c>
    </row>
    <row r="14" spans="1:11" x14ac:dyDescent="0.25">
      <c r="A14" s="1">
        <v>41255</v>
      </c>
      <c r="B14" s="2">
        <f t="shared" si="0"/>
        <v>3</v>
      </c>
      <c r="C14">
        <f t="shared" si="1"/>
        <v>95</v>
      </c>
      <c r="D14">
        <f t="shared" si="4"/>
        <v>73200</v>
      </c>
      <c r="E14">
        <f t="shared" si="4"/>
        <v>13000</v>
      </c>
      <c r="F14">
        <f t="shared" si="2"/>
        <v>69400</v>
      </c>
      <c r="G14">
        <f t="shared" si="3"/>
        <v>13000</v>
      </c>
    </row>
    <row r="15" spans="1:11" x14ac:dyDescent="0.25">
      <c r="A15" s="1">
        <v>41256</v>
      </c>
      <c r="B15" s="2">
        <f t="shared" si="0"/>
        <v>4</v>
      </c>
      <c r="C15">
        <f t="shared" si="1"/>
        <v>95</v>
      </c>
      <c r="D15">
        <f t="shared" si="4"/>
        <v>69400</v>
      </c>
      <c r="E15">
        <f t="shared" si="4"/>
        <v>13000</v>
      </c>
      <c r="F15">
        <f t="shared" si="2"/>
        <v>65600</v>
      </c>
      <c r="G15">
        <f t="shared" si="3"/>
        <v>13000</v>
      </c>
    </row>
    <row r="16" spans="1:11" x14ac:dyDescent="0.25">
      <c r="A16" s="1">
        <v>41257</v>
      </c>
      <c r="B16" s="2">
        <f t="shared" si="0"/>
        <v>5</v>
      </c>
      <c r="C16">
        <f t="shared" si="1"/>
        <v>95</v>
      </c>
      <c r="D16">
        <f t="shared" si="4"/>
        <v>65600</v>
      </c>
      <c r="E16">
        <f t="shared" si="4"/>
        <v>13000</v>
      </c>
      <c r="F16">
        <f t="shared" si="2"/>
        <v>76800</v>
      </c>
      <c r="G16">
        <f t="shared" si="3"/>
        <v>13000</v>
      </c>
    </row>
    <row r="17" spans="1:7" x14ac:dyDescent="0.25">
      <c r="A17" s="1">
        <v>41258</v>
      </c>
      <c r="B17" s="2">
        <f t="shared" si="0"/>
        <v>6</v>
      </c>
      <c r="C17">
        <f t="shared" si="1"/>
        <v>95</v>
      </c>
      <c r="D17">
        <f t="shared" si="4"/>
        <v>76800</v>
      </c>
      <c r="E17">
        <f t="shared" si="4"/>
        <v>13000</v>
      </c>
      <c r="F17">
        <f t="shared" si="2"/>
        <v>73000</v>
      </c>
      <c r="G17">
        <f t="shared" si="3"/>
        <v>13000</v>
      </c>
    </row>
    <row r="18" spans="1:7" x14ac:dyDescent="0.25">
      <c r="A18" s="1">
        <v>41259</v>
      </c>
      <c r="B18" s="2">
        <f t="shared" si="0"/>
        <v>7</v>
      </c>
      <c r="C18">
        <f t="shared" si="1"/>
        <v>95</v>
      </c>
      <c r="D18">
        <f t="shared" si="4"/>
        <v>73000</v>
      </c>
      <c r="E18">
        <f t="shared" si="4"/>
        <v>13000</v>
      </c>
      <c r="F18">
        <f t="shared" si="2"/>
        <v>69200</v>
      </c>
      <c r="G18">
        <f t="shared" si="3"/>
        <v>13000</v>
      </c>
    </row>
    <row r="19" spans="1:7" x14ac:dyDescent="0.25">
      <c r="A19" s="1">
        <v>41260</v>
      </c>
      <c r="B19" s="2">
        <f t="shared" si="0"/>
        <v>1</v>
      </c>
      <c r="C19">
        <f t="shared" si="1"/>
        <v>95</v>
      </c>
      <c r="D19">
        <f t="shared" si="4"/>
        <v>69200</v>
      </c>
      <c r="E19">
        <f t="shared" si="4"/>
        <v>13000</v>
      </c>
      <c r="F19">
        <f t="shared" si="2"/>
        <v>65400</v>
      </c>
      <c r="G19">
        <f t="shared" si="3"/>
        <v>13000</v>
      </c>
    </row>
    <row r="20" spans="1:7" x14ac:dyDescent="0.25">
      <c r="A20" s="1">
        <v>41261</v>
      </c>
      <c r="B20" s="2">
        <f t="shared" si="0"/>
        <v>2</v>
      </c>
      <c r="C20">
        <f t="shared" si="1"/>
        <v>95</v>
      </c>
      <c r="D20">
        <f t="shared" si="4"/>
        <v>65400</v>
      </c>
      <c r="E20">
        <f t="shared" si="4"/>
        <v>13000</v>
      </c>
      <c r="F20">
        <f t="shared" si="2"/>
        <v>61600</v>
      </c>
      <c r="G20">
        <f t="shared" si="3"/>
        <v>17000</v>
      </c>
    </row>
    <row r="21" spans="1:7" x14ac:dyDescent="0.25">
      <c r="A21" s="1">
        <v>41262</v>
      </c>
      <c r="B21" s="2">
        <f t="shared" si="0"/>
        <v>3</v>
      </c>
      <c r="C21">
        <f t="shared" si="1"/>
        <v>95</v>
      </c>
      <c r="D21">
        <f t="shared" si="4"/>
        <v>61600</v>
      </c>
      <c r="E21">
        <f t="shared" si="4"/>
        <v>17000</v>
      </c>
      <c r="F21">
        <f t="shared" si="2"/>
        <v>57800</v>
      </c>
      <c r="G21">
        <f t="shared" si="3"/>
        <v>17000</v>
      </c>
    </row>
    <row r="22" spans="1:7" x14ac:dyDescent="0.25">
      <c r="A22" s="1">
        <v>41263</v>
      </c>
      <c r="B22" s="2">
        <f t="shared" si="0"/>
        <v>4</v>
      </c>
      <c r="C22">
        <f t="shared" si="1"/>
        <v>95</v>
      </c>
      <c r="D22">
        <f t="shared" si="4"/>
        <v>57800</v>
      </c>
      <c r="E22">
        <f t="shared" si="4"/>
        <v>17000</v>
      </c>
      <c r="F22">
        <f t="shared" si="2"/>
        <v>54000</v>
      </c>
      <c r="G22">
        <f t="shared" si="3"/>
        <v>17000</v>
      </c>
    </row>
    <row r="23" spans="1:7" x14ac:dyDescent="0.25">
      <c r="A23" s="1">
        <v>41264</v>
      </c>
      <c r="B23" s="2">
        <f t="shared" si="0"/>
        <v>5</v>
      </c>
      <c r="C23">
        <f t="shared" si="1"/>
        <v>95</v>
      </c>
      <c r="D23">
        <f t="shared" si="4"/>
        <v>54000</v>
      </c>
      <c r="E23">
        <f t="shared" si="4"/>
        <v>17000</v>
      </c>
      <c r="F23">
        <f t="shared" si="2"/>
        <v>65200</v>
      </c>
      <c r="G23">
        <f t="shared" si="3"/>
        <v>17000</v>
      </c>
    </row>
    <row r="24" spans="1:7" x14ac:dyDescent="0.25">
      <c r="A24" s="1">
        <v>41265</v>
      </c>
      <c r="B24" s="2">
        <f t="shared" si="0"/>
        <v>6</v>
      </c>
      <c r="C24">
        <f t="shared" si="1"/>
        <v>95</v>
      </c>
      <c r="D24">
        <f t="shared" si="4"/>
        <v>65200</v>
      </c>
      <c r="E24">
        <f t="shared" si="4"/>
        <v>17000</v>
      </c>
      <c r="F24">
        <f t="shared" si="2"/>
        <v>61400</v>
      </c>
      <c r="G24">
        <f t="shared" si="3"/>
        <v>17000</v>
      </c>
    </row>
    <row r="25" spans="1:7" x14ac:dyDescent="0.25">
      <c r="A25" s="1">
        <v>41266</v>
      </c>
      <c r="B25" s="2">
        <f t="shared" si="0"/>
        <v>7</v>
      </c>
      <c r="C25">
        <f t="shared" si="1"/>
        <v>95</v>
      </c>
      <c r="D25">
        <f t="shared" si="4"/>
        <v>61400</v>
      </c>
      <c r="E25">
        <f t="shared" si="4"/>
        <v>17000</v>
      </c>
      <c r="F25">
        <f t="shared" si="2"/>
        <v>57600</v>
      </c>
      <c r="G25">
        <f t="shared" si="3"/>
        <v>17000</v>
      </c>
    </row>
    <row r="26" spans="1:7" x14ac:dyDescent="0.25">
      <c r="A26" s="1">
        <v>41267</v>
      </c>
      <c r="B26" s="2">
        <f t="shared" si="0"/>
        <v>1</v>
      </c>
      <c r="C26">
        <f t="shared" si="1"/>
        <v>95</v>
      </c>
      <c r="D26">
        <f t="shared" si="4"/>
        <v>57600</v>
      </c>
      <c r="E26">
        <f t="shared" si="4"/>
        <v>17000</v>
      </c>
      <c r="F26">
        <f t="shared" si="2"/>
        <v>53800</v>
      </c>
      <c r="G26">
        <f t="shared" si="3"/>
        <v>17000</v>
      </c>
    </row>
    <row r="27" spans="1:7" x14ac:dyDescent="0.25">
      <c r="A27" s="1">
        <v>41268</v>
      </c>
      <c r="B27" s="2">
        <f t="shared" si="0"/>
        <v>2</v>
      </c>
      <c r="C27">
        <f t="shared" si="1"/>
        <v>95</v>
      </c>
      <c r="D27">
        <f t="shared" si="4"/>
        <v>53800</v>
      </c>
      <c r="E27">
        <f t="shared" si="4"/>
        <v>17000</v>
      </c>
      <c r="F27">
        <f t="shared" si="2"/>
        <v>50000</v>
      </c>
      <c r="G27">
        <f t="shared" si="3"/>
        <v>21000</v>
      </c>
    </row>
    <row r="28" spans="1:7" x14ac:dyDescent="0.25">
      <c r="A28" s="1">
        <v>41269</v>
      </c>
      <c r="B28" s="2">
        <f t="shared" si="0"/>
        <v>3</v>
      </c>
      <c r="C28">
        <f t="shared" si="1"/>
        <v>95</v>
      </c>
      <c r="D28">
        <f t="shared" si="4"/>
        <v>50000</v>
      </c>
      <c r="E28">
        <f t="shared" si="4"/>
        <v>21000</v>
      </c>
      <c r="F28">
        <f t="shared" si="2"/>
        <v>46200</v>
      </c>
      <c r="G28">
        <f t="shared" si="3"/>
        <v>21000</v>
      </c>
    </row>
    <row r="29" spans="1:7" x14ac:dyDescent="0.25">
      <c r="A29" s="1">
        <v>41270</v>
      </c>
      <c r="B29" s="2">
        <f t="shared" si="0"/>
        <v>4</v>
      </c>
      <c r="C29">
        <f t="shared" si="1"/>
        <v>95</v>
      </c>
      <c r="D29">
        <f t="shared" si="4"/>
        <v>46200</v>
      </c>
      <c r="E29">
        <f t="shared" si="4"/>
        <v>21000</v>
      </c>
      <c r="F29">
        <f t="shared" si="2"/>
        <v>46200</v>
      </c>
      <c r="G29">
        <f t="shared" si="3"/>
        <v>19100</v>
      </c>
    </row>
    <row r="30" spans="1:7" x14ac:dyDescent="0.25">
      <c r="A30" s="1">
        <v>41271</v>
      </c>
      <c r="B30" s="2">
        <f t="shared" si="0"/>
        <v>5</v>
      </c>
      <c r="C30">
        <f t="shared" si="1"/>
        <v>95</v>
      </c>
      <c r="D30">
        <f t="shared" si="4"/>
        <v>46200</v>
      </c>
      <c r="E30">
        <f t="shared" si="4"/>
        <v>19100</v>
      </c>
      <c r="F30">
        <f t="shared" si="2"/>
        <v>61200</v>
      </c>
      <c r="G30">
        <f t="shared" si="3"/>
        <v>17200</v>
      </c>
    </row>
    <row r="31" spans="1:7" x14ac:dyDescent="0.25">
      <c r="A31" s="1">
        <v>41272</v>
      </c>
      <c r="B31" s="2">
        <f t="shared" si="0"/>
        <v>6</v>
      </c>
      <c r="C31">
        <f t="shared" si="1"/>
        <v>95</v>
      </c>
      <c r="D31">
        <f t="shared" si="4"/>
        <v>61200</v>
      </c>
      <c r="E31">
        <f t="shared" si="4"/>
        <v>17200</v>
      </c>
      <c r="F31">
        <f t="shared" si="2"/>
        <v>57400</v>
      </c>
      <c r="G31">
        <f t="shared" si="3"/>
        <v>17200</v>
      </c>
    </row>
    <row r="32" spans="1:7" x14ac:dyDescent="0.25">
      <c r="A32" s="1">
        <v>41273</v>
      </c>
      <c r="B32" s="2">
        <f t="shared" si="0"/>
        <v>7</v>
      </c>
      <c r="C32">
        <f t="shared" si="1"/>
        <v>95</v>
      </c>
      <c r="D32">
        <f t="shared" si="4"/>
        <v>57400</v>
      </c>
      <c r="E32">
        <f t="shared" si="4"/>
        <v>17200</v>
      </c>
      <c r="F32">
        <f t="shared" si="2"/>
        <v>53600</v>
      </c>
      <c r="G32">
        <f t="shared" si="3"/>
        <v>17200</v>
      </c>
    </row>
    <row r="33" spans="1:7" x14ac:dyDescent="0.25">
      <c r="A33" s="1">
        <v>41274</v>
      </c>
      <c r="B33" s="2">
        <f t="shared" si="0"/>
        <v>1</v>
      </c>
      <c r="C33">
        <f t="shared" si="1"/>
        <v>95</v>
      </c>
      <c r="D33">
        <f t="shared" si="4"/>
        <v>53600</v>
      </c>
      <c r="E33">
        <f t="shared" si="4"/>
        <v>17200</v>
      </c>
      <c r="F33">
        <f t="shared" si="2"/>
        <v>49800</v>
      </c>
      <c r="G33">
        <f t="shared" si="3"/>
        <v>17200</v>
      </c>
    </row>
    <row r="34" spans="1:7" x14ac:dyDescent="0.25">
      <c r="A34" s="1">
        <v>41275</v>
      </c>
      <c r="B34" s="2">
        <f t="shared" si="0"/>
        <v>2</v>
      </c>
      <c r="C34">
        <f t="shared" si="1"/>
        <v>95</v>
      </c>
      <c r="D34">
        <f t="shared" si="4"/>
        <v>49800</v>
      </c>
      <c r="E34">
        <f t="shared" si="4"/>
        <v>17200</v>
      </c>
      <c r="F34">
        <f t="shared" si="2"/>
        <v>49800</v>
      </c>
      <c r="G34">
        <f t="shared" si="3"/>
        <v>19300</v>
      </c>
    </row>
    <row r="35" spans="1:7" x14ac:dyDescent="0.25">
      <c r="A35" s="1">
        <v>41276</v>
      </c>
      <c r="B35" s="2">
        <f t="shared" si="0"/>
        <v>3</v>
      </c>
      <c r="C35">
        <f t="shared" si="1"/>
        <v>95</v>
      </c>
      <c r="D35">
        <f t="shared" si="4"/>
        <v>49800</v>
      </c>
      <c r="E35">
        <f t="shared" si="4"/>
        <v>19300</v>
      </c>
      <c r="F35">
        <f t="shared" si="2"/>
        <v>49800</v>
      </c>
      <c r="G35">
        <f t="shared" si="3"/>
        <v>17400</v>
      </c>
    </row>
    <row r="36" spans="1:7" x14ac:dyDescent="0.25">
      <c r="A36" s="1">
        <v>41277</v>
      </c>
      <c r="B36" s="2">
        <f t="shared" si="0"/>
        <v>4</v>
      </c>
      <c r="C36">
        <f t="shared" si="1"/>
        <v>95</v>
      </c>
      <c r="D36">
        <f t="shared" si="4"/>
        <v>49800</v>
      </c>
      <c r="E36">
        <f t="shared" si="4"/>
        <v>17400</v>
      </c>
      <c r="F36">
        <f t="shared" si="2"/>
        <v>49800</v>
      </c>
      <c r="G36">
        <f t="shared" si="3"/>
        <v>15500</v>
      </c>
    </row>
    <row r="37" spans="1:7" x14ac:dyDescent="0.25">
      <c r="A37" s="1">
        <v>41278</v>
      </c>
      <c r="B37" s="2">
        <f t="shared" si="0"/>
        <v>5</v>
      </c>
      <c r="C37">
        <f t="shared" si="1"/>
        <v>95</v>
      </c>
      <c r="D37">
        <f t="shared" si="4"/>
        <v>49800</v>
      </c>
      <c r="E37">
        <f t="shared" si="4"/>
        <v>15500</v>
      </c>
      <c r="F37">
        <f t="shared" si="2"/>
        <v>64800</v>
      </c>
      <c r="G37">
        <f t="shared" si="3"/>
        <v>13600</v>
      </c>
    </row>
    <row r="38" spans="1:7" x14ac:dyDescent="0.25">
      <c r="A38" s="1">
        <v>41279</v>
      </c>
      <c r="B38" s="2">
        <f t="shared" si="0"/>
        <v>6</v>
      </c>
      <c r="C38">
        <f t="shared" si="1"/>
        <v>95</v>
      </c>
      <c r="D38">
        <f t="shared" si="4"/>
        <v>64800</v>
      </c>
      <c r="E38">
        <f t="shared" si="4"/>
        <v>13600</v>
      </c>
      <c r="F38">
        <f t="shared" si="2"/>
        <v>61000</v>
      </c>
      <c r="G38">
        <f t="shared" si="3"/>
        <v>13600</v>
      </c>
    </row>
    <row r="39" spans="1:7" x14ac:dyDescent="0.25">
      <c r="A39" s="1">
        <v>41280</v>
      </c>
      <c r="B39" s="2">
        <f t="shared" si="0"/>
        <v>7</v>
      </c>
      <c r="C39">
        <f t="shared" si="1"/>
        <v>95</v>
      </c>
      <c r="D39">
        <f t="shared" si="4"/>
        <v>61000</v>
      </c>
      <c r="E39">
        <f t="shared" si="4"/>
        <v>13600</v>
      </c>
      <c r="F39">
        <f t="shared" si="2"/>
        <v>57200</v>
      </c>
      <c r="G39">
        <f t="shared" si="3"/>
        <v>13600</v>
      </c>
    </row>
    <row r="40" spans="1:7" x14ac:dyDescent="0.25">
      <c r="A40" s="1">
        <v>41281</v>
      </c>
      <c r="B40" s="2">
        <f t="shared" si="0"/>
        <v>1</v>
      </c>
      <c r="C40">
        <f t="shared" si="1"/>
        <v>95</v>
      </c>
      <c r="D40">
        <f t="shared" si="4"/>
        <v>57200</v>
      </c>
      <c r="E40">
        <f t="shared" si="4"/>
        <v>13600</v>
      </c>
      <c r="F40">
        <f t="shared" si="2"/>
        <v>53400</v>
      </c>
      <c r="G40">
        <f t="shared" si="3"/>
        <v>13600</v>
      </c>
    </row>
    <row r="41" spans="1:7" x14ac:dyDescent="0.25">
      <c r="A41" s="1">
        <v>41282</v>
      </c>
      <c r="B41" s="2">
        <f t="shared" si="0"/>
        <v>2</v>
      </c>
      <c r="C41">
        <f t="shared" si="1"/>
        <v>95</v>
      </c>
      <c r="D41">
        <f t="shared" si="4"/>
        <v>53400</v>
      </c>
      <c r="E41">
        <f t="shared" si="4"/>
        <v>13600</v>
      </c>
      <c r="F41">
        <f t="shared" si="2"/>
        <v>49600</v>
      </c>
      <c r="G41">
        <f t="shared" si="3"/>
        <v>17600</v>
      </c>
    </row>
    <row r="42" spans="1:7" x14ac:dyDescent="0.25">
      <c r="A42" s="1">
        <v>41283</v>
      </c>
      <c r="B42" s="2">
        <f t="shared" si="0"/>
        <v>3</v>
      </c>
      <c r="C42">
        <f t="shared" si="1"/>
        <v>95</v>
      </c>
      <c r="D42">
        <f t="shared" si="4"/>
        <v>49600</v>
      </c>
      <c r="E42">
        <f t="shared" si="4"/>
        <v>17600</v>
      </c>
      <c r="F42">
        <f t="shared" si="2"/>
        <v>49600</v>
      </c>
      <c r="G42">
        <f t="shared" si="3"/>
        <v>15700</v>
      </c>
    </row>
    <row r="43" spans="1:7" x14ac:dyDescent="0.25">
      <c r="A43" s="1">
        <v>41284</v>
      </c>
      <c r="B43" s="2">
        <f t="shared" si="0"/>
        <v>4</v>
      </c>
      <c r="C43">
        <f t="shared" si="1"/>
        <v>95</v>
      </c>
      <c r="D43">
        <f t="shared" si="4"/>
        <v>49600</v>
      </c>
      <c r="E43">
        <f t="shared" si="4"/>
        <v>15700</v>
      </c>
      <c r="F43">
        <f t="shared" si="2"/>
        <v>49600</v>
      </c>
      <c r="G43">
        <f t="shared" si="3"/>
        <v>13800</v>
      </c>
    </row>
    <row r="44" spans="1:7" x14ac:dyDescent="0.25">
      <c r="A44" s="1">
        <v>41285</v>
      </c>
      <c r="B44" s="2">
        <f t="shared" si="0"/>
        <v>5</v>
      </c>
      <c r="C44">
        <f t="shared" si="1"/>
        <v>95</v>
      </c>
      <c r="D44">
        <f t="shared" si="4"/>
        <v>49600</v>
      </c>
      <c r="E44">
        <f t="shared" si="4"/>
        <v>13800</v>
      </c>
      <c r="F44">
        <f t="shared" si="2"/>
        <v>64600</v>
      </c>
      <c r="G44">
        <f t="shared" si="3"/>
        <v>11900</v>
      </c>
    </row>
    <row r="45" spans="1:7" x14ac:dyDescent="0.25">
      <c r="A45" s="1">
        <v>41286</v>
      </c>
      <c r="B45" s="2">
        <f t="shared" si="0"/>
        <v>6</v>
      </c>
      <c r="C45">
        <f t="shared" si="1"/>
        <v>95</v>
      </c>
      <c r="D45">
        <f t="shared" si="4"/>
        <v>64600</v>
      </c>
      <c r="E45">
        <f t="shared" si="4"/>
        <v>11900</v>
      </c>
      <c r="F45">
        <f t="shared" si="2"/>
        <v>60800</v>
      </c>
      <c r="G45">
        <f t="shared" si="3"/>
        <v>11900</v>
      </c>
    </row>
    <row r="46" spans="1:7" x14ac:dyDescent="0.25">
      <c r="A46" s="1">
        <v>41287</v>
      </c>
      <c r="B46" s="2">
        <f t="shared" si="0"/>
        <v>7</v>
      </c>
      <c r="C46">
        <f t="shared" si="1"/>
        <v>95</v>
      </c>
      <c r="D46">
        <f t="shared" si="4"/>
        <v>60800</v>
      </c>
      <c r="E46">
        <f t="shared" si="4"/>
        <v>11900</v>
      </c>
      <c r="F46">
        <f t="shared" si="2"/>
        <v>57000</v>
      </c>
      <c r="G46">
        <f t="shared" si="3"/>
        <v>11900</v>
      </c>
    </row>
    <row r="47" spans="1:7" x14ac:dyDescent="0.25">
      <c r="A47" s="1">
        <v>41288</v>
      </c>
      <c r="B47" s="2">
        <f t="shared" si="0"/>
        <v>1</v>
      </c>
      <c r="C47">
        <f t="shared" si="1"/>
        <v>95</v>
      </c>
      <c r="D47">
        <f t="shared" si="4"/>
        <v>57000</v>
      </c>
      <c r="E47">
        <f t="shared" si="4"/>
        <v>11900</v>
      </c>
      <c r="F47">
        <f t="shared" si="2"/>
        <v>53200</v>
      </c>
      <c r="G47">
        <f t="shared" si="3"/>
        <v>11900</v>
      </c>
    </row>
    <row r="48" spans="1:7" x14ac:dyDescent="0.25">
      <c r="A48" s="1">
        <v>41289</v>
      </c>
      <c r="B48" s="2">
        <f t="shared" si="0"/>
        <v>2</v>
      </c>
      <c r="C48">
        <f t="shared" si="1"/>
        <v>95</v>
      </c>
      <c r="D48">
        <f t="shared" si="4"/>
        <v>53200</v>
      </c>
      <c r="E48">
        <f t="shared" si="4"/>
        <v>11900</v>
      </c>
      <c r="F48">
        <f t="shared" si="2"/>
        <v>49400</v>
      </c>
      <c r="G48">
        <f t="shared" si="3"/>
        <v>15900</v>
      </c>
    </row>
    <row r="49" spans="1:7" x14ac:dyDescent="0.25">
      <c r="A49" s="1">
        <v>41290</v>
      </c>
      <c r="B49" s="2">
        <f t="shared" si="0"/>
        <v>3</v>
      </c>
      <c r="C49">
        <f t="shared" si="1"/>
        <v>95</v>
      </c>
      <c r="D49">
        <f t="shared" si="4"/>
        <v>49400</v>
      </c>
      <c r="E49">
        <f t="shared" si="4"/>
        <v>15900</v>
      </c>
      <c r="F49">
        <f t="shared" si="2"/>
        <v>49400</v>
      </c>
      <c r="G49">
        <f t="shared" si="3"/>
        <v>14000</v>
      </c>
    </row>
    <row r="50" spans="1:7" x14ac:dyDescent="0.25">
      <c r="A50" s="1">
        <v>41291</v>
      </c>
      <c r="B50" s="2">
        <f t="shared" si="0"/>
        <v>4</v>
      </c>
      <c r="C50">
        <f t="shared" si="1"/>
        <v>95</v>
      </c>
      <c r="D50">
        <f t="shared" si="4"/>
        <v>49400</v>
      </c>
      <c r="E50">
        <f t="shared" si="4"/>
        <v>14000</v>
      </c>
      <c r="F50">
        <f t="shared" si="2"/>
        <v>49400</v>
      </c>
      <c r="G50">
        <f t="shared" si="3"/>
        <v>12100</v>
      </c>
    </row>
    <row r="51" spans="1:7" x14ac:dyDescent="0.25">
      <c r="A51" s="1">
        <v>41292</v>
      </c>
      <c r="B51" s="2">
        <f t="shared" si="0"/>
        <v>5</v>
      </c>
      <c r="C51">
        <f t="shared" si="1"/>
        <v>95</v>
      </c>
      <c r="D51">
        <f t="shared" si="4"/>
        <v>49400</v>
      </c>
      <c r="E51">
        <f t="shared" si="4"/>
        <v>12100</v>
      </c>
      <c r="F51">
        <f t="shared" si="2"/>
        <v>64400</v>
      </c>
      <c r="G51">
        <f t="shared" si="3"/>
        <v>10200</v>
      </c>
    </row>
    <row r="52" spans="1:7" x14ac:dyDescent="0.25">
      <c r="A52" s="1">
        <v>41293</v>
      </c>
      <c r="B52" s="2">
        <f t="shared" si="0"/>
        <v>6</v>
      </c>
      <c r="C52">
        <f t="shared" si="1"/>
        <v>95</v>
      </c>
      <c r="D52">
        <f t="shared" si="4"/>
        <v>64400</v>
      </c>
      <c r="E52">
        <f t="shared" si="4"/>
        <v>10200</v>
      </c>
      <c r="F52">
        <f t="shared" si="2"/>
        <v>60600</v>
      </c>
      <c r="G52">
        <f t="shared" si="3"/>
        <v>10200</v>
      </c>
    </row>
    <row r="53" spans="1:7" x14ac:dyDescent="0.25">
      <c r="A53" s="1">
        <v>41294</v>
      </c>
      <c r="B53" s="2">
        <f t="shared" si="0"/>
        <v>7</v>
      </c>
      <c r="C53">
        <f t="shared" si="1"/>
        <v>95</v>
      </c>
      <c r="D53">
        <f t="shared" si="4"/>
        <v>60600</v>
      </c>
      <c r="E53">
        <f t="shared" si="4"/>
        <v>10200</v>
      </c>
      <c r="F53">
        <f t="shared" si="2"/>
        <v>56800</v>
      </c>
      <c r="G53">
        <f t="shared" si="3"/>
        <v>10200</v>
      </c>
    </row>
    <row r="54" spans="1:7" x14ac:dyDescent="0.25">
      <c r="A54" s="1">
        <v>41295</v>
      </c>
      <c r="B54" s="2">
        <f t="shared" si="0"/>
        <v>1</v>
      </c>
      <c r="C54">
        <f t="shared" si="1"/>
        <v>95</v>
      </c>
      <c r="D54">
        <f t="shared" si="4"/>
        <v>56800</v>
      </c>
      <c r="E54">
        <f t="shared" si="4"/>
        <v>10200</v>
      </c>
      <c r="F54">
        <f t="shared" si="2"/>
        <v>53000</v>
      </c>
      <c r="G54">
        <f t="shared" si="3"/>
        <v>10200</v>
      </c>
    </row>
    <row r="55" spans="1:7" x14ac:dyDescent="0.25">
      <c r="A55" s="1">
        <v>41296</v>
      </c>
      <c r="B55" s="2">
        <f t="shared" si="0"/>
        <v>2</v>
      </c>
      <c r="C55">
        <f t="shared" si="1"/>
        <v>95</v>
      </c>
      <c r="D55">
        <f t="shared" si="4"/>
        <v>53000</v>
      </c>
      <c r="E55">
        <f t="shared" si="4"/>
        <v>10200</v>
      </c>
      <c r="F55">
        <f t="shared" si="2"/>
        <v>49200</v>
      </c>
      <c r="G55">
        <f t="shared" si="3"/>
        <v>14200</v>
      </c>
    </row>
    <row r="56" spans="1:7" x14ac:dyDescent="0.25">
      <c r="A56" s="1">
        <v>41297</v>
      </c>
      <c r="B56" s="2">
        <f t="shared" si="0"/>
        <v>3</v>
      </c>
      <c r="C56">
        <f t="shared" si="1"/>
        <v>95</v>
      </c>
      <c r="D56">
        <f t="shared" si="4"/>
        <v>49200</v>
      </c>
      <c r="E56">
        <f t="shared" si="4"/>
        <v>14200</v>
      </c>
      <c r="F56">
        <f t="shared" si="2"/>
        <v>49200</v>
      </c>
      <c r="G56">
        <f t="shared" si="3"/>
        <v>12300</v>
      </c>
    </row>
    <row r="57" spans="1:7" x14ac:dyDescent="0.25">
      <c r="A57" s="1">
        <v>41298</v>
      </c>
      <c r="B57" s="2">
        <f t="shared" si="0"/>
        <v>4</v>
      </c>
      <c r="C57">
        <f t="shared" si="1"/>
        <v>95</v>
      </c>
      <c r="D57">
        <f t="shared" si="4"/>
        <v>49200</v>
      </c>
      <c r="E57">
        <f t="shared" si="4"/>
        <v>12300</v>
      </c>
      <c r="F57">
        <f t="shared" si="2"/>
        <v>49200</v>
      </c>
      <c r="G57">
        <f t="shared" si="3"/>
        <v>10400</v>
      </c>
    </row>
    <row r="58" spans="1:7" x14ac:dyDescent="0.25">
      <c r="A58" s="1">
        <v>41299</v>
      </c>
      <c r="B58" s="2">
        <f t="shared" si="0"/>
        <v>5</v>
      </c>
      <c r="C58">
        <f t="shared" si="1"/>
        <v>95</v>
      </c>
      <c r="D58">
        <f t="shared" si="4"/>
        <v>49200</v>
      </c>
      <c r="E58">
        <f t="shared" si="4"/>
        <v>10400</v>
      </c>
      <c r="F58">
        <f t="shared" si="2"/>
        <v>64200</v>
      </c>
      <c r="G58">
        <f t="shared" si="3"/>
        <v>8500</v>
      </c>
    </row>
    <row r="59" spans="1:7" x14ac:dyDescent="0.25">
      <c r="A59" s="1">
        <v>41300</v>
      </c>
      <c r="B59" s="2">
        <f t="shared" si="0"/>
        <v>6</v>
      </c>
      <c r="C59">
        <f t="shared" si="1"/>
        <v>95</v>
      </c>
      <c r="D59">
        <f t="shared" si="4"/>
        <v>64200</v>
      </c>
      <c r="E59">
        <f t="shared" si="4"/>
        <v>8500</v>
      </c>
      <c r="F59">
        <f t="shared" si="2"/>
        <v>60400</v>
      </c>
      <c r="G59">
        <f t="shared" si="3"/>
        <v>8500</v>
      </c>
    </row>
    <row r="60" spans="1:7" x14ac:dyDescent="0.25">
      <c r="A60" s="1">
        <v>41301</v>
      </c>
      <c r="B60" s="2">
        <f t="shared" si="0"/>
        <v>7</v>
      </c>
      <c r="C60">
        <f t="shared" si="1"/>
        <v>95</v>
      </c>
      <c r="D60">
        <f t="shared" si="4"/>
        <v>60400</v>
      </c>
      <c r="E60">
        <f t="shared" si="4"/>
        <v>8500</v>
      </c>
      <c r="F60">
        <f t="shared" si="2"/>
        <v>56600</v>
      </c>
      <c r="G60">
        <f t="shared" si="3"/>
        <v>8500</v>
      </c>
    </row>
    <row r="61" spans="1:7" x14ac:dyDescent="0.25">
      <c r="A61" s="1">
        <v>41302</v>
      </c>
      <c r="B61" s="2">
        <f t="shared" si="0"/>
        <v>1</v>
      </c>
      <c r="C61">
        <f t="shared" si="1"/>
        <v>95</v>
      </c>
      <c r="D61">
        <f t="shared" si="4"/>
        <v>56600</v>
      </c>
      <c r="E61">
        <f t="shared" si="4"/>
        <v>8500</v>
      </c>
      <c r="F61">
        <f t="shared" si="2"/>
        <v>52800</v>
      </c>
      <c r="G61">
        <f t="shared" si="3"/>
        <v>8500</v>
      </c>
    </row>
    <row r="62" spans="1:7" x14ac:dyDescent="0.25">
      <c r="A62" s="1">
        <v>41303</v>
      </c>
      <c r="B62" s="2">
        <f t="shared" si="0"/>
        <v>2</v>
      </c>
      <c r="C62">
        <f t="shared" si="1"/>
        <v>95</v>
      </c>
      <c r="D62">
        <f t="shared" si="4"/>
        <v>52800</v>
      </c>
      <c r="E62">
        <f t="shared" si="4"/>
        <v>8500</v>
      </c>
      <c r="F62">
        <f t="shared" si="2"/>
        <v>49000</v>
      </c>
      <c r="G62">
        <f t="shared" si="3"/>
        <v>12500</v>
      </c>
    </row>
    <row r="63" spans="1:7" x14ac:dyDescent="0.25">
      <c r="A63" s="1">
        <v>41304</v>
      </c>
      <c r="B63" s="2">
        <f t="shared" si="0"/>
        <v>3</v>
      </c>
      <c r="C63">
        <f t="shared" si="1"/>
        <v>95</v>
      </c>
      <c r="D63">
        <f t="shared" si="4"/>
        <v>49000</v>
      </c>
      <c r="E63">
        <f t="shared" si="4"/>
        <v>12500</v>
      </c>
      <c r="F63">
        <f t="shared" si="2"/>
        <v>49000</v>
      </c>
      <c r="G63">
        <f t="shared" si="3"/>
        <v>10600</v>
      </c>
    </row>
    <row r="64" spans="1:7" x14ac:dyDescent="0.25">
      <c r="A64" s="1">
        <v>41305</v>
      </c>
      <c r="B64" s="2">
        <f t="shared" si="0"/>
        <v>4</v>
      </c>
      <c r="C64">
        <f t="shared" si="1"/>
        <v>95</v>
      </c>
      <c r="D64">
        <f t="shared" si="4"/>
        <v>49000</v>
      </c>
      <c r="E64">
        <f t="shared" si="4"/>
        <v>10600</v>
      </c>
      <c r="F64">
        <f t="shared" si="2"/>
        <v>49000</v>
      </c>
      <c r="G64">
        <f t="shared" si="3"/>
        <v>8700</v>
      </c>
    </row>
    <row r="65" spans="1:7" x14ac:dyDescent="0.25">
      <c r="A65" s="1">
        <v>41306</v>
      </c>
      <c r="B65" s="2">
        <f t="shared" si="0"/>
        <v>5</v>
      </c>
      <c r="C65">
        <f t="shared" si="1"/>
        <v>95</v>
      </c>
      <c r="D65">
        <f t="shared" si="4"/>
        <v>49000</v>
      </c>
      <c r="E65">
        <f t="shared" si="4"/>
        <v>8700</v>
      </c>
      <c r="F65">
        <f t="shared" si="2"/>
        <v>64000</v>
      </c>
      <c r="G65">
        <f t="shared" si="3"/>
        <v>6800</v>
      </c>
    </row>
    <row r="66" spans="1:7" x14ac:dyDescent="0.25">
      <c r="A66" s="1">
        <v>41307</v>
      </c>
      <c r="B66" s="2">
        <f t="shared" si="0"/>
        <v>6</v>
      </c>
      <c r="C66">
        <f t="shared" si="1"/>
        <v>95</v>
      </c>
      <c r="D66">
        <f t="shared" si="4"/>
        <v>64000</v>
      </c>
      <c r="E66">
        <f t="shared" si="4"/>
        <v>6800</v>
      </c>
      <c r="F66">
        <f t="shared" si="2"/>
        <v>60200</v>
      </c>
      <c r="G66">
        <f t="shared" si="3"/>
        <v>6800</v>
      </c>
    </row>
    <row r="67" spans="1:7" x14ac:dyDescent="0.25">
      <c r="A67" s="1">
        <v>41308</v>
      </c>
      <c r="B67" s="2">
        <f t="shared" si="0"/>
        <v>7</v>
      </c>
      <c r="C67">
        <f t="shared" si="1"/>
        <v>95</v>
      </c>
      <c r="D67">
        <f t="shared" si="4"/>
        <v>60200</v>
      </c>
      <c r="E67">
        <f t="shared" si="4"/>
        <v>6800</v>
      </c>
      <c r="F67">
        <f t="shared" si="2"/>
        <v>56400</v>
      </c>
      <c r="G67">
        <f t="shared" si="3"/>
        <v>6800</v>
      </c>
    </row>
    <row r="68" spans="1:7" x14ac:dyDescent="0.25">
      <c r="A68" s="1">
        <v>41309</v>
      </c>
      <c r="B68" s="2">
        <f t="shared" ref="B68:B92" si="5">WEEKDAY(A68,2)</f>
        <v>1</v>
      </c>
      <c r="C68">
        <f t="shared" ref="C68:C92" si="6">$K$2</f>
        <v>95</v>
      </c>
      <c r="D68">
        <f t="shared" si="4"/>
        <v>56400</v>
      </c>
      <c r="E68">
        <f t="shared" si="4"/>
        <v>6800</v>
      </c>
      <c r="F68">
        <f t="shared" ref="F68:F92" si="7">IF(D68&gt;=50000,D68-(C68*40),D68)+IF(B68=5,15000,0)</f>
        <v>52600</v>
      </c>
      <c r="G68">
        <f t="shared" ref="G68:G92" si="8">IF(D68&lt;50000,E68-(C68*20),E68)+IF(B68=2,4000,0)</f>
        <v>6800</v>
      </c>
    </row>
    <row r="69" spans="1:7" x14ac:dyDescent="0.25">
      <c r="A69" s="1">
        <v>41310</v>
      </c>
      <c r="B69" s="2">
        <f t="shared" si="5"/>
        <v>2</v>
      </c>
      <c r="C69">
        <f t="shared" si="6"/>
        <v>95</v>
      </c>
      <c r="D69">
        <f t="shared" ref="D69:E84" si="9">F68</f>
        <v>52600</v>
      </c>
      <c r="E69">
        <f t="shared" si="9"/>
        <v>6800</v>
      </c>
      <c r="F69">
        <f t="shared" si="7"/>
        <v>48800</v>
      </c>
      <c r="G69">
        <f t="shared" si="8"/>
        <v>10800</v>
      </c>
    </row>
    <row r="70" spans="1:7" x14ac:dyDescent="0.25">
      <c r="A70" s="1">
        <v>41311</v>
      </c>
      <c r="B70" s="2">
        <f t="shared" si="5"/>
        <v>3</v>
      </c>
      <c r="C70">
        <f t="shared" si="6"/>
        <v>95</v>
      </c>
      <c r="D70">
        <f t="shared" si="9"/>
        <v>48800</v>
      </c>
      <c r="E70">
        <f t="shared" si="9"/>
        <v>10800</v>
      </c>
      <c r="F70">
        <f t="shared" si="7"/>
        <v>48800</v>
      </c>
      <c r="G70">
        <f t="shared" si="8"/>
        <v>8900</v>
      </c>
    </row>
    <row r="71" spans="1:7" x14ac:dyDescent="0.25">
      <c r="A71" s="1">
        <v>41312</v>
      </c>
      <c r="B71" s="2">
        <f t="shared" si="5"/>
        <v>4</v>
      </c>
      <c r="C71">
        <f t="shared" si="6"/>
        <v>95</v>
      </c>
      <c r="D71">
        <f t="shared" si="9"/>
        <v>48800</v>
      </c>
      <c r="E71">
        <f t="shared" si="9"/>
        <v>8900</v>
      </c>
      <c r="F71">
        <f t="shared" si="7"/>
        <v>48800</v>
      </c>
      <c r="G71">
        <f t="shared" si="8"/>
        <v>7000</v>
      </c>
    </row>
    <row r="72" spans="1:7" x14ac:dyDescent="0.25">
      <c r="A72" s="1">
        <v>41313</v>
      </c>
      <c r="B72" s="2">
        <f t="shared" si="5"/>
        <v>5</v>
      </c>
      <c r="C72">
        <f t="shared" si="6"/>
        <v>95</v>
      </c>
      <c r="D72">
        <f t="shared" si="9"/>
        <v>48800</v>
      </c>
      <c r="E72">
        <f t="shared" si="9"/>
        <v>7000</v>
      </c>
      <c r="F72">
        <f t="shared" si="7"/>
        <v>63800</v>
      </c>
      <c r="G72">
        <f t="shared" si="8"/>
        <v>5100</v>
      </c>
    </row>
    <row r="73" spans="1:7" x14ac:dyDescent="0.25">
      <c r="A73" s="1">
        <v>41314</v>
      </c>
      <c r="B73" s="2">
        <f t="shared" si="5"/>
        <v>6</v>
      </c>
      <c r="C73">
        <f t="shared" si="6"/>
        <v>95</v>
      </c>
      <c r="D73">
        <f t="shared" si="9"/>
        <v>63800</v>
      </c>
      <c r="E73">
        <f t="shared" si="9"/>
        <v>5100</v>
      </c>
      <c r="F73">
        <f t="shared" si="7"/>
        <v>60000</v>
      </c>
      <c r="G73">
        <f t="shared" si="8"/>
        <v>5100</v>
      </c>
    </row>
    <row r="74" spans="1:7" x14ac:dyDescent="0.25">
      <c r="A74" s="1">
        <v>41315</v>
      </c>
      <c r="B74" s="2">
        <f t="shared" si="5"/>
        <v>7</v>
      </c>
      <c r="C74">
        <f t="shared" si="6"/>
        <v>95</v>
      </c>
      <c r="D74">
        <f t="shared" si="9"/>
        <v>60000</v>
      </c>
      <c r="E74">
        <f t="shared" si="9"/>
        <v>5100</v>
      </c>
      <c r="F74">
        <f t="shared" si="7"/>
        <v>56200</v>
      </c>
      <c r="G74">
        <f t="shared" si="8"/>
        <v>5100</v>
      </c>
    </row>
    <row r="75" spans="1:7" x14ac:dyDescent="0.25">
      <c r="A75" s="1">
        <v>41316</v>
      </c>
      <c r="B75" s="2">
        <f t="shared" si="5"/>
        <v>1</v>
      </c>
      <c r="C75">
        <f t="shared" si="6"/>
        <v>95</v>
      </c>
      <c r="D75">
        <f t="shared" si="9"/>
        <v>56200</v>
      </c>
      <c r="E75">
        <f t="shared" si="9"/>
        <v>5100</v>
      </c>
      <c r="F75">
        <f t="shared" si="7"/>
        <v>52400</v>
      </c>
      <c r="G75">
        <f t="shared" si="8"/>
        <v>5100</v>
      </c>
    </row>
    <row r="76" spans="1:7" x14ac:dyDescent="0.25">
      <c r="A76" s="1">
        <v>41317</v>
      </c>
      <c r="B76" s="2">
        <f t="shared" si="5"/>
        <v>2</v>
      </c>
      <c r="C76">
        <f t="shared" si="6"/>
        <v>95</v>
      </c>
      <c r="D76">
        <f t="shared" si="9"/>
        <v>52400</v>
      </c>
      <c r="E76">
        <f t="shared" si="9"/>
        <v>5100</v>
      </c>
      <c r="F76">
        <f t="shared" si="7"/>
        <v>48600</v>
      </c>
      <c r="G76">
        <f t="shared" si="8"/>
        <v>9100</v>
      </c>
    </row>
    <row r="77" spans="1:7" x14ac:dyDescent="0.25">
      <c r="A77" s="1">
        <v>41318</v>
      </c>
      <c r="B77" s="2">
        <f t="shared" si="5"/>
        <v>3</v>
      </c>
      <c r="C77">
        <f t="shared" si="6"/>
        <v>95</v>
      </c>
      <c r="D77">
        <f t="shared" si="9"/>
        <v>48600</v>
      </c>
      <c r="E77">
        <f t="shared" si="9"/>
        <v>9100</v>
      </c>
      <c r="F77">
        <f t="shared" si="7"/>
        <v>48600</v>
      </c>
      <c r="G77">
        <f t="shared" si="8"/>
        <v>7200</v>
      </c>
    </row>
    <row r="78" spans="1:7" x14ac:dyDescent="0.25">
      <c r="A78" s="1">
        <v>41319</v>
      </c>
      <c r="B78" s="2">
        <f t="shared" si="5"/>
        <v>4</v>
      </c>
      <c r="C78">
        <f t="shared" si="6"/>
        <v>95</v>
      </c>
      <c r="D78">
        <f t="shared" si="9"/>
        <v>48600</v>
      </c>
      <c r="E78">
        <f t="shared" si="9"/>
        <v>7200</v>
      </c>
      <c r="F78">
        <f t="shared" si="7"/>
        <v>48600</v>
      </c>
      <c r="G78">
        <f t="shared" si="8"/>
        <v>5300</v>
      </c>
    </row>
    <row r="79" spans="1:7" x14ac:dyDescent="0.25">
      <c r="A79" s="1">
        <v>41320</v>
      </c>
      <c r="B79" s="2">
        <f t="shared" si="5"/>
        <v>5</v>
      </c>
      <c r="C79">
        <f t="shared" si="6"/>
        <v>95</v>
      </c>
      <c r="D79">
        <f t="shared" si="9"/>
        <v>48600</v>
      </c>
      <c r="E79">
        <f t="shared" si="9"/>
        <v>5300</v>
      </c>
      <c r="F79">
        <f t="shared" si="7"/>
        <v>63600</v>
      </c>
      <c r="G79">
        <f t="shared" si="8"/>
        <v>3400</v>
      </c>
    </row>
    <row r="80" spans="1:7" x14ac:dyDescent="0.25">
      <c r="A80" s="1">
        <v>41321</v>
      </c>
      <c r="B80" s="2">
        <f t="shared" si="5"/>
        <v>6</v>
      </c>
      <c r="C80">
        <f t="shared" si="6"/>
        <v>95</v>
      </c>
      <c r="D80">
        <f t="shared" si="9"/>
        <v>63600</v>
      </c>
      <c r="E80">
        <f t="shared" si="9"/>
        <v>3400</v>
      </c>
      <c r="F80">
        <f t="shared" si="7"/>
        <v>59800</v>
      </c>
      <c r="G80">
        <f t="shared" si="8"/>
        <v>3400</v>
      </c>
    </row>
    <row r="81" spans="1:7" x14ac:dyDescent="0.25">
      <c r="A81" s="1">
        <v>41322</v>
      </c>
      <c r="B81" s="2">
        <f t="shared" si="5"/>
        <v>7</v>
      </c>
      <c r="C81">
        <f t="shared" si="6"/>
        <v>95</v>
      </c>
      <c r="D81">
        <f t="shared" si="9"/>
        <v>59800</v>
      </c>
      <c r="E81">
        <f t="shared" si="9"/>
        <v>3400</v>
      </c>
      <c r="F81">
        <f t="shared" si="7"/>
        <v>56000</v>
      </c>
      <c r="G81">
        <f t="shared" si="8"/>
        <v>3400</v>
      </c>
    </row>
    <row r="82" spans="1:7" x14ac:dyDescent="0.25">
      <c r="A82" s="1">
        <v>41323</v>
      </c>
      <c r="B82" s="2">
        <f t="shared" si="5"/>
        <v>1</v>
      </c>
      <c r="C82">
        <f t="shared" si="6"/>
        <v>95</v>
      </c>
      <c r="D82">
        <f t="shared" si="9"/>
        <v>56000</v>
      </c>
      <c r="E82">
        <f t="shared" si="9"/>
        <v>3400</v>
      </c>
      <c r="F82">
        <f t="shared" si="7"/>
        <v>52200</v>
      </c>
      <c r="G82">
        <f t="shared" si="8"/>
        <v>3400</v>
      </c>
    </row>
    <row r="83" spans="1:7" x14ac:dyDescent="0.25">
      <c r="A83" s="1">
        <v>41324</v>
      </c>
      <c r="B83" s="2">
        <f t="shared" si="5"/>
        <v>2</v>
      </c>
      <c r="C83">
        <f t="shared" si="6"/>
        <v>95</v>
      </c>
      <c r="D83">
        <f t="shared" si="9"/>
        <v>52200</v>
      </c>
      <c r="E83">
        <f t="shared" si="9"/>
        <v>3400</v>
      </c>
      <c r="F83">
        <f t="shared" si="7"/>
        <v>48400</v>
      </c>
      <c r="G83">
        <f t="shared" si="8"/>
        <v>7400</v>
      </c>
    </row>
    <row r="84" spans="1:7" x14ac:dyDescent="0.25">
      <c r="A84" s="1">
        <v>41325</v>
      </c>
      <c r="B84" s="2">
        <f t="shared" si="5"/>
        <v>3</v>
      </c>
      <c r="C84">
        <f t="shared" si="6"/>
        <v>95</v>
      </c>
      <c r="D84">
        <f t="shared" si="9"/>
        <v>48400</v>
      </c>
      <c r="E84">
        <f t="shared" si="9"/>
        <v>7400</v>
      </c>
      <c r="F84">
        <f t="shared" si="7"/>
        <v>48400</v>
      </c>
      <c r="G84">
        <f t="shared" si="8"/>
        <v>5500</v>
      </c>
    </row>
    <row r="85" spans="1:7" x14ac:dyDescent="0.25">
      <c r="A85" s="1">
        <v>41326</v>
      </c>
      <c r="B85" s="2">
        <f t="shared" si="5"/>
        <v>4</v>
      </c>
      <c r="C85">
        <f t="shared" si="6"/>
        <v>95</v>
      </c>
      <c r="D85">
        <f t="shared" ref="D85:E92" si="10">F84</f>
        <v>48400</v>
      </c>
      <c r="E85">
        <f t="shared" si="10"/>
        <v>5500</v>
      </c>
      <c r="F85">
        <f t="shared" si="7"/>
        <v>48400</v>
      </c>
      <c r="G85">
        <f t="shared" si="8"/>
        <v>3600</v>
      </c>
    </row>
    <row r="86" spans="1:7" x14ac:dyDescent="0.25">
      <c r="A86" s="1">
        <v>41327</v>
      </c>
      <c r="B86" s="2">
        <f t="shared" si="5"/>
        <v>5</v>
      </c>
      <c r="C86">
        <f t="shared" si="6"/>
        <v>95</v>
      </c>
      <c r="D86">
        <f t="shared" si="10"/>
        <v>48400</v>
      </c>
      <c r="E86">
        <f t="shared" si="10"/>
        <v>3600</v>
      </c>
      <c r="F86">
        <f t="shared" si="7"/>
        <v>63400</v>
      </c>
      <c r="G86">
        <f t="shared" si="8"/>
        <v>1700</v>
      </c>
    </row>
    <row r="87" spans="1:7" x14ac:dyDescent="0.25">
      <c r="A87" s="1">
        <v>41328</v>
      </c>
      <c r="B87" s="2">
        <f t="shared" si="5"/>
        <v>6</v>
      </c>
      <c r="C87">
        <f t="shared" si="6"/>
        <v>95</v>
      </c>
      <c r="D87">
        <f t="shared" si="10"/>
        <v>63400</v>
      </c>
      <c r="E87">
        <f t="shared" si="10"/>
        <v>1700</v>
      </c>
      <c r="F87">
        <f t="shared" si="7"/>
        <v>59600</v>
      </c>
      <c r="G87">
        <f t="shared" si="8"/>
        <v>1700</v>
      </c>
    </row>
    <row r="88" spans="1:7" x14ac:dyDescent="0.25">
      <c r="A88" s="1">
        <v>41329</v>
      </c>
      <c r="B88" s="2">
        <f t="shared" si="5"/>
        <v>7</v>
      </c>
      <c r="C88">
        <f t="shared" si="6"/>
        <v>95</v>
      </c>
      <c r="D88">
        <f t="shared" si="10"/>
        <v>59600</v>
      </c>
      <c r="E88">
        <f t="shared" si="10"/>
        <v>1700</v>
      </c>
      <c r="F88">
        <f t="shared" si="7"/>
        <v>55800</v>
      </c>
      <c r="G88">
        <f t="shared" si="8"/>
        <v>1700</v>
      </c>
    </row>
    <row r="89" spans="1:7" x14ac:dyDescent="0.25">
      <c r="A89" s="1">
        <v>41330</v>
      </c>
      <c r="B89" s="2">
        <f t="shared" si="5"/>
        <v>1</v>
      </c>
      <c r="C89">
        <f t="shared" si="6"/>
        <v>95</v>
      </c>
      <c r="D89">
        <f t="shared" si="10"/>
        <v>55800</v>
      </c>
      <c r="E89">
        <f t="shared" si="10"/>
        <v>1700</v>
      </c>
      <c r="F89">
        <f t="shared" si="7"/>
        <v>52000</v>
      </c>
      <c r="G89">
        <f t="shared" si="8"/>
        <v>1700</v>
      </c>
    </row>
    <row r="90" spans="1:7" x14ac:dyDescent="0.25">
      <c r="A90" s="1">
        <v>41331</v>
      </c>
      <c r="B90" s="2">
        <f t="shared" si="5"/>
        <v>2</v>
      </c>
      <c r="C90">
        <f t="shared" si="6"/>
        <v>95</v>
      </c>
      <c r="D90">
        <f t="shared" si="10"/>
        <v>52000</v>
      </c>
      <c r="E90">
        <f t="shared" si="10"/>
        <v>1700</v>
      </c>
      <c r="F90">
        <f t="shared" si="7"/>
        <v>48200</v>
      </c>
      <c r="G90">
        <f t="shared" si="8"/>
        <v>5700</v>
      </c>
    </row>
    <row r="91" spans="1:7" x14ac:dyDescent="0.25">
      <c r="A91" s="1">
        <v>41332</v>
      </c>
      <c r="B91" s="2">
        <f t="shared" si="5"/>
        <v>3</v>
      </c>
      <c r="C91">
        <f t="shared" si="6"/>
        <v>95</v>
      </c>
      <c r="D91">
        <f t="shared" si="10"/>
        <v>48200</v>
      </c>
      <c r="E91">
        <f t="shared" si="10"/>
        <v>5700</v>
      </c>
      <c r="F91">
        <f t="shared" si="7"/>
        <v>48200</v>
      </c>
      <c r="G91">
        <f t="shared" si="8"/>
        <v>3800</v>
      </c>
    </row>
    <row r="92" spans="1:7" x14ac:dyDescent="0.25">
      <c r="A92" s="1">
        <v>41333</v>
      </c>
      <c r="B92" s="2">
        <f t="shared" si="5"/>
        <v>4</v>
      </c>
      <c r="C92">
        <f t="shared" si="6"/>
        <v>95</v>
      </c>
      <c r="D92">
        <f t="shared" si="10"/>
        <v>48200</v>
      </c>
      <c r="E92">
        <f t="shared" si="10"/>
        <v>3800</v>
      </c>
      <c r="F92">
        <f t="shared" si="7"/>
        <v>48200</v>
      </c>
      <c r="G92">
        <f t="shared" si="8"/>
        <v>1900</v>
      </c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</sheetData>
  <conditionalFormatting sqref="D3:G9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zubry</vt:lpstr>
      <vt:lpstr>4a</vt:lpstr>
      <vt:lpstr>4b</vt:lpstr>
      <vt:lpstr>4c</vt:lpstr>
      <vt:lpstr>4d</vt:lpstr>
      <vt:lpstr>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2025-12-16T07:52:07Z</dcterms:modified>
</cp:coreProperties>
</file>