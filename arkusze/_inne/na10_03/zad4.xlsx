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_inne\na10_03\"/>
    </mc:Choice>
  </mc:AlternateContent>
  <xr:revisionPtr revIDLastSave="0" documentId="13_ncr:1_{46530A7A-6C87-4182-899D-EF1C633EF525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rezerwacje" sheetId="2" r:id="rId1"/>
    <sheet name="4.1" sheetId="3" r:id="rId2"/>
    <sheet name="4.2" sheetId="5" r:id="rId3"/>
    <sheet name="4.4" sheetId="6" r:id="rId4"/>
    <sheet name="4.3" sheetId="8" r:id="rId5"/>
    <sheet name="4.5" sheetId="7" r:id="rId6"/>
  </sheets>
  <definedNames>
    <definedName name="_xlnm._FilterDatabase" localSheetId="2" hidden="1">'4.2'!$A$1:$J$309</definedName>
    <definedName name="_xlnm._FilterDatabase" localSheetId="4" hidden="1">'4.3'!$A$1:$J$309</definedName>
  </definedNames>
  <calcPr calcId="191029"/>
  <pivotCaches>
    <pivotCache cacheId="0" r:id="rId7"/>
    <pivotCache cacheId="9" r:id="rId8"/>
    <pivotCache cacheId="15" r:id="rId9"/>
    <pivotCache cacheId="19" r:id="rId10"/>
    <pivotCache cacheId="2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09" i="8" l="1"/>
  <c r="M309" i="8" s="1"/>
  <c r="N309" i="8" s="1"/>
  <c r="L308" i="8"/>
  <c r="M308" i="8" s="1"/>
  <c r="N308" i="8" s="1"/>
  <c r="L307" i="8"/>
  <c r="M307" i="8" s="1"/>
  <c r="N307" i="8" s="1"/>
  <c r="L306" i="8"/>
  <c r="M306" i="8" s="1"/>
  <c r="N306" i="8" s="1"/>
  <c r="M305" i="8"/>
  <c r="N305" i="8" s="1"/>
  <c r="L305" i="8"/>
  <c r="L304" i="8"/>
  <c r="M304" i="8" s="1"/>
  <c r="N304" i="8" s="1"/>
  <c r="L303" i="8"/>
  <c r="M303" i="8" s="1"/>
  <c r="N303" i="8" s="1"/>
  <c r="L302" i="8"/>
  <c r="M302" i="8" s="1"/>
  <c r="N302" i="8" s="1"/>
  <c r="M301" i="8"/>
  <c r="N301" i="8" s="1"/>
  <c r="L301" i="8"/>
  <c r="N300" i="8"/>
  <c r="M300" i="8"/>
  <c r="L300" i="8"/>
  <c r="L299" i="8"/>
  <c r="M299" i="8" s="1"/>
  <c r="N299" i="8" s="1"/>
  <c r="L298" i="8"/>
  <c r="M298" i="8" s="1"/>
  <c r="N298" i="8" s="1"/>
  <c r="M297" i="8"/>
  <c r="N297" i="8" s="1"/>
  <c r="L297" i="8"/>
  <c r="L296" i="8"/>
  <c r="M296" i="8" s="1"/>
  <c r="N296" i="8" s="1"/>
  <c r="L295" i="8"/>
  <c r="M295" i="8" s="1"/>
  <c r="N295" i="8" s="1"/>
  <c r="L294" i="8"/>
  <c r="M294" i="8" s="1"/>
  <c r="N294" i="8" s="1"/>
  <c r="L293" i="8"/>
  <c r="M293" i="8" s="1"/>
  <c r="N293" i="8" s="1"/>
  <c r="L292" i="8"/>
  <c r="M292" i="8" s="1"/>
  <c r="N292" i="8" s="1"/>
  <c r="M291" i="8"/>
  <c r="N291" i="8" s="1"/>
  <c r="L291" i="8"/>
  <c r="L290" i="8"/>
  <c r="M290" i="8" s="1"/>
  <c r="N290" i="8" s="1"/>
  <c r="M289" i="8"/>
  <c r="N289" i="8" s="1"/>
  <c r="L289" i="8"/>
  <c r="L288" i="8"/>
  <c r="M288" i="8" s="1"/>
  <c r="N288" i="8" s="1"/>
  <c r="L287" i="8"/>
  <c r="M287" i="8" s="1"/>
  <c r="N287" i="8" s="1"/>
  <c r="L286" i="8"/>
  <c r="M286" i="8" s="1"/>
  <c r="N286" i="8" s="1"/>
  <c r="L285" i="8"/>
  <c r="M285" i="8" s="1"/>
  <c r="N285" i="8" s="1"/>
  <c r="M284" i="8"/>
  <c r="N284" i="8" s="1"/>
  <c r="L284" i="8"/>
  <c r="L283" i="8"/>
  <c r="M283" i="8" s="1"/>
  <c r="N283" i="8" s="1"/>
  <c r="L282" i="8"/>
  <c r="M282" i="8" s="1"/>
  <c r="N282" i="8" s="1"/>
  <c r="L281" i="8"/>
  <c r="M281" i="8" s="1"/>
  <c r="N281" i="8" s="1"/>
  <c r="L280" i="8"/>
  <c r="M280" i="8" s="1"/>
  <c r="N280" i="8" s="1"/>
  <c r="L279" i="8"/>
  <c r="M279" i="8" s="1"/>
  <c r="N279" i="8" s="1"/>
  <c r="L278" i="8"/>
  <c r="M278" i="8" s="1"/>
  <c r="N278" i="8" s="1"/>
  <c r="N277" i="8"/>
  <c r="M277" i="8"/>
  <c r="L277" i="8"/>
  <c r="L276" i="8"/>
  <c r="M276" i="8" s="1"/>
  <c r="N276" i="8" s="1"/>
  <c r="M275" i="8"/>
  <c r="N275" i="8" s="1"/>
  <c r="L275" i="8"/>
  <c r="L274" i="8"/>
  <c r="M274" i="8" s="1"/>
  <c r="N274" i="8" s="1"/>
  <c r="L273" i="8"/>
  <c r="M273" i="8" s="1"/>
  <c r="N273" i="8" s="1"/>
  <c r="N272" i="8"/>
  <c r="M272" i="8"/>
  <c r="L272" i="8"/>
  <c r="L271" i="8"/>
  <c r="M271" i="8" s="1"/>
  <c r="N271" i="8" s="1"/>
  <c r="L270" i="8"/>
  <c r="M270" i="8" s="1"/>
  <c r="N270" i="8" s="1"/>
  <c r="M269" i="8"/>
  <c r="N269" i="8" s="1"/>
  <c r="L269" i="8"/>
  <c r="L268" i="8"/>
  <c r="M268" i="8" s="1"/>
  <c r="N268" i="8" s="1"/>
  <c r="L267" i="8"/>
  <c r="M267" i="8" s="1"/>
  <c r="N267" i="8" s="1"/>
  <c r="L266" i="8"/>
  <c r="M266" i="8" s="1"/>
  <c r="N266" i="8" s="1"/>
  <c r="L265" i="8"/>
  <c r="M265" i="8" s="1"/>
  <c r="N265" i="8" s="1"/>
  <c r="L264" i="8"/>
  <c r="M264" i="8" s="1"/>
  <c r="N264" i="8" s="1"/>
  <c r="N263" i="8"/>
  <c r="M263" i="8"/>
  <c r="L263" i="8"/>
  <c r="L262" i="8"/>
  <c r="M262" i="8" s="1"/>
  <c r="N262" i="8" s="1"/>
  <c r="M261" i="8"/>
  <c r="N261" i="8" s="1"/>
  <c r="L261" i="8"/>
  <c r="L260" i="8"/>
  <c r="M260" i="8" s="1"/>
  <c r="N260" i="8" s="1"/>
  <c r="L259" i="8"/>
  <c r="M259" i="8" s="1"/>
  <c r="N259" i="8" s="1"/>
  <c r="L258" i="8"/>
  <c r="M258" i="8" s="1"/>
  <c r="N258" i="8" s="1"/>
  <c r="N257" i="8"/>
  <c r="L257" i="8"/>
  <c r="M257" i="8" s="1"/>
  <c r="L256" i="8"/>
  <c r="M256" i="8" s="1"/>
  <c r="N256" i="8" s="1"/>
  <c r="L255" i="8"/>
  <c r="M255" i="8" s="1"/>
  <c r="N255" i="8" s="1"/>
  <c r="L254" i="8"/>
  <c r="M254" i="8" s="1"/>
  <c r="N254" i="8" s="1"/>
  <c r="N253" i="8"/>
  <c r="M253" i="8"/>
  <c r="L253" i="8"/>
  <c r="L252" i="8"/>
  <c r="M252" i="8" s="1"/>
  <c r="N252" i="8" s="1"/>
  <c r="L251" i="8"/>
  <c r="M251" i="8" s="1"/>
  <c r="N251" i="8" s="1"/>
  <c r="L250" i="8"/>
  <c r="M250" i="8" s="1"/>
  <c r="N250" i="8" s="1"/>
  <c r="N249" i="8"/>
  <c r="M249" i="8"/>
  <c r="L249" i="8"/>
  <c r="L248" i="8"/>
  <c r="M248" i="8" s="1"/>
  <c r="N248" i="8" s="1"/>
  <c r="L247" i="8"/>
  <c r="M247" i="8" s="1"/>
  <c r="N247" i="8" s="1"/>
  <c r="M246" i="8"/>
  <c r="N246" i="8" s="1"/>
  <c r="L246" i="8"/>
  <c r="L245" i="8"/>
  <c r="M245" i="8" s="1"/>
  <c r="N245" i="8" s="1"/>
  <c r="N244" i="8"/>
  <c r="M244" i="8"/>
  <c r="L244" i="8"/>
  <c r="L243" i="8"/>
  <c r="M243" i="8" s="1"/>
  <c r="N243" i="8" s="1"/>
  <c r="L242" i="8"/>
  <c r="M242" i="8" s="1"/>
  <c r="N242" i="8" s="1"/>
  <c r="M241" i="8"/>
  <c r="N241" i="8" s="1"/>
  <c r="L241" i="8"/>
  <c r="L240" i="8"/>
  <c r="M240" i="8" s="1"/>
  <c r="N240" i="8" s="1"/>
  <c r="L239" i="8"/>
  <c r="M239" i="8" s="1"/>
  <c r="N239" i="8" s="1"/>
  <c r="L238" i="8"/>
  <c r="M238" i="8" s="1"/>
  <c r="N238" i="8" s="1"/>
  <c r="L237" i="8"/>
  <c r="M237" i="8" s="1"/>
  <c r="N237" i="8" s="1"/>
  <c r="M236" i="8"/>
  <c r="N236" i="8" s="1"/>
  <c r="L236" i="8"/>
  <c r="M235" i="8"/>
  <c r="N235" i="8" s="1"/>
  <c r="L235" i="8"/>
  <c r="L234" i="8"/>
  <c r="M234" i="8" s="1"/>
  <c r="N234" i="8" s="1"/>
  <c r="M233" i="8"/>
  <c r="N233" i="8" s="1"/>
  <c r="L233" i="8"/>
  <c r="L232" i="8"/>
  <c r="M232" i="8" s="1"/>
  <c r="N232" i="8" s="1"/>
  <c r="L231" i="8"/>
  <c r="M231" i="8" s="1"/>
  <c r="N231" i="8" s="1"/>
  <c r="L230" i="8"/>
  <c r="M230" i="8" s="1"/>
  <c r="N230" i="8" s="1"/>
  <c r="L229" i="8"/>
  <c r="M229" i="8" s="1"/>
  <c r="N229" i="8" s="1"/>
  <c r="L228" i="8"/>
  <c r="M228" i="8" s="1"/>
  <c r="N228" i="8" s="1"/>
  <c r="L227" i="8"/>
  <c r="M227" i="8" s="1"/>
  <c r="N227" i="8" s="1"/>
  <c r="L226" i="8"/>
  <c r="M226" i="8" s="1"/>
  <c r="N226" i="8" s="1"/>
  <c r="N225" i="8"/>
  <c r="M225" i="8"/>
  <c r="L225" i="8"/>
  <c r="L224" i="8"/>
  <c r="M224" i="8" s="1"/>
  <c r="N224" i="8" s="1"/>
  <c r="L223" i="8"/>
  <c r="M223" i="8" s="1"/>
  <c r="N223" i="8" s="1"/>
  <c r="L222" i="8"/>
  <c r="M222" i="8" s="1"/>
  <c r="N222" i="8" s="1"/>
  <c r="M221" i="8"/>
  <c r="N221" i="8" s="1"/>
  <c r="L221" i="8"/>
  <c r="L220" i="8"/>
  <c r="M220" i="8" s="1"/>
  <c r="N220" i="8" s="1"/>
  <c r="L219" i="8"/>
  <c r="M219" i="8" s="1"/>
  <c r="N219" i="8" s="1"/>
  <c r="L218" i="8"/>
  <c r="M218" i="8" s="1"/>
  <c r="N218" i="8" s="1"/>
  <c r="L217" i="8"/>
  <c r="M217" i="8" s="1"/>
  <c r="N217" i="8" s="1"/>
  <c r="N216" i="8"/>
  <c r="M216" i="8"/>
  <c r="L216" i="8"/>
  <c r="L215" i="8"/>
  <c r="M215" i="8" s="1"/>
  <c r="N215" i="8" s="1"/>
  <c r="L214" i="8"/>
  <c r="M214" i="8" s="1"/>
  <c r="N214" i="8" s="1"/>
  <c r="M213" i="8"/>
  <c r="N213" i="8" s="1"/>
  <c r="L213" i="8"/>
  <c r="L212" i="8"/>
  <c r="M212" i="8" s="1"/>
  <c r="N212" i="8" s="1"/>
  <c r="L211" i="8"/>
  <c r="M211" i="8" s="1"/>
  <c r="N211" i="8" s="1"/>
  <c r="L210" i="8"/>
  <c r="M210" i="8" s="1"/>
  <c r="N210" i="8" s="1"/>
  <c r="L209" i="8"/>
  <c r="M209" i="8" s="1"/>
  <c r="N209" i="8" s="1"/>
  <c r="L208" i="8"/>
  <c r="M208" i="8" s="1"/>
  <c r="N208" i="8" s="1"/>
  <c r="M207" i="8"/>
  <c r="N207" i="8" s="1"/>
  <c r="L207" i="8"/>
  <c r="L206" i="8"/>
  <c r="M206" i="8" s="1"/>
  <c r="N206" i="8" s="1"/>
  <c r="M205" i="8"/>
  <c r="N205" i="8" s="1"/>
  <c r="L205" i="8"/>
  <c r="L204" i="8"/>
  <c r="M204" i="8" s="1"/>
  <c r="N204" i="8" s="1"/>
  <c r="L203" i="8"/>
  <c r="M203" i="8" s="1"/>
  <c r="N203" i="8" s="1"/>
  <c r="L202" i="8"/>
  <c r="M202" i="8" s="1"/>
  <c r="N202" i="8" s="1"/>
  <c r="K201" i="8"/>
  <c r="J201" i="8"/>
  <c r="H201" i="8"/>
  <c r="G201" i="8"/>
  <c r="K200" i="8"/>
  <c r="J200" i="8"/>
  <c r="H200" i="8"/>
  <c r="I200" i="8" s="1"/>
  <c r="G200" i="8"/>
  <c r="K199" i="8"/>
  <c r="J199" i="8"/>
  <c r="I199" i="8"/>
  <c r="H199" i="8"/>
  <c r="G199" i="8"/>
  <c r="K198" i="8"/>
  <c r="J198" i="8"/>
  <c r="I198" i="8"/>
  <c r="H198" i="8"/>
  <c r="G198" i="8"/>
  <c r="K197" i="8"/>
  <c r="J197" i="8"/>
  <c r="I197" i="8"/>
  <c r="H197" i="8"/>
  <c r="G197" i="8"/>
  <c r="K196" i="8"/>
  <c r="J196" i="8"/>
  <c r="I196" i="8"/>
  <c r="H196" i="8"/>
  <c r="G196" i="8"/>
  <c r="K195" i="8"/>
  <c r="J195" i="8"/>
  <c r="I195" i="8"/>
  <c r="H195" i="8"/>
  <c r="G195" i="8"/>
  <c r="K194" i="8"/>
  <c r="J194" i="8"/>
  <c r="H194" i="8"/>
  <c r="G194" i="8"/>
  <c r="K193" i="8"/>
  <c r="J193" i="8"/>
  <c r="H193" i="8"/>
  <c r="I193" i="8" s="1"/>
  <c r="G193" i="8"/>
  <c r="K192" i="8"/>
  <c r="J192" i="8"/>
  <c r="I192" i="8"/>
  <c r="H192" i="8"/>
  <c r="G192" i="8"/>
  <c r="K191" i="8"/>
  <c r="J191" i="8"/>
  <c r="I191" i="8"/>
  <c r="H191" i="8"/>
  <c r="G191" i="8"/>
  <c r="K190" i="8"/>
  <c r="J190" i="8"/>
  <c r="H190" i="8"/>
  <c r="I190" i="8" s="1"/>
  <c r="G190" i="8"/>
  <c r="K189" i="8"/>
  <c r="J189" i="8"/>
  <c r="I189" i="8"/>
  <c r="H189" i="8"/>
  <c r="G189" i="8"/>
  <c r="K188" i="8"/>
  <c r="J188" i="8"/>
  <c r="I188" i="8"/>
  <c r="H188" i="8"/>
  <c r="G188" i="8"/>
  <c r="K187" i="8"/>
  <c r="J187" i="8"/>
  <c r="H187" i="8"/>
  <c r="I187" i="8" s="1"/>
  <c r="G187" i="8"/>
  <c r="L186" i="8"/>
  <c r="M186" i="8" s="1"/>
  <c r="N186" i="8" s="1"/>
  <c r="K186" i="8"/>
  <c r="J186" i="8"/>
  <c r="H186" i="8"/>
  <c r="I186" i="8" s="1"/>
  <c r="G186" i="8"/>
  <c r="K185" i="8"/>
  <c r="J185" i="8"/>
  <c r="H185" i="8"/>
  <c r="I185" i="8" s="1"/>
  <c r="G185" i="8"/>
  <c r="K184" i="8"/>
  <c r="J184" i="8"/>
  <c r="H184" i="8"/>
  <c r="G184" i="8"/>
  <c r="K183" i="8"/>
  <c r="J183" i="8"/>
  <c r="H183" i="8"/>
  <c r="I183" i="8" s="1"/>
  <c r="G183" i="8"/>
  <c r="K182" i="8"/>
  <c r="J182" i="8"/>
  <c r="H182" i="8"/>
  <c r="I182" i="8" s="1"/>
  <c r="G182" i="8"/>
  <c r="K181" i="8"/>
  <c r="J181" i="8"/>
  <c r="H181" i="8"/>
  <c r="G181" i="8"/>
  <c r="K180" i="8"/>
  <c r="J180" i="8"/>
  <c r="H180" i="8"/>
  <c r="G180" i="8"/>
  <c r="L179" i="8"/>
  <c r="M179" i="8" s="1"/>
  <c r="N179" i="8" s="1"/>
  <c r="K179" i="8"/>
  <c r="J179" i="8"/>
  <c r="H179" i="8"/>
  <c r="I179" i="8" s="1"/>
  <c r="G179" i="8"/>
  <c r="K178" i="8"/>
  <c r="J178" i="8"/>
  <c r="H178" i="8"/>
  <c r="G178" i="8"/>
  <c r="K177" i="8"/>
  <c r="J177" i="8"/>
  <c r="H177" i="8"/>
  <c r="I177" i="8" s="1"/>
  <c r="G177" i="8"/>
  <c r="K176" i="8"/>
  <c r="J176" i="8"/>
  <c r="H176" i="8"/>
  <c r="I176" i="8" s="1"/>
  <c r="G176" i="8"/>
  <c r="K175" i="8"/>
  <c r="J175" i="8"/>
  <c r="H175" i="8"/>
  <c r="I175" i="8" s="1"/>
  <c r="G175" i="8"/>
  <c r="K174" i="8"/>
  <c r="J174" i="8"/>
  <c r="H174" i="8"/>
  <c r="G174" i="8"/>
  <c r="K173" i="8"/>
  <c r="J173" i="8"/>
  <c r="H173" i="8"/>
  <c r="I173" i="8" s="1"/>
  <c r="G173" i="8"/>
  <c r="L172" i="8"/>
  <c r="M172" i="8" s="1"/>
  <c r="N172" i="8" s="1"/>
  <c r="K172" i="8"/>
  <c r="J172" i="8"/>
  <c r="H172" i="8"/>
  <c r="I172" i="8" s="1"/>
  <c r="G172" i="8"/>
  <c r="K171" i="8"/>
  <c r="J171" i="8"/>
  <c r="H171" i="8"/>
  <c r="G171" i="8"/>
  <c r="K170" i="8"/>
  <c r="J170" i="8"/>
  <c r="H170" i="8"/>
  <c r="I170" i="8" s="1"/>
  <c r="G170" i="8"/>
  <c r="K169" i="8"/>
  <c r="J169" i="8"/>
  <c r="H169" i="8"/>
  <c r="I169" i="8" s="1"/>
  <c r="G169" i="8"/>
  <c r="K168" i="8"/>
  <c r="J168" i="8"/>
  <c r="H168" i="8"/>
  <c r="I168" i="8" s="1"/>
  <c r="G168" i="8"/>
  <c r="K167" i="8"/>
  <c r="J167" i="8"/>
  <c r="H167" i="8"/>
  <c r="G167" i="8"/>
  <c r="K166" i="8"/>
  <c r="J166" i="8"/>
  <c r="H166" i="8"/>
  <c r="I166" i="8" s="1"/>
  <c r="G166" i="8"/>
  <c r="L165" i="8"/>
  <c r="M165" i="8" s="1"/>
  <c r="N165" i="8" s="1"/>
  <c r="K165" i="8"/>
  <c r="J165" i="8"/>
  <c r="H165" i="8"/>
  <c r="I165" i="8" s="1"/>
  <c r="G165" i="8"/>
  <c r="K164" i="8"/>
  <c r="J164" i="8"/>
  <c r="H164" i="8"/>
  <c r="G164" i="8"/>
  <c r="K163" i="8"/>
  <c r="J163" i="8"/>
  <c r="H163" i="8"/>
  <c r="I163" i="8" s="1"/>
  <c r="G163" i="8"/>
  <c r="K162" i="8"/>
  <c r="J162" i="8"/>
  <c r="H162" i="8"/>
  <c r="I162" i="8" s="1"/>
  <c r="G162" i="8"/>
  <c r="K161" i="8"/>
  <c r="J161" i="8"/>
  <c r="H161" i="8"/>
  <c r="I161" i="8" s="1"/>
  <c r="G161" i="8"/>
  <c r="K160" i="8"/>
  <c r="J160" i="8"/>
  <c r="H160" i="8"/>
  <c r="G160" i="8"/>
  <c r="K159" i="8"/>
  <c r="J159" i="8"/>
  <c r="H159" i="8"/>
  <c r="I159" i="8" s="1"/>
  <c r="G159" i="8"/>
  <c r="L159" i="8" s="1"/>
  <c r="L158" i="8"/>
  <c r="M158" i="8" s="1"/>
  <c r="N158" i="8" s="1"/>
  <c r="K158" i="8"/>
  <c r="J158" i="8"/>
  <c r="H158" i="8"/>
  <c r="I158" i="8" s="1"/>
  <c r="G158" i="8"/>
  <c r="K157" i="8"/>
  <c r="J157" i="8"/>
  <c r="H157" i="8"/>
  <c r="G157" i="8"/>
  <c r="L156" i="8"/>
  <c r="K156" i="8"/>
  <c r="J156" i="8"/>
  <c r="H156" i="8"/>
  <c r="I156" i="8" s="1"/>
  <c r="G156" i="8"/>
  <c r="K155" i="8"/>
  <c r="J155" i="8"/>
  <c r="H155" i="8"/>
  <c r="I155" i="8" s="1"/>
  <c r="G155" i="8"/>
  <c r="K154" i="8"/>
  <c r="J154" i="8"/>
  <c r="H154" i="8"/>
  <c r="I154" i="8" s="1"/>
  <c r="G154" i="8"/>
  <c r="K153" i="8"/>
  <c r="J153" i="8"/>
  <c r="H153" i="8"/>
  <c r="I153" i="8" s="1"/>
  <c r="G153" i="8"/>
  <c r="L153" i="8" s="1"/>
  <c r="K152" i="8"/>
  <c r="J152" i="8"/>
  <c r="H152" i="8"/>
  <c r="I152" i="8" s="1"/>
  <c r="G152" i="8"/>
  <c r="N151" i="8"/>
  <c r="M151" i="8"/>
  <c r="L151" i="8"/>
  <c r="K151" i="8"/>
  <c r="J151" i="8"/>
  <c r="H151" i="8"/>
  <c r="I151" i="8" s="1"/>
  <c r="G151" i="8"/>
  <c r="K150" i="8"/>
  <c r="J150" i="8"/>
  <c r="H150" i="8"/>
  <c r="G150" i="8"/>
  <c r="K149" i="8"/>
  <c r="J149" i="8"/>
  <c r="H149" i="8"/>
  <c r="I149" i="8" s="1"/>
  <c r="G149" i="8"/>
  <c r="L149" i="8" s="1"/>
  <c r="K148" i="8"/>
  <c r="L148" i="8" s="1"/>
  <c r="M148" i="8" s="1"/>
  <c r="N148" i="8" s="1"/>
  <c r="J148" i="8"/>
  <c r="H148" i="8"/>
  <c r="I148" i="8" s="1"/>
  <c r="G148" i="8"/>
  <c r="K147" i="8"/>
  <c r="J147" i="8"/>
  <c r="H147" i="8"/>
  <c r="I147" i="8" s="1"/>
  <c r="G147" i="8"/>
  <c r="K146" i="8"/>
  <c r="J146" i="8"/>
  <c r="H146" i="8"/>
  <c r="I146" i="8" s="1"/>
  <c r="G146" i="8"/>
  <c r="L145" i="8"/>
  <c r="M145" i="8" s="1"/>
  <c r="N145" i="8" s="1"/>
  <c r="K145" i="8"/>
  <c r="J145" i="8"/>
  <c r="H145" i="8"/>
  <c r="G145" i="8"/>
  <c r="I145" i="8" s="1"/>
  <c r="L144" i="8"/>
  <c r="M144" i="8" s="1"/>
  <c r="N144" i="8" s="1"/>
  <c r="K144" i="8"/>
  <c r="J144" i="8"/>
  <c r="H144" i="8"/>
  <c r="I144" i="8" s="1"/>
  <c r="G144" i="8"/>
  <c r="K143" i="8"/>
  <c r="J143" i="8"/>
  <c r="H143" i="8"/>
  <c r="I143" i="8" s="1"/>
  <c r="G143" i="8"/>
  <c r="K142" i="8"/>
  <c r="J142" i="8"/>
  <c r="H142" i="8"/>
  <c r="G142" i="8"/>
  <c r="K141" i="8"/>
  <c r="L141" i="8" s="1"/>
  <c r="M141" i="8" s="1"/>
  <c r="N141" i="8" s="1"/>
  <c r="J141" i="8"/>
  <c r="H141" i="8"/>
  <c r="I141" i="8" s="1"/>
  <c r="G141" i="8"/>
  <c r="K140" i="8"/>
  <c r="J140" i="8"/>
  <c r="H140" i="8"/>
  <c r="I140" i="8" s="1"/>
  <c r="G140" i="8"/>
  <c r="K139" i="8"/>
  <c r="J139" i="8"/>
  <c r="H139" i="8"/>
  <c r="I139" i="8" s="1"/>
  <c r="G139" i="8"/>
  <c r="M138" i="8"/>
  <c r="N138" i="8" s="1"/>
  <c r="L138" i="8"/>
  <c r="K138" i="8"/>
  <c r="J138" i="8"/>
  <c r="H138" i="8"/>
  <c r="G138" i="8"/>
  <c r="L137" i="8"/>
  <c r="M137" i="8" s="1"/>
  <c r="N137" i="8" s="1"/>
  <c r="K137" i="8"/>
  <c r="J137" i="8"/>
  <c r="H137" i="8"/>
  <c r="I137" i="8" s="1"/>
  <c r="G137" i="8"/>
  <c r="K136" i="8"/>
  <c r="J136" i="8"/>
  <c r="H136" i="8"/>
  <c r="G136" i="8"/>
  <c r="K135" i="8"/>
  <c r="J135" i="8"/>
  <c r="H135" i="8"/>
  <c r="G135" i="8"/>
  <c r="K134" i="8"/>
  <c r="J134" i="8"/>
  <c r="H134" i="8"/>
  <c r="I134" i="8" s="1"/>
  <c r="G134" i="8"/>
  <c r="K133" i="8"/>
  <c r="J133" i="8"/>
  <c r="H133" i="8"/>
  <c r="I133" i="8" s="1"/>
  <c r="G133" i="8"/>
  <c r="K132" i="8"/>
  <c r="J132" i="8"/>
  <c r="H132" i="8"/>
  <c r="I132" i="8" s="1"/>
  <c r="G132" i="8"/>
  <c r="K131" i="8"/>
  <c r="J131" i="8"/>
  <c r="H131" i="8"/>
  <c r="I131" i="8" s="1"/>
  <c r="G131" i="8"/>
  <c r="L130" i="8"/>
  <c r="M130" i="8" s="1"/>
  <c r="N130" i="8" s="1"/>
  <c r="K130" i="8"/>
  <c r="J130" i="8"/>
  <c r="H130" i="8"/>
  <c r="I130" i="8" s="1"/>
  <c r="G130" i="8"/>
  <c r="K129" i="8"/>
  <c r="J129" i="8"/>
  <c r="H129" i="8"/>
  <c r="G129" i="8"/>
  <c r="L128" i="8"/>
  <c r="M128" i="8" s="1"/>
  <c r="N128" i="8" s="1"/>
  <c r="K128" i="8"/>
  <c r="J128" i="8"/>
  <c r="I128" i="8"/>
  <c r="H128" i="8"/>
  <c r="G128" i="8"/>
  <c r="K127" i="8"/>
  <c r="J127" i="8"/>
  <c r="H127" i="8"/>
  <c r="I127" i="8" s="1"/>
  <c r="G127" i="8"/>
  <c r="K126" i="8"/>
  <c r="J126" i="8"/>
  <c r="H126" i="8"/>
  <c r="I126" i="8" s="1"/>
  <c r="G126" i="8"/>
  <c r="K125" i="8"/>
  <c r="J125" i="8"/>
  <c r="I125" i="8"/>
  <c r="H125" i="8"/>
  <c r="G125" i="8"/>
  <c r="K124" i="8"/>
  <c r="J124" i="8"/>
  <c r="H124" i="8"/>
  <c r="I124" i="8" s="1"/>
  <c r="G124" i="8"/>
  <c r="L123" i="8"/>
  <c r="M123" i="8" s="1"/>
  <c r="N123" i="8" s="1"/>
  <c r="K123" i="8"/>
  <c r="J123" i="8"/>
  <c r="H123" i="8"/>
  <c r="I123" i="8" s="1"/>
  <c r="G123" i="8"/>
  <c r="K122" i="8"/>
  <c r="J122" i="8"/>
  <c r="H122" i="8"/>
  <c r="G122" i="8"/>
  <c r="K121" i="8"/>
  <c r="L121" i="8" s="1"/>
  <c r="M121" i="8" s="1"/>
  <c r="N121" i="8" s="1"/>
  <c r="J121" i="8"/>
  <c r="H121" i="8"/>
  <c r="I121" i="8" s="1"/>
  <c r="G121" i="8"/>
  <c r="K120" i="8"/>
  <c r="J120" i="8"/>
  <c r="H120" i="8"/>
  <c r="I120" i="8" s="1"/>
  <c r="G120" i="8"/>
  <c r="K119" i="8"/>
  <c r="J119" i="8"/>
  <c r="H119" i="8"/>
  <c r="I119" i="8" s="1"/>
  <c r="G119" i="8"/>
  <c r="K118" i="8"/>
  <c r="J118" i="8"/>
  <c r="H118" i="8"/>
  <c r="G118" i="8"/>
  <c r="L117" i="8"/>
  <c r="K117" i="8"/>
  <c r="J117" i="8"/>
  <c r="H117" i="8"/>
  <c r="I117" i="8" s="1"/>
  <c r="G117" i="8"/>
  <c r="L116" i="8"/>
  <c r="M116" i="8" s="1"/>
  <c r="N116" i="8" s="1"/>
  <c r="K116" i="8"/>
  <c r="J116" i="8"/>
  <c r="H116" i="8"/>
  <c r="I116" i="8" s="1"/>
  <c r="G116" i="8"/>
  <c r="K115" i="8"/>
  <c r="J115" i="8"/>
  <c r="H115" i="8"/>
  <c r="G115" i="8"/>
  <c r="K114" i="8"/>
  <c r="J114" i="8"/>
  <c r="H114" i="8"/>
  <c r="G114" i="8"/>
  <c r="L113" i="8"/>
  <c r="M113" i="8" s="1"/>
  <c r="N113" i="8" s="1"/>
  <c r="K113" i="8"/>
  <c r="J113" i="8"/>
  <c r="H113" i="8"/>
  <c r="I113" i="8" s="1"/>
  <c r="G113" i="8"/>
  <c r="K112" i="8"/>
  <c r="J112" i="8"/>
  <c r="H112" i="8"/>
  <c r="I112" i="8" s="1"/>
  <c r="G112" i="8"/>
  <c r="K111" i="8"/>
  <c r="J111" i="8"/>
  <c r="H111" i="8"/>
  <c r="G111" i="8"/>
  <c r="L111" i="8" s="1"/>
  <c r="K110" i="8"/>
  <c r="J110" i="8"/>
  <c r="H110" i="8"/>
  <c r="I110" i="8" s="1"/>
  <c r="G110" i="8"/>
  <c r="L110" i="8" s="1"/>
  <c r="M110" i="8" s="1"/>
  <c r="N110" i="8" s="1"/>
  <c r="L109" i="8"/>
  <c r="M109" i="8" s="1"/>
  <c r="N109" i="8" s="1"/>
  <c r="K109" i="8"/>
  <c r="J109" i="8"/>
  <c r="H109" i="8"/>
  <c r="I109" i="8" s="1"/>
  <c r="G109" i="8"/>
  <c r="K108" i="8"/>
  <c r="J108" i="8"/>
  <c r="H108" i="8"/>
  <c r="G108" i="8"/>
  <c r="K107" i="8"/>
  <c r="J107" i="8"/>
  <c r="H107" i="8"/>
  <c r="I107" i="8" s="1"/>
  <c r="G107" i="8"/>
  <c r="M106" i="8"/>
  <c r="N106" i="8" s="1"/>
  <c r="L106" i="8"/>
  <c r="K106" i="8"/>
  <c r="J106" i="8"/>
  <c r="I106" i="8"/>
  <c r="H106" i="8"/>
  <c r="G106" i="8"/>
  <c r="K105" i="8"/>
  <c r="J105" i="8"/>
  <c r="H105" i="8"/>
  <c r="I105" i="8" s="1"/>
  <c r="G105" i="8"/>
  <c r="K104" i="8"/>
  <c r="J104" i="8"/>
  <c r="H104" i="8"/>
  <c r="I104" i="8" s="1"/>
  <c r="G104" i="8"/>
  <c r="K103" i="8"/>
  <c r="J103" i="8"/>
  <c r="H103" i="8"/>
  <c r="G103" i="8"/>
  <c r="L103" i="8" s="1"/>
  <c r="M103" i="8" s="1"/>
  <c r="N103" i="8" s="1"/>
  <c r="L102" i="8"/>
  <c r="M102" i="8" s="1"/>
  <c r="N102" i="8" s="1"/>
  <c r="K102" i="8"/>
  <c r="J102" i="8"/>
  <c r="H102" i="8"/>
  <c r="I102" i="8" s="1"/>
  <c r="G102" i="8"/>
  <c r="K101" i="8"/>
  <c r="J101" i="8"/>
  <c r="H101" i="8"/>
  <c r="G101" i="8"/>
  <c r="K100" i="8"/>
  <c r="J100" i="8"/>
  <c r="H100" i="8"/>
  <c r="G100" i="8"/>
  <c r="K99" i="8"/>
  <c r="J99" i="8"/>
  <c r="H99" i="8"/>
  <c r="I99" i="8" s="1"/>
  <c r="G99" i="8"/>
  <c r="K98" i="8"/>
  <c r="J98" i="8"/>
  <c r="H98" i="8"/>
  <c r="I98" i="8" s="1"/>
  <c r="G98" i="8"/>
  <c r="L97" i="8"/>
  <c r="K97" i="8"/>
  <c r="J97" i="8"/>
  <c r="H97" i="8"/>
  <c r="G97" i="8"/>
  <c r="I97" i="8" s="1"/>
  <c r="K96" i="8"/>
  <c r="J96" i="8"/>
  <c r="H96" i="8"/>
  <c r="I96" i="8" s="1"/>
  <c r="G96" i="8"/>
  <c r="L95" i="8"/>
  <c r="M95" i="8" s="1"/>
  <c r="N95" i="8" s="1"/>
  <c r="K95" i="8"/>
  <c r="J95" i="8"/>
  <c r="H95" i="8"/>
  <c r="I95" i="8" s="1"/>
  <c r="G95" i="8"/>
  <c r="K94" i="8"/>
  <c r="J94" i="8"/>
  <c r="H94" i="8"/>
  <c r="I94" i="8" s="1"/>
  <c r="G94" i="8"/>
  <c r="K93" i="8"/>
  <c r="J93" i="8"/>
  <c r="H93" i="8"/>
  <c r="I93" i="8" s="1"/>
  <c r="G93" i="8"/>
  <c r="K92" i="8"/>
  <c r="J92" i="8"/>
  <c r="H92" i="8"/>
  <c r="I92" i="8" s="1"/>
  <c r="G92" i="8"/>
  <c r="K91" i="8"/>
  <c r="J91" i="8"/>
  <c r="H91" i="8"/>
  <c r="I91" i="8" s="1"/>
  <c r="G91" i="8"/>
  <c r="K90" i="8"/>
  <c r="J90" i="8"/>
  <c r="H90" i="8"/>
  <c r="I90" i="8" s="1"/>
  <c r="G90" i="8"/>
  <c r="K89" i="8"/>
  <c r="J89" i="8"/>
  <c r="H89" i="8"/>
  <c r="I89" i="8" s="1"/>
  <c r="G89" i="8"/>
  <c r="L88" i="8"/>
  <c r="M88" i="8" s="1"/>
  <c r="N88" i="8" s="1"/>
  <c r="K88" i="8"/>
  <c r="J88" i="8"/>
  <c r="H88" i="8"/>
  <c r="I88" i="8" s="1"/>
  <c r="G88" i="8"/>
  <c r="K87" i="8"/>
  <c r="J87" i="8"/>
  <c r="H87" i="8"/>
  <c r="G87" i="8"/>
  <c r="K86" i="8"/>
  <c r="J86" i="8"/>
  <c r="H86" i="8"/>
  <c r="G86" i="8"/>
  <c r="K85" i="8"/>
  <c r="L85" i="8" s="1"/>
  <c r="J85" i="8"/>
  <c r="I85" i="8"/>
  <c r="H85" i="8"/>
  <c r="G85" i="8"/>
  <c r="K84" i="8"/>
  <c r="J84" i="8"/>
  <c r="H84" i="8"/>
  <c r="I84" i="8" s="1"/>
  <c r="G84" i="8"/>
  <c r="K83" i="8"/>
  <c r="J83" i="8"/>
  <c r="H83" i="8"/>
  <c r="I83" i="8" s="1"/>
  <c r="G83" i="8"/>
  <c r="K82" i="8"/>
  <c r="J82" i="8"/>
  <c r="H82" i="8"/>
  <c r="G82" i="8"/>
  <c r="L82" i="8" s="1"/>
  <c r="L81" i="8"/>
  <c r="M81" i="8" s="1"/>
  <c r="N81" i="8" s="1"/>
  <c r="K81" i="8"/>
  <c r="J81" i="8"/>
  <c r="H81" i="8"/>
  <c r="I81" i="8" s="1"/>
  <c r="G81" i="8"/>
  <c r="K80" i="8"/>
  <c r="J80" i="8"/>
  <c r="H80" i="8"/>
  <c r="I80" i="8" s="1"/>
  <c r="G80" i="8"/>
  <c r="K79" i="8"/>
  <c r="J79" i="8"/>
  <c r="H79" i="8"/>
  <c r="I79" i="8" s="1"/>
  <c r="G79" i="8"/>
  <c r="K78" i="8"/>
  <c r="J78" i="8"/>
  <c r="I78" i="8"/>
  <c r="H78" i="8"/>
  <c r="G78" i="8"/>
  <c r="K77" i="8"/>
  <c r="J77" i="8"/>
  <c r="H77" i="8"/>
  <c r="I77" i="8" s="1"/>
  <c r="G77" i="8"/>
  <c r="K76" i="8"/>
  <c r="J76" i="8"/>
  <c r="H76" i="8"/>
  <c r="I76" i="8" s="1"/>
  <c r="G76" i="8"/>
  <c r="K75" i="8"/>
  <c r="J75" i="8"/>
  <c r="I75" i="8"/>
  <c r="H75" i="8"/>
  <c r="G75" i="8"/>
  <c r="L74" i="8"/>
  <c r="M74" i="8" s="1"/>
  <c r="N74" i="8" s="1"/>
  <c r="K74" i="8"/>
  <c r="J74" i="8"/>
  <c r="H74" i="8"/>
  <c r="I74" i="8" s="1"/>
  <c r="G74" i="8"/>
  <c r="K73" i="8"/>
  <c r="J73" i="8"/>
  <c r="H73" i="8"/>
  <c r="G73" i="8"/>
  <c r="L72" i="8"/>
  <c r="K72" i="8"/>
  <c r="M72" i="8" s="1"/>
  <c r="N72" i="8" s="1"/>
  <c r="J72" i="8"/>
  <c r="I72" i="8"/>
  <c r="H72" i="8"/>
  <c r="G72" i="8"/>
  <c r="K71" i="8"/>
  <c r="J71" i="8"/>
  <c r="I71" i="8"/>
  <c r="H71" i="8"/>
  <c r="G71" i="8"/>
  <c r="K70" i="8"/>
  <c r="J70" i="8"/>
  <c r="H70" i="8"/>
  <c r="I70" i="8" s="1"/>
  <c r="G70" i="8"/>
  <c r="K69" i="8"/>
  <c r="J69" i="8"/>
  <c r="H69" i="8"/>
  <c r="G69" i="8"/>
  <c r="L69" i="8" s="1"/>
  <c r="K68" i="8"/>
  <c r="L68" i="8" s="1"/>
  <c r="M68" i="8" s="1"/>
  <c r="N68" i="8" s="1"/>
  <c r="J68" i="8"/>
  <c r="H68" i="8"/>
  <c r="I68" i="8" s="1"/>
  <c r="G68" i="8"/>
  <c r="M67" i="8"/>
  <c r="N67" i="8" s="1"/>
  <c r="L67" i="8"/>
  <c r="K67" i="8"/>
  <c r="J67" i="8"/>
  <c r="H67" i="8"/>
  <c r="I67" i="8" s="1"/>
  <c r="G67" i="8"/>
  <c r="K66" i="8"/>
  <c r="J66" i="8"/>
  <c r="H66" i="8"/>
  <c r="G66" i="8"/>
  <c r="K65" i="8"/>
  <c r="J65" i="8"/>
  <c r="H65" i="8"/>
  <c r="G65" i="8"/>
  <c r="I65" i="8" s="1"/>
  <c r="K64" i="8"/>
  <c r="J64" i="8"/>
  <c r="H64" i="8"/>
  <c r="I64" i="8" s="1"/>
  <c r="G64" i="8"/>
  <c r="K63" i="8"/>
  <c r="J63" i="8"/>
  <c r="H63" i="8"/>
  <c r="I63" i="8" s="1"/>
  <c r="G63" i="8"/>
  <c r="K62" i="8"/>
  <c r="J62" i="8"/>
  <c r="H62" i="8"/>
  <c r="I62" i="8" s="1"/>
  <c r="G62" i="8"/>
  <c r="K61" i="8"/>
  <c r="J61" i="8"/>
  <c r="H61" i="8"/>
  <c r="I61" i="8" s="1"/>
  <c r="G61" i="8"/>
  <c r="L60" i="8"/>
  <c r="M60" i="8" s="1"/>
  <c r="N60" i="8" s="1"/>
  <c r="K60" i="8"/>
  <c r="J60" i="8"/>
  <c r="H60" i="8"/>
  <c r="I60" i="8" s="1"/>
  <c r="G60" i="8"/>
  <c r="K59" i="8"/>
  <c r="J59" i="8"/>
  <c r="H59" i="8"/>
  <c r="G59" i="8"/>
  <c r="K58" i="8"/>
  <c r="J58" i="8"/>
  <c r="H58" i="8"/>
  <c r="I58" i="8" s="1"/>
  <c r="G58" i="8"/>
  <c r="K57" i="8"/>
  <c r="J57" i="8"/>
  <c r="H57" i="8"/>
  <c r="I57" i="8" s="1"/>
  <c r="G57" i="8"/>
  <c r="K56" i="8"/>
  <c r="J56" i="8"/>
  <c r="H56" i="8"/>
  <c r="I56" i="8" s="1"/>
  <c r="G56" i="8"/>
  <c r="K55" i="8"/>
  <c r="J55" i="8"/>
  <c r="H55" i="8"/>
  <c r="I55" i="8" s="1"/>
  <c r="G55" i="8"/>
  <c r="K54" i="8"/>
  <c r="J54" i="8"/>
  <c r="H54" i="8"/>
  <c r="I54" i="8" s="1"/>
  <c r="G54" i="8"/>
  <c r="M53" i="8"/>
  <c r="N53" i="8" s="1"/>
  <c r="L53" i="8"/>
  <c r="K53" i="8"/>
  <c r="J53" i="8"/>
  <c r="H53" i="8"/>
  <c r="I53" i="8" s="1"/>
  <c r="G53" i="8"/>
  <c r="K52" i="8"/>
  <c r="J52" i="8"/>
  <c r="H52" i="8"/>
  <c r="G52" i="8"/>
  <c r="K51" i="8"/>
  <c r="J51" i="8"/>
  <c r="I51" i="8"/>
  <c r="H51" i="8"/>
  <c r="G51" i="8"/>
  <c r="L50" i="8"/>
  <c r="K50" i="8"/>
  <c r="J50" i="8"/>
  <c r="H50" i="8"/>
  <c r="M50" i="8" s="1"/>
  <c r="N50" i="8" s="1"/>
  <c r="G50" i="8"/>
  <c r="K49" i="8"/>
  <c r="J49" i="8"/>
  <c r="H49" i="8"/>
  <c r="I49" i="8" s="1"/>
  <c r="G49" i="8"/>
  <c r="L48" i="8"/>
  <c r="K48" i="8"/>
  <c r="J48" i="8"/>
  <c r="H48" i="8"/>
  <c r="I48" i="8" s="1"/>
  <c r="G48" i="8"/>
  <c r="K47" i="8"/>
  <c r="J47" i="8"/>
  <c r="H47" i="8"/>
  <c r="I47" i="8" s="1"/>
  <c r="G47" i="8"/>
  <c r="N46" i="8"/>
  <c r="M46" i="8"/>
  <c r="L46" i="8"/>
  <c r="K46" i="8"/>
  <c r="J46" i="8"/>
  <c r="H46" i="8"/>
  <c r="I46" i="8" s="1"/>
  <c r="G46" i="8"/>
  <c r="K45" i="8"/>
  <c r="J45" i="8"/>
  <c r="H45" i="8"/>
  <c r="G45" i="8"/>
  <c r="K44" i="8"/>
  <c r="J44" i="8"/>
  <c r="H44" i="8"/>
  <c r="I44" i="8" s="1"/>
  <c r="G44" i="8"/>
  <c r="L44" i="8" s="1"/>
  <c r="K43" i="8"/>
  <c r="J43" i="8"/>
  <c r="H43" i="8"/>
  <c r="I43" i="8" s="1"/>
  <c r="G43" i="8"/>
  <c r="K42" i="8"/>
  <c r="J42" i="8"/>
  <c r="H42" i="8"/>
  <c r="I42" i="8" s="1"/>
  <c r="G42" i="8"/>
  <c r="K41" i="8"/>
  <c r="J41" i="8"/>
  <c r="H41" i="8"/>
  <c r="G41" i="8"/>
  <c r="K40" i="8"/>
  <c r="J40" i="8"/>
  <c r="I40" i="8"/>
  <c r="H40" i="8"/>
  <c r="G40" i="8"/>
  <c r="L39" i="8"/>
  <c r="M39" i="8" s="1"/>
  <c r="N39" i="8" s="1"/>
  <c r="K39" i="8"/>
  <c r="J39" i="8"/>
  <c r="H39" i="8"/>
  <c r="I39" i="8" s="1"/>
  <c r="G39" i="8"/>
  <c r="K38" i="8"/>
  <c r="J38" i="8"/>
  <c r="H38" i="8"/>
  <c r="G38" i="8"/>
  <c r="K37" i="8"/>
  <c r="J37" i="8"/>
  <c r="H37" i="8"/>
  <c r="G37" i="8"/>
  <c r="K36" i="8"/>
  <c r="L36" i="8" s="1"/>
  <c r="J36" i="8"/>
  <c r="H36" i="8"/>
  <c r="I36" i="8" s="1"/>
  <c r="G36" i="8"/>
  <c r="K35" i="8"/>
  <c r="J35" i="8"/>
  <c r="H35" i="8"/>
  <c r="I35" i="8" s="1"/>
  <c r="G35" i="8"/>
  <c r="K34" i="8"/>
  <c r="J34" i="8"/>
  <c r="H34" i="8"/>
  <c r="I34" i="8" s="1"/>
  <c r="G34" i="8"/>
  <c r="K33" i="8"/>
  <c r="J33" i="8"/>
  <c r="H33" i="8"/>
  <c r="I33" i="8" s="1"/>
  <c r="G33" i="8"/>
  <c r="L33" i="8" s="1"/>
  <c r="L32" i="8"/>
  <c r="M32" i="8" s="1"/>
  <c r="N32" i="8" s="1"/>
  <c r="K32" i="8"/>
  <c r="J32" i="8"/>
  <c r="H32" i="8"/>
  <c r="I32" i="8" s="1"/>
  <c r="G32" i="8"/>
  <c r="K31" i="8"/>
  <c r="J31" i="8"/>
  <c r="H31" i="8"/>
  <c r="G31" i="8"/>
  <c r="K30" i="8"/>
  <c r="J30" i="8"/>
  <c r="I30" i="8"/>
  <c r="H30" i="8"/>
  <c r="G30" i="8"/>
  <c r="K29" i="8"/>
  <c r="L29" i="8" s="1"/>
  <c r="M29" i="8" s="1"/>
  <c r="N29" i="8" s="1"/>
  <c r="J29" i="8"/>
  <c r="H29" i="8"/>
  <c r="I29" i="8" s="1"/>
  <c r="G29" i="8"/>
  <c r="K28" i="8"/>
  <c r="J28" i="8"/>
  <c r="H28" i="8"/>
  <c r="I28" i="8" s="1"/>
  <c r="G28" i="8"/>
  <c r="K27" i="8"/>
  <c r="J27" i="8"/>
  <c r="I27" i="8"/>
  <c r="H27" i="8"/>
  <c r="G27" i="8"/>
  <c r="K26" i="8"/>
  <c r="J26" i="8"/>
  <c r="H26" i="8"/>
  <c r="G26" i="8"/>
  <c r="M25" i="8"/>
  <c r="N25" i="8" s="1"/>
  <c r="L25" i="8"/>
  <c r="K25" i="8"/>
  <c r="J25" i="8"/>
  <c r="H25" i="8"/>
  <c r="I25" i="8" s="1"/>
  <c r="G25" i="8"/>
  <c r="K24" i="8"/>
  <c r="J24" i="8"/>
  <c r="H24" i="8"/>
  <c r="G24" i="8"/>
  <c r="K23" i="8"/>
  <c r="J23" i="8"/>
  <c r="H23" i="8"/>
  <c r="G23" i="8"/>
  <c r="K22" i="8"/>
  <c r="L22" i="8" s="1"/>
  <c r="J22" i="8"/>
  <c r="H22" i="8"/>
  <c r="I22" i="8" s="1"/>
  <c r="G22" i="8"/>
  <c r="K21" i="8"/>
  <c r="J21" i="8"/>
  <c r="H21" i="8"/>
  <c r="I21" i="8" s="1"/>
  <c r="G21" i="8"/>
  <c r="K20" i="8"/>
  <c r="J20" i="8"/>
  <c r="H20" i="8"/>
  <c r="I20" i="8" s="1"/>
  <c r="G20" i="8"/>
  <c r="K19" i="8"/>
  <c r="J19" i="8"/>
  <c r="H19" i="8"/>
  <c r="G19" i="8"/>
  <c r="L18" i="8"/>
  <c r="M18" i="8" s="1"/>
  <c r="N18" i="8" s="1"/>
  <c r="K18" i="8"/>
  <c r="J18" i="8"/>
  <c r="H18" i="8"/>
  <c r="I18" i="8" s="1"/>
  <c r="G18" i="8"/>
  <c r="K17" i="8"/>
  <c r="J17" i="8"/>
  <c r="H17" i="8"/>
  <c r="G17" i="8"/>
  <c r="M16" i="8"/>
  <c r="N16" i="8" s="1"/>
  <c r="K16" i="8"/>
  <c r="J16" i="8"/>
  <c r="H16" i="8"/>
  <c r="I16" i="8" s="1"/>
  <c r="G16" i="8"/>
  <c r="L16" i="8" s="1"/>
  <c r="L15" i="8"/>
  <c r="K15" i="8"/>
  <c r="M15" i="8" s="1"/>
  <c r="N15" i="8" s="1"/>
  <c r="J15" i="8"/>
  <c r="H15" i="8"/>
  <c r="I15" i="8" s="1"/>
  <c r="G15" i="8"/>
  <c r="K14" i="8"/>
  <c r="J14" i="8"/>
  <c r="H14" i="8"/>
  <c r="I14" i="8" s="1"/>
  <c r="G14" i="8"/>
  <c r="K13" i="8"/>
  <c r="J13" i="8"/>
  <c r="H13" i="8"/>
  <c r="I13" i="8" s="1"/>
  <c r="G13" i="8"/>
  <c r="L12" i="8"/>
  <c r="M12" i="8" s="1"/>
  <c r="N12" i="8" s="1"/>
  <c r="K12" i="8"/>
  <c r="J12" i="8"/>
  <c r="H12" i="8"/>
  <c r="G12" i="8"/>
  <c r="I12" i="8" s="1"/>
  <c r="L11" i="8"/>
  <c r="M11" i="8" s="1"/>
  <c r="N11" i="8" s="1"/>
  <c r="K11" i="8"/>
  <c r="J11" i="8"/>
  <c r="H11" i="8"/>
  <c r="I11" i="8" s="1"/>
  <c r="G11" i="8"/>
  <c r="K10" i="8"/>
  <c r="J10" i="8"/>
  <c r="H10" i="8"/>
  <c r="I10" i="8" s="1"/>
  <c r="G10" i="8"/>
  <c r="K9" i="8"/>
  <c r="J9" i="8"/>
  <c r="I9" i="8"/>
  <c r="H9" i="8"/>
  <c r="G9" i="8"/>
  <c r="L8" i="8"/>
  <c r="M8" i="8" s="1"/>
  <c r="N8" i="8" s="1"/>
  <c r="K8" i="8"/>
  <c r="J8" i="8"/>
  <c r="I8" i="8"/>
  <c r="H8" i="8"/>
  <c r="G8" i="8"/>
  <c r="K7" i="8"/>
  <c r="J7" i="8"/>
  <c r="H7" i="8"/>
  <c r="I7" i="8" s="1"/>
  <c r="G7" i="8"/>
  <c r="L6" i="8"/>
  <c r="M6" i="8" s="1"/>
  <c r="K6" i="8"/>
  <c r="J6" i="8"/>
  <c r="H6" i="8"/>
  <c r="G6" i="8"/>
  <c r="K5" i="8"/>
  <c r="J5" i="8"/>
  <c r="H5" i="8"/>
  <c r="G5" i="8"/>
  <c r="N4" i="8"/>
  <c r="M4" i="8"/>
  <c r="K4" i="8"/>
  <c r="J4" i="8"/>
  <c r="H4" i="8"/>
  <c r="I4" i="8" s="1"/>
  <c r="G4" i="8"/>
  <c r="L4" i="8" s="1"/>
  <c r="K3" i="8"/>
  <c r="J3" i="8"/>
  <c r="H3" i="8"/>
  <c r="I3" i="8" s="1"/>
  <c r="G3" i="8"/>
  <c r="K2" i="8"/>
  <c r="J2" i="8"/>
  <c r="I2" i="8"/>
  <c r="H2" i="8"/>
  <c r="G2" i="8"/>
  <c r="V10" i="5"/>
  <c r="S186" i="5"/>
  <c r="M212" i="5"/>
  <c r="N212" i="5" s="1"/>
  <c r="M213" i="5"/>
  <c r="N213" i="5" s="1"/>
  <c r="M214" i="5"/>
  <c r="N214" i="5" s="1"/>
  <c r="M215" i="5"/>
  <c r="N215" i="5" s="1"/>
  <c r="M217" i="5"/>
  <c r="N217" i="5" s="1"/>
  <c r="M218" i="5"/>
  <c r="N218" i="5" s="1"/>
  <c r="M219" i="5"/>
  <c r="N219" i="5" s="1"/>
  <c r="M220" i="5"/>
  <c r="N220" i="5" s="1"/>
  <c r="M221" i="5"/>
  <c r="N221" i="5" s="1"/>
  <c r="M222" i="5"/>
  <c r="N222" i="5" s="1"/>
  <c r="M224" i="5"/>
  <c r="N224" i="5" s="1"/>
  <c r="M225" i="5"/>
  <c r="N225" i="5" s="1"/>
  <c r="M226" i="5"/>
  <c r="N226" i="5" s="1"/>
  <c r="M268" i="5"/>
  <c r="N268" i="5" s="1"/>
  <c r="M269" i="5"/>
  <c r="N269" i="5" s="1"/>
  <c r="M270" i="5"/>
  <c r="N270" i="5" s="1"/>
  <c r="M296" i="5"/>
  <c r="N296" i="5" s="1"/>
  <c r="M297" i="5"/>
  <c r="N297" i="5" s="1"/>
  <c r="M298" i="5"/>
  <c r="N298" i="5" s="1"/>
  <c r="M299" i="5"/>
  <c r="N299" i="5" s="1"/>
  <c r="M300" i="5"/>
  <c r="N300" i="5" s="1"/>
  <c r="M301" i="5"/>
  <c r="N301" i="5" s="1"/>
  <c r="M302" i="5"/>
  <c r="N302" i="5" s="1"/>
  <c r="M303" i="5"/>
  <c r="N303" i="5" s="1"/>
  <c r="M304" i="5"/>
  <c r="N304" i="5" s="1"/>
  <c r="M305" i="5"/>
  <c r="N305" i="5" s="1"/>
  <c r="M306" i="5"/>
  <c r="N306" i="5" s="1"/>
  <c r="M308" i="5"/>
  <c r="N308" i="5" s="1"/>
  <c r="M309" i="5"/>
  <c r="N309" i="5" s="1"/>
  <c r="L202" i="5"/>
  <c r="M202" i="5" s="1"/>
  <c r="N202" i="5" s="1"/>
  <c r="L203" i="5"/>
  <c r="M203" i="5" s="1"/>
  <c r="N203" i="5" s="1"/>
  <c r="L204" i="5"/>
  <c r="M204" i="5" s="1"/>
  <c r="N204" i="5" s="1"/>
  <c r="L205" i="5"/>
  <c r="M205" i="5" s="1"/>
  <c r="N205" i="5" s="1"/>
  <c r="L206" i="5"/>
  <c r="M206" i="5" s="1"/>
  <c r="N206" i="5" s="1"/>
  <c r="L207" i="5"/>
  <c r="M207" i="5" s="1"/>
  <c r="N207" i="5" s="1"/>
  <c r="L208" i="5"/>
  <c r="M208" i="5" s="1"/>
  <c r="N208" i="5" s="1"/>
  <c r="L209" i="5"/>
  <c r="M209" i="5" s="1"/>
  <c r="N209" i="5" s="1"/>
  <c r="L210" i="5"/>
  <c r="M210" i="5" s="1"/>
  <c r="N210" i="5" s="1"/>
  <c r="L211" i="5"/>
  <c r="M211" i="5" s="1"/>
  <c r="N211" i="5" s="1"/>
  <c r="L212" i="5"/>
  <c r="L213" i="5"/>
  <c r="L214" i="5"/>
  <c r="L215" i="5"/>
  <c r="L216" i="5"/>
  <c r="M216" i="5" s="1"/>
  <c r="N216" i="5" s="1"/>
  <c r="L217" i="5"/>
  <c r="L218" i="5"/>
  <c r="L219" i="5"/>
  <c r="L220" i="5"/>
  <c r="L221" i="5"/>
  <c r="L222" i="5"/>
  <c r="L223" i="5"/>
  <c r="M223" i="5" s="1"/>
  <c r="N223" i="5" s="1"/>
  <c r="L224" i="5"/>
  <c r="L225" i="5"/>
  <c r="L226" i="5"/>
  <c r="L227" i="5"/>
  <c r="M227" i="5" s="1"/>
  <c r="N227" i="5" s="1"/>
  <c r="L228" i="5"/>
  <c r="M228" i="5" s="1"/>
  <c r="N228" i="5" s="1"/>
  <c r="L229" i="5"/>
  <c r="M229" i="5" s="1"/>
  <c r="N229" i="5" s="1"/>
  <c r="L230" i="5"/>
  <c r="M230" i="5" s="1"/>
  <c r="N230" i="5" s="1"/>
  <c r="L231" i="5"/>
  <c r="M231" i="5" s="1"/>
  <c r="N231" i="5" s="1"/>
  <c r="L232" i="5"/>
  <c r="M232" i="5" s="1"/>
  <c r="N232" i="5" s="1"/>
  <c r="L233" i="5"/>
  <c r="M233" i="5" s="1"/>
  <c r="N233" i="5" s="1"/>
  <c r="L234" i="5"/>
  <c r="M234" i="5" s="1"/>
  <c r="N234" i="5" s="1"/>
  <c r="L235" i="5"/>
  <c r="M235" i="5" s="1"/>
  <c r="N235" i="5" s="1"/>
  <c r="L236" i="5"/>
  <c r="M236" i="5" s="1"/>
  <c r="N236" i="5" s="1"/>
  <c r="L237" i="5"/>
  <c r="M237" i="5" s="1"/>
  <c r="N237" i="5" s="1"/>
  <c r="L238" i="5"/>
  <c r="M238" i="5" s="1"/>
  <c r="N238" i="5" s="1"/>
  <c r="L239" i="5"/>
  <c r="M239" i="5" s="1"/>
  <c r="N239" i="5" s="1"/>
  <c r="L240" i="5"/>
  <c r="M240" i="5" s="1"/>
  <c r="N240" i="5" s="1"/>
  <c r="L241" i="5"/>
  <c r="M241" i="5" s="1"/>
  <c r="N241" i="5" s="1"/>
  <c r="L242" i="5"/>
  <c r="M242" i="5" s="1"/>
  <c r="N242" i="5" s="1"/>
  <c r="L243" i="5"/>
  <c r="M243" i="5" s="1"/>
  <c r="N243" i="5" s="1"/>
  <c r="L244" i="5"/>
  <c r="M244" i="5" s="1"/>
  <c r="N244" i="5" s="1"/>
  <c r="L245" i="5"/>
  <c r="M245" i="5" s="1"/>
  <c r="N245" i="5" s="1"/>
  <c r="L246" i="5"/>
  <c r="M246" i="5" s="1"/>
  <c r="N246" i="5" s="1"/>
  <c r="L247" i="5"/>
  <c r="M247" i="5" s="1"/>
  <c r="N247" i="5" s="1"/>
  <c r="L248" i="5"/>
  <c r="M248" i="5" s="1"/>
  <c r="N248" i="5" s="1"/>
  <c r="L249" i="5"/>
  <c r="M249" i="5" s="1"/>
  <c r="N249" i="5" s="1"/>
  <c r="L250" i="5"/>
  <c r="M250" i="5" s="1"/>
  <c r="N250" i="5" s="1"/>
  <c r="L251" i="5"/>
  <c r="M251" i="5" s="1"/>
  <c r="N251" i="5" s="1"/>
  <c r="L252" i="5"/>
  <c r="M252" i="5" s="1"/>
  <c r="N252" i="5" s="1"/>
  <c r="L253" i="5"/>
  <c r="M253" i="5" s="1"/>
  <c r="N253" i="5" s="1"/>
  <c r="L254" i="5"/>
  <c r="M254" i="5" s="1"/>
  <c r="N254" i="5" s="1"/>
  <c r="L255" i="5"/>
  <c r="M255" i="5" s="1"/>
  <c r="N255" i="5" s="1"/>
  <c r="L256" i="5"/>
  <c r="M256" i="5" s="1"/>
  <c r="N256" i="5" s="1"/>
  <c r="L257" i="5"/>
  <c r="M257" i="5" s="1"/>
  <c r="N257" i="5" s="1"/>
  <c r="L258" i="5"/>
  <c r="M258" i="5" s="1"/>
  <c r="N258" i="5" s="1"/>
  <c r="L259" i="5"/>
  <c r="M259" i="5" s="1"/>
  <c r="N259" i="5" s="1"/>
  <c r="L260" i="5"/>
  <c r="M260" i="5" s="1"/>
  <c r="N260" i="5" s="1"/>
  <c r="L261" i="5"/>
  <c r="M261" i="5" s="1"/>
  <c r="N261" i="5" s="1"/>
  <c r="L262" i="5"/>
  <c r="M262" i="5" s="1"/>
  <c r="N262" i="5" s="1"/>
  <c r="L263" i="5"/>
  <c r="M263" i="5" s="1"/>
  <c r="N263" i="5" s="1"/>
  <c r="L264" i="5"/>
  <c r="M264" i="5" s="1"/>
  <c r="N264" i="5" s="1"/>
  <c r="L265" i="5"/>
  <c r="M265" i="5" s="1"/>
  <c r="N265" i="5" s="1"/>
  <c r="L266" i="5"/>
  <c r="M266" i="5" s="1"/>
  <c r="N266" i="5" s="1"/>
  <c r="L267" i="5"/>
  <c r="M267" i="5" s="1"/>
  <c r="N267" i="5" s="1"/>
  <c r="L268" i="5"/>
  <c r="L269" i="5"/>
  <c r="L270" i="5"/>
  <c r="L271" i="5"/>
  <c r="M271" i="5" s="1"/>
  <c r="N271" i="5" s="1"/>
  <c r="L272" i="5"/>
  <c r="M272" i="5" s="1"/>
  <c r="N272" i="5" s="1"/>
  <c r="L273" i="5"/>
  <c r="M273" i="5" s="1"/>
  <c r="N273" i="5" s="1"/>
  <c r="L274" i="5"/>
  <c r="M274" i="5" s="1"/>
  <c r="N274" i="5" s="1"/>
  <c r="L275" i="5"/>
  <c r="M275" i="5" s="1"/>
  <c r="N275" i="5" s="1"/>
  <c r="L276" i="5"/>
  <c r="M276" i="5" s="1"/>
  <c r="N276" i="5" s="1"/>
  <c r="L277" i="5"/>
  <c r="M277" i="5" s="1"/>
  <c r="N277" i="5" s="1"/>
  <c r="L278" i="5"/>
  <c r="M278" i="5" s="1"/>
  <c r="N278" i="5" s="1"/>
  <c r="L279" i="5"/>
  <c r="M279" i="5" s="1"/>
  <c r="N279" i="5" s="1"/>
  <c r="L280" i="5"/>
  <c r="M280" i="5" s="1"/>
  <c r="N280" i="5" s="1"/>
  <c r="L281" i="5"/>
  <c r="M281" i="5" s="1"/>
  <c r="N281" i="5" s="1"/>
  <c r="L282" i="5"/>
  <c r="M282" i="5" s="1"/>
  <c r="N282" i="5" s="1"/>
  <c r="L283" i="5"/>
  <c r="M283" i="5" s="1"/>
  <c r="N283" i="5" s="1"/>
  <c r="L284" i="5"/>
  <c r="M284" i="5" s="1"/>
  <c r="N284" i="5" s="1"/>
  <c r="L285" i="5"/>
  <c r="M285" i="5" s="1"/>
  <c r="N285" i="5" s="1"/>
  <c r="L286" i="5"/>
  <c r="M286" i="5" s="1"/>
  <c r="N286" i="5" s="1"/>
  <c r="L287" i="5"/>
  <c r="M287" i="5" s="1"/>
  <c r="N287" i="5" s="1"/>
  <c r="L288" i="5"/>
  <c r="M288" i="5" s="1"/>
  <c r="N288" i="5" s="1"/>
  <c r="L289" i="5"/>
  <c r="M289" i="5" s="1"/>
  <c r="N289" i="5" s="1"/>
  <c r="L290" i="5"/>
  <c r="M290" i="5" s="1"/>
  <c r="N290" i="5" s="1"/>
  <c r="L291" i="5"/>
  <c r="M291" i="5" s="1"/>
  <c r="N291" i="5" s="1"/>
  <c r="L292" i="5"/>
  <c r="M292" i="5" s="1"/>
  <c r="N292" i="5" s="1"/>
  <c r="L293" i="5"/>
  <c r="M293" i="5" s="1"/>
  <c r="N293" i="5" s="1"/>
  <c r="L294" i="5"/>
  <c r="M294" i="5" s="1"/>
  <c r="N294" i="5" s="1"/>
  <c r="L295" i="5"/>
  <c r="M295" i="5" s="1"/>
  <c r="N295" i="5" s="1"/>
  <c r="L296" i="5"/>
  <c r="L297" i="5"/>
  <c r="L298" i="5"/>
  <c r="L299" i="5"/>
  <c r="L300" i="5"/>
  <c r="L301" i="5"/>
  <c r="L302" i="5"/>
  <c r="L303" i="5"/>
  <c r="L304" i="5"/>
  <c r="L305" i="5"/>
  <c r="L306" i="5"/>
  <c r="L307" i="5"/>
  <c r="M307" i="5" s="1"/>
  <c r="N307" i="5" s="1"/>
  <c r="L308" i="5"/>
  <c r="L309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" i="5"/>
  <c r="L2" i="5" s="1"/>
  <c r="K5" i="7"/>
  <c r="O8" i="6"/>
  <c r="O5" i="6"/>
  <c r="O6" i="6"/>
  <c r="O7" i="6"/>
  <c r="O4" i="6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" i="5"/>
  <c r="L115" i="8" l="1"/>
  <c r="M115" i="8" s="1"/>
  <c r="N115" i="8" s="1"/>
  <c r="L65" i="8"/>
  <c r="M65" i="8" s="1"/>
  <c r="N65" i="8" s="1"/>
  <c r="M21" i="8"/>
  <c r="N21" i="8" s="1"/>
  <c r="M40" i="8"/>
  <c r="N40" i="8" s="1"/>
  <c r="L66" i="8"/>
  <c r="M66" i="8" s="1"/>
  <c r="N66" i="8" s="1"/>
  <c r="L122" i="8"/>
  <c r="M134" i="8"/>
  <c r="N134" i="8" s="1"/>
  <c r="L173" i="8"/>
  <c r="M159" i="8"/>
  <c r="L104" i="8"/>
  <c r="M104" i="8" s="1"/>
  <c r="N104" i="8" s="1"/>
  <c r="L180" i="8"/>
  <c r="M180" i="8" s="1"/>
  <c r="N180" i="8" s="1"/>
  <c r="M78" i="8"/>
  <c r="N78" i="8" s="1"/>
  <c r="M173" i="8"/>
  <c r="N173" i="8" s="1"/>
  <c r="I180" i="8"/>
  <c r="M23" i="8"/>
  <c r="N23" i="8" s="1"/>
  <c r="M193" i="8"/>
  <c r="N193" i="8" s="1"/>
  <c r="I5" i="8"/>
  <c r="L26" i="8"/>
  <c r="M5" i="8"/>
  <c r="N5" i="8" s="1"/>
  <c r="L37" i="8"/>
  <c r="M37" i="8"/>
  <c r="N37" i="8" s="1"/>
  <c r="L99" i="8"/>
  <c r="M99" i="8" s="1"/>
  <c r="N99" i="8" s="1"/>
  <c r="M149" i="8"/>
  <c r="N149" i="8" s="1"/>
  <c r="M200" i="8"/>
  <c r="N200" i="8" s="1"/>
  <c r="L100" i="8"/>
  <c r="L38" i="8"/>
  <c r="M38" i="8" s="1"/>
  <c r="N38" i="8" s="1"/>
  <c r="I100" i="8"/>
  <c r="I38" i="8"/>
  <c r="I26" i="8"/>
  <c r="L5" i="8"/>
  <c r="L92" i="8"/>
  <c r="M92" i="8" s="1"/>
  <c r="N92" i="8" s="1"/>
  <c r="M51" i="8"/>
  <c r="N51" i="8" s="1"/>
  <c r="M70" i="8"/>
  <c r="N70" i="8" s="1"/>
  <c r="M120" i="8"/>
  <c r="N120" i="8" s="1"/>
  <c r="M132" i="8"/>
  <c r="N132" i="8" s="1"/>
  <c r="M82" i="8"/>
  <c r="N82" i="8" s="1"/>
  <c r="L45" i="8"/>
  <c r="M45" i="8" s="1"/>
  <c r="N45" i="8" s="1"/>
  <c r="L61" i="8"/>
  <c r="M61" i="8" s="1"/>
  <c r="N61" i="8" s="1"/>
  <c r="M187" i="8"/>
  <c r="N187" i="8" s="1"/>
  <c r="I23" i="8"/>
  <c r="N28" i="8"/>
  <c r="I45" i="8"/>
  <c r="N56" i="8"/>
  <c r="L157" i="8"/>
  <c r="M157" i="8" s="1"/>
  <c r="N157" i="8" s="1"/>
  <c r="L193" i="8"/>
  <c r="L89" i="8"/>
  <c r="M89" i="8" s="1"/>
  <c r="N89" i="8" s="1"/>
  <c r="L134" i="8"/>
  <c r="I157" i="8"/>
  <c r="L7" i="8"/>
  <c r="M117" i="8"/>
  <c r="N117" i="8" s="1"/>
  <c r="L169" i="8"/>
  <c r="M169" i="8" s="1"/>
  <c r="N169" i="8" s="1"/>
  <c r="N14" i="8"/>
  <c r="M85" i="8"/>
  <c r="N85" i="8" s="1"/>
  <c r="M119" i="8"/>
  <c r="N119" i="8" s="1"/>
  <c r="I178" i="8"/>
  <c r="L184" i="8"/>
  <c r="M184" i="8" s="1"/>
  <c r="N184" i="8" s="1"/>
  <c r="L201" i="8"/>
  <c r="M201" i="8" s="1"/>
  <c r="N201" i="8" s="1"/>
  <c r="M19" i="8"/>
  <c r="N19" i="8" s="1"/>
  <c r="N86" i="8"/>
  <c r="I103" i="8"/>
  <c r="L142" i="8"/>
  <c r="M142" i="8" s="1"/>
  <c r="N142" i="8" s="1"/>
  <c r="I184" i="8"/>
  <c r="I201" i="8"/>
  <c r="L83" i="8"/>
  <c r="I122" i="8"/>
  <c r="L139" i="8"/>
  <c r="M139" i="8" s="1"/>
  <c r="N139" i="8" s="1"/>
  <c r="M174" i="8"/>
  <c r="N174" i="8" s="1"/>
  <c r="L194" i="8"/>
  <c r="M194" i="8" s="1"/>
  <c r="N194" i="8" s="1"/>
  <c r="L78" i="8"/>
  <c r="L135" i="8"/>
  <c r="M135" i="8" s="1"/>
  <c r="N135" i="8" s="1"/>
  <c r="I135" i="8"/>
  <c r="L178" i="8"/>
  <c r="L30" i="8"/>
  <c r="M30" i="8" s="1"/>
  <c r="N30" i="8" s="1"/>
  <c r="N114" i="8"/>
  <c r="M178" i="8"/>
  <c r="N178" i="8" s="1"/>
  <c r="N9" i="8"/>
  <c r="L9" i="8"/>
  <c r="M36" i="8"/>
  <c r="N36" i="8" s="1"/>
  <c r="L75" i="8"/>
  <c r="M75" i="8" s="1"/>
  <c r="N75" i="8" s="1"/>
  <c r="M114" i="8"/>
  <c r="I142" i="8"/>
  <c r="I66" i="8"/>
  <c r="M44" i="8"/>
  <c r="N44" i="8" s="1"/>
  <c r="L17" i="8"/>
  <c r="M17" i="8" s="1"/>
  <c r="N17" i="8" s="1"/>
  <c r="L27" i="8"/>
  <c r="M27" i="8" s="1"/>
  <c r="N27" i="8" s="1"/>
  <c r="L23" i="8"/>
  <c r="L170" i="8"/>
  <c r="M170" i="8" s="1"/>
  <c r="N170" i="8" s="1"/>
  <c r="L73" i="8"/>
  <c r="M73" i="8" s="1"/>
  <c r="N73" i="8" s="1"/>
  <c r="L90" i="8"/>
  <c r="M90" i="8" s="1"/>
  <c r="N90" i="8" s="1"/>
  <c r="L129" i="8"/>
  <c r="M129" i="8" s="1"/>
  <c r="N129" i="8" s="1"/>
  <c r="N13" i="8"/>
  <c r="I73" i="8"/>
  <c r="I129" i="8"/>
  <c r="L152" i="8"/>
  <c r="L164" i="8"/>
  <c r="L40" i="8"/>
  <c r="M146" i="8"/>
  <c r="N146" i="8" s="1"/>
  <c r="I164" i="8"/>
  <c r="L2" i="8"/>
  <c r="M2" i="8" s="1"/>
  <c r="N2" i="8" s="1"/>
  <c r="L51" i="8"/>
  <c r="L107" i="8"/>
  <c r="M164" i="8"/>
  <c r="N164" i="8" s="1"/>
  <c r="L200" i="8"/>
  <c r="M13" i="8"/>
  <c r="L19" i="8"/>
  <c r="M35" i="8"/>
  <c r="N35" i="8" s="1"/>
  <c r="L124" i="8"/>
  <c r="M124" i="8" s="1"/>
  <c r="N124" i="8" s="1"/>
  <c r="M152" i="8"/>
  <c r="N152" i="8" s="1"/>
  <c r="N159" i="8"/>
  <c r="M183" i="8"/>
  <c r="N183" i="8" s="1"/>
  <c r="L13" i="8"/>
  <c r="I19" i="8"/>
  <c r="L52" i="8"/>
  <c r="L183" i="8"/>
  <c r="L31" i="8"/>
  <c r="L47" i="8"/>
  <c r="M47" i="8" s="1"/>
  <c r="N47" i="8" s="1"/>
  <c r="L64" i="8"/>
  <c r="M64" i="8" s="1"/>
  <c r="N64" i="8" s="1"/>
  <c r="M86" i="8"/>
  <c r="L185" i="8"/>
  <c r="M185" i="8" s="1"/>
  <c r="N185" i="8" s="1"/>
  <c r="M83" i="8"/>
  <c r="N83" i="8" s="1"/>
  <c r="I194" i="8"/>
  <c r="I17" i="8"/>
  <c r="M26" i="8"/>
  <c r="N26" i="8" s="1"/>
  <c r="I31" i="8"/>
  <c r="L41" i="8"/>
  <c r="M41" i="8" s="1"/>
  <c r="N41" i="8" s="1"/>
  <c r="I69" i="8"/>
  <c r="L79" i="8"/>
  <c r="M79" i="8" s="1"/>
  <c r="N79" i="8" s="1"/>
  <c r="L93" i="8"/>
  <c r="M93" i="8" s="1"/>
  <c r="N93" i="8" s="1"/>
  <c r="M107" i="8"/>
  <c r="N107" i="8" s="1"/>
  <c r="N133" i="8"/>
  <c r="I41" i="8"/>
  <c r="L118" i="8"/>
  <c r="I138" i="8"/>
  <c r="M31" i="8"/>
  <c r="N31" i="8" s="1"/>
  <c r="L55" i="8"/>
  <c r="M55" i="8" s="1"/>
  <c r="N55" i="8" s="1"/>
  <c r="M69" i="8"/>
  <c r="N69" i="8" s="1"/>
  <c r="L108" i="8"/>
  <c r="M108" i="8" s="1"/>
  <c r="N108" i="8" s="1"/>
  <c r="I118" i="8"/>
  <c r="L163" i="8"/>
  <c r="M163" i="8" s="1"/>
  <c r="N163" i="8" s="1"/>
  <c r="M22" i="8"/>
  <c r="N22" i="8" s="1"/>
  <c r="L94" i="8"/>
  <c r="M94" i="8" s="1"/>
  <c r="N94" i="8" s="1"/>
  <c r="I108" i="8"/>
  <c r="M133" i="8"/>
  <c r="L143" i="8"/>
  <c r="M143" i="8" s="1"/>
  <c r="N143" i="8" s="1"/>
  <c r="L190" i="8"/>
  <c r="M190" i="8" s="1"/>
  <c r="N190" i="8" s="1"/>
  <c r="L62" i="8"/>
  <c r="N6" i="8"/>
  <c r="I82" i="8"/>
  <c r="L86" i="8"/>
  <c r="M125" i="8"/>
  <c r="N125" i="8" s="1"/>
  <c r="L197" i="8"/>
  <c r="M197" i="8" s="1"/>
  <c r="N197" i="8" s="1"/>
  <c r="M9" i="8"/>
  <c r="I115" i="8"/>
  <c r="L150" i="8"/>
  <c r="M150" i="8" s="1"/>
  <c r="N150" i="8" s="1"/>
  <c r="M14" i="8"/>
  <c r="L24" i="8"/>
  <c r="M24" i="8" s="1"/>
  <c r="N24" i="8" s="1"/>
  <c r="M33" i="8"/>
  <c r="N33" i="8" s="1"/>
  <c r="L43" i="8"/>
  <c r="M43" i="8" s="1"/>
  <c r="N43" i="8" s="1"/>
  <c r="M52" i="8"/>
  <c r="N52" i="8" s="1"/>
  <c r="L57" i="8"/>
  <c r="M57" i="8" s="1"/>
  <c r="N57" i="8" s="1"/>
  <c r="M71" i="8"/>
  <c r="N71" i="8" s="1"/>
  <c r="M100" i="8"/>
  <c r="N100" i="8" s="1"/>
  <c r="I150" i="8"/>
  <c r="L76" i="8"/>
  <c r="M76" i="8" s="1"/>
  <c r="N76" i="8" s="1"/>
  <c r="I86" i="8"/>
  <c r="L120" i="8"/>
  <c r="L171" i="8"/>
  <c r="M171" i="8" s="1"/>
  <c r="N171" i="8" s="1"/>
  <c r="L10" i="8"/>
  <c r="M10" i="8" s="1"/>
  <c r="N10" i="8" s="1"/>
  <c r="I171" i="8"/>
  <c r="M176" i="8"/>
  <c r="N176" i="8" s="1"/>
  <c r="L58" i="8"/>
  <c r="M58" i="8" s="1"/>
  <c r="N58" i="8" s="1"/>
  <c r="L155" i="8"/>
  <c r="M155" i="8" s="1"/>
  <c r="N155" i="8" s="1"/>
  <c r="M160" i="8"/>
  <c r="N160" i="8" s="1"/>
  <c r="M48" i="8"/>
  <c r="N48" i="8" s="1"/>
  <c r="M91" i="8"/>
  <c r="N91" i="8" s="1"/>
  <c r="M96" i="8"/>
  <c r="N96" i="8" s="1"/>
  <c r="L131" i="8"/>
  <c r="M131" i="8" s="1"/>
  <c r="N131" i="8" s="1"/>
  <c r="M182" i="8"/>
  <c r="N182" i="8" s="1"/>
  <c r="I6" i="8"/>
  <c r="L96" i="8"/>
  <c r="I111" i="8"/>
  <c r="L146" i="8"/>
  <c r="L187" i="8"/>
  <c r="L34" i="8"/>
  <c r="M34" i="8" s="1"/>
  <c r="N34" i="8" s="1"/>
  <c r="L87" i="8"/>
  <c r="M87" i="8" s="1"/>
  <c r="N87" i="8" s="1"/>
  <c r="L166" i="8"/>
  <c r="M166" i="8" s="1"/>
  <c r="N166" i="8" s="1"/>
  <c r="L177" i="8"/>
  <c r="M177" i="8" s="1"/>
  <c r="N177" i="8" s="1"/>
  <c r="L198" i="8"/>
  <c r="M198" i="8" s="1"/>
  <c r="N198" i="8" s="1"/>
  <c r="L54" i="8"/>
  <c r="M54" i="8" s="1"/>
  <c r="N54" i="8" s="1"/>
  <c r="I87" i="8"/>
  <c r="M111" i="8"/>
  <c r="N111" i="8" s="1"/>
  <c r="M156" i="8"/>
  <c r="N156" i="8" s="1"/>
  <c r="L125" i="8"/>
  <c r="L160" i="8"/>
  <c r="L174" i="8"/>
  <c r="I52" i="8"/>
  <c r="M56" i="8"/>
  <c r="I160" i="8"/>
  <c r="I174" i="8"/>
  <c r="L188" i="8"/>
  <c r="M188" i="8" s="1"/>
  <c r="N188" i="8" s="1"/>
  <c r="L71" i="8"/>
  <c r="I101" i="8"/>
  <c r="M118" i="8"/>
  <c r="N118" i="8" s="1"/>
  <c r="L127" i="8"/>
  <c r="M127" i="8" s="1"/>
  <c r="N127" i="8" s="1"/>
  <c r="L136" i="8"/>
  <c r="M136" i="8" s="1"/>
  <c r="N136" i="8" s="1"/>
  <c r="M140" i="8"/>
  <c r="N140" i="8" s="1"/>
  <c r="I167" i="8"/>
  <c r="I181" i="8"/>
  <c r="N199" i="8"/>
  <c r="M122" i="8"/>
  <c r="N122" i="8" s="1"/>
  <c r="L3" i="8"/>
  <c r="M3" i="8" s="1"/>
  <c r="N3" i="8" s="1"/>
  <c r="I24" i="8"/>
  <c r="M28" i="8"/>
  <c r="L162" i="8"/>
  <c r="M162" i="8" s="1"/>
  <c r="N162" i="8" s="1"/>
  <c r="L176" i="8"/>
  <c r="M7" i="8"/>
  <c r="N7" i="8" s="1"/>
  <c r="I37" i="8"/>
  <c r="I50" i="8"/>
  <c r="L101" i="8"/>
  <c r="M101" i="8" s="1"/>
  <c r="N101" i="8" s="1"/>
  <c r="M105" i="8"/>
  <c r="N105" i="8" s="1"/>
  <c r="I114" i="8"/>
  <c r="L167" i="8"/>
  <c r="M167" i="8" s="1"/>
  <c r="N167" i="8" s="1"/>
  <c r="L181" i="8"/>
  <c r="M181" i="8" s="1"/>
  <c r="N181" i="8" s="1"/>
  <c r="L80" i="8"/>
  <c r="M80" i="8" s="1"/>
  <c r="N80" i="8" s="1"/>
  <c r="I136" i="8"/>
  <c r="M153" i="8"/>
  <c r="N153" i="8" s="1"/>
  <c r="L114" i="8"/>
  <c r="L132" i="8"/>
  <c r="L20" i="8"/>
  <c r="M20" i="8" s="1"/>
  <c r="N20" i="8" s="1"/>
  <c r="L59" i="8"/>
  <c r="M59" i="8" s="1"/>
  <c r="N59" i="8" s="1"/>
  <c r="L195" i="8"/>
  <c r="M195" i="8" s="1"/>
  <c r="N195" i="8" s="1"/>
  <c r="M62" i="8"/>
  <c r="N62" i="8" s="1"/>
  <c r="I59" i="8"/>
  <c r="M63" i="8"/>
  <c r="N63" i="8" s="1"/>
  <c r="M97" i="8"/>
  <c r="N97" i="8" s="1"/>
  <c r="L191" i="8"/>
  <c r="M191" i="8" s="1"/>
  <c r="N191" i="8" s="1"/>
  <c r="L192" i="8"/>
  <c r="M192" i="8" s="1"/>
  <c r="N192" i="8" s="1"/>
  <c r="L199" i="8"/>
  <c r="M199" i="8" s="1"/>
  <c r="L14" i="8"/>
  <c r="L21" i="8"/>
  <c r="L28" i="8"/>
  <c r="L35" i="8"/>
  <c r="L42" i="8"/>
  <c r="M42" i="8" s="1"/>
  <c r="N42" i="8" s="1"/>
  <c r="L49" i="8"/>
  <c r="M49" i="8" s="1"/>
  <c r="N49" i="8" s="1"/>
  <c r="L56" i="8"/>
  <c r="L63" i="8"/>
  <c r="L70" i="8"/>
  <c r="L77" i="8"/>
  <c r="M77" i="8" s="1"/>
  <c r="N77" i="8" s="1"/>
  <c r="L84" i="8"/>
  <c r="M84" i="8" s="1"/>
  <c r="N84" i="8" s="1"/>
  <c r="L91" i="8"/>
  <c r="L98" i="8"/>
  <c r="M98" i="8" s="1"/>
  <c r="N98" i="8" s="1"/>
  <c r="L105" i="8"/>
  <c r="L112" i="8"/>
  <c r="M112" i="8" s="1"/>
  <c r="N112" i="8" s="1"/>
  <c r="L119" i="8"/>
  <c r="L126" i="8"/>
  <c r="M126" i="8" s="1"/>
  <c r="N126" i="8" s="1"/>
  <c r="L133" i="8"/>
  <c r="L140" i="8"/>
  <c r="L147" i="8"/>
  <c r="M147" i="8" s="1"/>
  <c r="N147" i="8" s="1"/>
  <c r="L154" i="8"/>
  <c r="M154" i="8" s="1"/>
  <c r="N154" i="8" s="1"/>
  <c r="L161" i="8"/>
  <c r="M161" i="8" s="1"/>
  <c r="N161" i="8" s="1"/>
  <c r="L168" i="8"/>
  <c r="M168" i="8" s="1"/>
  <c r="N168" i="8" s="1"/>
  <c r="L175" i="8"/>
  <c r="M175" i="8" s="1"/>
  <c r="N175" i="8" s="1"/>
  <c r="L182" i="8"/>
  <c r="L189" i="8"/>
  <c r="M189" i="8" s="1"/>
  <c r="N189" i="8" s="1"/>
  <c r="L196" i="8"/>
  <c r="M196" i="8" s="1"/>
  <c r="N196" i="8" s="1"/>
  <c r="I85" i="5"/>
  <c r="L103" i="5"/>
  <c r="L75" i="5"/>
  <c r="M75" i="5" s="1"/>
  <c r="N75" i="5" s="1"/>
  <c r="L47" i="5"/>
  <c r="M47" i="5" s="1"/>
  <c r="N47" i="5" s="1"/>
  <c r="L19" i="5"/>
  <c r="M19" i="5" s="1"/>
  <c r="N19" i="5" s="1"/>
  <c r="I84" i="5"/>
  <c r="M103" i="5"/>
  <c r="N103" i="5" s="1"/>
  <c r="L153" i="5"/>
  <c r="M153" i="5"/>
  <c r="M2" i="5"/>
  <c r="N2" i="5" s="1"/>
  <c r="M158" i="5"/>
  <c r="N158" i="5" s="1"/>
  <c r="M46" i="5"/>
  <c r="N46" i="5" s="1"/>
  <c r="M73" i="5"/>
  <c r="N73" i="5" s="1"/>
  <c r="M182" i="5"/>
  <c r="N182" i="5" s="1"/>
  <c r="M151" i="5"/>
  <c r="N151" i="5" s="1"/>
  <c r="M174" i="5"/>
  <c r="N174" i="5" s="1"/>
  <c r="M34" i="5"/>
  <c r="N34" i="5" s="1"/>
  <c r="M173" i="5"/>
  <c r="N173" i="5" s="1"/>
  <c r="M145" i="5"/>
  <c r="N145" i="5" s="1"/>
  <c r="M199" i="5"/>
  <c r="N199" i="5" s="1"/>
  <c r="M59" i="5"/>
  <c r="N59" i="5" s="1"/>
  <c r="L186" i="5"/>
  <c r="M186" i="5" s="1"/>
  <c r="N186" i="5" s="1"/>
  <c r="L102" i="5"/>
  <c r="M102" i="5" s="1"/>
  <c r="N102" i="5" s="1"/>
  <c r="L74" i="5"/>
  <c r="M74" i="5" s="1"/>
  <c r="N74" i="5" s="1"/>
  <c r="L46" i="5"/>
  <c r="L18" i="5"/>
  <c r="M18" i="5" s="1"/>
  <c r="N18" i="5" s="1"/>
  <c r="L185" i="5"/>
  <c r="M185" i="5" s="1"/>
  <c r="N185" i="5" s="1"/>
  <c r="L157" i="5"/>
  <c r="M157" i="5" s="1"/>
  <c r="N157" i="5" s="1"/>
  <c r="L129" i="5"/>
  <c r="M129" i="5" s="1"/>
  <c r="N129" i="5" s="1"/>
  <c r="L101" i="5"/>
  <c r="M101" i="5" s="1"/>
  <c r="N101" i="5" s="1"/>
  <c r="L45" i="5"/>
  <c r="M45" i="5" s="1"/>
  <c r="N45" i="5" s="1"/>
  <c r="N153" i="5"/>
  <c r="L16" i="5"/>
  <c r="M16" i="5" s="1"/>
  <c r="N16" i="5" s="1"/>
  <c r="L166" i="5"/>
  <c r="M166" i="5" s="1"/>
  <c r="N166" i="5" s="1"/>
  <c r="L128" i="5"/>
  <c r="M128" i="5" s="1"/>
  <c r="N128" i="5" s="1"/>
  <c r="L44" i="5"/>
  <c r="M44" i="5" s="1"/>
  <c r="N44" i="5" s="1"/>
  <c r="L165" i="5"/>
  <c r="M165" i="5" s="1"/>
  <c r="N165" i="5" s="1"/>
  <c r="L15" i="5"/>
  <c r="M15" i="5" s="1"/>
  <c r="N15" i="5" s="1"/>
  <c r="L52" i="5"/>
  <c r="M52" i="5" s="1"/>
  <c r="N52" i="5" s="1"/>
  <c r="L70" i="5"/>
  <c r="M70" i="5" s="1"/>
  <c r="N70" i="5" s="1"/>
  <c r="L41" i="5"/>
  <c r="M41" i="5" s="1"/>
  <c r="N41" i="5" s="1"/>
  <c r="L162" i="5"/>
  <c r="M162" i="5" s="1"/>
  <c r="N162" i="5" s="1"/>
  <c r="L161" i="5"/>
  <c r="M161" i="5" s="1"/>
  <c r="N161" i="5" s="1"/>
  <c r="L132" i="5"/>
  <c r="M132" i="5" s="1"/>
  <c r="N132" i="5" s="1"/>
  <c r="L197" i="5"/>
  <c r="M197" i="5" s="1"/>
  <c r="N197" i="5" s="1"/>
  <c r="L196" i="5"/>
  <c r="M196" i="5" s="1"/>
  <c r="N196" i="5" s="1"/>
  <c r="L184" i="5"/>
  <c r="M184" i="5" s="1"/>
  <c r="N184" i="5" s="1"/>
  <c r="L100" i="5"/>
  <c r="M100" i="5" s="1"/>
  <c r="N100" i="5" s="1"/>
  <c r="L43" i="5"/>
  <c r="M43" i="5" s="1"/>
  <c r="N43" i="5" s="1"/>
  <c r="L192" i="5"/>
  <c r="M192" i="5" s="1"/>
  <c r="N192" i="5" s="1"/>
  <c r="L24" i="5"/>
  <c r="M24" i="5" s="1"/>
  <c r="N24" i="5" s="1"/>
  <c r="L14" i="5"/>
  <c r="M14" i="5" s="1"/>
  <c r="N14" i="5" s="1"/>
  <c r="L135" i="5"/>
  <c r="M135" i="5" s="1"/>
  <c r="N135" i="5" s="1"/>
  <c r="L13" i="5"/>
  <c r="M13" i="5" s="1"/>
  <c r="N13" i="5" s="1"/>
  <c r="L133" i="5"/>
  <c r="M133" i="5" s="1"/>
  <c r="N133" i="5" s="1"/>
  <c r="L160" i="5"/>
  <c r="M160" i="5" s="1"/>
  <c r="N160" i="5" s="1"/>
  <c r="L170" i="5"/>
  <c r="M170" i="5" s="1"/>
  <c r="N170" i="5" s="1"/>
  <c r="L141" i="5"/>
  <c r="M141" i="5" s="1"/>
  <c r="N141" i="5" s="1"/>
  <c r="L195" i="5"/>
  <c r="M195" i="5" s="1"/>
  <c r="N195" i="5" s="1"/>
  <c r="L194" i="5"/>
  <c r="M194" i="5" s="1"/>
  <c r="N194" i="5" s="1"/>
  <c r="L156" i="5"/>
  <c r="M156" i="5" s="1"/>
  <c r="N156" i="5" s="1"/>
  <c r="L72" i="5"/>
  <c r="M72" i="5" s="1"/>
  <c r="N72" i="5" s="1"/>
  <c r="L71" i="5"/>
  <c r="M71" i="5" s="1"/>
  <c r="N71" i="5" s="1"/>
  <c r="L42" i="5"/>
  <c r="M42" i="5" s="1"/>
  <c r="N42" i="5" s="1"/>
  <c r="L163" i="5"/>
  <c r="M163" i="5" s="1"/>
  <c r="N163" i="5" s="1"/>
  <c r="L69" i="5"/>
  <c r="M69" i="5" s="1"/>
  <c r="N69" i="5" s="1"/>
  <c r="L134" i="5"/>
  <c r="M134" i="5" s="1"/>
  <c r="N134" i="5" s="1"/>
  <c r="L154" i="5"/>
  <c r="M154" i="5" s="1"/>
  <c r="N154" i="5" s="1"/>
  <c r="L58" i="5"/>
  <c r="M58" i="5" s="1"/>
  <c r="N58" i="5" s="1"/>
  <c r="L189" i="5"/>
  <c r="M189" i="5" s="1"/>
  <c r="N189" i="5" s="1"/>
  <c r="L188" i="5"/>
  <c r="M188" i="5" s="1"/>
  <c r="N188" i="5" s="1"/>
  <c r="L131" i="5"/>
  <c r="M131" i="5" s="1"/>
  <c r="N131" i="5" s="1"/>
  <c r="L130" i="5"/>
  <c r="M130" i="5" s="1"/>
  <c r="N130" i="5" s="1"/>
  <c r="L127" i="5"/>
  <c r="M127" i="5" s="1"/>
  <c r="N127" i="5" s="1"/>
  <c r="L98" i="5"/>
  <c r="M98" i="5" s="1"/>
  <c r="N98" i="5" s="1"/>
  <c r="L124" i="5"/>
  <c r="M124" i="5" s="1"/>
  <c r="N124" i="5" s="1"/>
  <c r="L142" i="5"/>
  <c r="M142" i="5" s="1"/>
  <c r="N142" i="5" s="1"/>
  <c r="L86" i="5"/>
  <c r="M86" i="5" s="1"/>
  <c r="N86" i="5" s="1"/>
  <c r="L123" i="5"/>
  <c r="M123" i="5" s="1"/>
  <c r="N123" i="5" s="1"/>
  <c r="L11" i="5"/>
  <c r="M11" i="5" s="1"/>
  <c r="N11" i="5" s="1"/>
  <c r="L178" i="5"/>
  <c r="M178" i="5" s="1"/>
  <c r="N178" i="5" s="1"/>
  <c r="L150" i="5"/>
  <c r="M150" i="5" s="1"/>
  <c r="N150" i="5" s="1"/>
  <c r="L122" i="5"/>
  <c r="M122" i="5" s="1"/>
  <c r="N122" i="5" s="1"/>
  <c r="L94" i="5"/>
  <c r="M94" i="5" s="1"/>
  <c r="N94" i="5" s="1"/>
  <c r="L66" i="5"/>
  <c r="M66" i="5" s="1"/>
  <c r="N66" i="5" s="1"/>
  <c r="L38" i="5"/>
  <c r="M38" i="5" s="1"/>
  <c r="N38" i="5" s="1"/>
  <c r="L10" i="5"/>
  <c r="M10" i="5" s="1"/>
  <c r="N10" i="5" s="1"/>
  <c r="L155" i="5"/>
  <c r="M155" i="5" s="1"/>
  <c r="N155" i="5" s="1"/>
  <c r="L68" i="5"/>
  <c r="M68" i="5" s="1"/>
  <c r="N68" i="5" s="1"/>
  <c r="L95" i="5"/>
  <c r="M95" i="5" s="1"/>
  <c r="N95" i="5" s="1"/>
  <c r="L97" i="5"/>
  <c r="M97" i="5" s="1"/>
  <c r="N97" i="5" s="1"/>
  <c r="L152" i="5"/>
  <c r="M152" i="5" s="1"/>
  <c r="N152" i="5" s="1"/>
  <c r="L198" i="5"/>
  <c r="M198" i="5" s="1"/>
  <c r="N198" i="5" s="1"/>
  <c r="L179" i="5"/>
  <c r="M179" i="5" s="1"/>
  <c r="N179" i="5" s="1"/>
  <c r="L39" i="5"/>
  <c r="M39" i="5" s="1"/>
  <c r="N39" i="5" s="1"/>
  <c r="L191" i="5"/>
  <c r="M191" i="5" s="1"/>
  <c r="N191" i="5" s="1"/>
  <c r="L187" i="5"/>
  <c r="M187" i="5" s="1"/>
  <c r="N187" i="5" s="1"/>
  <c r="L158" i="5"/>
  <c r="L73" i="5"/>
  <c r="L99" i="5"/>
  <c r="M99" i="5" s="1"/>
  <c r="N99" i="5" s="1"/>
  <c r="L182" i="5"/>
  <c r="L125" i="5"/>
  <c r="M125" i="5" s="1"/>
  <c r="N125" i="5" s="1"/>
  <c r="L180" i="5"/>
  <c r="M180" i="5" s="1"/>
  <c r="N180" i="5" s="1"/>
  <c r="L96" i="5"/>
  <c r="M96" i="5" s="1"/>
  <c r="N96" i="5" s="1"/>
  <c r="L40" i="5"/>
  <c r="M40" i="5" s="1"/>
  <c r="N40" i="5" s="1"/>
  <c r="L12" i="5"/>
  <c r="M12" i="5" s="1"/>
  <c r="N12" i="5" s="1"/>
  <c r="L114" i="5"/>
  <c r="M114" i="5" s="1"/>
  <c r="N114" i="5" s="1"/>
  <c r="L30" i="5"/>
  <c r="M30" i="5" s="1"/>
  <c r="N30" i="5" s="1"/>
  <c r="L151" i="5"/>
  <c r="L67" i="5"/>
  <c r="M67" i="5" s="1"/>
  <c r="N67" i="5" s="1"/>
  <c r="L190" i="5"/>
  <c r="M190" i="5" s="1"/>
  <c r="N190" i="5" s="1"/>
  <c r="L159" i="5"/>
  <c r="M159" i="5" s="1"/>
  <c r="N159" i="5" s="1"/>
  <c r="L17" i="5"/>
  <c r="M17" i="5" s="1"/>
  <c r="N17" i="5" s="1"/>
  <c r="L183" i="5"/>
  <c r="M183" i="5" s="1"/>
  <c r="N183" i="5" s="1"/>
  <c r="L126" i="5"/>
  <c r="M126" i="5" s="1"/>
  <c r="N126" i="5" s="1"/>
  <c r="L181" i="5"/>
  <c r="M181" i="5" s="1"/>
  <c r="N181" i="5" s="1"/>
  <c r="L85" i="5"/>
  <c r="M85" i="5" s="1"/>
  <c r="N85" i="5" s="1"/>
  <c r="L57" i="5"/>
  <c r="M57" i="5" s="1"/>
  <c r="N57" i="5" s="1"/>
  <c r="L168" i="5"/>
  <c r="M168" i="5" s="1"/>
  <c r="N168" i="5" s="1"/>
  <c r="L84" i="5"/>
  <c r="M84" i="5" s="1"/>
  <c r="N84" i="5" s="1"/>
  <c r="L28" i="5"/>
  <c r="M28" i="5" s="1"/>
  <c r="N28" i="5" s="1"/>
  <c r="L149" i="5"/>
  <c r="M149" i="5" s="1"/>
  <c r="N149" i="5" s="1"/>
  <c r="L65" i="5"/>
  <c r="M65" i="5" s="1"/>
  <c r="N65" i="5" s="1"/>
  <c r="L9" i="5"/>
  <c r="M9" i="5" s="1"/>
  <c r="N9" i="5" s="1"/>
  <c r="L139" i="5"/>
  <c r="M139" i="5" s="1"/>
  <c r="N139" i="5" s="1"/>
  <c r="L83" i="5"/>
  <c r="M83" i="5" s="1"/>
  <c r="N83" i="5" s="1"/>
  <c r="L148" i="5"/>
  <c r="M148" i="5" s="1"/>
  <c r="N148" i="5" s="1"/>
  <c r="L92" i="5"/>
  <c r="M92" i="5" s="1"/>
  <c r="N92" i="5" s="1"/>
  <c r="L8" i="5"/>
  <c r="M8" i="5" s="1"/>
  <c r="N8" i="5" s="1"/>
  <c r="L82" i="5"/>
  <c r="M82" i="5" s="1"/>
  <c r="N82" i="5" s="1"/>
  <c r="L54" i="5"/>
  <c r="M54" i="5" s="1"/>
  <c r="N54" i="5" s="1"/>
  <c r="L147" i="5"/>
  <c r="M147" i="5" s="1"/>
  <c r="N147" i="5" s="1"/>
  <c r="L91" i="5"/>
  <c r="M91" i="5" s="1"/>
  <c r="N91" i="5" s="1"/>
  <c r="L35" i="5"/>
  <c r="M35" i="5" s="1"/>
  <c r="N35" i="5" s="1"/>
  <c r="L193" i="5"/>
  <c r="M193" i="5" s="1"/>
  <c r="N193" i="5" s="1"/>
  <c r="L137" i="5"/>
  <c r="M137" i="5" s="1"/>
  <c r="N137" i="5" s="1"/>
  <c r="L81" i="5"/>
  <c r="M81" i="5" s="1"/>
  <c r="N81" i="5" s="1"/>
  <c r="L25" i="5"/>
  <c r="M25" i="5" s="1"/>
  <c r="N25" i="5" s="1"/>
  <c r="L174" i="5"/>
  <c r="L118" i="5"/>
  <c r="M118" i="5" s="1"/>
  <c r="N118" i="5" s="1"/>
  <c r="L34" i="5"/>
  <c r="L136" i="5"/>
  <c r="M136" i="5" s="1"/>
  <c r="N136" i="5" s="1"/>
  <c r="L80" i="5"/>
  <c r="M80" i="5" s="1"/>
  <c r="N80" i="5" s="1"/>
  <c r="L173" i="5"/>
  <c r="L117" i="5"/>
  <c r="M117" i="5" s="1"/>
  <c r="N117" i="5" s="1"/>
  <c r="L33" i="5"/>
  <c r="M33" i="5" s="1"/>
  <c r="N33" i="5" s="1"/>
  <c r="L107" i="5"/>
  <c r="M107" i="5" s="1"/>
  <c r="N107" i="5" s="1"/>
  <c r="L51" i="5"/>
  <c r="M51" i="5" s="1"/>
  <c r="N51" i="5" s="1"/>
  <c r="L200" i="5"/>
  <c r="M200" i="5" s="1"/>
  <c r="N200" i="5" s="1"/>
  <c r="L32" i="5"/>
  <c r="M32" i="5" s="1"/>
  <c r="N32" i="5" s="1"/>
  <c r="L106" i="5"/>
  <c r="M106" i="5" s="1"/>
  <c r="N106" i="5" s="1"/>
  <c r="L78" i="5"/>
  <c r="M78" i="5" s="1"/>
  <c r="N78" i="5" s="1"/>
  <c r="L50" i="5"/>
  <c r="M50" i="5" s="1"/>
  <c r="N50" i="5" s="1"/>
  <c r="L22" i="5"/>
  <c r="M22" i="5" s="1"/>
  <c r="N22" i="5" s="1"/>
  <c r="L169" i="5"/>
  <c r="M169" i="5" s="1"/>
  <c r="N169" i="5" s="1"/>
  <c r="L140" i="5"/>
  <c r="M140" i="5" s="1"/>
  <c r="N140" i="5" s="1"/>
  <c r="L93" i="5"/>
  <c r="M93" i="5" s="1"/>
  <c r="N93" i="5" s="1"/>
  <c r="L167" i="5"/>
  <c r="M167" i="5" s="1"/>
  <c r="N167" i="5" s="1"/>
  <c r="L55" i="5"/>
  <c r="M55" i="5" s="1"/>
  <c r="N55" i="5" s="1"/>
  <c r="L36" i="5"/>
  <c r="M36" i="5" s="1"/>
  <c r="N36" i="5" s="1"/>
  <c r="L138" i="5"/>
  <c r="M138" i="5" s="1"/>
  <c r="N138" i="5" s="1"/>
  <c r="L7" i="5"/>
  <c r="M7" i="5" s="1"/>
  <c r="N7" i="5" s="1"/>
  <c r="L62" i="5"/>
  <c r="M62" i="5" s="1"/>
  <c r="N62" i="5" s="1"/>
  <c r="L61" i="5"/>
  <c r="M61" i="5" s="1"/>
  <c r="N61" i="5" s="1"/>
  <c r="L116" i="5"/>
  <c r="M116" i="5" s="1"/>
  <c r="N116" i="5" s="1"/>
  <c r="L199" i="5"/>
  <c r="L31" i="5"/>
  <c r="M31" i="5" s="1"/>
  <c r="N31" i="5" s="1"/>
  <c r="L105" i="5"/>
  <c r="M105" i="5" s="1"/>
  <c r="N105" i="5" s="1"/>
  <c r="L77" i="5"/>
  <c r="M77" i="5" s="1"/>
  <c r="N77" i="5" s="1"/>
  <c r="L49" i="5"/>
  <c r="M49" i="5" s="1"/>
  <c r="N49" i="5" s="1"/>
  <c r="L21" i="5"/>
  <c r="M21" i="5" s="1"/>
  <c r="N21" i="5" s="1"/>
  <c r="L113" i="5"/>
  <c r="M113" i="5" s="1"/>
  <c r="N113" i="5" s="1"/>
  <c r="L29" i="5"/>
  <c r="M29" i="5" s="1"/>
  <c r="N29" i="5" s="1"/>
  <c r="L112" i="5"/>
  <c r="M112" i="5" s="1"/>
  <c r="N112" i="5" s="1"/>
  <c r="L56" i="5"/>
  <c r="M56" i="5" s="1"/>
  <c r="N56" i="5" s="1"/>
  <c r="L177" i="5"/>
  <c r="M177" i="5" s="1"/>
  <c r="N177" i="5" s="1"/>
  <c r="L121" i="5"/>
  <c r="M121" i="5" s="1"/>
  <c r="N121" i="5" s="1"/>
  <c r="L37" i="5"/>
  <c r="M37" i="5" s="1"/>
  <c r="N37" i="5" s="1"/>
  <c r="L111" i="5"/>
  <c r="M111" i="5" s="1"/>
  <c r="N111" i="5" s="1"/>
  <c r="L27" i="5"/>
  <c r="M27" i="5" s="1"/>
  <c r="N27" i="5" s="1"/>
  <c r="L176" i="5"/>
  <c r="M176" i="5" s="1"/>
  <c r="N176" i="5" s="1"/>
  <c r="L120" i="5"/>
  <c r="M120" i="5" s="1"/>
  <c r="N120" i="5" s="1"/>
  <c r="L64" i="5"/>
  <c r="M64" i="5" s="1"/>
  <c r="N64" i="5" s="1"/>
  <c r="L110" i="5"/>
  <c r="M110" i="5" s="1"/>
  <c r="N110" i="5" s="1"/>
  <c r="L26" i="5"/>
  <c r="M26" i="5" s="1"/>
  <c r="N26" i="5" s="1"/>
  <c r="L175" i="5"/>
  <c r="M175" i="5" s="1"/>
  <c r="N175" i="5" s="1"/>
  <c r="L119" i="5"/>
  <c r="M119" i="5" s="1"/>
  <c r="N119" i="5" s="1"/>
  <c r="L63" i="5"/>
  <c r="M63" i="5" s="1"/>
  <c r="N63" i="5" s="1"/>
  <c r="L109" i="5"/>
  <c r="M109" i="5" s="1"/>
  <c r="N109" i="5" s="1"/>
  <c r="L53" i="5"/>
  <c r="M53" i="5" s="1"/>
  <c r="N53" i="5" s="1"/>
  <c r="L146" i="5"/>
  <c r="M146" i="5" s="1"/>
  <c r="N146" i="5" s="1"/>
  <c r="L90" i="5"/>
  <c r="M90" i="5" s="1"/>
  <c r="N90" i="5" s="1"/>
  <c r="L6" i="5"/>
  <c r="M6" i="5" s="1"/>
  <c r="N6" i="5" s="1"/>
  <c r="L164" i="5"/>
  <c r="M164" i="5" s="1"/>
  <c r="N164" i="5" s="1"/>
  <c r="L108" i="5"/>
  <c r="M108" i="5" s="1"/>
  <c r="N108" i="5" s="1"/>
  <c r="L201" i="5"/>
  <c r="M201" i="5" s="1"/>
  <c r="N201" i="5" s="1"/>
  <c r="L145" i="5"/>
  <c r="I89" i="5"/>
  <c r="L5" i="5"/>
  <c r="M5" i="5" s="1"/>
  <c r="N5" i="5" s="1"/>
  <c r="L79" i="5"/>
  <c r="M79" i="5" s="1"/>
  <c r="N79" i="5" s="1"/>
  <c r="L23" i="5"/>
  <c r="M23" i="5" s="1"/>
  <c r="N23" i="5" s="1"/>
  <c r="L172" i="5"/>
  <c r="M172" i="5" s="1"/>
  <c r="N172" i="5" s="1"/>
  <c r="L144" i="5"/>
  <c r="M144" i="5" s="1"/>
  <c r="N144" i="5" s="1"/>
  <c r="I88" i="5"/>
  <c r="L60" i="5"/>
  <c r="M60" i="5" s="1"/>
  <c r="N60" i="5" s="1"/>
  <c r="L4" i="5"/>
  <c r="M4" i="5" s="1"/>
  <c r="N4" i="5" s="1"/>
  <c r="L171" i="5"/>
  <c r="M171" i="5" s="1"/>
  <c r="N171" i="5" s="1"/>
  <c r="L143" i="5"/>
  <c r="M143" i="5" s="1"/>
  <c r="N143" i="5" s="1"/>
  <c r="L115" i="5"/>
  <c r="M115" i="5" s="1"/>
  <c r="N115" i="5" s="1"/>
  <c r="I87" i="5"/>
  <c r="L59" i="5"/>
  <c r="L3" i="5"/>
  <c r="M3" i="5" s="1"/>
  <c r="N3" i="5" s="1"/>
  <c r="I114" i="5"/>
  <c r="I86" i="5"/>
  <c r="L104" i="5"/>
  <c r="M104" i="5" s="1"/>
  <c r="N104" i="5" s="1"/>
  <c r="L76" i="5"/>
  <c r="M76" i="5" s="1"/>
  <c r="N76" i="5" s="1"/>
  <c r="L48" i="5"/>
  <c r="M48" i="5" s="1"/>
  <c r="N48" i="5" s="1"/>
  <c r="L20" i="5"/>
  <c r="M20" i="5" s="1"/>
  <c r="N20" i="5" s="1"/>
  <c r="L89" i="5"/>
  <c r="M89" i="5" s="1"/>
  <c r="N89" i="5" s="1"/>
  <c r="L88" i="5"/>
  <c r="M88" i="5" s="1"/>
  <c r="N88" i="5" s="1"/>
  <c r="L87" i="5"/>
  <c r="M87" i="5" s="1"/>
  <c r="N87" i="5" s="1"/>
  <c r="I44" i="5"/>
  <c r="I128" i="5"/>
  <c r="I16" i="5"/>
  <c r="I117" i="5"/>
  <c r="I115" i="5"/>
  <c r="I100" i="5"/>
  <c r="I116" i="5"/>
  <c r="I156" i="5"/>
  <c r="I113" i="5"/>
  <c r="I184" i="5"/>
  <c r="I72" i="5"/>
  <c r="I140" i="5"/>
  <c r="I112" i="5"/>
  <c r="I151" i="5"/>
  <c r="I66" i="5"/>
  <c r="I11" i="5"/>
  <c r="I94" i="5"/>
  <c r="I173" i="5"/>
  <c r="I200" i="5"/>
  <c r="I4" i="5"/>
  <c r="I198" i="5"/>
  <c r="I170" i="5"/>
  <c r="I142" i="5"/>
  <c r="I58" i="5"/>
  <c r="I30" i="5"/>
  <c r="I39" i="5"/>
  <c r="I38" i="5"/>
  <c r="I201" i="5"/>
  <c r="I56" i="5"/>
  <c r="I178" i="5"/>
  <c r="I145" i="5"/>
  <c r="I143" i="5"/>
  <c r="I57" i="5"/>
  <c r="I168" i="5"/>
  <c r="I123" i="5"/>
  <c r="I5" i="5"/>
  <c r="I172" i="5"/>
  <c r="I199" i="5"/>
  <c r="I29" i="5"/>
  <c r="I67" i="5"/>
  <c r="I59" i="5"/>
  <c r="I28" i="5"/>
  <c r="I179" i="5"/>
  <c r="I150" i="5"/>
  <c r="I61" i="5"/>
  <c r="I60" i="5"/>
  <c r="I3" i="5"/>
  <c r="I197" i="5"/>
  <c r="I95" i="5"/>
  <c r="I10" i="5"/>
  <c r="I144" i="5"/>
  <c r="I171" i="5"/>
  <c r="I141" i="5"/>
  <c r="I122" i="5"/>
  <c r="I33" i="5"/>
  <c r="I32" i="5"/>
  <c r="I31" i="5"/>
  <c r="I169" i="5"/>
  <c r="I196" i="5"/>
  <c r="I177" i="5"/>
  <c r="I176" i="5"/>
  <c r="I147" i="5"/>
  <c r="I174" i="5"/>
  <c r="I167" i="5"/>
  <c r="I23" i="5"/>
  <c r="I93" i="5"/>
  <c r="I148" i="5"/>
  <c r="I175" i="5"/>
  <c r="I62" i="5"/>
  <c r="I111" i="5"/>
  <c r="I138" i="5"/>
  <c r="I81" i="5"/>
  <c r="I80" i="5"/>
  <c r="I190" i="5"/>
  <c r="I78" i="5"/>
  <c r="I50" i="5"/>
  <c r="I22" i="5"/>
  <c r="I92" i="5"/>
  <c r="I63" i="5"/>
  <c r="I146" i="5"/>
  <c r="I83" i="5"/>
  <c r="I82" i="5"/>
  <c r="I109" i="5"/>
  <c r="I136" i="5"/>
  <c r="I51" i="5"/>
  <c r="I189" i="5"/>
  <c r="I77" i="5"/>
  <c r="I21" i="5"/>
  <c r="I121" i="5"/>
  <c r="I120" i="5"/>
  <c r="I35" i="5"/>
  <c r="I118" i="5"/>
  <c r="I195" i="5"/>
  <c r="I194" i="5"/>
  <c r="I166" i="5"/>
  <c r="I192" i="5"/>
  <c r="I108" i="5"/>
  <c r="I79" i="5"/>
  <c r="I133" i="5"/>
  <c r="I105" i="5"/>
  <c r="I49" i="5"/>
  <c r="I188" i="5"/>
  <c r="I160" i="5"/>
  <c r="I132" i="5"/>
  <c r="I104" i="5"/>
  <c r="I76" i="5"/>
  <c r="I48" i="5"/>
  <c r="I20" i="5"/>
  <c r="I149" i="5"/>
  <c r="I8" i="5"/>
  <c r="I90" i="5"/>
  <c r="I54" i="5"/>
  <c r="I193" i="5"/>
  <c r="I25" i="5"/>
  <c r="I191" i="5"/>
  <c r="I134" i="5"/>
  <c r="I159" i="5"/>
  <c r="I186" i="5"/>
  <c r="I158" i="5"/>
  <c r="I130" i="5"/>
  <c r="I102" i="5"/>
  <c r="I74" i="5"/>
  <c r="I46" i="5"/>
  <c r="I18" i="5"/>
  <c r="I9" i="5"/>
  <c r="I7" i="5"/>
  <c r="I6" i="5"/>
  <c r="I55" i="5"/>
  <c r="I165" i="5"/>
  <c r="I164" i="5"/>
  <c r="I163" i="5"/>
  <c r="I106" i="5"/>
  <c r="I161" i="5"/>
  <c r="I187" i="5"/>
  <c r="I131" i="5"/>
  <c r="I103" i="5"/>
  <c r="I75" i="5"/>
  <c r="I47" i="5"/>
  <c r="I19" i="5"/>
  <c r="I181" i="5"/>
  <c r="I153" i="5"/>
  <c r="I125" i="5"/>
  <c r="I97" i="5"/>
  <c r="I69" i="5"/>
  <c r="I41" i="5"/>
  <c r="I13" i="5"/>
  <c r="I185" i="5"/>
  <c r="I157" i="5"/>
  <c r="I129" i="5"/>
  <c r="I101" i="5"/>
  <c r="I73" i="5"/>
  <c r="I45" i="5"/>
  <c r="I17" i="5"/>
  <c r="I37" i="5"/>
  <c r="I64" i="5"/>
  <c r="I119" i="5"/>
  <c r="I34" i="5"/>
  <c r="I27" i="5"/>
  <c r="I110" i="5"/>
  <c r="I53" i="5"/>
  <c r="I24" i="5"/>
  <c r="I107" i="5"/>
  <c r="I180" i="5"/>
  <c r="I124" i="5"/>
  <c r="I68" i="5"/>
  <c r="I12" i="5"/>
  <c r="I183" i="5"/>
  <c r="I155" i="5"/>
  <c r="I127" i="5"/>
  <c r="I99" i="5"/>
  <c r="I71" i="5"/>
  <c r="I43" i="5"/>
  <c r="I15" i="5"/>
  <c r="I65" i="5"/>
  <c r="I36" i="5"/>
  <c r="I91" i="5"/>
  <c r="I139" i="5"/>
  <c r="I26" i="5"/>
  <c r="I137" i="5"/>
  <c r="I52" i="5"/>
  <c r="I135" i="5"/>
  <c r="I162" i="5"/>
  <c r="I152" i="5"/>
  <c r="I96" i="5"/>
  <c r="I40" i="5"/>
  <c r="I182" i="5"/>
  <c r="I154" i="5"/>
  <c r="I126" i="5"/>
  <c r="I98" i="5"/>
  <c r="I70" i="5"/>
  <c r="I42" i="5"/>
  <c r="I14" i="5"/>
  <c r="I2" i="5"/>
  <c r="S186" i="8" l="1"/>
  <c r="V1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0A1100-95E5-4FCB-BC71-7680003C70F1}" keepAlive="1" name="Zapytanie — rezerwacje" description="Połączenie z zapytaniem „rezerwacje” w skoroszycie." type="5" refreshedVersion="0" background="1">
    <dbPr connection="Provider=Microsoft.Mashup.OleDb.1;Data Source=$Workbook$;Location=rezerwacje;Extended Properties=&quot;&quot;" command="SELECT * FROM [rezerwacje]"/>
  </connection>
</connections>
</file>

<file path=xl/sharedStrings.xml><?xml version="1.0" encoding="utf-8"?>
<sst xmlns="http://schemas.openxmlformats.org/spreadsheetml/2006/main" count="3280" uniqueCount="209">
  <si>
    <t>Lp.</t>
  </si>
  <si>
    <t>Imię</t>
  </si>
  <si>
    <t>Nazwisko</t>
  </si>
  <si>
    <t>Typ pokoju</t>
  </si>
  <si>
    <t xml:space="preserve">Przyjazd </t>
  </si>
  <si>
    <t>Wyjazd</t>
  </si>
  <si>
    <t>Mateusz</t>
  </si>
  <si>
    <t>Kamiński</t>
  </si>
  <si>
    <t>Weronika</t>
  </si>
  <si>
    <t>Kołodziejska</t>
  </si>
  <si>
    <t>Jan</t>
  </si>
  <si>
    <t>Kowalczyk</t>
  </si>
  <si>
    <t>Monika</t>
  </si>
  <si>
    <t>Górska</t>
  </si>
  <si>
    <t>Agnieszka</t>
  </si>
  <si>
    <t>Koniec</t>
  </si>
  <si>
    <t>Adrian</t>
  </si>
  <si>
    <t>Ziomek</t>
  </si>
  <si>
    <t>Karolina</t>
  </si>
  <si>
    <t>Jabłońska</t>
  </si>
  <si>
    <t>Marcin</t>
  </si>
  <si>
    <t>Zając</t>
  </si>
  <si>
    <t>Kamińska</t>
  </si>
  <si>
    <t>Michał</t>
  </si>
  <si>
    <t>Wiśniowiecki</t>
  </si>
  <si>
    <t>Kotlińska</t>
  </si>
  <si>
    <t>Anna</t>
  </si>
  <si>
    <t>Wiśniewska</t>
  </si>
  <si>
    <t>Pawłowski</t>
  </si>
  <si>
    <t>Katarzyna</t>
  </si>
  <si>
    <t>Figurska</t>
  </si>
  <si>
    <t>Kaktus</t>
  </si>
  <si>
    <t>Barbara</t>
  </si>
  <si>
    <t>Krawczyk</t>
  </si>
  <si>
    <t>Andrzej</t>
  </si>
  <si>
    <t>Kowal</t>
  </si>
  <si>
    <t>Rafał</t>
  </si>
  <si>
    <t>Lewandowski</t>
  </si>
  <si>
    <t>Ewa</t>
  </si>
  <si>
    <t>Rutkowska</t>
  </si>
  <si>
    <t>Zofia</t>
  </si>
  <si>
    <t>Gumilak</t>
  </si>
  <si>
    <t>Lewandowska</t>
  </si>
  <si>
    <t>Piotr</t>
  </si>
  <si>
    <t>Kominski</t>
  </si>
  <si>
    <t>Magdalena</t>
  </si>
  <si>
    <t>Wiercioch</t>
  </si>
  <si>
    <t>Joanna</t>
  </si>
  <si>
    <t>Wójcik</t>
  </si>
  <si>
    <t>Łukasz</t>
  </si>
  <si>
    <t>Michalski</t>
  </si>
  <si>
    <t>Krzysztof</t>
  </si>
  <si>
    <t>Grabowski</t>
  </si>
  <si>
    <t>Piotrowski</t>
  </si>
  <si>
    <t>Natalia</t>
  </si>
  <si>
    <t>Wojciechowska</t>
  </si>
  <si>
    <t>Rucka</t>
  </si>
  <si>
    <t>Król</t>
  </si>
  <si>
    <t>Pitek</t>
  </si>
  <si>
    <t>Zajączkowska</t>
  </si>
  <si>
    <t>Wojcieszek</t>
  </si>
  <si>
    <t>Kołodziej</t>
  </si>
  <si>
    <t>Pyć</t>
  </si>
  <si>
    <t>Lowelas</t>
  </si>
  <si>
    <t>Woźniak</t>
  </si>
  <si>
    <t>Jakub</t>
  </si>
  <si>
    <t>Kaminski</t>
  </si>
  <si>
    <t>Szlam</t>
  </si>
  <si>
    <t>Wojna</t>
  </si>
  <si>
    <t>Lawa</t>
  </si>
  <si>
    <t>Woźniacka</t>
  </si>
  <si>
    <t>Wójcki</t>
  </si>
  <si>
    <t>Kozłowska</t>
  </si>
  <si>
    <t>Aleksandra</t>
  </si>
  <si>
    <t>Wiśnia</t>
  </si>
  <si>
    <t>Wojnarowski</t>
  </si>
  <si>
    <t>Dąbrowska</t>
  </si>
  <si>
    <t>Szymańska</t>
  </si>
  <si>
    <t>Wojciaszek</t>
  </si>
  <si>
    <t>Bobrowska</t>
  </si>
  <si>
    <t>Janeczek</t>
  </si>
  <si>
    <t>Kwiatkowska</t>
  </si>
  <si>
    <t>Wenerski</t>
  </si>
  <si>
    <t>Dąbrowski</t>
  </si>
  <si>
    <t>Marek</t>
  </si>
  <si>
    <t>Zajączek</t>
  </si>
  <si>
    <t>Sylwia</t>
  </si>
  <si>
    <t>Kozioł</t>
  </si>
  <si>
    <t>Koński</t>
  </si>
  <si>
    <t>Szymanowska</t>
  </si>
  <si>
    <t>Woźnicka</t>
  </si>
  <si>
    <t>Mazurek</t>
  </si>
  <si>
    <t>Krawiec</t>
  </si>
  <si>
    <t>Krolska</t>
  </si>
  <si>
    <t>Jabłczyńska</t>
  </si>
  <si>
    <t>Kawalerska</t>
  </si>
  <si>
    <t xml:space="preserve">Baranowska </t>
  </si>
  <si>
    <t>Krokus</t>
  </si>
  <si>
    <t>Krawiruk</t>
  </si>
  <si>
    <t>Kierwiński</t>
  </si>
  <si>
    <t>Szyszko</t>
  </si>
  <si>
    <t>Woroch</t>
  </si>
  <si>
    <t>Paweł</t>
  </si>
  <si>
    <t>Kołodziejczyk</t>
  </si>
  <si>
    <t>Witych</t>
  </si>
  <si>
    <t>Inka</t>
  </si>
  <si>
    <t>Cytek</t>
  </si>
  <si>
    <t>Zalatana</t>
  </si>
  <si>
    <t>Mazur</t>
  </si>
  <si>
    <t>Wieczorek</t>
  </si>
  <si>
    <t>Tomasz</t>
  </si>
  <si>
    <t>Komorek</t>
  </si>
  <si>
    <t>Widera</t>
  </si>
  <si>
    <t>Raźna</t>
  </si>
  <si>
    <t>Michalska</t>
  </si>
  <si>
    <t>Kmieć</t>
  </si>
  <si>
    <t>Darmach</t>
  </si>
  <si>
    <t>Gloster</t>
  </si>
  <si>
    <t>Maria</t>
  </si>
  <si>
    <t>Jankowska</t>
  </si>
  <si>
    <t>Janiszek</t>
  </si>
  <si>
    <t>Zielińska</t>
  </si>
  <si>
    <t>Sikora</t>
  </si>
  <si>
    <t>Kiliański</t>
  </si>
  <si>
    <t>Gerber</t>
  </si>
  <si>
    <t>Lorek</t>
  </si>
  <si>
    <t>Watacha</t>
  </si>
  <si>
    <t>Sikorka</t>
  </si>
  <si>
    <t>Wieczorkowska</t>
  </si>
  <si>
    <t>Kita</t>
  </si>
  <si>
    <t>Sulima</t>
  </si>
  <si>
    <t>Styś</t>
  </si>
  <si>
    <t>Grzybek</t>
  </si>
  <si>
    <t>Romb</t>
  </si>
  <si>
    <t>Puzio</t>
  </si>
  <si>
    <t>Zalech</t>
  </si>
  <si>
    <t>Suski</t>
  </si>
  <si>
    <t>Wazon</t>
  </si>
  <si>
    <t>Komuszy</t>
  </si>
  <si>
    <t>Wojaszek</t>
  </si>
  <si>
    <t>Ruda</t>
  </si>
  <si>
    <t>Wojtera</t>
  </si>
  <si>
    <t>Czech</t>
  </si>
  <si>
    <t>Wołos</t>
  </si>
  <si>
    <t>Skorek</t>
  </si>
  <si>
    <t>Wojas</t>
  </si>
  <si>
    <t>Lenic</t>
  </si>
  <si>
    <t>Nowacki</t>
  </si>
  <si>
    <t>Rzeźniczak</t>
  </si>
  <si>
    <t>Milewicz</t>
  </si>
  <si>
    <t>Kopeć</t>
  </si>
  <si>
    <t>Zielonka</t>
  </si>
  <si>
    <t>Strama</t>
  </si>
  <si>
    <t>Wardzynski</t>
  </si>
  <si>
    <t>Zaton</t>
  </si>
  <si>
    <t>Sosek</t>
  </si>
  <si>
    <t>Rostropnik</t>
  </si>
  <si>
    <t>Pawłowska</t>
  </si>
  <si>
    <t>Kowski</t>
  </si>
  <si>
    <t>Lemiesz</t>
  </si>
  <si>
    <t>Gronski</t>
  </si>
  <si>
    <t>Wycisz</t>
  </si>
  <si>
    <t>Piotrek</t>
  </si>
  <si>
    <t>Bober</t>
  </si>
  <si>
    <t>Staroń</t>
  </si>
  <si>
    <t>Grzegorz</t>
  </si>
  <si>
    <t>Wolf</t>
  </si>
  <si>
    <t>Bania</t>
  </si>
  <si>
    <t>Krasek</t>
  </si>
  <si>
    <t>Słomka</t>
  </si>
  <si>
    <t>Ryżana</t>
  </si>
  <si>
    <t>Mazowiecka</t>
  </si>
  <si>
    <t>Lisek</t>
  </si>
  <si>
    <t>Zydel</t>
  </si>
  <si>
    <t>Szaman</t>
  </si>
  <si>
    <t>Emska</t>
  </si>
  <si>
    <t>Nowak</t>
  </si>
  <si>
    <t>Kumor</t>
  </si>
  <si>
    <t>Wiercińska</t>
  </si>
  <si>
    <t>Kusy</t>
  </si>
  <si>
    <t>Koło</t>
  </si>
  <si>
    <t>Zych</t>
  </si>
  <si>
    <t>Panek</t>
  </si>
  <si>
    <t>Wnuk</t>
  </si>
  <si>
    <t>Zaleśna</t>
  </si>
  <si>
    <t>Jankowski</t>
  </si>
  <si>
    <t>Etykiety wierszy</t>
  </si>
  <si>
    <t>Suma końcowa</t>
  </si>
  <si>
    <t>Liczba z Typ pokoju</t>
  </si>
  <si>
    <t>Liczba pokoi</t>
  </si>
  <si>
    <t>Cena pokój/doba zł</t>
  </si>
  <si>
    <t>Ilość dni</t>
  </si>
  <si>
    <t>Cena</t>
  </si>
  <si>
    <t>C za dobe</t>
  </si>
  <si>
    <t>Liczba z Nazwisko</t>
  </si>
  <si>
    <t>Suma z Cena</t>
  </si>
  <si>
    <t>a)</t>
  </si>
  <si>
    <t>b)</t>
  </si>
  <si>
    <t>Tyg przyjazdu</t>
  </si>
  <si>
    <t>maj</t>
  </si>
  <si>
    <t>cze</t>
  </si>
  <si>
    <t>lip</t>
  </si>
  <si>
    <t>sie</t>
  </si>
  <si>
    <t>Suma z Typ pokoju</t>
  </si>
  <si>
    <t>Ilość dni roboczych</t>
  </si>
  <si>
    <t>Ilość wekendów</t>
  </si>
  <si>
    <t>Cena pobytu bez rabatu</t>
  </si>
  <si>
    <t>Cena pobytu z rabatem</t>
  </si>
  <si>
    <t>Suma z Cena pobytu z rabatem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</si>
</sst>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  <xf numFmtId="14" fontId="0" fillId="3" borderId="6" xfId="0" applyNumberFormat="1" applyFont="1" applyFill="1" applyBorder="1"/>
    <xf numFmtId="0" fontId="0" fillId="0" borderId="4" xfId="0" applyFont="1" applyBorder="1"/>
    <xf numFmtId="0" fontId="0" fillId="0" borderId="5" xfId="0" applyNumberFormat="1" applyFont="1" applyBorder="1"/>
    <xf numFmtId="0" fontId="0" fillId="0" borderId="5" xfId="0" applyFont="1" applyBorder="1"/>
    <xf numFmtId="14" fontId="0" fillId="0" borderId="5" xfId="0" applyNumberFormat="1" applyFont="1" applyBorder="1"/>
    <xf numFmtId="14" fontId="0" fillId="0" borderId="6" xfId="0" applyNumberFormat="1" applyFont="1" applyBorder="1"/>
    <xf numFmtId="0" fontId="0" fillId="0" borderId="2" xfId="0" applyNumberFormat="1" applyFont="1" applyBorder="1"/>
    <xf numFmtId="14" fontId="0" fillId="0" borderId="2" xfId="0" applyNumberFormat="1" applyFont="1" applyBorder="1"/>
    <xf numFmtId="14" fontId="0" fillId="0" borderId="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7" xfId="0" applyFont="1" applyBorder="1" applyAlignment="1">
      <alignment horizontal="left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0" xfId="0" applyFont="1" applyFill="1" applyBorder="1"/>
    <xf numFmtId="0" fontId="0" fillId="3" borderId="1" xfId="0" applyFont="1" applyFill="1" applyBorder="1"/>
    <xf numFmtId="0" fontId="0" fillId="3" borderId="2" xfId="0" applyNumberFormat="1" applyFont="1" applyFill="1" applyBorder="1"/>
    <xf numFmtId="0" fontId="0" fillId="3" borderId="2" xfId="0" applyFont="1" applyFill="1" applyBorder="1"/>
    <xf numFmtId="14" fontId="0" fillId="3" borderId="2" xfId="0" applyNumberFormat="1" applyFont="1" applyFill="1" applyBorder="1"/>
    <xf numFmtId="14" fontId="0" fillId="3" borderId="3" xfId="0" applyNumberFormat="1" applyFont="1" applyFill="1" applyBorder="1"/>
    <xf numFmtId="2" fontId="0" fillId="0" borderId="0" xfId="0" applyNumberFormat="1"/>
  </cellXfs>
  <cellStyles count="1">
    <cellStyle name="Normalny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[zad4.xlsx]4.5!Tabela przestawna3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zakwaterowanych w danych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'4.5'!$I$2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'4.5'!$H$3:$H$7</c:f>
              <c:strCache>
                <c:ptCount val="4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</c:strCache>
            </c:strRef>
          </c:cat>
          <c:val>
            <c:numRef>
              <c:f>'4.5'!$I$3:$I$7</c:f>
              <c:numCache>
                <c:formatCode>General</c:formatCode>
                <c:ptCount val="4"/>
                <c:pt idx="0">
                  <c:v>89</c:v>
                </c:pt>
                <c:pt idx="1">
                  <c:v>128</c:v>
                </c:pt>
                <c:pt idx="2">
                  <c:v>119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F-4296-B217-2B0E109029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1753184"/>
        <c:axId val="130805119"/>
      </c:barChart>
      <c:catAx>
        <c:axId val="28175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mieisące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0805119"/>
        <c:crosses val="autoZero"/>
        <c:auto val="1"/>
        <c:lblAlgn val="ctr"/>
        <c:lblOffset val="100"/>
        <c:noMultiLvlLbl val="0"/>
      </c:catAx>
      <c:valAx>
        <c:axId val="13080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zakwaterowanych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175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270867</xdr:colOff>
      <xdr:row>11</xdr:row>
      <xdr:rowOff>66080</xdr:rowOff>
    </xdr:from>
    <xdr:to>
      <xdr:col>15</xdr:col>
      <xdr:colOff>26789</xdr:colOff>
      <xdr:row>25</xdr:row>
      <xdr:rowOff>142280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71DDFD5-5BD6-049C-C9E3-2D61CE5C3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90.759796296297" createdVersion="8" refreshedVersion="8" minRefreshableVersion="3" recordCount="200" xr:uid="{089389CD-DE11-4E9F-8A56-82C2A5909A25}">
  <cacheSource type="worksheet">
    <worksheetSource ref="A1:F201" sheet="4.1"/>
  </cacheSource>
  <cacheFields count="6">
    <cacheField name="1" numFmtId="0">
      <sharedItems containsSemiMixedTypes="0" containsString="0" containsNumber="1" containsInteger="1" minValue="1" maxValue="200"/>
    </cacheField>
    <cacheField name="Imię" numFmtId="0">
      <sharedItems count="30">
        <s v="Mateusz"/>
        <s v="Weronika"/>
        <s v="Jan"/>
        <s v="Monika"/>
        <s v="Agnieszka"/>
        <s v="Adrian"/>
        <s v="Karolina"/>
        <s v="Marcin"/>
        <s v="Michał"/>
        <s v="Anna"/>
        <s v="Katarzyna"/>
        <s v="Barbara"/>
        <s v="Andrzej"/>
        <s v="Rafał"/>
        <s v="Ewa"/>
        <s v="Zofia"/>
        <s v="Piotr"/>
        <s v="Magdalena"/>
        <s v="Joanna"/>
        <s v="Łukasz"/>
        <s v="Krzysztof"/>
        <s v="Natalia"/>
        <s v="Jakub"/>
        <s v="Aleksandra"/>
        <s v="Marek"/>
        <s v="Sylwia"/>
        <s v="Paweł"/>
        <s v="Tomasz"/>
        <s v="Maria"/>
        <s v="Grzegorz"/>
      </sharedItems>
    </cacheField>
    <cacheField name="Nazwisko" numFmtId="0">
      <sharedItems count="150">
        <s v="Kamiński"/>
        <s v="Kołodziejska"/>
        <s v="Kowalczyk"/>
        <s v="Górska"/>
        <s v="Koniec"/>
        <s v="Ziomek"/>
        <s v="Jabłońska"/>
        <s v="Zając"/>
        <s v="Kamińska"/>
        <s v="Wiśniowiecki"/>
        <s v="Kotlińska"/>
        <s v="Wiśniewska"/>
        <s v="Pawłowski"/>
        <s v="Figurska"/>
        <s v="Kaktus"/>
        <s v="Krawczyk"/>
        <s v="Kowal"/>
        <s v="Lewandowski"/>
        <s v="Rutkowska"/>
        <s v="Gumilak"/>
        <s v="Lewandowska"/>
        <s v="Kominski"/>
        <s v="Wiercioch"/>
        <s v="Wójcik"/>
        <s v="Michalski"/>
        <s v="Grabowski"/>
        <s v="Piotrowski"/>
        <s v="Wojciechowska"/>
        <s v="Rucka"/>
        <s v="Król"/>
        <s v="Pitek"/>
        <s v="Zajączkowska"/>
        <s v="Wojcieszek"/>
        <s v="Kołodziej"/>
        <s v="Pyć"/>
        <s v="Lowelas"/>
        <s v="Woźniak"/>
        <s v="Kaminski"/>
        <s v="Szlam"/>
        <s v="Wojna"/>
        <s v="Lawa"/>
        <s v="Woźniacka"/>
        <s v="Wójcki"/>
        <s v="Kozłowska"/>
        <s v="Wiśnia"/>
        <s v="Wojnarowski"/>
        <s v="Dąbrowska"/>
        <s v="Szymańska"/>
        <s v="Wojciaszek"/>
        <s v="Bobrowska"/>
        <s v="Janeczek"/>
        <s v="Kwiatkowska"/>
        <s v="Wenerski"/>
        <s v="Dąbrowski"/>
        <s v="Zajączek"/>
        <s v="Kozioł"/>
        <s v="Koński"/>
        <s v="Szymanowska"/>
        <s v="Woźnicka"/>
        <s v="Mazurek"/>
        <s v="Krawiec"/>
        <s v="Krolska"/>
        <s v="Jabłczyńska"/>
        <s v="Kawalerska"/>
        <s v="Baranowska "/>
        <s v="Krokus"/>
        <s v="Krawiruk"/>
        <s v="Kierwiński"/>
        <s v="Szyszko"/>
        <s v="Woroch"/>
        <s v="Kołodziejczyk"/>
        <s v="Witych"/>
        <s v="Inka"/>
        <s v="Cytek"/>
        <s v="Zalatana"/>
        <s v="Mazur"/>
        <s v="Wieczorek"/>
        <s v="Komorek"/>
        <s v="Widera"/>
        <s v="Raźna"/>
        <s v="Michalska"/>
        <s v="Kmieć"/>
        <s v="Darmach"/>
        <s v="Gloster"/>
        <s v="Jankowska"/>
        <s v="Janiszek"/>
        <s v="Zielińska"/>
        <s v="Sikora"/>
        <s v="Kiliański"/>
        <s v="Gerber"/>
        <s v="Lorek"/>
        <s v="Watacha"/>
        <s v="Sikorka"/>
        <s v="Wieczorkowska"/>
        <s v="Kita"/>
        <s v="Sulima"/>
        <s v="Styś"/>
        <s v="Grzybek"/>
        <s v="Romb"/>
        <s v="Puzio"/>
        <s v="Zalech"/>
        <s v="Suski"/>
        <s v="Wazon"/>
        <s v="Komuszy"/>
        <s v="Wojaszek"/>
        <s v="Ruda"/>
        <s v="Wojtera"/>
        <s v="Czech"/>
        <s v="Wołos"/>
        <s v="Skorek"/>
        <s v="Wojas"/>
        <s v="Lenic"/>
        <s v="Nowacki"/>
        <s v="Rzeźniczak"/>
        <s v="Milewicz"/>
        <s v="Kopeć"/>
        <s v="Zielonka"/>
        <s v="Strama"/>
        <s v="Wardzynski"/>
        <s v="Zaton"/>
        <s v="Sosek"/>
        <s v="Rostropnik"/>
        <s v="Pawłowska"/>
        <s v="Kowski"/>
        <s v="Lemiesz"/>
        <s v="Gronski"/>
        <s v="Wycisz"/>
        <s v="Piotrek"/>
        <s v="Bober"/>
        <s v="Staroń"/>
        <s v="Wolf"/>
        <s v="Bania"/>
        <s v="Krasek"/>
        <s v="Słomka"/>
        <s v="Ryżana"/>
        <s v="Mazowiecka"/>
        <s v="Lisek"/>
        <s v="Zydel"/>
        <s v="Szaman"/>
        <s v="Emska"/>
        <s v="Nowak"/>
        <s v="Kumor"/>
        <s v="Wiercińska"/>
        <s v="Kusy"/>
        <s v="Koło"/>
        <s v="Zych"/>
        <s v="Panek"/>
        <s v="Wnuk"/>
        <s v="Zaleśna"/>
        <s v="Jankowski"/>
      </sharedItems>
    </cacheField>
    <cacheField name="Typ pokoju" numFmtId="0">
      <sharedItems containsSemiMixedTypes="0" containsString="0" containsNumber="1" containsInteger="1" minValue="1" maxValue="4"/>
    </cacheField>
    <cacheField name="Przyjazd " numFmtId="14">
      <sharedItems containsSemiMixedTypes="0" containsNonDate="0" containsDate="1" containsString="0" minDate="2025-05-01T00:00:00" maxDate="2025-08-29T00:00:00"/>
    </cacheField>
    <cacheField name="Wyjazd" numFmtId="14">
      <sharedItems containsSemiMixedTypes="0" containsNonDate="0" containsDate="1" containsString="0" minDate="2025-05-03T00:00:00" maxDate="2025-08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90.767148611114" createdVersion="8" refreshedVersion="8" minRefreshableVersion="3" recordCount="200" xr:uid="{6449F73A-2069-4375-A86C-22AD2265CAF9}">
  <cacheSource type="worksheet">
    <worksheetSource ref="A1:I201" sheet="4.2"/>
  </cacheSource>
  <cacheFields count="9">
    <cacheField name="Lp." numFmtId="0">
      <sharedItems containsSemiMixedTypes="0" containsString="0" containsNumber="1" containsInteger="1" minValue="1" maxValue="200"/>
    </cacheField>
    <cacheField name="Imię" numFmtId="0">
      <sharedItems count="30">
        <s v="Mateusz"/>
        <s v="Weronika"/>
        <s v="Jan"/>
        <s v="Monika"/>
        <s v="Agnieszka"/>
        <s v="Adrian"/>
        <s v="Karolina"/>
        <s v="Marcin"/>
        <s v="Michał"/>
        <s v="Anna"/>
        <s v="Katarzyna"/>
        <s v="Barbara"/>
        <s v="Andrzej"/>
        <s v="Rafał"/>
        <s v="Ewa"/>
        <s v="Zofia"/>
        <s v="Piotr"/>
        <s v="Magdalena"/>
        <s v="Joanna"/>
        <s v="Łukasz"/>
        <s v="Krzysztof"/>
        <s v="Natalia"/>
        <s v="Jakub"/>
        <s v="Aleksandra"/>
        <s v="Marek"/>
        <s v="Sylwia"/>
        <s v="Paweł"/>
        <s v="Tomasz"/>
        <s v="Maria"/>
        <s v="Grzegorz"/>
      </sharedItems>
    </cacheField>
    <cacheField name="Nazwisko" numFmtId="0">
      <sharedItems count="150">
        <s v="Kamiński"/>
        <s v="Kołodziejska"/>
        <s v="Kowalczyk"/>
        <s v="Górska"/>
        <s v="Koniec"/>
        <s v="Ziomek"/>
        <s v="Jabłońska"/>
        <s v="Zając"/>
        <s v="Kamińska"/>
        <s v="Wiśniowiecki"/>
        <s v="Kotlińska"/>
        <s v="Wiśniewska"/>
        <s v="Pawłowski"/>
        <s v="Figurska"/>
        <s v="Kaktus"/>
        <s v="Krawczyk"/>
        <s v="Kowal"/>
        <s v="Lewandowski"/>
        <s v="Rutkowska"/>
        <s v="Gumilak"/>
        <s v="Lewandowska"/>
        <s v="Kominski"/>
        <s v="Wiercioch"/>
        <s v="Wójcik"/>
        <s v="Michalski"/>
        <s v="Grabowski"/>
        <s v="Piotrowski"/>
        <s v="Wojciechowska"/>
        <s v="Rucka"/>
        <s v="Król"/>
        <s v="Pitek"/>
        <s v="Zajączkowska"/>
        <s v="Wojcieszek"/>
        <s v="Kołodziej"/>
        <s v="Pyć"/>
        <s v="Lowelas"/>
        <s v="Woźniak"/>
        <s v="Kaminski"/>
        <s v="Szlam"/>
        <s v="Wojna"/>
        <s v="Lawa"/>
        <s v="Woźniacka"/>
        <s v="Wójcki"/>
        <s v="Kozłowska"/>
        <s v="Wiśnia"/>
        <s v="Wojnarowski"/>
        <s v="Dąbrowska"/>
        <s v="Szymańska"/>
        <s v="Wojciaszek"/>
        <s v="Bobrowska"/>
        <s v="Janeczek"/>
        <s v="Kwiatkowska"/>
        <s v="Wenerski"/>
        <s v="Dąbrowski"/>
        <s v="Zajączek"/>
        <s v="Kozioł"/>
        <s v="Koński"/>
        <s v="Szymanowska"/>
        <s v="Woźnicka"/>
        <s v="Mazurek"/>
        <s v="Krawiec"/>
        <s v="Krolska"/>
        <s v="Jabłczyńska"/>
        <s v="Kawalerska"/>
        <s v="Baranowska "/>
        <s v="Krokus"/>
        <s v="Krawiruk"/>
        <s v="Kierwiński"/>
        <s v="Szyszko"/>
        <s v="Woroch"/>
        <s v="Kołodziejczyk"/>
        <s v="Witych"/>
        <s v="Inka"/>
        <s v="Cytek"/>
        <s v="Zalatana"/>
        <s v="Mazur"/>
        <s v="Wieczorek"/>
        <s v="Komorek"/>
        <s v="Widera"/>
        <s v="Raźna"/>
        <s v="Michalska"/>
        <s v="Kmieć"/>
        <s v="Darmach"/>
        <s v="Gloster"/>
        <s v="Jankowska"/>
        <s v="Janiszek"/>
        <s v="Zielińska"/>
        <s v="Sikora"/>
        <s v="Kiliański"/>
        <s v="Gerber"/>
        <s v="Lorek"/>
        <s v="Watacha"/>
        <s v="Sikorka"/>
        <s v="Wieczorkowska"/>
        <s v="Kita"/>
        <s v="Sulima"/>
        <s v="Styś"/>
        <s v="Grzybek"/>
        <s v="Romb"/>
        <s v="Puzio"/>
        <s v="Zalech"/>
        <s v="Suski"/>
        <s v="Wazon"/>
        <s v="Komuszy"/>
        <s v="Wojaszek"/>
        <s v="Ruda"/>
        <s v="Wojtera"/>
        <s v="Czech"/>
        <s v="Wołos"/>
        <s v="Skorek"/>
        <s v="Wojas"/>
        <s v="Lenic"/>
        <s v="Nowacki"/>
        <s v="Rzeźniczak"/>
        <s v="Milewicz"/>
        <s v="Kopeć"/>
        <s v="Zielonka"/>
        <s v="Strama"/>
        <s v="Wardzynski"/>
        <s v="Zaton"/>
        <s v="Sosek"/>
        <s v="Rostropnik"/>
        <s v="Pawłowska"/>
        <s v="Kowski"/>
        <s v="Lemiesz"/>
        <s v="Gronski"/>
        <s v="Wycisz"/>
        <s v="Piotrek"/>
        <s v="Bober"/>
        <s v="Staroń"/>
        <s v="Wolf"/>
        <s v="Bania"/>
        <s v="Krasek"/>
        <s v="Słomka"/>
        <s v="Ryżana"/>
        <s v="Mazowiecka"/>
        <s v="Lisek"/>
        <s v="Zydel"/>
        <s v="Szaman"/>
        <s v="Emska"/>
        <s v="Nowak"/>
        <s v="Kumor"/>
        <s v="Wiercińska"/>
        <s v="Kusy"/>
        <s v="Koło"/>
        <s v="Zych"/>
        <s v="Panek"/>
        <s v="Wnuk"/>
        <s v="Zaleśna"/>
        <s v="Jankowski"/>
      </sharedItems>
    </cacheField>
    <cacheField name="Typ pokoju" numFmtId="0">
      <sharedItems containsSemiMixedTypes="0" containsString="0" containsNumber="1" containsInteger="1" minValue="1" maxValue="4"/>
    </cacheField>
    <cacheField name="Przyjazd " numFmtId="14">
      <sharedItems containsSemiMixedTypes="0" containsNonDate="0" containsDate="1" containsString="0" minDate="2025-05-01T00:00:00" maxDate="2025-08-29T00:00:00"/>
    </cacheField>
    <cacheField name="Wyjazd" numFmtId="14">
      <sharedItems containsSemiMixedTypes="0" containsNonDate="0" containsDate="1" containsString="0" minDate="2025-05-03T00:00:00" maxDate="2025-08-30T00:00:00"/>
    </cacheField>
    <cacheField name="Ilość dni" numFmtId="0">
      <sharedItems containsSemiMixedTypes="0" containsString="0" containsNumber="1" containsInteger="1" minValue="1" maxValue="13"/>
    </cacheField>
    <cacheField name="C za dobe" numFmtId="0">
      <sharedItems containsSemiMixedTypes="0" containsString="0" containsNumber="1" containsInteger="1" minValue="140" maxValue="400"/>
    </cacheField>
    <cacheField name="Cena" numFmtId="0">
      <sharedItems containsSemiMixedTypes="0" containsString="0" containsNumber="1" containsInteger="1" minValue="140" maxValue="4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90.77726516204" createdVersion="8" refreshedVersion="8" minRefreshableVersion="3" recordCount="200" xr:uid="{6B627862-9756-4B7C-99FF-426123B47A17}">
  <cacheSource type="worksheet">
    <worksheetSource ref="A1:F201" sheet="4.4"/>
  </cacheSource>
  <cacheFields count="8">
    <cacheField name="Lp." numFmtId="0">
      <sharedItems containsSemiMixedTypes="0" containsString="0" containsNumber="1" containsInteger="1" minValue="1" maxValue="200"/>
    </cacheField>
    <cacheField name="Imię" numFmtId="0">
      <sharedItems/>
    </cacheField>
    <cacheField name="Nazwisko" numFmtId="0">
      <sharedItems/>
    </cacheField>
    <cacheField name="Typ pokoju" numFmtId="0">
      <sharedItems containsSemiMixedTypes="0" containsString="0" containsNumber="1" containsInteger="1" minValue="1" maxValue="4"/>
    </cacheField>
    <cacheField name="Przyjazd " numFmtId="14">
      <sharedItems containsSemiMixedTypes="0" containsNonDate="0" containsDate="1" containsString="0" minDate="2025-05-01T00:00:00" maxDate="2025-08-29T00:00:00" count="23">
        <d v="2025-05-01T00:00:00"/>
        <d v="2025-05-10T00:00:00"/>
        <d v="2025-06-01T00:00:00"/>
        <d v="2025-05-26T00:00:00"/>
        <d v="2025-05-18T00:00:00"/>
        <d v="2025-06-08T00:00:00"/>
        <d v="2025-06-17T00:00:00"/>
        <d v="2025-07-01T00:00:00"/>
        <d v="2025-07-15T00:00:00"/>
        <d v="2025-05-05T00:00:00"/>
        <d v="2025-06-20T00:00:00"/>
        <d v="2025-06-25T00:00:00"/>
        <d v="2025-07-05T00:00:00"/>
        <d v="2025-07-10T00:00:00"/>
        <d v="2025-07-20T00:00:00"/>
        <d v="2025-07-25T00:00:00"/>
        <d v="2025-06-10T00:00:00"/>
        <d v="2025-08-02T00:00:00"/>
        <d v="2025-08-10T00:00:00"/>
        <d v="2025-08-14T00:00:00"/>
        <d v="2025-08-16T00:00:00"/>
        <d v="2025-08-20T00:00:00"/>
        <d v="2025-08-28T00:00:00"/>
      </sharedItems>
      <fieldGroup par="7"/>
    </cacheField>
    <cacheField name="Wyjazd" numFmtId="14">
      <sharedItems containsSemiMixedTypes="0" containsNonDate="0" containsDate="1" containsString="0" minDate="2025-05-03T00:00:00" maxDate="2025-08-30T00:00:00"/>
    </cacheField>
    <cacheField name="Dni (Przyjazd )" numFmtId="0" databaseField="0">
      <fieldGroup base="4">
        <rangePr groupBy="days" startDate="2025-05-01T00:00:00" endDate="2025-08-29T00:00:00"/>
        <groupItems count="368">
          <s v="&lt;01.05.202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29.08.2025"/>
        </groupItems>
      </fieldGroup>
    </cacheField>
    <cacheField name="Miesiące (Przyjazd )" numFmtId="0" databaseField="0">
      <fieldGroup base="4">
        <rangePr groupBy="months" startDate="2025-05-01T00:00:00" endDate="2025-08-29T00:00:00"/>
        <groupItems count="14">
          <s v="&lt;01.05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9.08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90.783571759261" createdVersion="8" refreshedVersion="8" minRefreshableVersion="3" recordCount="200" xr:uid="{FFE6B277-F6AC-450E-AE8E-775BD7A7DA89}">
  <cacheSource type="worksheet">
    <worksheetSource ref="A1:F201" sheet="4.5"/>
  </cacheSource>
  <cacheFields count="8">
    <cacheField name="Lp." numFmtId="0">
      <sharedItems containsSemiMixedTypes="0" containsString="0" containsNumber="1" containsInteger="1" minValue="1" maxValue="200"/>
    </cacheField>
    <cacheField name="Imię" numFmtId="0">
      <sharedItems/>
    </cacheField>
    <cacheField name="Nazwisko" numFmtId="0">
      <sharedItems/>
    </cacheField>
    <cacheField name="Typ pokoju" numFmtId="0">
      <sharedItems containsSemiMixedTypes="0" containsString="0" containsNumber="1" containsInteger="1" minValue="1" maxValue="4"/>
    </cacheField>
    <cacheField name="Przyjazd " numFmtId="14">
      <sharedItems containsSemiMixedTypes="0" containsNonDate="0" containsDate="1" containsString="0" minDate="2025-05-01T00:00:00" maxDate="2025-08-29T00:00:00" count="23">
        <d v="2025-05-01T00:00:00"/>
        <d v="2025-05-05T00:00:00"/>
        <d v="2025-05-10T00:00:00"/>
        <d v="2025-05-18T00:00:00"/>
        <d v="2025-05-26T00:00:00"/>
        <d v="2025-06-01T00:00:00"/>
        <d v="2025-06-08T00:00:00"/>
        <d v="2025-06-10T00:00:00"/>
        <d v="2025-06-17T00:00:00"/>
        <d v="2025-06-20T00:00:00"/>
        <d v="2025-06-25T00:00:00"/>
        <d v="2025-07-01T00:00:00"/>
        <d v="2025-07-05T00:00:00"/>
        <d v="2025-07-10T00:00:00"/>
        <d v="2025-07-15T00:00:00"/>
        <d v="2025-07-20T00:00:00"/>
        <d v="2025-07-25T00:00:00"/>
        <d v="2025-08-02T00:00:00"/>
        <d v="2025-08-10T00:00:00"/>
        <d v="2025-08-14T00:00:00"/>
        <d v="2025-08-16T00:00:00"/>
        <d v="2025-08-20T00:00:00"/>
        <d v="2025-08-28T00:00:00"/>
      </sharedItems>
      <fieldGroup par="7"/>
    </cacheField>
    <cacheField name="Wyjazd" numFmtId="14">
      <sharedItems containsSemiMixedTypes="0" containsNonDate="0" containsDate="1" containsString="0" minDate="2025-05-03T00:00:00" maxDate="2025-08-30T00:00:00"/>
    </cacheField>
    <cacheField name="Dni (Przyjazd )" numFmtId="0" databaseField="0">
      <fieldGroup base="4">
        <rangePr groupBy="days" startDate="2025-05-01T00:00:00" endDate="2025-08-29T00:00:00"/>
        <groupItems count="368">
          <s v="&lt;01.05.202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29.08.2025"/>
        </groupItems>
      </fieldGroup>
    </cacheField>
    <cacheField name="Miesiące (Przyjazd )" numFmtId="0" databaseField="0">
      <fieldGroup base="4">
        <rangePr groupBy="months" startDate="2025-05-01T00:00:00" endDate="2025-08-29T00:00:00"/>
        <groupItems count="14">
          <s v="&lt;01.05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9.08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90.806775115743" createdVersion="8" refreshedVersion="8" minRefreshableVersion="3" recordCount="200" xr:uid="{17EEA27E-CFD3-41A4-8E3F-BCB94516B67E}">
  <cacheSource type="worksheet">
    <worksheetSource ref="A1:N201" sheet="4.3"/>
  </cacheSource>
  <cacheFields count="16">
    <cacheField name="Lp." numFmtId="0">
      <sharedItems containsSemiMixedTypes="0" containsString="0" containsNumber="1" containsInteger="1" minValue="1" maxValue="200"/>
    </cacheField>
    <cacheField name="Imię" numFmtId="0">
      <sharedItems/>
    </cacheField>
    <cacheField name="Nazwisko" numFmtId="0">
      <sharedItems/>
    </cacheField>
    <cacheField name="Typ pokoju" numFmtId="0">
      <sharedItems containsSemiMixedTypes="0" containsString="0" containsNumber="1" containsInteger="1" minValue="1" maxValue="4"/>
    </cacheField>
    <cacheField name="Przyjazd " numFmtId="14">
      <sharedItems containsSemiMixedTypes="0" containsNonDate="0" containsDate="1" containsString="0" minDate="2025-05-01T00:00:00" maxDate="2025-08-29T00:00:00" count="23">
        <d v="2025-05-01T00:00:00"/>
        <d v="2025-05-10T00:00:00"/>
        <d v="2025-06-01T00:00:00"/>
        <d v="2025-05-26T00:00:00"/>
        <d v="2025-05-18T00:00:00"/>
        <d v="2025-06-08T00:00:00"/>
        <d v="2025-06-17T00:00:00"/>
        <d v="2025-07-01T00:00:00"/>
        <d v="2025-07-15T00:00:00"/>
        <d v="2025-05-05T00:00:00"/>
        <d v="2025-06-20T00:00:00"/>
        <d v="2025-06-25T00:00:00"/>
        <d v="2025-07-05T00:00:00"/>
        <d v="2025-07-10T00:00:00"/>
        <d v="2025-07-20T00:00:00"/>
        <d v="2025-07-25T00:00:00"/>
        <d v="2025-06-10T00:00:00"/>
        <d v="2025-08-02T00:00:00"/>
        <d v="2025-08-10T00:00:00"/>
        <d v="2025-08-14T00:00:00"/>
        <d v="2025-08-16T00:00:00"/>
        <d v="2025-08-20T00:00:00"/>
        <d v="2025-08-28T00:00:00"/>
      </sharedItems>
      <fieldGroup par="15"/>
    </cacheField>
    <cacheField name="Wyjazd" numFmtId="14">
      <sharedItems containsSemiMixedTypes="0" containsNonDate="0" containsDate="1" containsString="0" minDate="2025-05-03T00:00:00" maxDate="2025-08-30T00:00:00"/>
    </cacheField>
    <cacheField name="Ilość dni" numFmtId="0">
      <sharedItems containsSemiMixedTypes="0" containsString="0" containsNumber="1" containsInteger="1" minValue="1" maxValue="13"/>
    </cacheField>
    <cacheField name="C za dobe" numFmtId="0">
      <sharedItems containsSemiMixedTypes="0" containsString="0" containsNumber="1" containsInteger="1" minValue="140" maxValue="400"/>
    </cacheField>
    <cacheField name="Cena" numFmtId="0">
      <sharedItems containsSemiMixedTypes="0" containsString="0" containsNumber="1" containsInteger="1" minValue="140" maxValue="4160"/>
    </cacheField>
    <cacheField name="Tyg przyjazdu" numFmtId="0">
      <sharedItems containsSemiMixedTypes="0" containsString="0" containsNumber="1" containsInteger="1" minValue="1" maxValue="7"/>
    </cacheField>
    <cacheField name="Ilość dni roboczych" numFmtId="0">
      <sharedItems containsSemiMixedTypes="0" containsString="0" containsNumber="1" containsInteger="1" minValue="0" maxValue="9"/>
    </cacheField>
    <cacheField name="Ilość wekendów" numFmtId="0">
      <sharedItems containsSemiMixedTypes="0" containsString="0" containsNumber="1" containsInteger="1" minValue="0" maxValue="4"/>
    </cacheField>
    <cacheField name="Cena pobytu bez rabatu" numFmtId="0">
      <sharedItems containsSemiMixedTypes="0" containsString="0" containsNumber="1" containsInteger="1" minValue="140" maxValue="4416"/>
    </cacheField>
    <cacheField name="Cena pobytu z rabatem" numFmtId="0">
      <sharedItems containsSemiMixedTypes="0" containsString="0" containsNumber="1" minValue="140" maxValue="3974.4"/>
    </cacheField>
    <cacheField name="Dni (Przyjazd )" numFmtId="0" databaseField="0">
      <fieldGroup base="4">
        <rangePr groupBy="days" startDate="2025-05-01T00:00:00" endDate="2025-08-29T00:00:00"/>
        <groupItems count="368">
          <s v="&lt;01.05.202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29.08.2025"/>
        </groupItems>
      </fieldGroup>
    </cacheField>
    <cacheField name="Miesiące (Przyjazd )" numFmtId="0" databaseField="0">
      <fieldGroup base="4">
        <rangePr groupBy="months" startDate="2025-05-01T00:00:00" endDate="2025-08-29T00:00:00"/>
        <groupItems count="14">
          <s v="&lt;01.05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9.08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n v="2"/>
    <d v="2025-05-01T00:00:00"/>
    <d v="2025-05-03T00:00:00"/>
  </r>
  <r>
    <n v="2"/>
    <x v="1"/>
    <x v="1"/>
    <n v="3"/>
    <d v="2025-05-10T00:00:00"/>
    <d v="2025-05-15T00:00:00"/>
  </r>
  <r>
    <n v="3"/>
    <x v="2"/>
    <x v="2"/>
    <n v="2"/>
    <d v="2025-06-01T00:00:00"/>
    <d v="2025-06-04T00:00:00"/>
  </r>
  <r>
    <n v="4"/>
    <x v="3"/>
    <x v="3"/>
    <n v="2"/>
    <d v="2025-05-26T00:00:00"/>
    <d v="2025-05-28T00:00:00"/>
  </r>
  <r>
    <n v="5"/>
    <x v="4"/>
    <x v="4"/>
    <n v="1"/>
    <d v="2025-05-18T00:00:00"/>
    <d v="2025-05-21T00:00:00"/>
  </r>
  <r>
    <n v="6"/>
    <x v="5"/>
    <x v="5"/>
    <n v="3"/>
    <d v="2025-06-08T00:00:00"/>
    <d v="2025-06-09T00:00:00"/>
  </r>
  <r>
    <n v="7"/>
    <x v="6"/>
    <x v="6"/>
    <n v="3"/>
    <d v="2025-05-10T00:00:00"/>
    <d v="2025-05-15T00:00:00"/>
  </r>
  <r>
    <n v="8"/>
    <x v="7"/>
    <x v="7"/>
    <n v="2"/>
    <d v="2025-06-17T00:00:00"/>
    <d v="2025-06-19T00:00:00"/>
  </r>
  <r>
    <n v="9"/>
    <x v="1"/>
    <x v="8"/>
    <n v="2"/>
    <d v="2025-07-01T00:00:00"/>
    <d v="2025-07-03T00:00:00"/>
  </r>
  <r>
    <n v="10"/>
    <x v="8"/>
    <x v="9"/>
    <n v="2"/>
    <d v="2025-05-01T00:00:00"/>
    <d v="2025-05-03T00:00:00"/>
  </r>
  <r>
    <n v="11"/>
    <x v="1"/>
    <x v="10"/>
    <n v="4"/>
    <d v="2025-07-15T00:00:00"/>
    <d v="2025-07-18T00:00:00"/>
  </r>
  <r>
    <n v="12"/>
    <x v="9"/>
    <x v="11"/>
    <n v="1"/>
    <d v="2025-05-05T00:00:00"/>
    <d v="2025-05-09T00:00:00"/>
  </r>
  <r>
    <n v="13"/>
    <x v="8"/>
    <x v="12"/>
    <n v="2"/>
    <d v="2025-06-01T00:00:00"/>
    <d v="2025-06-04T00:00:00"/>
  </r>
  <r>
    <n v="14"/>
    <x v="10"/>
    <x v="13"/>
    <n v="1"/>
    <d v="2025-05-05T00:00:00"/>
    <d v="2025-05-09T00:00:00"/>
  </r>
  <r>
    <n v="15"/>
    <x v="0"/>
    <x v="14"/>
    <n v="1"/>
    <d v="2025-05-05T00:00:00"/>
    <d v="2025-05-09T00:00:00"/>
  </r>
  <r>
    <n v="16"/>
    <x v="11"/>
    <x v="15"/>
    <n v="1"/>
    <d v="2025-05-01T00:00:00"/>
    <d v="2025-05-03T00:00:00"/>
  </r>
  <r>
    <n v="17"/>
    <x v="12"/>
    <x v="16"/>
    <n v="2"/>
    <d v="2025-05-05T00:00:00"/>
    <d v="2025-05-09T00:00:00"/>
  </r>
  <r>
    <n v="18"/>
    <x v="13"/>
    <x v="17"/>
    <n v="2"/>
    <d v="2025-05-05T00:00:00"/>
    <d v="2025-05-09T00:00:00"/>
  </r>
  <r>
    <n v="19"/>
    <x v="14"/>
    <x v="18"/>
    <n v="2"/>
    <d v="2025-05-05T00:00:00"/>
    <d v="2025-05-09T00:00:00"/>
  </r>
  <r>
    <n v="20"/>
    <x v="15"/>
    <x v="19"/>
    <n v="2"/>
    <d v="2025-07-01T00:00:00"/>
    <d v="2025-07-03T00:00:00"/>
  </r>
  <r>
    <n v="21"/>
    <x v="6"/>
    <x v="20"/>
    <n v="2"/>
    <d v="2025-06-17T00:00:00"/>
    <d v="2025-06-19T00:00:00"/>
  </r>
  <r>
    <n v="22"/>
    <x v="16"/>
    <x v="21"/>
    <n v="2"/>
    <d v="2025-06-01T00:00:00"/>
    <d v="2025-06-04T00:00:00"/>
  </r>
  <r>
    <n v="23"/>
    <x v="17"/>
    <x v="22"/>
    <n v="3"/>
    <d v="2025-05-10T00:00:00"/>
    <d v="2025-05-15T00:00:00"/>
  </r>
  <r>
    <n v="24"/>
    <x v="18"/>
    <x v="23"/>
    <n v="4"/>
    <d v="2025-07-15T00:00:00"/>
    <d v="2025-07-18T00:00:00"/>
  </r>
  <r>
    <n v="25"/>
    <x v="19"/>
    <x v="24"/>
    <n v="2"/>
    <d v="2025-05-05T00:00:00"/>
    <d v="2025-05-09T00:00:00"/>
  </r>
  <r>
    <n v="26"/>
    <x v="20"/>
    <x v="25"/>
    <n v="2"/>
    <d v="2025-05-05T00:00:00"/>
    <d v="2025-05-09T00:00:00"/>
  </r>
  <r>
    <n v="27"/>
    <x v="12"/>
    <x v="26"/>
    <n v="3"/>
    <d v="2025-05-05T00:00:00"/>
    <d v="2025-05-09T00:00:00"/>
  </r>
  <r>
    <n v="28"/>
    <x v="21"/>
    <x v="27"/>
    <n v="3"/>
    <d v="2025-05-05T00:00:00"/>
    <d v="2025-05-09T00:00:00"/>
  </r>
  <r>
    <n v="29"/>
    <x v="6"/>
    <x v="28"/>
    <n v="3"/>
    <d v="2025-05-05T00:00:00"/>
    <d v="2025-05-09T00:00:00"/>
  </r>
  <r>
    <n v="30"/>
    <x v="5"/>
    <x v="29"/>
    <n v="1"/>
    <d v="2025-07-15T00:00:00"/>
    <d v="2025-07-18T00:00:00"/>
  </r>
  <r>
    <n v="31"/>
    <x v="10"/>
    <x v="30"/>
    <n v="2"/>
    <d v="2025-07-01T00:00:00"/>
    <d v="2025-07-03T00:00:00"/>
  </r>
  <r>
    <n v="32"/>
    <x v="14"/>
    <x v="31"/>
    <n v="4"/>
    <d v="2025-06-17T00:00:00"/>
    <d v="2025-06-19T00:00:00"/>
  </r>
  <r>
    <n v="33"/>
    <x v="3"/>
    <x v="32"/>
    <n v="2"/>
    <d v="2025-06-01T00:00:00"/>
    <d v="2025-06-04T00:00:00"/>
  </r>
  <r>
    <n v="34"/>
    <x v="12"/>
    <x v="33"/>
    <n v="3"/>
    <d v="2025-05-05T00:00:00"/>
    <d v="2025-05-09T00:00:00"/>
  </r>
  <r>
    <n v="35"/>
    <x v="0"/>
    <x v="34"/>
    <n v="4"/>
    <d v="2025-05-05T00:00:00"/>
    <d v="2025-05-09T00:00:00"/>
  </r>
  <r>
    <n v="36"/>
    <x v="16"/>
    <x v="35"/>
    <n v="4"/>
    <d v="2025-05-05T00:00:00"/>
    <d v="2025-05-09T00:00:00"/>
  </r>
  <r>
    <n v="37"/>
    <x v="9"/>
    <x v="36"/>
    <n v="1"/>
    <d v="2025-05-18T00:00:00"/>
    <d v="2025-05-21T00:00:00"/>
  </r>
  <r>
    <n v="38"/>
    <x v="22"/>
    <x v="37"/>
    <n v="2"/>
    <d v="2025-05-26T00:00:00"/>
    <d v="2025-05-28T00:00:00"/>
  </r>
  <r>
    <n v="39"/>
    <x v="22"/>
    <x v="38"/>
    <n v="2"/>
    <d v="2025-06-17T00:00:00"/>
    <d v="2025-06-19T00:00:00"/>
  </r>
  <r>
    <n v="40"/>
    <x v="20"/>
    <x v="39"/>
    <n v="2"/>
    <d v="2025-06-20T00:00:00"/>
    <d v="2025-06-22T00:00:00"/>
  </r>
  <r>
    <n v="41"/>
    <x v="19"/>
    <x v="40"/>
    <n v="2"/>
    <d v="2025-06-20T00:00:00"/>
    <d v="2025-06-22T00:00:00"/>
  </r>
  <r>
    <n v="42"/>
    <x v="4"/>
    <x v="41"/>
    <n v="2"/>
    <d v="2025-06-20T00:00:00"/>
    <d v="2025-06-22T00:00:00"/>
  </r>
  <r>
    <n v="43"/>
    <x v="8"/>
    <x v="42"/>
    <n v="2"/>
    <d v="2025-06-20T00:00:00"/>
    <d v="2025-06-22T00:00:00"/>
  </r>
  <r>
    <n v="44"/>
    <x v="10"/>
    <x v="43"/>
    <n v="2"/>
    <d v="2025-06-20T00:00:00"/>
    <d v="2025-06-22T00:00:00"/>
  </r>
  <r>
    <n v="45"/>
    <x v="23"/>
    <x v="44"/>
    <n v="1"/>
    <d v="2025-07-15T00:00:00"/>
    <d v="2025-07-18T00:00:00"/>
  </r>
  <r>
    <n v="46"/>
    <x v="20"/>
    <x v="45"/>
    <n v="2"/>
    <d v="2025-06-01T00:00:00"/>
    <d v="2025-06-04T00:00:00"/>
  </r>
  <r>
    <n v="47"/>
    <x v="14"/>
    <x v="46"/>
    <n v="3"/>
    <d v="2025-06-08T00:00:00"/>
    <d v="2025-06-09T00:00:00"/>
  </r>
  <r>
    <n v="48"/>
    <x v="17"/>
    <x v="47"/>
    <n v="2"/>
    <d v="2025-05-26T00:00:00"/>
    <d v="2025-05-28T00:00:00"/>
  </r>
  <r>
    <n v="49"/>
    <x v="23"/>
    <x v="48"/>
    <n v="2"/>
    <d v="2025-06-20T00:00:00"/>
    <d v="2025-06-22T00:00:00"/>
  </r>
  <r>
    <n v="50"/>
    <x v="10"/>
    <x v="49"/>
    <n v="2"/>
    <d v="2025-06-20T00:00:00"/>
    <d v="2025-06-22T00:00:00"/>
  </r>
  <r>
    <n v="51"/>
    <x v="9"/>
    <x v="50"/>
    <n v="2"/>
    <d v="2025-06-20T00:00:00"/>
    <d v="2025-06-22T00:00:00"/>
  </r>
  <r>
    <n v="52"/>
    <x v="17"/>
    <x v="51"/>
    <n v="1"/>
    <d v="2025-06-20T00:00:00"/>
    <d v="2025-06-22T00:00:00"/>
  </r>
  <r>
    <n v="53"/>
    <x v="7"/>
    <x v="52"/>
    <n v="1"/>
    <d v="2025-06-20T00:00:00"/>
    <d v="2025-06-22T00:00:00"/>
  </r>
  <r>
    <n v="54"/>
    <x v="8"/>
    <x v="53"/>
    <n v="4"/>
    <d v="2025-06-17T00:00:00"/>
    <d v="2025-06-19T00:00:00"/>
  </r>
  <r>
    <n v="55"/>
    <x v="24"/>
    <x v="54"/>
    <n v="1"/>
    <d v="2025-05-18T00:00:00"/>
    <d v="2025-05-21T00:00:00"/>
  </r>
  <r>
    <n v="56"/>
    <x v="25"/>
    <x v="55"/>
    <n v="1"/>
    <d v="2025-07-15T00:00:00"/>
    <d v="2025-07-18T00:00:00"/>
  </r>
  <r>
    <n v="57"/>
    <x v="9"/>
    <x v="56"/>
    <n v="3"/>
    <d v="2025-06-25T00:00:00"/>
    <d v="2025-06-29T00:00:00"/>
  </r>
  <r>
    <n v="58"/>
    <x v="18"/>
    <x v="57"/>
    <n v="3"/>
    <d v="2025-06-25T00:00:00"/>
    <d v="2025-06-29T00:00:00"/>
  </r>
  <r>
    <n v="59"/>
    <x v="3"/>
    <x v="58"/>
    <n v="2"/>
    <d v="2025-06-01T00:00:00"/>
    <d v="2025-06-04T00:00:00"/>
  </r>
  <r>
    <n v="60"/>
    <x v="5"/>
    <x v="59"/>
    <n v="2"/>
    <d v="2025-06-01T00:00:00"/>
    <d v="2025-06-04T00:00:00"/>
  </r>
  <r>
    <n v="61"/>
    <x v="24"/>
    <x v="60"/>
    <n v="3"/>
    <d v="2025-05-01T00:00:00"/>
    <d v="2025-05-03T00:00:00"/>
  </r>
  <r>
    <n v="62"/>
    <x v="4"/>
    <x v="61"/>
    <n v="3"/>
    <d v="2025-05-10T00:00:00"/>
    <d v="2025-05-15T00:00:00"/>
  </r>
  <r>
    <n v="63"/>
    <x v="3"/>
    <x v="62"/>
    <n v="4"/>
    <d v="2025-06-08T00:00:00"/>
    <d v="2025-06-09T00:00:00"/>
  </r>
  <r>
    <n v="64"/>
    <x v="25"/>
    <x v="63"/>
    <n v="1"/>
    <d v="2025-07-15T00:00:00"/>
    <d v="2025-07-18T00:00:00"/>
  </r>
  <r>
    <n v="65"/>
    <x v="11"/>
    <x v="64"/>
    <n v="3"/>
    <d v="2025-06-25T00:00:00"/>
    <d v="2025-06-29T00:00:00"/>
  </r>
  <r>
    <n v="66"/>
    <x v="13"/>
    <x v="65"/>
    <n v="3"/>
    <d v="2025-06-25T00:00:00"/>
    <d v="2025-06-29T00:00:00"/>
  </r>
  <r>
    <n v="67"/>
    <x v="3"/>
    <x v="66"/>
    <n v="2"/>
    <d v="2025-06-25T00:00:00"/>
    <d v="2025-06-29T00:00:00"/>
  </r>
  <r>
    <n v="68"/>
    <x v="7"/>
    <x v="67"/>
    <n v="2"/>
    <d v="2025-06-25T00:00:00"/>
    <d v="2025-06-29T00:00:00"/>
  </r>
  <r>
    <n v="69"/>
    <x v="6"/>
    <x v="68"/>
    <n v="2"/>
    <d v="2025-06-25T00:00:00"/>
    <d v="2025-06-29T00:00:00"/>
  </r>
  <r>
    <n v="70"/>
    <x v="2"/>
    <x v="69"/>
    <n v="4"/>
    <d v="2025-05-18T00:00:00"/>
    <d v="2025-05-21T00:00:00"/>
  </r>
  <r>
    <n v="71"/>
    <x v="26"/>
    <x v="70"/>
    <n v="2"/>
    <d v="2025-06-25T00:00:00"/>
    <d v="2025-06-29T00:00:00"/>
  </r>
  <r>
    <n v="72"/>
    <x v="5"/>
    <x v="71"/>
    <n v="2"/>
    <d v="2025-06-25T00:00:00"/>
    <d v="2025-06-29T00:00:00"/>
  </r>
  <r>
    <n v="73"/>
    <x v="4"/>
    <x v="72"/>
    <n v="2"/>
    <d v="2025-06-25T00:00:00"/>
    <d v="2025-06-29T00:00:00"/>
  </r>
  <r>
    <n v="74"/>
    <x v="3"/>
    <x v="73"/>
    <n v="2"/>
    <d v="2025-06-25T00:00:00"/>
    <d v="2025-06-29T00:00:00"/>
  </r>
  <r>
    <n v="75"/>
    <x v="17"/>
    <x v="74"/>
    <n v="2"/>
    <d v="2025-05-26T00:00:00"/>
    <d v="2025-05-28T00:00:00"/>
  </r>
  <r>
    <n v="76"/>
    <x v="10"/>
    <x v="75"/>
    <n v="2"/>
    <d v="2025-07-01T00:00:00"/>
    <d v="2025-07-03T00:00:00"/>
  </r>
  <r>
    <n v="77"/>
    <x v="5"/>
    <x v="76"/>
    <n v="2"/>
    <d v="2025-06-25T00:00:00"/>
    <d v="2025-06-29T00:00:00"/>
  </r>
  <r>
    <n v="78"/>
    <x v="27"/>
    <x v="77"/>
    <n v="1"/>
    <d v="2025-06-25T00:00:00"/>
    <d v="2025-06-29T00:00:00"/>
  </r>
  <r>
    <n v="79"/>
    <x v="7"/>
    <x v="78"/>
    <n v="1"/>
    <d v="2025-06-25T00:00:00"/>
    <d v="2025-06-29T00:00:00"/>
  </r>
  <r>
    <n v="80"/>
    <x v="26"/>
    <x v="79"/>
    <n v="1"/>
    <d v="2025-06-25T00:00:00"/>
    <d v="2025-06-29T00:00:00"/>
  </r>
  <r>
    <n v="81"/>
    <x v="6"/>
    <x v="80"/>
    <n v="1"/>
    <d v="2025-07-05T00:00:00"/>
    <d v="2025-07-07T00:00:00"/>
  </r>
  <r>
    <n v="82"/>
    <x v="24"/>
    <x v="81"/>
    <n v="2"/>
    <d v="2025-05-26T00:00:00"/>
    <d v="2025-05-28T00:00:00"/>
  </r>
  <r>
    <n v="83"/>
    <x v="4"/>
    <x v="82"/>
    <n v="4"/>
    <d v="2025-06-08T00:00:00"/>
    <d v="2025-06-09T00:00:00"/>
  </r>
  <r>
    <n v="84"/>
    <x v="21"/>
    <x v="83"/>
    <n v="3"/>
    <d v="2025-05-01T00:00:00"/>
    <d v="2025-05-03T00:00:00"/>
  </r>
  <r>
    <n v="85"/>
    <x v="28"/>
    <x v="84"/>
    <n v="1"/>
    <d v="2025-07-05T00:00:00"/>
    <d v="2025-07-07T00:00:00"/>
  </r>
  <r>
    <n v="86"/>
    <x v="19"/>
    <x v="85"/>
    <n v="1"/>
    <d v="2025-07-05T00:00:00"/>
    <d v="2025-07-07T00:00:00"/>
  </r>
  <r>
    <n v="87"/>
    <x v="15"/>
    <x v="86"/>
    <n v="1"/>
    <d v="2025-07-05T00:00:00"/>
    <d v="2025-07-07T00:00:00"/>
  </r>
  <r>
    <n v="88"/>
    <x v="6"/>
    <x v="87"/>
    <n v="3"/>
    <d v="2025-07-05T00:00:00"/>
    <d v="2025-07-07T00:00:00"/>
  </r>
  <r>
    <n v="89"/>
    <x v="8"/>
    <x v="88"/>
    <n v="3"/>
    <d v="2025-07-05T00:00:00"/>
    <d v="2025-07-07T00:00:00"/>
  </r>
  <r>
    <n v="90"/>
    <x v="10"/>
    <x v="89"/>
    <n v="3"/>
    <d v="2025-07-05T00:00:00"/>
    <d v="2025-07-07T00:00:00"/>
  </r>
  <r>
    <n v="91"/>
    <x v="12"/>
    <x v="90"/>
    <n v="3"/>
    <d v="2025-07-05T00:00:00"/>
    <d v="2025-07-07T00:00:00"/>
  </r>
  <r>
    <n v="92"/>
    <x v="12"/>
    <x v="91"/>
    <n v="2"/>
    <d v="2025-07-10T00:00:00"/>
    <d v="2025-07-14T00:00:00"/>
  </r>
  <r>
    <n v="93"/>
    <x v="0"/>
    <x v="92"/>
    <n v="3"/>
    <d v="2025-07-15T00:00:00"/>
    <d v="2025-07-18T00:00:00"/>
  </r>
  <r>
    <n v="94"/>
    <x v="1"/>
    <x v="93"/>
    <n v="1"/>
    <d v="2025-07-01T00:00:00"/>
    <d v="2025-07-03T00:00:00"/>
  </r>
  <r>
    <n v="95"/>
    <x v="23"/>
    <x v="94"/>
    <n v="1"/>
    <d v="2025-05-18T00:00:00"/>
    <d v="2025-05-21T00:00:00"/>
  </r>
  <r>
    <n v="96"/>
    <x v="9"/>
    <x v="95"/>
    <n v="2"/>
    <d v="2025-07-10T00:00:00"/>
    <d v="2025-07-14T00:00:00"/>
  </r>
  <r>
    <n v="97"/>
    <x v="10"/>
    <x v="96"/>
    <n v="2"/>
    <d v="2025-07-10T00:00:00"/>
    <d v="2025-07-14T00:00:00"/>
  </r>
  <r>
    <n v="98"/>
    <x v="16"/>
    <x v="97"/>
    <n v="2"/>
    <d v="2025-07-10T00:00:00"/>
    <d v="2025-07-14T00:00:00"/>
  </r>
  <r>
    <n v="99"/>
    <x v="26"/>
    <x v="98"/>
    <n v="2"/>
    <d v="2025-07-10T00:00:00"/>
    <d v="2025-07-14T00:00:00"/>
  </r>
  <r>
    <n v="100"/>
    <x v="12"/>
    <x v="99"/>
    <n v="2"/>
    <d v="2025-07-10T00:00:00"/>
    <d v="2025-07-14T00:00:00"/>
  </r>
  <r>
    <n v="101"/>
    <x v="28"/>
    <x v="100"/>
    <n v="3"/>
    <d v="2025-07-10T00:00:00"/>
    <d v="2025-07-14T00:00:00"/>
  </r>
  <r>
    <n v="102"/>
    <x v="20"/>
    <x v="101"/>
    <n v="3"/>
    <d v="2025-07-10T00:00:00"/>
    <d v="2025-07-14T00:00:00"/>
  </r>
  <r>
    <n v="103"/>
    <x v="11"/>
    <x v="102"/>
    <n v="3"/>
    <d v="2025-07-10T00:00:00"/>
    <d v="2025-07-14T00:00:00"/>
  </r>
  <r>
    <n v="104"/>
    <x v="7"/>
    <x v="103"/>
    <n v="3"/>
    <d v="2025-06-08T00:00:00"/>
    <d v="2025-06-09T00:00:00"/>
  </r>
  <r>
    <n v="105"/>
    <x v="5"/>
    <x v="104"/>
    <n v="2"/>
    <d v="2025-05-26T00:00:00"/>
    <d v="2025-05-28T00:00:00"/>
  </r>
  <r>
    <n v="106"/>
    <x v="25"/>
    <x v="105"/>
    <n v="3"/>
    <d v="2025-07-15T00:00:00"/>
    <d v="2025-07-18T00:00:00"/>
  </r>
  <r>
    <n v="107"/>
    <x v="16"/>
    <x v="106"/>
    <n v="3"/>
    <d v="2025-07-10T00:00:00"/>
    <d v="2025-07-14T00:00:00"/>
  </r>
  <r>
    <n v="108"/>
    <x v="22"/>
    <x v="107"/>
    <n v="1"/>
    <d v="2025-07-10T00:00:00"/>
    <d v="2025-07-14T00:00:00"/>
  </r>
  <r>
    <n v="109"/>
    <x v="8"/>
    <x v="108"/>
    <n v="1"/>
    <d v="2025-07-20T00:00:00"/>
    <d v="2025-07-21T00:00:00"/>
  </r>
  <r>
    <n v="110"/>
    <x v="13"/>
    <x v="109"/>
    <n v="2"/>
    <d v="2025-05-26T00:00:00"/>
    <d v="2025-05-28T00:00:00"/>
  </r>
  <r>
    <n v="111"/>
    <x v="1"/>
    <x v="110"/>
    <n v="1"/>
    <d v="2025-07-20T00:00:00"/>
    <d v="2025-07-21T00:00:00"/>
  </r>
  <r>
    <n v="112"/>
    <x v="16"/>
    <x v="111"/>
    <n v="1"/>
    <d v="2025-07-20T00:00:00"/>
    <d v="2025-07-21T00:00:00"/>
  </r>
  <r>
    <n v="113"/>
    <x v="24"/>
    <x v="112"/>
    <n v="1"/>
    <d v="2025-07-20T00:00:00"/>
    <d v="2025-07-21T00:00:00"/>
  </r>
  <r>
    <n v="114"/>
    <x v="27"/>
    <x v="113"/>
    <n v="2"/>
    <d v="2025-07-20T00:00:00"/>
    <d v="2025-07-21T00:00:00"/>
  </r>
  <r>
    <n v="115"/>
    <x v="24"/>
    <x v="114"/>
    <n v="2"/>
    <d v="2025-07-20T00:00:00"/>
    <d v="2025-07-21T00:00:00"/>
  </r>
  <r>
    <n v="116"/>
    <x v="5"/>
    <x v="115"/>
    <n v="2"/>
    <d v="2025-07-20T00:00:00"/>
    <d v="2025-07-21T00:00:00"/>
  </r>
  <r>
    <n v="117"/>
    <x v="4"/>
    <x v="116"/>
    <n v="2"/>
    <d v="2025-07-20T00:00:00"/>
    <d v="2025-07-21T00:00:00"/>
  </r>
  <r>
    <n v="118"/>
    <x v="22"/>
    <x v="117"/>
    <n v="3"/>
    <d v="2025-07-15T00:00:00"/>
    <d v="2025-07-18T00:00:00"/>
  </r>
  <r>
    <n v="119"/>
    <x v="26"/>
    <x v="118"/>
    <n v="2"/>
    <d v="2025-05-26T00:00:00"/>
    <d v="2025-05-28T00:00:00"/>
  </r>
  <r>
    <n v="120"/>
    <x v="9"/>
    <x v="119"/>
    <n v="4"/>
    <d v="2025-05-18T00:00:00"/>
    <d v="2025-05-21T00:00:00"/>
  </r>
  <r>
    <n v="121"/>
    <x v="0"/>
    <x v="120"/>
    <n v="2"/>
    <d v="2025-07-25T00:00:00"/>
    <d v="2025-07-28T00:00:00"/>
  </r>
  <r>
    <n v="122"/>
    <x v="0"/>
    <x v="121"/>
    <n v="2"/>
    <d v="2025-07-25T00:00:00"/>
    <d v="2025-07-28T00:00:00"/>
  </r>
  <r>
    <n v="123"/>
    <x v="1"/>
    <x v="122"/>
    <n v="2"/>
    <d v="2025-07-25T00:00:00"/>
    <d v="2025-07-28T00:00:00"/>
  </r>
  <r>
    <n v="124"/>
    <x v="19"/>
    <x v="123"/>
    <n v="2"/>
    <d v="2025-07-25T00:00:00"/>
    <d v="2025-07-28T00:00:00"/>
  </r>
  <r>
    <n v="125"/>
    <x v="8"/>
    <x v="124"/>
    <n v="3"/>
    <d v="2025-05-01T00:00:00"/>
    <d v="2025-05-03T00:00:00"/>
  </r>
  <r>
    <n v="126"/>
    <x v="0"/>
    <x v="125"/>
    <n v="3"/>
    <d v="2025-06-08T00:00:00"/>
    <d v="2025-06-09T00:00:00"/>
  </r>
  <r>
    <n v="127"/>
    <x v="14"/>
    <x v="126"/>
    <n v="1"/>
    <d v="2025-07-01T00:00:00"/>
    <d v="2025-07-03T00:00:00"/>
  </r>
  <r>
    <n v="128"/>
    <x v="14"/>
    <x v="127"/>
    <n v="3"/>
    <d v="2025-07-15T00:00:00"/>
    <d v="2025-07-18T00:00:00"/>
  </r>
  <r>
    <n v="129"/>
    <x v="6"/>
    <x v="128"/>
    <n v="2"/>
    <d v="2025-07-25T00:00:00"/>
    <d v="2025-07-28T00:00:00"/>
  </r>
  <r>
    <n v="130"/>
    <x v="1"/>
    <x v="129"/>
    <n v="2"/>
    <d v="2025-07-25T00:00:00"/>
    <d v="2025-07-28T00:00:00"/>
  </r>
  <r>
    <n v="131"/>
    <x v="29"/>
    <x v="130"/>
    <n v="1"/>
    <d v="2025-05-01T00:00:00"/>
    <d v="2025-05-03T00:00:00"/>
  </r>
  <r>
    <n v="132"/>
    <x v="21"/>
    <x v="131"/>
    <n v="1"/>
    <d v="2025-05-01T00:00:00"/>
    <d v="2025-05-03T00:00:00"/>
  </r>
  <r>
    <n v="133"/>
    <x v="16"/>
    <x v="132"/>
    <n v="2"/>
    <d v="2025-07-25T00:00:00"/>
    <d v="2025-07-28T00:00:00"/>
  </r>
  <r>
    <n v="134"/>
    <x v="24"/>
    <x v="133"/>
    <n v="2"/>
    <d v="2025-06-10T00:00:00"/>
    <d v="2025-06-15T00:00:00"/>
  </r>
  <r>
    <n v="135"/>
    <x v="1"/>
    <x v="134"/>
    <n v="2"/>
    <d v="2025-07-25T00:00:00"/>
    <d v="2025-07-28T00:00:00"/>
  </r>
  <r>
    <n v="136"/>
    <x v="17"/>
    <x v="135"/>
    <n v="1"/>
    <d v="2025-07-25T00:00:00"/>
    <d v="2025-07-28T00:00:00"/>
  </r>
  <r>
    <n v="137"/>
    <x v="27"/>
    <x v="136"/>
    <n v="3"/>
    <d v="2025-08-02T00:00:00"/>
    <d v="2025-08-06T00:00:00"/>
  </r>
  <r>
    <n v="138"/>
    <x v="7"/>
    <x v="137"/>
    <n v="3"/>
    <d v="2025-08-02T00:00:00"/>
    <d v="2025-08-06T00:00:00"/>
  </r>
  <r>
    <n v="139"/>
    <x v="26"/>
    <x v="138"/>
    <n v="3"/>
    <d v="2025-08-02T00:00:00"/>
    <d v="2025-08-06T00:00:00"/>
  </r>
  <r>
    <n v="140"/>
    <x v="14"/>
    <x v="139"/>
    <n v="2"/>
    <d v="2025-06-10T00:00:00"/>
    <d v="2025-06-15T00:00:00"/>
  </r>
  <r>
    <n v="141"/>
    <x v="7"/>
    <x v="140"/>
    <n v="2"/>
    <d v="2025-07-15T00:00:00"/>
    <d v="2025-07-18T00:00:00"/>
  </r>
  <r>
    <n v="142"/>
    <x v="10"/>
    <x v="141"/>
    <n v="3"/>
    <d v="2025-08-02T00:00:00"/>
    <d v="2025-08-06T00:00:00"/>
  </r>
  <r>
    <n v="143"/>
    <x v="28"/>
    <x v="142"/>
    <n v="2"/>
    <d v="2025-08-02T00:00:00"/>
    <d v="2025-08-06T00:00:00"/>
  </r>
  <r>
    <n v="144"/>
    <x v="12"/>
    <x v="143"/>
    <n v="2"/>
    <d v="2025-08-02T00:00:00"/>
    <d v="2025-08-06T00:00:00"/>
  </r>
  <r>
    <n v="145"/>
    <x v="3"/>
    <x v="144"/>
    <n v="2"/>
    <d v="2025-06-10T00:00:00"/>
    <d v="2025-06-15T00:00:00"/>
  </r>
  <r>
    <n v="146"/>
    <x v="0"/>
    <x v="145"/>
    <n v="2"/>
    <d v="2025-08-02T00:00:00"/>
    <d v="2025-08-06T00:00:00"/>
  </r>
  <r>
    <n v="147"/>
    <x v="20"/>
    <x v="146"/>
    <n v="2"/>
    <d v="2025-07-01T00:00:00"/>
    <d v="2025-07-03T00:00:00"/>
  </r>
  <r>
    <n v="148"/>
    <x v="14"/>
    <x v="147"/>
    <n v="2"/>
    <d v="2025-06-10T00:00:00"/>
    <d v="2025-06-15T00:00:00"/>
  </r>
  <r>
    <n v="149"/>
    <x v="25"/>
    <x v="148"/>
    <n v="2"/>
    <d v="2025-08-02T00:00:00"/>
    <d v="2025-08-06T00:00:00"/>
  </r>
  <r>
    <n v="150"/>
    <x v="20"/>
    <x v="149"/>
    <n v="1"/>
    <d v="2025-08-02T00:00:00"/>
    <d v="2025-08-06T00:00:00"/>
  </r>
  <r>
    <n v="151"/>
    <x v="0"/>
    <x v="0"/>
    <n v="1"/>
    <d v="2025-08-02T00:00:00"/>
    <d v="2025-08-06T00:00:00"/>
  </r>
  <r>
    <n v="152"/>
    <x v="10"/>
    <x v="89"/>
    <n v="1"/>
    <d v="2025-08-02T00:00:00"/>
    <d v="2025-08-06T00:00:00"/>
  </r>
  <r>
    <n v="153"/>
    <x v="21"/>
    <x v="83"/>
    <n v="2"/>
    <d v="2025-06-10T00:00:00"/>
    <d v="2025-06-15T00:00:00"/>
  </r>
  <r>
    <n v="154"/>
    <x v="16"/>
    <x v="97"/>
    <n v="2"/>
    <d v="2025-07-15T00:00:00"/>
    <d v="2025-07-18T00:00:00"/>
  </r>
  <r>
    <n v="155"/>
    <x v="0"/>
    <x v="121"/>
    <n v="1"/>
    <d v="2025-08-02T00:00:00"/>
    <d v="2025-08-06T00:00:00"/>
  </r>
  <r>
    <n v="156"/>
    <x v="12"/>
    <x v="99"/>
    <n v="2"/>
    <d v="2025-08-10T00:00:00"/>
    <d v="2025-08-12T00:00:00"/>
  </r>
  <r>
    <n v="157"/>
    <x v="21"/>
    <x v="131"/>
    <n v="2"/>
    <d v="2025-08-10T00:00:00"/>
    <d v="2025-08-12T00:00:00"/>
  </r>
  <r>
    <n v="158"/>
    <x v="4"/>
    <x v="82"/>
    <n v="2"/>
    <d v="2025-08-10T00:00:00"/>
    <d v="2025-08-12T00:00:00"/>
  </r>
  <r>
    <n v="159"/>
    <x v="29"/>
    <x v="130"/>
    <n v="2"/>
    <d v="2025-08-10T00:00:00"/>
    <d v="2025-08-12T00:00:00"/>
  </r>
  <r>
    <n v="160"/>
    <x v="10"/>
    <x v="89"/>
    <n v="1"/>
    <d v="2025-07-01T00:00:00"/>
    <d v="2025-07-03T00:00:00"/>
  </r>
  <r>
    <n v="161"/>
    <x v="24"/>
    <x v="133"/>
    <n v="2"/>
    <d v="2025-06-10T00:00:00"/>
    <d v="2025-06-15T00:00:00"/>
  </r>
  <r>
    <n v="162"/>
    <x v="9"/>
    <x v="95"/>
    <n v="2"/>
    <d v="2025-08-10T00:00:00"/>
    <d v="2025-08-12T00:00:00"/>
  </r>
  <r>
    <n v="163"/>
    <x v="0"/>
    <x v="121"/>
    <n v="2"/>
    <d v="2025-08-10T00:00:00"/>
    <d v="2025-08-12T00:00:00"/>
  </r>
  <r>
    <n v="164"/>
    <x v="21"/>
    <x v="83"/>
    <n v="1"/>
    <d v="2025-08-14T00:00:00"/>
    <d v="2025-08-17T00:00:00"/>
  </r>
  <r>
    <n v="165"/>
    <x v="17"/>
    <x v="135"/>
    <n v="1"/>
    <d v="2025-08-14T00:00:00"/>
    <d v="2025-08-17T00:00:00"/>
  </r>
  <r>
    <n v="166"/>
    <x v="8"/>
    <x v="124"/>
    <n v="1"/>
    <d v="2025-08-14T00:00:00"/>
    <d v="2025-08-17T00:00:00"/>
  </r>
  <r>
    <n v="167"/>
    <x v="24"/>
    <x v="133"/>
    <n v="1"/>
    <d v="2025-08-14T00:00:00"/>
    <d v="2025-08-17T00:00:00"/>
  </r>
  <r>
    <n v="168"/>
    <x v="4"/>
    <x v="82"/>
    <n v="3"/>
    <d v="2025-08-14T00:00:00"/>
    <d v="2025-08-17T00:00:00"/>
  </r>
  <r>
    <n v="169"/>
    <x v="6"/>
    <x v="128"/>
    <n v="2"/>
    <d v="2025-07-15T00:00:00"/>
    <d v="2025-07-18T00:00:00"/>
  </r>
  <r>
    <n v="170"/>
    <x v="4"/>
    <x v="72"/>
    <n v="1"/>
    <d v="2025-07-01T00:00:00"/>
    <d v="2025-07-03T00:00:00"/>
  </r>
  <r>
    <n v="171"/>
    <x v="16"/>
    <x v="106"/>
    <n v="2"/>
    <d v="2025-06-01T00:00:00"/>
    <d v="2025-06-04T00:00:00"/>
  </r>
  <r>
    <n v="172"/>
    <x v="24"/>
    <x v="133"/>
    <n v="3"/>
    <d v="2025-08-14T00:00:00"/>
    <d v="2025-08-17T00:00:00"/>
  </r>
  <r>
    <n v="173"/>
    <x v="17"/>
    <x v="135"/>
    <n v="3"/>
    <d v="2025-08-14T00:00:00"/>
    <d v="2025-08-17T00:00:00"/>
  </r>
  <r>
    <n v="174"/>
    <x v="12"/>
    <x v="99"/>
    <n v="3"/>
    <d v="2025-08-14T00:00:00"/>
    <d v="2025-08-17T00:00:00"/>
  </r>
  <r>
    <n v="175"/>
    <x v="0"/>
    <x v="121"/>
    <n v="4"/>
    <d v="2025-08-14T00:00:00"/>
    <d v="2025-08-17T00:00:00"/>
  </r>
  <r>
    <n v="176"/>
    <x v="21"/>
    <x v="83"/>
    <n v="4"/>
    <d v="2025-06-01T00:00:00"/>
    <d v="2025-06-04T00:00:00"/>
  </r>
  <r>
    <n v="177"/>
    <x v="27"/>
    <x v="136"/>
    <n v="3"/>
    <d v="2025-07-01T00:00:00"/>
    <d v="2025-07-14T00:00:00"/>
  </r>
  <r>
    <n v="178"/>
    <x v="14"/>
    <x v="126"/>
    <n v="4"/>
    <d v="2025-08-14T00:00:00"/>
    <d v="2025-08-17T00:00:00"/>
  </r>
  <r>
    <n v="179"/>
    <x v="8"/>
    <x v="124"/>
    <n v="2"/>
    <d v="2025-08-14T00:00:00"/>
    <d v="2025-08-17T00:00:00"/>
  </r>
  <r>
    <n v="180"/>
    <x v="12"/>
    <x v="99"/>
    <n v="4"/>
    <d v="2025-06-01T00:00:00"/>
    <d v="2025-06-04T00:00:00"/>
  </r>
  <r>
    <n v="181"/>
    <x v="17"/>
    <x v="135"/>
    <n v="1"/>
    <d v="2025-06-01T00:00:00"/>
    <d v="2025-06-04T00:00:00"/>
  </r>
  <r>
    <n v="182"/>
    <x v="29"/>
    <x v="130"/>
    <n v="2"/>
    <d v="2025-08-14T00:00:00"/>
    <d v="2025-08-17T00:00:00"/>
  </r>
  <r>
    <n v="183"/>
    <x v="7"/>
    <x v="137"/>
    <n v="2"/>
    <d v="2025-08-14T00:00:00"/>
    <d v="2025-08-17T00:00:00"/>
  </r>
  <r>
    <n v="184"/>
    <x v="0"/>
    <x v="0"/>
    <n v="2"/>
    <d v="2025-08-14T00:00:00"/>
    <d v="2025-08-17T00:00:00"/>
  </r>
  <r>
    <n v="185"/>
    <x v="27"/>
    <x v="136"/>
    <n v="2"/>
    <d v="2025-08-14T00:00:00"/>
    <d v="2025-08-17T00:00:00"/>
  </r>
  <r>
    <n v="186"/>
    <x v="4"/>
    <x v="82"/>
    <n v="2"/>
    <d v="2025-08-14T00:00:00"/>
    <d v="2025-08-17T00:00:00"/>
  </r>
  <r>
    <n v="187"/>
    <x v="23"/>
    <x v="94"/>
    <n v="2"/>
    <d v="2025-08-14T00:00:00"/>
    <d v="2025-08-17T00:00:00"/>
  </r>
  <r>
    <n v="188"/>
    <x v="7"/>
    <x v="137"/>
    <n v="2"/>
    <d v="2025-08-16T00:00:00"/>
    <d v="2025-08-17T00:00:00"/>
  </r>
  <r>
    <n v="189"/>
    <x v="26"/>
    <x v="138"/>
    <n v="3"/>
    <d v="2025-08-20T00:00:00"/>
    <d v="2025-08-22T00:00:00"/>
  </r>
  <r>
    <n v="190"/>
    <x v="24"/>
    <x v="60"/>
    <n v="3"/>
    <d v="2025-08-20T00:00:00"/>
    <d v="2025-08-22T00:00:00"/>
  </r>
  <r>
    <n v="191"/>
    <x v="21"/>
    <x v="83"/>
    <n v="3"/>
    <d v="2025-08-20T00:00:00"/>
    <d v="2025-08-22T00:00:00"/>
  </r>
  <r>
    <n v="192"/>
    <x v="10"/>
    <x v="141"/>
    <n v="1"/>
    <d v="2025-06-01T00:00:00"/>
    <d v="2025-06-04T00:00:00"/>
  </r>
  <r>
    <n v="193"/>
    <x v="23"/>
    <x v="94"/>
    <n v="1"/>
    <d v="2025-06-01T00:00:00"/>
    <d v="2025-06-04T00:00:00"/>
  </r>
  <r>
    <n v="194"/>
    <x v="10"/>
    <x v="89"/>
    <n v="3"/>
    <d v="2025-08-20T00:00:00"/>
    <d v="2025-08-22T00:00:00"/>
  </r>
  <r>
    <n v="195"/>
    <x v="21"/>
    <x v="83"/>
    <n v="1"/>
    <d v="2025-08-28T00:00:00"/>
    <d v="2025-08-29T00:00:00"/>
  </r>
  <r>
    <n v="196"/>
    <x v="24"/>
    <x v="133"/>
    <n v="1"/>
    <d v="2025-08-28T00:00:00"/>
    <d v="2025-08-29T00:00:00"/>
  </r>
  <r>
    <n v="197"/>
    <x v="5"/>
    <x v="5"/>
    <n v="1"/>
    <d v="2025-08-28T00:00:00"/>
    <d v="2025-08-29T00:00:00"/>
  </r>
  <r>
    <n v="198"/>
    <x v="24"/>
    <x v="114"/>
    <n v="2"/>
    <d v="2025-07-01T00:00:00"/>
    <d v="2025-07-14T00:00:00"/>
  </r>
  <r>
    <n v="199"/>
    <x v="12"/>
    <x v="99"/>
    <n v="3"/>
    <d v="2025-06-01T00:00:00"/>
    <d v="2025-06-04T00:00:00"/>
  </r>
  <r>
    <n v="200"/>
    <x v="21"/>
    <x v="83"/>
    <n v="3"/>
    <d v="2025-06-01T00:00:00"/>
    <d v="2025-06-0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n v="2"/>
    <d v="2025-05-01T00:00:00"/>
    <d v="2025-05-03T00:00:00"/>
    <n v="2"/>
    <n v="240"/>
    <n v="480"/>
  </r>
  <r>
    <n v="2"/>
    <x v="1"/>
    <x v="1"/>
    <n v="3"/>
    <d v="2025-05-10T00:00:00"/>
    <d v="2025-05-15T00:00:00"/>
    <n v="5"/>
    <n v="320"/>
    <n v="1600"/>
  </r>
  <r>
    <n v="3"/>
    <x v="2"/>
    <x v="2"/>
    <n v="2"/>
    <d v="2025-06-01T00:00:00"/>
    <d v="2025-06-04T00:00:00"/>
    <n v="3"/>
    <n v="240"/>
    <n v="720"/>
  </r>
  <r>
    <n v="4"/>
    <x v="3"/>
    <x v="3"/>
    <n v="2"/>
    <d v="2025-05-26T00:00:00"/>
    <d v="2025-05-28T00:00:00"/>
    <n v="2"/>
    <n v="240"/>
    <n v="480"/>
  </r>
  <r>
    <n v="5"/>
    <x v="4"/>
    <x v="4"/>
    <n v="1"/>
    <d v="2025-05-18T00:00:00"/>
    <d v="2025-05-21T00:00:00"/>
    <n v="3"/>
    <n v="140"/>
    <n v="420"/>
  </r>
  <r>
    <n v="6"/>
    <x v="5"/>
    <x v="5"/>
    <n v="3"/>
    <d v="2025-06-08T00:00:00"/>
    <d v="2025-06-09T00:00:00"/>
    <n v="1"/>
    <n v="320"/>
    <n v="320"/>
  </r>
  <r>
    <n v="7"/>
    <x v="6"/>
    <x v="6"/>
    <n v="3"/>
    <d v="2025-05-10T00:00:00"/>
    <d v="2025-05-15T00:00:00"/>
    <n v="5"/>
    <n v="320"/>
    <n v="1600"/>
  </r>
  <r>
    <n v="8"/>
    <x v="7"/>
    <x v="7"/>
    <n v="2"/>
    <d v="2025-06-17T00:00:00"/>
    <d v="2025-06-19T00:00:00"/>
    <n v="2"/>
    <n v="240"/>
    <n v="480"/>
  </r>
  <r>
    <n v="9"/>
    <x v="1"/>
    <x v="8"/>
    <n v="2"/>
    <d v="2025-07-01T00:00:00"/>
    <d v="2025-07-03T00:00:00"/>
    <n v="2"/>
    <n v="240"/>
    <n v="480"/>
  </r>
  <r>
    <n v="10"/>
    <x v="8"/>
    <x v="9"/>
    <n v="2"/>
    <d v="2025-05-01T00:00:00"/>
    <d v="2025-05-03T00:00:00"/>
    <n v="2"/>
    <n v="240"/>
    <n v="480"/>
  </r>
  <r>
    <n v="11"/>
    <x v="1"/>
    <x v="10"/>
    <n v="4"/>
    <d v="2025-07-15T00:00:00"/>
    <d v="2025-07-18T00:00:00"/>
    <n v="3"/>
    <n v="400"/>
    <n v="1200"/>
  </r>
  <r>
    <n v="12"/>
    <x v="9"/>
    <x v="11"/>
    <n v="1"/>
    <d v="2025-05-05T00:00:00"/>
    <d v="2025-05-09T00:00:00"/>
    <n v="4"/>
    <n v="140"/>
    <n v="560"/>
  </r>
  <r>
    <n v="13"/>
    <x v="8"/>
    <x v="12"/>
    <n v="2"/>
    <d v="2025-06-01T00:00:00"/>
    <d v="2025-06-04T00:00:00"/>
    <n v="3"/>
    <n v="240"/>
    <n v="720"/>
  </r>
  <r>
    <n v="14"/>
    <x v="10"/>
    <x v="13"/>
    <n v="1"/>
    <d v="2025-05-05T00:00:00"/>
    <d v="2025-05-09T00:00:00"/>
    <n v="4"/>
    <n v="140"/>
    <n v="560"/>
  </r>
  <r>
    <n v="15"/>
    <x v="0"/>
    <x v="14"/>
    <n v="1"/>
    <d v="2025-05-05T00:00:00"/>
    <d v="2025-05-09T00:00:00"/>
    <n v="4"/>
    <n v="140"/>
    <n v="560"/>
  </r>
  <r>
    <n v="16"/>
    <x v="11"/>
    <x v="15"/>
    <n v="1"/>
    <d v="2025-05-01T00:00:00"/>
    <d v="2025-05-03T00:00:00"/>
    <n v="2"/>
    <n v="140"/>
    <n v="280"/>
  </r>
  <r>
    <n v="17"/>
    <x v="12"/>
    <x v="16"/>
    <n v="2"/>
    <d v="2025-05-05T00:00:00"/>
    <d v="2025-05-09T00:00:00"/>
    <n v="4"/>
    <n v="240"/>
    <n v="960"/>
  </r>
  <r>
    <n v="18"/>
    <x v="13"/>
    <x v="17"/>
    <n v="2"/>
    <d v="2025-05-05T00:00:00"/>
    <d v="2025-05-09T00:00:00"/>
    <n v="4"/>
    <n v="240"/>
    <n v="960"/>
  </r>
  <r>
    <n v="19"/>
    <x v="14"/>
    <x v="18"/>
    <n v="2"/>
    <d v="2025-05-05T00:00:00"/>
    <d v="2025-05-09T00:00:00"/>
    <n v="4"/>
    <n v="240"/>
    <n v="960"/>
  </r>
  <r>
    <n v="20"/>
    <x v="15"/>
    <x v="19"/>
    <n v="2"/>
    <d v="2025-07-01T00:00:00"/>
    <d v="2025-07-03T00:00:00"/>
    <n v="2"/>
    <n v="240"/>
    <n v="480"/>
  </r>
  <r>
    <n v="21"/>
    <x v="6"/>
    <x v="20"/>
    <n v="2"/>
    <d v="2025-06-17T00:00:00"/>
    <d v="2025-06-19T00:00:00"/>
    <n v="2"/>
    <n v="240"/>
    <n v="480"/>
  </r>
  <r>
    <n v="22"/>
    <x v="16"/>
    <x v="21"/>
    <n v="2"/>
    <d v="2025-06-01T00:00:00"/>
    <d v="2025-06-04T00:00:00"/>
    <n v="3"/>
    <n v="240"/>
    <n v="720"/>
  </r>
  <r>
    <n v="23"/>
    <x v="17"/>
    <x v="22"/>
    <n v="3"/>
    <d v="2025-05-10T00:00:00"/>
    <d v="2025-05-15T00:00:00"/>
    <n v="5"/>
    <n v="320"/>
    <n v="1600"/>
  </r>
  <r>
    <n v="24"/>
    <x v="18"/>
    <x v="23"/>
    <n v="4"/>
    <d v="2025-07-15T00:00:00"/>
    <d v="2025-07-18T00:00:00"/>
    <n v="3"/>
    <n v="400"/>
    <n v="1200"/>
  </r>
  <r>
    <n v="25"/>
    <x v="19"/>
    <x v="24"/>
    <n v="2"/>
    <d v="2025-05-05T00:00:00"/>
    <d v="2025-05-09T00:00:00"/>
    <n v="4"/>
    <n v="240"/>
    <n v="960"/>
  </r>
  <r>
    <n v="26"/>
    <x v="20"/>
    <x v="25"/>
    <n v="2"/>
    <d v="2025-05-05T00:00:00"/>
    <d v="2025-05-09T00:00:00"/>
    <n v="4"/>
    <n v="240"/>
    <n v="960"/>
  </r>
  <r>
    <n v="27"/>
    <x v="12"/>
    <x v="26"/>
    <n v="3"/>
    <d v="2025-05-05T00:00:00"/>
    <d v="2025-05-09T00:00:00"/>
    <n v="4"/>
    <n v="320"/>
    <n v="1280"/>
  </r>
  <r>
    <n v="28"/>
    <x v="21"/>
    <x v="27"/>
    <n v="3"/>
    <d v="2025-05-05T00:00:00"/>
    <d v="2025-05-09T00:00:00"/>
    <n v="4"/>
    <n v="320"/>
    <n v="1280"/>
  </r>
  <r>
    <n v="29"/>
    <x v="6"/>
    <x v="28"/>
    <n v="3"/>
    <d v="2025-05-05T00:00:00"/>
    <d v="2025-05-09T00:00:00"/>
    <n v="4"/>
    <n v="320"/>
    <n v="1280"/>
  </r>
  <r>
    <n v="30"/>
    <x v="5"/>
    <x v="29"/>
    <n v="1"/>
    <d v="2025-07-15T00:00:00"/>
    <d v="2025-07-18T00:00:00"/>
    <n v="3"/>
    <n v="140"/>
    <n v="420"/>
  </r>
  <r>
    <n v="31"/>
    <x v="10"/>
    <x v="30"/>
    <n v="2"/>
    <d v="2025-07-01T00:00:00"/>
    <d v="2025-07-03T00:00:00"/>
    <n v="2"/>
    <n v="240"/>
    <n v="480"/>
  </r>
  <r>
    <n v="32"/>
    <x v="14"/>
    <x v="31"/>
    <n v="4"/>
    <d v="2025-06-17T00:00:00"/>
    <d v="2025-06-19T00:00:00"/>
    <n v="2"/>
    <n v="400"/>
    <n v="800"/>
  </r>
  <r>
    <n v="33"/>
    <x v="3"/>
    <x v="32"/>
    <n v="2"/>
    <d v="2025-06-01T00:00:00"/>
    <d v="2025-06-04T00:00:00"/>
    <n v="3"/>
    <n v="240"/>
    <n v="720"/>
  </r>
  <r>
    <n v="34"/>
    <x v="12"/>
    <x v="33"/>
    <n v="3"/>
    <d v="2025-05-05T00:00:00"/>
    <d v="2025-05-09T00:00:00"/>
    <n v="4"/>
    <n v="320"/>
    <n v="1280"/>
  </r>
  <r>
    <n v="35"/>
    <x v="0"/>
    <x v="34"/>
    <n v="4"/>
    <d v="2025-05-05T00:00:00"/>
    <d v="2025-05-09T00:00:00"/>
    <n v="4"/>
    <n v="400"/>
    <n v="1600"/>
  </r>
  <r>
    <n v="36"/>
    <x v="16"/>
    <x v="35"/>
    <n v="4"/>
    <d v="2025-05-05T00:00:00"/>
    <d v="2025-05-09T00:00:00"/>
    <n v="4"/>
    <n v="400"/>
    <n v="1600"/>
  </r>
  <r>
    <n v="37"/>
    <x v="9"/>
    <x v="36"/>
    <n v="1"/>
    <d v="2025-05-18T00:00:00"/>
    <d v="2025-05-21T00:00:00"/>
    <n v="3"/>
    <n v="140"/>
    <n v="420"/>
  </r>
  <r>
    <n v="38"/>
    <x v="22"/>
    <x v="37"/>
    <n v="2"/>
    <d v="2025-05-26T00:00:00"/>
    <d v="2025-05-28T00:00:00"/>
    <n v="2"/>
    <n v="240"/>
    <n v="480"/>
  </r>
  <r>
    <n v="39"/>
    <x v="22"/>
    <x v="38"/>
    <n v="2"/>
    <d v="2025-06-17T00:00:00"/>
    <d v="2025-06-19T00:00:00"/>
    <n v="2"/>
    <n v="240"/>
    <n v="480"/>
  </r>
  <r>
    <n v="40"/>
    <x v="20"/>
    <x v="39"/>
    <n v="2"/>
    <d v="2025-06-20T00:00:00"/>
    <d v="2025-06-22T00:00:00"/>
    <n v="2"/>
    <n v="240"/>
    <n v="480"/>
  </r>
  <r>
    <n v="41"/>
    <x v="19"/>
    <x v="40"/>
    <n v="2"/>
    <d v="2025-06-20T00:00:00"/>
    <d v="2025-06-22T00:00:00"/>
    <n v="2"/>
    <n v="240"/>
    <n v="480"/>
  </r>
  <r>
    <n v="42"/>
    <x v="4"/>
    <x v="41"/>
    <n v="2"/>
    <d v="2025-06-20T00:00:00"/>
    <d v="2025-06-22T00:00:00"/>
    <n v="2"/>
    <n v="240"/>
    <n v="480"/>
  </r>
  <r>
    <n v="43"/>
    <x v="8"/>
    <x v="42"/>
    <n v="2"/>
    <d v="2025-06-20T00:00:00"/>
    <d v="2025-06-22T00:00:00"/>
    <n v="2"/>
    <n v="240"/>
    <n v="480"/>
  </r>
  <r>
    <n v="44"/>
    <x v="10"/>
    <x v="43"/>
    <n v="2"/>
    <d v="2025-06-20T00:00:00"/>
    <d v="2025-06-22T00:00:00"/>
    <n v="2"/>
    <n v="240"/>
    <n v="480"/>
  </r>
  <r>
    <n v="45"/>
    <x v="23"/>
    <x v="44"/>
    <n v="1"/>
    <d v="2025-07-15T00:00:00"/>
    <d v="2025-07-18T00:00:00"/>
    <n v="3"/>
    <n v="140"/>
    <n v="420"/>
  </r>
  <r>
    <n v="46"/>
    <x v="20"/>
    <x v="45"/>
    <n v="2"/>
    <d v="2025-06-01T00:00:00"/>
    <d v="2025-06-04T00:00:00"/>
    <n v="3"/>
    <n v="240"/>
    <n v="720"/>
  </r>
  <r>
    <n v="47"/>
    <x v="14"/>
    <x v="46"/>
    <n v="3"/>
    <d v="2025-06-08T00:00:00"/>
    <d v="2025-06-09T00:00:00"/>
    <n v="1"/>
    <n v="320"/>
    <n v="320"/>
  </r>
  <r>
    <n v="48"/>
    <x v="17"/>
    <x v="47"/>
    <n v="2"/>
    <d v="2025-05-26T00:00:00"/>
    <d v="2025-05-28T00:00:00"/>
    <n v="2"/>
    <n v="240"/>
    <n v="480"/>
  </r>
  <r>
    <n v="49"/>
    <x v="23"/>
    <x v="48"/>
    <n v="2"/>
    <d v="2025-06-20T00:00:00"/>
    <d v="2025-06-22T00:00:00"/>
    <n v="2"/>
    <n v="240"/>
    <n v="480"/>
  </r>
  <r>
    <n v="50"/>
    <x v="10"/>
    <x v="49"/>
    <n v="2"/>
    <d v="2025-06-20T00:00:00"/>
    <d v="2025-06-22T00:00:00"/>
    <n v="2"/>
    <n v="240"/>
    <n v="480"/>
  </r>
  <r>
    <n v="51"/>
    <x v="9"/>
    <x v="50"/>
    <n v="2"/>
    <d v="2025-06-20T00:00:00"/>
    <d v="2025-06-22T00:00:00"/>
    <n v="2"/>
    <n v="240"/>
    <n v="480"/>
  </r>
  <r>
    <n v="52"/>
    <x v="17"/>
    <x v="51"/>
    <n v="1"/>
    <d v="2025-06-20T00:00:00"/>
    <d v="2025-06-22T00:00:00"/>
    <n v="2"/>
    <n v="140"/>
    <n v="280"/>
  </r>
  <r>
    <n v="53"/>
    <x v="7"/>
    <x v="52"/>
    <n v="1"/>
    <d v="2025-06-20T00:00:00"/>
    <d v="2025-06-22T00:00:00"/>
    <n v="2"/>
    <n v="140"/>
    <n v="280"/>
  </r>
  <r>
    <n v="54"/>
    <x v="8"/>
    <x v="53"/>
    <n v="4"/>
    <d v="2025-06-17T00:00:00"/>
    <d v="2025-06-19T00:00:00"/>
    <n v="2"/>
    <n v="400"/>
    <n v="800"/>
  </r>
  <r>
    <n v="55"/>
    <x v="24"/>
    <x v="54"/>
    <n v="1"/>
    <d v="2025-05-18T00:00:00"/>
    <d v="2025-05-21T00:00:00"/>
    <n v="3"/>
    <n v="140"/>
    <n v="420"/>
  </r>
  <r>
    <n v="56"/>
    <x v="25"/>
    <x v="55"/>
    <n v="1"/>
    <d v="2025-07-15T00:00:00"/>
    <d v="2025-07-18T00:00:00"/>
    <n v="3"/>
    <n v="140"/>
    <n v="420"/>
  </r>
  <r>
    <n v="57"/>
    <x v="9"/>
    <x v="56"/>
    <n v="3"/>
    <d v="2025-06-25T00:00:00"/>
    <d v="2025-06-29T00:00:00"/>
    <n v="4"/>
    <n v="320"/>
    <n v="1280"/>
  </r>
  <r>
    <n v="58"/>
    <x v="18"/>
    <x v="57"/>
    <n v="3"/>
    <d v="2025-06-25T00:00:00"/>
    <d v="2025-06-29T00:00:00"/>
    <n v="4"/>
    <n v="320"/>
    <n v="1280"/>
  </r>
  <r>
    <n v="59"/>
    <x v="3"/>
    <x v="58"/>
    <n v="2"/>
    <d v="2025-06-01T00:00:00"/>
    <d v="2025-06-04T00:00:00"/>
    <n v="3"/>
    <n v="240"/>
    <n v="720"/>
  </r>
  <r>
    <n v="60"/>
    <x v="5"/>
    <x v="59"/>
    <n v="2"/>
    <d v="2025-06-01T00:00:00"/>
    <d v="2025-06-04T00:00:00"/>
    <n v="3"/>
    <n v="240"/>
    <n v="720"/>
  </r>
  <r>
    <n v="61"/>
    <x v="24"/>
    <x v="60"/>
    <n v="3"/>
    <d v="2025-05-01T00:00:00"/>
    <d v="2025-05-03T00:00:00"/>
    <n v="2"/>
    <n v="320"/>
    <n v="640"/>
  </r>
  <r>
    <n v="62"/>
    <x v="4"/>
    <x v="61"/>
    <n v="3"/>
    <d v="2025-05-10T00:00:00"/>
    <d v="2025-05-15T00:00:00"/>
    <n v="5"/>
    <n v="320"/>
    <n v="1600"/>
  </r>
  <r>
    <n v="63"/>
    <x v="3"/>
    <x v="62"/>
    <n v="4"/>
    <d v="2025-06-08T00:00:00"/>
    <d v="2025-06-09T00:00:00"/>
    <n v="1"/>
    <n v="400"/>
    <n v="400"/>
  </r>
  <r>
    <n v="64"/>
    <x v="25"/>
    <x v="63"/>
    <n v="1"/>
    <d v="2025-07-15T00:00:00"/>
    <d v="2025-07-18T00:00:00"/>
    <n v="3"/>
    <n v="140"/>
    <n v="420"/>
  </r>
  <r>
    <n v="65"/>
    <x v="11"/>
    <x v="64"/>
    <n v="3"/>
    <d v="2025-06-25T00:00:00"/>
    <d v="2025-06-29T00:00:00"/>
    <n v="4"/>
    <n v="320"/>
    <n v="1280"/>
  </r>
  <r>
    <n v="66"/>
    <x v="13"/>
    <x v="65"/>
    <n v="3"/>
    <d v="2025-06-25T00:00:00"/>
    <d v="2025-06-29T00:00:00"/>
    <n v="4"/>
    <n v="320"/>
    <n v="1280"/>
  </r>
  <r>
    <n v="67"/>
    <x v="3"/>
    <x v="66"/>
    <n v="2"/>
    <d v="2025-06-25T00:00:00"/>
    <d v="2025-06-29T00:00:00"/>
    <n v="4"/>
    <n v="240"/>
    <n v="960"/>
  </r>
  <r>
    <n v="68"/>
    <x v="7"/>
    <x v="67"/>
    <n v="2"/>
    <d v="2025-06-25T00:00:00"/>
    <d v="2025-06-29T00:00:00"/>
    <n v="4"/>
    <n v="240"/>
    <n v="960"/>
  </r>
  <r>
    <n v="69"/>
    <x v="6"/>
    <x v="68"/>
    <n v="2"/>
    <d v="2025-06-25T00:00:00"/>
    <d v="2025-06-29T00:00:00"/>
    <n v="4"/>
    <n v="240"/>
    <n v="960"/>
  </r>
  <r>
    <n v="70"/>
    <x v="2"/>
    <x v="69"/>
    <n v="4"/>
    <d v="2025-05-18T00:00:00"/>
    <d v="2025-05-21T00:00:00"/>
    <n v="3"/>
    <n v="400"/>
    <n v="1200"/>
  </r>
  <r>
    <n v="71"/>
    <x v="26"/>
    <x v="70"/>
    <n v="2"/>
    <d v="2025-06-25T00:00:00"/>
    <d v="2025-06-29T00:00:00"/>
    <n v="4"/>
    <n v="240"/>
    <n v="960"/>
  </r>
  <r>
    <n v="72"/>
    <x v="5"/>
    <x v="71"/>
    <n v="2"/>
    <d v="2025-06-25T00:00:00"/>
    <d v="2025-06-29T00:00:00"/>
    <n v="4"/>
    <n v="240"/>
    <n v="960"/>
  </r>
  <r>
    <n v="73"/>
    <x v="4"/>
    <x v="72"/>
    <n v="2"/>
    <d v="2025-06-25T00:00:00"/>
    <d v="2025-06-29T00:00:00"/>
    <n v="4"/>
    <n v="240"/>
    <n v="960"/>
  </r>
  <r>
    <n v="74"/>
    <x v="3"/>
    <x v="73"/>
    <n v="2"/>
    <d v="2025-06-25T00:00:00"/>
    <d v="2025-06-29T00:00:00"/>
    <n v="4"/>
    <n v="240"/>
    <n v="960"/>
  </r>
  <r>
    <n v="75"/>
    <x v="17"/>
    <x v="74"/>
    <n v="2"/>
    <d v="2025-05-26T00:00:00"/>
    <d v="2025-05-28T00:00:00"/>
    <n v="2"/>
    <n v="240"/>
    <n v="480"/>
  </r>
  <r>
    <n v="76"/>
    <x v="10"/>
    <x v="75"/>
    <n v="2"/>
    <d v="2025-07-01T00:00:00"/>
    <d v="2025-07-03T00:00:00"/>
    <n v="2"/>
    <n v="240"/>
    <n v="480"/>
  </r>
  <r>
    <n v="77"/>
    <x v="5"/>
    <x v="76"/>
    <n v="2"/>
    <d v="2025-06-25T00:00:00"/>
    <d v="2025-06-29T00:00:00"/>
    <n v="4"/>
    <n v="240"/>
    <n v="960"/>
  </r>
  <r>
    <n v="78"/>
    <x v="27"/>
    <x v="77"/>
    <n v="1"/>
    <d v="2025-06-25T00:00:00"/>
    <d v="2025-06-29T00:00:00"/>
    <n v="4"/>
    <n v="140"/>
    <n v="560"/>
  </r>
  <r>
    <n v="79"/>
    <x v="7"/>
    <x v="78"/>
    <n v="1"/>
    <d v="2025-06-25T00:00:00"/>
    <d v="2025-06-29T00:00:00"/>
    <n v="4"/>
    <n v="140"/>
    <n v="560"/>
  </r>
  <r>
    <n v="80"/>
    <x v="26"/>
    <x v="79"/>
    <n v="1"/>
    <d v="2025-06-25T00:00:00"/>
    <d v="2025-06-29T00:00:00"/>
    <n v="4"/>
    <n v="140"/>
    <n v="560"/>
  </r>
  <r>
    <n v="81"/>
    <x v="6"/>
    <x v="80"/>
    <n v="1"/>
    <d v="2025-07-05T00:00:00"/>
    <d v="2025-07-07T00:00:00"/>
    <n v="2"/>
    <n v="140"/>
    <n v="280"/>
  </r>
  <r>
    <n v="82"/>
    <x v="24"/>
    <x v="81"/>
    <n v="2"/>
    <d v="2025-05-26T00:00:00"/>
    <d v="2025-05-28T00:00:00"/>
    <n v="2"/>
    <n v="240"/>
    <n v="480"/>
  </r>
  <r>
    <n v="83"/>
    <x v="4"/>
    <x v="82"/>
    <n v="4"/>
    <d v="2025-06-08T00:00:00"/>
    <d v="2025-06-09T00:00:00"/>
    <n v="1"/>
    <n v="400"/>
    <n v="400"/>
  </r>
  <r>
    <n v="84"/>
    <x v="21"/>
    <x v="83"/>
    <n v="3"/>
    <d v="2025-05-01T00:00:00"/>
    <d v="2025-05-03T00:00:00"/>
    <n v="2"/>
    <n v="320"/>
    <n v="640"/>
  </r>
  <r>
    <n v="85"/>
    <x v="28"/>
    <x v="84"/>
    <n v="1"/>
    <d v="2025-07-05T00:00:00"/>
    <d v="2025-07-07T00:00:00"/>
    <n v="2"/>
    <n v="140"/>
    <n v="280"/>
  </r>
  <r>
    <n v="86"/>
    <x v="19"/>
    <x v="85"/>
    <n v="1"/>
    <d v="2025-07-05T00:00:00"/>
    <d v="2025-07-07T00:00:00"/>
    <n v="2"/>
    <n v="140"/>
    <n v="280"/>
  </r>
  <r>
    <n v="87"/>
    <x v="15"/>
    <x v="86"/>
    <n v="1"/>
    <d v="2025-07-05T00:00:00"/>
    <d v="2025-07-07T00:00:00"/>
    <n v="2"/>
    <n v="140"/>
    <n v="280"/>
  </r>
  <r>
    <n v="88"/>
    <x v="6"/>
    <x v="87"/>
    <n v="3"/>
    <d v="2025-07-05T00:00:00"/>
    <d v="2025-07-07T00:00:00"/>
    <n v="2"/>
    <n v="320"/>
    <n v="640"/>
  </r>
  <r>
    <n v="89"/>
    <x v="8"/>
    <x v="88"/>
    <n v="3"/>
    <d v="2025-07-05T00:00:00"/>
    <d v="2025-07-07T00:00:00"/>
    <n v="2"/>
    <n v="320"/>
    <n v="640"/>
  </r>
  <r>
    <n v="90"/>
    <x v="10"/>
    <x v="89"/>
    <n v="3"/>
    <d v="2025-07-05T00:00:00"/>
    <d v="2025-07-07T00:00:00"/>
    <n v="2"/>
    <n v="320"/>
    <n v="640"/>
  </r>
  <r>
    <n v="91"/>
    <x v="12"/>
    <x v="90"/>
    <n v="3"/>
    <d v="2025-07-05T00:00:00"/>
    <d v="2025-07-07T00:00:00"/>
    <n v="2"/>
    <n v="320"/>
    <n v="640"/>
  </r>
  <r>
    <n v="92"/>
    <x v="12"/>
    <x v="91"/>
    <n v="2"/>
    <d v="2025-07-10T00:00:00"/>
    <d v="2025-07-14T00:00:00"/>
    <n v="4"/>
    <n v="240"/>
    <n v="960"/>
  </r>
  <r>
    <n v="93"/>
    <x v="0"/>
    <x v="92"/>
    <n v="3"/>
    <d v="2025-07-15T00:00:00"/>
    <d v="2025-07-18T00:00:00"/>
    <n v="3"/>
    <n v="320"/>
    <n v="960"/>
  </r>
  <r>
    <n v="94"/>
    <x v="1"/>
    <x v="93"/>
    <n v="1"/>
    <d v="2025-07-01T00:00:00"/>
    <d v="2025-07-03T00:00:00"/>
    <n v="2"/>
    <n v="140"/>
    <n v="280"/>
  </r>
  <r>
    <n v="95"/>
    <x v="23"/>
    <x v="94"/>
    <n v="1"/>
    <d v="2025-05-18T00:00:00"/>
    <d v="2025-05-21T00:00:00"/>
    <n v="3"/>
    <n v="140"/>
    <n v="420"/>
  </r>
  <r>
    <n v="96"/>
    <x v="9"/>
    <x v="95"/>
    <n v="2"/>
    <d v="2025-07-10T00:00:00"/>
    <d v="2025-07-14T00:00:00"/>
    <n v="4"/>
    <n v="240"/>
    <n v="960"/>
  </r>
  <r>
    <n v="97"/>
    <x v="10"/>
    <x v="96"/>
    <n v="2"/>
    <d v="2025-07-10T00:00:00"/>
    <d v="2025-07-14T00:00:00"/>
    <n v="4"/>
    <n v="240"/>
    <n v="960"/>
  </r>
  <r>
    <n v="98"/>
    <x v="16"/>
    <x v="97"/>
    <n v="2"/>
    <d v="2025-07-10T00:00:00"/>
    <d v="2025-07-14T00:00:00"/>
    <n v="4"/>
    <n v="240"/>
    <n v="960"/>
  </r>
  <r>
    <n v="99"/>
    <x v="26"/>
    <x v="98"/>
    <n v="2"/>
    <d v="2025-07-10T00:00:00"/>
    <d v="2025-07-14T00:00:00"/>
    <n v="4"/>
    <n v="240"/>
    <n v="960"/>
  </r>
  <r>
    <n v="100"/>
    <x v="12"/>
    <x v="99"/>
    <n v="2"/>
    <d v="2025-07-10T00:00:00"/>
    <d v="2025-07-14T00:00:00"/>
    <n v="4"/>
    <n v="240"/>
    <n v="960"/>
  </r>
  <r>
    <n v="101"/>
    <x v="28"/>
    <x v="100"/>
    <n v="3"/>
    <d v="2025-07-10T00:00:00"/>
    <d v="2025-07-14T00:00:00"/>
    <n v="4"/>
    <n v="320"/>
    <n v="1280"/>
  </r>
  <r>
    <n v="102"/>
    <x v="20"/>
    <x v="101"/>
    <n v="3"/>
    <d v="2025-07-10T00:00:00"/>
    <d v="2025-07-14T00:00:00"/>
    <n v="4"/>
    <n v="320"/>
    <n v="1280"/>
  </r>
  <r>
    <n v="103"/>
    <x v="11"/>
    <x v="102"/>
    <n v="3"/>
    <d v="2025-07-10T00:00:00"/>
    <d v="2025-07-14T00:00:00"/>
    <n v="4"/>
    <n v="320"/>
    <n v="1280"/>
  </r>
  <r>
    <n v="104"/>
    <x v="7"/>
    <x v="103"/>
    <n v="3"/>
    <d v="2025-06-08T00:00:00"/>
    <d v="2025-06-09T00:00:00"/>
    <n v="1"/>
    <n v="320"/>
    <n v="320"/>
  </r>
  <r>
    <n v="105"/>
    <x v="5"/>
    <x v="104"/>
    <n v="2"/>
    <d v="2025-05-26T00:00:00"/>
    <d v="2025-05-28T00:00:00"/>
    <n v="2"/>
    <n v="240"/>
    <n v="480"/>
  </r>
  <r>
    <n v="106"/>
    <x v="25"/>
    <x v="105"/>
    <n v="3"/>
    <d v="2025-07-15T00:00:00"/>
    <d v="2025-07-18T00:00:00"/>
    <n v="3"/>
    <n v="320"/>
    <n v="960"/>
  </r>
  <r>
    <n v="107"/>
    <x v="16"/>
    <x v="106"/>
    <n v="3"/>
    <d v="2025-07-10T00:00:00"/>
    <d v="2025-07-14T00:00:00"/>
    <n v="4"/>
    <n v="320"/>
    <n v="1280"/>
  </r>
  <r>
    <n v="108"/>
    <x v="22"/>
    <x v="107"/>
    <n v="1"/>
    <d v="2025-07-10T00:00:00"/>
    <d v="2025-07-14T00:00:00"/>
    <n v="4"/>
    <n v="140"/>
    <n v="560"/>
  </r>
  <r>
    <n v="109"/>
    <x v="8"/>
    <x v="108"/>
    <n v="1"/>
    <d v="2025-07-20T00:00:00"/>
    <d v="2025-07-21T00:00:00"/>
    <n v="1"/>
    <n v="140"/>
    <n v="140"/>
  </r>
  <r>
    <n v="110"/>
    <x v="13"/>
    <x v="109"/>
    <n v="2"/>
    <d v="2025-05-26T00:00:00"/>
    <d v="2025-05-28T00:00:00"/>
    <n v="2"/>
    <n v="240"/>
    <n v="480"/>
  </r>
  <r>
    <n v="111"/>
    <x v="1"/>
    <x v="110"/>
    <n v="1"/>
    <d v="2025-07-20T00:00:00"/>
    <d v="2025-07-21T00:00:00"/>
    <n v="1"/>
    <n v="140"/>
    <n v="140"/>
  </r>
  <r>
    <n v="112"/>
    <x v="16"/>
    <x v="111"/>
    <n v="1"/>
    <d v="2025-07-20T00:00:00"/>
    <d v="2025-07-21T00:00:00"/>
    <n v="1"/>
    <n v="140"/>
    <n v="140"/>
  </r>
  <r>
    <n v="113"/>
    <x v="24"/>
    <x v="112"/>
    <n v="1"/>
    <d v="2025-07-20T00:00:00"/>
    <d v="2025-07-21T00:00:00"/>
    <n v="1"/>
    <n v="140"/>
    <n v="140"/>
  </r>
  <r>
    <n v="114"/>
    <x v="27"/>
    <x v="113"/>
    <n v="2"/>
    <d v="2025-07-20T00:00:00"/>
    <d v="2025-07-21T00:00:00"/>
    <n v="1"/>
    <n v="240"/>
    <n v="240"/>
  </r>
  <r>
    <n v="115"/>
    <x v="24"/>
    <x v="114"/>
    <n v="2"/>
    <d v="2025-07-20T00:00:00"/>
    <d v="2025-07-21T00:00:00"/>
    <n v="1"/>
    <n v="240"/>
    <n v="240"/>
  </r>
  <r>
    <n v="116"/>
    <x v="5"/>
    <x v="115"/>
    <n v="2"/>
    <d v="2025-07-20T00:00:00"/>
    <d v="2025-07-21T00:00:00"/>
    <n v="1"/>
    <n v="240"/>
    <n v="240"/>
  </r>
  <r>
    <n v="117"/>
    <x v="4"/>
    <x v="116"/>
    <n v="2"/>
    <d v="2025-07-20T00:00:00"/>
    <d v="2025-07-21T00:00:00"/>
    <n v="1"/>
    <n v="240"/>
    <n v="240"/>
  </r>
  <r>
    <n v="118"/>
    <x v="22"/>
    <x v="117"/>
    <n v="3"/>
    <d v="2025-07-15T00:00:00"/>
    <d v="2025-07-18T00:00:00"/>
    <n v="3"/>
    <n v="320"/>
    <n v="960"/>
  </r>
  <r>
    <n v="119"/>
    <x v="26"/>
    <x v="118"/>
    <n v="2"/>
    <d v="2025-05-26T00:00:00"/>
    <d v="2025-05-28T00:00:00"/>
    <n v="2"/>
    <n v="240"/>
    <n v="480"/>
  </r>
  <r>
    <n v="120"/>
    <x v="9"/>
    <x v="119"/>
    <n v="4"/>
    <d v="2025-05-18T00:00:00"/>
    <d v="2025-05-21T00:00:00"/>
    <n v="3"/>
    <n v="400"/>
    <n v="1200"/>
  </r>
  <r>
    <n v="121"/>
    <x v="0"/>
    <x v="120"/>
    <n v="2"/>
    <d v="2025-07-25T00:00:00"/>
    <d v="2025-07-28T00:00:00"/>
    <n v="3"/>
    <n v="240"/>
    <n v="720"/>
  </r>
  <r>
    <n v="122"/>
    <x v="0"/>
    <x v="121"/>
    <n v="2"/>
    <d v="2025-07-25T00:00:00"/>
    <d v="2025-07-28T00:00:00"/>
    <n v="3"/>
    <n v="240"/>
    <n v="720"/>
  </r>
  <r>
    <n v="123"/>
    <x v="1"/>
    <x v="122"/>
    <n v="2"/>
    <d v="2025-07-25T00:00:00"/>
    <d v="2025-07-28T00:00:00"/>
    <n v="3"/>
    <n v="240"/>
    <n v="720"/>
  </r>
  <r>
    <n v="124"/>
    <x v="19"/>
    <x v="123"/>
    <n v="2"/>
    <d v="2025-07-25T00:00:00"/>
    <d v="2025-07-28T00:00:00"/>
    <n v="3"/>
    <n v="240"/>
    <n v="720"/>
  </r>
  <r>
    <n v="125"/>
    <x v="8"/>
    <x v="124"/>
    <n v="3"/>
    <d v="2025-05-01T00:00:00"/>
    <d v="2025-05-03T00:00:00"/>
    <n v="2"/>
    <n v="320"/>
    <n v="640"/>
  </r>
  <r>
    <n v="126"/>
    <x v="0"/>
    <x v="125"/>
    <n v="3"/>
    <d v="2025-06-08T00:00:00"/>
    <d v="2025-06-09T00:00:00"/>
    <n v="1"/>
    <n v="320"/>
    <n v="320"/>
  </r>
  <r>
    <n v="127"/>
    <x v="14"/>
    <x v="126"/>
    <n v="1"/>
    <d v="2025-07-01T00:00:00"/>
    <d v="2025-07-03T00:00:00"/>
    <n v="2"/>
    <n v="140"/>
    <n v="280"/>
  </r>
  <r>
    <n v="128"/>
    <x v="14"/>
    <x v="127"/>
    <n v="3"/>
    <d v="2025-07-15T00:00:00"/>
    <d v="2025-07-18T00:00:00"/>
    <n v="3"/>
    <n v="320"/>
    <n v="960"/>
  </r>
  <r>
    <n v="129"/>
    <x v="6"/>
    <x v="128"/>
    <n v="2"/>
    <d v="2025-07-25T00:00:00"/>
    <d v="2025-07-28T00:00:00"/>
    <n v="3"/>
    <n v="240"/>
    <n v="720"/>
  </r>
  <r>
    <n v="130"/>
    <x v="1"/>
    <x v="129"/>
    <n v="2"/>
    <d v="2025-07-25T00:00:00"/>
    <d v="2025-07-28T00:00:00"/>
    <n v="3"/>
    <n v="240"/>
    <n v="720"/>
  </r>
  <r>
    <n v="131"/>
    <x v="29"/>
    <x v="130"/>
    <n v="1"/>
    <d v="2025-05-01T00:00:00"/>
    <d v="2025-05-03T00:00:00"/>
    <n v="2"/>
    <n v="140"/>
    <n v="280"/>
  </r>
  <r>
    <n v="132"/>
    <x v="21"/>
    <x v="131"/>
    <n v="1"/>
    <d v="2025-05-01T00:00:00"/>
    <d v="2025-05-03T00:00:00"/>
    <n v="2"/>
    <n v="140"/>
    <n v="280"/>
  </r>
  <r>
    <n v="133"/>
    <x v="16"/>
    <x v="132"/>
    <n v="2"/>
    <d v="2025-07-25T00:00:00"/>
    <d v="2025-07-28T00:00:00"/>
    <n v="3"/>
    <n v="240"/>
    <n v="720"/>
  </r>
  <r>
    <n v="134"/>
    <x v="24"/>
    <x v="133"/>
    <n v="2"/>
    <d v="2025-06-10T00:00:00"/>
    <d v="2025-06-15T00:00:00"/>
    <n v="5"/>
    <n v="240"/>
    <n v="1200"/>
  </r>
  <r>
    <n v="135"/>
    <x v="1"/>
    <x v="134"/>
    <n v="2"/>
    <d v="2025-07-25T00:00:00"/>
    <d v="2025-07-28T00:00:00"/>
    <n v="3"/>
    <n v="240"/>
    <n v="720"/>
  </r>
  <r>
    <n v="136"/>
    <x v="17"/>
    <x v="135"/>
    <n v="1"/>
    <d v="2025-07-25T00:00:00"/>
    <d v="2025-07-28T00:00:00"/>
    <n v="3"/>
    <n v="140"/>
    <n v="420"/>
  </r>
  <r>
    <n v="137"/>
    <x v="27"/>
    <x v="136"/>
    <n v="3"/>
    <d v="2025-08-02T00:00:00"/>
    <d v="2025-08-06T00:00:00"/>
    <n v="4"/>
    <n v="320"/>
    <n v="1280"/>
  </r>
  <r>
    <n v="138"/>
    <x v="7"/>
    <x v="137"/>
    <n v="3"/>
    <d v="2025-08-02T00:00:00"/>
    <d v="2025-08-06T00:00:00"/>
    <n v="4"/>
    <n v="320"/>
    <n v="1280"/>
  </r>
  <r>
    <n v="139"/>
    <x v="26"/>
    <x v="138"/>
    <n v="3"/>
    <d v="2025-08-02T00:00:00"/>
    <d v="2025-08-06T00:00:00"/>
    <n v="4"/>
    <n v="320"/>
    <n v="1280"/>
  </r>
  <r>
    <n v="140"/>
    <x v="14"/>
    <x v="139"/>
    <n v="2"/>
    <d v="2025-06-10T00:00:00"/>
    <d v="2025-06-15T00:00:00"/>
    <n v="5"/>
    <n v="240"/>
    <n v="1200"/>
  </r>
  <r>
    <n v="141"/>
    <x v="7"/>
    <x v="140"/>
    <n v="2"/>
    <d v="2025-07-15T00:00:00"/>
    <d v="2025-07-18T00:00:00"/>
    <n v="3"/>
    <n v="240"/>
    <n v="720"/>
  </r>
  <r>
    <n v="142"/>
    <x v="10"/>
    <x v="141"/>
    <n v="3"/>
    <d v="2025-08-02T00:00:00"/>
    <d v="2025-08-06T00:00:00"/>
    <n v="4"/>
    <n v="320"/>
    <n v="1280"/>
  </r>
  <r>
    <n v="143"/>
    <x v="28"/>
    <x v="142"/>
    <n v="2"/>
    <d v="2025-08-02T00:00:00"/>
    <d v="2025-08-06T00:00:00"/>
    <n v="4"/>
    <n v="240"/>
    <n v="960"/>
  </r>
  <r>
    <n v="144"/>
    <x v="12"/>
    <x v="143"/>
    <n v="2"/>
    <d v="2025-08-02T00:00:00"/>
    <d v="2025-08-06T00:00:00"/>
    <n v="4"/>
    <n v="240"/>
    <n v="960"/>
  </r>
  <r>
    <n v="145"/>
    <x v="3"/>
    <x v="144"/>
    <n v="2"/>
    <d v="2025-06-10T00:00:00"/>
    <d v="2025-06-15T00:00:00"/>
    <n v="5"/>
    <n v="240"/>
    <n v="1200"/>
  </r>
  <r>
    <n v="146"/>
    <x v="0"/>
    <x v="145"/>
    <n v="2"/>
    <d v="2025-08-02T00:00:00"/>
    <d v="2025-08-06T00:00:00"/>
    <n v="4"/>
    <n v="240"/>
    <n v="960"/>
  </r>
  <r>
    <n v="147"/>
    <x v="20"/>
    <x v="146"/>
    <n v="2"/>
    <d v="2025-07-01T00:00:00"/>
    <d v="2025-07-03T00:00:00"/>
    <n v="2"/>
    <n v="240"/>
    <n v="480"/>
  </r>
  <r>
    <n v="148"/>
    <x v="14"/>
    <x v="147"/>
    <n v="2"/>
    <d v="2025-06-10T00:00:00"/>
    <d v="2025-06-15T00:00:00"/>
    <n v="5"/>
    <n v="240"/>
    <n v="1200"/>
  </r>
  <r>
    <n v="149"/>
    <x v="25"/>
    <x v="148"/>
    <n v="2"/>
    <d v="2025-08-02T00:00:00"/>
    <d v="2025-08-06T00:00:00"/>
    <n v="4"/>
    <n v="240"/>
    <n v="960"/>
  </r>
  <r>
    <n v="150"/>
    <x v="20"/>
    <x v="149"/>
    <n v="1"/>
    <d v="2025-08-02T00:00:00"/>
    <d v="2025-08-06T00:00:00"/>
    <n v="4"/>
    <n v="140"/>
    <n v="560"/>
  </r>
  <r>
    <n v="151"/>
    <x v="0"/>
    <x v="0"/>
    <n v="1"/>
    <d v="2025-08-02T00:00:00"/>
    <d v="2025-08-06T00:00:00"/>
    <n v="4"/>
    <n v="140"/>
    <n v="560"/>
  </r>
  <r>
    <n v="152"/>
    <x v="10"/>
    <x v="89"/>
    <n v="1"/>
    <d v="2025-08-02T00:00:00"/>
    <d v="2025-08-06T00:00:00"/>
    <n v="4"/>
    <n v="140"/>
    <n v="560"/>
  </r>
  <r>
    <n v="153"/>
    <x v="21"/>
    <x v="83"/>
    <n v="2"/>
    <d v="2025-06-10T00:00:00"/>
    <d v="2025-06-15T00:00:00"/>
    <n v="5"/>
    <n v="240"/>
    <n v="1200"/>
  </r>
  <r>
    <n v="154"/>
    <x v="16"/>
    <x v="97"/>
    <n v="2"/>
    <d v="2025-07-15T00:00:00"/>
    <d v="2025-07-18T00:00:00"/>
    <n v="3"/>
    <n v="240"/>
    <n v="720"/>
  </r>
  <r>
    <n v="155"/>
    <x v="0"/>
    <x v="121"/>
    <n v="1"/>
    <d v="2025-08-02T00:00:00"/>
    <d v="2025-08-06T00:00:00"/>
    <n v="4"/>
    <n v="140"/>
    <n v="560"/>
  </r>
  <r>
    <n v="156"/>
    <x v="12"/>
    <x v="99"/>
    <n v="2"/>
    <d v="2025-08-10T00:00:00"/>
    <d v="2025-08-12T00:00:00"/>
    <n v="2"/>
    <n v="240"/>
    <n v="480"/>
  </r>
  <r>
    <n v="157"/>
    <x v="21"/>
    <x v="131"/>
    <n v="2"/>
    <d v="2025-08-10T00:00:00"/>
    <d v="2025-08-12T00:00:00"/>
    <n v="2"/>
    <n v="240"/>
    <n v="480"/>
  </r>
  <r>
    <n v="158"/>
    <x v="4"/>
    <x v="82"/>
    <n v="2"/>
    <d v="2025-08-10T00:00:00"/>
    <d v="2025-08-12T00:00:00"/>
    <n v="2"/>
    <n v="240"/>
    <n v="480"/>
  </r>
  <r>
    <n v="159"/>
    <x v="29"/>
    <x v="130"/>
    <n v="2"/>
    <d v="2025-08-10T00:00:00"/>
    <d v="2025-08-12T00:00:00"/>
    <n v="2"/>
    <n v="240"/>
    <n v="480"/>
  </r>
  <r>
    <n v="160"/>
    <x v="10"/>
    <x v="89"/>
    <n v="1"/>
    <d v="2025-07-01T00:00:00"/>
    <d v="2025-07-03T00:00:00"/>
    <n v="2"/>
    <n v="140"/>
    <n v="280"/>
  </r>
  <r>
    <n v="161"/>
    <x v="24"/>
    <x v="133"/>
    <n v="2"/>
    <d v="2025-06-10T00:00:00"/>
    <d v="2025-06-15T00:00:00"/>
    <n v="5"/>
    <n v="240"/>
    <n v="1200"/>
  </r>
  <r>
    <n v="162"/>
    <x v="9"/>
    <x v="95"/>
    <n v="2"/>
    <d v="2025-08-10T00:00:00"/>
    <d v="2025-08-12T00:00:00"/>
    <n v="2"/>
    <n v="240"/>
    <n v="480"/>
  </r>
  <r>
    <n v="163"/>
    <x v="0"/>
    <x v="121"/>
    <n v="2"/>
    <d v="2025-08-10T00:00:00"/>
    <d v="2025-08-12T00:00:00"/>
    <n v="2"/>
    <n v="240"/>
    <n v="480"/>
  </r>
  <r>
    <n v="164"/>
    <x v="21"/>
    <x v="83"/>
    <n v="1"/>
    <d v="2025-08-14T00:00:00"/>
    <d v="2025-08-17T00:00:00"/>
    <n v="3"/>
    <n v="140"/>
    <n v="420"/>
  </r>
  <r>
    <n v="165"/>
    <x v="17"/>
    <x v="135"/>
    <n v="1"/>
    <d v="2025-08-14T00:00:00"/>
    <d v="2025-08-17T00:00:00"/>
    <n v="3"/>
    <n v="140"/>
    <n v="420"/>
  </r>
  <r>
    <n v="166"/>
    <x v="8"/>
    <x v="124"/>
    <n v="1"/>
    <d v="2025-08-14T00:00:00"/>
    <d v="2025-08-17T00:00:00"/>
    <n v="3"/>
    <n v="140"/>
    <n v="420"/>
  </r>
  <r>
    <n v="167"/>
    <x v="24"/>
    <x v="133"/>
    <n v="1"/>
    <d v="2025-08-14T00:00:00"/>
    <d v="2025-08-17T00:00:00"/>
    <n v="3"/>
    <n v="140"/>
    <n v="420"/>
  </r>
  <r>
    <n v="168"/>
    <x v="4"/>
    <x v="82"/>
    <n v="3"/>
    <d v="2025-08-14T00:00:00"/>
    <d v="2025-08-17T00:00:00"/>
    <n v="3"/>
    <n v="320"/>
    <n v="960"/>
  </r>
  <r>
    <n v="169"/>
    <x v="6"/>
    <x v="128"/>
    <n v="2"/>
    <d v="2025-07-15T00:00:00"/>
    <d v="2025-07-18T00:00:00"/>
    <n v="3"/>
    <n v="240"/>
    <n v="720"/>
  </r>
  <r>
    <n v="170"/>
    <x v="4"/>
    <x v="72"/>
    <n v="1"/>
    <d v="2025-07-01T00:00:00"/>
    <d v="2025-07-03T00:00:00"/>
    <n v="2"/>
    <n v="140"/>
    <n v="280"/>
  </r>
  <r>
    <n v="171"/>
    <x v="16"/>
    <x v="106"/>
    <n v="2"/>
    <d v="2025-06-01T00:00:00"/>
    <d v="2025-06-04T00:00:00"/>
    <n v="3"/>
    <n v="240"/>
    <n v="720"/>
  </r>
  <r>
    <n v="172"/>
    <x v="24"/>
    <x v="133"/>
    <n v="3"/>
    <d v="2025-08-14T00:00:00"/>
    <d v="2025-08-17T00:00:00"/>
    <n v="3"/>
    <n v="320"/>
    <n v="960"/>
  </r>
  <r>
    <n v="173"/>
    <x v="17"/>
    <x v="135"/>
    <n v="3"/>
    <d v="2025-08-14T00:00:00"/>
    <d v="2025-08-17T00:00:00"/>
    <n v="3"/>
    <n v="320"/>
    <n v="960"/>
  </r>
  <r>
    <n v="174"/>
    <x v="12"/>
    <x v="99"/>
    <n v="3"/>
    <d v="2025-08-14T00:00:00"/>
    <d v="2025-08-17T00:00:00"/>
    <n v="3"/>
    <n v="320"/>
    <n v="960"/>
  </r>
  <r>
    <n v="175"/>
    <x v="0"/>
    <x v="121"/>
    <n v="4"/>
    <d v="2025-08-14T00:00:00"/>
    <d v="2025-08-17T00:00:00"/>
    <n v="3"/>
    <n v="400"/>
    <n v="1200"/>
  </r>
  <r>
    <n v="176"/>
    <x v="21"/>
    <x v="83"/>
    <n v="4"/>
    <d v="2025-06-01T00:00:00"/>
    <d v="2025-06-04T00:00:00"/>
    <n v="3"/>
    <n v="400"/>
    <n v="1200"/>
  </r>
  <r>
    <n v="177"/>
    <x v="27"/>
    <x v="136"/>
    <n v="3"/>
    <d v="2025-07-01T00:00:00"/>
    <d v="2025-07-14T00:00:00"/>
    <n v="13"/>
    <n v="320"/>
    <n v="4160"/>
  </r>
  <r>
    <n v="178"/>
    <x v="14"/>
    <x v="126"/>
    <n v="4"/>
    <d v="2025-08-14T00:00:00"/>
    <d v="2025-08-17T00:00:00"/>
    <n v="3"/>
    <n v="400"/>
    <n v="1200"/>
  </r>
  <r>
    <n v="179"/>
    <x v="8"/>
    <x v="124"/>
    <n v="2"/>
    <d v="2025-08-14T00:00:00"/>
    <d v="2025-08-17T00:00:00"/>
    <n v="3"/>
    <n v="240"/>
    <n v="720"/>
  </r>
  <r>
    <n v="180"/>
    <x v="12"/>
    <x v="99"/>
    <n v="4"/>
    <d v="2025-06-01T00:00:00"/>
    <d v="2025-06-04T00:00:00"/>
    <n v="3"/>
    <n v="400"/>
    <n v="1200"/>
  </r>
  <r>
    <n v="181"/>
    <x v="17"/>
    <x v="135"/>
    <n v="1"/>
    <d v="2025-06-01T00:00:00"/>
    <d v="2025-06-04T00:00:00"/>
    <n v="3"/>
    <n v="140"/>
    <n v="420"/>
  </r>
  <r>
    <n v="182"/>
    <x v="29"/>
    <x v="130"/>
    <n v="2"/>
    <d v="2025-08-14T00:00:00"/>
    <d v="2025-08-17T00:00:00"/>
    <n v="3"/>
    <n v="240"/>
    <n v="720"/>
  </r>
  <r>
    <n v="183"/>
    <x v="7"/>
    <x v="137"/>
    <n v="2"/>
    <d v="2025-08-14T00:00:00"/>
    <d v="2025-08-17T00:00:00"/>
    <n v="3"/>
    <n v="240"/>
    <n v="720"/>
  </r>
  <r>
    <n v="184"/>
    <x v="0"/>
    <x v="0"/>
    <n v="2"/>
    <d v="2025-08-14T00:00:00"/>
    <d v="2025-08-17T00:00:00"/>
    <n v="3"/>
    <n v="240"/>
    <n v="720"/>
  </r>
  <r>
    <n v="185"/>
    <x v="27"/>
    <x v="136"/>
    <n v="2"/>
    <d v="2025-08-14T00:00:00"/>
    <d v="2025-08-17T00:00:00"/>
    <n v="3"/>
    <n v="240"/>
    <n v="720"/>
  </r>
  <r>
    <n v="186"/>
    <x v="4"/>
    <x v="82"/>
    <n v="2"/>
    <d v="2025-08-14T00:00:00"/>
    <d v="2025-08-17T00:00:00"/>
    <n v="3"/>
    <n v="240"/>
    <n v="720"/>
  </r>
  <r>
    <n v="187"/>
    <x v="23"/>
    <x v="94"/>
    <n v="2"/>
    <d v="2025-08-14T00:00:00"/>
    <d v="2025-08-17T00:00:00"/>
    <n v="3"/>
    <n v="240"/>
    <n v="720"/>
  </r>
  <r>
    <n v="188"/>
    <x v="7"/>
    <x v="137"/>
    <n v="2"/>
    <d v="2025-08-16T00:00:00"/>
    <d v="2025-08-17T00:00:00"/>
    <n v="1"/>
    <n v="240"/>
    <n v="240"/>
  </r>
  <r>
    <n v="189"/>
    <x v="26"/>
    <x v="138"/>
    <n v="3"/>
    <d v="2025-08-20T00:00:00"/>
    <d v="2025-08-22T00:00:00"/>
    <n v="2"/>
    <n v="320"/>
    <n v="640"/>
  </r>
  <r>
    <n v="190"/>
    <x v="24"/>
    <x v="60"/>
    <n v="3"/>
    <d v="2025-08-20T00:00:00"/>
    <d v="2025-08-22T00:00:00"/>
    <n v="2"/>
    <n v="320"/>
    <n v="640"/>
  </r>
  <r>
    <n v="191"/>
    <x v="21"/>
    <x v="83"/>
    <n v="3"/>
    <d v="2025-08-20T00:00:00"/>
    <d v="2025-08-22T00:00:00"/>
    <n v="2"/>
    <n v="320"/>
    <n v="640"/>
  </r>
  <r>
    <n v="192"/>
    <x v="10"/>
    <x v="141"/>
    <n v="1"/>
    <d v="2025-06-01T00:00:00"/>
    <d v="2025-06-04T00:00:00"/>
    <n v="3"/>
    <n v="140"/>
    <n v="420"/>
  </r>
  <r>
    <n v="193"/>
    <x v="23"/>
    <x v="94"/>
    <n v="1"/>
    <d v="2025-06-01T00:00:00"/>
    <d v="2025-06-04T00:00:00"/>
    <n v="3"/>
    <n v="140"/>
    <n v="420"/>
  </r>
  <r>
    <n v="194"/>
    <x v="10"/>
    <x v="89"/>
    <n v="3"/>
    <d v="2025-08-20T00:00:00"/>
    <d v="2025-08-22T00:00:00"/>
    <n v="2"/>
    <n v="320"/>
    <n v="640"/>
  </r>
  <r>
    <n v="195"/>
    <x v="21"/>
    <x v="83"/>
    <n v="1"/>
    <d v="2025-08-28T00:00:00"/>
    <d v="2025-08-29T00:00:00"/>
    <n v="1"/>
    <n v="140"/>
    <n v="140"/>
  </r>
  <r>
    <n v="196"/>
    <x v="24"/>
    <x v="133"/>
    <n v="1"/>
    <d v="2025-08-28T00:00:00"/>
    <d v="2025-08-29T00:00:00"/>
    <n v="1"/>
    <n v="140"/>
    <n v="140"/>
  </r>
  <r>
    <n v="197"/>
    <x v="5"/>
    <x v="5"/>
    <n v="1"/>
    <d v="2025-08-28T00:00:00"/>
    <d v="2025-08-29T00:00:00"/>
    <n v="1"/>
    <n v="140"/>
    <n v="140"/>
  </r>
  <r>
    <n v="198"/>
    <x v="24"/>
    <x v="114"/>
    <n v="2"/>
    <d v="2025-07-01T00:00:00"/>
    <d v="2025-07-14T00:00:00"/>
    <n v="13"/>
    <n v="240"/>
    <n v="3120"/>
  </r>
  <r>
    <n v="199"/>
    <x v="12"/>
    <x v="99"/>
    <n v="3"/>
    <d v="2025-06-01T00:00:00"/>
    <d v="2025-06-04T00:00:00"/>
    <n v="3"/>
    <n v="320"/>
    <n v="960"/>
  </r>
  <r>
    <n v="200"/>
    <x v="21"/>
    <x v="83"/>
    <n v="3"/>
    <d v="2025-06-01T00:00:00"/>
    <d v="2025-06-04T00:00:00"/>
    <n v="3"/>
    <n v="320"/>
    <n v="96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Mateusz"/>
    <s v="Kamiński"/>
    <n v="2"/>
    <x v="0"/>
    <d v="2025-05-03T00:00:00"/>
  </r>
  <r>
    <n v="2"/>
    <s v="Weronika"/>
    <s v="Kołodziejska"/>
    <n v="3"/>
    <x v="1"/>
    <d v="2025-05-15T00:00:00"/>
  </r>
  <r>
    <n v="3"/>
    <s v="Jan"/>
    <s v="Kowalczyk"/>
    <n v="2"/>
    <x v="2"/>
    <d v="2025-06-04T00:00:00"/>
  </r>
  <r>
    <n v="4"/>
    <s v="Monika"/>
    <s v="Górska"/>
    <n v="2"/>
    <x v="3"/>
    <d v="2025-05-28T00:00:00"/>
  </r>
  <r>
    <n v="5"/>
    <s v="Agnieszka"/>
    <s v="Koniec"/>
    <n v="1"/>
    <x v="4"/>
    <d v="2025-05-21T00:00:00"/>
  </r>
  <r>
    <n v="6"/>
    <s v="Adrian"/>
    <s v="Ziomek"/>
    <n v="3"/>
    <x v="5"/>
    <d v="2025-06-09T00:00:00"/>
  </r>
  <r>
    <n v="7"/>
    <s v="Karolina"/>
    <s v="Jabłońska"/>
    <n v="3"/>
    <x v="1"/>
    <d v="2025-05-15T00:00:00"/>
  </r>
  <r>
    <n v="8"/>
    <s v="Marcin"/>
    <s v="Zając"/>
    <n v="2"/>
    <x v="6"/>
    <d v="2025-06-19T00:00:00"/>
  </r>
  <r>
    <n v="9"/>
    <s v="Weronika"/>
    <s v="Kamińska"/>
    <n v="2"/>
    <x v="7"/>
    <d v="2025-07-03T00:00:00"/>
  </r>
  <r>
    <n v="10"/>
    <s v="Michał"/>
    <s v="Wiśniowiecki"/>
    <n v="2"/>
    <x v="0"/>
    <d v="2025-05-03T00:00:00"/>
  </r>
  <r>
    <n v="11"/>
    <s v="Weronika"/>
    <s v="Kotlińska"/>
    <n v="4"/>
    <x v="8"/>
    <d v="2025-07-18T00:00:00"/>
  </r>
  <r>
    <n v="12"/>
    <s v="Anna"/>
    <s v="Wiśniewska"/>
    <n v="1"/>
    <x v="9"/>
    <d v="2025-05-09T00:00:00"/>
  </r>
  <r>
    <n v="13"/>
    <s v="Michał"/>
    <s v="Pawłowski"/>
    <n v="2"/>
    <x v="2"/>
    <d v="2025-06-04T00:00:00"/>
  </r>
  <r>
    <n v="14"/>
    <s v="Katarzyna"/>
    <s v="Figurska"/>
    <n v="1"/>
    <x v="9"/>
    <d v="2025-05-09T00:00:00"/>
  </r>
  <r>
    <n v="15"/>
    <s v="Mateusz"/>
    <s v="Kaktus"/>
    <n v="1"/>
    <x v="9"/>
    <d v="2025-05-09T00:00:00"/>
  </r>
  <r>
    <n v="16"/>
    <s v="Barbara"/>
    <s v="Krawczyk"/>
    <n v="1"/>
    <x v="0"/>
    <d v="2025-05-03T00:00:00"/>
  </r>
  <r>
    <n v="17"/>
    <s v="Andrzej"/>
    <s v="Kowal"/>
    <n v="2"/>
    <x v="9"/>
    <d v="2025-05-09T00:00:00"/>
  </r>
  <r>
    <n v="18"/>
    <s v="Rafał"/>
    <s v="Lewandowski"/>
    <n v="2"/>
    <x v="9"/>
    <d v="2025-05-09T00:00:00"/>
  </r>
  <r>
    <n v="19"/>
    <s v="Ewa"/>
    <s v="Rutkowska"/>
    <n v="2"/>
    <x v="9"/>
    <d v="2025-05-09T00:00:00"/>
  </r>
  <r>
    <n v="20"/>
    <s v="Zofia"/>
    <s v="Gumilak"/>
    <n v="2"/>
    <x v="7"/>
    <d v="2025-07-03T00:00:00"/>
  </r>
  <r>
    <n v="21"/>
    <s v="Karolina"/>
    <s v="Lewandowska"/>
    <n v="2"/>
    <x v="6"/>
    <d v="2025-06-19T00:00:00"/>
  </r>
  <r>
    <n v="22"/>
    <s v="Piotr"/>
    <s v="Kominski"/>
    <n v="2"/>
    <x v="2"/>
    <d v="2025-06-04T00:00:00"/>
  </r>
  <r>
    <n v="23"/>
    <s v="Magdalena"/>
    <s v="Wiercioch"/>
    <n v="3"/>
    <x v="1"/>
    <d v="2025-05-15T00:00:00"/>
  </r>
  <r>
    <n v="24"/>
    <s v="Joanna"/>
    <s v="Wójcik"/>
    <n v="4"/>
    <x v="8"/>
    <d v="2025-07-18T00:00:00"/>
  </r>
  <r>
    <n v="25"/>
    <s v="Łukasz"/>
    <s v="Michalski"/>
    <n v="2"/>
    <x v="9"/>
    <d v="2025-05-09T00:00:00"/>
  </r>
  <r>
    <n v="26"/>
    <s v="Krzysztof"/>
    <s v="Grabowski"/>
    <n v="2"/>
    <x v="9"/>
    <d v="2025-05-09T00:00:00"/>
  </r>
  <r>
    <n v="27"/>
    <s v="Andrzej"/>
    <s v="Piotrowski"/>
    <n v="3"/>
    <x v="9"/>
    <d v="2025-05-09T00:00:00"/>
  </r>
  <r>
    <n v="28"/>
    <s v="Natalia"/>
    <s v="Wojciechowska"/>
    <n v="3"/>
    <x v="9"/>
    <d v="2025-05-09T00:00:00"/>
  </r>
  <r>
    <n v="29"/>
    <s v="Karolina"/>
    <s v="Rucka"/>
    <n v="3"/>
    <x v="9"/>
    <d v="2025-05-09T00:00:00"/>
  </r>
  <r>
    <n v="30"/>
    <s v="Adrian"/>
    <s v="Król"/>
    <n v="1"/>
    <x v="8"/>
    <d v="2025-07-18T00:00:00"/>
  </r>
  <r>
    <n v="31"/>
    <s v="Katarzyna"/>
    <s v="Pitek"/>
    <n v="2"/>
    <x v="7"/>
    <d v="2025-07-03T00:00:00"/>
  </r>
  <r>
    <n v="32"/>
    <s v="Ewa"/>
    <s v="Zajączkowska"/>
    <n v="4"/>
    <x v="6"/>
    <d v="2025-06-19T00:00:00"/>
  </r>
  <r>
    <n v="33"/>
    <s v="Monika"/>
    <s v="Wojcieszek"/>
    <n v="2"/>
    <x v="2"/>
    <d v="2025-06-04T00:00:00"/>
  </r>
  <r>
    <n v="34"/>
    <s v="Andrzej"/>
    <s v="Kołodziej"/>
    <n v="3"/>
    <x v="9"/>
    <d v="2025-05-09T00:00:00"/>
  </r>
  <r>
    <n v="35"/>
    <s v="Mateusz"/>
    <s v="Pyć"/>
    <n v="4"/>
    <x v="9"/>
    <d v="2025-05-09T00:00:00"/>
  </r>
  <r>
    <n v="36"/>
    <s v="Piotr"/>
    <s v="Lowelas"/>
    <n v="4"/>
    <x v="9"/>
    <d v="2025-05-09T00:00:00"/>
  </r>
  <r>
    <n v="37"/>
    <s v="Anna"/>
    <s v="Woźniak"/>
    <n v="1"/>
    <x v="4"/>
    <d v="2025-05-21T00:00:00"/>
  </r>
  <r>
    <n v="38"/>
    <s v="Jakub"/>
    <s v="Kaminski"/>
    <n v="2"/>
    <x v="3"/>
    <d v="2025-05-28T00:00:00"/>
  </r>
  <r>
    <n v="39"/>
    <s v="Jakub"/>
    <s v="Szlam"/>
    <n v="2"/>
    <x v="6"/>
    <d v="2025-06-19T00:00:00"/>
  </r>
  <r>
    <n v="40"/>
    <s v="Krzysztof"/>
    <s v="Wojna"/>
    <n v="2"/>
    <x v="10"/>
    <d v="2025-06-22T00:00:00"/>
  </r>
  <r>
    <n v="41"/>
    <s v="Łukasz"/>
    <s v="Lawa"/>
    <n v="2"/>
    <x v="10"/>
    <d v="2025-06-22T00:00:00"/>
  </r>
  <r>
    <n v="42"/>
    <s v="Agnieszka"/>
    <s v="Woźniacka"/>
    <n v="2"/>
    <x v="10"/>
    <d v="2025-06-22T00:00:00"/>
  </r>
  <r>
    <n v="43"/>
    <s v="Michał"/>
    <s v="Wójcki"/>
    <n v="2"/>
    <x v="10"/>
    <d v="2025-06-22T00:00:00"/>
  </r>
  <r>
    <n v="44"/>
    <s v="Katarzyna"/>
    <s v="Kozłowska"/>
    <n v="2"/>
    <x v="10"/>
    <d v="2025-06-22T00:00:00"/>
  </r>
  <r>
    <n v="45"/>
    <s v="Aleksandra"/>
    <s v="Wiśnia"/>
    <n v="1"/>
    <x v="8"/>
    <d v="2025-07-18T00:00:00"/>
  </r>
  <r>
    <n v="46"/>
    <s v="Krzysztof"/>
    <s v="Wojnarowski"/>
    <n v="2"/>
    <x v="2"/>
    <d v="2025-06-04T00:00:00"/>
  </r>
  <r>
    <n v="47"/>
    <s v="Ewa"/>
    <s v="Dąbrowska"/>
    <n v="3"/>
    <x v="5"/>
    <d v="2025-06-09T00:00:00"/>
  </r>
  <r>
    <n v="48"/>
    <s v="Magdalena"/>
    <s v="Szymańska"/>
    <n v="2"/>
    <x v="3"/>
    <d v="2025-05-28T00:00:00"/>
  </r>
  <r>
    <n v="49"/>
    <s v="Aleksandra"/>
    <s v="Wojciaszek"/>
    <n v="2"/>
    <x v="10"/>
    <d v="2025-06-22T00:00:00"/>
  </r>
  <r>
    <n v="50"/>
    <s v="Katarzyna"/>
    <s v="Bobrowska"/>
    <n v="2"/>
    <x v="10"/>
    <d v="2025-06-22T00:00:00"/>
  </r>
  <r>
    <n v="51"/>
    <s v="Anna"/>
    <s v="Janeczek"/>
    <n v="2"/>
    <x v="10"/>
    <d v="2025-06-22T00:00:00"/>
  </r>
  <r>
    <n v="52"/>
    <s v="Magdalena"/>
    <s v="Kwiatkowska"/>
    <n v="1"/>
    <x v="10"/>
    <d v="2025-06-22T00:00:00"/>
  </r>
  <r>
    <n v="53"/>
    <s v="Marcin"/>
    <s v="Wenerski"/>
    <n v="1"/>
    <x v="10"/>
    <d v="2025-06-22T00:00:00"/>
  </r>
  <r>
    <n v="54"/>
    <s v="Michał"/>
    <s v="Dąbrowski"/>
    <n v="4"/>
    <x v="6"/>
    <d v="2025-06-19T00:00:00"/>
  </r>
  <r>
    <n v="55"/>
    <s v="Marek"/>
    <s v="Zajączek"/>
    <n v="1"/>
    <x v="4"/>
    <d v="2025-05-21T00:00:00"/>
  </r>
  <r>
    <n v="56"/>
    <s v="Sylwia"/>
    <s v="Kozioł"/>
    <n v="1"/>
    <x v="8"/>
    <d v="2025-07-18T00:00:00"/>
  </r>
  <r>
    <n v="57"/>
    <s v="Anna"/>
    <s v="Koński"/>
    <n v="3"/>
    <x v="11"/>
    <d v="2025-06-29T00:00:00"/>
  </r>
  <r>
    <n v="58"/>
    <s v="Joanna"/>
    <s v="Szymanowska"/>
    <n v="3"/>
    <x v="11"/>
    <d v="2025-06-29T00:00:00"/>
  </r>
  <r>
    <n v="59"/>
    <s v="Monika"/>
    <s v="Woźnicka"/>
    <n v="2"/>
    <x v="2"/>
    <d v="2025-06-04T00:00:00"/>
  </r>
  <r>
    <n v="60"/>
    <s v="Adrian"/>
    <s v="Mazurek"/>
    <n v="2"/>
    <x v="2"/>
    <d v="2025-06-04T00:00:00"/>
  </r>
  <r>
    <n v="61"/>
    <s v="Marek"/>
    <s v="Krawiec"/>
    <n v="3"/>
    <x v="0"/>
    <d v="2025-05-03T00:00:00"/>
  </r>
  <r>
    <n v="62"/>
    <s v="Agnieszka"/>
    <s v="Krolska"/>
    <n v="3"/>
    <x v="1"/>
    <d v="2025-05-15T00:00:00"/>
  </r>
  <r>
    <n v="63"/>
    <s v="Monika"/>
    <s v="Jabłczyńska"/>
    <n v="4"/>
    <x v="5"/>
    <d v="2025-06-09T00:00:00"/>
  </r>
  <r>
    <n v="64"/>
    <s v="Sylwia"/>
    <s v="Kawalerska"/>
    <n v="1"/>
    <x v="8"/>
    <d v="2025-07-18T00:00:00"/>
  </r>
  <r>
    <n v="65"/>
    <s v="Barbara"/>
    <s v="Baranowska "/>
    <n v="3"/>
    <x v="11"/>
    <d v="2025-06-29T00:00:00"/>
  </r>
  <r>
    <n v="66"/>
    <s v="Rafał"/>
    <s v="Krokus"/>
    <n v="3"/>
    <x v="11"/>
    <d v="2025-06-29T00:00:00"/>
  </r>
  <r>
    <n v="67"/>
    <s v="Monika"/>
    <s v="Krawiruk"/>
    <n v="2"/>
    <x v="11"/>
    <d v="2025-06-29T00:00:00"/>
  </r>
  <r>
    <n v="68"/>
    <s v="Marcin"/>
    <s v="Kierwiński"/>
    <n v="2"/>
    <x v="11"/>
    <d v="2025-06-29T00:00:00"/>
  </r>
  <r>
    <n v="69"/>
    <s v="Karolina"/>
    <s v="Szyszko"/>
    <n v="2"/>
    <x v="11"/>
    <d v="2025-06-29T00:00:00"/>
  </r>
  <r>
    <n v="70"/>
    <s v="Jan"/>
    <s v="Woroch"/>
    <n v="4"/>
    <x v="4"/>
    <d v="2025-05-21T00:00:00"/>
  </r>
  <r>
    <n v="71"/>
    <s v="Paweł"/>
    <s v="Kołodziejczyk"/>
    <n v="2"/>
    <x v="11"/>
    <d v="2025-06-29T00:00:00"/>
  </r>
  <r>
    <n v="72"/>
    <s v="Adrian"/>
    <s v="Witych"/>
    <n v="2"/>
    <x v="11"/>
    <d v="2025-06-29T00:00:00"/>
  </r>
  <r>
    <n v="73"/>
    <s v="Agnieszka"/>
    <s v="Inka"/>
    <n v="2"/>
    <x v="11"/>
    <d v="2025-06-29T00:00:00"/>
  </r>
  <r>
    <n v="74"/>
    <s v="Monika"/>
    <s v="Cytek"/>
    <n v="2"/>
    <x v="11"/>
    <d v="2025-06-29T00:00:00"/>
  </r>
  <r>
    <n v="75"/>
    <s v="Magdalena"/>
    <s v="Zalatana"/>
    <n v="2"/>
    <x v="3"/>
    <d v="2025-05-28T00:00:00"/>
  </r>
  <r>
    <n v="76"/>
    <s v="Katarzyna"/>
    <s v="Mazur"/>
    <n v="2"/>
    <x v="7"/>
    <d v="2025-07-03T00:00:00"/>
  </r>
  <r>
    <n v="77"/>
    <s v="Adrian"/>
    <s v="Wieczorek"/>
    <n v="2"/>
    <x v="11"/>
    <d v="2025-06-29T00:00:00"/>
  </r>
  <r>
    <n v="78"/>
    <s v="Tomasz"/>
    <s v="Komorek"/>
    <n v="1"/>
    <x v="11"/>
    <d v="2025-06-29T00:00:00"/>
  </r>
  <r>
    <n v="79"/>
    <s v="Marcin"/>
    <s v="Widera"/>
    <n v="1"/>
    <x v="11"/>
    <d v="2025-06-29T00:00:00"/>
  </r>
  <r>
    <n v="80"/>
    <s v="Paweł"/>
    <s v="Raźna"/>
    <n v="1"/>
    <x v="11"/>
    <d v="2025-06-29T00:00:00"/>
  </r>
  <r>
    <n v="81"/>
    <s v="Karolina"/>
    <s v="Michalska"/>
    <n v="1"/>
    <x v="12"/>
    <d v="2025-07-07T00:00:00"/>
  </r>
  <r>
    <n v="82"/>
    <s v="Marek"/>
    <s v="Kmieć"/>
    <n v="2"/>
    <x v="3"/>
    <d v="2025-05-28T00:00:00"/>
  </r>
  <r>
    <n v="83"/>
    <s v="Agnieszka"/>
    <s v="Darmach"/>
    <n v="4"/>
    <x v="5"/>
    <d v="2025-06-09T00:00:00"/>
  </r>
  <r>
    <n v="84"/>
    <s v="Natalia"/>
    <s v="Gloster"/>
    <n v="3"/>
    <x v="0"/>
    <d v="2025-05-03T00:00:00"/>
  </r>
  <r>
    <n v="85"/>
    <s v="Maria"/>
    <s v="Jankowska"/>
    <n v="1"/>
    <x v="12"/>
    <d v="2025-07-07T00:00:00"/>
  </r>
  <r>
    <n v="86"/>
    <s v="Łukasz"/>
    <s v="Janiszek"/>
    <n v="1"/>
    <x v="12"/>
    <d v="2025-07-07T00:00:00"/>
  </r>
  <r>
    <n v="87"/>
    <s v="Zofia"/>
    <s v="Zielińska"/>
    <n v="1"/>
    <x v="12"/>
    <d v="2025-07-07T00:00:00"/>
  </r>
  <r>
    <n v="88"/>
    <s v="Karolina"/>
    <s v="Sikora"/>
    <n v="3"/>
    <x v="12"/>
    <d v="2025-07-07T00:00:00"/>
  </r>
  <r>
    <n v="89"/>
    <s v="Michał"/>
    <s v="Kiliański"/>
    <n v="3"/>
    <x v="12"/>
    <d v="2025-07-07T00:00:00"/>
  </r>
  <r>
    <n v="90"/>
    <s v="Katarzyna"/>
    <s v="Gerber"/>
    <n v="3"/>
    <x v="12"/>
    <d v="2025-07-07T00:00:00"/>
  </r>
  <r>
    <n v="91"/>
    <s v="Andrzej"/>
    <s v="Lorek"/>
    <n v="3"/>
    <x v="12"/>
    <d v="2025-07-07T00:00:00"/>
  </r>
  <r>
    <n v="92"/>
    <s v="Andrzej"/>
    <s v="Watacha"/>
    <n v="2"/>
    <x v="13"/>
    <d v="2025-07-14T00:00:00"/>
  </r>
  <r>
    <n v="93"/>
    <s v="Mateusz"/>
    <s v="Sikorka"/>
    <n v="3"/>
    <x v="8"/>
    <d v="2025-07-18T00:00:00"/>
  </r>
  <r>
    <n v="94"/>
    <s v="Weronika"/>
    <s v="Wieczorkowska"/>
    <n v="1"/>
    <x v="7"/>
    <d v="2025-07-03T00:00:00"/>
  </r>
  <r>
    <n v="95"/>
    <s v="Aleksandra"/>
    <s v="Kita"/>
    <n v="1"/>
    <x v="4"/>
    <d v="2025-05-21T00:00:00"/>
  </r>
  <r>
    <n v="96"/>
    <s v="Anna"/>
    <s v="Sulima"/>
    <n v="2"/>
    <x v="13"/>
    <d v="2025-07-14T00:00:00"/>
  </r>
  <r>
    <n v="97"/>
    <s v="Katarzyna"/>
    <s v="Styś"/>
    <n v="2"/>
    <x v="13"/>
    <d v="2025-07-14T00:00:00"/>
  </r>
  <r>
    <n v="98"/>
    <s v="Piotr"/>
    <s v="Grzybek"/>
    <n v="2"/>
    <x v="13"/>
    <d v="2025-07-14T00:00:00"/>
  </r>
  <r>
    <n v="99"/>
    <s v="Paweł"/>
    <s v="Romb"/>
    <n v="2"/>
    <x v="13"/>
    <d v="2025-07-14T00:00:00"/>
  </r>
  <r>
    <n v="100"/>
    <s v="Andrzej"/>
    <s v="Puzio"/>
    <n v="2"/>
    <x v="13"/>
    <d v="2025-07-14T00:00:00"/>
  </r>
  <r>
    <n v="101"/>
    <s v="Maria"/>
    <s v="Zalech"/>
    <n v="3"/>
    <x v="13"/>
    <d v="2025-07-14T00:00:00"/>
  </r>
  <r>
    <n v="102"/>
    <s v="Krzysztof"/>
    <s v="Suski"/>
    <n v="3"/>
    <x v="13"/>
    <d v="2025-07-14T00:00:00"/>
  </r>
  <r>
    <n v="103"/>
    <s v="Barbara"/>
    <s v="Wazon"/>
    <n v="3"/>
    <x v="13"/>
    <d v="2025-07-14T00:00:00"/>
  </r>
  <r>
    <n v="104"/>
    <s v="Marcin"/>
    <s v="Komuszy"/>
    <n v="3"/>
    <x v="5"/>
    <d v="2025-06-09T00:00:00"/>
  </r>
  <r>
    <n v="105"/>
    <s v="Adrian"/>
    <s v="Wojaszek"/>
    <n v="2"/>
    <x v="3"/>
    <d v="2025-05-28T00:00:00"/>
  </r>
  <r>
    <n v="106"/>
    <s v="Sylwia"/>
    <s v="Ruda"/>
    <n v="3"/>
    <x v="8"/>
    <d v="2025-07-18T00:00:00"/>
  </r>
  <r>
    <n v="107"/>
    <s v="Piotr"/>
    <s v="Wojtera"/>
    <n v="3"/>
    <x v="13"/>
    <d v="2025-07-14T00:00:00"/>
  </r>
  <r>
    <n v="108"/>
    <s v="Jakub"/>
    <s v="Czech"/>
    <n v="1"/>
    <x v="13"/>
    <d v="2025-07-14T00:00:00"/>
  </r>
  <r>
    <n v="109"/>
    <s v="Michał"/>
    <s v="Wołos"/>
    <n v="1"/>
    <x v="14"/>
    <d v="2025-07-21T00:00:00"/>
  </r>
  <r>
    <n v="110"/>
    <s v="Rafał"/>
    <s v="Skorek"/>
    <n v="2"/>
    <x v="3"/>
    <d v="2025-05-28T00:00:00"/>
  </r>
  <r>
    <n v="111"/>
    <s v="Weronika"/>
    <s v="Wojas"/>
    <n v="1"/>
    <x v="14"/>
    <d v="2025-07-21T00:00:00"/>
  </r>
  <r>
    <n v="112"/>
    <s v="Piotr"/>
    <s v="Lenic"/>
    <n v="1"/>
    <x v="14"/>
    <d v="2025-07-21T00:00:00"/>
  </r>
  <r>
    <n v="113"/>
    <s v="Marek"/>
    <s v="Nowacki"/>
    <n v="1"/>
    <x v="14"/>
    <d v="2025-07-21T00:00:00"/>
  </r>
  <r>
    <n v="114"/>
    <s v="Tomasz"/>
    <s v="Rzeźniczak"/>
    <n v="2"/>
    <x v="14"/>
    <d v="2025-07-21T00:00:00"/>
  </r>
  <r>
    <n v="115"/>
    <s v="Marek"/>
    <s v="Milewicz"/>
    <n v="2"/>
    <x v="14"/>
    <d v="2025-07-21T00:00:00"/>
  </r>
  <r>
    <n v="116"/>
    <s v="Adrian"/>
    <s v="Kopeć"/>
    <n v="2"/>
    <x v="14"/>
    <d v="2025-07-21T00:00:00"/>
  </r>
  <r>
    <n v="117"/>
    <s v="Agnieszka"/>
    <s v="Zielonka"/>
    <n v="2"/>
    <x v="14"/>
    <d v="2025-07-21T00:00:00"/>
  </r>
  <r>
    <n v="118"/>
    <s v="Jakub"/>
    <s v="Strama"/>
    <n v="3"/>
    <x v="8"/>
    <d v="2025-07-18T00:00:00"/>
  </r>
  <r>
    <n v="119"/>
    <s v="Paweł"/>
    <s v="Wardzynski"/>
    <n v="2"/>
    <x v="3"/>
    <d v="2025-05-28T00:00:00"/>
  </r>
  <r>
    <n v="120"/>
    <s v="Anna"/>
    <s v="Zaton"/>
    <n v="4"/>
    <x v="4"/>
    <d v="2025-05-21T00:00:00"/>
  </r>
  <r>
    <n v="121"/>
    <s v="Mateusz"/>
    <s v="Sosek"/>
    <n v="2"/>
    <x v="15"/>
    <d v="2025-07-28T00:00:00"/>
  </r>
  <r>
    <n v="122"/>
    <s v="Mateusz"/>
    <s v="Rostropnik"/>
    <n v="2"/>
    <x v="15"/>
    <d v="2025-07-28T00:00:00"/>
  </r>
  <r>
    <n v="123"/>
    <s v="Weronika"/>
    <s v="Pawłowska"/>
    <n v="2"/>
    <x v="15"/>
    <d v="2025-07-28T00:00:00"/>
  </r>
  <r>
    <n v="124"/>
    <s v="Łukasz"/>
    <s v="Kowski"/>
    <n v="2"/>
    <x v="15"/>
    <d v="2025-07-28T00:00:00"/>
  </r>
  <r>
    <n v="125"/>
    <s v="Michał"/>
    <s v="Lemiesz"/>
    <n v="3"/>
    <x v="0"/>
    <d v="2025-05-03T00:00:00"/>
  </r>
  <r>
    <n v="126"/>
    <s v="Mateusz"/>
    <s v="Gronski"/>
    <n v="3"/>
    <x v="5"/>
    <d v="2025-06-09T00:00:00"/>
  </r>
  <r>
    <n v="127"/>
    <s v="Ewa"/>
    <s v="Wycisz"/>
    <n v="1"/>
    <x v="7"/>
    <d v="2025-07-03T00:00:00"/>
  </r>
  <r>
    <n v="128"/>
    <s v="Ewa"/>
    <s v="Piotrek"/>
    <n v="3"/>
    <x v="8"/>
    <d v="2025-07-18T00:00:00"/>
  </r>
  <r>
    <n v="129"/>
    <s v="Karolina"/>
    <s v="Bober"/>
    <n v="2"/>
    <x v="15"/>
    <d v="2025-07-28T00:00:00"/>
  </r>
  <r>
    <n v="130"/>
    <s v="Weronika"/>
    <s v="Staroń"/>
    <n v="2"/>
    <x v="15"/>
    <d v="2025-07-28T00:00:00"/>
  </r>
  <r>
    <n v="131"/>
    <s v="Grzegorz"/>
    <s v="Wolf"/>
    <n v="1"/>
    <x v="0"/>
    <d v="2025-05-03T00:00:00"/>
  </r>
  <r>
    <n v="132"/>
    <s v="Natalia"/>
    <s v="Bania"/>
    <n v="1"/>
    <x v="0"/>
    <d v="2025-05-03T00:00:00"/>
  </r>
  <r>
    <n v="133"/>
    <s v="Piotr"/>
    <s v="Krasek"/>
    <n v="2"/>
    <x v="15"/>
    <d v="2025-07-28T00:00:00"/>
  </r>
  <r>
    <n v="134"/>
    <s v="Marek"/>
    <s v="Słomka"/>
    <n v="2"/>
    <x v="16"/>
    <d v="2025-06-15T00:00:00"/>
  </r>
  <r>
    <n v="135"/>
    <s v="Weronika"/>
    <s v="Ryżana"/>
    <n v="2"/>
    <x v="15"/>
    <d v="2025-07-28T00:00:00"/>
  </r>
  <r>
    <n v="136"/>
    <s v="Magdalena"/>
    <s v="Mazowiecka"/>
    <n v="1"/>
    <x v="15"/>
    <d v="2025-07-28T00:00:00"/>
  </r>
  <r>
    <n v="137"/>
    <s v="Tomasz"/>
    <s v="Lisek"/>
    <n v="3"/>
    <x v="17"/>
    <d v="2025-08-06T00:00:00"/>
  </r>
  <r>
    <n v="138"/>
    <s v="Marcin"/>
    <s v="Zydel"/>
    <n v="3"/>
    <x v="17"/>
    <d v="2025-08-06T00:00:00"/>
  </r>
  <r>
    <n v="139"/>
    <s v="Paweł"/>
    <s v="Szaman"/>
    <n v="3"/>
    <x v="17"/>
    <d v="2025-08-06T00:00:00"/>
  </r>
  <r>
    <n v="140"/>
    <s v="Ewa"/>
    <s v="Emska"/>
    <n v="2"/>
    <x v="16"/>
    <d v="2025-06-15T00:00:00"/>
  </r>
  <r>
    <n v="141"/>
    <s v="Marcin"/>
    <s v="Nowak"/>
    <n v="2"/>
    <x v="8"/>
    <d v="2025-07-18T00:00:00"/>
  </r>
  <r>
    <n v="142"/>
    <s v="Katarzyna"/>
    <s v="Kumor"/>
    <n v="3"/>
    <x v="17"/>
    <d v="2025-08-06T00:00:00"/>
  </r>
  <r>
    <n v="143"/>
    <s v="Maria"/>
    <s v="Wiercińska"/>
    <n v="2"/>
    <x v="17"/>
    <d v="2025-08-06T00:00:00"/>
  </r>
  <r>
    <n v="144"/>
    <s v="Andrzej"/>
    <s v="Kusy"/>
    <n v="2"/>
    <x v="17"/>
    <d v="2025-08-06T00:00:00"/>
  </r>
  <r>
    <n v="145"/>
    <s v="Monika"/>
    <s v="Koło"/>
    <n v="2"/>
    <x v="16"/>
    <d v="2025-06-15T00:00:00"/>
  </r>
  <r>
    <n v="146"/>
    <s v="Mateusz"/>
    <s v="Zych"/>
    <n v="2"/>
    <x v="17"/>
    <d v="2025-08-06T00:00:00"/>
  </r>
  <r>
    <n v="147"/>
    <s v="Krzysztof"/>
    <s v="Panek"/>
    <n v="2"/>
    <x v="7"/>
    <d v="2025-07-03T00:00:00"/>
  </r>
  <r>
    <n v="148"/>
    <s v="Ewa"/>
    <s v="Wnuk"/>
    <n v="2"/>
    <x v="16"/>
    <d v="2025-06-15T00:00:00"/>
  </r>
  <r>
    <n v="149"/>
    <s v="Sylwia"/>
    <s v="Zaleśna"/>
    <n v="2"/>
    <x v="17"/>
    <d v="2025-08-06T00:00:00"/>
  </r>
  <r>
    <n v="150"/>
    <s v="Krzysztof"/>
    <s v="Jankowski"/>
    <n v="1"/>
    <x v="17"/>
    <d v="2025-08-06T00:00:00"/>
  </r>
  <r>
    <n v="151"/>
    <s v="Mateusz"/>
    <s v="Kamiński"/>
    <n v="1"/>
    <x v="17"/>
    <d v="2025-08-06T00:00:00"/>
  </r>
  <r>
    <n v="152"/>
    <s v="Katarzyna"/>
    <s v="Gerber"/>
    <n v="1"/>
    <x v="17"/>
    <d v="2025-08-06T00:00:00"/>
  </r>
  <r>
    <n v="153"/>
    <s v="Natalia"/>
    <s v="Gloster"/>
    <n v="2"/>
    <x v="16"/>
    <d v="2025-06-15T00:00:00"/>
  </r>
  <r>
    <n v="154"/>
    <s v="Piotr"/>
    <s v="Grzybek"/>
    <n v="2"/>
    <x v="8"/>
    <d v="2025-07-18T00:00:00"/>
  </r>
  <r>
    <n v="155"/>
    <s v="Mateusz"/>
    <s v="Rostropnik"/>
    <n v="1"/>
    <x v="17"/>
    <d v="2025-08-06T00:00:00"/>
  </r>
  <r>
    <n v="156"/>
    <s v="Andrzej"/>
    <s v="Puzio"/>
    <n v="2"/>
    <x v="18"/>
    <d v="2025-08-12T00:00:00"/>
  </r>
  <r>
    <n v="157"/>
    <s v="Natalia"/>
    <s v="Bania"/>
    <n v="2"/>
    <x v="18"/>
    <d v="2025-08-12T00:00:00"/>
  </r>
  <r>
    <n v="158"/>
    <s v="Agnieszka"/>
    <s v="Darmach"/>
    <n v="2"/>
    <x v="18"/>
    <d v="2025-08-12T00:00:00"/>
  </r>
  <r>
    <n v="159"/>
    <s v="Grzegorz"/>
    <s v="Wolf"/>
    <n v="2"/>
    <x v="18"/>
    <d v="2025-08-12T00:00:00"/>
  </r>
  <r>
    <n v="160"/>
    <s v="Katarzyna"/>
    <s v="Gerber"/>
    <n v="1"/>
    <x v="7"/>
    <d v="2025-07-03T00:00:00"/>
  </r>
  <r>
    <n v="161"/>
    <s v="Marek"/>
    <s v="Słomka"/>
    <n v="2"/>
    <x v="16"/>
    <d v="2025-06-15T00:00:00"/>
  </r>
  <r>
    <n v="162"/>
    <s v="Anna"/>
    <s v="Sulima"/>
    <n v="2"/>
    <x v="18"/>
    <d v="2025-08-12T00:00:00"/>
  </r>
  <r>
    <n v="163"/>
    <s v="Mateusz"/>
    <s v="Rostropnik"/>
    <n v="2"/>
    <x v="18"/>
    <d v="2025-08-12T00:00:00"/>
  </r>
  <r>
    <n v="164"/>
    <s v="Natalia"/>
    <s v="Gloster"/>
    <n v="1"/>
    <x v="19"/>
    <d v="2025-08-17T00:00:00"/>
  </r>
  <r>
    <n v="165"/>
    <s v="Magdalena"/>
    <s v="Mazowiecka"/>
    <n v="1"/>
    <x v="19"/>
    <d v="2025-08-17T00:00:00"/>
  </r>
  <r>
    <n v="166"/>
    <s v="Michał"/>
    <s v="Lemiesz"/>
    <n v="1"/>
    <x v="19"/>
    <d v="2025-08-17T00:00:00"/>
  </r>
  <r>
    <n v="167"/>
    <s v="Marek"/>
    <s v="Słomka"/>
    <n v="1"/>
    <x v="19"/>
    <d v="2025-08-17T00:00:00"/>
  </r>
  <r>
    <n v="168"/>
    <s v="Agnieszka"/>
    <s v="Darmach"/>
    <n v="3"/>
    <x v="19"/>
    <d v="2025-08-17T00:00:00"/>
  </r>
  <r>
    <n v="169"/>
    <s v="Karolina"/>
    <s v="Bober"/>
    <n v="2"/>
    <x v="8"/>
    <d v="2025-07-18T00:00:00"/>
  </r>
  <r>
    <n v="170"/>
    <s v="Agnieszka"/>
    <s v="Inka"/>
    <n v="1"/>
    <x v="7"/>
    <d v="2025-07-03T00:00:00"/>
  </r>
  <r>
    <n v="171"/>
    <s v="Piotr"/>
    <s v="Wojtera"/>
    <n v="2"/>
    <x v="2"/>
    <d v="2025-06-04T00:00:00"/>
  </r>
  <r>
    <n v="172"/>
    <s v="Marek"/>
    <s v="Słomka"/>
    <n v="3"/>
    <x v="19"/>
    <d v="2025-08-17T00:00:00"/>
  </r>
  <r>
    <n v="173"/>
    <s v="Magdalena"/>
    <s v="Mazowiecka"/>
    <n v="3"/>
    <x v="19"/>
    <d v="2025-08-17T00:00:00"/>
  </r>
  <r>
    <n v="174"/>
    <s v="Andrzej"/>
    <s v="Puzio"/>
    <n v="3"/>
    <x v="19"/>
    <d v="2025-08-17T00:00:00"/>
  </r>
  <r>
    <n v="175"/>
    <s v="Mateusz"/>
    <s v="Rostropnik"/>
    <n v="4"/>
    <x v="19"/>
    <d v="2025-08-17T00:00:00"/>
  </r>
  <r>
    <n v="176"/>
    <s v="Natalia"/>
    <s v="Gloster"/>
    <n v="4"/>
    <x v="2"/>
    <d v="2025-06-04T00:00:00"/>
  </r>
  <r>
    <n v="177"/>
    <s v="Tomasz"/>
    <s v="Lisek"/>
    <n v="3"/>
    <x v="7"/>
    <d v="2025-07-14T00:00:00"/>
  </r>
  <r>
    <n v="178"/>
    <s v="Ewa"/>
    <s v="Wycisz"/>
    <n v="4"/>
    <x v="19"/>
    <d v="2025-08-17T00:00:00"/>
  </r>
  <r>
    <n v="179"/>
    <s v="Michał"/>
    <s v="Lemiesz"/>
    <n v="2"/>
    <x v="19"/>
    <d v="2025-08-17T00:00:00"/>
  </r>
  <r>
    <n v="180"/>
    <s v="Andrzej"/>
    <s v="Puzio"/>
    <n v="4"/>
    <x v="2"/>
    <d v="2025-06-04T00:00:00"/>
  </r>
  <r>
    <n v="181"/>
    <s v="Magdalena"/>
    <s v="Mazowiecka"/>
    <n v="1"/>
    <x v="2"/>
    <d v="2025-06-04T00:00:00"/>
  </r>
  <r>
    <n v="182"/>
    <s v="Grzegorz"/>
    <s v="Wolf"/>
    <n v="2"/>
    <x v="19"/>
    <d v="2025-08-17T00:00:00"/>
  </r>
  <r>
    <n v="183"/>
    <s v="Marcin"/>
    <s v="Zydel"/>
    <n v="2"/>
    <x v="19"/>
    <d v="2025-08-17T00:00:00"/>
  </r>
  <r>
    <n v="184"/>
    <s v="Mateusz"/>
    <s v="Kamiński"/>
    <n v="2"/>
    <x v="19"/>
    <d v="2025-08-17T00:00:00"/>
  </r>
  <r>
    <n v="185"/>
    <s v="Tomasz"/>
    <s v="Lisek"/>
    <n v="2"/>
    <x v="19"/>
    <d v="2025-08-17T00:00:00"/>
  </r>
  <r>
    <n v="186"/>
    <s v="Agnieszka"/>
    <s v="Darmach"/>
    <n v="2"/>
    <x v="19"/>
    <d v="2025-08-17T00:00:00"/>
  </r>
  <r>
    <n v="187"/>
    <s v="Aleksandra"/>
    <s v="Kita"/>
    <n v="2"/>
    <x v="19"/>
    <d v="2025-08-17T00:00:00"/>
  </r>
  <r>
    <n v="188"/>
    <s v="Marcin"/>
    <s v="Zydel"/>
    <n v="2"/>
    <x v="20"/>
    <d v="2025-08-17T00:00:00"/>
  </r>
  <r>
    <n v="189"/>
    <s v="Paweł"/>
    <s v="Szaman"/>
    <n v="3"/>
    <x v="21"/>
    <d v="2025-08-22T00:00:00"/>
  </r>
  <r>
    <n v="190"/>
    <s v="Marek"/>
    <s v="Krawiec"/>
    <n v="3"/>
    <x v="21"/>
    <d v="2025-08-22T00:00:00"/>
  </r>
  <r>
    <n v="191"/>
    <s v="Natalia"/>
    <s v="Gloster"/>
    <n v="3"/>
    <x v="21"/>
    <d v="2025-08-22T00:00:00"/>
  </r>
  <r>
    <n v="192"/>
    <s v="Katarzyna"/>
    <s v="Kumor"/>
    <n v="1"/>
    <x v="2"/>
    <d v="2025-06-04T00:00:00"/>
  </r>
  <r>
    <n v="193"/>
    <s v="Aleksandra"/>
    <s v="Kita"/>
    <n v="1"/>
    <x v="2"/>
    <d v="2025-06-04T00:00:00"/>
  </r>
  <r>
    <n v="194"/>
    <s v="Katarzyna"/>
    <s v="Gerber"/>
    <n v="3"/>
    <x v="21"/>
    <d v="2025-08-22T00:00:00"/>
  </r>
  <r>
    <n v="195"/>
    <s v="Natalia"/>
    <s v="Gloster"/>
    <n v="1"/>
    <x v="22"/>
    <d v="2025-08-29T00:00:00"/>
  </r>
  <r>
    <n v="196"/>
    <s v="Marek"/>
    <s v="Słomka"/>
    <n v="1"/>
    <x v="22"/>
    <d v="2025-08-29T00:00:00"/>
  </r>
  <r>
    <n v="197"/>
    <s v="Adrian"/>
    <s v="Ziomek"/>
    <n v="1"/>
    <x v="22"/>
    <d v="2025-08-29T00:00:00"/>
  </r>
  <r>
    <n v="198"/>
    <s v="Marek"/>
    <s v="Milewicz"/>
    <n v="2"/>
    <x v="7"/>
    <d v="2025-07-14T00:00:00"/>
  </r>
  <r>
    <n v="199"/>
    <s v="Andrzej"/>
    <s v="Puzio"/>
    <n v="3"/>
    <x v="2"/>
    <d v="2025-06-04T00:00:00"/>
  </r>
  <r>
    <n v="200"/>
    <s v="Natalia"/>
    <s v="Gloster"/>
    <n v="3"/>
    <x v="2"/>
    <d v="2025-06-04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Mateusz"/>
    <s v="Kamiński"/>
    <n v="2"/>
    <x v="0"/>
    <d v="2025-05-03T00:00:00"/>
  </r>
  <r>
    <n v="10"/>
    <s v="Michał"/>
    <s v="Wiśniowiecki"/>
    <n v="2"/>
    <x v="0"/>
    <d v="2025-05-03T00:00:00"/>
  </r>
  <r>
    <n v="16"/>
    <s v="Barbara"/>
    <s v="Krawczyk"/>
    <n v="1"/>
    <x v="0"/>
    <d v="2025-05-03T00:00:00"/>
  </r>
  <r>
    <n v="61"/>
    <s v="Marek"/>
    <s v="Krawiec"/>
    <n v="3"/>
    <x v="0"/>
    <d v="2025-05-03T00:00:00"/>
  </r>
  <r>
    <n v="84"/>
    <s v="Natalia"/>
    <s v="Gloster"/>
    <n v="3"/>
    <x v="0"/>
    <d v="2025-05-03T00:00:00"/>
  </r>
  <r>
    <n v="125"/>
    <s v="Michał"/>
    <s v="Lemiesz"/>
    <n v="3"/>
    <x v="0"/>
    <d v="2025-05-03T00:00:00"/>
  </r>
  <r>
    <n v="131"/>
    <s v="Grzegorz"/>
    <s v="Wolf"/>
    <n v="1"/>
    <x v="0"/>
    <d v="2025-05-03T00:00:00"/>
  </r>
  <r>
    <n v="132"/>
    <s v="Natalia"/>
    <s v="Bania"/>
    <n v="1"/>
    <x v="0"/>
    <d v="2025-05-03T00:00:00"/>
  </r>
  <r>
    <n v="12"/>
    <s v="Anna"/>
    <s v="Wiśniewska"/>
    <n v="1"/>
    <x v="1"/>
    <d v="2025-05-09T00:00:00"/>
  </r>
  <r>
    <n v="14"/>
    <s v="Katarzyna"/>
    <s v="Figurska"/>
    <n v="1"/>
    <x v="1"/>
    <d v="2025-05-09T00:00:00"/>
  </r>
  <r>
    <n v="15"/>
    <s v="Mateusz"/>
    <s v="Kaktus"/>
    <n v="1"/>
    <x v="1"/>
    <d v="2025-05-09T00:00:00"/>
  </r>
  <r>
    <n v="17"/>
    <s v="Andrzej"/>
    <s v="Kowal"/>
    <n v="2"/>
    <x v="1"/>
    <d v="2025-05-09T00:00:00"/>
  </r>
  <r>
    <n v="18"/>
    <s v="Rafał"/>
    <s v="Lewandowski"/>
    <n v="2"/>
    <x v="1"/>
    <d v="2025-05-09T00:00:00"/>
  </r>
  <r>
    <n v="19"/>
    <s v="Ewa"/>
    <s v="Rutkowska"/>
    <n v="2"/>
    <x v="1"/>
    <d v="2025-05-09T00:00:00"/>
  </r>
  <r>
    <n v="25"/>
    <s v="Łukasz"/>
    <s v="Michalski"/>
    <n v="2"/>
    <x v="1"/>
    <d v="2025-05-09T00:00:00"/>
  </r>
  <r>
    <n v="26"/>
    <s v="Krzysztof"/>
    <s v="Grabowski"/>
    <n v="2"/>
    <x v="1"/>
    <d v="2025-05-09T00:00:00"/>
  </r>
  <r>
    <n v="27"/>
    <s v="Andrzej"/>
    <s v="Piotrowski"/>
    <n v="3"/>
    <x v="1"/>
    <d v="2025-05-09T00:00:00"/>
  </r>
  <r>
    <n v="28"/>
    <s v="Natalia"/>
    <s v="Wojciechowska"/>
    <n v="3"/>
    <x v="1"/>
    <d v="2025-05-09T00:00:00"/>
  </r>
  <r>
    <n v="29"/>
    <s v="Karolina"/>
    <s v="Rucka"/>
    <n v="3"/>
    <x v="1"/>
    <d v="2025-05-09T00:00:00"/>
  </r>
  <r>
    <n v="34"/>
    <s v="Andrzej"/>
    <s v="Kołodziej"/>
    <n v="3"/>
    <x v="1"/>
    <d v="2025-05-09T00:00:00"/>
  </r>
  <r>
    <n v="35"/>
    <s v="Mateusz"/>
    <s v="Pyć"/>
    <n v="4"/>
    <x v="1"/>
    <d v="2025-05-09T00:00:00"/>
  </r>
  <r>
    <n v="36"/>
    <s v="Piotr"/>
    <s v="Lowelas"/>
    <n v="4"/>
    <x v="1"/>
    <d v="2025-05-09T00:00:00"/>
  </r>
  <r>
    <n v="2"/>
    <s v="Weronika"/>
    <s v="Kołodziejska"/>
    <n v="3"/>
    <x v="2"/>
    <d v="2025-05-15T00:00:00"/>
  </r>
  <r>
    <n v="7"/>
    <s v="Karolina"/>
    <s v="Jabłońska"/>
    <n v="3"/>
    <x v="2"/>
    <d v="2025-05-15T00:00:00"/>
  </r>
  <r>
    <n v="23"/>
    <s v="Magdalena"/>
    <s v="Wiercioch"/>
    <n v="3"/>
    <x v="2"/>
    <d v="2025-05-15T00:00:00"/>
  </r>
  <r>
    <n v="62"/>
    <s v="Agnieszka"/>
    <s v="Krolska"/>
    <n v="3"/>
    <x v="2"/>
    <d v="2025-05-15T00:00:00"/>
  </r>
  <r>
    <n v="5"/>
    <s v="Agnieszka"/>
    <s v="Koniec"/>
    <n v="1"/>
    <x v="3"/>
    <d v="2025-05-21T00:00:00"/>
  </r>
  <r>
    <n v="37"/>
    <s v="Anna"/>
    <s v="Woźniak"/>
    <n v="1"/>
    <x v="3"/>
    <d v="2025-05-21T00:00:00"/>
  </r>
  <r>
    <n v="55"/>
    <s v="Marek"/>
    <s v="Zajączek"/>
    <n v="1"/>
    <x v="3"/>
    <d v="2025-05-21T00:00:00"/>
  </r>
  <r>
    <n v="70"/>
    <s v="Jan"/>
    <s v="Woroch"/>
    <n v="4"/>
    <x v="3"/>
    <d v="2025-05-21T00:00:00"/>
  </r>
  <r>
    <n v="95"/>
    <s v="Aleksandra"/>
    <s v="Kita"/>
    <n v="1"/>
    <x v="3"/>
    <d v="2025-05-21T00:00:00"/>
  </r>
  <r>
    <n v="120"/>
    <s v="Anna"/>
    <s v="Zaton"/>
    <n v="4"/>
    <x v="3"/>
    <d v="2025-05-21T00:00:00"/>
  </r>
  <r>
    <n v="4"/>
    <s v="Monika"/>
    <s v="Górska"/>
    <n v="2"/>
    <x v="4"/>
    <d v="2025-05-28T00:00:00"/>
  </r>
  <r>
    <n v="38"/>
    <s v="Jakub"/>
    <s v="Kaminski"/>
    <n v="2"/>
    <x v="4"/>
    <d v="2025-05-28T00:00:00"/>
  </r>
  <r>
    <n v="48"/>
    <s v="Magdalena"/>
    <s v="Szymańska"/>
    <n v="2"/>
    <x v="4"/>
    <d v="2025-05-28T00:00:00"/>
  </r>
  <r>
    <n v="75"/>
    <s v="Magdalena"/>
    <s v="Zalatana"/>
    <n v="2"/>
    <x v="4"/>
    <d v="2025-05-28T00:00:00"/>
  </r>
  <r>
    <n v="82"/>
    <s v="Marek"/>
    <s v="Kmieć"/>
    <n v="2"/>
    <x v="4"/>
    <d v="2025-05-28T00:00:00"/>
  </r>
  <r>
    <n v="105"/>
    <s v="Adrian"/>
    <s v="Wojaszek"/>
    <n v="2"/>
    <x v="4"/>
    <d v="2025-05-28T00:00:00"/>
  </r>
  <r>
    <n v="110"/>
    <s v="Rafał"/>
    <s v="Skorek"/>
    <n v="2"/>
    <x v="4"/>
    <d v="2025-05-28T00:00:00"/>
  </r>
  <r>
    <n v="119"/>
    <s v="Paweł"/>
    <s v="Wardzynski"/>
    <n v="2"/>
    <x v="4"/>
    <d v="2025-05-28T00:00:00"/>
  </r>
  <r>
    <n v="3"/>
    <s v="Jan"/>
    <s v="Kowalczyk"/>
    <n v="2"/>
    <x v="5"/>
    <d v="2025-06-04T00:00:00"/>
  </r>
  <r>
    <n v="13"/>
    <s v="Michał"/>
    <s v="Pawłowski"/>
    <n v="2"/>
    <x v="5"/>
    <d v="2025-06-04T00:00:00"/>
  </r>
  <r>
    <n v="22"/>
    <s v="Piotr"/>
    <s v="Kominski"/>
    <n v="2"/>
    <x v="5"/>
    <d v="2025-06-04T00:00:00"/>
  </r>
  <r>
    <n v="33"/>
    <s v="Monika"/>
    <s v="Wojcieszek"/>
    <n v="2"/>
    <x v="5"/>
    <d v="2025-06-04T00:00:00"/>
  </r>
  <r>
    <n v="46"/>
    <s v="Krzysztof"/>
    <s v="Wojnarowski"/>
    <n v="2"/>
    <x v="5"/>
    <d v="2025-06-04T00:00:00"/>
  </r>
  <r>
    <n v="59"/>
    <s v="Monika"/>
    <s v="Woźnicka"/>
    <n v="2"/>
    <x v="5"/>
    <d v="2025-06-04T00:00:00"/>
  </r>
  <r>
    <n v="60"/>
    <s v="Adrian"/>
    <s v="Mazurek"/>
    <n v="2"/>
    <x v="5"/>
    <d v="2025-06-04T00:00:00"/>
  </r>
  <r>
    <n v="171"/>
    <s v="Piotr"/>
    <s v="Wojtera"/>
    <n v="2"/>
    <x v="5"/>
    <d v="2025-06-04T00:00:00"/>
  </r>
  <r>
    <n v="176"/>
    <s v="Natalia"/>
    <s v="Gloster"/>
    <n v="4"/>
    <x v="5"/>
    <d v="2025-06-04T00:00:00"/>
  </r>
  <r>
    <n v="180"/>
    <s v="Andrzej"/>
    <s v="Puzio"/>
    <n v="4"/>
    <x v="5"/>
    <d v="2025-06-04T00:00:00"/>
  </r>
  <r>
    <n v="181"/>
    <s v="Magdalena"/>
    <s v="Mazowiecka"/>
    <n v="1"/>
    <x v="5"/>
    <d v="2025-06-04T00:00:00"/>
  </r>
  <r>
    <n v="192"/>
    <s v="Katarzyna"/>
    <s v="Kumor"/>
    <n v="1"/>
    <x v="5"/>
    <d v="2025-06-04T00:00:00"/>
  </r>
  <r>
    <n v="193"/>
    <s v="Aleksandra"/>
    <s v="Kita"/>
    <n v="1"/>
    <x v="5"/>
    <d v="2025-06-04T00:00:00"/>
  </r>
  <r>
    <n v="199"/>
    <s v="Andrzej"/>
    <s v="Puzio"/>
    <n v="3"/>
    <x v="5"/>
    <d v="2025-06-04T00:00:00"/>
  </r>
  <r>
    <n v="200"/>
    <s v="Natalia"/>
    <s v="Gloster"/>
    <n v="3"/>
    <x v="5"/>
    <d v="2025-06-04T00:00:00"/>
  </r>
  <r>
    <n v="6"/>
    <s v="Adrian"/>
    <s v="Ziomek"/>
    <n v="3"/>
    <x v="6"/>
    <d v="2025-06-09T00:00:00"/>
  </r>
  <r>
    <n v="47"/>
    <s v="Ewa"/>
    <s v="Dąbrowska"/>
    <n v="3"/>
    <x v="6"/>
    <d v="2025-06-09T00:00:00"/>
  </r>
  <r>
    <n v="63"/>
    <s v="Monika"/>
    <s v="Jabłczyńska"/>
    <n v="4"/>
    <x v="6"/>
    <d v="2025-06-09T00:00:00"/>
  </r>
  <r>
    <n v="83"/>
    <s v="Agnieszka"/>
    <s v="Darmach"/>
    <n v="4"/>
    <x v="6"/>
    <d v="2025-06-09T00:00:00"/>
  </r>
  <r>
    <n v="104"/>
    <s v="Marcin"/>
    <s v="Komuszy"/>
    <n v="3"/>
    <x v="6"/>
    <d v="2025-06-09T00:00:00"/>
  </r>
  <r>
    <n v="126"/>
    <s v="Mateusz"/>
    <s v="Gronski"/>
    <n v="3"/>
    <x v="6"/>
    <d v="2025-06-09T00:00:00"/>
  </r>
  <r>
    <n v="134"/>
    <s v="Marek"/>
    <s v="Słomka"/>
    <n v="2"/>
    <x v="7"/>
    <d v="2025-06-15T00:00:00"/>
  </r>
  <r>
    <n v="140"/>
    <s v="Ewa"/>
    <s v="Emska"/>
    <n v="2"/>
    <x v="7"/>
    <d v="2025-06-15T00:00:00"/>
  </r>
  <r>
    <n v="145"/>
    <s v="Monika"/>
    <s v="Koło"/>
    <n v="2"/>
    <x v="7"/>
    <d v="2025-06-15T00:00:00"/>
  </r>
  <r>
    <n v="148"/>
    <s v="Ewa"/>
    <s v="Wnuk"/>
    <n v="2"/>
    <x v="7"/>
    <d v="2025-06-15T00:00:00"/>
  </r>
  <r>
    <n v="153"/>
    <s v="Natalia"/>
    <s v="Gloster"/>
    <n v="2"/>
    <x v="7"/>
    <d v="2025-06-15T00:00:00"/>
  </r>
  <r>
    <n v="161"/>
    <s v="Marek"/>
    <s v="Słomka"/>
    <n v="2"/>
    <x v="7"/>
    <d v="2025-06-15T00:00:00"/>
  </r>
  <r>
    <n v="8"/>
    <s v="Marcin"/>
    <s v="Zając"/>
    <n v="2"/>
    <x v="8"/>
    <d v="2025-06-19T00:00:00"/>
  </r>
  <r>
    <n v="21"/>
    <s v="Karolina"/>
    <s v="Lewandowska"/>
    <n v="2"/>
    <x v="8"/>
    <d v="2025-06-19T00:00:00"/>
  </r>
  <r>
    <n v="32"/>
    <s v="Ewa"/>
    <s v="Zajączkowska"/>
    <n v="4"/>
    <x v="8"/>
    <d v="2025-06-19T00:00:00"/>
  </r>
  <r>
    <n v="39"/>
    <s v="Jakub"/>
    <s v="Szlam"/>
    <n v="2"/>
    <x v="8"/>
    <d v="2025-06-19T00:00:00"/>
  </r>
  <r>
    <n v="54"/>
    <s v="Michał"/>
    <s v="Dąbrowski"/>
    <n v="4"/>
    <x v="8"/>
    <d v="2025-06-19T00:00:00"/>
  </r>
  <r>
    <n v="40"/>
    <s v="Krzysztof"/>
    <s v="Wojna"/>
    <n v="2"/>
    <x v="9"/>
    <d v="2025-06-22T00:00:00"/>
  </r>
  <r>
    <n v="41"/>
    <s v="Łukasz"/>
    <s v="Lawa"/>
    <n v="2"/>
    <x v="9"/>
    <d v="2025-06-22T00:00:00"/>
  </r>
  <r>
    <n v="42"/>
    <s v="Agnieszka"/>
    <s v="Woźniacka"/>
    <n v="2"/>
    <x v="9"/>
    <d v="2025-06-22T00:00:00"/>
  </r>
  <r>
    <n v="43"/>
    <s v="Michał"/>
    <s v="Wójcki"/>
    <n v="2"/>
    <x v="9"/>
    <d v="2025-06-22T00:00:00"/>
  </r>
  <r>
    <n v="44"/>
    <s v="Katarzyna"/>
    <s v="Kozłowska"/>
    <n v="2"/>
    <x v="9"/>
    <d v="2025-06-22T00:00:00"/>
  </r>
  <r>
    <n v="49"/>
    <s v="Aleksandra"/>
    <s v="Wojciaszek"/>
    <n v="2"/>
    <x v="9"/>
    <d v="2025-06-22T00:00:00"/>
  </r>
  <r>
    <n v="50"/>
    <s v="Katarzyna"/>
    <s v="Bobrowska"/>
    <n v="2"/>
    <x v="9"/>
    <d v="2025-06-22T00:00:00"/>
  </r>
  <r>
    <n v="51"/>
    <s v="Anna"/>
    <s v="Janeczek"/>
    <n v="2"/>
    <x v="9"/>
    <d v="2025-06-22T00:00:00"/>
  </r>
  <r>
    <n v="52"/>
    <s v="Magdalena"/>
    <s v="Kwiatkowska"/>
    <n v="1"/>
    <x v="9"/>
    <d v="2025-06-22T00:00:00"/>
  </r>
  <r>
    <n v="53"/>
    <s v="Marcin"/>
    <s v="Wenerski"/>
    <n v="1"/>
    <x v="9"/>
    <d v="2025-06-22T00:00:00"/>
  </r>
  <r>
    <n v="57"/>
    <s v="Anna"/>
    <s v="Koński"/>
    <n v="3"/>
    <x v="10"/>
    <d v="2025-06-29T00:00:00"/>
  </r>
  <r>
    <n v="58"/>
    <s v="Joanna"/>
    <s v="Szymanowska"/>
    <n v="3"/>
    <x v="10"/>
    <d v="2025-06-29T00:00:00"/>
  </r>
  <r>
    <n v="65"/>
    <s v="Barbara"/>
    <s v="Baranowska "/>
    <n v="3"/>
    <x v="10"/>
    <d v="2025-06-29T00:00:00"/>
  </r>
  <r>
    <n v="66"/>
    <s v="Rafał"/>
    <s v="Krokus"/>
    <n v="3"/>
    <x v="10"/>
    <d v="2025-06-29T00:00:00"/>
  </r>
  <r>
    <n v="67"/>
    <s v="Monika"/>
    <s v="Krawiruk"/>
    <n v="2"/>
    <x v="10"/>
    <d v="2025-06-29T00:00:00"/>
  </r>
  <r>
    <n v="68"/>
    <s v="Marcin"/>
    <s v="Kierwiński"/>
    <n v="2"/>
    <x v="10"/>
    <d v="2025-06-29T00:00:00"/>
  </r>
  <r>
    <n v="69"/>
    <s v="Karolina"/>
    <s v="Szyszko"/>
    <n v="2"/>
    <x v="10"/>
    <d v="2025-06-29T00:00:00"/>
  </r>
  <r>
    <n v="71"/>
    <s v="Paweł"/>
    <s v="Kołodziejczyk"/>
    <n v="2"/>
    <x v="10"/>
    <d v="2025-06-29T00:00:00"/>
  </r>
  <r>
    <n v="72"/>
    <s v="Adrian"/>
    <s v="Witych"/>
    <n v="2"/>
    <x v="10"/>
    <d v="2025-06-29T00:00:00"/>
  </r>
  <r>
    <n v="73"/>
    <s v="Agnieszka"/>
    <s v="Inka"/>
    <n v="2"/>
    <x v="10"/>
    <d v="2025-06-29T00:00:00"/>
  </r>
  <r>
    <n v="74"/>
    <s v="Monika"/>
    <s v="Cytek"/>
    <n v="2"/>
    <x v="10"/>
    <d v="2025-06-29T00:00:00"/>
  </r>
  <r>
    <n v="77"/>
    <s v="Adrian"/>
    <s v="Wieczorek"/>
    <n v="2"/>
    <x v="10"/>
    <d v="2025-06-29T00:00:00"/>
  </r>
  <r>
    <n v="78"/>
    <s v="Tomasz"/>
    <s v="Komorek"/>
    <n v="1"/>
    <x v="10"/>
    <d v="2025-06-29T00:00:00"/>
  </r>
  <r>
    <n v="79"/>
    <s v="Marcin"/>
    <s v="Widera"/>
    <n v="1"/>
    <x v="10"/>
    <d v="2025-06-29T00:00:00"/>
  </r>
  <r>
    <n v="80"/>
    <s v="Paweł"/>
    <s v="Raźna"/>
    <n v="1"/>
    <x v="10"/>
    <d v="2025-06-29T00:00:00"/>
  </r>
  <r>
    <n v="9"/>
    <s v="Weronika"/>
    <s v="Kamińska"/>
    <n v="2"/>
    <x v="11"/>
    <d v="2025-07-03T00:00:00"/>
  </r>
  <r>
    <n v="20"/>
    <s v="Zofia"/>
    <s v="Gumilak"/>
    <n v="2"/>
    <x v="11"/>
    <d v="2025-07-03T00:00:00"/>
  </r>
  <r>
    <n v="31"/>
    <s v="Katarzyna"/>
    <s v="Pitek"/>
    <n v="2"/>
    <x v="11"/>
    <d v="2025-07-03T00:00:00"/>
  </r>
  <r>
    <n v="76"/>
    <s v="Katarzyna"/>
    <s v="Mazur"/>
    <n v="2"/>
    <x v="11"/>
    <d v="2025-07-03T00:00:00"/>
  </r>
  <r>
    <n v="94"/>
    <s v="Weronika"/>
    <s v="Wieczorkowska"/>
    <n v="1"/>
    <x v="11"/>
    <d v="2025-07-03T00:00:00"/>
  </r>
  <r>
    <n v="127"/>
    <s v="Ewa"/>
    <s v="Wycisz"/>
    <n v="1"/>
    <x v="11"/>
    <d v="2025-07-03T00:00:00"/>
  </r>
  <r>
    <n v="147"/>
    <s v="Krzysztof"/>
    <s v="Panek"/>
    <n v="2"/>
    <x v="11"/>
    <d v="2025-07-03T00:00:00"/>
  </r>
  <r>
    <n v="160"/>
    <s v="Katarzyna"/>
    <s v="Gerber"/>
    <n v="1"/>
    <x v="11"/>
    <d v="2025-07-03T00:00:00"/>
  </r>
  <r>
    <n v="170"/>
    <s v="Agnieszka"/>
    <s v="Inka"/>
    <n v="1"/>
    <x v="11"/>
    <d v="2025-07-03T00:00:00"/>
  </r>
  <r>
    <n v="177"/>
    <s v="Tomasz"/>
    <s v="Lisek"/>
    <n v="3"/>
    <x v="11"/>
    <d v="2025-07-14T00:00:00"/>
  </r>
  <r>
    <n v="198"/>
    <s v="Marek"/>
    <s v="Milewicz"/>
    <n v="2"/>
    <x v="11"/>
    <d v="2025-07-14T00:00:00"/>
  </r>
  <r>
    <n v="81"/>
    <s v="Karolina"/>
    <s v="Michalska"/>
    <n v="1"/>
    <x v="12"/>
    <d v="2025-07-07T00:00:00"/>
  </r>
  <r>
    <n v="85"/>
    <s v="Maria"/>
    <s v="Jankowska"/>
    <n v="1"/>
    <x v="12"/>
    <d v="2025-07-07T00:00:00"/>
  </r>
  <r>
    <n v="86"/>
    <s v="Łukasz"/>
    <s v="Janiszek"/>
    <n v="1"/>
    <x v="12"/>
    <d v="2025-07-07T00:00:00"/>
  </r>
  <r>
    <n v="87"/>
    <s v="Zofia"/>
    <s v="Zielińska"/>
    <n v="1"/>
    <x v="12"/>
    <d v="2025-07-07T00:00:00"/>
  </r>
  <r>
    <n v="88"/>
    <s v="Karolina"/>
    <s v="Sikora"/>
    <n v="3"/>
    <x v="12"/>
    <d v="2025-07-07T00:00:00"/>
  </r>
  <r>
    <n v="89"/>
    <s v="Michał"/>
    <s v="Kiliański"/>
    <n v="3"/>
    <x v="12"/>
    <d v="2025-07-07T00:00:00"/>
  </r>
  <r>
    <n v="90"/>
    <s v="Katarzyna"/>
    <s v="Gerber"/>
    <n v="3"/>
    <x v="12"/>
    <d v="2025-07-07T00:00:00"/>
  </r>
  <r>
    <n v="91"/>
    <s v="Andrzej"/>
    <s v="Lorek"/>
    <n v="3"/>
    <x v="12"/>
    <d v="2025-07-07T00:00:00"/>
  </r>
  <r>
    <n v="92"/>
    <s v="Andrzej"/>
    <s v="Watacha"/>
    <n v="2"/>
    <x v="13"/>
    <d v="2025-07-14T00:00:00"/>
  </r>
  <r>
    <n v="96"/>
    <s v="Anna"/>
    <s v="Sulima"/>
    <n v="2"/>
    <x v="13"/>
    <d v="2025-07-14T00:00:00"/>
  </r>
  <r>
    <n v="97"/>
    <s v="Katarzyna"/>
    <s v="Styś"/>
    <n v="2"/>
    <x v="13"/>
    <d v="2025-07-14T00:00:00"/>
  </r>
  <r>
    <n v="98"/>
    <s v="Piotr"/>
    <s v="Grzybek"/>
    <n v="2"/>
    <x v="13"/>
    <d v="2025-07-14T00:00:00"/>
  </r>
  <r>
    <n v="99"/>
    <s v="Paweł"/>
    <s v="Romb"/>
    <n v="2"/>
    <x v="13"/>
    <d v="2025-07-14T00:00:00"/>
  </r>
  <r>
    <n v="100"/>
    <s v="Andrzej"/>
    <s v="Puzio"/>
    <n v="2"/>
    <x v="13"/>
    <d v="2025-07-14T00:00:00"/>
  </r>
  <r>
    <n v="101"/>
    <s v="Maria"/>
    <s v="Zalech"/>
    <n v="3"/>
    <x v="13"/>
    <d v="2025-07-14T00:00:00"/>
  </r>
  <r>
    <n v="102"/>
    <s v="Krzysztof"/>
    <s v="Suski"/>
    <n v="3"/>
    <x v="13"/>
    <d v="2025-07-14T00:00:00"/>
  </r>
  <r>
    <n v="103"/>
    <s v="Barbara"/>
    <s v="Wazon"/>
    <n v="3"/>
    <x v="13"/>
    <d v="2025-07-14T00:00:00"/>
  </r>
  <r>
    <n v="107"/>
    <s v="Piotr"/>
    <s v="Wojtera"/>
    <n v="3"/>
    <x v="13"/>
    <d v="2025-07-14T00:00:00"/>
  </r>
  <r>
    <n v="108"/>
    <s v="Jakub"/>
    <s v="Czech"/>
    <n v="1"/>
    <x v="13"/>
    <d v="2025-07-14T00:00:00"/>
  </r>
  <r>
    <n v="11"/>
    <s v="Weronika"/>
    <s v="Kotlińska"/>
    <n v="4"/>
    <x v="14"/>
    <d v="2025-07-18T00:00:00"/>
  </r>
  <r>
    <n v="24"/>
    <s v="Joanna"/>
    <s v="Wójcik"/>
    <n v="4"/>
    <x v="14"/>
    <d v="2025-07-18T00:00:00"/>
  </r>
  <r>
    <n v="30"/>
    <s v="Adrian"/>
    <s v="Król"/>
    <n v="1"/>
    <x v="14"/>
    <d v="2025-07-18T00:00:00"/>
  </r>
  <r>
    <n v="45"/>
    <s v="Aleksandra"/>
    <s v="Wiśnia"/>
    <n v="1"/>
    <x v="14"/>
    <d v="2025-07-18T00:00:00"/>
  </r>
  <r>
    <n v="56"/>
    <s v="Sylwia"/>
    <s v="Kozioł"/>
    <n v="1"/>
    <x v="14"/>
    <d v="2025-07-18T00:00:00"/>
  </r>
  <r>
    <n v="64"/>
    <s v="Sylwia"/>
    <s v="Kawalerska"/>
    <n v="1"/>
    <x v="14"/>
    <d v="2025-07-18T00:00:00"/>
  </r>
  <r>
    <n v="93"/>
    <s v="Mateusz"/>
    <s v="Sikorka"/>
    <n v="3"/>
    <x v="14"/>
    <d v="2025-07-18T00:00:00"/>
  </r>
  <r>
    <n v="106"/>
    <s v="Sylwia"/>
    <s v="Ruda"/>
    <n v="3"/>
    <x v="14"/>
    <d v="2025-07-18T00:00:00"/>
  </r>
  <r>
    <n v="118"/>
    <s v="Jakub"/>
    <s v="Strama"/>
    <n v="3"/>
    <x v="14"/>
    <d v="2025-07-18T00:00:00"/>
  </r>
  <r>
    <n v="128"/>
    <s v="Ewa"/>
    <s v="Piotrek"/>
    <n v="3"/>
    <x v="14"/>
    <d v="2025-07-18T00:00:00"/>
  </r>
  <r>
    <n v="141"/>
    <s v="Marcin"/>
    <s v="Nowak"/>
    <n v="2"/>
    <x v="14"/>
    <d v="2025-07-18T00:00:00"/>
  </r>
  <r>
    <n v="154"/>
    <s v="Piotr"/>
    <s v="Grzybek"/>
    <n v="2"/>
    <x v="14"/>
    <d v="2025-07-18T00:00:00"/>
  </r>
  <r>
    <n v="169"/>
    <s v="Karolina"/>
    <s v="Bober"/>
    <n v="2"/>
    <x v="14"/>
    <d v="2025-07-18T00:00:00"/>
  </r>
  <r>
    <n v="109"/>
    <s v="Michał"/>
    <s v="Wołos"/>
    <n v="1"/>
    <x v="15"/>
    <d v="2025-07-21T00:00:00"/>
  </r>
  <r>
    <n v="111"/>
    <s v="Weronika"/>
    <s v="Wojas"/>
    <n v="1"/>
    <x v="15"/>
    <d v="2025-07-21T00:00:00"/>
  </r>
  <r>
    <n v="112"/>
    <s v="Piotr"/>
    <s v="Lenic"/>
    <n v="1"/>
    <x v="15"/>
    <d v="2025-07-21T00:00:00"/>
  </r>
  <r>
    <n v="113"/>
    <s v="Marek"/>
    <s v="Nowacki"/>
    <n v="1"/>
    <x v="15"/>
    <d v="2025-07-21T00:00:00"/>
  </r>
  <r>
    <n v="114"/>
    <s v="Tomasz"/>
    <s v="Rzeźniczak"/>
    <n v="2"/>
    <x v="15"/>
    <d v="2025-07-21T00:00:00"/>
  </r>
  <r>
    <n v="115"/>
    <s v="Marek"/>
    <s v="Milewicz"/>
    <n v="2"/>
    <x v="15"/>
    <d v="2025-07-21T00:00:00"/>
  </r>
  <r>
    <n v="116"/>
    <s v="Adrian"/>
    <s v="Kopeć"/>
    <n v="2"/>
    <x v="15"/>
    <d v="2025-07-21T00:00:00"/>
  </r>
  <r>
    <n v="117"/>
    <s v="Agnieszka"/>
    <s v="Zielonka"/>
    <n v="2"/>
    <x v="15"/>
    <d v="2025-07-21T00:00:00"/>
  </r>
  <r>
    <n v="121"/>
    <s v="Mateusz"/>
    <s v="Sosek"/>
    <n v="2"/>
    <x v="16"/>
    <d v="2025-07-28T00:00:00"/>
  </r>
  <r>
    <n v="122"/>
    <s v="Mateusz"/>
    <s v="Rostropnik"/>
    <n v="2"/>
    <x v="16"/>
    <d v="2025-07-28T00:00:00"/>
  </r>
  <r>
    <n v="123"/>
    <s v="Weronika"/>
    <s v="Pawłowska"/>
    <n v="2"/>
    <x v="16"/>
    <d v="2025-07-28T00:00:00"/>
  </r>
  <r>
    <n v="124"/>
    <s v="Łukasz"/>
    <s v="Kowski"/>
    <n v="2"/>
    <x v="16"/>
    <d v="2025-07-28T00:00:00"/>
  </r>
  <r>
    <n v="129"/>
    <s v="Karolina"/>
    <s v="Bober"/>
    <n v="2"/>
    <x v="16"/>
    <d v="2025-07-28T00:00:00"/>
  </r>
  <r>
    <n v="130"/>
    <s v="Weronika"/>
    <s v="Staroń"/>
    <n v="2"/>
    <x v="16"/>
    <d v="2025-07-28T00:00:00"/>
  </r>
  <r>
    <n v="133"/>
    <s v="Piotr"/>
    <s v="Krasek"/>
    <n v="2"/>
    <x v="16"/>
    <d v="2025-07-28T00:00:00"/>
  </r>
  <r>
    <n v="135"/>
    <s v="Weronika"/>
    <s v="Ryżana"/>
    <n v="2"/>
    <x v="16"/>
    <d v="2025-07-28T00:00:00"/>
  </r>
  <r>
    <n v="136"/>
    <s v="Magdalena"/>
    <s v="Mazowiecka"/>
    <n v="1"/>
    <x v="16"/>
    <d v="2025-07-28T00:00:00"/>
  </r>
  <r>
    <n v="137"/>
    <s v="Tomasz"/>
    <s v="Lisek"/>
    <n v="3"/>
    <x v="17"/>
    <d v="2025-08-06T00:00:00"/>
  </r>
  <r>
    <n v="138"/>
    <s v="Marcin"/>
    <s v="Zydel"/>
    <n v="3"/>
    <x v="17"/>
    <d v="2025-08-06T00:00:00"/>
  </r>
  <r>
    <n v="139"/>
    <s v="Paweł"/>
    <s v="Szaman"/>
    <n v="3"/>
    <x v="17"/>
    <d v="2025-08-06T00:00:00"/>
  </r>
  <r>
    <n v="142"/>
    <s v="Katarzyna"/>
    <s v="Kumor"/>
    <n v="3"/>
    <x v="17"/>
    <d v="2025-08-06T00:00:00"/>
  </r>
  <r>
    <n v="143"/>
    <s v="Maria"/>
    <s v="Wiercińska"/>
    <n v="2"/>
    <x v="17"/>
    <d v="2025-08-06T00:00:00"/>
  </r>
  <r>
    <n v="144"/>
    <s v="Andrzej"/>
    <s v="Kusy"/>
    <n v="2"/>
    <x v="17"/>
    <d v="2025-08-06T00:00:00"/>
  </r>
  <r>
    <n v="146"/>
    <s v="Mateusz"/>
    <s v="Zych"/>
    <n v="2"/>
    <x v="17"/>
    <d v="2025-08-06T00:00:00"/>
  </r>
  <r>
    <n v="149"/>
    <s v="Sylwia"/>
    <s v="Zaleśna"/>
    <n v="2"/>
    <x v="17"/>
    <d v="2025-08-06T00:00:00"/>
  </r>
  <r>
    <n v="150"/>
    <s v="Krzysztof"/>
    <s v="Jankowski"/>
    <n v="1"/>
    <x v="17"/>
    <d v="2025-08-06T00:00:00"/>
  </r>
  <r>
    <n v="151"/>
    <s v="Mateusz"/>
    <s v="Kamiński"/>
    <n v="1"/>
    <x v="17"/>
    <d v="2025-08-06T00:00:00"/>
  </r>
  <r>
    <n v="152"/>
    <s v="Katarzyna"/>
    <s v="Gerber"/>
    <n v="1"/>
    <x v="17"/>
    <d v="2025-08-06T00:00:00"/>
  </r>
  <r>
    <n v="155"/>
    <s v="Mateusz"/>
    <s v="Rostropnik"/>
    <n v="1"/>
    <x v="17"/>
    <d v="2025-08-06T00:00:00"/>
  </r>
  <r>
    <n v="156"/>
    <s v="Andrzej"/>
    <s v="Puzio"/>
    <n v="2"/>
    <x v="18"/>
    <d v="2025-08-12T00:00:00"/>
  </r>
  <r>
    <n v="157"/>
    <s v="Natalia"/>
    <s v="Bania"/>
    <n v="2"/>
    <x v="18"/>
    <d v="2025-08-12T00:00:00"/>
  </r>
  <r>
    <n v="158"/>
    <s v="Agnieszka"/>
    <s v="Darmach"/>
    <n v="2"/>
    <x v="18"/>
    <d v="2025-08-12T00:00:00"/>
  </r>
  <r>
    <n v="159"/>
    <s v="Grzegorz"/>
    <s v="Wolf"/>
    <n v="2"/>
    <x v="18"/>
    <d v="2025-08-12T00:00:00"/>
  </r>
  <r>
    <n v="162"/>
    <s v="Anna"/>
    <s v="Sulima"/>
    <n v="2"/>
    <x v="18"/>
    <d v="2025-08-12T00:00:00"/>
  </r>
  <r>
    <n v="163"/>
    <s v="Mateusz"/>
    <s v="Rostropnik"/>
    <n v="2"/>
    <x v="18"/>
    <d v="2025-08-12T00:00:00"/>
  </r>
  <r>
    <n v="164"/>
    <s v="Natalia"/>
    <s v="Gloster"/>
    <n v="1"/>
    <x v="19"/>
    <d v="2025-08-17T00:00:00"/>
  </r>
  <r>
    <n v="165"/>
    <s v="Magdalena"/>
    <s v="Mazowiecka"/>
    <n v="1"/>
    <x v="19"/>
    <d v="2025-08-17T00:00:00"/>
  </r>
  <r>
    <n v="166"/>
    <s v="Michał"/>
    <s v="Lemiesz"/>
    <n v="1"/>
    <x v="19"/>
    <d v="2025-08-17T00:00:00"/>
  </r>
  <r>
    <n v="167"/>
    <s v="Marek"/>
    <s v="Słomka"/>
    <n v="1"/>
    <x v="19"/>
    <d v="2025-08-17T00:00:00"/>
  </r>
  <r>
    <n v="168"/>
    <s v="Agnieszka"/>
    <s v="Darmach"/>
    <n v="3"/>
    <x v="19"/>
    <d v="2025-08-17T00:00:00"/>
  </r>
  <r>
    <n v="172"/>
    <s v="Marek"/>
    <s v="Słomka"/>
    <n v="3"/>
    <x v="19"/>
    <d v="2025-08-17T00:00:00"/>
  </r>
  <r>
    <n v="173"/>
    <s v="Magdalena"/>
    <s v="Mazowiecka"/>
    <n v="3"/>
    <x v="19"/>
    <d v="2025-08-17T00:00:00"/>
  </r>
  <r>
    <n v="174"/>
    <s v="Andrzej"/>
    <s v="Puzio"/>
    <n v="3"/>
    <x v="19"/>
    <d v="2025-08-17T00:00:00"/>
  </r>
  <r>
    <n v="175"/>
    <s v="Mateusz"/>
    <s v="Rostropnik"/>
    <n v="4"/>
    <x v="19"/>
    <d v="2025-08-17T00:00:00"/>
  </r>
  <r>
    <n v="178"/>
    <s v="Ewa"/>
    <s v="Wycisz"/>
    <n v="4"/>
    <x v="19"/>
    <d v="2025-08-17T00:00:00"/>
  </r>
  <r>
    <n v="179"/>
    <s v="Michał"/>
    <s v="Lemiesz"/>
    <n v="2"/>
    <x v="19"/>
    <d v="2025-08-17T00:00:00"/>
  </r>
  <r>
    <n v="182"/>
    <s v="Grzegorz"/>
    <s v="Wolf"/>
    <n v="2"/>
    <x v="19"/>
    <d v="2025-08-17T00:00:00"/>
  </r>
  <r>
    <n v="183"/>
    <s v="Marcin"/>
    <s v="Zydel"/>
    <n v="2"/>
    <x v="19"/>
    <d v="2025-08-17T00:00:00"/>
  </r>
  <r>
    <n v="184"/>
    <s v="Mateusz"/>
    <s v="Kamiński"/>
    <n v="2"/>
    <x v="19"/>
    <d v="2025-08-17T00:00:00"/>
  </r>
  <r>
    <n v="185"/>
    <s v="Tomasz"/>
    <s v="Lisek"/>
    <n v="2"/>
    <x v="19"/>
    <d v="2025-08-17T00:00:00"/>
  </r>
  <r>
    <n v="186"/>
    <s v="Agnieszka"/>
    <s v="Darmach"/>
    <n v="2"/>
    <x v="19"/>
    <d v="2025-08-17T00:00:00"/>
  </r>
  <r>
    <n v="187"/>
    <s v="Aleksandra"/>
    <s v="Kita"/>
    <n v="2"/>
    <x v="19"/>
    <d v="2025-08-17T00:00:00"/>
  </r>
  <r>
    <n v="188"/>
    <s v="Marcin"/>
    <s v="Zydel"/>
    <n v="2"/>
    <x v="20"/>
    <d v="2025-08-17T00:00:00"/>
  </r>
  <r>
    <n v="189"/>
    <s v="Paweł"/>
    <s v="Szaman"/>
    <n v="3"/>
    <x v="21"/>
    <d v="2025-08-22T00:00:00"/>
  </r>
  <r>
    <n v="190"/>
    <s v="Marek"/>
    <s v="Krawiec"/>
    <n v="3"/>
    <x v="21"/>
    <d v="2025-08-22T00:00:00"/>
  </r>
  <r>
    <n v="191"/>
    <s v="Natalia"/>
    <s v="Gloster"/>
    <n v="3"/>
    <x v="21"/>
    <d v="2025-08-22T00:00:00"/>
  </r>
  <r>
    <n v="194"/>
    <s v="Katarzyna"/>
    <s v="Gerber"/>
    <n v="3"/>
    <x v="21"/>
    <d v="2025-08-22T00:00:00"/>
  </r>
  <r>
    <n v="195"/>
    <s v="Natalia"/>
    <s v="Gloster"/>
    <n v="1"/>
    <x v="22"/>
    <d v="2025-08-29T00:00:00"/>
  </r>
  <r>
    <n v="196"/>
    <s v="Marek"/>
    <s v="Słomka"/>
    <n v="1"/>
    <x v="22"/>
    <d v="2025-08-29T00:00:00"/>
  </r>
  <r>
    <n v="197"/>
    <s v="Adrian"/>
    <s v="Ziomek"/>
    <n v="1"/>
    <x v="22"/>
    <d v="2025-08-29T00: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Mateusz"/>
    <s v="Kamiński"/>
    <n v="2"/>
    <x v="0"/>
    <d v="2025-05-03T00:00:00"/>
    <n v="2"/>
    <n v="240"/>
    <n v="480"/>
    <n v="4"/>
    <n v="2"/>
    <n v="0"/>
    <n v="480"/>
    <n v="480"/>
  </r>
  <r>
    <n v="2"/>
    <s v="Weronika"/>
    <s v="Kołodziejska"/>
    <n v="3"/>
    <x v="1"/>
    <d v="2025-05-15T00:00:00"/>
    <n v="5"/>
    <n v="320"/>
    <n v="1600"/>
    <n v="6"/>
    <n v="3"/>
    <n v="2"/>
    <n v="1728"/>
    <n v="1555.2"/>
  </r>
  <r>
    <n v="3"/>
    <s v="Jan"/>
    <s v="Kowalczyk"/>
    <n v="2"/>
    <x v="2"/>
    <d v="2025-06-04T00:00:00"/>
    <n v="3"/>
    <n v="240"/>
    <n v="720"/>
    <n v="7"/>
    <n v="2"/>
    <n v="1"/>
    <n v="768"/>
    <n v="768"/>
  </r>
  <r>
    <n v="4"/>
    <s v="Monika"/>
    <s v="Górska"/>
    <n v="2"/>
    <x v="3"/>
    <d v="2025-05-28T00:00:00"/>
    <n v="2"/>
    <n v="240"/>
    <n v="480"/>
    <n v="1"/>
    <n v="2"/>
    <n v="0"/>
    <n v="480"/>
    <n v="480"/>
  </r>
  <r>
    <n v="5"/>
    <s v="Agnieszka"/>
    <s v="Koniec"/>
    <n v="1"/>
    <x v="4"/>
    <d v="2025-05-21T00:00:00"/>
    <n v="3"/>
    <n v="140"/>
    <n v="420"/>
    <n v="7"/>
    <n v="2"/>
    <n v="1"/>
    <n v="448"/>
    <n v="448"/>
  </r>
  <r>
    <n v="6"/>
    <s v="Adrian"/>
    <s v="Ziomek"/>
    <n v="3"/>
    <x v="5"/>
    <d v="2025-06-09T00:00:00"/>
    <n v="1"/>
    <n v="320"/>
    <n v="320"/>
    <n v="7"/>
    <n v="0"/>
    <n v="1"/>
    <n v="384"/>
    <n v="384"/>
  </r>
  <r>
    <n v="7"/>
    <s v="Karolina"/>
    <s v="Jabłońska"/>
    <n v="3"/>
    <x v="1"/>
    <d v="2025-05-15T00:00:00"/>
    <n v="5"/>
    <n v="320"/>
    <n v="1600"/>
    <n v="6"/>
    <n v="3"/>
    <n v="2"/>
    <n v="1728"/>
    <n v="1555.2"/>
  </r>
  <r>
    <n v="8"/>
    <s v="Marcin"/>
    <s v="Zając"/>
    <n v="2"/>
    <x v="6"/>
    <d v="2025-06-19T00:00:00"/>
    <n v="2"/>
    <n v="240"/>
    <n v="480"/>
    <n v="2"/>
    <n v="2"/>
    <n v="0"/>
    <n v="480"/>
    <n v="480"/>
  </r>
  <r>
    <n v="9"/>
    <s v="Weronika"/>
    <s v="Kamińska"/>
    <n v="2"/>
    <x v="7"/>
    <d v="2025-07-03T00:00:00"/>
    <n v="2"/>
    <n v="240"/>
    <n v="480"/>
    <n v="2"/>
    <n v="2"/>
    <n v="0"/>
    <n v="480"/>
    <n v="480"/>
  </r>
  <r>
    <n v="10"/>
    <s v="Michał"/>
    <s v="Wiśniowiecki"/>
    <n v="2"/>
    <x v="0"/>
    <d v="2025-05-03T00:00:00"/>
    <n v="2"/>
    <n v="240"/>
    <n v="480"/>
    <n v="4"/>
    <n v="2"/>
    <n v="0"/>
    <n v="480"/>
    <n v="480"/>
  </r>
  <r>
    <n v="11"/>
    <s v="Weronika"/>
    <s v="Kotlińska"/>
    <n v="4"/>
    <x v="8"/>
    <d v="2025-07-18T00:00:00"/>
    <n v="3"/>
    <n v="400"/>
    <n v="1200"/>
    <n v="2"/>
    <n v="3"/>
    <n v="0"/>
    <n v="1200"/>
    <n v="1200"/>
  </r>
  <r>
    <n v="12"/>
    <s v="Anna"/>
    <s v="Wiśniewska"/>
    <n v="1"/>
    <x v="9"/>
    <d v="2025-05-09T00:00:00"/>
    <n v="4"/>
    <n v="140"/>
    <n v="560"/>
    <n v="1"/>
    <n v="4"/>
    <n v="0"/>
    <n v="560"/>
    <n v="560"/>
  </r>
  <r>
    <n v="13"/>
    <s v="Michał"/>
    <s v="Pawłowski"/>
    <n v="2"/>
    <x v="2"/>
    <d v="2025-06-04T00:00:00"/>
    <n v="3"/>
    <n v="240"/>
    <n v="720"/>
    <n v="7"/>
    <n v="2"/>
    <n v="1"/>
    <n v="768"/>
    <n v="768"/>
  </r>
  <r>
    <n v="14"/>
    <s v="Katarzyna"/>
    <s v="Figurska"/>
    <n v="1"/>
    <x v="9"/>
    <d v="2025-05-09T00:00:00"/>
    <n v="4"/>
    <n v="140"/>
    <n v="560"/>
    <n v="1"/>
    <n v="4"/>
    <n v="0"/>
    <n v="560"/>
    <n v="560"/>
  </r>
  <r>
    <n v="15"/>
    <s v="Mateusz"/>
    <s v="Kaktus"/>
    <n v="1"/>
    <x v="9"/>
    <d v="2025-05-09T00:00:00"/>
    <n v="4"/>
    <n v="140"/>
    <n v="560"/>
    <n v="1"/>
    <n v="4"/>
    <n v="0"/>
    <n v="560"/>
    <n v="560"/>
  </r>
  <r>
    <n v="16"/>
    <s v="Barbara"/>
    <s v="Krawczyk"/>
    <n v="1"/>
    <x v="0"/>
    <d v="2025-05-03T00:00:00"/>
    <n v="2"/>
    <n v="140"/>
    <n v="280"/>
    <n v="4"/>
    <n v="2"/>
    <n v="0"/>
    <n v="280"/>
    <n v="280"/>
  </r>
  <r>
    <n v="17"/>
    <s v="Andrzej"/>
    <s v="Kowal"/>
    <n v="2"/>
    <x v="9"/>
    <d v="2025-05-09T00:00:00"/>
    <n v="4"/>
    <n v="240"/>
    <n v="960"/>
    <n v="1"/>
    <n v="4"/>
    <n v="0"/>
    <n v="960"/>
    <n v="960"/>
  </r>
  <r>
    <n v="18"/>
    <s v="Rafał"/>
    <s v="Lewandowski"/>
    <n v="2"/>
    <x v="9"/>
    <d v="2025-05-09T00:00:00"/>
    <n v="4"/>
    <n v="240"/>
    <n v="960"/>
    <n v="1"/>
    <n v="4"/>
    <n v="0"/>
    <n v="960"/>
    <n v="960"/>
  </r>
  <r>
    <n v="19"/>
    <s v="Ewa"/>
    <s v="Rutkowska"/>
    <n v="2"/>
    <x v="9"/>
    <d v="2025-05-09T00:00:00"/>
    <n v="4"/>
    <n v="240"/>
    <n v="960"/>
    <n v="1"/>
    <n v="4"/>
    <n v="0"/>
    <n v="960"/>
    <n v="960"/>
  </r>
  <r>
    <n v="20"/>
    <s v="Zofia"/>
    <s v="Gumilak"/>
    <n v="2"/>
    <x v="7"/>
    <d v="2025-07-03T00:00:00"/>
    <n v="2"/>
    <n v="240"/>
    <n v="480"/>
    <n v="2"/>
    <n v="2"/>
    <n v="0"/>
    <n v="480"/>
    <n v="480"/>
  </r>
  <r>
    <n v="21"/>
    <s v="Karolina"/>
    <s v="Lewandowska"/>
    <n v="2"/>
    <x v="6"/>
    <d v="2025-06-19T00:00:00"/>
    <n v="2"/>
    <n v="240"/>
    <n v="480"/>
    <n v="2"/>
    <n v="2"/>
    <n v="0"/>
    <n v="480"/>
    <n v="480"/>
  </r>
  <r>
    <n v="22"/>
    <s v="Piotr"/>
    <s v="Kominski"/>
    <n v="2"/>
    <x v="2"/>
    <d v="2025-06-04T00:00:00"/>
    <n v="3"/>
    <n v="240"/>
    <n v="720"/>
    <n v="7"/>
    <n v="2"/>
    <n v="1"/>
    <n v="768"/>
    <n v="768"/>
  </r>
  <r>
    <n v="23"/>
    <s v="Magdalena"/>
    <s v="Wiercioch"/>
    <n v="3"/>
    <x v="1"/>
    <d v="2025-05-15T00:00:00"/>
    <n v="5"/>
    <n v="320"/>
    <n v="1600"/>
    <n v="6"/>
    <n v="3"/>
    <n v="2"/>
    <n v="1728"/>
    <n v="1555.2"/>
  </r>
  <r>
    <n v="24"/>
    <s v="Joanna"/>
    <s v="Wójcik"/>
    <n v="4"/>
    <x v="8"/>
    <d v="2025-07-18T00:00:00"/>
    <n v="3"/>
    <n v="400"/>
    <n v="1200"/>
    <n v="2"/>
    <n v="3"/>
    <n v="0"/>
    <n v="1200"/>
    <n v="1200"/>
  </r>
  <r>
    <n v="25"/>
    <s v="Łukasz"/>
    <s v="Michalski"/>
    <n v="2"/>
    <x v="9"/>
    <d v="2025-05-09T00:00:00"/>
    <n v="4"/>
    <n v="240"/>
    <n v="960"/>
    <n v="1"/>
    <n v="4"/>
    <n v="0"/>
    <n v="960"/>
    <n v="960"/>
  </r>
  <r>
    <n v="26"/>
    <s v="Krzysztof"/>
    <s v="Grabowski"/>
    <n v="2"/>
    <x v="9"/>
    <d v="2025-05-09T00:00:00"/>
    <n v="4"/>
    <n v="240"/>
    <n v="960"/>
    <n v="1"/>
    <n v="4"/>
    <n v="0"/>
    <n v="960"/>
    <n v="960"/>
  </r>
  <r>
    <n v="27"/>
    <s v="Andrzej"/>
    <s v="Piotrowski"/>
    <n v="3"/>
    <x v="9"/>
    <d v="2025-05-09T00:00:00"/>
    <n v="4"/>
    <n v="320"/>
    <n v="1280"/>
    <n v="1"/>
    <n v="4"/>
    <n v="0"/>
    <n v="1280"/>
    <n v="1280"/>
  </r>
  <r>
    <n v="28"/>
    <s v="Natalia"/>
    <s v="Wojciechowska"/>
    <n v="3"/>
    <x v="9"/>
    <d v="2025-05-09T00:00:00"/>
    <n v="4"/>
    <n v="320"/>
    <n v="1280"/>
    <n v="1"/>
    <n v="4"/>
    <n v="0"/>
    <n v="1280"/>
    <n v="1280"/>
  </r>
  <r>
    <n v="29"/>
    <s v="Karolina"/>
    <s v="Rucka"/>
    <n v="3"/>
    <x v="9"/>
    <d v="2025-05-09T00:00:00"/>
    <n v="4"/>
    <n v="320"/>
    <n v="1280"/>
    <n v="1"/>
    <n v="4"/>
    <n v="0"/>
    <n v="1280"/>
    <n v="1280"/>
  </r>
  <r>
    <n v="30"/>
    <s v="Adrian"/>
    <s v="Król"/>
    <n v="1"/>
    <x v="8"/>
    <d v="2025-07-18T00:00:00"/>
    <n v="3"/>
    <n v="140"/>
    <n v="420"/>
    <n v="2"/>
    <n v="3"/>
    <n v="0"/>
    <n v="420"/>
    <n v="420"/>
  </r>
  <r>
    <n v="31"/>
    <s v="Katarzyna"/>
    <s v="Pitek"/>
    <n v="2"/>
    <x v="7"/>
    <d v="2025-07-03T00:00:00"/>
    <n v="2"/>
    <n v="240"/>
    <n v="480"/>
    <n v="2"/>
    <n v="2"/>
    <n v="0"/>
    <n v="480"/>
    <n v="480"/>
  </r>
  <r>
    <n v="32"/>
    <s v="Ewa"/>
    <s v="Zajączkowska"/>
    <n v="4"/>
    <x v="6"/>
    <d v="2025-06-19T00:00:00"/>
    <n v="2"/>
    <n v="400"/>
    <n v="800"/>
    <n v="2"/>
    <n v="2"/>
    <n v="0"/>
    <n v="800"/>
    <n v="800"/>
  </r>
  <r>
    <n v="33"/>
    <s v="Monika"/>
    <s v="Wojcieszek"/>
    <n v="2"/>
    <x v="2"/>
    <d v="2025-06-04T00:00:00"/>
    <n v="3"/>
    <n v="240"/>
    <n v="720"/>
    <n v="7"/>
    <n v="2"/>
    <n v="1"/>
    <n v="768"/>
    <n v="768"/>
  </r>
  <r>
    <n v="34"/>
    <s v="Andrzej"/>
    <s v="Kołodziej"/>
    <n v="3"/>
    <x v="9"/>
    <d v="2025-05-09T00:00:00"/>
    <n v="4"/>
    <n v="320"/>
    <n v="1280"/>
    <n v="1"/>
    <n v="4"/>
    <n v="0"/>
    <n v="1280"/>
    <n v="1280"/>
  </r>
  <r>
    <n v="35"/>
    <s v="Mateusz"/>
    <s v="Pyć"/>
    <n v="4"/>
    <x v="9"/>
    <d v="2025-05-09T00:00:00"/>
    <n v="4"/>
    <n v="400"/>
    <n v="1600"/>
    <n v="1"/>
    <n v="4"/>
    <n v="0"/>
    <n v="1600"/>
    <n v="1600"/>
  </r>
  <r>
    <n v="36"/>
    <s v="Piotr"/>
    <s v="Lowelas"/>
    <n v="4"/>
    <x v="9"/>
    <d v="2025-05-09T00:00:00"/>
    <n v="4"/>
    <n v="400"/>
    <n v="1600"/>
    <n v="1"/>
    <n v="4"/>
    <n v="0"/>
    <n v="1600"/>
    <n v="1600"/>
  </r>
  <r>
    <n v="37"/>
    <s v="Anna"/>
    <s v="Woźniak"/>
    <n v="1"/>
    <x v="4"/>
    <d v="2025-05-21T00:00:00"/>
    <n v="3"/>
    <n v="140"/>
    <n v="420"/>
    <n v="7"/>
    <n v="2"/>
    <n v="1"/>
    <n v="448"/>
    <n v="448"/>
  </r>
  <r>
    <n v="38"/>
    <s v="Jakub"/>
    <s v="Kaminski"/>
    <n v="2"/>
    <x v="3"/>
    <d v="2025-05-28T00:00:00"/>
    <n v="2"/>
    <n v="240"/>
    <n v="480"/>
    <n v="1"/>
    <n v="2"/>
    <n v="0"/>
    <n v="480"/>
    <n v="480"/>
  </r>
  <r>
    <n v="39"/>
    <s v="Jakub"/>
    <s v="Szlam"/>
    <n v="2"/>
    <x v="6"/>
    <d v="2025-06-19T00:00:00"/>
    <n v="2"/>
    <n v="240"/>
    <n v="480"/>
    <n v="2"/>
    <n v="2"/>
    <n v="0"/>
    <n v="480"/>
    <n v="480"/>
  </r>
  <r>
    <n v="40"/>
    <s v="Krzysztof"/>
    <s v="Wojna"/>
    <n v="2"/>
    <x v="10"/>
    <d v="2025-06-22T00:00:00"/>
    <n v="2"/>
    <n v="240"/>
    <n v="480"/>
    <n v="5"/>
    <n v="1"/>
    <n v="1"/>
    <n v="528"/>
    <n v="528"/>
  </r>
  <r>
    <n v="41"/>
    <s v="Łukasz"/>
    <s v="Lawa"/>
    <n v="2"/>
    <x v="10"/>
    <d v="2025-06-22T00:00:00"/>
    <n v="2"/>
    <n v="240"/>
    <n v="480"/>
    <n v="5"/>
    <n v="1"/>
    <n v="1"/>
    <n v="528"/>
    <n v="528"/>
  </r>
  <r>
    <n v="42"/>
    <s v="Agnieszka"/>
    <s v="Woźniacka"/>
    <n v="2"/>
    <x v="10"/>
    <d v="2025-06-22T00:00:00"/>
    <n v="2"/>
    <n v="240"/>
    <n v="480"/>
    <n v="5"/>
    <n v="1"/>
    <n v="1"/>
    <n v="528"/>
    <n v="528"/>
  </r>
  <r>
    <n v="43"/>
    <s v="Michał"/>
    <s v="Wójcki"/>
    <n v="2"/>
    <x v="10"/>
    <d v="2025-06-22T00:00:00"/>
    <n v="2"/>
    <n v="240"/>
    <n v="480"/>
    <n v="5"/>
    <n v="1"/>
    <n v="1"/>
    <n v="528"/>
    <n v="528"/>
  </r>
  <r>
    <n v="44"/>
    <s v="Katarzyna"/>
    <s v="Kozłowska"/>
    <n v="2"/>
    <x v="10"/>
    <d v="2025-06-22T00:00:00"/>
    <n v="2"/>
    <n v="240"/>
    <n v="480"/>
    <n v="5"/>
    <n v="1"/>
    <n v="1"/>
    <n v="528"/>
    <n v="528"/>
  </r>
  <r>
    <n v="45"/>
    <s v="Aleksandra"/>
    <s v="Wiśnia"/>
    <n v="1"/>
    <x v="8"/>
    <d v="2025-07-18T00:00:00"/>
    <n v="3"/>
    <n v="140"/>
    <n v="420"/>
    <n v="2"/>
    <n v="3"/>
    <n v="0"/>
    <n v="420"/>
    <n v="420"/>
  </r>
  <r>
    <n v="46"/>
    <s v="Krzysztof"/>
    <s v="Wojnarowski"/>
    <n v="2"/>
    <x v="2"/>
    <d v="2025-06-04T00:00:00"/>
    <n v="3"/>
    <n v="240"/>
    <n v="720"/>
    <n v="7"/>
    <n v="2"/>
    <n v="1"/>
    <n v="768"/>
    <n v="768"/>
  </r>
  <r>
    <n v="47"/>
    <s v="Ewa"/>
    <s v="Dąbrowska"/>
    <n v="3"/>
    <x v="5"/>
    <d v="2025-06-09T00:00:00"/>
    <n v="1"/>
    <n v="320"/>
    <n v="320"/>
    <n v="7"/>
    <n v="0"/>
    <n v="1"/>
    <n v="384"/>
    <n v="384"/>
  </r>
  <r>
    <n v="48"/>
    <s v="Magdalena"/>
    <s v="Szymańska"/>
    <n v="2"/>
    <x v="3"/>
    <d v="2025-05-28T00:00:00"/>
    <n v="2"/>
    <n v="240"/>
    <n v="480"/>
    <n v="1"/>
    <n v="2"/>
    <n v="0"/>
    <n v="480"/>
    <n v="480"/>
  </r>
  <r>
    <n v="49"/>
    <s v="Aleksandra"/>
    <s v="Wojciaszek"/>
    <n v="2"/>
    <x v="10"/>
    <d v="2025-06-22T00:00:00"/>
    <n v="2"/>
    <n v="240"/>
    <n v="480"/>
    <n v="5"/>
    <n v="1"/>
    <n v="1"/>
    <n v="528"/>
    <n v="528"/>
  </r>
  <r>
    <n v="50"/>
    <s v="Katarzyna"/>
    <s v="Bobrowska"/>
    <n v="2"/>
    <x v="10"/>
    <d v="2025-06-22T00:00:00"/>
    <n v="2"/>
    <n v="240"/>
    <n v="480"/>
    <n v="5"/>
    <n v="1"/>
    <n v="1"/>
    <n v="528"/>
    <n v="528"/>
  </r>
  <r>
    <n v="51"/>
    <s v="Anna"/>
    <s v="Janeczek"/>
    <n v="2"/>
    <x v="10"/>
    <d v="2025-06-22T00:00:00"/>
    <n v="2"/>
    <n v="240"/>
    <n v="480"/>
    <n v="5"/>
    <n v="1"/>
    <n v="1"/>
    <n v="528"/>
    <n v="528"/>
  </r>
  <r>
    <n v="52"/>
    <s v="Magdalena"/>
    <s v="Kwiatkowska"/>
    <n v="1"/>
    <x v="10"/>
    <d v="2025-06-22T00:00:00"/>
    <n v="2"/>
    <n v="140"/>
    <n v="280"/>
    <n v="5"/>
    <n v="1"/>
    <n v="1"/>
    <n v="308"/>
    <n v="308"/>
  </r>
  <r>
    <n v="53"/>
    <s v="Marcin"/>
    <s v="Wenerski"/>
    <n v="1"/>
    <x v="10"/>
    <d v="2025-06-22T00:00:00"/>
    <n v="2"/>
    <n v="140"/>
    <n v="280"/>
    <n v="5"/>
    <n v="1"/>
    <n v="1"/>
    <n v="308"/>
    <n v="308"/>
  </r>
  <r>
    <n v="54"/>
    <s v="Michał"/>
    <s v="Dąbrowski"/>
    <n v="4"/>
    <x v="6"/>
    <d v="2025-06-19T00:00:00"/>
    <n v="2"/>
    <n v="400"/>
    <n v="800"/>
    <n v="2"/>
    <n v="2"/>
    <n v="0"/>
    <n v="800"/>
    <n v="800"/>
  </r>
  <r>
    <n v="55"/>
    <s v="Marek"/>
    <s v="Zajączek"/>
    <n v="1"/>
    <x v="4"/>
    <d v="2025-05-21T00:00:00"/>
    <n v="3"/>
    <n v="140"/>
    <n v="420"/>
    <n v="7"/>
    <n v="2"/>
    <n v="1"/>
    <n v="448"/>
    <n v="448"/>
  </r>
  <r>
    <n v="56"/>
    <s v="Sylwia"/>
    <s v="Kozioł"/>
    <n v="1"/>
    <x v="8"/>
    <d v="2025-07-18T00:00:00"/>
    <n v="3"/>
    <n v="140"/>
    <n v="420"/>
    <n v="2"/>
    <n v="3"/>
    <n v="0"/>
    <n v="420"/>
    <n v="420"/>
  </r>
  <r>
    <n v="57"/>
    <s v="Anna"/>
    <s v="Koński"/>
    <n v="3"/>
    <x v="11"/>
    <d v="2025-06-29T00:00:00"/>
    <n v="4"/>
    <n v="320"/>
    <n v="1280"/>
    <n v="3"/>
    <n v="3"/>
    <n v="1"/>
    <n v="1344"/>
    <n v="1344"/>
  </r>
  <r>
    <n v="58"/>
    <s v="Joanna"/>
    <s v="Szymanowska"/>
    <n v="3"/>
    <x v="11"/>
    <d v="2025-06-29T00:00:00"/>
    <n v="4"/>
    <n v="320"/>
    <n v="1280"/>
    <n v="3"/>
    <n v="3"/>
    <n v="1"/>
    <n v="1344"/>
    <n v="1344"/>
  </r>
  <r>
    <n v="59"/>
    <s v="Monika"/>
    <s v="Woźnicka"/>
    <n v="2"/>
    <x v="2"/>
    <d v="2025-06-04T00:00:00"/>
    <n v="3"/>
    <n v="240"/>
    <n v="720"/>
    <n v="7"/>
    <n v="2"/>
    <n v="1"/>
    <n v="768"/>
    <n v="768"/>
  </r>
  <r>
    <n v="60"/>
    <s v="Adrian"/>
    <s v="Mazurek"/>
    <n v="2"/>
    <x v="2"/>
    <d v="2025-06-04T00:00:00"/>
    <n v="3"/>
    <n v="240"/>
    <n v="720"/>
    <n v="7"/>
    <n v="2"/>
    <n v="1"/>
    <n v="768"/>
    <n v="768"/>
  </r>
  <r>
    <n v="61"/>
    <s v="Marek"/>
    <s v="Krawiec"/>
    <n v="3"/>
    <x v="0"/>
    <d v="2025-05-03T00:00:00"/>
    <n v="2"/>
    <n v="320"/>
    <n v="640"/>
    <n v="4"/>
    <n v="2"/>
    <n v="0"/>
    <n v="640"/>
    <n v="640"/>
  </r>
  <r>
    <n v="62"/>
    <s v="Agnieszka"/>
    <s v="Krolska"/>
    <n v="3"/>
    <x v="1"/>
    <d v="2025-05-15T00:00:00"/>
    <n v="5"/>
    <n v="320"/>
    <n v="1600"/>
    <n v="6"/>
    <n v="3"/>
    <n v="2"/>
    <n v="1728"/>
    <n v="1555.2"/>
  </r>
  <r>
    <n v="63"/>
    <s v="Monika"/>
    <s v="Jabłczyńska"/>
    <n v="4"/>
    <x v="5"/>
    <d v="2025-06-09T00:00:00"/>
    <n v="1"/>
    <n v="400"/>
    <n v="400"/>
    <n v="7"/>
    <n v="0"/>
    <n v="1"/>
    <n v="480"/>
    <n v="480"/>
  </r>
  <r>
    <n v="64"/>
    <s v="Sylwia"/>
    <s v="Kawalerska"/>
    <n v="1"/>
    <x v="8"/>
    <d v="2025-07-18T00:00:00"/>
    <n v="3"/>
    <n v="140"/>
    <n v="420"/>
    <n v="2"/>
    <n v="3"/>
    <n v="0"/>
    <n v="420"/>
    <n v="420"/>
  </r>
  <r>
    <n v="65"/>
    <s v="Barbara"/>
    <s v="Baranowska "/>
    <n v="3"/>
    <x v="11"/>
    <d v="2025-06-29T00:00:00"/>
    <n v="4"/>
    <n v="320"/>
    <n v="1280"/>
    <n v="3"/>
    <n v="3"/>
    <n v="1"/>
    <n v="1344"/>
    <n v="1344"/>
  </r>
  <r>
    <n v="66"/>
    <s v="Rafał"/>
    <s v="Krokus"/>
    <n v="3"/>
    <x v="11"/>
    <d v="2025-06-29T00:00:00"/>
    <n v="4"/>
    <n v="320"/>
    <n v="1280"/>
    <n v="3"/>
    <n v="3"/>
    <n v="1"/>
    <n v="1344"/>
    <n v="1344"/>
  </r>
  <r>
    <n v="67"/>
    <s v="Monika"/>
    <s v="Krawiruk"/>
    <n v="2"/>
    <x v="11"/>
    <d v="2025-06-29T00:00:00"/>
    <n v="4"/>
    <n v="240"/>
    <n v="960"/>
    <n v="3"/>
    <n v="3"/>
    <n v="1"/>
    <n v="1008"/>
    <n v="1008"/>
  </r>
  <r>
    <n v="68"/>
    <s v="Marcin"/>
    <s v="Kierwiński"/>
    <n v="2"/>
    <x v="11"/>
    <d v="2025-06-29T00:00:00"/>
    <n v="4"/>
    <n v="240"/>
    <n v="960"/>
    <n v="3"/>
    <n v="3"/>
    <n v="1"/>
    <n v="1008"/>
    <n v="1008"/>
  </r>
  <r>
    <n v="69"/>
    <s v="Karolina"/>
    <s v="Szyszko"/>
    <n v="2"/>
    <x v="11"/>
    <d v="2025-06-29T00:00:00"/>
    <n v="4"/>
    <n v="240"/>
    <n v="960"/>
    <n v="3"/>
    <n v="3"/>
    <n v="1"/>
    <n v="1008"/>
    <n v="1008"/>
  </r>
  <r>
    <n v="70"/>
    <s v="Jan"/>
    <s v="Woroch"/>
    <n v="4"/>
    <x v="4"/>
    <d v="2025-05-21T00:00:00"/>
    <n v="3"/>
    <n v="400"/>
    <n v="1200"/>
    <n v="7"/>
    <n v="2"/>
    <n v="1"/>
    <n v="1280"/>
    <n v="1280"/>
  </r>
  <r>
    <n v="71"/>
    <s v="Paweł"/>
    <s v="Kołodziejczyk"/>
    <n v="2"/>
    <x v="11"/>
    <d v="2025-06-29T00:00:00"/>
    <n v="4"/>
    <n v="240"/>
    <n v="960"/>
    <n v="3"/>
    <n v="3"/>
    <n v="1"/>
    <n v="1008"/>
    <n v="1008"/>
  </r>
  <r>
    <n v="72"/>
    <s v="Adrian"/>
    <s v="Witych"/>
    <n v="2"/>
    <x v="11"/>
    <d v="2025-06-29T00:00:00"/>
    <n v="4"/>
    <n v="240"/>
    <n v="960"/>
    <n v="3"/>
    <n v="3"/>
    <n v="1"/>
    <n v="1008"/>
    <n v="1008"/>
  </r>
  <r>
    <n v="73"/>
    <s v="Agnieszka"/>
    <s v="Inka"/>
    <n v="2"/>
    <x v="11"/>
    <d v="2025-06-29T00:00:00"/>
    <n v="4"/>
    <n v="240"/>
    <n v="960"/>
    <n v="3"/>
    <n v="3"/>
    <n v="1"/>
    <n v="1008"/>
    <n v="1008"/>
  </r>
  <r>
    <n v="74"/>
    <s v="Monika"/>
    <s v="Cytek"/>
    <n v="2"/>
    <x v="11"/>
    <d v="2025-06-29T00:00:00"/>
    <n v="4"/>
    <n v="240"/>
    <n v="960"/>
    <n v="3"/>
    <n v="3"/>
    <n v="1"/>
    <n v="1008"/>
    <n v="1008"/>
  </r>
  <r>
    <n v="75"/>
    <s v="Magdalena"/>
    <s v="Zalatana"/>
    <n v="2"/>
    <x v="3"/>
    <d v="2025-05-28T00:00:00"/>
    <n v="2"/>
    <n v="240"/>
    <n v="480"/>
    <n v="1"/>
    <n v="2"/>
    <n v="0"/>
    <n v="480"/>
    <n v="480"/>
  </r>
  <r>
    <n v="76"/>
    <s v="Katarzyna"/>
    <s v="Mazur"/>
    <n v="2"/>
    <x v="7"/>
    <d v="2025-07-03T00:00:00"/>
    <n v="2"/>
    <n v="240"/>
    <n v="480"/>
    <n v="2"/>
    <n v="2"/>
    <n v="0"/>
    <n v="480"/>
    <n v="480"/>
  </r>
  <r>
    <n v="77"/>
    <s v="Adrian"/>
    <s v="Wieczorek"/>
    <n v="2"/>
    <x v="11"/>
    <d v="2025-06-29T00:00:00"/>
    <n v="4"/>
    <n v="240"/>
    <n v="960"/>
    <n v="3"/>
    <n v="3"/>
    <n v="1"/>
    <n v="1008"/>
    <n v="1008"/>
  </r>
  <r>
    <n v="78"/>
    <s v="Tomasz"/>
    <s v="Komorek"/>
    <n v="1"/>
    <x v="11"/>
    <d v="2025-06-29T00:00:00"/>
    <n v="4"/>
    <n v="140"/>
    <n v="560"/>
    <n v="3"/>
    <n v="3"/>
    <n v="1"/>
    <n v="588"/>
    <n v="588"/>
  </r>
  <r>
    <n v="79"/>
    <s v="Marcin"/>
    <s v="Widera"/>
    <n v="1"/>
    <x v="11"/>
    <d v="2025-06-29T00:00:00"/>
    <n v="4"/>
    <n v="140"/>
    <n v="560"/>
    <n v="3"/>
    <n v="3"/>
    <n v="1"/>
    <n v="588"/>
    <n v="588"/>
  </r>
  <r>
    <n v="80"/>
    <s v="Paweł"/>
    <s v="Raźna"/>
    <n v="1"/>
    <x v="11"/>
    <d v="2025-06-29T00:00:00"/>
    <n v="4"/>
    <n v="140"/>
    <n v="560"/>
    <n v="3"/>
    <n v="3"/>
    <n v="1"/>
    <n v="588"/>
    <n v="588"/>
  </r>
  <r>
    <n v="81"/>
    <s v="Karolina"/>
    <s v="Michalska"/>
    <n v="1"/>
    <x v="12"/>
    <d v="2025-07-07T00:00:00"/>
    <n v="2"/>
    <n v="140"/>
    <n v="280"/>
    <n v="6"/>
    <n v="0"/>
    <n v="2"/>
    <n v="336"/>
    <n v="336"/>
  </r>
  <r>
    <n v="82"/>
    <s v="Marek"/>
    <s v="Kmieć"/>
    <n v="2"/>
    <x v="3"/>
    <d v="2025-05-28T00:00:00"/>
    <n v="2"/>
    <n v="240"/>
    <n v="480"/>
    <n v="1"/>
    <n v="2"/>
    <n v="0"/>
    <n v="480"/>
    <n v="480"/>
  </r>
  <r>
    <n v="83"/>
    <s v="Agnieszka"/>
    <s v="Darmach"/>
    <n v="4"/>
    <x v="5"/>
    <d v="2025-06-09T00:00:00"/>
    <n v="1"/>
    <n v="400"/>
    <n v="400"/>
    <n v="7"/>
    <n v="0"/>
    <n v="1"/>
    <n v="480"/>
    <n v="480"/>
  </r>
  <r>
    <n v="84"/>
    <s v="Natalia"/>
    <s v="Gloster"/>
    <n v="3"/>
    <x v="0"/>
    <d v="2025-05-03T00:00:00"/>
    <n v="2"/>
    <n v="320"/>
    <n v="640"/>
    <n v="4"/>
    <n v="2"/>
    <n v="0"/>
    <n v="640"/>
    <n v="640"/>
  </r>
  <r>
    <n v="85"/>
    <s v="Maria"/>
    <s v="Jankowska"/>
    <n v="1"/>
    <x v="12"/>
    <d v="2025-07-07T00:00:00"/>
    <n v="2"/>
    <n v="140"/>
    <n v="280"/>
    <n v="6"/>
    <n v="0"/>
    <n v="2"/>
    <n v="336"/>
    <n v="336"/>
  </r>
  <r>
    <n v="86"/>
    <s v="Łukasz"/>
    <s v="Janiszek"/>
    <n v="1"/>
    <x v="12"/>
    <d v="2025-07-07T00:00:00"/>
    <n v="2"/>
    <n v="140"/>
    <n v="280"/>
    <n v="6"/>
    <n v="0"/>
    <n v="2"/>
    <n v="336"/>
    <n v="336"/>
  </r>
  <r>
    <n v="87"/>
    <s v="Zofia"/>
    <s v="Zielińska"/>
    <n v="1"/>
    <x v="12"/>
    <d v="2025-07-07T00:00:00"/>
    <n v="2"/>
    <n v="140"/>
    <n v="280"/>
    <n v="6"/>
    <n v="0"/>
    <n v="2"/>
    <n v="336"/>
    <n v="336"/>
  </r>
  <r>
    <n v="88"/>
    <s v="Karolina"/>
    <s v="Sikora"/>
    <n v="3"/>
    <x v="12"/>
    <d v="2025-07-07T00:00:00"/>
    <n v="2"/>
    <n v="320"/>
    <n v="640"/>
    <n v="6"/>
    <n v="0"/>
    <n v="2"/>
    <n v="768"/>
    <n v="768"/>
  </r>
  <r>
    <n v="89"/>
    <s v="Michał"/>
    <s v="Kiliański"/>
    <n v="3"/>
    <x v="12"/>
    <d v="2025-07-07T00:00:00"/>
    <n v="2"/>
    <n v="320"/>
    <n v="640"/>
    <n v="6"/>
    <n v="0"/>
    <n v="2"/>
    <n v="768"/>
    <n v="768"/>
  </r>
  <r>
    <n v="90"/>
    <s v="Katarzyna"/>
    <s v="Gerber"/>
    <n v="3"/>
    <x v="12"/>
    <d v="2025-07-07T00:00:00"/>
    <n v="2"/>
    <n v="320"/>
    <n v="640"/>
    <n v="6"/>
    <n v="0"/>
    <n v="2"/>
    <n v="768"/>
    <n v="768"/>
  </r>
  <r>
    <n v="91"/>
    <s v="Andrzej"/>
    <s v="Lorek"/>
    <n v="3"/>
    <x v="12"/>
    <d v="2025-07-07T00:00:00"/>
    <n v="2"/>
    <n v="320"/>
    <n v="640"/>
    <n v="6"/>
    <n v="0"/>
    <n v="2"/>
    <n v="768"/>
    <n v="768"/>
  </r>
  <r>
    <n v="92"/>
    <s v="Andrzej"/>
    <s v="Watacha"/>
    <n v="2"/>
    <x v="13"/>
    <d v="2025-07-14T00:00:00"/>
    <n v="4"/>
    <n v="240"/>
    <n v="960"/>
    <n v="4"/>
    <n v="2"/>
    <n v="2"/>
    <n v="1056"/>
    <n v="1056"/>
  </r>
  <r>
    <n v="93"/>
    <s v="Mateusz"/>
    <s v="Sikorka"/>
    <n v="3"/>
    <x v="8"/>
    <d v="2025-07-18T00:00:00"/>
    <n v="3"/>
    <n v="320"/>
    <n v="960"/>
    <n v="2"/>
    <n v="3"/>
    <n v="0"/>
    <n v="960"/>
    <n v="960"/>
  </r>
  <r>
    <n v="94"/>
    <s v="Weronika"/>
    <s v="Wieczorkowska"/>
    <n v="1"/>
    <x v="7"/>
    <d v="2025-07-03T00:00:00"/>
    <n v="2"/>
    <n v="140"/>
    <n v="280"/>
    <n v="2"/>
    <n v="2"/>
    <n v="0"/>
    <n v="280"/>
    <n v="280"/>
  </r>
  <r>
    <n v="95"/>
    <s v="Aleksandra"/>
    <s v="Kita"/>
    <n v="1"/>
    <x v="4"/>
    <d v="2025-05-21T00:00:00"/>
    <n v="3"/>
    <n v="140"/>
    <n v="420"/>
    <n v="7"/>
    <n v="2"/>
    <n v="1"/>
    <n v="448"/>
    <n v="448"/>
  </r>
  <r>
    <n v="96"/>
    <s v="Anna"/>
    <s v="Sulima"/>
    <n v="2"/>
    <x v="13"/>
    <d v="2025-07-14T00:00:00"/>
    <n v="4"/>
    <n v="240"/>
    <n v="960"/>
    <n v="4"/>
    <n v="2"/>
    <n v="2"/>
    <n v="1056"/>
    <n v="1056"/>
  </r>
  <r>
    <n v="97"/>
    <s v="Katarzyna"/>
    <s v="Styś"/>
    <n v="2"/>
    <x v="13"/>
    <d v="2025-07-14T00:00:00"/>
    <n v="4"/>
    <n v="240"/>
    <n v="960"/>
    <n v="4"/>
    <n v="2"/>
    <n v="2"/>
    <n v="1056"/>
    <n v="1056"/>
  </r>
  <r>
    <n v="98"/>
    <s v="Piotr"/>
    <s v="Grzybek"/>
    <n v="2"/>
    <x v="13"/>
    <d v="2025-07-14T00:00:00"/>
    <n v="4"/>
    <n v="240"/>
    <n v="960"/>
    <n v="4"/>
    <n v="2"/>
    <n v="2"/>
    <n v="1056"/>
    <n v="1056"/>
  </r>
  <r>
    <n v="99"/>
    <s v="Paweł"/>
    <s v="Romb"/>
    <n v="2"/>
    <x v="13"/>
    <d v="2025-07-14T00:00:00"/>
    <n v="4"/>
    <n v="240"/>
    <n v="960"/>
    <n v="4"/>
    <n v="2"/>
    <n v="2"/>
    <n v="1056"/>
    <n v="1056"/>
  </r>
  <r>
    <n v="100"/>
    <s v="Andrzej"/>
    <s v="Puzio"/>
    <n v="2"/>
    <x v="13"/>
    <d v="2025-07-14T00:00:00"/>
    <n v="4"/>
    <n v="240"/>
    <n v="960"/>
    <n v="4"/>
    <n v="2"/>
    <n v="2"/>
    <n v="1056"/>
    <n v="1056"/>
  </r>
  <r>
    <n v="101"/>
    <s v="Maria"/>
    <s v="Zalech"/>
    <n v="3"/>
    <x v="13"/>
    <d v="2025-07-14T00:00:00"/>
    <n v="4"/>
    <n v="320"/>
    <n v="1280"/>
    <n v="4"/>
    <n v="2"/>
    <n v="2"/>
    <n v="1408"/>
    <n v="1408"/>
  </r>
  <r>
    <n v="102"/>
    <s v="Krzysztof"/>
    <s v="Suski"/>
    <n v="3"/>
    <x v="13"/>
    <d v="2025-07-14T00:00:00"/>
    <n v="4"/>
    <n v="320"/>
    <n v="1280"/>
    <n v="4"/>
    <n v="2"/>
    <n v="2"/>
    <n v="1408"/>
    <n v="1408"/>
  </r>
  <r>
    <n v="103"/>
    <s v="Barbara"/>
    <s v="Wazon"/>
    <n v="3"/>
    <x v="13"/>
    <d v="2025-07-14T00:00:00"/>
    <n v="4"/>
    <n v="320"/>
    <n v="1280"/>
    <n v="4"/>
    <n v="2"/>
    <n v="2"/>
    <n v="1408"/>
    <n v="1408"/>
  </r>
  <r>
    <n v="104"/>
    <s v="Marcin"/>
    <s v="Komuszy"/>
    <n v="3"/>
    <x v="5"/>
    <d v="2025-06-09T00:00:00"/>
    <n v="1"/>
    <n v="320"/>
    <n v="320"/>
    <n v="7"/>
    <n v="0"/>
    <n v="1"/>
    <n v="384"/>
    <n v="384"/>
  </r>
  <r>
    <n v="105"/>
    <s v="Adrian"/>
    <s v="Wojaszek"/>
    <n v="2"/>
    <x v="3"/>
    <d v="2025-05-28T00:00:00"/>
    <n v="2"/>
    <n v="240"/>
    <n v="480"/>
    <n v="1"/>
    <n v="2"/>
    <n v="0"/>
    <n v="480"/>
    <n v="480"/>
  </r>
  <r>
    <n v="106"/>
    <s v="Sylwia"/>
    <s v="Ruda"/>
    <n v="3"/>
    <x v="8"/>
    <d v="2025-07-18T00:00:00"/>
    <n v="3"/>
    <n v="320"/>
    <n v="960"/>
    <n v="2"/>
    <n v="3"/>
    <n v="0"/>
    <n v="960"/>
    <n v="960"/>
  </r>
  <r>
    <n v="107"/>
    <s v="Piotr"/>
    <s v="Wojtera"/>
    <n v="3"/>
    <x v="13"/>
    <d v="2025-07-14T00:00:00"/>
    <n v="4"/>
    <n v="320"/>
    <n v="1280"/>
    <n v="4"/>
    <n v="2"/>
    <n v="2"/>
    <n v="1408"/>
    <n v="1408"/>
  </r>
  <r>
    <n v="108"/>
    <s v="Jakub"/>
    <s v="Czech"/>
    <n v="1"/>
    <x v="13"/>
    <d v="2025-07-14T00:00:00"/>
    <n v="4"/>
    <n v="140"/>
    <n v="560"/>
    <n v="4"/>
    <n v="2"/>
    <n v="2"/>
    <n v="616"/>
    <n v="616"/>
  </r>
  <r>
    <n v="109"/>
    <s v="Michał"/>
    <s v="Wołos"/>
    <n v="1"/>
    <x v="14"/>
    <d v="2025-07-21T00:00:00"/>
    <n v="1"/>
    <n v="140"/>
    <n v="140"/>
    <n v="7"/>
    <n v="0"/>
    <n v="1"/>
    <n v="168"/>
    <n v="168"/>
  </r>
  <r>
    <n v="110"/>
    <s v="Rafał"/>
    <s v="Skorek"/>
    <n v="2"/>
    <x v="3"/>
    <d v="2025-05-28T00:00:00"/>
    <n v="2"/>
    <n v="240"/>
    <n v="480"/>
    <n v="1"/>
    <n v="2"/>
    <n v="0"/>
    <n v="480"/>
    <n v="480"/>
  </r>
  <r>
    <n v="111"/>
    <s v="Weronika"/>
    <s v="Wojas"/>
    <n v="1"/>
    <x v="14"/>
    <d v="2025-07-21T00:00:00"/>
    <n v="1"/>
    <n v="140"/>
    <n v="140"/>
    <n v="7"/>
    <n v="0"/>
    <n v="1"/>
    <n v="168"/>
    <n v="168"/>
  </r>
  <r>
    <n v="112"/>
    <s v="Piotr"/>
    <s v="Lenic"/>
    <n v="1"/>
    <x v="14"/>
    <d v="2025-07-21T00:00:00"/>
    <n v="1"/>
    <n v="140"/>
    <n v="140"/>
    <n v="7"/>
    <n v="0"/>
    <n v="1"/>
    <n v="168"/>
    <n v="168"/>
  </r>
  <r>
    <n v="113"/>
    <s v="Marek"/>
    <s v="Nowacki"/>
    <n v="1"/>
    <x v="14"/>
    <d v="2025-07-21T00:00:00"/>
    <n v="1"/>
    <n v="140"/>
    <n v="140"/>
    <n v="7"/>
    <n v="0"/>
    <n v="1"/>
    <n v="168"/>
    <n v="168"/>
  </r>
  <r>
    <n v="114"/>
    <s v="Tomasz"/>
    <s v="Rzeźniczak"/>
    <n v="2"/>
    <x v="14"/>
    <d v="2025-07-21T00:00:00"/>
    <n v="1"/>
    <n v="240"/>
    <n v="240"/>
    <n v="7"/>
    <n v="0"/>
    <n v="1"/>
    <n v="288"/>
    <n v="288"/>
  </r>
  <r>
    <n v="115"/>
    <s v="Marek"/>
    <s v="Milewicz"/>
    <n v="2"/>
    <x v="14"/>
    <d v="2025-07-21T00:00:00"/>
    <n v="1"/>
    <n v="240"/>
    <n v="240"/>
    <n v="7"/>
    <n v="0"/>
    <n v="1"/>
    <n v="288"/>
    <n v="288"/>
  </r>
  <r>
    <n v="116"/>
    <s v="Adrian"/>
    <s v="Kopeć"/>
    <n v="2"/>
    <x v="14"/>
    <d v="2025-07-21T00:00:00"/>
    <n v="1"/>
    <n v="240"/>
    <n v="240"/>
    <n v="7"/>
    <n v="0"/>
    <n v="1"/>
    <n v="288"/>
    <n v="288"/>
  </r>
  <r>
    <n v="117"/>
    <s v="Agnieszka"/>
    <s v="Zielonka"/>
    <n v="2"/>
    <x v="14"/>
    <d v="2025-07-21T00:00:00"/>
    <n v="1"/>
    <n v="240"/>
    <n v="240"/>
    <n v="7"/>
    <n v="0"/>
    <n v="1"/>
    <n v="288"/>
    <n v="288"/>
  </r>
  <r>
    <n v="118"/>
    <s v="Jakub"/>
    <s v="Strama"/>
    <n v="3"/>
    <x v="8"/>
    <d v="2025-07-18T00:00:00"/>
    <n v="3"/>
    <n v="320"/>
    <n v="960"/>
    <n v="2"/>
    <n v="3"/>
    <n v="0"/>
    <n v="960"/>
    <n v="960"/>
  </r>
  <r>
    <n v="119"/>
    <s v="Paweł"/>
    <s v="Wardzynski"/>
    <n v="2"/>
    <x v="3"/>
    <d v="2025-05-28T00:00:00"/>
    <n v="2"/>
    <n v="240"/>
    <n v="480"/>
    <n v="1"/>
    <n v="2"/>
    <n v="0"/>
    <n v="480"/>
    <n v="480"/>
  </r>
  <r>
    <n v="120"/>
    <s v="Anna"/>
    <s v="Zaton"/>
    <n v="4"/>
    <x v="4"/>
    <d v="2025-05-21T00:00:00"/>
    <n v="3"/>
    <n v="400"/>
    <n v="1200"/>
    <n v="7"/>
    <n v="2"/>
    <n v="1"/>
    <n v="1280"/>
    <n v="1280"/>
  </r>
  <r>
    <n v="121"/>
    <s v="Mateusz"/>
    <s v="Sosek"/>
    <n v="2"/>
    <x v="15"/>
    <d v="2025-07-28T00:00:00"/>
    <n v="3"/>
    <n v="240"/>
    <n v="720"/>
    <n v="5"/>
    <n v="1"/>
    <n v="2"/>
    <n v="816"/>
    <n v="816"/>
  </r>
  <r>
    <n v="122"/>
    <s v="Mateusz"/>
    <s v="Rostropnik"/>
    <n v="2"/>
    <x v="15"/>
    <d v="2025-07-28T00:00:00"/>
    <n v="3"/>
    <n v="240"/>
    <n v="720"/>
    <n v="5"/>
    <n v="1"/>
    <n v="2"/>
    <n v="816"/>
    <n v="816"/>
  </r>
  <r>
    <n v="123"/>
    <s v="Weronika"/>
    <s v="Pawłowska"/>
    <n v="2"/>
    <x v="15"/>
    <d v="2025-07-28T00:00:00"/>
    <n v="3"/>
    <n v="240"/>
    <n v="720"/>
    <n v="5"/>
    <n v="1"/>
    <n v="2"/>
    <n v="816"/>
    <n v="816"/>
  </r>
  <r>
    <n v="124"/>
    <s v="Łukasz"/>
    <s v="Kowski"/>
    <n v="2"/>
    <x v="15"/>
    <d v="2025-07-28T00:00:00"/>
    <n v="3"/>
    <n v="240"/>
    <n v="720"/>
    <n v="5"/>
    <n v="1"/>
    <n v="2"/>
    <n v="816"/>
    <n v="816"/>
  </r>
  <r>
    <n v="125"/>
    <s v="Michał"/>
    <s v="Lemiesz"/>
    <n v="3"/>
    <x v="0"/>
    <d v="2025-05-03T00:00:00"/>
    <n v="2"/>
    <n v="320"/>
    <n v="640"/>
    <n v="4"/>
    <n v="2"/>
    <n v="0"/>
    <n v="640"/>
    <n v="640"/>
  </r>
  <r>
    <n v="126"/>
    <s v="Mateusz"/>
    <s v="Gronski"/>
    <n v="3"/>
    <x v="5"/>
    <d v="2025-06-09T00:00:00"/>
    <n v="1"/>
    <n v="320"/>
    <n v="320"/>
    <n v="7"/>
    <n v="0"/>
    <n v="1"/>
    <n v="384"/>
    <n v="384"/>
  </r>
  <r>
    <n v="127"/>
    <s v="Ewa"/>
    <s v="Wycisz"/>
    <n v="1"/>
    <x v="7"/>
    <d v="2025-07-03T00:00:00"/>
    <n v="2"/>
    <n v="140"/>
    <n v="280"/>
    <n v="2"/>
    <n v="2"/>
    <n v="0"/>
    <n v="280"/>
    <n v="280"/>
  </r>
  <r>
    <n v="128"/>
    <s v="Ewa"/>
    <s v="Piotrek"/>
    <n v="3"/>
    <x v="8"/>
    <d v="2025-07-18T00:00:00"/>
    <n v="3"/>
    <n v="320"/>
    <n v="960"/>
    <n v="2"/>
    <n v="3"/>
    <n v="0"/>
    <n v="960"/>
    <n v="960"/>
  </r>
  <r>
    <n v="129"/>
    <s v="Karolina"/>
    <s v="Bober"/>
    <n v="2"/>
    <x v="15"/>
    <d v="2025-07-28T00:00:00"/>
    <n v="3"/>
    <n v="240"/>
    <n v="720"/>
    <n v="5"/>
    <n v="1"/>
    <n v="2"/>
    <n v="816"/>
    <n v="816"/>
  </r>
  <r>
    <n v="130"/>
    <s v="Weronika"/>
    <s v="Staroń"/>
    <n v="2"/>
    <x v="15"/>
    <d v="2025-07-28T00:00:00"/>
    <n v="3"/>
    <n v="240"/>
    <n v="720"/>
    <n v="5"/>
    <n v="1"/>
    <n v="2"/>
    <n v="816"/>
    <n v="816"/>
  </r>
  <r>
    <n v="131"/>
    <s v="Grzegorz"/>
    <s v="Wolf"/>
    <n v="1"/>
    <x v="0"/>
    <d v="2025-05-03T00:00:00"/>
    <n v="2"/>
    <n v="140"/>
    <n v="280"/>
    <n v="4"/>
    <n v="2"/>
    <n v="0"/>
    <n v="280"/>
    <n v="280"/>
  </r>
  <r>
    <n v="132"/>
    <s v="Natalia"/>
    <s v="Bania"/>
    <n v="1"/>
    <x v="0"/>
    <d v="2025-05-03T00:00:00"/>
    <n v="2"/>
    <n v="140"/>
    <n v="280"/>
    <n v="4"/>
    <n v="2"/>
    <n v="0"/>
    <n v="280"/>
    <n v="280"/>
  </r>
  <r>
    <n v="133"/>
    <s v="Piotr"/>
    <s v="Krasek"/>
    <n v="2"/>
    <x v="15"/>
    <d v="2025-07-28T00:00:00"/>
    <n v="3"/>
    <n v="240"/>
    <n v="720"/>
    <n v="5"/>
    <n v="1"/>
    <n v="2"/>
    <n v="816"/>
    <n v="816"/>
  </r>
  <r>
    <n v="134"/>
    <s v="Marek"/>
    <s v="Słomka"/>
    <n v="2"/>
    <x v="16"/>
    <d v="2025-06-15T00:00:00"/>
    <n v="5"/>
    <n v="240"/>
    <n v="1200"/>
    <n v="2"/>
    <n v="4"/>
    <n v="1"/>
    <n v="1248"/>
    <n v="1123.2"/>
  </r>
  <r>
    <n v="135"/>
    <s v="Weronika"/>
    <s v="Ryżana"/>
    <n v="2"/>
    <x v="15"/>
    <d v="2025-07-28T00:00:00"/>
    <n v="3"/>
    <n v="240"/>
    <n v="720"/>
    <n v="5"/>
    <n v="1"/>
    <n v="2"/>
    <n v="816"/>
    <n v="816"/>
  </r>
  <r>
    <n v="136"/>
    <s v="Magdalena"/>
    <s v="Mazowiecka"/>
    <n v="1"/>
    <x v="15"/>
    <d v="2025-07-28T00:00:00"/>
    <n v="3"/>
    <n v="140"/>
    <n v="420"/>
    <n v="5"/>
    <n v="1"/>
    <n v="2"/>
    <n v="476"/>
    <n v="476"/>
  </r>
  <r>
    <n v="137"/>
    <s v="Tomasz"/>
    <s v="Lisek"/>
    <n v="3"/>
    <x v="17"/>
    <d v="2025-08-06T00:00:00"/>
    <n v="4"/>
    <n v="320"/>
    <n v="1280"/>
    <n v="6"/>
    <n v="2"/>
    <n v="2"/>
    <n v="1408"/>
    <n v="1408"/>
  </r>
  <r>
    <n v="138"/>
    <s v="Marcin"/>
    <s v="Zydel"/>
    <n v="3"/>
    <x v="17"/>
    <d v="2025-08-06T00:00:00"/>
    <n v="4"/>
    <n v="320"/>
    <n v="1280"/>
    <n v="6"/>
    <n v="2"/>
    <n v="2"/>
    <n v="1408"/>
    <n v="1408"/>
  </r>
  <r>
    <n v="139"/>
    <s v="Paweł"/>
    <s v="Szaman"/>
    <n v="3"/>
    <x v="17"/>
    <d v="2025-08-06T00:00:00"/>
    <n v="4"/>
    <n v="320"/>
    <n v="1280"/>
    <n v="6"/>
    <n v="2"/>
    <n v="2"/>
    <n v="1408"/>
    <n v="1408"/>
  </r>
  <r>
    <n v="140"/>
    <s v="Ewa"/>
    <s v="Emska"/>
    <n v="2"/>
    <x v="16"/>
    <d v="2025-06-15T00:00:00"/>
    <n v="5"/>
    <n v="240"/>
    <n v="1200"/>
    <n v="2"/>
    <n v="4"/>
    <n v="1"/>
    <n v="1248"/>
    <n v="1123.2"/>
  </r>
  <r>
    <n v="141"/>
    <s v="Marcin"/>
    <s v="Nowak"/>
    <n v="2"/>
    <x v="8"/>
    <d v="2025-07-18T00:00:00"/>
    <n v="3"/>
    <n v="240"/>
    <n v="720"/>
    <n v="2"/>
    <n v="3"/>
    <n v="0"/>
    <n v="720"/>
    <n v="720"/>
  </r>
  <r>
    <n v="142"/>
    <s v="Katarzyna"/>
    <s v="Kumor"/>
    <n v="3"/>
    <x v="17"/>
    <d v="2025-08-06T00:00:00"/>
    <n v="4"/>
    <n v="320"/>
    <n v="1280"/>
    <n v="6"/>
    <n v="2"/>
    <n v="2"/>
    <n v="1408"/>
    <n v="1408"/>
  </r>
  <r>
    <n v="143"/>
    <s v="Maria"/>
    <s v="Wiercińska"/>
    <n v="2"/>
    <x v="17"/>
    <d v="2025-08-06T00:00:00"/>
    <n v="4"/>
    <n v="240"/>
    <n v="960"/>
    <n v="6"/>
    <n v="2"/>
    <n v="2"/>
    <n v="1056"/>
    <n v="1056"/>
  </r>
  <r>
    <n v="144"/>
    <s v="Andrzej"/>
    <s v="Kusy"/>
    <n v="2"/>
    <x v="17"/>
    <d v="2025-08-06T00:00:00"/>
    <n v="4"/>
    <n v="240"/>
    <n v="960"/>
    <n v="6"/>
    <n v="2"/>
    <n v="2"/>
    <n v="1056"/>
    <n v="1056"/>
  </r>
  <r>
    <n v="145"/>
    <s v="Monika"/>
    <s v="Koło"/>
    <n v="2"/>
    <x v="16"/>
    <d v="2025-06-15T00:00:00"/>
    <n v="5"/>
    <n v="240"/>
    <n v="1200"/>
    <n v="2"/>
    <n v="4"/>
    <n v="1"/>
    <n v="1248"/>
    <n v="1123.2"/>
  </r>
  <r>
    <n v="146"/>
    <s v="Mateusz"/>
    <s v="Zych"/>
    <n v="2"/>
    <x v="17"/>
    <d v="2025-08-06T00:00:00"/>
    <n v="4"/>
    <n v="240"/>
    <n v="960"/>
    <n v="6"/>
    <n v="2"/>
    <n v="2"/>
    <n v="1056"/>
    <n v="1056"/>
  </r>
  <r>
    <n v="147"/>
    <s v="Krzysztof"/>
    <s v="Panek"/>
    <n v="2"/>
    <x v="7"/>
    <d v="2025-07-03T00:00:00"/>
    <n v="2"/>
    <n v="240"/>
    <n v="480"/>
    <n v="2"/>
    <n v="2"/>
    <n v="0"/>
    <n v="480"/>
    <n v="480"/>
  </r>
  <r>
    <n v="148"/>
    <s v="Ewa"/>
    <s v="Wnuk"/>
    <n v="2"/>
    <x v="16"/>
    <d v="2025-06-15T00:00:00"/>
    <n v="5"/>
    <n v="240"/>
    <n v="1200"/>
    <n v="2"/>
    <n v="4"/>
    <n v="1"/>
    <n v="1248"/>
    <n v="1123.2"/>
  </r>
  <r>
    <n v="149"/>
    <s v="Sylwia"/>
    <s v="Zaleśna"/>
    <n v="2"/>
    <x v="17"/>
    <d v="2025-08-06T00:00:00"/>
    <n v="4"/>
    <n v="240"/>
    <n v="960"/>
    <n v="6"/>
    <n v="2"/>
    <n v="2"/>
    <n v="1056"/>
    <n v="1056"/>
  </r>
  <r>
    <n v="150"/>
    <s v="Krzysztof"/>
    <s v="Jankowski"/>
    <n v="1"/>
    <x v="17"/>
    <d v="2025-08-06T00:00:00"/>
    <n v="4"/>
    <n v="140"/>
    <n v="560"/>
    <n v="6"/>
    <n v="2"/>
    <n v="2"/>
    <n v="616"/>
    <n v="616"/>
  </r>
  <r>
    <n v="151"/>
    <s v="Mateusz"/>
    <s v="Kamiński"/>
    <n v="1"/>
    <x v="17"/>
    <d v="2025-08-06T00:00:00"/>
    <n v="4"/>
    <n v="140"/>
    <n v="560"/>
    <n v="6"/>
    <n v="2"/>
    <n v="2"/>
    <n v="616"/>
    <n v="616"/>
  </r>
  <r>
    <n v="152"/>
    <s v="Katarzyna"/>
    <s v="Gerber"/>
    <n v="1"/>
    <x v="17"/>
    <d v="2025-08-06T00:00:00"/>
    <n v="4"/>
    <n v="140"/>
    <n v="560"/>
    <n v="6"/>
    <n v="2"/>
    <n v="2"/>
    <n v="616"/>
    <n v="616"/>
  </r>
  <r>
    <n v="153"/>
    <s v="Natalia"/>
    <s v="Gloster"/>
    <n v="2"/>
    <x v="16"/>
    <d v="2025-06-15T00:00:00"/>
    <n v="5"/>
    <n v="240"/>
    <n v="1200"/>
    <n v="2"/>
    <n v="4"/>
    <n v="1"/>
    <n v="1248"/>
    <n v="1123.2"/>
  </r>
  <r>
    <n v="154"/>
    <s v="Piotr"/>
    <s v="Grzybek"/>
    <n v="2"/>
    <x v="8"/>
    <d v="2025-07-18T00:00:00"/>
    <n v="3"/>
    <n v="240"/>
    <n v="720"/>
    <n v="2"/>
    <n v="3"/>
    <n v="0"/>
    <n v="720"/>
    <n v="720"/>
  </r>
  <r>
    <n v="155"/>
    <s v="Mateusz"/>
    <s v="Rostropnik"/>
    <n v="1"/>
    <x v="17"/>
    <d v="2025-08-06T00:00:00"/>
    <n v="4"/>
    <n v="140"/>
    <n v="560"/>
    <n v="6"/>
    <n v="2"/>
    <n v="2"/>
    <n v="616"/>
    <n v="616"/>
  </r>
  <r>
    <n v="156"/>
    <s v="Andrzej"/>
    <s v="Puzio"/>
    <n v="2"/>
    <x v="18"/>
    <d v="2025-08-12T00:00:00"/>
    <n v="2"/>
    <n v="240"/>
    <n v="480"/>
    <n v="7"/>
    <n v="1"/>
    <n v="1"/>
    <n v="528"/>
    <n v="528"/>
  </r>
  <r>
    <n v="157"/>
    <s v="Natalia"/>
    <s v="Bania"/>
    <n v="2"/>
    <x v="18"/>
    <d v="2025-08-12T00:00:00"/>
    <n v="2"/>
    <n v="240"/>
    <n v="480"/>
    <n v="7"/>
    <n v="1"/>
    <n v="1"/>
    <n v="528"/>
    <n v="528"/>
  </r>
  <r>
    <n v="158"/>
    <s v="Agnieszka"/>
    <s v="Darmach"/>
    <n v="2"/>
    <x v="18"/>
    <d v="2025-08-12T00:00:00"/>
    <n v="2"/>
    <n v="240"/>
    <n v="480"/>
    <n v="7"/>
    <n v="1"/>
    <n v="1"/>
    <n v="528"/>
    <n v="528"/>
  </r>
  <r>
    <n v="159"/>
    <s v="Grzegorz"/>
    <s v="Wolf"/>
    <n v="2"/>
    <x v="18"/>
    <d v="2025-08-12T00:00:00"/>
    <n v="2"/>
    <n v="240"/>
    <n v="480"/>
    <n v="7"/>
    <n v="1"/>
    <n v="1"/>
    <n v="528"/>
    <n v="528"/>
  </r>
  <r>
    <n v="160"/>
    <s v="Katarzyna"/>
    <s v="Gerber"/>
    <n v="1"/>
    <x v="7"/>
    <d v="2025-07-03T00:00:00"/>
    <n v="2"/>
    <n v="140"/>
    <n v="280"/>
    <n v="2"/>
    <n v="2"/>
    <n v="0"/>
    <n v="280"/>
    <n v="280"/>
  </r>
  <r>
    <n v="161"/>
    <s v="Marek"/>
    <s v="Słomka"/>
    <n v="2"/>
    <x v="16"/>
    <d v="2025-06-15T00:00:00"/>
    <n v="5"/>
    <n v="240"/>
    <n v="1200"/>
    <n v="2"/>
    <n v="4"/>
    <n v="1"/>
    <n v="1248"/>
    <n v="1123.2"/>
  </r>
  <r>
    <n v="162"/>
    <s v="Anna"/>
    <s v="Sulima"/>
    <n v="2"/>
    <x v="18"/>
    <d v="2025-08-12T00:00:00"/>
    <n v="2"/>
    <n v="240"/>
    <n v="480"/>
    <n v="7"/>
    <n v="1"/>
    <n v="1"/>
    <n v="528"/>
    <n v="528"/>
  </r>
  <r>
    <n v="163"/>
    <s v="Mateusz"/>
    <s v="Rostropnik"/>
    <n v="2"/>
    <x v="18"/>
    <d v="2025-08-12T00:00:00"/>
    <n v="2"/>
    <n v="240"/>
    <n v="480"/>
    <n v="7"/>
    <n v="1"/>
    <n v="1"/>
    <n v="528"/>
    <n v="528"/>
  </r>
  <r>
    <n v="164"/>
    <s v="Natalia"/>
    <s v="Gloster"/>
    <n v="1"/>
    <x v="19"/>
    <d v="2025-08-17T00:00:00"/>
    <n v="3"/>
    <n v="140"/>
    <n v="420"/>
    <n v="4"/>
    <n v="2"/>
    <n v="1"/>
    <n v="448"/>
    <n v="448"/>
  </r>
  <r>
    <n v="165"/>
    <s v="Magdalena"/>
    <s v="Mazowiecka"/>
    <n v="1"/>
    <x v="19"/>
    <d v="2025-08-17T00:00:00"/>
    <n v="3"/>
    <n v="140"/>
    <n v="420"/>
    <n v="4"/>
    <n v="2"/>
    <n v="1"/>
    <n v="448"/>
    <n v="448"/>
  </r>
  <r>
    <n v="166"/>
    <s v="Michał"/>
    <s v="Lemiesz"/>
    <n v="1"/>
    <x v="19"/>
    <d v="2025-08-17T00:00:00"/>
    <n v="3"/>
    <n v="140"/>
    <n v="420"/>
    <n v="4"/>
    <n v="2"/>
    <n v="1"/>
    <n v="448"/>
    <n v="448"/>
  </r>
  <r>
    <n v="167"/>
    <s v="Marek"/>
    <s v="Słomka"/>
    <n v="1"/>
    <x v="19"/>
    <d v="2025-08-17T00:00:00"/>
    <n v="3"/>
    <n v="140"/>
    <n v="420"/>
    <n v="4"/>
    <n v="2"/>
    <n v="1"/>
    <n v="448"/>
    <n v="448"/>
  </r>
  <r>
    <n v="168"/>
    <s v="Agnieszka"/>
    <s v="Darmach"/>
    <n v="3"/>
    <x v="19"/>
    <d v="2025-08-17T00:00:00"/>
    <n v="3"/>
    <n v="320"/>
    <n v="960"/>
    <n v="4"/>
    <n v="2"/>
    <n v="1"/>
    <n v="1024"/>
    <n v="1024"/>
  </r>
  <r>
    <n v="169"/>
    <s v="Karolina"/>
    <s v="Bober"/>
    <n v="2"/>
    <x v="8"/>
    <d v="2025-07-18T00:00:00"/>
    <n v="3"/>
    <n v="240"/>
    <n v="720"/>
    <n v="2"/>
    <n v="3"/>
    <n v="0"/>
    <n v="720"/>
    <n v="720"/>
  </r>
  <r>
    <n v="170"/>
    <s v="Agnieszka"/>
    <s v="Inka"/>
    <n v="1"/>
    <x v="7"/>
    <d v="2025-07-03T00:00:00"/>
    <n v="2"/>
    <n v="140"/>
    <n v="280"/>
    <n v="2"/>
    <n v="2"/>
    <n v="0"/>
    <n v="280"/>
    <n v="280"/>
  </r>
  <r>
    <n v="171"/>
    <s v="Piotr"/>
    <s v="Wojtera"/>
    <n v="2"/>
    <x v="2"/>
    <d v="2025-06-04T00:00:00"/>
    <n v="3"/>
    <n v="240"/>
    <n v="720"/>
    <n v="7"/>
    <n v="2"/>
    <n v="1"/>
    <n v="768"/>
    <n v="768"/>
  </r>
  <r>
    <n v="172"/>
    <s v="Marek"/>
    <s v="Słomka"/>
    <n v="3"/>
    <x v="19"/>
    <d v="2025-08-17T00:00:00"/>
    <n v="3"/>
    <n v="320"/>
    <n v="960"/>
    <n v="4"/>
    <n v="2"/>
    <n v="1"/>
    <n v="1024"/>
    <n v="1024"/>
  </r>
  <r>
    <n v="173"/>
    <s v="Magdalena"/>
    <s v="Mazowiecka"/>
    <n v="3"/>
    <x v="19"/>
    <d v="2025-08-17T00:00:00"/>
    <n v="3"/>
    <n v="320"/>
    <n v="960"/>
    <n v="4"/>
    <n v="2"/>
    <n v="1"/>
    <n v="1024"/>
    <n v="1024"/>
  </r>
  <r>
    <n v="174"/>
    <s v="Andrzej"/>
    <s v="Puzio"/>
    <n v="3"/>
    <x v="19"/>
    <d v="2025-08-17T00:00:00"/>
    <n v="3"/>
    <n v="320"/>
    <n v="960"/>
    <n v="4"/>
    <n v="2"/>
    <n v="1"/>
    <n v="1024"/>
    <n v="1024"/>
  </r>
  <r>
    <n v="175"/>
    <s v="Mateusz"/>
    <s v="Rostropnik"/>
    <n v="4"/>
    <x v="19"/>
    <d v="2025-08-17T00:00:00"/>
    <n v="3"/>
    <n v="400"/>
    <n v="1200"/>
    <n v="4"/>
    <n v="2"/>
    <n v="1"/>
    <n v="1280"/>
    <n v="1280"/>
  </r>
  <r>
    <n v="176"/>
    <s v="Natalia"/>
    <s v="Gloster"/>
    <n v="4"/>
    <x v="2"/>
    <d v="2025-06-04T00:00:00"/>
    <n v="3"/>
    <n v="400"/>
    <n v="1200"/>
    <n v="7"/>
    <n v="2"/>
    <n v="1"/>
    <n v="1280"/>
    <n v="1280"/>
  </r>
  <r>
    <n v="177"/>
    <s v="Tomasz"/>
    <s v="Lisek"/>
    <n v="3"/>
    <x v="7"/>
    <d v="2025-07-14T00:00:00"/>
    <n v="13"/>
    <n v="320"/>
    <n v="4160"/>
    <n v="2"/>
    <n v="9"/>
    <n v="4"/>
    <n v="4416"/>
    <n v="3974.4"/>
  </r>
  <r>
    <n v="178"/>
    <s v="Ewa"/>
    <s v="Wycisz"/>
    <n v="4"/>
    <x v="19"/>
    <d v="2025-08-17T00:00:00"/>
    <n v="3"/>
    <n v="400"/>
    <n v="1200"/>
    <n v="4"/>
    <n v="2"/>
    <n v="1"/>
    <n v="1280"/>
    <n v="1280"/>
  </r>
  <r>
    <n v="179"/>
    <s v="Michał"/>
    <s v="Lemiesz"/>
    <n v="2"/>
    <x v="19"/>
    <d v="2025-08-17T00:00:00"/>
    <n v="3"/>
    <n v="240"/>
    <n v="720"/>
    <n v="4"/>
    <n v="2"/>
    <n v="1"/>
    <n v="768"/>
    <n v="768"/>
  </r>
  <r>
    <n v="180"/>
    <s v="Andrzej"/>
    <s v="Puzio"/>
    <n v="4"/>
    <x v="2"/>
    <d v="2025-06-04T00:00:00"/>
    <n v="3"/>
    <n v="400"/>
    <n v="1200"/>
    <n v="7"/>
    <n v="2"/>
    <n v="1"/>
    <n v="1280"/>
    <n v="1280"/>
  </r>
  <r>
    <n v="181"/>
    <s v="Magdalena"/>
    <s v="Mazowiecka"/>
    <n v="1"/>
    <x v="2"/>
    <d v="2025-06-04T00:00:00"/>
    <n v="3"/>
    <n v="140"/>
    <n v="420"/>
    <n v="7"/>
    <n v="2"/>
    <n v="1"/>
    <n v="448"/>
    <n v="448"/>
  </r>
  <r>
    <n v="182"/>
    <s v="Grzegorz"/>
    <s v="Wolf"/>
    <n v="2"/>
    <x v="19"/>
    <d v="2025-08-17T00:00:00"/>
    <n v="3"/>
    <n v="240"/>
    <n v="720"/>
    <n v="4"/>
    <n v="2"/>
    <n v="1"/>
    <n v="768"/>
    <n v="768"/>
  </r>
  <r>
    <n v="183"/>
    <s v="Marcin"/>
    <s v="Zydel"/>
    <n v="2"/>
    <x v="19"/>
    <d v="2025-08-17T00:00:00"/>
    <n v="3"/>
    <n v="240"/>
    <n v="720"/>
    <n v="4"/>
    <n v="2"/>
    <n v="1"/>
    <n v="768"/>
    <n v="768"/>
  </r>
  <r>
    <n v="184"/>
    <s v="Mateusz"/>
    <s v="Kamiński"/>
    <n v="2"/>
    <x v="19"/>
    <d v="2025-08-17T00:00:00"/>
    <n v="3"/>
    <n v="240"/>
    <n v="720"/>
    <n v="4"/>
    <n v="2"/>
    <n v="1"/>
    <n v="768"/>
    <n v="768"/>
  </r>
  <r>
    <n v="185"/>
    <s v="Tomasz"/>
    <s v="Lisek"/>
    <n v="2"/>
    <x v="19"/>
    <d v="2025-08-17T00:00:00"/>
    <n v="3"/>
    <n v="240"/>
    <n v="720"/>
    <n v="4"/>
    <n v="2"/>
    <n v="1"/>
    <n v="768"/>
    <n v="768"/>
  </r>
  <r>
    <n v="186"/>
    <s v="Agnieszka"/>
    <s v="Darmach"/>
    <n v="2"/>
    <x v="19"/>
    <d v="2025-08-17T00:00:00"/>
    <n v="3"/>
    <n v="240"/>
    <n v="720"/>
    <n v="4"/>
    <n v="2"/>
    <n v="1"/>
    <n v="768"/>
    <n v="768"/>
  </r>
  <r>
    <n v="187"/>
    <s v="Aleksandra"/>
    <s v="Kita"/>
    <n v="2"/>
    <x v="19"/>
    <d v="2025-08-17T00:00:00"/>
    <n v="3"/>
    <n v="240"/>
    <n v="720"/>
    <n v="4"/>
    <n v="2"/>
    <n v="1"/>
    <n v="768"/>
    <n v="768"/>
  </r>
  <r>
    <n v="188"/>
    <s v="Marcin"/>
    <s v="Zydel"/>
    <n v="2"/>
    <x v="20"/>
    <d v="2025-08-17T00:00:00"/>
    <n v="1"/>
    <n v="240"/>
    <n v="240"/>
    <n v="6"/>
    <n v="0"/>
    <n v="1"/>
    <n v="288"/>
    <n v="288"/>
  </r>
  <r>
    <n v="189"/>
    <s v="Paweł"/>
    <s v="Szaman"/>
    <n v="3"/>
    <x v="21"/>
    <d v="2025-08-22T00:00:00"/>
    <n v="2"/>
    <n v="320"/>
    <n v="640"/>
    <n v="3"/>
    <n v="2"/>
    <n v="0"/>
    <n v="640"/>
    <n v="640"/>
  </r>
  <r>
    <n v="190"/>
    <s v="Marek"/>
    <s v="Krawiec"/>
    <n v="3"/>
    <x v="21"/>
    <d v="2025-08-22T00:00:00"/>
    <n v="2"/>
    <n v="320"/>
    <n v="640"/>
    <n v="3"/>
    <n v="2"/>
    <n v="0"/>
    <n v="640"/>
    <n v="640"/>
  </r>
  <r>
    <n v="191"/>
    <s v="Natalia"/>
    <s v="Gloster"/>
    <n v="3"/>
    <x v="21"/>
    <d v="2025-08-22T00:00:00"/>
    <n v="2"/>
    <n v="320"/>
    <n v="640"/>
    <n v="3"/>
    <n v="2"/>
    <n v="0"/>
    <n v="640"/>
    <n v="640"/>
  </r>
  <r>
    <n v="192"/>
    <s v="Katarzyna"/>
    <s v="Kumor"/>
    <n v="1"/>
    <x v="2"/>
    <d v="2025-06-04T00:00:00"/>
    <n v="3"/>
    <n v="140"/>
    <n v="420"/>
    <n v="7"/>
    <n v="2"/>
    <n v="1"/>
    <n v="448"/>
    <n v="448"/>
  </r>
  <r>
    <n v="193"/>
    <s v="Aleksandra"/>
    <s v="Kita"/>
    <n v="1"/>
    <x v="2"/>
    <d v="2025-06-04T00:00:00"/>
    <n v="3"/>
    <n v="140"/>
    <n v="420"/>
    <n v="7"/>
    <n v="2"/>
    <n v="1"/>
    <n v="448"/>
    <n v="448"/>
  </r>
  <r>
    <n v="194"/>
    <s v="Katarzyna"/>
    <s v="Gerber"/>
    <n v="3"/>
    <x v="21"/>
    <d v="2025-08-22T00:00:00"/>
    <n v="2"/>
    <n v="320"/>
    <n v="640"/>
    <n v="3"/>
    <n v="2"/>
    <n v="0"/>
    <n v="640"/>
    <n v="640"/>
  </r>
  <r>
    <n v="195"/>
    <s v="Natalia"/>
    <s v="Gloster"/>
    <n v="1"/>
    <x v="22"/>
    <d v="2025-08-29T00:00:00"/>
    <n v="1"/>
    <n v="140"/>
    <n v="140"/>
    <n v="4"/>
    <n v="1"/>
    <n v="0"/>
    <n v="140"/>
    <n v="140"/>
  </r>
  <r>
    <n v="196"/>
    <s v="Marek"/>
    <s v="Słomka"/>
    <n v="1"/>
    <x v="22"/>
    <d v="2025-08-29T00:00:00"/>
    <n v="1"/>
    <n v="140"/>
    <n v="140"/>
    <n v="4"/>
    <n v="1"/>
    <n v="0"/>
    <n v="140"/>
    <n v="140"/>
  </r>
  <r>
    <n v="197"/>
    <s v="Adrian"/>
    <s v="Ziomek"/>
    <n v="1"/>
    <x v="22"/>
    <d v="2025-08-29T00:00:00"/>
    <n v="1"/>
    <n v="140"/>
    <n v="140"/>
    <n v="4"/>
    <n v="1"/>
    <n v="0"/>
    <n v="140"/>
    <n v="140"/>
  </r>
  <r>
    <n v="198"/>
    <s v="Marek"/>
    <s v="Milewicz"/>
    <n v="2"/>
    <x v="7"/>
    <d v="2025-07-14T00:00:00"/>
    <n v="13"/>
    <n v="240"/>
    <n v="3120"/>
    <n v="2"/>
    <n v="9"/>
    <n v="4"/>
    <n v="3312"/>
    <n v="2980.8"/>
  </r>
  <r>
    <n v="199"/>
    <s v="Andrzej"/>
    <s v="Puzio"/>
    <n v="3"/>
    <x v="2"/>
    <d v="2025-06-04T00:00:00"/>
    <n v="3"/>
    <n v="320"/>
    <n v="960"/>
    <n v="7"/>
    <n v="2"/>
    <n v="1"/>
    <n v="1024"/>
    <n v="1024"/>
  </r>
  <r>
    <n v="200"/>
    <s v="Natalia"/>
    <s v="Gloster"/>
    <n v="3"/>
    <x v="2"/>
    <d v="2025-06-04T00:00:00"/>
    <n v="3"/>
    <n v="320"/>
    <n v="960"/>
    <n v="7"/>
    <n v="2"/>
    <n v="1"/>
    <n v="1024"/>
    <n v="1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E736F-D114-48C6-A923-2B4966B2F8F4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3:I184" firstHeaderRow="1" firstDataRow="1" firstDataCol="1"/>
  <pivotFields count="6">
    <pivotField showAll="0"/>
    <pivotField axis="axisRow" showAll="0">
      <items count="31">
        <item x="5"/>
        <item x="4"/>
        <item x="23"/>
        <item x="12"/>
        <item x="9"/>
        <item x="11"/>
        <item x="14"/>
        <item x="29"/>
        <item x="22"/>
        <item x="2"/>
        <item x="18"/>
        <item x="6"/>
        <item x="10"/>
        <item x="20"/>
        <item x="19"/>
        <item x="17"/>
        <item x="7"/>
        <item x="24"/>
        <item x="28"/>
        <item x="0"/>
        <item x="8"/>
        <item x="3"/>
        <item x="21"/>
        <item x="26"/>
        <item x="16"/>
        <item x="13"/>
        <item x="25"/>
        <item x="27"/>
        <item x="1"/>
        <item x="15"/>
        <item t="default"/>
      </items>
    </pivotField>
    <pivotField axis="axisRow" showAll="0">
      <items count="151">
        <item x="131"/>
        <item x="64"/>
        <item x="128"/>
        <item x="49"/>
        <item x="73"/>
        <item x="107"/>
        <item x="82"/>
        <item x="46"/>
        <item x="53"/>
        <item x="139"/>
        <item x="13"/>
        <item x="89"/>
        <item x="83"/>
        <item x="3"/>
        <item x="25"/>
        <item x="125"/>
        <item x="97"/>
        <item x="19"/>
        <item x="72"/>
        <item x="62"/>
        <item x="6"/>
        <item x="50"/>
        <item x="85"/>
        <item x="84"/>
        <item x="149"/>
        <item x="14"/>
        <item x="37"/>
        <item x="8"/>
        <item x="0"/>
        <item x="63"/>
        <item x="67"/>
        <item x="88"/>
        <item x="94"/>
        <item x="81"/>
        <item x="144"/>
        <item x="33"/>
        <item x="70"/>
        <item x="1"/>
        <item x="21"/>
        <item x="77"/>
        <item x="103"/>
        <item x="4"/>
        <item x="56"/>
        <item x="115"/>
        <item x="10"/>
        <item x="16"/>
        <item x="2"/>
        <item x="123"/>
        <item x="55"/>
        <item x="43"/>
        <item x="132"/>
        <item x="15"/>
        <item x="60"/>
        <item x="66"/>
        <item x="65"/>
        <item x="61"/>
        <item x="29"/>
        <item x="141"/>
        <item x="143"/>
        <item x="51"/>
        <item x="40"/>
        <item x="124"/>
        <item x="111"/>
        <item x="20"/>
        <item x="17"/>
        <item x="136"/>
        <item x="90"/>
        <item x="35"/>
        <item x="135"/>
        <item x="75"/>
        <item x="59"/>
        <item x="80"/>
        <item x="24"/>
        <item x="114"/>
        <item x="112"/>
        <item x="140"/>
        <item x="146"/>
        <item x="122"/>
        <item x="12"/>
        <item x="127"/>
        <item x="26"/>
        <item x="30"/>
        <item x="99"/>
        <item x="34"/>
        <item x="79"/>
        <item x="98"/>
        <item x="121"/>
        <item x="28"/>
        <item x="105"/>
        <item x="18"/>
        <item x="134"/>
        <item x="113"/>
        <item x="87"/>
        <item x="92"/>
        <item x="109"/>
        <item x="133"/>
        <item x="120"/>
        <item x="129"/>
        <item x="117"/>
        <item x="96"/>
        <item x="95"/>
        <item x="101"/>
        <item x="138"/>
        <item x="38"/>
        <item x="57"/>
        <item x="47"/>
        <item x="68"/>
        <item x="118"/>
        <item x="91"/>
        <item x="102"/>
        <item x="52"/>
        <item x="78"/>
        <item x="76"/>
        <item x="93"/>
        <item x="142"/>
        <item x="22"/>
        <item x="44"/>
        <item x="11"/>
        <item x="9"/>
        <item x="71"/>
        <item x="147"/>
        <item x="110"/>
        <item x="104"/>
        <item x="48"/>
        <item x="27"/>
        <item x="32"/>
        <item x="39"/>
        <item x="45"/>
        <item x="106"/>
        <item x="130"/>
        <item x="108"/>
        <item x="69"/>
        <item x="41"/>
        <item x="36"/>
        <item x="58"/>
        <item x="23"/>
        <item x="42"/>
        <item x="126"/>
        <item x="7"/>
        <item x="54"/>
        <item x="31"/>
        <item x="74"/>
        <item x="100"/>
        <item x="148"/>
        <item x="119"/>
        <item x="86"/>
        <item x="116"/>
        <item x="5"/>
        <item x="145"/>
        <item x="137"/>
        <item t="default"/>
      </items>
    </pivotField>
    <pivotField dataField="1" showAll="0"/>
    <pivotField numFmtId="14" showAll="0"/>
    <pivotField numFmtId="14" showAll="0"/>
  </pivotFields>
  <rowFields count="2">
    <field x="1"/>
    <field x="2"/>
  </rowFields>
  <rowItems count="181">
    <i>
      <x/>
    </i>
    <i r="1">
      <x v="43"/>
    </i>
    <i r="1">
      <x v="56"/>
    </i>
    <i r="1">
      <x v="70"/>
    </i>
    <i r="1">
      <x v="112"/>
    </i>
    <i r="1">
      <x v="119"/>
    </i>
    <i r="1">
      <x v="122"/>
    </i>
    <i r="1">
      <x v="147"/>
    </i>
    <i>
      <x v="1"/>
    </i>
    <i r="1">
      <x v="6"/>
    </i>
    <i r="1">
      <x v="18"/>
    </i>
    <i r="1">
      <x v="41"/>
    </i>
    <i r="1">
      <x v="55"/>
    </i>
    <i r="1">
      <x v="132"/>
    </i>
    <i r="1">
      <x v="146"/>
    </i>
    <i>
      <x v="2"/>
    </i>
    <i r="1">
      <x v="32"/>
    </i>
    <i r="1">
      <x v="116"/>
    </i>
    <i r="1">
      <x v="123"/>
    </i>
    <i>
      <x v="3"/>
    </i>
    <i r="1">
      <x v="35"/>
    </i>
    <i r="1">
      <x v="45"/>
    </i>
    <i r="1">
      <x v="58"/>
    </i>
    <i r="1">
      <x v="66"/>
    </i>
    <i r="1">
      <x v="80"/>
    </i>
    <i r="1">
      <x v="82"/>
    </i>
    <i r="1">
      <x v="108"/>
    </i>
    <i>
      <x v="4"/>
    </i>
    <i r="1">
      <x v="21"/>
    </i>
    <i r="1">
      <x v="42"/>
    </i>
    <i r="1">
      <x v="100"/>
    </i>
    <i r="1">
      <x v="117"/>
    </i>
    <i r="1">
      <x v="133"/>
    </i>
    <i r="1">
      <x v="144"/>
    </i>
    <i>
      <x v="5"/>
    </i>
    <i r="1">
      <x v="1"/>
    </i>
    <i r="1">
      <x v="51"/>
    </i>
    <i r="1">
      <x v="109"/>
    </i>
    <i>
      <x v="6"/>
    </i>
    <i r="1">
      <x v="7"/>
    </i>
    <i r="1">
      <x v="9"/>
    </i>
    <i r="1">
      <x v="79"/>
    </i>
    <i r="1">
      <x v="89"/>
    </i>
    <i r="1">
      <x v="120"/>
    </i>
    <i r="1">
      <x v="137"/>
    </i>
    <i r="1">
      <x v="140"/>
    </i>
    <i>
      <x v="7"/>
    </i>
    <i r="1">
      <x v="129"/>
    </i>
    <i>
      <x v="8"/>
    </i>
    <i r="1">
      <x v="5"/>
    </i>
    <i r="1">
      <x v="26"/>
    </i>
    <i r="1">
      <x v="98"/>
    </i>
    <i r="1">
      <x v="103"/>
    </i>
    <i>
      <x v="9"/>
    </i>
    <i r="1">
      <x v="46"/>
    </i>
    <i r="1">
      <x v="131"/>
    </i>
    <i>
      <x v="10"/>
    </i>
    <i r="1">
      <x v="104"/>
    </i>
    <i r="1">
      <x v="135"/>
    </i>
    <i>
      <x v="11"/>
    </i>
    <i r="1">
      <x v="2"/>
    </i>
    <i r="1">
      <x v="20"/>
    </i>
    <i r="1">
      <x v="63"/>
    </i>
    <i r="1">
      <x v="71"/>
    </i>
    <i r="1">
      <x v="87"/>
    </i>
    <i r="1">
      <x v="92"/>
    </i>
    <i r="1">
      <x v="106"/>
    </i>
    <i>
      <x v="12"/>
    </i>
    <i r="1">
      <x v="3"/>
    </i>
    <i r="1">
      <x v="10"/>
    </i>
    <i r="1">
      <x v="11"/>
    </i>
    <i r="1">
      <x v="49"/>
    </i>
    <i r="1">
      <x v="57"/>
    </i>
    <i r="1">
      <x v="69"/>
    </i>
    <i r="1">
      <x v="81"/>
    </i>
    <i r="1">
      <x v="99"/>
    </i>
    <i>
      <x v="13"/>
    </i>
    <i r="1">
      <x v="14"/>
    </i>
    <i r="1">
      <x v="24"/>
    </i>
    <i r="1">
      <x v="76"/>
    </i>
    <i r="1">
      <x v="101"/>
    </i>
    <i r="1">
      <x v="126"/>
    </i>
    <i r="1">
      <x v="127"/>
    </i>
    <i>
      <x v="14"/>
    </i>
    <i r="1">
      <x v="22"/>
    </i>
    <i r="1">
      <x v="47"/>
    </i>
    <i r="1">
      <x v="60"/>
    </i>
    <i r="1">
      <x v="72"/>
    </i>
    <i>
      <x v="15"/>
    </i>
    <i r="1">
      <x v="59"/>
    </i>
    <i r="1">
      <x v="68"/>
    </i>
    <i r="1">
      <x v="105"/>
    </i>
    <i r="1">
      <x v="115"/>
    </i>
    <i r="1">
      <x v="141"/>
    </i>
    <i>
      <x v="16"/>
    </i>
    <i r="1">
      <x v="30"/>
    </i>
    <i r="1">
      <x v="40"/>
    </i>
    <i r="1">
      <x v="75"/>
    </i>
    <i r="1">
      <x v="110"/>
    </i>
    <i r="1">
      <x v="111"/>
    </i>
    <i r="1">
      <x v="138"/>
    </i>
    <i r="1">
      <x v="149"/>
    </i>
    <i>
      <x v="17"/>
    </i>
    <i r="1">
      <x v="33"/>
    </i>
    <i r="1">
      <x v="52"/>
    </i>
    <i r="1">
      <x v="73"/>
    </i>
    <i r="1">
      <x v="74"/>
    </i>
    <i r="1">
      <x v="95"/>
    </i>
    <i r="1">
      <x v="139"/>
    </i>
    <i>
      <x v="18"/>
    </i>
    <i r="1">
      <x v="23"/>
    </i>
    <i r="1">
      <x v="114"/>
    </i>
    <i r="1">
      <x v="142"/>
    </i>
    <i>
      <x v="19"/>
    </i>
    <i r="1">
      <x v="15"/>
    </i>
    <i r="1">
      <x v="25"/>
    </i>
    <i r="1">
      <x v="28"/>
    </i>
    <i r="1">
      <x v="83"/>
    </i>
    <i r="1">
      <x v="86"/>
    </i>
    <i r="1">
      <x v="93"/>
    </i>
    <i r="1">
      <x v="96"/>
    </i>
    <i r="1">
      <x v="148"/>
    </i>
    <i>
      <x v="20"/>
    </i>
    <i r="1">
      <x v="8"/>
    </i>
    <i r="1">
      <x v="31"/>
    </i>
    <i r="1">
      <x v="61"/>
    </i>
    <i r="1">
      <x v="78"/>
    </i>
    <i r="1">
      <x v="118"/>
    </i>
    <i r="1">
      <x v="130"/>
    </i>
    <i r="1">
      <x v="136"/>
    </i>
    <i>
      <x v="21"/>
    </i>
    <i r="1">
      <x v="4"/>
    </i>
    <i r="1">
      <x v="13"/>
    </i>
    <i r="1">
      <x v="19"/>
    </i>
    <i r="1">
      <x v="34"/>
    </i>
    <i r="1">
      <x v="53"/>
    </i>
    <i r="1">
      <x v="125"/>
    </i>
    <i r="1">
      <x v="134"/>
    </i>
    <i>
      <x v="22"/>
    </i>
    <i r="1">
      <x/>
    </i>
    <i r="1">
      <x v="12"/>
    </i>
    <i r="1">
      <x v="124"/>
    </i>
    <i>
      <x v="23"/>
    </i>
    <i r="1">
      <x v="36"/>
    </i>
    <i r="1">
      <x v="84"/>
    </i>
    <i r="1">
      <x v="85"/>
    </i>
    <i r="1">
      <x v="102"/>
    </i>
    <i r="1">
      <x v="107"/>
    </i>
    <i>
      <x v="24"/>
    </i>
    <i r="1">
      <x v="16"/>
    </i>
    <i r="1">
      <x v="38"/>
    </i>
    <i r="1">
      <x v="50"/>
    </i>
    <i r="1">
      <x v="62"/>
    </i>
    <i r="1">
      <x v="67"/>
    </i>
    <i r="1">
      <x v="128"/>
    </i>
    <i>
      <x v="25"/>
    </i>
    <i r="1">
      <x v="54"/>
    </i>
    <i r="1">
      <x v="64"/>
    </i>
    <i r="1">
      <x v="94"/>
    </i>
    <i>
      <x v="26"/>
    </i>
    <i r="1">
      <x v="29"/>
    </i>
    <i r="1">
      <x v="48"/>
    </i>
    <i r="1">
      <x v="88"/>
    </i>
    <i r="1">
      <x v="143"/>
    </i>
    <i>
      <x v="27"/>
    </i>
    <i r="1">
      <x v="39"/>
    </i>
    <i r="1">
      <x v="65"/>
    </i>
    <i r="1">
      <x v="91"/>
    </i>
    <i>
      <x v="28"/>
    </i>
    <i r="1">
      <x v="27"/>
    </i>
    <i r="1">
      <x v="37"/>
    </i>
    <i r="1">
      <x v="44"/>
    </i>
    <i r="1">
      <x v="77"/>
    </i>
    <i r="1">
      <x v="90"/>
    </i>
    <i r="1">
      <x v="97"/>
    </i>
    <i r="1">
      <x v="113"/>
    </i>
    <i r="1">
      <x v="121"/>
    </i>
    <i>
      <x v="29"/>
    </i>
    <i r="1">
      <x v="17"/>
    </i>
    <i r="1">
      <x v="145"/>
    </i>
    <i t="grand">
      <x/>
    </i>
  </rowItems>
  <colItems count="1">
    <i/>
  </colItems>
  <dataFields count="1">
    <dataField name="Liczba z Typ pokoju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D112C-0631-4281-932B-77A64FC197B0}" name="Tabela przestawna1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8:Q309" firstHeaderRow="1" firstDataRow="1" firstDataCol="1"/>
  <pivotFields count="9">
    <pivotField showAll="0"/>
    <pivotField axis="axisRow" showAll="0">
      <items count="31">
        <item x="5"/>
        <item x="4"/>
        <item x="23"/>
        <item x="12"/>
        <item x="9"/>
        <item x="11"/>
        <item x="14"/>
        <item x="29"/>
        <item x="22"/>
        <item x="2"/>
        <item x="18"/>
        <item x="6"/>
        <item x="10"/>
        <item x="20"/>
        <item x="19"/>
        <item x="17"/>
        <item x="7"/>
        <item x="24"/>
        <item x="28"/>
        <item x="0"/>
        <item x="8"/>
        <item x="3"/>
        <item x="21"/>
        <item x="26"/>
        <item x="16"/>
        <item x="13"/>
        <item x="25"/>
        <item x="27"/>
        <item x="1"/>
        <item x="15"/>
        <item t="default"/>
      </items>
    </pivotField>
    <pivotField axis="axisRow" showAll="0" sortType="descending">
      <items count="151">
        <item x="131"/>
        <item x="64"/>
        <item x="128"/>
        <item x="49"/>
        <item x="73"/>
        <item x="107"/>
        <item x="82"/>
        <item x="46"/>
        <item x="53"/>
        <item x="139"/>
        <item x="13"/>
        <item x="89"/>
        <item x="83"/>
        <item x="3"/>
        <item x="25"/>
        <item x="125"/>
        <item x="97"/>
        <item x="19"/>
        <item x="72"/>
        <item x="62"/>
        <item x="6"/>
        <item x="50"/>
        <item x="85"/>
        <item x="84"/>
        <item x="149"/>
        <item x="14"/>
        <item x="37"/>
        <item x="8"/>
        <item x="0"/>
        <item x="63"/>
        <item x="67"/>
        <item x="88"/>
        <item x="94"/>
        <item x="81"/>
        <item x="144"/>
        <item x="33"/>
        <item x="70"/>
        <item x="1"/>
        <item x="21"/>
        <item x="77"/>
        <item x="103"/>
        <item x="4"/>
        <item x="56"/>
        <item x="115"/>
        <item x="10"/>
        <item x="16"/>
        <item x="2"/>
        <item x="123"/>
        <item x="55"/>
        <item x="43"/>
        <item x="132"/>
        <item x="15"/>
        <item x="60"/>
        <item x="66"/>
        <item x="65"/>
        <item x="61"/>
        <item x="29"/>
        <item x="141"/>
        <item x="143"/>
        <item x="51"/>
        <item x="40"/>
        <item x="124"/>
        <item x="111"/>
        <item x="20"/>
        <item x="17"/>
        <item x="136"/>
        <item x="90"/>
        <item x="35"/>
        <item x="135"/>
        <item x="75"/>
        <item x="59"/>
        <item x="80"/>
        <item x="24"/>
        <item x="114"/>
        <item x="112"/>
        <item x="140"/>
        <item x="146"/>
        <item x="122"/>
        <item x="12"/>
        <item x="127"/>
        <item x="26"/>
        <item x="30"/>
        <item x="99"/>
        <item x="34"/>
        <item x="79"/>
        <item x="98"/>
        <item x="121"/>
        <item x="28"/>
        <item x="105"/>
        <item x="18"/>
        <item x="134"/>
        <item x="113"/>
        <item x="87"/>
        <item x="92"/>
        <item x="109"/>
        <item x="133"/>
        <item x="120"/>
        <item x="129"/>
        <item x="117"/>
        <item x="96"/>
        <item x="95"/>
        <item x="101"/>
        <item x="138"/>
        <item x="38"/>
        <item x="57"/>
        <item x="47"/>
        <item x="68"/>
        <item x="118"/>
        <item x="91"/>
        <item x="102"/>
        <item x="52"/>
        <item x="78"/>
        <item x="76"/>
        <item x="93"/>
        <item x="142"/>
        <item x="22"/>
        <item x="44"/>
        <item x="11"/>
        <item x="9"/>
        <item x="71"/>
        <item x="147"/>
        <item x="110"/>
        <item x="104"/>
        <item x="48"/>
        <item x="27"/>
        <item x="32"/>
        <item x="39"/>
        <item x="45"/>
        <item x="106"/>
        <item x="130"/>
        <item x="108"/>
        <item x="69"/>
        <item x="41"/>
        <item x="36"/>
        <item x="58"/>
        <item x="23"/>
        <item x="42"/>
        <item x="126"/>
        <item x="7"/>
        <item x="54"/>
        <item x="31"/>
        <item x="74"/>
        <item x="100"/>
        <item x="148"/>
        <item x="119"/>
        <item x="86"/>
        <item x="116"/>
        <item x="5"/>
        <item x="145"/>
        <item x="1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14" showAll="0"/>
    <pivotField showAll="0"/>
    <pivotField showAll="0"/>
    <pivotField dataField="1" showAll="0"/>
  </pivotFields>
  <rowFields count="2">
    <field x="2"/>
    <field x="1"/>
  </rowFields>
  <rowItems count="301">
    <i>
      <x v="65"/>
    </i>
    <i r="1">
      <x v="27"/>
    </i>
    <i>
      <x v="12"/>
    </i>
    <i r="1">
      <x v="22"/>
    </i>
    <i>
      <x v="82"/>
    </i>
    <i r="1">
      <x v="3"/>
    </i>
    <i>
      <x v="95"/>
    </i>
    <i r="1">
      <x v="17"/>
    </i>
    <i>
      <x v="73"/>
    </i>
    <i r="1">
      <x v="17"/>
    </i>
    <i>
      <x v="86"/>
    </i>
    <i r="1">
      <x v="19"/>
    </i>
    <i>
      <x v="6"/>
    </i>
    <i r="1">
      <x v="1"/>
    </i>
    <i>
      <x v="149"/>
    </i>
    <i r="1">
      <x v="16"/>
    </i>
    <i>
      <x v="68"/>
    </i>
    <i r="1">
      <x v="15"/>
    </i>
    <i>
      <x v="11"/>
    </i>
    <i r="1">
      <x v="12"/>
    </i>
    <i>
      <x v="128"/>
    </i>
    <i r="1">
      <x v="24"/>
    </i>
    <i>
      <x v="102"/>
    </i>
    <i r="1">
      <x v="23"/>
    </i>
    <i>
      <x v="61"/>
    </i>
    <i r="1">
      <x v="20"/>
    </i>
    <i>
      <x v="28"/>
    </i>
    <i r="1">
      <x v="19"/>
    </i>
    <i>
      <x v="57"/>
    </i>
    <i r="1">
      <x v="12"/>
    </i>
    <i>
      <x v="16"/>
    </i>
    <i r="1">
      <x v="24"/>
    </i>
    <i>
      <x v="115"/>
    </i>
    <i r="1">
      <x v="15"/>
    </i>
    <i>
      <x v="37"/>
    </i>
    <i r="1">
      <x v="28"/>
    </i>
    <i>
      <x v="83"/>
    </i>
    <i r="1">
      <x v="19"/>
    </i>
    <i>
      <x v="55"/>
    </i>
    <i r="1">
      <x v="1"/>
    </i>
    <i>
      <x v="20"/>
    </i>
    <i r="1">
      <x v="11"/>
    </i>
    <i>
      <x v="67"/>
    </i>
    <i r="1">
      <x v="24"/>
    </i>
    <i>
      <x v="32"/>
    </i>
    <i r="1">
      <x v="2"/>
    </i>
    <i>
      <x v="137"/>
    </i>
    <i r="1">
      <x v="6"/>
    </i>
    <i>
      <x v="129"/>
    </i>
    <i r="1">
      <x v="7"/>
    </i>
    <i>
      <x v="2"/>
    </i>
    <i r="1">
      <x v="11"/>
    </i>
    <i>
      <x v="100"/>
    </i>
    <i r="1">
      <x v="4"/>
    </i>
    <i>
      <x v="124"/>
    </i>
    <i r="1">
      <x v="22"/>
    </i>
    <i>
      <x v="109"/>
    </i>
    <i r="1">
      <x v="5"/>
    </i>
    <i>
      <x v="35"/>
    </i>
    <i r="1">
      <x v="3"/>
    </i>
    <i>
      <x v="54"/>
    </i>
    <i r="1">
      <x v="25"/>
    </i>
    <i>
      <x v="87"/>
    </i>
    <i r="1">
      <x v="11"/>
    </i>
    <i>
      <x v="52"/>
    </i>
    <i r="1">
      <x v="17"/>
    </i>
    <i>
      <x v="142"/>
    </i>
    <i r="1">
      <x v="18"/>
    </i>
    <i>
      <x v="1"/>
    </i>
    <i r="1">
      <x v="5"/>
    </i>
    <i>
      <x v="104"/>
    </i>
    <i r="1">
      <x v="10"/>
    </i>
    <i>
      <x v="42"/>
    </i>
    <i r="1">
      <x v="4"/>
    </i>
    <i>
      <x v="101"/>
    </i>
    <i r="1">
      <x v="13"/>
    </i>
    <i>
      <x v="80"/>
    </i>
    <i r="1">
      <x v="3"/>
    </i>
    <i>
      <x v="18"/>
    </i>
    <i r="1">
      <x v="1"/>
    </i>
    <i>
      <x v="135"/>
    </i>
    <i r="1">
      <x v="10"/>
    </i>
    <i>
      <x v="120"/>
    </i>
    <i r="1">
      <x v="6"/>
    </i>
    <i>
      <x v="34"/>
    </i>
    <i r="1">
      <x v="21"/>
    </i>
    <i>
      <x v="131"/>
    </i>
    <i r="1">
      <x v="9"/>
    </i>
    <i>
      <x v="9"/>
    </i>
    <i r="1">
      <x v="6"/>
    </i>
    <i>
      <x v="44"/>
    </i>
    <i r="1">
      <x v="28"/>
    </i>
    <i>
      <x v="144"/>
    </i>
    <i r="1">
      <x v="4"/>
    </i>
    <i>
      <x v="72"/>
    </i>
    <i r="1">
      <x v="14"/>
    </i>
    <i>
      <x v="114"/>
    </i>
    <i r="1">
      <x v="18"/>
    </i>
    <i>
      <x v="93"/>
    </i>
    <i r="1">
      <x v="19"/>
    </i>
    <i>
      <x v="98"/>
    </i>
    <i r="1">
      <x v="8"/>
    </i>
    <i>
      <x v="119"/>
    </i>
    <i r="1">
      <x/>
    </i>
    <i>
      <x v="99"/>
    </i>
    <i r="1">
      <x v="12"/>
    </i>
    <i>
      <x v="88"/>
    </i>
    <i r="1">
      <x v="26"/>
    </i>
    <i>
      <x v="58"/>
    </i>
    <i r="1">
      <x v="3"/>
    </i>
    <i>
      <x v="36"/>
    </i>
    <i r="1">
      <x v="23"/>
    </i>
    <i>
      <x v="85"/>
    </i>
    <i r="1">
      <x v="23"/>
    </i>
    <i>
      <x v="45"/>
    </i>
    <i r="1">
      <x v="3"/>
    </i>
    <i>
      <x v="64"/>
    </i>
    <i r="1">
      <x v="25"/>
    </i>
    <i>
      <x v="14"/>
    </i>
    <i r="1">
      <x v="13"/>
    </i>
    <i>
      <x v="143"/>
    </i>
    <i r="1">
      <x v="26"/>
    </i>
    <i>
      <x v="148"/>
    </i>
    <i r="1">
      <x v="19"/>
    </i>
    <i>
      <x v="106"/>
    </i>
    <i r="1">
      <x v="11"/>
    </i>
    <i>
      <x v="89"/>
    </i>
    <i r="1">
      <x v="6"/>
    </i>
    <i>
      <x v="4"/>
    </i>
    <i r="1">
      <x v="21"/>
    </i>
    <i>
      <x v="79"/>
    </i>
    <i r="1">
      <x v="6"/>
    </i>
    <i>
      <x v="53"/>
    </i>
    <i r="1">
      <x v="21"/>
    </i>
    <i>
      <x v="112"/>
    </i>
    <i r="1">
      <x/>
    </i>
    <i>
      <x v="30"/>
    </i>
    <i r="1">
      <x v="16"/>
    </i>
    <i>
      <x v="108"/>
    </i>
    <i r="1">
      <x v="3"/>
    </i>
    <i>
      <x v="8"/>
    </i>
    <i r="1">
      <x v="20"/>
    </i>
    <i>
      <x v="140"/>
    </i>
    <i r="1">
      <x v="6"/>
    </i>
    <i>
      <x/>
    </i>
    <i r="1">
      <x v="22"/>
    </i>
    <i>
      <x v="70"/>
    </i>
    <i r="1">
      <x/>
    </i>
    <i>
      <x v="125"/>
    </i>
    <i r="1">
      <x v="21"/>
    </i>
    <i>
      <x v="97"/>
    </i>
    <i r="1">
      <x v="28"/>
    </i>
    <i>
      <x v="75"/>
    </i>
    <i r="1">
      <x v="16"/>
    </i>
    <i>
      <x v="134"/>
    </i>
    <i r="1">
      <x v="21"/>
    </i>
    <i>
      <x v="77"/>
    </i>
    <i r="1">
      <x v="28"/>
    </i>
    <i>
      <x v="96"/>
    </i>
    <i r="1">
      <x v="19"/>
    </i>
    <i>
      <x v="78"/>
    </i>
    <i r="1">
      <x v="20"/>
    </i>
    <i>
      <x v="50"/>
    </i>
    <i r="1">
      <x v="24"/>
    </i>
    <i>
      <x v="38"/>
    </i>
    <i r="1">
      <x v="24"/>
    </i>
    <i>
      <x v="127"/>
    </i>
    <i r="1">
      <x v="13"/>
    </i>
    <i>
      <x v="90"/>
    </i>
    <i r="1">
      <x v="28"/>
    </i>
    <i>
      <x v="46"/>
    </i>
    <i r="1">
      <x v="9"/>
    </i>
    <i>
      <x v="47"/>
    </i>
    <i r="1">
      <x v="14"/>
    </i>
    <i>
      <x v="31"/>
    </i>
    <i r="1">
      <x v="20"/>
    </i>
    <i>
      <x v="66"/>
    </i>
    <i r="1">
      <x v="3"/>
    </i>
    <i>
      <x v="92"/>
    </i>
    <i r="1">
      <x v="11"/>
    </i>
    <i>
      <x v="39"/>
    </i>
    <i r="1">
      <x v="27"/>
    </i>
    <i>
      <x v="5"/>
    </i>
    <i r="1">
      <x v="8"/>
    </i>
    <i>
      <x v="24"/>
    </i>
    <i r="1">
      <x v="13"/>
    </i>
    <i>
      <x v="25"/>
    </i>
    <i r="1">
      <x v="19"/>
    </i>
    <i>
      <x v="111"/>
    </i>
    <i r="1">
      <x v="16"/>
    </i>
    <i>
      <x v="84"/>
    </i>
    <i r="1">
      <x v="23"/>
    </i>
    <i>
      <x v="117"/>
    </i>
    <i r="1">
      <x v="4"/>
    </i>
    <i>
      <x v="10"/>
    </i>
    <i r="1">
      <x v="12"/>
    </i>
    <i>
      <x v="3"/>
    </i>
    <i r="1">
      <x v="12"/>
    </i>
    <i>
      <x v="141"/>
    </i>
    <i r="1">
      <x v="15"/>
    </i>
    <i>
      <x v="94"/>
    </i>
    <i r="1">
      <x v="25"/>
    </i>
    <i>
      <x v="107"/>
    </i>
    <i r="1">
      <x v="23"/>
    </i>
    <i>
      <x v="49"/>
    </i>
    <i r="1">
      <x v="12"/>
    </i>
    <i>
      <x v="26"/>
    </i>
    <i r="1">
      <x v="8"/>
    </i>
    <i>
      <x v="132"/>
    </i>
    <i r="1">
      <x v="1"/>
    </i>
    <i>
      <x v="17"/>
    </i>
    <i r="1">
      <x v="29"/>
    </i>
    <i>
      <x v="138"/>
    </i>
    <i r="1">
      <x v="16"/>
    </i>
    <i>
      <x v="81"/>
    </i>
    <i r="1">
      <x v="12"/>
    </i>
    <i>
      <x v="126"/>
    </i>
    <i r="1">
      <x v="13"/>
    </i>
    <i>
      <x v="27"/>
    </i>
    <i r="1">
      <x v="28"/>
    </i>
    <i>
      <x v="63"/>
    </i>
    <i r="1">
      <x v="11"/>
    </i>
    <i>
      <x v="13"/>
    </i>
    <i r="1">
      <x v="21"/>
    </i>
    <i>
      <x v="76"/>
    </i>
    <i r="1">
      <x v="13"/>
    </i>
    <i>
      <x v="118"/>
    </i>
    <i r="1">
      <x v="20"/>
    </i>
    <i>
      <x v="103"/>
    </i>
    <i r="1">
      <x v="8"/>
    </i>
    <i>
      <x v="60"/>
    </i>
    <i r="1">
      <x v="14"/>
    </i>
    <i>
      <x v="136"/>
    </i>
    <i r="1">
      <x v="20"/>
    </i>
    <i>
      <x v="122"/>
    </i>
    <i r="1">
      <x/>
    </i>
    <i>
      <x v="33"/>
    </i>
    <i r="1">
      <x v="17"/>
    </i>
    <i>
      <x v="123"/>
    </i>
    <i r="1">
      <x v="2"/>
    </i>
    <i>
      <x v="69"/>
    </i>
    <i r="1">
      <x v="12"/>
    </i>
    <i>
      <x v="105"/>
    </i>
    <i r="1">
      <x v="15"/>
    </i>
    <i>
      <x v="21"/>
    </i>
    <i r="1">
      <x v="4"/>
    </i>
    <i>
      <x v="147"/>
    </i>
    <i r="1">
      <x/>
    </i>
    <i>
      <x v="116"/>
    </i>
    <i r="1">
      <x v="2"/>
    </i>
    <i>
      <x v="133"/>
    </i>
    <i r="1">
      <x v="4"/>
    </i>
    <i>
      <x v="41"/>
    </i>
    <i r="1">
      <x v="1"/>
    </i>
    <i>
      <x v="29"/>
    </i>
    <i r="1">
      <x v="26"/>
    </i>
    <i>
      <x v="139"/>
    </i>
    <i r="1">
      <x v="17"/>
    </i>
    <i>
      <x v="48"/>
    </i>
    <i r="1">
      <x v="26"/>
    </i>
    <i>
      <x v="56"/>
    </i>
    <i r="1">
      <x/>
    </i>
    <i>
      <x v="19"/>
    </i>
    <i r="1">
      <x v="21"/>
    </i>
    <i>
      <x v="7"/>
    </i>
    <i r="1">
      <x v="6"/>
    </i>
    <i>
      <x v="15"/>
    </i>
    <i r="1">
      <x v="19"/>
    </i>
    <i>
      <x v="40"/>
    </i>
    <i r="1">
      <x v="16"/>
    </i>
    <i>
      <x v="59"/>
    </i>
    <i r="1">
      <x v="15"/>
    </i>
    <i>
      <x v="145"/>
    </i>
    <i r="1">
      <x v="29"/>
    </i>
    <i>
      <x v="71"/>
    </i>
    <i r="1">
      <x v="11"/>
    </i>
    <i>
      <x v="22"/>
    </i>
    <i r="1">
      <x v="14"/>
    </i>
    <i>
      <x v="23"/>
    </i>
    <i r="1">
      <x v="18"/>
    </i>
    <i>
      <x v="51"/>
    </i>
    <i r="1">
      <x v="5"/>
    </i>
    <i>
      <x v="113"/>
    </i>
    <i r="1">
      <x v="28"/>
    </i>
    <i>
      <x v="110"/>
    </i>
    <i r="1">
      <x v="16"/>
    </i>
    <i>
      <x v="146"/>
    </i>
    <i r="1">
      <x v="1"/>
    </i>
    <i>
      <x v="43"/>
    </i>
    <i r="1">
      <x/>
    </i>
    <i>
      <x v="91"/>
    </i>
    <i r="1">
      <x v="27"/>
    </i>
    <i>
      <x v="121"/>
    </i>
    <i r="1">
      <x v="28"/>
    </i>
    <i>
      <x v="62"/>
    </i>
    <i r="1">
      <x v="24"/>
    </i>
    <i>
      <x v="130"/>
    </i>
    <i r="1">
      <x v="20"/>
    </i>
    <i>
      <x v="74"/>
    </i>
    <i r="1">
      <x v="17"/>
    </i>
    <i t="grand">
      <x/>
    </i>
  </rowItems>
  <colItems count="1">
    <i/>
  </colItems>
  <dataFields count="1">
    <dataField name="Suma z Cena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C9B8D-6837-4F40-80C0-6B52DE074ED0}" name="Tabela przestawna2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2:I7" firstHeaderRow="1" firstDataRow="1" firstDataCol="1"/>
  <pivotFields count="8">
    <pivotField showAll="0"/>
    <pivotField showAll="0"/>
    <pivotField dataField="1" showAll="0"/>
    <pivotField showAll="0"/>
    <pivotField numFmtId="14" showAll="0">
      <items count="24">
        <item x="0"/>
        <item x="9"/>
        <item x="1"/>
        <item x="4"/>
        <item x="3"/>
        <item x="2"/>
        <item x="5"/>
        <item x="16"/>
        <item x="6"/>
        <item x="10"/>
        <item x="11"/>
        <item x="7"/>
        <item x="12"/>
        <item x="13"/>
        <item x="8"/>
        <item x="14"/>
        <item x="15"/>
        <item x="17"/>
        <item x="18"/>
        <item x="19"/>
        <item x="20"/>
        <item x="21"/>
        <item x="22"/>
        <item t="default"/>
      </items>
    </pivotField>
    <pivotField numFmtId="1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5"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Liczba z Nazwisk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10C13-3261-46C2-A9AB-2CA229FD5D1A}" name="Tabela przestawna5" cacheId="2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S14:T19" firstHeaderRow="1" firstDataRow="1" firstDataCol="1"/>
  <pivotFields count="16">
    <pivotField showAll="0"/>
    <pivotField showAll="0"/>
    <pivotField showAll="0"/>
    <pivotField showAll="0"/>
    <pivotField numFmtId="14" showAll="0">
      <items count="24">
        <item x="0"/>
        <item x="9"/>
        <item x="1"/>
        <item x="4"/>
        <item x="3"/>
        <item x="2"/>
        <item x="5"/>
        <item x="16"/>
        <item x="6"/>
        <item x="10"/>
        <item x="11"/>
        <item x="7"/>
        <item x="12"/>
        <item x="13"/>
        <item x="8"/>
        <item x="14"/>
        <item x="15"/>
        <item x="17"/>
        <item x="18"/>
        <item x="19"/>
        <item x="20"/>
        <item x="21"/>
        <item x="2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5"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z Cena pobytu z rabatem" fld="13" baseField="0" baseItem="0"/>
  </dataFields>
  <formats count="1">
    <format dxfId="0">
      <pivotArea collapsedLevelsAreSubtotals="1" fieldPosition="0">
        <references count="1">
          <reference field="15" count="4"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1E708-62ED-455B-82BA-6FF8EC00A8E2}" name="Tabela przestawna1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8:Q309" firstHeaderRow="1" firstDataRow="1" firstDataCol="1"/>
  <pivotFields count="9">
    <pivotField showAll="0"/>
    <pivotField axis="axisRow" showAll="0">
      <items count="31">
        <item x="5"/>
        <item x="4"/>
        <item x="23"/>
        <item x="12"/>
        <item x="9"/>
        <item x="11"/>
        <item x="14"/>
        <item x="29"/>
        <item x="22"/>
        <item x="2"/>
        <item x="18"/>
        <item x="6"/>
        <item x="10"/>
        <item x="20"/>
        <item x="19"/>
        <item x="17"/>
        <item x="7"/>
        <item x="24"/>
        <item x="28"/>
        <item x="0"/>
        <item x="8"/>
        <item x="3"/>
        <item x="21"/>
        <item x="26"/>
        <item x="16"/>
        <item x="13"/>
        <item x="25"/>
        <item x="27"/>
        <item x="1"/>
        <item x="15"/>
        <item t="default"/>
      </items>
    </pivotField>
    <pivotField axis="axisRow" showAll="0" sortType="descending">
      <items count="151">
        <item x="131"/>
        <item x="64"/>
        <item x="128"/>
        <item x="49"/>
        <item x="73"/>
        <item x="107"/>
        <item x="82"/>
        <item x="46"/>
        <item x="53"/>
        <item x="139"/>
        <item x="13"/>
        <item x="89"/>
        <item x="83"/>
        <item x="3"/>
        <item x="25"/>
        <item x="125"/>
        <item x="97"/>
        <item x="19"/>
        <item x="72"/>
        <item x="62"/>
        <item x="6"/>
        <item x="50"/>
        <item x="85"/>
        <item x="84"/>
        <item x="149"/>
        <item x="14"/>
        <item x="37"/>
        <item x="8"/>
        <item x="0"/>
        <item x="63"/>
        <item x="67"/>
        <item x="88"/>
        <item x="94"/>
        <item x="81"/>
        <item x="144"/>
        <item x="33"/>
        <item x="70"/>
        <item x="1"/>
        <item x="21"/>
        <item x="77"/>
        <item x="103"/>
        <item x="4"/>
        <item x="56"/>
        <item x="115"/>
        <item x="10"/>
        <item x="16"/>
        <item x="2"/>
        <item x="123"/>
        <item x="55"/>
        <item x="43"/>
        <item x="132"/>
        <item x="15"/>
        <item x="60"/>
        <item x="66"/>
        <item x="65"/>
        <item x="61"/>
        <item x="29"/>
        <item x="141"/>
        <item x="143"/>
        <item x="51"/>
        <item x="40"/>
        <item x="124"/>
        <item x="111"/>
        <item x="20"/>
        <item x="17"/>
        <item x="136"/>
        <item x="90"/>
        <item x="35"/>
        <item x="135"/>
        <item x="75"/>
        <item x="59"/>
        <item x="80"/>
        <item x="24"/>
        <item x="114"/>
        <item x="112"/>
        <item x="140"/>
        <item x="146"/>
        <item x="122"/>
        <item x="12"/>
        <item x="127"/>
        <item x="26"/>
        <item x="30"/>
        <item x="99"/>
        <item x="34"/>
        <item x="79"/>
        <item x="98"/>
        <item x="121"/>
        <item x="28"/>
        <item x="105"/>
        <item x="18"/>
        <item x="134"/>
        <item x="113"/>
        <item x="87"/>
        <item x="92"/>
        <item x="109"/>
        <item x="133"/>
        <item x="120"/>
        <item x="129"/>
        <item x="117"/>
        <item x="96"/>
        <item x="95"/>
        <item x="101"/>
        <item x="138"/>
        <item x="38"/>
        <item x="57"/>
        <item x="47"/>
        <item x="68"/>
        <item x="118"/>
        <item x="91"/>
        <item x="102"/>
        <item x="52"/>
        <item x="78"/>
        <item x="76"/>
        <item x="93"/>
        <item x="142"/>
        <item x="22"/>
        <item x="44"/>
        <item x="11"/>
        <item x="9"/>
        <item x="71"/>
        <item x="147"/>
        <item x="110"/>
        <item x="104"/>
        <item x="48"/>
        <item x="27"/>
        <item x="32"/>
        <item x="39"/>
        <item x="45"/>
        <item x="106"/>
        <item x="130"/>
        <item x="108"/>
        <item x="69"/>
        <item x="41"/>
        <item x="36"/>
        <item x="58"/>
        <item x="23"/>
        <item x="42"/>
        <item x="126"/>
        <item x="7"/>
        <item x="54"/>
        <item x="31"/>
        <item x="74"/>
        <item x="100"/>
        <item x="148"/>
        <item x="119"/>
        <item x="86"/>
        <item x="116"/>
        <item x="5"/>
        <item x="145"/>
        <item x="1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14" showAll="0"/>
    <pivotField showAll="0"/>
    <pivotField showAll="0"/>
    <pivotField dataField="1" showAll="0"/>
  </pivotFields>
  <rowFields count="2">
    <field x="2"/>
    <field x="1"/>
  </rowFields>
  <rowItems count="301">
    <i>
      <x v="65"/>
    </i>
    <i r="1">
      <x v="27"/>
    </i>
    <i>
      <x v="12"/>
    </i>
    <i r="1">
      <x v="22"/>
    </i>
    <i>
      <x v="82"/>
    </i>
    <i r="1">
      <x v="3"/>
    </i>
    <i>
      <x v="95"/>
    </i>
    <i r="1">
      <x v="17"/>
    </i>
    <i>
      <x v="73"/>
    </i>
    <i r="1">
      <x v="17"/>
    </i>
    <i>
      <x v="86"/>
    </i>
    <i r="1">
      <x v="19"/>
    </i>
    <i>
      <x v="6"/>
    </i>
    <i r="1">
      <x v="1"/>
    </i>
    <i>
      <x v="149"/>
    </i>
    <i r="1">
      <x v="16"/>
    </i>
    <i>
      <x v="68"/>
    </i>
    <i r="1">
      <x v="15"/>
    </i>
    <i>
      <x v="11"/>
    </i>
    <i r="1">
      <x v="12"/>
    </i>
    <i>
      <x v="128"/>
    </i>
    <i r="1">
      <x v="24"/>
    </i>
    <i>
      <x v="102"/>
    </i>
    <i r="1">
      <x v="23"/>
    </i>
    <i>
      <x v="61"/>
    </i>
    <i r="1">
      <x v="20"/>
    </i>
    <i>
      <x v="28"/>
    </i>
    <i r="1">
      <x v="19"/>
    </i>
    <i>
      <x v="57"/>
    </i>
    <i r="1">
      <x v="12"/>
    </i>
    <i>
      <x v="16"/>
    </i>
    <i r="1">
      <x v="24"/>
    </i>
    <i>
      <x v="115"/>
    </i>
    <i r="1">
      <x v="15"/>
    </i>
    <i>
      <x v="37"/>
    </i>
    <i r="1">
      <x v="28"/>
    </i>
    <i>
      <x v="83"/>
    </i>
    <i r="1">
      <x v="19"/>
    </i>
    <i>
      <x v="55"/>
    </i>
    <i r="1">
      <x v="1"/>
    </i>
    <i>
      <x v="20"/>
    </i>
    <i r="1">
      <x v="11"/>
    </i>
    <i>
      <x v="67"/>
    </i>
    <i r="1">
      <x v="24"/>
    </i>
    <i>
      <x v="32"/>
    </i>
    <i r="1">
      <x v="2"/>
    </i>
    <i>
      <x v="137"/>
    </i>
    <i r="1">
      <x v="6"/>
    </i>
    <i>
      <x v="129"/>
    </i>
    <i r="1">
      <x v="7"/>
    </i>
    <i>
      <x v="2"/>
    </i>
    <i r="1">
      <x v="11"/>
    </i>
    <i>
      <x v="100"/>
    </i>
    <i r="1">
      <x v="4"/>
    </i>
    <i>
      <x v="124"/>
    </i>
    <i r="1">
      <x v="22"/>
    </i>
    <i>
      <x v="109"/>
    </i>
    <i r="1">
      <x v="5"/>
    </i>
    <i>
      <x v="35"/>
    </i>
    <i r="1">
      <x v="3"/>
    </i>
    <i>
      <x v="54"/>
    </i>
    <i r="1">
      <x v="25"/>
    </i>
    <i>
      <x v="87"/>
    </i>
    <i r="1">
      <x v="11"/>
    </i>
    <i>
      <x v="52"/>
    </i>
    <i r="1">
      <x v="17"/>
    </i>
    <i>
      <x v="142"/>
    </i>
    <i r="1">
      <x v="18"/>
    </i>
    <i>
      <x v="1"/>
    </i>
    <i r="1">
      <x v="5"/>
    </i>
    <i>
      <x v="104"/>
    </i>
    <i r="1">
      <x v="10"/>
    </i>
    <i>
      <x v="42"/>
    </i>
    <i r="1">
      <x v="4"/>
    </i>
    <i>
      <x v="101"/>
    </i>
    <i r="1">
      <x v="13"/>
    </i>
    <i>
      <x v="80"/>
    </i>
    <i r="1">
      <x v="3"/>
    </i>
    <i>
      <x v="18"/>
    </i>
    <i r="1">
      <x v="1"/>
    </i>
    <i>
      <x v="135"/>
    </i>
    <i r="1">
      <x v="10"/>
    </i>
    <i>
      <x v="120"/>
    </i>
    <i r="1">
      <x v="6"/>
    </i>
    <i>
      <x v="34"/>
    </i>
    <i r="1">
      <x v="21"/>
    </i>
    <i>
      <x v="131"/>
    </i>
    <i r="1">
      <x v="9"/>
    </i>
    <i>
      <x v="9"/>
    </i>
    <i r="1">
      <x v="6"/>
    </i>
    <i>
      <x v="44"/>
    </i>
    <i r="1">
      <x v="28"/>
    </i>
    <i>
      <x v="144"/>
    </i>
    <i r="1">
      <x v="4"/>
    </i>
    <i>
      <x v="72"/>
    </i>
    <i r="1">
      <x v="14"/>
    </i>
    <i>
      <x v="114"/>
    </i>
    <i r="1">
      <x v="18"/>
    </i>
    <i>
      <x v="93"/>
    </i>
    <i r="1">
      <x v="19"/>
    </i>
    <i>
      <x v="98"/>
    </i>
    <i r="1">
      <x v="8"/>
    </i>
    <i>
      <x v="119"/>
    </i>
    <i r="1">
      <x/>
    </i>
    <i>
      <x v="99"/>
    </i>
    <i r="1">
      <x v="12"/>
    </i>
    <i>
      <x v="88"/>
    </i>
    <i r="1">
      <x v="26"/>
    </i>
    <i>
      <x v="58"/>
    </i>
    <i r="1">
      <x v="3"/>
    </i>
    <i>
      <x v="36"/>
    </i>
    <i r="1">
      <x v="23"/>
    </i>
    <i>
      <x v="85"/>
    </i>
    <i r="1">
      <x v="23"/>
    </i>
    <i>
      <x v="45"/>
    </i>
    <i r="1">
      <x v="3"/>
    </i>
    <i>
      <x v="64"/>
    </i>
    <i r="1">
      <x v="25"/>
    </i>
    <i>
      <x v="14"/>
    </i>
    <i r="1">
      <x v="13"/>
    </i>
    <i>
      <x v="143"/>
    </i>
    <i r="1">
      <x v="26"/>
    </i>
    <i>
      <x v="148"/>
    </i>
    <i r="1">
      <x v="19"/>
    </i>
    <i>
      <x v="106"/>
    </i>
    <i r="1">
      <x v="11"/>
    </i>
    <i>
      <x v="89"/>
    </i>
    <i r="1">
      <x v="6"/>
    </i>
    <i>
      <x v="4"/>
    </i>
    <i r="1">
      <x v="21"/>
    </i>
    <i>
      <x v="79"/>
    </i>
    <i r="1">
      <x v="6"/>
    </i>
    <i>
      <x v="53"/>
    </i>
    <i r="1">
      <x v="21"/>
    </i>
    <i>
      <x v="112"/>
    </i>
    <i r="1">
      <x/>
    </i>
    <i>
      <x v="30"/>
    </i>
    <i r="1">
      <x v="16"/>
    </i>
    <i>
      <x v="108"/>
    </i>
    <i r="1">
      <x v="3"/>
    </i>
    <i>
      <x v="8"/>
    </i>
    <i r="1">
      <x v="20"/>
    </i>
    <i>
      <x v="140"/>
    </i>
    <i r="1">
      <x v="6"/>
    </i>
    <i>
      <x/>
    </i>
    <i r="1">
      <x v="22"/>
    </i>
    <i>
      <x v="70"/>
    </i>
    <i r="1">
      <x/>
    </i>
    <i>
      <x v="125"/>
    </i>
    <i r="1">
      <x v="21"/>
    </i>
    <i>
      <x v="97"/>
    </i>
    <i r="1">
      <x v="28"/>
    </i>
    <i>
      <x v="75"/>
    </i>
    <i r="1">
      <x v="16"/>
    </i>
    <i>
      <x v="134"/>
    </i>
    <i r="1">
      <x v="21"/>
    </i>
    <i>
      <x v="77"/>
    </i>
    <i r="1">
      <x v="28"/>
    </i>
    <i>
      <x v="96"/>
    </i>
    <i r="1">
      <x v="19"/>
    </i>
    <i>
      <x v="78"/>
    </i>
    <i r="1">
      <x v="20"/>
    </i>
    <i>
      <x v="50"/>
    </i>
    <i r="1">
      <x v="24"/>
    </i>
    <i>
      <x v="38"/>
    </i>
    <i r="1">
      <x v="24"/>
    </i>
    <i>
      <x v="127"/>
    </i>
    <i r="1">
      <x v="13"/>
    </i>
    <i>
      <x v="90"/>
    </i>
    <i r="1">
      <x v="28"/>
    </i>
    <i>
      <x v="46"/>
    </i>
    <i r="1">
      <x v="9"/>
    </i>
    <i>
      <x v="47"/>
    </i>
    <i r="1">
      <x v="14"/>
    </i>
    <i>
      <x v="31"/>
    </i>
    <i r="1">
      <x v="20"/>
    </i>
    <i>
      <x v="66"/>
    </i>
    <i r="1">
      <x v="3"/>
    </i>
    <i>
      <x v="92"/>
    </i>
    <i r="1">
      <x v="11"/>
    </i>
    <i>
      <x v="39"/>
    </i>
    <i r="1">
      <x v="27"/>
    </i>
    <i>
      <x v="5"/>
    </i>
    <i r="1">
      <x v="8"/>
    </i>
    <i>
      <x v="24"/>
    </i>
    <i r="1">
      <x v="13"/>
    </i>
    <i>
      <x v="25"/>
    </i>
    <i r="1">
      <x v="19"/>
    </i>
    <i>
      <x v="111"/>
    </i>
    <i r="1">
      <x v="16"/>
    </i>
    <i>
      <x v="84"/>
    </i>
    <i r="1">
      <x v="23"/>
    </i>
    <i>
      <x v="117"/>
    </i>
    <i r="1">
      <x v="4"/>
    </i>
    <i>
      <x v="10"/>
    </i>
    <i r="1">
      <x v="12"/>
    </i>
    <i>
      <x v="3"/>
    </i>
    <i r="1">
      <x v="12"/>
    </i>
    <i>
      <x v="141"/>
    </i>
    <i r="1">
      <x v="15"/>
    </i>
    <i>
      <x v="94"/>
    </i>
    <i r="1">
      <x v="25"/>
    </i>
    <i>
      <x v="107"/>
    </i>
    <i r="1">
      <x v="23"/>
    </i>
    <i>
      <x v="49"/>
    </i>
    <i r="1">
      <x v="12"/>
    </i>
    <i>
      <x v="26"/>
    </i>
    <i r="1">
      <x v="8"/>
    </i>
    <i>
      <x v="132"/>
    </i>
    <i r="1">
      <x v="1"/>
    </i>
    <i>
      <x v="17"/>
    </i>
    <i r="1">
      <x v="29"/>
    </i>
    <i>
      <x v="138"/>
    </i>
    <i r="1">
      <x v="16"/>
    </i>
    <i>
      <x v="81"/>
    </i>
    <i r="1">
      <x v="12"/>
    </i>
    <i>
      <x v="126"/>
    </i>
    <i r="1">
      <x v="13"/>
    </i>
    <i>
      <x v="27"/>
    </i>
    <i r="1">
      <x v="28"/>
    </i>
    <i>
      <x v="63"/>
    </i>
    <i r="1">
      <x v="11"/>
    </i>
    <i>
      <x v="13"/>
    </i>
    <i r="1">
      <x v="21"/>
    </i>
    <i>
      <x v="76"/>
    </i>
    <i r="1">
      <x v="13"/>
    </i>
    <i>
      <x v="118"/>
    </i>
    <i r="1">
      <x v="20"/>
    </i>
    <i>
      <x v="103"/>
    </i>
    <i r="1">
      <x v="8"/>
    </i>
    <i>
      <x v="60"/>
    </i>
    <i r="1">
      <x v="14"/>
    </i>
    <i>
      <x v="136"/>
    </i>
    <i r="1">
      <x v="20"/>
    </i>
    <i>
      <x v="122"/>
    </i>
    <i r="1">
      <x/>
    </i>
    <i>
      <x v="33"/>
    </i>
    <i r="1">
      <x v="17"/>
    </i>
    <i>
      <x v="123"/>
    </i>
    <i r="1">
      <x v="2"/>
    </i>
    <i>
      <x v="69"/>
    </i>
    <i r="1">
      <x v="12"/>
    </i>
    <i>
      <x v="105"/>
    </i>
    <i r="1">
      <x v="15"/>
    </i>
    <i>
      <x v="21"/>
    </i>
    <i r="1">
      <x v="4"/>
    </i>
    <i>
      <x v="147"/>
    </i>
    <i r="1">
      <x/>
    </i>
    <i>
      <x v="116"/>
    </i>
    <i r="1">
      <x v="2"/>
    </i>
    <i>
      <x v="133"/>
    </i>
    <i r="1">
      <x v="4"/>
    </i>
    <i>
      <x v="41"/>
    </i>
    <i r="1">
      <x v="1"/>
    </i>
    <i>
      <x v="29"/>
    </i>
    <i r="1">
      <x v="26"/>
    </i>
    <i>
      <x v="139"/>
    </i>
    <i r="1">
      <x v="17"/>
    </i>
    <i>
      <x v="48"/>
    </i>
    <i r="1">
      <x v="26"/>
    </i>
    <i>
      <x v="56"/>
    </i>
    <i r="1">
      <x/>
    </i>
    <i>
      <x v="19"/>
    </i>
    <i r="1">
      <x v="21"/>
    </i>
    <i>
      <x v="7"/>
    </i>
    <i r="1">
      <x v="6"/>
    </i>
    <i>
      <x v="15"/>
    </i>
    <i r="1">
      <x v="19"/>
    </i>
    <i>
      <x v="40"/>
    </i>
    <i r="1">
      <x v="16"/>
    </i>
    <i>
      <x v="59"/>
    </i>
    <i r="1">
      <x v="15"/>
    </i>
    <i>
      <x v="145"/>
    </i>
    <i r="1">
      <x v="29"/>
    </i>
    <i>
      <x v="71"/>
    </i>
    <i r="1">
      <x v="11"/>
    </i>
    <i>
      <x v="22"/>
    </i>
    <i r="1">
      <x v="14"/>
    </i>
    <i>
      <x v="23"/>
    </i>
    <i r="1">
      <x v="18"/>
    </i>
    <i>
      <x v="51"/>
    </i>
    <i r="1">
      <x v="5"/>
    </i>
    <i>
      <x v="113"/>
    </i>
    <i r="1">
      <x v="28"/>
    </i>
    <i>
      <x v="110"/>
    </i>
    <i r="1">
      <x v="16"/>
    </i>
    <i>
      <x v="146"/>
    </i>
    <i r="1">
      <x v="1"/>
    </i>
    <i>
      <x v="43"/>
    </i>
    <i r="1">
      <x/>
    </i>
    <i>
      <x v="91"/>
    </i>
    <i r="1">
      <x v="27"/>
    </i>
    <i>
      <x v="121"/>
    </i>
    <i r="1">
      <x v="28"/>
    </i>
    <i>
      <x v="62"/>
    </i>
    <i r="1">
      <x v="24"/>
    </i>
    <i>
      <x v="130"/>
    </i>
    <i r="1">
      <x v="20"/>
    </i>
    <i>
      <x v="74"/>
    </i>
    <i r="1">
      <x v="17"/>
    </i>
    <i t="grand">
      <x/>
    </i>
  </rowItems>
  <colItems count="1">
    <i/>
  </colItems>
  <dataFields count="1">
    <dataField name="Suma z Cena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9703B-407B-4075-B9AD-967CB9192C97}" name="Tabela przestawna3" cacheId="1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H2:I7" firstHeaderRow="1" firstDataRow="1" firstDataCol="1"/>
  <pivotFields count="8">
    <pivotField showAll="0"/>
    <pivotField showAll="0"/>
    <pivotField showAll="0"/>
    <pivotField dataField="1" showAll="0"/>
    <pivotField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umFmtId="1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5"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z Typ pokoju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401A-EB7E-472B-83D1-B077C36DFC7A}">
  <dimension ref="A1:F201"/>
  <sheetViews>
    <sheetView zoomScale="160" zoomScaleNormal="160" workbookViewId="0"/>
  </sheetViews>
  <sheetFormatPr defaultRowHeight="15" x14ac:dyDescent="0.25"/>
  <cols>
    <col min="1" max="1" width="5.85546875" bestFit="1" customWidth="1"/>
    <col min="2" max="2" width="10.85546875" bestFit="1" customWidth="1"/>
    <col min="3" max="3" width="14.85546875" bestFit="1" customWidth="1"/>
    <col min="4" max="4" width="13" bestFit="1" customWidth="1"/>
    <col min="5" max="5" width="11" bestFit="1" customWidth="1"/>
    <col min="6" max="6" width="10.5703125" bestFit="1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7">
        <v>1</v>
      </c>
      <c r="B2" s="8" t="s">
        <v>6</v>
      </c>
      <c r="C2" s="8" t="s">
        <v>7</v>
      </c>
      <c r="D2" s="9">
        <v>2</v>
      </c>
      <c r="E2" s="10">
        <v>45778</v>
      </c>
      <c r="F2" s="11">
        <v>45780</v>
      </c>
    </row>
    <row r="3" spans="1:6" x14ac:dyDescent="0.25">
      <c r="A3" s="12">
        <v>2</v>
      </c>
      <c r="B3" s="13" t="s">
        <v>8</v>
      </c>
      <c r="C3" s="13" t="s">
        <v>9</v>
      </c>
      <c r="D3" s="14">
        <v>3</v>
      </c>
      <c r="E3" s="15">
        <v>45787</v>
      </c>
      <c r="F3" s="16">
        <v>45792</v>
      </c>
    </row>
    <row r="4" spans="1:6" x14ac:dyDescent="0.25">
      <c r="A4" s="7">
        <v>3</v>
      </c>
      <c r="B4" s="8" t="s">
        <v>10</v>
      </c>
      <c r="C4" s="8" t="s">
        <v>11</v>
      </c>
      <c r="D4" s="9">
        <v>2</v>
      </c>
      <c r="E4" s="10">
        <v>45809</v>
      </c>
      <c r="F4" s="11">
        <v>45812</v>
      </c>
    </row>
    <row r="5" spans="1:6" x14ac:dyDescent="0.25">
      <c r="A5" s="12">
        <v>4</v>
      </c>
      <c r="B5" s="13" t="s">
        <v>12</v>
      </c>
      <c r="C5" s="13" t="s">
        <v>13</v>
      </c>
      <c r="D5" s="14">
        <v>2</v>
      </c>
      <c r="E5" s="15">
        <v>45803</v>
      </c>
      <c r="F5" s="16">
        <v>45805</v>
      </c>
    </row>
    <row r="6" spans="1:6" x14ac:dyDescent="0.25">
      <c r="A6" s="7">
        <v>5</v>
      </c>
      <c r="B6" s="8" t="s">
        <v>14</v>
      </c>
      <c r="C6" s="8" t="s">
        <v>15</v>
      </c>
      <c r="D6" s="9">
        <v>1</v>
      </c>
      <c r="E6" s="10">
        <v>45795</v>
      </c>
      <c r="F6" s="11">
        <v>45798</v>
      </c>
    </row>
    <row r="7" spans="1:6" x14ac:dyDescent="0.25">
      <c r="A7" s="12">
        <v>6</v>
      </c>
      <c r="B7" s="13" t="s">
        <v>16</v>
      </c>
      <c r="C7" s="13" t="s">
        <v>17</v>
      </c>
      <c r="D7" s="14">
        <v>3</v>
      </c>
      <c r="E7" s="15">
        <v>45816</v>
      </c>
      <c r="F7" s="16">
        <v>45817</v>
      </c>
    </row>
    <row r="8" spans="1:6" x14ac:dyDescent="0.25">
      <c r="A8" s="7">
        <v>7</v>
      </c>
      <c r="B8" s="8" t="s">
        <v>18</v>
      </c>
      <c r="C8" s="8" t="s">
        <v>19</v>
      </c>
      <c r="D8" s="9">
        <v>3</v>
      </c>
      <c r="E8" s="10">
        <v>45787</v>
      </c>
      <c r="F8" s="11">
        <v>45792</v>
      </c>
    </row>
    <row r="9" spans="1:6" x14ac:dyDescent="0.25">
      <c r="A9" s="12">
        <v>8</v>
      </c>
      <c r="B9" s="13" t="s">
        <v>20</v>
      </c>
      <c r="C9" s="13" t="s">
        <v>21</v>
      </c>
      <c r="D9" s="14">
        <v>2</v>
      </c>
      <c r="E9" s="15">
        <v>45825</v>
      </c>
      <c r="F9" s="16">
        <v>45827</v>
      </c>
    </row>
    <row r="10" spans="1:6" x14ac:dyDescent="0.25">
      <c r="A10" s="7">
        <v>9</v>
      </c>
      <c r="B10" s="8" t="s">
        <v>8</v>
      </c>
      <c r="C10" s="8" t="s">
        <v>22</v>
      </c>
      <c r="D10" s="9">
        <v>2</v>
      </c>
      <c r="E10" s="10">
        <v>45839</v>
      </c>
      <c r="F10" s="11">
        <v>45841</v>
      </c>
    </row>
    <row r="11" spans="1:6" x14ac:dyDescent="0.25">
      <c r="A11" s="12">
        <v>10</v>
      </c>
      <c r="B11" s="13" t="s">
        <v>23</v>
      </c>
      <c r="C11" s="13" t="s">
        <v>24</v>
      </c>
      <c r="D11" s="14">
        <v>2</v>
      </c>
      <c r="E11" s="15">
        <v>45778</v>
      </c>
      <c r="F11" s="16">
        <v>45780</v>
      </c>
    </row>
    <row r="12" spans="1:6" x14ac:dyDescent="0.25">
      <c r="A12" s="7">
        <v>11</v>
      </c>
      <c r="B12" s="8" t="s">
        <v>8</v>
      </c>
      <c r="C12" s="8" t="s">
        <v>25</v>
      </c>
      <c r="D12" s="9">
        <v>4</v>
      </c>
      <c r="E12" s="10">
        <v>45853</v>
      </c>
      <c r="F12" s="11">
        <v>45856</v>
      </c>
    </row>
    <row r="13" spans="1:6" x14ac:dyDescent="0.25">
      <c r="A13" s="12">
        <v>12</v>
      </c>
      <c r="B13" s="13" t="s">
        <v>26</v>
      </c>
      <c r="C13" s="13" t="s">
        <v>27</v>
      </c>
      <c r="D13" s="14">
        <v>1</v>
      </c>
      <c r="E13" s="15">
        <v>45782</v>
      </c>
      <c r="F13" s="16">
        <v>45786</v>
      </c>
    </row>
    <row r="14" spans="1:6" x14ac:dyDescent="0.25">
      <c r="A14" s="7">
        <v>13</v>
      </c>
      <c r="B14" s="8" t="s">
        <v>23</v>
      </c>
      <c r="C14" s="8" t="s">
        <v>28</v>
      </c>
      <c r="D14" s="9">
        <v>2</v>
      </c>
      <c r="E14" s="10">
        <v>45809</v>
      </c>
      <c r="F14" s="11">
        <v>45812</v>
      </c>
    </row>
    <row r="15" spans="1:6" x14ac:dyDescent="0.25">
      <c r="A15" s="12">
        <v>14</v>
      </c>
      <c r="B15" s="13" t="s">
        <v>29</v>
      </c>
      <c r="C15" s="13" t="s">
        <v>30</v>
      </c>
      <c r="D15" s="14">
        <v>1</v>
      </c>
      <c r="E15" s="15">
        <v>45782</v>
      </c>
      <c r="F15" s="16">
        <v>45786</v>
      </c>
    </row>
    <row r="16" spans="1:6" x14ac:dyDescent="0.25">
      <c r="A16" s="7">
        <v>15</v>
      </c>
      <c r="B16" s="8" t="s">
        <v>6</v>
      </c>
      <c r="C16" s="8" t="s">
        <v>31</v>
      </c>
      <c r="D16" s="9">
        <v>1</v>
      </c>
      <c r="E16" s="10">
        <v>45782</v>
      </c>
      <c r="F16" s="11">
        <v>45786</v>
      </c>
    </row>
    <row r="17" spans="1:6" x14ac:dyDescent="0.25">
      <c r="A17" s="12">
        <v>16</v>
      </c>
      <c r="B17" s="13" t="s">
        <v>32</v>
      </c>
      <c r="C17" s="13" t="s">
        <v>33</v>
      </c>
      <c r="D17" s="14">
        <v>1</v>
      </c>
      <c r="E17" s="15">
        <v>45778</v>
      </c>
      <c r="F17" s="16">
        <v>45780</v>
      </c>
    </row>
    <row r="18" spans="1:6" x14ac:dyDescent="0.25">
      <c r="A18" s="7">
        <v>17</v>
      </c>
      <c r="B18" s="8" t="s">
        <v>34</v>
      </c>
      <c r="C18" s="8" t="s">
        <v>35</v>
      </c>
      <c r="D18" s="9">
        <v>2</v>
      </c>
      <c r="E18" s="10">
        <v>45782</v>
      </c>
      <c r="F18" s="11">
        <v>45786</v>
      </c>
    </row>
    <row r="19" spans="1:6" x14ac:dyDescent="0.25">
      <c r="A19" s="12">
        <v>18</v>
      </c>
      <c r="B19" s="13" t="s">
        <v>36</v>
      </c>
      <c r="C19" s="13" t="s">
        <v>37</v>
      </c>
      <c r="D19" s="14">
        <v>2</v>
      </c>
      <c r="E19" s="15">
        <v>45782</v>
      </c>
      <c r="F19" s="16">
        <v>45786</v>
      </c>
    </row>
    <row r="20" spans="1:6" x14ac:dyDescent="0.25">
      <c r="A20" s="7">
        <v>19</v>
      </c>
      <c r="B20" s="8" t="s">
        <v>38</v>
      </c>
      <c r="C20" s="8" t="s">
        <v>39</v>
      </c>
      <c r="D20" s="9">
        <v>2</v>
      </c>
      <c r="E20" s="10">
        <v>45782</v>
      </c>
      <c r="F20" s="11">
        <v>45786</v>
      </c>
    </row>
    <row r="21" spans="1:6" x14ac:dyDescent="0.25">
      <c r="A21" s="12">
        <v>20</v>
      </c>
      <c r="B21" s="13" t="s">
        <v>40</v>
      </c>
      <c r="C21" s="13" t="s">
        <v>41</v>
      </c>
      <c r="D21" s="14">
        <v>2</v>
      </c>
      <c r="E21" s="15">
        <v>45839</v>
      </c>
      <c r="F21" s="16">
        <v>45841</v>
      </c>
    </row>
    <row r="22" spans="1:6" x14ac:dyDescent="0.25">
      <c r="A22" s="7">
        <v>21</v>
      </c>
      <c r="B22" s="8" t="s">
        <v>18</v>
      </c>
      <c r="C22" s="8" t="s">
        <v>42</v>
      </c>
      <c r="D22" s="9">
        <v>2</v>
      </c>
      <c r="E22" s="10">
        <v>45825</v>
      </c>
      <c r="F22" s="11">
        <v>45827</v>
      </c>
    </row>
    <row r="23" spans="1:6" x14ac:dyDescent="0.25">
      <c r="A23" s="12">
        <v>22</v>
      </c>
      <c r="B23" s="13" t="s">
        <v>43</v>
      </c>
      <c r="C23" s="13" t="s">
        <v>44</v>
      </c>
      <c r="D23" s="14">
        <v>2</v>
      </c>
      <c r="E23" s="15">
        <v>45809</v>
      </c>
      <c r="F23" s="16">
        <v>45812</v>
      </c>
    </row>
    <row r="24" spans="1:6" x14ac:dyDescent="0.25">
      <c r="A24" s="7">
        <v>23</v>
      </c>
      <c r="B24" s="8" t="s">
        <v>45</v>
      </c>
      <c r="C24" s="8" t="s">
        <v>46</v>
      </c>
      <c r="D24" s="9">
        <v>3</v>
      </c>
      <c r="E24" s="10">
        <v>45787</v>
      </c>
      <c r="F24" s="11">
        <v>45792</v>
      </c>
    </row>
    <row r="25" spans="1:6" x14ac:dyDescent="0.25">
      <c r="A25" s="12">
        <v>24</v>
      </c>
      <c r="B25" s="13" t="s">
        <v>47</v>
      </c>
      <c r="C25" s="13" t="s">
        <v>48</v>
      </c>
      <c r="D25" s="14">
        <v>4</v>
      </c>
      <c r="E25" s="15">
        <v>45853</v>
      </c>
      <c r="F25" s="16">
        <v>45856</v>
      </c>
    </row>
    <row r="26" spans="1:6" x14ac:dyDescent="0.25">
      <c r="A26" s="7">
        <v>25</v>
      </c>
      <c r="B26" s="8" t="s">
        <v>49</v>
      </c>
      <c r="C26" s="8" t="s">
        <v>50</v>
      </c>
      <c r="D26" s="9">
        <v>2</v>
      </c>
      <c r="E26" s="10">
        <v>45782</v>
      </c>
      <c r="F26" s="11">
        <v>45786</v>
      </c>
    </row>
    <row r="27" spans="1:6" x14ac:dyDescent="0.25">
      <c r="A27" s="12">
        <v>26</v>
      </c>
      <c r="B27" s="13" t="s">
        <v>51</v>
      </c>
      <c r="C27" s="13" t="s">
        <v>52</v>
      </c>
      <c r="D27" s="14">
        <v>2</v>
      </c>
      <c r="E27" s="15">
        <v>45782</v>
      </c>
      <c r="F27" s="16">
        <v>45786</v>
      </c>
    </row>
    <row r="28" spans="1:6" x14ac:dyDescent="0.25">
      <c r="A28" s="7">
        <v>27</v>
      </c>
      <c r="B28" s="8" t="s">
        <v>34</v>
      </c>
      <c r="C28" s="8" t="s">
        <v>53</v>
      </c>
      <c r="D28" s="9">
        <v>3</v>
      </c>
      <c r="E28" s="10">
        <v>45782</v>
      </c>
      <c r="F28" s="11">
        <v>45786</v>
      </c>
    </row>
    <row r="29" spans="1:6" x14ac:dyDescent="0.25">
      <c r="A29" s="12">
        <v>28</v>
      </c>
      <c r="B29" s="13" t="s">
        <v>54</v>
      </c>
      <c r="C29" s="13" t="s">
        <v>55</v>
      </c>
      <c r="D29" s="14">
        <v>3</v>
      </c>
      <c r="E29" s="15">
        <v>45782</v>
      </c>
      <c r="F29" s="16">
        <v>45786</v>
      </c>
    </row>
    <row r="30" spans="1:6" x14ac:dyDescent="0.25">
      <c r="A30" s="7">
        <v>29</v>
      </c>
      <c r="B30" s="8" t="s">
        <v>18</v>
      </c>
      <c r="C30" s="8" t="s">
        <v>56</v>
      </c>
      <c r="D30" s="9">
        <v>3</v>
      </c>
      <c r="E30" s="10">
        <v>45782</v>
      </c>
      <c r="F30" s="11">
        <v>45786</v>
      </c>
    </row>
    <row r="31" spans="1:6" x14ac:dyDescent="0.25">
      <c r="A31" s="12">
        <v>30</v>
      </c>
      <c r="B31" s="13" t="s">
        <v>16</v>
      </c>
      <c r="C31" s="13" t="s">
        <v>57</v>
      </c>
      <c r="D31" s="14">
        <v>1</v>
      </c>
      <c r="E31" s="15">
        <v>45853</v>
      </c>
      <c r="F31" s="16">
        <v>45856</v>
      </c>
    </row>
    <row r="32" spans="1:6" x14ac:dyDescent="0.25">
      <c r="A32" s="7">
        <v>31</v>
      </c>
      <c r="B32" s="8" t="s">
        <v>29</v>
      </c>
      <c r="C32" s="8" t="s">
        <v>58</v>
      </c>
      <c r="D32" s="9">
        <v>2</v>
      </c>
      <c r="E32" s="10">
        <v>45839</v>
      </c>
      <c r="F32" s="11">
        <v>45841</v>
      </c>
    </row>
    <row r="33" spans="1:6" x14ac:dyDescent="0.25">
      <c r="A33" s="12">
        <v>32</v>
      </c>
      <c r="B33" s="13" t="s">
        <v>38</v>
      </c>
      <c r="C33" s="13" t="s">
        <v>59</v>
      </c>
      <c r="D33" s="14">
        <v>4</v>
      </c>
      <c r="E33" s="15">
        <v>45825</v>
      </c>
      <c r="F33" s="16">
        <v>45827</v>
      </c>
    </row>
    <row r="34" spans="1:6" x14ac:dyDescent="0.25">
      <c r="A34" s="7">
        <v>33</v>
      </c>
      <c r="B34" s="8" t="s">
        <v>12</v>
      </c>
      <c r="C34" s="8" t="s">
        <v>60</v>
      </c>
      <c r="D34" s="9">
        <v>2</v>
      </c>
      <c r="E34" s="10">
        <v>45809</v>
      </c>
      <c r="F34" s="11">
        <v>45812</v>
      </c>
    </row>
    <row r="35" spans="1:6" x14ac:dyDescent="0.25">
      <c r="A35" s="12">
        <v>34</v>
      </c>
      <c r="B35" s="13" t="s">
        <v>34</v>
      </c>
      <c r="C35" s="13" t="s">
        <v>61</v>
      </c>
      <c r="D35" s="14">
        <v>3</v>
      </c>
      <c r="E35" s="15">
        <v>45782</v>
      </c>
      <c r="F35" s="16">
        <v>45786</v>
      </c>
    </row>
    <row r="36" spans="1:6" x14ac:dyDescent="0.25">
      <c r="A36" s="7">
        <v>35</v>
      </c>
      <c r="B36" s="8" t="s">
        <v>6</v>
      </c>
      <c r="C36" s="8" t="s">
        <v>62</v>
      </c>
      <c r="D36" s="9">
        <v>4</v>
      </c>
      <c r="E36" s="10">
        <v>45782</v>
      </c>
      <c r="F36" s="11">
        <v>45786</v>
      </c>
    </row>
    <row r="37" spans="1:6" x14ac:dyDescent="0.25">
      <c r="A37" s="12">
        <v>36</v>
      </c>
      <c r="B37" s="13" t="s">
        <v>43</v>
      </c>
      <c r="C37" s="13" t="s">
        <v>63</v>
      </c>
      <c r="D37" s="14">
        <v>4</v>
      </c>
      <c r="E37" s="15">
        <v>45782</v>
      </c>
      <c r="F37" s="16">
        <v>45786</v>
      </c>
    </row>
    <row r="38" spans="1:6" x14ac:dyDescent="0.25">
      <c r="A38" s="7">
        <v>37</v>
      </c>
      <c r="B38" s="8" t="s">
        <v>26</v>
      </c>
      <c r="C38" s="8" t="s">
        <v>64</v>
      </c>
      <c r="D38" s="9">
        <v>1</v>
      </c>
      <c r="E38" s="10">
        <v>45795</v>
      </c>
      <c r="F38" s="11">
        <v>45798</v>
      </c>
    </row>
    <row r="39" spans="1:6" x14ac:dyDescent="0.25">
      <c r="A39" s="12">
        <v>38</v>
      </c>
      <c r="B39" s="13" t="s">
        <v>65</v>
      </c>
      <c r="C39" s="13" t="s">
        <v>66</v>
      </c>
      <c r="D39" s="14">
        <v>2</v>
      </c>
      <c r="E39" s="15">
        <v>45803</v>
      </c>
      <c r="F39" s="16">
        <v>45805</v>
      </c>
    </row>
    <row r="40" spans="1:6" x14ac:dyDescent="0.25">
      <c r="A40" s="7">
        <v>39</v>
      </c>
      <c r="B40" s="8" t="s">
        <v>65</v>
      </c>
      <c r="C40" s="8" t="s">
        <v>67</v>
      </c>
      <c r="D40" s="9">
        <v>2</v>
      </c>
      <c r="E40" s="10">
        <v>45825</v>
      </c>
      <c r="F40" s="11">
        <v>45827</v>
      </c>
    </row>
    <row r="41" spans="1:6" x14ac:dyDescent="0.25">
      <c r="A41" s="12">
        <v>40</v>
      </c>
      <c r="B41" s="13" t="s">
        <v>51</v>
      </c>
      <c r="C41" s="13" t="s">
        <v>68</v>
      </c>
      <c r="D41" s="14">
        <v>2</v>
      </c>
      <c r="E41" s="15">
        <v>45828</v>
      </c>
      <c r="F41" s="16">
        <v>45830</v>
      </c>
    </row>
    <row r="42" spans="1:6" x14ac:dyDescent="0.25">
      <c r="A42" s="7">
        <v>41</v>
      </c>
      <c r="B42" s="8" t="s">
        <v>49</v>
      </c>
      <c r="C42" s="8" t="s">
        <v>69</v>
      </c>
      <c r="D42" s="9">
        <v>2</v>
      </c>
      <c r="E42" s="10">
        <v>45828</v>
      </c>
      <c r="F42" s="11">
        <v>45830</v>
      </c>
    </row>
    <row r="43" spans="1:6" x14ac:dyDescent="0.25">
      <c r="A43" s="12">
        <v>42</v>
      </c>
      <c r="B43" s="13" t="s">
        <v>14</v>
      </c>
      <c r="C43" s="13" t="s">
        <v>70</v>
      </c>
      <c r="D43" s="14">
        <v>2</v>
      </c>
      <c r="E43" s="15">
        <v>45828</v>
      </c>
      <c r="F43" s="16">
        <v>45830</v>
      </c>
    </row>
    <row r="44" spans="1:6" x14ac:dyDescent="0.25">
      <c r="A44" s="7">
        <v>43</v>
      </c>
      <c r="B44" s="8" t="s">
        <v>23</v>
      </c>
      <c r="C44" s="8" t="s">
        <v>71</v>
      </c>
      <c r="D44" s="9">
        <v>2</v>
      </c>
      <c r="E44" s="10">
        <v>45828</v>
      </c>
      <c r="F44" s="11">
        <v>45830</v>
      </c>
    </row>
    <row r="45" spans="1:6" x14ac:dyDescent="0.25">
      <c r="A45" s="12">
        <v>44</v>
      </c>
      <c r="B45" s="13" t="s">
        <v>29</v>
      </c>
      <c r="C45" s="13" t="s">
        <v>72</v>
      </c>
      <c r="D45" s="14">
        <v>2</v>
      </c>
      <c r="E45" s="15">
        <v>45828</v>
      </c>
      <c r="F45" s="16">
        <v>45830</v>
      </c>
    </row>
    <row r="46" spans="1:6" x14ac:dyDescent="0.25">
      <c r="A46" s="7">
        <v>45</v>
      </c>
      <c r="B46" s="8" t="s">
        <v>73</v>
      </c>
      <c r="C46" s="8" t="s">
        <v>74</v>
      </c>
      <c r="D46" s="9">
        <v>1</v>
      </c>
      <c r="E46" s="10">
        <v>45853</v>
      </c>
      <c r="F46" s="11">
        <v>45856</v>
      </c>
    </row>
    <row r="47" spans="1:6" x14ac:dyDescent="0.25">
      <c r="A47" s="12">
        <v>46</v>
      </c>
      <c r="B47" s="13" t="s">
        <v>51</v>
      </c>
      <c r="C47" s="13" t="s">
        <v>75</v>
      </c>
      <c r="D47" s="14">
        <v>2</v>
      </c>
      <c r="E47" s="15">
        <v>45809</v>
      </c>
      <c r="F47" s="16">
        <v>45812</v>
      </c>
    </row>
    <row r="48" spans="1:6" x14ac:dyDescent="0.25">
      <c r="A48" s="7">
        <v>47</v>
      </c>
      <c r="B48" s="8" t="s">
        <v>38</v>
      </c>
      <c r="C48" s="8" t="s">
        <v>76</v>
      </c>
      <c r="D48" s="9">
        <v>3</v>
      </c>
      <c r="E48" s="10">
        <v>45816</v>
      </c>
      <c r="F48" s="11">
        <v>45817</v>
      </c>
    </row>
    <row r="49" spans="1:6" x14ac:dyDescent="0.25">
      <c r="A49" s="12">
        <v>48</v>
      </c>
      <c r="B49" s="13" t="s">
        <v>45</v>
      </c>
      <c r="C49" s="13" t="s">
        <v>77</v>
      </c>
      <c r="D49" s="14">
        <v>2</v>
      </c>
      <c r="E49" s="15">
        <v>45803</v>
      </c>
      <c r="F49" s="16">
        <v>45805</v>
      </c>
    </row>
    <row r="50" spans="1:6" x14ac:dyDescent="0.25">
      <c r="A50" s="7">
        <v>49</v>
      </c>
      <c r="B50" s="8" t="s">
        <v>73</v>
      </c>
      <c r="C50" s="8" t="s">
        <v>78</v>
      </c>
      <c r="D50" s="9">
        <v>2</v>
      </c>
      <c r="E50" s="10">
        <v>45828</v>
      </c>
      <c r="F50" s="11">
        <v>45830</v>
      </c>
    </row>
    <row r="51" spans="1:6" x14ac:dyDescent="0.25">
      <c r="A51" s="12">
        <v>50</v>
      </c>
      <c r="B51" s="13" t="s">
        <v>29</v>
      </c>
      <c r="C51" s="13" t="s">
        <v>79</v>
      </c>
      <c r="D51" s="14">
        <v>2</v>
      </c>
      <c r="E51" s="15">
        <v>45828</v>
      </c>
      <c r="F51" s="16">
        <v>45830</v>
      </c>
    </row>
    <row r="52" spans="1:6" x14ac:dyDescent="0.25">
      <c r="A52" s="7">
        <v>51</v>
      </c>
      <c r="B52" s="8" t="s">
        <v>26</v>
      </c>
      <c r="C52" s="8" t="s">
        <v>80</v>
      </c>
      <c r="D52" s="9">
        <v>2</v>
      </c>
      <c r="E52" s="10">
        <v>45828</v>
      </c>
      <c r="F52" s="11">
        <v>45830</v>
      </c>
    </row>
    <row r="53" spans="1:6" x14ac:dyDescent="0.25">
      <c r="A53" s="12">
        <v>52</v>
      </c>
      <c r="B53" s="13" t="s">
        <v>45</v>
      </c>
      <c r="C53" s="13" t="s">
        <v>81</v>
      </c>
      <c r="D53" s="14">
        <v>1</v>
      </c>
      <c r="E53" s="15">
        <v>45828</v>
      </c>
      <c r="F53" s="16">
        <v>45830</v>
      </c>
    </row>
    <row r="54" spans="1:6" x14ac:dyDescent="0.25">
      <c r="A54" s="7">
        <v>53</v>
      </c>
      <c r="B54" s="8" t="s">
        <v>20</v>
      </c>
      <c r="C54" s="8" t="s">
        <v>82</v>
      </c>
      <c r="D54" s="9">
        <v>1</v>
      </c>
      <c r="E54" s="10">
        <v>45828</v>
      </c>
      <c r="F54" s="11">
        <v>45830</v>
      </c>
    </row>
    <row r="55" spans="1:6" x14ac:dyDescent="0.25">
      <c r="A55" s="12">
        <v>54</v>
      </c>
      <c r="B55" s="13" t="s">
        <v>23</v>
      </c>
      <c r="C55" s="13" t="s">
        <v>83</v>
      </c>
      <c r="D55" s="14">
        <v>4</v>
      </c>
      <c r="E55" s="15">
        <v>45825</v>
      </c>
      <c r="F55" s="16">
        <v>45827</v>
      </c>
    </row>
    <row r="56" spans="1:6" x14ac:dyDescent="0.25">
      <c r="A56" s="7">
        <v>55</v>
      </c>
      <c r="B56" s="8" t="s">
        <v>84</v>
      </c>
      <c r="C56" s="8" t="s">
        <v>85</v>
      </c>
      <c r="D56" s="9">
        <v>1</v>
      </c>
      <c r="E56" s="10">
        <v>45795</v>
      </c>
      <c r="F56" s="11">
        <v>45798</v>
      </c>
    </row>
    <row r="57" spans="1:6" x14ac:dyDescent="0.25">
      <c r="A57" s="12">
        <v>56</v>
      </c>
      <c r="B57" s="13" t="s">
        <v>86</v>
      </c>
      <c r="C57" s="13" t="s">
        <v>87</v>
      </c>
      <c r="D57" s="14">
        <v>1</v>
      </c>
      <c r="E57" s="15">
        <v>45853</v>
      </c>
      <c r="F57" s="16">
        <v>45856</v>
      </c>
    </row>
    <row r="58" spans="1:6" x14ac:dyDescent="0.25">
      <c r="A58" s="7">
        <v>57</v>
      </c>
      <c r="B58" s="8" t="s">
        <v>26</v>
      </c>
      <c r="C58" s="8" t="s">
        <v>88</v>
      </c>
      <c r="D58" s="9">
        <v>3</v>
      </c>
      <c r="E58" s="10">
        <v>45833</v>
      </c>
      <c r="F58" s="11">
        <v>45837</v>
      </c>
    </row>
    <row r="59" spans="1:6" x14ac:dyDescent="0.25">
      <c r="A59" s="12">
        <v>58</v>
      </c>
      <c r="B59" s="13" t="s">
        <v>47</v>
      </c>
      <c r="C59" s="13" t="s">
        <v>89</v>
      </c>
      <c r="D59" s="14">
        <v>3</v>
      </c>
      <c r="E59" s="15">
        <v>45833</v>
      </c>
      <c r="F59" s="16">
        <v>45837</v>
      </c>
    </row>
    <row r="60" spans="1:6" x14ac:dyDescent="0.25">
      <c r="A60" s="7">
        <v>59</v>
      </c>
      <c r="B60" s="8" t="s">
        <v>12</v>
      </c>
      <c r="C60" s="8" t="s">
        <v>90</v>
      </c>
      <c r="D60" s="9">
        <v>2</v>
      </c>
      <c r="E60" s="10">
        <v>45809</v>
      </c>
      <c r="F60" s="11">
        <v>45812</v>
      </c>
    </row>
    <row r="61" spans="1:6" x14ac:dyDescent="0.25">
      <c r="A61" s="12">
        <v>60</v>
      </c>
      <c r="B61" s="13" t="s">
        <v>16</v>
      </c>
      <c r="C61" s="13" t="s">
        <v>91</v>
      </c>
      <c r="D61" s="14">
        <v>2</v>
      </c>
      <c r="E61" s="15">
        <v>45809</v>
      </c>
      <c r="F61" s="16">
        <v>45812</v>
      </c>
    </row>
    <row r="62" spans="1:6" x14ac:dyDescent="0.25">
      <c r="A62" s="7">
        <v>61</v>
      </c>
      <c r="B62" s="8" t="s">
        <v>84</v>
      </c>
      <c r="C62" s="8" t="s">
        <v>92</v>
      </c>
      <c r="D62" s="9">
        <v>3</v>
      </c>
      <c r="E62" s="10">
        <v>45778</v>
      </c>
      <c r="F62" s="11">
        <v>45780</v>
      </c>
    </row>
    <row r="63" spans="1:6" x14ac:dyDescent="0.25">
      <c r="A63" s="12">
        <v>62</v>
      </c>
      <c r="B63" s="13" t="s">
        <v>14</v>
      </c>
      <c r="C63" s="13" t="s">
        <v>93</v>
      </c>
      <c r="D63" s="14">
        <v>3</v>
      </c>
      <c r="E63" s="15">
        <v>45787</v>
      </c>
      <c r="F63" s="16">
        <v>45792</v>
      </c>
    </row>
    <row r="64" spans="1:6" x14ac:dyDescent="0.25">
      <c r="A64" s="7">
        <v>63</v>
      </c>
      <c r="B64" s="8" t="s">
        <v>12</v>
      </c>
      <c r="C64" s="8" t="s">
        <v>94</v>
      </c>
      <c r="D64" s="9">
        <v>4</v>
      </c>
      <c r="E64" s="10">
        <v>45816</v>
      </c>
      <c r="F64" s="11">
        <v>45817</v>
      </c>
    </row>
    <row r="65" spans="1:6" x14ac:dyDescent="0.25">
      <c r="A65" s="12">
        <v>64</v>
      </c>
      <c r="B65" s="13" t="s">
        <v>86</v>
      </c>
      <c r="C65" s="13" t="s">
        <v>95</v>
      </c>
      <c r="D65" s="14">
        <v>1</v>
      </c>
      <c r="E65" s="15">
        <v>45853</v>
      </c>
      <c r="F65" s="16">
        <v>45856</v>
      </c>
    </row>
    <row r="66" spans="1:6" x14ac:dyDescent="0.25">
      <c r="A66" s="7">
        <v>65</v>
      </c>
      <c r="B66" s="8" t="s">
        <v>32</v>
      </c>
      <c r="C66" s="8" t="s">
        <v>96</v>
      </c>
      <c r="D66" s="9">
        <v>3</v>
      </c>
      <c r="E66" s="10">
        <v>45833</v>
      </c>
      <c r="F66" s="11">
        <v>45837</v>
      </c>
    </row>
    <row r="67" spans="1:6" x14ac:dyDescent="0.25">
      <c r="A67" s="12">
        <v>66</v>
      </c>
      <c r="B67" s="13" t="s">
        <v>36</v>
      </c>
      <c r="C67" s="13" t="s">
        <v>97</v>
      </c>
      <c r="D67" s="14">
        <v>3</v>
      </c>
      <c r="E67" s="15">
        <v>45833</v>
      </c>
      <c r="F67" s="16">
        <v>45837</v>
      </c>
    </row>
    <row r="68" spans="1:6" x14ac:dyDescent="0.25">
      <c r="A68" s="7">
        <v>67</v>
      </c>
      <c r="B68" s="8" t="s">
        <v>12</v>
      </c>
      <c r="C68" s="8" t="s">
        <v>98</v>
      </c>
      <c r="D68" s="9">
        <v>2</v>
      </c>
      <c r="E68" s="10">
        <v>45833</v>
      </c>
      <c r="F68" s="11">
        <v>45837</v>
      </c>
    </row>
    <row r="69" spans="1:6" x14ac:dyDescent="0.25">
      <c r="A69" s="12">
        <v>68</v>
      </c>
      <c r="B69" s="13" t="s">
        <v>20</v>
      </c>
      <c r="C69" s="13" t="s">
        <v>99</v>
      </c>
      <c r="D69" s="14">
        <v>2</v>
      </c>
      <c r="E69" s="15">
        <v>45833</v>
      </c>
      <c r="F69" s="16">
        <v>45837</v>
      </c>
    </row>
    <row r="70" spans="1:6" x14ac:dyDescent="0.25">
      <c r="A70" s="7">
        <v>69</v>
      </c>
      <c r="B70" s="8" t="s">
        <v>18</v>
      </c>
      <c r="C70" s="8" t="s">
        <v>100</v>
      </c>
      <c r="D70" s="9">
        <v>2</v>
      </c>
      <c r="E70" s="10">
        <v>45833</v>
      </c>
      <c r="F70" s="11">
        <v>45837</v>
      </c>
    </row>
    <row r="71" spans="1:6" x14ac:dyDescent="0.25">
      <c r="A71" s="12">
        <v>70</v>
      </c>
      <c r="B71" s="13" t="s">
        <v>10</v>
      </c>
      <c r="C71" s="13" t="s">
        <v>101</v>
      </c>
      <c r="D71" s="14">
        <v>4</v>
      </c>
      <c r="E71" s="15">
        <v>45795</v>
      </c>
      <c r="F71" s="16">
        <v>45798</v>
      </c>
    </row>
    <row r="72" spans="1:6" x14ac:dyDescent="0.25">
      <c r="A72" s="7">
        <v>71</v>
      </c>
      <c r="B72" s="8" t="s">
        <v>102</v>
      </c>
      <c r="C72" s="8" t="s">
        <v>103</v>
      </c>
      <c r="D72" s="9">
        <v>2</v>
      </c>
      <c r="E72" s="10">
        <v>45833</v>
      </c>
      <c r="F72" s="11">
        <v>45837</v>
      </c>
    </row>
    <row r="73" spans="1:6" x14ac:dyDescent="0.25">
      <c r="A73" s="12">
        <v>72</v>
      </c>
      <c r="B73" s="13" t="s">
        <v>16</v>
      </c>
      <c r="C73" s="13" t="s">
        <v>104</v>
      </c>
      <c r="D73" s="14">
        <v>2</v>
      </c>
      <c r="E73" s="15">
        <v>45833</v>
      </c>
      <c r="F73" s="16">
        <v>45837</v>
      </c>
    </row>
    <row r="74" spans="1:6" x14ac:dyDescent="0.25">
      <c r="A74" s="7">
        <v>73</v>
      </c>
      <c r="B74" s="8" t="s">
        <v>14</v>
      </c>
      <c r="C74" s="8" t="s">
        <v>105</v>
      </c>
      <c r="D74" s="9">
        <v>2</v>
      </c>
      <c r="E74" s="10">
        <v>45833</v>
      </c>
      <c r="F74" s="11">
        <v>45837</v>
      </c>
    </row>
    <row r="75" spans="1:6" x14ac:dyDescent="0.25">
      <c r="A75" s="12">
        <v>74</v>
      </c>
      <c r="B75" s="13" t="s">
        <v>12</v>
      </c>
      <c r="C75" s="13" t="s">
        <v>106</v>
      </c>
      <c r="D75" s="14">
        <v>2</v>
      </c>
      <c r="E75" s="15">
        <v>45833</v>
      </c>
      <c r="F75" s="16">
        <v>45837</v>
      </c>
    </row>
    <row r="76" spans="1:6" x14ac:dyDescent="0.25">
      <c r="A76" s="7">
        <v>75</v>
      </c>
      <c r="B76" s="8" t="s">
        <v>45</v>
      </c>
      <c r="C76" s="8" t="s">
        <v>107</v>
      </c>
      <c r="D76" s="9">
        <v>2</v>
      </c>
      <c r="E76" s="10">
        <v>45803</v>
      </c>
      <c r="F76" s="11">
        <v>45805</v>
      </c>
    </row>
    <row r="77" spans="1:6" x14ac:dyDescent="0.25">
      <c r="A77" s="12">
        <v>76</v>
      </c>
      <c r="B77" s="13" t="s">
        <v>29</v>
      </c>
      <c r="C77" s="13" t="s">
        <v>108</v>
      </c>
      <c r="D77" s="14">
        <v>2</v>
      </c>
      <c r="E77" s="15">
        <v>45839</v>
      </c>
      <c r="F77" s="16">
        <v>45841</v>
      </c>
    </row>
    <row r="78" spans="1:6" x14ac:dyDescent="0.25">
      <c r="A78" s="7">
        <v>77</v>
      </c>
      <c r="B78" s="8" t="s">
        <v>16</v>
      </c>
      <c r="C78" s="8" t="s">
        <v>109</v>
      </c>
      <c r="D78" s="9">
        <v>2</v>
      </c>
      <c r="E78" s="10">
        <v>45833</v>
      </c>
      <c r="F78" s="11">
        <v>45837</v>
      </c>
    </row>
    <row r="79" spans="1:6" x14ac:dyDescent="0.25">
      <c r="A79" s="12">
        <v>78</v>
      </c>
      <c r="B79" s="13" t="s">
        <v>110</v>
      </c>
      <c r="C79" s="13" t="s">
        <v>111</v>
      </c>
      <c r="D79" s="14">
        <v>1</v>
      </c>
      <c r="E79" s="15">
        <v>45833</v>
      </c>
      <c r="F79" s="16">
        <v>45837</v>
      </c>
    </row>
    <row r="80" spans="1:6" x14ac:dyDescent="0.25">
      <c r="A80" s="7">
        <v>79</v>
      </c>
      <c r="B80" s="8" t="s">
        <v>20</v>
      </c>
      <c r="C80" s="8" t="s">
        <v>112</v>
      </c>
      <c r="D80" s="9">
        <v>1</v>
      </c>
      <c r="E80" s="10">
        <v>45833</v>
      </c>
      <c r="F80" s="11">
        <v>45837</v>
      </c>
    </row>
    <row r="81" spans="1:6" x14ac:dyDescent="0.25">
      <c r="A81" s="12">
        <v>80</v>
      </c>
      <c r="B81" s="13" t="s">
        <v>102</v>
      </c>
      <c r="C81" s="13" t="s">
        <v>113</v>
      </c>
      <c r="D81" s="14">
        <v>1</v>
      </c>
      <c r="E81" s="15">
        <v>45833</v>
      </c>
      <c r="F81" s="16">
        <v>45837</v>
      </c>
    </row>
    <row r="82" spans="1:6" x14ac:dyDescent="0.25">
      <c r="A82" s="7">
        <v>81</v>
      </c>
      <c r="B82" s="8" t="s">
        <v>18</v>
      </c>
      <c r="C82" s="8" t="s">
        <v>114</v>
      </c>
      <c r="D82" s="9">
        <v>1</v>
      </c>
      <c r="E82" s="10">
        <v>45843</v>
      </c>
      <c r="F82" s="11">
        <v>45845</v>
      </c>
    </row>
    <row r="83" spans="1:6" x14ac:dyDescent="0.25">
      <c r="A83" s="12">
        <v>82</v>
      </c>
      <c r="B83" s="13" t="s">
        <v>84</v>
      </c>
      <c r="C83" s="13" t="s">
        <v>115</v>
      </c>
      <c r="D83" s="14">
        <v>2</v>
      </c>
      <c r="E83" s="15">
        <v>45803</v>
      </c>
      <c r="F83" s="16">
        <v>45805</v>
      </c>
    </row>
    <row r="84" spans="1:6" x14ac:dyDescent="0.25">
      <c r="A84" s="7">
        <v>83</v>
      </c>
      <c r="B84" s="8" t="s">
        <v>14</v>
      </c>
      <c r="C84" s="8" t="s">
        <v>116</v>
      </c>
      <c r="D84" s="9">
        <v>4</v>
      </c>
      <c r="E84" s="10">
        <v>45816</v>
      </c>
      <c r="F84" s="11">
        <v>45817</v>
      </c>
    </row>
    <row r="85" spans="1:6" x14ac:dyDescent="0.25">
      <c r="A85" s="12">
        <v>84</v>
      </c>
      <c r="B85" s="13" t="s">
        <v>54</v>
      </c>
      <c r="C85" s="13" t="s">
        <v>117</v>
      </c>
      <c r="D85" s="14">
        <v>3</v>
      </c>
      <c r="E85" s="15">
        <v>45778</v>
      </c>
      <c r="F85" s="16">
        <v>45780</v>
      </c>
    </row>
    <row r="86" spans="1:6" x14ac:dyDescent="0.25">
      <c r="A86" s="7">
        <v>85</v>
      </c>
      <c r="B86" s="8" t="s">
        <v>118</v>
      </c>
      <c r="C86" s="8" t="s">
        <v>119</v>
      </c>
      <c r="D86" s="9">
        <v>1</v>
      </c>
      <c r="E86" s="10">
        <v>45843</v>
      </c>
      <c r="F86" s="11">
        <v>45845</v>
      </c>
    </row>
    <row r="87" spans="1:6" x14ac:dyDescent="0.25">
      <c r="A87" s="12">
        <v>86</v>
      </c>
      <c r="B87" s="13" t="s">
        <v>49</v>
      </c>
      <c r="C87" s="13" t="s">
        <v>120</v>
      </c>
      <c r="D87" s="14">
        <v>1</v>
      </c>
      <c r="E87" s="15">
        <v>45843</v>
      </c>
      <c r="F87" s="16">
        <v>45845</v>
      </c>
    </row>
    <row r="88" spans="1:6" x14ac:dyDescent="0.25">
      <c r="A88" s="7">
        <v>87</v>
      </c>
      <c r="B88" s="8" t="s">
        <v>40</v>
      </c>
      <c r="C88" s="8" t="s">
        <v>121</v>
      </c>
      <c r="D88" s="9">
        <v>1</v>
      </c>
      <c r="E88" s="10">
        <v>45843</v>
      </c>
      <c r="F88" s="11">
        <v>45845</v>
      </c>
    </row>
    <row r="89" spans="1:6" x14ac:dyDescent="0.25">
      <c r="A89" s="12">
        <v>88</v>
      </c>
      <c r="B89" s="13" t="s">
        <v>18</v>
      </c>
      <c r="C89" s="13" t="s">
        <v>122</v>
      </c>
      <c r="D89" s="14">
        <v>3</v>
      </c>
      <c r="E89" s="15">
        <v>45843</v>
      </c>
      <c r="F89" s="16">
        <v>45845</v>
      </c>
    </row>
    <row r="90" spans="1:6" x14ac:dyDescent="0.25">
      <c r="A90" s="7">
        <v>89</v>
      </c>
      <c r="B90" s="8" t="s">
        <v>23</v>
      </c>
      <c r="C90" s="8" t="s">
        <v>123</v>
      </c>
      <c r="D90" s="9">
        <v>3</v>
      </c>
      <c r="E90" s="10">
        <v>45843</v>
      </c>
      <c r="F90" s="11">
        <v>45845</v>
      </c>
    </row>
    <row r="91" spans="1:6" x14ac:dyDescent="0.25">
      <c r="A91" s="12">
        <v>90</v>
      </c>
      <c r="B91" s="13" t="s">
        <v>29</v>
      </c>
      <c r="C91" s="13" t="s">
        <v>124</v>
      </c>
      <c r="D91" s="14">
        <v>3</v>
      </c>
      <c r="E91" s="15">
        <v>45843</v>
      </c>
      <c r="F91" s="16">
        <v>45845</v>
      </c>
    </row>
    <row r="92" spans="1:6" x14ac:dyDescent="0.25">
      <c r="A92" s="7">
        <v>91</v>
      </c>
      <c r="B92" s="8" t="s">
        <v>34</v>
      </c>
      <c r="C92" s="8" t="s">
        <v>125</v>
      </c>
      <c r="D92" s="9">
        <v>3</v>
      </c>
      <c r="E92" s="10">
        <v>45843</v>
      </c>
      <c r="F92" s="11">
        <v>45845</v>
      </c>
    </row>
    <row r="93" spans="1:6" x14ac:dyDescent="0.25">
      <c r="A93" s="12">
        <v>92</v>
      </c>
      <c r="B93" s="13" t="s">
        <v>34</v>
      </c>
      <c r="C93" s="13" t="s">
        <v>126</v>
      </c>
      <c r="D93" s="14">
        <v>2</v>
      </c>
      <c r="E93" s="15">
        <v>45848</v>
      </c>
      <c r="F93" s="16">
        <v>45852</v>
      </c>
    </row>
    <row r="94" spans="1:6" x14ac:dyDescent="0.25">
      <c r="A94" s="7">
        <v>93</v>
      </c>
      <c r="B94" s="8" t="s">
        <v>6</v>
      </c>
      <c r="C94" s="8" t="s">
        <v>127</v>
      </c>
      <c r="D94" s="9">
        <v>3</v>
      </c>
      <c r="E94" s="10">
        <v>45853</v>
      </c>
      <c r="F94" s="11">
        <v>45856</v>
      </c>
    </row>
    <row r="95" spans="1:6" x14ac:dyDescent="0.25">
      <c r="A95" s="12">
        <v>94</v>
      </c>
      <c r="B95" s="13" t="s">
        <v>8</v>
      </c>
      <c r="C95" s="13" t="s">
        <v>128</v>
      </c>
      <c r="D95" s="14">
        <v>1</v>
      </c>
      <c r="E95" s="15">
        <v>45839</v>
      </c>
      <c r="F95" s="16">
        <v>45841</v>
      </c>
    </row>
    <row r="96" spans="1:6" x14ac:dyDescent="0.25">
      <c r="A96" s="7">
        <v>95</v>
      </c>
      <c r="B96" s="8" t="s">
        <v>73</v>
      </c>
      <c r="C96" s="8" t="s">
        <v>129</v>
      </c>
      <c r="D96" s="9">
        <v>1</v>
      </c>
      <c r="E96" s="10">
        <v>45795</v>
      </c>
      <c r="F96" s="11">
        <v>45798</v>
      </c>
    </row>
    <row r="97" spans="1:6" x14ac:dyDescent="0.25">
      <c r="A97" s="12">
        <v>96</v>
      </c>
      <c r="B97" s="13" t="s">
        <v>26</v>
      </c>
      <c r="C97" s="13" t="s">
        <v>130</v>
      </c>
      <c r="D97" s="14">
        <v>2</v>
      </c>
      <c r="E97" s="15">
        <v>45848</v>
      </c>
      <c r="F97" s="16">
        <v>45852</v>
      </c>
    </row>
    <row r="98" spans="1:6" x14ac:dyDescent="0.25">
      <c r="A98" s="7">
        <v>97</v>
      </c>
      <c r="B98" s="8" t="s">
        <v>29</v>
      </c>
      <c r="C98" s="8" t="s">
        <v>131</v>
      </c>
      <c r="D98" s="9">
        <v>2</v>
      </c>
      <c r="E98" s="10">
        <v>45848</v>
      </c>
      <c r="F98" s="11">
        <v>45852</v>
      </c>
    </row>
    <row r="99" spans="1:6" x14ac:dyDescent="0.25">
      <c r="A99" s="12">
        <v>98</v>
      </c>
      <c r="B99" s="13" t="s">
        <v>43</v>
      </c>
      <c r="C99" s="13" t="s">
        <v>132</v>
      </c>
      <c r="D99" s="14">
        <v>2</v>
      </c>
      <c r="E99" s="15">
        <v>45848</v>
      </c>
      <c r="F99" s="16">
        <v>45852</v>
      </c>
    </row>
    <row r="100" spans="1:6" x14ac:dyDescent="0.25">
      <c r="A100" s="7">
        <v>99</v>
      </c>
      <c r="B100" s="8" t="s">
        <v>102</v>
      </c>
      <c r="C100" s="8" t="s">
        <v>133</v>
      </c>
      <c r="D100" s="9">
        <v>2</v>
      </c>
      <c r="E100" s="10">
        <v>45848</v>
      </c>
      <c r="F100" s="11">
        <v>45852</v>
      </c>
    </row>
    <row r="101" spans="1:6" x14ac:dyDescent="0.25">
      <c r="A101" s="12">
        <v>100</v>
      </c>
      <c r="B101" s="13" t="s">
        <v>34</v>
      </c>
      <c r="C101" s="13" t="s">
        <v>134</v>
      </c>
      <c r="D101" s="14">
        <v>2</v>
      </c>
      <c r="E101" s="15">
        <v>45848</v>
      </c>
      <c r="F101" s="16">
        <v>45852</v>
      </c>
    </row>
    <row r="102" spans="1:6" x14ac:dyDescent="0.25">
      <c r="A102" s="7">
        <v>101</v>
      </c>
      <c r="B102" s="8" t="s">
        <v>118</v>
      </c>
      <c r="C102" s="8" t="s">
        <v>135</v>
      </c>
      <c r="D102" s="9">
        <v>3</v>
      </c>
      <c r="E102" s="10">
        <v>45848</v>
      </c>
      <c r="F102" s="11">
        <v>45852</v>
      </c>
    </row>
    <row r="103" spans="1:6" x14ac:dyDescent="0.25">
      <c r="A103" s="12">
        <v>102</v>
      </c>
      <c r="B103" s="13" t="s">
        <v>51</v>
      </c>
      <c r="C103" s="13" t="s">
        <v>136</v>
      </c>
      <c r="D103" s="14">
        <v>3</v>
      </c>
      <c r="E103" s="15">
        <v>45848</v>
      </c>
      <c r="F103" s="16">
        <v>45852</v>
      </c>
    </row>
    <row r="104" spans="1:6" x14ac:dyDescent="0.25">
      <c r="A104" s="7">
        <v>103</v>
      </c>
      <c r="B104" s="8" t="s">
        <v>32</v>
      </c>
      <c r="C104" s="8" t="s">
        <v>137</v>
      </c>
      <c r="D104" s="9">
        <v>3</v>
      </c>
      <c r="E104" s="10">
        <v>45848</v>
      </c>
      <c r="F104" s="11">
        <v>45852</v>
      </c>
    </row>
    <row r="105" spans="1:6" x14ac:dyDescent="0.25">
      <c r="A105" s="12">
        <v>104</v>
      </c>
      <c r="B105" s="13" t="s">
        <v>20</v>
      </c>
      <c r="C105" s="13" t="s">
        <v>138</v>
      </c>
      <c r="D105" s="14">
        <v>3</v>
      </c>
      <c r="E105" s="15">
        <v>45816</v>
      </c>
      <c r="F105" s="16">
        <v>45817</v>
      </c>
    </row>
    <row r="106" spans="1:6" x14ac:dyDescent="0.25">
      <c r="A106" s="7">
        <v>105</v>
      </c>
      <c r="B106" s="8" t="s">
        <v>16</v>
      </c>
      <c r="C106" s="8" t="s">
        <v>139</v>
      </c>
      <c r="D106" s="9">
        <v>2</v>
      </c>
      <c r="E106" s="10">
        <v>45803</v>
      </c>
      <c r="F106" s="11">
        <v>45805</v>
      </c>
    </row>
    <row r="107" spans="1:6" x14ac:dyDescent="0.25">
      <c r="A107" s="12">
        <v>106</v>
      </c>
      <c r="B107" s="13" t="s">
        <v>86</v>
      </c>
      <c r="C107" s="13" t="s">
        <v>140</v>
      </c>
      <c r="D107" s="14">
        <v>3</v>
      </c>
      <c r="E107" s="15">
        <v>45853</v>
      </c>
      <c r="F107" s="16">
        <v>45856</v>
      </c>
    </row>
    <row r="108" spans="1:6" x14ac:dyDescent="0.25">
      <c r="A108" s="7">
        <v>107</v>
      </c>
      <c r="B108" s="8" t="s">
        <v>43</v>
      </c>
      <c r="C108" s="8" t="s">
        <v>141</v>
      </c>
      <c r="D108" s="9">
        <v>3</v>
      </c>
      <c r="E108" s="10">
        <v>45848</v>
      </c>
      <c r="F108" s="11">
        <v>45852</v>
      </c>
    </row>
    <row r="109" spans="1:6" x14ac:dyDescent="0.25">
      <c r="A109" s="12">
        <v>108</v>
      </c>
      <c r="B109" s="13" t="s">
        <v>65</v>
      </c>
      <c r="C109" s="13" t="s">
        <v>142</v>
      </c>
      <c r="D109" s="14">
        <v>1</v>
      </c>
      <c r="E109" s="15">
        <v>45848</v>
      </c>
      <c r="F109" s="16">
        <v>45852</v>
      </c>
    </row>
    <row r="110" spans="1:6" x14ac:dyDescent="0.25">
      <c r="A110" s="7">
        <v>109</v>
      </c>
      <c r="B110" s="8" t="s">
        <v>23</v>
      </c>
      <c r="C110" s="8" t="s">
        <v>143</v>
      </c>
      <c r="D110" s="9">
        <v>1</v>
      </c>
      <c r="E110" s="10">
        <v>45858</v>
      </c>
      <c r="F110" s="11">
        <v>45859</v>
      </c>
    </row>
    <row r="111" spans="1:6" x14ac:dyDescent="0.25">
      <c r="A111" s="12">
        <v>110</v>
      </c>
      <c r="B111" s="13" t="s">
        <v>36</v>
      </c>
      <c r="C111" s="13" t="s">
        <v>144</v>
      </c>
      <c r="D111" s="14">
        <v>2</v>
      </c>
      <c r="E111" s="15">
        <v>45803</v>
      </c>
      <c r="F111" s="16">
        <v>45805</v>
      </c>
    </row>
    <row r="112" spans="1:6" x14ac:dyDescent="0.25">
      <c r="A112" s="7">
        <v>111</v>
      </c>
      <c r="B112" s="8" t="s">
        <v>8</v>
      </c>
      <c r="C112" s="8" t="s">
        <v>145</v>
      </c>
      <c r="D112" s="9">
        <v>1</v>
      </c>
      <c r="E112" s="10">
        <v>45858</v>
      </c>
      <c r="F112" s="11">
        <v>45859</v>
      </c>
    </row>
    <row r="113" spans="1:6" x14ac:dyDescent="0.25">
      <c r="A113" s="12">
        <v>112</v>
      </c>
      <c r="B113" s="13" t="s">
        <v>43</v>
      </c>
      <c r="C113" s="13" t="s">
        <v>146</v>
      </c>
      <c r="D113" s="14">
        <v>1</v>
      </c>
      <c r="E113" s="15">
        <v>45858</v>
      </c>
      <c r="F113" s="16">
        <v>45859</v>
      </c>
    </row>
    <row r="114" spans="1:6" x14ac:dyDescent="0.25">
      <c r="A114" s="7">
        <v>113</v>
      </c>
      <c r="B114" s="8" t="s">
        <v>84</v>
      </c>
      <c r="C114" s="8" t="s">
        <v>147</v>
      </c>
      <c r="D114" s="9">
        <v>1</v>
      </c>
      <c r="E114" s="10">
        <v>45858</v>
      </c>
      <c r="F114" s="11">
        <v>45859</v>
      </c>
    </row>
    <row r="115" spans="1:6" x14ac:dyDescent="0.25">
      <c r="A115" s="12">
        <v>114</v>
      </c>
      <c r="B115" s="13" t="s">
        <v>110</v>
      </c>
      <c r="C115" s="13" t="s">
        <v>148</v>
      </c>
      <c r="D115" s="14">
        <v>2</v>
      </c>
      <c r="E115" s="15">
        <v>45858</v>
      </c>
      <c r="F115" s="16">
        <v>45859</v>
      </c>
    </row>
    <row r="116" spans="1:6" x14ac:dyDescent="0.25">
      <c r="A116" s="7">
        <v>115</v>
      </c>
      <c r="B116" s="8" t="s">
        <v>84</v>
      </c>
      <c r="C116" s="8" t="s">
        <v>149</v>
      </c>
      <c r="D116" s="9">
        <v>2</v>
      </c>
      <c r="E116" s="10">
        <v>45858</v>
      </c>
      <c r="F116" s="11">
        <v>45859</v>
      </c>
    </row>
    <row r="117" spans="1:6" x14ac:dyDescent="0.25">
      <c r="A117" s="12">
        <v>116</v>
      </c>
      <c r="B117" s="13" t="s">
        <v>16</v>
      </c>
      <c r="C117" s="13" t="s">
        <v>150</v>
      </c>
      <c r="D117" s="14">
        <v>2</v>
      </c>
      <c r="E117" s="15">
        <v>45858</v>
      </c>
      <c r="F117" s="16">
        <v>45859</v>
      </c>
    </row>
    <row r="118" spans="1:6" x14ac:dyDescent="0.25">
      <c r="A118" s="7">
        <v>117</v>
      </c>
      <c r="B118" s="8" t="s">
        <v>14</v>
      </c>
      <c r="C118" s="8" t="s">
        <v>151</v>
      </c>
      <c r="D118" s="9">
        <v>2</v>
      </c>
      <c r="E118" s="10">
        <v>45858</v>
      </c>
      <c r="F118" s="11">
        <v>45859</v>
      </c>
    </row>
    <row r="119" spans="1:6" x14ac:dyDescent="0.25">
      <c r="A119" s="12">
        <v>118</v>
      </c>
      <c r="B119" s="13" t="s">
        <v>65</v>
      </c>
      <c r="C119" s="13" t="s">
        <v>152</v>
      </c>
      <c r="D119" s="14">
        <v>3</v>
      </c>
      <c r="E119" s="15">
        <v>45853</v>
      </c>
      <c r="F119" s="16">
        <v>45856</v>
      </c>
    </row>
    <row r="120" spans="1:6" x14ac:dyDescent="0.25">
      <c r="A120" s="7">
        <v>119</v>
      </c>
      <c r="B120" s="8" t="s">
        <v>102</v>
      </c>
      <c r="C120" s="8" t="s">
        <v>153</v>
      </c>
      <c r="D120" s="9">
        <v>2</v>
      </c>
      <c r="E120" s="10">
        <v>45803</v>
      </c>
      <c r="F120" s="11">
        <v>45805</v>
      </c>
    </row>
    <row r="121" spans="1:6" x14ac:dyDescent="0.25">
      <c r="A121" s="12">
        <v>120</v>
      </c>
      <c r="B121" s="13" t="s">
        <v>26</v>
      </c>
      <c r="C121" s="13" t="s">
        <v>154</v>
      </c>
      <c r="D121" s="14">
        <v>4</v>
      </c>
      <c r="E121" s="15">
        <v>45795</v>
      </c>
      <c r="F121" s="16">
        <v>45798</v>
      </c>
    </row>
    <row r="122" spans="1:6" x14ac:dyDescent="0.25">
      <c r="A122" s="7">
        <v>121</v>
      </c>
      <c r="B122" s="8" t="s">
        <v>6</v>
      </c>
      <c r="C122" s="8" t="s">
        <v>155</v>
      </c>
      <c r="D122" s="9">
        <v>2</v>
      </c>
      <c r="E122" s="10">
        <v>45863</v>
      </c>
      <c r="F122" s="11">
        <v>45866</v>
      </c>
    </row>
    <row r="123" spans="1:6" x14ac:dyDescent="0.25">
      <c r="A123" s="12">
        <v>122</v>
      </c>
      <c r="B123" s="13" t="s">
        <v>6</v>
      </c>
      <c r="C123" s="13" t="s">
        <v>156</v>
      </c>
      <c r="D123" s="14">
        <v>2</v>
      </c>
      <c r="E123" s="15">
        <v>45863</v>
      </c>
      <c r="F123" s="16">
        <v>45866</v>
      </c>
    </row>
    <row r="124" spans="1:6" x14ac:dyDescent="0.25">
      <c r="A124" s="7">
        <v>123</v>
      </c>
      <c r="B124" s="8" t="s">
        <v>8</v>
      </c>
      <c r="C124" s="8" t="s">
        <v>157</v>
      </c>
      <c r="D124" s="9">
        <v>2</v>
      </c>
      <c r="E124" s="10">
        <v>45863</v>
      </c>
      <c r="F124" s="11">
        <v>45866</v>
      </c>
    </row>
    <row r="125" spans="1:6" x14ac:dyDescent="0.25">
      <c r="A125" s="12">
        <v>124</v>
      </c>
      <c r="B125" s="13" t="s">
        <v>49</v>
      </c>
      <c r="C125" s="13" t="s">
        <v>158</v>
      </c>
      <c r="D125" s="14">
        <v>2</v>
      </c>
      <c r="E125" s="15">
        <v>45863</v>
      </c>
      <c r="F125" s="16">
        <v>45866</v>
      </c>
    </row>
    <row r="126" spans="1:6" x14ac:dyDescent="0.25">
      <c r="A126" s="7">
        <v>125</v>
      </c>
      <c r="B126" s="8" t="s">
        <v>23</v>
      </c>
      <c r="C126" s="8" t="s">
        <v>159</v>
      </c>
      <c r="D126" s="9">
        <v>3</v>
      </c>
      <c r="E126" s="10">
        <v>45778</v>
      </c>
      <c r="F126" s="11">
        <v>45780</v>
      </c>
    </row>
    <row r="127" spans="1:6" x14ac:dyDescent="0.25">
      <c r="A127" s="12">
        <v>126</v>
      </c>
      <c r="B127" s="13" t="s">
        <v>6</v>
      </c>
      <c r="C127" s="13" t="s">
        <v>160</v>
      </c>
      <c r="D127" s="14">
        <v>3</v>
      </c>
      <c r="E127" s="15">
        <v>45816</v>
      </c>
      <c r="F127" s="16">
        <v>45817</v>
      </c>
    </row>
    <row r="128" spans="1:6" x14ac:dyDescent="0.25">
      <c r="A128" s="7">
        <v>127</v>
      </c>
      <c r="B128" s="8" t="s">
        <v>38</v>
      </c>
      <c r="C128" s="8" t="s">
        <v>161</v>
      </c>
      <c r="D128" s="9">
        <v>1</v>
      </c>
      <c r="E128" s="10">
        <v>45839</v>
      </c>
      <c r="F128" s="11">
        <v>45841</v>
      </c>
    </row>
    <row r="129" spans="1:6" x14ac:dyDescent="0.25">
      <c r="A129" s="12">
        <v>128</v>
      </c>
      <c r="B129" s="13" t="s">
        <v>38</v>
      </c>
      <c r="C129" s="13" t="s">
        <v>162</v>
      </c>
      <c r="D129" s="14">
        <v>3</v>
      </c>
      <c r="E129" s="15">
        <v>45853</v>
      </c>
      <c r="F129" s="16">
        <v>45856</v>
      </c>
    </row>
    <row r="130" spans="1:6" x14ac:dyDescent="0.25">
      <c r="A130" s="7">
        <v>129</v>
      </c>
      <c r="B130" s="8" t="s">
        <v>18</v>
      </c>
      <c r="C130" s="8" t="s">
        <v>163</v>
      </c>
      <c r="D130" s="9">
        <v>2</v>
      </c>
      <c r="E130" s="10">
        <v>45863</v>
      </c>
      <c r="F130" s="11">
        <v>45866</v>
      </c>
    </row>
    <row r="131" spans="1:6" x14ac:dyDescent="0.25">
      <c r="A131" s="12">
        <v>130</v>
      </c>
      <c r="B131" s="13" t="s">
        <v>8</v>
      </c>
      <c r="C131" s="13" t="s">
        <v>164</v>
      </c>
      <c r="D131" s="14">
        <v>2</v>
      </c>
      <c r="E131" s="15">
        <v>45863</v>
      </c>
      <c r="F131" s="16">
        <v>45866</v>
      </c>
    </row>
    <row r="132" spans="1:6" x14ac:dyDescent="0.25">
      <c r="A132" s="7">
        <v>131</v>
      </c>
      <c r="B132" s="8" t="s">
        <v>165</v>
      </c>
      <c r="C132" s="8" t="s">
        <v>166</v>
      </c>
      <c r="D132" s="9">
        <v>1</v>
      </c>
      <c r="E132" s="10">
        <v>45778</v>
      </c>
      <c r="F132" s="11">
        <v>45780</v>
      </c>
    </row>
    <row r="133" spans="1:6" x14ac:dyDescent="0.25">
      <c r="A133" s="12">
        <v>132</v>
      </c>
      <c r="B133" s="13" t="s">
        <v>54</v>
      </c>
      <c r="C133" s="13" t="s">
        <v>167</v>
      </c>
      <c r="D133" s="14">
        <v>1</v>
      </c>
      <c r="E133" s="15">
        <v>45778</v>
      </c>
      <c r="F133" s="16">
        <v>45780</v>
      </c>
    </row>
    <row r="134" spans="1:6" x14ac:dyDescent="0.25">
      <c r="A134" s="7">
        <v>133</v>
      </c>
      <c r="B134" s="8" t="s">
        <v>43</v>
      </c>
      <c r="C134" s="8" t="s">
        <v>168</v>
      </c>
      <c r="D134" s="9">
        <v>2</v>
      </c>
      <c r="E134" s="10">
        <v>45863</v>
      </c>
      <c r="F134" s="11">
        <v>45866</v>
      </c>
    </row>
    <row r="135" spans="1:6" x14ac:dyDescent="0.25">
      <c r="A135" s="12">
        <v>134</v>
      </c>
      <c r="B135" s="13" t="s">
        <v>84</v>
      </c>
      <c r="C135" s="13" t="s">
        <v>169</v>
      </c>
      <c r="D135" s="14">
        <v>2</v>
      </c>
      <c r="E135" s="15">
        <v>45818</v>
      </c>
      <c r="F135" s="16">
        <v>45823</v>
      </c>
    </row>
    <row r="136" spans="1:6" x14ac:dyDescent="0.25">
      <c r="A136" s="7">
        <v>135</v>
      </c>
      <c r="B136" s="8" t="s">
        <v>8</v>
      </c>
      <c r="C136" s="8" t="s">
        <v>170</v>
      </c>
      <c r="D136" s="9">
        <v>2</v>
      </c>
      <c r="E136" s="10">
        <v>45863</v>
      </c>
      <c r="F136" s="11">
        <v>45866</v>
      </c>
    </row>
    <row r="137" spans="1:6" x14ac:dyDescent="0.25">
      <c r="A137" s="12">
        <v>136</v>
      </c>
      <c r="B137" s="13" t="s">
        <v>45</v>
      </c>
      <c r="C137" s="13" t="s">
        <v>171</v>
      </c>
      <c r="D137" s="14">
        <v>1</v>
      </c>
      <c r="E137" s="15">
        <v>45863</v>
      </c>
      <c r="F137" s="16">
        <v>45866</v>
      </c>
    </row>
    <row r="138" spans="1:6" x14ac:dyDescent="0.25">
      <c r="A138" s="7">
        <v>137</v>
      </c>
      <c r="B138" s="8" t="s">
        <v>110</v>
      </c>
      <c r="C138" s="8" t="s">
        <v>172</v>
      </c>
      <c r="D138" s="9">
        <v>3</v>
      </c>
      <c r="E138" s="10">
        <v>45871</v>
      </c>
      <c r="F138" s="11">
        <v>45875</v>
      </c>
    </row>
    <row r="139" spans="1:6" x14ac:dyDescent="0.25">
      <c r="A139" s="12">
        <v>138</v>
      </c>
      <c r="B139" s="13" t="s">
        <v>20</v>
      </c>
      <c r="C139" s="13" t="s">
        <v>173</v>
      </c>
      <c r="D139" s="14">
        <v>3</v>
      </c>
      <c r="E139" s="15">
        <v>45871</v>
      </c>
      <c r="F139" s="16">
        <v>45875</v>
      </c>
    </row>
    <row r="140" spans="1:6" x14ac:dyDescent="0.25">
      <c r="A140" s="7">
        <v>139</v>
      </c>
      <c r="B140" s="8" t="s">
        <v>102</v>
      </c>
      <c r="C140" s="8" t="s">
        <v>174</v>
      </c>
      <c r="D140" s="9">
        <v>3</v>
      </c>
      <c r="E140" s="10">
        <v>45871</v>
      </c>
      <c r="F140" s="11">
        <v>45875</v>
      </c>
    </row>
    <row r="141" spans="1:6" x14ac:dyDescent="0.25">
      <c r="A141" s="12">
        <v>140</v>
      </c>
      <c r="B141" s="13" t="s">
        <v>38</v>
      </c>
      <c r="C141" s="13" t="s">
        <v>175</v>
      </c>
      <c r="D141" s="14">
        <v>2</v>
      </c>
      <c r="E141" s="15">
        <v>45818</v>
      </c>
      <c r="F141" s="16">
        <v>45823</v>
      </c>
    </row>
    <row r="142" spans="1:6" x14ac:dyDescent="0.25">
      <c r="A142" s="7">
        <v>141</v>
      </c>
      <c r="B142" s="8" t="s">
        <v>20</v>
      </c>
      <c r="C142" s="8" t="s">
        <v>176</v>
      </c>
      <c r="D142" s="9">
        <v>2</v>
      </c>
      <c r="E142" s="10">
        <v>45853</v>
      </c>
      <c r="F142" s="11">
        <v>45856</v>
      </c>
    </row>
    <row r="143" spans="1:6" x14ac:dyDescent="0.25">
      <c r="A143" s="12">
        <v>142</v>
      </c>
      <c r="B143" s="13" t="s">
        <v>29</v>
      </c>
      <c r="C143" s="13" t="s">
        <v>177</v>
      </c>
      <c r="D143" s="14">
        <v>3</v>
      </c>
      <c r="E143" s="15">
        <v>45871</v>
      </c>
      <c r="F143" s="16">
        <v>45875</v>
      </c>
    </row>
    <row r="144" spans="1:6" x14ac:dyDescent="0.25">
      <c r="A144" s="7">
        <v>143</v>
      </c>
      <c r="B144" s="8" t="s">
        <v>118</v>
      </c>
      <c r="C144" s="8" t="s">
        <v>178</v>
      </c>
      <c r="D144" s="9">
        <v>2</v>
      </c>
      <c r="E144" s="10">
        <v>45871</v>
      </c>
      <c r="F144" s="11">
        <v>45875</v>
      </c>
    </row>
    <row r="145" spans="1:6" x14ac:dyDescent="0.25">
      <c r="A145" s="12">
        <v>144</v>
      </c>
      <c r="B145" s="13" t="s">
        <v>34</v>
      </c>
      <c r="C145" s="13" t="s">
        <v>179</v>
      </c>
      <c r="D145" s="14">
        <v>2</v>
      </c>
      <c r="E145" s="15">
        <v>45871</v>
      </c>
      <c r="F145" s="16">
        <v>45875</v>
      </c>
    </row>
    <row r="146" spans="1:6" x14ac:dyDescent="0.25">
      <c r="A146" s="7">
        <v>145</v>
      </c>
      <c r="B146" s="8" t="s">
        <v>12</v>
      </c>
      <c r="C146" s="8" t="s">
        <v>180</v>
      </c>
      <c r="D146" s="9">
        <v>2</v>
      </c>
      <c r="E146" s="10">
        <v>45818</v>
      </c>
      <c r="F146" s="11">
        <v>45823</v>
      </c>
    </row>
    <row r="147" spans="1:6" x14ac:dyDescent="0.25">
      <c r="A147" s="12">
        <v>146</v>
      </c>
      <c r="B147" s="13" t="s">
        <v>6</v>
      </c>
      <c r="C147" s="13" t="s">
        <v>181</v>
      </c>
      <c r="D147" s="14">
        <v>2</v>
      </c>
      <c r="E147" s="15">
        <v>45871</v>
      </c>
      <c r="F147" s="16">
        <v>45875</v>
      </c>
    </row>
    <row r="148" spans="1:6" x14ac:dyDescent="0.25">
      <c r="A148" s="7">
        <v>147</v>
      </c>
      <c r="B148" s="8" t="s">
        <v>51</v>
      </c>
      <c r="C148" s="8" t="s">
        <v>182</v>
      </c>
      <c r="D148" s="9">
        <v>2</v>
      </c>
      <c r="E148" s="10">
        <v>45839</v>
      </c>
      <c r="F148" s="11">
        <v>45841</v>
      </c>
    </row>
    <row r="149" spans="1:6" x14ac:dyDescent="0.25">
      <c r="A149" s="12">
        <v>148</v>
      </c>
      <c r="B149" s="13" t="s">
        <v>38</v>
      </c>
      <c r="C149" s="13" t="s">
        <v>183</v>
      </c>
      <c r="D149" s="14">
        <v>2</v>
      </c>
      <c r="E149" s="15">
        <v>45818</v>
      </c>
      <c r="F149" s="16">
        <v>45823</v>
      </c>
    </row>
    <row r="150" spans="1:6" x14ac:dyDescent="0.25">
      <c r="A150" s="7">
        <v>149</v>
      </c>
      <c r="B150" s="8" t="s">
        <v>86</v>
      </c>
      <c r="C150" s="8" t="s">
        <v>184</v>
      </c>
      <c r="D150" s="9">
        <v>2</v>
      </c>
      <c r="E150" s="10">
        <v>45871</v>
      </c>
      <c r="F150" s="11">
        <v>45875</v>
      </c>
    </row>
    <row r="151" spans="1:6" x14ac:dyDescent="0.25">
      <c r="A151" s="12">
        <v>150</v>
      </c>
      <c r="B151" s="13" t="s">
        <v>51</v>
      </c>
      <c r="C151" s="13" t="s">
        <v>185</v>
      </c>
      <c r="D151" s="14">
        <v>1</v>
      </c>
      <c r="E151" s="15">
        <v>45871</v>
      </c>
      <c r="F151" s="16">
        <v>45875</v>
      </c>
    </row>
    <row r="152" spans="1:6" x14ac:dyDescent="0.25">
      <c r="A152" s="7">
        <v>151</v>
      </c>
      <c r="B152" s="8" t="s">
        <v>6</v>
      </c>
      <c r="C152" s="8" t="s">
        <v>7</v>
      </c>
      <c r="D152" s="9">
        <v>1</v>
      </c>
      <c r="E152" s="10">
        <v>45871</v>
      </c>
      <c r="F152" s="11">
        <v>45875</v>
      </c>
    </row>
    <row r="153" spans="1:6" x14ac:dyDescent="0.25">
      <c r="A153" s="12">
        <v>152</v>
      </c>
      <c r="B153" s="13" t="s">
        <v>29</v>
      </c>
      <c r="C153" s="13" t="s">
        <v>124</v>
      </c>
      <c r="D153" s="14">
        <v>1</v>
      </c>
      <c r="E153" s="15">
        <v>45871</v>
      </c>
      <c r="F153" s="16">
        <v>45875</v>
      </c>
    </row>
    <row r="154" spans="1:6" x14ac:dyDescent="0.25">
      <c r="A154" s="7">
        <v>153</v>
      </c>
      <c r="B154" s="8" t="s">
        <v>54</v>
      </c>
      <c r="C154" s="8" t="s">
        <v>117</v>
      </c>
      <c r="D154" s="9">
        <v>2</v>
      </c>
      <c r="E154" s="10">
        <v>45818</v>
      </c>
      <c r="F154" s="11">
        <v>45823</v>
      </c>
    </row>
    <row r="155" spans="1:6" x14ac:dyDescent="0.25">
      <c r="A155" s="12">
        <v>154</v>
      </c>
      <c r="B155" s="13" t="s">
        <v>43</v>
      </c>
      <c r="C155" s="13" t="s">
        <v>132</v>
      </c>
      <c r="D155" s="14">
        <v>2</v>
      </c>
      <c r="E155" s="15">
        <v>45853</v>
      </c>
      <c r="F155" s="16">
        <v>45856</v>
      </c>
    </row>
    <row r="156" spans="1:6" x14ac:dyDescent="0.25">
      <c r="A156" s="7">
        <v>155</v>
      </c>
      <c r="B156" s="8" t="s">
        <v>6</v>
      </c>
      <c r="C156" s="8" t="s">
        <v>156</v>
      </c>
      <c r="D156" s="9">
        <v>1</v>
      </c>
      <c r="E156" s="10">
        <v>45871</v>
      </c>
      <c r="F156" s="11">
        <v>45875</v>
      </c>
    </row>
    <row r="157" spans="1:6" x14ac:dyDescent="0.25">
      <c r="A157" s="12">
        <v>156</v>
      </c>
      <c r="B157" s="13" t="s">
        <v>34</v>
      </c>
      <c r="C157" s="13" t="s">
        <v>134</v>
      </c>
      <c r="D157" s="14">
        <v>2</v>
      </c>
      <c r="E157" s="15">
        <v>45879</v>
      </c>
      <c r="F157" s="16">
        <v>45881</v>
      </c>
    </row>
    <row r="158" spans="1:6" x14ac:dyDescent="0.25">
      <c r="A158" s="7">
        <v>157</v>
      </c>
      <c r="B158" s="8" t="s">
        <v>54</v>
      </c>
      <c r="C158" s="8" t="s">
        <v>167</v>
      </c>
      <c r="D158" s="9">
        <v>2</v>
      </c>
      <c r="E158" s="10">
        <v>45879</v>
      </c>
      <c r="F158" s="11">
        <v>45881</v>
      </c>
    </row>
    <row r="159" spans="1:6" x14ac:dyDescent="0.25">
      <c r="A159" s="12">
        <v>158</v>
      </c>
      <c r="B159" s="13" t="s">
        <v>14</v>
      </c>
      <c r="C159" s="13" t="s">
        <v>116</v>
      </c>
      <c r="D159" s="14">
        <v>2</v>
      </c>
      <c r="E159" s="15">
        <v>45879</v>
      </c>
      <c r="F159" s="16">
        <v>45881</v>
      </c>
    </row>
    <row r="160" spans="1:6" x14ac:dyDescent="0.25">
      <c r="A160" s="7">
        <v>159</v>
      </c>
      <c r="B160" s="8" t="s">
        <v>165</v>
      </c>
      <c r="C160" s="8" t="s">
        <v>166</v>
      </c>
      <c r="D160" s="9">
        <v>2</v>
      </c>
      <c r="E160" s="10">
        <v>45879</v>
      </c>
      <c r="F160" s="11">
        <v>45881</v>
      </c>
    </row>
    <row r="161" spans="1:6" x14ac:dyDescent="0.25">
      <c r="A161" s="12">
        <v>160</v>
      </c>
      <c r="B161" s="13" t="s">
        <v>29</v>
      </c>
      <c r="C161" s="13" t="s">
        <v>124</v>
      </c>
      <c r="D161" s="14">
        <v>1</v>
      </c>
      <c r="E161" s="15">
        <v>45839</v>
      </c>
      <c r="F161" s="16">
        <v>45841</v>
      </c>
    </row>
    <row r="162" spans="1:6" x14ac:dyDescent="0.25">
      <c r="A162" s="7">
        <v>161</v>
      </c>
      <c r="B162" s="8" t="s">
        <v>84</v>
      </c>
      <c r="C162" s="8" t="s">
        <v>169</v>
      </c>
      <c r="D162" s="9">
        <v>2</v>
      </c>
      <c r="E162" s="10">
        <v>45818</v>
      </c>
      <c r="F162" s="11">
        <v>45823</v>
      </c>
    </row>
    <row r="163" spans="1:6" x14ac:dyDescent="0.25">
      <c r="A163" s="12">
        <v>162</v>
      </c>
      <c r="B163" s="13" t="s">
        <v>26</v>
      </c>
      <c r="C163" s="13" t="s">
        <v>130</v>
      </c>
      <c r="D163" s="14">
        <v>2</v>
      </c>
      <c r="E163" s="15">
        <v>45879</v>
      </c>
      <c r="F163" s="16">
        <v>45881</v>
      </c>
    </row>
    <row r="164" spans="1:6" x14ac:dyDescent="0.25">
      <c r="A164" s="7">
        <v>163</v>
      </c>
      <c r="B164" s="8" t="s">
        <v>6</v>
      </c>
      <c r="C164" s="8" t="s">
        <v>156</v>
      </c>
      <c r="D164" s="9">
        <v>2</v>
      </c>
      <c r="E164" s="10">
        <v>45879</v>
      </c>
      <c r="F164" s="11">
        <v>45881</v>
      </c>
    </row>
    <row r="165" spans="1:6" x14ac:dyDescent="0.25">
      <c r="A165" s="12">
        <v>164</v>
      </c>
      <c r="B165" s="13" t="s">
        <v>54</v>
      </c>
      <c r="C165" s="13" t="s">
        <v>117</v>
      </c>
      <c r="D165" s="14">
        <v>1</v>
      </c>
      <c r="E165" s="15">
        <v>45883</v>
      </c>
      <c r="F165" s="16">
        <v>45886</v>
      </c>
    </row>
    <row r="166" spans="1:6" x14ac:dyDescent="0.25">
      <c r="A166" s="7">
        <v>165</v>
      </c>
      <c r="B166" s="8" t="s">
        <v>45</v>
      </c>
      <c r="C166" s="8" t="s">
        <v>171</v>
      </c>
      <c r="D166" s="9">
        <v>1</v>
      </c>
      <c r="E166" s="10">
        <v>45883</v>
      </c>
      <c r="F166" s="11">
        <v>45886</v>
      </c>
    </row>
    <row r="167" spans="1:6" x14ac:dyDescent="0.25">
      <c r="A167" s="12">
        <v>166</v>
      </c>
      <c r="B167" s="13" t="s">
        <v>23</v>
      </c>
      <c r="C167" s="13" t="s">
        <v>159</v>
      </c>
      <c r="D167" s="14">
        <v>1</v>
      </c>
      <c r="E167" s="15">
        <v>45883</v>
      </c>
      <c r="F167" s="16">
        <v>45886</v>
      </c>
    </row>
    <row r="168" spans="1:6" x14ac:dyDescent="0.25">
      <c r="A168" s="7">
        <v>167</v>
      </c>
      <c r="B168" s="8" t="s">
        <v>84</v>
      </c>
      <c r="C168" s="8" t="s">
        <v>169</v>
      </c>
      <c r="D168" s="9">
        <v>1</v>
      </c>
      <c r="E168" s="10">
        <v>45883</v>
      </c>
      <c r="F168" s="11">
        <v>45886</v>
      </c>
    </row>
    <row r="169" spans="1:6" x14ac:dyDescent="0.25">
      <c r="A169" s="12">
        <v>168</v>
      </c>
      <c r="B169" s="13" t="s">
        <v>14</v>
      </c>
      <c r="C169" s="13" t="s">
        <v>116</v>
      </c>
      <c r="D169" s="14">
        <v>3</v>
      </c>
      <c r="E169" s="15">
        <v>45883</v>
      </c>
      <c r="F169" s="16">
        <v>45886</v>
      </c>
    </row>
    <row r="170" spans="1:6" x14ac:dyDescent="0.25">
      <c r="A170" s="7">
        <v>169</v>
      </c>
      <c r="B170" s="8" t="s">
        <v>18</v>
      </c>
      <c r="C170" s="8" t="s">
        <v>163</v>
      </c>
      <c r="D170" s="9">
        <v>2</v>
      </c>
      <c r="E170" s="10">
        <v>45853</v>
      </c>
      <c r="F170" s="11">
        <v>45856</v>
      </c>
    </row>
    <row r="171" spans="1:6" x14ac:dyDescent="0.25">
      <c r="A171" s="12">
        <v>170</v>
      </c>
      <c r="B171" s="13" t="s">
        <v>14</v>
      </c>
      <c r="C171" s="13" t="s">
        <v>105</v>
      </c>
      <c r="D171" s="14">
        <v>1</v>
      </c>
      <c r="E171" s="15">
        <v>45839</v>
      </c>
      <c r="F171" s="16">
        <v>45841</v>
      </c>
    </row>
    <row r="172" spans="1:6" x14ac:dyDescent="0.25">
      <c r="A172" s="7">
        <v>171</v>
      </c>
      <c r="B172" s="8" t="s">
        <v>43</v>
      </c>
      <c r="C172" s="8" t="s">
        <v>141</v>
      </c>
      <c r="D172" s="9">
        <v>2</v>
      </c>
      <c r="E172" s="10">
        <v>45809</v>
      </c>
      <c r="F172" s="11">
        <v>45812</v>
      </c>
    </row>
    <row r="173" spans="1:6" x14ac:dyDescent="0.25">
      <c r="A173" s="12">
        <v>172</v>
      </c>
      <c r="B173" s="13" t="s">
        <v>84</v>
      </c>
      <c r="C173" s="13" t="s">
        <v>169</v>
      </c>
      <c r="D173" s="14">
        <v>3</v>
      </c>
      <c r="E173" s="15">
        <v>45883</v>
      </c>
      <c r="F173" s="16">
        <v>45886</v>
      </c>
    </row>
    <row r="174" spans="1:6" x14ac:dyDescent="0.25">
      <c r="A174" s="7">
        <v>173</v>
      </c>
      <c r="B174" s="8" t="s">
        <v>45</v>
      </c>
      <c r="C174" s="8" t="s">
        <v>171</v>
      </c>
      <c r="D174" s="9">
        <v>3</v>
      </c>
      <c r="E174" s="10">
        <v>45883</v>
      </c>
      <c r="F174" s="11">
        <v>45886</v>
      </c>
    </row>
    <row r="175" spans="1:6" x14ac:dyDescent="0.25">
      <c r="A175" s="12">
        <v>174</v>
      </c>
      <c r="B175" s="13" t="s">
        <v>34</v>
      </c>
      <c r="C175" s="13" t="s">
        <v>134</v>
      </c>
      <c r="D175" s="14">
        <v>3</v>
      </c>
      <c r="E175" s="15">
        <v>45883</v>
      </c>
      <c r="F175" s="16">
        <v>45886</v>
      </c>
    </row>
    <row r="176" spans="1:6" x14ac:dyDescent="0.25">
      <c r="A176" s="7">
        <v>175</v>
      </c>
      <c r="B176" s="8" t="s">
        <v>6</v>
      </c>
      <c r="C176" s="8" t="s">
        <v>156</v>
      </c>
      <c r="D176" s="9">
        <v>4</v>
      </c>
      <c r="E176" s="10">
        <v>45883</v>
      </c>
      <c r="F176" s="11">
        <v>45886</v>
      </c>
    </row>
    <row r="177" spans="1:6" x14ac:dyDescent="0.25">
      <c r="A177" s="12">
        <v>176</v>
      </c>
      <c r="B177" s="13" t="s">
        <v>54</v>
      </c>
      <c r="C177" s="13" t="s">
        <v>117</v>
      </c>
      <c r="D177" s="14">
        <v>4</v>
      </c>
      <c r="E177" s="15">
        <v>45809</v>
      </c>
      <c r="F177" s="16">
        <v>45812</v>
      </c>
    </row>
    <row r="178" spans="1:6" x14ac:dyDescent="0.25">
      <c r="A178" s="7">
        <v>177</v>
      </c>
      <c r="B178" s="8" t="s">
        <v>110</v>
      </c>
      <c r="C178" s="8" t="s">
        <v>172</v>
      </c>
      <c r="D178" s="9">
        <v>3</v>
      </c>
      <c r="E178" s="10">
        <v>45839</v>
      </c>
      <c r="F178" s="11">
        <v>45852</v>
      </c>
    </row>
    <row r="179" spans="1:6" x14ac:dyDescent="0.25">
      <c r="A179" s="12">
        <v>178</v>
      </c>
      <c r="B179" s="13" t="s">
        <v>38</v>
      </c>
      <c r="C179" s="13" t="s">
        <v>161</v>
      </c>
      <c r="D179" s="14">
        <v>4</v>
      </c>
      <c r="E179" s="15">
        <v>45883</v>
      </c>
      <c r="F179" s="16">
        <v>45886</v>
      </c>
    </row>
    <row r="180" spans="1:6" x14ac:dyDescent="0.25">
      <c r="A180" s="7">
        <v>179</v>
      </c>
      <c r="B180" s="8" t="s">
        <v>23</v>
      </c>
      <c r="C180" s="8" t="s">
        <v>159</v>
      </c>
      <c r="D180" s="9">
        <v>2</v>
      </c>
      <c r="E180" s="10">
        <v>45883</v>
      </c>
      <c r="F180" s="11">
        <v>45886</v>
      </c>
    </row>
    <row r="181" spans="1:6" x14ac:dyDescent="0.25">
      <c r="A181" s="12">
        <v>180</v>
      </c>
      <c r="B181" s="13" t="s">
        <v>34</v>
      </c>
      <c r="C181" s="13" t="s">
        <v>134</v>
      </c>
      <c r="D181" s="14">
        <v>4</v>
      </c>
      <c r="E181" s="15">
        <v>45809</v>
      </c>
      <c r="F181" s="16">
        <v>45812</v>
      </c>
    </row>
    <row r="182" spans="1:6" x14ac:dyDescent="0.25">
      <c r="A182" s="7">
        <v>181</v>
      </c>
      <c r="B182" s="8" t="s">
        <v>45</v>
      </c>
      <c r="C182" s="8" t="s">
        <v>171</v>
      </c>
      <c r="D182" s="9">
        <v>1</v>
      </c>
      <c r="E182" s="10">
        <v>45809</v>
      </c>
      <c r="F182" s="11">
        <v>45812</v>
      </c>
    </row>
    <row r="183" spans="1:6" x14ac:dyDescent="0.25">
      <c r="A183" s="12">
        <v>182</v>
      </c>
      <c r="B183" s="13" t="s">
        <v>165</v>
      </c>
      <c r="C183" s="13" t="s">
        <v>166</v>
      </c>
      <c r="D183" s="14">
        <v>2</v>
      </c>
      <c r="E183" s="15">
        <v>45883</v>
      </c>
      <c r="F183" s="16">
        <v>45886</v>
      </c>
    </row>
    <row r="184" spans="1:6" x14ac:dyDescent="0.25">
      <c r="A184" s="7">
        <v>183</v>
      </c>
      <c r="B184" s="8" t="s">
        <v>20</v>
      </c>
      <c r="C184" s="8" t="s">
        <v>173</v>
      </c>
      <c r="D184" s="9">
        <v>2</v>
      </c>
      <c r="E184" s="10">
        <v>45883</v>
      </c>
      <c r="F184" s="11">
        <v>45886</v>
      </c>
    </row>
    <row r="185" spans="1:6" x14ac:dyDescent="0.25">
      <c r="A185" s="12">
        <v>184</v>
      </c>
      <c r="B185" s="13" t="s">
        <v>6</v>
      </c>
      <c r="C185" s="13" t="s">
        <v>7</v>
      </c>
      <c r="D185" s="14">
        <v>2</v>
      </c>
      <c r="E185" s="15">
        <v>45883</v>
      </c>
      <c r="F185" s="16">
        <v>45886</v>
      </c>
    </row>
    <row r="186" spans="1:6" x14ac:dyDescent="0.25">
      <c r="A186" s="7">
        <v>185</v>
      </c>
      <c r="B186" s="8" t="s">
        <v>110</v>
      </c>
      <c r="C186" s="8" t="s">
        <v>172</v>
      </c>
      <c r="D186" s="9">
        <v>2</v>
      </c>
      <c r="E186" s="10">
        <v>45883</v>
      </c>
      <c r="F186" s="11">
        <v>45886</v>
      </c>
    </row>
    <row r="187" spans="1:6" x14ac:dyDescent="0.25">
      <c r="A187" s="12">
        <v>186</v>
      </c>
      <c r="B187" s="13" t="s">
        <v>14</v>
      </c>
      <c r="C187" s="13" t="s">
        <v>116</v>
      </c>
      <c r="D187" s="14">
        <v>2</v>
      </c>
      <c r="E187" s="15">
        <v>45883</v>
      </c>
      <c r="F187" s="16">
        <v>45886</v>
      </c>
    </row>
    <row r="188" spans="1:6" x14ac:dyDescent="0.25">
      <c r="A188" s="7">
        <v>187</v>
      </c>
      <c r="B188" s="8" t="s">
        <v>73</v>
      </c>
      <c r="C188" s="8" t="s">
        <v>129</v>
      </c>
      <c r="D188" s="9">
        <v>2</v>
      </c>
      <c r="E188" s="10">
        <v>45883</v>
      </c>
      <c r="F188" s="11">
        <v>45886</v>
      </c>
    </row>
    <row r="189" spans="1:6" x14ac:dyDescent="0.25">
      <c r="A189" s="12">
        <v>188</v>
      </c>
      <c r="B189" s="13" t="s">
        <v>20</v>
      </c>
      <c r="C189" s="13" t="s">
        <v>173</v>
      </c>
      <c r="D189" s="14">
        <v>2</v>
      </c>
      <c r="E189" s="15">
        <v>45885</v>
      </c>
      <c r="F189" s="16">
        <v>45886</v>
      </c>
    </row>
    <row r="190" spans="1:6" x14ac:dyDescent="0.25">
      <c r="A190" s="7">
        <v>189</v>
      </c>
      <c r="B190" s="8" t="s">
        <v>102</v>
      </c>
      <c r="C190" s="8" t="s">
        <v>174</v>
      </c>
      <c r="D190" s="9">
        <v>3</v>
      </c>
      <c r="E190" s="10">
        <v>45889</v>
      </c>
      <c r="F190" s="11">
        <v>45891</v>
      </c>
    </row>
    <row r="191" spans="1:6" x14ac:dyDescent="0.25">
      <c r="A191" s="12">
        <v>190</v>
      </c>
      <c r="B191" s="13" t="s">
        <v>84</v>
      </c>
      <c r="C191" s="13" t="s">
        <v>92</v>
      </c>
      <c r="D191" s="14">
        <v>3</v>
      </c>
      <c r="E191" s="15">
        <v>45889</v>
      </c>
      <c r="F191" s="16">
        <v>45891</v>
      </c>
    </row>
    <row r="192" spans="1:6" x14ac:dyDescent="0.25">
      <c r="A192" s="7">
        <v>191</v>
      </c>
      <c r="B192" s="8" t="s">
        <v>54</v>
      </c>
      <c r="C192" s="8" t="s">
        <v>117</v>
      </c>
      <c r="D192" s="9">
        <v>3</v>
      </c>
      <c r="E192" s="10">
        <v>45889</v>
      </c>
      <c r="F192" s="11">
        <v>45891</v>
      </c>
    </row>
    <row r="193" spans="1:6" x14ac:dyDescent="0.25">
      <c r="A193" s="12">
        <v>192</v>
      </c>
      <c r="B193" s="13" t="s">
        <v>29</v>
      </c>
      <c r="C193" s="13" t="s">
        <v>177</v>
      </c>
      <c r="D193" s="14">
        <v>1</v>
      </c>
      <c r="E193" s="15">
        <v>45809</v>
      </c>
      <c r="F193" s="16">
        <v>45812</v>
      </c>
    </row>
    <row r="194" spans="1:6" x14ac:dyDescent="0.25">
      <c r="A194" s="7">
        <v>193</v>
      </c>
      <c r="B194" s="8" t="s">
        <v>73</v>
      </c>
      <c r="C194" s="8" t="s">
        <v>129</v>
      </c>
      <c r="D194" s="9">
        <v>1</v>
      </c>
      <c r="E194" s="10">
        <v>45809</v>
      </c>
      <c r="F194" s="11">
        <v>45812</v>
      </c>
    </row>
    <row r="195" spans="1:6" x14ac:dyDescent="0.25">
      <c r="A195" s="12">
        <v>194</v>
      </c>
      <c r="B195" s="13" t="s">
        <v>29</v>
      </c>
      <c r="C195" s="13" t="s">
        <v>124</v>
      </c>
      <c r="D195" s="14">
        <v>3</v>
      </c>
      <c r="E195" s="15">
        <v>45889</v>
      </c>
      <c r="F195" s="16">
        <v>45891</v>
      </c>
    </row>
    <row r="196" spans="1:6" x14ac:dyDescent="0.25">
      <c r="A196" s="7">
        <v>195</v>
      </c>
      <c r="B196" s="8" t="s">
        <v>54</v>
      </c>
      <c r="C196" s="8" t="s">
        <v>117</v>
      </c>
      <c r="D196" s="9">
        <v>1</v>
      </c>
      <c r="E196" s="10">
        <v>45897</v>
      </c>
      <c r="F196" s="11">
        <v>45898</v>
      </c>
    </row>
    <row r="197" spans="1:6" x14ac:dyDescent="0.25">
      <c r="A197" s="12">
        <v>196</v>
      </c>
      <c r="B197" s="13" t="s">
        <v>84</v>
      </c>
      <c r="C197" s="13" t="s">
        <v>169</v>
      </c>
      <c r="D197" s="14">
        <v>1</v>
      </c>
      <c r="E197" s="15">
        <v>45897</v>
      </c>
      <c r="F197" s="16">
        <v>45898</v>
      </c>
    </row>
    <row r="198" spans="1:6" x14ac:dyDescent="0.25">
      <c r="A198" s="7">
        <v>197</v>
      </c>
      <c r="B198" s="8" t="s">
        <v>16</v>
      </c>
      <c r="C198" s="8" t="s">
        <v>17</v>
      </c>
      <c r="D198" s="9">
        <v>1</v>
      </c>
      <c r="E198" s="10">
        <v>45897</v>
      </c>
      <c r="F198" s="11">
        <v>45898</v>
      </c>
    </row>
    <row r="199" spans="1:6" x14ac:dyDescent="0.25">
      <c r="A199" s="12">
        <v>198</v>
      </c>
      <c r="B199" s="13" t="s">
        <v>84</v>
      </c>
      <c r="C199" s="13" t="s">
        <v>149</v>
      </c>
      <c r="D199" s="14">
        <v>2</v>
      </c>
      <c r="E199" s="15">
        <v>45839</v>
      </c>
      <c r="F199" s="16">
        <v>45852</v>
      </c>
    </row>
    <row r="200" spans="1:6" x14ac:dyDescent="0.25">
      <c r="A200" s="7">
        <v>199</v>
      </c>
      <c r="B200" s="8" t="s">
        <v>34</v>
      </c>
      <c r="C200" s="8" t="s">
        <v>134</v>
      </c>
      <c r="D200" s="9">
        <v>3</v>
      </c>
      <c r="E200" s="10">
        <v>45809</v>
      </c>
      <c r="F200" s="11">
        <v>45812</v>
      </c>
    </row>
    <row r="201" spans="1:6" x14ac:dyDescent="0.25">
      <c r="A201" s="2">
        <v>200</v>
      </c>
      <c r="B201" s="17" t="s">
        <v>54</v>
      </c>
      <c r="C201" s="17" t="s">
        <v>117</v>
      </c>
      <c r="D201" s="3">
        <v>3</v>
      </c>
      <c r="E201" s="18">
        <v>45809</v>
      </c>
      <c r="F201" s="19">
        <v>45812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3327-6434-4B66-8898-1D310607E2BA}">
  <dimension ref="A1:M201"/>
  <sheetViews>
    <sheetView zoomScale="160" zoomScaleNormal="160" workbookViewId="0">
      <selection activeCell="M3" sqref="M3"/>
    </sheetView>
  </sheetViews>
  <sheetFormatPr defaultRowHeight="15" x14ac:dyDescent="0.25"/>
  <cols>
    <col min="1" max="1" width="5.85546875" bestFit="1" customWidth="1"/>
    <col min="2" max="2" width="10.85546875" bestFit="1" customWidth="1"/>
    <col min="3" max="3" width="14.85546875" bestFit="1" customWidth="1"/>
    <col min="4" max="4" width="13" bestFit="1" customWidth="1"/>
    <col min="5" max="5" width="11" bestFit="1" customWidth="1"/>
    <col min="6" max="6" width="10.5703125" bestFit="1" customWidth="1"/>
    <col min="8" max="8" width="18.85546875" bestFit="1" customWidth="1"/>
    <col min="9" max="9" width="18" bestFit="1" customWidth="1"/>
  </cols>
  <sheetData>
    <row r="1" spans="1:13" x14ac:dyDescent="0.25">
      <c r="A1" s="4">
        <v>1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13" x14ac:dyDescent="0.25">
      <c r="A2" s="7">
        <v>1</v>
      </c>
      <c r="B2" s="8" t="s">
        <v>6</v>
      </c>
      <c r="C2" s="8" t="s">
        <v>7</v>
      </c>
      <c r="D2" s="9">
        <v>2</v>
      </c>
      <c r="E2" s="10">
        <v>45778</v>
      </c>
      <c r="F2" s="11">
        <v>45780</v>
      </c>
    </row>
    <row r="3" spans="1:13" x14ac:dyDescent="0.25">
      <c r="A3" s="12">
        <v>2</v>
      </c>
      <c r="B3" s="13" t="s">
        <v>8</v>
      </c>
      <c r="C3" s="13" t="s">
        <v>9</v>
      </c>
      <c r="D3" s="14">
        <v>3</v>
      </c>
      <c r="E3" s="15">
        <v>45787</v>
      </c>
      <c r="F3" s="16">
        <v>45792</v>
      </c>
      <c r="H3" s="20" t="s">
        <v>186</v>
      </c>
      <c r="I3" t="s">
        <v>188</v>
      </c>
      <c r="K3" s="23" t="s">
        <v>54</v>
      </c>
      <c r="L3" s="22" t="s">
        <v>117</v>
      </c>
      <c r="M3">
        <v>7</v>
      </c>
    </row>
    <row r="4" spans="1:13" x14ac:dyDescent="0.25">
      <c r="A4" s="7">
        <v>3</v>
      </c>
      <c r="B4" s="8" t="s">
        <v>10</v>
      </c>
      <c r="C4" s="8" t="s">
        <v>11</v>
      </c>
      <c r="D4" s="9">
        <v>2</v>
      </c>
      <c r="E4" s="10">
        <v>45809</v>
      </c>
      <c r="F4" s="11">
        <v>45812</v>
      </c>
      <c r="H4" s="21" t="s">
        <v>16</v>
      </c>
      <c r="I4" s="1">
        <v>8</v>
      </c>
    </row>
    <row r="5" spans="1:13" x14ac:dyDescent="0.25">
      <c r="A5" s="12">
        <v>4</v>
      </c>
      <c r="B5" s="13" t="s">
        <v>12</v>
      </c>
      <c r="C5" s="13" t="s">
        <v>13</v>
      </c>
      <c r="D5" s="14">
        <v>2</v>
      </c>
      <c r="E5" s="15">
        <v>45803</v>
      </c>
      <c r="F5" s="16">
        <v>45805</v>
      </c>
      <c r="H5" s="22" t="s">
        <v>150</v>
      </c>
      <c r="I5" s="1">
        <v>1</v>
      </c>
    </row>
    <row r="6" spans="1:13" x14ac:dyDescent="0.25">
      <c r="A6" s="7">
        <v>5</v>
      </c>
      <c r="B6" s="8" t="s">
        <v>14</v>
      </c>
      <c r="C6" s="8" t="s">
        <v>15</v>
      </c>
      <c r="D6" s="9">
        <v>1</v>
      </c>
      <c r="E6" s="10">
        <v>45795</v>
      </c>
      <c r="F6" s="11">
        <v>45798</v>
      </c>
      <c r="H6" s="22" t="s">
        <v>57</v>
      </c>
      <c r="I6" s="1">
        <v>1</v>
      </c>
    </row>
    <row r="7" spans="1:13" x14ac:dyDescent="0.25">
      <c r="A7" s="12">
        <v>6</v>
      </c>
      <c r="B7" s="13" t="s">
        <v>16</v>
      </c>
      <c r="C7" s="13" t="s">
        <v>17</v>
      </c>
      <c r="D7" s="14">
        <v>3</v>
      </c>
      <c r="E7" s="15">
        <v>45816</v>
      </c>
      <c r="F7" s="16">
        <v>45817</v>
      </c>
      <c r="H7" s="22" t="s">
        <v>91</v>
      </c>
      <c r="I7" s="1">
        <v>1</v>
      </c>
    </row>
    <row r="8" spans="1:13" x14ac:dyDescent="0.25">
      <c r="A8" s="7">
        <v>7</v>
      </c>
      <c r="B8" s="8" t="s">
        <v>18</v>
      </c>
      <c r="C8" s="8" t="s">
        <v>19</v>
      </c>
      <c r="D8" s="9">
        <v>3</v>
      </c>
      <c r="E8" s="10">
        <v>45787</v>
      </c>
      <c r="F8" s="11">
        <v>45792</v>
      </c>
      <c r="H8" s="22" t="s">
        <v>109</v>
      </c>
      <c r="I8" s="1">
        <v>1</v>
      </c>
    </row>
    <row r="9" spans="1:13" x14ac:dyDescent="0.25">
      <c r="A9" s="12">
        <v>8</v>
      </c>
      <c r="B9" s="13" t="s">
        <v>20</v>
      </c>
      <c r="C9" s="13" t="s">
        <v>21</v>
      </c>
      <c r="D9" s="14">
        <v>2</v>
      </c>
      <c r="E9" s="15">
        <v>45825</v>
      </c>
      <c r="F9" s="16">
        <v>45827</v>
      </c>
      <c r="H9" s="22" t="s">
        <v>104</v>
      </c>
      <c r="I9" s="1">
        <v>1</v>
      </c>
    </row>
    <row r="10" spans="1:13" x14ac:dyDescent="0.25">
      <c r="A10" s="7">
        <v>9</v>
      </c>
      <c r="B10" s="8" t="s">
        <v>8</v>
      </c>
      <c r="C10" s="8" t="s">
        <v>22</v>
      </c>
      <c r="D10" s="9">
        <v>2</v>
      </c>
      <c r="E10" s="10">
        <v>45839</v>
      </c>
      <c r="F10" s="11">
        <v>45841</v>
      </c>
      <c r="H10" s="22" t="s">
        <v>139</v>
      </c>
      <c r="I10" s="1">
        <v>1</v>
      </c>
    </row>
    <row r="11" spans="1:13" x14ac:dyDescent="0.25">
      <c r="A11" s="12">
        <v>10</v>
      </c>
      <c r="B11" s="13" t="s">
        <v>23</v>
      </c>
      <c r="C11" s="13" t="s">
        <v>24</v>
      </c>
      <c r="D11" s="14">
        <v>2</v>
      </c>
      <c r="E11" s="15">
        <v>45778</v>
      </c>
      <c r="F11" s="16">
        <v>45780</v>
      </c>
      <c r="H11" s="22" t="s">
        <v>17</v>
      </c>
      <c r="I11" s="1">
        <v>2</v>
      </c>
    </row>
    <row r="12" spans="1:13" x14ac:dyDescent="0.25">
      <c r="A12" s="7">
        <v>11</v>
      </c>
      <c r="B12" s="8" t="s">
        <v>8</v>
      </c>
      <c r="C12" s="8" t="s">
        <v>25</v>
      </c>
      <c r="D12" s="9">
        <v>4</v>
      </c>
      <c r="E12" s="10">
        <v>45853</v>
      </c>
      <c r="F12" s="11">
        <v>45856</v>
      </c>
      <c r="H12" s="21" t="s">
        <v>14</v>
      </c>
      <c r="I12" s="1">
        <v>10</v>
      </c>
    </row>
    <row r="13" spans="1:13" x14ac:dyDescent="0.25">
      <c r="A13" s="12">
        <v>12</v>
      </c>
      <c r="B13" s="13" t="s">
        <v>26</v>
      </c>
      <c r="C13" s="13" t="s">
        <v>27</v>
      </c>
      <c r="D13" s="14">
        <v>1</v>
      </c>
      <c r="E13" s="15">
        <v>45782</v>
      </c>
      <c r="F13" s="16">
        <v>45786</v>
      </c>
      <c r="H13" s="22" t="s">
        <v>116</v>
      </c>
      <c r="I13" s="1">
        <v>4</v>
      </c>
    </row>
    <row r="14" spans="1:13" x14ac:dyDescent="0.25">
      <c r="A14" s="7">
        <v>13</v>
      </c>
      <c r="B14" s="8" t="s">
        <v>23</v>
      </c>
      <c r="C14" s="8" t="s">
        <v>28</v>
      </c>
      <c r="D14" s="9">
        <v>2</v>
      </c>
      <c r="E14" s="10">
        <v>45809</v>
      </c>
      <c r="F14" s="11">
        <v>45812</v>
      </c>
      <c r="H14" s="22" t="s">
        <v>105</v>
      </c>
      <c r="I14" s="1">
        <v>2</v>
      </c>
    </row>
    <row r="15" spans="1:13" x14ac:dyDescent="0.25">
      <c r="A15" s="12">
        <v>14</v>
      </c>
      <c r="B15" s="13" t="s">
        <v>29</v>
      </c>
      <c r="C15" s="13" t="s">
        <v>30</v>
      </c>
      <c r="D15" s="14">
        <v>1</v>
      </c>
      <c r="E15" s="15">
        <v>45782</v>
      </c>
      <c r="F15" s="16">
        <v>45786</v>
      </c>
      <c r="H15" s="22" t="s">
        <v>15</v>
      </c>
      <c r="I15" s="1">
        <v>1</v>
      </c>
    </row>
    <row r="16" spans="1:13" x14ac:dyDescent="0.25">
      <c r="A16" s="7">
        <v>15</v>
      </c>
      <c r="B16" s="8" t="s">
        <v>6</v>
      </c>
      <c r="C16" s="8" t="s">
        <v>31</v>
      </c>
      <c r="D16" s="9">
        <v>1</v>
      </c>
      <c r="E16" s="10">
        <v>45782</v>
      </c>
      <c r="F16" s="11">
        <v>45786</v>
      </c>
      <c r="H16" s="22" t="s">
        <v>93</v>
      </c>
      <c r="I16" s="1">
        <v>1</v>
      </c>
    </row>
    <row r="17" spans="1:9" x14ac:dyDescent="0.25">
      <c r="A17" s="12">
        <v>16</v>
      </c>
      <c r="B17" s="13" t="s">
        <v>32</v>
      </c>
      <c r="C17" s="13" t="s">
        <v>33</v>
      </c>
      <c r="D17" s="14">
        <v>1</v>
      </c>
      <c r="E17" s="15">
        <v>45778</v>
      </c>
      <c r="F17" s="16">
        <v>45780</v>
      </c>
      <c r="H17" s="22" t="s">
        <v>70</v>
      </c>
      <c r="I17" s="1">
        <v>1</v>
      </c>
    </row>
    <row r="18" spans="1:9" x14ac:dyDescent="0.25">
      <c r="A18" s="7">
        <v>17</v>
      </c>
      <c r="B18" s="8" t="s">
        <v>34</v>
      </c>
      <c r="C18" s="8" t="s">
        <v>35</v>
      </c>
      <c r="D18" s="9">
        <v>2</v>
      </c>
      <c r="E18" s="10">
        <v>45782</v>
      </c>
      <c r="F18" s="11">
        <v>45786</v>
      </c>
      <c r="H18" s="22" t="s">
        <v>151</v>
      </c>
      <c r="I18" s="1">
        <v>1</v>
      </c>
    </row>
    <row r="19" spans="1:9" x14ac:dyDescent="0.25">
      <c r="A19" s="12">
        <v>18</v>
      </c>
      <c r="B19" s="13" t="s">
        <v>36</v>
      </c>
      <c r="C19" s="13" t="s">
        <v>37</v>
      </c>
      <c r="D19" s="14">
        <v>2</v>
      </c>
      <c r="E19" s="15">
        <v>45782</v>
      </c>
      <c r="F19" s="16">
        <v>45786</v>
      </c>
      <c r="H19" s="21" t="s">
        <v>73</v>
      </c>
      <c r="I19" s="1">
        <v>5</v>
      </c>
    </row>
    <row r="20" spans="1:9" x14ac:dyDescent="0.25">
      <c r="A20" s="7">
        <v>19</v>
      </c>
      <c r="B20" s="8" t="s">
        <v>38</v>
      </c>
      <c r="C20" s="8" t="s">
        <v>39</v>
      </c>
      <c r="D20" s="9">
        <v>2</v>
      </c>
      <c r="E20" s="10">
        <v>45782</v>
      </c>
      <c r="F20" s="11">
        <v>45786</v>
      </c>
      <c r="H20" s="22" t="s">
        <v>129</v>
      </c>
      <c r="I20" s="1">
        <v>3</v>
      </c>
    </row>
    <row r="21" spans="1:9" x14ac:dyDescent="0.25">
      <c r="A21" s="12">
        <v>20</v>
      </c>
      <c r="B21" s="13" t="s">
        <v>40</v>
      </c>
      <c r="C21" s="13" t="s">
        <v>41</v>
      </c>
      <c r="D21" s="14">
        <v>2</v>
      </c>
      <c r="E21" s="15">
        <v>45839</v>
      </c>
      <c r="F21" s="16">
        <v>45841</v>
      </c>
      <c r="H21" s="22" t="s">
        <v>74</v>
      </c>
      <c r="I21" s="1">
        <v>1</v>
      </c>
    </row>
    <row r="22" spans="1:9" x14ac:dyDescent="0.25">
      <c r="A22" s="7">
        <v>21</v>
      </c>
      <c r="B22" s="8" t="s">
        <v>18</v>
      </c>
      <c r="C22" s="8" t="s">
        <v>42</v>
      </c>
      <c r="D22" s="9">
        <v>2</v>
      </c>
      <c r="E22" s="10">
        <v>45825</v>
      </c>
      <c r="F22" s="11">
        <v>45827</v>
      </c>
      <c r="H22" s="22" t="s">
        <v>78</v>
      </c>
      <c r="I22" s="1">
        <v>1</v>
      </c>
    </row>
    <row r="23" spans="1:9" x14ac:dyDescent="0.25">
      <c r="A23" s="12">
        <v>22</v>
      </c>
      <c r="B23" s="13" t="s">
        <v>43</v>
      </c>
      <c r="C23" s="13" t="s">
        <v>44</v>
      </c>
      <c r="D23" s="14">
        <v>2</v>
      </c>
      <c r="E23" s="15">
        <v>45809</v>
      </c>
      <c r="F23" s="16">
        <v>45812</v>
      </c>
      <c r="H23" s="21" t="s">
        <v>34</v>
      </c>
      <c r="I23" s="1">
        <v>11</v>
      </c>
    </row>
    <row r="24" spans="1:9" x14ac:dyDescent="0.25">
      <c r="A24" s="7">
        <v>23</v>
      </c>
      <c r="B24" s="8" t="s">
        <v>45</v>
      </c>
      <c r="C24" s="8" t="s">
        <v>46</v>
      </c>
      <c r="D24" s="9">
        <v>3</v>
      </c>
      <c r="E24" s="10">
        <v>45787</v>
      </c>
      <c r="F24" s="11">
        <v>45792</v>
      </c>
      <c r="H24" s="22" t="s">
        <v>61</v>
      </c>
      <c r="I24" s="1">
        <v>1</v>
      </c>
    </row>
    <row r="25" spans="1:9" x14ac:dyDescent="0.25">
      <c r="A25" s="12">
        <v>24</v>
      </c>
      <c r="B25" s="13" t="s">
        <v>47</v>
      </c>
      <c r="C25" s="13" t="s">
        <v>48</v>
      </c>
      <c r="D25" s="14">
        <v>4</v>
      </c>
      <c r="E25" s="15">
        <v>45853</v>
      </c>
      <c r="F25" s="16">
        <v>45856</v>
      </c>
      <c r="H25" s="22" t="s">
        <v>35</v>
      </c>
      <c r="I25" s="1">
        <v>1</v>
      </c>
    </row>
    <row r="26" spans="1:9" x14ac:dyDescent="0.25">
      <c r="A26" s="7">
        <v>25</v>
      </c>
      <c r="B26" s="8" t="s">
        <v>49</v>
      </c>
      <c r="C26" s="8" t="s">
        <v>50</v>
      </c>
      <c r="D26" s="9">
        <v>2</v>
      </c>
      <c r="E26" s="10">
        <v>45782</v>
      </c>
      <c r="F26" s="11">
        <v>45786</v>
      </c>
      <c r="H26" s="22" t="s">
        <v>179</v>
      </c>
      <c r="I26" s="1">
        <v>1</v>
      </c>
    </row>
    <row r="27" spans="1:9" x14ac:dyDescent="0.25">
      <c r="A27" s="12">
        <v>26</v>
      </c>
      <c r="B27" s="13" t="s">
        <v>51</v>
      </c>
      <c r="C27" s="13" t="s">
        <v>52</v>
      </c>
      <c r="D27" s="14">
        <v>2</v>
      </c>
      <c r="E27" s="15">
        <v>45782</v>
      </c>
      <c r="F27" s="16">
        <v>45786</v>
      </c>
      <c r="H27" s="22" t="s">
        <v>125</v>
      </c>
      <c r="I27" s="1">
        <v>1</v>
      </c>
    </row>
    <row r="28" spans="1:9" x14ac:dyDescent="0.25">
      <c r="A28" s="7">
        <v>27</v>
      </c>
      <c r="B28" s="8" t="s">
        <v>34</v>
      </c>
      <c r="C28" s="8" t="s">
        <v>53</v>
      </c>
      <c r="D28" s="9">
        <v>3</v>
      </c>
      <c r="E28" s="10">
        <v>45782</v>
      </c>
      <c r="F28" s="11">
        <v>45786</v>
      </c>
      <c r="H28" s="22" t="s">
        <v>53</v>
      </c>
      <c r="I28" s="1">
        <v>1</v>
      </c>
    </row>
    <row r="29" spans="1:9" x14ac:dyDescent="0.25">
      <c r="A29" s="12">
        <v>28</v>
      </c>
      <c r="B29" s="13" t="s">
        <v>54</v>
      </c>
      <c r="C29" s="13" t="s">
        <v>55</v>
      </c>
      <c r="D29" s="14">
        <v>3</v>
      </c>
      <c r="E29" s="15">
        <v>45782</v>
      </c>
      <c r="F29" s="16">
        <v>45786</v>
      </c>
      <c r="H29" s="22" t="s">
        <v>134</v>
      </c>
      <c r="I29" s="1">
        <v>5</v>
      </c>
    </row>
    <row r="30" spans="1:9" x14ac:dyDescent="0.25">
      <c r="A30" s="7">
        <v>29</v>
      </c>
      <c r="B30" s="8" t="s">
        <v>18</v>
      </c>
      <c r="C30" s="8" t="s">
        <v>56</v>
      </c>
      <c r="D30" s="9">
        <v>3</v>
      </c>
      <c r="E30" s="10">
        <v>45782</v>
      </c>
      <c r="F30" s="11">
        <v>45786</v>
      </c>
      <c r="H30" s="22" t="s">
        <v>126</v>
      </c>
      <c r="I30" s="1">
        <v>1</v>
      </c>
    </row>
    <row r="31" spans="1:9" x14ac:dyDescent="0.25">
      <c r="A31" s="12">
        <v>30</v>
      </c>
      <c r="B31" s="13" t="s">
        <v>16</v>
      </c>
      <c r="C31" s="13" t="s">
        <v>57</v>
      </c>
      <c r="D31" s="14">
        <v>1</v>
      </c>
      <c r="E31" s="15">
        <v>45853</v>
      </c>
      <c r="F31" s="16">
        <v>45856</v>
      </c>
      <c r="H31" s="21" t="s">
        <v>26</v>
      </c>
      <c r="I31" s="1">
        <v>7</v>
      </c>
    </row>
    <row r="32" spans="1:9" x14ac:dyDescent="0.25">
      <c r="A32" s="7">
        <v>31</v>
      </c>
      <c r="B32" s="8" t="s">
        <v>29</v>
      </c>
      <c r="C32" s="8" t="s">
        <v>58</v>
      </c>
      <c r="D32" s="9">
        <v>2</v>
      </c>
      <c r="E32" s="10">
        <v>45839</v>
      </c>
      <c r="F32" s="11">
        <v>45841</v>
      </c>
      <c r="H32" s="22" t="s">
        <v>80</v>
      </c>
      <c r="I32" s="1">
        <v>1</v>
      </c>
    </row>
    <row r="33" spans="1:9" x14ac:dyDescent="0.25">
      <c r="A33" s="12">
        <v>32</v>
      </c>
      <c r="B33" s="13" t="s">
        <v>38</v>
      </c>
      <c r="C33" s="13" t="s">
        <v>59</v>
      </c>
      <c r="D33" s="14">
        <v>4</v>
      </c>
      <c r="E33" s="15">
        <v>45825</v>
      </c>
      <c r="F33" s="16">
        <v>45827</v>
      </c>
      <c r="H33" s="22" t="s">
        <v>88</v>
      </c>
      <c r="I33" s="1">
        <v>1</v>
      </c>
    </row>
    <row r="34" spans="1:9" x14ac:dyDescent="0.25">
      <c r="A34" s="7">
        <v>33</v>
      </c>
      <c r="B34" s="8" t="s">
        <v>12</v>
      </c>
      <c r="C34" s="8" t="s">
        <v>60</v>
      </c>
      <c r="D34" s="9">
        <v>2</v>
      </c>
      <c r="E34" s="10">
        <v>45809</v>
      </c>
      <c r="F34" s="11">
        <v>45812</v>
      </c>
      <c r="H34" s="22" t="s">
        <v>130</v>
      </c>
      <c r="I34" s="1">
        <v>2</v>
      </c>
    </row>
    <row r="35" spans="1:9" x14ac:dyDescent="0.25">
      <c r="A35" s="12">
        <v>34</v>
      </c>
      <c r="B35" s="13" t="s">
        <v>34</v>
      </c>
      <c r="C35" s="13" t="s">
        <v>61</v>
      </c>
      <c r="D35" s="14">
        <v>3</v>
      </c>
      <c r="E35" s="15">
        <v>45782</v>
      </c>
      <c r="F35" s="16">
        <v>45786</v>
      </c>
      <c r="H35" s="22" t="s">
        <v>27</v>
      </c>
      <c r="I35" s="1">
        <v>1</v>
      </c>
    </row>
    <row r="36" spans="1:9" x14ac:dyDescent="0.25">
      <c r="A36" s="7">
        <v>35</v>
      </c>
      <c r="B36" s="8" t="s">
        <v>6</v>
      </c>
      <c r="C36" s="8" t="s">
        <v>62</v>
      </c>
      <c r="D36" s="9">
        <v>4</v>
      </c>
      <c r="E36" s="10">
        <v>45782</v>
      </c>
      <c r="F36" s="11">
        <v>45786</v>
      </c>
      <c r="H36" s="22" t="s">
        <v>64</v>
      </c>
      <c r="I36" s="1">
        <v>1</v>
      </c>
    </row>
    <row r="37" spans="1:9" x14ac:dyDescent="0.25">
      <c r="A37" s="12">
        <v>36</v>
      </c>
      <c r="B37" s="13" t="s">
        <v>43</v>
      </c>
      <c r="C37" s="13" t="s">
        <v>63</v>
      </c>
      <c r="D37" s="14">
        <v>4</v>
      </c>
      <c r="E37" s="15">
        <v>45782</v>
      </c>
      <c r="F37" s="16">
        <v>45786</v>
      </c>
      <c r="H37" s="22" t="s">
        <v>154</v>
      </c>
      <c r="I37" s="1">
        <v>1</v>
      </c>
    </row>
    <row r="38" spans="1:9" x14ac:dyDescent="0.25">
      <c r="A38" s="7">
        <v>37</v>
      </c>
      <c r="B38" s="8" t="s">
        <v>26</v>
      </c>
      <c r="C38" s="8" t="s">
        <v>64</v>
      </c>
      <c r="D38" s="9">
        <v>1</v>
      </c>
      <c r="E38" s="10">
        <v>45795</v>
      </c>
      <c r="F38" s="11">
        <v>45798</v>
      </c>
      <c r="H38" s="21" t="s">
        <v>32</v>
      </c>
      <c r="I38" s="1">
        <v>3</v>
      </c>
    </row>
    <row r="39" spans="1:9" x14ac:dyDescent="0.25">
      <c r="A39" s="12">
        <v>38</v>
      </c>
      <c r="B39" s="13" t="s">
        <v>65</v>
      </c>
      <c r="C39" s="13" t="s">
        <v>66</v>
      </c>
      <c r="D39" s="14">
        <v>2</v>
      </c>
      <c r="E39" s="15">
        <v>45803</v>
      </c>
      <c r="F39" s="16">
        <v>45805</v>
      </c>
      <c r="H39" s="22" t="s">
        <v>96</v>
      </c>
      <c r="I39" s="1">
        <v>1</v>
      </c>
    </row>
    <row r="40" spans="1:9" x14ac:dyDescent="0.25">
      <c r="A40" s="7">
        <v>39</v>
      </c>
      <c r="B40" s="8" t="s">
        <v>65</v>
      </c>
      <c r="C40" s="8" t="s">
        <v>67</v>
      </c>
      <c r="D40" s="9">
        <v>2</v>
      </c>
      <c r="E40" s="10">
        <v>45825</v>
      </c>
      <c r="F40" s="11">
        <v>45827</v>
      </c>
      <c r="H40" s="22" t="s">
        <v>33</v>
      </c>
      <c r="I40" s="1">
        <v>1</v>
      </c>
    </row>
    <row r="41" spans="1:9" x14ac:dyDescent="0.25">
      <c r="A41" s="12">
        <v>40</v>
      </c>
      <c r="B41" s="13" t="s">
        <v>51</v>
      </c>
      <c r="C41" s="13" t="s">
        <v>68</v>
      </c>
      <c r="D41" s="14">
        <v>2</v>
      </c>
      <c r="E41" s="15">
        <v>45828</v>
      </c>
      <c r="F41" s="16">
        <v>45830</v>
      </c>
      <c r="H41" s="22" t="s">
        <v>137</v>
      </c>
      <c r="I41" s="1">
        <v>1</v>
      </c>
    </row>
    <row r="42" spans="1:9" x14ac:dyDescent="0.25">
      <c r="A42" s="7">
        <v>41</v>
      </c>
      <c r="B42" s="8" t="s">
        <v>49</v>
      </c>
      <c r="C42" s="8" t="s">
        <v>69</v>
      </c>
      <c r="D42" s="9">
        <v>2</v>
      </c>
      <c r="E42" s="10">
        <v>45828</v>
      </c>
      <c r="F42" s="11">
        <v>45830</v>
      </c>
      <c r="H42" s="21" t="s">
        <v>38</v>
      </c>
      <c r="I42" s="1">
        <v>8</v>
      </c>
    </row>
    <row r="43" spans="1:9" x14ac:dyDescent="0.25">
      <c r="A43" s="12">
        <v>42</v>
      </c>
      <c r="B43" s="13" t="s">
        <v>14</v>
      </c>
      <c r="C43" s="13" t="s">
        <v>70</v>
      </c>
      <c r="D43" s="14">
        <v>2</v>
      </c>
      <c r="E43" s="15">
        <v>45828</v>
      </c>
      <c r="F43" s="16">
        <v>45830</v>
      </c>
      <c r="H43" s="22" t="s">
        <v>76</v>
      </c>
      <c r="I43" s="1">
        <v>1</v>
      </c>
    </row>
    <row r="44" spans="1:9" x14ac:dyDescent="0.25">
      <c r="A44" s="7">
        <v>43</v>
      </c>
      <c r="B44" s="8" t="s">
        <v>23</v>
      </c>
      <c r="C44" s="8" t="s">
        <v>71</v>
      </c>
      <c r="D44" s="9">
        <v>2</v>
      </c>
      <c r="E44" s="10">
        <v>45828</v>
      </c>
      <c r="F44" s="11">
        <v>45830</v>
      </c>
      <c r="H44" s="22" t="s">
        <v>175</v>
      </c>
      <c r="I44" s="1">
        <v>1</v>
      </c>
    </row>
    <row r="45" spans="1:9" x14ac:dyDescent="0.25">
      <c r="A45" s="12">
        <v>44</v>
      </c>
      <c r="B45" s="13" t="s">
        <v>29</v>
      </c>
      <c r="C45" s="13" t="s">
        <v>72</v>
      </c>
      <c r="D45" s="14">
        <v>2</v>
      </c>
      <c r="E45" s="15">
        <v>45828</v>
      </c>
      <c r="F45" s="16">
        <v>45830</v>
      </c>
      <c r="H45" s="22" t="s">
        <v>162</v>
      </c>
      <c r="I45" s="1">
        <v>1</v>
      </c>
    </row>
    <row r="46" spans="1:9" x14ac:dyDescent="0.25">
      <c r="A46" s="7">
        <v>45</v>
      </c>
      <c r="B46" s="8" t="s">
        <v>73</v>
      </c>
      <c r="C46" s="8" t="s">
        <v>74</v>
      </c>
      <c r="D46" s="9">
        <v>1</v>
      </c>
      <c r="E46" s="10">
        <v>45853</v>
      </c>
      <c r="F46" s="11">
        <v>45856</v>
      </c>
      <c r="H46" s="22" t="s">
        <v>39</v>
      </c>
      <c r="I46" s="1">
        <v>1</v>
      </c>
    </row>
    <row r="47" spans="1:9" x14ac:dyDescent="0.25">
      <c r="A47" s="12">
        <v>46</v>
      </c>
      <c r="B47" s="13" t="s">
        <v>51</v>
      </c>
      <c r="C47" s="13" t="s">
        <v>75</v>
      </c>
      <c r="D47" s="14">
        <v>2</v>
      </c>
      <c r="E47" s="15">
        <v>45809</v>
      </c>
      <c r="F47" s="16">
        <v>45812</v>
      </c>
      <c r="H47" s="22" t="s">
        <v>183</v>
      </c>
      <c r="I47" s="1">
        <v>1</v>
      </c>
    </row>
    <row r="48" spans="1:9" x14ac:dyDescent="0.25">
      <c r="A48" s="7">
        <v>47</v>
      </c>
      <c r="B48" s="8" t="s">
        <v>38</v>
      </c>
      <c r="C48" s="8" t="s">
        <v>76</v>
      </c>
      <c r="D48" s="9">
        <v>3</v>
      </c>
      <c r="E48" s="10">
        <v>45816</v>
      </c>
      <c r="F48" s="11">
        <v>45817</v>
      </c>
      <c r="H48" s="22" t="s">
        <v>161</v>
      </c>
      <c r="I48" s="1">
        <v>2</v>
      </c>
    </row>
    <row r="49" spans="1:9" x14ac:dyDescent="0.25">
      <c r="A49" s="12">
        <v>48</v>
      </c>
      <c r="B49" s="13" t="s">
        <v>45</v>
      </c>
      <c r="C49" s="13" t="s">
        <v>77</v>
      </c>
      <c r="D49" s="14">
        <v>2</v>
      </c>
      <c r="E49" s="15">
        <v>45803</v>
      </c>
      <c r="F49" s="16">
        <v>45805</v>
      </c>
      <c r="H49" s="22" t="s">
        <v>59</v>
      </c>
      <c r="I49" s="1">
        <v>1</v>
      </c>
    </row>
    <row r="50" spans="1:9" x14ac:dyDescent="0.25">
      <c r="A50" s="7">
        <v>49</v>
      </c>
      <c r="B50" s="8" t="s">
        <v>73</v>
      </c>
      <c r="C50" s="8" t="s">
        <v>78</v>
      </c>
      <c r="D50" s="9">
        <v>2</v>
      </c>
      <c r="E50" s="10">
        <v>45828</v>
      </c>
      <c r="F50" s="11">
        <v>45830</v>
      </c>
      <c r="H50" s="21" t="s">
        <v>165</v>
      </c>
      <c r="I50" s="1">
        <v>3</v>
      </c>
    </row>
    <row r="51" spans="1:9" x14ac:dyDescent="0.25">
      <c r="A51" s="12">
        <v>50</v>
      </c>
      <c r="B51" s="13" t="s">
        <v>29</v>
      </c>
      <c r="C51" s="13" t="s">
        <v>79</v>
      </c>
      <c r="D51" s="14">
        <v>2</v>
      </c>
      <c r="E51" s="15">
        <v>45828</v>
      </c>
      <c r="F51" s="16">
        <v>45830</v>
      </c>
      <c r="H51" s="22" t="s">
        <v>166</v>
      </c>
      <c r="I51" s="1">
        <v>3</v>
      </c>
    </row>
    <row r="52" spans="1:9" x14ac:dyDescent="0.25">
      <c r="A52" s="7">
        <v>51</v>
      </c>
      <c r="B52" s="8" t="s">
        <v>26</v>
      </c>
      <c r="C52" s="8" t="s">
        <v>80</v>
      </c>
      <c r="D52" s="9">
        <v>2</v>
      </c>
      <c r="E52" s="10">
        <v>45828</v>
      </c>
      <c r="F52" s="11">
        <v>45830</v>
      </c>
      <c r="H52" s="21" t="s">
        <v>65</v>
      </c>
      <c r="I52" s="1">
        <v>4</v>
      </c>
    </row>
    <row r="53" spans="1:9" x14ac:dyDescent="0.25">
      <c r="A53" s="12">
        <v>52</v>
      </c>
      <c r="B53" s="13" t="s">
        <v>45</v>
      </c>
      <c r="C53" s="13" t="s">
        <v>81</v>
      </c>
      <c r="D53" s="14">
        <v>1</v>
      </c>
      <c r="E53" s="15">
        <v>45828</v>
      </c>
      <c r="F53" s="16">
        <v>45830</v>
      </c>
      <c r="H53" s="22" t="s">
        <v>142</v>
      </c>
      <c r="I53" s="1">
        <v>1</v>
      </c>
    </row>
    <row r="54" spans="1:9" x14ac:dyDescent="0.25">
      <c r="A54" s="7">
        <v>53</v>
      </c>
      <c r="B54" s="8" t="s">
        <v>20</v>
      </c>
      <c r="C54" s="8" t="s">
        <v>82</v>
      </c>
      <c r="D54" s="9">
        <v>1</v>
      </c>
      <c r="E54" s="10">
        <v>45828</v>
      </c>
      <c r="F54" s="11">
        <v>45830</v>
      </c>
      <c r="H54" s="22" t="s">
        <v>66</v>
      </c>
      <c r="I54" s="1">
        <v>1</v>
      </c>
    </row>
    <row r="55" spans="1:9" x14ac:dyDescent="0.25">
      <c r="A55" s="12">
        <v>54</v>
      </c>
      <c r="B55" s="13" t="s">
        <v>23</v>
      </c>
      <c r="C55" s="13" t="s">
        <v>83</v>
      </c>
      <c r="D55" s="14">
        <v>4</v>
      </c>
      <c r="E55" s="15">
        <v>45825</v>
      </c>
      <c r="F55" s="16">
        <v>45827</v>
      </c>
      <c r="H55" s="22" t="s">
        <v>152</v>
      </c>
      <c r="I55" s="1">
        <v>1</v>
      </c>
    </row>
    <row r="56" spans="1:9" x14ac:dyDescent="0.25">
      <c r="A56" s="7">
        <v>55</v>
      </c>
      <c r="B56" s="8" t="s">
        <v>84</v>
      </c>
      <c r="C56" s="8" t="s">
        <v>85</v>
      </c>
      <c r="D56" s="9">
        <v>1</v>
      </c>
      <c r="E56" s="10">
        <v>45795</v>
      </c>
      <c r="F56" s="11">
        <v>45798</v>
      </c>
      <c r="H56" s="22" t="s">
        <v>67</v>
      </c>
      <c r="I56" s="1">
        <v>1</v>
      </c>
    </row>
    <row r="57" spans="1:9" x14ac:dyDescent="0.25">
      <c r="A57" s="12">
        <v>56</v>
      </c>
      <c r="B57" s="13" t="s">
        <v>86</v>
      </c>
      <c r="C57" s="13" t="s">
        <v>87</v>
      </c>
      <c r="D57" s="14">
        <v>1</v>
      </c>
      <c r="E57" s="15">
        <v>45853</v>
      </c>
      <c r="F57" s="16">
        <v>45856</v>
      </c>
      <c r="H57" s="21" t="s">
        <v>10</v>
      </c>
      <c r="I57" s="1">
        <v>2</v>
      </c>
    </row>
    <row r="58" spans="1:9" x14ac:dyDescent="0.25">
      <c r="A58" s="7">
        <v>57</v>
      </c>
      <c r="B58" s="8" t="s">
        <v>26</v>
      </c>
      <c r="C58" s="8" t="s">
        <v>88</v>
      </c>
      <c r="D58" s="9">
        <v>3</v>
      </c>
      <c r="E58" s="10">
        <v>45833</v>
      </c>
      <c r="F58" s="11">
        <v>45837</v>
      </c>
      <c r="H58" s="22" t="s">
        <v>11</v>
      </c>
      <c r="I58" s="1">
        <v>1</v>
      </c>
    </row>
    <row r="59" spans="1:9" x14ac:dyDescent="0.25">
      <c r="A59" s="12">
        <v>58</v>
      </c>
      <c r="B59" s="13" t="s">
        <v>47</v>
      </c>
      <c r="C59" s="13" t="s">
        <v>89</v>
      </c>
      <c r="D59" s="14">
        <v>3</v>
      </c>
      <c r="E59" s="15">
        <v>45833</v>
      </c>
      <c r="F59" s="16">
        <v>45837</v>
      </c>
      <c r="H59" s="22" t="s">
        <v>101</v>
      </c>
      <c r="I59" s="1">
        <v>1</v>
      </c>
    </row>
    <row r="60" spans="1:9" x14ac:dyDescent="0.25">
      <c r="A60" s="7">
        <v>59</v>
      </c>
      <c r="B60" s="8" t="s">
        <v>12</v>
      </c>
      <c r="C60" s="8" t="s">
        <v>90</v>
      </c>
      <c r="D60" s="9">
        <v>2</v>
      </c>
      <c r="E60" s="10">
        <v>45809</v>
      </c>
      <c r="F60" s="11">
        <v>45812</v>
      </c>
      <c r="H60" s="21" t="s">
        <v>47</v>
      </c>
      <c r="I60" s="1">
        <v>2</v>
      </c>
    </row>
    <row r="61" spans="1:9" x14ac:dyDescent="0.25">
      <c r="A61" s="12">
        <v>60</v>
      </c>
      <c r="B61" s="13" t="s">
        <v>16</v>
      </c>
      <c r="C61" s="13" t="s">
        <v>91</v>
      </c>
      <c r="D61" s="14">
        <v>2</v>
      </c>
      <c r="E61" s="15">
        <v>45809</v>
      </c>
      <c r="F61" s="16">
        <v>45812</v>
      </c>
      <c r="H61" s="22" t="s">
        <v>89</v>
      </c>
      <c r="I61" s="1">
        <v>1</v>
      </c>
    </row>
    <row r="62" spans="1:9" x14ac:dyDescent="0.25">
      <c r="A62" s="7">
        <v>61</v>
      </c>
      <c r="B62" s="8" t="s">
        <v>84</v>
      </c>
      <c r="C62" s="8" t="s">
        <v>92</v>
      </c>
      <c r="D62" s="9">
        <v>3</v>
      </c>
      <c r="E62" s="10">
        <v>45778</v>
      </c>
      <c r="F62" s="11">
        <v>45780</v>
      </c>
      <c r="H62" s="22" t="s">
        <v>48</v>
      </c>
      <c r="I62" s="1">
        <v>1</v>
      </c>
    </row>
    <row r="63" spans="1:9" x14ac:dyDescent="0.25">
      <c r="A63" s="12">
        <v>62</v>
      </c>
      <c r="B63" s="13" t="s">
        <v>14</v>
      </c>
      <c r="C63" s="13" t="s">
        <v>93</v>
      </c>
      <c r="D63" s="14">
        <v>3</v>
      </c>
      <c r="E63" s="15">
        <v>45787</v>
      </c>
      <c r="F63" s="16">
        <v>45792</v>
      </c>
      <c r="H63" s="21" t="s">
        <v>18</v>
      </c>
      <c r="I63" s="1">
        <v>8</v>
      </c>
    </row>
    <row r="64" spans="1:9" x14ac:dyDescent="0.25">
      <c r="A64" s="7">
        <v>63</v>
      </c>
      <c r="B64" s="8" t="s">
        <v>12</v>
      </c>
      <c r="C64" s="8" t="s">
        <v>94</v>
      </c>
      <c r="D64" s="9">
        <v>4</v>
      </c>
      <c r="E64" s="10">
        <v>45816</v>
      </c>
      <c r="F64" s="11">
        <v>45817</v>
      </c>
      <c r="H64" s="22" t="s">
        <v>163</v>
      </c>
      <c r="I64" s="1">
        <v>2</v>
      </c>
    </row>
    <row r="65" spans="1:9" x14ac:dyDescent="0.25">
      <c r="A65" s="12">
        <v>64</v>
      </c>
      <c r="B65" s="13" t="s">
        <v>86</v>
      </c>
      <c r="C65" s="13" t="s">
        <v>95</v>
      </c>
      <c r="D65" s="14">
        <v>1</v>
      </c>
      <c r="E65" s="15">
        <v>45853</v>
      </c>
      <c r="F65" s="16">
        <v>45856</v>
      </c>
      <c r="H65" s="22" t="s">
        <v>19</v>
      </c>
      <c r="I65" s="1">
        <v>1</v>
      </c>
    </row>
    <row r="66" spans="1:9" x14ac:dyDescent="0.25">
      <c r="A66" s="7">
        <v>65</v>
      </c>
      <c r="B66" s="8" t="s">
        <v>32</v>
      </c>
      <c r="C66" s="8" t="s">
        <v>96</v>
      </c>
      <c r="D66" s="9">
        <v>3</v>
      </c>
      <c r="E66" s="10">
        <v>45833</v>
      </c>
      <c r="F66" s="11">
        <v>45837</v>
      </c>
      <c r="H66" s="22" t="s">
        <v>42</v>
      </c>
      <c r="I66" s="1">
        <v>1</v>
      </c>
    </row>
    <row r="67" spans="1:9" x14ac:dyDescent="0.25">
      <c r="A67" s="12">
        <v>66</v>
      </c>
      <c r="B67" s="13" t="s">
        <v>36</v>
      </c>
      <c r="C67" s="13" t="s">
        <v>97</v>
      </c>
      <c r="D67" s="14">
        <v>3</v>
      </c>
      <c r="E67" s="15">
        <v>45833</v>
      </c>
      <c r="F67" s="16">
        <v>45837</v>
      </c>
      <c r="H67" s="22" t="s">
        <v>114</v>
      </c>
      <c r="I67" s="1">
        <v>1</v>
      </c>
    </row>
    <row r="68" spans="1:9" x14ac:dyDescent="0.25">
      <c r="A68" s="7">
        <v>67</v>
      </c>
      <c r="B68" s="8" t="s">
        <v>12</v>
      </c>
      <c r="C68" s="8" t="s">
        <v>98</v>
      </c>
      <c r="D68" s="9">
        <v>2</v>
      </c>
      <c r="E68" s="10">
        <v>45833</v>
      </c>
      <c r="F68" s="11">
        <v>45837</v>
      </c>
      <c r="H68" s="22" t="s">
        <v>56</v>
      </c>
      <c r="I68" s="1">
        <v>1</v>
      </c>
    </row>
    <row r="69" spans="1:9" x14ac:dyDescent="0.25">
      <c r="A69" s="12">
        <v>68</v>
      </c>
      <c r="B69" s="13" t="s">
        <v>20</v>
      </c>
      <c r="C69" s="13" t="s">
        <v>99</v>
      </c>
      <c r="D69" s="14">
        <v>2</v>
      </c>
      <c r="E69" s="15">
        <v>45833</v>
      </c>
      <c r="F69" s="16">
        <v>45837</v>
      </c>
      <c r="H69" s="22" t="s">
        <v>122</v>
      </c>
      <c r="I69" s="1">
        <v>1</v>
      </c>
    </row>
    <row r="70" spans="1:9" x14ac:dyDescent="0.25">
      <c r="A70" s="7">
        <v>69</v>
      </c>
      <c r="B70" s="8" t="s">
        <v>18</v>
      </c>
      <c r="C70" s="8" t="s">
        <v>100</v>
      </c>
      <c r="D70" s="9">
        <v>2</v>
      </c>
      <c r="E70" s="10">
        <v>45833</v>
      </c>
      <c r="F70" s="11">
        <v>45837</v>
      </c>
      <c r="H70" s="22" t="s">
        <v>100</v>
      </c>
      <c r="I70" s="1">
        <v>1</v>
      </c>
    </row>
    <row r="71" spans="1:9" x14ac:dyDescent="0.25">
      <c r="A71" s="12">
        <v>70</v>
      </c>
      <c r="B71" s="13" t="s">
        <v>10</v>
      </c>
      <c r="C71" s="13" t="s">
        <v>101</v>
      </c>
      <c r="D71" s="14">
        <v>4</v>
      </c>
      <c r="E71" s="15">
        <v>45795</v>
      </c>
      <c r="F71" s="16">
        <v>45798</v>
      </c>
      <c r="H71" s="21" t="s">
        <v>29</v>
      </c>
      <c r="I71" s="1">
        <v>12</v>
      </c>
    </row>
    <row r="72" spans="1:9" x14ac:dyDescent="0.25">
      <c r="A72" s="7">
        <v>71</v>
      </c>
      <c r="B72" s="8" t="s">
        <v>102</v>
      </c>
      <c r="C72" s="8" t="s">
        <v>103</v>
      </c>
      <c r="D72" s="9">
        <v>2</v>
      </c>
      <c r="E72" s="10">
        <v>45833</v>
      </c>
      <c r="F72" s="11">
        <v>45837</v>
      </c>
      <c r="H72" s="22" t="s">
        <v>79</v>
      </c>
      <c r="I72" s="1">
        <v>1</v>
      </c>
    </row>
    <row r="73" spans="1:9" x14ac:dyDescent="0.25">
      <c r="A73" s="12">
        <v>72</v>
      </c>
      <c r="B73" s="13" t="s">
        <v>16</v>
      </c>
      <c r="C73" s="13" t="s">
        <v>104</v>
      </c>
      <c r="D73" s="14">
        <v>2</v>
      </c>
      <c r="E73" s="15">
        <v>45833</v>
      </c>
      <c r="F73" s="16">
        <v>45837</v>
      </c>
      <c r="H73" s="22" t="s">
        <v>30</v>
      </c>
      <c r="I73" s="1">
        <v>1</v>
      </c>
    </row>
    <row r="74" spans="1:9" x14ac:dyDescent="0.25">
      <c r="A74" s="7">
        <v>73</v>
      </c>
      <c r="B74" s="8" t="s">
        <v>14</v>
      </c>
      <c r="C74" s="8" t="s">
        <v>105</v>
      </c>
      <c r="D74" s="9">
        <v>2</v>
      </c>
      <c r="E74" s="10">
        <v>45833</v>
      </c>
      <c r="F74" s="11">
        <v>45837</v>
      </c>
      <c r="H74" s="22" t="s">
        <v>124</v>
      </c>
      <c r="I74" s="1">
        <v>4</v>
      </c>
    </row>
    <row r="75" spans="1:9" x14ac:dyDescent="0.25">
      <c r="A75" s="12">
        <v>74</v>
      </c>
      <c r="B75" s="13" t="s">
        <v>12</v>
      </c>
      <c r="C75" s="13" t="s">
        <v>106</v>
      </c>
      <c r="D75" s="14">
        <v>2</v>
      </c>
      <c r="E75" s="15">
        <v>45833</v>
      </c>
      <c r="F75" s="16">
        <v>45837</v>
      </c>
      <c r="H75" s="22" t="s">
        <v>72</v>
      </c>
      <c r="I75" s="1">
        <v>1</v>
      </c>
    </row>
    <row r="76" spans="1:9" x14ac:dyDescent="0.25">
      <c r="A76" s="7">
        <v>75</v>
      </c>
      <c r="B76" s="8" t="s">
        <v>45</v>
      </c>
      <c r="C76" s="8" t="s">
        <v>107</v>
      </c>
      <c r="D76" s="9">
        <v>2</v>
      </c>
      <c r="E76" s="10">
        <v>45803</v>
      </c>
      <c r="F76" s="11">
        <v>45805</v>
      </c>
      <c r="H76" s="22" t="s">
        <v>177</v>
      </c>
      <c r="I76" s="1">
        <v>2</v>
      </c>
    </row>
    <row r="77" spans="1:9" x14ac:dyDescent="0.25">
      <c r="A77" s="12">
        <v>76</v>
      </c>
      <c r="B77" s="13" t="s">
        <v>29</v>
      </c>
      <c r="C77" s="13" t="s">
        <v>108</v>
      </c>
      <c r="D77" s="14">
        <v>2</v>
      </c>
      <c r="E77" s="15">
        <v>45839</v>
      </c>
      <c r="F77" s="16">
        <v>45841</v>
      </c>
      <c r="H77" s="22" t="s">
        <v>108</v>
      </c>
      <c r="I77" s="1">
        <v>1</v>
      </c>
    </row>
    <row r="78" spans="1:9" x14ac:dyDescent="0.25">
      <c r="A78" s="7">
        <v>77</v>
      </c>
      <c r="B78" s="8" t="s">
        <v>16</v>
      </c>
      <c r="C78" s="8" t="s">
        <v>109</v>
      </c>
      <c r="D78" s="9">
        <v>2</v>
      </c>
      <c r="E78" s="10">
        <v>45833</v>
      </c>
      <c r="F78" s="11">
        <v>45837</v>
      </c>
      <c r="H78" s="22" t="s">
        <v>58</v>
      </c>
      <c r="I78" s="1">
        <v>1</v>
      </c>
    </row>
    <row r="79" spans="1:9" x14ac:dyDescent="0.25">
      <c r="A79" s="12">
        <v>78</v>
      </c>
      <c r="B79" s="13" t="s">
        <v>110</v>
      </c>
      <c r="C79" s="13" t="s">
        <v>111</v>
      </c>
      <c r="D79" s="14">
        <v>1</v>
      </c>
      <c r="E79" s="15">
        <v>45833</v>
      </c>
      <c r="F79" s="16">
        <v>45837</v>
      </c>
      <c r="H79" s="22" t="s">
        <v>131</v>
      </c>
      <c r="I79" s="1">
        <v>1</v>
      </c>
    </row>
    <row r="80" spans="1:9" x14ac:dyDescent="0.25">
      <c r="A80" s="7">
        <v>79</v>
      </c>
      <c r="B80" s="8" t="s">
        <v>20</v>
      </c>
      <c r="C80" s="8" t="s">
        <v>112</v>
      </c>
      <c r="D80" s="9">
        <v>1</v>
      </c>
      <c r="E80" s="10">
        <v>45833</v>
      </c>
      <c r="F80" s="11">
        <v>45837</v>
      </c>
      <c r="H80" s="21" t="s">
        <v>51</v>
      </c>
      <c r="I80" s="1">
        <v>6</v>
      </c>
    </row>
    <row r="81" spans="1:9" x14ac:dyDescent="0.25">
      <c r="A81" s="12">
        <v>80</v>
      </c>
      <c r="B81" s="13" t="s">
        <v>102</v>
      </c>
      <c r="C81" s="13" t="s">
        <v>113</v>
      </c>
      <c r="D81" s="14">
        <v>1</v>
      </c>
      <c r="E81" s="15">
        <v>45833</v>
      </c>
      <c r="F81" s="16">
        <v>45837</v>
      </c>
      <c r="H81" s="22" t="s">
        <v>52</v>
      </c>
      <c r="I81" s="1">
        <v>1</v>
      </c>
    </row>
    <row r="82" spans="1:9" x14ac:dyDescent="0.25">
      <c r="A82" s="7">
        <v>81</v>
      </c>
      <c r="B82" s="8" t="s">
        <v>18</v>
      </c>
      <c r="C82" s="8" t="s">
        <v>114</v>
      </c>
      <c r="D82" s="9">
        <v>1</v>
      </c>
      <c r="E82" s="10">
        <v>45843</v>
      </c>
      <c r="F82" s="11">
        <v>45845</v>
      </c>
      <c r="H82" s="22" t="s">
        <v>185</v>
      </c>
      <c r="I82" s="1">
        <v>1</v>
      </c>
    </row>
    <row r="83" spans="1:9" x14ac:dyDescent="0.25">
      <c r="A83" s="12">
        <v>82</v>
      </c>
      <c r="B83" s="13" t="s">
        <v>84</v>
      </c>
      <c r="C83" s="13" t="s">
        <v>115</v>
      </c>
      <c r="D83" s="14">
        <v>2</v>
      </c>
      <c r="E83" s="15">
        <v>45803</v>
      </c>
      <c r="F83" s="16">
        <v>45805</v>
      </c>
      <c r="H83" s="22" t="s">
        <v>182</v>
      </c>
      <c r="I83" s="1">
        <v>1</v>
      </c>
    </row>
    <row r="84" spans="1:9" x14ac:dyDescent="0.25">
      <c r="A84" s="7">
        <v>83</v>
      </c>
      <c r="B84" s="8" t="s">
        <v>14</v>
      </c>
      <c r="C84" s="8" t="s">
        <v>116</v>
      </c>
      <c r="D84" s="9">
        <v>4</v>
      </c>
      <c r="E84" s="10">
        <v>45816</v>
      </c>
      <c r="F84" s="11">
        <v>45817</v>
      </c>
      <c r="H84" s="22" t="s">
        <v>136</v>
      </c>
      <c r="I84" s="1">
        <v>1</v>
      </c>
    </row>
    <row r="85" spans="1:9" x14ac:dyDescent="0.25">
      <c r="A85" s="12">
        <v>84</v>
      </c>
      <c r="B85" s="13" t="s">
        <v>54</v>
      </c>
      <c r="C85" s="13" t="s">
        <v>117</v>
      </c>
      <c r="D85" s="14">
        <v>3</v>
      </c>
      <c r="E85" s="15">
        <v>45778</v>
      </c>
      <c r="F85" s="16">
        <v>45780</v>
      </c>
      <c r="H85" s="22" t="s">
        <v>68</v>
      </c>
      <c r="I85" s="1">
        <v>1</v>
      </c>
    </row>
    <row r="86" spans="1:9" x14ac:dyDescent="0.25">
      <c r="A86" s="7">
        <v>85</v>
      </c>
      <c r="B86" s="8" t="s">
        <v>118</v>
      </c>
      <c r="C86" s="8" t="s">
        <v>119</v>
      </c>
      <c r="D86" s="9">
        <v>1</v>
      </c>
      <c r="E86" s="10">
        <v>45843</v>
      </c>
      <c r="F86" s="11">
        <v>45845</v>
      </c>
      <c r="H86" s="22" t="s">
        <v>75</v>
      </c>
      <c r="I86" s="1">
        <v>1</v>
      </c>
    </row>
    <row r="87" spans="1:9" x14ac:dyDescent="0.25">
      <c r="A87" s="12">
        <v>86</v>
      </c>
      <c r="B87" s="13" t="s">
        <v>49</v>
      </c>
      <c r="C87" s="13" t="s">
        <v>120</v>
      </c>
      <c r="D87" s="14">
        <v>1</v>
      </c>
      <c r="E87" s="15">
        <v>45843</v>
      </c>
      <c r="F87" s="16">
        <v>45845</v>
      </c>
      <c r="H87" s="21" t="s">
        <v>49</v>
      </c>
      <c r="I87" s="1">
        <v>4</v>
      </c>
    </row>
    <row r="88" spans="1:9" x14ac:dyDescent="0.25">
      <c r="A88" s="7">
        <v>87</v>
      </c>
      <c r="B88" s="8" t="s">
        <v>40</v>
      </c>
      <c r="C88" s="8" t="s">
        <v>121</v>
      </c>
      <c r="D88" s="9">
        <v>1</v>
      </c>
      <c r="E88" s="10">
        <v>45843</v>
      </c>
      <c r="F88" s="11">
        <v>45845</v>
      </c>
      <c r="H88" s="22" t="s">
        <v>120</v>
      </c>
      <c r="I88" s="1">
        <v>1</v>
      </c>
    </row>
    <row r="89" spans="1:9" x14ac:dyDescent="0.25">
      <c r="A89" s="12">
        <v>88</v>
      </c>
      <c r="B89" s="13" t="s">
        <v>18</v>
      </c>
      <c r="C89" s="13" t="s">
        <v>122</v>
      </c>
      <c r="D89" s="14">
        <v>3</v>
      </c>
      <c r="E89" s="15">
        <v>45843</v>
      </c>
      <c r="F89" s="16">
        <v>45845</v>
      </c>
      <c r="H89" s="22" t="s">
        <v>158</v>
      </c>
      <c r="I89" s="1">
        <v>1</v>
      </c>
    </row>
    <row r="90" spans="1:9" x14ac:dyDescent="0.25">
      <c r="A90" s="7">
        <v>89</v>
      </c>
      <c r="B90" s="8" t="s">
        <v>23</v>
      </c>
      <c r="C90" s="8" t="s">
        <v>123</v>
      </c>
      <c r="D90" s="9">
        <v>3</v>
      </c>
      <c r="E90" s="10">
        <v>45843</v>
      </c>
      <c r="F90" s="11">
        <v>45845</v>
      </c>
      <c r="H90" s="22" t="s">
        <v>69</v>
      </c>
      <c r="I90" s="1">
        <v>1</v>
      </c>
    </row>
    <row r="91" spans="1:9" x14ac:dyDescent="0.25">
      <c r="A91" s="12">
        <v>90</v>
      </c>
      <c r="B91" s="13" t="s">
        <v>29</v>
      </c>
      <c r="C91" s="13" t="s">
        <v>124</v>
      </c>
      <c r="D91" s="14">
        <v>3</v>
      </c>
      <c r="E91" s="15">
        <v>45843</v>
      </c>
      <c r="F91" s="16">
        <v>45845</v>
      </c>
      <c r="H91" s="22" t="s">
        <v>50</v>
      </c>
      <c r="I91" s="1">
        <v>1</v>
      </c>
    </row>
    <row r="92" spans="1:9" x14ac:dyDescent="0.25">
      <c r="A92" s="7">
        <v>91</v>
      </c>
      <c r="B92" s="8" t="s">
        <v>34</v>
      </c>
      <c r="C92" s="8" t="s">
        <v>125</v>
      </c>
      <c r="D92" s="9">
        <v>3</v>
      </c>
      <c r="E92" s="10">
        <v>45843</v>
      </c>
      <c r="F92" s="11">
        <v>45845</v>
      </c>
      <c r="H92" s="21" t="s">
        <v>45</v>
      </c>
      <c r="I92" s="1">
        <v>8</v>
      </c>
    </row>
    <row r="93" spans="1:9" x14ac:dyDescent="0.25">
      <c r="A93" s="12">
        <v>92</v>
      </c>
      <c r="B93" s="13" t="s">
        <v>34</v>
      </c>
      <c r="C93" s="13" t="s">
        <v>126</v>
      </c>
      <c r="D93" s="14">
        <v>2</v>
      </c>
      <c r="E93" s="15">
        <v>45848</v>
      </c>
      <c r="F93" s="16">
        <v>45852</v>
      </c>
      <c r="H93" s="22" t="s">
        <v>81</v>
      </c>
      <c r="I93" s="1">
        <v>1</v>
      </c>
    </row>
    <row r="94" spans="1:9" x14ac:dyDescent="0.25">
      <c r="A94" s="7">
        <v>93</v>
      </c>
      <c r="B94" s="8" t="s">
        <v>6</v>
      </c>
      <c r="C94" s="8" t="s">
        <v>127</v>
      </c>
      <c r="D94" s="9">
        <v>3</v>
      </c>
      <c r="E94" s="10">
        <v>45853</v>
      </c>
      <c r="F94" s="11">
        <v>45856</v>
      </c>
      <c r="H94" s="22" t="s">
        <v>171</v>
      </c>
      <c r="I94" s="1">
        <v>4</v>
      </c>
    </row>
    <row r="95" spans="1:9" x14ac:dyDescent="0.25">
      <c r="A95" s="12">
        <v>94</v>
      </c>
      <c r="B95" s="13" t="s">
        <v>8</v>
      </c>
      <c r="C95" s="13" t="s">
        <v>128</v>
      </c>
      <c r="D95" s="14">
        <v>1</v>
      </c>
      <c r="E95" s="15">
        <v>45839</v>
      </c>
      <c r="F95" s="16">
        <v>45841</v>
      </c>
      <c r="H95" s="22" t="s">
        <v>77</v>
      </c>
      <c r="I95" s="1">
        <v>1</v>
      </c>
    </row>
    <row r="96" spans="1:9" x14ac:dyDescent="0.25">
      <c r="A96" s="7">
        <v>95</v>
      </c>
      <c r="B96" s="8" t="s">
        <v>73</v>
      </c>
      <c r="C96" s="8" t="s">
        <v>129</v>
      </c>
      <c r="D96" s="9">
        <v>1</v>
      </c>
      <c r="E96" s="10">
        <v>45795</v>
      </c>
      <c r="F96" s="11">
        <v>45798</v>
      </c>
      <c r="H96" s="22" t="s">
        <v>46</v>
      </c>
      <c r="I96" s="1">
        <v>1</v>
      </c>
    </row>
    <row r="97" spans="1:9" x14ac:dyDescent="0.25">
      <c r="A97" s="12">
        <v>96</v>
      </c>
      <c r="B97" s="13" t="s">
        <v>26</v>
      </c>
      <c r="C97" s="13" t="s">
        <v>130</v>
      </c>
      <c r="D97" s="14">
        <v>2</v>
      </c>
      <c r="E97" s="15">
        <v>45848</v>
      </c>
      <c r="F97" s="16">
        <v>45852</v>
      </c>
      <c r="H97" s="22" t="s">
        <v>107</v>
      </c>
      <c r="I97" s="1">
        <v>1</v>
      </c>
    </row>
    <row r="98" spans="1:9" x14ac:dyDescent="0.25">
      <c r="A98" s="7">
        <v>97</v>
      </c>
      <c r="B98" s="8" t="s">
        <v>29</v>
      </c>
      <c r="C98" s="8" t="s">
        <v>131</v>
      </c>
      <c r="D98" s="9">
        <v>2</v>
      </c>
      <c r="E98" s="10">
        <v>45848</v>
      </c>
      <c r="F98" s="11">
        <v>45852</v>
      </c>
      <c r="H98" s="21" t="s">
        <v>20</v>
      </c>
      <c r="I98" s="1">
        <v>9</v>
      </c>
    </row>
    <row r="99" spans="1:9" x14ac:dyDescent="0.25">
      <c r="A99" s="12">
        <v>98</v>
      </c>
      <c r="B99" s="13" t="s">
        <v>43</v>
      </c>
      <c r="C99" s="13" t="s">
        <v>132</v>
      </c>
      <c r="D99" s="14">
        <v>2</v>
      </c>
      <c r="E99" s="15">
        <v>45848</v>
      </c>
      <c r="F99" s="16">
        <v>45852</v>
      </c>
      <c r="H99" s="22" t="s">
        <v>99</v>
      </c>
      <c r="I99" s="1">
        <v>1</v>
      </c>
    </row>
    <row r="100" spans="1:9" x14ac:dyDescent="0.25">
      <c r="A100" s="7">
        <v>99</v>
      </c>
      <c r="B100" s="8" t="s">
        <v>102</v>
      </c>
      <c r="C100" s="8" t="s">
        <v>133</v>
      </c>
      <c r="D100" s="9">
        <v>2</v>
      </c>
      <c r="E100" s="10">
        <v>45848</v>
      </c>
      <c r="F100" s="11">
        <v>45852</v>
      </c>
      <c r="H100" s="22" t="s">
        <v>138</v>
      </c>
      <c r="I100" s="1">
        <v>1</v>
      </c>
    </row>
    <row r="101" spans="1:9" x14ac:dyDescent="0.25">
      <c r="A101" s="12">
        <v>100</v>
      </c>
      <c r="B101" s="13" t="s">
        <v>34</v>
      </c>
      <c r="C101" s="13" t="s">
        <v>134</v>
      </c>
      <c r="D101" s="14">
        <v>2</v>
      </c>
      <c r="E101" s="15">
        <v>45848</v>
      </c>
      <c r="F101" s="16">
        <v>45852</v>
      </c>
      <c r="H101" s="22" t="s">
        <v>176</v>
      </c>
      <c r="I101" s="1">
        <v>1</v>
      </c>
    </row>
    <row r="102" spans="1:9" x14ac:dyDescent="0.25">
      <c r="A102" s="7">
        <v>101</v>
      </c>
      <c r="B102" s="8" t="s">
        <v>118</v>
      </c>
      <c r="C102" s="8" t="s">
        <v>135</v>
      </c>
      <c r="D102" s="9">
        <v>3</v>
      </c>
      <c r="E102" s="10">
        <v>45848</v>
      </c>
      <c r="F102" s="11">
        <v>45852</v>
      </c>
      <c r="H102" s="22" t="s">
        <v>82</v>
      </c>
      <c r="I102" s="1">
        <v>1</v>
      </c>
    </row>
    <row r="103" spans="1:9" x14ac:dyDescent="0.25">
      <c r="A103" s="12">
        <v>102</v>
      </c>
      <c r="B103" s="13" t="s">
        <v>51</v>
      </c>
      <c r="C103" s="13" t="s">
        <v>136</v>
      </c>
      <c r="D103" s="14">
        <v>3</v>
      </c>
      <c r="E103" s="15">
        <v>45848</v>
      </c>
      <c r="F103" s="16">
        <v>45852</v>
      </c>
      <c r="H103" s="22" t="s">
        <v>112</v>
      </c>
      <c r="I103" s="1">
        <v>1</v>
      </c>
    </row>
    <row r="104" spans="1:9" x14ac:dyDescent="0.25">
      <c r="A104" s="7">
        <v>103</v>
      </c>
      <c r="B104" s="8" t="s">
        <v>32</v>
      </c>
      <c r="C104" s="8" t="s">
        <v>137</v>
      </c>
      <c r="D104" s="9">
        <v>3</v>
      </c>
      <c r="E104" s="10">
        <v>45848</v>
      </c>
      <c r="F104" s="11">
        <v>45852</v>
      </c>
      <c r="H104" s="22" t="s">
        <v>21</v>
      </c>
      <c r="I104" s="1">
        <v>1</v>
      </c>
    </row>
    <row r="105" spans="1:9" x14ac:dyDescent="0.25">
      <c r="A105" s="12">
        <v>104</v>
      </c>
      <c r="B105" s="13" t="s">
        <v>20</v>
      </c>
      <c r="C105" s="13" t="s">
        <v>138</v>
      </c>
      <c r="D105" s="14">
        <v>3</v>
      </c>
      <c r="E105" s="15">
        <v>45816</v>
      </c>
      <c r="F105" s="16">
        <v>45817</v>
      </c>
      <c r="H105" s="22" t="s">
        <v>173</v>
      </c>
      <c r="I105" s="1">
        <v>3</v>
      </c>
    </row>
    <row r="106" spans="1:9" x14ac:dyDescent="0.25">
      <c r="A106" s="7">
        <v>105</v>
      </c>
      <c r="B106" s="8" t="s">
        <v>16</v>
      </c>
      <c r="C106" s="8" t="s">
        <v>139</v>
      </c>
      <c r="D106" s="9">
        <v>2</v>
      </c>
      <c r="E106" s="10">
        <v>45803</v>
      </c>
      <c r="F106" s="11">
        <v>45805</v>
      </c>
      <c r="H106" s="21" t="s">
        <v>84</v>
      </c>
      <c r="I106" s="1">
        <v>12</v>
      </c>
    </row>
    <row r="107" spans="1:9" x14ac:dyDescent="0.25">
      <c r="A107" s="12">
        <v>106</v>
      </c>
      <c r="B107" s="13" t="s">
        <v>86</v>
      </c>
      <c r="C107" s="13" t="s">
        <v>140</v>
      </c>
      <c r="D107" s="14">
        <v>3</v>
      </c>
      <c r="E107" s="15">
        <v>45853</v>
      </c>
      <c r="F107" s="16">
        <v>45856</v>
      </c>
      <c r="H107" s="22" t="s">
        <v>115</v>
      </c>
      <c r="I107" s="1">
        <v>1</v>
      </c>
    </row>
    <row r="108" spans="1:9" x14ac:dyDescent="0.25">
      <c r="A108" s="7">
        <v>107</v>
      </c>
      <c r="B108" s="8" t="s">
        <v>43</v>
      </c>
      <c r="C108" s="8" t="s">
        <v>141</v>
      </c>
      <c r="D108" s="9">
        <v>3</v>
      </c>
      <c r="E108" s="10">
        <v>45848</v>
      </c>
      <c r="F108" s="11">
        <v>45852</v>
      </c>
      <c r="H108" s="22" t="s">
        <v>92</v>
      </c>
      <c r="I108" s="1">
        <v>2</v>
      </c>
    </row>
    <row r="109" spans="1:9" x14ac:dyDescent="0.25">
      <c r="A109" s="12">
        <v>108</v>
      </c>
      <c r="B109" s="13" t="s">
        <v>65</v>
      </c>
      <c r="C109" s="13" t="s">
        <v>142</v>
      </c>
      <c r="D109" s="14">
        <v>1</v>
      </c>
      <c r="E109" s="15">
        <v>45848</v>
      </c>
      <c r="F109" s="16">
        <v>45852</v>
      </c>
      <c r="H109" s="22" t="s">
        <v>149</v>
      </c>
      <c r="I109" s="1">
        <v>2</v>
      </c>
    </row>
    <row r="110" spans="1:9" x14ac:dyDescent="0.25">
      <c r="A110" s="7">
        <v>109</v>
      </c>
      <c r="B110" s="8" t="s">
        <v>23</v>
      </c>
      <c r="C110" s="8" t="s">
        <v>143</v>
      </c>
      <c r="D110" s="9">
        <v>1</v>
      </c>
      <c r="E110" s="10">
        <v>45858</v>
      </c>
      <c r="F110" s="11">
        <v>45859</v>
      </c>
      <c r="H110" s="22" t="s">
        <v>147</v>
      </c>
      <c r="I110" s="1">
        <v>1</v>
      </c>
    </row>
    <row r="111" spans="1:9" x14ac:dyDescent="0.25">
      <c r="A111" s="12">
        <v>110</v>
      </c>
      <c r="B111" s="13" t="s">
        <v>36</v>
      </c>
      <c r="C111" s="13" t="s">
        <v>144</v>
      </c>
      <c r="D111" s="14">
        <v>2</v>
      </c>
      <c r="E111" s="15">
        <v>45803</v>
      </c>
      <c r="F111" s="16">
        <v>45805</v>
      </c>
      <c r="H111" s="22" t="s">
        <v>169</v>
      </c>
      <c r="I111" s="1">
        <v>5</v>
      </c>
    </row>
    <row r="112" spans="1:9" x14ac:dyDescent="0.25">
      <c r="A112" s="7">
        <v>111</v>
      </c>
      <c r="B112" s="8" t="s">
        <v>8</v>
      </c>
      <c r="C112" s="8" t="s">
        <v>145</v>
      </c>
      <c r="D112" s="9">
        <v>1</v>
      </c>
      <c r="E112" s="10">
        <v>45858</v>
      </c>
      <c r="F112" s="11">
        <v>45859</v>
      </c>
      <c r="H112" s="22" t="s">
        <v>85</v>
      </c>
      <c r="I112" s="1">
        <v>1</v>
      </c>
    </row>
    <row r="113" spans="1:9" x14ac:dyDescent="0.25">
      <c r="A113" s="12">
        <v>112</v>
      </c>
      <c r="B113" s="13" t="s">
        <v>43</v>
      </c>
      <c r="C113" s="13" t="s">
        <v>146</v>
      </c>
      <c r="D113" s="14">
        <v>1</v>
      </c>
      <c r="E113" s="15">
        <v>45858</v>
      </c>
      <c r="F113" s="16">
        <v>45859</v>
      </c>
      <c r="H113" s="21" t="s">
        <v>118</v>
      </c>
      <c r="I113" s="1">
        <v>3</v>
      </c>
    </row>
    <row r="114" spans="1:9" x14ac:dyDescent="0.25">
      <c r="A114" s="7">
        <v>113</v>
      </c>
      <c r="B114" s="8" t="s">
        <v>84</v>
      </c>
      <c r="C114" s="8" t="s">
        <v>147</v>
      </c>
      <c r="D114" s="9">
        <v>1</v>
      </c>
      <c r="E114" s="10">
        <v>45858</v>
      </c>
      <c r="F114" s="11">
        <v>45859</v>
      </c>
      <c r="H114" s="22" t="s">
        <v>119</v>
      </c>
      <c r="I114" s="1">
        <v>1</v>
      </c>
    </row>
    <row r="115" spans="1:9" x14ac:dyDescent="0.25">
      <c r="A115" s="12">
        <v>114</v>
      </c>
      <c r="B115" s="13" t="s">
        <v>110</v>
      </c>
      <c r="C115" s="13" t="s">
        <v>148</v>
      </c>
      <c r="D115" s="14">
        <v>2</v>
      </c>
      <c r="E115" s="15">
        <v>45858</v>
      </c>
      <c r="F115" s="16">
        <v>45859</v>
      </c>
      <c r="H115" s="22" t="s">
        <v>178</v>
      </c>
      <c r="I115" s="1">
        <v>1</v>
      </c>
    </row>
    <row r="116" spans="1:9" x14ac:dyDescent="0.25">
      <c r="A116" s="7">
        <v>115</v>
      </c>
      <c r="B116" s="8" t="s">
        <v>84</v>
      </c>
      <c r="C116" s="8" t="s">
        <v>149</v>
      </c>
      <c r="D116" s="9">
        <v>2</v>
      </c>
      <c r="E116" s="10">
        <v>45858</v>
      </c>
      <c r="F116" s="11">
        <v>45859</v>
      </c>
      <c r="H116" s="22" t="s">
        <v>135</v>
      </c>
      <c r="I116" s="1">
        <v>1</v>
      </c>
    </row>
    <row r="117" spans="1:9" x14ac:dyDescent="0.25">
      <c r="A117" s="12">
        <v>116</v>
      </c>
      <c r="B117" s="13" t="s">
        <v>16</v>
      </c>
      <c r="C117" s="13" t="s">
        <v>150</v>
      </c>
      <c r="D117" s="14">
        <v>2</v>
      </c>
      <c r="E117" s="15">
        <v>45858</v>
      </c>
      <c r="F117" s="16">
        <v>45859</v>
      </c>
      <c r="H117" s="21" t="s">
        <v>6</v>
      </c>
      <c r="I117" s="1">
        <v>13</v>
      </c>
    </row>
    <row r="118" spans="1:9" x14ac:dyDescent="0.25">
      <c r="A118" s="7">
        <v>117</v>
      </c>
      <c r="B118" s="8" t="s">
        <v>14</v>
      </c>
      <c r="C118" s="8" t="s">
        <v>151</v>
      </c>
      <c r="D118" s="9">
        <v>2</v>
      </c>
      <c r="E118" s="10">
        <v>45858</v>
      </c>
      <c r="F118" s="11">
        <v>45859</v>
      </c>
      <c r="H118" s="22" t="s">
        <v>160</v>
      </c>
      <c r="I118" s="1">
        <v>1</v>
      </c>
    </row>
    <row r="119" spans="1:9" x14ac:dyDescent="0.25">
      <c r="A119" s="12">
        <v>118</v>
      </c>
      <c r="B119" s="13" t="s">
        <v>65</v>
      </c>
      <c r="C119" s="13" t="s">
        <v>152</v>
      </c>
      <c r="D119" s="14">
        <v>3</v>
      </c>
      <c r="E119" s="15">
        <v>45853</v>
      </c>
      <c r="F119" s="16">
        <v>45856</v>
      </c>
      <c r="H119" s="22" t="s">
        <v>31</v>
      </c>
      <c r="I119" s="1">
        <v>1</v>
      </c>
    </row>
    <row r="120" spans="1:9" x14ac:dyDescent="0.25">
      <c r="A120" s="7">
        <v>119</v>
      </c>
      <c r="B120" s="8" t="s">
        <v>102</v>
      </c>
      <c r="C120" s="8" t="s">
        <v>153</v>
      </c>
      <c r="D120" s="9">
        <v>2</v>
      </c>
      <c r="E120" s="10">
        <v>45803</v>
      </c>
      <c r="F120" s="11">
        <v>45805</v>
      </c>
      <c r="H120" s="22" t="s">
        <v>7</v>
      </c>
      <c r="I120" s="1">
        <v>3</v>
      </c>
    </row>
    <row r="121" spans="1:9" x14ac:dyDescent="0.25">
      <c r="A121" s="12">
        <v>120</v>
      </c>
      <c r="B121" s="13" t="s">
        <v>26</v>
      </c>
      <c r="C121" s="13" t="s">
        <v>154</v>
      </c>
      <c r="D121" s="14">
        <v>4</v>
      </c>
      <c r="E121" s="15">
        <v>45795</v>
      </c>
      <c r="F121" s="16">
        <v>45798</v>
      </c>
      <c r="H121" s="22" t="s">
        <v>62</v>
      </c>
      <c r="I121" s="1">
        <v>1</v>
      </c>
    </row>
    <row r="122" spans="1:9" x14ac:dyDescent="0.25">
      <c r="A122" s="7">
        <v>121</v>
      </c>
      <c r="B122" s="8" t="s">
        <v>6</v>
      </c>
      <c r="C122" s="8" t="s">
        <v>155</v>
      </c>
      <c r="D122" s="9">
        <v>2</v>
      </c>
      <c r="E122" s="10">
        <v>45863</v>
      </c>
      <c r="F122" s="11">
        <v>45866</v>
      </c>
      <c r="H122" s="22" t="s">
        <v>156</v>
      </c>
      <c r="I122" s="1">
        <v>4</v>
      </c>
    </row>
    <row r="123" spans="1:9" x14ac:dyDescent="0.25">
      <c r="A123" s="12">
        <v>122</v>
      </c>
      <c r="B123" s="13" t="s">
        <v>6</v>
      </c>
      <c r="C123" s="13" t="s">
        <v>156</v>
      </c>
      <c r="D123" s="14">
        <v>2</v>
      </c>
      <c r="E123" s="15">
        <v>45863</v>
      </c>
      <c r="F123" s="16">
        <v>45866</v>
      </c>
      <c r="H123" s="22" t="s">
        <v>127</v>
      </c>
      <c r="I123" s="1">
        <v>1</v>
      </c>
    </row>
    <row r="124" spans="1:9" x14ac:dyDescent="0.25">
      <c r="A124" s="7">
        <v>123</v>
      </c>
      <c r="B124" s="8" t="s">
        <v>8</v>
      </c>
      <c r="C124" s="8" t="s">
        <v>157</v>
      </c>
      <c r="D124" s="9">
        <v>2</v>
      </c>
      <c r="E124" s="10">
        <v>45863</v>
      </c>
      <c r="F124" s="11">
        <v>45866</v>
      </c>
      <c r="H124" s="22" t="s">
        <v>155</v>
      </c>
      <c r="I124" s="1">
        <v>1</v>
      </c>
    </row>
    <row r="125" spans="1:9" x14ac:dyDescent="0.25">
      <c r="A125" s="12">
        <v>124</v>
      </c>
      <c r="B125" s="13" t="s">
        <v>49</v>
      </c>
      <c r="C125" s="13" t="s">
        <v>158</v>
      </c>
      <c r="D125" s="14">
        <v>2</v>
      </c>
      <c r="E125" s="15">
        <v>45863</v>
      </c>
      <c r="F125" s="16">
        <v>45866</v>
      </c>
      <c r="H125" s="22" t="s">
        <v>181</v>
      </c>
      <c r="I125" s="1">
        <v>1</v>
      </c>
    </row>
    <row r="126" spans="1:9" x14ac:dyDescent="0.25">
      <c r="A126" s="7">
        <v>125</v>
      </c>
      <c r="B126" s="8" t="s">
        <v>23</v>
      </c>
      <c r="C126" s="8" t="s">
        <v>159</v>
      </c>
      <c r="D126" s="9">
        <v>3</v>
      </c>
      <c r="E126" s="10">
        <v>45778</v>
      </c>
      <c r="F126" s="11">
        <v>45780</v>
      </c>
      <c r="H126" s="21" t="s">
        <v>23</v>
      </c>
      <c r="I126" s="1">
        <v>9</v>
      </c>
    </row>
    <row r="127" spans="1:9" x14ac:dyDescent="0.25">
      <c r="A127" s="12">
        <v>126</v>
      </c>
      <c r="B127" s="13" t="s">
        <v>6</v>
      </c>
      <c r="C127" s="13" t="s">
        <v>160</v>
      </c>
      <c r="D127" s="14">
        <v>3</v>
      </c>
      <c r="E127" s="15">
        <v>45816</v>
      </c>
      <c r="F127" s="16">
        <v>45817</v>
      </c>
      <c r="H127" s="22" t="s">
        <v>83</v>
      </c>
      <c r="I127" s="1">
        <v>1</v>
      </c>
    </row>
    <row r="128" spans="1:9" x14ac:dyDescent="0.25">
      <c r="A128" s="7">
        <v>127</v>
      </c>
      <c r="B128" s="8" t="s">
        <v>38</v>
      </c>
      <c r="C128" s="8" t="s">
        <v>161</v>
      </c>
      <c r="D128" s="9">
        <v>1</v>
      </c>
      <c r="E128" s="10">
        <v>45839</v>
      </c>
      <c r="F128" s="11">
        <v>45841</v>
      </c>
      <c r="H128" s="22" t="s">
        <v>123</v>
      </c>
      <c r="I128" s="1">
        <v>1</v>
      </c>
    </row>
    <row r="129" spans="1:9" x14ac:dyDescent="0.25">
      <c r="A129" s="12">
        <v>128</v>
      </c>
      <c r="B129" s="13" t="s">
        <v>38</v>
      </c>
      <c r="C129" s="13" t="s">
        <v>162</v>
      </c>
      <c r="D129" s="14">
        <v>3</v>
      </c>
      <c r="E129" s="15">
        <v>45853</v>
      </c>
      <c r="F129" s="16">
        <v>45856</v>
      </c>
      <c r="H129" s="22" t="s">
        <v>159</v>
      </c>
      <c r="I129" s="1">
        <v>3</v>
      </c>
    </row>
    <row r="130" spans="1:9" x14ac:dyDescent="0.25">
      <c r="A130" s="7">
        <v>129</v>
      </c>
      <c r="B130" s="8" t="s">
        <v>18</v>
      </c>
      <c r="C130" s="8" t="s">
        <v>163</v>
      </c>
      <c r="D130" s="9">
        <v>2</v>
      </c>
      <c r="E130" s="10">
        <v>45863</v>
      </c>
      <c r="F130" s="11">
        <v>45866</v>
      </c>
      <c r="H130" s="22" t="s">
        <v>28</v>
      </c>
      <c r="I130" s="1">
        <v>1</v>
      </c>
    </row>
    <row r="131" spans="1:9" x14ac:dyDescent="0.25">
      <c r="A131" s="12">
        <v>130</v>
      </c>
      <c r="B131" s="13" t="s">
        <v>8</v>
      </c>
      <c r="C131" s="13" t="s">
        <v>164</v>
      </c>
      <c r="D131" s="14">
        <v>2</v>
      </c>
      <c r="E131" s="15">
        <v>45863</v>
      </c>
      <c r="F131" s="16">
        <v>45866</v>
      </c>
      <c r="H131" s="22" t="s">
        <v>24</v>
      </c>
      <c r="I131" s="1">
        <v>1</v>
      </c>
    </row>
    <row r="132" spans="1:9" x14ac:dyDescent="0.25">
      <c r="A132" s="7">
        <v>131</v>
      </c>
      <c r="B132" s="8" t="s">
        <v>165</v>
      </c>
      <c r="C132" s="8" t="s">
        <v>166</v>
      </c>
      <c r="D132" s="9">
        <v>1</v>
      </c>
      <c r="E132" s="10">
        <v>45778</v>
      </c>
      <c r="F132" s="11">
        <v>45780</v>
      </c>
      <c r="H132" s="22" t="s">
        <v>143</v>
      </c>
      <c r="I132" s="1">
        <v>1</v>
      </c>
    </row>
    <row r="133" spans="1:9" x14ac:dyDescent="0.25">
      <c r="A133" s="12">
        <v>132</v>
      </c>
      <c r="B133" s="13" t="s">
        <v>54</v>
      </c>
      <c r="C133" s="13" t="s">
        <v>167</v>
      </c>
      <c r="D133" s="14">
        <v>1</v>
      </c>
      <c r="E133" s="15">
        <v>45778</v>
      </c>
      <c r="F133" s="16">
        <v>45780</v>
      </c>
      <c r="H133" s="22" t="s">
        <v>71</v>
      </c>
      <c r="I133" s="1">
        <v>1</v>
      </c>
    </row>
    <row r="134" spans="1:9" x14ac:dyDescent="0.25">
      <c r="A134" s="7">
        <v>133</v>
      </c>
      <c r="B134" s="8" t="s">
        <v>43</v>
      </c>
      <c r="C134" s="8" t="s">
        <v>168</v>
      </c>
      <c r="D134" s="9">
        <v>2</v>
      </c>
      <c r="E134" s="10">
        <v>45863</v>
      </c>
      <c r="F134" s="11">
        <v>45866</v>
      </c>
      <c r="H134" s="21" t="s">
        <v>12</v>
      </c>
      <c r="I134" s="1">
        <v>7</v>
      </c>
    </row>
    <row r="135" spans="1:9" x14ac:dyDescent="0.25">
      <c r="A135" s="12">
        <v>134</v>
      </c>
      <c r="B135" s="13" t="s">
        <v>84</v>
      </c>
      <c r="C135" s="13" t="s">
        <v>169</v>
      </c>
      <c r="D135" s="14">
        <v>2</v>
      </c>
      <c r="E135" s="15">
        <v>45818</v>
      </c>
      <c r="F135" s="16">
        <v>45823</v>
      </c>
      <c r="H135" s="22" t="s">
        <v>106</v>
      </c>
      <c r="I135" s="1">
        <v>1</v>
      </c>
    </row>
    <row r="136" spans="1:9" x14ac:dyDescent="0.25">
      <c r="A136" s="7">
        <v>135</v>
      </c>
      <c r="B136" s="8" t="s">
        <v>8</v>
      </c>
      <c r="C136" s="8" t="s">
        <v>170</v>
      </c>
      <c r="D136" s="9">
        <v>2</v>
      </c>
      <c r="E136" s="10">
        <v>45863</v>
      </c>
      <c r="F136" s="11">
        <v>45866</v>
      </c>
      <c r="H136" s="22" t="s">
        <v>13</v>
      </c>
      <c r="I136" s="1">
        <v>1</v>
      </c>
    </row>
    <row r="137" spans="1:9" x14ac:dyDescent="0.25">
      <c r="A137" s="12">
        <v>136</v>
      </c>
      <c r="B137" s="13" t="s">
        <v>45</v>
      </c>
      <c r="C137" s="13" t="s">
        <v>171</v>
      </c>
      <c r="D137" s="14">
        <v>1</v>
      </c>
      <c r="E137" s="15">
        <v>45863</v>
      </c>
      <c r="F137" s="16">
        <v>45866</v>
      </c>
      <c r="H137" s="22" t="s">
        <v>94</v>
      </c>
      <c r="I137" s="1">
        <v>1</v>
      </c>
    </row>
    <row r="138" spans="1:9" x14ac:dyDescent="0.25">
      <c r="A138" s="7">
        <v>137</v>
      </c>
      <c r="B138" s="8" t="s">
        <v>110</v>
      </c>
      <c r="C138" s="8" t="s">
        <v>172</v>
      </c>
      <c r="D138" s="9">
        <v>3</v>
      </c>
      <c r="E138" s="10">
        <v>45871</v>
      </c>
      <c r="F138" s="11">
        <v>45875</v>
      </c>
      <c r="H138" s="22" t="s">
        <v>180</v>
      </c>
      <c r="I138" s="1">
        <v>1</v>
      </c>
    </row>
    <row r="139" spans="1:9" x14ac:dyDescent="0.25">
      <c r="A139" s="12">
        <v>138</v>
      </c>
      <c r="B139" s="13" t="s">
        <v>20</v>
      </c>
      <c r="C139" s="13" t="s">
        <v>173</v>
      </c>
      <c r="D139" s="14">
        <v>3</v>
      </c>
      <c r="E139" s="15">
        <v>45871</v>
      </c>
      <c r="F139" s="16">
        <v>45875</v>
      </c>
      <c r="H139" s="22" t="s">
        <v>98</v>
      </c>
      <c r="I139" s="1">
        <v>1</v>
      </c>
    </row>
    <row r="140" spans="1:9" x14ac:dyDescent="0.25">
      <c r="A140" s="7">
        <v>139</v>
      </c>
      <c r="B140" s="8" t="s">
        <v>102</v>
      </c>
      <c r="C140" s="8" t="s">
        <v>174</v>
      </c>
      <c r="D140" s="9">
        <v>3</v>
      </c>
      <c r="E140" s="10">
        <v>45871</v>
      </c>
      <c r="F140" s="11">
        <v>45875</v>
      </c>
      <c r="H140" s="22" t="s">
        <v>60</v>
      </c>
      <c r="I140" s="1">
        <v>1</v>
      </c>
    </row>
    <row r="141" spans="1:9" x14ac:dyDescent="0.25">
      <c r="A141" s="12">
        <v>140</v>
      </c>
      <c r="B141" s="13" t="s">
        <v>38</v>
      </c>
      <c r="C141" s="13" t="s">
        <v>175</v>
      </c>
      <c r="D141" s="14">
        <v>2</v>
      </c>
      <c r="E141" s="15">
        <v>45818</v>
      </c>
      <c r="F141" s="16">
        <v>45823</v>
      </c>
      <c r="H141" s="22" t="s">
        <v>90</v>
      </c>
      <c r="I141" s="1">
        <v>1</v>
      </c>
    </row>
    <row r="142" spans="1:9" x14ac:dyDescent="0.25">
      <c r="A142" s="7">
        <v>141</v>
      </c>
      <c r="B142" s="8" t="s">
        <v>20</v>
      </c>
      <c r="C142" s="8" t="s">
        <v>176</v>
      </c>
      <c r="D142" s="9">
        <v>2</v>
      </c>
      <c r="E142" s="10">
        <v>45853</v>
      </c>
      <c r="F142" s="11">
        <v>45856</v>
      </c>
      <c r="H142" s="21" t="s">
        <v>54</v>
      </c>
      <c r="I142" s="1">
        <v>10</v>
      </c>
    </row>
    <row r="143" spans="1:9" x14ac:dyDescent="0.25">
      <c r="A143" s="12">
        <v>142</v>
      </c>
      <c r="B143" s="13" t="s">
        <v>29</v>
      </c>
      <c r="C143" s="13" t="s">
        <v>177</v>
      </c>
      <c r="D143" s="14">
        <v>3</v>
      </c>
      <c r="E143" s="15">
        <v>45871</v>
      </c>
      <c r="F143" s="16">
        <v>45875</v>
      </c>
      <c r="H143" s="22" t="s">
        <v>167</v>
      </c>
      <c r="I143" s="1">
        <v>2</v>
      </c>
    </row>
    <row r="144" spans="1:9" x14ac:dyDescent="0.25">
      <c r="A144" s="7">
        <v>143</v>
      </c>
      <c r="B144" s="8" t="s">
        <v>118</v>
      </c>
      <c r="C144" s="8" t="s">
        <v>178</v>
      </c>
      <c r="D144" s="9">
        <v>2</v>
      </c>
      <c r="E144" s="10">
        <v>45871</v>
      </c>
      <c r="F144" s="11">
        <v>45875</v>
      </c>
      <c r="H144" s="22" t="s">
        <v>117</v>
      </c>
      <c r="I144" s="1">
        <v>7</v>
      </c>
    </row>
    <row r="145" spans="1:9" x14ac:dyDescent="0.25">
      <c r="A145" s="12">
        <v>144</v>
      </c>
      <c r="B145" s="13" t="s">
        <v>34</v>
      </c>
      <c r="C145" s="13" t="s">
        <v>179</v>
      </c>
      <c r="D145" s="14">
        <v>2</v>
      </c>
      <c r="E145" s="15">
        <v>45871</v>
      </c>
      <c r="F145" s="16">
        <v>45875</v>
      </c>
      <c r="H145" s="22" t="s">
        <v>55</v>
      </c>
      <c r="I145" s="1">
        <v>1</v>
      </c>
    </row>
    <row r="146" spans="1:9" x14ac:dyDescent="0.25">
      <c r="A146" s="7">
        <v>145</v>
      </c>
      <c r="B146" s="8" t="s">
        <v>12</v>
      </c>
      <c r="C146" s="8" t="s">
        <v>180</v>
      </c>
      <c r="D146" s="9">
        <v>2</v>
      </c>
      <c r="E146" s="10">
        <v>45818</v>
      </c>
      <c r="F146" s="11">
        <v>45823</v>
      </c>
      <c r="H146" s="21" t="s">
        <v>102</v>
      </c>
      <c r="I146" s="1">
        <v>6</v>
      </c>
    </row>
    <row r="147" spans="1:9" x14ac:dyDescent="0.25">
      <c r="A147" s="12">
        <v>146</v>
      </c>
      <c r="B147" s="13" t="s">
        <v>6</v>
      </c>
      <c r="C147" s="13" t="s">
        <v>181</v>
      </c>
      <c r="D147" s="14">
        <v>2</v>
      </c>
      <c r="E147" s="15">
        <v>45871</v>
      </c>
      <c r="F147" s="16">
        <v>45875</v>
      </c>
      <c r="H147" s="22" t="s">
        <v>103</v>
      </c>
      <c r="I147" s="1">
        <v>1</v>
      </c>
    </row>
    <row r="148" spans="1:9" x14ac:dyDescent="0.25">
      <c r="A148" s="7">
        <v>147</v>
      </c>
      <c r="B148" s="8" t="s">
        <v>51</v>
      </c>
      <c r="C148" s="8" t="s">
        <v>182</v>
      </c>
      <c r="D148" s="9">
        <v>2</v>
      </c>
      <c r="E148" s="10">
        <v>45839</v>
      </c>
      <c r="F148" s="11">
        <v>45841</v>
      </c>
      <c r="H148" s="22" t="s">
        <v>113</v>
      </c>
      <c r="I148" s="1">
        <v>1</v>
      </c>
    </row>
    <row r="149" spans="1:9" x14ac:dyDescent="0.25">
      <c r="A149" s="12">
        <v>148</v>
      </c>
      <c r="B149" s="13" t="s">
        <v>38</v>
      </c>
      <c r="C149" s="13" t="s">
        <v>183</v>
      </c>
      <c r="D149" s="14">
        <v>2</v>
      </c>
      <c r="E149" s="15">
        <v>45818</v>
      </c>
      <c r="F149" s="16">
        <v>45823</v>
      </c>
      <c r="H149" s="22" t="s">
        <v>133</v>
      </c>
      <c r="I149" s="1">
        <v>1</v>
      </c>
    </row>
    <row r="150" spans="1:9" x14ac:dyDescent="0.25">
      <c r="A150" s="7">
        <v>149</v>
      </c>
      <c r="B150" s="8" t="s">
        <v>86</v>
      </c>
      <c r="C150" s="8" t="s">
        <v>184</v>
      </c>
      <c r="D150" s="9">
        <v>2</v>
      </c>
      <c r="E150" s="10">
        <v>45871</v>
      </c>
      <c r="F150" s="11">
        <v>45875</v>
      </c>
      <c r="H150" s="22" t="s">
        <v>174</v>
      </c>
      <c r="I150" s="1">
        <v>2</v>
      </c>
    </row>
    <row r="151" spans="1:9" x14ac:dyDescent="0.25">
      <c r="A151" s="12">
        <v>150</v>
      </c>
      <c r="B151" s="13" t="s">
        <v>51</v>
      </c>
      <c r="C151" s="13" t="s">
        <v>185</v>
      </c>
      <c r="D151" s="14">
        <v>1</v>
      </c>
      <c r="E151" s="15">
        <v>45871</v>
      </c>
      <c r="F151" s="16">
        <v>45875</v>
      </c>
      <c r="H151" s="22" t="s">
        <v>153</v>
      </c>
      <c r="I151" s="1">
        <v>1</v>
      </c>
    </row>
    <row r="152" spans="1:9" x14ac:dyDescent="0.25">
      <c r="A152" s="7">
        <v>151</v>
      </c>
      <c r="B152" s="8" t="s">
        <v>6</v>
      </c>
      <c r="C152" s="8" t="s">
        <v>7</v>
      </c>
      <c r="D152" s="9">
        <v>1</v>
      </c>
      <c r="E152" s="10">
        <v>45871</v>
      </c>
      <c r="F152" s="11">
        <v>45875</v>
      </c>
      <c r="H152" s="21" t="s">
        <v>43</v>
      </c>
      <c r="I152" s="1">
        <v>8</v>
      </c>
    </row>
    <row r="153" spans="1:9" x14ac:dyDescent="0.25">
      <c r="A153" s="12">
        <v>152</v>
      </c>
      <c r="B153" s="13" t="s">
        <v>29</v>
      </c>
      <c r="C153" s="13" t="s">
        <v>124</v>
      </c>
      <c r="D153" s="14">
        <v>1</v>
      </c>
      <c r="E153" s="15">
        <v>45871</v>
      </c>
      <c r="F153" s="16">
        <v>45875</v>
      </c>
      <c r="H153" s="22" t="s">
        <v>132</v>
      </c>
      <c r="I153" s="1">
        <v>2</v>
      </c>
    </row>
    <row r="154" spans="1:9" x14ac:dyDescent="0.25">
      <c r="A154" s="7">
        <v>153</v>
      </c>
      <c r="B154" s="8" t="s">
        <v>54</v>
      </c>
      <c r="C154" s="8" t="s">
        <v>117</v>
      </c>
      <c r="D154" s="9">
        <v>2</v>
      </c>
      <c r="E154" s="10">
        <v>45818</v>
      </c>
      <c r="F154" s="11">
        <v>45823</v>
      </c>
      <c r="H154" s="22" t="s">
        <v>44</v>
      </c>
      <c r="I154" s="1">
        <v>1</v>
      </c>
    </row>
    <row r="155" spans="1:9" x14ac:dyDescent="0.25">
      <c r="A155" s="12">
        <v>154</v>
      </c>
      <c r="B155" s="13" t="s">
        <v>43</v>
      </c>
      <c r="C155" s="13" t="s">
        <v>132</v>
      </c>
      <c r="D155" s="14">
        <v>2</v>
      </c>
      <c r="E155" s="15">
        <v>45853</v>
      </c>
      <c r="F155" s="16">
        <v>45856</v>
      </c>
      <c r="H155" s="22" t="s">
        <v>168</v>
      </c>
      <c r="I155" s="1">
        <v>1</v>
      </c>
    </row>
    <row r="156" spans="1:9" x14ac:dyDescent="0.25">
      <c r="A156" s="7">
        <v>155</v>
      </c>
      <c r="B156" s="8" t="s">
        <v>6</v>
      </c>
      <c r="C156" s="8" t="s">
        <v>156</v>
      </c>
      <c r="D156" s="9">
        <v>1</v>
      </c>
      <c r="E156" s="10">
        <v>45871</v>
      </c>
      <c r="F156" s="11">
        <v>45875</v>
      </c>
      <c r="H156" s="22" t="s">
        <v>146</v>
      </c>
      <c r="I156" s="1">
        <v>1</v>
      </c>
    </row>
    <row r="157" spans="1:9" x14ac:dyDescent="0.25">
      <c r="A157" s="12">
        <v>156</v>
      </c>
      <c r="B157" s="13" t="s">
        <v>34</v>
      </c>
      <c r="C157" s="13" t="s">
        <v>134</v>
      </c>
      <c r="D157" s="14">
        <v>2</v>
      </c>
      <c r="E157" s="15">
        <v>45879</v>
      </c>
      <c r="F157" s="16">
        <v>45881</v>
      </c>
      <c r="H157" s="22" t="s">
        <v>63</v>
      </c>
      <c r="I157" s="1">
        <v>1</v>
      </c>
    </row>
    <row r="158" spans="1:9" x14ac:dyDescent="0.25">
      <c r="A158" s="7">
        <v>157</v>
      </c>
      <c r="B158" s="8" t="s">
        <v>54</v>
      </c>
      <c r="C158" s="8" t="s">
        <v>167</v>
      </c>
      <c r="D158" s="9">
        <v>2</v>
      </c>
      <c r="E158" s="10">
        <v>45879</v>
      </c>
      <c r="F158" s="11">
        <v>45881</v>
      </c>
      <c r="H158" s="22" t="s">
        <v>141</v>
      </c>
      <c r="I158" s="1">
        <v>2</v>
      </c>
    </row>
    <row r="159" spans="1:9" x14ac:dyDescent="0.25">
      <c r="A159" s="12">
        <v>158</v>
      </c>
      <c r="B159" s="13" t="s">
        <v>14</v>
      </c>
      <c r="C159" s="13" t="s">
        <v>116</v>
      </c>
      <c r="D159" s="14">
        <v>2</v>
      </c>
      <c r="E159" s="15">
        <v>45879</v>
      </c>
      <c r="F159" s="16">
        <v>45881</v>
      </c>
      <c r="H159" s="21" t="s">
        <v>36</v>
      </c>
      <c r="I159" s="1">
        <v>3</v>
      </c>
    </row>
    <row r="160" spans="1:9" x14ac:dyDescent="0.25">
      <c r="A160" s="7">
        <v>159</v>
      </c>
      <c r="B160" s="8" t="s">
        <v>165</v>
      </c>
      <c r="C160" s="8" t="s">
        <v>166</v>
      </c>
      <c r="D160" s="9">
        <v>2</v>
      </c>
      <c r="E160" s="10">
        <v>45879</v>
      </c>
      <c r="F160" s="11">
        <v>45881</v>
      </c>
      <c r="H160" s="22" t="s">
        <v>97</v>
      </c>
      <c r="I160" s="1">
        <v>1</v>
      </c>
    </row>
    <row r="161" spans="1:9" x14ac:dyDescent="0.25">
      <c r="A161" s="12">
        <v>160</v>
      </c>
      <c r="B161" s="13" t="s">
        <v>29</v>
      </c>
      <c r="C161" s="13" t="s">
        <v>124</v>
      </c>
      <c r="D161" s="14">
        <v>1</v>
      </c>
      <c r="E161" s="15">
        <v>45839</v>
      </c>
      <c r="F161" s="16">
        <v>45841</v>
      </c>
      <c r="H161" s="22" t="s">
        <v>37</v>
      </c>
      <c r="I161" s="1">
        <v>1</v>
      </c>
    </row>
    <row r="162" spans="1:9" x14ac:dyDescent="0.25">
      <c r="A162" s="7">
        <v>161</v>
      </c>
      <c r="B162" s="8" t="s">
        <v>84</v>
      </c>
      <c r="C162" s="8" t="s">
        <v>169</v>
      </c>
      <c r="D162" s="9">
        <v>2</v>
      </c>
      <c r="E162" s="10">
        <v>45818</v>
      </c>
      <c r="F162" s="11">
        <v>45823</v>
      </c>
      <c r="H162" s="22" t="s">
        <v>144</v>
      </c>
      <c r="I162" s="1">
        <v>1</v>
      </c>
    </row>
    <row r="163" spans="1:9" x14ac:dyDescent="0.25">
      <c r="A163" s="12">
        <v>162</v>
      </c>
      <c r="B163" s="13" t="s">
        <v>26</v>
      </c>
      <c r="C163" s="13" t="s">
        <v>130</v>
      </c>
      <c r="D163" s="14">
        <v>2</v>
      </c>
      <c r="E163" s="15">
        <v>45879</v>
      </c>
      <c r="F163" s="16">
        <v>45881</v>
      </c>
      <c r="H163" s="21" t="s">
        <v>86</v>
      </c>
      <c r="I163" s="1">
        <v>4</v>
      </c>
    </row>
    <row r="164" spans="1:9" x14ac:dyDescent="0.25">
      <c r="A164" s="7">
        <v>163</v>
      </c>
      <c r="B164" s="8" t="s">
        <v>6</v>
      </c>
      <c r="C164" s="8" t="s">
        <v>156</v>
      </c>
      <c r="D164" s="9">
        <v>2</v>
      </c>
      <c r="E164" s="10">
        <v>45879</v>
      </c>
      <c r="F164" s="11">
        <v>45881</v>
      </c>
      <c r="H164" s="22" t="s">
        <v>95</v>
      </c>
      <c r="I164" s="1">
        <v>1</v>
      </c>
    </row>
    <row r="165" spans="1:9" x14ac:dyDescent="0.25">
      <c r="A165" s="12">
        <v>164</v>
      </c>
      <c r="B165" s="13" t="s">
        <v>54</v>
      </c>
      <c r="C165" s="13" t="s">
        <v>117</v>
      </c>
      <c r="D165" s="14">
        <v>1</v>
      </c>
      <c r="E165" s="15">
        <v>45883</v>
      </c>
      <c r="F165" s="16">
        <v>45886</v>
      </c>
      <c r="H165" s="22" t="s">
        <v>87</v>
      </c>
      <c r="I165" s="1">
        <v>1</v>
      </c>
    </row>
    <row r="166" spans="1:9" x14ac:dyDescent="0.25">
      <c r="A166" s="7">
        <v>165</v>
      </c>
      <c r="B166" s="8" t="s">
        <v>45</v>
      </c>
      <c r="C166" s="8" t="s">
        <v>171</v>
      </c>
      <c r="D166" s="9">
        <v>1</v>
      </c>
      <c r="E166" s="10">
        <v>45883</v>
      </c>
      <c r="F166" s="11">
        <v>45886</v>
      </c>
      <c r="H166" s="22" t="s">
        <v>140</v>
      </c>
      <c r="I166" s="1">
        <v>1</v>
      </c>
    </row>
    <row r="167" spans="1:9" x14ac:dyDescent="0.25">
      <c r="A167" s="12">
        <v>166</v>
      </c>
      <c r="B167" s="13" t="s">
        <v>23</v>
      </c>
      <c r="C167" s="13" t="s">
        <v>159</v>
      </c>
      <c r="D167" s="14">
        <v>1</v>
      </c>
      <c r="E167" s="15">
        <v>45883</v>
      </c>
      <c r="F167" s="16">
        <v>45886</v>
      </c>
      <c r="H167" s="22" t="s">
        <v>184</v>
      </c>
      <c r="I167" s="1">
        <v>1</v>
      </c>
    </row>
    <row r="168" spans="1:9" x14ac:dyDescent="0.25">
      <c r="A168" s="7">
        <v>167</v>
      </c>
      <c r="B168" s="8" t="s">
        <v>84</v>
      </c>
      <c r="C168" s="8" t="s">
        <v>169</v>
      </c>
      <c r="D168" s="9">
        <v>1</v>
      </c>
      <c r="E168" s="10">
        <v>45883</v>
      </c>
      <c r="F168" s="11">
        <v>45886</v>
      </c>
      <c r="H168" s="21" t="s">
        <v>110</v>
      </c>
      <c r="I168" s="1">
        <v>5</v>
      </c>
    </row>
    <row r="169" spans="1:9" x14ac:dyDescent="0.25">
      <c r="A169" s="12">
        <v>168</v>
      </c>
      <c r="B169" s="13" t="s">
        <v>14</v>
      </c>
      <c r="C169" s="13" t="s">
        <v>116</v>
      </c>
      <c r="D169" s="14">
        <v>3</v>
      </c>
      <c r="E169" s="15">
        <v>45883</v>
      </c>
      <c r="F169" s="16">
        <v>45886</v>
      </c>
      <c r="H169" s="22" t="s">
        <v>111</v>
      </c>
      <c r="I169" s="1">
        <v>1</v>
      </c>
    </row>
    <row r="170" spans="1:9" x14ac:dyDescent="0.25">
      <c r="A170" s="7">
        <v>169</v>
      </c>
      <c r="B170" s="8" t="s">
        <v>18</v>
      </c>
      <c r="C170" s="8" t="s">
        <v>163</v>
      </c>
      <c r="D170" s="9">
        <v>2</v>
      </c>
      <c r="E170" s="10">
        <v>45853</v>
      </c>
      <c r="F170" s="11">
        <v>45856</v>
      </c>
      <c r="H170" s="22" t="s">
        <v>172</v>
      </c>
      <c r="I170" s="1">
        <v>3</v>
      </c>
    </row>
    <row r="171" spans="1:9" x14ac:dyDescent="0.25">
      <c r="A171" s="12">
        <v>170</v>
      </c>
      <c r="B171" s="13" t="s">
        <v>14</v>
      </c>
      <c r="C171" s="13" t="s">
        <v>105</v>
      </c>
      <c r="D171" s="14">
        <v>1</v>
      </c>
      <c r="E171" s="15">
        <v>45839</v>
      </c>
      <c r="F171" s="16">
        <v>45841</v>
      </c>
      <c r="H171" s="22" t="s">
        <v>148</v>
      </c>
      <c r="I171" s="1">
        <v>1</v>
      </c>
    </row>
    <row r="172" spans="1:9" x14ac:dyDescent="0.25">
      <c r="A172" s="7">
        <v>171</v>
      </c>
      <c r="B172" s="8" t="s">
        <v>43</v>
      </c>
      <c r="C172" s="8" t="s">
        <v>141</v>
      </c>
      <c r="D172" s="9">
        <v>2</v>
      </c>
      <c r="E172" s="10">
        <v>45809</v>
      </c>
      <c r="F172" s="11">
        <v>45812</v>
      </c>
      <c r="H172" s="21" t="s">
        <v>8</v>
      </c>
      <c r="I172" s="1">
        <v>8</v>
      </c>
    </row>
    <row r="173" spans="1:9" x14ac:dyDescent="0.25">
      <c r="A173" s="12">
        <v>172</v>
      </c>
      <c r="B173" s="13" t="s">
        <v>84</v>
      </c>
      <c r="C173" s="13" t="s">
        <v>169</v>
      </c>
      <c r="D173" s="14">
        <v>3</v>
      </c>
      <c r="E173" s="15">
        <v>45883</v>
      </c>
      <c r="F173" s="16">
        <v>45886</v>
      </c>
      <c r="H173" s="22" t="s">
        <v>22</v>
      </c>
      <c r="I173" s="1">
        <v>1</v>
      </c>
    </row>
    <row r="174" spans="1:9" x14ac:dyDescent="0.25">
      <c r="A174" s="7">
        <v>173</v>
      </c>
      <c r="B174" s="8" t="s">
        <v>45</v>
      </c>
      <c r="C174" s="8" t="s">
        <v>171</v>
      </c>
      <c r="D174" s="9">
        <v>3</v>
      </c>
      <c r="E174" s="10">
        <v>45883</v>
      </c>
      <c r="F174" s="11">
        <v>45886</v>
      </c>
      <c r="H174" s="22" t="s">
        <v>9</v>
      </c>
      <c r="I174" s="1">
        <v>1</v>
      </c>
    </row>
    <row r="175" spans="1:9" x14ac:dyDescent="0.25">
      <c r="A175" s="12">
        <v>174</v>
      </c>
      <c r="B175" s="13" t="s">
        <v>34</v>
      </c>
      <c r="C175" s="13" t="s">
        <v>134</v>
      </c>
      <c r="D175" s="14">
        <v>3</v>
      </c>
      <c r="E175" s="15">
        <v>45883</v>
      </c>
      <c r="F175" s="16">
        <v>45886</v>
      </c>
      <c r="H175" s="22" t="s">
        <v>25</v>
      </c>
      <c r="I175" s="1">
        <v>1</v>
      </c>
    </row>
    <row r="176" spans="1:9" x14ac:dyDescent="0.25">
      <c r="A176" s="7">
        <v>175</v>
      </c>
      <c r="B176" s="8" t="s">
        <v>6</v>
      </c>
      <c r="C176" s="8" t="s">
        <v>156</v>
      </c>
      <c r="D176" s="9">
        <v>4</v>
      </c>
      <c r="E176" s="10">
        <v>45883</v>
      </c>
      <c r="F176" s="11">
        <v>45886</v>
      </c>
      <c r="H176" s="22" t="s">
        <v>157</v>
      </c>
      <c r="I176" s="1">
        <v>1</v>
      </c>
    </row>
    <row r="177" spans="1:9" x14ac:dyDescent="0.25">
      <c r="A177" s="12">
        <v>176</v>
      </c>
      <c r="B177" s="13" t="s">
        <v>54</v>
      </c>
      <c r="C177" s="13" t="s">
        <v>117</v>
      </c>
      <c r="D177" s="14">
        <v>4</v>
      </c>
      <c r="E177" s="15">
        <v>45809</v>
      </c>
      <c r="F177" s="16">
        <v>45812</v>
      </c>
      <c r="H177" s="22" t="s">
        <v>170</v>
      </c>
      <c r="I177" s="1">
        <v>1</v>
      </c>
    </row>
    <row r="178" spans="1:9" x14ac:dyDescent="0.25">
      <c r="A178" s="7">
        <v>177</v>
      </c>
      <c r="B178" s="8" t="s">
        <v>110</v>
      </c>
      <c r="C178" s="8" t="s">
        <v>172</v>
      </c>
      <c r="D178" s="9">
        <v>3</v>
      </c>
      <c r="E178" s="10">
        <v>45839</v>
      </c>
      <c r="F178" s="11">
        <v>45852</v>
      </c>
      <c r="H178" s="22" t="s">
        <v>164</v>
      </c>
      <c r="I178" s="1">
        <v>1</v>
      </c>
    </row>
    <row r="179" spans="1:9" x14ac:dyDescent="0.25">
      <c r="A179" s="12">
        <v>178</v>
      </c>
      <c r="B179" s="13" t="s">
        <v>38</v>
      </c>
      <c r="C179" s="13" t="s">
        <v>161</v>
      </c>
      <c r="D179" s="14">
        <v>4</v>
      </c>
      <c r="E179" s="15">
        <v>45883</v>
      </c>
      <c r="F179" s="16">
        <v>45886</v>
      </c>
      <c r="H179" s="22" t="s">
        <v>128</v>
      </c>
      <c r="I179" s="1">
        <v>1</v>
      </c>
    </row>
    <row r="180" spans="1:9" x14ac:dyDescent="0.25">
      <c r="A180" s="7">
        <v>179</v>
      </c>
      <c r="B180" s="8" t="s">
        <v>23</v>
      </c>
      <c r="C180" s="8" t="s">
        <v>159</v>
      </c>
      <c r="D180" s="9">
        <v>2</v>
      </c>
      <c r="E180" s="10">
        <v>45883</v>
      </c>
      <c r="F180" s="11">
        <v>45886</v>
      </c>
      <c r="H180" s="22" t="s">
        <v>145</v>
      </c>
      <c r="I180" s="1">
        <v>1</v>
      </c>
    </row>
    <row r="181" spans="1:9" x14ac:dyDescent="0.25">
      <c r="A181" s="12">
        <v>180</v>
      </c>
      <c r="B181" s="13" t="s">
        <v>34</v>
      </c>
      <c r="C181" s="13" t="s">
        <v>134</v>
      </c>
      <c r="D181" s="14">
        <v>4</v>
      </c>
      <c r="E181" s="15">
        <v>45809</v>
      </c>
      <c r="F181" s="16">
        <v>45812</v>
      </c>
      <c r="H181" s="21" t="s">
        <v>40</v>
      </c>
      <c r="I181" s="1">
        <v>2</v>
      </c>
    </row>
    <row r="182" spans="1:9" x14ac:dyDescent="0.25">
      <c r="A182" s="7">
        <v>181</v>
      </c>
      <c r="B182" s="8" t="s">
        <v>45</v>
      </c>
      <c r="C182" s="8" t="s">
        <v>171</v>
      </c>
      <c r="D182" s="9">
        <v>1</v>
      </c>
      <c r="E182" s="10">
        <v>45809</v>
      </c>
      <c r="F182" s="11">
        <v>45812</v>
      </c>
      <c r="H182" s="22" t="s">
        <v>41</v>
      </c>
      <c r="I182" s="1">
        <v>1</v>
      </c>
    </row>
    <row r="183" spans="1:9" x14ac:dyDescent="0.25">
      <c r="A183" s="12">
        <v>182</v>
      </c>
      <c r="B183" s="13" t="s">
        <v>165</v>
      </c>
      <c r="C183" s="13" t="s">
        <v>166</v>
      </c>
      <c r="D183" s="14">
        <v>2</v>
      </c>
      <c r="E183" s="15">
        <v>45883</v>
      </c>
      <c r="F183" s="16">
        <v>45886</v>
      </c>
      <c r="H183" s="22" t="s">
        <v>121</v>
      </c>
      <c r="I183" s="1">
        <v>1</v>
      </c>
    </row>
    <row r="184" spans="1:9" x14ac:dyDescent="0.25">
      <c r="A184" s="7">
        <v>183</v>
      </c>
      <c r="B184" s="8" t="s">
        <v>20</v>
      </c>
      <c r="C184" s="8" t="s">
        <v>173</v>
      </c>
      <c r="D184" s="9">
        <v>2</v>
      </c>
      <c r="E184" s="10">
        <v>45883</v>
      </c>
      <c r="F184" s="11">
        <v>45886</v>
      </c>
      <c r="H184" s="21" t="s">
        <v>187</v>
      </c>
      <c r="I184" s="1">
        <v>200</v>
      </c>
    </row>
    <row r="185" spans="1:9" x14ac:dyDescent="0.25">
      <c r="A185" s="12">
        <v>184</v>
      </c>
      <c r="B185" s="13" t="s">
        <v>6</v>
      </c>
      <c r="C185" s="13" t="s">
        <v>7</v>
      </c>
      <c r="D185" s="14">
        <v>2</v>
      </c>
      <c r="E185" s="15">
        <v>45883</v>
      </c>
      <c r="F185" s="16">
        <v>45886</v>
      </c>
    </row>
    <row r="186" spans="1:9" x14ac:dyDescent="0.25">
      <c r="A186" s="7">
        <v>185</v>
      </c>
      <c r="B186" s="8" t="s">
        <v>110</v>
      </c>
      <c r="C186" s="8" t="s">
        <v>172</v>
      </c>
      <c r="D186" s="9">
        <v>2</v>
      </c>
      <c r="E186" s="10">
        <v>45883</v>
      </c>
      <c r="F186" s="11">
        <v>45886</v>
      </c>
    </row>
    <row r="187" spans="1:9" x14ac:dyDescent="0.25">
      <c r="A187" s="12">
        <v>186</v>
      </c>
      <c r="B187" s="13" t="s">
        <v>14</v>
      </c>
      <c r="C187" s="13" t="s">
        <v>116</v>
      </c>
      <c r="D187" s="14">
        <v>2</v>
      </c>
      <c r="E187" s="15">
        <v>45883</v>
      </c>
      <c r="F187" s="16">
        <v>45886</v>
      </c>
    </row>
    <row r="188" spans="1:9" x14ac:dyDescent="0.25">
      <c r="A188" s="7">
        <v>187</v>
      </c>
      <c r="B188" s="8" t="s">
        <v>73</v>
      </c>
      <c r="C188" s="8" t="s">
        <v>129</v>
      </c>
      <c r="D188" s="9">
        <v>2</v>
      </c>
      <c r="E188" s="10">
        <v>45883</v>
      </c>
      <c r="F188" s="11">
        <v>45886</v>
      </c>
    </row>
    <row r="189" spans="1:9" x14ac:dyDescent="0.25">
      <c r="A189" s="12">
        <v>188</v>
      </c>
      <c r="B189" s="13" t="s">
        <v>20</v>
      </c>
      <c r="C189" s="13" t="s">
        <v>173</v>
      </c>
      <c r="D189" s="14">
        <v>2</v>
      </c>
      <c r="E189" s="15">
        <v>45885</v>
      </c>
      <c r="F189" s="16">
        <v>45886</v>
      </c>
    </row>
    <row r="190" spans="1:9" x14ac:dyDescent="0.25">
      <c r="A190" s="7">
        <v>189</v>
      </c>
      <c r="B190" s="8" t="s">
        <v>102</v>
      </c>
      <c r="C190" s="8" t="s">
        <v>174</v>
      </c>
      <c r="D190" s="9">
        <v>3</v>
      </c>
      <c r="E190" s="10">
        <v>45889</v>
      </c>
      <c r="F190" s="11">
        <v>45891</v>
      </c>
    </row>
    <row r="191" spans="1:9" x14ac:dyDescent="0.25">
      <c r="A191" s="12">
        <v>190</v>
      </c>
      <c r="B191" s="13" t="s">
        <v>84</v>
      </c>
      <c r="C191" s="13" t="s">
        <v>92</v>
      </c>
      <c r="D191" s="14">
        <v>3</v>
      </c>
      <c r="E191" s="15">
        <v>45889</v>
      </c>
      <c r="F191" s="16">
        <v>45891</v>
      </c>
    </row>
    <row r="192" spans="1:9" x14ac:dyDescent="0.25">
      <c r="A192" s="7">
        <v>191</v>
      </c>
      <c r="B192" s="8" t="s">
        <v>54</v>
      </c>
      <c r="C192" s="8" t="s">
        <v>117</v>
      </c>
      <c r="D192" s="9">
        <v>3</v>
      </c>
      <c r="E192" s="10">
        <v>45889</v>
      </c>
      <c r="F192" s="11">
        <v>45891</v>
      </c>
    </row>
    <row r="193" spans="1:6" x14ac:dyDescent="0.25">
      <c r="A193" s="12">
        <v>192</v>
      </c>
      <c r="B193" s="13" t="s">
        <v>29</v>
      </c>
      <c r="C193" s="13" t="s">
        <v>177</v>
      </c>
      <c r="D193" s="14">
        <v>1</v>
      </c>
      <c r="E193" s="15">
        <v>45809</v>
      </c>
      <c r="F193" s="16">
        <v>45812</v>
      </c>
    </row>
    <row r="194" spans="1:6" x14ac:dyDescent="0.25">
      <c r="A194" s="7">
        <v>193</v>
      </c>
      <c r="B194" s="8" t="s">
        <v>73</v>
      </c>
      <c r="C194" s="8" t="s">
        <v>129</v>
      </c>
      <c r="D194" s="9">
        <v>1</v>
      </c>
      <c r="E194" s="10">
        <v>45809</v>
      </c>
      <c r="F194" s="11">
        <v>45812</v>
      </c>
    </row>
    <row r="195" spans="1:6" x14ac:dyDescent="0.25">
      <c r="A195" s="12">
        <v>194</v>
      </c>
      <c r="B195" s="13" t="s">
        <v>29</v>
      </c>
      <c r="C195" s="13" t="s">
        <v>124</v>
      </c>
      <c r="D195" s="14">
        <v>3</v>
      </c>
      <c r="E195" s="15">
        <v>45889</v>
      </c>
      <c r="F195" s="16">
        <v>45891</v>
      </c>
    </row>
    <row r="196" spans="1:6" x14ac:dyDescent="0.25">
      <c r="A196" s="7">
        <v>195</v>
      </c>
      <c r="B196" s="8" t="s">
        <v>54</v>
      </c>
      <c r="C196" s="8" t="s">
        <v>117</v>
      </c>
      <c r="D196" s="9">
        <v>1</v>
      </c>
      <c r="E196" s="10">
        <v>45897</v>
      </c>
      <c r="F196" s="11">
        <v>45898</v>
      </c>
    </row>
    <row r="197" spans="1:6" x14ac:dyDescent="0.25">
      <c r="A197" s="12">
        <v>196</v>
      </c>
      <c r="B197" s="13" t="s">
        <v>84</v>
      </c>
      <c r="C197" s="13" t="s">
        <v>169</v>
      </c>
      <c r="D197" s="14">
        <v>1</v>
      </c>
      <c r="E197" s="15">
        <v>45897</v>
      </c>
      <c r="F197" s="16">
        <v>45898</v>
      </c>
    </row>
    <row r="198" spans="1:6" x14ac:dyDescent="0.25">
      <c r="A198" s="7">
        <v>197</v>
      </c>
      <c r="B198" s="8" t="s">
        <v>16</v>
      </c>
      <c r="C198" s="8" t="s">
        <v>17</v>
      </c>
      <c r="D198" s="9">
        <v>1</v>
      </c>
      <c r="E198" s="10">
        <v>45897</v>
      </c>
      <c r="F198" s="11">
        <v>45898</v>
      </c>
    </row>
    <row r="199" spans="1:6" x14ac:dyDescent="0.25">
      <c r="A199" s="12">
        <v>198</v>
      </c>
      <c r="B199" s="13" t="s">
        <v>84</v>
      </c>
      <c r="C199" s="13" t="s">
        <v>149</v>
      </c>
      <c r="D199" s="14">
        <v>2</v>
      </c>
      <c r="E199" s="15">
        <v>45839</v>
      </c>
      <c r="F199" s="16">
        <v>45852</v>
      </c>
    </row>
    <row r="200" spans="1:6" x14ac:dyDescent="0.25">
      <c r="A200" s="7">
        <v>199</v>
      </c>
      <c r="B200" s="8" t="s">
        <v>34</v>
      </c>
      <c r="C200" s="8" t="s">
        <v>134</v>
      </c>
      <c r="D200" s="9">
        <v>3</v>
      </c>
      <c r="E200" s="10">
        <v>45809</v>
      </c>
      <c r="F200" s="11">
        <v>45812</v>
      </c>
    </row>
    <row r="201" spans="1:6" x14ac:dyDescent="0.25">
      <c r="A201" s="2">
        <v>200</v>
      </c>
      <c r="B201" s="17" t="s">
        <v>54</v>
      </c>
      <c r="C201" s="17" t="s">
        <v>117</v>
      </c>
      <c r="D201" s="3">
        <v>3</v>
      </c>
      <c r="E201" s="18">
        <v>45809</v>
      </c>
      <c r="F201" s="19">
        <v>45812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A7E7-48A9-412D-B502-BE5AE9525328}">
  <dimension ref="A1:V309"/>
  <sheetViews>
    <sheetView topLeftCell="H1" zoomScale="130" zoomScaleNormal="130" workbookViewId="0">
      <selection activeCell="T9" sqref="T9"/>
    </sheetView>
  </sheetViews>
  <sheetFormatPr defaultRowHeight="15" x14ac:dyDescent="0.25"/>
  <cols>
    <col min="1" max="1" width="5.85546875" bestFit="1" customWidth="1"/>
    <col min="2" max="2" width="10.85546875" bestFit="1" customWidth="1"/>
    <col min="3" max="3" width="14.85546875" bestFit="1" customWidth="1"/>
    <col min="4" max="4" width="13" bestFit="1" customWidth="1"/>
    <col min="5" max="5" width="11" bestFit="1" customWidth="1"/>
    <col min="6" max="6" width="10.85546875" bestFit="1" customWidth="1"/>
    <col min="8" max="8" width="11.7109375" bestFit="1" customWidth="1"/>
    <col min="10" max="10" width="14.28515625" bestFit="1" customWidth="1"/>
    <col min="11" max="11" width="17.85546875" bestFit="1" customWidth="1"/>
    <col min="12" max="12" width="15.42578125" bestFit="1" customWidth="1"/>
    <col min="13" max="13" width="22.28515625" bestFit="1" customWidth="1"/>
    <col min="14" max="14" width="21.7109375" bestFit="1" customWidth="1"/>
    <col min="15" max="15" width="21.7109375" customWidth="1"/>
    <col min="16" max="16" width="17.7109375" bestFit="1" customWidth="1"/>
    <col min="17" max="17" width="12" bestFit="1" customWidth="1"/>
    <col min="18" max="18" width="18.28515625" bestFit="1" customWidth="1"/>
  </cols>
  <sheetData>
    <row r="1" spans="1:2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26" t="s">
        <v>191</v>
      </c>
      <c r="H1" s="26" t="s">
        <v>193</v>
      </c>
      <c r="I1" s="26" t="s">
        <v>192</v>
      </c>
      <c r="J1" s="26" t="s">
        <v>198</v>
      </c>
      <c r="K1" s="26" t="s">
        <v>204</v>
      </c>
      <c r="L1" s="26" t="s">
        <v>205</v>
      </c>
      <c r="M1" s="26" t="s">
        <v>206</v>
      </c>
      <c r="N1" s="26" t="s">
        <v>207</v>
      </c>
      <c r="O1" s="26"/>
    </row>
    <row r="2" spans="1:22" x14ac:dyDescent="0.25">
      <c r="A2" s="7">
        <v>1</v>
      </c>
      <c r="B2" s="8" t="s">
        <v>6</v>
      </c>
      <c r="C2" s="8" t="s">
        <v>7</v>
      </c>
      <c r="D2" s="9">
        <v>2</v>
      </c>
      <c r="E2" s="10">
        <v>45778</v>
      </c>
      <c r="F2" s="11">
        <v>45780</v>
      </c>
      <c r="G2">
        <f>F2-E2</f>
        <v>2</v>
      </c>
      <c r="H2">
        <f>VLOOKUP(D2,$P$2:$R$6,3,FALSE)</f>
        <v>240</v>
      </c>
      <c r="I2">
        <f>H2*G2</f>
        <v>480</v>
      </c>
      <c r="J2">
        <f>WEEKDAY(E2,2)</f>
        <v>4</v>
      </c>
      <c r="K2">
        <f>NETWORKDAYS(E2,F2-1)</f>
        <v>2</v>
      </c>
      <c r="L2">
        <f>G2-K2</f>
        <v>0</v>
      </c>
      <c r="M2">
        <f>K2*H2+L2*H2*1.2</f>
        <v>480</v>
      </c>
      <c r="N2">
        <f>IF(G2&gt;4,M2*0.9,M2)</f>
        <v>480</v>
      </c>
      <c r="P2" s="25" t="s">
        <v>3</v>
      </c>
      <c r="Q2" s="25" t="s">
        <v>189</v>
      </c>
      <c r="R2" s="25" t="s">
        <v>190</v>
      </c>
    </row>
    <row r="3" spans="1:22" x14ac:dyDescent="0.25">
      <c r="A3" s="12">
        <v>2</v>
      </c>
      <c r="B3" s="13" t="s">
        <v>8</v>
      </c>
      <c r="C3" s="13" t="s">
        <v>9</v>
      </c>
      <c r="D3" s="14">
        <v>3</v>
      </c>
      <c r="E3" s="15">
        <v>45787</v>
      </c>
      <c r="F3" s="16">
        <v>45792</v>
      </c>
      <c r="G3">
        <f t="shared" ref="G3:G66" si="0">F3-E3</f>
        <v>5</v>
      </c>
      <c r="H3">
        <f t="shared" ref="H3:H66" si="1">VLOOKUP(D3,$P$2:$R$6,3,FALSE)</f>
        <v>320</v>
      </c>
      <c r="I3">
        <f t="shared" ref="I3:I66" si="2">H3*G3</f>
        <v>1600</v>
      </c>
      <c r="J3">
        <f t="shared" ref="J3:J66" si="3">WEEKDAY(E3,2)</f>
        <v>6</v>
      </c>
      <c r="K3">
        <f t="shared" ref="K3:K66" si="4">NETWORKDAYS(E3,F3-1)</f>
        <v>3</v>
      </c>
      <c r="L3">
        <f t="shared" ref="L3:L66" si="5">G3-K3</f>
        <v>2</v>
      </c>
      <c r="M3">
        <f t="shared" ref="M3:M66" si="6">K3*H3+L3*H3*1.2</f>
        <v>1728</v>
      </c>
      <c r="N3">
        <f t="shared" ref="N3:N66" si="7">IF(G3&gt;4,M3*0.9,M3)</f>
        <v>1555.2</v>
      </c>
      <c r="P3" s="24">
        <v>1</v>
      </c>
      <c r="Q3" s="24">
        <v>4</v>
      </c>
      <c r="R3" s="24">
        <v>140</v>
      </c>
    </row>
    <row r="4" spans="1:22" x14ac:dyDescent="0.25">
      <c r="A4" s="7">
        <v>3</v>
      </c>
      <c r="B4" s="8" t="s">
        <v>10</v>
      </c>
      <c r="C4" s="8" t="s">
        <v>11</v>
      </c>
      <c r="D4" s="9">
        <v>2</v>
      </c>
      <c r="E4" s="10">
        <v>45809</v>
      </c>
      <c r="F4" s="11">
        <v>45812</v>
      </c>
      <c r="G4">
        <f t="shared" si="0"/>
        <v>3</v>
      </c>
      <c r="H4">
        <f t="shared" si="1"/>
        <v>240</v>
      </c>
      <c r="I4">
        <f t="shared" si="2"/>
        <v>720</v>
      </c>
      <c r="J4">
        <f t="shared" si="3"/>
        <v>7</v>
      </c>
      <c r="K4">
        <f t="shared" si="4"/>
        <v>2</v>
      </c>
      <c r="L4">
        <f t="shared" si="5"/>
        <v>1</v>
      </c>
      <c r="M4">
        <f t="shared" si="6"/>
        <v>768</v>
      </c>
      <c r="N4">
        <f t="shared" si="7"/>
        <v>768</v>
      </c>
      <c r="P4" s="24">
        <v>2</v>
      </c>
      <c r="Q4" s="24">
        <v>8</v>
      </c>
      <c r="R4" s="24">
        <v>240</v>
      </c>
    </row>
    <row r="5" spans="1:22" x14ac:dyDescent="0.25">
      <c r="A5" s="12">
        <v>4</v>
      </c>
      <c r="B5" s="13" t="s">
        <v>12</v>
      </c>
      <c r="C5" s="13" t="s">
        <v>13</v>
      </c>
      <c r="D5" s="14">
        <v>2</v>
      </c>
      <c r="E5" s="15">
        <v>45803</v>
      </c>
      <c r="F5" s="16">
        <v>45805</v>
      </c>
      <c r="G5">
        <f t="shared" si="0"/>
        <v>2</v>
      </c>
      <c r="H5">
        <f t="shared" si="1"/>
        <v>240</v>
      </c>
      <c r="I5">
        <f t="shared" si="2"/>
        <v>480</v>
      </c>
      <c r="J5">
        <f t="shared" si="3"/>
        <v>1</v>
      </c>
      <c r="K5">
        <f t="shared" si="4"/>
        <v>2</v>
      </c>
      <c r="L5">
        <f t="shared" si="5"/>
        <v>0</v>
      </c>
      <c r="M5">
        <f t="shared" si="6"/>
        <v>480</v>
      </c>
      <c r="N5">
        <f t="shared" si="7"/>
        <v>480</v>
      </c>
      <c r="P5" s="24">
        <v>3</v>
      </c>
      <c r="Q5" s="24">
        <v>4</v>
      </c>
      <c r="R5" s="24">
        <v>320</v>
      </c>
    </row>
    <row r="6" spans="1:22" x14ac:dyDescent="0.25">
      <c r="A6" s="7">
        <v>5</v>
      </c>
      <c r="B6" s="8" t="s">
        <v>14</v>
      </c>
      <c r="C6" s="8" t="s">
        <v>15</v>
      </c>
      <c r="D6" s="9">
        <v>1</v>
      </c>
      <c r="E6" s="10">
        <v>45795</v>
      </c>
      <c r="F6" s="11">
        <v>45798</v>
      </c>
      <c r="G6">
        <f t="shared" si="0"/>
        <v>3</v>
      </c>
      <c r="H6">
        <f t="shared" si="1"/>
        <v>140</v>
      </c>
      <c r="I6">
        <f t="shared" si="2"/>
        <v>420</v>
      </c>
      <c r="J6">
        <f t="shared" si="3"/>
        <v>7</v>
      </c>
      <c r="K6">
        <f t="shared" si="4"/>
        <v>2</v>
      </c>
      <c r="L6">
        <f t="shared" si="5"/>
        <v>1</v>
      </c>
      <c r="M6">
        <f t="shared" si="6"/>
        <v>448</v>
      </c>
      <c r="N6">
        <f t="shared" si="7"/>
        <v>448</v>
      </c>
      <c r="P6" s="24">
        <v>4</v>
      </c>
      <c r="Q6" s="24">
        <v>2</v>
      </c>
      <c r="R6" s="24">
        <v>400</v>
      </c>
    </row>
    <row r="7" spans="1:22" x14ac:dyDescent="0.25">
      <c r="A7" s="12">
        <v>6</v>
      </c>
      <c r="B7" s="13" t="s">
        <v>16</v>
      </c>
      <c r="C7" s="13" t="s">
        <v>17</v>
      </c>
      <c r="D7" s="14">
        <v>3</v>
      </c>
      <c r="E7" s="15">
        <v>45816</v>
      </c>
      <c r="F7" s="16">
        <v>45817</v>
      </c>
      <c r="G7">
        <f t="shared" si="0"/>
        <v>1</v>
      </c>
      <c r="H7">
        <f t="shared" si="1"/>
        <v>320</v>
      </c>
      <c r="I7">
        <f t="shared" si="2"/>
        <v>320</v>
      </c>
      <c r="J7">
        <f t="shared" si="3"/>
        <v>7</v>
      </c>
      <c r="K7">
        <f t="shared" si="4"/>
        <v>0</v>
      </c>
      <c r="L7">
        <f t="shared" si="5"/>
        <v>1</v>
      </c>
      <c r="M7">
        <f t="shared" si="6"/>
        <v>384</v>
      </c>
      <c r="N7">
        <f t="shared" si="7"/>
        <v>384</v>
      </c>
    </row>
    <row r="8" spans="1:22" x14ac:dyDescent="0.25">
      <c r="A8" s="7">
        <v>7</v>
      </c>
      <c r="B8" s="8" t="s">
        <v>18</v>
      </c>
      <c r="C8" s="8" t="s">
        <v>19</v>
      </c>
      <c r="D8" s="9">
        <v>3</v>
      </c>
      <c r="E8" s="10">
        <v>45787</v>
      </c>
      <c r="F8" s="11">
        <v>45792</v>
      </c>
      <c r="G8">
        <f t="shared" si="0"/>
        <v>5</v>
      </c>
      <c r="H8">
        <f t="shared" si="1"/>
        <v>320</v>
      </c>
      <c r="I8">
        <f t="shared" si="2"/>
        <v>1600</v>
      </c>
      <c r="J8">
        <f t="shared" si="3"/>
        <v>6</v>
      </c>
      <c r="K8">
        <f t="shared" si="4"/>
        <v>3</v>
      </c>
      <c r="L8">
        <f t="shared" si="5"/>
        <v>2</v>
      </c>
      <c r="M8">
        <f t="shared" si="6"/>
        <v>1728</v>
      </c>
      <c r="N8">
        <f t="shared" si="7"/>
        <v>1555.2</v>
      </c>
      <c r="P8" s="20" t="s">
        <v>186</v>
      </c>
      <c r="Q8" t="s">
        <v>195</v>
      </c>
    </row>
    <row r="9" spans="1:22" x14ac:dyDescent="0.25">
      <c r="A9" s="12">
        <v>8</v>
      </c>
      <c r="B9" s="13" t="s">
        <v>20</v>
      </c>
      <c r="C9" s="13" t="s">
        <v>21</v>
      </c>
      <c r="D9" s="14">
        <v>2</v>
      </c>
      <c r="E9" s="15">
        <v>45825</v>
      </c>
      <c r="F9" s="16">
        <v>45827</v>
      </c>
      <c r="G9">
        <f t="shared" si="0"/>
        <v>2</v>
      </c>
      <c r="H9">
        <f t="shared" si="1"/>
        <v>240</v>
      </c>
      <c r="I9">
        <f t="shared" si="2"/>
        <v>480</v>
      </c>
      <c r="J9">
        <f t="shared" si="3"/>
        <v>2</v>
      </c>
      <c r="K9">
        <f t="shared" si="4"/>
        <v>2</v>
      </c>
      <c r="L9">
        <f t="shared" si="5"/>
        <v>0</v>
      </c>
      <c r="M9">
        <f t="shared" si="6"/>
        <v>480</v>
      </c>
      <c r="N9">
        <f t="shared" si="7"/>
        <v>480</v>
      </c>
      <c r="P9" s="21" t="s">
        <v>172</v>
      </c>
      <c r="Q9" s="1">
        <v>6160</v>
      </c>
      <c r="S9" t="s">
        <v>196</v>
      </c>
      <c r="T9" s="22" t="s">
        <v>110</v>
      </c>
      <c r="U9" s="23" t="s">
        <v>172</v>
      </c>
      <c r="V9">
        <v>6160</v>
      </c>
    </row>
    <row r="10" spans="1:22" x14ac:dyDescent="0.25">
      <c r="A10" s="7">
        <v>9</v>
      </c>
      <c r="B10" s="8" t="s">
        <v>8</v>
      </c>
      <c r="C10" s="8" t="s">
        <v>22</v>
      </c>
      <c r="D10" s="9">
        <v>2</v>
      </c>
      <c r="E10" s="10">
        <v>45839</v>
      </c>
      <c r="F10" s="11">
        <v>45841</v>
      </c>
      <c r="G10">
        <f t="shared" si="0"/>
        <v>2</v>
      </c>
      <c r="H10">
        <f t="shared" si="1"/>
        <v>240</v>
      </c>
      <c r="I10">
        <f t="shared" si="2"/>
        <v>480</v>
      </c>
      <c r="J10">
        <f t="shared" si="3"/>
        <v>2</v>
      </c>
      <c r="K10">
        <f t="shared" si="4"/>
        <v>2</v>
      </c>
      <c r="L10">
        <f t="shared" si="5"/>
        <v>0</v>
      </c>
      <c r="M10">
        <f t="shared" si="6"/>
        <v>480</v>
      </c>
      <c r="N10">
        <f t="shared" si="7"/>
        <v>480</v>
      </c>
      <c r="P10" s="22" t="s">
        <v>110</v>
      </c>
      <c r="Q10" s="1">
        <v>6160</v>
      </c>
      <c r="S10" t="s">
        <v>197</v>
      </c>
      <c r="V10" s="32">
        <f>SUM($N$138,$N$178,$N$186)</f>
        <v>6150.4</v>
      </c>
    </row>
    <row r="11" spans="1:22" x14ac:dyDescent="0.25">
      <c r="A11" s="12">
        <v>10</v>
      </c>
      <c r="B11" s="13" t="s">
        <v>23</v>
      </c>
      <c r="C11" s="13" t="s">
        <v>24</v>
      </c>
      <c r="D11" s="14">
        <v>2</v>
      </c>
      <c r="E11" s="15">
        <v>45778</v>
      </c>
      <c r="F11" s="16">
        <v>45780</v>
      </c>
      <c r="G11">
        <f t="shared" si="0"/>
        <v>2</v>
      </c>
      <c r="H11">
        <f t="shared" si="1"/>
        <v>240</v>
      </c>
      <c r="I11">
        <f t="shared" si="2"/>
        <v>480</v>
      </c>
      <c r="J11">
        <f t="shared" si="3"/>
        <v>4</v>
      </c>
      <c r="K11">
        <f t="shared" si="4"/>
        <v>2</v>
      </c>
      <c r="L11">
        <f t="shared" si="5"/>
        <v>0</v>
      </c>
      <c r="M11">
        <f t="shared" si="6"/>
        <v>480</v>
      </c>
      <c r="N11">
        <f t="shared" si="7"/>
        <v>480</v>
      </c>
      <c r="P11" s="21" t="s">
        <v>117</v>
      </c>
      <c r="Q11" s="1">
        <v>5200</v>
      </c>
    </row>
    <row r="12" spans="1:22" x14ac:dyDescent="0.25">
      <c r="A12" s="7">
        <v>11</v>
      </c>
      <c r="B12" s="8" t="s">
        <v>8</v>
      </c>
      <c r="C12" s="8" t="s">
        <v>25</v>
      </c>
      <c r="D12" s="9">
        <v>4</v>
      </c>
      <c r="E12" s="10">
        <v>45853</v>
      </c>
      <c r="F12" s="11">
        <v>45856</v>
      </c>
      <c r="G12">
        <f t="shared" si="0"/>
        <v>3</v>
      </c>
      <c r="H12">
        <f t="shared" si="1"/>
        <v>400</v>
      </c>
      <c r="I12">
        <f t="shared" si="2"/>
        <v>1200</v>
      </c>
      <c r="J12">
        <f t="shared" si="3"/>
        <v>2</v>
      </c>
      <c r="K12">
        <f t="shared" si="4"/>
        <v>3</v>
      </c>
      <c r="L12">
        <f t="shared" si="5"/>
        <v>0</v>
      </c>
      <c r="M12">
        <f t="shared" si="6"/>
        <v>1200</v>
      </c>
      <c r="N12">
        <f t="shared" si="7"/>
        <v>1200</v>
      </c>
      <c r="P12" s="22" t="s">
        <v>54</v>
      </c>
      <c r="Q12" s="1">
        <v>5200</v>
      </c>
    </row>
    <row r="13" spans="1:22" x14ac:dyDescent="0.25">
      <c r="A13" s="12">
        <v>12</v>
      </c>
      <c r="B13" s="13" t="s">
        <v>26</v>
      </c>
      <c r="C13" s="13" t="s">
        <v>27</v>
      </c>
      <c r="D13" s="14">
        <v>1</v>
      </c>
      <c r="E13" s="15">
        <v>45782</v>
      </c>
      <c r="F13" s="16">
        <v>45786</v>
      </c>
      <c r="G13">
        <f t="shared" si="0"/>
        <v>4</v>
      </c>
      <c r="H13">
        <f t="shared" si="1"/>
        <v>140</v>
      </c>
      <c r="I13">
        <f t="shared" si="2"/>
        <v>560</v>
      </c>
      <c r="J13">
        <f t="shared" si="3"/>
        <v>1</v>
      </c>
      <c r="K13">
        <f t="shared" si="4"/>
        <v>4</v>
      </c>
      <c r="L13">
        <f t="shared" si="5"/>
        <v>0</v>
      </c>
      <c r="M13">
        <f t="shared" si="6"/>
        <v>560</v>
      </c>
      <c r="N13">
        <f t="shared" si="7"/>
        <v>560</v>
      </c>
      <c r="P13" s="21" t="s">
        <v>134</v>
      </c>
      <c r="Q13" s="1">
        <v>4560</v>
      </c>
    </row>
    <row r="14" spans="1:22" x14ac:dyDescent="0.25">
      <c r="A14" s="7">
        <v>13</v>
      </c>
      <c r="B14" s="8" t="s">
        <v>23</v>
      </c>
      <c r="C14" s="8" t="s">
        <v>28</v>
      </c>
      <c r="D14" s="9">
        <v>2</v>
      </c>
      <c r="E14" s="10">
        <v>45809</v>
      </c>
      <c r="F14" s="11">
        <v>45812</v>
      </c>
      <c r="G14">
        <f t="shared" si="0"/>
        <v>3</v>
      </c>
      <c r="H14">
        <f t="shared" si="1"/>
        <v>240</v>
      </c>
      <c r="I14">
        <f t="shared" si="2"/>
        <v>720</v>
      </c>
      <c r="J14">
        <f t="shared" si="3"/>
        <v>7</v>
      </c>
      <c r="K14">
        <f t="shared" si="4"/>
        <v>2</v>
      </c>
      <c r="L14">
        <f t="shared" si="5"/>
        <v>1</v>
      </c>
      <c r="M14">
        <f t="shared" si="6"/>
        <v>768</v>
      </c>
      <c r="N14">
        <f t="shared" si="7"/>
        <v>768</v>
      </c>
      <c r="P14" s="22" t="s">
        <v>34</v>
      </c>
      <c r="Q14" s="1">
        <v>4560</v>
      </c>
    </row>
    <row r="15" spans="1:22" x14ac:dyDescent="0.25">
      <c r="A15" s="12">
        <v>14</v>
      </c>
      <c r="B15" s="13" t="s">
        <v>29</v>
      </c>
      <c r="C15" s="13" t="s">
        <v>30</v>
      </c>
      <c r="D15" s="14">
        <v>1</v>
      </c>
      <c r="E15" s="15">
        <v>45782</v>
      </c>
      <c r="F15" s="16">
        <v>45786</v>
      </c>
      <c r="G15">
        <f t="shared" si="0"/>
        <v>4</v>
      </c>
      <c r="H15">
        <f t="shared" si="1"/>
        <v>140</v>
      </c>
      <c r="I15">
        <f t="shared" si="2"/>
        <v>560</v>
      </c>
      <c r="J15">
        <f t="shared" si="3"/>
        <v>1</v>
      </c>
      <c r="K15">
        <f t="shared" si="4"/>
        <v>4</v>
      </c>
      <c r="L15">
        <f t="shared" si="5"/>
        <v>0</v>
      </c>
      <c r="M15">
        <f t="shared" si="6"/>
        <v>560</v>
      </c>
      <c r="N15">
        <f t="shared" si="7"/>
        <v>560</v>
      </c>
      <c r="P15" s="21" t="s">
        <v>169</v>
      </c>
      <c r="Q15" s="1">
        <v>3920</v>
      </c>
    </row>
    <row r="16" spans="1:22" x14ac:dyDescent="0.25">
      <c r="A16" s="7">
        <v>15</v>
      </c>
      <c r="B16" s="8" t="s">
        <v>6</v>
      </c>
      <c r="C16" s="8" t="s">
        <v>31</v>
      </c>
      <c r="D16" s="9">
        <v>1</v>
      </c>
      <c r="E16" s="10">
        <v>45782</v>
      </c>
      <c r="F16" s="11">
        <v>45786</v>
      </c>
      <c r="G16">
        <f t="shared" si="0"/>
        <v>4</v>
      </c>
      <c r="H16">
        <f t="shared" si="1"/>
        <v>140</v>
      </c>
      <c r="I16">
        <f t="shared" si="2"/>
        <v>560</v>
      </c>
      <c r="J16">
        <f t="shared" si="3"/>
        <v>1</v>
      </c>
      <c r="K16">
        <f t="shared" si="4"/>
        <v>4</v>
      </c>
      <c r="L16">
        <f t="shared" si="5"/>
        <v>0</v>
      </c>
      <c r="M16">
        <f t="shared" si="6"/>
        <v>560</v>
      </c>
      <c r="N16">
        <f t="shared" si="7"/>
        <v>560</v>
      </c>
      <c r="P16" s="22" t="s">
        <v>84</v>
      </c>
      <c r="Q16" s="1">
        <v>3920</v>
      </c>
    </row>
    <row r="17" spans="1:17" x14ac:dyDescent="0.25">
      <c r="A17" s="12">
        <v>16</v>
      </c>
      <c r="B17" s="13" t="s">
        <v>32</v>
      </c>
      <c r="C17" s="13" t="s">
        <v>33</v>
      </c>
      <c r="D17" s="14">
        <v>1</v>
      </c>
      <c r="E17" s="15">
        <v>45778</v>
      </c>
      <c r="F17" s="16">
        <v>45780</v>
      </c>
      <c r="G17">
        <f t="shared" si="0"/>
        <v>2</v>
      </c>
      <c r="H17">
        <f t="shared" si="1"/>
        <v>140</v>
      </c>
      <c r="I17">
        <f t="shared" si="2"/>
        <v>280</v>
      </c>
      <c r="J17">
        <f t="shared" si="3"/>
        <v>4</v>
      </c>
      <c r="K17">
        <f t="shared" si="4"/>
        <v>2</v>
      </c>
      <c r="L17">
        <f t="shared" si="5"/>
        <v>0</v>
      </c>
      <c r="M17">
        <f t="shared" si="6"/>
        <v>280</v>
      </c>
      <c r="N17">
        <f t="shared" si="7"/>
        <v>280</v>
      </c>
      <c r="P17" s="21" t="s">
        <v>149</v>
      </c>
      <c r="Q17" s="1">
        <v>3360</v>
      </c>
    </row>
    <row r="18" spans="1:17" x14ac:dyDescent="0.25">
      <c r="A18" s="7">
        <v>17</v>
      </c>
      <c r="B18" s="8" t="s">
        <v>34</v>
      </c>
      <c r="C18" s="8" t="s">
        <v>35</v>
      </c>
      <c r="D18" s="9">
        <v>2</v>
      </c>
      <c r="E18" s="10">
        <v>45782</v>
      </c>
      <c r="F18" s="11">
        <v>45786</v>
      </c>
      <c r="G18">
        <f t="shared" si="0"/>
        <v>4</v>
      </c>
      <c r="H18">
        <f t="shared" si="1"/>
        <v>240</v>
      </c>
      <c r="I18">
        <f t="shared" si="2"/>
        <v>960</v>
      </c>
      <c r="J18">
        <f t="shared" si="3"/>
        <v>1</v>
      </c>
      <c r="K18">
        <f t="shared" si="4"/>
        <v>4</v>
      </c>
      <c r="L18">
        <f t="shared" si="5"/>
        <v>0</v>
      </c>
      <c r="M18">
        <f t="shared" si="6"/>
        <v>960</v>
      </c>
      <c r="N18">
        <f t="shared" si="7"/>
        <v>960</v>
      </c>
      <c r="P18" s="22" t="s">
        <v>84</v>
      </c>
      <c r="Q18" s="1">
        <v>3360</v>
      </c>
    </row>
    <row r="19" spans="1:17" x14ac:dyDescent="0.25">
      <c r="A19" s="12">
        <v>18</v>
      </c>
      <c r="B19" s="13" t="s">
        <v>36</v>
      </c>
      <c r="C19" s="13" t="s">
        <v>37</v>
      </c>
      <c r="D19" s="14">
        <v>2</v>
      </c>
      <c r="E19" s="15">
        <v>45782</v>
      </c>
      <c r="F19" s="16">
        <v>45786</v>
      </c>
      <c r="G19">
        <f t="shared" si="0"/>
        <v>4</v>
      </c>
      <c r="H19">
        <f t="shared" si="1"/>
        <v>240</v>
      </c>
      <c r="I19">
        <f t="shared" si="2"/>
        <v>960</v>
      </c>
      <c r="J19">
        <f t="shared" si="3"/>
        <v>1</v>
      </c>
      <c r="K19">
        <f t="shared" si="4"/>
        <v>4</v>
      </c>
      <c r="L19">
        <f t="shared" si="5"/>
        <v>0</v>
      </c>
      <c r="M19">
        <f t="shared" si="6"/>
        <v>960</v>
      </c>
      <c r="N19">
        <f t="shared" si="7"/>
        <v>960</v>
      </c>
      <c r="P19" s="21" t="s">
        <v>156</v>
      </c>
      <c r="Q19" s="1">
        <v>2960</v>
      </c>
    </row>
    <row r="20" spans="1:17" x14ac:dyDescent="0.25">
      <c r="A20" s="7">
        <v>19</v>
      </c>
      <c r="B20" s="8" t="s">
        <v>38</v>
      </c>
      <c r="C20" s="8" t="s">
        <v>39</v>
      </c>
      <c r="D20" s="9">
        <v>2</v>
      </c>
      <c r="E20" s="10">
        <v>45782</v>
      </c>
      <c r="F20" s="11">
        <v>45786</v>
      </c>
      <c r="G20">
        <f t="shared" si="0"/>
        <v>4</v>
      </c>
      <c r="H20">
        <f t="shared" si="1"/>
        <v>240</v>
      </c>
      <c r="I20">
        <f t="shared" si="2"/>
        <v>960</v>
      </c>
      <c r="J20">
        <f t="shared" si="3"/>
        <v>1</v>
      </c>
      <c r="K20">
        <f t="shared" si="4"/>
        <v>4</v>
      </c>
      <c r="L20">
        <f t="shared" si="5"/>
        <v>0</v>
      </c>
      <c r="M20">
        <f t="shared" si="6"/>
        <v>960</v>
      </c>
      <c r="N20">
        <f t="shared" si="7"/>
        <v>960</v>
      </c>
      <c r="P20" s="22" t="s">
        <v>6</v>
      </c>
      <c r="Q20" s="1">
        <v>2960</v>
      </c>
    </row>
    <row r="21" spans="1:17" x14ac:dyDescent="0.25">
      <c r="A21" s="12">
        <v>20</v>
      </c>
      <c r="B21" s="13" t="s">
        <v>40</v>
      </c>
      <c r="C21" s="13" t="s">
        <v>41</v>
      </c>
      <c r="D21" s="14">
        <v>2</v>
      </c>
      <c r="E21" s="15">
        <v>45839</v>
      </c>
      <c r="F21" s="16">
        <v>45841</v>
      </c>
      <c r="G21">
        <f t="shared" si="0"/>
        <v>2</v>
      </c>
      <c r="H21">
        <f t="shared" si="1"/>
        <v>240</v>
      </c>
      <c r="I21">
        <f t="shared" si="2"/>
        <v>480</v>
      </c>
      <c r="J21">
        <f t="shared" si="3"/>
        <v>2</v>
      </c>
      <c r="K21">
        <f t="shared" si="4"/>
        <v>2</v>
      </c>
      <c r="L21">
        <f t="shared" si="5"/>
        <v>0</v>
      </c>
      <c r="M21">
        <f t="shared" si="6"/>
        <v>480</v>
      </c>
      <c r="N21">
        <f t="shared" si="7"/>
        <v>480</v>
      </c>
      <c r="P21" s="21" t="s">
        <v>116</v>
      </c>
      <c r="Q21" s="1">
        <v>2560</v>
      </c>
    </row>
    <row r="22" spans="1:17" x14ac:dyDescent="0.25">
      <c r="A22" s="7">
        <v>21</v>
      </c>
      <c r="B22" s="8" t="s">
        <v>18</v>
      </c>
      <c r="C22" s="8" t="s">
        <v>42</v>
      </c>
      <c r="D22" s="9">
        <v>2</v>
      </c>
      <c r="E22" s="10">
        <v>45825</v>
      </c>
      <c r="F22" s="11">
        <v>45827</v>
      </c>
      <c r="G22">
        <f t="shared" si="0"/>
        <v>2</v>
      </c>
      <c r="H22">
        <f t="shared" si="1"/>
        <v>240</v>
      </c>
      <c r="I22">
        <f t="shared" si="2"/>
        <v>480</v>
      </c>
      <c r="J22">
        <f t="shared" si="3"/>
        <v>2</v>
      </c>
      <c r="K22">
        <f t="shared" si="4"/>
        <v>2</v>
      </c>
      <c r="L22">
        <f t="shared" si="5"/>
        <v>0</v>
      </c>
      <c r="M22">
        <f t="shared" si="6"/>
        <v>480</v>
      </c>
      <c r="N22">
        <f t="shared" si="7"/>
        <v>480</v>
      </c>
      <c r="P22" s="22" t="s">
        <v>14</v>
      </c>
      <c r="Q22" s="1">
        <v>2560</v>
      </c>
    </row>
    <row r="23" spans="1:17" x14ac:dyDescent="0.25">
      <c r="A23" s="12">
        <v>22</v>
      </c>
      <c r="B23" s="13" t="s">
        <v>43</v>
      </c>
      <c r="C23" s="13" t="s">
        <v>44</v>
      </c>
      <c r="D23" s="14">
        <v>2</v>
      </c>
      <c r="E23" s="15">
        <v>45809</v>
      </c>
      <c r="F23" s="16">
        <v>45812</v>
      </c>
      <c r="G23">
        <f t="shared" si="0"/>
        <v>3</v>
      </c>
      <c r="H23">
        <f t="shared" si="1"/>
        <v>240</v>
      </c>
      <c r="I23">
        <f t="shared" si="2"/>
        <v>720</v>
      </c>
      <c r="J23">
        <f t="shared" si="3"/>
        <v>7</v>
      </c>
      <c r="K23">
        <f t="shared" si="4"/>
        <v>2</v>
      </c>
      <c r="L23">
        <f t="shared" si="5"/>
        <v>1</v>
      </c>
      <c r="M23">
        <f t="shared" si="6"/>
        <v>768</v>
      </c>
      <c r="N23">
        <f t="shared" si="7"/>
        <v>768</v>
      </c>
      <c r="P23" s="21" t="s">
        <v>173</v>
      </c>
      <c r="Q23" s="1">
        <v>2240</v>
      </c>
    </row>
    <row r="24" spans="1:17" x14ac:dyDescent="0.25">
      <c r="A24" s="7">
        <v>23</v>
      </c>
      <c r="B24" s="8" t="s">
        <v>45</v>
      </c>
      <c r="C24" s="8" t="s">
        <v>46</v>
      </c>
      <c r="D24" s="9">
        <v>3</v>
      </c>
      <c r="E24" s="10">
        <v>45787</v>
      </c>
      <c r="F24" s="11">
        <v>45792</v>
      </c>
      <c r="G24">
        <f t="shared" si="0"/>
        <v>5</v>
      </c>
      <c r="H24">
        <f t="shared" si="1"/>
        <v>320</v>
      </c>
      <c r="I24">
        <f t="shared" si="2"/>
        <v>1600</v>
      </c>
      <c r="J24">
        <f t="shared" si="3"/>
        <v>6</v>
      </c>
      <c r="K24">
        <f t="shared" si="4"/>
        <v>3</v>
      </c>
      <c r="L24">
        <f t="shared" si="5"/>
        <v>2</v>
      </c>
      <c r="M24">
        <f t="shared" si="6"/>
        <v>1728</v>
      </c>
      <c r="N24">
        <f t="shared" si="7"/>
        <v>1555.2</v>
      </c>
      <c r="P24" s="22" t="s">
        <v>20</v>
      </c>
      <c r="Q24" s="1">
        <v>2240</v>
      </c>
    </row>
    <row r="25" spans="1:17" x14ac:dyDescent="0.25">
      <c r="A25" s="12">
        <v>24</v>
      </c>
      <c r="B25" s="13" t="s">
        <v>47</v>
      </c>
      <c r="C25" s="13" t="s">
        <v>48</v>
      </c>
      <c r="D25" s="14">
        <v>4</v>
      </c>
      <c r="E25" s="15">
        <v>45853</v>
      </c>
      <c r="F25" s="16">
        <v>45856</v>
      </c>
      <c r="G25">
        <f t="shared" si="0"/>
        <v>3</v>
      </c>
      <c r="H25">
        <f t="shared" si="1"/>
        <v>400</v>
      </c>
      <c r="I25">
        <f t="shared" si="2"/>
        <v>1200</v>
      </c>
      <c r="J25">
        <f t="shared" si="3"/>
        <v>2</v>
      </c>
      <c r="K25">
        <f t="shared" si="4"/>
        <v>3</v>
      </c>
      <c r="L25">
        <f t="shared" si="5"/>
        <v>0</v>
      </c>
      <c r="M25">
        <f t="shared" si="6"/>
        <v>1200</v>
      </c>
      <c r="N25">
        <f t="shared" si="7"/>
        <v>1200</v>
      </c>
      <c r="P25" s="21" t="s">
        <v>171</v>
      </c>
      <c r="Q25" s="1">
        <v>2220</v>
      </c>
    </row>
    <row r="26" spans="1:17" x14ac:dyDescent="0.25">
      <c r="A26" s="7">
        <v>25</v>
      </c>
      <c r="B26" s="8" t="s">
        <v>49</v>
      </c>
      <c r="C26" s="8" t="s">
        <v>50</v>
      </c>
      <c r="D26" s="9">
        <v>2</v>
      </c>
      <c r="E26" s="10">
        <v>45782</v>
      </c>
      <c r="F26" s="11">
        <v>45786</v>
      </c>
      <c r="G26">
        <f t="shared" si="0"/>
        <v>4</v>
      </c>
      <c r="H26">
        <f t="shared" si="1"/>
        <v>240</v>
      </c>
      <c r="I26">
        <f t="shared" si="2"/>
        <v>960</v>
      </c>
      <c r="J26">
        <f t="shared" si="3"/>
        <v>1</v>
      </c>
      <c r="K26">
        <f t="shared" si="4"/>
        <v>4</v>
      </c>
      <c r="L26">
        <f t="shared" si="5"/>
        <v>0</v>
      </c>
      <c r="M26">
        <f t="shared" si="6"/>
        <v>960</v>
      </c>
      <c r="N26">
        <f t="shared" si="7"/>
        <v>960</v>
      </c>
      <c r="P26" s="22" t="s">
        <v>45</v>
      </c>
      <c r="Q26" s="1">
        <v>2220</v>
      </c>
    </row>
    <row r="27" spans="1:17" x14ac:dyDescent="0.25">
      <c r="A27" s="12">
        <v>26</v>
      </c>
      <c r="B27" s="13" t="s">
        <v>51</v>
      </c>
      <c r="C27" s="13" t="s">
        <v>52</v>
      </c>
      <c r="D27" s="14">
        <v>2</v>
      </c>
      <c r="E27" s="15">
        <v>45782</v>
      </c>
      <c r="F27" s="16">
        <v>45786</v>
      </c>
      <c r="G27">
        <f t="shared" si="0"/>
        <v>4</v>
      </c>
      <c r="H27">
        <f t="shared" si="1"/>
        <v>240</v>
      </c>
      <c r="I27">
        <f t="shared" si="2"/>
        <v>960</v>
      </c>
      <c r="J27">
        <f t="shared" si="3"/>
        <v>1</v>
      </c>
      <c r="K27">
        <f t="shared" si="4"/>
        <v>4</v>
      </c>
      <c r="L27">
        <f t="shared" si="5"/>
        <v>0</v>
      </c>
      <c r="M27">
        <f t="shared" si="6"/>
        <v>960</v>
      </c>
      <c r="N27">
        <f t="shared" si="7"/>
        <v>960</v>
      </c>
      <c r="P27" s="21" t="s">
        <v>124</v>
      </c>
      <c r="Q27" s="1">
        <v>2120</v>
      </c>
    </row>
    <row r="28" spans="1:17" x14ac:dyDescent="0.25">
      <c r="A28" s="7">
        <v>27</v>
      </c>
      <c r="B28" s="8" t="s">
        <v>34</v>
      </c>
      <c r="C28" s="8" t="s">
        <v>53</v>
      </c>
      <c r="D28" s="9">
        <v>3</v>
      </c>
      <c r="E28" s="10">
        <v>45782</v>
      </c>
      <c r="F28" s="11">
        <v>45786</v>
      </c>
      <c r="G28">
        <f t="shared" si="0"/>
        <v>4</v>
      </c>
      <c r="H28">
        <f t="shared" si="1"/>
        <v>320</v>
      </c>
      <c r="I28">
        <f t="shared" si="2"/>
        <v>1280</v>
      </c>
      <c r="J28">
        <f t="shared" si="3"/>
        <v>1</v>
      </c>
      <c r="K28">
        <f t="shared" si="4"/>
        <v>4</v>
      </c>
      <c r="L28">
        <f t="shared" si="5"/>
        <v>0</v>
      </c>
      <c r="M28">
        <f t="shared" si="6"/>
        <v>1280</v>
      </c>
      <c r="N28">
        <f t="shared" si="7"/>
        <v>1280</v>
      </c>
      <c r="P28" s="22" t="s">
        <v>29</v>
      </c>
      <c r="Q28" s="1">
        <v>2120</v>
      </c>
    </row>
    <row r="29" spans="1:17" x14ac:dyDescent="0.25">
      <c r="A29" s="12">
        <v>28</v>
      </c>
      <c r="B29" s="13" t="s">
        <v>54</v>
      </c>
      <c r="C29" s="13" t="s">
        <v>55</v>
      </c>
      <c r="D29" s="14">
        <v>3</v>
      </c>
      <c r="E29" s="15">
        <v>45782</v>
      </c>
      <c r="F29" s="16">
        <v>45786</v>
      </c>
      <c r="G29">
        <f t="shared" si="0"/>
        <v>4</v>
      </c>
      <c r="H29">
        <f t="shared" si="1"/>
        <v>320</v>
      </c>
      <c r="I29">
        <f t="shared" si="2"/>
        <v>1280</v>
      </c>
      <c r="J29">
        <f t="shared" si="3"/>
        <v>1</v>
      </c>
      <c r="K29">
        <f t="shared" si="4"/>
        <v>4</v>
      </c>
      <c r="L29">
        <f t="shared" si="5"/>
        <v>0</v>
      </c>
      <c r="M29">
        <f t="shared" si="6"/>
        <v>1280</v>
      </c>
      <c r="N29">
        <f t="shared" si="7"/>
        <v>1280</v>
      </c>
      <c r="P29" s="21" t="s">
        <v>141</v>
      </c>
      <c r="Q29" s="1">
        <v>2000</v>
      </c>
    </row>
    <row r="30" spans="1:17" x14ac:dyDescent="0.25">
      <c r="A30" s="7">
        <v>29</v>
      </c>
      <c r="B30" s="8" t="s">
        <v>18</v>
      </c>
      <c r="C30" s="8" t="s">
        <v>56</v>
      </c>
      <c r="D30" s="9">
        <v>3</v>
      </c>
      <c r="E30" s="10">
        <v>45782</v>
      </c>
      <c r="F30" s="11">
        <v>45786</v>
      </c>
      <c r="G30">
        <f t="shared" si="0"/>
        <v>4</v>
      </c>
      <c r="H30">
        <f t="shared" si="1"/>
        <v>320</v>
      </c>
      <c r="I30">
        <f t="shared" si="2"/>
        <v>1280</v>
      </c>
      <c r="J30">
        <f t="shared" si="3"/>
        <v>1</v>
      </c>
      <c r="K30">
        <f t="shared" si="4"/>
        <v>4</v>
      </c>
      <c r="L30">
        <f t="shared" si="5"/>
        <v>0</v>
      </c>
      <c r="M30">
        <f t="shared" si="6"/>
        <v>1280</v>
      </c>
      <c r="N30">
        <f t="shared" si="7"/>
        <v>1280</v>
      </c>
      <c r="P30" s="22" t="s">
        <v>43</v>
      </c>
      <c r="Q30" s="1">
        <v>2000</v>
      </c>
    </row>
    <row r="31" spans="1:17" x14ac:dyDescent="0.25">
      <c r="A31" s="12">
        <v>30</v>
      </c>
      <c r="B31" s="13" t="s">
        <v>16</v>
      </c>
      <c r="C31" s="13" t="s">
        <v>57</v>
      </c>
      <c r="D31" s="14">
        <v>1</v>
      </c>
      <c r="E31" s="15">
        <v>45853</v>
      </c>
      <c r="F31" s="16">
        <v>45856</v>
      </c>
      <c r="G31">
        <f t="shared" si="0"/>
        <v>3</v>
      </c>
      <c r="H31">
        <f t="shared" si="1"/>
        <v>140</v>
      </c>
      <c r="I31">
        <f t="shared" si="2"/>
        <v>420</v>
      </c>
      <c r="J31">
        <f t="shared" si="3"/>
        <v>2</v>
      </c>
      <c r="K31">
        <f t="shared" si="4"/>
        <v>3</v>
      </c>
      <c r="L31">
        <f t="shared" si="5"/>
        <v>0</v>
      </c>
      <c r="M31">
        <f t="shared" si="6"/>
        <v>420</v>
      </c>
      <c r="N31">
        <f t="shared" si="7"/>
        <v>420</v>
      </c>
      <c r="P31" s="21" t="s">
        <v>174</v>
      </c>
      <c r="Q31" s="1">
        <v>1920</v>
      </c>
    </row>
    <row r="32" spans="1:17" x14ac:dyDescent="0.25">
      <c r="A32" s="7">
        <v>31</v>
      </c>
      <c r="B32" s="8" t="s">
        <v>29</v>
      </c>
      <c r="C32" s="8" t="s">
        <v>58</v>
      </c>
      <c r="D32" s="9">
        <v>2</v>
      </c>
      <c r="E32" s="10">
        <v>45839</v>
      </c>
      <c r="F32" s="11">
        <v>45841</v>
      </c>
      <c r="G32">
        <f t="shared" si="0"/>
        <v>2</v>
      </c>
      <c r="H32">
        <f t="shared" si="1"/>
        <v>240</v>
      </c>
      <c r="I32">
        <f t="shared" si="2"/>
        <v>480</v>
      </c>
      <c r="J32">
        <f t="shared" si="3"/>
        <v>2</v>
      </c>
      <c r="K32">
        <f t="shared" si="4"/>
        <v>2</v>
      </c>
      <c r="L32">
        <f t="shared" si="5"/>
        <v>0</v>
      </c>
      <c r="M32">
        <f t="shared" si="6"/>
        <v>480</v>
      </c>
      <c r="N32">
        <f t="shared" si="7"/>
        <v>480</v>
      </c>
      <c r="P32" s="22" t="s">
        <v>102</v>
      </c>
      <c r="Q32" s="1">
        <v>1920</v>
      </c>
    </row>
    <row r="33" spans="1:17" x14ac:dyDescent="0.25">
      <c r="A33" s="12">
        <v>32</v>
      </c>
      <c r="B33" s="13" t="s">
        <v>38</v>
      </c>
      <c r="C33" s="13" t="s">
        <v>59</v>
      </c>
      <c r="D33" s="14">
        <v>4</v>
      </c>
      <c r="E33" s="15">
        <v>45825</v>
      </c>
      <c r="F33" s="16">
        <v>45827</v>
      </c>
      <c r="G33">
        <f t="shared" si="0"/>
        <v>2</v>
      </c>
      <c r="H33">
        <f t="shared" si="1"/>
        <v>400</v>
      </c>
      <c r="I33">
        <f t="shared" si="2"/>
        <v>800</v>
      </c>
      <c r="J33">
        <f t="shared" si="3"/>
        <v>2</v>
      </c>
      <c r="K33">
        <f t="shared" si="4"/>
        <v>2</v>
      </c>
      <c r="L33">
        <f t="shared" si="5"/>
        <v>0</v>
      </c>
      <c r="M33">
        <f t="shared" si="6"/>
        <v>800</v>
      </c>
      <c r="N33">
        <f t="shared" si="7"/>
        <v>800</v>
      </c>
      <c r="P33" s="21" t="s">
        <v>159</v>
      </c>
      <c r="Q33" s="1">
        <v>1780</v>
      </c>
    </row>
    <row r="34" spans="1:17" x14ac:dyDescent="0.25">
      <c r="A34" s="7">
        <v>33</v>
      </c>
      <c r="B34" s="8" t="s">
        <v>12</v>
      </c>
      <c r="C34" s="8" t="s">
        <v>60</v>
      </c>
      <c r="D34" s="9">
        <v>2</v>
      </c>
      <c r="E34" s="10">
        <v>45809</v>
      </c>
      <c r="F34" s="11">
        <v>45812</v>
      </c>
      <c r="G34">
        <f t="shared" si="0"/>
        <v>3</v>
      </c>
      <c r="H34">
        <f t="shared" si="1"/>
        <v>240</v>
      </c>
      <c r="I34">
        <f t="shared" si="2"/>
        <v>720</v>
      </c>
      <c r="J34">
        <f t="shared" si="3"/>
        <v>7</v>
      </c>
      <c r="K34">
        <f t="shared" si="4"/>
        <v>2</v>
      </c>
      <c r="L34">
        <f t="shared" si="5"/>
        <v>1</v>
      </c>
      <c r="M34">
        <f t="shared" si="6"/>
        <v>768</v>
      </c>
      <c r="N34">
        <f t="shared" si="7"/>
        <v>768</v>
      </c>
      <c r="P34" s="22" t="s">
        <v>23</v>
      </c>
      <c r="Q34" s="1">
        <v>1780</v>
      </c>
    </row>
    <row r="35" spans="1:17" x14ac:dyDescent="0.25">
      <c r="A35" s="12">
        <v>34</v>
      </c>
      <c r="B35" s="13" t="s">
        <v>34</v>
      </c>
      <c r="C35" s="13" t="s">
        <v>61</v>
      </c>
      <c r="D35" s="14">
        <v>3</v>
      </c>
      <c r="E35" s="15">
        <v>45782</v>
      </c>
      <c r="F35" s="16">
        <v>45786</v>
      </c>
      <c r="G35">
        <f t="shared" si="0"/>
        <v>4</v>
      </c>
      <c r="H35">
        <f t="shared" si="1"/>
        <v>320</v>
      </c>
      <c r="I35">
        <f t="shared" si="2"/>
        <v>1280</v>
      </c>
      <c r="J35">
        <f t="shared" si="3"/>
        <v>1</v>
      </c>
      <c r="K35">
        <f t="shared" si="4"/>
        <v>4</v>
      </c>
      <c r="L35">
        <f t="shared" si="5"/>
        <v>0</v>
      </c>
      <c r="M35">
        <f t="shared" si="6"/>
        <v>1280</v>
      </c>
      <c r="N35">
        <f t="shared" si="7"/>
        <v>1280</v>
      </c>
      <c r="P35" s="21" t="s">
        <v>7</v>
      </c>
      <c r="Q35" s="1">
        <v>1760</v>
      </c>
    </row>
    <row r="36" spans="1:17" x14ac:dyDescent="0.25">
      <c r="A36" s="7">
        <v>35</v>
      </c>
      <c r="B36" s="8" t="s">
        <v>6</v>
      </c>
      <c r="C36" s="8" t="s">
        <v>62</v>
      </c>
      <c r="D36" s="9">
        <v>4</v>
      </c>
      <c r="E36" s="10">
        <v>45782</v>
      </c>
      <c r="F36" s="11">
        <v>45786</v>
      </c>
      <c r="G36">
        <f t="shared" si="0"/>
        <v>4</v>
      </c>
      <c r="H36">
        <f t="shared" si="1"/>
        <v>400</v>
      </c>
      <c r="I36">
        <f t="shared" si="2"/>
        <v>1600</v>
      </c>
      <c r="J36">
        <f t="shared" si="3"/>
        <v>1</v>
      </c>
      <c r="K36">
        <f t="shared" si="4"/>
        <v>4</v>
      </c>
      <c r="L36">
        <f t="shared" si="5"/>
        <v>0</v>
      </c>
      <c r="M36">
        <f t="shared" si="6"/>
        <v>1600</v>
      </c>
      <c r="N36">
        <f t="shared" si="7"/>
        <v>1600</v>
      </c>
      <c r="P36" s="22" t="s">
        <v>6</v>
      </c>
      <c r="Q36" s="1">
        <v>1760</v>
      </c>
    </row>
    <row r="37" spans="1:17" x14ac:dyDescent="0.25">
      <c r="A37" s="12">
        <v>36</v>
      </c>
      <c r="B37" s="13" t="s">
        <v>43</v>
      </c>
      <c r="C37" s="13" t="s">
        <v>63</v>
      </c>
      <c r="D37" s="14">
        <v>4</v>
      </c>
      <c r="E37" s="15">
        <v>45782</v>
      </c>
      <c r="F37" s="16">
        <v>45786</v>
      </c>
      <c r="G37">
        <f t="shared" si="0"/>
        <v>4</v>
      </c>
      <c r="H37">
        <f t="shared" si="1"/>
        <v>400</v>
      </c>
      <c r="I37">
        <f t="shared" si="2"/>
        <v>1600</v>
      </c>
      <c r="J37">
        <f t="shared" si="3"/>
        <v>1</v>
      </c>
      <c r="K37">
        <f t="shared" si="4"/>
        <v>4</v>
      </c>
      <c r="L37">
        <f t="shared" si="5"/>
        <v>0</v>
      </c>
      <c r="M37">
        <f t="shared" si="6"/>
        <v>1600</v>
      </c>
      <c r="N37">
        <f t="shared" si="7"/>
        <v>1600</v>
      </c>
      <c r="P37" s="21" t="s">
        <v>177</v>
      </c>
      <c r="Q37" s="1">
        <v>1700</v>
      </c>
    </row>
    <row r="38" spans="1:17" x14ac:dyDescent="0.25">
      <c r="A38" s="7">
        <v>37</v>
      </c>
      <c r="B38" s="8" t="s">
        <v>26</v>
      </c>
      <c r="C38" s="8" t="s">
        <v>64</v>
      </c>
      <c r="D38" s="9">
        <v>1</v>
      </c>
      <c r="E38" s="10">
        <v>45795</v>
      </c>
      <c r="F38" s="11">
        <v>45798</v>
      </c>
      <c r="G38">
        <f t="shared" si="0"/>
        <v>3</v>
      </c>
      <c r="H38">
        <f t="shared" si="1"/>
        <v>140</v>
      </c>
      <c r="I38">
        <f t="shared" si="2"/>
        <v>420</v>
      </c>
      <c r="J38">
        <f t="shared" si="3"/>
        <v>7</v>
      </c>
      <c r="K38">
        <f t="shared" si="4"/>
        <v>2</v>
      </c>
      <c r="L38">
        <f t="shared" si="5"/>
        <v>1</v>
      </c>
      <c r="M38">
        <f t="shared" si="6"/>
        <v>448</v>
      </c>
      <c r="N38">
        <f t="shared" si="7"/>
        <v>448</v>
      </c>
      <c r="P38" s="22" t="s">
        <v>29</v>
      </c>
      <c r="Q38" s="1">
        <v>1700</v>
      </c>
    </row>
    <row r="39" spans="1:17" x14ac:dyDescent="0.25">
      <c r="A39" s="12">
        <v>38</v>
      </c>
      <c r="B39" s="13" t="s">
        <v>65</v>
      </c>
      <c r="C39" s="13" t="s">
        <v>66</v>
      </c>
      <c r="D39" s="14">
        <v>2</v>
      </c>
      <c r="E39" s="15">
        <v>45803</v>
      </c>
      <c r="F39" s="16">
        <v>45805</v>
      </c>
      <c r="G39">
        <f t="shared" si="0"/>
        <v>2</v>
      </c>
      <c r="H39">
        <f t="shared" si="1"/>
        <v>240</v>
      </c>
      <c r="I39">
        <f t="shared" si="2"/>
        <v>480</v>
      </c>
      <c r="J39">
        <f t="shared" si="3"/>
        <v>1</v>
      </c>
      <c r="K39">
        <f t="shared" si="4"/>
        <v>2</v>
      </c>
      <c r="L39">
        <f t="shared" si="5"/>
        <v>0</v>
      </c>
      <c r="M39">
        <f t="shared" si="6"/>
        <v>480</v>
      </c>
      <c r="N39">
        <f t="shared" si="7"/>
        <v>480</v>
      </c>
      <c r="P39" s="21" t="s">
        <v>132</v>
      </c>
      <c r="Q39" s="1">
        <v>1680</v>
      </c>
    </row>
    <row r="40" spans="1:17" x14ac:dyDescent="0.25">
      <c r="A40" s="7">
        <v>39</v>
      </c>
      <c r="B40" s="8" t="s">
        <v>65</v>
      </c>
      <c r="C40" s="8" t="s">
        <v>67</v>
      </c>
      <c r="D40" s="9">
        <v>2</v>
      </c>
      <c r="E40" s="10">
        <v>45825</v>
      </c>
      <c r="F40" s="11">
        <v>45827</v>
      </c>
      <c r="G40">
        <f t="shared" si="0"/>
        <v>2</v>
      </c>
      <c r="H40">
        <f t="shared" si="1"/>
        <v>240</v>
      </c>
      <c r="I40">
        <f t="shared" si="2"/>
        <v>480</v>
      </c>
      <c r="J40">
        <f t="shared" si="3"/>
        <v>2</v>
      </c>
      <c r="K40">
        <f t="shared" si="4"/>
        <v>2</v>
      </c>
      <c r="L40">
        <f t="shared" si="5"/>
        <v>0</v>
      </c>
      <c r="M40">
        <f t="shared" si="6"/>
        <v>480</v>
      </c>
      <c r="N40">
        <f t="shared" si="7"/>
        <v>480</v>
      </c>
      <c r="P40" s="22" t="s">
        <v>43</v>
      </c>
      <c r="Q40" s="1">
        <v>1680</v>
      </c>
    </row>
    <row r="41" spans="1:17" x14ac:dyDescent="0.25">
      <c r="A41" s="12">
        <v>40</v>
      </c>
      <c r="B41" s="13" t="s">
        <v>51</v>
      </c>
      <c r="C41" s="13" t="s">
        <v>68</v>
      </c>
      <c r="D41" s="14">
        <v>2</v>
      </c>
      <c r="E41" s="15">
        <v>45828</v>
      </c>
      <c r="F41" s="16">
        <v>45830</v>
      </c>
      <c r="G41">
        <f t="shared" si="0"/>
        <v>2</v>
      </c>
      <c r="H41">
        <f t="shared" si="1"/>
        <v>240</v>
      </c>
      <c r="I41">
        <f t="shared" si="2"/>
        <v>480</v>
      </c>
      <c r="J41">
        <f t="shared" si="3"/>
        <v>5</v>
      </c>
      <c r="K41">
        <f t="shared" si="4"/>
        <v>1</v>
      </c>
      <c r="L41">
        <f t="shared" si="5"/>
        <v>1</v>
      </c>
      <c r="M41">
        <f t="shared" si="6"/>
        <v>528</v>
      </c>
      <c r="N41">
        <f t="shared" si="7"/>
        <v>528</v>
      </c>
      <c r="P41" s="21" t="s">
        <v>46</v>
      </c>
      <c r="Q41" s="1">
        <v>1600</v>
      </c>
    </row>
    <row r="42" spans="1:17" x14ac:dyDescent="0.25">
      <c r="A42" s="7">
        <v>41</v>
      </c>
      <c r="B42" s="8" t="s">
        <v>49</v>
      </c>
      <c r="C42" s="8" t="s">
        <v>69</v>
      </c>
      <c r="D42" s="9">
        <v>2</v>
      </c>
      <c r="E42" s="10">
        <v>45828</v>
      </c>
      <c r="F42" s="11">
        <v>45830</v>
      </c>
      <c r="G42">
        <f t="shared" si="0"/>
        <v>2</v>
      </c>
      <c r="H42">
        <f t="shared" si="1"/>
        <v>240</v>
      </c>
      <c r="I42">
        <f t="shared" si="2"/>
        <v>480</v>
      </c>
      <c r="J42">
        <f t="shared" si="3"/>
        <v>5</v>
      </c>
      <c r="K42">
        <f t="shared" si="4"/>
        <v>1</v>
      </c>
      <c r="L42">
        <f t="shared" si="5"/>
        <v>1</v>
      </c>
      <c r="M42">
        <f t="shared" si="6"/>
        <v>528</v>
      </c>
      <c r="N42">
        <f t="shared" si="7"/>
        <v>528</v>
      </c>
      <c r="P42" s="22" t="s">
        <v>45</v>
      </c>
      <c r="Q42" s="1">
        <v>1600</v>
      </c>
    </row>
    <row r="43" spans="1:17" x14ac:dyDescent="0.25">
      <c r="A43" s="12">
        <v>42</v>
      </c>
      <c r="B43" s="13" t="s">
        <v>14</v>
      </c>
      <c r="C43" s="13" t="s">
        <v>70</v>
      </c>
      <c r="D43" s="14">
        <v>2</v>
      </c>
      <c r="E43" s="15">
        <v>45828</v>
      </c>
      <c r="F43" s="16">
        <v>45830</v>
      </c>
      <c r="G43">
        <f t="shared" si="0"/>
        <v>2</v>
      </c>
      <c r="H43">
        <f t="shared" si="1"/>
        <v>240</v>
      </c>
      <c r="I43">
        <f t="shared" si="2"/>
        <v>480</v>
      </c>
      <c r="J43">
        <f t="shared" si="3"/>
        <v>5</v>
      </c>
      <c r="K43">
        <f t="shared" si="4"/>
        <v>1</v>
      </c>
      <c r="L43">
        <f t="shared" si="5"/>
        <v>1</v>
      </c>
      <c r="M43">
        <f t="shared" si="6"/>
        <v>528</v>
      </c>
      <c r="N43">
        <f t="shared" si="7"/>
        <v>528</v>
      </c>
      <c r="P43" s="21" t="s">
        <v>9</v>
      </c>
      <c r="Q43" s="1">
        <v>1600</v>
      </c>
    </row>
    <row r="44" spans="1:17" x14ac:dyDescent="0.25">
      <c r="A44" s="7">
        <v>43</v>
      </c>
      <c r="B44" s="8" t="s">
        <v>23</v>
      </c>
      <c r="C44" s="8" t="s">
        <v>71</v>
      </c>
      <c r="D44" s="9">
        <v>2</v>
      </c>
      <c r="E44" s="10">
        <v>45828</v>
      </c>
      <c r="F44" s="11">
        <v>45830</v>
      </c>
      <c r="G44">
        <f t="shared" si="0"/>
        <v>2</v>
      </c>
      <c r="H44">
        <f t="shared" si="1"/>
        <v>240</v>
      </c>
      <c r="I44">
        <f t="shared" si="2"/>
        <v>480</v>
      </c>
      <c r="J44">
        <f t="shared" si="3"/>
        <v>5</v>
      </c>
      <c r="K44">
        <f t="shared" si="4"/>
        <v>1</v>
      </c>
      <c r="L44">
        <f t="shared" si="5"/>
        <v>1</v>
      </c>
      <c r="M44">
        <f t="shared" si="6"/>
        <v>528</v>
      </c>
      <c r="N44">
        <f t="shared" si="7"/>
        <v>528</v>
      </c>
      <c r="P44" s="22" t="s">
        <v>8</v>
      </c>
      <c r="Q44" s="1">
        <v>1600</v>
      </c>
    </row>
    <row r="45" spans="1:17" x14ac:dyDescent="0.25">
      <c r="A45" s="12">
        <v>44</v>
      </c>
      <c r="B45" s="13" t="s">
        <v>29</v>
      </c>
      <c r="C45" s="13" t="s">
        <v>72</v>
      </c>
      <c r="D45" s="14">
        <v>2</v>
      </c>
      <c r="E45" s="15">
        <v>45828</v>
      </c>
      <c r="F45" s="16">
        <v>45830</v>
      </c>
      <c r="G45">
        <f t="shared" si="0"/>
        <v>2</v>
      </c>
      <c r="H45">
        <f t="shared" si="1"/>
        <v>240</v>
      </c>
      <c r="I45">
        <f t="shared" si="2"/>
        <v>480</v>
      </c>
      <c r="J45">
        <f t="shared" si="3"/>
        <v>5</v>
      </c>
      <c r="K45">
        <f t="shared" si="4"/>
        <v>1</v>
      </c>
      <c r="L45">
        <f t="shared" si="5"/>
        <v>1</v>
      </c>
      <c r="M45">
        <f t="shared" si="6"/>
        <v>528</v>
      </c>
      <c r="N45">
        <f t="shared" si="7"/>
        <v>528</v>
      </c>
      <c r="P45" s="21" t="s">
        <v>62</v>
      </c>
      <c r="Q45" s="1">
        <v>1600</v>
      </c>
    </row>
    <row r="46" spans="1:17" x14ac:dyDescent="0.25">
      <c r="A46" s="7">
        <v>45</v>
      </c>
      <c r="B46" s="8" t="s">
        <v>73</v>
      </c>
      <c r="C46" s="8" t="s">
        <v>74</v>
      </c>
      <c r="D46" s="9">
        <v>1</v>
      </c>
      <c r="E46" s="10">
        <v>45853</v>
      </c>
      <c r="F46" s="11">
        <v>45856</v>
      </c>
      <c r="G46">
        <f t="shared" si="0"/>
        <v>3</v>
      </c>
      <c r="H46">
        <f t="shared" si="1"/>
        <v>140</v>
      </c>
      <c r="I46">
        <f t="shared" si="2"/>
        <v>420</v>
      </c>
      <c r="J46">
        <f t="shared" si="3"/>
        <v>2</v>
      </c>
      <c r="K46">
        <f t="shared" si="4"/>
        <v>3</v>
      </c>
      <c r="L46">
        <f t="shared" si="5"/>
        <v>0</v>
      </c>
      <c r="M46">
        <f t="shared" si="6"/>
        <v>420</v>
      </c>
      <c r="N46">
        <f t="shared" si="7"/>
        <v>420</v>
      </c>
      <c r="P46" s="22" t="s">
        <v>6</v>
      </c>
      <c r="Q46" s="1">
        <v>1600</v>
      </c>
    </row>
    <row r="47" spans="1:17" x14ac:dyDescent="0.25">
      <c r="A47" s="12">
        <v>46</v>
      </c>
      <c r="B47" s="13" t="s">
        <v>51</v>
      </c>
      <c r="C47" s="13" t="s">
        <v>75</v>
      </c>
      <c r="D47" s="14">
        <v>2</v>
      </c>
      <c r="E47" s="15">
        <v>45809</v>
      </c>
      <c r="F47" s="16">
        <v>45812</v>
      </c>
      <c r="G47">
        <f t="shared" si="0"/>
        <v>3</v>
      </c>
      <c r="H47">
        <f t="shared" si="1"/>
        <v>240</v>
      </c>
      <c r="I47">
        <f t="shared" si="2"/>
        <v>720</v>
      </c>
      <c r="J47">
        <f t="shared" si="3"/>
        <v>7</v>
      </c>
      <c r="K47">
        <f t="shared" si="4"/>
        <v>2</v>
      </c>
      <c r="L47">
        <f t="shared" si="5"/>
        <v>1</v>
      </c>
      <c r="M47">
        <f t="shared" si="6"/>
        <v>768</v>
      </c>
      <c r="N47">
        <f t="shared" si="7"/>
        <v>768</v>
      </c>
      <c r="P47" s="21" t="s">
        <v>93</v>
      </c>
      <c r="Q47" s="1">
        <v>1600</v>
      </c>
    </row>
    <row r="48" spans="1:17" x14ac:dyDescent="0.25">
      <c r="A48" s="7">
        <v>47</v>
      </c>
      <c r="B48" s="8" t="s">
        <v>38</v>
      </c>
      <c r="C48" s="8" t="s">
        <v>76</v>
      </c>
      <c r="D48" s="9">
        <v>3</v>
      </c>
      <c r="E48" s="10">
        <v>45816</v>
      </c>
      <c r="F48" s="11">
        <v>45817</v>
      </c>
      <c r="G48">
        <f t="shared" si="0"/>
        <v>1</v>
      </c>
      <c r="H48">
        <f t="shared" si="1"/>
        <v>320</v>
      </c>
      <c r="I48">
        <f t="shared" si="2"/>
        <v>320</v>
      </c>
      <c r="J48">
        <f t="shared" si="3"/>
        <v>7</v>
      </c>
      <c r="K48">
        <f t="shared" si="4"/>
        <v>0</v>
      </c>
      <c r="L48">
        <f t="shared" si="5"/>
        <v>1</v>
      </c>
      <c r="M48">
        <f t="shared" si="6"/>
        <v>384</v>
      </c>
      <c r="N48">
        <f t="shared" si="7"/>
        <v>384</v>
      </c>
      <c r="P48" s="22" t="s">
        <v>14</v>
      </c>
      <c r="Q48" s="1">
        <v>1600</v>
      </c>
    </row>
    <row r="49" spans="1:17" x14ac:dyDescent="0.25">
      <c r="A49" s="12">
        <v>48</v>
      </c>
      <c r="B49" s="13" t="s">
        <v>45</v>
      </c>
      <c r="C49" s="13" t="s">
        <v>77</v>
      </c>
      <c r="D49" s="14">
        <v>2</v>
      </c>
      <c r="E49" s="15">
        <v>45803</v>
      </c>
      <c r="F49" s="16">
        <v>45805</v>
      </c>
      <c r="G49">
        <f t="shared" si="0"/>
        <v>2</v>
      </c>
      <c r="H49">
        <f t="shared" si="1"/>
        <v>240</v>
      </c>
      <c r="I49">
        <f t="shared" si="2"/>
        <v>480</v>
      </c>
      <c r="J49">
        <f t="shared" si="3"/>
        <v>1</v>
      </c>
      <c r="K49">
        <f t="shared" si="4"/>
        <v>2</v>
      </c>
      <c r="L49">
        <f t="shared" si="5"/>
        <v>0</v>
      </c>
      <c r="M49">
        <f t="shared" si="6"/>
        <v>480</v>
      </c>
      <c r="N49">
        <f t="shared" si="7"/>
        <v>480</v>
      </c>
      <c r="P49" s="21" t="s">
        <v>19</v>
      </c>
      <c r="Q49" s="1">
        <v>1600</v>
      </c>
    </row>
    <row r="50" spans="1:17" x14ac:dyDescent="0.25">
      <c r="A50" s="7">
        <v>49</v>
      </c>
      <c r="B50" s="8" t="s">
        <v>73</v>
      </c>
      <c r="C50" s="8" t="s">
        <v>78</v>
      </c>
      <c r="D50" s="9">
        <v>2</v>
      </c>
      <c r="E50" s="10">
        <v>45828</v>
      </c>
      <c r="F50" s="11">
        <v>45830</v>
      </c>
      <c r="G50">
        <f t="shared" si="0"/>
        <v>2</v>
      </c>
      <c r="H50">
        <f t="shared" si="1"/>
        <v>240</v>
      </c>
      <c r="I50">
        <f t="shared" si="2"/>
        <v>480</v>
      </c>
      <c r="J50">
        <f t="shared" si="3"/>
        <v>5</v>
      </c>
      <c r="K50">
        <f t="shared" si="4"/>
        <v>1</v>
      </c>
      <c r="L50">
        <f t="shared" si="5"/>
        <v>1</v>
      </c>
      <c r="M50">
        <f t="shared" si="6"/>
        <v>528</v>
      </c>
      <c r="N50">
        <f t="shared" si="7"/>
        <v>528</v>
      </c>
      <c r="P50" s="22" t="s">
        <v>18</v>
      </c>
      <c r="Q50" s="1">
        <v>1600</v>
      </c>
    </row>
    <row r="51" spans="1:17" x14ac:dyDescent="0.25">
      <c r="A51" s="12">
        <v>50</v>
      </c>
      <c r="B51" s="13" t="s">
        <v>29</v>
      </c>
      <c r="C51" s="13" t="s">
        <v>79</v>
      </c>
      <c r="D51" s="14">
        <v>2</v>
      </c>
      <c r="E51" s="15">
        <v>45828</v>
      </c>
      <c r="F51" s="16">
        <v>45830</v>
      </c>
      <c r="G51">
        <f t="shared" si="0"/>
        <v>2</v>
      </c>
      <c r="H51">
        <f t="shared" si="1"/>
        <v>240</v>
      </c>
      <c r="I51">
        <f t="shared" si="2"/>
        <v>480</v>
      </c>
      <c r="J51">
        <f t="shared" si="3"/>
        <v>5</v>
      </c>
      <c r="K51">
        <f t="shared" si="4"/>
        <v>1</v>
      </c>
      <c r="L51">
        <f t="shared" si="5"/>
        <v>1</v>
      </c>
      <c r="M51">
        <f t="shared" si="6"/>
        <v>528</v>
      </c>
      <c r="N51">
        <f t="shared" si="7"/>
        <v>528</v>
      </c>
      <c r="P51" s="21" t="s">
        <v>63</v>
      </c>
      <c r="Q51" s="1">
        <v>1600</v>
      </c>
    </row>
    <row r="52" spans="1:17" x14ac:dyDescent="0.25">
      <c r="A52" s="7">
        <v>51</v>
      </c>
      <c r="B52" s="8" t="s">
        <v>26</v>
      </c>
      <c r="C52" s="8" t="s">
        <v>80</v>
      </c>
      <c r="D52" s="9">
        <v>2</v>
      </c>
      <c r="E52" s="10">
        <v>45828</v>
      </c>
      <c r="F52" s="11">
        <v>45830</v>
      </c>
      <c r="G52">
        <f t="shared" si="0"/>
        <v>2</v>
      </c>
      <c r="H52">
        <f t="shared" si="1"/>
        <v>240</v>
      </c>
      <c r="I52">
        <f t="shared" si="2"/>
        <v>480</v>
      </c>
      <c r="J52">
        <f t="shared" si="3"/>
        <v>5</v>
      </c>
      <c r="K52">
        <f t="shared" si="4"/>
        <v>1</v>
      </c>
      <c r="L52">
        <f t="shared" si="5"/>
        <v>1</v>
      </c>
      <c r="M52">
        <f t="shared" si="6"/>
        <v>528</v>
      </c>
      <c r="N52">
        <f t="shared" si="7"/>
        <v>528</v>
      </c>
      <c r="P52" s="22" t="s">
        <v>43</v>
      </c>
      <c r="Q52" s="1">
        <v>1600</v>
      </c>
    </row>
    <row r="53" spans="1:17" x14ac:dyDescent="0.25">
      <c r="A53" s="12">
        <v>52</v>
      </c>
      <c r="B53" s="13" t="s">
        <v>45</v>
      </c>
      <c r="C53" s="13" t="s">
        <v>81</v>
      </c>
      <c r="D53" s="14">
        <v>1</v>
      </c>
      <c r="E53" s="15">
        <v>45828</v>
      </c>
      <c r="F53" s="16">
        <v>45830</v>
      </c>
      <c r="G53">
        <f t="shared" si="0"/>
        <v>2</v>
      </c>
      <c r="H53">
        <f t="shared" si="1"/>
        <v>140</v>
      </c>
      <c r="I53">
        <f t="shared" si="2"/>
        <v>280</v>
      </c>
      <c r="J53">
        <f t="shared" si="3"/>
        <v>5</v>
      </c>
      <c r="K53">
        <f t="shared" si="4"/>
        <v>1</v>
      </c>
      <c r="L53">
        <f t="shared" si="5"/>
        <v>1</v>
      </c>
      <c r="M53">
        <f t="shared" si="6"/>
        <v>308</v>
      </c>
      <c r="N53">
        <f t="shared" si="7"/>
        <v>308</v>
      </c>
      <c r="P53" s="21" t="s">
        <v>129</v>
      </c>
      <c r="Q53" s="1">
        <v>1560</v>
      </c>
    </row>
    <row r="54" spans="1:17" x14ac:dyDescent="0.25">
      <c r="A54" s="7">
        <v>53</v>
      </c>
      <c r="B54" s="8" t="s">
        <v>20</v>
      </c>
      <c r="C54" s="8" t="s">
        <v>82</v>
      </c>
      <c r="D54" s="9">
        <v>1</v>
      </c>
      <c r="E54" s="10">
        <v>45828</v>
      </c>
      <c r="F54" s="11">
        <v>45830</v>
      </c>
      <c r="G54">
        <f t="shared" si="0"/>
        <v>2</v>
      </c>
      <c r="H54">
        <f t="shared" si="1"/>
        <v>140</v>
      </c>
      <c r="I54">
        <f t="shared" si="2"/>
        <v>280</v>
      </c>
      <c r="J54">
        <f t="shared" si="3"/>
        <v>5</v>
      </c>
      <c r="K54">
        <f t="shared" si="4"/>
        <v>1</v>
      </c>
      <c r="L54">
        <f t="shared" si="5"/>
        <v>1</v>
      </c>
      <c r="M54">
        <f t="shared" si="6"/>
        <v>308</v>
      </c>
      <c r="N54">
        <f t="shared" si="7"/>
        <v>308</v>
      </c>
      <c r="P54" s="22" t="s">
        <v>73</v>
      </c>
      <c r="Q54" s="1">
        <v>1560</v>
      </c>
    </row>
    <row r="55" spans="1:17" x14ac:dyDescent="0.25">
      <c r="A55" s="12">
        <v>54</v>
      </c>
      <c r="B55" s="13" t="s">
        <v>23</v>
      </c>
      <c r="C55" s="13" t="s">
        <v>83</v>
      </c>
      <c r="D55" s="14">
        <v>4</v>
      </c>
      <c r="E55" s="15">
        <v>45825</v>
      </c>
      <c r="F55" s="16">
        <v>45827</v>
      </c>
      <c r="G55">
        <f t="shared" si="0"/>
        <v>2</v>
      </c>
      <c r="H55">
        <f t="shared" si="1"/>
        <v>400</v>
      </c>
      <c r="I55">
        <f t="shared" si="2"/>
        <v>800</v>
      </c>
      <c r="J55">
        <f t="shared" si="3"/>
        <v>2</v>
      </c>
      <c r="K55">
        <f t="shared" si="4"/>
        <v>2</v>
      </c>
      <c r="L55">
        <f t="shared" si="5"/>
        <v>0</v>
      </c>
      <c r="M55">
        <f t="shared" si="6"/>
        <v>800</v>
      </c>
      <c r="N55">
        <f t="shared" si="7"/>
        <v>800</v>
      </c>
      <c r="P55" s="21" t="s">
        <v>161</v>
      </c>
      <c r="Q55" s="1">
        <v>1480</v>
      </c>
    </row>
    <row r="56" spans="1:17" x14ac:dyDescent="0.25">
      <c r="A56" s="7">
        <v>55</v>
      </c>
      <c r="B56" s="8" t="s">
        <v>84</v>
      </c>
      <c r="C56" s="8" t="s">
        <v>85</v>
      </c>
      <c r="D56" s="9">
        <v>1</v>
      </c>
      <c r="E56" s="10">
        <v>45795</v>
      </c>
      <c r="F56" s="11">
        <v>45798</v>
      </c>
      <c r="G56">
        <f t="shared" si="0"/>
        <v>3</v>
      </c>
      <c r="H56">
        <f t="shared" si="1"/>
        <v>140</v>
      </c>
      <c r="I56">
        <f t="shared" si="2"/>
        <v>420</v>
      </c>
      <c r="J56">
        <f t="shared" si="3"/>
        <v>7</v>
      </c>
      <c r="K56">
        <f t="shared" si="4"/>
        <v>2</v>
      </c>
      <c r="L56">
        <f t="shared" si="5"/>
        <v>1</v>
      </c>
      <c r="M56">
        <f t="shared" si="6"/>
        <v>448</v>
      </c>
      <c r="N56">
        <f t="shared" si="7"/>
        <v>448</v>
      </c>
      <c r="P56" s="22" t="s">
        <v>38</v>
      </c>
      <c r="Q56" s="1">
        <v>1480</v>
      </c>
    </row>
    <row r="57" spans="1:17" x14ac:dyDescent="0.25">
      <c r="A57" s="12">
        <v>56</v>
      </c>
      <c r="B57" s="13" t="s">
        <v>86</v>
      </c>
      <c r="C57" s="13" t="s">
        <v>87</v>
      </c>
      <c r="D57" s="14">
        <v>1</v>
      </c>
      <c r="E57" s="15">
        <v>45853</v>
      </c>
      <c r="F57" s="16">
        <v>45856</v>
      </c>
      <c r="G57">
        <f t="shared" si="0"/>
        <v>3</v>
      </c>
      <c r="H57">
        <f t="shared" si="1"/>
        <v>140</v>
      </c>
      <c r="I57">
        <f t="shared" si="2"/>
        <v>420</v>
      </c>
      <c r="J57">
        <f t="shared" si="3"/>
        <v>2</v>
      </c>
      <c r="K57">
        <f t="shared" si="4"/>
        <v>3</v>
      </c>
      <c r="L57">
        <f t="shared" si="5"/>
        <v>0</v>
      </c>
      <c r="M57">
        <f t="shared" si="6"/>
        <v>420</v>
      </c>
      <c r="N57">
        <f t="shared" si="7"/>
        <v>420</v>
      </c>
      <c r="P57" s="21" t="s">
        <v>166</v>
      </c>
      <c r="Q57" s="1">
        <v>1480</v>
      </c>
    </row>
    <row r="58" spans="1:17" x14ac:dyDescent="0.25">
      <c r="A58" s="7">
        <v>57</v>
      </c>
      <c r="B58" s="8" t="s">
        <v>26</v>
      </c>
      <c r="C58" s="8" t="s">
        <v>88</v>
      </c>
      <c r="D58" s="9">
        <v>3</v>
      </c>
      <c r="E58" s="10">
        <v>45833</v>
      </c>
      <c r="F58" s="11">
        <v>45837</v>
      </c>
      <c r="G58">
        <f t="shared" si="0"/>
        <v>4</v>
      </c>
      <c r="H58">
        <f t="shared" si="1"/>
        <v>320</v>
      </c>
      <c r="I58">
        <f t="shared" si="2"/>
        <v>1280</v>
      </c>
      <c r="J58">
        <f t="shared" si="3"/>
        <v>3</v>
      </c>
      <c r="K58">
        <f t="shared" si="4"/>
        <v>3</v>
      </c>
      <c r="L58">
        <f t="shared" si="5"/>
        <v>1</v>
      </c>
      <c r="M58">
        <f t="shared" si="6"/>
        <v>1344</v>
      </c>
      <c r="N58">
        <f t="shared" si="7"/>
        <v>1344</v>
      </c>
      <c r="P58" s="22" t="s">
        <v>165</v>
      </c>
      <c r="Q58" s="1">
        <v>1480</v>
      </c>
    </row>
    <row r="59" spans="1:17" x14ac:dyDescent="0.25">
      <c r="A59" s="12">
        <v>58</v>
      </c>
      <c r="B59" s="13" t="s">
        <v>47</v>
      </c>
      <c r="C59" s="13" t="s">
        <v>89</v>
      </c>
      <c r="D59" s="14">
        <v>3</v>
      </c>
      <c r="E59" s="15">
        <v>45833</v>
      </c>
      <c r="F59" s="16">
        <v>45837</v>
      </c>
      <c r="G59">
        <f t="shared" si="0"/>
        <v>4</v>
      </c>
      <c r="H59">
        <f t="shared" si="1"/>
        <v>320</v>
      </c>
      <c r="I59">
        <f t="shared" si="2"/>
        <v>1280</v>
      </c>
      <c r="J59">
        <f t="shared" si="3"/>
        <v>3</v>
      </c>
      <c r="K59">
        <f t="shared" si="4"/>
        <v>3</v>
      </c>
      <c r="L59">
        <f t="shared" si="5"/>
        <v>1</v>
      </c>
      <c r="M59">
        <f t="shared" si="6"/>
        <v>1344</v>
      </c>
      <c r="N59">
        <f t="shared" si="7"/>
        <v>1344</v>
      </c>
      <c r="P59" s="21" t="s">
        <v>163</v>
      </c>
      <c r="Q59" s="1">
        <v>1440</v>
      </c>
    </row>
    <row r="60" spans="1:17" x14ac:dyDescent="0.25">
      <c r="A60" s="7">
        <v>59</v>
      </c>
      <c r="B60" s="8" t="s">
        <v>12</v>
      </c>
      <c r="C60" s="8" t="s">
        <v>90</v>
      </c>
      <c r="D60" s="9">
        <v>2</v>
      </c>
      <c r="E60" s="10">
        <v>45809</v>
      </c>
      <c r="F60" s="11">
        <v>45812</v>
      </c>
      <c r="G60">
        <f t="shared" si="0"/>
        <v>3</v>
      </c>
      <c r="H60">
        <f t="shared" si="1"/>
        <v>240</v>
      </c>
      <c r="I60">
        <f t="shared" si="2"/>
        <v>720</v>
      </c>
      <c r="J60">
        <f t="shared" si="3"/>
        <v>7</v>
      </c>
      <c r="K60">
        <f t="shared" si="4"/>
        <v>2</v>
      </c>
      <c r="L60">
        <f t="shared" si="5"/>
        <v>1</v>
      </c>
      <c r="M60">
        <f t="shared" si="6"/>
        <v>768</v>
      </c>
      <c r="N60">
        <f t="shared" si="7"/>
        <v>768</v>
      </c>
      <c r="P60" s="22" t="s">
        <v>18</v>
      </c>
      <c r="Q60" s="1">
        <v>1440</v>
      </c>
    </row>
    <row r="61" spans="1:17" x14ac:dyDescent="0.25">
      <c r="A61" s="12">
        <v>60</v>
      </c>
      <c r="B61" s="13" t="s">
        <v>16</v>
      </c>
      <c r="C61" s="13" t="s">
        <v>91</v>
      </c>
      <c r="D61" s="14">
        <v>2</v>
      </c>
      <c r="E61" s="15">
        <v>45809</v>
      </c>
      <c r="F61" s="16">
        <v>45812</v>
      </c>
      <c r="G61">
        <f t="shared" si="0"/>
        <v>3</v>
      </c>
      <c r="H61">
        <f t="shared" si="1"/>
        <v>240</v>
      </c>
      <c r="I61">
        <f t="shared" si="2"/>
        <v>720</v>
      </c>
      <c r="J61">
        <f t="shared" si="3"/>
        <v>7</v>
      </c>
      <c r="K61">
        <f t="shared" si="4"/>
        <v>2</v>
      </c>
      <c r="L61">
        <f t="shared" si="5"/>
        <v>1</v>
      </c>
      <c r="M61">
        <f t="shared" si="6"/>
        <v>768</v>
      </c>
      <c r="N61">
        <f t="shared" si="7"/>
        <v>768</v>
      </c>
      <c r="P61" s="21" t="s">
        <v>130</v>
      </c>
      <c r="Q61" s="1">
        <v>1440</v>
      </c>
    </row>
    <row r="62" spans="1:17" x14ac:dyDescent="0.25">
      <c r="A62" s="7">
        <v>61</v>
      </c>
      <c r="B62" s="8" t="s">
        <v>84</v>
      </c>
      <c r="C62" s="8" t="s">
        <v>92</v>
      </c>
      <c r="D62" s="9">
        <v>3</v>
      </c>
      <c r="E62" s="10">
        <v>45778</v>
      </c>
      <c r="F62" s="11">
        <v>45780</v>
      </c>
      <c r="G62">
        <f t="shared" si="0"/>
        <v>2</v>
      </c>
      <c r="H62">
        <f t="shared" si="1"/>
        <v>320</v>
      </c>
      <c r="I62">
        <f t="shared" si="2"/>
        <v>640</v>
      </c>
      <c r="J62">
        <f t="shared" si="3"/>
        <v>4</v>
      </c>
      <c r="K62">
        <f t="shared" si="4"/>
        <v>2</v>
      </c>
      <c r="L62">
        <f t="shared" si="5"/>
        <v>0</v>
      </c>
      <c r="M62">
        <f t="shared" si="6"/>
        <v>640</v>
      </c>
      <c r="N62">
        <f t="shared" si="7"/>
        <v>640</v>
      </c>
      <c r="P62" s="22" t="s">
        <v>26</v>
      </c>
      <c r="Q62" s="1">
        <v>1440</v>
      </c>
    </row>
    <row r="63" spans="1:17" x14ac:dyDescent="0.25">
      <c r="A63" s="12">
        <v>62</v>
      </c>
      <c r="B63" s="13" t="s">
        <v>14</v>
      </c>
      <c r="C63" s="13" t="s">
        <v>93</v>
      </c>
      <c r="D63" s="14">
        <v>3</v>
      </c>
      <c r="E63" s="15">
        <v>45787</v>
      </c>
      <c r="F63" s="16">
        <v>45792</v>
      </c>
      <c r="G63">
        <f t="shared" si="0"/>
        <v>5</v>
      </c>
      <c r="H63">
        <f t="shared" si="1"/>
        <v>320</v>
      </c>
      <c r="I63">
        <f t="shared" si="2"/>
        <v>1600</v>
      </c>
      <c r="J63">
        <f t="shared" si="3"/>
        <v>6</v>
      </c>
      <c r="K63">
        <f t="shared" si="4"/>
        <v>3</v>
      </c>
      <c r="L63">
        <f t="shared" si="5"/>
        <v>2</v>
      </c>
      <c r="M63">
        <f t="shared" si="6"/>
        <v>1728</v>
      </c>
      <c r="N63">
        <f t="shared" si="7"/>
        <v>1555.2</v>
      </c>
      <c r="P63" s="21" t="s">
        <v>55</v>
      </c>
      <c r="Q63" s="1">
        <v>1280</v>
      </c>
    </row>
    <row r="64" spans="1:17" x14ac:dyDescent="0.25">
      <c r="A64" s="7">
        <v>63</v>
      </c>
      <c r="B64" s="8" t="s">
        <v>12</v>
      </c>
      <c r="C64" s="8" t="s">
        <v>94</v>
      </c>
      <c r="D64" s="9">
        <v>4</v>
      </c>
      <c r="E64" s="10">
        <v>45816</v>
      </c>
      <c r="F64" s="11">
        <v>45817</v>
      </c>
      <c r="G64">
        <f t="shared" si="0"/>
        <v>1</v>
      </c>
      <c r="H64">
        <f t="shared" si="1"/>
        <v>400</v>
      </c>
      <c r="I64">
        <f t="shared" si="2"/>
        <v>400</v>
      </c>
      <c r="J64">
        <f t="shared" si="3"/>
        <v>7</v>
      </c>
      <c r="K64">
        <f t="shared" si="4"/>
        <v>0</v>
      </c>
      <c r="L64">
        <f t="shared" si="5"/>
        <v>1</v>
      </c>
      <c r="M64">
        <f t="shared" si="6"/>
        <v>480</v>
      </c>
      <c r="N64">
        <f t="shared" si="7"/>
        <v>480</v>
      </c>
      <c r="P64" s="22" t="s">
        <v>54</v>
      </c>
      <c r="Q64" s="1">
        <v>1280</v>
      </c>
    </row>
    <row r="65" spans="1:17" x14ac:dyDescent="0.25">
      <c r="A65" s="12">
        <v>64</v>
      </c>
      <c r="B65" s="13" t="s">
        <v>86</v>
      </c>
      <c r="C65" s="13" t="s">
        <v>95</v>
      </c>
      <c r="D65" s="14">
        <v>1</v>
      </c>
      <c r="E65" s="15">
        <v>45853</v>
      </c>
      <c r="F65" s="16">
        <v>45856</v>
      </c>
      <c r="G65">
        <f t="shared" si="0"/>
        <v>3</v>
      </c>
      <c r="H65">
        <f t="shared" si="1"/>
        <v>140</v>
      </c>
      <c r="I65">
        <f t="shared" si="2"/>
        <v>420</v>
      </c>
      <c r="J65">
        <f t="shared" si="3"/>
        <v>2</v>
      </c>
      <c r="K65">
        <f t="shared" si="4"/>
        <v>3</v>
      </c>
      <c r="L65">
        <f t="shared" si="5"/>
        <v>0</v>
      </c>
      <c r="M65">
        <f t="shared" si="6"/>
        <v>420</v>
      </c>
      <c r="N65">
        <f t="shared" si="7"/>
        <v>420</v>
      </c>
      <c r="P65" s="21" t="s">
        <v>137</v>
      </c>
      <c r="Q65" s="1">
        <v>1280</v>
      </c>
    </row>
    <row r="66" spans="1:17" x14ac:dyDescent="0.25">
      <c r="A66" s="7">
        <v>65</v>
      </c>
      <c r="B66" s="8" t="s">
        <v>32</v>
      </c>
      <c r="C66" s="8" t="s">
        <v>96</v>
      </c>
      <c r="D66" s="9">
        <v>3</v>
      </c>
      <c r="E66" s="10">
        <v>45833</v>
      </c>
      <c r="F66" s="11">
        <v>45837</v>
      </c>
      <c r="G66">
        <f t="shared" si="0"/>
        <v>4</v>
      </c>
      <c r="H66">
        <f t="shared" si="1"/>
        <v>320</v>
      </c>
      <c r="I66">
        <f t="shared" si="2"/>
        <v>1280</v>
      </c>
      <c r="J66">
        <f t="shared" si="3"/>
        <v>3</v>
      </c>
      <c r="K66">
        <f t="shared" si="4"/>
        <v>3</v>
      </c>
      <c r="L66">
        <f t="shared" si="5"/>
        <v>1</v>
      </c>
      <c r="M66">
        <f t="shared" si="6"/>
        <v>1344</v>
      </c>
      <c r="N66">
        <f t="shared" si="7"/>
        <v>1344</v>
      </c>
      <c r="P66" s="22" t="s">
        <v>32</v>
      </c>
      <c r="Q66" s="1">
        <v>1280</v>
      </c>
    </row>
    <row r="67" spans="1:17" x14ac:dyDescent="0.25">
      <c r="A67" s="12">
        <v>66</v>
      </c>
      <c r="B67" s="13" t="s">
        <v>36</v>
      </c>
      <c r="C67" s="13" t="s">
        <v>97</v>
      </c>
      <c r="D67" s="14">
        <v>3</v>
      </c>
      <c r="E67" s="15">
        <v>45833</v>
      </c>
      <c r="F67" s="16">
        <v>45837</v>
      </c>
      <c r="G67">
        <f t="shared" ref="G67:G130" si="8">F67-E67</f>
        <v>4</v>
      </c>
      <c r="H67">
        <f t="shared" ref="H67:H130" si="9">VLOOKUP(D67,$P$2:$R$6,3,FALSE)</f>
        <v>320</v>
      </c>
      <c r="I67">
        <f t="shared" ref="I67:I130" si="10">H67*G67</f>
        <v>1280</v>
      </c>
      <c r="J67">
        <f t="shared" ref="J67:J130" si="11">WEEKDAY(E67,2)</f>
        <v>3</v>
      </c>
      <c r="K67">
        <f t="shared" ref="K67:K130" si="12">NETWORKDAYS(E67,F67-1)</f>
        <v>3</v>
      </c>
      <c r="L67">
        <f t="shared" ref="L67:L130" si="13">G67-K67</f>
        <v>1</v>
      </c>
      <c r="M67">
        <f t="shared" ref="M67:M130" si="14">K67*H67+L67*H67*1.2</f>
        <v>1344</v>
      </c>
      <c r="N67">
        <f t="shared" ref="N67:N130" si="15">IF(G67&gt;4,M67*0.9,M67)</f>
        <v>1344</v>
      </c>
      <c r="P67" s="21" t="s">
        <v>61</v>
      </c>
      <c r="Q67" s="1">
        <v>1280</v>
      </c>
    </row>
    <row r="68" spans="1:17" x14ac:dyDescent="0.25">
      <c r="A68" s="7">
        <v>67</v>
      </c>
      <c r="B68" s="8" t="s">
        <v>12</v>
      </c>
      <c r="C68" s="8" t="s">
        <v>98</v>
      </c>
      <c r="D68" s="9">
        <v>2</v>
      </c>
      <c r="E68" s="10">
        <v>45833</v>
      </c>
      <c r="F68" s="11">
        <v>45837</v>
      </c>
      <c r="G68">
        <f t="shared" si="8"/>
        <v>4</v>
      </c>
      <c r="H68">
        <f t="shared" si="9"/>
        <v>240</v>
      </c>
      <c r="I68">
        <f t="shared" si="10"/>
        <v>960</v>
      </c>
      <c r="J68">
        <f t="shared" si="11"/>
        <v>3</v>
      </c>
      <c r="K68">
        <f t="shared" si="12"/>
        <v>3</v>
      </c>
      <c r="L68">
        <f t="shared" si="13"/>
        <v>1</v>
      </c>
      <c r="M68">
        <f t="shared" si="14"/>
        <v>1008</v>
      </c>
      <c r="N68">
        <f t="shared" si="15"/>
        <v>1008</v>
      </c>
      <c r="P68" s="22" t="s">
        <v>34</v>
      </c>
      <c r="Q68" s="1">
        <v>1280</v>
      </c>
    </row>
    <row r="69" spans="1:17" x14ac:dyDescent="0.25">
      <c r="A69" s="12">
        <v>68</v>
      </c>
      <c r="B69" s="13" t="s">
        <v>20</v>
      </c>
      <c r="C69" s="13" t="s">
        <v>99</v>
      </c>
      <c r="D69" s="14">
        <v>2</v>
      </c>
      <c r="E69" s="15">
        <v>45833</v>
      </c>
      <c r="F69" s="16">
        <v>45837</v>
      </c>
      <c r="G69">
        <f t="shared" si="8"/>
        <v>4</v>
      </c>
      <c r="H69">
        <f t="shared" si="9"/>
        <v>240</v>
      </c>
      <c r="I69">
        <f t="shared" si="10"/>
        <v>960</v>
      </c>
      <c r="J69">
        <f t="shared" si="11"/>
        <v>3</v>
      </c>
      <c r="K69">
        <f t="shared" si="12"/>
        <v>3</v>
      </c>
      <c r="L69">
        <f t="shared" si="13"/>
        <v>1</v>
      </c>
      <c r="M69">
        <f t="shared" si="14"/>
        <v>1008</v>
      </c>
      <c r="N69">
        <f t="shared" si="15"/>
        <v>1008</v>
      </c>
      <c r="P69" s="21" t="s">
        <v>97</v>
      </c>
      <c r="Q69" s="1">
        <v>1280</v>
      </c>
    </row>
    <row r="70" spans="1:17" x14ac:dyDescent="0.25">
      <c r="A70" s="7">
        <v>69</v>
      </c>
      <c r="B70" s="8" t="s">
        <v>18</v>
      </c>
      <c r="C70" s="8" t="s">
        <v>100</v>
      </c>
      <c r="D70" s="9">
        <v>2</v>
      </c>
      <c r="E70" s="10">
        <v>45833</v>
      </c>
      <c r="F70" s="11">
        <v>45837</v>
      </c>
      <c r="G70">
        <f t="shared" si="8"/>
        <v>4</v>
      </c>
      <c r="H70">
        <f t="shared" si="9"/>
        <v>240</v>
      </c>
      <c r="I70">
        <f t="shared" si="10"/>
        <v>960</v>
      </c>
      <c r="J70">
        <f t="shared" si="11"/>
        <v>3</v>
      </c>
      <c r="K70">
        <f t="shared" si="12"/>
        <v>3</v>
      </c>
      <c r="L70">
        <f t="shared" si="13"/>
        <v>1</v>
      </c>
      <c r="M70">
        <f t="shared" si="14"/>
        <v>1008</v>
      </c>
      <c r="N70">
        <f t="shared" si="15"/>
        <v>1008</v>
      </c>
      <c r="P70" s="22" t="s">
        <v>36</v>
      </c>
      <c r="Q70" s="1">
        <v>1280</v>
      </c>
    </row>
    <row r="71" spans="1:17" x14ac:dyDescent="0.25">
      <c r="A71" s="12">
        <v>70</v>
      </c>
      <c r="B71" s="13" t="s">
        <v>10</v>
      </c>
      <c r="C71" s="13" t="s">
        <v>101</v>
      </c>
      <c r="D71" s="14">
        <v>4</v>
      </c>
      <c r="E71" s="15">
        <v>45795</v>
      </c>
      <c r="F71" s="16">
        <v>45798</v>
      </c>
      <c r="G71">
        <f t="shared" si="8"/>
        <v>3</v>
      </c>
      <c r="H71">
        <f t="shared" si="9"/>
        <v>400</v>
      </c>
      <c r="I71">
        <f t="shared" si="10"/>
        <v>1200</v>
      </c>
      <c r="J71">
        <f t="shared" si="11"/>
        <v>7</v>
      </c>
      <c r="K71">
        <f t="shared" si="12"/>
        <v>2</v>
      </c>
      <c r="L71">
        <f t="shared" si="13"/>
        <v>1</v>
      </c>
      <c r="M71">
        <f t="shared" si="14"/>
        <v>1280</v>
      </c>
      <c r="N71">
        <f t="shared" si="15"/>
        <v>1280</v>
      </c>
      <c r="P71" s="21" t="s">
        <v>56</v>
      </c>
      <c r="Q71" s="1">
        <v>1280</v>
      </c>
    </row>
    <row r="72" spans="1:17" x14ac:dyDescent="0.25">
      <c r="A72" s="7">
        <v>71</v>
      </c>
      <c r="B72" s="8" t="s">
        <v>102</v>
      </c>
      <c r="C72" s="8" t="s">
        <v>103</v>
      </c>
      <c r="D72" s="9">
        <v>2</v>
      </c>
      <c r="E72" s="10">
        <v>45833</v>
      </c>
      <c r="F72" s="11">
        <v>45837</v>
      </c>
      <c r="G72">
        <f t="shared" si="8"/>
        <v>4</v>
      </c>
      <c r="H72">
        <f t="shared" si="9"/>
        <v>240</v>
      </c>
      <c r="I72">
        <f t="shared" si="10"/>
        <v>960</v>
      </c>
      <c r="J72">
        <f t="shared" si="11"/>
        <v>3</v>
      </c>
      <c r="K72">
        <f t="shared" si="12"/>
        <v>3</v>
      </c>
      <c r="L72">
        <f t="shared" si="13"/>
        <v>1</v>
      </c>
      <c r="M72">
        <f t="shared" si="14"/>
        <v>1008</v>
      </c>
      <c r="N72">
        <f t="shared" si="15"/>
        <v>1008</v>
      </c>
      <c r="P72" s="22" t="s">
        <v>18</v>
      </c>
      <c r="Q72" s="1">
        <v>1280</v>
      </c>
    </row>
    <row r="73" spans="1:17" x14ac:dyDescent="0.25">
      <c r="A73" s="12">
        <v>72</v>
      </c>
      <c r="B73" s="13" t="s">
        <v>16</v>
      </c>
      <c r="C73" s="13" t="s">
        <v>104</v>
      </c>
      <c r="D73" s="14">
        <v>2</v>
      </c>
      <c r="E73" s="15">
        <v>45833</v>
      </c>
      <c r="F73" s="16">
        <v>45837</v>
      </c>
      <c r="G73">
        <f t="shared" si="8"/>
        <v>4</v>
      </c>
      <c r="H73">
        <f t="shared" si="9"/>
        <v>240</v>
      </c>
      <c r="I73">
        <f t="shared" si="10"/>
        <v>960</v>
      </c>
      <c r="J73">
        <f t="shared" si="11"/>
        <v>3</v>
      </c>
      <c r="K73">
        <f t="shared" si="12"/>
        <v>3</v>
      </c>
      <c r="L73">
        <f t="shared" si="13"/>
        <v>1</v>
      </c>
      <c r="M73">
        <f t="shared" si="14"/>
        <v>1008</v>
      </c>
      <c r="N73">
        <f t="shared" si="15"/>
        <v>1008</v>
      </c>
      <c r="P73" s="21" t="s">
        <v>92</v>
      </c>
      <c r="Q73" s="1">
        <v>1280</v>
      </c>
    </row>
    <row r="74" spans="1:17" x14ac:dyDescent="0.25">
      <c r="A74" s="7">
        <v>73</v>
      </c>
      <c r="B74" s="8" t="s">
        <v>14</v>
      </c>
      <c r="C74" s="8" t="s">
        <v>105</v>
      </c>
      <c r="D74" s="9">
        <v>2</v>
      </c>
      <c r="E74" s="10">
        <v>45833</v>
      </c>
      <c r="F74" s="11">
        <v>45837</v>
      </c>
      <c r="G74">
        <f t="shared" si="8"/>
        <v>4</v>
      </c>
      <c r="H74">
        <f t="shared" si="9"/>
        <v>240</v>
      </c>
      <c r="I74">
        <f t="shared" si="10"/>
        <v>960</v>
      </c>
      <c r="J74">
        <f t="shared" si="11"/>
        <v>3</v>
      </c>
      <c r="K74">
        <f t="shared" si="12"/>
        <v>3</v>
      </c>
      <c r="L74">
        <f t="shared" si="13"/>
        <v>1</v>
      </c>
      <c r="M74">
        <f t="shared" si="14"/>
        <v>1008</v>
      </c>
      <c r="N74">
        <f t="shared" si="15"/>
        <v>1008</v>
      </c>
      <c r="P74" s="22" t="s">
        <v>84</v>
      </c>
      <c r="Q74" s="1">
        <v>1280</v>
      </c>
    </row>
    <row r="75" spans="1:17" x14ac:dyDescent="0.25">
      <c r="A75" s="12">
        <v>74</v>
      </c>
      <c r="B75" s="13" t="s">
        <v>12</v>
      </c>
      <c r="C75" s="13" t="s">
        <v>106</v>
      </c>
      <c r="D75" s="14">
        <v>2</v>
      </c>
      <c r="E75" s="15">
        <v>45833</v>
      </c>
      <c r="F75" s="16">
        <v>45837</v>
      </c>
      <c r="G75">
        <f t="shared" si="8"/>
        <v>4</v>
      </c>
      <c r="H75">
        <f t="shared" si="9"/>
        <v>240</v>
      </c>
      <c r="I75">
        <f t="shared" si="10"/>
        <v>960</v>
      </c>
      <c r="J75">
        <f t="shared" si="11"/>
        <v>3</v>
      </c>
      <c r="K75">
        <f t="shared" si="12"/>
        <v>3</v>
      </c>
      <c r="L75">
        <f t="shared" si="13"/>
        <v>1</v>
      </c>
      <c r="M75">
        <f t="shared" si="14"/>
        <v>1008</v>
      </c>
      <c r="N75">
        <f t="shared" si="15"/>
        <v>1008</v>
      </c>
      <c r="P75" s="21" t="s">
        <v>135</v>
      </c>
      <c r="Q75" s="1">
        <v>1280</v>
      </c>
    </row>
    <row r="76" spans="1:17" x14ac:dyDescent="0.25">
      <c r="A76" s="7">
        <v>75</v>
      </c>
      <c r="B76" s="8" t="s">
        <v>45</v>
      </c>
      <c r="C76" s="8" t="s">
        <v>107</v>
      </c>
      <c r="D76" s="9">
        <v>2</v>
      </c>
      <c r="E76" s="10">
        <v>45803</v>
      </c>
      <c r="F76" s="11">
        <v>45805</v>
      </c>
      <c r="G76">
        <f t="shared" si="8"/>
        <v>2</v>
      </c>
      <c r="H76">
        <f t="shared" si="9"/>
        <v>240</v>
      </c>
      <c r="I76">
        <f t="shared" si="10"/>
        <v>480</v>
      </c>
      <c r="J76">
        <f t="shared" si="11"/>
        <v>1</v>
      </c>
      <c r="K76">
        <f t="shared" si="12"/>
        <v>2</v>
      </c>
      <c r="L76">
        <f t="shared" si="13"/>
        <v>0</v>
      </c>
      <c r="M76">
        <f t="shared" si="14"/>
        <v>480</v>
      </c>
      <c r="N76">
        <f t="shared" si="15"/>
        <v>480</v>
      </c>
      <c r="P76" s="22" t="s">
        <v>118</v>
      </c>
      <c r="Q76" s="1">
        <v>1280</v>
      </c>
    </row>
    <row r="77" spans="1:17" x14ac:dyDescent="0.25">
      <c r="A77" s="12">
        <v>76</v>
      </c>
      <c r="B77" s="13" t="s">
        <v>29</v>
      </c>
      <c r="C77" s="13" t="s">
        <v>108</v>
      </c>
      <c r="D77" s="14">
        <v>2</v>
      </c>
      <c r="E77" s="15">
        <v>45839</v>
      </c>
      <c r="F77" s="16">
        <v>45841</v>
      </c>
      <c r="G77">
        <f t="shared" si="8"/>
        <v>2</v>
      </c>
      <c r="H77">
        <f t="shared" si="9"/>
        <v>240</v>
      </c>
      <c r="I77">
        <f t="shared" si="10"/>
        <v>480</v>
      </c>
      <c r="J77">
        <f t="shared" si="11"/>
        <v>2</v>
      </c>
      <c r="K77">
        <f t="shared" si="12"/>
        <v>2</v>
      </c>
      <c r="L77">
        <f t="shared" si="13"/>
        <v>0</v>
      </c>
      <c r="M77">
        <f t="shared" si="14"/>
        <v>480</v>
      </c>
      <c r="N77">
        <f t="shared" si="15"/>
        <v>480</v>
      </c>
      <c r="P77" s="21" t="s">
        <v>96</v>
      </c>
      <c r="Q77" s="1">
        <v>1280</v>
      </c>
    </row>
    <row r="78" spans="1:17" x14ac:dyDescent="0.25">
      <c r="A78" s="7">
        <v>77</v>
      </c>
      <c r="B78" s="8" t="s">
        <v>16</v>
      </c>
      <c r="C78" s="8" t="s">
        <v>109</v>
      </c>
      <c r="D78" s="9">
        <v>2</v>
      </c>
      <c r="E78" s="10">
        <v>45833</v>
      </c>
      <c r="F78" s="11">
        <v>45837</v>
      </c>
      <c r="G78">
        <f t="shared" si="8"/>
        <v>4</v>
      </c>
      <c r="H78">
        <f t="shared" si="9"/>
        <v>240</v>
      </c>
      <c r="I78">
        <f t="shared" si="10"/>
        <v>960</v>
      </c>
      <c r="J78">
        <f t="shared" si="11"/>
        <v>3</v>
      </c>
      <c r="K78">
        <f t="shared" si="12"/>
        <v>3</v>
      </c>
      <c r="L78">
        <f t="shared" si="13"/>
        <v>1</v>
      </c>
      <c r="M78">
        <f t="shared" si="14"/>
        <v>1008</v>
      </c>
      <c r="N78">
        <f t="shared" si="15"/>
        <v>1008</v>
      </c>
      <c r="P78" s="22" t="s">
        <v>32</v>
      </c>
      <c r="Q78" s="1">
        <v>1280</v>
      </c>
    </row>
    <row r="79" spans="1:17" x14ac:dyDescent="0.25">
      <c r="A79" s="12">
        <v>78</v>
      </c>
      <c r="B79" s="13" t="s">
        <v>110</v>
      </c>
      <c r="C79" s="13" t="s">
        <v>111</v>
      </c>
      <c r="D79" s="14">
        <v>1</v>
      </c>
      <c r="E79" s="15">
        <v>45833</v>
      </c>
      <c r="F79" s="16">
        <v>45837</v>
      </c>
      <c r="G79">
        <f t="shared" si="8"/>
        <v>4</v>
      </c>
      <c r="H79">
        <f t="shared" si="9"/>
        <v>140</v>
      </c>
      <c r="I79">
        <f t="shared" si="10"/>
        <v>560</v>
      </c>
      <c r="J79">
        <f t="shared" si="11"/>
        <v>3</v>
      </c>
      <c r="K79">
        <f t="shared" si="12"/>
        <v>3</v>
      </c>
      <c r="L79">
        <f t="shared" si="13"/>
        <v>1</v>
      </c>
      <c r="M79">
        <f t="shared" si="14"/>
        <v>588</v>
      </c>
      <c r="N79">
        <f t="shared" si="15"/>
        <v>588</v>
      </c>
      <c r="P79" s="21" t="s">
        <v>89</v>
      </c>
      <c r="Q79" s="1">
        <v>1280</v>
      </c>
    </row>
    <row r="80" spans="1:17" x14ac:dyDescent="0.25">
      <c r="A80" s="7">
        <v>79</v>
      </c>
      <c r="B80" s="8" t="s">
        <v>20</v>
      </c>
      <c r="C80" s="8" t="s">
        <v>112</v>
      </c>
      <c r="D80" s="9">
        <v>1</v>
      </c>
      <c r="E80" s="10">
        <v>45833</v>
      </c>
      <c r="F80" s="11">
        <v>45837</v>
      </c>
      <c r="G80">
        <f t="shared" si="8"/>
        <v>4</v>
      </c>
      <c r="H80">
        <f t="shared" si="9"/>
        <v>140</v>
      </c>
      <c r="I80">
        <f t="shared" si="10"/>
        <v>560</v>
      </c>
      <c r="J80">
        <f t="shared" si="11"/>
        <v>3</v>
      </c>
      <c r="K80">
        <f t="shared" si="12"/>
        <v>3</v>
      </c>
      <c r="L80">
        <f t="shared" si="13"/>
        <v>1</v>
      </c>
      <c r="M80">
        <f t="shared" si="14"/>
        <v>588</v>
      </c>
      <c r="N80">
        <f t="shared" si="15"/>
        <v>588</v>
      </c>
      <c r="P80" s="22" t="s">
        <v>47</v>
      </c>
      <c r="Q80" s="1">
        <v>1280</v>
      </c>
    </row>
    <row r="81" spans="1:17" x14ac:dyDescent="0.25">
      <c r="A81" s="12">
        <v>80</v>
      </c>
      <c r="B81" s="13" t="s">
        <v>102</v>
      </c>
      <c r="C81" s="13" t="s">
        <v>113</v>
      </c>
      <c r="D81" s="14">
        <v>1</v>
      </c>
      <c r="E81" s="15">
        <v>45833</v>
      </c>
      <c r="F81" s="16">
        <v>45837</v>
      </c>
      <c r="G81">
        <f t="shared" si="8"/>
        <v>4</v>
      </c>
      <c r="H81">
        <f t="shared" si="9"/>
        <v>140</v>
      </c>
      <c r="I81">
        <f t="shared" si="10"/>
        <v>560</v>
      </c>
      <c r="J81">
        <f t="shared" si="11"/>
        <v>3</v>
      </c>
      <c r="K81">
        <f t="shared" si="12"/>
        <v>3</v>
      </c>
      <c r="L81">
        <f t="shared" si="13"/>
        <v>1</v>
      </c>
      <c r="M81">
        <f t="shared" si="14"/>
        <v>588</v>
      </c>
      <c r="N81">
        <f t="shared" si="15"/>
        <v>588</v>
      </c>
      <c r="P81" s="21" t="s">
        <v>88</v>
      </c>
      <c r="Q81" s="1">
        <v>1280</v>
      </c>
    </row>
    <row r="82" spans="1:17" x14ac:dyDescent="0.25">
      <c r="A82" s="7">
        <v>81</v>
      </c>
      <c r="B82" s="8" t="s">
        <v>18</v>
      </c>
      <c r="C82" s="8" t="s">
        <v>114</v>
      </c>
      <c r="D82" s="9">
        <v>1</v>
      </c>
      <c r="E82" s="10">
        <v>45843</v>
      </c>
      <c r="F82" s="11">
        <v>45845</v>
      </c>
      <c r="G82">
        <f t="shared" si="8"/>
        <v>2</v>
      </c>
      <c r="H82">
        <f t="shared" si="9"/>
        <v>140</v>
      </c>
      <c r="I82">
        <f t="shared" si="10"/>
        <v>280</v>
      </c>
      <c r="J82">
        <f t="shared" si="11"/>
        <v>6</v>
      </c>
      <c r="K82">
        <f t="shared" si="12"/>
        <v>0</v>
      </c>
      <c r="L82">
        <f t="shared" si="13"/>
        <v>2</v>
      </c>
      <c r="M82">
        <f t="shared" si="14"/>
        <v>336</v>
      </c>
      <c r="N82">
        <f t="shared" si="15"/>
        <v>336</v>
      </c>
      <c r="P82" s="22" t="s">
        <v>26</v>
      </c>
      <c r="Q82" s="1">
        <v>1280</v>
      </c>
    </row>
    <row r="83" spans="1:17" x14ac:dyDescent="0.25">
      <c r="A83" s="12">
        <v>82</v>
      </c>
      <c r="B83" s="13" t="s">
        <v>84</v>
      </c>
      <c r="C83" s="13" t="s">
        <v>115</v>
      </c>
      <c r="D83" s="14">
        <v>2</v>
      </c>
      <c r="E83" s="15">
        <v>45803</v>
      </c>
      <c r="F83" s="16">
        <v>45805</v>
      </c>
      <c r="G83">
        <f t="shared" si="8"/>
        <v>2</v>
      </c>
      <c r="H83">
        <f t="shared" si="9"/>
        <v>240</v>
      </c>
      <c r="I83">
        <f t="shared" si="10"/>
        <v>480</v>
      </c>
      <c r="J83">
        <f t="shared" si="11"/>
        <v>1</v>
      </c>
      <c r="K83">
        <f t="shared" si="12"/>
        <v>2</v>
      </c>
      <c r="L83">
        <f t="shared" si="13"/>
        <v>0</v>
      </c>
      <c r="M83">
        <f t="shared" si="14"/>
        <v>480</v>
      </c>
      <c r="N83">
        <f t="shared" si="15"/>
        <v>480</v>
      </c>
      <c r="P83" s="21" t="s">
        <v>136</v>
      </c>
      <c r="Q83" s="1">
        <v>1280</v>
      </c>
    </row>
    <row r="84" spans="1:17" x14ac:dyDescent="0.25">
      <c r="A84" s="7">
        <v>83</v>
      </c>
      <c r="B84" s="8" t="s">
        <v>14</v>
      </c>
      <c r="C84" s="8" t="s">
        <v>116</v>
      </c>
      <c r="D84" s="9">
        <v>4</v>
      </c>
      <c r="E84" s="10">
        <v>45816</v>
      </c>
      <c r="F84" s="11">
        <v>45817</v>
      </c>
      <c r="G84">
        <f t="shared" si="8"/>
        <v>1</v>
      </c>
      <c r="H84">
        <f t="shared" si="9"/>
        <v>400</v>
      </c>
      <c r="I84">
        <f t="shared" si="10"/>
        <v>400</v>
      </c>
      <c r="J84">
        <f t="shared" si="11"/>
        <v>7</v>
      </c>
      <c r="K84">
        <f t="shared" si="12"/>
        <v>0</v>
      </c>
      <c r="L84">
        <f t="shared" si="13"/>
        <v>1</v>
      </c>
      <c r="M84">
        <f t="shared" si="14"/>
        <v>480</v>
      </c>
      <c r="N84">
        <f t="shared" si="15"/>
        <v>480</v>
      </c>
      <c r="P84" s="22" t="s">
        <v>51</v>
      </c>
      <c r="Q84" s="1">
        <v>1280</v>
      </c>
    </row>
    <row r="85" spans="1:17" x14ac:dyDescent="0.25">
      <c r="A85" s="12">
        <v>84</v>
      </c>
      <c r="B85" s="13" t="s">
        <v>54</v>
      </c>
      <c r="C85" s="13" t="s">
        <v>117</v>
      </c>
      <c r="D85" s="14">
        <v>3</v>
      </c>
      <c r="E85" s="15">
        <v>45778</v>
      </c>
      <c r="F85" s="16">
        <v>45780</v>
      </c>
      <c r="G85">
        <f t="shared" si="8"/>
        <v>2</v>
      </c>
      <c r="H85">
        <f t="shared" si="9"/>
        <v>320</v>
      </c>
      <c r="I85">
        <f t="shared" si="10"/>
        <v>640</v>
      </c>
      <c r="J85">
        <f t="shared" si="11"/>
        <v>4</v>
      </c>
      <c r="K85">
        <f t="shared" si="12"/>
        <v>2</v>
      </c>
      <c r="L85">
        <f t="shared" si="13"/>
        <v>0</v>
      </c>
      <c r="M85">
        <f t="shared" si="14"/>
        <v>640</v>
      </c>
      <c r="N85">
        <f t="shared" si="15"/>
        <v>640</v>
      </c>
      <c r="P85" s="21" t="s">
        <v>53</v>
      </c>
      <c r="Q85" s="1">
        <v>1280</v>
      </c>
    </row>
    <row r="86" spans="1:17" x14ac:dyDescent="0.25">
      <c r="A86" s="7">
        <v>85</v>
      </c>
      <c r="B86" s="8" t="s">
        <v>118</v>
      </c>
      <c r="C86" s="8" t="s">
        <v>119</v>
      </c>
      <c r="D86" s="9">
        <v>1</v>
      </c>
      <c r="E86" s="10">
        <v>45843</v>
      </c>
      <c r="F86" s="11">
        <v>45845</v>
      </c>
      <c r="G86">
        <f t="shared" si="8"/>
        <v>2</v>
      </c>
      <c r="H86">
        <f t="shared" si="9"/>
        <v>140</v>
      </c>
      <c r="I86">
        <f t="shared" si="10"/>
        <v>280</v>
      </c>
      <c r="J86">
        <f t="shared" si="11"/>
        <v>6</v>
      </c>
      <c r="K86">
        <f t="shared" si="12"/>
        <v>0</v>
      </c>
      <c r="L86">
        <f t="shared" si="13"/>
        <v>2</v>
      </c>
      <c r="M86">
        <f t="shared" si="14"/>
        <v>336</v>
      </c>
      <c r="N86">
        <f t="shared" si="15"/>
        <v>336</v>
      </c>
      <c r="P86" s="22" t="s">
        <v>34</v>
      </c>
      <c r="Q86" s="1">
        <v>1280</v>
      </c>
    </row>
    <row r="87" spans="1:17" x14ac:dyDescent="0.25">
      <c r="A87" s="12">
        <v>86</v>
      </c>
      <c r="B87" s="13" t="s">
        <v>49</v>
      </c>
      <c r="C87" s="13" t="s">
        <v>120</v>
      </c>
      <c r="D87" s="14">
        <v>1</v>
      </c>
      <c r="E87" s="15">
        <v>45843</v>
      </c>
      <c r="F87" s="16">
        <v>45845</v>
      </c>
      <c r="G87">
        <f t="shared" si="8"/>
        <v>2</v>
      </c>
      <c r="H87">
        <f t="shared" si="9"/>
        <v>140</v>
      </c>
      <c r="I87">
        <f t="shared" si="10"/>
        <v>280</v>
      </c>
      <c r="J87">
        <f t="shared" si="11"/>
        <v>6</v>
      </c>
      <c r="K87">
        <f t="shared" si="12"/>
        <v>0</v>
      </c>
      <c r="L87">
        <f t="shared" si="13"/>
        <v>2</v>
      </c>
      <c r="M87">
        <f t="shared" si="14"/>
        <v>336</v>
      </c>
      <c r="N87">
        <f t="shared" si="15"/>
        <v>336</v>
      </c>
      <c r="P87" s="21" t="s">
        <v>105</v>
      </c>
      <c r="Q87" s="1">
        <v>1240</v>
      </c>
    </row>
    <row r="88" spans="1:17" x14ac:dyDescent="0.25">
      <c r="A88" s="7">
        <v>87</v>
      </c>
      <c r="B88" s="8" t="s">
        <v>40</v>
      </c>
      <c r="C88" s="8" t="s">
        <v>121</v>
      </c>
      <c r="D88" s="9">
        <v>1</v>
      </c>
      <c r="E88" s="10">
        <v>45843</v>
      </c>
      <c r="F88" s="11">
        <v>45845</v>
      </c>
      <c r="G88">
        <f t="shared" si="8"/>
        <v>2</v>
      </c>
      <c r="H88">
        <f t="shared" si="9"/>
        <v>140</v>
      </c>
      <c r="I88">
        <f t="shared" si="10"/>
        <v>280</v>
      </c>
      <c r="J88">
        <f t="shared" si="11"/>
        <v>6</v>
      </c>
      <c r="K88">
        <f t="shared" si="12"/>
        <v>0</v>
      </c>
      <c r="L88">
        <f t="shared" si="13"/>
        <v>2</v>
      </c>
      <c r="M88">
        <f t="shared" si="14"/>
        <v>336</v>
      </c>
      <c r="N88">
        <f t="shared" si="15"/>
        <v>336</v>
      </c>
      <c r="P88" s="22" t="s">
        <v>14</v>
      </c>
      <c r="Q88" s="1">
        <v>1240</v>
      </c>
    </row>
    <row r="89" spans="1:17" x14ac:dyDescent="0.25">
      <c r="A89" s="12">
        <v>88</v>
      </c>
      <c r="B89" s="13" t="s">
        <v>18</v>
      </c>
      <c r="C89" s="13" t="s">
        <v>122</v>
      </c>
      <c r="D89" s="14">
        <v>3</v>
      </c>
      <c r="E89" s="15">
        <v>45843</v>
      </c>
      <c r="F89" s="16">
        <v>45845</v>
      </c>
      <c r="G89">
        <f t="shared" si="8"/>
        <v>2</v>
      </c>
      <c r="H89">
        <f t="shared" si="9"/>
        <v>320</v>
      </c>
      <c r="I89">
        <f t="shared" si="10"/>
        <v>640</v>
      </c>
      <c r="J89">
        <f t="shared" si="11"/>
        <v>6</v>
      </c>
      <c r="K89">
        <f t="shared" si="12"/>
        <v>0</v>
      </c>
      <c r="L89">
        <f t="shared" si="13"/>
        <v>2</v>
      </c>
      <c r="M89">
        <f t="shared" si="14"/>
        <v>768</v>
      </c>
      <c r="N89">
        <f t="shared" si="15"/>
        <v>768</v>
      </c>
      <c r="P89" s="21" t="s">
        <v>48</v>
      </c>
      <c r="Q89" s="1">
        <v>1200</v>
      </c>
    </row>
    <row r="90" spans="1:17" x14ac:dyDescent="0.25">
      <c r="A90" s="7">
        <v>89</v>
      </c>
      <c r="B90" s="8" t="s">
        <v>23</v>
      </c>
      <c r="C90" s="8" t="s">
        <v>123</v>
      </c>
      <c r="D90" s="9">
        <v>3</v>
      </c>
      <c r="E90" s="10">
        <v>45843</v>
      </c>
      <c r="F90" s="11">
        <v>45845</v>
      </c>
      <c r="G90">
        <f t="shared" si="8"/>
        <v>2</v>
      </c>
      <c r="H90">
        <f t="shared" si="9"/>
        <v>320</v>
      </c>
      <c r="I90">
        <f t="shared" si="10"/>
        <v>640</v>
      </c>
      <c r="J90">
        <f t="shared" si="11"/>
        <v>6</v>
      </c>
      <c r="K90">
        <f t="shared" si="12"/>
        <v>0</v>
      </c>
      <c r="L90">
        <f t="shared" si="13"/>
        <v>2</v>
      </c>
      <c r="M90">
        <f t="shared" si="14"/>
        <v>768</v>
      </c>
      <c r="N90">
        <f t="shared" si="15"/>
        <v>768</v>
      </c>
      <c r="P90" s="22" t="s">
        <v>47</v>
      </c>
      <c r="Q90" s="1">
        <v>1200</v>
      </c>
    </row>
    <row r="91" spans="1:17" x14ac:dyDescent="0.25">
      <c r="A91" s="12">
        <v>90</v>
      </c>
      <c r="B91" s="13" t="s">
        <v>29</v>
      </c>
      <c r="C91" s="13" t="s">
        <v>124</v>
      </c>
      <c r="D91" s="14">
        <v>3</v>
      </c>
      <c r="E91" s="15">
        <v>45843</v>
      </c>
      <c r="F91" s="16">
        <v>45845</v>
      </c>
      <c r="G91">
        <f t="shared" si="8"/>
        <v>2</v>
      </c>
      <c r="H91">
        <f t="shared" si="9"/>
        <v>320</v>
      </c>
      <c r="I91">
        <f t="shared" si="10"/>
        <v>640</v>
      </c>
      <c r="J91">
        <f t="shared" si="11"/>
        <v>6</v>
      </c>
      <c r="K91">
        <f t="shared" si="12"/>
        <v>0</v>
      </c>
      <c r="L91">
        <f t="shared" si="13"/>
        <v>2</v>
      </c>
      <c r="M91">
        <f t="shared" si="14"/>
        <v>768</v>
      </c>
      <c r="N91">
        <f t="shared" si="15"/>
        <v>768</v>
      </c>
      <c r="P91" s="21" t="s">
        <v>183</v>
      </c>
      <c r="Q91" s="1">
        <v>1200</v>
      </c>
    </row>
    <row r="92" spans="1:17" x14ac:dyDescent="0.25">
      <c r="A92" s="7">
        <v>91</v>
      </c>
      <c r="B92" s="8" t="s">
        <v>34</v>
      </c>
      <c r="C92" s="8" t="s">
        <v>125</v>
      </c>
      <c r="D92" s="9">
        <v>3</v>
      </c>
      <c r="E92" s="10">
        <v>45843</v>
      </c>
      <c r="F92" s="11">
        <v>45845</v>
      </c>
      <c r="G92">
        <f t="shared" si="8"/>
        <v>2</v>
      </c>
      <c r="H92">
        <f t="shared" si="9"/>
        <v>320</v>
      </c>
      <c r="I92">
        <f t="shared" si="10"/>
        <v>640</v>
      </c>
      <c r="J92">
        <f t="shared" si="11"/>
        <v>6</v>
      </c>
      <c r="K92">
        <f t="shared" si="12"/>
        <v>0</v>
      </c>
      <c r="L92">
        <f t="shared" si="13"/>
        <v>2</v>
      </c>
      <c r="M92">
        <f t="shared" si="14"/>
        <v>768</v>
      </c>
      <c r="N92">
        <f t="shared" si="15"/>
        <v>768</v>
      </c>
      <c r="P92" s="22" t="s">
        <v>38</v>
      </c>
      <c r="Q92" s="1">
        <v>1200</v>
      </c>
    </row>
    <row r="93" spans="1:17" x14ac:dyDescent="0.25">
      <c r="A93" s="12">
        <v>92</v>
      </c>
      <c r="B93" s="13" t="s">
        <v>34</v>
      </c>
      <c r="C93" s="13" t="s">
        <v>126</v>
      </c>
      <c r="D93" s="14">
        <v>2</v>
      </c>
      <c r="E93" s="15">
        <v>45848</v>
      </c>
      <c r="F93" s="16">
        <v>45852</v>
      </c>
      <c r="G93">
        <f t="shared" si="8"/>
        <v>4</v>
      </c>
      <c r="H93">
        <f t="shared" si="9"/>
        <v>240</v>
      </c>
      <c r="I93">
        <f t="shared" si="10"/>
        <v>960</v>
      </c>
      <c r="J93">
        <f t="shared" si="11"/>
        <v>4</v>
      </c>
      <c r="K93">
        <f t="shared" si="12"/>
        <v>2</v>
      </c>
      <c r="L93">
        <f t="shared" si="13"/>
        <v>2</v>
      </c>
      <c r="M93">
        <f t="shared" si="14"/>
        <v>1056</v>
      </c>
      <c r="N93">
        <f t="shared" si="15"/>
        <v>1056</v>
      </c>
      <c r="P93" s="21" t="s">
        <v>180</v>
      </c>
      <c r="Q93" s="1">
        <v>1200</v>
      </c>
    </row>
    <row r="94" spans="1:17" x14ac:dyDescent="0.25">
      <c r="A94" s="7">
        <v>93</v>
      </c>
      <c r="B94" s="8" t="s">
        <v>6</v>
      </c>
      <c r="C94" s="8" t="s">
        <v>127</v>
      </c>
      <c r="D94" s="9">
        <v>3</v>
      </c>
      <c r="E94" s="10">
        <v>45853</v>
      </c>
      <c r="F94" s="11">
        <v>45856</v>
      </c>
      <c r="G94">
        <f t="shared" si="8"/>
        <v>3</v>
      </c>
      <c r="H94">
        <f t="shared" si="9"/>
        <v>320</v>
      </c>
      <c r="I94">
        <f t="shared" si="10"/>
        <v>960</v>
      </c>
      <c r="J94">
        <f t="shared" si="11"/>
        <v>2</v>
      </c>
      <c r="K94">
        <f t="shared" si="12"/>
        <v>3</v>
      </c>
      <c r="L94">
        <f t="shared" si="13"/>
        <v>0</v>
      </c>
      <c r="M94">
        <f t="shared" si="14"/>
        <v>960</v>
      </c>
      <c r="N94">
        <f t="shared" si="15"/>
        <v>960</v>
      </c>
      <c r="P94" s="22" t="s">
        <v>12</v>
      </c>
      <c r="Q94" s="1">
        <v>1200</v>
      </c>
    </row>
    <row r="95" spans="1:17" x14ac:dyDescent="0.25">
      <c r="A95" s="12">
        <v>94</v>
      </c>
      <c r="B95" s="13" t="s">
        <v>8</v>
      </c>
      <c r="C95" s="13" t="s">
        <v>128</v>
      </c>
      <c r="D95" s="14">
        <v>1</v>
      </c>
      <c r="E95" s="15">
        <v>45839</v>
      </c>
      <c r="F95" s="16">
        <v>45841</v>
      </c>
      <c r="G95">
        <f t="shared" si="8"/>
        <v>2</v>
      </c>
      <c r="H95">
        <f t="shared" si="9"/>
        <v>140</v>
      </c>
      <c r="I95">
        <f t="shared" si="10"/>
        <v>280</v>
      </c>
      <c r="J95">
        <f t="shared" si="11"/>
        <v>2</v>
      </c>
      <c r="K95">
        <f t="shared" si="12"/>
        <v>2</v>
      </c>
      <c r="L95">
        <f t="shared" si="13"/>
        <v>0</v>
      </c>
      <c r="M95">
        <f t="shared" si="14"/>
        <v>280</v>
      </c>
      <c r="N95">
        <f t="shared" si="15"/>
        <v>280</v>
      </c>
      <c r="P95" s="21" t="s">
        <v>101</v>
      </c>
      <c r="Q95" s="1">
        <v>1200</v>
      </c>
    </row>
    <row r="96" spans="1:17" x14ac:dyDescent="0.25">
      <c r="A96" s="7">
        <v>95</v>
      </c>
      <c r="B96" s="8" t="s">
        <v>73</v>
      </c>
      <c r="C96" s="8" t="s">
        <v>129</v>
      </c>
      <c r="D96" s="9">
        <v>1</v>
      </c>
      <c r="E96" s="10">
        <v>45795</v>
      </c>
      <c r="F96" s="11">
        <v>45798</v>
      </c>
      <c r="G96">
        <f t="shared" si="8"/>
        <v>3</v>
      </c>
      <c r="H96">
        <f t="shared" si="9"/>
        <v>140</v>
      </c>
      <c r="I96">
        <f t="shared" si="10"/>
        <v>420</v>
      </c>
      <c r="J96">
        <f t="shared" si="11"/>
        <v>7</v>
      </c>
      <c r="K96">
        <f t="shared" si="12"/>
        <v>2</v>
      </c>
      <c r="L96">
        <f t="shared" si="13"/>
        <v>1</v>
      </c>
      <c r="M96">
        <f t="shared" si="14"/>
        <v>448</v>
      </c>
      <c r="N96">
        <f t="shared" si="15"/>
        <v>448</v>
      </c>
      <c r="P96" s="22" t="s">
        <v>10</v>
      </c>
      <c r="Q96" s="1">
        <v>1200</v>
      </c>
    </row>
    <row r="97" spans="1:17" x14ac:dyDescent="0.25">
      <c r="A97" s="12">
        <v>96</v>
      </c>
      <c r="B97" s="13" t="s">
        <v>26</v>
      </c>
      <c r="C97" s="13" t="s">
        <v>130</v>
      </c>
      <c r="D97" s="14">
        <v>2</v>
      </c>
      <c r="E97" s="15">
        <v>45848</v>
      </c>
      <c r="F97" s="16">
        <v>45852</v>
      </c>
      <c r="G97">
        <f t="shared" si="8"/>
        <v>4</v>
      </c>
      <c r="H97">
        <f t="shared" si="9"/>
        <v>240</v>
      </c>
      <c r="I97">
        <f t="shared" si="10"/>
        <v>960</v>
      </c>
      <c r="J97">
        <f t="shared" si="11"/>
        <v>4</v>
      </c>
      <c r="K97">
        <f t="shared" si="12"/>
        <v>2</v>
      </c>
      <c r="L97">
        <f t="shared" si="13"/>
        <v>2</v>
      </c>
      <c r="M97">
        <f t="shared" si="14"/>
        <v>1056</v>
      </c>
      <c r="N97">
        <f t="shared" si="15"/>
        <v>1056</v>
      </c>
      <c r="P97" s="21" t="s">
        <v>175</v>
      </c>
      <c r="Q97" s="1">
        <v>1200</v>
      </c>
    </row>
    <row r="98" spans="1:17" x14ac:dyDescent="0.25">
      <c r="A98" s="7">
        <v>97</v>
      </c>
      <c r="B98" s="8" t="s">
        <v>29</v>
      </c>
      <c r="C98" s="8" t="s">
        <v>131</v>
      </c>
      <c r="D98" s="9">
        <v>2</v>
      </c>
      <c r="E98" s="10">
        <v>45848</v>
      </c>
      <c r="F98" s="11">
        <v>45852</v>
      </c>
      <c r="G98">
        <f t="shared" si="8"/>
        <v>4</v>
      </c>
      <c r="H98">
        <f t="shared" si="9"/>
        <v>240</v>
      </c>
      <c r="I98">
        <f t="shared" si="10"/>
        <v>960</v>
      </c>
      <c r="J98">
        <f t="shared" si="11"/>
        <v>4</v>
      </c>
      <c r="K98">
        <f t="shared" si="12"/>
        <v>2</v>
      </c>
      <c r="L98">
        <f t="shared" si="13"/>
        <v>2</v>
      </c>
      <c r="M98">
        <f t="shared" si="14"/>
        <v>1056</v>
      </c>
      <c r="N98">
        <f t="shared" si="15"/>
        <v>1056</v>
      </c>
      <c r="P98" s="22" t="s">
        <v>38</v>
      </c>
      <c r="Q98" s="1">
        <v>1200</v>
      </c>
    </row>
    <row r="99" spans="1:17" x14ac:dyDescent="0.25">
      <c r="A99" s="12">
        <v>98</v>
      </c>
      <c r="B99" s="13" t="s">
        <v>43</v>
      </c>
      <c r="C99" s="13" t="s">
        <v>132</v>
      </c>
      <c r="D99" s="14">
        <v>2</v>
      </c>
      <c r="E99" s="15">
        <v>45848</v>
      </c>
      <c r="F99" s="16">
        <v>45852</v>
      </c>
      <c r="G99">
        <f t="shared" si="8"/>
        <v>4</v>
      </c>
      <c r="H99">
        <f t="shared" si="9"/>
        <v>240</v>
      </c>
      <c r="I99">
        <f t="shared" si="10"/>
        <v>960</v>
      </c>
      <c r="J99">
        <f t="shared" si="11"/>
        <v>4</v>
      </c>
      <c r="K99">
        <f t="shared" si="12"/>
        <v>2</v>
      </c>
      <c r="L99">
        <f t="shared" si="13"/>
        <v>2</v>
      </c>
      <c r="M99">
        <f t="shared" si="14"/>
        <v>1056</v>
      </c>
      <c r="N99">
        <f t="shared" si="15"/>
        <v>1056</v>
      </c>
      <c r="P99" s="21" t="s">
        <v>25</v>
      </c>
      <c r="Q99" s="1">
        <v>1200</v>
      </c>
    </row>
    <row r="100" spans="1:17" x14ac:dyDescent="0.25">
      <c r="A100" s="7">
        <v>99</v>
      </c>
      <c r="B100" s="8" t="s">
        <v>102</v>
      </c>
      <c r="C100" s="8" t="s">
        <v>133</v>
      </c>
      <c r="D100" s="9">
        <v>2</v>
      </c>
      <c r="E100" s="10">
        <v>45848</v>
      </c>
      <c r="F100" s="11">
        <v>45852</v>
      </c>
      <c r="G100">
        <f t="shared" si="8"/>
        <v>4</v>
      </c>
      <c r="H100">
        <f t="shared" si="9"/>
        <v>240</v>
      </c>
      <c r="I100">
        <f t="shared" si="10"/>
        <v>960</v>
      </c>
      <c r="J100">
        <f t="shared" si="11"/>
        <v>4</v>
      </c>
      <c r="K100">
        <f t="shared" si="12"/>
        <v>2</v>
      </c>
      <c r="L100">
        <f t="shared" si="13"/>
        <v>2</v>
      </c>
      <c r="M100">
        <f t="shared" si="14"/>
        <v>1056</v>
      </c>
      <c r="N100">
        <f t="shared" si="15"/>
        <v>1056</v>
      </c>
      <c r="P100" s="22" t="s">
        <v>8</v>
      </c>
      <c r="Q100" s="1">
        <v>1200</v>
      </c>
    </row>
    <row r="101" spans="1:17" x14ac:dyDescent="0.25">
      <c r="A101" s="12">
        <v>100</v>
      </c>
      <c r="B101" s="13" t="s">
        <v>34</v>
      </c>
      <c r="C101" s="13" t="s">
        <v>134</v>
      </c>
      <c r="D101" s="14">
        <v>2</v>
      </c>
      <c r="E101" s="15">
        <v>45848</v>
      </c>
      <c r="F101" s="16">
        <v>45852</v>
      </c>
      <c r="G101">
        <f t="shared" si="8"/>
        <v>4</v>
      </c>
      <c r="H101">
        <f t="shared" si="9"/>
        <v>240</v>
      </c>
      <c r="I101">
        <f t="shared" si="10"/>
        <v>960</v>
      </c>
      <c r="J101">
        <f t="shared" si="11"/>
        <v>4</v>
      </c>
      <c r="K101">
        <f t="shared" si="12"/>
        <v>2</v>
      </c>
      <c r="L101">
        <f t="shared" si="13"/>
        <v>2</v>
      </c>
      <c r="M101">
        <f t="shared" si="14"/>
        <v>1056</v>
      </c>
      <c r="N101">
        <f t="shared" si="15"/>
        <v>1056</v>
      </c>
      <c r="P101" s="21" t="s">
        <v>154</v>
      </c>
      <c r="Q101" s="1">
        <v>1200</v>
      </c>
    </row>
    <row r="102" spans="1:17" x14ac:dyDescent="0.25">
      <c r="A102" s="7">
        <v>101</v>
      </c>
      <c r="B102" s="8" t="s">
        <v>118</v>
      </c>
      <c r="C102" s="8" t="s">
        <v>135</v>
      </c>
      <c r="D102" s="9">
        <v>3</v>
      </c>
      <c r="E102" s="10">
        <v>45848</v>
      </c>
      <c r="F102" s="11">
        <v>45852</v>
      </c>
      <c r="G102">
        <f t="shared" si="8"/>
        <v>4</v>
      </c>
      <c r="H102">
        <f t="shared" si="9"/>
        <v>320</v>
      </c>
      <c r="I102">
        <f t="shared" si="10"/>
        <v>1280</v>
      </c>
      <c r="J102">
        <f t="shared" si="11"/>
        <v>4</v>
      </c>
      <c r="K102">
        <f t="shared" si="12"/>
        <v>2</v>
      </c>
      <c r="L102">
        <f t="shared" si="13"/>
        <v>2</v>
      </c>
      <c r="M102">
        <f t="shared" si="14"/>
        <v>1408</v>
      </c>
      <c r="N102">
        <f t="shared" si="15"/>
        <v>1408</v>
      </c>
      <c r="P102" s="22" t="s">
        <v>26</v>
      </c>
      <c r="Q102" s="1">
        <v>1200</v>
      </c>
    </row>
    <row r="103" spans="1:17" x14ac:dyDescent="0.25">
      <c r="A103" s="12">
        <v>102</v>
      </c>
      <c r="B103" s="13" t="s">
        <v>51</v>
      </c>
      <c r="C103" s="13" t="s">
        <v>136</v>
      </c>
      <c r="D103" s="14">
        <v>3</v>
      </c>
      <c r="E103" s="15">
        <v>45848</v>
      </c>
      <c r="F103" s="16">
        <v>45852</v>
      </c>
      <c r="G103">
        <f t="shared" si="8"/>
        <v>4</v>
      </c>
      <c r="H103">
        <f t="shared" si="9"/>
        <v>320</v>
      </c>
      <c r="I103">
        <f t="shared" si="10"/>
        <v>1280</v>
      </c>
      <c r="J103">
        <f t="shared" si="11"/>
        <v>4</v>
      </c>
      <c r="K103">
        <f t="shared" si="12"/>
        <v>2</v>
      </c>
      <c r="L103">
        <f t="shared" si="13"/>
        <v>2</v>
      </c>
      <c r="M103">
        <f t="shared" si="14"/>
        <v>1408</v>
      </c>
      <c r="N103">
        <f t="shared" si="15"/>
        <v>1408</v>
      </c>
      <c r="P103" s="21" t="s">
        <v>50</v>
      </c>
      <c r="Q103" s="1">
        <v>960</v>
      </c>
    </row>
    <row r="104" spans="1:17" x14ac:dyDescent="0.25">
      <c r="A104" s="7">
        <v>103</v>
      </c>
      <c r="B104" s="8" t="s">
        <v>32</v>
      </c>
      <c r="C104" s="8" t="s">
        <v>137</v>
      </c>
      <c r="D104" s="9">
        <v>3</v>
      </c>
      <c r="E104" s="10">
        <v>45848</v>
      </c>
      <c r="F104" s="11">
        <v>45852</v>
      </c>
      <c r="G104">
        <f t="shared" si="8"/>
        <v>4</v>
      </c>
      <c r="H104">
        <f t="shared" si="9"/>
        <v>320</v>
      </c>
      <c r="I104">
        <f t="shared" si="10"/>
        <v>1280</v>
      </c>
      <c r="J104">
        <f t="shared" si="11"/>
        <v>4</v>
      </c>
      <c r="K104">
        <f t="shared" si="12"/>
        <v>2</v>
      </c>
      <c r="L104">
        <f t="shared" si="13"/>
        <v>2</v>
      </c>
      <c r="M104">
        <f t="shared" si="14"/>
        <v>1408</v>
      </c>
      <c r="N104">
        <f t="shared" si="15"/>
        <v>1408</v>
      </c>
      <c r="P104" s="22" t="s">
        <v>49</v>
      </c>
      <c r="Q104" s="1">
        <v>960</v>
      </c>
    </row>
    <row r="105" spans="1:17" x14ac:dyDescent="0.25">
      <c r="A105" s="12">
        <v>104</v>
      </c>
      <c r="B105" s="13" t="s">
        <v>20</v>
      </c>
      <c r="C105" s="13" t="s">
        <v>138</v>
      </c>
      <c r="D105" s="14">
        <v>3</v>
      </c>
      <c r="E105" s="15">
        <v>45816</v>
      </c>
      <c r="F105" s="16">
        <v>45817</v>
      </c>
      <c r="G105">
        <f t="shared" si="8"/>
        <v>1</v>
      </c>
      <c r="H105">
        <f t="shared" si="9"/>
        <v>320</v>
      </c>
      <c r="I105">
        <f t="shared" si="10"/>
        <v>320</v>
      </c>
      <c r="J105">
        <f t="shared" si="11"/>
        <v>7</v>
      </c>
      <c r="K105">
        <f t="shared" si="12"/>
        <v>0</v>
      </c>
      <c r="L105">
        <f t="shared" si="13"/>
        <v>1</v>
      </c>
      <c r="M105">
        <f t="shared" si="14"/>
        <v>384</v>
      </c>
      <c r="N105">
        <f t="shared" si="15"/>
        <v>384</v>
      </c>
      <c r="P105" s="21" t="s">
        <v>178</v>
      </c>
      <c r="Q105" s="1">
        <v>960</v>
      </c>
    </row>
    <row r="106" spans="1:17" x14ac:dyDescent="0.25">
      <c r="A106" s="7">
        <v>105</v>
      </c>
      <c r="B106" s="8" t="s">
        <v>16</v>
      </c>
      <c r="C106" s="8" t="s">
        <v>139</v>
      </c>
      <c r="D106" s="9">
        <v>2</v>
      </c>
      <c r="E106" s="10">
        <v>45803</v>
      </c>
      <c r="F106" s="11">
        <v>45805</v>
      </c>
      <c r="G106">
        <f t="shared" si="8"/>
        <v>2</v>
      </c>
      <c r="H106">
        <f t="shared" si="9"/>
        <v>240</v>
      </c>
      <c r="I106">
        <f t="shared" si="10"/>
        <v>480</v>
      </c>
      <c r="J106">
        <f t="shared" si="11"/>
        <v>1</v>
      </c>
      <c r="K106">
        <f t="shared" si="12"/>
        <v>2</v>
      </c>
      <c r="L106">
        <f t="shared" si="13"/>
        <v>0</v>
      </c>
      <c r="M106">
        <f t="shared" si="14"/>
        <v>480</v>
      </c>
      <c r="N106">
        <f t="shared" si="15"/>
        <v>480</v>
      </c>
      <c r="P106" s="22" t="s">
        <v>118</v>
      </c>
      <c r="Q106" s="1">
        <v>960</v>
      </c>
    </row>
    <row r="107" spans="1:17" x14ac:dyDescent="0.25">
      <c r="A107" s="12">
        <v>106</v>
      </c>
      <c r="B107" s="13" t="s">
        <v>86</v>
      </c>
      <c r="C107" s="13" t="s">
        <v>140</v>
      </c>
      <c r="D107" s="14">
        <v>3</v>
      </c>
      <c r="E107" s="15">
        <v>45853</v>
      </c>
      <c r="F107" s="16">
        <v>45856</v>
      </c>
      <c r="G107">
        <f t="shared" si="8"/>
        <v>3</v>
      </c>
      <c r="H107">
        <f t="shared" si="9"/>
        <v>320</v>
      </c>
      <c r="I107">
        <f t="shared" si="10"/>
        <v>960</v>
      </c>
      <c r="J107">
        <f t="shared" si="11"/>
        <v>2</v>
      </c>
      <c r="K107">
        <f t="shared" si="12"/>
        <v>3</v>
      </c>
      <c r="L107">
        <f t="shared" si="13"/>
        <v>0</v>
      </c>
      <c r="M107">
        <f t="shared" si="14"/>
        <v>960</v>
      </c>
      <c r="N107">
        <f t="shared" si="15"/>
        <v>960</v>
      </c>
      <c r="P107" s="21" t="s">
        <v>127</v>
      </c>
      <c r="Q107" s="1">
        <v>960</v>
      </c>
    </row>
    <row r="108" spans="1:17" x14ac:dyDescent="0.25">
      <c r="A108" s="7">
        <v>107</v>
      </c>
      <c r="B108" s="8" t="s">
        <v>43</v>
      </c>
      <c r="C108" s="8" t="s">
        <v>141</v>
      </c>
      <c r="D108" s="9">
        <v>3</v>
      </c>
      <c r="E108" s="10">
        <v>45848</v>
      </c>
      <c r="F108" s="11">
        <v>45852</v>
      </c>
      <c r="G108">
        <f t="shared" si="8"/>
        <v>4</v>
      </c>
      <c r="H108">
        <f t="shared" si="9"/>
        <v>320</v>
      </c>
      <c r="I108">
        <f t="shared" si="10"/>
        <v>1280</v>
      </c>
      <c r="J108">
        <f t="shared" si="11"/>
        <v>4</v>
      </c>
      <c r="K108">
        <f t="shared" si="12"/>
        <v>2</v>
      </c>
      <c r="L108">
        <f t="shared" si="13"/>
        <v>2</v>
      </c>
      <c r="M108">
        <f t="shared" si="14"/>
        <v>1408</v>
      </c>
      <c r="N108">
        <f t="shared" si="15"/>
        <v>1408</v>
      </c>
      <c r="P108" s="22" t="s">
        <v>6</v>
      </c>
      <c r="Q108" s="1">
        <v>960</v>
      </c>
    </row>
    <row r="109" spans="1:17" x14ac:dyDescent="0.25">
      <c r="A109" s="12">
        <v>108</v>
      </c>
      <c r="B109" s="13" t="s">
        <v>65</v>
      </c>
      <c r="C109" s="13" t="s">
        <v>142</v>
      </c>
      <c r="D109" s="14">
        <v>1</v>
      </c>
      <c r="E109" s="15">
        <v>45848</v>
      </c>
      <c r="F109" s="16">
        <v>45852</v>
      </c>
      <c r="G109">
        <f t="shared" si="8"/>
        <v>4</v>
      </c>
      <c r="H109">
        <f t="shared" si="9"/>
        <v>140</v>
      </c>
      <c r="I109">
        <f t="shared" si="10"/>
        <v>560</v>
      </c>
      <c r="J109">
        <f t="shared" si="11"/>
        <v>4</v>
      </c>
      <c r="K109">
        <f t="shared" si="12"/>
        <v>2</v>
      </c>
      <c r="L109">
        <f t="shared" si="13"/>
        <v>2</v>
      </c>
      <c r="M109">
        <f t="shared" si="14"/>
        <v>616</v>
      </c>
      <c r="N109">
        <f t="shared" si="15"/>
        <v>616</v>
      </c>
      <c r="P109" s="21" t="s">
        <v>152</v>
      </c>
      <c r="Q109" s="1">
        <v>960</v>
      </c>
    </row>
    <row r="110" spans="1:17" x14ac:dyDescent="0.25">
      <c r="A110" s="7">
        <v>109</v>
      </c>
      <c r="B110" s="8" t="s">
        <v>23</v>
      </c>
      <c r="C110" s="8" t="s">
        <v>143</v>
      </c>
      <c r="D110" s="9">
        <v>1</v>
      </c>
      <c r="E110" s="10">
        <v>45858</v>
      </c>
      <c r="F110" s="11">
        <v>45859</v>
      </c>
      <c r="G110">
        <f t="shared" si="8"/>
        <v>1</v>
      </c>
      <c r="H110">
        <f t="shared" si="9"/>
        <v>140</v>
      </c>
      <c r="I110">
        <f t="shared" si="10"/>
        <v>140</v>
      </c>
      <c r="J110">
        <f t="shared" si="11"/>
        <v>7</v>
      </c>
      <c r="K110">
        <f t="shared" si="12"/>
        <v>0</v>
      </c>
      <c r="L110">
        <f t="shared" si="13"/>
        <v>1</v>
      </c>
      <c r="M110">
        <f t="shared" si="14"/>
        <v>168</v>
      </c>
      <c r="N110">
        <f t="shared" si="15"/>
        <v>168</v>
      </c>
      <c r="P110" s="22" t="s">
        <v>65</v>
      </c>
      <c r="Q110" s="1">
        <v>960</v>
      </c>
    </row>
    <row r="111" spans="1:17" x14ac:dyDescent="0.25">
      <c r="A111" s="12">
        <v>110</v>
      </c>
      <c r="B111" s="13" t="s">
        <v>36</v>
      </c>
      <c r="C111" s="13" t="s">
        <v>144</v>
      </c>
      <c r="D111" s="14">
        <v>2</v>
      </c>
      <c r="E111" s="15">
        <v>45803</v>
      </c>
      <c r="F111" s="16">
        <v>45805</v>
      </c>
      <c r="G111">
        <f t="shared" si="8"/>
        <v>2</v>
      </c>
      <c r="H111">
        <f t="shared" si="9"/>
        <v>240</v>
      </c>
      <c r="I111">
        <f t="shared" si="10"/>
        <v>480</v>
      </c>
      <c r="J111">
        <f t="shared" si="11"/>
        <v>1</v>
      </c>
      <c r="K111">
        <f t="shared" si="12"/>
        <v>2</v>
      </c>
      <c r="L111">
        <f t="shared" si="13"/>
        <v>0</v>
      </c>
      <c r="M111">
        <f t="shared" si="14"/>
        <v>480</v>
      </c>
      <c r="N111">
        <f t="shared" si="15"/>
        <v>480</v>
      </c>
      <c r="P111" s="21" t="s">
        <v>104</v>
      </c>
      <c r="Q111" s="1">
        <v>960</v>
      </c>
    </row>
    <row r="112" spans="1:17" x14ac:dyDescent="0.25">
      <c r="A112" s="7">
        <v>111</v>
      </c>
      <c r="B112" s="8" t="s">
        <v>8</v>
      </c>
      <c r="C112" s="8" t="s">
        <v>145</v>
      </c>
      <c r="D112" s="9">
        <v>1</v>
      </c>
      <c r="E112" s="10">
        <v>45858</v>
      </c>
      <c r="F112" s="11">
        <v>45859</v>
      </c>
      <c r="G112">
        <f t="shared" si="8"/>
        <v>1</v>
      </c>
      <c r="H112">
        <f t="shared" si="9"/>
        <v>140</v>
      </c>
      <c r="I112">
        <f t="shared" si="10"/>
        <v>140</v>
      </c>
      <c r="J112">
        <f t="shared" si="11"/>
        <v>7</v>
      </c>
      <c r="K112">
        <f t="shared" si="12"/>
        <v>0</v>
      </c>
      <c r="L112">
        <f t="shared" si="13"/>
        <v>1</v>
      </c>
      <c r="M112">
        <f t="shared" si="14"/>
        <v>168</v>
      </c>
      <c r="N112">
        <f t="shared" si="15"/>
        <v>168</v>
      </c>
      <c r="P112" s="22" t="s">
        <v>16</v>
      </c>
      <c r="Q112" s="1">
        <v>960</v>
      </c>
    </row>
    <row r="113" spans="1:17" x14ac:dyDescent="0.25">
      <c r="A113" s="12">
        <v>112</v>
      </c>
      <c r="B113" s="13" t="s">
        <v>43</v>
      </c>
      <c r="C113" s="13" t="s">
        <v>146</v>
      </c>
      <c r="D113" s="14">
        <v>1</v>
      </c>
      <c r="E113" s="15">
        <v>45858</v>
      </c>
      <c r="F113" s="16">
        <v>45859</v>
      </c>
      <c r="G113">
        <f t="shared" si="8"/>
        <v>1</v>
      </c>
      <c r="H113">
        <f t="shared" si="9"/>
        <v>140</v>
      </c>
      <c r="I113">
        <f t="shared" si="10"/>
        <v>140</v>
      </c>
      <c r="J113">
        <f t="shared" si="11"/>
        <v>7</v>
      </c>
      <c r="K113">
        <f t="shared" si="12"/>
        <v>0</v>
      </c>
      <c r="L113">
        <f t="shared" si="13"/>
        <v>1</v>
      </c>
      <c r="M113">
        <f t="shared" si="14"/>
        <v>168</v>
      </c>
      <c r="N113">
        <f t="shared" si="15"/>
        <v>168</v>
      </c>
      <c r="P113" s="21" t="s">
        <v>131</v>
      </c>
      <c r="Q113" s="1">
        <v>960</v>
      </c>
    </row>
    <row r="114" spans="1:17" x14ac:dyDescent="0.25">
      <c r="A114" s="7">
        <v>113</v>
      </c>
      <c r="B114" s="8" t="s">
        <v>84</v>
      </c>
      <c r="C114" s="8" t="s">
        <v>147</v>
      </c>
      <c r="D114" s="9">
        <v>1</v>
      </c>
      <c r="E114" s="10">
        <v>45858</v>
      </c>
      <c r="F114" s="11">
        <v>45859</v>
      </c>
      <c r="G114">
        <f t="shared" si="8"/>
        <v>1</v>
      </c>
      <c r="H114">
        <f t="shared" si="9"/>
        <v>140</v>
      </c>
      <c r="I114">
        <f t="shared" si="10"/>
        <v>140</v>
      </c>
      <c r="J114">
        <f t="shared" si="11"/>
        <v>7</v>
      </c>
      <c r="K114">
        <f t="shared" si="12"/>
        <v>0</v>
      </c>
      <c r="L114">
        <f t="shared" si="13"/>
        <v>1</v>
      </c>
      <c r="M114">
        <f t="shared" si="14"/>
        <v>168</v>
      </c>
      <c r="N114">
        <f t="shared" si="15"/>
        <v>168</v>
      </c>
      <c r="P114" s="22" t="s">
        <v>29</v>
      </c>
      <c r="Q114" s="1">
        <v>960</v>
      </c>
    </row>
    <row r="115" spans="1:17" x14ac:dyDescent="0.25">
      <c r="A115" s="12">
        <v>114</v>
      </c>
      <c r="B115" s="13" t="s">
        <v>110</v>
      </c>
      <c r="C115" s="13" t="s">
        <v>148</v>
      </c>
      <c r="D115" s="14">
        <v>2</v>
      </c>
      <c r="E115" s="15">
        <v>45858</v>
      </c>
      <c r="F115" s="16">
        <v>45859</v>
      </c>
      <c r="G115">
        <f t="shared" si="8"/>
        <v>1</v>
      </c>
      <c r="H115">
        <f t="shared" si="9"/>
        <v>240</v>
      </c>
      <c r="I115">
        <f t="shared" si="10"/>
        <v>240</v>
      </c>
      <c r="J115">
        <f t="shared" si="11"/>
        <v>7</v>
      </c>
      <c r="K115">
        <f t="shared" si="12"/>
        <v>0</v>
      </c>
      <c r="L115">
        <f t="shared" si="13"/>
        <v>1</v>
      </c>
      <c r="M115">
        <f t="shared" si="14"/>
        <v>288</v>
      </c>
      <c r="N115">
        <f t="shared" si="15"/>
        <v>288</v>
      </c>
      <c r="P115" s="21" t="s">
        <v>140</v>
      </c>
      <c r="Q115" s="1">
        <v>960</v>
      </c>
    </row>
    <row r="116" spans="1:17" x14ac:dyDescent="0.25">
      <c r="A116" s="7">
        <v>115</v>
      </c>
      <c r="B116" s="8" t="s">
        <v>84</v>
      </c>
      <c r="C116" s="8" t="s">
        <v>149</v>
      </c>
      <c r="D116" s="9">
        <v>2</v>
      </c>
      <c r="E116" s="10">
        <v>45858</v>
      </c>
      <c r="F116" s="11">
        <v>45859</v>
      </c>
      <c r="G116">
        <f t="shared" si="8"/>
        <v>1</v>
      </c>
      <c r="H116">
        <f t="shared" si="9"/>
        <v>240</v>
      </c>
      <c r="I116">
        <f t="shared" si="10"/>
        <v>240</v>
      </c>
      <c r="J116">
        <f t="shared" si="11"/>
        <v>7</v>
      </c>
      <c r="K116">
        <f t="shared" si="12"/>
        <v>0</v>
      </c>
      <c r="L116">
        <f t="shared" si="13"/>
        <v>1</v>
      </c>
      <c r="M116">
        <f t="shared" si="14"/>
        <v>288</v>
      </c>
      <c r="N116">
        <f t="shared" si="15"/>
        <v>288</v>
      </c>
      <c r="P116" s="22" t="s">
        <v>86</v>
      </c>
      <c r="Q116" s="1">
        <v>960</v>
      </c>
    </row>
    <row r="117" spans="1:17" x14ac:dyDescent="0.25">
      <c r="A117" s="12">
        <v>116</v>
      </c>
      <c r="B117" s="13" t="s">
        <v>16</v>
      </c>
      <c r="C117" s="13" t="s">
        <v>150</v>
      </c>
      <c r="D117" s="14">
        <v>2</v>
      </c>
      <c r="E117" s="15">
        <v>45858</v>
      </c>
      <c r="F117" s="16">
        <v>45859</v>
      </c>
      <c r="G117">
        <f t="shared" si="8"/>
        <v>1</v>
      </c>
      <c r="H117">
        <f t="shared" si="9"/>
        <v>240</v>
      </c>
      <c r="I117">
        <f t="shared" si="10"/>
        <v>240</v>
      </c>
      <c r="J117">
        <f t="shared" si="11"/>
        <v>7</v>
      </c>
      <c r="K117">
        <f t="shared" si="12"/>
        <v>0</v>
      </c>
      <c r="L117">
        <f t="shared" si="13"/>
        <v>1</v>
      </c>
      <c r="M117">
        <f t="shared" si="14"/>
        <v>288</v>
      </c>
      <c r="N117">
        <f t="shared" si="15"/>
        <v>288</v>
      </c>
      <c r="P117" s="21" t="s">
        <v>179</v>
      </c>
      <c r="Q117" s="1">
        <v>960</v>
      </c>
    </row>
    <row r="118" spans="1:17" x14ac:dyDescent="0.25">
      <c r="A118" s="7">
        <v>117</v>
      </c>
      <c r="B118" s="8" t="s">
        <v>14</v>
      </c>
      <c r="C118" s="8" t="s">
        <v>151</v>
      </c>
      <c r="D118" s="9">
        <v>2</v>
      </c>
      <c r="E118" s="10">
        <v>45858</v>
      </c>
      <c r="F118" s="11">
        <v>45859</v>
      </c>
      <c r="G118">
        <f t="shared" si="8"/>
        <v>1</v>
      </c>
      <c r="H118">
        <f t="shared" si="9"/>
        <v>240</v>
      </c>
      <c r="I118">
        <f t="shared" si="10"/>
        <v>240</v>
      </c>
      <c r="J118">
        <f t="shared" si="11"/>
        <v>7</v>
      </c>
      <c r="K118">
        <f t="shared" si="12"/>
        <v>0</v>
      </c>
      <c r="L118">
        <f t="shared" si="13"/>
        <v>1</v>
      </c>
      <c r="M118">
        <f t="shared" si="14"/>
        <v>288</v>
      </c>
      <c r="N118">
        <f t="shared" si="15"/>
        <v>288</v>
      </c>
      <c r="P118" s="22" t="s">
        <v>34</v>
      </c>
      <c r="Q118" s="1">
        <v>960</v>
      </c>
    </row>
    <row r="119" spans="1:17" x14ac:dyDescent="0.25">
      <c r="A119" s="12">
        <v>118</v>
      </c>
      <c r="B119" s="13" t="s">
        <v>65</v>
      </c>
      <c r="C119" s="13" t="s">
        <v>152</v>
      </c>
      <c r="D119" s="14">
        <v>3</v>
      </c>
      <c r="E119" s="15">
        <v>45853</v>
      </c>
      <c r="F119" s="16">
        <v>45856</v>
      </c>
      <c r="G119">
        <f t="shared" si="8"/>
        <v>3</v>
      </c>
      <c r="H119">
        <f t="shared" si="9"/>
        <v>320</v>
      </c>
      <c r="I119">
        <f t="shared" si="10"/>
        <v>960</v>
      </c>
      <c r="J119">
        <f t="shared" si="11"/>
        <v>2</v>
      </c>
      <c r="K119">
        <f t="shared" si="12"/>
        <v>3</v>
      </c>
      <c r="L119">
        <f t="shared" si="13"/>
        <v>0</v>
      </c>
      <c r="M119">
        <f t="shared" si="14"/>
        <v>960</v>
      </c>
      <c r="N119">
        <f t="shared" si="15"/>
        <v>960</v>
      </c>
      <c r="P119" s="21" t="s">
        <v>103</v>
      </c>
      <c r="Q119" s="1">
        <v>960</v>
      </c>
    </row>
    <row r="120" spans="1:17" x14ac:dyDescent="0.25">
      <c r="A120" s="7">
        <v>119</v>
      </c>
      <c r="B120" s="8" t="s">
        <v>102</v>
      </c>
      <c r="C120" s="8" t="s">
        <v>153</v>
      </c>
      <c r="D120" s="9">
        <v>2</v>
      </c>
      <c r="E120" s="10">
        <v>45803</v>
      </c>
      <c r="F120" s="11">
        <v>45805</v>
      </c>
      <c r="G120">
        <f t="shared" si="8"/>
        <v>2</v>
      </c>
      <c r="H120">
        <f t="shared" si="9"/>
        <v>240</v>
      </c>
      <c r="I120">
        <f t="shared" si="10"/>
        <v>480</v>
      </c>
      <c r="J120">
        <f t="shared" si="11"/>
        <v>1</v>
      </c>
      <c r="K120">
        <f t="shared" si="12"/>
        <v>2</v>
      </c>
      <c r="L120">
        <f t="shared" si="13"/>
        <v>0</v>
      </c>
      <c r="M120">
        <f t="shared" si="14"/>
        <v>480</v>
      </c>
      <c r="N120">
        <f t="shared" si="15"/>
        <v>480</v>
      </c>
      <c r="P120" s="22" t="s">
        <v>102</v>
      </c>
      <c r="Q120" s="1">
        <v>960</v>
      </c>
    </row>
    <row r="121" spans="1:17" x14ac:dyDescent="0.25">
      <c r="A121" s="12">
        <v>120</v>
      </c>
      <c r="B121" s="13" t="s">
        <v>26</v>
      </c>
      <c r="C121" s="13" t="s">
        <v>154</v>
      </c>
      <c r="D121" s="14">
        <v>4</v>
      </c>
      <c r="E121" s="15">
        <v>45795</v>
      </c>
      <c r="F121" s="16">
        <v>45798</v>
      </c>
      <c r="G121">
        <f t="shared" si="8"/>
        <v>3</v>
      </c>
      <c r="H121">
        <f t="shared" si="9"/>
        <v>400</v>
      </c>
      <c r="I121">
        <f t="shared" si="10"/>
        <v>1200</v>
      </c>
      <c r="J121">
        <f t="shared" si="11"/>
        <v>7</v>
      </c>
      <c r="K121">
        <f t="shared" si="12"/>
        <v>2</v>
      </c>
      <c r="L121">
        <f t="shared" si="13"/>
        <v>1</v>
      </c>
      <c r="M121">
        <f t="shared" si="14"/>
        <v>1280</v>
      </c>
      <c r="N121">
        <f t="shared" si="15"/>
        <v>1280</v>
      </c>
      <c r="P121" s="21" t="s">
        <v>133</v>
      </c>
      <c r="Q121" s="1">
        <v>960</v>
      </c>
    </row>
    <row r="122" spans="1:17" x14ac:dyDescent="0.25">
      <c r="A122" s="7">
        <v>121</v>
      </c>
      <c r="B122" s="8" t="s">
        <v>6</v>
      </c>
      <c r="C122" s="8" t="s">
        <v>155</v>
      </c>
      <c r="D122" s="9">
        <v>2</v>
      </c>
      <c r="E122" s="10">
        <v>45863</v>
      </c>
      <c r="F122" s="11">
        <v>45866</v>
      </c>
      <c r="G122">
        <f t="shared" si="8"/>
        <v>3</v>
      </c>
      <c r="H122">
        <f t="shared" si="9"/>
        <v>240</v>
      </c>
      <c r="I122">
        <f t="shared" si="10"/>
        <v>720</v>
      </c>
      <c r="J122">
        <f t="shared" si="11"/>
        <v>5</v>
      </c>
      <c r="K122">
        <f t="shared" si="12"/>
        <v>1</v>
      </c>
      <c r="L122">
        <f t="shared" si="13"/>
        <v>2</v>
      </c>
      <c r="M122">
        <f t="shared" si="14"/>
        <v>816</v>
      </c>
      <c r="N122">
        <f t="shared" si="15"/>
        <v>816</v>
      </c>
      <c r="P122" s="22" t="s">
        <v>102</v>
      </c>
      <c r="Q122" s="1">
        <v>960</v>
      </c>
    </row>
    <row r="123" spans="1:17" x14ac:dyDescent="0.25">
      <c r="A123" s="12">
        <v>122</v>
      </c>
      <c r="B123" s="13" t="s">
        <v>6</v>
      </c>
      <c r="C123" s="13" t="s">
        <v>156</v>
      </c>
      <c r="D123" s="14">
        <v>2</v>
      </c>
      <c r="E123" s="15">
        <v>45863</v>
      </c>
      <c r="F123" s="16">
        <v>45866</v>
      </c>
      <c r="G123">
        <f t="shared" si="8"/>
        <v>3</v>
      </c>
      <c r="H123">
        <f t="shared" si="9"/>
        <v>240</v>
      </c>
      <c r="I123">
        <f t="shared" si="10"/>
        <v>720</v>
      </c>
      <c r="J123">
        <f t="shared" si="11"/>
        <v>5</v>
      </c>
      <c r="K123">
        <f t="shared" si="12"/>
        <v>1</v>
      </c>
      <c r="L123">
        <f t="shared" si="13"/>
        <v>2</v>
      </c>
      <c r="M123">
        <f t="shared" si="14"/>
        <v>816</v>
      </c>
      <c r="N123">
        <f t="shared" si="15"/>
        <v>816</v>
      </c>
      <c r="P123" s="21" t="s">
        <v>35</v>
      </c>
      <c r="Q123" s="1">
        <v>960</v>
      </c>
    </row>
    <row r="124" spans="1:17" x14ac:dyDescent="0.25">
      <c r="A124" s="7">
        <v>123</v>
      </c>
      <c r="B124" s="8" t="s">
        <v>8</v>
      </c>
      <c r="C124" s="8" t="s">
        <v>157</v>
      </c>
      <c r="D124" s="9">
        <v>2</v>
      </c>
      <c r="E124" s="10">
        <v>45863</v>
      </c>
      <c r="F124" s="11">
        <v>45866</v>
      </c>
      <c r="G124">
        <f t="shared" si="8"/>
        <v>3</v>
      </c>
      <c r="H124">
        <f t="shared" si="9"/>
        <v>240</v>
      </c>
      <c r="I124">
        <f t="shared" si="10"/>
        <v>720</v>
      </c>
      <c r="J124">
        <f t="shared" si="11"/>
        <v>5</v>
      </c>
      <c r="K124">
        <f t="shared" si="12"/>
        <v>1</v>
      </c>
      <c r="L124">
        <f t="shared" si="13"/>
        <v>2</v>
      </c>
      <c r="M124">
        <f t="shared" si="14"/>
        <v>816</v>
      </c>
      <c r="N124">
        <f t="shared" si="15"/>
        <v>816</v>
      </c>
      <c r="P124" s="22" t="s">
        <v>34</v>
      </c>
      <c r="Q124" s="1">
        <v>960</v>
      </c>
    </row>
    <row r="125" spans="1:17" x14ac:dyDescent="0.25">
      <c r="A125" s="12">
        <v>124</v>
      </c>
      <c r="B125" s="13" t="s">
        <v>49</v>
      </c>
      <c r="C125" s="13" t="s">
        <v>158</v>
      </c>
      <c r="D125" s="14">
        <v>2</v>
      </c>
      <c r="E125" s="15">
        <v>45863</v>
      </c>
      <c r="F125" s="16">
        <v>45866</v>
      </c>
      <c r="G125">
        <f t="shared" si="8"/>
        <v>3</v>
      </c>
      <c r="H125">
        <f t="shared" si="9"/>
        <v>240</v>
      </c>
      <c r="I125">
        <f t="shared" si="10"/>
        <v>720</v>
      </c>
      <c r="J125">
        <f t="shared" si="11"/>
        <v>5</v>
      </c>
      <c r="K125">
        <f t="shared" si="12"/>
        <v>1</v>
      </c>
      <c r="L125">
        <f t="shared" si="13"/>
        <v>2</v>
      </c>
      <c r="M125">
        <f t="shared" si="14"/>
        <v>816</v>
      </c>
      <c r="N125">
        <f t="shared" si="15"/>
        <v>816</v>
      </c>
      <c r="P125" s="21" t="s">
        <v>37</v>
      </c>
      <c r="Q125" s="1">
        <v>960</v>
      </c>
    </row>
    <row r="126" spans="1:17" x14ac:dyDescent="0.25">
      <c r="A126" s="7">
        <v>125</v>
      </c>
      <c r="B126" s="8" t="s">
        <v>23</v>
      </c>
      <c r="C126" s="8" t="s">
        <v>159</v>
      </c>
      <c r="D126" s="9">
        <v>3</v>
      </c>
      <c r="E126" s="10">
        <v>45778</v>
      </c>
      <c r="F126" s="11">
        <v>45780</v>
      </c>
      <c r="G126">
        <f t="shared" si="8"/>
        <v>2</v>
      </c>
      <c r="H126">
        <f t="shared" si="9"/>
        <v>320</v>
      </c>
      <c r="I126">
        <f t="shared" si="10"/>
        <v>640</v>
      </c>
      <c r="J126">
        <f t="shared" si="11"/>
        <v>4</v>
      </c>
      <c r="K126">
        <f t="shared" si="12"/>
        <v>2</v>
      </c>
      <c r="L126">
        <f t="shared" si="13"/>
        <v>0</v>
      </c>
      <c r="M126">
        <f t="shared" si="14"/>
        <v>640</v>
      </c>
      <c r="N126">
        <f t="shared" si="15"/>
        <v>640</v>
      </c>
      <c r="P126" s="22" t="s">
        <v>36</v>
      </c>
      <c r="Q126" s="1">
        <v>960</v>
      </c>
    </row>
    <row r="127" spans="1:17" x14ac:dyDescent="0.25">
      <c r="A127" s="12">
        <v>126</v>
      </c>
      <c r="B127" s="13" t="s">
        <v>6</v>
      </c>
      <c r="C127" s="13" t="s">
        <v>160</v>
      </c>
      <c r="D127" s="14">
        <v>3</v>
      </c>
      <c r="E127" s="15">
        <v>45816</v>
      </c>
      <c r="F127" s="16">
        <v>45817</v>
      </c>
      <c r="G127">
        <f t="shared" si="8"/>
        <v>1</v>
      </c>
      <c r="H127">
        <f t="shared" si="9"/>
        <v>320</v>
      </c>
      <c r="I127">
        <f t="shared" si="10"/>
        <v>320</v>
      </c>
      <c r="J127">
        <f t="shared" si="11"/>
        <v>7</v>
      </c>
      <c r="K127">
        <f t="shared" si="12"/>
        <v>0</v>
      </c>
      <c r="L127">
        <f t="shared" si="13"/>
        <v>1</v>
      </c>
      <c r="M127">
        <f t="shared" si="14"/>
        <v>384</v>
      </c>
      <c r="N127">
        <f t="shared" si="15"/>
        <v>384</v>
      </c>
      <c r="P127" s="21" t="s">
        <v>52</v>
      </c>
      <c r="Q127" s="1">
        <v>960</v>
      </c>
    </row>
    <row r="128" spans="1:17" x14ac:dyDescent="0.25">
      <c r="A128" s="7">
        <v>127</v>
      </c>
      <c r="B128" s="8" t="s">
        <v>38</v>
      </c>
      <c r="C128" s="8" t="s">
        <v>161</v>
      </c>
      <c r="D128" s="9">
        <v>1</v>
      </c>
      <c r="E128" s="10">
        <v>45839</v>
      </c>
      <c r="F128" s="11">
        <v>45841</v>
      </c>
      <c r="G128">
        <f t="shared" si="8"/>
        <v>2</v>
      </c>
      <c r="H128">
        <f t="shared" si="9"/>
        <v>140</v>
      </c>
      <c r="I128">
        <f t="shared" si="10"/>
        <v>280</v>
      </c>
      <c r="J128">
        <f t="shared" si="11"/>
        <v>2</v>
      </c>
      <c r="K128">
        <f t="shared" si="12"/>
        <v>2</v>
      </c>
      <c r="L128">
        <f t="shared" si="13"/>
        <v>0</v>
      </c>
      <c r="M128">
        <f t="shared" si="14"/>
        <v>280</v>
      </c>
      <c r="N128">
        <f t="shared" si="15"/>
        <v>280</v>
      </c>
      <c r="P128" s="22" t="s">
        <v>51</v>
      </c>
      <c r="Q128" s="1">
        <v>960</v>
      </c>
    </row>
    <row r="129" spans="1:17" x14ac:dyDescent="0.25">
      <c r="A129" s="12">
        <v>128</v>
      </c>
      <c r="B129" s="13" t="s">
        <v>38</v>
      </c>
      <c r="C129" s="13" t="s">
        <v>162</v>
      </c>
      <c r="D129" s="14">
        <v>3</v>
      </c>
      <c r="E129" s="15">
        <v>45853</v>
      </c>
      <c r="F129" s="16">
        <v>45856</v>
      </c>
      <c r="G129">
        <f t="shared" si="8"/>
        <v>3</v>
      </c>
      <c r="H129">
        <f t="shared" si="9"/>
        <v>320</v>
      </c>
      <c r="I129">
        <f t="shared" si="10"/>
        <v>960</v>
      </c>
      <c r="J129">
        <f t="shared" si="11"/>
        <v>2</v>
      </c>
      <c r="K129">
        <f t="shared" si="12"/>
        <v>3</v>
      </c>
      <c r="L129">
        <f t="shared" si="13"/>
        <v>0</v>
      </c>
      <c r="M129">
        <f t="shared" si="14"/>
        <v>960</v>
      </c>
      <c r="N129">
        <f t="shared" si="15"/>
        <v>960</v>
      </c>
      <c r="P129" s="21" t="s">
        <v>184</v>
      </c>
      <c r="Q129" s="1">
        <v>960</v>
      </c>
    </row>
    <row r="130" spans="1:17" x14ac:dyDescent="0.25">
      <c r="A130" s="7">
        <v>129</v>
      </c>
      <c r="B130" s="8" t="s">
        <v>18</v>
      </c>
      <c r="C130" s="8" t="s">
        <v>163</v>
      </c>
      <c r="D130" s="9">
        <v>2</v>
      </c>
      <c r="E130" s="10">
        <v>45863</v>
      </c>
      <c r="F130" s="11">
        <v>45866</v>
      </c>
      <c r="G130">
        <f t="shared" si="8"/>
        <v>3</v>
      </c>
      <c r="H130">
        <f t="shared" si="9"/>
        <v>240</v>
      </c>
      <c r="I130">
        <f t="shared" si="10"/>
        <v>720</v>
      </c>
      <c r="J130">
        <f t="shared" si="11"/>
        <v>5</v>
      </c>
      <c r="K130">
        <f t="shared" si="12"/>
        <v>1</v>
      </c>
      <c r="L130">
        <f t="shared" si="13"/>
        <v>2</v>
      </c>
      <c r="M130">
        <f t="shared" si="14"/>
        <v>816</v>
      </c>
      <c r="N130">
        <f t="shared" si="15"/>
        <v>816</v>
      </c>
      <c r="P130" s="22" t="s">
        <v>86</v>
      </c>
      <c r="Q130" s="1">
        <v>960</v>
      </c>
    </row>
    <row r="131" spans="1:17" x14ac:dyDescent="0.25">
      <c r="A131" s="12">
        <v>130</v>
      </c>
      <c r="B131" s="13" t="s">
        <v>8</v>
      </c>
      <c r="C131" s="13" t="s">
        <v>164</v>
      </c>
      <c r="D131" s="14">
        <v>2</v>
      </c>
      <c r="E131" s="15">
        <v>45863</v>
      </c>
      <c r="F131" s="16">
        <v>45866</v>
      </c>
      <c r="G131">
        <f t="shared" ref="G131:G194" si="16">F131-E131</f>
        <v>3</v>
      </c>
      <c r="H131">
        <f t="shared" ref="H131:H194" si="17">VLOOKUP(D131,$P$2:$R$6,3,FALSE)</f>
        <v>240</v>
      </c>
      <c r="I131">
        <f t="shared" ref="I131:I194" si="18">H131*G131</f>
        <v>720</v>
      </c>
      <c r="J131">
        <f t="shared" ref="J131:J194" si="19">WEEKDAY(E131,2)</f>
        <v>5</v>
      </c>
      <c r="K131">
        <f t="shared" ref="K131:K194" si="20">NETWORKDAYS(E131,F131-1)</f>
        <v>1</v>
      </c>
      <c r="L131">
        <f t="shared" ref="L131:L194" si="21">G131-K131</f>
        <v>2</v>
      </c>
      <c r="M131">
        <f t="shared" ref="M131:M194" si="22">K131*H131+L131*H131*1.2</f>
        <v>816</v>
      </c>
      <c r="N131">
        <f t="shared" ref="N131:N194" si="23">IF(G131&gt;4,M131*0.9,M131)</f>
        <v>816</v>
      </c>
      <c r="P131" s="21" t="s">
        <v>181</v>
      </c>
      <c r="Q131" s="1">
        <v>960</v>
      </c>
    </row>
    <row r="132" spans="1:17" x14ac:dyDescent="0.25">
      <c r="A132" s="7">
        <v>131</v>
      </c>
      <c r="B132" s="8" t="s">
        <v>165</v>
      </c>
      <c r="C132" s="8" t="s">
        <v>166</v>
      </c>
      <c r="D132" s="9">
        <v>1</v>
      </c>
      <c r="E132" s="10">
        <v>45778</v>
      </c>
      <c r="F132" s="11">
        <v>45780</v>
      </c>
      <c r="G132">
        <f t="shared" si="16"/>
        <v>2</v>
      </c>
      <c r="H132">
        <f t="shared" si="17"/>
        <v>140</v>
      </c>
      <c r="I132">
        <f t="shared" si="18"/>
        <v>280</v>
      </c>
      <c r="J132">
        <f t="shared" si="19"/>
        <v>4</v>
      </c>
      <c r="K132">
        <f t="shared" si="20"/>
        <v>2</v>
      </c>
      <c r="L132">
        <f t="shared" si="21"/>
        <v>0</v>
      </c>
      <c r="M132">
        <f t="shared" si="22"/>
        <v>280</v>
      </c>
      <c r="N132">
        <f t="shared" si="23"/>
        <v>280</v>
      </c>
      <c r="P132" s="22" t="s">
        <v>6</v>
      </c>
      <c r="Q132" s="1">
        <v>960</v>
      </c>
    </row>
    <row r="133" spans="1:17" x14ac:dyDescent="0.25">
      <c r="A133" s="12">
        <v>132</v>
      </c>
      <c r="B133" s="13" t="s">
        <v>54</v>
      </c>
      <c r="C133" s="13" t="s">
        <v>167</v>
      </c>
      <c r="D133" s="14">
        <v>1</v>
      </c>
      <c r="E133" s="15">
        <v>45778</v>
      </c>
      <c r="F133" s="16">
        <v>45780</v>
      </c>
      <c r="G133">
        <f t="shared" si="16"/>
        <v>2</v>
      </c>
      <c r="H133">
        <f t="shared" si="17"/>
        <v>140</v>
      </c>
      <c r="I133">
        <f t="shared" si="18"/>
        <v>280</v>
      </c>
      <c r="J133">
        <f t="shared" si="19"/>
        <v>4</v>
      </c>
      <c r="K133">
        <f t="shared" si="20"/>
        <v>2</v>
      </c>
      <c r="L133">
        <f t="shared" si="21"/>
        <v>0</v>
      </c>
      <c r="M133">
        <f t="shared" si="22"/>
        <v>280</v>
      </c>
      <c r="N133">
        <f t="shared" si="23"/>
        <v>280</v>
      </c>
      <c r="P133" s="21" t="s">
        <v>100</v>
      </c>
      <c r="Q133" s="1">
        <v>960</v>
      </c>
    </row>
    <row r="134" spans="1:17" x14ac:dyDescent="0.25">
      <c r="A134" s="7">
        <v>133</v>
      </c>
      <c r="B134" s="8" t="s">
        <v>43</v>
      </c>
      <c r="C134" s="8" t="s">
        <v>168</v>
      </c>
      <c r="D134" s="9">
        <v>2</v>
      </c>
      <c r="E134" s="10">
        <v>45863</v>
      </c>
      <c r="F134" s="11">
        <v>45866</v>
      </c>
      <c r="G134">
        <f t="shared" si="16"/>
        <v>3</v>
      </c>
      <c r="H134">
        <f t="shared" si="17"/>
        <v>240</v>
      </c>
      <c r="I134">
        <f t="shared" si="18"/>
        <v>720</v>
      </c>
      <c r="J134">
        <f t="shared" si="19"/>
        <v>5</v>
      </c>
      <c r="K134">
        <f t="shared" si="20"/>
        <v>1</v>
      </c>
      <c r="L134">
        <f t="shared" si="21"/>
        <v>2</v>
      </c>
      <c r="M134">
        <f t="shared" si="22"/>
        <v>816</v>
      </c>
      <c r="N134">
        <f t="shared" si="23"/>
        <v>816</v>
      </c>
      <c r="P134" s="22" t="s">
        <v>18</v>
      </c>
      <c r="Q134" s="1">
        <v>960</v>
      </c>
    </row>
    <row r="135" spans="1:17" x14ac:dyDescent="0.25">
      <c r="A135" s="12">
        <v>134</v>
      </c>
      <c r="B135" s="13" t="s">
        <v>84</v>
      </c>
      <c r="C135" s="13" t="s">
        <v>169</v>
      </c>
      <c r="D135" s="14">
        <v>2</v>
      </c>
      <c r="E135" s="15">
        <v>45818</v>
      </c>
      <c r="F135" s="16">
        <v>45823</v>
      </c>
      <c r="G135">
        <f t="shared" si="16"/>
        <v>5</v>
      </c>
      <c r="H135">
        <f t="shared" si="17"/>
        <v>240</v>
      </c>
      <c r="I135">
        <f t="shared" si="18"/>
        <v>1200</v>
      </c>
      <c r="J135">
        <f t="shared" si="19"/>
        <v>2</v>
      </c>
      <c r="K135">
        <f t="shared" si="20"/>
        <v>4</v>
      </c>
      <c r="L135">
        <f t="shared" si="21"/>
        <v>1</v>
      </c>
      <c r="M135">
        <f t="shared" si="22"/>
        <v>1248</v>
      </c>
      <c r="N135">
        <f t="shared" si="23"/>
        <v>1123.2</v>
      </c>
      <c r="P135" s="21" t="s">
        <v>39</v>
      </c>
      <c r="Q135" s="1">
        <v>960</v>
      </c>
    </row>
    <row r="136" spans="1:17" x14ac:dyDescent="0.25">
      <c r="A136" s="7">
        <v>135</v>
      </c>
      <c r="B136" s="8" t="s">
        <v>8</v>
      </c>
      <c r="C136" s="8" t="s">
        <v>170</v>
      </c>
      <c r="D136" s="9">
        <v>2</v>
      </c>
      <c r="E136" s="10">
        <v>45863</v>
      </c>
      <c r="F136" s="11">
        <v>45866</v>
      </c>
      <c r="G136">
        <f t="shared" si="16"/>
        <v>3</v>
      </c>
      <c r="H136">
        <f t="shared" si="17"/>
        <v>240</v>
      </c>
      <c r="I136">
        <f t="shared" si="18"/>
        <v>720</v>
      </c>
      <c r="J136">
        <f t="shared" si="19"/>
        <v>5</v>
      </c>
      <c r="K136">
        <f t="shared" si="20"/>
        <v>1</v>
      </c>
      <c r="L136">
        <f t="shared" si="21"/>
        <v>2</v>
      </c>
      <c r="M136">
        <f t="shared" si="22"/>
        <v>816</v>
      </c>
      <c r="N136">
        <f t="shared" si="23"/>
        <v>816</v>
      </c>
      <c r="P136" s="22" t="s">
        <v>38</v>
      </c>
      <c r="Q136" s="1">
        <v>960</v>
      </c>
    </row>
    <row r="137" spans="1:17" x14ac:dyDescent="0.25">
      <c r="A137" s="12">
        <v>136</v>
      </c>
      <c r="B137" s="13" t="s">
        <v>45</v>
      </c>
      <c r="C137" s="13" t="s">
        <v>171</v>
      </c>
      <c r="D137" s="14">
        <v>1</v>
      </c>
      <c r="E137" s="15">
        <v>45863</v>
      </c>
      <c r="F137" s="16">
        <v>45866</v>
      </c>
      <c r="G137">
        <f t="shared" si="16"/>
        <v>3</v>
      </c>
      <c r="H137">
        <f t="shared" si="17"/>
        <v>140</v>
      </c>
      <c r="I137">
        <f t="shared" si="18"/>
        <v>420</v>
      </c>
      <c r="J137">
        <f t="shared" si="19"/>
        <v>5</v>
      </c>
      <c r="K137">
        <f t="shared" si="20"/>
        <v>1</v>
      </c>
      <c r="L137">
        <f t="shared" si="21"/>
        <v>2</v>
      </c>
      <c r="M137">
        <f t="shared" si="22"/>
        <v>476</v>
      </c>
      <c r="N137">
        <f t="shared" si="23"/>
        <v>476</v>
      </c>
      <c r="P137" s="21" t="s">
        <v>106</v>
      </c>
      <c r="Q137" s="1">
        <v>960</v>
      </c>
    </row>
    <row r="138" spans="1:17" x14ac:dyDescent="0.25">
      <c r="A138" s="7">
        <v>137</v>
      </c>
      <c r="B138" s="8" t="s">
        <v>110</v>
      </c>
      <c r="C138" s="8" t="s">
        <v>172</v>
      </c>
      <c r="D138" s="9">
        <v>3</v>
      </c>
      <c r="E138" s="10">
        <v>45871</v>
      </c>
      <c r="F138" s="11">
        <v>45875</v>
      </c>
      <c r="G138">
        <f t="shared" si="16"/>
        <v>4</v>
      </c>
      <c r="H138">
        <f t="shared" si="17"/>
        <v>320</v>
      </c>
      <c r="I138">
        <f t="shared" si="18"/>
        <v>1280</v>
      </c>
      <c r="J138">
        <f t="shared" si="19"/>
        <v>6</v>
      </c>
      <c r="K138">
        <f t="shared" si="20"/>
        <v>2</v>
      </c>
      <c r="L138">
        <f t="shared" si="21"/>
        <v>2</v>
      </c>
      <c r="M138">
        <f t="shared" si="22"/>
        <v>1408</v>
      </c>
      <c r="N138">
        <f t="shared" si="23"/>
        <v>1408</v>
      </c>
      <c r="P138" s="22" t="s">
        <v>12</v>
      </c>
      <c r="Q138" s="1">
        <v>960</v>
      </c>
    </row>
    <row r="139" spans="1:17" x14ac:dyDescent="0.25">
      <c r="A139" s="12">
        <v>138</v>
      </c>
      <c r="B139" s="13" t="s">
        <v>20</v>
      </c>
      <c r="C139" s="13" t="s">
        <v>173</v>
      </c>
      <c r="D139" s="14">
        <v>3</v>
      </c>
      <c r="E139" s="15">
        <v>45871</v>
      </c>
      <c r="F139" s="16">
        <v>45875</v>
      </c>
      <c r="G139">
        <f t="shared" si="16"/>
        <v>4</v>
      </c>
      <c r="H139">
        <f t="shared" si="17"/>
        <v>320</v>
      </c>
      <c r="I139">
        <f t="shared" si="18"/>
        <v>1280</v>
      </c>
      <c r="J139">
        <f t="shared" si="19"/>
        <v>6</v>
      </c>
      <c r="K139">
        <f t="shared" si="20"/>
        <v>2</v>
      </c>
      <c r="L139">
        <f t="shared" si="21"/>
        <v>2</v>
      </c>
      <c r="M139">
        <f t="shared" si="22"/>
        <v>1408</v>
      </c>
      <c r="N139">
        <f t="shared" si="23"/>
        <v>1408</v>
      </c>
      <c r="P139" s="21" t="s">
        <v>162</v>
      </c>
      <c r="Q139" s="1">
        <v>960</v>
      </c>
    </row>
    <row r="140" spans="1:17" x14ac:dyDescent="0.25">
      <c r="A140" s="7">
        <v>139</v>
      </c>
      <c r="B140" s="8" t="s">
        <v>102</v>
      </c>
      <c r="C140" s="8" t="s">
        <v>174</v>
      </c>
      <c r="D140" s="9">
        <v>3</v>
      </c>
      <c r="E140" s="10">
        <v>45871</v>
      </c>
      <c r="F140" s="11">
        <v>45875</v>
      </c>
      <c r="G140">
        <f t="shared" si="16"/>
        <v>4</v>
      </c>
      <c r="H140">
        <f t="shared" si="17"/>
        <v>320</v>
      </c>
      <c r="I140">
        <f t="shared" si="18"/>
        <v>1280</v>
      </c>
      <c r="J140">
        <f t="shared" si="19"/>
        <v>6</v>
      </c>
      <c r="K140">
        <f t="shared" si="20"/>
        <v>2</v>
      </c>
      <c r="L140">
        <f t="shared" si="21"/>
        <v>2</v>
      </c>
      <c r="M140">
        <f t="shared" si="22"/>
        <v>1408</v>
      </c>
      <c r="N140">
        <f t="shared" si="23"/>
        <v>1408</v>
      </c>
      <c r="P140" s="22" t="s">
        <v>38</v>
      </c>
      <c r="Q140" s="1">
        <v>960</v>
      </c>
    </row>
    <row r="141" spans="1:17" x14ac:dyDescent="0.25">
      <c r="A141" s="12">
        <v>140</v>
      </c>
      <c r="B141" s="13" t="s">
        <v>38</v>
      </c>
      <c r="C141" s="13" t="s">
        <v>175</v>
      </c>
      <c r="D141" s="14">
        <v>2</v>
      </c>
      <c r="E141" s="15">
        <v>45818</v>
      </c>
      <c r="F141" s="16">
        <v>45823</v>
      </c>
      <c r="G141">
        <f t="shared" si="16"/>
        <v>5</v>
      </c>
      <c r="H141">
        <f t="shared" si="17"/>
        <v>240</v>
      </c>
      <c r="I141">
        <f t="shared" si="18"/>
        <v>1200</v>
      </c>
      <c r="J141">
        <f t="shared" si="19"/>
        <v>2</v>
      </c>
      <c r="K141">
        <f t="shared" si="20"/>
        <v>4</v>
      </c>
      <c r="L141">
        <f t="shared" si="21"/>
        <v>1</v>
      </c>
      <c r="M141">
        <f t="shared" si="22"/>
        <v>1248</v>
      </c>
      <c r="N141">
        <f t="shared" si="23"/>
        <v>1123.2</v>
      </c>
      <c r="P141" s="21" t="s">
        <v>98</v>
      </c>
      <c r="Q141" s="1">
        <v>960</v>
      </c>
    </row>
    <row r="142" spans="1:17" x14ac:dyDescent="0.25">
      <c r="A142" s="7">
        <v>141</v>
      </c>
      <c r="B142" s="8" t="s">
        <v>20</v>
      </c>
      <c r="C142" s="8" t="s">
        <v>176</v>
      </c>
      <c r="D142" s="9">
        <v>2</v>
      </c>
      <c r="E142" s="10">
        <v>45853</v>
      </c>
      <c r="F142" s="11">
        <v>45856</v>
      </c>
      <c r="G142">
        <f t="shared" si="16"/>
        <v>3</v>
      </c>
      <c r="H142">
        <f t="shared" si="17"/>
        <v>240</v>
      </c>
      <c r="I142">
        <f t="shared" si="18"/>
        <v>720</v>
      </c>
      <c r="J142">
        <f t="shared" si="19"/>
        <v>2</v>
      </c>
      <c r="K142">
        <f t="shared" si="20"/>
        <v>3</v>
      </c>
      <c r="L142">
        <f t="shared" si="21"/>
        <v>0</v>
      </c>
      <c r="M142">
        <f t="shared" si="22"/>
        <v>720</v>
      </c>
      <c r="N142">
        <f t="shared" si="23"/>
        <v>720</v>
      </c>
      <c r="P142" s="22" t="s">
        <v>12</v>
      </c>
      <c r="Q142" s="1">
        <v>960</v>
      </c>
    </row>
    <row r="143" spans="1:17" x14ac:dyDescent="0.25">
      <c r="A143" s="12">
        <v>142</v>
      </c>
      <c r="B143" s="13" t="s">
        <v>29</v>
      </c>
      <c r="C143" s="13" t="s">
        <v>177</v>
      </c>
      <c r="D143" s="14">
        <v>3</v>
      </c>
      <c r="E143" s="15">
        <v>45871</v>
      </c>
      <c r="F143" s="16">
        <v>45875</v>
      </c>
      <c r="G143">
        <f t="shared" si="16"/>
        <v>4</v>
      </c>
      <c r="H143">
        <f t="shared" si="17"/>
        <v>320</v>
      </c>
      <c r="I143">
        <f t="shared" si="18"/>
        <v>1280</v>
      </c>
      <c r="J143">
        <f t="shared" si="19"/>
        <v>6</v>
      </c>
      <c r="K143">
        <f t="shared" si="20"/>
        <v>2</v>
      </c>
      <c r="L143">
        <f t="shared" si="21"/>
        <v>2</v>
      </c>
      <c r="M143">
        <f t="shared" si="22"/>
        <v>1408</v>
      </c>
      <c r="N143">
        <f t="shared" si="23"/>
        <v>1408</v>
      </c>
      <c r="P143" s="21" t="s">
        <v>109</v>
      </c>
      <c r="Q143" s="1">
        <v>960</v>
      </c>
    </row>
    <row r="144" spans="1:17" x14ac:dyDescent="0.25">
      <c r="A144" s="7">
        <v>143</v>
      </c>
      <c r="B144" s="8" t="s">
        <v>118</v>
      </c>
      <c r="C144" s="8" t="s">
        <v>178</v>
      </c>
      <c r="D144" s="9">
        <v>2</v>
      </c>
      <c r="E144" s="10">
        <v>45871</v>
      </c>
      <c r="F144" s="11">
        <v>45875</v>
      </c>
      <c r="G144">
        <f t="shared" si="16"/>
        <v>4</v>
      </c>
      <c r="H144">
        <f t="shared" si="17"/>
        <v>240</v>
      </c>
      <c r="I144">
        <f t="shared" si="18"/>
        <v>960</v>
      </c>
      <c r="J144">
        <f t="shared" si="19"/>
        <v>6</v>
      </c>
      <c r="K144">
        <f t="shared" si="20"/>
        <v>2</v>
      </c>
      <c r="L144">
        <f t="shared" si="21"/>
        <v>2</v>
      </c>
      <c r="M144">
        <f t="shared" si="22"/>
        <v>1056</v>
      </c>
      <c r="N144">
        <f t="shared" si="23"/>
        <v>1056</v>
      </c>
      <c r="P144" s="22" t="s">
        <v>16</v>
      </c>
      <c r="Q144" s="1">
        <v>960</v>
      </c>
    </row>
    <row r="145" spans="1:17" x14ac:dyDescent="0.25">
      <c r="A145" s="12">
        <v>144</v>
      </c>
      <c r="B145" s="13" t="s">
        <v>34</v>
      </c>
      <c r="C145" s="13" t="s">
        <v>179</v>
      </c>
      <c r="D145" s="14">
        <v>2</v>
      </c>
      <c r="E145" s="15">
        <v>45871</v>
      </c>
      <c r="F145" s="16">
        <v>45875</v>
      </c>
      <c r="G145">
        <f t="shared" si="16"/>
        <v>4</v>
      </c>
      <c r="H145">
        <f t="shared" si="17"/>
        <v>240</v>
      </c>
      <c r="I145">
        <f t="shared" si="18"/>
        <v>960</v>
      </c>
      <c r="J145">
        <f t="shared" si="19"/>
        <v>6</v>
      </c>
      <c r="K145">
        <f t="shared" si="20"/>
        <v>2</v>
      </c>
      <c r="L145">
        <f t="shared" si="21"/>
        <v>2</v>
      </c>
      <c r="M145">
        <f t="shared" si="22"/>
        <v>1056</v>
      </c>
      <c r="N145">
        <f t="shared" si="23"/>
        <v>1056</v>
      </c>
      <c r="P145" s="21" t="s">
        <v>99</v>
      </c>
      <c r="Q145" s="1">
        <v>960</v>
      </c>
    </row>
    <row r="146" spans="1:17" x14ac:dyDescent="0.25">
      <c r="A146" s="7">
        <v>145</v>
      </c>
      <c r="B146" s="8" t="s">
        <v>12</v>
      </c>
      <c r="C146" s="8" t="s">
        <v>180</v>
      </c>
      <c r="D146" s="9">
        <v>2</v>
      </c>
      <c r="E146" s="10">
        <v>45818</v>
      </c>
      <c r="F146" s="11">
        <v>45823</v>
      </c>
      <c r="G146">
        <f t="shared" si="16"/>
        <v>5</v>
      </c>
      <c r="H146">
        <f t="shared" si="17"/>
        <v>240</v>
      </c>
      <c r="I146">
        <f t="shared" si="18"/>
        <v>1200</v>
      </c>
      <c r="J146">
        <f t="shared" si="19"/>
        <v>2</v>
      </c>
      <c r="K146">
        <f t="shared" si="20"/>
        <v>4</v>
      </c>
      <c r="L146">
        <f t="shared" si="21"/>
        <v>1</v>
      </c>
      <c r="M146">
        <f t="shared" si="22"/>
        <v>1248</v>
      </c>
      <c r="N146">
        <f t="shared" si="23"/>
        <v>1123.2</v>
      </c>
      <c r="P146" s="22" t="s">
        <v>20</v>
      </c>
      <c r="Q146" s="1">
        <v>960</v>
      </c>
    </row>
    <row r="147" spans="1:17" x14ac:dyDescent="0.25">
      <c r="A147" s="12">
        <v>146</v>
      </c>
      <c r="B147" s="13" t="s">
        <v>6</v>
      </c>
      <c r="C147" s="13" t="s">
        <v>181</v>
      </c>
      <c r="D147" s="14">
        <v>2</v>
      </c>
      <c r="E147" s="15">
        <v>45871</v>
      </c>
      <c r="F147" s="16">
        <v>45875</v>
      </c>
      <c r="G147">
        <f t="shared" si="16"/>
        <v>4</v>
      </c>
      <c r="H147">
        <f t="shared" si="17"/>
        <v>240</v>
      </c>
      <c r="I147">
        <f t="shared" si="18"/>
        <v>960</v>
      </c>
      <c r="J147">
        <f t="shared" si="19"/>
        <v>6</v>
      </c>
      <c r="K147">
        <f t="shared" si="20"/>
        <v>2</v>
      </c>
      <c r="L147">
        <f t="shared" si="21"/>
        <v>2</v>
      </c>
      <c r="M147">
        <f t="shared" si="22"/>
        <v>1056</v>
      </c>
      <c r="N147">
        <f t="shared" si="23"/>
        <v>1056</v>
      </c>
      <c r="P147" s="21" t="s">
        <v>126</v>
      </c>
      <c r="Q147" s="1">
        <v>960</v>
      </c>
    </row>
    <row r="148" spans="1:17" x14ac:dyDescent="0.25">
      <c r="A148" s="7">
        <v>147</v>
      </c>
      <c r="B148" s="8" t="s">
        <v>51</v>
      </c>
      <c r="C148" s="8" t="s">
        <v>182</v>
      </c>
      <c r="D148" s="9">
        <v>2</v>
      </c>
      <c r="E148" s="10">
        <v>45839</v>
      </c>
      <c r="F148" s="11">
        <v>45841</v>
      </c>
      <c r="G148">
        <f t="shared" si="16"/>
        <v>2</v>
      </c>
      <c r="H148">
        <f t="shared" si="17"/>
        <v>240</v>
      </c>
      <c r="I148">
        <f t="shared" si="18"/>
        <v>480</v>
      </c>
      <c r="J148">
        <f t="shared" si="19"/>
        <v>2</v>
      </c>
      <c r="K148">
        <f t="shared" si="20"/>
        <v>2</v>
      </c>
      <c r="L148">
        <f t="shared" si="21"/>
        <v>0</v>
      </c>
      <c r="M148">
        <f t="shared" si="22"/>
        <v>480</v>
      </c>
      <c r="N148">
        <f t="shared" si="23"/>
        <v>480</v>
      </c>
      <c r="P148" s="22" t="s">
        <v>34</v>
      </c>
      <c r="Q148" s="1">
        <v>960</v>
      </c>
    </row>
    <row r="149" spans="1:17" x14ac:dyDescent="0.25">
      <c r="A149" s="12">
        <v>148</v>
      </c>
      <c r="B149" s="13" t="s">
        <v>38</v>
      </c>
      <c r="C149" s="13" t="s">
        <v>183</v>
      </c>
      <c r="D149" s="14">
        <v>2</v>
      </c>
      <c r="E149" s="15">
        <v>45818</v>
      </c>
      <c r="F149" s="16">
        <v>45823</v>
      </c>
      <c r="G149">
        <f t="shared" si="16"/>
        <v>5</v>
      </c>
      <c r="H149">
        <f t="shared" si="17"/>
        <v>240</v>
      </c>
      <c r="I149">
        <f t="shared" si="18"/>
        <v>1200</v>
      </c>
      <c r="J149">
        <f t="shared" si="19"/>
        <v>2</v>
      </c>
      <c r="K149">
        <f t="shared" si="20"/>
        <v>4</v>
      </c>
      <c r="L149">
        <f t="shared" si="21"/>
        <v>1</v>
      </c>
      <c r="M149">
        <f t="shared" si="22"/>
        <v>1248</v>
      </c>
      <c r="N149">
        <f t="shared" si="23"/>
        <v>1123.2</v>
      </c>
      <c r="P149" s="21" t="s">
        <v>83</v>
      </c>
      <c r="Q149" s="1">
        <v>800</v>
      </c>
    </row>
    <row r="150" spans="1:17" x14ac:dyDescent="0.25">
      <c r="A150" s="7">
        <v>149</v>
      </c>
      <c r="B150" s="8" t="s">
        <v>86</v>
      </c>
      <c r="C150" s="8" t="s">
        <v>184</v>
      </c>
      <c r="D150" s="9">
        <v>2</v>
      </c>
      <c r="E150" s="10">
        <v>45871</v>
      </c>
      <c r="F150" s="11">
        <v>45875</v>
      </c>
      <c r="G150">
        <f t="shared" si="16"/>
        <v>4</v>
      </c>
      <c r="H150">
        <f t="shared" si="17"/>
        <v>240</v>
      </c>
      <c r="I150">
        <f t="shared" si="18"/>
        <v>960</v>
      </c>
      <c r="J150">
        <f t="shared" si="19"/>
        <v>6</v>
      </c>
      <c r="K150">
        <f t="shared" si="20"/>
        <v>2</v>
      </c>
      <c r="L150">
        <f t="shared" si="21"/>
        <v>2</v>
      </c>
      <c r="M150">
        <f t="shared" si="22"/>
        <v>1056</v>
      </c>
      <c r="N150">
        <f t="shared" si="23"/>
        <v>1056</v>
      </c>
      <c r="P150" s="22" t="s">
        <v>23</v>
      </c>
      <c r="Q150" s="1">
        <v>800</v>
      </c>
    </row>
    <row r="151" spans="1:17" x14ac:dyDescent="0.25">
      <c r="A151" s="12">
        <v>150</v>
      </c>
      <c r="B151" s="13" t="s">
        <v>51</v>
      </c>
      <c r="C151" s="13" t="s">
        <v>185</v>
      </c>
      <c r="D151" s="14">
        <v>1</v>
      </c>
      <c r="E151" s="15">
        <v>45871</v>
      </c>
      <c r="F151" s="16">
        <v>45875</v>
      </c>
      <c r="G151">
        <f t="shared" si="16"/>
        <v>4</v>
      </c>
      <c r="H151">
        <f t="shared" si="17"/>
        <v>140</v>
      </c>
      <c r="I151">
        <f t="shared" si="18"/>
        <v>560</v>
      </c>
      <c r="J151">
        <f t="shared" si="19"/>
        <v>6</v>
      </c>
      <c r="K151">
        <f t="shared" si="20"/>
        <v>2</v>
      </c>
      <c r="L151">
        <f t="shared" si="21"/>
        <v>2</v>
      </c>
      <c r="M151">
        <f t="shared" si="22"/>
        <v>616</v>
      </c>
      <c r="N151">
        <f t="shared" si="23"/>
        <v>616</v>
      </c>
      <c r="P151" s="21" t="s">
        <v>59</v>
      </c>
      <c r="Q151" s="1">
        <v>800</v>
      </c>
    </row>
    <row r="152" spans="1:17" x14ac:dyDescent="0.25">
      <c r="A152" s="7">
        <v>151</v>
      </c>
      <c r="B152" s="8" t="s">
        <v>6</v>
      </c>
      <c r="C152" s="8" t="s">
        <v>7</v>
      </c>
      <c r="D152" s="9">
        <v>1</v>
      </c>
      <c r="E152" s="10">
        <v>45871</v>
      </c>
      <c r="F152" s="11">
        <v>45875</v>
      </c>
      <c r="G152">
        <f t="shared" si="16"/>
        <v>4</v>
      </c>
      <c r="H152">
        <f t="shared" si="17"/>
        <v>140</v>
      </c>
      <c r="I152">
        <f t="shared" si="18"/>
        <v>560</v>
      </c>
      <c r="J152">
        <f t="shared" si="19"/>
        <v>6</v>
      </c>
      <c r="K152">
        <f t="shared" si="20"/>
        <v>2</v>
      </c>
      <c r="L152">
        <f t="shared" si="21"/>
        <v>2</v>
      </c>
      <c r="M152">
        <f t="shared" si="22"/>
        <v>616</v>
      </c>
      <c r="N152">
        <f t="shared" si="23"/>
        <v>616</v>
      </c>
      <c r="P152" s="22" t="s">
        <v>38</v>
      </c>
      <c r="Q152" s="1">
        <v>800</v>
      </c>
    </row>
    <row r="153" spans="1:17" x14ac:dyDescent="0.25">
      <c r="A153" s="12">
        <v>152</v>
      </c>
      <c r="B153" s="13" t="s">
        <v>29</v>
      </c>
      <c r="C153" s="13" t="s">
        <v>124</v>
      </c>
      <c r="D153" s="14">
        <v>1</v>
      </c>
      <c r="E153" s="15">
        <v>45871</v>
      </c>
      <c r="F153" s="16">
        <v>45875</v>
      </c>
      <c r="G153">
        <f t="shared" si="16"/>
        <v>4</v>
      </c>
      <c r="H153">
        <f t="shared" si="17"/>
        <v>140</v>
      </c>
      <c r="I153">
        <f t="shared" si="18"/>
        <v>560</v>
      </c>
      <c r="J153">
        <f t="shared" si="19"/>
        <v>6</v>
      </c>
      <c r="K153">
        <f t="shared" si="20"/>
        <v>2</v>
      </c>
      <c r="L153">
        <f t="shared" si="21"/>
        <v>2</v>
      </c>
      <c r="M153">
        <f t="shared" si="22"/>
        <v>616</v>
      </c>
      <c r="N153">
        <f t="shared" si="23"/>
        <v>616</v>
      </c>
      <c r="P153" s="21" t="s">
        <v>167</v>
      </c>
      <c r="Q153" s="1">
        <v>760</v>
      </c>
    </row>
    <row r="154" spans="1:17" x14ac:dyDescent="0.25">
      <c r="A154" s="7">
        <v>153</v>
      </c>
      <c r="B154" s="8" t="s">
        <v>54</v>
      </c>
      <c r="C154" s="8" t="s">
        <v>117</v>
      </c>
      <c r="D154" s="9">
        <v>2</v>
      </c>
      <c r="E154" s="10">
        <v>45818</v>
      </c>
      <c r="F154" s="11">
        <v>45823</v>
      </c>
      <c r="G154">
        <f t="shared" si="16"/>
        <v>5</v>
      </c>
      <c r="H154">
        <f t="shared" si="17"/>
        <v>240</v>
      </c>
      <c r="I154">
        <f t="shared" si="18"/>
        <v>1200</v>
      </c>
      <c r="J154">
        <f t="shared" si="19"/>
        <v>2</v>
      </c>
      <c r="K154">
        <f t="shared" si="20"/>
        <v>4</v>
      </c>
      <c r="L154">
        <f t="shared" si="21"/>
        <v>1</v>
      </c>
      <c r="M154">
        <f t="shared" si="22"/>
        <v>1248</v>
      </c>
      <c r="N154">
        <f t="shared" si="23"/>
        <v>1123.2</v>
      </c>
      <c r="P154" s="22" t="s">
        <v>54</v>
      </c>
      <c r="Q154" s="1">
        <v>760</v>
      </c>
    </row>
    <row r="155" spans="1:17" x14ac:dyDescent="0.25">
      <c r="A155" s="12">
        <v>154</v>
      </c>
      <c r="B155" s="13" t="s">
        <v>43</v>
      </c>
      <c r="C155" s="13" t="s">
        <v>132</v>
      </c>
      <c r="D155" s="14">
        <v>2</v>
      </c>
      <c r="E155" s="15">
        <v>45853</v>
      </c>
      <c r="F155" s="16">
        <v>45856</v>
      </c>
      <c r="G155">
        <f t="shared" si="16"/>
        <v>3</v>
      </c>
      <c r="H155">
        <f t="shared" si="17"/>
        <v>240</v>
      </c>
      <c r="I155">
        <f t="shared" si="18"/>
        <v>720</v>
      </c>
      <c r="J155">
        <f t="shared" si="19"/>
        <v>2</v>
      </c>
      <c r="K155">
        <f t="shared" si="20"/>
        <v>3</v>
      </c>
      <c r="L155">
        <f t="shared" si="21"/>
        <v>0</v>
      </c>
      <c r="M155">
        <f t="shared" si="22"/>
        <v>720</v>
      </c>
      <c r="N155">
        <f t="shared" si="23"/>
        <v>720</v>
      </c>
      <c r="P155" s="21" t="s">
        <v>91</v>
      </c>
      <c r="Q155" s="1">
        <v>720</v>
      </c>
    </row>
    <row r="156" spans="1:17" x14ac:dyDescent="0.25">
      <c r="A156" s="7">
        <v>155</v>
      </c>
      <c r="B156" s="8" t="s">
        <v>6</v>
      </c>
      <c r="C156" s="8" t="s">
        <v>156</v>
      </c>
      <c r="D156" s="9">
        <v>1</v>
      </c>
      <c r="E156" s="10">
        <v>45871</v>
      </c>
      <c r="F156" s="11">
        <v>45875</v>
      </c>
      <c r="G156">
        <f t="shared" si="16"/>
        <v>4</v>
      </c>
      <c r="H156">
        <f t="shared" si="17"/>
        <v>140</v>
      </c>
      <c r="I156">
        <f t="shared" si="18"/>
        <v>560</v>
      </c>
      <c r="J156">
        <f t="shared" si="19"/>
        <v>6</v>
      </c>
      <c r="K156">
        <f t="shared" si="20"/>
        <v>2</v>
      </c>
      <c r="L156">
        <f t="shared" si="21"/>
        <v>2</v>
      </c>
      <c r="M156">
        <f t="shared" si="22"/>
        <v>616</v>
      </c>
      <c r="N156">
        <f t="shared" si="23"/>
        <v>616</v>
      </c>
      <c r="P156" s="22" t="s">
        <v>16</v>
      </c>
      <c r="Q156" s="1">
        <v>720</v>
      </c>
    </row>
    <row r="157" spans="1:17" x14ac:dyDescent="0.25">
      <c r="A157" s="12">
        <v>156</v>
      </c>
      <c r="B157" s="13" t="s">
        <v>34</v>
      </c>
      <c r="C157" s="13" t="s">
        <v>134</v>
      </c>
      <c r="D157" s="14">
        <v>2</v>
      </c>
      <c r="E157" s="15">
        <v>45879</v>
      </c>
      <c r="F157" s="16">
        <v>45881</v>
      </c>
      <c r="G157">
        <f t="shared" si="16"/>
        <v>2</v>
      </c>
      <c r="H157">
        <f t="shared" si="17"/>
        <v>240</v>
      </c>
      <c r="I157">
        <f t="shared" si="18"/>
        <v>480</v>
      </c>
      <c r="J157">
        <f t="shared" si="19"/>
        <v>7</v>
      </c>
      <c r="K157">
        <f t="shared" si="20"/>
        <v>1</v>
      </c>
      <c r="L157">
        <f t="shared" si="21"/>
        <v>1</v>
      </c>
      <c r="M157">
        <f t="shared" si="22"/>
        <v>528</v>
      </c>
      <c r="N157">
        <f t="shared" si="23"/>
        <v>528</v>
      </c>
      <c r="P157" s="21" t="s">
        <v>60</v>
      </c>
      <c r="Q157" s="1">
        <v>720</v>
      </c>
    </row>
    <row r="158" spans="1:17" x14ac:dyDescent="0.25">
      <c r="A158" s="7">
        <v>157</v>
      </c>
      <c r="B158" s="8" t="s">
        <v>54</v>
      </c>
      <c r="C158" s="8" t="s">
        <v>167</v>
      </c>
      <c r="D158" s="9">
        <v>2</v>
      </c>
      <c r="E158" s="10">
        <v>45879</v>
      </c>
      <c r="F158" s="11">
        <v>45881</v>
      </c>
      <c r="G158">
        <f t="shared" si="16"/>
        <v>2</v>
      </c>
      <c r="H158">
        <f t="shared" si="17"/>
        <v>240</v>
      </c>
      <c r="I158">
        <f t="shared" si="18"/>
        <v>480</v>
      </c>
      <c r="J158">
        <f t="shared" si="19"/>
        <v>7</v>
      </c>
      <c r="K158">
        <f t="shared" si="20"/>
        <v>1</v>
      </c>
      <c r="L158">
        <f t="shared" si="21"/>
        <v>1</v>
      </c>
      <c r="M158">
        <f t="shared" si="22"/>
        <v>528</v>
      </c>
      <c r="N158">
        <f t="shared" si="23"/>
        <v>528</v>
      </c>
      <c r="P158" s="22" t="s">
        <v>12</v>
      </c>
      <c r="Q158" s="1">
        <v>720</v>
      </c>
    </row>
    <row r="159" spans="1:17" x14ac:dyDescent="0.25">
      <c r="A159" s="12">
        <v>158</v>
      </c>
      <c r="B159" s="13" t="s">
        <v>14</v>
      </c>
      <c r="C159" s="13" t="s">
        <v>116</v>
      </c>
      <c r="D159" s="14">
        <v>2</v>
      </c>
      <c r="E159" s="15">
        <v>45879</v>
      </c>
      <c r="F159" s="16">
        <v>45881</v>
      </c>
      <c r="G159">
        <f t="shared" si="16"/>
        <v>2</v>
      </c>
      <c r="H159">
        <f t="shared" si="17"/>
        <v>240</v>
      </c>
      <c r="I159">
        <f t="shared" si="18"/>
        <v>480</v>
      </c>
      <c r="J159">
        <f t="shared" si="19"/>
        <v>7</v>
      </c>
      <c r="K159">
        <f t="shared" si="20"/>
        <v>1</v>
      </c>
      <c r="L159">
        <f t="shared" si="21"/>
        <v>1</v>
      </c>
      <c r="M159">
        <f t="shared" si="22"/>
        <v>528</v>
      </c>
      <c r="N159">
        <f t="shared" si="23"/>
        <v>528</v>
      </c>
      <c r="P159" s="21" t="s">
        <v>164</v>
      </c>
      <c r="Q159" s="1">
        <v>720</v>
      </c>
    </row>
    <row r="160" spans="1:17" x14ac:dyDescent="0.25">
      <c r="A160" s="7">
        <v>159</v>
      </c>
      <c r="B160" s="8" t="s">
        <v>165</v>
      </c>
      <c r="C160" s="8" t="s">
        <v>166</v>
      </c>
      <c r="D160" s="9">
        <v>2</v>
      </c>
      <c r="E160" s="10">
        <v>45879</v>
      </c>
      <c r="F160" s="11">
        <v>45881</v>
      </c>
      <c r="G160">
        <f t="shared" si="16"/>
        <v>2</v>
      </c>
      <c r="H160">
        <f t="shared" si="17"/>
        <v>240</v>
      </c>
      <c r="I160">
        <f t="shared" si="18"/>
        <v>480</v>
      </c>
      <c r="J160">
        <f t="shared" si="19"/>
        <v>7</v>
      </c>
      <c r="K160">
        <f t="shared" si="20"/>
        <v>1</v>
      </c>
      <c r="L160">
        <f t="shared" si="21"/>
        <v>1</v>
      </c>
      <c r="M160">
        <f t="shared" si="22"/>
        <v>528</v>
      </c>
      <c r="N160">
        <f t="shared" si="23"/>
        <v>528</v>
      </c>
      <c r="P160" s="22" t="s">
        <v>8</v>
      </c>
      <c r="Q160" s="1">
        <v>720</v>
      </c>
    </row>
    <row r="161" spans="1:17" x14ac:dyDescent="0.25">
      <c r="A161" s="12">
        <v>160</v>
      </c>
      <c r="B161" s="13" t="s">
        <v>29</v>
      </c>
      <c r="C161" s="13" t="s">
        <v>124</v>
      </c>
      <c r="D161" s="14">
        <v>1</v>
      </c>
      <c r="E161" s="15">
        <v>45839</v>
      </c>
      <c r="F161" s="16">
        <v>45841</v>
      </c>
      <c r="G161">
        <f t="shared" si="16"/>
        <v>2</v>
      </c>
      <c r="H161">
        <f t="shared" si="17"/>
        <v>140</v>
      </c>
      <c r="I161">
        <f t="shared" si="18"/>
        <v>280</v>
      </c>
      <c r="J161">
        <f t="shared" si="19"/>
        <v>2</v>
      </c>
      <c r="K161">
        <f t="shared" si="20"/>
        <v>2</v>
      </c>
      <c r="L161">
        <f t="shared" si="21"/>
        <v>0</v>
      </c>
      <c r="M161">
        <f t="shared" si="22"/>
        <v>280</v>
      </c>
      <c r="N161">
        <f t="shared" si="23"/>
        <v>280</v>
      </c>
      <c r="P161" s="21" t="s">
        <v>176</v>
      </c>
      <c r="Q161" s="1">
        <v>720</v>
      </c>
    </row>
    <row r="162" spans="1:17" x14ac:dyDescent="0.25">
      <c r="A162" s="7">
        <v>161</v>
      </c>
      <c r="B162" s="8" t="s">
        <v>84</v>
      </c>
      <c r="C162" s="8" t="s">
        <v>169</v>
      </c>
      <c r="D162" s="9">
        <v>2</v>
      </c>
      <c r="E162" s="10">
        <v>45818</v>
      </c>
      <c r="F162" s="11">
        <v>45823</v>
      </c>
      <c r="G162">
        <f t="shared" si="16"/>
        <v>5</v>
      </c>
      <c r="H162">
        <f t="shared" si="17"/>
        <v>240</v>
      </c>
      <c r="I162">
        <f t="shared" si="18"/>
        <v>1200</v>
      </c>
      <c r="J162">
        <f t="shared" si="19"/>
        <v>2</v>
      </c>
      <c r="K162">
        <f t="shared" si="20"/>
        <v>4</v>
      </c>
      <c r="L162">
        <f t="shared" si="21"/>
        <v>1</v>
      </c>
      <c r="M162">
        <f t="shared" si="22"/>
        <v>1248</v>
      </c>
      <c r="N162">
        <f t="shared" si="23"/>
        <v>1123.2</v>
      </c>
      <c r="P162" s="22" t="s">
        <v>20</v>
      </c>
      <c r="Q162" s="1">
        <v>720</v>
      </c>
    </row>
    <row r="163" spans="1:17" x14ac:dyDescent="0.25">
      <c r="A163" s="12">
        <v>162</v>
      </c>
      <c r="B163" s="13" t="s">
        <v>26</v>
      </c>
      <c r="C163" s="13" t="s">
        <v>130</v>
      </c>
      <c r="D163" s="14">
        <v>2</v>
      </c>
      <c r="E163" s="15">
        <v>45879</v>
      </c>
      <c r="F163" s="16">
        <v>45881</v>
      </c>
      <c r="G163">
        <f t="shared" si="16"/>
        <v>2</v>
      </c>
      <c r="H163">
        <f t="shared" si="17"/>
        <v>240</v>
      </c>
      <c r="I163">
        <f t="shared" si="18"/>
        <v>480</v>
      </c>
      <c r="J163">
        <f t="shared" si="19"/>
        <v>7</v>
      </c>
      <c r="K163">
        <f t="shared" si="20"/>
        <v>1</v>
      </c>
      <c r="L163">
        <f t="shared" si="21"/>
        <v>1</v>
      </c>
      <c r="M163">
        <f t="shared" si="22"/>
        <v>528</v>
      </c>
      <c r="N163">
        <f t="shared" si="23"/>
        <v>528</v>
      </c>
      <c r="P163" s="21" t="s">
        <v>90</v>
      </c>
      <c r="Q163" s="1">
        <v>720</v>
      </c>
    </row>
    <row r="164" spans="1:17" x14ac:dyDescent="0.25">
      <c r="A164" s="7">
        <v>163</v>
      </c>
      <c r="B164" s="8" t="s">
        <v>6</v>
      </c>
      <c r="C164" s="8" t="s">
        <v>156</v>
      </c>
      <c r="D164" s="9">
        <v>2</v>
      </c>
      <c r="E164" s="10">
        <v>45879</v>
      </c>
      <c r="F164" s="11">
        <v>45881</v>
      </c>
      <c r="G164">
        <f t="shared" si="16"/>
        <v>2</v>
      </c>
      <c r="H164">
        <f t="shared" si="17"/>
        <v>240</v>
      </c>
      <c r="I164">
        <f t="shared" si="18"/>
        <v>480</v>
      </c>
      <c r="J164">
        <f t="shared" si="19"/>
        <v>7</v>
      </c>
      <c r="K164">
        <f t="shared" si="20"/>
        <v>1</v>
      </c>
      <c r="L164">
        <f t="shared" si="21"/>
        <v>1</v>
      </c>
      <c r="M164">
        <f t="shared" si="22"/>
        <v>528</v>
      </c>
      <c r="N164">
        <f t="shared" si="23"/>
        <v>528</v>
      </c>
      <c r="P164" s="22" t="s">
        <v>12</v>
      </c>
      <c r="Q164" s="1">
        <v>720</v>
      </c>
    </row>
    <row r="165" spans="1:17" x14ac:dyDescent="0.25">
      <c r="A165" s="12">
        <v>164</v>
      </c>
      <c r="B165" s="13" t="s">
        <v>54</v>
      </c>
      <c r="C165" s="13" t="s">
        <v>117</v>
      </c>
      <c r="D165" s="14">
        <v>1</v>
      </c>
      <c r="E165" s="15">
        <v>45883</v>
      </c>
      <c r="F165" s="16">
        <v>45886</v>
      </c>
      <c r="G165">
        <f t="shared" si="16"/>
        <v>3</v>
      </c>
      <c r="H165">
        <f t="shared" si="17"/>
        <v>140</v>
      </c>
      <c r="I165">
        <f t="shared" si="18"/>
        <v>420</v>
      </c>
      <c r="J165">
        <f t="shared" si="19"/>
        <v>4</v>
      </c>
      <c r="K165">
        <f t="shared" si="20"/>
        <v>2</v>
      </c>
      <c r="L165">
        <f t="shared" si="21"/>
        <v>1</v>
      </c>
      <c r="M165">
        <f t="shared" si="22"/>
        <v>448</v>
      </c>
      <c r="N165">
        <f t="shared" si="23"/>
        <v>448</v>
      </c>
      <c r="P165" s="21" t="s">
        <v>157</v>
      </c>
      <c r="Q165" s="1">
        <v>720</v>
      </c>
    </row>
    <row r="166" spans="1:17" x14ac:dyDescent="0.25">
      <c r="A166" s="7">
        <v>165</v>
      </c>
      <c r="B166" s="8" t="s">
        <v>45</v>
      </c>
      <c r="C166" s="8" t="s">
        <v>171</v>
      </c>
      <c r="D166" s="9">
        <v>1</v>
      </c>
      <c r="E166" s="10">
        <v>45883</v>
      </c>
      <c r="F166" s="11">
        <v>45886</v>
      </c>
      <c r="G166">
        <f t="shared" si="16"/>
        <v>3</v>
      </c>
      <c r="H166">
        <f t="shared" si="17"/>
        <v>140</v>
      </c>
      <c r="I166">
        <f t="shared" si="18"/>
        <v>420</v>
      </c>
      <c r="J166">
        <f t="shared" si="19"/>
        <v>4</v>
      </c>
      <c r="K166">
        <f t="shared" si="20"/>
        <v>2</v>
      </c>
      <c r="L166">
        <f t="shared" si="21"/>
        <v>1</v>
      </c>
      <c r="M166">
        <f t="shared" si="22"/>
        <v>448</v>
      </c>
      <c r="N166">
        <f t="shared" si="23"/>
        <v>448</v>
      </c>
      <c r="P166" s="22" t="s">
        <v>8</v>
      </c>
      <c r="Q166" s="1">
        <v>720</v>
      </c>
    </row>
    <row r="167" spans="1:17" x14ac:dyDescent="0.25">
      <c r="A167" s="12">
        <v>166</v>
      </c>
      <c r="B167" s="13" t="s">
        <v>23</v>
      </c>
      <c r="C167" s="13" t="s">
        <v>159</v>
      </c>
      <c r="D167" s="14">
        <v>1</v>
      </c>
      <c r="E167" s="15">
        <v>45883</v>
      </c>
      <c r="F167" s="16">
        <v>45886</v>
      </c>
      <c r="G167">
        <f t="shared" si="16"/>
        <v>3</v>
      </c>
      <c r="H167">
        <f t="shared" si="17"/>
        <v>140</v>
      </c>
      <c r="I167">
        <f t="shared" si="18"/>
        <v>420</v>
      </c>
      <c r="J167">
        <f t="shared" si="19"/>
        <v>4</v>
      </c>
      <c r="K167">
        <f t="shared" si="20"/>
        <v>2</v>
      </c>
      <c r="L167">
        <f t="shared" si="21"/>
        <v>1</v>
      </c>
      <c r="M167">
        <f t="shared" si="22"/>
        <v>448</v>
      </c>
      <c r="N167">
        <f t="shared" si="23"/>
        <v>448</v>
      </c>
      <c r="P167" s="21" t="s">
        <v>155</v>
      </c>
      <c r="Q167" s="1">
        <v>720</v>
      </c>
    </row>
    <row r="168" spans="1:17" x14ac:dyDescent="0.25">
      <c r="A168" s="7">
        <v>167</v>
      </c>
      <c r="B168" s="8" t="s">
        <v>84</v>
      </c>
      <c r="C168" s="8" t="s">
        <v>169</v>
      </c>
      <c r="D168" s="9">
        <v>1</v>
      </c>
      <c r="E168" s="10">
        <v>45883</v>
      </c>
      <c r="F168" s="11">
        <v>45886</v>
      </c>
      <c r="G168">
        <f t="shared" si="16"/>
        <v>3</v>
      </c>
      <c r="H168">
        <f t="shared" si="17"/>
        <v>140</v>
      </c>
      <c r="I168">
        <f t="shared" si="18"/>
        <v>420</v>
      </c>
      <c r="J168">
        <f t="shared" si="19"/>
        <v>4</v>
      </c>
      <c r="K168">
        <f t="shared" si="20"/>
        <v>2</v>
      </c>
      <c r="L168">
        <f t="shared" si="21"/>
        <v>1</v>
      </c>
      <c r="M168">
        <f t="shared" si="22"/>
        <v>448</v>
      </c>
      <c r="N168">
        <f t="shared" si="23"/>
        <v>448</v>
      </c>
      <c r="P168" s="22" t="s">
        <v>6</v>
      </c>
      <c r="Q168" s="1">
        <v>720</v>
      </c>
    </row>
    <row r="169" spans="1:17" x14ac:dyDescent="0.25">
      <c r="A169" s="12">
        <v>168</v>
      </c>
      <c r="B169" s="13" t="s">
        <v>14</v>
      </c>
      <c r="C169" s="13" t="s">
        <v>116</v>
      </c>
      <c r="D169" s="14">
        <v>3</v>
      </c>
      <c r="E169" s="15">
        <v>45883</v>
      </c>
      <c r="F169" s="16">
        <v>45886</v>
      </c>
      <c r="G169">
        <f t="shared" si="16"/>
        <v>3</v>
      </c>
      <c r="H169">
        <f t="shared" si="17"/>
        <v>320</v>
      </c>
      <c r="I169">
        <f t="shared" si="18"/>
        <v>960</v>
      </c>
      <c r="J169">
        <f t="shared" si="19"/>
        <v>4</v>
      </c>
      <c r="K169">
        <f t="shared" si="20"/>
        <v>2</v>
      </c>
      <c r="L169">
        <f t="shared" si="21"/>
        <v>1</v>
      </c>
      <c r="M169">
        <f t="shared" si="22"/>
        <v>1024</v>
      </c>
      <c r="N169">
        <f t="shared" si="23"/>
        <v>1024</v>
      </c>
      <c r="P169" s="21" t="s">
        <v>28</v>
      </c>
      <c r="Q169" s="1">
        <v>720</v>
      </c>
    </row>
    <row r="170" spans="1:17" x14ac:dyDescent="0.25">
      <c r="A170" s="7">
        <v>169</v>
      </c>
      <c r="B170" s="8" t="s">
        <v>18</v>
      </c>
      <c r="C170" s="8" t="s">
        <v>163</v>
      </c>
      <c r="D170" s="9">
        <v>2</v>
      </c>
      <c r="E170" s="10">
        <v>45853</v>
      </c>
      <c r="F170" s="11">
        <v>45856</v>
      </c>
      <c r="G170">
        <f t="shared" si="16"/>
        <v>3</v>
      </c>
      <c r="H170">
        <f t="shared" si="17"/>
        <v>240</v>
      </c>
      <c r="I170">
        <f t="shared" si="18"/>
        <v>720</v>
      </c>
      <c r="J170">
        <f t="shared" si="19"/>
        <v>2</v>
      </c>
      <c r="K170">
        <f t="shared" si="20"/>
        <v>3</v>
      </c>
      <c r="L170">
        <f t="shared" si="21"/>
        <v>0</v>
      </c>
      <c r="M170">
        <f t="shared" si="22"/>
        <v>720</v>
      </c>
      <c r="N170">
        <f t="shared" si="23"/>
        <v>720</v>
      </c>
      <c r="P170" s="22" t="s">
        <v>23</v>
      </c>
      <c r="Q170" s="1">
        <v>720</v>
      </c>
    </row>
    <row r="171" spans="1:17" x14ac:dyDescent="0.25">
      <c r="A171" s="12">
        <v>170</v>
      </c>
      <c r="B171" s="13" t="s">
        <v>14</v>
      </c>
      <c r="C171" s="13" t="s">
        <v>105</v>
      </c>
      <c r="D171" s="14">
        <v>1</v>
      </c>
      <c r="E171" s="15">
        <v>45839</v>
      </c>
      <c r="F171" s="16">
        <v>45841</v>
      </c>
      <c r="G171">
        <f t="shared" si="16"/>
        <v>2</v>
      </c>
      <c r="H171">
        <f t="shared" si="17"/>
        <v>140</v>
      </c>
      <c r="I171">
        <f t="shared" si="18"/>
        <v>280</v>
      </c>
      <c r="J171">
        <f t="shared" si="19"/>
        <v>2</v>
      </c>
      <c r="K171">
        <f t="shared" si="20"/>
        <v>2</v>
      </c>
      <c r="L171">
        <f t="shared" si="21"/>
        <v>0</v>
      </c>
      <c r="M171">
        <f t="shared" si="22"/>
        <v>280</v>
      </c>
      <c r="N171">
        <f t="shared" si="23"/>
        <v>280</v>
      </c>
      <c r="P171" s="21" t="s">
        <v>168</v>
      </c>
      <c r="Q171" s="1">
        <v>720</v>
      </c>
    </row>
    <row r="172" spans="1:17" x14ac:dyDescent="0.25">
      <c r="A172" s="7">
        <v>171</v>
      </c>
      <c r="B172" s="8" t="s">
        <v>43</v>
      </c>
      <c r="C172" s="8" t="s">
        <v>141</v>
      </c>
      <c r="D172" s="9">
        <v>2</v>
      </c>
      <c r="E172" s="10">
        <v>45809</v>
      </c>
      <c r="F172" s="11">
        <v>45812</v>
      </c>
      <c r="G172">
        <f t="shared" si="16"/>
        <v>3</v>
      </c>
      <c r="H172">
        <f t="shared" si="17"/>
        <v>240</v>
      </c>
      <c r="I172">
        <f t="shared" si="18"/>
        <v>720</v>
      </c>
      <c r="J172">
        <f t="shared" si="19"/>
        <v>7</v>
      </c>
      <c r="K172">
        <f t="shared" si="20"/>
        <v>2</v>
      </c>
      <c r="L172">
        <f t="shared" si="21"/>
        <v>1</v>
      </c>
      <c r="M172">
        <f t="shared" si="22"/>
        <v>768</v>
      </c>
      <c r="N172">
        <f t="shared" si="23"/>
        <v>768</v>
      </c>
      <c r="P172" s="22" t="s">
        <v>43</v>
      </c>
      <c r="Q172" s="1">
        <v>720</v>
      </c>
    </row>
    <row r="173" spans="1:17" x14ac:dyDescent="0.25">
      <c r="A173" s="12">
        <v>172</v>
      </c>
      <c r="B173" s="13" t="s">
        <v>84</v>
      </c>
      <c r="C173" s="13" t="s">
        <v>169</v>
      </c>
      <c r="D173" s="14">
        <v>3</v>
      </c>
      <c r="E173" s="15">
        <v>45883</v>
      </c>
      <c r="F173" s="16">
        <v>45886</v>
      </c>
      <c r="G173">
        <f t="shared" si="16"/>
        <v>3</v>
      </c>
      <c r="H173">
        <f t="shared" si="17"/>
        <v>320</v>
      </c>
      <c r="I173">
        <f t="shared" si="18"/>
        <v>960</v>
      </c>
      <c r="J173">
        <f t="shared" si="19"/>
        <v>4</v>
      </c>
      <c r="K173">
        <f t="shared" si="20"/>
        <v>2</v>
      </c>
      <c r="L173">
        <f t="shared" si="21"/>
        <v>1</v>
      </c>
      <c r="M173">
        <f t="shared" si="22"/>
        <v>1024</v>
      </c>
      <c r="N173">
        <f t="shared" si="23"/>
        <v>1024</v>
      </c>
      <c r="P173" s="21" t="s">
        <v>44</v>
      </c>
      <c r="Q173" s="1">
        <v>720</v>
      </c>
    </row>
    <row r="174" spans="1:17" x14ac:dyDescent="0.25">
      <c r="A174" s="7">
        <v>173</v>
      </c>
      <c r="B174" s="8" t="s">
        <v>45</v>
      </c>
      <c r="C174" s="8" t="s">
        <v>171</v>
      </c>
      <c r="D174" s="9">
        <v>3</v>
      </c>
      <c r="E174" s="10">
        <v>45883</v>
      </c>
      <c r="F174" s="11">
        <v>45886</v>
      </c>
      <c r="G174">
        <f t="shared" si="16"/>
        <v>3</v>
      </c>
      <c r="H174">
        <f t="shared" si="17"/>
        <v>320</v>
      </c>
      <c r="I174">
        <f t="shared" si="18"/>
        <v>960</v>
      </c>
      <c r="J174">
        <f t="shared" si="19"/>
        <v>4</v>
      </c>
      <c r="K174">
        <f t="shared" si="20"/>
        <v>2</v>
      </c>
      <c r="L174">
        <f t="shared" si="21"/>
        <v>1</v>
      </c>
      <c r="M174">
        <f t="shared" si="22"/>
        <v>1024</v>
      </c>
      <c r="N174">
        <f t="shared" si="23"/>
        <v>1024</v>
      </c>
      <c r="P174" s="22" t="s">
        <v>43</v>
      </c>
      <c r="Q174" s="1">
        <v>720</v>
      </c>
    </row>
    <row r="175" spans="1:17" x14ac:dyDescent="0.25">
      <c r="A175" s="12">
        <v>174</v>
      </c>
      <c r="B175" s="13" t="s">
        <v>34</v>
      </c>
      <c r="C175" s="13" t="s">
        <v>134</v>
      </c>
      <c r="D175" s="14">
        <v>3</v>
      </c>
      <c r="E175" s="15">
        <v>45883</v>
      </c>
      <c r="F175" s="16">
        <v>45886</v>
      </c>
      <c r="G175">
        <f t="shared" si="16"/>
        <v>3</v>
      </c>
      <c r="H175">
        <f t="shared" si="17"/>
        <v>320</v>
      </c>
      <c r="I175">
        <f t="shared" si="18"/>
        <v>960</v>
      </c>
      <c r="J175">
        <f t="shared" si="19"/>
        <v>4</v>
      </c>
      <c r="K175">
        <f t="shared" si="20"/>
        <v>2</v>
      </c>
      <c r="L175">
        <f t="shared" si="21"/>
        <v>1</v>
      </c>
      <c r="M175">
        <f t="shared" si="22"/>
        <v>1024</v>
      </c>
      <c r="N175">
        <f t="shared" si="23"/>
        <v>1024</v>
      </c>
      <c r="P175" s="21" t="s">
        <v>75</v>
      </c>
      <c r="Q175" s="1">
        <v>720</v>
      </c>
    </row>
    <row r="176" spans="1:17" x14ac:dyDescent="0.25">
      <c r="A176" s="7">
        <v>175</v>
      </c>
      <c r="B176" s="8" t="s">
        <v>6</v>
      </c>
      <c r="C176" s="8" t="s">
        <v>156</v>
      </c>
      <c r="D176" s="9">
        <v>4</v>
      </c>
      <c r="E176" s="10">
        <v>45883</v>
      </c>
      <c r="F176" s="11">
        <v>45886</v>
      </c>
      <c r="G176">
        <f t="shared" si="16"/>
        <v>3</v>
      </c>
      <c r="H176">
        <f t="shared" si="17"/>
        <v>400</v>
      </c>
      <c r="I176">
        <f t="shared" si="18"/>
        <v>1200</v>
      </c>
      <c r="J176">
        <f t="shared" si="19"/>
        <v>4</v>
      </c>
      <c r="K176">
        <f t="shared" si="20"/>
        <v>2</v>
      </c>
      <c r="L176">
        <f t="shared" si="21"/>
        <v>1</v>
      </c>
      <c r="M176">
        <f t="shared" si="22"/>
        <v>1280</v>
      </c>
      <c r="N176">
        <f t="shared" si="23"/>
        <v>1280</v>
      </c>
      <c r="P176" s="22" t="s">
        <v>51</v>
      </c>
      <c r="Q176" s="1">
        <v>720</v>
      </c>
    </row>
    <row r="177" spans="1:19" x14ac:dyDescent="0.25">
      <c r="A177" s="12">
        <v>176</v>
      </c>
      <c r="B177" s="13" t="s">
        <v>54</v>
      </c>
      <c r="C177" s="13" t="s">
        <v>117</v>
      </c>
      <c r="D177" s="14">
        <v>4</v>
      </c>
      <c r="E177" s="15">
        <v>45809</v>
      </c>
      <c r="F177" s="16">
        <v>45812</v>
      </c>
      <c r="G177">
        <f t="shared" si="16"/>
        <v>3</v>
      </c>
      <c r="H177">
        <f t="shared" si="17"/>
        <v>400</v>
      </c>
      <c r="I177">
        <f t="shared" si="18"/>
        <v>1200</v>
      </c>
      <c r="J177">
        <f t="shared" si="19"/>
        <v>7</v>
      </c>
      <c r="K177">
        <f t="shared" si="20"/>
        <v>2</v>
      </c>
      <c r="L177">
        <f t="shared" si="21"/>
        <v>1</v>
      </c>
      <c r="M177">
        <f t="shared" si="22"/>
        <v>1280</v>
      </c>
      <c r="N177">
        <f t="shared" si="23"/>
        <v>1280</v>
      </c>
      <c r="P177" s="21" t="s">
        <v>170</v>
      </c>
      <c r="Q177" s="1">
        <v>720</v>
      </c>
    </row>
    <row r="178" spans="1:19" x14ac:dyDescent="0.25">
      <c r="A178" s="7">
        <v>177</v>
      </c>
      <c r="B178" s="8" t="s">
        <v>110</v>
      </c>
      <c r="C178" s="8" t="s">
        <v>172</v>
      </c>
      <c r="D178" s="9">
        <v>3</v>
      </c>
      <c r="E178" s="10">
        <v>45839</v>
      </c>
      <c r="F178" s="11">
        <v>45852</v>
      </c>
      <c r="G178">
        <f t="shared" si="16"/>
        <v>13</v>
      </c>
      <c r="H178">
        <f t="shared" si="17"/>
        <v>320</v>
      </c>
      <c r="I178">
        <f t="shared" si="18"/>
        <v>4160</v>
      </c>
      <c r="J178">
        <f t="shared" si="19"/>
        <v>2</v>
      </c>
      <c r="K178">
        <f t="shared" si="20"/>
        <v>9</v>
      </c>
      <c r="L178">
        <f t="shared" si="21"/>
        <v>4</v>
      </c>
      <c r="M178">
        <f t="shared" si="22"/>
        <v>4416</v>
      </c>
      <c r="N178">
        <f t="shared" si="23"/>
        <v>3974.4</v>
      </c>
      <c r="P178" s="22" t="s">
        <v>8</v>
      </c>
      <c r="Q178" s="1">
        <v>720</v>
      </c>
    </row>
    <row r="179" spans="1:19" x14ac:dyDescent="0.25">
      <c r="A179" s="12">
        <v>178</v>
      </c>
      <c r="B179" s="13" t="s">
        <v>38</v>
      </c>
      <c r="C179" s="13" t="s">
        <v>161</v>
      </c>
      <c r="D179" s="14">
        <v>4</v>
      </c>
      <c r="E179" s="15">
        <v>45883</v>
      </c>
      <c r="F179" s="16">
        <v>45886</v>
      </c>
      <c r="G179">
        <f t="shared" si="16"/>
        <v>3</v>
      </c>
      <c r="H179">
        <f t="shared" si="17"/>
        <v>400</v>
      </c>
      <c r="I179">
        <f t="shared" si="18"/>
        <v>1200</v>
      </c>
      <c r="J179">
        <f t="shared" si="19"/>
        <v>4</v>
      </c>
      <c r="K179">
        <f t="shared" si="20"/>
        <v>2</v>
      </c>
      <c r="L179">
        <f t="shared" si="21"/>
        <v>1</v>
      </c>
      <c r="M179">
        <f t="shared" si="22"/>
        <v>1280</v>
      </c>
      <c r="N179">
        <f t="shared" si="23"/>
        <v>1280</v>
      </c>
      <c r="P179" s="21" t="s">
        <v>11</v>
      </c>
      <c r="Q179" s="1">
        <v>720</v>
      </c>
    </row>
    <row r="180" spans="1:19" x14ac:dyDescent="0.25">
      <c r="A180" s="7">
        <v>179</v>
      </c>
      <c r="B180" s="8" t="s">
        <v>23</v>
      </c>
      <c r="C180" s="8" t="s">
        <v>159</v>
      </c>
      <c r="D180" s="9">
        <v>2</v>
      </c>
      <c r="E180" s="10">
        <v>45883</v>
      </c>
      <c r="F180" s="11">
        <v>45886</v>
      </c>
      <c r="G180">
        <f t="shared" si="16"/>
        <v>3</v>
      </c>
      <c r="H180">
        <f t="shared" si="17"/>
        <v>240</v>
      </c>
      <c r="I180">
        <f t="shared" si="18"/>
        <v>720</v>
      </c>
      <c r="J180">
        <f t="shared" si="19"/>
        <v>4</v>
      </c>
      <c r="K180">
        <f t="shared" si="20"/>
        <v>2</v>
      </c>
      <c r="L180">
        <f t="shared" si="21"/>
        <v>1</v>
      </c>
      <c r="M180">
        <f t="shared" si="22"/>
        <v>768</v>
      </c>
      <c r="N180">
        <f t="shared" si="23"/>
        <v>768</v>
      </c>
      <c r="P180" s="22" t="s">
        <v>10</v>
      </c>
      <c r="Q180" s="1">
        <v>720</v>
      </c>
    </row>
    <row r="181" spans="1:19" x14ac:dyDescent="0.25">
      <c r="A181" s="12">
        <v>180</v>
      </c>
      <c r="B181" s="13" t="s">
        <v>34</v>
      </c>
      <c r="C181" s="13" t="s">
        <v>134</v>
      </c>
      <c r="D181" s="14">
        <v>4</v>
      </c>
      <c r="E181" s="15">
        <v>45809</v>
      </c>
      <c r="F181" s="16">
        <v>45812</v>
      </c>
      <c r="G181">
        <f t="shared" si="16"/>
        <v>3</v>
      </c>
      <c r="H181">
        <f t="shared" si="17"/>
        <v>400</v>
      </c>
      <c r="I181">
        <f t="shared" si="18"/>
        <v>1200</v>
      </c>
      <c r="J181">
        <f t="shared" si="19"/>
        <v>7</v>
      </c>
      <c r="K181">
        <f t="shared" si="20"/>
        <v>2</v>
      </c>
      <c r="L181">
        <f t="shared" si="21"/>
        <v>1</v>
      </c>
      <c r="M181">
        <f t="shared" si="22"/>
        <v>1280</v>
      </c>
      <c r="N181">
        <f t="shared" si="23"/>
        <v>1280</v>
      </c>
      <c r="P181" s="21" t="s">
        <v>158</v>
      </c>
      <c r="Q181" s="1">
        <v>720</v>
      </c>
    </row>
    <row r="182" spans="1:19" x14ac:dyDescent="0.25">
      <c r="A182" s="7">
        <v>181</v>
      </c>
      <c r="B182" s="8" t="s">
        <v>45</v>
      </c>
      <c r="C182" s="8" t="s">
        <v>171</v>
      </c>
      <c r="D182" s="9">
        <v>1</v>
      </c>
      <c r="E182" s="10">
        <v>45809</v>
      </c>
      <c r="F182" s="11">
        <v>45812</v>
      </c>
      <c r="G182">
        <f t="shared" si="16"/>
        <v>3</v>
      </c>
      <c r="H182">
        <f t="shared" si="17"/>
        <v>140</v>
      </c>
      <c r="I182">
        <f t="shared" si="18"/>
        <v>420</v>
      </c>
      <c r="J182">
        <f t="shared" si="19"/>
        <v>7</v>
      </c>
      <c r="K182">
        <f t="shared" si="20"/>
        <v>2</v>
      </c>
      <c r="L182">
        <f t="shared" si="21"/>
        <v>1</v>
      </c>
      <c r="M182">
        <f t="shared" si="22"/>
        <v>448</v>
      </c>
      <c r="N182">
        <f t="shared" si="23"/>
        <v>448</v>
      </c>
      <c r="P182" s="22" t="s">
        <v>49</v>
      </c>
      <c r="Q182" s="1">
        <v>720</v>
      </c>
    </row>
    <row r="183" spans="1:19" x14ac:dyDescent="0.25">
      <c r="A183" s="12">
        <v>182</v>
      </c>
      <c r="B183" s="13" t="s">
        <v>165</v>
      </c>
      <c r="C183" s="13" t="s">
        <v>166</v>
      </c>
      <c r="D183" s="14">
        <v>2</v>
      </c>
      <c r="E183" s="15">
        <v>45883</v>
      </c>
      <c r="F183" s="16">
        <v>45886</v>
      </c>
      <c r="G183">
        <f t="shared" si="16"/>
        <v>3</v>
      </c>
      <c r="H183">
        <f t="shared" si="17"/>
        <v>240</v>
      </c>
      <c r="I183">
        <f t="shared" si="18"/>
        <v>720</v>
      </c>
      <c r="J183">
        <f t="shared" si="19"/>
        <v>4</v>
      </c>
      <c r="K183">
        <f t="shared" si="20"/>
        <v>2</v>
      </c>
      <c r="L183">
        <f t="shared" si="21"/>
        <v>1</v>
      </c>
      <c r="M183">
        <f t="shared" si="22"/>
        <v>768</v>
      </c>
      <c r="N183">
        <f t="shared" si="23"/>
        <v>768</v>
      </c>
      <c r="P183" s="21" t="s">
        <v>123</v>
      </c>
      <c r="Q183" s="1">
        <v>640</v>
      </c>
    </row>
    <row r="184" spans="1:19" x14ac:dyDescent="0.25">
      <c r="A184" s="7">
        <v>183</v>
      </c>
      <c r="B184" s="8" t="s">
        <v>20</v>
      </c>
      <c r="C184" s="8" t="s">
        <v>173</v>
      </c>
      <c r="D184" s="9">
        <v>2</v>
      </c>
      <c r="E184" s="10">
        <v>45883</v>
      </c>
      <c r="F184" s="11">
        <v>45886</v>
      </c>
      <c r="G184">
        <f t="shared" si="16"/>
        <v>3</v>
      </c>
      <c r="H184">
        <f t="shared" si="17"/>
        <v>240</v>
      </c>
      <c r="I184">
        <f t="shared" si="18"/>
        <v>720</v>
      </c>
      <c r="J184">
        <f t="shared" si="19"/>
        <v>4</v>
      </c>
      <c r="K184">
        <f t="shared" si="20"/>
        <v>2</v>
      </c>
      <c r="L184">
        <f t="shared" si="21"/>
        <v>1</v>
      </c>
      <c r="M184">
        <f t="shared" si="22"/>
        <v>768</v>
      </c>
      <c r="N184">
        <f t="shared" si="23"/>
        <v>768</v>
      </c>
      <c r="P184" s="22" t="s">
        <v>23</v>
      </c>
      <c r="Q184" s="1">
        <v>640</v>
      </c>
    </row>
    <row r="185" spans="1:19" x14ac:dyDescent="0.25">
      <c r="A185" s="12">
        <v>184</v>
      </c>
      <c r="B185" s="13" t="s">
        <v>6</v>
      </c>
      <c r="C185" s="13" t="s">
        <v>7</v>
      </c>
      <c r="D185" s="14">
        <v>2</v>
      </c>
      <c r="E185" s="15">
        <v>45883</v>
      </c>
      <c r="F185" s="16">
        <v>45886</v>
      </c>
      <c r="G185">
        <f t="shared" si="16"/>
        <v>3</v>
      </c>
      <c r="H185">
        <f t="shared" si="17"/>
        <v>240</v>
      </c>
      <c r="I185">
        <f t="shared" si="18"/>
        <v>720</v>
      </c>
      <c r="J185">
        <f t="shared" si="19"/>
        <v>4</v>
      </c>
      <c r="K185">
        <f t="shared" si="20"/>
        <v>2</v>
      </c>
      <c r="L185">
        <f t="shared" si="21"/>
        <v>1</v>
      </c>
      <c r="M185">
        <f t="shared" si="22"/>
        <v>768</v>
      </c>
      <c r="N185">
        <f t="shared" si="23"/>
        <v>768</v>
      </c>
      <c r="P185" s="21" t="s">
        <v>125</v>
      </c>
      <c r="Q185" s="1">
        <v>640</v>
      </c>
    </row>
    <row r="186" spans="1:19" x14ac:dyDescent="0.25">
      <c r="A186" s="7">
        <v>185</v>
      </c>
      <c r="B186" s="8" t="s">
        <v>110</v>
      </c>
      <c r="C186" s="8" t="s">
        <v>172</v>
      </c>
      <c r="D186" s="9">
        <v>2</v>
      </c>
      <c r="E186" s="10">
        <v>45883</v>
      </c>
      <c r="F186" s="11">
        <v>45886</v>
      </c>
      <c r="G186">
        <f t="shared" si="16"/>
        <v>3</v>
      </c>
      <c r="H186">
        <f t="shared" si="17"/>
        <v>240</v>
      </c>
      <c r="I186">
        <f t="shared" si="18"/>
        <v>720</v>
      </c>
      <c r="J186">
        <f t="shared" si="19"/>
        <v>4</v>
      </c>
      <c r="K186">
        <f t="shared" si="20"/>
        <v>2</v>
      </c>
      <c r="L186">
        <f t="shared" si="21"/>
        <v>1</v>
      </c>
      <c r="M186">
        <f t="shared" si="22"/>
        <v>768</v>
      </c>
      <c r="N186">
        <f t="shared" si="23"/>
        <v>768</v>
      </c>
      <c r="P186" s="22" t="s">
        <v>34</v>
      </c>
      <c r="Q186" s="1">
        <v>640</v>
      </c>
      <c r="S186">
        <f>SUM($N$138,$N$178,$N$186)</f>
        <v>6150.4</v>
      </c>
    </row>
    <row r="187" spans="1:19" x14ac:dyDescent="0.25">
      <c r="A187" s="12">
        <v>186</v>
      </c>
      <c r="B187" s="13" t="s">
        <v>14</v>
      </c>
      <c r="C187" s="13" t="s">
        <v>116</v>
      </c>
      <c r="D187" s="14">
        <v>2</v>
      </c>
      <c r="E187" s="15">
        <v>45883</v>
      </c>
      <c r="F187" s="16">
        <v>45886</v>
      </c>
      <c r="G187">
        <f t="shared" si="16"/>
        <v>3</v>
      </c>
      <c r="H187">
        <f t="shared" si="17"/>
        <v>240</v>
      </c>
      <c r="I187">
        <f t="shared" si="18"/>
        <v>720</v>
      </c>
      <c r="J187">
        <f t="shared" si="19"/>
        <v>4</v>
      </c>
      <c r="K187">
        <f t="shared" si="20"/>
        <v>2</v>
      </c>
      <c r="L187">
        <f t="shared" si="21"/>
        <v>1</v>
      </c>
      <c r="M187">
        <f t="shared" si="22"/>
        <v>768</v>
      </c>
      <c r="N187">
        <f t="shared" si="23"/>
        <v>768</v>
      </c>
      <c r="P187" s="21" t="s">
        <v>122</v>
      </c>
      <c r="Q187" s="1">
        <v>640</v>
      </c>
    </row>
    <row r="188" spans="1:19" x14ac:dyDescent="0.25">
      <c r="A188" s="7">
        <v>187</v>
      </c>
      <c r="B188" s="8" t="s">
        <v>73</v>
      </c>
      <c r="C188" s="8" t="s">
        <v>129</v>
      </c>
      <c r="D188" s="9">
        <v>2</v>
      </c>
      <c r="E188" s="10">
        <v>45883</v>
      </c>
      <c r="F188" s="11">
        <v>45886</v>
      </c>
      <c r="G188">
        <f t="shared" si="16"/>
        <v>3</v>
      </c>
      <c r="H188">
        <f t="shared" si="17"/>
        <v>240</v>
      </c>
      <c r="I188">
        <f t="shared" si="18"/>
        <v>720</v>
      </c>
      <c r="J188">
        <f t="shared" si="19"/>
        <v>4</v>
      </c>
      <c r="K188">
        <f t="shared" si="20"/>
        <v>2</v>
      </c>
      <c r="L188">
        <f t="shared" si="21"/>
        <v>1</v>
      </c>
      <c r="M188">
        <f t="shared" si="22"/>
        <v>768</v>
      </c>
      <c r="N188">
        <f t="shared" si="23"/>
        <v>768</v>
      </c>
      <c r="P188" s="22" t="s">
        <v>18</v>
      </c>
      <c r="Q188" s="1">
        <v>640</v>
      </c>
    </row>
    <row r="189" spans="1:19" x14ac:dyDescent="0.25">
      <c r="A189" s="12">
        <v>188</v>
      </c>
      <c r="B189" s="13" t="s">
        <v>20</v>
      </c>
      <c r="C189" s="13" t="s">
        <v>173</v>
      </c>
      <c r="D189" s="14">
        <v>2</v>
      </c>
      <c r="E189" s="15">
        <v>45885</v>
      </c>
      <c r="F189" s="16">
        <v>45886</v>
      </c>
      <c r="G189">
        <f t="shared" si="16"/>
        <v>1</v>
      </c>
      <c r="H189">
        <f t="shared" si="17"/>
        <v>240</v>
      </c>
      <c r="I189">
        <f t="shared" si="18"/>
        <v>240</v>
      </c>
      <c r="J189">
        <f t="shared" si="19"/>
        <v>6</v>
      </c>
      <c r="K189">
        <f t="shared" si="20"/>
        <v>0</v>
      </c>
      <c r="L189">
        <f t="shared" si="21"/>
        <v>1</v>
      </c>
      <c r="M189">
        <f t="shared" si="22"/>
        <v>288</v>
      </c>
      <c r="N189">
        <f t="shared" si="23"/>
        <v>288</v>
      </c>
      <c r="P189" s="21" t="s">
        <v>111</v>
      </c>
      <c r="Q189" s="1">
        <v>560</v>
      </c>
    </row>
    <row r="190" spans="1:19" x14ac:dyDescent="0.25">
      <c r="A190" s="7">
        <v>189</v>
      </c>
      <c r="B190" s="8" t="s">
        <v>102</v>
      </c>
      <c r="C190" s="8" t="s">
        <v>174</v>
      </c>
      <c r="D190" s="9">
        <v>3</v>
      </c>
      <c r="E190" s="10">
        <v>45889</v>
      </c>
      <c r="F190" s="11">
        <v>45891</v>
      </c>
      <c r="G190">
        <f t="shared" si="16"/>
        <v>2</v>
      </c>
      <c r="H190">
        <f t="shared" si="17"/>
        <v>320</v>
      </c>
      <c r="I190">
        <f t="shared" si="18"/>
        <v>640</v>
      </c>
      <c r="J190">
        <f t="shared" si="19"/>
        <v>3</v>
      </c>
      <c r="K190">
        <f t="shared" si="20"/>
        <v>2</v>
      </c>
      <c r="L190">
        <f t="shared" si="21"/>
        <v>0</v>
      </c>
      <c r="M190">
        <f t="shared" si="22"/>
        <v>640</v>
      </c>
      <c r="N190">
        <f t="shared" si="23"/>
        <v>640</v>
      </c>
      <c r="P190" s="22" t="s">
        <v>110</v>
      </c>
      <c r="Q190" s="1">
        <v>560</v>
      </c>
    </row>
    <row r="191" spans="1:19" x14ac:dyDescent="0.25">
      <c r="A191" s="12">
        <v>190</v>
      </c>
      <c r="B191" s="13" t="s">
        <v>84</v>
      </c>
      <c r="C191" s="13" t="s">
        <v>92</v>
      </c>
      <c r="D191" s="14">
        <v>3</v>
      </c>
      <c r="E191" s="15">
        <v>45889</v>
      </c>
      <c r="F191" s="16">
        <v>45891</v>
      </c>
      <c r="G191">
        <f t="shared" si="16"/>
        <v>2</v>
      </c>
      <c r="H191">
        <f t="shared" si="17"/>
        <v>320</v>
      </c>
      <c r="I191">
        <f t="shared" si="18"/>
        <v>640</v>
      </c>
      <c r="J191">
        <f t="shared" si="19"/>
        <v>3</v>
      </c>
      <c r="K191">
        <f t="shared" si="20"/>
        <v>2</v>
      </c>
      <c r="L191">
        <f t="shared" si="21"/>
        <v>0</v>
      </c>
      <c r="M191">
        <f t="shared" si="22"/>
        <v>640</v>
      </c>
      <c r="N191">
        <f t="shared" si="23"/>
        <v>640</v>
      </c>
      <c r="P191" s="21" t="s">
        <v>142</v>
      </c>
      <c r="Q191" s="1">
        <v>560</v>
      </c>
    </row>
    <row r="192" spans="1:19" x14ac:dyDescent="0.25">
      <c r="A192" s="7">
        <v>191</v>
      </c>
      <c r="B192" s="8" t="s">
        <v>54</v>
      </c>
      <c r="C192" s="8" t="s">
        <v>117</v>
      </c>
      <c r="D192" s="9">
        <v>3</v>
      </c>
      <c r="E192" s="10">
        <v>45889</v>
      </c>
      <c r="F192" s="11">
        <v>45891</v>
      </c>
      <c r="G192">
        <f t="shared" si="16"/>
        <v>2</v>
      </c>
      <c r="H192">
        <f t="shared" si="17"/>
        <v>320</v>
      </c>
      <c r="I192">
        <f t="shared" si="18"/>
        <v>640</v>
      </c>
      <c r="J192">
        <f t="shared" si="19"/>
        <v>3</v>
      </c>
      <c r="K192">
        <f t="shared" si="20"/>
        <v>2</v>
      </c>
      <c r="L192">
        <f t="shared" si="21"/>
        <v>0</v>
      </c>
      <c r="M192">
        <f t="shared" si="22"/>
        <v>640</v>
      </c>
      <c r="N192">
        <f t="shared" si="23"/>
        <v>640</v>
      </c>
      <c r="P192" s="22" t="s">
        <v>65</v>
      </c>
      <c r="Q192" s="1">
        <v>560</v>
      </c>
    </row>
    <row r="193" spans="1:17" x14ac:dyDescent="0.25">
      <c r="A193" s="12">
        <v>192</v>
      </c>
      <c r="B193" s="13" t="s">
        <v>29</v>
      </c>
      <c r="C193" s="13" t="s">
        <v>177</v>
      </c>
      <c r="D193" s="14">
        <v>1</v>
      </c>
      <c r="E193" s="15">
        <v>45809</v>
      </c>
      <c r="F193" s="16">
        <v>45812</v>
      </c>
      <c r="G193">
        <f t="shared" si="16"/>
        <v>3</v>
      </c>
      <c r="H193">
        <f t="shared" si="17"/>
        <v>140</v>
      </c>
      <c r="I193">
        <f t="shared" si="18"/>
        <v>420</v>
      </c>
      <c r="J193">
        <f t="shared" si="19"/>
        <v>7</v>
      </c>
      <c r="K193">
        <f t="shared" si="20"/>
        <v>2</v>
      </c>
      <c r="L193">
        <f t="shared" si="21"/>
        <v>1</v>
      </c>
      <c r="M193">
        <f t="shared" si="22"/>
        <v>448</v>
      </c>
      <c r="N193">
        <f t="shared" si="23"/>
        <v>448</v>
      </c>
      <c r="P193" s="21" t="s">
        <v>185</v>
      </c>
      <c r="Q193" s="1">
        <v>560</v>
      </c>
    </row>
    <row r="194" spans="1:17" x14ac:dyDescent="0.25">
      <c r="A194" s="7">
        <v>193</v>
      </c>
      <c r="B194" s="8" t="s">
        <v>73</v>
      </c>
      <c r="C194" s="8" t="s">
        <v>129</v>
      </c>
      <c r="D194" s="9">
        <v>1</v>
      </c>
      <c r="E194" s="10">
        <v>45809</v>
      </c>
      <c r="F194" s="11">
        <v>45812</v>
      </c>
      <c r="G194">
        <f t="shared" si="16"/>
        <v>3</v>
      </c>
      <c r="H194">
        <f t="shared" si="17"/>
        <v>140</v>
      </c>
      <c r="I194">
        <f t="shared" si="18"/>
        <v>420</v>
      </c>
      <c r="J194">
        <f t="shared" si="19"/>
        <v>7</v>
      </c>
      <c r="K194">
        <f t="shared" si="20"/>
        <v>2</v>
      </c>
      <c r="L194">
        <f t="shared" si="21"/>
        <v>1</v>
      </c>
      <c r="M194">
        <f t="shared" si="22"/>
        <v>448</v>
      </c>
      <c r="N194">
        <f t="shared" si="23"/>
        <v>448</v>
      </c>
      <c r="P194" s="22" t="s">
        <v>51</v>
      </c>
      <c r="Q194" s="1">
        <v>560</v>
      </c>
    </row>
    <row r="195" spans="1:17" x14ac:dyDescent="0.25">
      <c r="A195" s="12">
        <v>194</v>
      </c>
      <c r="B195" s="13" t="s">
        <v>29</v>
      </c>
      <c r="C195" s="13" t="s">
        <v>124</v>
      </c>
      <c r="D195" s="14">
        <v>3</v>
      </c>
      <c r="E195" s="15">
        <v>45889</v>
      </c>
      <c r="F195" s="16">
        <v>45891</v>
      </c>
      <c r="G195">
        <f t="shared" ref="G195:G201" si="24">F195-E195</f>
        <v>2</v>
      </c>
      <c r="H195">
        <f t="shared" ref="H195:H201" si="25">VLOOKUP(D195,$P$2:$R$6,3,FALSE)</f>
        <v>320</v>
      </c>
      <c r="I195">
        <f t="shared" ref="I195:I201" si="26">H195*G195</f>
        <v>640</v>
      </c>
      <c r="J195">
        <f t="shared" ref="J195:J201" si="27">WEEKDAY(E195,2)</f>
        <v>3</v>
      </c>
      <c r="K195">
        <f t="shared" ref="K195:K201" si="28">NETWORKDAYS(E195,F195-1)</f>
        <v>2</v>
      </c>
      <c r="L195">
        <f t="shared" ref="L195:L258" si="29">G195-K195</f>
        <v>0</v>
      </c>
      <c r="M195">
        <f t="shared" ref="M195:M258" si="30">K195*H195+L195*H195*1.2</f>
        <v>640</v>
      </c>
      <c r="N195">
        <f t="shared" ref="N195:N258" si="31">IF(G195&gt;4,M195*0.9,M195)</f>
        <v>640</v>
      </c>
      <c r="P195" s="21" t="s">
        <v>31</v>
      </c>
      <c r="Q195" s="1">
        <v>560</v>
      </c>
    </row>
    <row r="196" spans="1:17" x14ac:dyDescent="0.25">
      <c r="A196" s="7">
        <v>195</v>
      </c>
      <c r="B196" s="8" t="s">
        <v>54</v>
      </c>
      <c r="C196" s="8" t="s">
        <v>117</v>
      </c>
      <c r="D196" s="9">
        <v>1</v>
      </c>
      <c r="E196" s="10">
        <v>45897</v>
      </c>
      <c r="F196" s="11">
        <v>45898</v>
      </c>
      <c r="G196">
        <f t="shared" si="24"/>
        <v>1</v>
      </c>
      <c r="H196">
        <f t="shared" si="25"/>
        <v>140</v>
      </c>
      <c r="I196">
        <f t="shared" si="26"/>
        <v>140</v>
      </c>
      <c r="J196">
        <f t="shared" si="27"/>
        <v>4</v>
      </c>
      <c r="K196">
        <f t="shared" si="28"/>
        <v>1</v>
      </c>
      <c r="L196">
        <f t="shared" si="29"/>
        <v>0</v>
      </c>
      <c r="M196">
        <f t="shared" si="30"/>
        <v>140</v>
      </c>
      <c r="N196">
        <f t="shared" si="31"/>
        <v>140</v>
      </c>
      <c r="P196" s="22" t="s">
        <v>6</v>
      </c>
      <c r="Q196" s="1">
        <v>560</v>
      </c>
    </row>
    <row r="197" spans="1:17" x14ac:dyDescent="0.25">
      <c r="A197" s="12">
        <v>196</v>
      </c>
      <c r="B197" s="13" t="s">
        <v>84</v>
      </c>
      <c r="C197" s="13" t="s">
        <v>169</v>
      </c>
      <c r="D197" s="14">
        <v>1</v>
      </c>
      <c r="E197" s="15">
        <v>45897</v>
      </c>
      <c r="F197" s="16">
        <v>45898</v>
      </c>
      <c r="G197">
        <f t="shared" si="24"/>
        <v>1</v>
      </c>
      <c r="H197">
        <f t="shared" si="25"/>
        <v>140</v>
      </c>
      <c r="I197">
        <f t="shared" si="26"/>
        <v>140</v>
      </c>
      <c r="J197">
        <f t="shared" si="27"/>
        <v>4</v>
      </c>
      <c r="K197">
        <f t="shared" si="28"/>
        <v>1</v>
      </c>
      <c r="L197">
        <f t="shared" si="29"/>
        <v>0</v>
      </c>
      <c r="M197">
        <f t="shared" si="30"/>
        <v>140</v>
      </c>
      <c r="N197">
        <f t="shared" si="31"/>
        <v>140</v>
      </c>
      <c r="P197" s="21" t="s">
        <v>112</v>
      </c>
      <c r="Q197" s="1">
        <v>560</v>
      </c>
    </row>
    <row r="198" spans="1:17" x14ac:dyDescent="0.25">
      <c r="A198" s="7">
        <v>197</v>
      </c>
      <c r="B198" s="8" t="s">
        <v>16</v>
      </c>
      <c r="C198" s="8" t="s">
        <v>17</v>
      </c>
      <c r="D198" s="9">
        <v>1</v>
      </c>
      <c r="E198" s="10">
        <v>45897</v>
      </c>
      <c r="F198" s="11">
        <v>45898</v>
      </c>
      <c r="G198">
        <f t="shared" si="24"/>
        <v>1</v>
      </c>
      <c r="H198">
        <f t="shared" si="25"/>
        <v>140</v>
      </c>
      <c r="I198">
        <f t="shared" si="26"/>
        <v>140</v>
      </c>
      <c r="J198">
        <f t="shared" si="27"/>
        <v>4</v>
      </c>
      <c r="K198">
        <f t="shared" si="28"/>
        <v>1</v>
      </c>
      <c r="L198">
        <f t="shared" si="29"/>
        <v>0</v>
      </c>
      <c r="M198">
        <f t="shared" si="30"/>
        <v>140</v>
      </c>
      <c r="N198">
        <f t="shared" si="31"/>
        <v>140</v>
      </c>
      <c r="P198" s="22" t="s">
        <v>20</v>
      </c>
      <c r="Q198" s="1">
        <v>560</v>
      </c>
    </row>
    <row r="199" spans="1:17" x14ac:dyDescent="0.25">
      <c r="A199" s="12">
        <v>198</v>
      </c>
      <c r="B199" s="13" t="s">
        <v>84</v>
      </c>
      <c r="C199" s="13" t="s">
        <v>149</v>
      </c>
      <c r="D199" s="14">
        <v>2</v>
      </c>
      <c r="E199" s="15">
        <v>45839</v>
      </c>
      <c r="F199" s="16">
        <v>45852</v>
      </c>
      <c r="G199">
        <f t="shared" si="24"/>
        <v>13</v>
      </c>
      <c r="H199">
        <f t="shared" si="25"/>
        <v>240</v>
      </c>
      <c r="I199">
        <f t="shared" si="26"/>
        <v>3120</v>
      </c>
      <c r="J199">
        <f t="shared" si="27"/>
        <v>2</v>
      </c>
      <c r="K199">
        <f t="shared" si="28"/>
        <v>9</v>
      </c>
      <c r="L199">
        <f t="shared" si="29"/>
        <v>4</v>
      </c>
      <c r="M199">
        <f t="shared" si="30"/>
        <v>3312</v>
      </c>
      <c r="N199">
        <f t="shared" si="31"/>
        <v>2980.8</v>
      </c>
      <c r="P199" s="21" t="s">
        <v>113</v>
      </c>
      <c r="Q199" s="1">
        <v>560</v>
      </c>
    </row>
    <row r="200" spans="1:17" x14ac:dyDescent="0.25">
      <c r="A200" s="7">
        <v>199</v>
      </c>
      <c r="B200" s="8" t="s">
        <v>34</v>
      </c>
      <c r="C200" s="8" t="s">
        <v>134</v>
      </c>
      <c r="D200" s="9">
        <v>3</v>
      </c>
      <c r="E200" s="10">
        <v>45809</v>
      </c>
      <c r="F200" s="11">
        <v>45812</v>
      </c>
      <c r="G200">
        <f t="shared" si="24"/>
        <v>3</v>
      </c>
      <c r="H200">
        <f t="shared" si="25"/>
        <v>320</v>
      </c>
      <c r="I200">
        <f t="shared" si="26"/>
        <v>960</v>
      </c>
      <c r="J200">
        <f t="shared" si="27"/>
        <v>7</v>
      </c>
      <c r="K200">
        <f t="shared" si="28"/>
        <v>2</v>
      </c>
      <c r="L200">
        <f t="shared" si="29"/>
        <v>1</v>
      </c>
      <c r="M200">
        <f t="shared" si="30"/>
        <v>1024</v>
      </c>
      <c r="N200">
        <f t="shared" si="31"/>
        <v>1024</v>
      </c>
      <c r="P200" s="22" t="s">
        <v>102</v>
      </c>
      <c r="Q200" s="1">
        <v>560</v>
      </c>
    </row>
    <row r="201" spans="1:17" x14ac:dyDescent="0.25">
      <c r="A201" s="2">
        <v>200</v>
      </c>
      <c r="B201" s="17" t="s">
        <v>54</v>
      </c>
      <c r="C201" s="17" t="s">
        <v>117</v>
      </c>
      <c r="D201" s="3">
        <v>3</v>
      </c>
      <c r="E201" s="18">
        <v>45809</v>
      </c>
      <c r="F201" s="19">
        <v>45812</v>
      </c>
      <c r="G201">
        <f t="shared" si="24"/>
        <v>3</v>
      </c>
      <c r="H201">
        <f t="shared" si="25"/>
        <v>320</v>
      </c>
      <c r="I201">
        <f t="shared" si="26"/>
        <v>960</v>
      </c>
      <c r="J201">
        <f t="shared" si="27"/>
        <v>7</v>
      </c>
      <c r="K201">
        <f t="shared" si="28"/>
        <v>2</v>
      </c>
      <c r="L201">
        <f t="shared" si="29"/>
        <v>1</v>
      </c>
      <c r="M201">
        <f t="shared" si="30"/>
        <v>1024</v>
      </c>
      <c r="N201">
        <f t="shared" si="31"/>
        <v>1024</v>
      </c>
      <c r="P201" s="21" t="s">
        <v>27</v>
      </c>
      <c r="Q201" s="1">
        <v>560</v>
      </c>
    </row>
    <row r="202" spans="1:17" x14ac:dyDescent="0.25">
      <c r="L202">
        <f t="shared" si="29"/>
        <v>0</v>
      </c>
      <c r="M202">
        <f t="shared" si="30"/>
        <v>0</v>
      </c>
      <c r="N202">
        <f t="shared" si="31"/>
        <v>0</v>
      </c>
      <c r="P202" s="22" t="s">
        <v>26</v>
      </c>
      <c r="Q202" s="1">
        <v>560</v>
      </c>
    </row>
    <row r="203" spans="1:17" x14ac:dyDescent="0.25">
      <c r="L203">
        <f t="shared" si="29"/>
        <v>0</v>
      </c>
      <c r="M203">
        <f t="shared" si="30"/>
        <v>0</v>
      </c>
      <c r="N203">
        <f t="shared" si="31"/>
        <v>0</v>
      </c>
      <c r="P203" s="21" t="s">
        <v>30</v>
      </c>
      <c r="Q203" s="1">
        <v>560</v>
      </c>
    </row>
    <row r="204" spans="1:17" x14ac:dyDescent="0.25">
      <c r="L204">
        <f t="shared" si="29"/>
        <v>0</v>
      </c>
      <c r="M204">
        <f t="shared" si="30"/>
        <v>0</v>
      </c>
      <c r="N204">
        <f t="shared" si="31"/>
        <v>0</v>
      </c>
      <c r="P204" s="22" t="s">
        <v>29</v>
      </c>
      <c r="Q204" s="1">
        <v>560</v>
      </c>
    </row>
    <row r="205" spans="1:17" x14ac:dyDescent="0.25">
      <c r="L205">
        <f t="shared" si="29"/>
        <v>0</v>
      </c>
      <c r="M205">
        <f t="shared" si="30"/>
        <v>0</v>
      </c>
      <c r="N205">
        <f t="shared" si="31"/>
        <v>0</v>
      </c>
      <c r="P205" s="21" t="s">
        <v>79</v>
      </c>
      <c r="Q205" s="1">
        <v>480</v>
      </c>
    </row>
    <row r="206" spans="1:17" x14ac:dyDescent="0.25">
      <c r="L206">
        <f t="shared" si="29"/>
        <v>0</v>
      </c>
      <c r="M206">
        <f t="shared" si="30"/>
        <v>0</v>
      </c>
      <c r="N206">
        <f t="shared" si="31"/>
        <v>0</v>
      </c>
      <c r="P206" s="22" t="s">
        <v>29</v>
      </c>
      <c r="Q206" s="1">
        <v>480</v>
      </c>
    </row>
    <row r="207" spans="1:17" x14ac:dyDescent="0.25">
      <c r="L207">
        <f t="shared" si="29"/>
        <v>0</v>
      </c>
      <c r="M207">
        <f t="shared" si="30"/>
        <v>0</v>
      </c>
      <c r="N207">
        <f t="shared" si="31"/>
        <v>0</v>
      </c>
      <c r="P207" s="21" t="s">
        <v>107</v>
      </c>
      <c r="Q207" s="1">
        <v>480</v>
      </c>
    </row>
    <row r="208" spans="1:17" x14ac:dyDescent="0.25">
      <c r="L208">
        <f t="shared" si="29"/>
        <v>0</v>
      </c>
      <c r="M208">
        <f t="shared" si="30"/>
        <v>0</v>
      </c>
      <c r="N208">
        <f t="shared" si="31"/>
        <v>0</v>
      </c>
      <c r="P208" s="22" t="s">
        <v>45</v>
      </c>
      <c r="Q208" s="1">
        <v>480</v>
      </c>
    </row>
    <row r="209" spans="12:17" x14ac:dyDescent="0.25">
      <c r="L209">
        <f t="shared" si="29"/>
        <v>0</v>
      </c>
      <c r="M209">
        <f t="shared" si="30"/>
        <v>0</v>
      </c>
      <c r="N209">
        <f t="shared" si="31"/>
        <v>0</v>
      </c>
      <c r="P209" s="21" t="s">
        <v>144</v>
      </c>
      <c r="Q209" s="1">
        <v>480</v>
      </c>
    </row>
    <row r="210" spans="12:17" x14ac:dyDescent="0.25">
      <c r="L210">
        <f t="shared" si="29"/>
        <v>0</v>
      </c>
      <c r="M210">
        <f t="shared" si="30"/>
        <v>0</v>
      </c>
      <c r="N210">
        <f t="shared" si="31"/>
        <v>0</v>
      </c>
      <c r="P210" s="22" t="s">
        <v>36</v>
      </c>
      <c r="Q210" s="1">
        <v>480</v>
      </c>
    </row>
    <row r="211" spans="12:17" x14ac:dyDescent="0.25">
      <c r="L211">
        <f t="shared" si="29"/>
        <v>0</v>
      </c>
      <c r="M211">
        <f t="shared" si="30"/>
        <v>0</v>
      </c>
      <c r="N211">
        <f t="shared" si="31"/>
        <v>0</v>
      </c>
      <c r="P211" s="21" t="s">
        <v>153</v>
      </c>
      <c r="Q211" s="1">
        <v>480</v>
      </c>
    </row>
    <row r="212" spans="12:17" x14ac:dyDescent="0.25">
      <c r="L212">
        <f t="shared" si="29"/>
        <v>0</v>
      </c>
      <c r="M212">
        <f t="shared" si="30"/>
        <v>0</v>
      </c>
      <c r="N212">
        <f t="shared" si="31"/>
        <v>0</v>
      </c>
      <c r="P212" s="22" t="s">
        <v>102</v>
      </c>
      <c r="Q212" s="1">
        <v>480</v>
      </c>
    </row>
    <row r="213" spans="12:17" x14ac:dyDescent="0.25">
      <c r="L213">
        <f t="shared" si="29"/>
        <v>0</v>
      </c>
      <c r="M213">
        <f t="shared" si="30"/>
        <v>0</v>
      </c>
      <c r="N213">
        <f t="shared" si="31"/>
        <v>0</v>
      </c>
      <c r="P213" s="21" t="s">
        <v>72</v>
      </c>
      <c r="Q213" s="1">
        <v>480</v>
      </c>
    </row>
    <row r="214" spans="12:17" x14ac:dyDescent="0.25">
      <c r="L214">
        <f t="shared" si="29"/>
        <v>0</v>
      </c>
      <c r="M214">
        <f t="shared" si="30"/>
        <v>0</v>
      </c>
      <c r="N214">
        <f t="shared" si="31"/>
        <v>0</v>
      </c>
      <c r="P214" s="22" t="s">
        <v>29</v>
      </c>
      <c r="Q214" s="1">
        <v>480</v>
      </c>
    </row>
    <row r="215" spans="12:17" x14ac:dyDescent="0.25">
      <c r="L215">
        <f t="shared" si="29"/>
        <v>0</v>
      </c>
      <c r="M215">
        <f t="shared" si="30"/>
        <v>0</v>
      </c>
      <c r="N215">
        <f t="shared" si="31"/>
        <v>0</v>
      </c>
      <c r="P215" s="21" t="s">
        <v>66</v>
      </c>
      <c r="Q215" s="1">
        <v>480</v>
      </c>
    </row>
    <row r="216" spans="12:17" x14ac:dyDescent="0.25">
      <c r="L216">
        <f t="shared" si="29"/>
        <v>0</v>
      </c>
      <c r="M216">
        <f t="shared" si="30"/>
        <v>0</v>
      </c>
      <c r="N216">
        <f t="shared" si="31"/>
        <v>0</v>
      </c>
      <c r="P216" s="22" t="s">
        <v>65</v>
      </c>
      <c r="Q216" s="1">
        <v>480</v>
      </c>
    </row>
    <row r="217" spans="12:17" x14ac:dyDescent="0.25">
      <c r="L217">
        <f t="shared" si="29"/>
        <v>0</v>
      </c>
      <c r="M217">
        <f t="shared" si="30"/>
        <v>0</v>
      </c>
      <c r="N217">
        <f t="shared" si="31"/>
        <v>0</v>
      </c>
      <c r="P217" s="21" t="s">
        <v>70</v>
      </c>
      <c r="Q217" s="1">
        <v>480</v>
      </c>
    </row>
    <row r="218" spans="12:17" x14ac:dyDescent="0.25">
      <c r="L218">
        <f t="shared" si="29"/>
        <v>0</v>
      </c>
      <c r="M218">
        <f t="shared" si="30"/>
        <v>0</v>
      </c>
      <c r="N218">
        <f t="shared" si="31"/>
        <v>0</v>
      </c>
      <c r="P218" s="22" t="s">
        <v>14</v>
      </c>
      <c r="Q218" s="1">
        <v>480</v>
      </c>
    </row>
    <row r="219" spans="12:17" x14ac:dyDescent="0.25">
      <c r="L219">
        <f t="shared" si="29"/>
        <v>0</v>
      </c>
      <c r="M219">
        <f t="shared" si="30"/>
        <v>0</v>
      </c>
      <c r="N219">
        <f t="shared" si="31"/>
        <v>0</v>
      </c>
      <c r="P219" s="21" t="s">
        <v>41</v>
      </c>
      <c r="Q219" s="1">
        <v>480</v>
      </c>
    </row>
    <row r="220" spans="12:17" x14ac:dyDescent="0.25">
      <c r="L220">
        <f t="shared" si="29"/>
        <v>0</v>
      </c>
      <c r="M220">
        <f t="shared" si="30"/>
        <v>0</v>
      </c>
      <c r="N220">
        <f t="shared" si="31"/>
        <v>0</v>
      </c>
      <c r="P220" s="22" t="s">
        <v>40</v>
      </c>
      <c r="Q220" s="1">
        <v>480</v>
      </c>
    </row>
    <row r="221" spans="12:17" x14ac:dyDescent="0.25">
      <c r="L221">
        <f t="shared" si="29"/>
        <v>0</v>
      </c>
      <c r="M221">
        <f t="shared" si="30"/>
        <v>0</v>
      </c>
      <c r="N221">
        <f t="shared" si="31"/>
        <v>0</v>
      </c>
      <c r="P221" s="21" t="s">
        <v>21</v>
      </c>
      <c r="Q221" s="1">
        <v>480</v>
      </c>
    </row>
    <row r="222" spans="12:17" x14ac:dyDescent="0.25">
      <c r="L222">
        <f t="shared" si="29"/>
        <v>0</v>
      </c>
      <c r="M222">
        <f t="shared" si="30"/>
        <v>0</v>
      </c>
      <c r="N222">
        <f t="shared" si="31"/>
        <v>0</v>
      </c>
      <c r="P222" s="22" t="s">
        <v>20</v>
      </c>
      <c r="Q222" s="1">
        <v>480</v>
      </c>
    </row>
    <row r="223" spans="12:17" x14ac:dyDescent="0.25">
      <c r="L223">
        <f t="shared" si="29"/>
        <v>0</v>
      </c>
      <c r="M223">
        <f t="shared" si="30"/>
        <v>0</v>
      </c>
      <c r="N223">
        <f t="shared" si="31"/>
        <v>0</v>
      </c>
      <c r="P223" s="21" t="s">
        <v>58</v>
      </c>
      <c r="Q223" s="1">
        <v>480</v>
      </c>
    </row>
    <row r="224" spans="12:17" x14ac:dyDescent="0.25">
      <c r="L224">
        <f t="shared" si="29"/>
        <v>0</v>
      </c>
      <c r="M224">
        <f t="shared" si="30"/>
        <v>0</v>
      </c>
      <c r="N224">
        <f t="shared" si="31"/>
        <v>0</v>
      </c>
      <c r="P224" s="22" t="s">
        <v>29</v>
      </c>
      <c r="Q224" s="1">
        <v>480</v>
      </c>
    </row>
    <row r="225" spans="12:17" x14ac:dyDescent="0.25">
      <c r="L225">
        <f t="shared" si="29"/>
        <v>0</v>
      </c>
      <c r="M225">
        <f t="shared" si="30"/>
        <v>0</v>
      </c>
      <c r="N225">
        <f t="shared" si="31"/>
        <v>0</v>
      </c>
      <c r="P225" s="21" t="s">
        <v>68</v>
      </c>
      <c r="Q225" s="1">
        <v>480</v>
      </c>
    </row>
    <row r="226" spans="12:17" x14ac:dyDescent="0.25">
      <c r="L226">
        <f t="shared" si="29"/>
        <v>0</v>
      </c>
      <c r="M226">
        <f t="shared" si="30"/>
        <v>0</v>
      </c>
      <c r="N226">
        <f t="shared" si="31"/>
        <v>0</v>
      </c>
      <c r="P226" s="22" t="s">
        <v>51</v>
      </c>
      <c r="Q226" s="1">
        <v>480</v>
      </c>
    </row>
    <row r="227" spans="12:17" x14ac:dyDescent="0.25">
      <c r="L227">
        <f t="shared" si="29"/>
        <v>0</v>
      </c>
      <c r="M227">
        <f t="shared" si="30"/>
        <v>0</v>
      </c>
      <c r="N227">
        <f t="shared" si="31"/>
        <v>0</v>
      </c>
      <c r="P227" s="21" t="s">
        <v>22</v>
      </c>
      <c r="Q227" s="1">
        <v>480</v>
      </c>
    </row>
    <row r="228" spans="12:17" x14ac:dyDescent="0.25">
      <c r="L228">
        <f t="shared" si="29"/>
        <v>0</v>
      </c>
      <c r="M228">
        <f t="shared" si="30"/>
        <v>0</v>
      </c>
      <c r="N228">
        <f t="shared" si="31"/>
        <v>0</v>
      </c>
      <c r="P228" s="22" t="s">
        <v>8</v>
      </c>
      <c r="Q228" s="1">
        <v>480</v>
      </c>
    </row>
    <row r="229" spans="12:17" x14ac:dyDescent="0.25">
      <c r="L229">
        <f t="shared" si="29"/>
        <v>0</v>
      </c>
      <c r="M229">
        <f t="shared" si="30"/>
        <v>0</v>
      </c>
      <c r="N229">
        <f t="shared" si="31"/>
        <v>0</v>
      </c>
      <c r="P229" s="21" t="s">
        <v>42</v>
      </c>
      <c r="Q229" s="1">
        <v>480</v>
      </c>
    </row>
    <row r="230" spans="12:17" x14ac:dyDescent="0.25">
      <c r="L230">
        <f t="shared" si="29"/>
        <v>0</v>
      </c>
      <c r="M230">
        <f t="shared" si="30"/>
        <v>0</v>
      </c>
      <c r="N230">
        <f t="shared" si="31"/>
        <v>0</v>
      </c>
      <c r="P230" s="22" t="s">
        <v>18</v>
      </c>
      <c r="Q230" s="1">
        <v>480</v>
      </c>
    </row>
    <row r="231" spans="12:17" x14ac:dyDescent="0.25">
      <c r="L231">
        <f t="shared" si="29"/>
        <v>0</v>
      </c>
      <c r="M231">
        <f t="shared" si="30"/>
        <v>0</v>
      </c>
      <c r="N231">
        <f t="shared" si="31"/>
        <v>0</v>
      </c>
      <c r="P231" s="21" t="s">
        <v>13</v>
      </c>
      <c r="Q231" s="1">
        <v>480</v>
      </c>
    </row>
    <row r="232" spans="12:17" x14ac:dyDescent="0.25">
      <c r="L232">
        <f t="shared" si="29"/>
        <v>0</v>
      </c>
      <c r="M232">
        <f t="shared" si="30"/>
        <v>0</v>
      </c>
      <c r="N232">
        <f t="shared" si="31"/>
        <v>0</v>
      </c>
      <c r="P232" s="22" t="s">
        <v>12</v>
      </c>
      <c r="Q232" s="1">
        <v>480</v>
      </c>
    </row>
    <row r="233" spans="12:17" x14ac:dyDescent="0.25">
      <c r="L233">
        <f t="shared" si="29"/>
        <v>0</v>
      </c>
      <c r="M233">
        <f t="shared" si="30"/>
        <v>0</v>
      </c>
      <c r="N233">
        <f t="shared" si="31"/>
        <v>0</v>
      </c>
      <c r="P233" s="21" t="s">
        <v>182</v>
      </c>
      <c r="Q233" s="1">
        <v>480</v>
      </c>
    </row>
    <row r="234" spans="12:17" x14ac:dyDescent="0.25">
      <c r="L234">
        <f t="shared" si="29"/>
        <v>0</v>
      </c>
      <c r="M234">
        <f t="shared" si="30"/>
        <v>0</v>
      </c>
      <c r="N234">
        <f t="shared" si="31"/>
        <v>0</v>
      </c>
      <c r="P234" s="22" t="s">
        <v>51</v>
      </c>
      <c r="Q234" s="1">
        <v>480</v>
      </c>
    </row>
    <row r="235" spans="12:17" x14ac:dyDescent="0.25">
      <c r="L235">
        <f t="shared" si="29"/>
        <v>0</v>
      </c>
      <c r="M235">
        <f t="shared" si="30"/>
        <v>0</v>
      </c>
      <c r="N235">
        <f t="shared" si="31"/>
        <v>0</v>
      </c>
      <c r="P235" s="21" t="s">
        <v>24</v>
      </c>
      <c r="Q235" s="1">
        <v>480</v>
      </c>
    </row>
    <row r="236" spans="12:17" x14ac:dyDescent="0.25">
      <c r="L236">
        <f t="shared" si="29"/>
        <v>0</v>
      </c>
      <c r="M236">
        <f t="shared" si="30"/>
        <v>0</v>
      </c>
      <c r="N236">
        <f t="shared" si="31"/>
        <v>0</v>
      </c>
      <c r="P236" s="22" t="s">
        <v>23</v>
      </c>
      <c r="Q236" s="1">
        <v>480</v>
      </c>
    </row>
    <row r="237" spans="12:17" x14ac:dyDescent="0.25">
      <c r="L237">
        <f t="shared" si="29"/>
        <v>0</v>
      </c>
      <c r="M237">
        <f t="shared" si="30"/>
        <v>0</v>
      </c>
      <c r="N237">
        <f t="shared" si="31"/>
        <v>0</v>
      </c>
      <c r="P237" s="21" t="s">
        <v>67</v>
      </c>
      <c r="Q237" s="1">
        <v>480</v>
      </c>
    </row>
    <row r="238" spans="12:17" x14ac:dyDescent="0.25">
      <c r="L238">
        <f t="shared" si="29"/>
        <v>0</v>
      </c>
      <c r="M238">
        <f t="shared" si="30"/>
        <v>0</v>
      </c>
      <c r="N238">
        <f t="shared" si="31"/>
        <v>0</v>
      </c>
      <c r="P238" s="22" t="s">
        <v>65</v>
      </c>
      <c r="Q238" s="1">
        <v>480</v>
      </c>
    </row>
    <row r="239" spans="12:17" x14ac:dyDescent="0.25">
      <c r="L239">
        <f t="shared" si="29"/>
        <v>0</v>
      </c>
      <c r="M239">
        <f t="shared" si="30"/>
        <v>0</v>
      </c>
      <c r="N239">
        <f t="shared" si="31"/>
        <v>0</v>
      </c>
      <c r="P239" s="21" t="s">
        <v>69</v>
      </c>
      <c r="Q239" s="1">
        <v>480</v>
      </c>
    </row>
    <row r="240" spans="12:17" x14ac:dyDescent="0.25">
      <c r="L240">
        <f t="shared" si="29"/>
        <v>0</v>
      </c>
      <c r="M240">
        <f t="shared" si="30"/>
        <v>0</v>
      </c>
      <c r="N240">
        <f t="shared" si="31"/>
        <v>0</v>
      </c>
      <c r="P240" s="22" t="s">
        <v>49</v>
      </c>
      <c r="Q240" s="1">
        <v>480</v>
      </c>
    </row>
    <row r="241" spans="12:17" x14ac:dyDescent="0.25">
      <c r="L241">
        <f t="shared" si="29"/>
        <v>0</v>
      </c>
      <c r="M241">
        <f t="shared" si="30"/>
        <v>0</v>
      </c>
      <c r="N241">
        <f t="shared" si="31"/>
        <v>0</v>
      </c>
      <c r="P241" s="21" t="s">
        <v>71</v>
      </c>
      <c r="Q241" s="1">
        <v>480</v>
      </c>
    </row>
    <row r="242" spans="12:17" x14ac:dyDescent="0.25">
      <c r="L242">
        <f t="shared" si="29"/>
        <v>0</v>
      </c>
      <c r="M242">
        <f t="shared" si="30"/>
        <v>0</v>
      </c>
      <c r="N242">
        <f t="shared" si="31"/>
        <v>0</v>
      </c>
      <c r="P242" s="22" t="s">
        <v>23</v>
      </c>
      <c r="Q242" s="1">
        <v>480</v>
      </c>
    </row>
    <row r="243" spans="12:17" x14ac:dyDescent="0.25">
      <c r="L243">
        <f t="shared" si="29"/>
        <v>0</v>
      </c>
      <c r="M243">
        <f t="shared" si="30"/>
        <v>0</v>
      </c>
      <c r="N243">
        <f t="shared" si="31"/>
        <v>0</v>
      </c>
      <c r="P243" s="21" t="s">
        <v>139</v>
      </c>
      <c r="Q243" s="1">
        <v>480</v>
      </c>
    </row>
    <row r="244" spans="12:17" x14ac:dyDescent="0.25">
      <c r="L244">
        <f t="shared" si="29"/>
        <v>0</v>
      </c>
      <c r="M244">
        <f t="shared" si="30"/>
        <v>0</v>
      </c>
      <c r="N244">
        <f t="shared" si="31"/>
        <v>0</v>
      </c>
      <c r="P244" s="22" t="s">
        <v>16</v>
      </c>
      <c r="Q244" s="1">
        <v>480</v>
      </c>
    </row>
    <row r="245" spans="12:17" x14ac:dyDescent="0.25">
      <c r="L245">
        <f t="shared" si="29"/>
        <v>0</v>
      </c>
      <c r="M245">
        <f t="shared" si="30"/>
        <v>0</v>
      </c>
      <c r="N245">
        <f t="shared" si="31"/>
        <v>0</v>
      </c>
      <c r="P245" s="21" t="s">
        <v>115</v>
      </c>
      <c r="Q245" s="1">
        <v>480</v>
      </c>
    </row>
    <row r="246" spans="12:17" x14ac:dyDescent="0.25">
      <c r="L246">
        <f t="shared" si="29"/>
        <v>0</v>
      </c>
      <c r="M246">
        <f t="shared" si="30"/>
        <v>0</v>
      </c>
      <c r="N246">
        <f t="shared" si="31"/>
        <v>0</v>
      </c>
      <c r="P246" s="22" t="s">
        <v>84</v>
      </c>
      <c r="Q246" s="1">
        <v>480</v>
      </c>
    </row>
    <row r="247" spans="12:17" x14ac:dyDescent="0.25">
      <c r="L247">
        <f t="shared" si="29"/>
        <v>0</v>
      </c>
      <c r="M247">
        <f t="shared" si="30"/>
        <v>0</v>
      </c>
      <c r="N247">
        <f t="shared" si="31"/>
        <v>0</v>
      </c>
      <c r="P247" s="21" t="s">
        <v>78</v>
      </c>
      <c r="Q247" s="1">
        <v>480</v>
      </c>
    </row>
    <row r="248" spans="12:17" x14ac:dyDescent="0.25">
      <c r="L248">
        <f t="shared" si="29"/>
        <v>0</v>
      </c>
      <c r="M248">
        <f t="shared" si="30"/>
        <v>0</v>
      </c>
      <c r="N248">
        <f t="shared" si="31"/>
        <v>0</v>
      </c>
      <c r="P248" s="22" t="s">
        <v>73</v>
      </c>
      <c r="Q248" s="1">
        <v>480</v>
      </c>
    </row>
    <row r="249" spans="12:17" x14ac:dyDescent="0.25">
      <c r="L249">
        <f t="shared" si="29"/>
        <v>0</v>
      </c>
      <c r="M249">
        <f t="shared" si="30"/>
        <v>0</v>
      </c>
      <c r="N249">
        <f t="shared" si="31"/>
        <v>0</v>
      </c>
      <c r="P249" s="21" t="s">
        <v>108</v>
      </c>
      <c r="Q249" s="1">
        <v>480</v>
      </c>
    </row>
    <row r="250" spans="12:17" x14ac:dyDescent="0.25">
      <c r="L250">
        <f t="shared" si="29"/>
        <v>0</v>
      </c>
      <c r="M250">
        <f t="shared" si="30"/>
        <v>0</v>
      </c>
      <c r="N250">
        <f t="shared" si="31"/>
        <v>0</v>
      </c>
      <c r="P250" s="22" t="s">
        <v>29</v>
      </c>
      <c r="Q250" s="1">
        <v>480</v>
      </c>
    </row>
    <row r="251" spans="12:17" x14ac:dyDescent="0.25">
      <c r="L251">
        <f t="shared" si="29"/>
        <v>0</v>
      </c>
      <c r="M251">
        <f t="shared" si="30"/>
        <v>0</v>
      </c>
      <c r="N251">
        <f t="shared" si="31"/>
        <v>0</v>
      </c>
      <c r="P251" s="21" t="s">
        <v>77</v>
      </c>
      <c r="Q251" s="1">
        <v>480</v>
      </c>
    </row>
    <row r="252" spans="12:17" x14ac:dyDescent="0.25">
      <c r="L252">
        <f t="shared" si="29"/>
        <v>0</v>
      </c>
      <c r="M252">
        <f t="shared" si="30"/>
        <v>0</v>
      </c>
      <c r="N252">
        <f t="shared" si="31"/>
        <v>0</v>
      </c>
      <c r="P252" s="22" t="s">
        <v>45</v>
      </c>
      <c r="Q252" s="1">
        <v>480</v>
      </c>
    </row>
    <row r="253" spans="12:17" x14ac:dyDescent="0.25">
      <c r="L253">
        <f t="shared" si="29"/>
        <v>0</v>
      </c>
      <c r="M253">
        <f t="shared" si="30"/>
        <v>0</v>
      </c>
      <c r="N253">
        <f t="shared" si="31"/>
        <v>0</v>
      </c>
      <c r="P253" s="21" t="s">
        <v>80</v>
      </c>
      <c r="Q253" s="1">
        <v>480</v>
      </c>
    </row>
    <row r="254" spans="12:17" x14ac:dyDescent="0.25">
      <c r="L254">
        <f t="shared" si="29"/>
        <v>0</v>
      </c>
      <c r="M254">
        <f t="shared" si="30"/>
        <v>0</v>
      </c>
      <c r="N254">
        <f t="shared" si="31"/>
        <v>0</v>
      </c>
      <c r="P254" s="22" t="s">
        <v>26</v>
      </c>
      <c r="Q254" s="1">
        <v>480</v>
      </c>
    </row>
    <row r="255" spans="12:17" x14ac:dyDescent="0.25">
      <c r="L255">
        <f t="shared" si="29"/>
        <v>0</v>
      </c>
      <c r="M255">
        <f t="shared" si="30"/>
        <v>0</v>
      </c>
      <c r="N255">
        <f t="shared" si="31"/>
        <v>0</v>
      </c>
      <c r="P255" s="21" t="s">
        <v>17</v>
      </c>
      <c r="Q255" s="1">
        <v>460</v>
      </c>
    </row>
    <row r="256" spans="12:17" x14ac:dyDescent="0.25">
      <c r="L256">
        <f t="shared" si="29"/>
        <v>0</v>
      </c>
      <c r="M256">
        <f t="shared" si="30"/>
        <v>0</v>
      </c>
      <c r="N256">
        <f t="shared" si="31"/>
        <v>0</v>
      </c>
      <c r="P256" s="22" t="s">
        <v>16</v>
      </c>
      <c r="Q256" s="1">
        <v>460</v>
      </c>
    </row>
    <row r="257" spans="12:17" x14ac:dyDescent="0.25">
      <c r="L257">
        <f t="shared" si="29"/>
        <v>0</v>
      </c>
      <c r="M257">
        <f t="shared" si="30"/>
        <v>0</v>
      </c>
      <c r="N257">
        <f t="shared" si="31"/>
        <v>0</v>
      </c>
      <c r="P257" s="21" t="s">
        <v>74</v>
      </c>
      <c r="Q257" s="1">
        <v>420</v>
      </c>
    </row>
    <row r="258" spans="12:17" x14ac:dyDescent="0.25">
      <c r="L258">
        <f t="shared" si="29"/>
        <v>0</v>
      </c>
      <c r="M258">
        <f t="shared" si="30"/>
        <v>0</v>
      </c>
      <c r="N258">
        <f t="shared" si="31"/>
        <v>0</v>
      </c>
      <c r="P258" s="22" t="s">
        <v>73</v>
      </c>
      <c r="Q258" s="1">
        <v>420</v>
      </c>
    </row>
    <row r="259" spans="12:17" x14ac:dyDescent="0.25">
      <c r="L259">
        <f t="shared" ref="L259:L309" si="32">G259-K259</f>
        <v>0</v>
      </c>
      <c r="M259">
        <f t="shared" ref="M259:M309" si="33">K259*H259+L259*H259*1.2</f>
        <v>0</v>
      </c>
      <c r="N259">
        <f t="shared" ref="N259:N309" si="34">IF(G259&gt;4,M259*0.9,M259)</f>
        <v>0</v>
      </c>
      <c r="P259" s="21" t="s">
        <v>64</v>
      </c>
      <c r="Q259" s="1">
        <v>420</v>
      </c>
    </row>
    <row r="260" spans="12:17" x14ac:dyDescent="0.25">
      <c r="L260">
        <f t="shared" si="32"/>
        <v>0</v>
      </c>
      <c r="M260">
        <f t="shared" si="33"/>
        <v>0</v>
      </c>
      <c r="N260">
        <f t="shared" si="34"/>
        <v>0</v>
      </c>
      <c r="P260" s="22" t="s">
        <v>26</v>
      </c>
      <c r="Q260" s="1">
        <v>420</v>
      </c>
    </row>
    <row r="261" spans="12:17" x14ac:dyDescent="0.25">
      <c r="L261">
        <f t="shared" si="32"/>
        <v>0</v>
      </c>
      <c r="M261">
        <f t="shared" si="33"/>
        <v>0</v>
      </c>
      <c r="N261">
        <f t="shared" si="34"/>
        <v>0</v>
      </c>
      <c r="P261" s="21" t="s">
        <v>15</v>
      </c>
      <c r="Q261" s="1">
        <v>420</v>
      </c>
    </row>
    <row r="262" spans="12:17" x14ac:dyDescent="0.25">
      <c r="L262">
        <f t="shared" si="32"/>
        <v>0</v>
      </c>
      <c r="M262">
        <f t="shared" si="33"/>
        <v>0</v>
      </c>
      <c r="N262">
        <f t="shared" si="34"/>
        <v>0</v>
      </c>
      <c r="P262" s="22" t="s">
        <v>14</v>
      </c>
      <c r="Q262" s="1">
        <v>420</v>
      </c>
    </row>
    <row r="263" spans="12:17" x14ac:dyDescent="0.25">
      <c r="L263">
        <f t="shared" si="32"/>
        <v>0</v>
      </c>
      <c r="M263">
        <f t="shared" si="33"/>
        <v>0</v>
      </c>
      <c r="N263">
        <f t="shared" si="34"/>
        <v>0</v>
      </c>
      <c r="P263" s="21" t="s">
        <v>95</v>
      </c>
      <c r="Q263" s="1">
        <v>420</v>
      </c>
    </row>
    <row r="264" spans="12:17" x14ac:dyDescent="0.25">
      <c r="L264">
        <f t="shared" si="32"/>
        <v>0</v>
      </c>
      <c r="M264">
        <f t="shared" si="33"/>
        <v>0</v>
      </c>
      <c r="N264">
        <f t="shared" si="34"/>
        <v>0</v>
      </c>
      <c r="P264" s="22" t="s">
        <v>86</v>
      </c>
      <c r="Q264" s="1">
        <v>420</v>
      </c>
    </row>
    <row r="265" spans="12:17" x14ac:dyDescent="0.25">
      <c r="L265">
        <f t="shared" si="32"/>
        <v>0</v>
      </c>
      <c r="M265">
        <f t="shared" si="33"/>
        <v>0</v>
      </c>
      <c r="N265">
        <f t="shared" si="34"/>
        <v>0</v>
      </c>
      <c r="P265" s="21" t="s">
        <v>85</v>
      </c>
      <c r="Q265" s="1">
        <v>420</v>
      </c>
    </row>
    <row r="266" spans="12:17" x14ac:dyDescent="0.25">
      <c r="L266">
        <f t="shared" si="32"/>
        <v>0</v>
      </c>
      <c r="M266">
        <f t="shared" si="33"/>
        <v>0</v>
      </c>
      <c r="N266">
        <f t="shared" si="34"/>
        <v>0</v>
      </c>
      <c r="P266" s="22" t="s">
        <v>84</v>
      </c>
      <c r="Q266" s="1">
        <v>420</v>
      </c>
    </row>
    <row r="267" spans="12:17" x14ac:dyDescent="0.25">
      <c r="L267">
        <f t="shared" si="32"/>
        <v>0</v>
      </c>
      <c r="M267">
        <f t="shared" si="33"/>
        <v>0</v>
      </c>
      <c r="N267">
        <f t="shared" si="34"/>
        <v>0</v>
      </c>
      <c r="P267" s="21" t="s">
        <v>87</v>
      </c>
      <c r="Q267" s="1">
        <v>420</v>
      </c>
    </row>
    <row r="268" spans="12:17" x14ac:dyDescent="0.25">
      <c r="L268">
        <f t="shared" si="32"/>
        <v>0</v>
      </c>
      <c r="M268">
        <f t="shared" si="33"/>
        <v>0</v>
      </c>
      <c r="N268">
        <f t="shared" si="34"/>
        <v>0</v>
      </c>
      <c r="P268" s="22" t="s">
        <v>86</v>
      </c>
      <c r="Q268" s="1">
        <v>420</v>
      </c>
    </row>
    <row r="269" spans="12:17" x14ac:dyDescent="0.25">
      <c r="L269">
        <f t="shared" si="32"/>
        <v>0</v>
      </c>
      <c r="M269">
        <f t="shared" si="33"/>
        <v>0</v>
      </c>
      <c r="N269">
        <f t="shared" si="34"/>
        <v>0</v>
      </c>
      <c r="P269" s="21" t="s">
        <v>57</v>
      </c>
      <c r="Q269" s="1">
        <v>420</v>
      </c>
    </row>
    <row r="270" spans="12:17" x14ac:dyDescent="0.25">
      <c r="L270">
        <f t="shared" si="32"/>
        <v>0</v>
      </c>
      <c r="M270">
        <f t="shared" si="33"/>
        <v>0</v>
      </c>
      <c r="N270">
        <f t="shared" si="34"/>
        <v>0</v>
      </c>
      <c r="P270" s="22" t="s">
        <v>16</v>
      </c>
      <c r="Q270" s="1">
        <v>420</v>
      </c>
    </row>
    <row r="271" spans="12:17" x14ac:dyDescent="0.25">
      <c r="L271">
        <f t="shared" si="32"/>
        <v>0</v>
      </c>
      <c r="M271">
        <f t="shared" si="33"/>
        <v>0</v>
      </c>
      <c r="N271">
        <f t="shared" si="34"/>
        <v>0</v>
      </c>
      <c r="P271" s="21" t="s">
        <v>94</v>
      </c>
      <c r="Q271" s="1">
        <v>400</v>
      </c>
    </row>
    <row r="272" spans="12:17" x14ac:dyDescent="0.25">
      <c r="L272">
        <f t="shared" si="32"/>
        <v>0</v>
      </c>
      <c r="M272">
        <f t="shared" si="33"/>
        <v>0</v>
      </c>
      <c r="N272">
        <f t="shared" si="34"/>
        <v>0</v>
      </c>
      <c r="P272" s="22" t="s">
        <v>12</v>
      </c>
      <c r="Q272" s="1">
        <v>400</v>
      </c>
    </row>
    <row r="273" spans="12:17" x14ac:dyDescent="0.25">
      <c r="L273">
        <f t="shared" si="32"/>
        <v>0</v>
      </c>
      <c r="M273">
        <f t="shared" si="33"/>
        <v>0</v>
      </c>
      <c r="N273">
        <f t="shared" si="34"/>
        <v>0</v>
      </c>
      <c r="P273" s="21" t="s">
        <v>76</v>
      </c>
      <c r="Q273" s="1">
        <v>320</v>
      </c>
    </row>
    <row r="274" spans="12:17" x14ac:dyDescent="0.25">
      <c r="L274">
        <f t="shared" si="32"/>
        <v>0</v>
      </c>
      <c r="M274">
        <f t="shared" si="33"/>
        <v>0</v>
      </c>
      <c r="N274">
        <f t="shared" si="34"/>
        <v>0</v>
      </c>
      <c r="P274" s="22" t="s">
        <v>38</v>
      </c>
      <c r="Q274" s="1">
        <v>320</v>
      </c>
    </row>
    <row r="275" spans="12:17" x14ac:dyDescent="0.25">
      <c r="L275">
        <f t="shared" si="32"/>
        <v>0</v>
      </c>
      <c r="M275">
        <f t="shared" si="33"/>
        <v>0</v>
      </c>
      <c r="N275">
        <f t="shared" si="34"/>
        <v>0</v>
      </c>
      <c r="P275" s="21" t="s">
        <v>160</v>
      </c>
      <c r="Q275" s="1">
        <v>320</v>
      </c>
    </row>
    <row r="276" spans="12:17" x14ac:dyDescent="0.25">
      <c r="L276">
        <f t="shared" si="32"/>
        <v>0</v>
      </c>
      <c r="M276">
        <f t="shared" si="33"/>
        <v>0</v>
      </c>
      <c r="N276">
        <f t="shared" si="34"/>
        <v>0</v>
      </c>
      <c r="P276" s="22" t="s">
        <v>6</v>
      </c>
      <c r="Q276" s="1">
        <v>320</v>
      </c>
    </row>
    <row r="277" spans="12:17" x14ac:dyDescent="0.25">
      <c r="L277">
        <f t="shared" si="32"/>
        <v>0</v>
      </c>
      <c r="M277">
        <f t="shared" si="33"/>
        <v>0</v>
      </c>
      <c r="N277">
        <f t="shared" si="34"/>
        <v>0</v>
      </c>
      <c r="P277" s="21" t="s">
        <v>138</v>
      </c>
      <c r="Q277" s="1">
        <v>320</v>
      </c>
    </row>
    <row r="278" spans="12:17" x14ac:dyDescent="0.25">
      <c r="L278">
        <f t="shared" si="32"/>
        <v>0</v>
      </c>
      <c r="M278">
        <f t="shared" si="33"/>
        <v>0</v>
      </c>
      <c r="N278">
        <f t="shared" si="34"/>
        <v>0</v>
      </c>
      <c r="P278" s="22" t="s">
        <v>20</v>
      </c>
      <c r="Q278" s="1">
        <v>320</v>
      </c>
    </row>
    <row r="279" spans="12:17" x14ac:dyDescent="0.25">
      <c r="L279">
        <f t="shared" si="32"/>
        <v>0</v>
      </c>
      <c r="M279">
        <f t="shared" si="33"/>
        <v>0</v>
      </c>
      <c r="N279">
        <f t="shared" si="34"/>
        <v>0</v>
      </c>
      <c r="P279" s="21" t="s">
        <v>81</v>
      </c>
      <c r="Q279" s="1">
        <v>280</v>
      </c>
    </row>
    <row r="280" spans="12:17" x14ac:dyDescent="0.25">
      <c r="L280">
        <f t="shared" si="32"/>
        <v>0</v>
      </c>
      <c r="M280">
        <f t="shared" si="33"/>
        <v>0</v>
      </c>
      <c r="N280">
        <f t="shared" si="34"/>
        <v>0</v>
      </c>
      <c r="P280" s="22" t="s">
        <v>45</v>
      </c>
      <c r="Q280" s="1">
        <v>280</v>
      </c>
    </row>
    <row r="281" spans="12:17" x14ac:dyDescent="0.25">
      <c r="L281">
        <f t="shared" si="32"/>
        <v>0</v>
      </c>
      <c r="M281">
        <f t="shared" si="33"/>
        <v>0</v>
      </c>
      <c r="N281">
        <f t="shared" si="34"/>
        <v>0</v>
      </c>
      <c r="P281" s="21" t="s">
        <v>121</v>
      </c>
      <c r="Q281" s="1">
        <v>280</v>
      </c>
    </row>
    <row r="282" spans="12:17" x14ac:dyDescent="0.25">
      <c r="L282">
        <f t="shared" si="32"/>
        <v>0</v>
      </c>
      <c r="M282">
        <f t="shared" si="33"/>
        <v>0</v>
      </c>
      <c r="N282">
        <f t="shared" si="34"/>
        <v>0</v>
      </c>
      <c r="P282" s="22" t="s">
        <v>40</v>
      </c>
      <c r="Q282" s="1">
        <v>280</v>
      </c>
    </row>
    <row r="283" spans="12:17" x14ac:dyDescent="0.25">
      <c r="L283">
        <f t="shared" si="32"/>
        <v>0</v>
      </c>
      <c r="M283">
        <f t="shared" si="33"/>
        <v>0</v>
      </c>
      <c r="N283">
        <f t="shared" si="34"/>
        <v>0</v>
      </c>
      <c r="P283" s="21" t="s">
        <v>114</v>
      </c>
      <c r="Q283" s="1">
        <v>280</v>
      </c>
    </row>
    <row r="284" spans="12:17" x14ac:dyDescent="0.25">
      <c r="L284">
        <f t="shared" si="32"/>
        <v>0</v>
      </c>
      <c r="M284">
        <f t="shared" si="33"/>
        <v>0</v>
      </c>
      <c r="N284">
        <f t="shared" si="34"/>
        <v>0</v>
      </c>
      <c r="P284" s="22" t="s">
        <v>18</v>
      </c>
      <c r="Q284" s="1">
        <v>280</v>
      </c>
    </row>
    <row r="285" spans="12:17" x14ac:dyDescent="0.25">
      <c r="L285">
        <f t="shared" si="32"/>
        <v>0</v>
      </c>
      <c r="M285">
        <f t="shared" si="33"/>
        <v>0</v>
      </c>
      <c r="N285">
        <f t="shared" si="34"/>
        <v>0</v>
      </c>
      <c r="P285" s="21" t="s">
        <v>120</v>
      </c>
      <c r="Q285" s="1">
        <v>280</v>
      </c>
    </row>
    <row r="286" spans="12:17" x14ac:dyDescent="0.25">
      <c r="L286">
        <f t="shared" si="32"/>
        <v>0</v>
      </c>
      <c r="M286">
        <f t="shared" si="33"/>
        <v>0</v>
      </c>
      <c r="N286">
        <f t="shared" si="34"/>
        <v>0</v>
      </c>
      <c r="P286" s="22" t="s">
        <v>49</v>
      </c>
      <c r="Q286" s="1">
        <v>280</v>
      </c>
    </row>
    <row r="287" spans="12:17" x14ac:dyDescent="0.25">
      <c r="L287">
        <f t="shared" si="32"/>
        <v>0</v>
      </c>
      <c r="M287">
        <f t="shared" si="33"/>
        <v>0</v>
      </c>
      <c r="N287">
        <f t="shared" si="34"/>
        <v>0</v>
      </c>
      <c r="P287" s="21" t="s">
        <v>119</v>
      </c>
      <c r="Q287" s="1">
        <v>280</v>
      </c>
    </row>
    <row r="288" spans="12:17" x14ac:dyDescent="0.25">
      <c r="L288">
        <f t="shared" si="32"/>
        <v>0</v>
      </c>
      <c r="M288">
        <f t="shared" si="33"/>
        <v>0</v>
      </c>
      <c r="N288">
        <f t="shared" si="34"/>
        <v>0</v>
      </c>
      <c r="P288" s="22" t="s">
        <v>118</v>
      </c>
      <c r="Q288" s="1">
        <v>280</v>
      </c>
    </row>
    <row r="289" spans="12:17" x14ac:dyDescent="0.25">
      <c r="L289">
        <f t="shared" si="32"/>
        <v>0</v>
      </c>
      <c r="M289">
        <f t="shared" si="33"/>
        <v>0</v>
      </c>
      <c r="N289">
        <f t="shared" si="34"/>
        <v>0</v>
      </c>
      <c r="P289" s="21" t="s">
        <v>33</v>
      </c>
      <c r="Q289" s="1">
        <v>280</v>
      </c>
    </row>
    <row r="290" spans="12:17" x14ac:dyDescent="0.25">
      <c r="L290">
        <f t="shared" si="32"/>
        <v>0</v>
      </c>
      <c r="M290">
        <f t="shared" si="33"/>
        <v>0</v>
      </c>
      <c r="N290">
        <f t="shared" si="34"/>
        <v>0</v>
      </c>
      <c r="P290" s="22" t="s">
        <v>32</v>
      </c>
      <c r="Q290" s="1">
        <v>280</v>
      </c>
    </row>
    <row r="291" spans="12:17" x14ac:dyDescent="0.25">
      <c r="L291">
        <f t="shared" si="32"/>
        <v>0</v>
      </c>
      <c r="M291">
        <f t="shared" si="33"/>
        <v>0</v>
      </c>
      <c r="N291">
        <f t="shared" si="34"/>
        <v>0</v>
      </c>
      <c r="P291" s="21" t="s">
        <v>128</v>
      </c>
      <c r="Q291" s="1">
        <v>280</v>
      </c>
    </row>
    <row r="292" spans="12:17" x14ac:dyDescent="0.25">
      <c r="L292">
        <f t="shared" si="32"/>
        <v>0</v>
      </c>
      <c r="M292">
        <f t="shared" si="33"/>
        <v>0</v>
      </c>
      <c r="N292">
        <f t="shared" si="34"/>
        <v>0</v>
      </c>
      <c r="P292" s="22" t="s">
        <v>8</v>
      </c>
      <c r="Q292" s="1">
        <v>280</v>
      </c>
    </row>
    <row r="293" spans="12:17" x14ac:dyDescent="0.25">
      <c r="L293">
        <f t="shared" si="32"/>
        <v>0</v>
      </c>
      <c r="M293">
        <f t="shared" si="33"/>
        <v>0</v>
      </c>
      <c r="N293">
        <f t="shared" si="34"/>
        <v>0</v>
      </c>
      <c r="P293" s="21" t="s">
        <v>82</v>
      </c>
      <c r="Q293" s="1">
        <v>280</v>
      </c>
    </row>
    <row r="294" spans="12:17" x14ac:dyDescent="0.25">
      <c r="L294">
        <f t="shared" si="32"/>
        <v>0</v>
      </c>
      <c r="M294">
        <f t="shared" si="33"/>
        <v>0</v>
      </c>
      <c r="N294">
        <f t="shared" si="34"/>
        <v>0</v>
      </c>
      <c r="P294" s="22" t="s">
        <v>20</v>
      </c>
      <c r="Q294" s="1">
        <v>280</v>
      </c>
    </row>
    <row r="295" spans="12:17" x14ac:dyDescent="0.25">
      <c r="L295">
        <f t="shared" si="32"/>
        <v>0</v>
      </c>
      <c r="M295">
        <f t="shared" si="33"/>
        <v>0</v>
      </c>
      <c r="N295">
        <f t="shared" si="34"/>
        <v>0</v>
      </c>
      <c r="P295" s="21" t="s">
        <v>151</v>
      </c>
      <c r="Q295" s="1">
        <v>240</v>
      </c>
    </row>
    <row r="296" spans="12:17" x14ac:dyDescent="0.25">
      <c r="L296">
        <f t="shared" si="32"/>
        <v>0</v>
      </c>
      <c r="M296">
        <f t="shared" si="33"/>
        <v>0</v>
      </c>
      <c r="N296">
        <f t="shared" si="34"/>
        <v>0</v>
      </c>
      <c r="P296" s="22" t="s">
        <v>14</v>
      </c>
      <c r="Q296" s="1">
        <v>240</v>
      </c>
    </row>
    <row r="297" spans="12:17" x14ac:dyDescent="0.25">
      <c r="L297">
        <f t="shared" si="32"/>
        <v>0</v>
      </c>
      <c r="M297">
        <f t="shared" si="33"/>
        <v>0</v>
      </c>
      <c r="N297">
        <f t="shared" si="34"/>
        <v>0</v>
      </c>
      <c r="P297" s="21" t="s">
        <v>150</v>
      </c>
      <c r="Q297" s="1">
        <v>240</v>
      </c>
    </row>
    <row r="298" spans="12:17" x14ac:dyDescent="0.25">
      <c r="L298">
        <f t="shared" si="32"/>
        <v>0</v>
      </c>
      <c r="M298">
        <f t="shared" si="33"/>
        <v>0</v>
      </c>
      <c r="N298">
        <f t="shared" si="34"/>
        <v>0</v>
      </c>
      <c r="P298" s="22" t="s">
        <v>16</v>
      </c>
      <c r="Q298" s="1">
        <v>240</v>
      </c>
    </row>
    <row r="299" spans="12:17" x14ac:dyDescent="0.25">
      <c r="L299">
        <f t="shared" si="32"/>
        <v>0</v>
      </c>
      <c r="M299">
        <f t="shared" si="33"/>
        <v>0</v>
      </c>
      <c r="N299">
        <f t="shared" si="34"/>
        <v>0</v>
      </c>
      <c r="P299" s="21" t="s">
        <v>148</v>
      </c>
      <c r="Q299" s="1">
        <v>240</v>
      </c>
    </row>
    <row r="300" spans="12:17" x14ac:dyDescent="0.25">
      <c r="L300">
        <f t="shared" si="32"/>
        <v>0</v>
      </c>
      <c r="M300">
        <f t="shared" si="33"/>
        <v>0</v>
      </c>
      <c r="N300">
        <f t="shared" si="34"/>
        <v>0</v>
      </c>
      <c r="P300" s="22" t="s">
        <v>110</v>
      </c>
      <c r="Q300" s="1">
        <v>240</v>
      </c>
    </row>
    <row r="301" spans="12:17" x14ac:dyDescent="0.25">
      <c r="L301">
        <f t="shared" si="32"/>
        <v>0</v>
      </c>
      <c r="M301">
        <f t="shared" si="33"/>
        <v>0</v>
      </c>
      <c r="N301">
        <f t="shared" si="34"/>
        <v>0</v>
      </c>
      <c r="P301" s="21" t="s">
        <v>145</v>
      </c>
      <c r="Q301" s="1">
        <v>140</v>
      </c>
    </row>
    <row r="302" spans="12:17" x14ac:dyDescent="0.25">
      <c r="L302">
        <f t="shared" si="32"/>
        <v>0</v>
      </c>
      <c r="M302">
        <f t="shared" si="33"/>
        <v>0</v>
      </c>
      <c r="N302">
        <f t="shared" si="34"/>
        <v>0</v>
      </c>
      <c r="P302" s="22" t="s">
        <v>8</v>
      </c>
      <c r="Q302" s="1">
        <v>140</v>
      </c>
    </row>
    <row r="303" spans="12:17" x14ac:dyDescent="0.25">
      <c r="L303">
        <f t="shared" si="32"/>
        <v>0</v>
      </c>
      <c r="M303">
        <f t="shared" si="33"/>
        <v>0</v>
      </c>
      <c r="N303">
        <f t="shared" si="34"/>
        <v>0</v>
      </c>
      <c r="P303" s="21" t="s">
        <v>146</v>
      </c>
      <c r="Q303" s="1">
        <v>140</v>
      </c>
    </row>
    <row r="304" spans="12:17" x14ac:dyDescent="0.25">
      <c r="L304">
        <f t="shared" si="32"/>
        <v>0</v>
      </c>
      <c r="M304">
        <f t="shared" si="33"/>
        <v>0</v>
      </c>
      <c r="N304">
        <f t="shared" si="34"/>
        <v>0</v>
      </c>
      <c r="P304" s="22" t="s">
        <v>43</v>
      </c>
      <c r="Q304" s="1">
        <v>140</v>
      </c>
    </row>
    <row r="305" spans="12:17" x14ac:dyDescent="0.25">
      <c r="L305">
        <f t="shared" si="32"/>
        <v>0</v>
      </c>
      <c r="M305">
        <f t="shared" si="33"/>
        <v>0</v>
      </c>
      <c r="N305">
        <f t="shared" si="34"/>
        <v>0</v>
      </c>
      <c r="P305" s="21" t="s">
        <v>143</v>
      </c>
      <c r="Q305" s="1">
        <v>140</v>
      </c>
    </row>
    <row r="306" spans="12:17" x14ac:dyDescent="0.25">
      <c r="L306">
        <f t="shared" si="32"/>
        <v>0</v>
      </c>
      <c r="M306">
        <f t="shared" si="33"/>
        <v>0</v>
      </c>
      <c r="N306">
        <f t="shared" si="34"/>
        <v>0</v>
      </c>
      <c r="P306" s="22" t="s">
        <v>23</v>
      </c>
      <c r="Q306" s="1">
        <v>140</v>
      </c>
    </row>
    <row r="307" spans="12:17" x14ac:dyDescent="0.25">
      <c r="L307">
        <f t="shared" si="32"/>
        <v>0</v>
      </c>
      <c r="M307">
        <f t="shared" si="33"/>
        <v>0</v>
      </c>
      <c r="N307">
        <f t="shared" si="34"/>
        <v>0</v>
      </c>
      <c r="P307" s="21" t="s">
        <v>147</v>
      </c>
      <c r="Q307" s="1">
        <v>140</v>
      </c>
    </row>
    <row r="308" spans="12:17" x14ac:dyDescent="0.25">
      <c r="L308">
        <f t="shared" si="32"/>
        <v>0</v>
      </c>
      <c r="M308">
        <f t="shared" si="33"/>
        <v>0</v>
      </c>
      <c r="N308">
        <f t="shared" si="34"/>
        <v>0</v>
      </c>
      <c r="P308" s="22" t="s">
        <v>84</v>
      </c>
      <c r="Q308" s="1">
        <v>140</v>
      </c>
    </row>
    <row r="309" spans="12:17" x14ac:dyDescent="0.25">
      <c r="L309">
        <f t="shared" si="32"/>
        <v>0</v>
      </c>
      <c r="M309">
        <f t="shared" si="33"/>
        <v>0</v>
      </c>
      <c r="N309">
        <f t="shared" si="34"/>
        <v>0</v>
      </c>
      <c r="P309" s="21" t="s">
        <v>187</v>
      </c>
      <c r="Q309" s="1">
        <v>149340</v>
      </c>
    </row>
  </sheetData>
  <autoFilter ref="A1:J309" xr:uid="{2E78A7E7-48A9-412D-B502-BE5AE952532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94C2-B283-45A4-858A-CB1A74A6DFA8}">
  <dimension ref="A1:O201"/>
  <sheetViews>
    <sheetView zoomScale="160" zoomScaleNormal="160" workbookViewId="0">
      <selection activeCell="G2" sqref="G2"/>
    </sheetView>
  </sheetViews>
  <sheetFormatPr defaultRowHeight="15" x14ac:dyDescent="0.25"/>
  <cols>
    <col min="1" max="1" width="5.85546875" bestFit="1" customWidth="1"/>
    <col min="2" max="2" width="10.85546875" bestFit="1" customWidth="1"/>
    <col min="3" max="3" width="14.85546875" bestFit="1" customWidth="1"/>
    <col min="4" max="4" width="13" bestFit="1" customWidth="1"/>
    <col min="5" max="5" width="11" bestFit="1" customWidth="1"/>
    <col min="6" max="6" width="10.5703125" bestFit="1" customWidth="1"/>
    <col min="8" max="8" width="17.7109375" bestFit="1" customWidth="1"/>
    <col min="9" max="9" width="16.5703125" bestFit="1" customWidth="1"/>
  </cols>
  <sheetData>
    <row r="1" spans="1:1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15" x14ac:dyDescent="0.25">
      <c r="A2" s="7">
        <v>1</v>
      </c>
      <c r="B2" s="8" t="s">
        <v>6</v>
      </c>
      <c r="C2" s="8" t="s">
        <v>7</v>
      </c>
      <c r="D2" s="9">
        <v>2</v>
      </c>
      <c r="E2" s="10">
        <v>45778</v>
      </c>
      <c r="F2" s="11">
        <v>45780</v>
      </c>
      <c r="H2" s="20" t="s">
        <v>186</v>
      </c>
      <c r="I2" t="s">
        <v>194</v>
      </c>
    </row>
    <row r="3" spans="1:15" ht="45" x14ac:dyDescent="0.25">
      <c r="A3" s="12">
        <v>2</v>
      </c>
      <c r="B3" s="13" t="s">
        <v>8</v>
      </c>
      <c r="C3" s="13" t="s">
        <v>9</v>
      </c>
      <c r="D3" s="14">
        <v>3</v>
      </c>
      <c r="E3" s="15">
        <v>45787</v>
      </c>
      <c r="F3" s="16">
        <v>45792</v>
      </c>
      <c r="H3" s="21" t="s">
        <v>199</v>
      </c>
      <c r="I3" s="1">
        <v>40</v>
      </c>
      <c r="L3" s="25" t="s">
        <v>3</v>
      </c>
      <c r="M3" s="25" t="s">
        <v>189</v>
      </c>
      <c r="N3" s="25" t="s">
        <v>190</v>
      </c>
    </row>
    <row r="4" spans="1:15" x14ac:dyDescent="0.25">
      <c r="A4" s="7">
        <v>3</v>
      </c>
      <c r="B4" s="8" t="s">
        <v>10</v>
      </c>
      <c r="C4" s="8" t="s">
        <v>11</v>
      </c>
      <c r="D4" s="9">
        <v>2</v>
      </c>
      <c r="E4" s="10">
        <v>45809</v>
      </c>
      <c r="F4" s="11">
        <v>45812</v>
      </c>
      <c r="H4" s="21" t="s">
        <v>200</v>
      </c>
      <c r="I4" s="1">
        <v>57</v>
      </c>
      <c r="L4" s="24">
        <v>1</v>
      </c>
      <c r="M4" s="24">
        <v>4</v>
      </c>
      <c r="N4" s="24">
        <v>140</v>
      </c>
      <c r="O4">
        <f>L4*M4</f>
        <v>4</v>
      </c>
    </row>
    <row r="5" spans="1:15" x14ac:dyDescent="0.25">
      <c r="A5" s="12">
        <v>4</v>
      </c>
      <c r="B5" s="13" t="s">
        <v>12</v>
      </c>
      <c r="C5" s="13" t="s">
        <v>13</v>
      </c>
      <c r="D5" s="14">
        <v>2</v>
      </c>
      <c r="E5" s="15">
        <v>45803</v>
      </c>
      <c r="F5" s="16">
        <v>45805</v>
      </c>
      <c r="H5" s="21" t="s">
        <v>201</v>
      </c>
      <c r="I5" s="1">
        <v>60</v>
      </c>
      <c r="L5" s="24">
        <v>2</v>
      </c>
      <c r="M5" s="24">
        <v>8</v>
      </c>
      <c r="N5" s="24">
        <v>240</v>
      </c>
      <c r="O5">
        <f t="shared" ref="O5:O7" si="0">L5*M5</f>
        <v>16</v>
      </c>
    </row>
    <row r="6" spans="1:15" x14ac:dyDescent="0.25">
      <c r="A6" s="7">
        <v>5</v>
      </c>
      <c r="B6" s="8" t="s">
        <v>14</v>
      </c>
      <c r="C6" s="8" t="s">
        <v>15</v>
      </c>
      <c r="D6" s="9">
        <v>1</v>
      </c>
      <c r="E6" s="10">
        <v>45795</v>
      </c>
      <c r="F6" s="11">
        <v>45798</v>
      </c>
      <c r="H6" s="21" t="s">
        <v>202</v>
      </c>
      <c r="I6" s="1">
        <v>43</v>
      </c>
      <c r="L6" s="24">
        <v>3</v>
      </c>
      <c r="M6" s="24">
        <v>4</v>
      </c>
      <c r="N6" s="24">
        <v>320</v>
      </c>
      <c r="O6">
        <f t="shared" si="0"/>
        <v>12</v>
      </c>
    </row>
    <row r="7" spans="1:15" x14ac:dyDescent="0.25">
      <c r="A7" s="12">
        <v>6</v>
      </c>
      <c r="B7" s="13" t="s">
        <v>16</v>
      </c>
      <c r="C7" s="13" t="s">
        <v>17</v>
      </c>
      <c r="D7" s="14">
        <v>3</v>
      </c>
      <c r="E7" s="15">
        <v>45816</v>
      </c>
      <c r="F7" s="16">
        <v>45817</v>
      </c>
      <c r="H7" s="21" t="s">
        <v>187</v>
      </c>
      <c r="I7" s="1">
        <v>200</v>
      </c>
      <c r="L7" s="24">
        <v>4</v>
      </c>
      <c r="M7" s="24">
        <v>2</v>
      </c>
      <c r="N7" s="24">
        <v>400</v>
      </c>
      <c r="O7">
        <f t="shared" si="0"/>
        <v>8</v>
      </c>
    </row>
    <row r="8" spans="1:15" x14ac:dyDescent="0.25">
      <c r="A8" s="7">
        <v>7</v>
      </c>
      <c r="B8" s="8" t="s">
        <v>18</v>
      </c>
      <c r="C8" s="8" t="s">
        <v>19</v>
      </c>
      <c r="D8" s="9">
        <v>3</v>
      </c>
      <c r="E8" s="10">
        <v>45787</v>
      </c>
      <c r="F8" s="11">
        <v>45792</v>
      </c>
      <c r="O8">
        <f>SUM(O4:O7)</f>
        <v>40</v>
      </c>
    </row>
    <row r="9" spans="1:15" x14ac:dyDescent="0.25">
      <c r="A9" s="12">
        <v>8</v>
      </c>
      <c r="B9" s="13" t="s">
        <v>20</v>
      </c>
      <c r="C9" s="13" t="s">
        <v>21</v>
      </c>
      <c r="D9" s="14">
        <v>2</v>
      </c>
      <c r="E9" s="15">
        <v>45825</v>
      </c>
      <c r="F9" s="16">
        <v>45827</v>
      </c>
    </row>
    <row r="10" spans="1:15" x14ac:dyDescent="0.25">
      <c r="A10" s="7">
        <v>9</v>
      </c>
      <c r="B10" s="8" t="s">
        <v>8</v>
      </c>
      <c r="C10" s="8" t="s">
        <v>22</v>
      </c>
      <c r="D10" s="9">
        <v>2</v>
      </c>
      <c r="E10" s="10">
        <v>45839</v>
      </c>
      <c r="F10" s="11">
        <v>45841</v>
      </c>
    </row>
    <row r="11" spans="1:15" x14ac:dyDescent="0.25">
      <c r="A11" s="12">
        <v>10</v>
      </c>
      <c r="B11" s="13" t="s">
        <v>23</v>
      </c>
      <c r="C11" s="13" t="s">
        <v>24</v>
      </c>
      <c r="D11" s="14">
        <v>2</v>
      </c>
      <c r="E11" s="15">
        <v>45778</v>
      </c>
      <c r="F11" s="16">
        <v>45780</v>
      </c>
    </row>
    <row r="12" spans="1:15" x14ac:dyDescent="0.25">
      <c r="A12" s="7">
        <v>11</v>
      </c>
      <c r="B12" s="8" t="s">
        <v>8</v>
      </c>
      <c r="C12" s="8" t="s">
        <v>25</v>
      </c>
      <c r="D12" s="9">
        <v>4</v>
      </c>
      <c r="E12" s="10">
        <v>45853</v>
      </c>
      <c r="F12" s="11">
        <v>45856</v>
      </c>
    </row>
    <row r="13" spans="1:15" x14ac:dyDescent="0.25">
      <c r="A13" s="12">
        <v>12</v>
      </c>
      <c r="B13" s="13" t="s">
        <v>26</v>
      </c>
      <c r="C13" s="13" t="s">
        <v>27</v>
      </c>
      <c r="D13" s="14">
        <v>1</v>
      </c>
      <c r="E13" s="15">
        <v>45782</v>
      </c>
      <c r="F13" s="16">
        <v>45786</v>
      </c>
    </row>
    <row r="14" spans="1:15" x14ac:dyDescent="0.25">
      <c r="A14" s="7">
        <v>13</v>
      </c>
      <c r="B14" s="8" t="s">
        <v>23</v>
      </c>
      <c r="C14" s="8" t="s">
        <v>28</v>
      </c>
      <c r="D14" s="9">
        <v>2</v>
      </c>
      <c r="E14" s="10">
        <v>45809</v>
      </c>
      <c r="F14" s="11">
        <v>45812</v>
      </c>
    </row>
    <row r="15" spans="1:15" x14ac:dyDescent="0.25">
      <c r="A15" s="12">
        <v>14</v>
      </c>
      <c r="B15" s="13" t="s">
        <v>29</v>
      </c>
      <c r="C15" s="13" t="s">
        <v>30</v>
      </c>
      <c r="D15" s="14">
        <v>1</v>
      </c>
      <c r="E15" s="15">
        <v>45782</v>
      </c>
      <c r="F15" s="16">
        <v>45786</v>
      </c>
    </row>
    <row r="16" spans="1:15" x14ac:dyDescent="0.25">
      <c r="A16" s="7">
        <v>15</v>
      </c>
      <c r="B16" s="8" t="s">
        <v>6</v>
      </c>
      <c r="C16" s="8" t="s">
        <v>31</v>
      </c>
      <c r="D16" s="9">
        <v>1</v>
      </c>
      <c r="E16" s="10">
        <v>45782</v>
      </c>
      <c r="F16" s="11">
        <v>45786</v>
      </c>
    </row>
    <row r="17" spans="1:6" x14ac:dyDescent="0.25">
      <c r="A17" s="12">
        <v>16</v>
      </c>
      <c r="B17" s="13" t="s">
        <v>32</v>
      </c>
      <c r="C17" s="13" t="s">
        <v>33</v>
      </c>
      <c r="D17" s="14">
        <v>1</v>
      </c>
      <c r="E17" s="15">
        <v>45778</v>
      </c>
      <c r="F17" s="16">
        <v>45780</v>
      </c>
    </row>
    <row r="18" spans="1:6" x14ac:dyDescent="0.25">
      <c r="A18" s="7">
        <v>17</v>
      </c>
      <c r="B18" s="8" t="s">
        <v>34</v>
      </c>
      <c r="C18" s="8" t="s">
        <v>35</v>
      </c>
      <c r="D18" s="9">
        <v>2</v>
      </c>
      <c r="E18" s="10">
        <v>45782</v>
      </c>
      <c r="F18" s="11">
        <v>45786</v>
      </c>
    </row>
    <row r="19" spans="1:6" x14ac:dyDescent="0.25">
      <c r="A19" s="12">
        <v>18</v>
      </c>
      <c r="B19" s="13" t="s">
        <v>36</v>
      </c>
      <c r="C19" s="13" t="s">
        <v>37</v>
      </c>
      <c r="D19" s="14">
        <v>2</v>
      </c>
      <c r="E19" s="15">
        <v>45782</v>
      </c>
      <c r="F19" s="16">
        <v>45786</v>
      </c>
    </row>
    <row r="20" spans="1:6" x14ac:dyDescent="0.25">
      <c r="A20" s="7">
        <v>19</v>
      </c>
      <c r="B20" s="8" t="s">
        <v>38</v>
      </c>
      <c r="C20" s="8" t="s">
        <v>39</v>
      </c>
      <c r="D20" s="9">
        <v>2</v>
      </c>
      <c r="E20" s="10">
        <v>45782</v>
      </c>
      <c r="F20" s="11">
        <v>45786</v>
      </c>
    </row>
    <row r="21" spans="1:6" x14ac:dyDescent="0.25">
      <c r="A21" s="12">
        <v>20</v>
      </c>
      <c r="B21" s="13" t="s">
        <v>40</v>
      </c>
      <c r="C21" s="13" t="s">
        <v>41</v>
      </c>
      <c r="D21" s="14">
        <v>2</v>
      </c>
      <c r="E21" s="15">
        <v>45839</v>
      </c>
      <c r="F21" s="16">
        <v>45841</v>
      </c>
    </row>
    <row r="22" spans="1:6" x14ac:dyDescent="0.25">
      <c r="A22" s="7">
        <v>21</v>
      </c>
      <c r="B22" s="8" t="s">
        <v>18</v>
      </c>
      <c r="C22" s="8" t="s">
        <v>42</v>
      </c>
      <c r="D22" s="9">
        <v>2</v>
      </c>
      <c r="E22" s="10">
        <v>45825</v>
      </c>
      <c r="F22" s="11">
        <v>45827</v>
      </c>
    </row>
    <row r="23" spans="1:6" x14ac:dyDescent="0.25">
      <c r="A23" s="12">
        <v>22</v>
      </c>
      <c r="B23" s="13" t="s">
        <v>43</v>
      </c>
      <c r="C23" s="13" t="s">
        <v>44</v>
      </c>
      <c r="D23" s="14">
        <v>2</v>
      </c>
      <c r="E23" s="15">
        <v>45809</v>
      </c>
      <c r="F23" s="16">
        <v>45812</v>
      </c>
    </row>
    <row r="24" spans="1:6" x14ac:dyDescent="0.25">
      <c r="A24" s="7">
        <v>23</v>
      </c>
      <c r="B24" s="8" t="s">
        <v>45</v>
      </c>
      <c r="C24" s="8" t="s">
        <v>46</v>
      </c>
      <c r="D24" s="9">
        <v>3</v>
      </c>
      <c r="E24" s="10">
        <v>45787</v>
      </c>
      <c r="F24" s="11">
        <v>45792</v>
      </c>
    </row>
    <row r="25" spans="1:6" x14ac:dyDescent="0.25">
      <c r="A25" s="12">
        <v>24</v>
      </c>
      <c r="B25" s="13" t="s">
        <v>47</v>
      </c>
      <c r="C25" s="13" t="s">
        <v>48</v>
      </c>
      <c r="D25" s="14">
        <v>4</v>
      </c>
      <c r="E25" s="15">
        <v>45853</v>
      </c>
      <c r="F25" s="16">
        <v>45856</v>
      </c>
    </row>
    <row r="26" spans="1:6" x14ac:dyDescent="0.25">
      <c r="A26" s="7">
        <v>25</v>
      </c>
      <c r="B26" s="8" t="s">
        <v>49</v>
      </c>
      <c r="C26" s="8" t="s">
        <v>50</v>
      </c>
      <c r="D26" s="9">
        <v>2</v>
      </c>
      <c r="E26" s="10">
        <v>45782</v>
      </c>
      <c r="F26" s="11">
        <v>45786</v>
      </c>
    </row>
    <row r="27" spans="1:6" x14ac:dyDescent="0.25">
      <c r="A27" s="12">
        <v>26</v>
      </c>
      <c r="B27" s="13" t="s">
        <v>51</v>
      </c>
      <c r="C27" s="13" t="s">
        <v>52</v>
      </c>
      <c r="D27" s="14">
        <v>2</v>
      </c>
      <c r="E27" s="15">
        <v>45782</v>
      </c>
      <c r="F27" s="16">
        <v>45786</v>
      </c>
    </row>
    <row r="28" spans="1:6" x14ac:dyDescent="0.25">
      <c r="A28" s="7">
        <v>27</v>
      </c>
      <c r="B28" s="8" t="s">
        <v>34</v>
      </c>
      <c r="C28" s="8" t="s">
        <v>53</v>
      </c>
      <c r="D28" s="9">
        <v>3</v>
      </c>
      <c r="E28" s="10">
        <v>45782</v>
      </c>
      <c r="F28" s="11">
        <v>45786</v>
      </c>
    </row>
    <row r="29" spans="1:6" x14ac:dyDescent="0.25">
      <c r="A29" s="12">
        <v>28</v>
      </c>
      <c r="B29" s="13" t="s">
        <v>54</v>
      </c>
      <c r="C29" s="13" t="s">
        <v>55</v>
      </c>
      <c r="D29" s="14">
        <v>3</v>
      </c>
      <c r="E29" s="15">
        <v>45782</v>
      </c>
      <c r="F29" s="16">
        <v>45786</v>
      </c>
    </row>
    <row r="30" spans="1:6" x14ac:dyDescent="0.25">
      <c r="A30" s="7">
        <v>29</v>
      </c>
      <c r="B30" s="8" t="s">
        <v>18</v>
      </c>
      <c r="C30" s="8" t="s">
        <v>56</v>
      </c>
      <c r="D30" s="9">
        <v>3</v>
      </c>
      <c r="E30" s="10">
        <v>45782</v>
      </c>
      <c r="F30" s="11">
        <v>45786</v>
      </c>
    </row>
    <row r="31" spans="1:6" x14ac:dyDescent="0.25">
      <c r="A31" s="12">
        <v>30</v>
      </c>
      <c r="B31" s="13" t="s">
        <v>16</v>
      </c>
      <c r="C31" s="13" t="s">
        <v>57</v>
      </c>
      <c r="D31" s="14">
        <v>1</v>
      </c>
      <c r="E31" s="15">
        <v>45853</v>
      </c>
      <c r="F31" s="16">
        <v>45856</v>
      </c>
    </row>
    <row r="32" spans="1:6" x14ac:dyDescent="0.25">
      <c r="A32" s="7">
        <v>31</v>
      </c>
      <c r="B32" s="8" t="s">
        <v>29</v>
      </c>
      <c r="C32" s="8" t="s">
        <v>58</v>
      </c>
      <c r="D32" s="9">
        <v>2</v>
      </c>
      <c r="E32" s="10">
        <v>45839</v>
      </c>
      <c r="F32" s="11">
        <v>45841</v>
      </c>
    </row>
    <row r="33" spans="1:6" x14ac:dyDescent="0.25">
      <c r="A33" s="12">
        <v>32</v>
      </c>
      <c r="B33" s="13" t="s">
        <v>38</v>
      </c>
      <c r="C33" s="13" t="s">
        <v>59</v>
      </c>
      <c r="D33" s="14">
        <v>4</v>
      </c>
      <c r="E33" s="15">
        <v>45825</v>
      </c>
      <c r="F33" s="16">
        <v>45827</v>
      </c>
    </row>
    <row r="34" spans="1:6" x14ac:dyDescent="0.25">
      <c r="A34" s="7">
        <v>33</v>
      </c>
      <c r="B34" s="8" t="s">
        <v>12</v>
      </c>
      <c r="C34" s="8" t="s">
        <v>60</v>
      </c>
      <c r="D34" s="9">
        <v>2</v>
      </c>
      <c r="E34" s="10">
        <v>45809</v>
      </c>
      <c r="F34" s="11">
        <v>45812</v>
      </c>
    </row>
    <row r="35" spans="1:6" x14ac:dyDescent="0.25">
      <c r="A35" s="12">
        <v>34</v>
      </c>
      <c r="B35" s="13" t="s">
        <v>34</v>
      </c>
      <c r="C35" s="13" t="s">
        <v>61</v>
      </c>
      <c r="D35" s="14">
        <v>3</v>
      </c>
      <c r="E35" s="15">
        <v>45782</v>
      </c>
      <c r="F35" s="16">
        <v>45786</v>
      </c>
    </row>
    <row r="36" spans="1:6" x14ac:dyDescent="0.25">
      <c r="A36" s="7">
        <v>35</v>
      </c>
      <c r="B36" s="8" t="s">
        <v>6</v>
      </c>
      <c r="C36" s="8" t="s">
        <v>62</v>
      </c>
      <c r="D36" s="9">
        <v>4</v>
      </c>
      <c r="E36" s="10">
        <v>45782</v>
      </c>
      <c r="F36" s="11">
        <v>45786</v>
      </c>
    </row>
    <row r="37" spans="1:6" x14ac:dyDescent="0.25">
      <c r="A37" s="12">
        <v>36</v>
      </c>
      <c r="B37" s="13" t="s">
        <v>43</v>
      </c>
      <c r="C37" s="13" t="s">
        <v>63</v>
      </c>
      <c r="D37" s="14">
        <v>4</v>
      </c>
      <c r="E37" s="15">
        <v>45782</v>
      </c>
      <c r="F37" s="16">
        <v>45786</v>
      </c>
    </row>
    <row r="38" spans="1:6" x14ac:dyDescent="0.25">
      <c r="A38" s="7">
        <v>37</v>
      </c>
      <c r="B38" s="8" t="s">
        <v>26</v>
      </c>
      <c r="C38" s="8" t="s">
        <v>64</v>
      </c>
      <c r="D38" s="9">
        <v>1</v>
      </c>
      <c r="E38" s="10">
        <v>45795</v>
      </c>
      <c r="F38" s="11">
        <v>45798</v>
      </c>
    </row>
    <row r="39" spans="1:6" x14ac:dyDescent="0.25">
      <c r="A39" s="12">
        <v>38</v>
      </c>
      <c r="B39" s="13" t="s">
        <v>65</v>
      </c>
      <c r="C39" s="13" t="s">
        <v>66</v>
      </c>
      <c r="D39" s="14">
        <v>2</v>
      </c>
      <c r="E39" s="15">
        <v>45803</v>
      </c>
      <c r="F39" s="16">
        <v>45805</v>
      </c>
    </row>
    <row r="40" spans="1:6" x14ac:dyDescent="0.25">
      <c r="A40" s="7">
        <v>39</v>
      </c>
      <c r="B40" s="8" t="s">
        <v>65</v>
      </c>
      <c r="C40" s="8" t="s">
        <v>67</v>
      </c>
      <c r="D40" s="9">
        <v>2</v>
      </c>
      <c r="E40" s="10">
        <v>45825</v>
      </c>
      <c r="F40" s="11">
        <v>45827</v>
      </c>
    </row>
    <row r="41" spans="1:6" x14ac:dyDescent="0.25">
      <c r="A41" s="12">
        <v>40</v>
      </c>
      <c r="B41" s="13" t="s">
        <v>51</v>
      </c>
      <c r="C41" s="13" t="s">
        <v>68</v>
      </c>
      <c r="D41" s="14">
        <v>2</v>
      </c>
      <c r="E41" s="15">
        <v>45828</v>
      </c>
      <c r="F41" s="16">
        <v>45830</v>
      </c>
    </row>
    <row r="42" spans="1:6" x14ac:dyDescent="0.25">
      <c r="A42" s="7">
        <v>41</v>
      </c>
      <c r="B42" s="8" t="s">
        <v>49</v>
      </c>
      <c r="C42" s="8" t="s">
        <v>69</v>
      </c>
      <c r="D42" s="9">
        <v>2</v>
      </c>
      <c r="E42" s="10">
        <v>45828</v>
      </c>
      <c r="F42" s="11">
        <v>45830</v>
      </c>
    </row>
    <row r="43" spans="1:6" x14ac:dyDescent="0.25">
      <c r="A43" s="12">
        <v>42</v>
      </c>
      <c r="B43" s="13" t="s">
        <v>14</v>
      </c>
      <c r="C43" s="13" t="s">
        <v>70</v>
      </c>
      <c r="D43" s="14">
        <v>2</v>
      </c>
      <c r="E43" s="15">
        <v>45828</v>
      </c>
      <c r="F43" s="16">
        <v>45830</v>
      </c>
    </row>
    <row r="44" spans="1:6" x14ac:dyDescent="0.25">
      <c r="A44" s="7">
        <v>43</v>
      </c>
      <c r="B44" s="8" t="s">
        <v>23</v>
      </c>
      <c r="C44" s="8" t="s">
        <v>71</v>
      </c>
      <c r="D44" s="9">
        <v>2</v>
      </c>
      <c r="E44" s="10">
        <v>45828</v>
      </c>
      <c r="F44" s="11">
        <v>45830</v>
      </c>
    </row>
    <row r="45" spans="1:6" x14ac:dyDescent="0.25">
      <c r="A45" s="12">
        <v>44</v>
      </c>
      <c r="B45" s="13" t="s">
        <v>29</v>
      </c>
      <c r="C45" s="13" t="s">
        <v>72</v>
      </c>
      <c r="D45" s="14">
        <v>2</v>
      </c>
      <c r="E45" s="15">
        <v>45828</v>
      </c>
      <c r="F45" s="16">
        <v>45830</v>
      </c>
    </row>
    <row r="46" spans="1:6" x14ac:dyDescent="0.25">
      <c r="A46" s="7">
        <v>45</v>
      </c>
      <c r="B46" s="8" t="s">
        <v>73</v>
      </c>
      <c r="C46" s="8" t="s">
        <v>74</v>
      </c>
      <c r="D46" s="9">
        <v>1</v>
      </c>
      <c r="E46" s="10">
        <v>45853</v>
      </c>
      <c r="F46" s="11">
        <v>45856</v>
      </c>
    </row>
    <row r="47" spans="1:6" x14ac:dyDescent="0.25">
      <c r="A47" s="12">
        <v>46</v>
      </c>
      <c r="B47" s="13" t="s">
        <v>51</v>
      </c>
      <c r="C47" s="13" t="s">
        <v>75</v>
      </c>
      <c r="D47" s="14">
        <v>2</v>
      </c>
      <c r="E47" s="15">
        <v>45809</v>
      </c>
      <c r="F47" s="16">
        <v>45812</v>
      </c>
    </row>
    <row r="48" spans="1:6" x14ac:dyDescent="0.25">
      <c r="A48" s="7">
        <v>47</v>
      </c>
      <c r="B48" s="8" t="s">
        <v>38</v>
      </c>
      <c r="C48" s="8" t="s">
        <v>76</v>
      </c>
      <c r="D48" s="9">
        <v>3</v>
      </c>
      <c r="E48" s="10">
        <v>45816</v>
      </c>
      <c r="F48" s="11">
        <v>45817</v>
      </c>
    </row>
    <row r="49" spans="1:6" x14ac:dyDescent="0.25">
      <c r="A49" s="12">
        <v>48</v>
      </c>
      <c r="B49" s="13" t="s">
        <v>45</v>
      </c>
      <c r="C49" s="13" t="s">
        <v>77</v>
      </c>
      <c r="D49" s="14">
        <v>2</v>
      </c>
      <c r="E49" s="15">
        <v>45803</v>
      </c>
      <c r="F49" s="16">
        <v>45805</v>
      </c>
    </row>
    <row r="50" spans="1:6" x14ac:dyDescent="0.25">
      <c r="A50" s="7">
        <v>49</v>
      </c>
      <c r="B50" s="8" t="s">
        <v>73</v>
      </c>
      <c r="C50" s="8" t="s">
        <v>78</v>
      </c>
      <c r="D50" s="9">
        <v>2</v>
      </c>
      <c r="E50" s="10">
        <v>45828</v>
      </c>
      <c r="F50" s="11">
        <v>45830</v>
      </c>
    </row>
    <row r="51" spans="1:6" x14ac:dyDescent="0.25">
      <c r="A51" s="12">
        <v>50</v>
      </c>
      <c r="B51" s="13" t="s">
        <v>29</v>
      </c>
      <c r="C51" s="13" t="s">
        <v>79</v>
      </c>
      <c r="D51" s="14">
        <v>2</v>
      </c>
      <c r="E51" s="15">
        <v>45828</v>
      </c>
      <c r="F51" s="16">
        <v>45830</v>
      </c>
    </row>
    <row r="52" spans="1:6" x14ac:dyDescent="0.25">
      <c r="A52" s="7">
        <v>51</v>
      </c>
      <c r="B52" s="8" t="s">
        <v>26</v>
      </c>
      <c r="C52" s="8" t="s">
        <v>80</v>
      </c>
      <c r="D52" s="9">
        <v>2</v>
      </c>
      <c r="E52" s="10">
        <v>45828</v>
      </c>
      <c r="F52" s="11">
        <v>45830</v>
      </c>
    </row>
    <row r="53" spans="1:6" x14ac:dyDescent="0.25">
      <c r="A53" s="12">
        <v>52</v>
      </c>
      <c r="B53" s="13" t="s">
        <v>45</v>
      </c>
      <c r="C53" s="13" t="s">
        <v>81</v>
      </c>
      <c r="D53" s="14">
        <v>1</v>
      </c>
      <c r="E53" s="15">
        <v>45828</v>
      </c>
      <c r="F53" s="16">
        <v>45830</v>
      </c>
    </row>
    <row r="54" spans="1:6" x14ac:dyDescent="0.25">
      <c r="A54" s="7">
        <v>53</v>
      </c>
      <c r="B54" s="8" t="s">
        <v>20</v>
      </c>
      <c r="C54" s="8" t="s">
        <v>82</v>
      </c>
      <c r="D54" s="9">
        <v>1</v>
      </c>
      <c r="E54" s="10">
        <v>45828</v>
      </c>
      <c r="F54" s="11">
        <v>45830</v>
      </c>
    </row>
    <row r="55" spans="1:6" x14ac:dyDescent="0.25">
      <c r="A55" s="12">
        <v>54</v>
      </c>
      <c r="B55" s="13" t="s">
        <v>23</v>
      </c>
      <c r="C55" s="13" t="s">
        <v>83</v>
      </c>
      <c r="D55" s="14">
        <v>4</v>
      </c>
      <c r="E55" s="15">
        <v>45825</v>
      </c>
      <c r="F55" s="16">
        <v>45827</v>
      </c>
    </row>
    <row r="56" spans="1:6" x14ac:dyDescent="0.25">
      <c r="A56" s="7">
        <v>55</v>
      </c>
      <c r="B56" s="8" t="s">
        <v>84</v>
      </c>
      <c r="C56" s="8" t="s">
        <v>85</v>
      </c>
      <c r="D56" s="9">
        <v>1</v>
      </c>
      <c r="E56" s="10">
        <v>45795</v>
      </c>
      <c r="F56" s="11">
        <v>45798</v>
      </c>
    </row>
    <row r="57" spans="1:6" x14ac:dyDescent="0.25">
      <c r="A57" s="12">
        <v>56</v>
      </c>
      <c r="B57" s="13" t="s">
        <v>86</v>
      </c>
      <c r="C57" s="13" t="s">
        <v>87</v>
      </c>
      <c r="D57" s="14">
        <v>1</v>
      </c>
      <c r="E57" s="15">
        <v>45853</v>
      </c>
      <c r="F57" s="16">
        <v>45856</v>
      </c>
    </row>
    <row r="58" spans="1:6" x14ac:dyDescent="0.25">
      <c r="A58" s="7">
        <v>57</v>
      </c>
      <c r="B58" s="8" t="s">
        <v>26</v>
      </c>
      <c r="C58" s="8" t="s">
        <v>88</v>
      </c>
      <c r="D58" s="9">
        <v>3</v>
      </c>
      <c r="E58" s="10">
        <v>45833</v>
      </c>
      <c r="F58" s="11">
        <v>45837</v>
      </c>
    </row>
    <row r="59" spans="1:6" x14ac:dyDescent="0.25">
      <c r="A59" s="12">
        <v>58</v>
      </c>
      <c r="B59" s="13" t="s">
        <v>47</v>
      </c>
      <c r="C59" s="13" t="s">
        <v>89</v>
      </c>
      <c r="D59" s="14">
        <v>3</v>
      </c>
      <c r="E59" s="15">
        <v>45833</v>
      </c>
      <c r="F59" s="16">
        <v>45837</v>
      </c>
    </row>
    <row r="60" spans="1:6" x14ac:dyDescent="0.25">
      <c r="A60" s="7">
        <v>59</v>
      </c>
      <c r="B60" s="8" t="s">
        <v>12</v>
      </c>
      <c r="C60" s="8" t="s">
        <v>90</v>
      </c>
      <c r="D60" s="9">
        <v>2</v>
      </c>
      <c r="E60" s="10">
        <v>45809</v>
      </c>
      <c r="F60" s="11">
        <v>45812</v>
      </c>
    </row>
    <row r="61" spans="1:6" x14ac:dyDescent="0.25">
      <c r="A61" s="12">
        <v>60</v>
      </c>
      <c r="B61" s="13" t="s">
        <v>16</v>
      </c>
      <c r="C61" s="13" t="s">
        <v>91</v>
      </c>
      <c r="D61" s="14">
        <v>2</v>
      </c>
      <c r="E61" s="15">
        <v>45809</v>
      </c>
      <c r="F61" s="16">
        <v>45812</v>
      </c>
    </row>
    <row r="62" spans="1:6" x14ac:dyDescent="0.25">
      <c r="A62" s="7">
        <v>61</v>
      </c>
      <c r="B62" s="8" t="s">
        <v>84</v>
      </c>
      <c r="C62" s="8" t="s">
        <v>92</v>
      </c>
      <c r="D62" s="9">
        <v>3</v>
      </c>
      <c r="E62" s="10">
        <v>45778</v>
      </c>
      <c r="F62" s="11">
        <v>45780</v>
      </c>
    </row>
    <row r="63" spans="1:6" x14ac:dyDescent="0.25">
      <c r="A63" s="12">
        <v>62</v>
      </c>
      <c r="B63" s="13" t="s">
        <v>14</v>
      </c>
      <c r="C63" s="13" t="s">
        <v>93</v>
      </c>
      <c r="D63" s="14">
        <v>3</v>
      </c>
      <c r="E63" s="15">
        <v>45787</v>
      </c>
      <c r="F63" s="16">
        <v>45792</v>
      </c>
    </row>
    <row r="64" spans="1:6" x14ac:dyDescent="0.25">
      <c r="A64" s="7">
        <v>63</v>
      </c>
      <c r="B64" s="8" t="s">
        <v>12</v>
      </c>
      <c r="C64" s="8" t="s">
        <v>94</v>
      </c>
      <c r="D64" s="9">
        <v>4</v>
      </c>
      <c r="E64" s="10">
        <v>45816</v>
      </c>
      <c r="F64" s="11">
        <v>45817</v>
      </c>
    </row>
    <row r="65" spans="1:6" x14ac:dyDescent="0.25">
      <c r="A65" s="12">
        <v>64</v>
      </c>
      <c r="B65" s="13" t="s">
        <v>86</v>
      </c>
      <c r="C65" s="13" t="s">
        <v>95</v>
      </c>
      <c r="D65" s="14">
        <v>1</v>
      </c>
      <c r="E65" s="15">
        <v>45853</v>
      </c>
      <c r="F65" s="16">
        <v>45856</v>
      </c>
    </row>
    <row r="66" spans="1:6" x14ac:dyDescent="0.25">
      <c r="A66" s="7">
        <v>65</v>
      </c>
      <c r="B66" s="8" t="s">
        <v>32</v>
      </c>
      <c r="C66" s="8" t="s">
        <v>96</v>
      </c>
      <c r="D66" s="9">
        <v>3</v>
      </c>
      <c r="E66" s="10">
        <v>45833</v>
      </c>
      <c r="F66" s="11">
        <v>45837</v>
      </c>
    </row>
    <row r="67" spans="1:6" x14ac:dyDescent="0.25">
      <c r="A67" s="12">
        <v>66</v>
      </c>
      <c r="B67" s="13" t="s">
        <v>36</v>
      </c>
      <c r="C67" s="13" t="s">
        <v>97</v>
      </c>
      <c r="D67" s="14">
        <v>3</v>
      </c>
      <c r="E67" s="15">
        <v>45833</v>
      </c>
      <c r="F67" s="16">
        <v>45837</v>
      </c>
    </row>
    <row r="68" spans="1:6" x14ac:dyDescent="0.25">
      <c r="A68" s="7">
        <v>67</v>
      </c>
      <c r="B68" s="8" t="s">
        <v>12</v>
      </c>
      <c r="C68" s="8" t="s">
        <v>98</v>
      </c>
      <c r="D68" s="9">
        <v>2</v>
      </c>
      <c r="E68" s="10">
        <v>45833</v>
      </c>
      <c r="F68" s="11">
        <v>45837</v>
      </c>
    </row>
    <row r="69" spans="1:6" x14ac:dyDescent="0.25">
      <c r="A69" s="12">
        <v>68</v>
      </c>
      <c r="B69" s="13" t="s">
        <v>20</v>
      </c>
      <c r="C69" s="13" t="s">
        <v>99</v>
      </c>
      <c r="D69" s="14">
        <v>2</v>
      </c>
      <c r="E69" s="15">
        <v>45833</v>
      </c>
      <c r="F69" s="16">
        <v>45837</v>
      </c>
    </row>
    <row r="70" spans="1:6" x14ac:dyDescent="0.25">
      <c r="A70" s="7">
        <v>69</v>
      </c>
      <c r="B70" s="8" t="s">
        <v>18</v>
      </c>
      <c r="C70" s="8" t="s">
        <v>100</v>
      </c>
      <c r="D70" s="9">
        <v>2</v>
      </c>
      <c r="E70" s="10">
        <v>45833</v>
      </c>
      <c r="F70" s="11">
        <v>45837</v>
      </c>
    </row>
    <row r="71" spans="1:6" x14ac:dyDescent="0.25">
      <c r="A71" s="12">
        <v>70</v>
      </c>
      <c r="B71" s="13" t="s">
        <v>10</v>
      </c>
      <c r="C71" s="13" t="s">
        <v>101</v>
      </c>
      <c r="D71" s="14">
        <v>4</v>
      </c>
      <c r="E71" s="15">
        <v>45795</v>
      </c>
      <c r="F71" s="16">
        <v>45798</v>
      </c>
    </row>
    <row r="72" spans="1:6" x14ac:dyDescent="0.25">
      <c r="A72" s="7">
        <v>71</v>
      </c>
      <c r="B72" s="8" t="s">
        <v>102</v>
      </c>
      <c r="C72" s="8" t="s">
        <v>103</v>
      </c>
      <c r="D72" s="9">
        <v>2</v>
      </c>
      <c r="E72" s="10">
        <v>45833</v>
      </c>
      <c r="F72" s="11">
        <v>45837</v>
      </c>
    </row>
    <row r="73" spans="1:6" x14ac:dyDescent="0.25">
      <c r="A73" s="12">
        <v>72</v>
      </c>
      <c r="B73" s="13" t="s">
        <v>16</v>
      </c>
      <c r="C73" s="13" t="s">
        <v>104</v>
      </c>
      <c r="D73" s="14">
        <v>2</v>
      </c>
      <c r="E73" s="15">
        <v>45833</v>
      </c>
      <c r="F73" s="16">
        <v>45837</v>
      </c>
    </row>
    <row r="74" spans="1:6" x14ac:dyDescent="0.25">
      <c r="A74" s="7">
        <v>73</v>
      </c>
      <c r="B74" s="8" t="s">
        <v>14</v>
      </c>
      <c r="C74" s="8" t="s">
        <v>105</v>
      </c>
      <c r="D74" s="9">
        <v>2</v>
      </c>
      <c r="E74" s="10">
        <v>45833</v>
      </c>
      <c r="F74" s="11">
        <v>45837</v>
      </c>
    </row>
    <row r="75" spans="1:6" x14ac:dyDescent="0.25">
      <c r="A75" s="12">
        <v>74</v>
      </c>
      <c r="B75" s="13" t="s">
        <v>12</v>
      </c>
      <c r="C75" s="13" t="s">
        <v>106</v>
      </c>
      <c r="D75" s="14">
        <v>2</v>
      </c>
      <c r="E75" s="15">
        <v>45833</v>
      </c>
      <c r="F75" s="16">
        <v>45837</v>
      </c>
    </row>
    <row r="76" spans="1:6" x14ac:dyDescent="0.25">
      <c r="A76" s="7">
        <v>75</v>
      </c>
      <c r="B76" s="8" t="s">
        <v>45</v>
      </c>
      <c r="C76" s="8" t="s">
        <v>107</v>
      </c>
      <c r="D76" s="9">
        <v>2</v>
      </c>
      <c r="E76" s="10">
        <v>45803</v>
      </c>
      <c r="F76" s="11">
        <v>45805</v>
      </c>
    </row>
    <row r="77" spans="1:6" x14ac:dyDescent="0.25">
      <c r="A77" s="12">
        <v>76</v>
      </c>
      <c r="B77" s="13" t="s">
        <v>29</v>
      </c>
      <c r="C77" s="13" t="s">
        <v>108</v>
      </c>
      <c r="D77" s="14">
        <v>2</v>
      </c>
      <c r="E77" s="15">
        <v>45839</v>
      </c>
      <c r="F77" s="16">
        <v>45841</v>
      </c>
    </row>
    <row r="78" spans="1:6" x14ac:dyDescent="0.25">
      <c r="A78" s="7">
        <v>77</v>
      </c>
      <c r="B78" s="8" t="s">
        <v>16</v>
      </c>
      <c r="C78" s="8" t="s">
        <v>109</v>
      </c>
      <c r="D78" s="9">
        <v>2</v>
      </c>
      <c r="E78" s="10">
        <v>45833</v>
      </c>
      <c r="F78" s="11">
        <v>45837</v>
      </c>
    </row>
    <row r="79" spans="1:6" x14ac:dyDescent="0.25">
      <c r="A79" s="12">
        <v>78</v>
      </c>
      <c r="B79" s="13" t="s">
        <v>110</v>
      </c>
      <c r="C79" s="13" t="s">
        <v>111</v>
      </c>
      <c r="D79" s="14">
        <v>1</v>
      </c>
      <c r="E79" s="15">
        <v>45833</v>
      </c>
      <c r="F79" s="16">
        <v>45837</v>
      </c>
    </row>
    <row r="80" spans="1:6" x14ac:dyDescent="0.25">
      <c r="A80" s="7">
        <v>79</v>
      </c>
      <c r="B80" s="8" t="s">
        <v>20</v>
      </c>
      <c r="C80" s="8" t="s">
        <v>112</v>
      </c>
      <c r="D80" s="9">
        <v>1</v>
      </c>
      <c r="E80" s="10">
        <v>45833</v>
      </c>
      <c r="F80" s="11">
        <v>45837</v>
      </c>
    </row>
    <row r="81" spans="1:6" x14ac:dyDescent="0.25">
      <c r="A81" s="12">
        <v>80</v>
      </c>
      <c r="B81" s="13" t="s">
        <v>102</v>
      </c>
      <c r="C81" s="13" t="s">
        <v>113</v>
      </c>
      <c r="D81" s="14">
        <v>1</v>
      </c>
      <c r="E81" s="15">
        <v>45833</v>
      </c>
      <c r="F81" s="16">
        <v>45837</v>
      </c>
    </row>
    <row r="82" spans="1:6" x14ac:dyDescent="0.25">
      <c r="A82" s="7">
        <v>81</v>
      </c>
      <c r="B82" s="8" t="s">
        <v>18</v>
      </c>
      <c r="C82" s="8" t="s">
        <v>114</v>
      </c>
      <c r="D82" s="9">
        <v>1</v>
      </c>
      <c r="E82" s="10">
        <v>45843</v>
      </c>
      <c r="F82" s="11">
        <v>45845</v>
      </c>
    </row>
    <row r="83" spans="1:6" x14ac:dyDescent="0.25">
      <c r="A83" s="12">
        <v>82</v>
      </c>
      <c r="B83" s="13" t="s">
        <v>84</v>
      </c>
      <c r="C83" s="13" t="s">
        <v>115</v>
      </c>
      <c r="D83" s="14">
        <v>2</v>
      </c>
      <c r="E83" s="15">
        <v>45803</v>
      </c>
      <c r="F83" s="16">
        <v>45805</v>
      </c>
    </row>
    <row r="84" spans="1:6" x14ac:dyDescent="0.25">
      <c r="A84" s="7">
        <v>83</v>
      </c>
      <c r="B84" s="8" t="s">
        <v>14</v>
      </c>
      <c r="C84" s="8" t="s">
        <v>116</v>
      </c>
      <c r="D84" s="9">
        <v>4</v>
      </c>
      <c r="E84" s="10">
        <v>45816</v>
      </c>
      <c r="F84" s="11">
        <v>45817</v>
      </c>
    </row>
    <row r="85" spans="1:6" x14ac:dyDescent="0.25">
      <c r="A85" s="12">
        <v>84</v>
      </c>
      <c r="B85" s="13" t="s">
        <v>54</v>
      </c>
      <c r="C85" s="13" t="s">
        <v>117</v>
      </c>
      <c r="D85" s="14">
        <v>3</v>
      </c>
      <c r="E85" s="15">
        <v>45778</v>
      </c>
      <c r="F85" s="16">
        <v>45780</v>
      </c>
    </row>
    <row r="86" spans="1:6" x14ac:dyDescent="0.25">
      <c r="A86" s="7">
        <v>85</v>
      </c>
      <c r="B86" s="8" t="s">
        <v>118</v>
      </c>
      <c r="C86" s="8" t="s">
        <v>119</v>
      </c>
      <c r="D86" s="9">
        <v>1</v>
      </c>
      <c r="E86" s="10">
        <v>45843</v>
      </c>
      <c r="F86" s="11">
        <v>45845</v>
      </c>
    </row>
    <row r="87" spans="1:6" x14ac:dyDescent="0.25">
      <c r="A87" s="12">
        <v>86</v>
      </c>
      <c r="B87" s="13" t="s">
        <v>49</v>
      </c>
      <c r="C87" s="13" t="s">
        <v>120</v>
      </c>
      <c r="D87" s="14">
        <v>1</v>
      </c>
      <c r="E87" s="15">
        <v>45843</v>
      </c>
      <c r="F87" s="16">
        <v>45845</v>
      </c>
    </row>
    <row r="88" spans="1:6" x14ac:dyDescent="0.25">
      <c r="A88" s="7">
        <v>87</v>
      </c>
      <c r="B88" s="8" t="s">
        <v>40</v>
      </c>
      <c r="C88" s="8" t="s">
        <v>121</v>
      </c>
      <c r="D88" s="9">
        <v>1</v>
      </c>
      <c r="E88" s="10">
        <v>45843</v>
      </c>
      <c r="F88" s="11">
        <v>45845</v>
      </c>
    </row>
    <row r="89" spans="1:6" x14ac:dyDescent="0.25">
      <c r="A89" s="12">
        <v>88</v>
      </c>
      <c r="B89" s="13" t="s">
        <v>18</v>
      </c>
      <c r="C89" s="13" t="s">
        <v>122</v>
      </c>
      <c r="D89" s="14">
        <v>3</v>
      </c>
      <c r="E89" s="15">
        <v>45843</v>
      </c>
      <c r="F89" s="16">
        <v>45845</v>
      </c>
    </row>
    <row r="90" spans="1:6" x14ac:dyDescent="0.25">
      <c r="A90" s="7">
        <v>89</v>
      </c>
      <c r="B90" s="8" t="s">
        <v>23</v>
      </c>
      <c r="C90" s="8" t="s">
        <v>123</v>
      </c>
      <c r="D90" s="9">
        <v>3</v>
      </c>
      <c r="E90" s="10">
        <v>45843</v>
      </c>
      <c r="F90" s="11">
        <v>45845</v>
      </c>
    </row>
    <row r="91" spans="1:6" x14ac:dyDescent="0.25">
      <c r="A91" s="12">
        <v>90</v>
      </c>
      <c r="B91" s="13" t="s">
        <v>29</v>
      </c>
      <c r="C91" s="13" t="s">
        <v>124</v>
      </c>
      <c r="D91" s="14">
        <v>3</v>
      </c>
      <c r="E91" s="15">
        <v>45843</v>
      </c>
      <c r="F91" s="16">
        <v>45845</v>
      </c>
    </row>
    <row r="92" spans="1:6" x14ac:dyDescent="0.25">
      <c r="A92" s="7">
        <v>91</v>
      </c>
      <c r="B92" s="8" t="s">
        <v>34</v>
      </c>
      <c r="C92" s="8" t="s">
        <v>125</v>
      </c>
      <c r="D92" s="9">
        <v>3</v>
      </c>
      <c r="E92" s="10">
        <v>45843</v>
      </c>
      <c r="F92" s="11">
        <v>45845</v>
      </c>
    </row>
    <row r="93" spans="1:6" x14ac:dyDescent="0.25">
      <c r="A93" s="12">
        <v>92</v>
      </c>
      <c r="B93" s="13" t="s">
        <v>34</v>
      </c>
      <c r="C93" s="13" t="s">
        <v>126</v>
      </c>
      <c r="D93" s="14">
        <v>2</v>
      </c>
      <c r="E93" s="15">
        <v>45848</v>
      </c>
      <c r="F93" s="16">
        <v>45852</v>
      </c>
    </row>
    <row r="94" spans="1:6" x14ac:dyDescent="0.25">
      <c r="A94" s="7">
        <v>93</v>
      </c>
      <c r="B94" s="8" t="s">
        <v>6</v>
      </c>
      <c r="C94" s="8" t="s">
        <v>127</v>
      </c>
      <c r="D94" s="9">
        <v>3</v>
      </c>
      <c r="E94" s="10">
        <v>45853</v>
      </c>
      <c r="F94" s="11">
        <v>45856</v>
      </c>
    </row>
    <row r="95" spans="1:6" x14ac:dyDescent="0.25">
      <c r="A95" s="12">
        <v>94</v>
      </c>
      <c r="B95" s="13" t="s">
        <v>8</v>
      </c>
      <c r="C95" s="13" t="s">
        <v>128</v>
      </c>
      <c r="D95" s="14">
        <v>1</v>
      </c>
      <c r="E95" s="15">
        <v>45839</v>
      </c>
      <c r="F95" s="16">
        <v>45841</v>
      </c>
    </row>
    <row r="96" spans="1:6" x14ac:dyDescent="0.25">
      <c r="A96" s="7">
        <v>95</v>
      </c>
      <c r="B96" s="8" t="s">
        <v>73</v>
      </c>
      <c r="C96" s="8" t="s">
        <v>129</v>
      </c>
      <c r="D96" s="9">
        <v>1</v>
      </c>
      <c r="E96" s="10">
        <v>45795</v>
      </c>
      <c r="F96" s="11">
        <v>45798</v>
      </c>
    </row>
    <row r="97" spans="1:6" x14ac:dyDescent="0.25">
      <c r="A97" s="12">
        <v>96</v>
      </c>
      <c r="B97" s="13" t="s">
        <v>26</v>
      </c>
      <c r="C97" s="13" t="s">
        <v>130</v>
      </c>
      <c r="D97" s="14">
        <v>2</v>
      </c>
      <c r="E97" s="15">
        <v>45848</v>
      </c>
      <c r="F97" s="16">
        <v>45852</v>
      </c>
    </row>
    <row r="98" spans="1:6" x14ac:dyDescent="0.25">
      <c r="A98" s="7">
        <v>97</v>
      </c>
      <c r="B98" s="8" t="s">
        <v>29</v>
      </c>
      <c r="C98" s="8" t="s">
        <v>131</v>
      </c>
      <c r="D98" s="9">
        <v>2</v>
      </c>
      <c r="E98" s="10">
        <v>45848</v>
      </c>
      <c r="F98" s="11">
        <v>45852</v>
      </c>
    </row>
    <row r="99" spans="1:6" x14ac:dyDescent="0.25">
      <c r="A99" s="12">
        <v>98</v>
      </c>
      <c r="B99" s="13" t="s">
        <v>43</v>
      </c>
      <c r="C99" s="13" t="s">
        <v>132</v>
      </c>
      <c r="D99" s="14">
        <v>2</v>
      </c>
      <c r="E99" s="15">
        <v>45848</v>
      </c>
      <c r="F99" s="16">
        <v>45852</v>
      </c>
    </row>
    <row r="100" spans="1:6" x14ac:dyDescent="0.25">
      <c r="A100" s="7">
        <v>99</v>
      </c>
      <c r="B100" s="8" t="s">
        <v>102</v>
      </c>
      <c r="C100" s="8" t="s">
        <v>133</v>
      </c>
      <c r="D100" s="9">
        <v>2</v>
      </c>
      <c r="E100" s="10">
        <v>45848</v>
      </c>
      <c r="F100" s="11">
        <v>45852</v>
      </c>
    </row>
    <row r="101" spans="1:6" x14ac:dyDescent="0.25">
      <c r="A101" s="12">
        <v>100</v>
      </c>
      <c r="B101" s="13" t="s">
        <v>34</v>
      </c>
      <c r="C101" s="13" t="s">
        <v>134</v>
      </c>
      <c r="D101" s="14">
        <v>2</v>
      </c>
      <c r="E101" s="15">
        <v>45848</v>
      </c>
      <c r="F101" s="16">
        <v>45852</v>
      </c>
    </row>
    <row r="102" spans="1:6" x14ac:dyDescent="0.25">
      <c r="A102" s="7">
        <v>101</v>
      </c>
      <c r="B102" s="8" t="s">
        <v>118</v>
      </c>
      <c r="C102" s="8" t="s">
        <v>135</v>
      </c>
      <c r="D102" s="9">
        <v>3</v>
      </c>
      <c r="E102" s="10">
        <v>45848</v>
      </c>
      <c r="F102" s="11">
        <v>45852</v>
      </c>
    </row>
    <row r="103" spans="1:6" x14ac:dyDescent="0.25">
      <c r="A103" s="12">
        <v>102</v>
      </c>
      <c r="B103" s="13" t="s">
        <v>51</v>
      </c>
      <c r="C103" s="13" t="s">
        <v>136</v>
      </c>
      <c r="D103" s="14">
        <v>3</v>
      </c>
      <c r="E103" s="15">
        <v>45848</v>
      </c>
      <c r="F103" s="16">
        <v>45852</v>
      </c>
    </row>
    <row r="104" spans="1:6" x14ac:dyDescent="0.25">
      <c r="A104" s="7">
        <v>103</v>
      </c>
      <c r="B104" s="8" t="s">
        <v>32</v>
      </c>
      <c r="C104" s="8" t="s">
        <v>137</v>
      </c>
      <c r="D104" s="9">
        <v>3</v>
      </c>
      <c r="E104" s="10">
        <v>45848</v>
      </c>
      <c r="F104" s="11">
        <v>45852</v>
      </c>
    </row>
    <row r="105" spans="1:6" x14ac:dyDescent="0.25">
      <c r="A105" s="12">
        <v>104</v>
      </c>
      <c r="B105" s="13" t="s">
        <v>20</v>
      </c>
      <c r="C105" s="13" t="s">
        <v>138</v>
      </c>
      <c r="D105" s="14">
        <v>3</v>
      </c>
      <c r="E105" s="15">
        <v>45816</v>
      </c>
      <c r="F105" s="16">
        <v>45817</v>
      </c>
    </row>
    <row r="106" spans="1:6" x14ac:dyDescent="0.25">
      <c r="A106" s="7">
        <v>105</v>
      </c>
      <c r="B106" s="8" t="s">
        <v>16</v>
      </c>
      <c r="C106" s="8" t="s">
        <v>139</v>
      </c>
      <c r="D106" s="9">
        <v>2</v>
      </c>
      <c r="E106" s="10">
        <v>45803</v>
      </c>
      <c r="F106" s="11">
        <v>45805</v>
      </c>
    </row>
    <row r="107" spans="1:6" x14ac:dyDescent="0.25">
      <c r="A107" s="12">
        <v>106</v>
      </c>
      <c r="B107" s="13" t="s">
        <v>86</v>
      </c>
      <c r="C107" s="13" t="s">
        <v>140</v>
      </c>
      <c r="D107" s="14">
        <v>3</v>
      </c>
      <c r="E107" s="15">
        <v>45853</v>
      </c>
      <c r="F107" s="16">
        <v>45856</v>
      </c>
    </row>
    <row r="108" spans="1:6" x14ac:dyDescent="0.25">
      <c r="A108" s="7">
        <v>107</v>
      </c>
      <c r="B108" s="8" t="s">
        <v>43</v>
      </c>
      <c r="C108" s="8" t="s">
        <v>141</v>
      </c>
      <c r="D108" s="9">
        <v>3</v>
      </c>
      <c r="E108" s="10">
        <v>45848</v>
      </c>
      <c r="F108" s="11">
        <v>45852</v>
      </c>
    </row>
    <row r="109" spans="1:6" x14ac:dyDescent="0.25">
      <c r="A109" s="12">
        <v>108</v>
      </c>
      <c r="B109" s="13" t="s">
        <v>65</v>
      </c>
      <c r="C109" s="13" t="s">
        <v>142</v>
      </c>
      <c r="D109" s="14">
        <v>1</v>
      </c>
      <c r="E109" s="15">
        <v>45848</v>
      </c>
      <c r="F109" s="16">
        <v>45852</v>
      </c>
    </row>
    <row r="110" spans="1:6" x14ac:dyDescent="0.25">
      <c r="A110" s="7">
        <v>109</v>
      </c>
      <c r="B110" s="8" t="s">
        <v>23</v>
      </c>
      <c r="C110" s="8" t="s">
        <v>143</v>
      </c>
      <c r="D110" s="9">
        <v>1</v>
      </c>
      <c r="E110" s="10">
        <v>45858</v>
      </c>
      <c r="F110" s="11">
        <v>45859</v>
      </c>
    </row>
    <row r="111" spans="1:6" x14ac:dyDescent="0.25">
      <c r="A111" s="12">
        <v>110</v>
      </c>
      <c r="B111" s="13" t="s">
        <v>36</v>
      </c>
      <c r="C111" s="13" t="s">
        <v>144</v>
      </c>
      <c r="D111" s="14">
        <v>2</v>
      </c>
      <c r="E111" s="15">
        <v>45803</v>
      </c>
      <c r="F111" s="16">
        <v>45805</v>
      </c>
    </row>
    <row r="112" spans="1:6" x14ac:dyDescent="0.25">
      <c r="A112" s="7">
        <v>111</v>
      </c>
      <c r="B112" s="8" t="s">
        <v>8</v>
      </c>
      <c r="C112" s="8" t="s">
        <v>145</v>
      </c>
      <c r="D112" s="9">
        <v>1</v>
      </c>
      <c r="E112" s="10">
        <v>45858</v>
      </c>
      <c r="F112" s="11">
        <v>45859</v>
      </c>
    </row>
    <row r="113" spans="1:6" x14ac:dyDescent="0.25">
      <c r="A113" s="12">
        <v>112</v>
      </c>
      <c r="B113" s="13" t="s">
        <v>43</v>
      </c>
      <c r="C113" s="13" t="s">
        <v>146</v>
      </c>
      <c r="D113" s="14">
        <v>1</v>
      </c>
      <c r="E113" s="15">
        <v>45858</v>
      </c>
      <c r="F113" s="16">
        <v>45859</v>
      </c>
    </row>
    <row r="114" spans="1:6" x14ac:dyDescent="0.25">
      <c r="A114" s="7">
        <v>113</v>
      </c>
      <c r="B114" s="8" t="s">
        <v>84</v>
      </c>
      <c r="C114" s="8" t="s">
        <v>147</v>
      </c>
      <c r="D114" s="9">
        <v>1</v>
      </c>
      <c r="E114" s="10">
        <v>45858</v>
      </c>
      <c r="F114" s="11">
        <v>45859</v>
      </c>
    </row>
    <row r="115" spans="1:6" x14ac:dyDescent="0.25">
      <c r="A115" s="12">
        <v>114</v>
      </c>
      <c r="B115" s="13" t="s">
        <v>110</v>
      </c>
      <c r="C115" s="13" t="s">
        <v>148</v>
      </c>
      <c r="D115" s="14">
        <v>2</v>
      </c>
      <c r="E115" s="15">
        <v>45858</v>
      </c>
      <c r="F115" s="16">
        <v>45859</v>
      </c>
    </row>
    <row r="116" spans="1:6" x14ac:dyDescent="0.25">
      <c r="A116" s="7">
        <v>115</v>
      </c>
      <c r="B116" s="8" t="s">
        <v>84</v>
      </c>
      <c r="C116" s="8" t="s">
        <v>149</v>
      </c>
      <c r="D116" s="9">
        <v>2</v>
      </c>
      <c r="E116" s="10">
        <v>45858</v>
      </c>
      <c r="F116" s="11">
        <v>45859</v>
      </c>
    </row>
    <row r="117" spans="1:6" x14ac:dyDescent="0.25">
      <c r="A117" s="12">
        <v>116</v>
      </c>
      <c r="B117" s="13" t="s">
        <v>16</v>
      </c>
      <c r="C117" s="13" t="s">
        <v>150</v>
      </c>
      <c r="D117" s="14">
        <v>2</v>
      </c>
      <c r="E117" s="15">
        <v>45858</v>
      </c>
      <c r="F117" s="16">
        <v>45859</v>
      </c>
    </row>
    <row r="118" spans="1:6" x14ac:dyDescent="0.25">
      <c r="A118" s="7">
        <v>117</v>
      </c>
      <c r="B118" s="8" t="s">
        <v>14</v>
      </c>
      <c r="C118" s="8" t="s">
        <v>151</v>
      </c>
      <c r="D118" s="9">
        <v>2</v>
      </c>
      <c r="E118" s="10">
        <v>45858</v>
      </c>
      <c r="F118" s="11">
        <v>45859</v>
      </c>
    </row>
    <row r="119" spans="1:6" x14ac:dyDescent="0.25">
      <c r="A119" s="12">
        <v>118</v>
      </c>
      <c r="B119" s="13" t="s">
        <v>65</v>
      </c>
      <c r="C119" s="13" t="s">
        <v>152</v>
      </c>
      <c r="D119" s="14">
        <v>3</v>
      </c>
      <c r="E119" s="15">
        <v>45853</v>
      </c>
      <c r="F119" s="16">
        <v>45856</v>
      </c>
    </row>
    <row r="120" spans="1:6" x14ac:dyDescent="0.25">
      <c r="A120" s="7">
        <v>119</v>
      </c>
      <c r="B120" s="8" t="s">
        <v>102</v>
      </c>
      <c r="C120" s="8" t="s">
        <v>153</v>
      </c>
      <c r="D120" s="9">
        <v>2</v>
      </c>
      <c r="E120" s="10">
        <v>45803</v>
      </c>
      <c r="F120" s="11">
        <v>45805</v>
      </c>
    </row>
    <row r="121" spans="1:6" x14ac:dyDescent="0.25">
      <c r="A121" s="12">
        <v>120</v>
      </c>
      <c r="B121" s="13" t="s">
        <v>26</v>
      </c>
      <c r="C121" s="13" t="s">
        <v>154</v>
      </c>
      <c r="D121" s="14">
        <v>4</v>
      </c>
      <c r="E121" s="15">
        <v>45795</v>
      </c>
      <c r="F121" s="16">
        <v>45798</v>
      </c>
    </row>
    <row r="122" spans="1:6" x14ac:dyDescent="0.25">
      <c r="A122" s="7">
        <v>121</v>
      </c>
      <c r="B122" s="8" t="s">
        <v>6</v>
      </c>
      <c r="C122" s="8" t="s">
        <v>155</v>
      </c>
      <c r="D122" s="9">
        <v>2</v>
      </c>
      <c r="E122" s="10">
        <v>45863</v>
      </c>
      <c r="F122" s="11">
        <v>45866</v>
      </c>
    </row>
    <row r="123" spans="1:6" x14ac:dyDescent="0.25">
      <c r="A123" s="12">
        <v>122</v>
      </c>
      <c r="B123" s="13" t="s">
        <v>6</v>
      </c>
      <c r="C123" s="13" t="s">
        <v>156</v>
      </c>
      <c r="D123" s="14">
        <v>2</v>
      </c>
      <c r="E123" s="15">
        <v>45863</v>
      </c>
      <c r="F123" s="16">
        <v>45866</v>
      </c>
    </row>
    <row r="124" spans="1:6" x14ac:dyDescent="0.25">
      <c r="A124" s="7">
        <v>123</v>
      </c>
      <c r="B124" s="8" t="s">
        <v>8</v>
      </c>
      <c r="C124" s="8" t="s">
        <v>157</v>
      </c>
      <c r="D124" s="9">
        <v>2</v>
      </c>
      <c r="E124" s="10">
        <v>45863</v>
      </c>
      <c r="F124" s="11">
        <v>45866</v>
      </c>
    </row>
    <row r="125" spans="1:6" x14ac:dyDescent="0.25">
      <c r="A125" s="12">
        <v>124</v>
      </c>
      <c r="B125" s="13" t="s">
        <v>49</v>
      </c>
      <c r="C125" s="13" t="s">
        <v>158</v>
      </c>
      <c r="D125" s="14">
        <v>2</v>
      </c>
      <c r="E125" s="15">
        <v>45863</v>
      </c>
      <c r="F125" s="16">
        <v>45866</v>
      </c>
    </row>
    <row r="126" spans="1:6" x14ac:dyDescent="0.25">
      <c r="A126" s="7">
        <v>125</v>
      </c>
      <c r="B126" s="8" t="s">
        <v>23</v>
      </c>
      <c r="C126" s="8" t="s">
        <v>159</v>
      </c>
      <c r="D126" s="9">
        <v>3</v>
      </c>
      <c r="E126" s="10">
        <v>45778</v>
      </c>
      <c r="F126" s="11">
        <v>45780</v>
      </c>
    </row>
    <row r="127" spans="1:6" x14ac:dyDescent="0.25">
      <c r="A127" s="12">
        <v>126</v>
      </c>
      <c r="B127" s="13" t="s">
        <v>6</v>
      </c>
      <c r="C127" s="13" t="s">
        <v>160</v>
      </c>
      <c r="D127" s="14">
        <v>3</v>
      </c>
      <c r="E127" s="15">
        <v>45816</v>
      </c>
      <c r="F127" s="16">
        <v>45817</v>
      </c>
    </row>
    <row r="128" spans="1:6" x14ac:dyDescent="0.25">
      <c r="A128" s="7">
        <v>127</v>
      </c>
      <c r="B128" s="8" t="s">
        <v>38</v>
      </c>
      <c r="C128" s="8" t="s">
        <v>161</v>
      </c>
      <c r="D128" s="9">
        <v>1</v>
      </c>
      <c r="E128" s="10">
        <v>45839</v>
      </c>
      <c r="F128" s="11">
        <v>45841</v>
      </c>
    </row>
    <row r="129" spans="1:6" x14ac:dyDescent="0.25">
      <c r="A129" s="12">
        <v>128</v>
      </c>
      <c r="B129" s="13" t="s">
        <v>38</v>
      </c>
      <c r="C129" s="13" t="s">
        <v>162</v>
      </c>
      <c r="D129" s="14">
        <v>3</v>
      </c>
      <c r="E129" s="15">
        <v>45853</v>
      </c>
      <c r="F129" s="16">
        <v>45856</v>
      </c>
    </row>
    <row r="130" spans="1:6" x14ac:dyDescent="0.25">
      <c r="A130" s="7">
        <v>129</v>
      </c>
      <c r="B130" s="8" t="s">
        <v>18</v>
      </c>
      <c r="C130" s="8" t="s">
        <v>163</v>
      </c>
      <c r="D130" s="9">
        <v>2</v>
      </c>
      <c r="E130" s="10">
        <v>45863</v>
      </c>
      <c r="F130" s="11">
        <v>45866</v>
      </c>
    </row>
    <row r="131" spans="1:6" x14ac:dyDescent="0.25">
      <c r="A131" s="12">
        <v>130</v>
      </c>
      <c r="B131" s="13" t="s">
        <v>8</v>
      </c>
      <c r="C131" s="13" t="s">
        <v>164</v>
      </c>
      <c r="D131" s="14">
        <v>2</v>
      </c>
      <c r="E131" s="15">
        <v>45863</v>
      </c>
      <c r="F131" s="16">
        <v>45866</v>
      </c>
    </row>
    <row r="132" spans="1:6" x14ac:dyDescent="0.25">
      <c r="A132" s="7">
        <v>131</v>
      </c>
      <c r="B132" s="8" t="s">
        <v>165</v>
      </c>
      <c r="C132" s="8" t="s">
        <v>166</v>
      </c>
      <c r="D132" s="9">
        <v>1</v>
      </c>
      <c r="E132" s="10">
        <v>45778</v>
      </c>
      <c r="F132" s="11">
        <v>45780</v>
      </c>
    </row>
    <row r="133" spans="1:6" x14ac:dyDescent="0.25">
      <c r="A133" s="12">
        <v>132</v>
      </c>
      <c r="B133" s="13" t="s">
        <v>54</v>
      </c>
      <c r="C133" s="13" t="s">
        <v>167</v>
      </c>
      <c r="D133" s="14">
        <v>1</v>
      </c>
      <c r="E133" s="15">
        <v>45778</v>
      </c>
      <c r="F133" s="16">
        <v>45780</v>
      </c>
    </row>
    <row r="134" spans="1:6" x14ac:dyDescent="0.25">
      <c r="A134" s="7">
        <v>133</v>
      </c>
      <c r="B134" s="8" t="s">
        <v>43</v>
      </c>
      <c r="C134" s="8" t="s">
        <v>168</v>
      </c>
      <c r="D134" s="9">
        <v>2</v>
      </c>
      <c r="E134" s="10">
        <v>45863</v>
      </c>
      <c r="F134" s="11">
        <v>45866</v>
      </c>
    </row>
    <row r="135" spans="1:6" x14ac:dyDescent="0.25">
      <c r="A135" s="12">
        <v>134</v>
      </c>
      <c r="B135" s="13" t="s">
        <v>84</v>
      </c>
      <c r="C135" s="13" t="s">
        <v>169</v>
      </c>
      <c r="D135" s="14">
        <v>2</v>
      </c>
      <c r="E135" s="15">
        <v>45818</v>
      </c>
      <c r="F135" s="16">
        <v>45823</v>
      </c>
    </row>
    <row r="136" spans="1:6" x14ac:dyDescent="0.25">
      <c r="A136" s="7">
        <v>135</v>
      </c>
      <c r="B136" s="8" t="s">
        <v>8</v>
      </c>
      <c r="C136" s="8" t="s">
        <v>170</v>
      </c>
      <c r="D136" s="9">
        <v>2</v>
      </c>
      <c r="E136" s="10">
        <v>45863</v>
      </c>
      <c r="F136" s="11">
        <v>45866</v>
      </c>
    </row>
    <row r="137" spans="1:6" x14ac:dyDescent="0.25">
      <c r="A137" s="12">
        <v>136</v>
      </c>
      <c r="B137" s="13" t="s">
        <v>45</v>
      </c>
      <c r="C137" s="13" t="s">
        <v>171</v>
      </c>
      <c r="D137" s="14">
        <v>1</v>
      </c>
      <c r="E137" s="15">
        <v>45863</v>
      </c>
      <c r="F137" s="16">
        <v>45866</v>
      </c>
    </row>
    <row r="138" spans="1:6" x14ac:dyDescent="0.25">
      <c r="A138" s="7">
        <v>137</v>
      </c>
      <c r="B138" s="8" t="s">
        <v>110</v>
      </c>
      <c r="C138" s="8" t="s">
        <v>172</v>
      </c>
      <c r="D138" s="9">
        <v>3</v>
      </c>
      <c r="E138" s="10">
        <v>45871</v>
      </c>
      <c r="F138" s="11">
        <v>45875</v>
      </c>
    </row>
    <row r="139" spans="1:6" x14ac:dyDescent="0.25">
      <c r="A139" s="12">
        <v>138</v>
      </c>
      <c r="B139" s="13" t="s">
        <v>20</v>
      </c>
      <c r="C139" s="13" t="s">
        <v>173</v>
      </c>
      <c r="D139" s="14">
        <v>3</v>
      </c>
      <c r="E139" s="15">
        <v>45871</v>
      </c>
      <c r="F139" s="16">
        <v>45875</v>
      </c>
    </row>
    <row r="140" spans="1:6" x14ac:dyDescent="0.25">
      <c r="A140" s="7">
        <v>139</v>
      </c>
      <c r="B140" s="8" t="s">
        <v>102</v>
      </c>
      <c r="C140" s="8" t="s">
        <v>174</v>
      </c>
      <c r="D140" s="9">
        <v>3</v>
      </c>
      <c r="E140" s="10">
        <v>45871</v>
      </c>
      <c r="F140" s="11">
        <v>45875</v>
      </c>
    </row>
    <row r="141" spans="1:6" x14ac:dyDescent="0.25">
      <c r="A141" s="12">
        <v>140</v>
      </c>
      <c r="B141" s="13" t="s">
        <v>38</v>
      </c>
      <c r="C141" s="13" t="s">
        <v>175</v>
      </c>
      <c r="D141" s="14">
        <v>2</v>
      </c>
      <c r="E141" s="15">
        <v>45818</v>
      </c>
      <c r="F141" s="16">
        <v>45823</v>
      </c>
    </row>
    <row r="142" spans="1:6" x14ac:dyDescent="0.25">
      <c r="A142" s="7">
        <v>141</v>
      </c>
      <c r="B142" s="8" t="s">
        <v>20</v>
      </c>
      <c r="C142" s="8" t="s">
        <v>176</v>
      </c>
      <c r="D142" s="9">
        <v>2</v>
      </c>
      <c r="E142" s="10">
        <v>45853</v>
      </c>
      <c r="F142" s="11">
        <v>45856</v>
      </c>
    </row>
    <row r="143" spans="1:6" x14ac:dyDescent="0.25">
      <c r="A143" s="12">
        <v>142</v>
      </c>
      <c r="B143" s="13" t="s">
        <v>29</v>
      </c>
      <c r="C143" s="13" t="s">
        <v>177</v>
      </c>
      <c r="D143" s="14">
        <v>3</v>
      </c>
      <c r="E143" s="15">
        <v>45871</v>
      </c>
      <c r="F143" s="16">
        <v>45875</v>
      </c>
    </row>
    <row r="144" spans="1:6" x14ac:dyDescent="0.25">
      <c r="A144" s="7">
        <v>143</v>
      </c>
      <c r="B144" s="8" t="s">
        <v>118</v>
      </c>
      <c r="C144" s="8" t="s">
        <v>178</v>
      </c>
      <c r="D144" s="9">
        <v>2</v>
      </c>
      <c r="E144" s="10">
        <v>45871</v>
      </c>
      <c r="F144" s="11">
        <v>45875</v>
      </c>
    </row>
    <row r="145" spans="1:6" x14ac:dyDescent="0.25">
      <c r="A145" s="12">
        <v>144</v>
      </c>
      <c r="B145" s="13" t="s">
        <v>34</v>
      </c>
      <c r="C145" s="13" t="s">
        <v>179</v>
      </c>
      <c r="D145" s="14">
        <v>2</v>
      </c>
      <c r="E145" s="15">
        <v>45871</v>
      </c>
      <c r="F145" s="16">
        <v>45875</v>
      </c>
    </row>
    <row r="146" spans="1:6" x14ac:dyDescent="0.25">
      <c r="A146" s="7">
        <v>145</v>
      </c>
      <c r="B146" s="8" t="s">
        <v>12</v>
      </c>
      <c r="C146" s="8" t="s">
        <v>180</v>
      </c>
      <c r="D146" s="9">
        <v>2</v>
      </c>
      <c r="E146" s="10">
        <v>45818</v>
      </c>
      <c r="F146" s="11">
        <v>45823</v>
      </c>
    </row>
    <row r="147" spans="1:6" x14ac:dyDescent="0.25">
      <c r="A147" s="12">
        <v>146</v>
      </c>
      <c r="B147" s="13" t="s">
        <v>6</v>
      </c>
      <c r="C147" s="13" t="s">
        <v>181</v>
      </c>
      <c r="D147" s="14">
        <v>2</v>
      </c>
      <c r="E147" s="15">
        <v>45871</v>
      </c>
      <c r="F147" s="16">
        <v>45875</v>
      </c>
    </row>
    <row r="148" spans="1:6" x14ac:dyDescent="0.25">
      <c r="A148" s="7">
        <v>147</v>
      </c>
      <c r="B148" s="8" t="s">
        <v>51</v>
      </c>
      <c r="C148" s="8" t="s">
        <v>182</v>
      </c>
      <c r="D148" s="9">
        <v>2</v>
      </c>
      <c r="E148" s="10">
        <v>45839</v>
      </c>
      <c r="F148" s="11">
        <v>45841</v>
      </c>
    </row>
    <row r="149" spans="1:6" x14ac:dyDescent="0.25">
      <c r="A149" s="12">
        <v>148</v>
      </c>
      <c r="B149" s="13" t="s">
        <v>38</v>
      </c>
      <c r="C149" s="13" t="s">
        <v>183</v>
      </c>
      <c r="D149" s="14">
        <v>2</v>
      </c>
      <c r="E149" s="15">
        <v>45818</v>
      </c>
      <c r="F149" s="16">
        <v>45823</v>
      </c>
    </row>
    <row r="150" spans="1:6" x14ac:dyDescent="0.25">
      <c r="A150" s="7">
        <v>149</v>
      </c>
      <c r="B150" s="8" t="s">
        <v>86</v>
      </c>
      <c r="C150" s="8" t="s">
        <v>184</v>
      </c>
      <c r="D150" s="9">
        <v>2</v>
      </c>
      <c r="E150" s="10">
        <v>45871</v>
      </c>
      <c r="F150" s="11">
        <v>45875</v>
      </c>
    </row>
    <row r="151" spans="1:6" x14ac:dyDescent="0.25">
      <c r="A151" s="12">
        <v>150</v>
      </c>
      <c r="B151" s="13" t="s">
        <v>51</v>
      </c>
      <c r="C151" s="13" t="s">
        <v>185</v>
      </c>
      <c r="D151" s="14">
        <v>1</v>
      </c>
      <c r="E151" s="15">
        <v>45871</v>
      </c>
      <c r="F151" s="16">
        <v>45875</v>
      </c>
    </row>
    <row r="152" spans="1:6" x14ac:dyDescent="0.25">
      <c r="A152" s="7">
        <v>151</v>
      </c>
      <c r="B152" s="8" t="s">
        <v>6</v>
      </c>
      <c r="C152" s="8" t="s">
        <v>7</v>
      </c>
      <c r="D152" s="9">
        <v>1</v>
      </c>
      <c r="E152" s="10">
        <v>45871</v>
      </c>
      <c r="F152" s="11">
        <v>45875</v>
      </c>
    </row>
    <row r="153" spans="1:6" x14ac:dyDescent="0.25">
      <c r="A153" s="12">
        <v>152</v>
      </c>
      <c r="B153" s="13" t="s">
        <v>29</v>
      </c>
      <c r="C153" s="13" t="s">
        <v>124</v>
      </c>
      <c r="D153" s="14">
        <v>1</v>
      </c>
      <c r="E153" s="15">
        <v>45871</v>
      </c>
      <c r="F153" s="16">
        <v>45875</v>
      </c>
    </row>
    <row r="154" spans="1:6" x14ac:dyDescent="0.25">
      <c r="A154" s="7">
        <v>153</v>
      </c>
      <c r="B154" s="8" t="s">
        <v>54</v>
      </c>
      <c r="C154" s="8" t="s">
        <v>117</v>
      </c>
      <c r="D154" s="9">
        <v>2</v>
      </c>
      <c r="E154" s="10">
        <v>45818</v>
      </c>
      <c r="F154" s="11">
        <v>45823</v>
      </c>
    </row>
    <row r="155" spans="1:6" x14ac:dyDescent="0.25">
      <c r="A155" s="12">
        <v>154</v>
      </c>
      <c r="B155" s="13" t="s">
        <v>43</v>
      </c>
      <c r="C155" s="13" t="s">
        <v>132</v>
      </c>
      <c r="D155" s="14">
        <v>2</v>
      </c>
      <c r="E155" s="15">
        <v>45853</v>
      </c>
      <c r="F155" s="16">
        <v>45856</v>
      </c>
    </row>
    <row r="156" spans="1:6" x14ac:dyDescent="0.25">
      <c r="A156" s="7">
        <v>155</v>
      </c>
      <c r="B156" s="8" t="s">
        <v>6</v>
      </c>
      <c r="C156" s="8" t="s">
        <v>156</v>
      </c>
      <c r="D156" s="9">
        <v>1</v>
      </c>
      <c r="E156" s="10">
        <v>45871</v>
      </c>
      <c r="F156" s="11">
        <v>45875</v>
      </c>
    </row>
    <row r="157" spans="1:6" x14ac:dyDescent="0.25">
      <c r="A157" s="12">
        <v>156</v>
      </c>
      <c r="B157" s="13" t="s">
        <v>34</v>
      </c>
      <c r="C157" s="13" t="s">
        <v>134</v>
      </c>
      <c r="D157" s="14">
        <v>2</v>
      </c>
      <c r="E157" s="15">
        <v>45879</v>
      </c>
      <c r="F157" s="16">
        <v>45881</v>
      </c>
    </row>
    <row r="158" spans="1:6" x14ac:dyDescent="0.25">
      <c r="A158" s="7">
        <v>157</v>
      </c>
      <c r="B158" s="8" t="s">
        <v>54</v>
      </c>
      <c r="C158" s="8" t="s">
        <v>167</v>
      </c>
      <c r="D158" s="9">
        <v>2</v>
      </c>
      <c r="E158" s="10">
        <v>45879</v>
      </c>
      <c r="F158" s="11">
        <v>45881</v>
      </c>
    </row>
    <row r="159" spans="1:6" x14ac:dyDescent="0.25">
      <c r="A159" s="12">
        <v>158</v>
      </c>
      <c r="B159" s="13" t="s">
        <v>14</v>
      </c>
      <c r="C159" s="13" t="s">
        <v>116</v>
      </c>
      <c r="D159" s="14">
        <v>2</v>
      </c>
      <c r="E159" s="15">
        <v>45879</v>
      </c>
      <c r="F159" s="16">
        <v>45881</v>
      </c>
    </row>
    <row r="160" spans="1:6" x14ac:dyDescent="0.25">
      <c r="A160" s="7">
        <v>159</v>
      </c>
      <c r="B160" s="8" t="s">
        <v>165</v>
      </c>
      <c r="C160" s="8" t="s">
        <v>166</v>
      </c>
      <c r="D160" s="9">
        <v>2</v>
      </c>
      <c r="E160" s="10">
        <v>45879</v>
      </c>
      <c r="F160" s="11">
        <v>45881</v>
      </c>
    </row>
    <row r="161" spans="1:6" x14ac:dyDescent="0.25">
      <c r="A161" s="12">
        <v>160</v>
      </c>
      <c r="B161" s="13" t="s">
        <v>29</v>
      </c>
      <c r="C161" s="13" t="s">
        <v>124</v>
      </c>
      <c r="D161" s="14">
        <v>1</v>
      </c>
      <c r="E161" s="15">
        <v>45839</v>
      </c>
      <c r="F161" s="16">
        <v>45841</v>
      </c>
    </row>
    <row r="162" spans="1:6" x14ac:dyDescent="0.25">
      <c r="A162" s="7">
        <v>161</v>
      </c>
      <c r="B162" s="8" t="s">
        <v>84</v>
      </c>
      <c r="C162" s="8" t="s">
        <v>169</v>
      </c>
      <c r="D162" s="9">
        <v>2</v>
      </c>
      <c r="E162" s="10">
        <v>45818</v>
      </c>
      <c r="F162" s="11">
        <v>45823</v>
      </c>
    </row>
    <row r="163" spans="1:6" x14ac:dyDescent="0.25">
      <c r="A163" s="12">
        <v>162</v>
      </c>
      <c r="B163" s="13" t="s">
        <v>26</v>
      </c>
      <c r="C163" s="13" t="s">
        <v>130</v>
      </c>
      <c r="D163" s="14">
        <v>2</v>
      </c>
      <c r="E163" s="15">
        <v>45879</v>
      </c>
      <c r="F163" s="16">
        <v>45881</v>
      </c>
    </row>
    <row r="164" spans="1:6" x14ac:dyDescent="0.25">
      <c r="A164" s="7">
        <v>163</v>
      </c>
      <c r="B164" s="8" t="s">
        <v>6</v>
      </c>
      <c r="C164" s="8" t="s">
        <v>156</v>
      </c>
      <c r="D164" s="9">
        <v>2</v>
      </c>
      <c r="E164" s="10">
        <v>45879</v>
      </c>
      <c r="F164" s="11">
        <v>45881</v>
      </c>
    </row>
    <row r="165" spans="1:6" x14ac:dyDescent="0.25">
      <c r="A165" s="12">
        <v>164</v>
      </c>
      <c r="B165" s="13" t="s">
        <v>54</v>
      </c>
      <c r="C165" s="13" t="s">
        <v>117</v>
      </c>
      <c r="D165" s="14">
        <v>1</v>
      </c>
      <c r="E165" s="15">
        <v>45883</v>
      </c>
      <c r="F165" s="16">
        <v>45886</v>
      </c>
    </row>
    <row r="166" spans="1:6" x14ac:dyDescent="0.25">
      <c r="A166" s="7">
        <v>165</v>
      </c>
      <c r="B166" s="8" t="s">
        <v>45</v>
      </c>
      <c r="C166" s="8" t="s">
        <v>171</v>
      </c>
      <c r="D166" s="9">
        <v>1</v>
      </c>
      <c r="E166" s="10">
        <v>45883</v>
      </c>
      <c r="F166" s="11">
        <v>45886</v>
      </c>
    </row>
    <row r="167" spans="1:6" x14ac:dyDescent="0.25">
      <c r="A167" s="12">
        <v>166</v>
      </c>
      <c r="B167" s="13" t="s">
        <v>23</v>
      </c>
      <c r="C167" s="13" t="s">
        <v>159</v>
      </c>
      <c r="D167" s="14">
        <v>1</v>
      </c>
      <c r="E167" s="15">
        <v>45883</v>
      </c>
      <c r="F167" s="16">
        <v>45886</v>
      </c>
    </row>
    <row r="168" spans="1:6" x14ac:dyDescent="0.25">
      <c r="A168" s="7">
        <v>167</v>
      </c>
      <c r="B168" s="8" t="s">
        <v>84</v>
      </c>
      <c r="C168" s="8" t="s">
        <v>169</v>
      </c>
      <c r="D168" s="9">
        <v>1</v>
      </c>
      <c r="E168" s="10">
        <v>45883</v>
      </c>
      <c r="F168" s="11">
        <v>45886</v>
      </c>
    </row>
    <row r="169" spans="1:6" x14ac:dyDescent="0.25">
      <c r="A169" s="12">
        <v>168</v>
      </c>
      <c r="B169" s="13" t="s">
        <v>14</v>
      </c>
      <c r="C169" s="13" t="s">
        <v>116</v>
      </c>
      <c r="D169" s="14">
        <v>3</v>
      </c>
      <c r="E169" s="15">
        <v>45883</v>
      </c>
      <c r="F169" s="16">
        <v>45886</v>
      </c>
    </row>
    <row r="170" spans="1:6" x14ac:dyDescent="0.25">
      <c r="A170" s="7">
        <v>169</v>
      </c>
      <c r="B170" s="8" t="s">
        <v>18</v>
      </c>
      <c r="C170" s="8" t="s">
        <v>163</v>
      </c>
      <c r="D170" s="9">
        <v>2</v>
      </c>
      <c r="E170" s="10">
        <v>45853</v>
      </c>
      <c r="F170" s="11">
        <v>45856</v>
      </c>
    </row>
    <row r="171" spans="1:6" x14ac:dyDescent="0.25">
      <c r="A171" s="12">
        <v>170</v>
      </c>
      <c r="B171" s="13" t="s">
        <v>14</v>
      </c>
      <c r="C171" s="13" t="s">
        <v>105</v>
      </c>
      <c r="D171" s="14">
        <v>1</v>
      </c>
      <c r="E171" s="15">
        <v>45839</v>
      </c>
      <c r="F171" s="16">
        <v>45841</v>
      </c>
    </row>
    <row r="172" spans="1:6" x14ac:dyDescent="0.25">
      <c r="A172" s="7">
        <v>171</v>
      </c>
      <c r="B172" s="8" t="s">
        <v>43</v>
      </c>
      <c r="C172" s="8" t="s">
        <v>141</v>
      </c>
      <c r="D172" s="9">
        <v>2</v>
      </c>
      <c r="E172" s="10">
        <v>45809</v>
      </c>
      <c r="F172" s="11">
        <v>45812</v>
      </c>
    </row>
    <row r="173" spans="1:6" x14ac:dyDescent="0.25">
      <c r="A173" s="12">
        <v>172</v>
      </c>
      <c r="B173" s="13" t="s">
        <v>84</v>
      </c>
      <c r="C173" s="13" t="s">
        <v>169</v>
      </c>
      <c r="D173" s="14">
        <v>3</v>
      </c>
      <c r="E173" s="15">
        <v>45883</v>
      </c>
      <c r="F173" s="16">
        <v>45886</v>
      </c>
    </row>
    <row r="174" spans="1:6" x14ac:dyDescent="0.25">
      <c r="A174" s="7">
        <v>173</v>
      </c>
      <c r="B174" s="8" t="s">
        <v>45</v>
      </c>
      <c r="C174" s="8" t="s">
        <v>171</v>
      </c>
      <c r="D174" s="9">
        <v>3</v>
      </c>
      <c r="E174" s="10">
        <v>45883</v>
      </c>
      <c r="F174" s="11">
        <v>45886</v>
      </c>
    </row>
    <row r="175" spans="1:6" x14ac:dyDescent="0.25">
      <c r="A175" s="12">
        <v>174</v>
      </c>
      <c r="B175" s="13" t="s">
        <v>34</v>
      </c>
      <c r="C175" s="13" t="s">
        <v>134</v>
      </c>
      <c r="D175" s="14">
        <v>3</v>
      </c>
      <c r="E175" s="15">
        <v>45883</v>
      </c>
      <c r="F175" s="16">
        <v>45886</v>
      </c>
    </row>
    <row r="176" spans="1:6" x14ac:dyDescent="0.25">
      <c r="A176" s="7">
        <v>175</v>
      </c>
      <c r="B176" s="8" t="s">
        <v>6</v>
      </c>
      <c r="C176" s="8" t="s">
        <v>156</v>
      </c>
      <c r="D176" s="9">
        <v>4</v>
      </c>
      <c r="E176" s="10">
        <v>45883</v>
      </c>
      <c r="F176" s="11">
        <v>45886</v>
      </c>
    </row>
    <row r="177" spans="1:6" x14ac:dyDescent="0.25">
      <c r="A177" s="12">
        <v>176</v>
      </c>
      <c r="B177" s="13" t="s">
        <v>54</v>
      </c>
      <c r="C177" s="13" t="s">
        <v>117</v>
      </c>
      <c r="D177" s="14">
        <v>4</v>
      </c>
      <c r="E177" s="15">
        <v>45809</v>
      </c>
      <c r="F177" s="16">
        <v>45812</v>
      </c>
    </row>
    <row r="178" spans="1:6" x14ac:dyDescent="0.25">
      <c r="A178" s="7">
        <v>177</v>
      </c>
      <c r="B178" s="8" t="s">
        <v>110</v>
      </c>
      <c r="C178" s="8" t="s">
        <v>172</v>
      </c>
      <c r="D178" s="9">
        <v>3</v>
      </c>
      <c r="E178" s="10">
        <v>45839</v>
      </c>
      <c r="F178" s="11">
        <v>45852</v>
      </c>
    </row>
    <row r="179" spans="1:6" x14ac:dyDescent="0.25">
      <c r="A179" s="12">
        <v>178</v>
      </c>
      <c r="B179" s="13" t="s">
        <v>38</v>
      </c>
      <c r="C179" s="13" t="s">
        <v>161</v>
      </c>
      <c r="D179" s="14">
        <v>4</v>
      </c>
      <c r="E179" s="15">
        <v>45883</v>
      </c>
      <c r="F179" s="16">
        <v>45886</v>
      </c>
    </row>
    <row r="180" spans="1:6" x14ac:dyDescent="0.25">
      <c r="A180" s="7">
        <v>179</v>
      </c>
      <c r="B180" s="8" t="s">
        <v>23</v>
      </c>
      <c r="C180" s="8" t="s">
        <v>159</v>
      </c>
      <c r="D180" s="9">
        <v>2</v>
      </c>
      <c r="E180" s="10">
        <v>45883</v>
      </c>
      <c r="F180" s="11">
        <v>45886</v>
      </c>
    </row>
    <row r="181" spans="1:6" x14ac:dyDescent="0.25">
      <c r="A181" s="12">
        <v>180</v>
      </c>
      <c r="B181" s="13" t="s">
        <v>34</v>
      </c>
      <c r="C181" s="13" t="s">
        <v>134</v>
      </c>
      <c r="D181" s="14">
        <v>4</v>
      </c>
      <c r="E181" s="15">
        <v>45809</v>
      </c>
      <c r="F181" s="16">
        <v>45812</v>
      </c>
    </row>
    <row r="182" spans="1:6" x14ac:dyDescent="0.25">
      <c r="A182" s="7">
        <v>181</v>
      </c>
      <c r="B182" s="8" t="s">
        <v>45</v>
      </c>
      <c r="C182" s="8" t="s">
        <v>171</v>
      </c>
      <c r="D182" s="9">
        <v>1</v>
      </c>
      <c r="E182" s="10">
        <v>45809</v>
      </c>
      <c r="F182" s="11">
        <v>45812</v>
      </c>
    </row>
    <row r="183" spans="1:6" x14ac:dyDescent="0.25">
      <c r="A183" s="12">
        <v>182</v>
      </c>
      <c r="B183" s="13" t="s">
        <v>165</v>
      </c>
      <c r="C183" s="13" t="s">
        <v>166</v>
      </c>
      <c r="D183" s="14">
        <v>2</v>
      </c>
      <c r="E183" s="15">
        <v>45883</v>
      </c>
      <c r="F183" s="16">
        <v>45886</v>
      </c>
    </row>
    <row r="184" spans="1:6" x14ac:dyDescent="0.25">
      <c r="A184" s="7">
        <v>183</v>
      </c>
      <c r="B184" s="8" t="s">
        <v>20</v>
      </c>
      <c r="C184" s="8" t="s">
        <v>173</v>
      </c>
      <c r="D184" s="9">
        <v>2</v>
      </c>
      <c r="E184" s="10">
        <v>45883</v>
      </c>
      <c r="F184" s="11">
        <v>45886</v>
      </c>
    </row>
    <row r="185" spans="1:6" x14ac:dyDescent="0.25">
      <c r="A185" s="12">
        <v>184</v>
      </c>
      <c r="B185" s="13" t="s">
        <v>6</v>
      </c>
      <c r="C185" s="13" t="s">
        <v>7</v>
      </c>
      <c r="D185" s="14">
        <v>2</v>
      </c>
      <c r="E185" s="15">
        <v>45883</v>
      </c>
      <c r="F185" s="16">
        <v>45886</v>
      </c>
    </row>
    <row r="186" spans="1:6" x14ac:dyDescent="0.25">
      <c r="A186" s="7">
        <v>185</v>
      </c>
      <c r="B186" s="8" t="s">
        <v>110</v>
      </c>
      <c r="C186" s="8" t="s">
        <v>172</v>
      </c>
      <c r="D186" s="9">
        <v>2</v>
      </c>
      <c r="E186" s="10">
        <v>45883</v>
      </c>
      <c r="F186" s="11">
        <v>45886</v>
      </c>
    </row>
    <row r="187" spans="1:6" x14ac:dyDescent="0.25">
      <c r="A187" s="12">
        <v>186</v>
      </c>
      <c r="B187" s="13" t="s">
        <v>14</v>
      </c>
      <c r="C187" s="13" t="s">
        <v>116</v>
      </c>
      <c r="D187" s="14">
        <v>2</v>
      </c>
      <c r="E187" s="15">
        <v>45883</v>
      </c>
      <c r="F187" s="16">
        <v>45886</v>
      </c>
    </row>
    <row r="188" spans="1:6" x14ac:dyDescent="0.25">
      <c r="A188" s="7">
        <v>187</v>
      </c>
      <c r="B188" s="8" t="s">
        <v>73</v>
      </c>
      <c r="C188" s="8" t="s">
        <v>129</v>
      </c>
      <c r="D188" s="9">
        <v>2</v>
      </c>
      <c r="E188" s="10">
        <v>45883</v>
      </c>
      <c r="F188" s="11">
        <v>45886</v>
      </c>
    </row>
    <row r="189" spans="1:6" x14ac:dyDescent="0.25">
      <c r="A189" s="12">
        <v>188</v>
      </c>
      <c r="B189" s="13" t="s">
        <v>20</v>
      </c>
      <c r="C189" s="13" t="s">
        <v>173</v>
      </c>
      <c r="D189" s="14">
        <v>2</v>
      </c>
      <c r="E189" s="15">
        <v>45885</v>
      </c>
      <c r="F189" s="16">
        <v>45886</v>
      </c>
    </row>
    <row r="190" spans="1:6" x14ac:dyDescent="0.25">
      <c r="A190" s="7">
        <v>189</v>
      </c>
      <c r="B190" s="8" t="s">
        <v>102</v>
      </c>
      <c r="C190" s="8" t="s">
        <v>174</v>
      </c>
      <c r="D190" s="9">
        <v>3</v>
      </c>
      <c r="E190" s="10">
        <v>45889</v>
      </c>
      <c r="F190" s="11">
        <v>45891</v>
      </c>
    </row>
    <row r="191" spans="1:6" x14ac:dyDescent="0.25">
      <c r="A191" s="12">
        <v>190</v>
      </c>
      <c r="B191" s="13" t="s">
        <v>84</v>
      </c>
      <c r="C191" s="13" t="s">
        <v>92</v>
      </c>
      <c r="D191" s="14">
        <v>3</v>
      </c>
      <c r="E191" s="15">
        <v>45889</v>
      </c>
      <c r="F191" s="16">
        <v>45891</v>
      </c>
    </row>
    <row r="192" spans="1:6" x14ac:dyDescent="0.25">
      <c r="A192" s="7">
        <v>191</v>
      </c>
      <c r="B192" s="8" t="s">
        <v>54</v>
      </c>
      <c r="C192" s="8" t="s">
        <v>117</v>
      </c>
      <c r="D192" s="9">
        <v>3</v>
      </c>
      <c r="E192" s="10">
        <v>45889</v>
      </c>
      <c r="F192" s="11">
        <v>45891</v>
      </c>
    </row>
    <row r="193" spans="1:6" x14ac:dyDescent="0.25">
      <c r="A193" s="12">
        <v>192</v>
      </c>
      <c r="B193" s="13" t="s">
        <v>29</v>
      </c>
      <c r="C193" s="13" t="s">
        <v>177</v>
      </c>
      <c r="D193" s="14">
        <v>1</v>
      </c>
      <c r="E193" s="15">
        <v>45809</v>
      </c>
      <c r="F193" s="16">
        <v>45812</v>
      </c>
    </row>
    <row r="194" spans="1:6" x14ac:dyDescent="0.25">
      <c r="A194" s="7">
        <v>193</v>
      </c>
      <c r="B194" s="8" t="s">
        <v>73</v>
      </c>
      <c r="C194" s="8" t="s">
        <v>129</v>
      </c>
      <c r="D194" s="9">
        <v>1</v>
      </c>
      <c r="E194" s="10">
        <v>45809</v>
      </c>
      <c r="F194" s="11">
        <v>45812</v>
      </c>
    </row>
    <row r="195" spans="1:6" x14ac:dyDescent="0.25">
      <c r="A195" s="12">
        <v>194</v>
      </c>
      <c r="B195" s="13" t="s">
        <v>29</v>
      </c>
      <c r="C195" s="13" t="s">
        <v>124</v>
      </c>
      <c r="D195" s="14">
        <v>3</v>
      </c>
      <c r="E195" s="15">
        <v>45889</v>
      </c>
      <c r="F195" s="16">
        <v>45891</v>
      </c>
    </row>
    <row r="196" spans="1:6" x14ac:dyDescent="0.25">
      <c r="A196" s="7">
        <v>195</v>
      </c>
      <c r="B196" s="8" t="s">
        <v>54</v>
      </c>
      <c r="C196" s="8" t="s">
        <v>117</v>
      </c>
      <c r="D196" s="9">
        <v>1</v>
      </c>
      <c r="E196" s="10">
        <v>45897</v>
      </c>
      <c r="F196" s="11">
        <v>45898</v>
      </c>
    </row>
    <row r="197" spans="1:6" x14ac:dyDescent="0.25">
      <c r="A197" s="12">
        <v>196</v>
      </c>
      <c r="B197" s="13" t="s">
        <v>84</v>
      </c>
      <c r="C197" s="13" t="s">
        <v>169</v>
      </c>
      <c r="D197" s="14">
        <v>1</v>
      </c>
      <c r="E197" s="15">
        <v>45897</v>
      </c>
      <c r="F197" s="16">
        <v>45898</v>
      </c>
    </row>
    <row r="198" spans="1:6" x14ac:dyDescent="0.25">
      <c r="A198" s="7">
        <v>197</v>
      </c>
      <c r="B198" s="8" t="s">
        <v>16</v>
      </c>
      <c r="C198" s="8" t="s">
        <v>17</v>
      </c>
      <c r="D198" s="9">
        <v>1</v>
      </c>
      <c r="E198" s="10">
        <v>45897</v>
      </c>
      <c r="F198" s="11">
        <v>45898</v>
      </c>
    </row>
    <row r="199" spans="1:6" x14ac:dyDescent="0.25">
      <c r="A199" s="12">
        <v>198</v>
      </c>
      <c r="B199" s="13" t="s">
        <v>84</v>
      </c>
      <c r="C199" s="13" t="s">
        <v>149</v>
      </c>
      <c r="D199" s="14">
        <v>2</v>
      </c>
      <c r="E199" s="15">
        <v>45839</v>
      </c>
      <c r="F199" s="16">
        <v>45852</v>
      </c>
    </row>
    <row r="200" spans="1:6" x14ac:dyDescent="0.25">
      <c r="A200" s="7">
        <v>199</v>
      </c>
      <c r="B200" s="8" t="s">
        <v>34</v>
      </c>
      <c r="C200" s="8" t="s">
        <v>134</v>
      </c>
      <c r="D200" s="9">
        <v>3</v>
      </c>
      <c r="E200" s="10">
        <v>45809</v>
      </c>
      <c r="F200" s="11">
        <v>45812</v>
      </c>
    </row>
    <row r="201" spans="1:6" x14ac:dyDescent="0.25">
      <c r="A201" s="2">
        <v>200</v>
      </c>
      <c r="B201" s="17" t="s">
        <v>54</v>
      </c>
      <c r="C201" s="17" t="s">
        <v>117</v>
      </c>
      <c r="D201" s="3">
        <v>3</v>
      </c>
      <c r="E201" s="18">
        <v>45809</v>
      </c>
      <c r="F201" s="19">
        <v>45812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DF88-11A3-4A71-80B7-F3DA1089C401}">
  <dimension ref="A1:V309"/>
  <sheetViews>
    <sheetView tabSelected="1" topLeftCell="I1" zoomScale="130" zoomScaleNormal="130" workbookViewId="0">
      <selection activeCell="T3" sqref="T3"/>
    </sheetView>
  </sheetViews>
  <sheetFormatPr defaultRowHeight="15" x14ac:dyDescent="0.25"/>
  <cols>
    <col min="1" max="1" width="5.85546875" bestFit="1" customWidth="1"/>
    <col min="2" max="2" width="10.85546875" bestFit="1" customWidth="1"/>
    <col min="3" max="3" width="14.85546875" bestFit="1" customWidth="1"/>
    <col min="4" max="4" width="13" bestFit="1" customWidth="1"/>
    <col min="5" max="5" width="11" bestFit="1" customWidth="1"/>
    <col min="6" max="6" width="10.85546875" bestFit="1" customWidth="1"/>
    <col min="8" max="8" width="11.7109375" bestFit="1" customWidth="1"/>
    <col min="10" max="10" width="14.28515625" bestFit="1" customWidth="1"/>
    <col min="11" max="11" width="17.85546875" bestFit="1" customWidth="1"/>
    <col min="12" max="12" width="15.42578125" bestFit="1" customWidth="1"/>
    <col min="13" max="13" width="22.28515625" bestFit="1" customWidth="1"/>
    <col min="14" max="14" width="21.7109375" bestFit="1" customWidth="1"/>
    <col min="15" max="15" width="21.7109375" customWidth="1"/>
    <col min="16" max="16" width="17.7109375" bestFit="1" customWidth="1"/>
    <col min="17" max="17" width="12" bestFit="1" customWidth="1"/>
    <col min="18" max="18" width="18.28515625" bestFit="1" customWidth="1"/>
    <col min="19" max="19" width="17.7109375" bestFit="1" customWidth="1"/>
    <col min="20" max="20" width="28.42578125" bestFit="1" customWidth="1"/>
  </cols>
  <sheetData>
    <row r="1" spans="1:2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26" t="s">
        <v>191</v>
      </c>
      <c r="H1" s="26" t="s">
        <v>193</v>
      </c>
      <c r="I1" s="26" t="s">
        <v>192</v>
      </c>
      <c r="J1" s="26" t="s">
        <v>198</v>
      </c>
      <c r="K1" s="26" t="s">
        <v>204</v>
      </c>
      <c r="L1" s="26" t="s">
        <v>205</v>
      </c>
      <c r="M1" s="26" t="s">
        <v>206</v>
      </c>
      <c r="N1" s="26" t="s">
        <v>207</v>
      </c>
      <c r="O1" s="26"/>
    </row>
    <row r="2" spans="1:22" x14ac:dyDescent="0.25">
      <c r="A2" s="7">
        <v>1</v>
      </c>
      <c r="B2" s="8" t="s">
        <v>6</v>
      </c>
      <c r="C2" s="8" t="s">
        <v>7</v>
      </c>
      <c r="D2" s="9">
        <v>2</v>
      </c>
      <c r="E2" s="10">
        <v>45778</v>
      </c>
      <c r="F2" s="11">
        <v>45780</v>
      </c>
      <c r="G2">
        <f>F2-E2</f>
        <v>2</v>
      </c>
      <c r="H2">
        <f>VLOOKUP(D2,$P$2:$R$6,3,FALSE)</f>
        <v>240</v>
      </c>
      <c r="I2">
        <f>H2*G2</f>
        <v>480</v>
      </c>
      <c r="J2">
        <f>WEEKDAY(E2,2)</f>
        <v>4</v>
      </c>
      <c r="K2">
        <f>NETWORKDAYS(E2,F2-1)</f>
        <v>2</v>
      </c>
      <c r="L2">
        <f>G2-K2</f>
        <v>0</v>
      </c>
      <c r="M2">
        <f>K2*H2+L2*H2*1.2</f>
        <v>480</v>
      </c>
      <c r="N2">
        <f>IF(G2&gt;4,M2*0.9,M2)</f>
        <v>480</v>
      </c>
      <c r="P2" s="25" t="s">
        <v>3</v>
      </c>
      <c r="Q2" s="25" t="s">
        <v>189</v>
      </c>
      <c r="R2" s="25" t="s">
        <v>190</v>
      </c>
    </row>
    <row r="3" spans="1:22" x14ac:dyDescent="0.25">
      <c r="A3" s="12">
        <v>2</v>
      </c>
      <c r="B3" s="13" t="s">
        <v>8</v>
      </c>
      <c r="C3" s="13" t="s">
        <v>9</v>
      </c>
      <c r="D3" s="14">
        <v>3</v>
      </c>
      <c r="E3" s="15">
        <v>45787</v>
      </c>
      <c r="F3" s="16">
        <v>45792</v>
      </c>
      <c r="G3">
        <f t="shared" ref="G3:G66" si="0">F3-E3</f>
        <v>5</v>
      </c>
      <c r="H3">
        <f t="shared" ref="H3:H66" si="1">VLOOKUP(D3,$P$2:$R$6,3,FALSE)</f>
        <v>320</v>
      </c>
      <c r="I3">
        <f t="shared" ref="I3:I66" si="2">H3*G3</f>
        <v>1600</v>
      </c>
      <c r="J3">
        <f t="shared" ref="J3:J66" si="3">WEEKDAY(E3,2)</f>
        <v>6</v>
      </c>
      <c r="K3">
        <f t="shared" ref="K3:K66" si="4">NETWORKDAYS(E3,F3-1)</f>
        <v>3</v>
      </c>
      <c r="L3">
        <f t="shared" ref="L3:L66" si="5">G3-K3</f>
        <v>2</v>
      </c>
      <c r="M3">
        <f t="shared" ref="M3:M66" si="6">K3*H3+L3*H3*1.2</f>
        <v>1728</v>
      </c>
      <c r="N3">
        <f t="shared" ref="N3:N66" si="7">IF(G3&gt;4,M3*0.9,M3)</f>
        <v>1555.2</v>
      </c>
      <c r="P3" s="24">
        <v>1</v>
      </c>
      <c r="Q3" s="24">
        <v>4</v>
      </c>
      <c r="R3" s="24">
        <v>140</v>
      </c>
    </row>
    <row r="4" spans="1:22" x14ac:dyDescent="0.25">
      <c r="A4" s="7">
        <v>3</v>
      </c>
      <c r="B4" s="8" t="s">
        <v>10</v>
      </c>
      <c r="C4" s="8" t="s">
        <v>11</v>
      </c>
      <c r="D4" s="9">
        <v>2</v>
      </c>
      <c r="E4" s="10">
        <v>45809</v>
      </c>
      <c r="F4" s="11">
        <v>45812</v>
      </c>
      <c r="G4">
        <f t="shared" si="0"/>
        <v>3</v>
      </c>
      <c r="H4">
        <f t="shared" si="1"/>
        <v>240</v>
      </c>
      <c r="I4">
        <f t="shared" si="2"/>
        <v>720</v>
      </c>
      <c r="J4">
        <f t="shared" si="3"/>
        <v>7</v>
      </c>
      <c r="K4">
        <f t="shared" si="4"/>
        <v>2</v>
      </c>
      <c r="L4">
        <f t="shared" si="5"/>
        <v>1</v>
      </c>
      <c r="M4">
        <f t="shared" si="6"/>
        <v>768</v>
      </c>
      <c r="N4">
        <f t="shared" si="7"/>
        <v>768</v>
      </c>
      <c r="P4" s="24">
        <v>2</v>
      </c>
      <c r="Q4" s="24">
        <v>8</v>
      </c>
      <c r="R4" s="24">
        <v>240</v>
      </c>
    </row>
    <row r="5" spans="1:22" x14ac:dyDescent="0.25">
      <c r="A5" s="12">
        <v>4</v>
      </c>
      <c r="B5" s="13" t="s">
        <v>12</v>
      </c>
      <c r="C5" s="13" t="s">
        <v>13</v>
      </c>
      <c r="D5" s="14">
        <v>2</v>
      </c>
      <c r="E5" s="15">
        <v>45803</v>
      </c>
      <c r="F5" s="16">
        <v>45805</v>
      </c>
      <c r="G5">
        <f t="shared" si="0"/>
        <v>2</v>
      </c>
      <c r="H5">
        <f t="shared" si="1"/>
        <v>240</v>
      </c>
      <c r="I5">
        <f t="shared" si="2"/>
        <v>480</v>
      </c>
      <c r="J5">
        <f t="shared" si="3"/>
        <v>1</v>
      </c>
      <c r="K5">
        <f t="shared" si="4"/>
        <v>2</v>
      </c>
      <c r="L5">
        <f t="shared" si="5"/>
        <v>0</v>
      </c>
      <c r="M5">
        <f t="shared" si="6"/>
        <v>480</v>
      </c>
      <c r="N5">
        <f t="shared" si="7"/>
        <v>480</v>
      </c>
      <c r="P5" s="24">
        <v>3</v>
      </c>
      <c r="Q5" s="24">
        <v>4</v>
      </c>
      <c r="R5" s="24">
        <v>320</v>
      </c>
    </row>
    <row r="6" spans="1:22" x14ac:dyDescent="0.25">
      <c r="A6" s="7">
        <v>5</v>
      </c>
      <c r="B6" s="8" t="s">
        <v>14</v>
      </c>
      <c r="C6" s="8" t="s">
        <v>15</v>
      </c>
      <c r="D6" s="9">
        <v>1</v>
      </c>
      <c r="E6" s="10">
        <v>45795</v>
      </c>
      <c r="F6" s="11">
        <v>45798</v>
      </c>
      <c r="G6">
        <f t="shared" si="0"/>
        <v>3</v>
      </c>
      <c r="H6">
        <f t="shared" si="1"/>
        <v>140</v>
      </c>
      <c r="I6">
        <f t="shared" si="2"/>
        <v>420</v>
      </c>
      <c r="J6">
        <f t="shared" si="3"/>
        <v>7</v>
      </c>
      <c r="K6">
        <f t="shared" si="4"/>
        <v>2</v>
      </c>
      <c r="L6">
        <f t="shared" si="5"/>
        <v>1</v>
      </c>
      <c r="M6">
        <f t="shared" si="6"/>
        <v>448</v>
      </c>
      <c r="N6">
        <f t="shared" si="7"/>
        <v>448</v>
      </c>
      <c r="P6" s="24">
        <v>4</v>
      </c>
      <c r="Q6" s="24">
        <v>2</v>
      </c>
      <c r="R6" s="24">
        <v>400</v>
      </c>
    </row>
    <row r="7" spans="1:22" x14ac:dyDescent="0.25">
      <c r="A7" s="12">
        <v>6</v>
      </c>
      <c r="B7" s="13" t="s">
        <v>16</v>
      </c>
      <c r="C7" s="13" t="s">
        <v>17</v>
      </c>
      <c r="D7" s="14">
        <v>3</v>
      </c>
      <c r="E7" s="15">
        <v>45816</v>
      </c>
      <c r="F7" s="16">
        <v>45817</v>
      </c>
      <c r="G7">
        <f t="shared" si="0"/>
        <v>1</v>
      </c>
      <c r="H7">
        <f t="shared" si="1"/>
        <v>320</v>
      </c>
      <c r="I7">
        <f t="shared" si="2"/>
        <v>320</v>
      </c>
      <c r="J7">
        <f t="shared" si="3"/>
        <v>7</v>
      </c>
      <c r="K7">
        <f t="shared" si="4"/>
        <v>0</v>
      </c>
      <c r="L7">
        <f t="shared" si="5"/>
        <v>1</v>
      </c>
      <c r="M7">
        <f t="shared" si="6"/>
        <v>384</v>
      </c>
      <c r="N7">
        <f t="shared" si="7"/>
        <v>384</v>
      </c>
    </row>
    <row r="8" spans="1:22" x14ac:dyDescent="0.25">
      <c r="A8" s="7">
        <v>7</v>
      </c>
      <c r="B8" s="8" t="s">
        <v>18</v>
      </c>
      <c r="C8" s="8" t="s">
        <v>19</v>
      </c>
      <c r="D8" s="9">
        <v>3</v>
      </c>
      <c r="E8" s="10">
        <v>45787</v>
      </c>
      <c r="F8" s="11">
        <v>45792</v>
      </c>
      <c r="G8">
        <f t="shared" si="0"/>
        <v>5</v>
      </c>
      <c r="H8">
        <f t="shared" si="1"/>
        <v>320</v>
      </c>
      <c r="I8">
        <f t="shared" si="2"/>
        <v>1600</v>
      </c>
      <c r="J8">
        <f t="shared" si="3"/>
        <v>6</v>
      </c>
      <c r="K8">
        <f t="shared" si="4"/>
        <v>3</v>
      </c>
      <c r="L8">
        <f t="shared" si="5"/>
        <v>2</v>
      </c>
      <c r="M8">
        <f t="shared" si="6"/>
        <v>1728</v>
      </c>
      <c r="N8">
        <f t="shared" si="7"/>
        <v>1555.2</v>
      </c>
      <c r="P8" t="s">
        <v>186</v>
      </c>
      <c r="Q8" t="s">
        <v>195</v>
      </c>
    </row>
    <row r="9" spans="1:22" x14ac:dyDescent="0.25">
      <c r="A9" s="12">
        <v>8</v>
      </c>
      <c r="B9" s="13" t="s">
        <v>20</v>
      </c>
      <c r="C9" s="13" t="s">
        <v>21</v>
      </c>
      <c r="D9" s="14">
        <v>2</v>
      </c>
      <c r="E9" s="15">
        <v>45825</v>
      </c>
      <c r="F9" s="16">
        <v>45827</v>
      </c>
      <c r="G9">
        <f t="shared" si="0"/>
        <v>2</v>
      </c>
      <c r="H9">
        <f t="shared" si="1"/>
        <v>240</v>
      </c>
      <c r="I9">
        <f t="shared" si="2"/>
        <v>480</v>
      </c>
      <c r="J9">
        <f t="shared" si="3"/>
        <v>2</v>
      </c>
      <c r="K9">
        <f t="shared" si="4"/>
        <v>2</v>
      </c>
      <c r="L9">
        <f t="shared" si="5"/>
        <v>0</v>
      </c>
      <c r="M9">
        <f t="shared" si="6"/>
        <v>480</v>
      </c>
      <c r="N9">
        <f t="shared" si="7"/>
        <v>480</v>
      </c>
      <c r="P9" s="21" t="s">
        <v>172</v>
      </c>
      <c r="Q9" s="1">
        <v>6160</v>
      </c>
      <c r="S9" t="s">
        <v>196</v>
      </c>
      <c r="T9" s="22" t="s">
        <v>110</v>
      </c>
      <c r="U9" s="23" t="s">
        <v>172</v>
      </c>
      <c r="V9">
        <v>6160</v>
      </c>
    </row>
    <row r="10" spans="1:22" x14ac:dyDescent="0.25">
      <c r="A10" s="7">
        <v>9</v>
      </c>
      <c r="B10" s="8" t="s">
        <v>8</v>
      </c>
      <c r="C10" s="8" t="s">
        <v>22</v>
      </c>
      <c r="D10" s="9">
        <v>2</v>
      </c>
      <c r="E10" s="10">
        <v>45839</v>
      </c>
      <c r="F10" s="11">
        <v>45841</v>
      </c>
      <c r="G10">
        <f t="shared" si="0"/>
        <v>2</v>
      </c>
      <c r="H10">
        <f t="shared" si="1"/>
        <v>240</v>
      </c>
      <c r="I10">
        <f t="shared" si="2"/>
        <v>480</v>
      </c>
      <c r="J10">
        <f t="shared" si="3"/>
        <v>2</v>
      </c>
      <c r="K10">
        <f t="shared" si="4"/>
        <v>2</v>
      </c>
      <c r="L10">
        <f t="shared" si="5"/>
        <v>0</v>
      </c>
      <c r="M10">
        <f t="shared" si="6"/>
        <v>480</v>
      </c>
      <c r="N10">
        <f t="shared" si="7"/>
        <v>480</v>
      </c>
      <c r="P10" s="22" t="s">
        <v>110</v>
      </c>
      <c r="Q10" s="1">
        <v>6160</v>
      </c>
      <c r="S10" t="s">
        <v>197</v>
      </c>
      <c r="V10" s="32">
        <f>SUM($N$138,$N$178,$N$186)</f>
        <v>6150.4</v>
      </c>
    </row>
    <row r="11" spans="1:22" x14ac:dyDescent="0.25">
      <c r="A11" s="12">
        <v>10</v>
      </c>
      <c r="B11" s="13" t="s">
        <v>23</v>
      </c>
      <c r="C11" s="13" t="s">
        <v>24</v>
      </c>
      <c r="D11" s="14">
        <v>2</v>
      </c>
      <c r="E11" s="15">
        <v>45778</v>
      </c>
      <c r="F11" s="16">
        <v>45780</v>
      </c>
      <c r="G11">
        <f t="shared" si="0"/>
        <v>2</v>
      </c>
      <c r="H11">
        <f t="shared" si="1"/>
        <v>240</v>
      </c>
      <c r="I11">
        <f t="shared" si="2"/>
        <v>480</v>
      </c>
      <c r="J11">
        <f t="shared" si="3"/>
        <v>4</v>
      </c>
      <c r="K11">
        <f t="shared" si="4"/>
        <v>2</v>
      </c>
      <c r="L11">
        <f t="shared" si="5"/>
        <v>0</v>
      </c>
      <c r="M11">
        <f t="shared" si="6"/>
        <v>480</v>
      </c>
      <c r="N11">
        <f t="shared" si="7"/>
        <v>480</v>
      </c>
      <c r="P11" s="21" t="s">
        <v>117</v>
      </c>
      <c r="Q11" s="1">
        <v>5200</v>
      </c>
    </row>
    <row r="12" spans="1:22" x14ac:dyDescent="0.25">
      <c r="A12" s="7">
        <v>11</v>
      </c>
      <c r="B12" s="8" t="s">
        <v>8</v>
      </c>
      <c r="C12" s="8" t="s">
        <v>25</v>
      </c>
      <c r="D12" s="9">
        <v>4</v>
      </c>
      <c r="E12" s="10">
        <v>45853</v>
      </c>
      <c r="F12" s="11">
        <v>45856</v>
      </c>
      <c r="G12">
        <f t="shared" si="0"/>
        <v>3</v>
      </c>
      <c r="H12">
        <f t="shared" si="1"/>
        <v>400</v>
      </c>
      <c r="I12">
        <f t="shared" si="2"/>
        <v>1200</v>
      </c>
      <c r="J12">
        <f t="shared" si="3"/>
        <v>2</v>
      </c>
      <c r="K12">
        <f t="shared" si="4"/>
        <v>3</v>
      </c>
      <c r="L12">
        <f t="shared" si="5"/>
        <v>0</v>
      </c>
      <c r="M12">
        <f t="shared" si="6"/>
        <v>1200</v>
      </c>
      <c r="N12">
        <f t="shared" si="7"/>
        <v>1200</v>
      </c>
      <c r="P12" s="22" t="s">
        <v>54</v>
      </c>
      <c r="Q12" s="1">
        <v>5200</v>
      </c>
    </row>
    <row r="13" spans="1:22" x14ac:dyDescent="0.25">
      <c r="A13" s="12">
        <v>12</v>
      </c>
      <c r="B13" s="13" t="s">
        <v>26</v>
      </c>
      <c r="C13" s="13" t="s">
        <v>27</v>
      </c>
      <c r="D13" s="14">
        <v>1</v>
      </c>
      <c r="E13" s="15">
        <v>45782</v>
      </c>
      <c r="F13" s="16">
        <v>45786</v>
      </c>
      <c r="G13">
        <f t="shared" si="0"/>
        <v>4</v>
      </c>
      <c r="H13">
        <f t="shared" si="1"/>
        <v>140</v>
      </c>
      <c r="I13">
        <f t="shared" si="2"/>
        <v>560</v>
      </c>
      <c r="J13">
        <f t="shared" si="3"/>
        <v>1</v>
      </c>
      <c r="K13">
        <f t="shared" si="4"/>
        <v>4</v>
      </c>
      <c r="L13">
        <f t="shared" si="5"/>
        <v>0</v>
      </c>
      <c r="M13">
        <f t="shared" si="6"/>
        <v>560</v>
      </c>
      <c r="N13">
        <f t="shared" si="7"/>
        <v>560</v>
      </c>
      <c r="P13" s="21" t="s">
        <v>134</v>
      </c>
      <c r="Q13" s="1">
        <v>4560</v>
      </c>
    </row>
    <row r="14" spans="1:22" x14ac:dyDescent="0.25">
      <c r="A14" s="7">
        <v>13</v>
      </c>
      <c r="B14" s="8" t="s">
        <v>23</v>
      </c>
      <c r="C14" s="8" t="s">
        <v>28</v>
      </c>
      <c r="D14" s="9">
        <v>2</v>
      </c>
      <c r="E14" s="10">
        <v>45809</v>
      </c>
      <c r="F14" s="11">
        <v>45812</v>
      </c>
      <c r="G14">
        <f t="shared" si="0"/>
        <v>3</v>
      </c>
      <c r="H14">
        <f t="shared" si="1"/>
        <v>240</v>
      </c>
      <c r="I14">
        <f t="shared" si="2"/>
        <v>720</v>
      </c>
      <c r="J14">
        <f t="shared" si="3"/>
        <v>7</v>
      </c>
      <c r="K14">
        <f t="shared" si="4"/>
        <v>2</v>
      </c>
      <c r="L14">
        <f t="shared" si="5"/>
        <v>1</v>
      </c>
      <c r="M14">
        <f t="shared" si="6"/>
        <v>768</v>
      </c>
      <c r="N14">
        <f t="shared" si="7"/>
        <v>768</v>
      </c>
      <c r="P14" s="22" t="s">
        <v>34</v>
      </c>
      <c r="Q14" s="1">
        <v>4560</v>
      </c>
      <c r="S14" s="20" t="s">
        <v>186</v>
      </c>
      <c r="T14" t="s">
        <v>208</v>
      </c>
    </row>
    <row r="15" spans="1:22" x14ac:dyDescent="0.25">
      <c r="A15" s="12">
        <v>14</v>
      </c>
      <c r="B15" s="13" t="s">
        <v>29</v>
      </c>
      <c r="C15" s="13" t="s">
        <v>30</v>
      </c>
      <c r="D15" s="14">
        <v>1</v>
      </c>
      <c r="E15" s="15">
        <v>45782</v>
      </c>
      <c r="F15" s="16">
        <v>45786</v>
      </c>
      <c r="G15">
        <f t="shared" si="0"/>
        <v>4</v>
      </c>
      <c r="H15">
        <f t="shared" si="1"/>
        <v>140</v>
      </c>
      <c r="I15">
        <f t="shared" si="2"/>
        <v>560</v>
      </c>
      <c r="J15">
        <f t="shared" si="3"/>
        <v>1</v>
      </c>
      <c r="K15">
        <f t="shared" si="4"/>
        <v>4</v>
      </c>
      <c r="L15">
        <f t="shared" si="5"/>
        <v>0</v>
      </c>
      <c r="M15">
        <f t="shared" si="6"/>
        <v>560</v>
      </c>
      <c r="N15">
        <f t="shared" si="7"/>
        <v>560</v>
      </c>
      <c r="P15" s="21" t="s">
        <v>169</v>
      </c>
      <c r="Q15" s="1">
        <v>3920</v>
      </c>
      <c r="S15" s="21" t="s">
        <v>199</v>
      </c>
      <c r="T15" s="32">
        <v>32932.800000000003</v>
      </c>
    </row>
    <row r="16" spans="1:22" x14ac:dyDescent="0.25">
      <c r="A16" s="7">
        <v>15</v>
      </c>
      <c r="B16" s="8" t="s">
        <v>6</v>
      </c>
      <c r="C16" s="8" t="s">
        <v>31</v>
      </c>
      <c r="D16" s="9">
        <v>1</v>
      </c>
      <c r="E16" s="10">
        <v>45782</v>
      </c>
      <c r="F16" s="11">
        <v>45786</v>
      </c>
      <c r="G16">
        <f t="shared" si="0"/>
        <v>4</v>
      </c>
      <c r="H16">
        <f t="shared" si="1"/>
        <v>140</v>
      </c>
      <c r="I16">
        <f t="shared" si="2"/>
        <v>560</v>
      </c>
      <c r="J16">
        <f t="shared" si="3"/>
        <v>1</v>
      </c>
      <c r="K16">
        <f t="shared" si="4"/>
        <v>4</v>
      </c>
      <c r="L16">
        <f t="shared" si="5"/>
        <v>0</v>
      </c>
      <c r="M16">
        <f t="shared" si="6"/>
        <v>560</v>
      </c>
      <c r="N16">
        <f t="shared" si="7"/>
        <v>560</v>
      </c>
      <c r="P16" s="22" t="s">
        <v>84</v>
      </c>
      <c r="Q16" s="1">
        <v>3920</v>
      </c>
      <c r="S16" s="21" t="s">
        <v>200</v>
      </c>
      <c r="T16" s="32">
        <v>44415.19999999999</v>
      </c>
    </row>
    <row r="17" spans="1:20" x14ac:dyDescent="0.25">
      <c r="A17" s="12">
        <v>16</v>
      </c>
      <c r="B17" s="13" t="s">
        <v>32</v>
      </c>
      <c r="C17" s="13" t="s">
        <v>33</v>
      </c>
      <c r="D17" s="14">
        <v>1</v>
      </c>
      <c r="E17" s="15">
        <v>45778</v>
      </c>
      <c r="F17" s="16">
        <v>45780</v>
      </c>
      <c r="G17">
        <f t="shared" si="0"/>
        <v>2</v>
      </c>
      <c r="H17">
        <f t="shared" si="1"/>
        <v>140</v>
      </c>
      <c r="I17">
        <f t="shared" si="2"/>
        <v>280</v>
      </c>
      <c r="J17">
        <f t="shared" si="3"/>
        <v>4</v>
      </c>
      <c r="K17">
        <f t="shared" si="4"/>
        <v>2</v>
      </c>
      <c r="L17">
        <f t="shared" si="5"/>
        <v>0</v>
      </c>
      <c r="M17">
        <f t="shared" si="6"/>
        <v>280</v>
      </c>
      <c r="N17">
        <f t="shared" si="7"/>
        <v>280</v>
      </c>
      <c r="P17" s="21" t="s">
        <v>149</v>
      </c>
      <c r="Q17" s="1">
        <v>3360</v>
      </c>
      <c r="S17" s="21" t="s">
        <v>201</v>
      </c>
      <c r="T17" s="32">
        <v>46383.200000000004</v>
      </c>
    </row>
    <row r="18" spans="1:20" x14ac:dyDescent="0.25">
      <c r="A18" s="7">
        <v>17</v>
      </c>
      <c r="B18" s="8" t="s">
        <v>34</v>
      </c>
      <c r="C18" s="8" t="s">
        <v>35</v>
      </c>
      <c r="D18" s="9">
        <v>2</v>
      </c>
      <c r="E18" s="10">
        <v>45782</v>
      </c>
      <c r="F18" s="11">
        <v>45786</v>
      </c>
      <c r="G18">
        <f t="shared" si="0"/>
        <v>4</v>
      </c>
      <c r="H18">
        <f t="shared" si="1"/>
        <v>240</v>
      </c>
      <c r="I18">
        <f t="shared" si="2"/>
        <v>960</v>
      </c>
      <c r="J18">
        <f t="shared" si="3"/>
        <v>1</v>
      </c>
      <c r="K18">
        <f t="shared" si="4"/>
        <v>4</v>
      </c>
      <c r="L18">
        <f t="shared" si="5"/>
        <v>0</v>
      </c>
      <c r="M18">
        <f t="shared" si="6"/>
        <v>960</v>
      </c>
      <c r="N18">
        <f t="shared" si="7"/>
        <v>960</v>
      </c>
      <c r="P18" s="22" t="s">
        <v>84</v>
      </c>
      <c r="Q18" s="1">
        <v>3360</v>
      </c>
      <c r="S18" s="21" t="s">
        <v>202</v>
      </c>
      <c r="T18" s="32">
        <v>32580</v>
      </c>
    </row>
    <row r="19" spans="1:20" x14ac:dyDescent="0.25">
      <c r="A19" s="12">
        <v>18</v>
      </c>
      <c r="B19" s="13" t="s">
        <v>36</v>
      </c>
      <c r="C19" s="13" t="s">
        <v>37</v>
      </c>
      <c r="D19" s="14">
        <v>2</v>
      </c>
      <c r="E19" s="15">
        <v>45782</v>
      </c>
      <c r="F19" s="16">
        <v>45786</v>
      </c>
      <c r="G19">
        <f t="shared" si="0"/>
        <v>4</v>
      </c>
      <c r="H19">
        <f t="shared" si="1"/>
        <v>240</v>
      </c>
      <c r="I19">
        <f t="shared" si="2"/>
        <v>960</v>
      </c>
      <c r="J19">
        <f t="shared" si="3"/>
        <v>1</v>
      </c>
      <c r="K19">
        <f t="shared" si="4"/>
        <v>4</v>
      </c>
      <c r="L19">
        <f t="shared" si="5"/>
        <v>0</v>
      </c>
      <c r="M19">
        <f t="shared" si="6"/>
        <v>960</v>
      </c>
      <c r="N19">
        <f t="shared" si="7"/>
        <v>960</v>
      </c>
      <c r="P19" s="21" t="s">
        <v>156</v>
      </c>
      <c r="Q19" s="1">
        <v>2960</v>
      </c>
      <c r="S19" s="21" t="s">
        <v>187</v>
      </c>
      <c r="T19" s="1">
        <v>156311.20000000001</v>
      </c>
    </row>
    <row r="20" spans="1:20" x14ac:dyDescent="0.25">
      <c r="A20" s="7">
        <v>19</v>
      </c>
      <c r="B20" s="8" t="s">
        <v>38</v>
      </c>
      <c r="C20" s="8" t="s">
        <v>39</v>
      </c>
      <c r="D20" s="9">
        <v>2</v>
      </c>
      <c r="E20" s="10">
        <v>45782</v>
      </c>
      <c r="F20" s="11">
        <v>45786</v>
      </c>
      <c r="G20">
        <f t="shared" si="0"/>
        <v>4</v>
      </c>
      <c r="H20">
        <f t="shared" si="1"/>
        <v>240</v>
      </c>
      <c r="I20">
        <f t="shared" si="2"/>
        <v>960</v>
      </c>
      <c r="J20">
        <f t="shared" si="3"/>
        <v>1</v>
      </c>
      <c r="K20">
        <f t="shared" si="4"/>
        <v>4</v>
      </c>
      <c r="L20">
        <f t="shared" si="5"/>
        <v>0</v>
      </c>
      <c r="M20">
        <f t="shared" si="6"/>
        <v>960</v>
      </c>
      <c r="N20">
        <f t="shared" si="7"/>
        <v>960</v>
      </c>
      <c r="P20" s="22" t="s">
        <v>6</v>
      </c>
      <c r="Q20" s="1">
        <v>2960</v>
      </c>
    </row>
    <row r="21" spans="1:20" x14ac:dyDescent="0.25">
      <c r="A21" s="12">
        <v>20</v>
      </c>
      <c r="B21" s="13" t="s">
        <v>40</v>
      </c>
      <c r="C21" s="13" t="s">
        <v>41</v>
      </c>
      <c r="D21" s="14">
        <v>2</v>
      </c>
      <c r="E21" s="15">
        <v>45839</v>
      </c>
      <c r="F21" s="16">
        <v>45841</v>
      </c>
      <c r="G21">
        <f t="shared" si="0"/>
        <v>2</v>
      </c>
      <c r="H21">
        <f t="shared" si="1"/>
        <v>240</v>
      </c>
      <c r="I21">
        <f t="shared" si="2"/>
        <v>480</v>
      </c>
      <c r="J21">
        <f t="shared" si="3"/>
        <v>2</v>
      </c>
      <c r="K21">
        <f t="shared" si="4"/>
        <v>2</v>
      </c>
      <c r="L21">
        <f t="shared" si="5"/>
        <v>0</v>
      </c>
      <c r="M21">
        <f t="shared" si="6"/>
        <v>480</v>
      </c>
      <c r="N21">
        <f t="shared" si="7"/>
        <v>480</v>
      </c>
      <c r="P21" s="21" t="s">
        <v>116</v>
      </c>
      <c r="Q21" s="1">
        <v>2560</v>
      </c>
    </row>
    <row r="22" spans="1:20" x14ac:dyDescent="0.25">
      <c r="A22" s="7">
        <v>21</v>
      </c>
      <c r="B22" s="8" t="s">
        <v>18</v>
      </c>
      <c r="C22" s="8" t="s">
        <v>42</v>
      </c>
      <c r="D22" s="9">
        <v>2</v>
      </c>
      <c r="E22" s="10">
        <v>45825</v>
      </c>
      <c r="F22" s="11">
        <v>45827</v>
      </c>
      <c r="G22">
        <f t="shared" si="0"/>
        <v>2</v>
      </c>
      <c r="H22">
        <f t="shared" si="1"/>
        <v>240</v>
      </c>
      <c r="I22">
        <f t="shared" si="2"/>
        <v>480</v>
      </c>
      <c r="J22">
        <f t="shared" si="3"/>
        <v>2</v>
      </c>
      <c r="K22">
        <f t="shared" si="4"/>
        <v>2</v>
      </c>
      <c r="L22">
        <f t="shared" si="5"/>
        <v>0</v>
      </c>
      <c r="M22">
        <f t="shared" si="6"/>
        <v>480</v>
      </c>
      <c r="N22">
        <f t="shared" si="7"/>
        <v>480</v>
      </c>
      <c r="P22" s="22" t="s">
        <v>14</v>
      </c>
      <c r="Q22" s="1">
        <v>2560</v>
      </c>
    </row>
    <row r="23" spans="1:20" x14ac:dyDescent="0.25">
      <c r="A23" s="12">
        <v>22</v>
      </c>
      <c r="B23" s="13" t="s">
        <v>43</v>
      </c>
      <c r="C23" s="13" t="s">
        <v>44</v>
      </c>
      <c r="D23" s="14">
        <v>2</v>
      </c>
      <c r="E23" s="15">
        <v>45809</v>
      </c>
      <c r="F23" s="16">
        <v>45812</v>
      </c>
      <c r="G23">
        <f t="shared" si="0"/>
        <v>3</v>
      </c>
      <c r="H23">
        <f t="shared" si="1"/>
        <v>240</v>
      </c>
      <c r="I23">
        <f t="shared" si="2"/>
        <v>720</v>
      </c>
      <c r="J23">
        <f t="shared" si="3"/>
        <v>7</v>
      </c>
      <c r="K23">
        <f t="shared" si="4"/>
        <v>2</v>
      </c>
      <c r="L23">
        <f t="shared" si="5"/>
        <v>1</v>
      </c>
      <c r="M23">
        <f t="shared" si="6"/>
        <v>768</v>
      </c>
      <c r="N23">
        <f t="shared" si="7"/>
        <v>768</v>
      </c>
      <c r="P23" s="21" t="s">
        <v>173</v>
      </c>
      <c r="Q23" s="1">
        <v>2240</v>
      </c>
    </row>
    <row r="24" spans="1:20" x14ac:dyDescent="0.25">
      <c r="A24" s="7">
        <v>23</v>
      </c>
      <c r="B24" s="8" t="s">
        <v>45</v>
      </c>
      <c r="C24" s="8" t="s">
        <v>46</v>
      </c>
      <c r="D24" s="9">
        <v>3</v>
      </c>
      <c r="E24" s="10">
        <v>45787</v>
      </c>
      <c r="F24" s="11">
        <v>45792</v>
      </c>
      <c r="G24">
        <f t="shared" si="0"/>
        <v>5</v>
      </c>
      <c r="H24">
        <f t="shared" si="1"/>
        <v>320</v>
      </c>
      <c r="I24">
        <f t="shared" si="2"/>
        <v>1600</v>
      </c>
      <c r="J24">
        <f t="shared" si="3"/>
        <v>6</v>
      </c>
      <c r="K24">
        <f t="shared" si="4"/>
        <v>3</v>
      </c>
      <c r="L24">
        <f t="shared" si="5"/>
        <v>2</v>
      </c>
      <c r="M24">
        <f t="shared" si="6"/>
        <v>1728</v>
      </c>
      <c r="N24">
        <f t="shared" si="7"/>
        <v>1555.2</v>
      </c>
      <c r="P24" s="22" t="s">
        <v>20</v>
      </c>
      <c r="Q24" s="1">
        <v>2240</v>
      </c>
    </row>
    <row r="25" spans="1:20" x14ac:dyDescent="0.25">
      <c r="A25" s="12">
        <v>24</v>
      </c>
      <c r="B25" s="13" t="s">
        <v>47</v>
      </c>
      <c r="C25" s="13" t="s">
        <v>48</v>
      </c>
      <c r="D25" s="14">
        <v>4</v>
      </c>
      <c r="E25" s="15">
        <v>45853</v>
      </c>
      <c r="F25" s="16">
        <v>45856</v>
      </c>
      <c r="G25">
        <f t="shared" si="0"/>
        <v>3</v>
      </c>
      <c r="H25">
        <f t="shared" si="1"/>
        <v>400</v>
      </c>
      <c r="I25">
        <f t="shared" si="2"/>
        <v>1200</v>
      </c>
      <c r="J25">
        <f t="shared" si="3"/>
        <v>2</v>
      </c>
      <c r="K25">
        <f t="shared" si="4"/>
        <v>3</v>
      </c>
      <c r="L25">
        <f t="shared" si="5"/>
        <v>0</v>
      </c>
      <c r="M25">
        <f t="shared" si="6"/>
        <v>1200</v>
      </c>
      <c r="N25">
        <f t="shared" si="7"/>
        <v>1200</v>
      </c>
      <c r="P25" s="21" t="s">
        <v>171</v>
      </c>
      <c r="Q25" s="1">
        <v>2220</v>
      </c>
    </row>
    <row r="26" spans="1:20" x14ac:dyDescent="0.25">
      <c r="A26" s="7">
        <v>25</v>
      </c>
      <c r="B26" s="8" t="s">
        <v>49</v>
      </c>
      <c r="C26" s="8" t="s">
        <v>50</v>
      </c>
      <c r="D26" s="9">
        <v>2</v>
      </c>
      <c r="E26" s="10">
        <v>45782</v>
      </c>
      <c r="F26" s="11">
        <v>45786</v>
      </c>
      <c r="G26">
        <f t="shared" si="0"/>
        <v>4</v>
      </c>
      <c r="H26">
        <f t="shared" si="1"/>
        <v>240</v>
      </c>
      <c r="I26">
        <f t="shared" si="2"/>
        <v>960</v>
      </c>
      <c r="J26">
        <f t="shared" si="3"/>
        <v>1</v>
      </c>
      <c r="K26">
        <f t="shared" si="4"/>
        <v>4</v>
      </c>
      <c r="L26">
        <f t="shared" si="5"/>
        <v>0</v>
      </c>
      <c r="M26">
        <f t="shared" si="6"/>
        <v>960</v>
      </c>
      <c r="N26">
        <f t="shared" si="7"/>
        <v>960</v>
      </c>
      <c r="P26" s="22" t="s">
        <v>45</v>
      </c>
      <c r="Q26" s="1">
        <v>2220</v>
      </c>
    </row>
    <row r="27" spans="1:20" x14ac:dyDescent="0.25">
      <c r="A27" s="12">
        <v>26</v>
      </c>
      <c r="B27" s="13" t="s">
        <v>51</v>
      </c>
      <c r="C27" s="13" t="s">
        <v>52</v>
      </c>
      <c r="D27" s="14">
        <v>2</v>
      </c>
      <c r="E27" s="15">
        <v>45782</v>
      </c>
      <c r="F27" s="16">
        <v>45786</v>
      </c>
      <c r="G27">
        <f t="shared" si="0"/>
        <v>4</v>
      </c>
      <c r="H27">
        <f t="shared" si="1"/>
        <v>240</v>
      </c>
      <c r="I27">
        <f t="shared" si="2"/>
        <v>960</v>
      </c>
      <c r="J27">
        <f t="shared" si="3"/>
        <v>1</v>
      </c>
      <c r="K27">
        <f t="shared" si="4"/>
        <v>4</v>
      </c>
      <c r="L27">
        <f t="shared" si="5"/>
        <v>0</v>
      </c>
      <c r="M27">
        <f t="shared" si="6"/>
        <v>960</v>
      </c>
      <c r="N27">
        <f t="shared" si="7"/>
        <v>960</v>
      </c>
      <c r="P27" s="21" t="s">
        <v>124</v>
      </c>
      <c r="Q27" s="1">
        <v>2120</v>
      </c>
    </row>
    <row r="28" spans="1:20" x14ac:dyDescent="0.25">
      <c r="A28" s="7">
        <v>27</v>
      </c>
      <c r="B28" s="8" t="s">
        <v>34</v>
      </c>
      <c r="C28" s="8" t="s">
        <v>53</v>
      </c>
      <c r="D28" s="9">
        <v>3</v>
      </c>
      <c r="E28" s="10">
        <v>45782</v>
      </c>
      <c r="F28" s="11">
        <v>45786</v>
      </c>
      <c r="G28">
        <f t="shared" si="0"/>
        <v>4</v>
      </c>
      <c r="H28">
        <f t="shared" si="1"/>
        <v>320</v>
      </c>
      <c r="I28">
        <f t="shared" si="2"/>
        <v>1280</v>
      </c>
      <c r="J28">
        <f t="shared" si="3"/>
        <v>1</v>
      </c>
      <c r="K28">
        <f t="shared" si="4"/>
        <v>4</v>
      </c>
      <c r="L28">
        <f t="shared" si="5"/>
        <v>0</v>
      </c>
      <c r="M28">
        <f t="shared" si="6"/>
        <v>1280</v>
      </c>
      <c r="N28">
        <f t="shared" si="7"/>
        <v>1280</v>
      </c>
      <c r="P28" s="22" t="s">
        <v>29</v>
      </c>
      <c r="Q28" s="1">
        <v>2120</v>
      </c>
    </row>
    <row r="29" spans="1:20" x14ac:dyDescent="0.25">
      <c r="A29" s="12">
        <v>28</v>
      </c>
      <c r="B29" s="13" t="s">
        <v>54</v>
      </c>
      <c r="C29" s="13" t="s">
        <v>55</v>
      </c>
      <c r="D29" s="14">
        <v>3</v>
      </c>
      <c r="E29" s="15">
        <v>45782</v>
      </c>
      <c r="F29" s="16">
        <v>45786</v>
      </c>
      <c r="G29">
        <f t="shared" si="0"/>
        <v>4</v>
      </c>
      <c r="H29">
        <f t="shared" si="1"/>
        <v>320</v>
      </c>
      <c r="I29">
        <f t="shared" si="2"/>
        <v>1280</v>
      </c>
      <c r="J29">
        <f t="shared" si="3"/>
        <v>1</v>
      </c>
      <c r="K29">
        <f t="shared" si="4"/>
        <v>4</v>
      </c>
      <c r="L29">
        <f t="shared" si="5"/>
        <v>0</v>
      </c>
      <c r="M29">
        <f t="shared" si="6"/>
        <v>1280</v>
      </c>
      <c r="N29">
        <f t="shared" si="7"/>
        <v>1280</v>
      </c>
      <c r="P29" s="21" t="s">
        <v>141</v>
      </c>
      <c r="Q29" s="1">
        <v>2000</v>
      </c>
    </row>
    <row r="30" spans="1:20" x14ac:dyDescent="0.25">
      <c r="A30" s="7">
        <v>29</v>
      </c>
      <c r="B30" s="8" t="s">
        <v>18</v>
      </c>
      <c r="C30" s="8" t="s">
        <v>56</v>
      </c>
      <c r="D30" s="9">
        <v>3</v>
      </c>
      <c r="E30" s="10">
        <v>45782</v>
      </c>
      <c r="F30" s="11">
        <v>45786</v>
      </c>
      <c r="G30">
        <f t="shared" si="0"/>
        <v>4</v>
      </c>
      <c r="H30">
        <f t="shared" si="1"/>
        <v>320</v>
      </c>
      <c r="I30">
        <f t="shared" si="2"/>
        <v>1280</v>
      </c>
      <c r="J30">
        <f t="shared" si="3"/>
        <v>1</v>
      </c>
      <c r="K30">
        <f t="shared" si="4"/>
        <v>4</v>
      </c>
      <c r="L30">
        <f t="shared" si="5"/>
        <v>0</v>
      </c>
      <c r="M30">
        <f t="shared" si="6"/>
        <v>1280</v>
      </c>
      <c r="N30">
        <f t="shared" si="7"/>
        <v>1280</v>
      </c>
      <c r="P30" s="22" t="s">
        <v>43</v>
      </c>
      <c r="Q30" s="1">
        <v>2000</v>
      </c>
    </row>
    <row r="31" spans="1:20" x14ac:dyDescent="0.25">
      <c r="A31" s="12">
        <v>30</v>
      </c>
      <c r="B31" s="13" t="s">
        <v>16</v>
      </c>
      <c r="C31" s="13" t="s">
        <v>57</v>
      </c>
      <c r="D31" s="14">
        <v>1</v>
      </c>
      <c r="E31" s="15">
        <v>45853</v>
      </c>
      <c r="F31" s="16">
        <v>45856</v>
      </c>
      <c r="G31">
        <f t="shared" si="0"/>
        <v>3</v>
      </c>
      <c r="H31">
        <f t="shared" si="1"/>
        <v>140</v>
      </c>
      <c r="I31">
        <f t="shared" si="2"/>
        <v>420</v>
      </c>
      <c r="J31">
        <f t="shared" si="3"/>
        <v>2</v>
      </c>
      <c r="K31">
        <f t="shared" si="4"/>
        <v>3</v>
      </c>
      <c r="L31">
        <f t="shared" si="5"/>
        <v>0</v>
      </c>
      <c r="M31">
        <f t="shared" si="6"/>
        <v>420</v>
      </c>
      <c r="N31">
        <f t="shared" si="7"/>
        <v>420</v>
      </c>
      <c r="P31" s="21" t="s">
        <v>174</v>
      </c>
      <c r="Q31" s="1">
        <v>1920</v>
      </c>
    </row>
    <row r="32" spans="1:20" x14ac:dyDescent="0.25">
      <c r="A32" s="7">
        <v>31</v>
      </c>
      <c r="B32" s="8" t="s">
        <v>29</v>
      </c>
      <c r="C32" s="8" t="s">
        <v>58</v>
      </c>
      <c r="D32" s="9">
        <v>2</v>
      </c>
      <c r="E32" s="10">
        <v>45839</v>
      </c>
      <c r="F32" s="11">
        <v>45841</v>
      </c>
      <c r="G32">
        <f t="shared" si="0"/>
        <v>2</v>
      </c>
      <c r="H32">
        <f t="shared" si="1"/>
        <v>240</v>
      </c>
      <c r="I32">
        <f t="shared" si="2"/>
        <v>480</v>
      </c>
      <c r="J32">
        <f t="shared" si="3"/>
        <v>2</v>
      </c>
      <c r="K32">
        <f t="shared" si="4"/>
        <v>2</v>
      </c>
      <c r="L32">
        <f t="shared" si="5"/>
        <v>0</v>
      </c>
      <c r="M32">
        <f t="shared" si="6"/>
        <v>480</v>
      </c>
      <c r="N32">
        <f t="shared" si="7"/>
        <v>480</v>
      </c>
      <c r="P32" s="22" t="s">
        <v>102</v>
      </c>
      <c r="Q32" s="1">
        <v>1920</v>
      </c>
    </row>
    <row r="33" spans="1:17" x14ac:dyDescent="0.25">
      <c r="A33" s="12">
        <v>32</v>
      </c>
      <c r="B33" s="13" t="s">
        <v>38</v>
      </c>
      <c r="C33" s="13" t="s">
        <v>59</v>
      </c>
      <c r="D33" s="14">
        <v>4</v>
      </c>
      <c r="E33" s="15">
        <v>45825</v>
      </c>
      <c r="F33" s="16">
        <v>45827</v>
      </c>
      <c r="G33">
        <f t="shared" si="0"/>
        <v>2</v>
      </c>
      <c r="H33">
        <f t="shared" si="1"/>
        <v>400</v>
      </c>
      <c r="I33">
        <f t="shared" si="2"/>
        <v>800</v>
      </c>
      <c r="J33">
        <f t="shared" si="3"/>
        <v>2</v>
      </c>
      <c r="K33">
        <f t="shared" si="4"/>
        <v>2</v>
      </c>
      <c r="L33">
        <f t="shared" si="5"/>
        <v>0</v>
      </c>
      <c r="M33">
        <f t="shared" si="6"/>
        <v>800</v>
      </c>
      <c r="N33">
        <f t="shared" si="7"/>
        <v>800</v>
      </c>
      <c r="P33" s="21" t="s">
        <v>159</v>
      </c>
      <c r="Q33" s="1">
        <v>1780</v>
      </c>
    </row>
    <row r="34" spans="1:17" x14ac:dyDescent="0.25">
      <c r="A34" s="7">
        <v>33</v>
      </c>
      <c r="B34" s="8" t="s">
        <v>12</v>
      </c>
      <c r="C34" s="8" t="s">
        <v>60</v>
      </c>
      <c r="D34" s="9">
        <v>2</v>
      </c>
      <c r="E34" s="10">
        <v>45809</v>
      </c>
      <c r="F34" s="11">
        <v>45812</v>
      </c>
      <c r="G34">
        <f t="shared" si="0"/>
        <v>3</v>
      </c>
      <c r="H34">
        <f t="shared" si="1"/>
        <v>240</v>
      </c>
      <c r="I34">
        <f t="shared" si="2"/>
        <v>720</v>
      </c>
      <c r="J34">
        <f t="shared" si="3"/>
        <v>7</v>
      </c>
      <c r="K34">
        <f t="shared" si="4"/>
        <v>2</v>
      </c>
      <c r="L34">
        <f t="shared" si="5"/>
        <v>1</v>
      </c>
      <c r="M34">
        <f t="shared" si="6"/>
        <v>768</v>
      </c>
      <c r="N34">
        <f t="shared" si="7"/>
        <v>768</v>
      </c>
      <c r="P34" s="22" t="s">
        <v>23</v>
      </c>
      <c r="Q34" s="1">
        <v>1780</v>
      </c>
    </row>
    <row r="35" spans="1:17" x14ac:dyDescent="0.25">
      <c r="A35" s="12">
        <v>34</v>
      </c>
      <c r="B35" s="13" t="s">
        <v>34</v>
      </c>
      <c r="C35" s="13" t="s">
        <v>61</v>
      </c>
      <c r="D35" s="14">
        <v>3</v>
      </c>
      <c r="E35" s="15">
        <v>45782</v>
      </c>
      <c r="F35" s="16">
        <v>45786</v>
      </c>
      <c r="G35">
        <f t="shared" si="0"/>
        <v>4</v>
      </c>
      <c r="H35">
        <f t="shared" si="1"/>
        <v>320</v>
      </c>
      <c r="I35">
        <f t="shared" si="2"/>
        <v>1280</v>
      </c>
      <c r="J35">
        <f t="shared" si="3"/>
        <v>1</v>
      </c>
      <c r="K35">
        <f t="shared" si="4"/>
        <v>4</v>
      </c>
      <c r="L35">
        <f t="shared" si="5"/>
        <v>0</v>
      </c>
      <c r="M35">
        <f t="shared" si="6"/>
        <v>1280</v>
      </c>
      <c r="N35">
        <f t="shared" si="7"/>
        <v>1280</v>
      </c>
      <c r="P35" s="21" t="s">
        <v>7</v>
      </c>
      <c r="Q35" s="1">
        <v>1760</v>
      </c>
    </row>
    <row r="36" spans="1:17" x14ac:dyDescent="0.25">
      <c r="A36" s="7">
        <v>35</v>
      </c>
      <c r="B36" s="8" t="s">
        <v>6</v>
      </c>
      <c r="C36" s="8" t="s">
        <v>62</v>
      </c>
      <c r="D36" s="9">
        <v>4</v>
      </c>
      <c r="E36" s="10">
        <v>45782</v>
      </c>
      <c r="F36" s="11">
        <v>45786</v>
      </c>
      <c r="G36">
        <f t="shared" si="0"/>
        <v>4</v>
      </c>
      <c r="H36">
        <f t="shared" si="1"/>
        <v>400</v>
      </c>
      <c r="I36">
        <f t="shared" si="2"/>
        <v>1600</v>
      </c>
      <c r="J36">
        <f t="shared" si="3"/>
        <v>1</v>
      </c>
      <c r="K36">
        <f t="shared" si="4"/>
        <v>4</v>
      </c>
      <c r="L36">
        <f t="shared" si="5"/>
        <v>0</v>
      </c>
      <c r="M36">
        <f t="shared" si="6"/>
        <v>1600</v>
      </c>
      <c r="N36">
        <f t="shared" si="7"/>
        <v>1600</v>
      </c>
      <c r="P36" s="22" t="s">
        <v>6</v>
      </c>
      <c r="Q36" s="1">
        <v>1760</v>
      </c>
    </row>
    <row r="37" spans="1:17" x14ac:dyDescent="0.25">
      <c r="A37" s="12">
        <v>36</v>
      </c>
      <c r="B37" s="13" t="s">
        <v>43</v>
      </c>
      <c r="C37" s="13" t="s">
        <v>63</v>
      </c>
      <c r="D37" s="14">
        <v>4</v>
      </c>
      <c r="E37" s="15">
        <v>45782</v>
      </c>
      <c r="F37" s="16">
        <v>45786</v>
      </c>
      <c r="G37">
        <f t="shared" si="0"/>
        <v>4</v>
      </c>
      <c r="H37">
        <f t="shared" si="1"/>
        <v>400</v>
      </c>
      <c r="I37">
        <f t="shared" si="2"/>
        <v>1600</v>
      </c>
      <c r="J37">
        <f t="shared" si="3"/>
        <v>1</v>
      </c>
      <c r="K37">
        <f t="shared" si="4"/>
        <v>4</v>
      </c>
      <c r="L37">
        <f t="shared" si="5"/>
        <v>0</v>
      </c>
      <c r="M37">
        <f t="shared" si="6"/>
        <v>1600</v>
      </c>
      <c r="N37">
        <f t="shared" si="7"/>
        <v>1600</v>
      </c>
      <c r="P37" s="21" t="s">
        <v>177</v>
      </c>
      <c r="Q37" s="1">
        <v>1700</v>
      </c>
    </row>
    <row r="38" spans="1:17" x14ac:dyDescent="0.25">
      <c r="A38" s="7">
        <v>37</v>
      </c>
      <c r="B38" s="8" t="s">
        <v>26</v>
      </c>
      <c r="C38" s="8" t="s">
        <v>64</v>
      </c>
      <c r="D38" s="9">
        <v>1</v>
      </c>
      <c r="E38" s="10">
        <v>45795</v>
      </c>
      <c r="F38" s="11">
        <v>45798</v>
      </c>
      <c r="G38">
        <f t="shared" si="0"/>
        <v>3</v>
      </c>
      <c r="H38">
        <f t="shared" si="1"/>
        <v>140</v>
      </c>
      <c r="I38">
        <f t="shared" si="2"/>
        <v>420</v>
      </c>
      <c r="J38">
        <f t="shared" si="3"/>
        <v>7</v>
      </c>
      <c r="K38">
        <f t="shared" si="4"/>
        <v>2</v>
      </c>
      <c r="L38">
        <f t="shared" si="5"/>
        <v>1</v>
      </c>
      <c r="M38">
        <f t="shared" si="6"/>
        <v>448</v>
      </c>
      <c r="N38">
        <f t="shared" si="7"/>
        <v>448</v>
      </c>
      <c r="P38" s="22" t="s">
        <v>29</v>
      </c>
      <c r="Q38" s="1">
        <v>1700</v>
      </c>
    </row>
    <row r="39" spans="1:17" x14ac:dyDescent="0.25">
      <c r="A39" s="12">
        <v>38</v>
      </c>
      <c r="B39" s="13" t="s">
        <v>65</v>
      </c>
      <c r="C39" s="13" t="s">
        <v>66</v>
      </c>
      <c r="D39" s="14">
        <v>2</v>
      </c>
      <c r="E39" s="15">
        <v>45803</v>
      </c>
      <c r="F39" s="16">
        <v>45805</v>
      </c>
      <c r="G39">
        <f t="shared" si="0"/>
        <v>2</v>
      </c>
      <c r="H39">
        <f t="shared" si="1"/>
        <v>240</v>
      </c>
      <c r="I39">
        <f t="shared" si="2"/>
        <v>480</v>
      </c>
      <c r="J39">
        <f t="shared" si="3"/>
        <v>1</v>
      </c>
      <c r="K39">
        <f t="shared" si="4"/>
        <v>2</v>
      </c>
      <c r="L39">
        <f t="shared" si="5"/>
        <v>0</v>
      </c>
      <c r="M39">
        <f t="shared" si="6"/>
        <v>480</v>
      </c>
      <c r="N39">
        <f t="shared" si="7"/>
        <v>480</v>
      </c>
      <c r="P39" s="21" t="s">
        <v>132</v>
      </c>
      <c r="Q39" s="1">
        <v>1680</v>
      </c>
    </row>
    <row r="40" spans="1:17" x14ac:dyDescent="0.25">
      <c r="A40" s="7">
        <v>39</v>
      </c>
      <c r="B40" s="8" t="s">
        <v>65</v>
      </c>
      <c r="C40" s="8" t="s">
        <v>67</v>
      </c>
      <c r="D40" s="9">
        <v>2</v>
      </c>
      <c r="E40" s="10">
        <v>45825</v>
      </c>
      <c r="F40" s="11">
        <v>45827</v>
      </c>
      <c r="G40">
        <f t="shared" si="0"/>
        <v>2</v>
      </c>
      <c r="H40">
        <f t="shared" si="1"/>
        <v>240</v>
      </c>
      <c r="I40">
        <f t="shared" si="2"/>
        <v>480</v>
      </c>
      <c r="J40">
        <f t="shared" si="3"/>
        <v>2</v>
      </c>
      <c r="K40">
        <f t="shared" si="4"/>
        <v>2</v>
      </c>
      <c r="L40">
        <f t="shared" si="5"/>
        <v>0</v>
      </c>
      <c r="M40">
        <f t="shared" si="6"/>
        <v>480</v>
      </c>
      <c r="N40">
        <f t="shared" si="7"/>
        <v>480</v>
      </c>
      <c r="P40" s="22" t="s">
        <v>43</v>
      </c>
      <c r="Q40" s="1">
        <v>1680</v>
      </c>
    </row>
    <row r="41" spans="1:17" x14ac:dyDescent="0.25">
      <c r="A41" s="12">
        <v>40</v>
      </c>
      <c r="B41" s="13" t="s">
        <v>51</v>
      </c>
      <c r="C41" s="13" t="s">
        <v>68</v>
      </c>
      <c r="D41" s="14">
        <v>2</v>
      </c>
      <c r="E41" s="15">
        <v>45828</v>
      </c>
      <c r="F41" s="16">
        <v>45830</v>
      </c>
      <c r="G41">
        <f t="shared" si="0"/>
        <v>2</v>
      </c>
      <c r="H41">
        <f t="shared" si="1"/>
        <v>240</v>
      </c>
      <c r="I41">
        <f t="shared" si="2"/>
        <v>480</v>
      </c>
      <c r="J41">
        <f t="shared" si="3"/>
        <v>5</v>
      </c>
      <c r="K41">
        <f t="shared" si="4"/>
        <v>1</v>
      </c>
      <c r="L41">
        <f t="shared" si="5"/>
        <v>1</v>
      </c>
      <c r="M41">
        <f t="shared" si="6"/>
        <v>528</v>
      </c>
      <c r="N41">
        <f t="shared" si="7"/>
        <v>528</v>
      </c>
      <c r="P41" s="21" t="s">
        <v>46</v>
      </c>
      <c r="Q41" s="1">
        <v>1600</v>
      </c>
    </row>
    <row r="42" spans="1:17" x14ac:dyDescent="0.25">
      <c r="A42" s="7">
        <v>41</v>
      </c>
      <c r="B42" s="8" t="s">
        <v>49</v>
      </c>
      <c r="C42" s="8" t="s">
        <v>69</v>
      </c>
      <c r="D42" s="9">
        <v>2</v>
      </c>
      <c r="E42" s="10">
        <v>45828</v>
      </c>
      <c r="F42" s="11">
        <v>45830</v>
      </c>
      <c r="G42">
        <f t="shared" si="0"/>
        <v>2</v>
      </c>
      <c r="H42">
        <f t="shared" si="1"/>
        <v>240</v>
      </c>
      <c r="I42">
        <f t="shared" si="2"/>
        <v>480</v>
      </c>
      <c r="J42">
        <f t="shared" si="3"/>
        <v>5</v>
      </c>
      <c r="K42">
        <f t="shared" si="4"/>
        <v>1</v>
      </c>
      <c r="L42">
        <f t="shared" si="5"/>
        <v>1</v>
      </c>
      <c r="M42">
        <f t="shared" si="6"/>
        <v>528</v>
      </c>
      <c r="N42">
        <f t="shared" si="7"/>
        <v>528</v>
      </c>
      <c r="P42" s="22" t="s">
        <v>45</v>
      </c>
      <c r="Q42" s="1">
        <v>1600</v>
      </c>
    </row>
    <row r="43" spans="1:17" x14ac:dyDescent="0.25">
      <c r="A43" s="12">
        <v>42</v>
      </c>
      <c r="B43" s="13" t="s">
        <v>14</v>
      </c>
      <c r="C43" s="13" t="s">
        <v>70</v>
      </c>
      <c r="D43" s="14">
        <v>2</v>
      </c>
      <c r="E43" s="15">
        <v>45828</v>
      </c>
      <c r="F43" s="16">
        <v>45830</v>
      </c>
      <c r="G43">
        <f t="shared" si="0"/>
        <v>2</v>
      </c>
      <c r="H43">
        <f t="shared" si="1"/>
        <v>240</v>
      </c>
      <c r="I43">
        <f t="shared" si="2"/>
        <v>480</v>
      </c>
      <c r="J43">
        <f t="shared" si="3"/>
        <v>5</v>
      </c>
      <c r="K43">
        <f t="shared" si="4"/>
        <v>1</v>
      </c>
      <c r="L43">
        <f t="shared" si="5"/>
        <v>1</v>
      </c>
      <c r="M43">
        <f t="shared" si="6"/>
        <v>528</v>
      </c>
      <c r="N43">
        <f t="shared" si="7"/>
        <v>528</v>
      </c>
      <c r="P43" s="21" t="s">
        <v>9</v>
      </c>
      <c r="Q43" s="1">
        <v>1600</v>
      </c>
    </row>
    <row r="44" spans="1:17" x14ac:dyDescent="0.25">
      <c r="A44" s="7">
        <v>43</v>
      </c>
      <c r="B44" s="8" t="s">
        <v>23</v>
      </c>
      <c r="C44" s="8" t="s">
        <v>71</v>
      </c>
      <c r="D44" s="9">
        <v>2</v>
      </c>
      <c r="E44" s="10">
        <v>45828</v>
      </c>
      <c r="F44" s="11">
        <v>45830</v>
      </c>
      <c r="G44">
        <f t="shared" si="0"/>
        <v>2</v>
      </c>
      <c r="H44">
        <f t="shared" si="1"/>
        <v>240</v>
      </c>
      <c r="I44">
        <f t="shared" si="2"/>
        <v>480</v>
      </c>
      <c r="J44">
        <f t="shared" si="3"/>
        <v>5</v>
      </c>
      <c r="K44">
        <f t="shared" si="4"/>
        <v>1</v>
      </c>
      <c r="L44">
        <f t="shared" si="5"/>
        <v>1</v>
      </c>
      <c r="M44">
        <f t="shared" si="6"/>
        <v>528</v>
      </c>
      <c r="N44">
        <f t="shared" si="7"/>
        <v>528</v>
      </c>
      <c r="P44" s="22" t="s">
        <v>8</v>
      </c>
      <c r="Q44" s="1">
        <v>1600</v>
      </c>
    </row>
    <row r="45" spans="1:17" x14ac:dyDescent="0.25">
      <c r="A45" s="12">
        <v>44</v>
      </c>
      <c r="B45" s="13" t="s">
        <v>29</v>
      </c>
      <c r="C45" s="13" t="s">
        <v>72</v>
      </c>
      <c r="D45" s="14">
        <v>2</v>
      </c>
      <c r="E45" s="15">
        <v>45828</v>
      </c>
      <c r="F45" s="16">
        <v>45830</v>
      </c>
      <c r="G45">
        <f t="shared" si="0"/>
        <v>2</v>
      </c>
      <c r="H45">
        <f t="shared" si="1"/>
        <v>240</v>
      </c>
      <c r="I45">
        <f t="shared" si="2"/>
        <v>480</v>
      </c>
      <c r="J45">
        <f t="shared" si="3"/>
        <v>5</v>
      </c>
      <c r="K45">
        <f t="shared" si="4"/>
        <v>1</v>
      </c>
      <c r="L45">
        <f t="shared" si="5"/>
        <v>1</v>
      </c>
      <c r="M45">
        <f t="shared" si="6"/>
        <v>528</v>
      </c>
      <c r="N45">
        <f t="shared" si="7"/>
        <v>528</v>
      </c>
      <c r="P45" s="21" t="s">
        <v>62</v>
      </c>
      <c r="Q45" s="1">
        <v>1600</v>
      </c>
    </row>
    <row r="46" spans="1:17" x14ac:dyDescent="0.25">
      <c r="A46" s="7">
        <v>45</v>
      </c>
      <c r="B46" s="8" t="s">
        <v>73</v>
      </c>
      <c r="C46" s="8" t="s">
        <v>74</v>
      </c>
      <c r="D46" s="9">
        <v>1</v>
      </c>
      <c r="E46" s="10">
        <v>45853</v>
      </c>
      <c r="F46" s="11">
        <v>45856</v>
      </c>
      <c r="G46">
        <f t="shared" si="0"/>
        <v>3</v>
      </c>
      <c r="H46">
        <f t="shared" si="1"/>
        <v>140</v>
      </c>
      <c r="I46">
        <f t="shared" si="2"/>
        <v>420</v>
      </c>
      <c r="J46">
        <f t="shared" si="3"/>
        <v>2</v>
      </c>
      <c r="K46">
        <f t="shared" si="4"/>
        <v>3</v>
      </c>
      <c r="L46">
        <f t="shared" si="5"/>
        <v>0</v>
      </c>
      <c r="M46">
        <f t="shared" si="6"/>
        <v>420</v>
      </c>
      <c r="N46">
        <f t="shared" si="7"/>
        <v>420</v>
      </c>
      <c r="P46" s="22" t="s">
        <v>6</v>
      </c>
      <c r="Q46" s="1">
        <v>1600</v>
      </c>
    </row>
    <row r="47" spans="1:17" x14ac:dyDescent="0.25">
      <c r="A47" s="12">
        <v>46</v>
      </c>
      <c r="B47" s="13" t="s">
        <v>51</v>
      </c>
      <c r="C47" s="13" t="s">
        <v>75</v>
      </c>
      <c r="D47" s="14">
        <v>2</v>
      </c>
      <c r="E47" s="15">
        <v>45809</v>
      </c>
      <c r="F47" s="16">
        <v>45812</v>
      </c>
      <c r="G47">
        <f t="shared" si="0"/>
        <v>3</v>
      </c>
      <c r="H47">
        <f t="shared" si="1"/>
        <v>240</v>
      </c>
      <c r="I47">
        <f t="shared" si="2"/>
        <v>720</v>
      </c>
      <c r="J47">
        <f t="shared" si="3"/>
        <v>7</v>
      </c>
      <c r="K47">
        <f t="shared" si="4"/>
        <v>2</v>
      </c>
      <c r="L47">
        <f t="shared" si="5"/>
        <v>1</v>
      </c>
      <c r="M47">
        <f t="shared" si="6"/>
        <v>768</v>
      </c>
      <c r="N47">
        <f t="shared" si="7"/>
        <v>768</v>
      </c>
      <c r="P47" s="21" t="s">
        <v>93</v>
      </c>
      <c r="Q47" s="1">
        <v>1600</v>
      </c>
    </row>
    <row r="48" spans="1:17" x14ac:dyDescent="0.25">
      <c r="A48" s="7">
        <v>47</v>
      </c>
      <c r="B48" s="8" t="s">
        <v>38</v>
      </c>
      <c r="C48" s="8" t="s">
        <v>76</v>
      </c>
      <c r="D48" s="9">
        <v>3</v>
      </c>
      <c r="E48" s="10">
        <v>45816</v>
      </c>
      <c r="F48" s="11">
        <v>45817</v>
      </c>
      <c r="G48">
        <f t="shared" si="0"/>
        <v>1</v>
      </c>
      <c r="H48">
        <f t="shared" si="1"/>
        <v>320</v>
      </c>
      <c r="I48">
        <f t="shared" si="2"/>
        <v>320</v>
      </c>
      <c r="J48">
        <f t="shared" si="3"/>
        <v>7</v>
      </c>
      <c r="K48">
        <f t="shared" si="4"/>
        <v>0</v>
      </c>
      <c r="L48">
        <f t="shared" si="5"/>
        <v>1</v>
      </c>
      <c r="M48">
        <f t="shared" si="6"/>
        <v>384</v>
      </c>
      <c r="N48">
        <f t="shared" si="7"/>
        <v>384</v>
      </c>
      <c r="P48" s="22" t="s">
        <v>14</v>
      </c>
      <c r="Q48" s="1">
        <v>1600</v>
      </c>
    </row>
    <row r="49" spans="1:17" x14ac:dyDescent="0.25">
      <c r="A49" s="12">
        <v>48</v>
      </c>
      <c r="B49" s="13" t="s">
        <v>45</v>
      </c>
      <c r="C49" s="13" t="s">
        <v>77</v>
      </c>
      <c r="D49" s="14">
        <v>2</v>
      </c>
      <c r="E49" s="15">
        <v>45803</v>
      </c>
      <c r="F49" s="16">
        <v>45805</v>
      </c>
      <c r="G49">
        <f t="shared" si="0"/>
        <v>2</v>
      </c>
      <c r="H49">
        <f t="shared" si="1"/>
        <v>240</v>
      </c>
      <c r="I49">
        <f t="shared" si="2"/>
        <v>480</v>
      </c>
      <c r="J49">
        <f t="shared" si="3"/>
        <v>1</v>
      </c>
      <c r="K49">
        <f t="shared" si="4"/>
        <v>2</v>
      </c>
      <c r="L49">
        <f t="shared" si="5"/>
        <v>0</v>
      </c>
      <c r="M49">
        <f t="shared" si="6"/>
        <v>480</v>
      </c>
      <c r="N49">
        <f t="shared" si="7"/>
        <v>480</v>
      </c>
      <c r="P49" s="21" t="s">
        <v>19</v>
      </c>
      <c r="Q49" s="1">
        <v>1600</v>
      </c>
    </row>
    <row r="50" spans="1:17" x14ac:dyDescent="0.25">
      <c r="A50" s="7">
        <v>49</v>
      </c>
      <c r="B50" s="8" t="s">
        <v>73</v>
      </c>
      <c r="C50" s="8" t="s">
        <v>78</v>
      </c>
      <c r="D50" s="9">
        <v>2</v>
      </c>
      <c r="E50" s="10">
        <v>45828</v>
      </c>
      <c r="F50" s="11">
        <v>45830</v>
      </c>
      <c r="G50">
        <f t="shared" si="0"/>
        <v>2</v>
      </c>
      <c r="H50">
        <f t="shared" si="1"/>
        <v>240</v>
      </c>
      <c r="I50">
        <f t="shared" si="2"/>
        <v>480</v>
      </c>
      <c r="J50">
        <f t="shared" si="3"/>
        <v>5</v>
      </c>
      <c r="K50">
        <f t="shared" si="4"/>
        <v>1</v>
      </c>
      <c r="L50">
        <f t="shared" si="5"/>
        <v>1</v>
      </c>
      <c r="M50">
        <f t="shared" si="6"/>
        <v>528</v>
      </c>
      <c r="N50">
        <f t="shared" si="7"/>
        <v>528</v>
      </c>
      <c r="P50" s="22" t="s">
        <v>18</v>
      </c>
      <c r="Q50" s="1">
        <v>1600</v>
      </c>
    </row>
    <row r="51" spans="1:17" x14ac:dyDescent="0.25">
      <c r="A51" s="12">
        <v>50</v>
      </c>
      <c r="B51" s="13" t="s">
        <v>29</v>
      </c>
      <c r="C51" s="13" t="s">
        <v>79</v>
      </c>
      <c r="D51" s="14">
        <v>2</v>
      </c>
      <c r="E51" s="15">
        <v>45828</v>
      </c>
      <c r="F51" s="16">
        <v>45830</v>
      </c>
      <c r="G51">
        <f t="shared" si="0"/>
        <v>2</v>
      </c>
      <c r="H51">
        <f t="shared" si="1"/>
        <v>240</v>
      </c>
      <c r="I51">
        <f t="shared" si="2"/>
        <v>480</v>
      </c>
      <c r="J51">
        <f t="shared" si="3"/>
        <v>5</v>
      </c>
      <c r="K51">
        <f t="shared" si="4"/>
        <v>1</v>
      </c>
      <c r="L51">
        <f t="shared" si="5"/>
        <v>1</v>
      </c>
      <c r="M51">
        <f t="shared" si="6"/>
        <v>528</v>
      </c>
      <c r="N51">
        <f t="shared" si="7"/>
        <v>528</v>
      </c>
      <c r="P51" s="21" t="s">
        <v>63</v>
      </c>
      <c r="Q51" s="1">
        <v>1600</v>
      </c>
    </row>
    <row r="52" spans="1:17" x14ac:dyDescent="0.25">
      <c r="A52" s="7">
        <v>51</v>
      </c>
      <c r="B52" s="8" t="s">
        <v>26</v>
      </c>
      <c r="C52" s="8" t="s">
        <v>80</v>
      </c>
      <c r="D52" s="9">
        <v>2</v>
      </c>
      <c r="E52" s="10">
        <v>45828</v>
      </c>
      <c r="F52" s="11">
        <v>45830</v>
      </c>
      <c r="G52">
        <f t="shared" si="0"/>
        <v>2</v>
      </c>
      <c r="H52">
        <f t="shared" si="1"/>
        <v>240</v>
      </c>
      <c r="I52">
        <f t="shared" si="2"/>
        <v>480</v>
      </c>
      <c r="J52">
        <f t="shared" si="3"/>
        <v>5</v>
      </c>
      <c r="K52">
        <f t="shared" si="4"/>
        <v>1</v>
      </c>
      <c r="L52">
        <f t="shared" si="5"/>
        <v>1</v>
      </c>
      <c r="M52">
        <f t="shared" si="6"/>
        <v>528</v>
      </c>
      <c r="N52">
        <f t="shared" si="7"/>
        <v>528</v>
      </c>
      <c r="P52" s="22" t="s">
        <v>43</v>
      </c>
      <c r="Q52" s="1">
        <v>1600</v>
      </c>
    </row>
    <row r="53" spans="1:17" x14ac:dyDescent="0.25">
      <c r="A53" s="12">
        <v>52</v>
      </c>
      <c r="B53" s="13" t="s">
        <v>45</v>
      </c>
      <c r="C53" s="13" t="s">
        <v>81</v>
      </c>
      <c r="D53" s="14">
        <v>1</v>
      </c>
      <c r="E53" s="15">
        <v>45828</v>
      </c>
      <c r="F53" s="16">
        <v>45830</v>
      </c>
      <c r="G53">
        <f t="shared" si="0"/>
        <v>2</v>
      </c>
      <c r="H53">
        <f t="shared" si="1"/>
        <v>140</v>
      </c>
      <c r="I53">
        <f t="shared" si="2"/>
        <v>280</v>
      </c>
      <c r="J53">
        <f t="shared" si="3"/>
        <v>5</v>
      </c>
      <c r="K53">
        <f t="shared" si="4"/>
        <v>1</v>
      </c>
      <c r="L53">
        <f t="shared" si="5"/>
        <v>1</v>
      </c>
      <c r="M53">
        <f t="shared" si="6"/>
        <v>308</v>
      </c>
      <c r="N53">
        <f t="shared" si="7"/>
        <v>308</v>
      </c>
      <c r="P53" s="21" t="s">
        <v>129</v>
      </c>
      <c r="Q53" s="1">
        <v>1560</v>
      </c>
    </row>
    <row r="54" spans="1:17" x14ac:dyDescent="0.25">
      <c r="A54" s="7">
        <v>53</v>
      </c>
      <c r="B54" s="8" t="s">
        <v>20</v>
      </c>
      <c r="C54" s="8" t="s">
        <v>82</v>
      </c>
      <c r="D54" s="9">
        <v>1</v>
      </c>
      <c r="E54" s="10">
        <v>45828</v>
      </c>
      <c r="F54" s="11">
        <v>45830</v>
      </c>
      <c r="G54">
        <f t="shared" si="0"/>
        <v>2</v>
      </c>
      <c r="H54">
        <f t="shared" si="1"/>
        <v>140</v>
      </c>
      <c r="I54">
        <f t="shared" si="2"/>
        <v>280</v>
      </c>
      <c r="J54">
        <f t="shared" si="3"/>
        <v>5</v>
      </c>
      <c r="K54">
        <f t="shared" si="4"/>
        <v>1</v>
      </c>
      <c r="L54">
        <f t="shared" si="5"/>
        <v>1</v>
      </c>
      <c r="M54">
        <f t="shared" si="6"/>
        <v>308</v>
      </c>
      <c r="N54">
        <f t="shared" si="7"/>
        <v>308</v>
      </c>
      <c r="P54" s="22" t="s">
        <v>73</v>
      </c>
      <c r="Q54" s="1">
        <v>1560</v>
      </c>
    </row>
    <row r="55" spans="1:17" x14ac:dyDescent="0.25">
      <c r="A55" s="12">
        <v>54</v>
      </c>
      <c r="B55" s="13" t="s">
        <v>23</v>
      </c>
      <c r="C55" s="13" t="s">
        <v>83</v>
      </c>
      <c r="D55" s="14">
        <v>4</v>
      </c>
      <c r="E55" s="15">
        <v>45825</v>
      </c>
      <c r="F55" s="16">
        <v>45827</v>
      </c>
      <c r="G55">
        <f t="shared" si="0"/>
        <v>2</v>
      </c>
      <c r="H55">
        <f t="shared" si="1"/>
        <v>400</v>
      </c>
      <c r="I55">
        <f t="shared" si="2"/>
        <v>800</v>
      </c>
      <c r="J55">
        <f t="shared" si="3"/>
        <v>2</v>
      </c>
      <c r="K55">
        <f t="shared" si="4"/>
        <v>2</v>
      </c>
      <c r="L55">
        <f t="shared" si="5"/>
        <v>0</v>
      </c>
      <c r="M55">
        <f t="shared" si="6"/>
        <v>800</v>
      </c>
      <c r="N55">
        <f t="shared" si="7"/>
        <v>800</v>
      </c>
      <c r="P55" s="21" t="s">
        <v>161</v>
      </c>
      <c r="Q55" s="1">
        <v>1480</v>
      </c>
    </row>
    <row r="56" spans="1:17" x14ac:dyDescent="0.25">
      <c r="A56" s="7">
        <v>55</v>
      </c>
      <c r="B56" s="8" t="s">
        <v>84</v>
      </c>
      <c r="C56" s="8" t="s">
        <v>85</v>
      </c>
      <c r="D56" s="9">
        <v>1</v>
      </c>
      <c r="E56" s="10">
        <v>45795</v>
      </c>
      <c r="F56" s="11">
        <v>45798</v>
      </c>
      <c r="G56">
        <f t="shared" si="0"/>
        <v>3</v>
      </c>
      <c r="H56">
        <f t="shared" si="1"/>
        <v>140</v>
      </c>
      <c r="I56">
        <f t="shared" si="2"/>
        <v>420</v>
      </c>
      <c r="J56">
        <f t="shared" si="3"/>
        <v>7</v>
      </c>
      <c r="K56">
        <f t="shared" si="4"/>
        <v>2</v>
      </c>
      <c r="L56">
        <f t="shared" si="5"/>
        <v>1</v>
      </c>
      <c r="M56">
        <f t="shared" si="6"/>
        <v>448</v>
      </c>
      <c r="N56">
        <f t="shared" si="7"/>
        <v>448</v>
      </c>
      <c r="P56" s="22" t="s">
        <v>38</v>
      </c>
      <c r="Q56" s="1">
        <v>1480</v>
      </c>
    </row>
    <row r="57" spans="1:17" x14ac:dyDescent="0.25">
      <c r="A57" s="12">
        <v>56</v>
      </c>
      <c r="B57" s="13" t="s">
        <v>86</v>
      </c>
      <c r="C57" s="13" t="s">
        <v>87</v>
      </c>
      <c r="D57" s="14">
        <v>1</v>
      </c>
      <c r="E57" s="15">
        <v>45853</v>
      </c>
      <c r="F57" s="16">
        <v>45856</v>
      </c>
      <c r="G57">
        <f t="shared" si="0"/>
        <v>3</v>
      </c>
      <c r="H57">
        <f t="shared" si="1"/>
        <v>140</v>
      </c>
      <c r="I57">
        <f t="shared" si="2"/>
        <v>420</v>
      </c>
      <c r="J57">
        <f t="shared" si="3"/>
        <v>2</v>
      </c>
      <c r="K57">
        <f t="shared" si="4"/>
        <v>3</v>
      </c>
      <c r="L57">
        <f t="shared" si="5"/>
        <v>0</v>
      </c>
      <c r="M57">
        <f t="shared" si="6"/>
        <v>420</v>
      </c>
      <c r="N57">
        <f t="shared" si="7"/>
        <v>420</v>
      </c>
      <c r="P57" s="21" t="s">
        <v>166</v>
      </c>
      <c r="Q57" s="1">
        <v>1480</v>
      </c>
    </row>
    <row r="58" spans="1:17" x14ac:dyDescent="0.25">
      <c r="A58" s="7">
        <v>57</v>
      </c>
      <c r="B58" s="8" t="s">
        <v>26</v>
      </c>
      <c r="C58" s="8" t="s">
        <v>88</v>
      </c>
      <c r="D58" s="9">
        <v>3</v>
      </c>
      <c r="E58" s="10">
        <v>45833</v>
      </c>
      <c r="F58" s="11">
        <v>45837</v>
      </c>
      <c r="G58">
        <f t="shared" si="0"/>
        <v>4</v>
      </c>
      <c r="H58">
        <f t="shared" si="1"/>
        <v>320</v>
      </c>
      <c r="I58">
        <f t="shared" si="2"/>
        <v>1280</v>
      </c>
      <c r="J58">
        <f t="shared" si="3"/>
        <v>3</v>
      </c>
      <c r="K58">
        <f t="shared" si="4"/>
        <v>3</v>
      </c>
      <c r="L58">
        <f t="shared" si="5"/>
        <v>1</v>
      </c>
      <c r="M58">
        <f t="shared" si="6"/>
        <v>1344</v>
      </c>
      <c r="N58">
        <f t="shared" si="7"/>
        <v>1344</v>
      </c>
      <c r="P58" s="22" t="s">
        <v>165</v>
      </c>
      <c r="Q58" s="1">
        <v>1480</v>
      </c>
    </row>
    <row r="59" spans="1:17" x14ac:dyDescent="0.25">
      <c r="A59" s="12">
        <v>58</v>
      </c>
      <c r="B59" s="13" t="s">
        <v>47</v>
      </c>
      <c r="C59" s="13" t="s">
        <v>89</v>
      </c>
      <c r="D59" s="14">
        <v>3</v>
      </c>
      <c r="E59" s="15">
        <v>45833</v>
      </c>
      <c r="F59" s="16">
        <v>45837</v>
      </c>
      <c r="G59">
        <f t="shared" si="0"/>
        <v>4</v>
      </c>
      <c r="H59">
        <f t="shared" si="1"/>
        <v>320</v>
      </c>
      <c r="I59">
        <f t="shared" si="2"/>
        <v>1280</v>
      </c>
      <c r="J59">
        <f t="shared" si="3"/>
        <v>3</v>
      </c>
      <c r="K59">
        <f t="shared" si="4"/>
        <v>3</v>
      </c>
      <c r="L59">
        <f t="shared" si="5"/>
        <v>1</v>
      </c>
      <c r="M59">
        <f t="shared" si="6"/>
        <v>1344</v>
      </c>
      <c r="N59">
        <f t="shared" si="7"/>
        <v>1344</v>
      </c>
      <c r="P59" s="21" t="s">
        <v>163</v>
      </c>
      <c r="Q59" s="1">
        <v>1440</v>
      </c>
    </row>
    <row r="60" spans="1:17" x14ac:dyDescent="0.25">
      <c r="A60" s="7">
        <v>59</v>
      </c>
      <c r="B60" s="8" t="s">
        <v>12</v>
      </c>
      <c r="C60" s="8" t="s">
        <v>90</v>
      </c>
      <c r="D60" s="9">
        <v>2</v>
      </c>
      <c r="E60" s="10">
        <v>45809</v>
      </c>
      <c r="F60" s="11">
        <v>45812</v>
      </c>
      <c r="G60">
        <f t="shared" si="0"/>
        <v>3</v>
      </c>
      <c r="H60">
        <f t="shared" si="1"/>
        <v>240</v>
      </c>
      <c r="I60">
        <f t="shared" si="2"/>
        <v>720</v>
      </c>
      <c r="J60">
        <f t="shared" si="3"/>
        <v>7</v>
      </c>
      <c r="K60">
        <f t="shared" si="4"/>
        <v>2</v>
      </c>
      <c r="L60">
        <f t="shared" si="5"/>
        <v>1</v>
      </c>
      <c r="M60">
        <f t="shared" si="6"/>
        <v>768</v>
      </c>
      <c r="N60">
        <f t="shared" si="7"/>
        <v>768</v>
      </c>
      <c r="P60" s="22" t="s">
        <v>18</v>
      </c>
      <c r="Q60" s="1">
        <v>1440</v>
      </c>
    </row>
    <row r="61" spans="1:17" x14ac:dyDescent="0.25">
      <c r="A61" s="12">
        <v>60</v>
      </c>
      <c r="B61" s="13" t="s">
        <v>16</v>
      </c>
      <c r="C61" s="13" t="s">
        <v>91</v>
      </c>
      <c r="D61" s="14">
        <v>2</v>
      </c>
      <c r="E61" s="15">
        <v>45809</v>
      </c>
      <c r="F61" s="16">
        <v>45812</v>
      </c>
      <c r="G61">
        <f t="shared" si="0"/>
        <v>3</v>
      </c>
      <c r="H61">
        <f t="shared" si="1"/>
        <v>240</v>
      </c>
      <c r="I61">
        <f t="shared" si="2"/>
        <v>720</v>
      </c>
      <c r="J61">
        <f t="shared" si="3"/>
        <v>7</v>
      </c>
      <c r="K61">
        <f t="shared" si="4"/>
        <v>2</v>
      </c>
      <c r="L61">
        <f t="shared" si="5"/>
        <v>1</v>
      </c>
      <c r="M61">
        <f t="shared" si="6"/>
        <v>768</v>
      </c>
      <c r="N61">
        <f t="shared" si="7"/>
        <v>768</v>
      </c>
      <c r="P61" s="21" t="s">
        <v>130</v>
      </c>
      <c r="Q61" s="1">
        <v>1440</v>
      </c>
    </row>
    <row r="62" spans="1:17" x14ac:dyDescent="0.25">
      <c r="A62" s="7">
        <v>61</v>
      </c>
      <c r="B62" s="8" t="s">
        <v>84</v>
      </c>
      <c r="C62" s="8" t="s">
        <v>92</v>
      </c>
      <c r="D62" s="9">
        <v>3</v>
      </c>
      <c r="E62" s="10">
        <v>45778</v>
      </c>
      <c r="F62" s="11">
        <v>45780</v>
      </c>
      <c r="G62">
        <f t="shared" si="0"/>
        <v>2</v>
      </c>
      <c r="H62">
        <f t="shared" si="1"/>
        <v>320</v>
      </c>
      <c r="I62">
        <f t="shared" si="2"/>
        <v>640</v>
      </c>
      <c r="J62">
        <f t="shared" si="3"/>
        <v>4</v>
      </c>
      <c r="K62">
        <f t="shared" si="4"/>
        <v>2</v>
      </c>
      <c r="L62">
        <f t="shared" si="5"/>
        <v>0</v>
      </c>
      <c r="M62">
        <f t="shared" si="6"/>
        <v>640</v>
      </c>
      <c r="N62">
        <f t="shared" si="7"/>
        <v>640</v>
      </c>
      <c r="P62" s="22" t="s">
        <v>26</v>
      </c>
      <c r="Q62" s="1">
        <v>1440</v>
      </c>
    </row>
    <row r="63" spans="1:17" x14ac:dyDescent="0.25">
      <c r="A63" s="12">
        <v>62</v>
      </c>
      <c r="B63" s="13" t="s">
        <v>14</v>
      </c>
      <c r="C63" s="13" t="s">
        <v>93</v>
      </c>
      <c r="D63" s="14">
        <v>3</v>
      </c>
      <c r="E63" s="15">
        <v>45787</v>
      </c>
      <c r="F63" s="16">
        <v>45792</v>
      </c>
      <c r="G63">
        <f t="shared" si="0"/>
        <v>5</v>
      </c>
      <c r="H63">
        <f t="shared" si="1"/>
        <v>320</v>
      </c>
      <c r="I63">
        <f t="shared" si="2"/>
        <v>1600</v>
      </c>
      <c r="J63">
        <f t="shared" si="3"/>
        <v>6</v>
      </c>
      <c r="K63">
        <f t="shared" si="4"/>
        <v>3</v>
      </c>
      <c r="L63">
        <f t="shared" si="5"/>
        <v>2</v>
      </c>
      <c r="M63">
        <f t="shared" si="6"/>
        <v>1728</v>
      </c>
      <c r="N63">
        <f t="shared" si="7"/>
        <v>1555.2</v>
      </c>
      <c r="P63" s="21" t="s">
        <v>55</v>
      </c>
      <c r="Q63" s="1">
        <v>1280</v>
      </c>
    </row>
    <row r="64" spans="1:17" x14ac:dyDescent="0.25">
      <c r="A64" s="7">
        <v>63</v>
      </c>
      <c r="B64" s="8" t="s">
        <v>12</v>
      </c>
      <c r="C64" s="8" t="s">
        <v>94</v>
      </c>
      <c r="D64" s="9">
        <v>4</v>
      </c>
      <c r="E64" s="10">
        <v>45816</v>
      </c>
      <c r="F64" s="11">
        <v>45817</v>
      </c>
      <c r="G64">
        <f t="shared" si="0"/>
        <v>1</v>
      </c>
      <c r="H64">
        <f t="shared" si="1"/>
        <v>400</v>
      </c>
      <c r="I64">
        <f t="shared" si="2"/>
        <v>400</v>
      </c>
      <c r="J64">
        <f t="shared" si="3"/>
        <v>7</v>
      </c>
      <c r="K64">
        <f t="shared" si="4"/>
        <v>0</v>
      </c>
      <c r="L64">
        <f t="shared" si="5"/>
        <v>1</v>
      </c>
      <c r="M64">
        <f t="shared" si="6"/>
        <v>480</v>
      </c>
      <c r="N64">
        <f t="shared" si="7"/>
        <v>480</v>
      </c>
      <c r="P64" s="22" t="s">
        <v>54</v>
      </c>
      <c r="Q64" s="1">
        <v>1280</v>
      </c>
    </row>
    <row r="65" spans="1:17" x14ac:dyDescent="0.25">
      <c r="A65" s="12">
        <v>64</v>
      </c>
      <c r="B65" s="13" t="s">
        <v>86</v>
      </c>
      <c r="C65" s="13" t="s">
        <v>95</v>
      </c>
      <c r="D65" s="14">
        <v>1</v>
      </c>
      <c r="E65" s="15">
        <v>45853</v>
      </c>
      <c r="F65" s="16">
        <v>45856</v>
      </c>
      <c r="G65">
        <f t="shared" si="0"/>
        <v>3</v>
      </c>
      <c r="H65">
        <f t="shared" si="1"/>
        <v>140</v>
      </c>
      <c r="I65">
        <f t="shared" si="2"/>
        <v>420</v>
      </c>
      <c r="J65">
        <f t="shared" si="3"/>
        <v>2</v>
      </c>
      <c r="K65">
        <f t="shared" si="4"/>
        <v>3</v>
      </c>
      <c r="L65">
        <f t="shared" si="5"/>
        <v>0</v>
      </c>
      <c r="M65">
        <f t="shared" si="6"/>
        <v>420</v>
      </c>
      <c r="N65">
        <f t="shared" si="7"/>
        <v>420</v>
      </c>
      <c r="P65" s="21" t="s">
        <v>137</v>
      </c>
      <c r="Q65" s="1">
        <v>1280</v>
      </c>
    </row>
    <row r="66" spans="1:17" x14ac:dyDescent="0.25">
      <c r="A66" s="7">
        <v>65</v>
      </c>
      <c r="B66" s="8" t="s">
        <v>32</v>
      </c>
      <c r="C66" s="8" t="s">
        <v>96</v>
      </c>
      <c r="D66" s="9">
        <v>3</v>
      </c>
      <c r="E66" s="10">
        <v>45833</v>
      </c>
      <c r="F66" s="11">
        <v>45837</v>
      </c>
      <c r="G66">
        <f t="shared" si="0"/>
        <v>4</v>
      </c>
      <c r="H66">
        <f t="shared" si="1"/>
        <v>320</v>
      </c>
      <c r="I66">
        <f t="shared" si="2"/>
        <v>1280</v>
      </c>
      <c r="J66">
        <f t="shared" si="3"/>
        <v>3</v>
      </c>
      <c r="K66">
        <f t="shared" si="4"/>
        <v>3</v>
      </c>
      <c r="L66">
        <f t="shared" si="5"/>
        <v>1</v>
      </c>
      <c r="M66">
        <f t="shared" si="6"/>
        <v>1344</v>
      </c>
      <c r="N66">
        <f t="shared" si="7"/>
        <v>1344</v>
      </c>
      <c r="P66" s="22" t="s">
        <v>32</v>
      </c>
      <c r="Q66" s="1">
        <v>1280</v>
      </c>
    </row>
    <row r="67" spans="1:17" x14ac:dyDescent="0.25">
      <c r="A67" s="12">
        <v>66</v>
      </c>
      <c r="B67" s="13" t="s">
        <v>36</v>
      </c>
      <c r="C67" s="13" t="s">
        <v>97</v>
      </c>
      <c r="D67" s="14">
        <v>3</v>
      </c>
      <c r="E67" s="15">
        <v>45833</v>
      </c>
      <c r="F67" s="16">
        <v>45837</v>
      </c>
      <c r="G67">
        <f t="shared" ref="G67:G130" si="8">F67-E67</f>
        <v>4</v>
      </c>
      <c r="H67">
        <f t="shared" ref="H67:H130" si="9">VLOOKUP(D67,$P$2:$R$6,3,FALSE)</f>
        <v>320</v>
      </c>
      <c r="I67">
        <f t="shared" ref="I67:I130" si="10">H67*G67</f>
        <v>1280</v>
      </c>
      <c r="J67">
        <f t="shared" ref="J67:J130" si="11">WEEKDAY(E67,2)</f>
        <v>3</v>
      </c>
      <c r="K67">
        <f t="shared" ref="K67:K130" si="12">NETWORKDAYS(E67,F67-1)</f>
        <v>3</v>
      </c>
      <c r="L67">
        <f t="shared" ref="L67:L130" si="13">G67-K67</f>
        <v>1</v>
      </c>
      <c r="M67">
        <f t="shared" ref="M67:M130" si="14">K67*H67+L67*H67*1.2</f>
        <v>1344</v>
      </c>
      <c r="N67">
        <f t="shared" ref="N67:N130" si="15">IF(G67&gt;4,M67*0.9,M67)</f>
        <v>1344</v>
      </c>
      <c r="P67" s="21" t="s">
        <v>61</v>
      </c>
      <c r="Q67" s="1">
        <v>1280</v>
      </c>
    </row>
    <row r="68" spans="1:17" x14ac:dyDescent="0.25">
      <c r="A68" s="7">
        <v>67</v>
      </c>
      <c r="B68" s="8" t="s">
        <v>12</v>
      </c>
      <c r="C68" s="8" t="s">
        <v>98</v>
      </c>
      <c r="D68" s="9">
        <v>2</v>
      </c>
      <c r="E68" s="10">
        <v>45833</v>
      </c>
      <c r="F68" s="11">
        <v>45837</v>
      </c>
      <c r="G68">
        <f t="shared" si="8"/>
        <v>4</v>
      </c>
      <c r="H68">
        <f t="shared" si="9"/>
        <v>240</v>
      </c>
      <c r="I68">
        <f t="shared" si="10"/>
        <v>960</v>
      </c>
      <c r="J68">
        <f t="shared" si="11"/>
        <v>3</v>
      </c>
      <c r="K68">
        <f t="shared" si="12"/>
        <v>3</v>
      </c>
      <c r="L68">
        <f t="shared" si="13"/>
        <v>1</v>
      </c>
      <c r="M68">
        <f t="shared" si="14"/>
        <v>1008</v>
      </c>
      <c r="N68">
        <f t="shared" si="15"/>
        <v>1008</v>
      </c>
      <c r="P68" s="22" t="s">
        <v>34</v>
      </c>
      <c r="Q68" s="1">
        <v>1280</v>
      </c>
    </row>
    <row r="69" spans="1:17" x14ac:dyDescent="0.25">
      <c r="A69" s="12">
        <v>68</v>
      </c>
      <c r="B69" s="13" t="s">
        <v>20</v>
      </c>
      <c r="C69" s="13" t="s">
        <v>99</v>
      </c>
      <c r="D69" s="14">
        <v>2</v>
      </c>
      <c r="E69" s="15">
        <v>45833</v>
      </c>
      <c r="F69" s="16">
        <v>45837</v>
      </c>
      <c r="G69">
        <f t="shared" si="8"/>
        <v>4</v>
      </c>
      <c r="H69">
        <f t="shared" si="9"/>
        <v>240</v>
      </c>
      <c r="I69">
        <f t="shared" si="10"/>
        <v>960</v>
      </c>
      <c r="J69">
        <f t="shared" si="11"/>
        <v>3</v>
      </c>
      <c r="K69">
        <f t="shared" si="12"/>
        <v>3</v>
      </c>
      <c r="L69">
        <f t="shared" si="13"/>
        <v>1</v>
      </c>
      <c r="M69">
        <f t="shared" si="14"/>
        <v>1008</v>
      </c>
      <c r="N69">
        <f t="shared" si="15"/>
        <v>1008</v>
      </c>
      <c r="P69" s="21" t="s">
        <v>97</v>
      </c>
      <c r="Q69" s="1">
        <v>1280</v>
      </c>
    </row>
    <row r="70" spans="1:17" x14ac:dyDescent="0.25">
      <c r="A70" s="7">
        <v>69</v>
      </c>
      <c r="B70" s="8" t="s">
        <v>18</v>
      </c>
      <c r="C70" s="8" t="s">
        <v>100</v>
      </c>
      <c r="D70" s="9">
        <v>2</v>
      </c>
      <c r="E70" s="10">
        <v>45833</v>
      </c>
      <c r="F70" s="11">
        <v>45837</v>
      </c>
      <c r="G70">
        <f t="shared" si="8"/>
        <v>4</v>
      </c>
      <c r="H70">
        <f t="shared" si="9"/>
        <v>240</v>
      </c>
      <c r="I70">
        <f t="shared" si="10"/>
        <v>960</v>
      </c>
      <c r="J70">
        <f t="shared" si="11"/>
        <v>3</v>
      </c>
      <c r="K70">
        <f t="shared" si="12"/>
        <v>3</v>
      </c>
      <c r="L70">
        <f t="shared" si="13"/>
        <v>1</v>
      </c>
      <c r="M70">
        <f t="shared" si="14"/>
        <v>1008</v>
      </c>
      <c r="N70">
        <f t="shared" si="15"/>
        <v>1008</v>
      </c>
      <c r="P70" s="22" t="s">
        <v>36</v>
      </c>
      <c r="Q70" s="1">
        <v>1280</v>
      </c>
    </row>
    <row r="71" spans="1:17" x14ac:dyDescent="0.25">
      <c r="A71" s="12">
        <v>70</v>
      </c>
      <c r="B71" s="13" t="s">
        <v>10</v>
      </c>
      <c r="C71" s="13" t="s">
        <v>101</v>
      </c>
      <c r="D71" s="14">
        <v>4</v>
      </c>
      <c r="E71" s="15">
        <v>45795</v>
      </c>
      <c r="F71" s="16">
        <v>45798</v>
      </c>
      <c r="G71">
        <f t="shared" si="8"/>
        <v>3</v>
      </c>
      <c r="H71">
        <f t="shared" si="9"/>
        <v>400</v>
      </c>
      <c r="I71">
        <f t="shared" si="10"/>
        <v>1200</v>
      </c>
      <c r="J71">
        <f t="shared" si="11"/>
        <v>7</v>
      </c>
      <c r="K71">
        <f t="shared" si="12"/>
        <v>2</v>
      </c>
      <c r="L71">
        <f t="shared" si="13"/>
        <v>1</v>
      </c>
      <c r="M71">
        <f t="shared" si="14"/>
        <v>1280</v>
      </c>
      <c r="N71">
        <f t="shared" si="15"/>
        <v>1280</v>
      </c>
      <c r="P71" s="21" t="s">
        <v>56</v>
      </c>
      <c r="Q71" s="1">
        <v>1280</v>
      </c>
    </row>
    <row r="72" spans="1:17" x14ac:dyDescent="0.25">
      <c r="A72" s="7">
        <v>71</v>
      </c>
      <c r="B72" s="8" t="s">
        <v>102</v>
      </c>
      <c r="C72" s="8" t="s">
        <v>103</v>
      </c>
      <c r="D72" s="9">
        <v>2</v>
      </c>
      <c r="E72" s="10">
        <v>45833</v>
      </c>
      <c r="F72" s="11">
        <v>45837</v>
      </c>
      <c r="G72">
        <f t="shared" si="8"/>
        <v>4</v>
      </c>
      <c r="H72">
        <f t="shared" si="9"/>
        <v>240</v>
      </c>
      <c r="I72">
        <f t="shared" si="10"/>
        <v>960</v>
      </c>
      <c r="J72">
        <f t="shared" si="11"/>
        <v>3</v>
      </c>
      <c r="K72">
        <f t="shared" si="12"/>
        <v>3</v>
      </c>
      <c r="L72">
        <f t="shared" si="13"/>
        <v>1</v>
      </c>
      <c r="M72">
        <f t="shared" si="14"/>
        <v>1008</v>
      </c>
      <c r="N72">
        <f t="shared" si="15"/>
        <v>1008</v>
      </c>
      <c r="P72" s="22" t="s">
        <v>18</v>
      </c>
      <c r="Q72" s="1">
        <v>1280</v>
      </c>
    </row>
    <row r="73" spans="1:17" x14ac:dyDescent="0.25">
      <c r="A73" s="12">
        <v>72</v>
      </c>
      <c r="B73" s="13" t="s">
        <v>16</v>
      </c>
      <c r="C73" s="13" t="s">
        <v>104</v>
      </c>
      <c r="D73" s="14">
        <v>2</v>
      </c>
      <c r="E73" s="15">
        <v>45833</v>
      </c>
      <c r="F73" s="16">
        <v>45837</v>
      </c>
      <c r="G73">
        <f t="shared" si="8"/>
        <v>4</v>
      </c>
      <c r="H73">
        <f t="shared" si="9"/>
        <v>240</v>
      </c>
      <c r="I73">
        <f t="shared" si="10"/>
        <v>960</v>
      </c>
      <c r="J73">
        <f t="shared" si="11"/>
        <v>3</v>
      </c>
      <c r="K73">
        <f t="shared" si="12"/>
        <v>3</v>
      </c>
      <c r="L73">
        <f t="shared" si="13"/>
        <v>1</v>
      </c>
      <c r="M73">
        <f t="shared" si="14"/>
        <v>1008</v>
      </c>
      <c r="N73">
        <f t="shared" si="15"/>
        <v>1008</v>
      </c>
      <c r="P73" s="21" t="s">
        <v>92</v>
      </c>
      <c r="Q73" s="1">
        <v>1280</v>
      </c>
    </row>
    <row r="74" spans="1:17" x14ac:dyDescent="0.25">
      <c r="A74" s="7">
        <v>73</v>
      </c>
      <c r="B74" s="8" t="s">
        <v>14</v>
      </c>
      <c r="C74" s="8" t="s">
        <v>105</v>
      </c>
      <c r="D74" s="9">
        <v>2</v>
      </c>
      <c r="E74" s="10">
        <v>45833</v>
      </c>
      <c r="F74" s="11">
        <v>45837</v>
      </c>
      <c r="G74">
        <f t="shared" si="8"/>
        <v>4</v>
      </c>
      <c r="H74">
        <f t="shared" si="9"/>
        <v>240</v>
      </c>
      <c r="I74">
        <f t="shared" si="10"/>
        <v>960</v>
      </c>
      <c r="J74">
        <f t="shared" si="11"/>
        <v>3</v>
      </c>
      <c r="K74">
        <f t="shared" si="12"/>
        <v>3</v>
      </c>
      <c r="L74">
        <f t="shared" si="13"/>
        <v>1</v>
      </c>
      <c r="M74">
        <f t="shared" si="14"/>
        <v>1008</v>
      </c>
      <c r="N74">
        <f t="shared" si="15"/>
        <v>1008</v>
      </c>
      <c r="P74" s="22" t="s">
        <v>84</v>
      </c>
      <c r="Q74" s="1">
        <v>1280</v>
      </c>
    </row>
    <row r="75" spans="1:17" x14ac:dyDescent="0.25">
      <c r="A75" s="12">
        <v>74</v>
      </c>
      <c r="B75" s="13" t="s">
        <v>12</v>
      </c>
      <c r="C75" s="13" t="s">
        <v>106</v>
      </c>
      <c r="D75" s="14">
        <v>2</v>
      </c>
      <c r="E75" s="15">
        <v>45833</v>
      </c>
      <c r="F75" s="16">
        <v>45837</v>
      </c>
      <c r="G75">
        <f t="shared" si="8"/>
        <v>4</v>
      </c>
      <c r="H75">
        <f t="shared" si="9"/>
        <v>240</v>
      </c>
      <c r="I75">
        <f t="shared" si="10"/>
        <v>960</v>
      </c>
      <c r="J75">
        <f t="shared" si="11"/>
        <v>3</v>
      </c>
      <c r="K75">
        <f t="shared" si="12"/>
        <v>3</v>
      </c>
      <c r="L75">
        <f t="shared" si="13"/>
        <v>1</v>
      </c>
      <c r="M75">
        <f t="shared" si="14"/>
        <v>1008</v>
      </c>
      <c r="N75">
        <f t="shared" si="15"/>
        <v>1008</v>
      </c>
      <c r="P75" s="21" t="s">
        <v>135</v>
      </c>
      <c r="Q75" s="1">
        <v>1280</v>
      </c>
    </row>
    <row r="76" spans="1:17" x14ac:dyDescent="0.25">
      <c r="A76" s="7">
        <v>75</v>
      </c>
      <c r="B76" s="8" t="s">
        <v>45</v>
      </c>
      <c r="C76" s="8" t="s">
        <v>107</v>
      </c>
      <c r="D76" s="9">
        <v>2</v>
      </c>
      <c r="E76" s="10">
        <v>45803</v>
      </c>
      <c r="F76" s="11">
        <v>45805</v>
      </c>
      <c r="G76">
        <f t="shared" si="8"/>
        <v>2</v>
      </c>
      <c r="H76">
        <f t="shared" si="9"/>
        <v>240</v>
      </c>
      <c r="I76">
        <f t="shared" si="10"/>
        <v>480</v>
      </c>
      <c r="J76">
        <f t="shared" si="11"/>
        <v>1</v>
      </c>
      <c r="K76">
        <f t="shared" si="12"/>
        <v>2</v>
      </c>
      <c r="L76">
        <f t="shared" si="13"/>
        <v>0</v>
      </c>
      <c r="M76">
        <f t="shared" si="14"/>
        <v>480</v>
      </c>
      <c r="N76">
        <f t="shared" si="15"/>
        <v>480</v>
      </c>
      <c r="P76" s="22" t="s">
        <v>118</v>
      </c>
      <c r="Q76" s="1">
        <v>1280</v>
      </c>
    </row>
    <row r="77" spans="1:17" x14ac:dyDescent="0.25">
      <c r="A77" s="12">
        <v>76</v>
      </c>
      <c r="B77" s="13" t="s">
        <v>29</v>
      </c>
      <c r="C77" s="13" t="s">
        <v>108</v>
      </c>
      <c r="D77" s="14">
        <v>2</v>
      </c>
      <c r="E77" s="15">
        <v>45839</v>
      </c>
      <c r="F77" s="16">
        <v>45841</v>
      </c>
      <c r="G77">
        <f t="shared" si="8"/>
        <v>2</v>
      </c>
      <c r="H77">
        <f t="shared" si="9"/>
        <v>240</v>
      </c>
      <c r="I77">
        <f t="shared" si="10"/>
        <v>480</v>
      </c>
      <c r="J77">
        <f t="shared" si="11"/>
        <v>2</v>
      </c>
      <c r="K77">
        <f t="shared" si="12"/>
        <v>2</v>
      </c>
      <c r="L77">
        <f t="shared" si="13"/>
        <v>0</v>
      </c>
      <c r="M77">
        <f t="shared" si="14"/>
        <v>480</v>
      </c>
      <c r="N77">
        <f t="shared" si="15"/>
        <v>480</v>
      </c>
      <c r="P77" s="21" t="s">
        <v>96</v>
      </c>
      <c r="Q77" s="1">
        <v>1280</v>
      </c>
    </row>
    <row r="78" spans="1:17" x14ac:dyDescent="0.25">
      <c r="A78" s="7">
        <v>77</v>
      </c>
      <c r="B78" s="8" t="s">
        <v>16</v>
      </c>
      <c r="C78" s="8" t="s">
        <v>109</v>
      </c>
      <c r="D78" s="9">
        <v>2</v>
      </c>
      <c r="E78" s="10">
        <v>45833</v>
      </c>
      <c r="F78" s="11">
        <v>45837</v>
      </c>
      <c r="G78">
        <f t="shared" si="8"/>
        <v>4</v>
      </c>
      <c r="H78">
        <f t="shared" si="9"/>
        <v>240</v>
      </c>
      <c r="I78">
        <f t="shared" si="10"/>
        <v>960</v>
      </c>
      <c r="J78">
        <f t="shared" si="11"/>
        <v>3</v>
      </c>
      <c r="K78">
        <f t="shared" si="12"/>
        <v>3</v>
      </c>
      <c r="L78">
        <f t="shared" si="13"/>
        <v>1</v>
      </c>
      <c r="M78">
        <f t="shared" si="14"/>
        <v>1008</v>
      </c>
      <c r="N78">
        <f t="shared" si="15"/>
        <v>1008</v>
      </c>
      <c r="P78" s="22" t="s">
        <v>32</v>
      </c>
      <c r="Q78" s="1">
        <v>1280</v>
      </c>
    </row>
    <row r="79" spans="1:17" x14ac:dyDescent="0.25">
      <c r="A79" s="12">
        <v>78</v>
      </c>
      <c r="B79" s="13" t="s">
        <v>110</v>
      </c>
      <c r="C79" s="13" t="s">
        <v>111</v>
      </c>
      <c r="D79" s="14">
        <v>1</v>
      </c>
      <c r="E79" s="15">
        <v>45833</v>
      </c>
      <c r="F79" s="16">
        <v>45837</v>
      </c>
      <c r="G79">
        <f t="shared" si="8"/>
        <v>4</v>
      </c>
      <c r="H79">
        <f t="shared" si="9"/>
        <v>140</v>
      </c>
      <c r="I79">
        <f t="shared" si="10"/>
        <v>560</v>
      </c>
      <c r="J79">
        <f t="shared" si="11"/>
        <v>3</v>
      </c>
      <c r="K79">
        <f t="shared" si="12"/>
        <v>3</v>
      </c>
      <c r="L79">
        <f t="shared" si="13"/>
        <v>1</v>
      </c>
      <c r="M79">
        <f t="shared" si="14"/>
        <v>588</v>
      </c>
      <c r="N79">
        <f t="shared" si="15"/>
        <v>588</v>
      </c>
      <c r="P79" s="21" t="s">
        <v>89</v>
      </c>
      <c r="Q79" s="1">
        <v>1280</v>
      </c>
    </row>
    <row r="80" spans="1:17" x14ac:dyDescent="0.25">
      <c r="A80" s="7">
        <v>79</v>
      </c>
      <c r="B80" s="8" t="s">
        <v>20</v>
      </c>
      <c r="C80" s="8" t="s">
        <v>112</v>
      </c>
      <c r="D80" s="9">
        <v>1</v>
      </c>
      <c r="E80" s="10">
        <v>45833</v>
      </c>
      <c r="F80" s="11">
        <v>45837</v>
      </c>
      <c r="G80">
        <f t="shared" si="8"/>
        <v>4</v>
      </c>
      <c r="H80">
        <f t="shared" si="9"/>
        <v>140</v>
      </c>
      <c r="I80">
        <f t="shared" si="10"/>
        <v>560</v>
      </c>
      <c r="J80">
        <f t="shared" si="11"/>
        <v>3</v>
      </c>
      <c r="K80">
        <f t="shared" si="12"/>
        <v>3</v>
      </c>
      <c r="L80">
        <f t="shared" si="13"/>
        <v>1</v>
      </c>
      <c r="M80">
        <f t="shared" si="14"/>
        <v>588</v>
      </c>
      <c r="N80">
        <f t="shared" si="15"/>
        <v>588</v>
      </c>
      <c r="P80" s="22" t="s">
        <v>47</v>
      </c>
      <c r="Q80" s="1">
        <v>1280</v>
      </c>
    </row>
    <row r="81" spans="1:17" x14ac:dyDescent="0.25">
      <c r="A81" s="12">
        <v>80</v>
      </c>
      <c r="B81" s="13" t="s">
        <v>102</v>
      </c>
      <c r="C81" s="13" t="s">
        <v>113</v>
      </c>
      <c r="D81" s="14">
        <v>1</v>
      </c>
      <c r="E81" s="15">
        <v>45833</v>
      </c>
      <c r="F81" s="16">
        <v>45837</v>
      </c>
      <c r="G81">
        <f t="shared" si="8"/>
        <v>4</v>
      </c>
      <c r="H81">
        <f t="shared" si="9"/>
        <v>140</v>
      </c>
      <c r="I81">
        <f t="shared" si="10"/>
        <v>560</v>
      </c>
      <c r="J81">
        <f t="shared" si="11"/>
        <v>3</v>
      </c>
      <c r="K81">
        <f t="shared" si="12"/>
        <v>3</v>
      </c>
      <c r="L81">
        <f t="shared" si="13"/>
        <v>1</v>
      </c>
      <c r="M81">
        <f t="shared" si="14"/>
        <v>588</v>
      </c>
      <c r="N81">
        <f t="shared" si="15"/>
        <v>588</v>
      </c>
      <c r="P81" s="21" t="s">
        <v>88</v>
      </c>
      <c r="Q81" s="1">
        <v>1280</v>
      </c>
    </row>
    <row r="82" spans="1:17" x14ac:dyDescent="0.25">
      <c r="A82" s="7">
        <v>81</v>
      </c>
      <c r="B82" s="8" t="s">
        <v>18</v>
      </c>
      <c r="C82" s="8" t="s">
        <v>114</v>
      </c>
      <c r="D82" s="9">
        <v>1</v>
      </c>
      <c r="E82" s="10">
        <v>45843</v>
      </c>
      <c r="F82" s="11">
        <v>45845</v>
      </c>
      <c r="G82">
        <f t="shared" si="8"/>
        <v>2</v>
      </c>
      <c r="H82">
        <f t="shared" si="9"/>
        <v>140</v>
      </c>
      <c r="I82">
        <f t="shared" si="10"/>
        <v>280</v>
      </c>
      <c r="J82">
        <f t="shared" si="11"/>
        <v>6</v>
      </c>
      <c r="K82">
        <f t="shared" si="12"/>
        <v>0</v>
      </c>
      <c r="L82">
        <f t="shared" si="13"/>
        <v>2</v>
      </c>
      <c r="M82">
        <f t="shared" si="14"/>
        <v>336</v>
      </c>
      <c r="N82">
        <f t="shared" si="15"/>
        <v>336</v>
      </c>
      <c r="P82" s="22" t="s">
        <v>26</v>
      </c>
      <c r="Q82" s="1">
        <v>1280</v>
      </c>
    </row>
    <row r="83" spans="1:17" x14ac:dyDescent="0.25">
      <c r="A83" s="12">
        <v>82</v>
      </c>
      <c r="B83" s="13" t="s">
        <v>84</v>
      </c>
      <c r="C83" s="13" t="s">
        <v>115</v>
      </c>
      <c r="D83" s="14">
        <v>2</v>
      </c>
      <c r="E83" s="15">
        <v>45803</v>
      </c>
      <c r="F83" s="16">
        <v>45805</v>
      </c>
      <c r="G83">
        <f t="shared" si="8"/>
        <v>2</v>
      </c>
      <c r="H83">
        <f t="shared" si="9"/>
        <v>240</v>
      </c>
      <c r="I83">
        <f t="shared" si="10"/>
        <v>480</v>
      </c>
      <c r="J83">
        <f t="shared" si="11"/>
        <v>1</v>
      </c>
      <c r="K83">
        <f t="shared" si="12"/>
        <v>2</v>
      </c>
      <c r="L83">
        <f t="shared" si="13"/>
        <v>0</v>
      </c>
      <c r="M83">
        <f t="shared" si="14"/>
        <v>480</v>
      </c>
      <c r="N83">
        <f t="shared" si="15"/>
        <v>480</v>
      </c>
      <c r="P83" s="21" t="s">
        <v>136</v>
      </c>
      <c r="Q83" s="1">
        <v>1280</v>
      </c>
    </row>
    <row r="84" spans="1:17" x14ac:dyDescent="0.25">
      <c r="A84" s="7">
        <v>83</v>
      </c>
      <c r="B84" s="8" t="s">
        <v>14</v>
      </c>
      <c r="C84" s="8" t="s">
        <v>116</v>
      </c>
      <c r="D84" s="9">
        <v>4</v>
      </c>
      <c r="E84" s="10">
        <v>45816</v>
      </c>
      <c r="F84" s="11">
        <v>45817</v>
      </c>
      <c r="G84">
        <f t="shared" si="8"/>
        <v>1</v>
      </c>
      <c r="H84">
        <f t="shared" si="9"/>
        <v>400</v>
      </c>
      <c r="I84">
        <f t="shared" si="10"/>
        <v>400</v>
      </c>
      <c r="J84">
        <f t="shared" si="11"/>
        <v>7</v>
      </c>
      <c r="K84">
        <f t="shared" si="12"/>
        <v>0</v>
      </c>
      <c r="L84">
        <f t="shared" si="13"/>
        <v>1</v>
      </c>
      <c r="M84">
        <f t="shared" si="14"/>
        <v>480</v>
      </c>
      <c r="N84">
        <f t="shared" si="15"/>
        <v>480</v>
      </c>
      <c r="P84" s="22" t="s">
        <v>51</v>
      </c>
      <c r="Q84" s="1">
        <v>1280</v>
      </c>
    </row>
    <row r="85" spans="1:17" x14ac:dyDescent="0.25">
      <c r="A85" s="12">
        <v>84</v>
      </c>
      <c r="B85" s="13" t="s">
        <v>54</v>
      </c>
      <c r="C85" s="13" t="s">
        <v>117</v>
      </c>
      <c r="D85" s="14">
        <v>3</v>
      </c>
      <c r="E85" s="15">
        <v>45778</v>
      </c>
      <c r="F85" s="16">
        <v>45780</v>
      </c>
      <c r="G85">
        <f t="shared" si="8"/>
        <v>2</v>
      </c>
      <c r="H85">
        <f t="shared" si="9"/>
        <v>320</v>
      </c>
      <c r="I85">
        <f t="shared" si="10"/>
        <v>640</v>
      </c>
      <c r="J85">
        <f t="shared" si="11"/>
        <v>4</v>
      </c>
      <c r="K85">
        <f t="shared" si="12"/>
        <v>2</v>
      </c>
      <c r="L85">
        <f t="shared" si="13"/>
        <v>0</v>
      </c>
      <c r="M85">
        <f t="shared" si="14"/>
        <v>640</v>
      </c>
      <c r="N85">
        <f t="shared" si="15"/>
        <v>640</v>
      </c>
      <c r="P85" s="21" t="s">
        <v>53</v>
      </c>
      <c r="Q85" s="1">
        <v>1280</v>
      </c>
    </row>
    <row r="86" spans="1:17" x14ac:dyDescent="0.25">
      <c r="A86" s="7">
        <v>85</v>
      </c>
      <c r="B86" s="8" t="s">
        <v>118</v>
      </c>
      <c r="C86" s="8" t="s">
        <v>119</v>
      </c>
      <c r="D86" s="9">
        <v>1</v>
      </c>
      <c r="E86" s="10">
        <v>45843</v>
      </c>
      <c r="F86" s="11">
        <v>45845</v>
      </c>
      <c r="G86">
        <f t="shared" si="8"/>
        <v>2</v>
      </c>
      <c r="H86">
        <f t="shared" si="9"/>
        <v>140</v>
      </c>
      <c r="I86">
        <f t="shared" si="10"/>
        <v>280</v>
      </c>
      <c r="J86">
        <f t="shared" si="11"/>
        <v>6</v>
      </c>
      <c r="K86">
        <f t="shared" si="12"/>
        <v>0</v>
      </c>
      <c r="L86">
        <f t="shared" si="13"/>
        <v>2</v>
      </c>
      <c r="M86">
        <f t="shared" si="14"/>
        <v>336</v>
      </c>
      <c r="N86">
        <f t="shared" si="15"/>
        <v>336</v>
      </c>
      <c r="P86" s="22" t="s">
        <v>34</v>
      </c>
      <c r="Q86" s="1">
        <v>1280</v>
      </c>
    </row>
    <row r="87" spans="1:17" x14ac:dyDescent="0.25">
      <c r="A87" s="12">
        <v>86</v>
      </c>
      <c r="B87" s="13" t="s">
        <v>49</v>
      </c>
      <c r="C87" s="13" t="s">
        <v>120</v>
      </c>
      <c r="D87" s="14">
        <v>1</v>
      </c>
      <c r="E87" s="15">
        <v>45843</v>
      </c>
      <c r="F87" s="16">
        <v>45845</v>
      </c>
      <c r="G87">
        <f t="shared" si="8"/>
        <v>2</v>
      </c>
      <c r="H87">
        <f t="shared" si="9"/>
        <v>140</v>
      </c>
      <c r="I87">
        <f t="shared" si="10"/>
        <v>280</v>
      </c>
      <c r="J87">
        <f t="shared" si="11"/>
        <v>6</v>
      </c>
      <c r="K87">
        <f t="shared" si="12"/>
        <v>0</v>
      </c>
      <c r="L87">
        <f t="shared" si="13"/>
        <v>2</v>
      </c>
      <c r="M87">
        <f t="shared" si="14"/>
        <v>336</v>
      </c>
      <c r="N87">
        <f t="shared" si="15"/>
        <v>336</v>
      </c>
      <c r="P87" s="21" t="s">
        <v>105</v>
      </c>
      <c r="Q87" s="1">
        <v>1240</v>
      </c>
    </row>
    <row r="88" spans="1:17" x14ac:dyDescent="0.25">
      <c r="A88" s="7">
        <v>87</v>
      </c>
      <c r="B88" s="8" t="s">
        <v>40</v>
      </c>
      <c r="C88" s="8" t="s">
        <v>121</v>
      </c>
      <c r="D88" s="9">
        <v>1</v>
      </c>
      <c r="E88" s="10">
        <v>45843</v>
      </c>
      <c r="F88" s="11">
        <v>45845</v>
      </c>
      <c r="G88">
        <f t="shared" si="8"/>
        <v>2</v>
      </c>
      <c r="H88">
        <f t="shared" si="9"/>
        <v>140</v>
      </c>
      <c r="I88">
        <f t="shared" si="10"/>
        <v>280</v>
      </c>
      <c r="J88">
        <f t="shared" si="11"/>
        <v>6</v>
      </c>
      <c r="K88">
        <f t="shared" si="12"/>
        <v>0</v>
      </c>
      <c r="L88">
        <f t="shared" si="13"/>
        <v>2</v>
      </c>
      <c r="M88">
        <f t="shared" si="14"/>
        <v>336</v>
      </c>
      <c r="N88">
        <f t="shared" si="15"/>
        <v>336</v>
      </c>
      <c r="P88" s="22" t="s">
        <v>14</v>
      </c>
      <c r="Q88" s="1">
        <v>1240</v>
      </c>
    </row>
    <row r="89" spans="1:17" x14ac:dyDescent="0.25">
      <c r="A89" s="12">
        <v>88</v>
      </c>
      <c r="B89" s="13" t="s">
        <v>18</v>
      </c>
      <c r="C89" s="13" t="s">
        <v>122</v>
      </c>
      <c r="D89" s="14">
        <v>3</v>
      </c>
      <c r="E89" s="15">
        <v>45843</v>
      </c>
      <c r="F89" s="16">
        <v>45845</v>
      </c>
      <c r="G89">
        <f t="shared" si="8"/>
        <v>2</v>
      </c>
      <c r="H89">
        <f t="shared" si="9"/>
        <v>320</v>
      </c>
      <c r="I89">
        <f t="shared" si="10"/>
        <v>640</v>
      </c>
      <c r="J89">
        <f t="shared" si="11"/>
        <v>6</v>
      </c>
      <c r="K89">
        <f t="shared" si="12"/>
        <v>0</v>
      </c>
      <c r="L89">
        <f t="shared" si="13"/>
        <v>2</v>
      </c>
      <c r="M89">
        <f t="shared" si="14"/>
        <v>768</v>
      </c>
      <c r="N89">
        <f t="shared" si="15"/>
        <v>768</v>
      </c>
      <c r="P89" s="21" t="s">
        <v>48</v>
      </c>
      <c r="Q89" s="1">
        <v>1200</v>
      </c>
    </row>
    <row r="90" spans="1:17" x14ac:dyDescent="0.25">
      <c r="A90" s="7">
        <v>89</v>
      </c>
      <c r="B90" s="8" t="s">
        <v>23</v>
      </c>
      <c r="C90" s="8" t="s">
        <v>123</v>
      </c>
      <c r="D90" s="9">
        <v>3</v>
      </c>
      <c r="E90" s="10">
        <v>45843</v>
      </c>
      <c r="F90" s="11">
        <v>45845</v>
      </c>
      <c r="G90">
        <f t="shared" si="8"/>
        <v>2</v>
      </c>
      <c r="H90">
        <f t="shared" si="9"/>
        <v>320</v>
      </c>
      <c r="I90">
        <f t="shared" si="10"/>
        <v>640</v>
      </c>
      <c r="J90">
        <f t="shared" si="11"/>
        <v>6</v>
      </c>
      <c r="K90">
        <f t="shared" si="12"/>
        <v>0</v>
      </c>
      <c r="L90">
        <f t="shared" si="13"/>
        <v>2</v>
      </c>
      <c r="M90">
        <f t="shared" si="14"/>
        <v>768</v>
      </c>
      <c r="N90">
        <f t="shared" si="15"/>
        <v>768</v>
      </c>
      <c r="P90" s="22" t="s">
        <v>47</v>
      </c>
      <c r="Q90" s="1">
        <v>1200</v>
      </c>
    </row>
    <row r="91" spans="1:17" x14ac:dyDescent="0.25">
      <c r="A91" s="12">
        <v>90</v>
      </c>
      <c r="B91" s="13" t="s">
        <v>29</v>
      </c>
      <c r="C91" s="13" t="s">
        <v>124</v>
      </c>
      <c r="D91" s="14">
        <v>3</v>
      </c>
      <c r="E91" s="15">
        <v>45843</v>
      </c>
      <c r="F91" s="16">
        <v>45845</v>
      </c>
      <c r="G91">
        <f t="shared" si="8"/>
        <v>2</v>
      </c>
      <c r="H91">
        <f t="shared" si="9"/>
        <v>320</v>
      </c>
      <c r="I91">
        <f t="shared" si="10"/>
        <v>640</v>
      </c>
      <c r="J91">
        <f t="shared" si="11"/>
        <v>6</v>
      </c>
      <c r="K91">
        <f t="shared" si="12"/>
        <v>0</v>
      </c>
      <c r="L91">
        <f t="shared" si="13"/>
        <v>2</v>
      </c>
      <c r="M91">
        <f t="shared" si="14"/>
        <v>768</v>
      </c>
      <c r="N91">
        <f t="shared" si="15"/>
        <v>768</v>
      </c>
      <c r="P91" s="21" t="s">
        <v>183</v>
      </c>
      <c r="Q91" s="1">
        <v>1200</v>
      </c>
    </row>
    <row r="92" spans="1:17" x14ac:dyDescent="0.25">
      <c r="A92" s="7">
        <v>91</v>
      </c>
      <c r="B92" s="8" t="s">
        <v>34</v>
      </c>
      <c r="C92" s="8" t="s">
        <v>125</v>
      </c>
      <c r="D92" s="9">
        <v>3</v>
      </c>
      <c r="E92" s="10">
        <v>45843</v>
      </c>
      <c r="F92" s="11">
        <v>45845</v>
      </c>
      <c r="G92">
        <f t="shared" si="8"/>
        <v>2</v>
      </c>
      <c r="H92">
        <f t="shared" si="9"/>
        <v>320</v>
      </c>
      <c r="I92">
        <f t="shared" si="10"/>
        <v>640</v>
      </c>
      <c r="J92">
        <f t="shared" si="11"/>
        <v>6</v>
      </c>
      <c r="K92">
        <f t="shared" si="12"/>
        <v>0</v>
      </c>
      <c r="L92">
        <f t="shared" si="13"/>
        <v>2</v>
      </c>
      <c r="M92">
        <f t="shared" si="14"/>
        <v>768</v>
      </c>
      <c r="N92">
        <f t="shared" si="15"/>
        <v>768</v>
      </c>
      <c r="P92" s="22" t="s">
        <v>38</v>
      </c>
      <c r="Q92" s="1">
        <v>1200</v>
      </c>
    </row>
    <row r="93" spans="1:17" x14ac:dyDescent="0.25">
      <c r="A93" s="12">
        <v>92</v>
      </c>
      <c r="B93" s="13" t="s">
        <v>34</v>
      </c>
      <c r="C93" s="13" t="s">
        <v>126</v>
      </c>
      <c r="D93" s="14">
        <v>2</v>
      </c>
      <c r="E93" s="15">
        <v>45848</v>
      </c>
      <c r="F93" s="16">
        <v>45852</v>
      </c>
      <c r="G93">
        <f t="shared" si="8"/>
        <v>4</v>
      </c>
      <c r="H93">
        <f t="shared" si="9"/>
        <v>240</v>
      </c>
      <c r="I93">
        <f t="shared" si="10"/>
        <v>960</v>
      </c>
      <c r="J93">
        <f t="shared" si="11"/>
        <v>4</v>
      </c>
      <c r="K93">
        <f t="shared" si="12"/>
        <v>2</v>
      </c>
      <c r="L93">
        <f t="shared" si="13"/>
        <v>2</v>
      </c>
      <c r="M93">
        <f t="shared" si="14"/>
        <v>1056</v>
      </c>
      <c r="N93">
        <f t="shared" si="15"/>
        <v>1056</v>
      </c>
      <c r="P93" s="21" t="s">
        <v>180</v>
      </c>
      <c r="Q93" s="1">
        <v>1200</v>
      </c>
    </row>
    <row r="94" spans="1:17" x14ac:dyDescent="0.25">
      <c r="A94" s="7">
        <v>93</v>
      </c>
      <c r="B94" s="8" t="s">
        <v>6</v>
      </c>
      <c r="C94" s="8" t="s">
        <v>127</v>
      </c>
      <c r="D94" s="9">
        <v>3</v>
      </c>
      <c r="E94" s="10">
        <v>45853</v>
      </c>
      <c r="F94" s="11">
        <v>45856</v>
      </c>
      <c r="G94">
        <f t="shared" si="8"/>
        <v>3</v>
      </c>
      <c r="H94">
        <f t="shared" si="9"/>
        <v>320</v>
      </c>
      <c r="I94">
        <f t="shared" si="10"/>
        <v>960</v>
      </c>
      <c r="J94">
        <f t="shared" si="11"/>
        <v>2</v>
      </c>
      <c r="K94">
        <f t="shared" si="12"/>
        <v>3</v>
      </c>
      <c r="L94">
        <f t="shared" si="13"/>
        <v>0</v>
      </c>
      <c r="M94">
        <f t="shared" si="14"/>
        <v>960</v>
      </c>
      <c r="N94">
        <f t="shared" si="15"/>
        <v>960</v>
      </c>
      <c r="P94" s="22" t="s">
        <v>12</v>
      </c>
      <c r="Q94" s="1">
        <v>1200</v>
      </c>
    </row>
    <row r="95" spans="1:17" x14ac:dyDescent="0.25">
      <c r="A95" s="12">
        <v>94</v>
      </c>
      <c r="B95" s="13" t="s">
        <v>8</v>
      </c>
      <c r="C95" s="13" t="s">
        <v>128</v>
      </c>
      <c r="D95" s="14">
        <v>1</v>
      </c>
      <c r="E95" s="15">
        <v>45839</v>
      </c>
      <c r="F95" s="16">
        <v>45841</v>
      </c>
      <c r="G95">
        <f t="shared" si="8"/>
        <v>2</v>
      </c>
      <c r="H95">
        <f t="shared" si="9"/>
        <v>140</v>
      </c>
      <c r="I95">
        <f t="shared" si="10"/>
        <v>280</v>
      </c>
      <c r="J95">
        <f t="shared" si="11"/>
        <v>2</v>
      </c>
      <c r="K95">
        <f t="shared" si="12"/>
        <v>2</v>
      </c>
      <c r="L95">
        <f t="shared" si="13"/>
        <v>0</v>
      </c>
      <c r="M95">
        <f t="shared" si="14"/>
        <v>280</v>
      </c>
      <c r="N95">
        <f t="shared" si="15"/>
        <v>280</v>
      </c>
      <c r="P95" s="21" t="s">
        <v>101</v>
      </c>
      <c r="Q95" s="1">
        <v>1200</v>
      </c>
    </row>
    <row r="96" spans="1:17" x14ac:dyDescent="0.25">
      <c r="A96" s="7">
        <v>95</v>
      </c>
      <c r="B96" s="8" t="s">
        <v>73</v>
      </c>
      <c r="C96" s="8" t="s">
        <v>129</v>
      </c>
      <c r="D96" s="9">
        <v>1</v>
      </c>
      <c r="E96" s="10">
        <v>45795</v>
      </c>
      <c r="F96" s="11">
        <v>45798</v>
      </c>
      <c r="G96">
        <f t="shared" si="8"/>
        <v>3</v>
      </c>
      <c r="H96">
        <f t="shared" si="9"/>
        <v>140</v>
      </c>
      <c r="I96">
        <f t="shared" si="10"/>
        <v>420</v>
      </c>
      <c r="J96">
        <f t="shared" si="11"/>
        <v>7</v>
      </c>
      <c r="K96">
        <f t="shared" si="12"/>
        <v>2</v>
      </c>
      <c r="L96">
        <f t="shared" si="13"/>
        <v>1</v>
      </c>
      <c r="M96">
        <f t="shared" si="14"/>
        <v>448</v>
      </c>
      <c r="N96">
        <f t="shared" si="15"/>
        <v>448</v>
      </c>
      <c r="P96" s="22" t="s">
        <v>10</v>
      </c>
      <c r="Q96" s="1">
        <v>1200</v>
      </c>
    </row>
    <row r="97" spans="1:17" x14ac:dyDescent="0.25">
      <c r="A97" s="12">
        <v>96</v>
      </c>
      <c r="B97" s="13" t="s">
        <v>26</v>
      </c>
      <c r="C97" s="13" t="s">
        <v>130</v>
      </c>
      <c r="D97" s="14">
        <v>2</v>
      </c>
      <c r="E97" s="15">
        <v>45848</v>
      </c>
      <c r="F97" s="16">
        <v>45852</v>
      </c>
      <c r="G97">
        <f t="shared" si="8"/>
        <v>4</v>
      </c>
      <c r="H97">
        <f t="shared" si="9"/>
        <v>240</v>
      </c>
      <c r="I97">
        <f t="shared" si="10"/>
        <v>960</v>
      </c>
      <c r="J97">
        <f t="shared" si="11"/>
        <v>4</v>
      </c>
      <c r="K97">
        <f t="shared" si="12"/>
        <v>2</v>
      </c>
      <c r="L97">
        <f t="shared" si="13"/>
        <v>2</v>
      </c>
      <c r="M97">
        <f t="shared" si="14"/>
        <v>1056</v>
      </c>
      <c r="N97">
        <f t="shared" si="15"/>
        <v>1056</v>
      </c>
      <c r="P97" s="21" t="s">
        <v>175</v>
      </c>
      <c r="Q97" s="1">
        <v>1200</v>
      </c>
    </row>
    <row r="98" spans="1:17" x14ac:dyDescent="0.25">
      <c r="A98" s="7">
        <v>97</v>
      </c>
      <c r="B98" s="8" t="s">
        <v>29</v>
      </c>
      <c r="C98" s="8" t="s">
        <v>131</v>
      </c>
      <c r="D98" s="9">
        <v>2</v>
      </c>
      <c r="E98" s="10">
        <v>45848</v>
      </c>
      <c r="F98" s="11">
        <v>45852</v>
      </c>
      <c r="G98">
        <f t="shared" si="8"/>
        <v>4</v>
      </c>
      <c r="H98">
        <f t="shared" si="9"/>
        <v>240</v>
      </c>
      <c r="I98">
        <f t="shared" si="10"/>
        <v>960</v>
      </c>
      <c r="J98">
        <f t="shared" si="11"/>
        <v>4</v>
      </c>
      <c r="K98">
        <f t="shared" si="12"/>
        <v>2</v>
      </c>
      <c r="L98">
        <f t="shared" si="13"/>
        <v>2</v>
      </c>
      <c r="M98">
        <f t="shared" si="14"/>
        <v>1056</v>
      </c>
      <c r="N98">
        <f t="shared" si="15"/>
        <v>1056</v>
      </c>
      <c r="P98" s="22" t="s">
        <v>38</v>
      </c>
      <c r="Q98" s="1">
        <v>1200</v>
      </c>
    </row>
    <row r="99" spans="1:17" x14ac:dyDescent="0.25">
      <c r="A99" s="12">
        <v>98</v>
      </c>
      <c r="B99" s="13" t="s">
        <v>43</v>
      </c>
      <c r="C99" s="13" t="s">
        <v>132</v>
      </c>
      <c r="D99" s="14">
        <v>2</v>
      </c>
      <c r="E99" s="15">
        <v>45848</v>
      </c>
      <c r="F99" s="16">
        <v>45852</v>
      </c>
      <c r="G99">
        <f t="shared" si="8"/>
        <v>4</v>
      </c>
      <c r="H99">
        <f t="shared" si="9"/>
        <v>240</v>
      </c>
      <c r="I99">
        <f t="shared" si="10"/>
        <v>960</v>
      </c>
      <c r="J99">
        <f t="shared" si="11"/>
        <v>4</v>
      </c>
      <c r="K99">
        <f t="shared" si="12"/>
        <v>2</v>
      </c>
      <c r="L99">
        <f t="shared" si="13"/>
        <v>2</v>
      </c>
      <c r="M99">
        <f t="shared" si="14"/>
        <v>1056</v>
      </c>
      <c r="N99">
        <f t="shared" si="15"/>
        <v>1056</v>
      </c>
      <c r="P99" s="21" t="s">
        <v>25</v>
      </c>
      <c r="Q99" s="1">
        <v>1200</v>
      </c>
    </row>
    <row r="100" spans="1:17" x14ac:dyDescent="0.25">
      <c r="A100" s="7">
        <v>99</v>
      </c>
      <c r="B100" s="8" t="s">
        <v>102</v>
      </c>
      <c r="C100" s="8" t="s">
        <v>133</v>
      </c>
      <c r="D100" s="9">
        <v>2</v>
      </c>
      <c r="E100" s="10">
        <v>45848</v>
      </c>
      <c r="F100" s="11">
        <v>45852</v>
      </c>
      <c r="G100">
        <f t="shared" si="8"/>
        <v>4</v>
      </c>
      <c r="H100">
        <f t="shared" si="9"/>
        <v>240</v>
      </c>
      <c r="I100">
        <f t="shared" si="10"/>
        <v>960</v>
      </c>
      <c r="J100">
        <f t="shared" si="11"/>
        <v>4</v>
      </c>
      <c r="K100">
        <f t="shared" si="12"/>
        <v>2</v>
      </c>
      <c r="L100">
        <f t="shared" si="13"/>
        <v>2</v>
      </c>
      <c r="M100">
        <f t="shared" si="14"/>
        <v>1056</v>
      </c>
      <c r="N100">
        <f t="shared" si="15"/>
        <v>1056</v>
      </c>
      <c r="P100" s="22" t="s">
        <v>8</v>
      </c>
      <c r="Q100" s="1">
        <v>1200</v>
      </c>
    </row>
    <row r="101" spans="1:17" x14ac:dyDescent="0.25">
      <c r="A101" s="12">
        <v>100</v>
      </c>
      <c r="B101" s="13" t="s">
        <v>34</v>
      </c>
      <c r="C101" s="13" t="s">
        <v>134</v>
      </c>
      <c r="D101" s="14">
        <v>2</v>
      </c>
      <c r="E101" s="15">
        <v>45848</v>
      </c>
      <c r="F101" s="16">
        <v>45852</v>
      </c>
      <c r="G101">
        <f t="shared" si="8"/>
        <v>4</v>
      </c>
      <c r="H101">
        <f t="shared" si="9"/>
        <v>240</v>
      </c>
      <c r="I101">
        <f t="shared" si="10"/>
        <v>960</v>
      </c>
      <c r="J101">
        <f t="shared" si="11"/>
        <v>4</v>
      </c>
      <c r="K101">
        <f t="shared" si="12"/>
        <v>2</v>
      </c>
      <c r="L101">
        <f t="shared" si="13"/>
        <v>2</v>
      </c>
      <c r="M101">
        <f t="shared" si="14"/>
        <v>1056</v>
      </c>
      <c r="N101">
        <f t="shared" si="15"/>
        <v>1056</v>
      </c>
      <c r="P101" s="21" t="s">
        <v>154</v>
      </c>
      <c r="Q101" s="1">
        <v>1200</v>
      </c>
    </row>
    <row r="102" spans="1:17" x14ac:dyDescent="0.25">
      <c r="A102" s="7">
        <v>101</v>
      </c>
      <c r="B102" s="8" t="s">
        <v>118</v>
      </c>
      <c r="C102" s="8" t="s">
        <v>135</v>
      </c>
      <c r="D102" s="9">
        <v>3</v>
      </c>
      <c r="E102" s="10">
        <v>45848</v>
      </c>
      <c r="F102" s="11">
        <v>45852</v>
      </c>
      <c r="G102">
        <f t="shared" si="8"/>
        <v>4</v>
      </c>
      <c r="H102">
        <f t="shared" si="9"/>
        <v>320</v>
      </c>
      <c r="I102">
        <f t="shared" si="10"/>
        <v>1280</v>
      </c>
      <c r="J102">
        <f t="shared" si="11"/>
        <v>4</v>
      </c>
      <c r="K102">
        <f t="shared" si="12"/>
        <v>2</v>
      </c>
      <c r="L102">
        <f t="shared" si="13"/>
        <v>2</v>
      </c>
      <c r="M102">
        <f t="shared" si="14"/>
        <v>1408</v>
      </c>
      <c r="N102">
        <f t="shared" si="15"/>
        <v>1408</v>
      </c>
      <c r="P102" s="22" t="s">
        <v>26</v>
      </c>
      <c r="Q102" s="1">
        <v>1200</v>
      </c>
    </row>
    <row r="103" spans="1:17" x14ac:dyDescent="0.25">
      <c r="A103" s="12">
        <v>102</v>
      </c>
      <c r="B103" s="13" t="s">
        <v>51</v>
      </c>
      <c r="C103" s="13" t="s">
        <v>136</v>
      </c>
      <c r="D103" s="14">
        <v>3</v>
      </c>
      <c r="E103" s="15">
        <v>45848</v>
      </c>
      <c r="F103" s="16">
        <v>45852</v>
      </c>
      <c r="G103">
        <f t="shared" si="8"/>
        <v>4</v>
      </c>
      <c r="H103">
        <f t="shared" si="9"/>
        <v>320</v>
      </c>
      <c r="I103">
        <f t="shared" si="10"/>
        <v>1280</v>
      </c>
      <c r="J103">
        <f t="shared" si="11"/>
        <v>4</v>
      </c>
      <c r="K103">
        <f t="shared" si="12"/>
        <v>2</v>
      </c>
      <c r="L103">
        <f t="shared" si="13"/>
        <v>2</v>
      </c>
      <c r="M103">
        <f t="shared" si="14"/>
        <v>1408</v>
      </c>
      <c r="N103">
        <f t="shared" si="15"/>
        <v>1408</v>
      </c>
      <c r="P103" s="21" t="s">
        <v>50</v>
      </c>
      <c r="Q103" s="1">
        <v>960</v>
      </c>
    </row>
    <row r="104" spans="1:17" x14ac:dyDescent="0.25">
      <c r="A104" s="7">
        <v>103</v>
      </c>
      <c r="B104" s="8" t="s">
        <v>32</v>
      </c>
      <c r="C104" s="8" t="s">
        <v>137</v>
      </c>
      <c r="D104" s="9">
        <v>3</v>
      </c>
      <c r="E104" s="10">
        <v>45848</v>
      </c>
      <c r="F104" s="11">
        <v>45852</v>
      </c>
      <c r="G104">
        <f t="shared" si="8"/>
        <v>4</v>
      </c>
      <c r="H104">
        <f t="shared" si="9"/>
        <v>320</v>
      </c>
      <c r="I104">
        <f t="shared" si="10"/>
        <v>1280</v>
      </c>
      <c r="J104">
        <f t="shared" si="11"/>
        <v>4</v>
      </c>
      <c r="K104">
        <f t="shared" si="12"/>
        <v>2</v>
      </c>
      <c r="L104">
        <f t="shared" si="13"/>
        <v>2</v>
      </c>
      <c r="M104">
        <f t="shared" si="14"/>
        <v>1408</v>
      </c>
      <c r="N104">
        <f t="shared" si="15"/>
        <v>1408</v>
      </c>
      <c r="P104" s="22" t="s">
        <v>49</v>
      </c>
      <c r="Q104" s="1">
        <v>960</v>
      </c>
    </row>
    <row r="105" spans="1:17" x14ac:dyDescent="0.25">
      <c r="A105" s="12">
        <v>104</v>
      </c>
      <c r="B105" s="13" t="s">
        <v>20</v>
      </c>
      <c r="C105" s="13" t="s">
        <v>138</v>
      </c>
      <c r="D105" s="14">
        <v>3</v>
      </c>
      <c r="E105" s="15">
        <v>45816</v>
      </c>
      <c r="F105" s="16">
        <v>45817</v>
      </c>
      <c r="G105">
        <f t="shared" si="8"/>
        <v>1</v>
      </c>
      <c r="H105">
        <f t="shared" si="9"/>
        <v>320</v>
      </c>
      <c r="I105">
        <f t="shared" si="10"/>
        <v>320</v>
      </c>
      <c r="J105">
        <f t="shared" si="11"/>
        <v>7</v>
      </c>
      <c r="K105">
        <f t="shared" si="12"/>
        <v>0</v>
      </c>
      <c r="L105">
        <f t="shared" si="13"/>
        <v>1</v>
      </c>
      <c r="M105">
        <f t="shared" si="14"/>
        <v>384</v>
      </c>
      <c r="N105">
        <f t="shared" si="15"/>
        <v>384</v>
      </c>
      <c r="P105" s="21" t="s">
        <v>178</v>
      </c>
      <c r="Q105" s="1">
        <v>960</v>
      </c>
    </row>
    <row r="106" spans="1:17" x14ac:dyDescent="0.25">
      <c r="A106" s="7">
        <v>105</v>
      </c>
      <c r="B106" s="8" t="s">
        <v>16</v>
      </c>
      <c r="C106" s="8" t="s">
        <v>139</v>
      </c>
      <c r="D106" s="9">
        <v>2</v>
      </c>
      <c r="E106" s="10">
        <v>45803</v>
      </c>
      <c r="F106" s="11">
        <v>45805</v>
      </c>
      <c r="G106">
        <f t="shared" si="8"/>
        <v>2</v>
      </c>
      <c r="H106">
        <f t="shared" si="9"/>
        <v>240</v>
      </c>
      <c r="I106">
        <f t="shared" si="10"/>
        <v>480</v>
      </c>
      <c r="J106">
        <f t="shared" si="11"/>
        <v>1</v>
      </c>
      <c r="K106">
        <f t="shared" si="12"/>
        <v>2</v>
      </c>
      <c r="L106">
        <f t="shared" si="13"/>
        <v>0</v>
      </c>
      <c r="M106">
        <f t="shared" si="14"/>
        <v>480</v>
      </c>
      <c r="N106">
        <f t="shared" si="15"/>
        <v>480</v>
      </c>
      <c r="P106" s="22" t="s">
        <v>118</v>
      </c>
      <c r="Q106" s="1">
        <v>960</v>
      </c>
    </row>
    <row r="107" spans="1:17" x14ac:dyDescent="0.25">
      <c r="A107" s="12">
        <v>106</v>
      </c>
      <c r="B107" s="13" t="s">
        <v>86</v>
      </c>
      <c r="C107" s="13" t="s">
        <v>140</v>
      </c>
      <c r="D107" s="14">
        <v>3</v>
      </c>
      <c r="E107" s="15">
        <v>45853</v>
      </c>
      <c r="F107" s="16">
        <v>45856</v>
      </c>
      <c r="G107">
        <f t="shared" si="8"/>
        <v>3</v>
      </c>
      <c r="H107">
        <f t="shared" si="9"/>
        <v>320</v>
      </c>
      <c r="I107">
        <f t="shared" si="10"/>
        <v>960</v>
      </c>
      <c r="J107">
        <f t="shared" si="11"/>
        <v>2</v>
      </c>
      <c r="K107">
        <f t="shared" si="12"/>
        <v>3</v>
      </c>
      <c r="L107">
        <f t="shared" si="13"/>
        <v>0</v>
      </c>
      <c r="M107">
        <f t="shared" si="14"/>
        <v>960</v>
      </c>
      <c r="N107">
        <f t="shared" si="15"/>
        <v>960</v>
      </c>
      <c r="P107" s="21" t="s">
        <v>127</v>
      </c>
      <c r="Q107" s="1">
        <v>960</v>
      </c>
    </row>
    <row r="108" spans="1:17" x14ac:dyDescent="0.25">
      <c r="A108" s="7">
        <v>107</v>
      </c>
      <c r="B108" s="8" t="s">
        <v>43</v>
      </c>
      <c r="C108" s="8" t="s">
        <v>141</v>
      </c>
      <c r="D108" s="9">
        <v>3</v>
      </c>
      <c r="E108" s="10">
        <v>45848</v>
      </c>
      <c r="F108" s="11">
        <v>45852</v>
      </c>
      <c r="G108">
        <f t="shared" si="8"/>
        <v>4</v>
      </c>
      <c r="H108">
        <f t="shared" si="9"/>
        <v>320</v>
      </c>
      <c r="I108">
        <f t="shared" si="10"/>
        <v>1280</v>
      </c>
      <c r="J108">
        <f t="shared" si="11"/>
        <v>4</v>
      </c>
      <c r="K108">
        <f t="shared" si="12"/>
        <v>2</v>
      </c>
      <c r="L108">
        <f t="shared" si="13"/>
        <v>2</v>
      </c>
      <c r="M108">
        <f t="shared" si="14"/>
        <v>1408</v>
      </c>
      <c r="N108">
        <f t="shared" si="15"/>
        <v>1408</v>
      </c>
      <c r="P108" s="22" t="s">
        <v>6</v>
      </c>
      <c r="Q108" s="1">
        <v>960</v>
      </c>
    </row>
    <row r="109" spans="1:17" x14ac:dyDescent="0.25">
      <c r="A109" s="12">
        <v>108</v>
      </c>
      <c r="B109" s="13" t="s">
        <v>65</v>
      </c>
      <c r="C109" s="13" t="s">
        <v>142</v>
      </c>
      <c r="D109" s="14">
        <v>1</v>
      </c>
      <c r="E109" s="15">
        <v>45848</v>
      </c>
      <c r="F109" s="16">
        <v>45852</v>
      </c>
      <c r="G109">
        <f t="shared" si="8"/>
        <v>4</v>
      </c>
      <c r="H109">
        <f t="shared" si="9"/>
        <v>140</v>
      </c>
      <c r="I109">
        <f t="shared" si="10"/>
        <v>560</v>
      </c>
      <c r="J109">
        <f t="shared" si="11"/>
        <v>4</v>
      </c>
      <c r="K109">
        <f t="shared" si="12"/>
        <v>2</v>
      </c>
      <c r="L109">
        <f t="shared" si="13"/>
        <v>2</v>
      </c>
      <c r="M109">
        <f t="shared" si="14"/>
        <v>616</v>
      </c>
      <c r="N109">
        <f t="shared" si="15"/>
        <v>616</v>
      </c>
      <c r="P109" s="21" t="s">
        <v>152</v>
      </c>
      <c r="Q109" s="1">
        <v>960</v>
      </c>
    </row>
    <row r="110" spans="1:17" x14ac:dyDescent="0.25">
      <c r="A110" s="7">
        <v>109</v>
      </c>
      <c r="B110" s="8" t="s">
        <v>23</v>
      </c>
      <c r="C110" s="8" t="s">
        <v>143</v>
      </c>
      <c r="D110" s="9">
        <v>1</v>
      </c>
      <c r="E110" s="10">
        <v>45858</v>
      </c>
      <c r="F110" s="11">
        <v>45859</v>
      </c>
      <c r="G110">
        <f t="shared" si="8"/>
        <v>1</v>
      </c>
      <c r="H110">
        <f t="shared" si="9"/>
        <v>140</v>
      </c>
      <c r="I110">
        <f t="shared" si="10"/>
        <v>140</v>
      </c>
      <c r="J110">
        <f t="shared" si="11"/>
        <v>7</v>
      </c>
      <c r="K110">
        <f t="shared" si="12"/>
        <v>0</v>
      </c>
      <c r="L110">
        <f t="shared" si="13"/>
        <v>1</v>
      </c>
      <c r="M110">
        <f t="shared" si="14"/>
        <v>168</v>
      </c>
      <c r="N110">
        <f t="shared" si="15"/>
        <v>168</v>
      </c>
      <c r="P110" s="22" t="s">
        <v>65</v>
      </c>
      <c r="Q110" s="1">
        <v>960</v>
      </c>
    </row>
    <row r="111" spans="1:17" x14ac:dyDescent="0.25">
      <c r="A111" s="12">
        <v>110</v>
      </c>
      <c r="B111" s="13" t="s">
        <v>36</v>
      </c>
      <c r="C111" s="13" t="s">
        <v>144</v>
      </c>
      <c r="D111" s="14">
        <v>2</v>
      </c>
      <c r="E111" s="15">
        <v>45803</v>
      </c>
      <c r="F111" s="16">
        <v>45805</v>
      </c>
      <c r="G111">
        <f t="shared" si="8"/>
        <v>2</v>
      </c>
      <c r="H111">
        <f t="shared" si="9"/>
        <v>240</v>
      </c>
      <c r="I111">
        <f t="shared" si="10"/>
        <v>480</v>
      </c>
      <c r="J111">
        <f t="shared" si="11"/>
        <v>1</v>
      </c>
      <c r="K111">
        <f t="shared" si="12"/>
        <v>2</v>
      </c>
      <c r="L111">
        <f t="shared" si="13"/>
        <v>0</v>
      </c>
      <c r="M111">
        <f t="shared" si="14"/>
        <v>480</v>
      </c>
      <c r="N111">
        <f t="shared" si="15"/>
        <v>480</v>
      </c>
      <c r="P111" s="21" t="s">
        <v>104</v>
      </c>
      <c r="Q111" s="1">
        <v>960</v>
      </c>
    </row>
    <row r="112" spans="1:17" x14ac:dyDescent="0.25">
      <c r="A112" s="7">
        <v>111</v>
      </c>
      <c r="B112" s="8" t="s">
        <v>8</v>
      </c>
      <c r="C112" s="8" t="s">
        <v>145</v>
      </c>
      <c r="D112" s="9">
        <v>1</v>
      </c>
      <c r="E112" s="10">
        <v>45858</v>
      </c>
      <c r="F112" s="11">
        <v>45859</v>
      </c>
      <c r="G112">
        <f t="shared" si="8"/>
        <v>1</v>
      </c>
      <c r="H112">
        <f t="shared" si="9"/>
        <v>140</v>
      </c>
      <c r="I112">
        <f t="shared" si="10"/>
        <v>140</v>
      </c>
      <c r="J112">
        <f t="shared" si="11"/>
        <v>7</v>
      </c>
      <c r="K112">
        <f t="shared" si="12"/>
        <v>0</v>
      </c>
      <c r="L112">
        <f t="shared" si="13"/>
        <v>1</v>
      </c>
      <c r="M112">
        <f t="shared" si="14"/>
        <v>168</v>
      </c>
      <c r="N112">
        <f t="shared" si="15"/>
        <v>168</v>
      </c>
      <c r="P112" s="22" t="s">
        <v>16</v>
      </c>
      <c r="Q112" s="1">
        <v>960</v>
      </c>
    </row>
    <row r="113" spans="1:17" x14ac:dyDescent="0.25">
      <c r="A113" s="12">
        <v>112</v>
      </c>
      <c r="B113" s="13" t="s">
        <v>43</v>
      </c>
      <c r="C113" s="13" t="s">
        <v>146</v>
      </c>
      <c r="D113" s="14">
        <v>1</v>
      </c>
      <c r="E113" s="15">
        <v>45858</v>
      </c>
      <c r="F113" s="16">
        <v>45859</v>
      </c>
      <c r="G113">
        <f t="shared" si="8"/>
        <v>1</v>
      </c>
      <c r="H113">
        <f t="shared" si="9"/>
        <v>140</v>
      </c>
      <c r="I113">
        <f t="shared" si="10"/>
        <v>140</v>
      </c>
      <c r="J113">
        <f t="shared" si="11"/>
        <v>7</v>
      </c>
      <c r="K113">
        <f t="shared" si="12"/>
        <v>0</v>
      </c>
      <c r="L113">
        <f t="shared" si="13"/>
        <v>1</v>
      </c>
      <c r="M113">
        <f t="shared" si="14"/>
        <v>168</v>
      </c>
      <c r="N113">
        <f t="shared" si="15"/>
        <v>168</v>
      </c>
      <c r="P113" s="21" t="s">
        <v>131</v>
      </c>
      <c r="Q113" s="1">
        <v>960</v>
      </c>
    </row>
    <row r="114" spans="1:17" x14ac:dyDescent="0.25">
      <c r="A114" s="7">
        <v>113</v>
      </c>
      <c r="B114" s="8" t="s">
        <v>84</v>
      </c>
      <c r="C114" s="8" t="s">
        <v>147</v>
      </c>
      <c r="D114" s="9">
        <v>1</v>
      </c>
      <c r="E114" s="10">
        <v>45858</v>
      </c>
      <c r="F114" s="11">
        <v>45859</v>
      </c>
      <c r="G114">
        <f t="shared" si="8"/>
        <v>1</v>
      </c>
      <c r="H114">
        <f t="shared" si="9"/>
        <v>140</v>
      </c>
      <c r="I114">
        <f t="shared" si="10"/>
        <v>140</v>
      </c>
      <c r="J114">
        <f t="shared" si="11"/>
        <v>7</v>
      </c>
      <c r="K114">
        <f t="shared" si="12"/>
        <v>0</v>
      </c>
      <c r="L114">
        <f t="shared" si="13"/>
        <v>1</v>
      </c>
      <c r="M114">
        <f t="shared" si="14"/>
        <v>168</v>
      </c>
      <c r="N114">
        <f t="shared" si="15"/>
        <v>168</v>
      </c>
      <c r="P114" s="22" t="s">
        <v>29</v>
      </c>
      <c r="Q114" s="1">
        <v>960</v>
      </c>
    </row>
    <row r="115" spans="1:17" x14ac:dyDescent="0.25">
      <c r="A115" s="12">
        <v>114</v>
      </c>
      <c r="B115" s="13" t="s">
        <v>110</v>
      </c>
      <c r="C115" s="13" t="s">
        <v>148</v>
      </c>
      <c r="D115" s="14">
        <v>2</v>
      </c>
      <c r="E115" s="15">
        <v>45858</v>
      </c>
      <c r="F115" s="16">
        <v>45859</v>
      </c>
      <c r="G115">
        <f t="shared" si="8"/>
        <v>1</v>
      </c>
      <c r="H115">
        <f t="shared" si="9"/>
        <v>240</v>
      </c>
      <c r="I115">
        <f t="shared" si="10"/>
        <v>240</v>
      </c>
      <c r="J115">
        <f t="shared" si="11"/>
        <v>7</v>
      </c>
      <c r="K115">
        <f t="shared" si="12"/>
        <v>0</v>
      </c>
      <c r="L115">
        <f t="shared" si="13"/>
        <v>1</v>
      </c>
      <c r="M115">
        <f t="shared" si="14"/>
        <v>288</v>
      </c>
      <c r="N115">
        <f t="shared" si="15"/>
        <v>288</v>
      </c>
      <c r="P115" s="21" t="s">
        <v>140</v>
      </c>
      <c r="Q115" s="1">
        <v>960</v>
      </c>
    </row>
    <row r="116" spans="1:17" x14ac:dyDescent="0.25">
      <c r="A116" s="7">
        <v>115</v>
      </c>
      <c r="B116" s="8" t="s">
        <v>84</v>
      </c>
      <c r="C116" s="8" t="s">
        <v>149</v>
      </c>
      <c r="D116" s="9">
        <v>2</v>
      </c>
      <c r="E116" s="10">
        <v>45858</v>
      </c>
      <c r="F116" s="11">
        <v>45859</v>
      </c>
      <c r="G116">
        <f t="shared" si="8"/>
        <v>1</v>
      </c>
      <c r="H116">
        <f t="shared" si="9"/>
        <v>240</v>
      </c>
      <c r="I116">
        <f t="shared" si="10"/>
        <v>240</v>
      </c>
      <c r="J116">
        <f t="shared" si="11"/>
        <v>7</v>
      </c>
      <c r="K116">
        <f t="shared" si="12"/>
        <v>0</v>
      </c>
      <c r="L116">
        <f t="shared" si="13"/>
        <v>1</v>
      </c>
      <c r="M116">
        <f t="shared" si="14"/>
        <v>288</v>
      </c>
      <c r="N116">
        <f t="shared" si="15"/>
        <v>288</v>
      </c>
      <c r="P116" s="22" t="s">
        <v>86</v>
      </c>
      <c r="Q116" s="1">
        <v>960</v>
      </c>
    </row>
    <row r="117" spans="1:17" x14ac:dyDescent="0.25">
      <c r="A117" s="12">
        <v>116</v>
      </c>
      <c r="B117" s="13" t="s">
        <v>16</v>
      </c>
      <c r="C117" s="13" t="s">
        <v>150</v>
      </c>
      <c r="D117" s="14">
        <v>2</v>
      </c>
      <c r="E117" s="15">
        <v>45858</v>
      </c>
      <c r="F117" s="16">
        <v>45859</v>
      </c>
      <c r="G117">
        <f t="shared" si="8"/>
        <v>1</v>
      </c>
      <c r="H117">
        <f t="shared" si="9"/>
        <v>240</v>
      </c>
      <c r="I117">
        <f t="shared" si="10"/>
        <v>240</v>
      </c>
      <c r="J117">
        <f t="shared" si="11"/>
        <v>7</v>
      </c>
      <c r="K117">
        <f t="shared" si="12"/>
        <v>0</v>
      </c>
      <c r="L117">
        <f t="shared" si="13"/>
        <v>1</v>
      </c>
      <c r="M117">
        <f t="shared" si="14"/>
        <v>288</v>
      </c>
      <c r="N117">
        <f t="shared" si="15"/>
        <v>288</v>
      </c>
      <c r="P117" s="21" t="s">
        <v>179</v>
      </c>
      <c r="Q117" s="1">
        <v>960</v>
      </c>
    </row>
    <row r="118" spans="1:17" x14ac:dyDescent="0.25">
      <c r="A118" s="7">
        <v>117</v>
      </c>
      <c r="B118" s="8" t="s">
        <v>14</v>
      </c>
      <c r="C118" s="8" t="s">
        <v>151</v>
      </c>
      <c r="D118" s="9">
        <v>2</v>
      </c>
      <c r="E118" s="10">
        <v>45858</v>
      </c>
      <c r="F118" s="11">
        <v>45859</v>
      </c>
      <c r="G118">
        <f t="shared" si="8"/>
        <v>1</v>
      </c>
      <c r="H118">
        <f t="shared" si="9"/>
        <v>240</v>
      </c>
      <c r="I118">
        <f t="shared" si="10"/>
        <v>240</v>
      </c>
      <c r="J118">
        <f t="shared" si="11"/>
        <v>7</v>
      </c>
      <c r="K118">
        <f t="shared" si="12"/>
        <v>0</v>
      </c>
      <c r="L118">
        <f t="shared" si="13"/>
        <v>1</v>
      </c>
      <c r="M118">
        <f t="shared" si="14"/>
        <v>288</v>
      </c>
      <c r="N118">
        <f t="shared" si="15"/>
        <v>288</v>
      </c>
      <c r="P118" s="22" t="s">
        <v>34</v>
      </c>
      <c r="Q118" s="1">
        <v>960</v>
      </c>
    </row>
    <row r="119" spans="1:17" x14ac:dyDescent="0.25">
      <c r="A119" s="12">
        <v>118</v>
      </c>
      <c r="B119" s="13" t="s">
        <v>65</v>
      </c>
      <c r="C119" s="13" t="s">
        <v>152</v>
      </c>
      <c r="D119" s="14">
        <v>3</v>
      </c>
      <c r="E119" s="15">
        <v>45853</v>
      </c>
      <c r="F119" s="16">
        <v>45856</v>
      </c>
      <c r="G119">
        <f t="shared" si="8"/>
        <v>3</v>
      </c>
      <c r="H119">
        <f t="shared" si="9"/>
        <v>320</v>
      </c>
      <c r="I119">
        <f t="shared" si="10"/>
        <v>960</v>
      </c>
      <c r="J119">
        <f t="shared" si="11"/>
        <v>2</v>
      </c>
      <c r="K119">
        <f t="shared" si="12"/>
        <v>3</v>
      </c>
      <c r="L119">
        <f t="shared" si="13"/>
        <v>0</v>
      </c>
      <c r="M119">
        <f t="shared" si="14"/>
        <v>960</v>
      </c>
      <c r="N119">
        <f t="shared" si="15"/>
        <v>960</v>
      </c>
      <c r="P119" s="21" t="s">
        <v>103</v>
      </c>
      <c r="Q119" s="1">
        <v>960</v>
      </c>
    </row>
    <row r="120" spans="1:17" x14ac:dyDescent="0.25">
      <c r="A120" s="7">
        <v>119</v>
      </c>
      <c r="B120" s="8" t="s">
        <v>102</v>
      </c>
      <c r="C120" s="8" t="s">
        <v>153</v>
      </c>
      <c r="D120" s="9">
        <v>2</v>
      </c>
      <c r="E120" s="10">
        <v>45803</v>
      </c>
      <c r="F120" s="11">
        <v>45805</v>
      </c>
      <c r="G120">
        <f t="shared" si="8"/>
        <v>2</v>
      </c>
      <c r="H120">
        <f t="shared" si="9"/>
        <v>240</v>
      </c>
      <c r="I120">
        <f t="shared" si="10"/>
        <v>480</v>
      </c>
      <c r="J120">
        <f t="shared" si="11"/>
        <v>1</v>
      </c>
      <c r="K120">
        <f t="shared" si="12"/>
        <v>2</v>
      </c>
      <c r="L120">
        <f t="shared" si="13"/>
        <v>0</v>
      </c>
      <c r="M120">
        <f t="shared" si="14"/>
        <v>480</v>
      </c>
      <c r="N120">
        <f t="shared" si="15"/>
        <v>480</v>
      </c>
      <c r="P120" s="22" t="s">
        <v>102</v>
      </c>
      <c r="Q120" s="1">
        <v>960</v>
      </c>
    </row>
    <row r="121" spans="1:17" x14ac:dyDescent="0.25">
      <c r="A121" s="12">
        <v>120</v>
      </c>
      <c r="B121" s="13" t="s">
        <v>26</v>
      </c>
      <c r="C121" s="13" t="s">
        <v>154</v>
      </c>
      <c r="D121" s="14">
        <v>4</v>
      </c>
      <c r="E121" s="15">
        <v>45795</v>
      </c>
      <c r="F121" s="16">
        <v>45798</v>
      </c>
      <c r="G121">
        <f t="shared" si="8"/>
        <v>3</v>
      </c>
      <c r="H121">
        <f t="shared" si="9"/>
        <v>400</v>
      </c>
      <c r="I121">
        <f t="shared" si="10"/>
        <v>1200</v>
      </c>
      <c r="J121">
        <f t="shared" si="11"/>
        <v>7</v>
      </c>
      <c r="K121">
        <f t="shared" si="12"/>
        <v>2</v>
      </c>
      <c r="L121">
        <f t="shared" si="13"/>
        <v>1</v>
      </c>
      <c r="M121">
        <f t="shared" si="14"/>
        <v>1280</v>
      </c>
      <c r="N121">
        <f t="shared" si="15"/>
        <v>1280</v>
      </c>
      <c r="P121" s="21" t="s">
        <v>133</v>
      </c>
      <c r="Q121" s="1">
        <v>960</v>
      </c>
    </row>
    <row r="122" spans="1:17" x14ac:dyDescent="0.25">
      <c r="A122" s="7">
        <v>121</v>
      </c>
      <c r="B122" s="8" t="s">
        <v>6</v>
      </c>
      <c r="C122" s="8" t="s">
        <v>155</v>
      </c>
      <c r="D122" s="9">
        <v>2</v>
      </c>
      <c r="E122" s="10">
        <v>45863</v>
      </c>
      <c r="F122" s="11">
        <v>45866</v>
      </c>
      <c r="G122">
        <f t="shared" si="8"/>
        <v>3</v>
      </c>
      <c r="H122">
        <f t="shared" si="9"/>
        <v>240</v>
      </c>
      <c r="I122">
        <f t="shared" si="10"/>
        <v>720</v>
      </c>
      <c r="J122">
        <f t="shared" si="11"/>
        <v>5</v>
      </c>
      <c r="K122">
        <f t="shared" si="12"/>
        <v>1</v>
      </c>
      <c r="L122">
        <f t="shared" si="13"/>
        <v>2</v>
      </c>
      <c r="M122">
        <f t="shared" si="14"/>
        <v>816</v>
      </c>
      <c r="N122">
        <f t="shared" si="15"/>
        <v>816</v>
      </c>
      <c r="P122" s="22" t="s">
        <v>102</v>
      </c>
      <c r="Q122" s="1">
        <v>960</v>
      </c>
    </row>
    <row r="123" spans="1:17" x14ac:dyDescent="0.25">
      <c r="A123" s="12">
        <v>122</v>
      </c>
      <c r="B123" s="13" t="s">
        <v>6</v>
      </c>
      <c r="C123" s="13" t="s">
        <v>156</v>
      </c>
      <c r="D123" s="14">
        <v>2</v>
      </c>
      <c r="E123" s="15">
        <v>45863</v>
      </c>
      <c r="F123" s="16">
        <v>45866</v>
      </c>
      <c r="G123">
        <f t="shared" si="8"/>
        <v>3</v>
      </c>
      <c r="H123">
        <f t="shared" si="9"/>
        <v>240</v>
      </c>
      <c r="I123">
        <f t="shared" si="10"/>
        <v>720</v>
      </c>
      <c r="J123">
        <f t="shared" si="11"/>
        <v>5</v>
      </c>
      <c r="K123">
        <f t="shared" si="12"/>
        <v>1</v>
      </c>
      <c r="L123">
        <f t="shared" si="13"/>
        <v>2</v>
      </c>
      <c r="M123">
        <f t="shared" si="14"/>
        <v>816</v>
      </c>
      <c r="N123">
        <f t="shared" si="15"/>
        <v>816</v>
      </c>
      <c r="P123" s="21" t="s">
        <v>35</v>
      </c>
      <c r="Q123" s="1">
        <v>960</v>
      </c>
    </row>
    <row r="124" spans="1:17" x14ac:dyDescent="0.25">
      <c r="A124" s="7">
        <v>123</v>
      </c>
      <c r="B124" s="8" t="s">
        <v>8</v>
      </c>
      <c r="C124" s="8" t="s">
        <v>157</v>
      </c>
      <c r="D124" s="9">
        <v>2</v>
      </c>
      <c r="E124" s="10">
        <v>45863</v>
      </c>
      <c r="F124" s="11">
        <v>45866</v>
      </c>
      <c r="G124">
        <f t="shared" si="8"/>
        <v>3</v>
      </c>
      <c r="H124">
        <f t="shared" si="9"/>
        <v>240</v>
      </c>
      <c r="I124">
        <f t="shared" si="10"/>
        <v>720</v>
      </c>
      <c r="J124">
        <f t="shared" si="11"/>
        <v>5</v>
      </c>
      <c r="K124">
        <f t="shared" si="12"/>
        <v>1</v>
      </c>
      <c r="L124">
        <f t="shared" si="13"/>
        <v>2</v>
      </c>
      <c r="M124">
        <f t="shared" si="14"/>
        <v>816</v>
      </c>
      <c r="N124">
        <f t="shared" si="15"/>
        <v>816</v>
      </c>
      <c r="P124" s="22" t="s">
        <v>34</v>
      </c>
      <c r="Q124" s="1">
        <v>960</v>
      </c>
    </row>
    <row r="125" spans="1:17" x14ac:dyDescent="0.25">
      <c r="A125" s="12">
        <v>124</v>
      </c>
      <c r="B125" s="13" t="s">
        <v>49</v>
      </c>
      <c r="C125" s="13" t="s">
        <v>158</v>
      </c>
      <c r="D125" s="14">
        <v>2</v>
      </c>
      <c r="E125" s="15">
        <v>45863</v>
      </c>
      <c r="F125" s="16">
        <v>45866</v>
      </c>
      <c r="G125">
        <f t="shared" si="8"/>
        <v>3</v>
      </c>
      <c r="H125">
        <f t="shared" si="9"/>
        <v>240</v>
      </c>
      <c r="I125">
        <f t="shared" si="10"/>
        <v>720</v>
      </c>
      <c r="J125">
        <f t="shared" si="11"/>
        <v>5</v>
      </c>
      <c r="K125">
        <f t="shared" si="12"/>
        <v>1</v>
      </c>
      <c r="L125">
        <f t="shared" si="13"/>
        <v>2</v>
      </c>
      <c r="M125">
        <f t="shared" si="14"/>
        <v>816</v>
      </c>
      <c r="N125">
        <f t="shared" si="15"/>
        <v>816</v>
      </c>
      <c r="P125" s="21" t="s">
        <v>37</v>
      </c>
      <c r="Q125" s="1">
        <v>960</v>
      </c>
    </row>
    <row r="126" spans="1:17" x14ac:dyDescent="0.25">
      <c r="A126" s="7">
        <v>125</v>
      </c>
      <c r="B126" s="8" t="s">
        <v>23</v>
      </c>
      <c r="C126" s="8" t="s">
        <v>159</v>
      </c>
      <c r="D126" s="9">
        <v>3</v>
      </c>
      <c r="E126" s="10">
        <v>45778</v>
      </c>
      <c r="F126" s="11">
        <v>45780</v>
      </c>
      <c r="G126">
        <f t="shared" si="8"/>
        <v>2</v>
      </c>
      <c r="H126">
        <f t="shared" si="9"/>
        <v>320</v>
      </c>
      <c r="I126">
        <f t="shared" si="10"/>
        <v>640</v>
      </c>
      <c r="J126">
        <f t="shared" si="11"/>
        <v>4</v>
      </c>
      <c r="K126">
        <f t="shared" si="12"/>
        <v>2</v>
      </c>
      <c r="L126">
        <f t="shared" si="13"/>
        <v>0</v>
      </c>
      <c r="M126">
        <f t="shared" si="14"/>
        <v>640</v>
      </c>
      <c r="N126">
        <f t="shared" si="15"/>
        <v>640</v>
      </c>
      <c r="P126" s="22" t="s">
        <v>36</v>
      </c>
      <c r="Q126" s="1">
        <v>960</v>
      </c>
    </row>
    <row r="127" spans="1:17" x14ac:dyDescent="0.25">
      <c r="A127" s="12">
        <v>126</v>
      </c>
      <c r="B127" s="13" t="s">
        <v>6</v>
      </c>
      <c r="C127" s="13" t="s">
        <v>160</v>
      </c>
      <c r="D127" s="14">
        <v>3</v>
      </c>
      <c r="E127" s="15">
        <v>45816</v>
      </c>
      <c r="F127" s="16">
        <v>45817</v>
      </c>
      <c r="G127">
        <f t="shared" si="8"/>
        <v>1</v>
      </c>
      <c r="H127">
        <f t="shared" si="9"/>
        <v>320</v>
      </c>
      <c r="I127">
        <f t="shared" si="10"/>
        <v>320</v>
      </c>
      <c r="J127">
        <f t="shared" si="11"/>
        <v>7</v>
      </c>
      <c r="K127">
        <f t="shared" si="12"/>
        <v>0</v>
      </c>
      <c r="L127">
        <f t="shared" si="13"/>
        <v>1</v>
      </c>
      <c r="M127">
        <f t="shared" si="14"/>
        <v>384</v>
      </c>
      <c r="N127">
        <f t="shared" si="15"/>
        <v>384</v>
      </c>
      <c r="P127" s="21" t="s">
        <v>52</v>
      </c>
      <c r="Q127" s="1">
        <v>960</v>
      </c>
    </row>
    <row r="128" spans="1:17" x14ac:dyDescent="0.25">
      <c r="A128" s="7">
        <v>127</v>
      </c>
      <c r="B128" s="8" t="s">
        <v>38</v>
      </c>
      <c r="C128" s="8" t="s">
        <v>161</v>
      </c>
      <c r="D128" s="9">
        <v>1</v>
      </c>
      <c r="E128" s="10">
        <v>45839</v>
      </c>
      <c r="F128" s="11">
        <v>45841</v>
      </c>
      <c r="G128">
        <f t="shared" si="8"/>
        <v>2</v>
      </c>
      <c r="H128">
        <f t="shared" si="9"/>
        <v>140</v>
      </c>
      <c r="I128">
        <f t="shared" si="10"/>
        <v>280</v>
      </c>
      <c r="J128">
        <f t="shared" si="11"/>
        <v>2</v>
      </c>
      <c r="K128">
        <f t="shared" si="12"/>
        <v>2</v>
      </c>
      <c r="L128">
        <f t="shared" si="13"/>
        <v>0</v>
      </c>
      <c r="M128">
        <f t="shared" si="14"/>
        <v>280</v>
      </c>
      <c r="N128">
        <f t="shared" si="15"/>
        <v>280</v>
      </c>
      <c r="P128" s="22" t="s">
        <v>51</v>
      </c>
      <c r="Q128" s="1">
        <v>960</v>
      </c>
    </row>
    <row r="129" spans="1:17" x14ac:dyDescent="0.25">
      <c r="A129" s="12">
        <v>128</v>
      </c>
      <c r="B129" s="13" t="s">
        <v>38</v>
      </c>
      <c r="C129" s="13" t="s">
        <v>162</v>
      </c>
      <c r="D129" s="14">
        <v>3</v>
      </c>
      <c r="E129" s="15">
        <v>45853</v>
      </c>
      <c r="F129" s="16">
        <v>45856</v>
      </c>
      <c r="G129">
        <f t="shared" si="8"/>
        <v>3</v>
      </c>
      <c r="H129">
        <f t="shared" si="9"/>
        <v>320</v>
      </c>
      <c r="I129">
        <f t="shared" si="10"/>
        <v>960</v>
      </c>
      <c r="J129">
        <f t="shared" si="11"/>
        <v>2</v>
      </c>
      <c r="K129">
        <f t="shared" si="12"/>
        <v>3</v>
      </c>
      <c r="L129">
        <f t="shared" si="13"/>
        <v>0</v>
      </c>
      <c r="M129">
        <f t="shared" si="14"/>
        <v>960</v>
      </c>
      <c r="N129">
        <f t="shared" si="15"/>
        <v>960</v>
      </c>
      <c r="P129" s="21" t="s">
        <v>184</v>
      </c>
      <c r="Q129" s="1">
        <v>960</v>
      </c>
    </row>
    <row r="130" spans="1:17" x14ac:dyDescent="0.25">
      <c r="A130" s="7">
        <v>129</v>
      </c>
      <c r="B130" s="8" t="s">
        <v>18</v>
      </c>
      <c r="C130" s="8" t="s">
        <v>163</v>
      </c>
      <c r="D130" s="9">
        <v>2</v>
      </c>
      <c r="E130" s="10">
        <v>45863</v>
      </c>
      <c r="F130" s="11">
        <v>45866</v>
      </c>
      <c r="G130">
        <f t="shared" si="8"/>
        <v>3</v>
      </c>
      <c r="H130">
        <f t="shared" si="9"/>
        <v>240</v>
      </c>
      <c r="I130">
        <f t="shared" si="10"/>
        <v>720</v>
      </c>
      <c r="J130">
        <f t="shared" si="11"/>
        <v>5</v>
      </c>
      <c r="K130">
        <f t="shared" si="12"/>
        <v>1</v>
      </c>
      <c r="L130">
        <f t="shared" si="13"/>
        <v>2</v>
      </c>
      <c r="M130">
        <f t="shared" si="14"/>
        <v>816</v>
      </c>
      <c r="N130">
        <f t="shared" si="15"/>
        <v>816</v>
      </c>
      <c r="P130" s="22" t="s">
        <v>86</v>
      </c>
      <c r="Q130" s="1">
        <v>960</v>
      </c>
    </row>
    <row r="131" spans="1:17" x14ac:dyDescent="0.25">
      <c r="A131" s="12">
        <v>130</v>
      </c>
      <c r="B131" s="13" t="s">
        <v>8</v>
      </c>
      <c r="C131" s="13" t="s">
        <v>164</v>
      </c>
      <c r="D131" s="14">
        <v>2</v>
      </c>
      <c r="E131" s="15">
        <v>45863</v>
      </c>
      <c r="F131" s="16">
        <v>45866</v>
      </c>
      <c r="G131">
        <f t="shared" ref="G131:G194" si="16">F131-E131</f>
        <v>3</v>
      </c>
      <c r="H131">
        <f t="shared" ref="H131:H194" si="17">VLOOKUP(D131,$P$2:$R$6,3,FALSE)</f>
        <v>240</v>
      </c>
      <c r="I131">
        <f t="shared" ref="I131:I194" si="18">H131*G131</f>
        <v>720</v>
      </c>
      <c r="J131">
        <f t="shared" ref="J131:J194" si="19">WEEKDAY(E131,2)</f>
        <v>5</v>
      </c>
      <c r="K131">
        <f t="shared" ref="K131:K194" si="20">NETWORKDAYS(E131,F131-1)</f>
        <v>1</v>
      </c>
      <c r="L131">
        <f t="shared" ref="L131:L194" si="21">G131-K131</f>
        <v>2</v>
      </c>
      <c r="M131">
        <f t="shared" ref="M131:M194" si="22">K131*H131+L131*H131*1.2</f>
        <v>816</v>
      </c>
      <c r="N131">
        <f t="shared" ref="N131:N194" si="23">IF(G131&gt;4,M131*0.9,M131)</f>
        <v>816</v>
      </c>
      <c r="P131" s="21" t="s">
        <v>181</v>
      </c>
      <c r="Q131" s="1">
        <v>960</v>
      </c>
    </row>
    <row r="132" spans="1:17" x14ac:dyDescent="0.25">
      <c r="A132" s="7">
        <v>131</v>
      </c>
      <c r="B132" s="8" t="s">
        <v>165</v>
      </c>
      <c r="C132" s="8" t="s">
        <v>166</v>
      </c>
      <c r="D132" s="9">
        <v>1</v>
      </c>
      <c r="E132" s="10">
        <v>45778</v>
      </c>
      <c r="F132" s="11">
        <v>45780</v>
      </c>
      <c r="G132">
        <f t="shared" si="16"/>
        <v>2</v>
      </c>
      <c r="H132">
        <f t="shared" si="17"/>
        <v>140</v>
      </c>
      <c r="I132">
        <f t="shared" si="18"/>
        <v>280</v>
      </c>
      <c r="J132">
        <f t="shared" si="19"/>
        <v>4</v>
      </c>
      <c r="K132">
        <f t="shared" si="20"/>
        <v>2</v>
      </c>
      <c r="L132">
        <f t="shared" si="21"/>
        <v>0</v>
      </c>
      <c r="M132">
        <f t="shared" si="22"/>
        <v>280</v>
      </c>
      <c r="N132">
        <f t="shared" si="23"/>
        <v>280</v>
      </c>
      <c r="P132" s="22" t="s">
        <v>6</v>
      </c>
      <c r="Q132" s="1">
        <v>960</v>
      </c>
    </row>
    <row r="133" spans="1:17" x14ac:dyDescent="0.25">
      <c r="A133" s="12">
        <v>132</v>
      </c>
      <c r="B133" s="13" t="s">
        <v>54</v>
      </c>
      <c r="C133" s="13" t="s">
        <v>167</v>
      </c>
      <c r="D133" s="14">
        <v>1</v>
      </c>
      <c r="E133" s="15">
        <v>45778</v>
      </c>
      <c r="F133" s="16">
        <v>45780</v>
      </c>
      <c r="G133">
        <f t="shared" si="16"/>
        <v>2</v>
      </c>
      <c r="H133">
        <f t="shared" si="17"/>
        <v>140</v>
      </c>
      <c r="I133">
        <f t="shared" si="18"/>
        <v>280</v>
      </c>
      <c r="J133">
        <f t="shared" si="19"/>
        <v>4</v>
      </c>
      <c r="K133">
        <f t="shared" si="20"/>
        <v>2</v>
      </c>
      <c r="L133">
        <f t="shared" si="21"/>
        <v>0</v>
      </c>
      <c r="M133">
        <f t="shared" si="22"/>
        <v>280</v>
      </c>
      <c r="N133">
        <f t="shared" si="23"/>
        <v>280</v>
      </c>
      <c r="P133" s="21" t="s">
        <v>100</v>
      </c>
      <c r="Q133" s="1">
        <v>960</v>
      </c>
    </row>
    <row r="134" spans="1:17" x14ac:dyDescent="0.25">
      <c r="A134" s="7">
        <v>133</v>
      </c>
      <c r="B134" s="8" t="s">
        <v>43</v>
      </c>
      <c r="C134" s="8" t="s">
        <v>168</v>
      </c>
      <c r="D134" s="9">
        <v>2</v>
      </c>
      <c r="E134" s="10">
        <v>45863</v>
      </c>
      <c r="F134" s="11">
        <v>45866</v>
      </c>
      <c r="G134">
        <f t="shared" si="16"/>
        <v>3</v>
      </c>
      <c r="H134">
        <f t="shared" si="17"/>
        <v>240</v>
      </c>
      <c r="I134">
        <f t="shared" si="18"/>
        <v>720</v>
      </c>
      <c r="J134">
        <f t="shared" si="19"/>
        <v>5</v>
      </c>
      <c r="K134">
        <f t="shared" si="20"/>
        <v>1</v>
      </c>
      <c r="L134">
        <f t="shared" si="21"/>
        <v>2</v>
      </c>
      <c r="M134">
        <f t="shared" si="22"/>
        <v>816</v>
      </c>
      <c r="N134">
        <f t="shared" si="23"/>
        <v>816</v>
      </c>
      <c r="P134" s="22" t="s">
        <v>18</v>
      </c>
      <c r="Q134" s="1">
        <v>960</v>
      </c>
    </row>
    <row r="135" spans="1:17" x14ac:dyDescent="0.25">
      <c r="A135" s="12">
        <v>134</v>
      </c>
      <c r="B135" s="13" t="s">
        <v>84</v>
      </c>
      <c r="C135" s="13" t="s">
        <v>169</v>
      </c>
      <c r="D135" s="14">
        <v>2</v>
      </c>
      <c r="E135" s="15">
        <v>45818</v>
      </c>
      <c r="F135" s="16">
        <v>45823</v>
      </c>
      <c r="G135">
        <f t="shared" si="16"/>
        <v>5</v>
      </c>
      <c r="H135">
        <f t="shared" si="17"/>
        <v>240</v>
      </c>
      <c r="I135">
        <f t="shared" si="18"/>
        <v>1200</v>
      </c>
      <c r="J135">
        <f t="shared" si="19"/>
        <v>2</v>
      </c>
      <c r="K135">
        <f t="shared" si="20"/>
        <v>4</v>
      </c>
      <c r="L135">
        <f t="shared" si="21"/>
        <v>1</v>
      </c>
      <c r="M135">
        <f t="shared" si="22"/>
        <v>1248</v>
      </c>
      <c r="N135">
        <f t="shared" si="23"/>
        <v>1123.2</v>
      </c>
      <c r="P135" s="21" t="s">
        <v>39</v>
      </c>
      <c r="Q135" s="1">
        <v>960</v>
      </c>
    </row>
    <row r="136" spans="1:17" x14ac:dyDescent="0.25">
      <c r="A136" s="7">
        <v>135</v>
      </c>
      <c r="B136" s="8" t="s">
        <v>8</v>
      </c>
      <c r="C136" s="8" t="s">
        <v>170</v>
      </c>
      <c r="D136" s="9">
        <v>2</v>
      </c>
      <c r="E136" s="10">
        <v>45863</v>
      </c>
      <c r="F136" s="11">
        <v>45866</v>
      </c>
      <c r="G136">
        <f t="shared" si="16"/>
        <v>3</v>
      </c>
      <c r="H136">
        <f t="shared" si="17"/>
        <v>240</v>
      </c>
      <c r="I136">
        <f t="shared" si="18"/>
        <v>720</v>
      </c>
      <c r="J136">
        <f t="shared" si="19"/>
        <v>5</v>
      </c>
      <c r="K136">
        <f t="shared" si="20"/>
        <v>1</v>
      </c>
      <c r="L136">
        <f t="shared" si="21"/>
        <v>2</v>
      </c>
      <c r="M136">
        <f t="shared" si="22"/>
        <v>816</v>
      </c>
      <c r="N136">
        <f t="shared" si="23"/>
        <v>816</v>
      </c>
      <c r="P136" s="22" t="s">
        <v>38</v>
      </c>
      <c r="Q136" s="1">
        <v>960</v>
      </c>
    </row>
    <row r="137" spans="1:17" x14ac:dyDescent="0.25">
      <c r="A137" s="12">
        <v>136</v>
      </c>
      <c r="B137" s="13" t="s">
        <v>45</v>
      </c>
      <c r="C137" s="13" t="s">
        <v>171</v>
      </c>
      <c r="D137" s="14">
        <v>1</v>
      </c>
      <c r="E137" s="15">
        <v>45863</v>
      </c>
      <c r="F137" s="16">
        <v>45866</v>
      </c>
      <c r="G137">
        <f t="shared" si="16"/>
        <v>3</v>
      </c>
      <c r="H137">
        <f t="shared" si="17"/>
        <v>140</v>
      </c>
      <c r="I137">
        <f t="shared" si="18"/>
        <v>420</v>
      </c>
      <c r="J137">
        <f t="shared" si="19"/>
        <v>5</v>
      </c>
      <c r="K137">
        <f t="shared" si="20"/>
        <v>1</v>
      </c>
      <c r="L137">
        <f t="shared" si="21"/>
        <v>2</v>
      </c>
      <c r="M137">
        <f t="shared" si="22"/>
        <v>476</v>
      </c>
      <c r="N137">
        <f t="shared" si="23"/>
        <v>476</v>
      </c>
      <c r="P137" s="21" t="s">
        <v>106</v>
      </c>
      <c r="Q137" s="1">
        <v>960</v>
      </c>
    </row>
    <row r="138" spans="1:17" x14ac:dyDescent="0.25">
      <c r="A138" s="7">
        <v>137</v>
      </c>
      <c r="B138" s="8" t="s">
        <v>110</v>
      </c>
      <c r="C138" s="8" t="s">
        <v>172</v>
      </c>
      <c r="D138" s="9">
        <v>3</v>
      </c>
      <c r="E138" s="10">
        <v>45871</v>
      </c>
      <c r="F138" s="11">
        <v>45875</v>
      </c>
      <c r="G138">
        <f t="shared" si="16"/>
        <v>4</v>
      </c>
      <c r="H138">
        <f t="shared" si="17"/>
        <v>320</v>
      </c>
      <c r="I138">
        <f t="shared" si="18"/>
        <v>1280</v>
      </c>
      <c r="J138">
        <f t="shared" si="19"/>
        <v>6</v>
      </c>
      <c r="K138">
        <f t="shared" si="20"/>
        <v>2</v>
      </c>
      <c r="L138">
        <f t="shared" si="21"/>
        <v>2</v>
      </c>
      <c r="M138">
        <f t="shared" si="22"/>
        <v>1408</v>
      </c>
      <c r="N138">
        <f t="shared" si="23"/>
        <v>1408</v>
      </c>
      <c r="P138" s="22" t="s">
        <v>12</v>
      </c>
      <c r="Q138" s="1">
        <v>960</v>
      </c>
    </row>
    <row r="139" spans="1:17" x14ac:dyDescent="0.25">
      <c r="A139" s="12">
        <v>138</v>
      </c>
      <c r="B139" s="13" t="s">
        <v>20</v>
      </c>
      <c r="C139" s="13" t="s">
        <v>173</v>
      </c>
      <c r="D139" s="14">
        <v>3</v>
      </c>
      <c r="E139" s="15">
        <v>45871</v>
      </c>
      <c r="F139" s="16">
        <v>45875</v>
      </c>
      <c r="G139">
        <f t="shared" si="16"/>
        <v>4</v>
      </c>
      <c r="H139">
        <f t="shared" si="17"/>
        <v>320</v>
      </c>
      <c r="I139">
        <f t="shared" si="18"/>
        <v>1280</v>
      </c>
      <c r="J139">
        <f t="shared" si="19"/>
        <v>6</v>
      </c>
      <c r="K139">
        <f t="shared" si="20"/>
        <v>2</v>
      </c>
      <c r="L139">
        <f t="shared" si="21"/>
        <v>2</v>
      </c>
      <c r="M139">
        <f t="shared" si="22"/>
        <v>1408</v>
      </c>
      <c r="N139">
        <f t="shared" si="23"/>
        <v>1408</v>
      </c>
      <c r="P139" s="21" t="s">
        <v>162</v>
      </c>
      <c r="Q139" s="1">
        <v>960</v>
      </c>
    </row>
    <row r="140" spans="1:17" x14ac:dyDescent="0.25">
      <c r="A140" s="7">
        <v>139</v>
      </c>
      <c r="B140" s="8" t="s">
        <v>102</v>
      </c>
      <c r="C140" s="8" t="s">
        <v>174</v>
      </c>
      <c r="D140" s="9">
        <v>3</v>
      </c>
      <c r="E140" s="10">
        <v>45871</v>
      </c>
      <c r="F140" s="11">
        <v>45875</v>
      </c>
      <c r="G140">
        <f t="shared" si="16"/>
        <v>4</v>
      </c>
      <c r="H140">
        <f t="shared" si="17"/>
        <v>320</v>
      </c>
      <c r="I140">
        <f t="shared" si="18"/>
        <v>1280</v>
      </c>
      <c r="J140">
        <f t="shared" si="19"/>
        <v>6</v>
      </c>
      <c r="K140">
        <f t="shared" si="20"/>
        <v>2</v>
      </c>
      <c r="L140">
        <f t="shared" si="21"/>
        <v>2</v>
      </c>
      <c r="M140">
        <f t="shared" si="22"/>
        <v>1408</v>
      </c>
      <c r="N140">
        <f t="shared" si="23"/>
        <v>1408</v>
      </c>
      <c r="P140" s="22" t="s">
        <v>38</v>
      </c>
      <c r="Q140" s="1">
        <v>960</v>
      </c>
    </row>
    <row r="141" spans="1:17" x14ac:dyDescent="0.25">
      <c r="A141" s="12">
        <v>140</v>
      </c>
      <c r="B141" s="13" t="s">
        <v>38</v>
      </c>
      <c r="C141" s="13" t="s">
        <v>175</v>
      </c>
      <c r="D141" s="14">
        <v>2</v>
      </c>
      <c r="E141" s="15">
        <v>45818</v>
      </c>
      <c r="F141" s="16">
        <v>45823</v>
      </c>
      <c r="G141">
        <f t="shared" si="16"/>
        <v>5</v>
      </c>
      <c r="H141">
        <f t="shared" si="17"/>
        <v>240</v>
      </c>
      <c r="I141">
        <f t="shared" si="18"/>
        <v>1200</v>
      </c>
      <c r="J141">
        <f t="shared" si="19"/>
        <v>2</v>
      </c>
      <c r="K141">
        <f t="shared" si="20"/>
        <v>4</v>
      </c>
      <c r="L141">
        <f t="shared" si="21"/>
        <v>1</v>
      </c>
      <c r="M141">
        <f t="shared" si="22"/>
        <v>1248</v>
      </c>
      <c r="N141">
        <f t="shared" si="23"/>
        <v>1123.2</v>
      </c>
      <c r="P141" s="21" t="s">
        <v>98</v>
      </c>
      <c r="Q141" s="1">
        <v>960</v>
      </c>
    </row>
    <row r="142" spans="1:17" x14ac:dyDescent="0.25">
      <c r="A142" s="7">
        <v>141</v>
      </c>
      <c r="B142" s="8" t="s">
        <v>20</v>
      </c>
      <c r="C142" s="8" t="s">
        <v>176</v>
      </c>
      <c r="D142" s="9">
        <v>2</v>
      </c>
      <c r="E142" s="10">
        <v>45853</v>
      </c>
      <c r="F142" s="11">
        <v>45856</v>
      </c>
      <c r="G142">
        <f t="shared" si="16"/>
        <v>3</v>
      </c>
      <c r="H142">
        <f t="shared" si="17"/>
        <v>240</v>
      </c>
      <c r="I142">
        <f t="shared" si="18"/>
        <v>720</v>
      </c>
      <c r="J142">
        <f t="shared" si="19"/>
        <v>2</v>
      </c>
      <c r="K142">
        <f t="shared" si="20"/>
        <v>3</v>
      </c>
      <c r="L142">
        <f t="shared" si="21"/>
        <v>0</v>
      </c>
      <c r="M142">
        <f t="shared" si="22"/>
        <v>720</v>
      </c>
      <c r="N142">
        <f t="shared" si="23"/>
        <v>720</v>
      </c>
      <c r="P142" s="22" t="s">
        <v>12</v>
      </c>
      <c r="Q142" s="1">
        <v>960</v>
      </c>
    </row>
    <row r="143" spans="1:17" x14ac:dyDescent="0.25">
      <c r="A143" s="12">
        <v>142</v>
      </c>
      <c r="B143" s="13" t="s">
        <v>29</v>
      </c>
      <c r="C143" s="13" t="s">
        <v>177</v>
      </c>
      <c r="D143" s="14">
        <v>3</v>
      </c>
      <c r="E143" s="15">
        <v>45871</v>
      </c>
      <c r="F143" s="16">
        <v>45875</v>
      </c>
      <c r="G143">
        <f t="shared" si="16"/>
        <v>4</v>
      </c>
      <c r="H143">
        <f t="shared" si="17"/>
        <v>320</v>
      </c>
      <c r="I143">
        <f t="shared" si="18"/>
        <v>1280</v>
      </c>
      <c r="J143">
        <f t="shared" si="19"/>
        <v>6</v>
      </c>
      <c r="K143">
        <f t="shared" si="20"/>
        <v>2</v>
      </c>
      <c r="L143">
        <f t="shared" si="21"/>
        <v>2</v>
      </c>
      <c r="M143">
        <f t="shared" si="22"/>
        <v>1408</v>
      </c>
      <c r="N143">
        <f t="shared" si="23"/>
        <v>1408</v>
      </c>
      <c r="P143" s="21" t="s">
        <v>109</v>
      </c>
      <c r="Q143" s="1">
        <v>960</v>
      </c>
    </row>
    <row r="144" spans="1:17" x14ac:dyDescent="0.25">
      <c r="A144" s="7">
        <v>143</v>
      </c>
      <c r="B144" s="8" t="s">
        <v>118</v>
      </c>
      <c r="C144" s="8" t="s">
        <v>178</v>
      </c>
      <c r="D144" s="9">
        <v>2</v>
      </c>
      <c r="E144" s="10">
        <v>45871</v>
      </c>
      <c r="F144" s="11">
        <v>45875</v>
      </c>
      <c r="G144">
        <f t="shared" si="16"/>
        <v>4</v>
      </c>
      <c r="H144">
        <f t="shared" si="17"/>
        <v>240</v>
      </c>
      <c r="I144">
        <f t="shared" si="18"/>
        <v>960</v>
      </c>
      <c r="J144">
        <f t="shared" si="19"/>
        <v>6</v>
      </c>
      <c r="K144">
        <f t="shared" si="20"/>
        <v>2</v>
      </c>
      <c r="L144">
        <f t="shared" si="21"/>
        <v>2</v>
      </c>
      <c r="M144">
        <f t="shared" si="22"/>
        <v>1056</v>
      </c>
      <c r="N144">
        <f t="shared" si="23"/>
        <v>1056</v>
      </c>
      <c r="P144" s="22" t="s">
        <v>16</v>
      </c>
      <c r="Q144" s="1">
        <v>960</v>
      </c>
    </row>
    <row r="145" spans="1:17" x14ac:dyDescent="0.25">
      <c r="A145" s="12">
        <v>144</v>
      </c>
      <c r="B145" s="13" t="s">
        <v>34</v>
      </c>
      <c r="C145" s="13" t="s">
        <v>179</v>
      </c>
      <c r="D145" s="14">
        <v>2</v>
      </c>
      <c r="E145" s="15">
        <v>45871</v>
      </c>
      <c r="F145" s="16">
        <v>45875</v>
      </c>
      <c r="G145">
        <f t="shared" si="16"/>
        <v>4</v>
      </c>
      <c r="H145">
        <f t="shared" si="17"/>
        <v>240</v>
      </c>
      <c r="I145">
        <f t="shared" si="18"/>
        <v>960</v>
      </c>
      <c r="J145">
        <f t="shared" si="19"/>
        <v>6</v>
      </c>
      <c r="K145">
        <f t="shared" si="20"/>
        <v>2</v>
      </c>
      <c r="L145">
        <f t="shared" si="21"/>
        <v>2</v>
      </c>
      <c r="M145">
        <f t="shared" si="22"/>
        <v>1056</v>
      </c>
      <c r="N145">
        <f t="shared" si="23"/>
        <v>1056</v>
      </c>
      <c r="P145" s="21" t="s">
        <v>99</v>
      </c>
      <c r="Q145" s="1">
        <v>960</v>
      </c>
    </row>
    <row r="146" spans="1:17" x14ac:dyDescent="0.25">
      <c r="A146" s="7">
        <v>145</v>
      </c>
      <c r="B146" s="8" t="s">
        <v>12</v>
      </c>
      <c r="C146" s="8" t="s">
        <v>180</v>
      </c>
      <c r="D146" s="9">
        <v>2</v>
      </c>
      <c r="E146" s="10">
        <v>45818</v>
      </c>
      <c r="F146" s="11">
        <v>45823</v>
      </c>
      <c r="G146">
        <f t="shared" si="16"/>
        <v>5</v>
      </c>
      <c r="H146">
        <f t="shared" si="17"/>
        <v>240</v>
      </c>
      <c r="I146">
        <f t="shared" si="18"/>
        <v>1200</v>
      </c>
      <c r="J146">
        <f t="shared" si="19"/>
        <v>2</v>
      </c>
      <c r="K146">
        <f t="shared" si="20"/>
        <v>4</v>
      </c>
      <c r="L146">
        <f t="shared" si="21"/>
        <v>1</v>
      </c>
      <c r="M146">
        <f t="shared" si="22"/>
        <v>1248</v>
      </c>
      <c r="N146">
        <f t="shared" si="23"/>
        <v>1123.2</v>
      </c>
      <c r="P146" s="22" t="s">
        <v>20</v>
      </c>
      <c r="Q146" s="1">
        <v>960</v>
      </c>
    </row>
    <row r="147" spans="1:17" x14ac:dyDescent="0.25">
      <c r="A147" s="12">
        <v>146</v>
      </c>
      <c r="B147" s="13" t="s">
        <v>6</v>
      </c>
      <c r="C147" s="13" t="s">
        <v>181</v>
      </c>
      <c r="D147" s="14">
        <v>2</v>
      </c>
      <c r="E147" s="15">
        <v>45871</v>
      </c>
      <c r="F147" s="16">
        <v>45875</v>
      </c>
      <c r="G147">
        <f t="shared" si="16"/>
        <v>4</v>
      </c>
      <c r="H147">
        <f t="shared" si="17"/>
        <v>240</v>
      </c>
      <c r="I147">
        <f t="shared" si="18"/>
        <v>960</v>
      </c>
      <c r="J147">
        <f t="shared" si="19"/>
        <v>6</v>
      </c>
      <c r="K147">
        <f t="shared" si="20"/>
        <v>2</v>
      </c>
      <c r="L147">
        <f t="shared" si="21"/>
        <v>2</v>
      </c>
      <c r="M147">
        <f t="shared" si="22"/>
        <v>1056</v>
      </c>
      <c r="N147">
        <f t="shared" si="23"/>
        <v>1056</v>
      </c>
      <c r="P147" s="21" t="s">
        <v>126</v>
      </c>
      <c r="Q147" s="1">
        <v>960</v>
      </c>
    </row>
    <row r="148" spans="1:17" x14ac:dyDescent="0.25">
      <c r="A148" s="7">
        <v>147</v>
      </c>
      <c r="B148" s="8" t="s">
        <v>51</v>
      </c>
      <c r="C148" s="8" t="s">
        <v>182</v>
      </c>
      <c r="D148" s="9">
        <v>2</v>
      </c>
      <c r="E148" s="10">
        <v>45839</v>
      </c>
      <c r="F148" s="11">
        <v>45841</v>
      </c>
      <c r="G148">
        <f t="shared" si="16"/>
        <v>2</v>
      </c>
      <c r="H148">
        <f t="shared" si="17"/>
        <v>240</v>
      </c>
      <c r="I148">
        <f t="shared" si="18"/>
        <v>480</v>
      </c>
      <c r="J148">
        <f t="shared" si="19"/>
        <v>2</v>
      </c>
      <c r="K148">
        <f t="shared" si="20"/>
        <v>2</v>
      </c>
      <c r="L148">
        <f t="shared" si="21"/>
        <v>0</v>
      </c>
      <c r="M148">
        <f t="shared" si="22"/>
        <v>480</v>
      </c>
      <c r="N148">
        <f t="shared" si="23"/>
        <v>480</v>
      </c>
      <c r="P148" s="22" t="s">
        <v>34</v>
      </c>
      <c r="Q148" s="1">
        <v>960</v>
      </c>
    </row>
    <row r="149" spans="1:17" x14ac:dyDescent="0.25">
      <c r="A149" s="12">
        <v>148</v>
      </c>
      <c r="B149" s="13" t="s">
        <v>38</v>
      </c>
      <c r="C149" s="13" t="s">
        <v>183</v>
      </c>
      <c r="D149" s="14">
        <v>2</v>
      </c>
      <c r="E149" s="15">
        <v>45818</v>
      </c>
      <c r="F149" s="16">
        <v>45823</v>
      </c>
      <c r="G149">
        <f t="shared" si="16"/>
        <v>5</v>
      </c>
      <c r="H149">
        <f t="shared" si="17"/>
        <v>240</v>
      </c>
      <c r="I149">
        <f t="shared" si="18"/>
        <v>1200</v>
      </c>
      <c r="J149">
        <f t="shared" si="19"/>
        <v>2</v>
      </c>
      <c r="K149">
        <f t="shared" si="20"/>
        <v>4</v>
      </c>
      <c r="L149">
        <f t="shared" si="21"/>
        <v>1</v>
      </c>
      <c r="M149">
        <f t="shared" si="22"/>
        <v>1248</v>
      </c>
      <c r="N149">
        <f t="shared" si="23"/>
        <v>1123.2</v>
      </c>
      <c r="P149" s="21" t="s">
        <v>83</v>
      </c>
      <c r="Q149" s="1">
        <v>800</v>
      </c>
    </row>
    <row r="150" spans="1:17" x14ac:dyDescent="0.25">
      <c r="A150" s="7">
        <v>149</v>
      </c>
      <c r="B150" s="8" t="s">
        <v>86</v>
      </c>
      <c r="C150" s="8" t="s">
        <v>184</v>
      </c>
      <c r="D150" s="9">
        <v>2</v>
      </c>
      <c r="E150" s="10">
        <v>45871</v>
      </c>
      <c r="F150" s="11">
        <v>45875</v>
      </c>
      <c r="G150">
        <f t="shared" si="16"/>
        <v>4</v>
      </c>
      <c r="H150">
        <f t="shared" si="17"/>
        <v>240</v>
      </c>
      <c r="I150">
        <f t="shared" si="18"/>
        <v>960</v>
      </c>
      <c r="J150">
        <f t="shared" si="19"/>
        <v>6</v>
      </c>
      <c r="K150">
        <f t="shared" si="20"/>
        <v>2</v>
      </c>
      <c r="L150">
        <f t="shared" si="21"/>
        <v>2</v>
      </c>
      <c r="M150">
        <f t="shared" si="22"/>
        <v>1056</v>
      </c>
      <c r="N150">
        <f t="shared" si="23"/>
        <v>1056</v>
      </c>
      <c r="P150" s="22" t="s">
        <v>23</v>
      </c>
      <c r="Q150" s="1">
        <v>800</v>
      </c>
    </row>
    <row r="151" spans="1:17" x14ac:dyDescent="0.25">
      <c r="A151" s="12">
        <v>150</v>
      </c>
      <c r="B151" s="13" t="s">
        <v>51</v>
      </c>
      <c r="C151" s="13" t="s">
        <v>185</v>
      </c>
      <c r="D151" s="14">
        <v>1</v>
      </c>
      <c r="E151" s="15">
        <v>45871</v>
      </c>
      <c r="F151" s="16">
        <v>45875</v>
      </c>
      <c r="G151">
        <f t="shared" si="16"/>
        <v>4</v>
      </c>
      <c r="H151">
        <f t="shared" si="17"/>
        <v>140</v>
      </c>
      <c r="I151">
        <f t="shared" si="18"/>
        <v>560</v>
      </c>
      <c r="J151">
        <f t="shared" si="19"/>
        <v>6</v>
      </c>
      <c r="K151">
        <f t="shared" si="20"/>
        <v>2</v>
      </c>
      <c r="L151">
        <f t="shared" si="21"/>
        <v>2</v>
      </c>
      <c r="M151">
        <f t="shared" si="22"/>
        <v>616</v>
      </c>
      <c r="N151">
        <f t="shared" si="23"/>
        <v>616</v>
      </c>
      <c r="P151" s="21" t="s">
        <v>59</v>
      </c>
      <c r="Q151" s="1">
        <v>800</v>
      </c>
    </row>
    <row r="152" spans="1:17" x14ac:dyDescent="0.25">
      <c r="A152" s="7">
        <v>151</v>
      </c>
      <c r="B152" s="8" t="s">
        <v>6</v>
      </c>
      <c r="C152" s="8" t="s">
        <v>7</v>
      </c>
      <c r="D152" s="9">
        <v>1</v>
      </c>
      <c r="E152" s="10">
        <v>45871</v>
      </c>
      <c r="F152" s="11">
        <v>45875</v>
      </c>
      <c r="G152">
        <f t="shared" si="16"/>
        <v>4</v>
      </c>
      <c r="H152">
        <f t="shared" si="17"/>
        <v>140</v>
      </c>
      <c r="I152">
        <f t="shared" si="18"/>
        <v>560</v>
      </c>
      <c r="J152">
        <f t="shared" si="19"/>
        <v>6</v>
      </c>
      <c r="K152">
        <f t="shared" si="20"/>
        <v>2</v>
      </c>
      <c r="L152">
        <f t="shared" si="21"/>
        <v>2</v>
      </c>
      <c r="M152">
        <f t="shared" si="22"/>
        <v>616</v>
      </c>
      <c r="N152">
        <f t="shared" si="23"/>
        <v>616</v>
      </c>
      <c r="P152" s="22" t="s">
        <v>38</v>
      </c>
      <c r="Q152" s="1">
        <v>800</v>
      </c>
    </row>
    <row r="153" spans="1:17" x14ac:dyDescent="0.25">
      <c r="A153" s="12">
        <v>152</v>
      </c>
      <c r="B153" s="13" t="s">
        <v>29</v>
      </c>
      <c r="C153" s="13" t="s">
        <v>124</v>
      </c>
      <c r="D153" s="14">
        <v>1</v>
      </c>
      <c r="E153" s="15">
        <v>45871</v>
      </c>
      <c r="F153" s="16">
        <v>45875</v>
      </c>
      <c r="G153">
        <f t="shared" si="16"/>
        <v>4</v>
      </c>
      <c r="H153">
        <f t="shared" si="17"/>
        <v>140</v>
      </c>
      <c r="I153">
        <f t="shared" si="18"/>
        <v>560</v>
      </c>
      <c r="J153">
        <f t="shared" si="19"/>
        <v>6</v>
      </c>
      <c r="K153">
        <f t="shared" si="20"/>
        <v>2</v>
      </c>
      <c r="L153">
        <f t="shared" si="21"/>
        <v>2</v>
      </c>
      <c r="M153">
        <f t="shared" si="22"/>
        <v>616</v>
      </c>
      <c r="N153">
        <f t="shared" si="23"/>
        <v>616</v>
      </c>
      <c r="P153" s="21" t="s">
        <v>167</v>
      </c>
      <c r="Q153" s="1">
        <v>760</v>
      </c>
    </row>
    <row r="154" spans="1:17" x14ac:dyDescent="0.25">
      <c r="A154" s="7">
        <v>153</v>
      </c>
      <c r="B154" s="8" t="s">
        <v>54</v>
      </c>
      <c r="C154" s="8" t="s">
        <v>117</v>
      </c>
      <c r="D154" s="9">
        <v>2</v>
      </c>
      <c r="E154" s="10">
        <v>45818</v>
      </c>
      <c r="F154" s="11">
        <v>45823</v>
      </c>
      <c r="G154">
        <f t="shared" si="16"/>
        <v>5</v>
      </c>
      <c r="H154">
        <f t="shared" si="17"/>
        <v>240</v>
      </c>
      <c r="I154">
        <f t="shared" si="18"/>
        <v>1200</v>
      </c>
      <c r="J154">
        <f t="shared" si="19"/>
        <v>2</v>
      </c>
      <c r="K154">
        <f t="shared" si="20"/>
        <v>4</v>
      </c>
      <c r="L154">
        <f t="shared" si="21"/>
        <v>1</v>
      </c>
      <c r="M154">
        <f t="shared" si="22"/>
        <v>1248</v>
      </c>
      <c r="N154">
        <f t="shared" si="23"/>
        <v>1123.2</v>
      </c>
      <c r="P154" s="22" t="s">
        <v>54</v>
      </c>
      <c r="Q154" s="1">
        <v>760</v>
      </c>
    </row>
    <row r="155" spans="1:17" x14ac:dyDescent="0.25">
      <c r="A155" s="12">
        <v>154</v>
      </c>
      <c r="B155" s="13" t="s">
        <v>43</v>
      </c>
      <c r="C155" s="13" t="s">
        <v>132</v>
      </c>
      <c r="D155" s="14">
        <v>2</v>
      </c>
      <c r="E155" s="15">
        <v>45853</v>
      </c>
      <c r="F155" s="16">
        <v>45856</v>
      </c>
      <c r="G155">
        <f t="shared" si="16"/>
        <v>3</v>
      </c>
      <c r="H155">
        <f t="shared" si="17"/>
        <v>240</v>
      </c>
      <c r="I155">
        <f t="shared" si="18"/>
        <v>720</v>
      </c>
      <c r="J155">
        <f t="shared" si="19"/>
        <v>2</v>
      </c>
      <c r="K155">
        <f t="shared" si="20"/>
        <v>3</v>
      </c>
      <c r="L155">
        <f t="shared" si="21"/>
        <v>0</v>
      </c>
      <c r="M155">
        <f t="shared" si="22"/>
        <v>720</v>
      </c>
      <c r="N155">
        <f t="shared" si="23"/>
        <v>720</v>
      </c>
      <c r="P155" s="21" t="s">
        <v>91</v>
      </c>
      <c r="Q155" s="1">
        <v>720</v>
      </c>
    </row>
    <row r="156" spans="1:17" x14ac:dyDescent="0.25">
      <c r="A156" s="7">
        <v>155</v>
      </c>
      <c r="B156" s="8" t="s">
        <v>6</v>
      </c>
      <c r="C156" s="8" t="s">
        <v>156</v>
      </c>
      <c r="D156" s="9">
        <v>1</v>
      </c>
      <c r="E156" s="10">
        <v>45871</v>
      </c>
      <c r="F156" s="11">
        <v>45875</v>
      </c>
      <c r="G156">
        <f t="shared" si="16"/>
        <v>4</v>
      </c>
      <c r="H156">
        <f t="shared" si="17"/>
        <v>140</v>
      </c>
      <c r="I156">
        <f t="shared" si="18"/>
        <v>560</v>
      </c>
      <c r="J156">
        <f t="shared" si="19"/>
        <v>6</v>
      </c>
      <c r="K156">
        <f t="shared" si="20"/>
        <v>2</v>
      </c>
      <c r="L156">
        <f t="shared" si="21"/>
        <v>2</v>
      </c>
      <c r="M156">
        <f t="shared" si="22"/>
        <v>616</v>
      </c>
      <c r="N156">
        <f t="shared" si="23"/>
        <v>616</v>
      </c>
      <c r="P156" s="22" t="s">
        <v>16</v>
      </c>
      <c r="Q156" s="1">
        <v>720</v>
      </c>
    </row>
    <row r="157" spans="1:17" x14ac:dyDescent="0.25">
      <c r="A157" s="12">
        <v>156</v>
      </c>
      <c r="B157" s="13" t="s">
        <v>34</v>
      </c>
      <c r="C157" s="13" t="s">
        <v>134</v>
      </c>
      <c r="D157" s="14">
        <v>2</v>
      </c>
      <c r="E157" s="15">
        <v>45879</v>
      </c>
      <c r="F157" s="16">
        <v>45881</v>
      </c>
      <c r="G157">
        <f t="shared" si="16"/>
        <v>2</v>
      </c>
      <c r="H157">
        <f t="shared" si="17"/>
        <v>240</v>
      </c>
      <c r="I157">
        <f t="shared" si="18"/>
        <v>480</v>
      </c>
      <c r="J157">
        <f t="shared" si="19"/>
        <v>7</v>
      </c>
      <c r="K157">
        <f t="shared" si="20"/>
        <v>1</v>
      </c>
      <c r="L157">
        <f t="shared" si="21"/>
        <v>1</v>
      </c>
      <c r="M157">
        <f t="shared" si="22"/>
        <v>528</v>
      </c>
      <c r="N157">
        <f t="shared" si="23"/>
        <v>528</v>
      </c>
      <c r="P157" s="21" t="s">
        <v>60</v>
      </c>
      <c r="Q157" s="1">
        <v>720</v>
      </c>
    </row>
    <row r="158" spans="1:17" x14ac:dyDescent="0.25">
      <c r="A158" s="7">
        <v>157</v>
      </c>
      <c r="B158" s="8" t="s">
        <v>54</v>
      </c>
      <c r="C158" s="8" t="s">
        <v>167</v>
      </c>
      <c r="D158" s="9">
        <v>2</v>
      </c>
      <c r="E158" s="10">
        <v>45879</v>
      </c>
      <c r="F158" s="11">
        <v>45881</v>
      </c>
      <c r="G158">
        <f t="shared" si="16"/>
        <v>2</v>
      </c>
      <c r="H158">
        <f t="shared" si="17"/>
        <v>240</v>
      </c>
      <c r="I158">
        <f t="shared" si="18"/>
        <v>480</v>
      </c>
      <c r="J158">
        <f t="shared" si="19"/>
        <v>7</v>
      </c>
      <c r="K158">
        <f t="shared" si="20"/>
        <v>1</v>
      </c>
      <c r="L158">
        <f t="shared" si="21"/>
        <v>1</v>
      </c>
      <c r="M158">
        <f t="shared" si="22"/>
        <v>528</v>
      </c>
      <c r="N158">
        <f t="shared" si="23"/>
        <v>528</v>
      </c>
      <c r="P158" s="22" t="s">
        <v>12</v>
      </c>
      <c r="Q158" s="1">
        <v>720</v>
      </c>
    </row>
    <row r="159" spans="1:17" x14ac:dyDescent="0.25">
      <c r="A159" s="12">
        <v>158</v>
      </c>
      <c r="B159" s="13" t="s">
        <v>14</v>
      </c>
      <c r="C159" s="13" t="s">
        <v>116</v>
      </c>
      <c r="D159" s="14">
        <v>2</v>
      </c>
      <c r="E159" s="15">
        <v>45879</v>
      </c>
      <c r="F159" s="16">
        <v>45881</v>
      </c>
      <c r="G159">
        <f t="shared" si="16"/>
        <v>2</v>
      </c>
      <c r="H159">
        <f t="shared" si="17"/>
        <v>240</v>
      </c>
      <c r="I159">
        <f t="shared" si="18"/>
        <v>480</v>
      </c>
      <c r="J159">
        <f t="shared" si="19"/>
        <v>7</v>
      </c>
      <c r="K159">
        <f t="shared" si="20"/>
        <v>1</v>
      </c>
      <c r="L159">
        <f t="shared" si="21"/>
        <v>1</v>
      </c>
      <c r="M159">
        <f t="shared" si="22"/>
        <v>528</v>
      </c>
      <c r="N159">
        <f t="shared" si="23"/>
        <v>528</v>
      </c>
      <c r="P159" s="21" t="s">
        <v>164</v>
      </c>
      <c r="Q159" s="1">
        <v>720</v>
      </c>
    </row>
    <row r="160" spans="1:17" x14ac:dyDescent="0.25">
      <c r="A160" s="7">
        <v>159</v>
      </c>
      <c r="B160" s="8" t="s">
        <v>165</v>
      </c>
      <c r="C160" s="8" t="s">
        <v>166</v>
      </c>
      <c r="D160" s="9">
        <v>2</v>
      </c>
      <c r="E160" s="10">
        <v>45879</v>
      </c>
      <c r="F160" s="11">
        <v>45881</v>
      </c>
      <c r="G160">
        <f t="shared" si="16"/>
        <v>2</v>
      </c>
      <c r="H160">
        <f t="shared" si="17"/>
        <v>240</v>
      </c>
      <c r="I160">
        <f t="shared" si="18"/>
        <v>480</v>
      </c>
      <c r="J160">
        <f t="shared" si="19"/>
        <v>7</v>
      </c>
      <c r="K160">
        <f t="shared" si="20"/>
        <v>1</v>
      </c>
      <c r="L160">
        <f t="shared" si="21"/>
        <v>1</v>
      </c>
      <c r="M160">
        <f t="shared" si="22"/>
        <v>528</v>
      </c>
      <c r="N160">
        <f t="shared" si="23"/>
        <v>528</v>
      </c>
      <c r="P160" s="22" t="s">
        <v>8</v>
      </c>
      <c r="Q160" s="1">
        <v>720</v>
      </c>
    </row>
    <row r="161" spans="1:17" x14ac:dyDescent="0.25">
      <c r="A161" s="12">
        <v>160</v>
      </c>
      <c r="B161" s="13" t="s">
        <v>29</v>
      </c>
      <c r="C161" s="13" t="s">
        <v>124</v>
      </c>
      <c r="D161" s="14">
        <v>1</v>
      </c>
      <c r="E161" s="15">
        <v>45839</v>
      </c>
      <c r="F161" s="16">
        <v>45841</v>
      </c>
      <c r="G161">
        <f t="shared" si="16"/>
        <v>2</v>
      </c>
      <c r="H161">
        <f t="shared" si="17"/>
        <v>140</v>
      </c>
      <c r="I161">
        <f t="shared" si="18"/>
        <v>280</v>
      </c>
      <c r="J161">
        <f t="shared" si="19"/>
        <v>2</v>
      </c>
      <c r="K161">
        <f t="shared" si="20"/>
        <v>2</v>
      </c>
      <c r="L161">
        <f t="shared" si="21"/>
        <v>0</v>
      </c>
      <c r="M161">
        <f t="shared" si="22"/>
        <v>280</v>
      </c>
      <c r="N161">
        <f t="shared" si="23"/>
        <v>280</v>
      </c>
      <c r="P161" s="21" t="s">
        <v>176</v>
      </c>
      <c r="Q161" s="1">
        <v>720</v>
      </c>
    </row>
    <row r="162" spans="1:17" x14ac:dyDescent="0.25">
      <c r="A162" s="7">
        <v>161</v>
      </c>
      <c r="B162" s="8" t="s">
        <v>84</v>
      </c>
      <c r="C162" s="8" t="s">
        <v>169</v>
      </c>
      <c r="D162" s="9">
        <v>2</v>
      </c>
      <c r="E162" s="10">
        <v>45818</v>
      </c>
      <c r="F162" s="11">
        <v>45823</v>
      </c>
      <c r="G162">
        <f t="shared" si="16"/>
        <v>5</v>
      </c>
      <c r="H162">
        <f t="shared" si="17"/>
        <v>240</v>
      </c>
      <c r="I162">
        <f t="shared" si="18"/>
        <v>1200</v>
      </c>
      <c r="J162">
        <f t="shared" si="19"/>
        <v>2</v>
      </c>
      <c r="K162">
        <f t="shared" si="20"/>
        <v>4</v>
      </c>
      <c r="L162">
        <f t="shared" si="21"/>
        <v>1</v>
      </c>
      <c r="M162">
        <f t="shared" si="22"/>
        <v>1248</v>
      </c>
      <c r="N162">
        <f t="shared" si="23"/>
        <v>1123.2</v>
      </c>
      <c r="P162" s="22" t="s">
        <v>20</v>
      </c>
      <c r="Q162" s="1">
        <v>720</v>
      </c>
    </row>
    <row r="163" spans="1:17" x14ac:dyDescent="0.25">
      <c r="A163" s="12">
        <v>162</v>
      </c>
      <c r="B163" s="13" t="s">
        <v>26</v>
      </c>
      <c r="C163" s="13" t="s">
        <v>130</v>
      </c>
      <c r="D163" s="14">
        <v>2</v>
      </c>
      <c r="E163" s="15">
        <v>45879</v>
      </c>
      <c r="F163" s="16">
        <v>45881</v>
      </c>
      <c r="G163">
        <f t="shared" si="16"/>
        <v>2</v>
      </c>
      <c r="H163">
        <f t="shared" si="17"/>
        <v>240</v>
      </c>
      <c r="I163">
        <f t="shared" si="18"/>
        <v>480</v>
      </c>
      <c r="J163">
        <f t="shared" si="19"/>
        <v>7</v>
      </c>
      <c r="K163">
        <f t="shared" si="20"/>
        <v>1</v>
      </c>
      <c r="L163">
        <f t="shared" si="21"/>
        <v>1</v>
      </c>
      <c r="M163">
        <f t="shared" si="22"/>
        <v>528</v>
      </c>
      <c r="N163">
        <f t="shared" si="23"/>
        <v>528</v>
      </c>
      <c r="P163" s="21" t="s">
        <v>90</v>
      </c>
      <c r="Q163" s="1">
        <v>720</v>
      </c>
    </row>
    <row r="164" spans="1:17" x14ac:dyDescent="0.25">
      <c r="A164" s="7">
        <v>163</v>
      </c>
      <c r="B164" s="8" t="s">
        <v>6</v>
      </c>
      <c r="C164" s="8" t="s">
        <v>156</v>
      </c>
      <c r="D164" s="9">
        <v>2</v>
      </c>
      <c r="E164" s="10">
        <v>45879</v>
      </c>
      <c r="F164" s="11">
        <v>45881</v>
      </c>
      <c r="G164">
        <f t="shared" si="16"/>
        <v>2</v>
      </c>
      <c r="H164">
        <f t="shared" si="17"/>
        <v>240</v>
      </c>
      <c r="I164">
        <f t="shared" si="18"/>
        <v>480</v>
      </c>
      <c r="J164">
        <f t="shared" si="19"/>
        <v>7</v>
      </c>
      <c r="K164">
        <f t="shared" si="20"/>
        <v>1</v>
      </c>
      <c r="L164">
        <f t="shared" si="21"/>
        <v>1</v>
      </c>
      <c r="M164">
        <f t="shared" si="22"/>
        <v>528</v>
      </c>
      <c r="N164">
        <f t="shared" si="23"/>
        <v>528</v>
      </c>
      <c r="P164" s="22" t="s">
        <v>12</v>
      </c>
      <c r="Q164" s="1">
        <v>720</v>
      </c>
    </row>
    <row r="165" spans="1:17" x14ac:dyDescent="0.25">
      <c r="A165" s="12">
        <v>164</v>
      </c>
      <c r="B165" s="13" t="s">
        <v>54</v>
      </c>
      <c r="C165" s="13" t="s">
        <v>117</v>
      </c>
      <c r="D165" s="14">
        <v>1</v>
      </c>
      <c r="E165" s="15">
        <v>45883</v>
      </c>
      <c r="F165" s="16">
        <v>45886</v>
      </c>
      <c r="G165">
        <f t="shared" si="16"/>
        <v>3</v>
      </c>
      <c r="H165">
        <f t="shared" si="17"/>
        <v>140</v>
      </c>
      <c r="I165">
        <f t="shared" si="18"/>
        <v>420</v>
      </c>
      <c r="J165">
        <f t="shared" si="19"/>
        <v>4</v>
      </c>
      <c r="K165">
        <f t="shared" si="20"/>
        <v>2</v>
      </c>
      <c r="L165">
        <f t="shared" si="21"/>
        <v>1</v>
      </c>
      <c r="M165">
        <f t="shared" si="22"/>
        <v>448</v>
      </c>
      <c r="N165">
        <f t="shared" si="23"/>
        <v>448</v>
      </c>
      <c r="P165" s="21" t="s">
        <v>157</v>
      </c>
      <c r="Q165" s="1">
        <v>720</v>
      </c>
    </row>
    <row r="166" spans="1:17" x14ac:dyDescent="0.25">
      <c r="A166" s="7">
        <v>165</v>
      </c>
      <c r="B166" s="8" t="s">
        <v>45</v>
      </c>
      <c r="C166" s="8" t="s">
        <v>171</v>
      </c>
      <c r="D166" s="9">
        <v>1</v>
      </c>
      <c r="E166" s="10">
        <v>45883</v>
      </c>
      <c r="F166" s="11">
        <v>45886</v>
      </c>
      <c r="G166">
        <f t="shared" si="16"/>
        <v>3</v>
      </c>
      <c r="H166">
        <f t="shared" si="17"/>
        <v>140</v>
      </c>
      <c r="I166">
        <f t="shared" si="18"/>
        <v>420</v>
      </c>
      <c r="J166">
        <f t="shared" si="19"/>
        <v>4</v>
      </c>
      <c r="K166">
        <f t="shared" si="20"/>
        <v>2</v>
      </c>
      <c r="L166">
        <f t="shared" si="21"/>
        <v>1</v>
      </c>
      <c r="M166">
        <f t="shared" si="22"/>
        <v>448</v>
      </c>
      <c r="N166">
        <f t="shared" si="23"/>
        <v>448</v>
      </c>
      <c r="P166" s="22" t="s">
        <v>8</v>
      </c>
      <c r="Q166" s="1">
        <v>720</v>
      </c>
    </row>
    <row r="167" spans="1:17" x14ac:dyDescent="0.25">
      <c r="A167" s="12">
        <v>166</v>
      </c>
      <c r="B167" s="13" t="s">
        <v>23</v>
      </c>
      <c r="C167" s="13" t="s">
        <v>159</v>
      </c>
      <c r="D167" s="14">
        <v>1</v>
      </c>
      <c r="E167" s="15">
        <v>45883</v>
      </c>
      <c r="F167" s="16">
        <v>45886</v>
      </c>
      <c r="G167">
        <f t="shared" si="16"/>
        <v>3</v>
      </c>
      <c r="H167">
        <f t="shared" si="17"/>
        <v>140</v>
      </c>
      <c r="I167">
        <f t="shared" si="18"/>
        <v>420</v>
      </c>
      <c r="J167">
        <f t="shared" si="19"/>
        <v>4</v>
      </c>
      <c r="K167">
        <f t="shared" si="20"/>
        <v>2</v>
      </c>
      <c r="L167">
        <f t="shared" si="21"/>
        <v>1</v>
      </c>
      <c r="M167">
        <f t="shared" si="22"/>
        <v>448</v>
      </c>
      <c r="N167">
        <f t="shared" si="23"/>
        <v>448</v>
      </c>
      <c r="P167" s="21" t="s">
        <v>155</v>
      </c>
      <c r="Q167" s="1">
        <v>720</v>
      </c>
    </row>
    <row r="168" spans="1:17" x14ac:dyDescent="0.25">
      <c r="A168" s="7">
        <v>167</v>
      </c>
      <c r="B168" s="8" t="s">
        <v>84</v>
      </c>
      <c r="C168" s="8" t="s">
        <v>169</v>
      </c>
      <c r="D168" s="9">
        <v>1</v>
      </c>
      <c r="E168" s="10">
        <v>45883</v>
      </c>
      <c r="F168" s="11">
        <v>45886</v>
      </c>
      <c r="G168">
        <f t="shared" si="16"/>
        <v>3</v>
      </c>
      <c r="H168">
        <f t="shared" si="17"/>
        <v>140</v>
      </c>
      <c r="I168">
        <f t="shared" si="18"/>
        <v>420</v>
      </c>
      <c r="J168">
        <f t="shared" si="19"/>
        <v>4</v>
      </c>
      <c r="K168">
        <f t="shared" si="20"/>
        <v>2</v>
      </c>
      <c r="L168">
        <f t="shared" si="21"/>
        <v>1</v>
      </c>
      <c r="M168">
        <f t="shared" si="22"/>
        <v>448</v>
      </c>
      <c r="N168">
        <f t="shared" si="23"/>
        <v>448</v>
      </c>
      <c r="P168" s="22" t="s">
        <v>6</v>
      </c>
      <c r="Q168" s="1">
        <v>720</v>
      </c>
    </row>
    <row r="169" spans="1:17" x14ac:dyDescent="0.25">
      <c r="A169" s="12">
        <v>168</v>
      </c>
      <c r="B169" s="13" t="s">
        <v>14</v>
      </c>
      <c r="C169" s="13" t="s">
        <v>116</v>
      </c>
      <c r="D169" s="14">
        <v>3</v>
      </c>
      <c r="E169" s="15">
        <v>45883</v>
      </c>
      <c r="F169" s="16">
        <v>45886</v>
      </c>
      <c r="G169">
        <f t="shared" si="16"/>
        <v>3</v>
      </c>
      <c r="H169">
        <f t="shared" si="17"/>
        <v>320</v>
      </c>
      <c r="I169">
        <f t="shared" si="18"/>
        <v>960</v>
      </c>
      <c r="J169">
        <f t="shared" si="19"/>
        <v>4</v>
      </c>
      <c r="K169">
        <f t="shared" si="20"/>
        <v>2</v>
      </c>
      <c r="L169">
        <f t="shared" si="21"/>
        <v>1</v>
      </c>
      <c r="M169">
        <f t="shared" si="22"/>
        <v>1024</v>
      </c>
      <c r="N169">
        <f t="shared" si="23"/>
        <v>1024</v>
      </c>
      <c r="P169" s="21" t="s">
        <v>28</v>
      </c>
      <c r="Q169" s="1">
        <v>720</v>
      </c>
    </row>
    <row r="170" spans="1:17" x14ac:dyDescent="0.25">
      <c r="A170" s="7">
        <v>169</v>
      </c>
      <c r="B170" s="8" t="s">
        <v>18</v>
      </c>
      <c r="C170" s="8" t="s">
        <v>163</v>
      </c>
      <c r="D170" s="9">
        <v>2</v>
      </c>
      <c r="E170" s="10">
        <v>45853</v>
      </c>
      <c r="F170" s="11">
        <v>45856</v>
      </c>
      <c r="G170">
        <f t="shared" si="16"/>
        <v>3</v>
      </c>
      <c r="H170">
        <f t="shared" si="17"/>
        <v>240</v>
      </c>
      <c r="I170">
        <f t="shared" si="18"/>
        <v>720</v>
      </c>
      <c r="J170">
        <f t="shared" si="19"/>
        <v>2</v>
      </c>
      <c r="K170">
        <f t="shared" si="20"/>
        <v>3</v>
      </c>
      <c r="L170">
        <f t="shared" si="21"/>
        <v>0</v>
      </c>
      <c r="M170">
        <f t="shared" si="22"/>
        <v>720</v>
      </c>
      <c r="N170">
        <f t="shared" si="23"/>
        <v>720</v>
      </c>
      <c r="P170" s="22" t="s">
        <v>23</v>
      </c>
      <c r="Q170" s="1">
        <v>720</v>
      </c>
    </row>
    <row r="171" spans="1:17" x14ac:dyDescent="0.25">
      <c r="A171" s="12">
        <v>170</v>
      </c>
      <c r="B171" s="13" t="s">
        <v>14</v>
      </c>
      <c r="C171" s="13" t="s">
        <v>105</v>
      </c>
      <c r="D171" s="14">
        <v>1</v>
      </c>
      <c r="E171" s="15">
        <v>45839</v>
      </c>
      <c r="F171" s="16">
        <v>45841</v>
      </c>
      <c r="G171">
        <f t="shared" si="16"/>
        <v>2</v>
      </c>
      <c r="H171">
        <f t="shared" si="17"/>
        <v>140</v>
      </c>
      <c r="I171">
        <f t="shared" si="18"/>
        <v>280</v>
      </c>
      <c r="J171">
        <f t="shared" si="19"/>
        <v>2</v>
      </c>
      <c r="K171">
        <f t="shared" si="20"/>
        <v>2</v>
      </c>
      <c r="L171">
        <f t="shared" si="21"/>
        <v>0</v>
      </c>
      <c r="M171">
        <f t="shared" si="22"/>
        <v>280</v>
      </c>
      <c r="N171">
        <f t="shared" si="23"/>
        <v>280</v>
      </c>
      <c r="P171" s="21" t="s">
        <v>168</v>
      </c>
      <c r="Q171" s="1">
        <v>720</v>
      </c>
    </row>
    <row r="172" spans="1:17" x14ac:dyDescent="0.25">
      <c r="A172" s="7">
        <v>171</v>
      </c>
      <c r="B172" s="8" t="s">
        <v>43</v>
      </c>
      <c r="C172" s="8" t="s">
        <v>141</v>
      </c>
      <c r="D172" s="9">
        <v>2</v>
      </c>
      <c r="E172" s="10">
        <v>45809</v>
      </c>
      <c r="F172" s="11">
        <v>45812</v>
      </c>
      <c r="G172">
        <f t="shared" si="16"/>
        <v>3</v>
      </c>
      <c r="H172">
        <f t="shared" si="17"/>
        <v>240</v>
      </c>
      <c r="I172">
        <f t="shared" si="18"/>
        <v>720</v>
      </c>
      <c r="J172">
        <f t="shared" si="19"/>
        <v>7</v>
      </c>
      <c r="K172">
        <f t="shared" si="20"/>
        <v>2</v>
      </c>
      <c r="L172">
        <f t="shared" si="21"/>
        <v>1</v>
      </c>
      <c r="M172">
        <f t="shared" si="22"/>
        <v>768</v>
      </c>
      <c r="N172">
        <f t="shared" si="23"/>
        <v>768</v>
      </c>
      <c r="P172" s="22" t="s">
        <v>43</v>
      </c>
      <c r="Q172" s="1">
        <v>720</v>
      </c>
    </row>
    <row r="173" spans="1:17" x14ac:dyDescent="0.25">
      <c r="A173" s="12">
        <v>172</v>
      </c>
      <c r="B173" s="13" t="s">
        <v>84</v>
      </c>
      <c r="C173" s="13" t="s">
        <v>169</v>
      </c>
      <c r="D173" s="14">
        <v>3</v>
      </c>
      <c r="E173" s="15">
        <v>45883</v>
      </c>
      <c r="F173" s="16">
        <v>45886</v>
      </c>
      <c r="G173">
        <f t="shared" si="16"/>
        <v>3</v>
      </c>
      <c r="H173">
        <f t="shared" si="17"/>
        <v>320</v>
      </c>
      <c r="I173">
        <f t="shared" si="18"/>
        <v>960</v>
      </c>
      <c r="J173">
        <f t="shared" si="19"/>
        <v>4</v>
      </c>
      <c r="K173">
        <f t="shared" si="20"/>
        <v>2</v>
      </c>
      <c r="L173">
        <f t="shared" si="21"/>
        <v>1</v>
      </c>
      <c r="M173">
        <f t="shared" si="22"/>
        <v>1024</v>
      </c>
      <c r="N173">
        <f t="shared" si="23"/>
        <v>1024</v>
      </c>
      <c r="P173" s="21" t="s">
        <v>44</v>
      </c>
      <c r="Q173" s="1">
        <v>720</v>
      </c>
    </row>
    <row r="174" spans="1:17" x14ac:dyDescent="0.25">
      <c r="A174" s="7">
        <v>173</v>
      </c>
      <c r="B174" s="8" t="s">
        <v>45</v>
      </c>
      <c r="C174" s="8" t="s">
        <v>171</v>
      </c>
      <c r="D174" s="9">
        <v>3</v>
      </c>
      <c r="E174" s="10">
        <v>45883</v>
      </c>
      <c r="F174" s="11">
        <v>45886</v>
      </c>
      <c r="G174">
        <f t="shared" si="16"/>
        <v>3</v>
      </c>
      <c r="H174">
        <f t="shared" si="17"/>
        <v>320</v>
      </c>
      <c r="I174">
        <f t="shared" si="18"/>
        <v>960</v>
      </c>
      <c r="J174">
        <f t="shared" si="19"/>
        <v>4</v>
      </c>
      <c r="K174">
        <f t="shared" si="20"/>
        <v>2</v>
      </c>
      <c r="L174">
        <f t="shared" si="21"/>
        <v>1</v>
      </c>
      <c r="M174">
        <f t="shared" si="22"/>
        <v>1024</v>
      </c>
      <c r="N174">
        <f t="shared" si="23"/>
        <v>1024</v>
      </c>
      <c r="P174" s="22" t="s">
        <v>43</v>
      </c>
      <c r="Q174" s="1">
        <v>720</v>
      </c>
    </row>
    <row r="175" spans="1:17" x14ac:dyDescent="0.25">
      <c r="A175" s="12">
        <v>174</v>
      </c>
      <c r="B175" s="13" t="s">
        <v>34</v>
      </c>
      <c r="C175" s="13" t="s">
        <v>134</v>
      </c>
      <c r="D175" s="14">
        <v>3</v>
      </c>
      <c r="E175" s="15">
        <v>45883</v>
      </c>
      <c r="F175" s="16">
        <v>45886</v>
      </c>
      <c r="G175">
        <f t="shared" si="16"/>
        <v>3</v>
      </c>
      <c r="H175">
        <f t="shared" si="17"/>
        <v>320</v>
      </c>
      <c r="I175">
        <f t="shared" si="18"/>
        <v>960</v>
      </c>
      <c r="J175">
        <f t="shared" si="19"/>
        <v>4</v>
      </c>
      <c r="K175">
        <f t="shared" si="20"/>
        <v>2</v>
      </c>
      <c r="L175">
        <f t="shared" si="21"/>
        <v>1</v>
      </c>
      <c r="M175">
        <f t="shared" si="22"/>
        <v>1024</v>
      </c>
      <c r="N175">
        <f t="shared" si="23"/>
        <v>1024</v>
      </c>
      <c r="P175" s="21" t="s">
        <v>75</v>
      </c>
      <c r="Q175" s="1">
        <v>720</v>
      </c>
    </row>
    <row r="176" spans="1:17" x14ac:dyDescent="0.25">
      <c r="A176" s="7">
        <v>175</v>
      </c>
      <c r="B176" s="8" t="s">
        <v>6</v>
      </c>
      <c r="C176" s="8" t="s">
        <v>156</v>
      </c>
      <c r="D176" s="9">
        <v>4</v>
      </c>
      <c r="E176" s="10">
        <v>45883</v>
      </c>
      <c r="F176" s="11">
        <v>45886</v>
      </c>
      <c r="G176">
        <f t="shared" si="16"/>
        <v>3</v>
      </c>
      <c r="H176">
        <f t="shared" si="17"/>
        <v>400</v>
      </c>
      <c r="I176">
        <f t="shared" si="18"/>
        <v>1200</v>
      </c>
      <c r="J176">
        <f t="shared" si="19"/>
        <v>4</v>
      </c>
      <c r="K176">
        <f t="shared" si="20"/>
        <v>2</v>
      </c>
      <c r="L176">
        <f t="shared" si="21"/>
        <v>1</v>
      </c>
      <c r="M176">
        <f t="shared" si="22"/>
        <v>1280</v>
      </c>
      <c r="N176">
        <f t="shared" si="23"/>
        <v>1280</v>
      </c>
      <c r="P176" s="22" t="s">
        <v>51</v>
      </c>
      <c r="Q176" s="1">
        <v>720</v>
      </c>
    </row>
    <row r="177" spans="1:19" x14ac:dyDescent="0.25">
      <c r="A177" s="12">
        <v>176</v>
      </c>
      <c r="B177" s="13" t="s">
        <v>54</v>
      </c>
      <c r="C177" s="13" t="s">
        <v>117</v>
      </c>
      <c r="D177" s="14">
        <v>4</v>
      </c>
      <c r="E177" s="15">
        <v>45809</v>
      </c>
      <c r="F177" s="16">
        <v>45812</v>
      </c>
      <c r="G177">
        <f t="shared" si="16"/>
        <v>3</v>
      </c>
      <c r="H177">
        <f t="shared" si="17"/>
        <v>400</v>
      </c>
      <c r="I177">
        <f t="shared" si="18"/>
        <v>1200</v>
      </c>
      <c r="J177">
        <f t="shared" si="19"/>
        <v>7</v>
      </c>
      <c r="K177">
        <f t="shared" si="20"/>
        <v>2</v>
      </c>
      <c r="L177">
        <f t="shared" si="21"/>
        <v>1</v>
      </c>
      <c r="M177">
        <f t="shared" si="22"/>
        <v>1280</v>
      </c>
      <c r="N177">
        <f t="shared" si="23"/>
        <v>1280</v>
      </c>
      <c r="P177" s="21" t="s">
        <v>170</v>
      </c>
      <c r="Q177" s="1">
        <v>720</v>
      </c>
    </row>
    <row r="178" spans="1:19" x14ac:dyDescent="0.25">
      <c r="A178" s="7">
        <v>177</v>
      </c>
      <c r="B178" s="8" t="s">
        <v>110</v>
      </c>
      <c r="C178" s="8" t="s">
        <v>172</v>
      </c>
      <c r="D178" s="9">
        <v>3</v>
      </c>
      <c r="E178" s="10">
        <v>45839</v>
      </c>
      <c r="F178" s="11">
        <v>45852</v>
      </c>
      <c r="G178">
        <f t="shared" si="16"/>
        <v>13</v>
      </c>
      <c r="H178">
        <f t="shared" si="17"/>
        <v>320</v>
      </c>
      <c r="I178">
        <f t="shared" si="18"/>
        <v>4160</v>
      </c>
      <c r="J178">
        <f t="shared" si="19"/>
        <v>2</v>
      </c>
      <c r="K178">
        <f t="shared" si="20"/>
        <v>9</v>
      </c>
      <c r="L178">
        <f t="shared" si="21"/>
        <v>4</v>
      </c>
      <c r="M178">
        <f t="shared" si="22"/>
        <v>4416</v>
      </c>
      <c r="N178">
        <f t="shared" si="23"/>
        <v>3974.4</v>
      </c>
      <c r="P178" s="22" t="s">
        <v>8</v>
      </c>
      <c r="Q178" s="1">
        <v>720</v>
      </c>
    </row>
    <row r="179" spans="1:19" x14ac:dyDescent="0.25">
      <c r="A179" s="12">
        <v>178</v>
      </c>
      <c r="B179" s="13" t="s">
        <v>38</v>
      </c>
      <c r="C179" s="13" t="s">
        <v>161</v>
      </c>
      <c r="D179" s="14">
        <v>4</v>
      </c>
      <c r="E179" s="15">
        <v>45883</v>
      </c>
      <c r="F179" s="16">
        <v>45886</v>
      </c>
      <c r="G179">
        <f t="shared" si="16"/>
        <v>3</v>
      </c>
      <c r="H179">
        <f t="shared" si="17"/>
        <v>400</v>
      </c>
      <c r="I179">
        <f t="shared" si="18"/>
        <v>1200</v>
      </c>
      <c r="J179">
        <f t="shared" si="19"/>
        <v>4</v>
      </c>
      <c r="K179">
        <f t="shared" si="20"/>
        <v>2</v>
      </c>
      <c r="L179">
        <f t="shared" si="21"/>
        <v>1</v>
      </c>
      <c r="M179">
        <f t="shared" si="22"/>
        <v>1280</v>
      </c>
      <c r="N179">
        <f t="shared" si="23"/>
        <v>1280</v>
      </c>
      <c r="P179" s="21" t="s">
        <v>11</v>
      </c>
      <c r="Q179" s="1">
        <v>720</v>
      </c>
    </row>
    <row r="180" spans="1:19" x14ac:dyDescent="0.25">
      <c r="A180" s="7">
        <v>179</v>
      </c>
      <c r="B180" s="8" t="s">
        <v>23</v>
      </c>
      <c r="C180" s="8" t="s">
        <v>159</v>
      </c>
      <c r="D180" s="9">
        <v>2</v>
      </c>
      <c r="E180" s="10">
        <v>45883</v>
      </c>
      <c r="F180" s="11">
        <v>45886</v>
      </c>
      <c r="G180">
        <f t="shared" si="16"/>
        <v>3</v>
      </c>
      <c r="H180">
        <f t="shared" si="17"/>
        <v>240</v>
      </c>
      <c r="I180">
        <f t="shared" si="18"/>
        <v>720</v>
      </c>
      <c r="J180">
        <f t="shared" si="19"/>
        <v>4</v>
      </c>
      <c r="K180">
        <f t="shared" si="20"/>
        <v>2</v>
      </c>
      <c r="L180">
        <f t="shared" si="21"/>
        <v>1</v>
      </c>
      <c r="M180">
        <f t="shared" si="22"/>
        <v>768</v>
      </c>
      <c r="N180">
        <f t="shared" si="23"/>
        <v>768</v>
      </c>
      <c r="P180" s="22" t="s">
        <v>10</v>
      </c>
      <c r="Q180" s="1">
        <v>720</v>
      </c>
    </row>
    <row r="181" spans="1:19" x14ac:dyDescent="0.25">
      <c r="A181" s="12">
        <v>180</v>
      </c>
      <c r="B181" s="13" t="s">
        <v>34</v>
      </c>
      <c r="C181" s="13" t="s">
        <v>134</v>
      </c>
      <c r="D181" s="14">
        <v>4</v>
      </c>
      <c r="E181" s="15">
        <v>45809</v>
      </c>
      <c r="F181" s="16">
        <v>45812</v>
      </c>
      <c r="G181">
        <f t="shared" si="16"/>
        <v>3</v>
      </c>
      <c r="H181">
        <f t="shared" si="17"/>
        <v>400</v>
      </c>
      <c r="I181">
        <f t="shared" si="18"/>
        <v>1200</v>
      </c>
      <c r="J181">
        <f t="shared" si="19"/>
        <v>7</v>
      </c>
      <c r="K181">
        <f t="shared" si="20"/>
        <v>2</v>
      </c>
      <c r="L181">
        <f t="shared" si="21"/>
        <v>1</v>
      </c>
      <c r="M181">
        <f t="shared" si="22"/>
        <v>1280</v>
      </c>
      <c r="N181">
        <f t="shared" si="23"/>
        <v>1280</v>
      </c>
      <c r="P181" s="21" t="s">
        <v>158</v>
      </c>
      <c r="Q181" s="1">
        <v>720</v>
      </c>
    </row>
    <row r="182" spans="1:19" x14ac:dyDescent="0.25">
      <c r="A182" s="7">
        <v>181</v>
      </c>
      <c r="B182" s="8" t="s">
        <v>45</v>
      </c>
      <c r="C182" s="8" t="s">
        <v>171</v>
      </c>
      <c r="D182" s="9">
        <v>1</v>
      </c>
      <c r="E182" s="10">
        <v>45809</v>
      </c>
      <c r="F182" s="11">
        <v>45812</v>
      </c>
      <c r="G182">
        <f t="shared" si="16"/>
        <v>3</v>
      </c>
      <c r="H182">
        <f t="shared" si="17"/>
        <v>140</v>
      </c>
      <c r="I182">
        <f t="shared" si="18"/>
        <v>420</v>
      </c>
      <c r="J182">
        <f t="shared" si="19"/>
        <v>7</v>
      </c>
      <c r="K182">
        <f t="shared" si="20"/>
        <v>2</v>
      </c>
      <c r="L182">
        <f t="shared" si="21"/>
        <v>1</v>
      </c>
      <c r="M182">
        <f t="shared" si="22"/>
        <v>448</v>
      </c>
      <c r="N182">
        <f t="shared" si="23"/>
        <v>448</v>
      </c>
      <c r="P182" s="22" t="s">
        <v>49</v>
      </c>
      <c r="Q182" s="1">
        <v>720</v>
      </c>
    </row>
    <row r="183" spans="1:19" x14ac:dyDescent="0.25">
      <c r="A183" s="12">
        <v>182</v>
      </c>
      <c r="B183" s="13" t="s">
        <v>165</v>
      </c>
      <c r="C183" s="13" t="s">
        <v>166</v>
      </c>
      <c r="D183" s="14">
        <v>2</v>
      </c>
      <c r="E183" s="15">
        <v>45883</v>
      </c>
      <c r="F183" s="16">
        <v>45886</v>
      </c>
      <c r="G183">
        <f t="shared" si="16"/>
        <v>3</v>
      </c>
      <c r="H183">
        <f t="shared" si="17"/>
        <v>240</v>
      </c>
      <c r="I183">
        <f t="shared" si="18"/>
        <v>720</v>
      </c>
      <c r="J183">
        <f t="shared" si="19"/>
        <v>4</v>
      </c>
      <c r="K183">
        <f t="shared" si="20"/>
        <v>2</v>
      </c>
      <c r="L183">
        <f t="shared" si="21"/>
        <v>1</v>
      </c>
      <c r="M183">
        <f t="shared" si="22"/>
        <v>768</v>
      </c>
      <c r="N183">
        <f t="shared" si="23"/>
        <v>768</v>
      </c>
      <c r="P183" s="21" t="s">
        <v>123</v>
      </c>
      <c r="Q183" s="1">
        <v>640</v>
      </c>
    </row>
    <row r="184" spans="1:19" x14ac:dyDescent="0.25">
      <c r="A184" s="7">
        <v>183</v>
      </c>
      <c r="B184" s="8" t="s">
        <v>20</v>
      </c>
      <c r="C184" s="8" t="s">
        <v>173</v>
      </c>
      <c r="D184" s="9">
        <v>2</v>
      </c>
      <c r="E184" s="10">
        <v>45883</v>
      </c>
      <c r="F184" s="11">
        <v>45886</v>
      </c>
      <c r="G184">
        <f t="shared" si="16"/>
        <v>3</v>
      </c>
      <c r="H184">
        <f t="shared" si="17"/>
        <v>240</v>
      </c>
      <c r="I184">
        <f t="shared" si="18"/>
        <v>720</v>
      </c>
      <c r="J184">
        <f t="shared" si="19"/>
        <v>4</v>
      </c>
      <c r="K184">
        <f t="shared" si="20"/>
        <v>2</v>
      </c>
      <c r="L184">
        <f t="shared" si="21"/>
        <v>1</v>
      </c>
      <c r="M184">
        <f t="shared" si="22"/>
        <v>768</v>
      </c>
      <c r="N184">
        <f t="shared" si="23"/>
        <v>768</v>
      </c>
      <c r="P184" s="22" t="s">
        <v>23</v>
      </c>
      <c r="Q184" s="1">
        <v>640</v>
      </c>
    </row>
    <row r="185" spans="1:19" x14ac:dyDescent="0.25">
      <c r="A185" s="12">
        <v>184</v>
      </c>
      <c r="B185" s="13" t="s">
        <v>6</v>
      </c>
      <c r="C185" s="13" t="s">
        <v>7</v>
      </c>
      <c r="D185" s="14">
        <v>2</v>
      </c>
      <c r="E185" s="15">
        <v>45883</v>
      </c>
      <c r="F185" s="16">
        <v>45886</v>
      </c>
      <c r="G185">
        <f t="shared" si="16"/>
        <v>3</v>
      </c>
      <c r="H185">
        <f t="shared" si="17"/>
        <v>240</v>
      </c>
      <c r="I185">
        <f t="shared" si="18"/>
        <v>720</v>
      </c>
      <c r="J185">
        <f t="shared" si="19"/>
        <v>4</v>
      </c>
      <c r="K185">
        <f t="shared" si="20"/>
        <v>2</v>
      </c>
      <c r="L185">
        <f t="shared" si="21"/>
        <v>1</v>
      </c>
      <c r="M185">
        <f t="shared" si="22"/>
        <v>768</v>
      </c>
      <c r="N185">
        <f t="shared" si="23"/>
        <v>768</v>
      </c>
      <c r="P185" s="21" t="s">
        <v>125</v>
      </c>
      <c r="Q185" s="1">
        <v>640</v>
      </c>
    </row>
    <row r="186" spans="1:19" x14ac:dyDescent="0.25">
      <c r="A186" s="7">
        <v>185</v>
      </c>
      <c r="B186" s="8" t="s">
        <v>110</v>
      </c>
      <c r="C186" s="8" t="s">
        <v>172</v>
      </c>
      <c r="D186" s="9">
        <v>2</v>
      </c>
      <c r="E186" s="10">
        <v>45883</v>
      </c>
      <c r="F186" s="11">
        <v>45886</v>
      </c>
      <c r="G186">
        <f t="shared" si="16"/>
        <v>3</v>
      </c>
      <c r="H186">
        <f t="shared" si="17"/>
        <v>240</v>
      </c>
      <c r="I186">
        <f t="shared" si="18"/>
        <v>720</v>
      </c>
      <c r="J186">
        <f t="shared" si="19"/>
        <v>4</v>
      </c>
      <c r="K186">
        <f t="shared" si="20"/>
        <v>2</v>
      </c>
      <c r="L186">
        <f t="shared" si="21"/>
        <v>1</v>
      </c>
      <c r="M186">
        <f t="shared" si="22"/>
        <v>768</v>
      </c>
      <c r="N186">
        <f t="shared" si="23"/>
        <v>768</v>
      </c>
      <c r="P186" s="22" t="s">
        <v>34</v>
      </c>
      <c r="Q186" s="1">
        <v>640</v>
      </c>
      <c r="S186">
        <f>SUM($N$138,$N$178,$N$186)</f>
        <v>6150.4</v>
      </c>
    </row>
    <row r="187" spans="1:19" x14ac:dyDescent="0.25">
      <c r="A187" s="12">
        <v>186</v>
      </c>
      <c r="B187" s="13" t="s">
        <v>14</v>
      </c>
      <c r="C187" s="13" t="s">
        <v>116</v>
      </c>
      <c r="D187" s="14">
        <v>2</v>
      </c>
      <c r="E187" s="15">
        <v>45883</v>
      </c>
      <c r="F187" s="16">
        <v>45886</v>
      </c>
      <c r="G187">
        <f t="shared" si="16"/>
        <v>3</v>
      </c>
      <c r="H187">
        <f t="shared" si="17"/>
        <v>240</v>
      </c>
      <c r="I187">
        <f t="shared" si="18"/>
        <v>720</v>
      </c>
      <c r="J187">
        <f t="shared" si="19"/>
        <v>4</v>
      </c>
      <c r="K187">
        <f t="shared" si="20"/>
        <v>2</v>
      </c>
      <c r="L187">
        <f t="shared" si="21"/>
        <v>1</v>
      </c>
      <c r="M187">
        <f t="shared" si="22"/>
        <v>768</v>
      </c>
      <c r="N187">
        <f t="shared" si="23"/>
        <v>768</v>
      </c>
      <c r="P187" s="21" t="s">
        <v>122</v>
      </c>
      <c r="Q187" s="1">
        <v>640</v>
      </c>
    </row>
    <row r="188" spans="1:19" x14ac:dyDescent="0.25">
      <c r="A188" s="7">
        <v>187</v>
      </c>
      <c r="B188" s="8" t="s">
        <v>73</v>
      </c>
      <c r="C188" s="8" t="s">
        <v>129</v>
      </c>
      <c r="D188" s="9">
        <v>2</v>
      </c>
      <c r="E188" s="10">
        <v>45883</v>
      </c>
      <c r="F188" s="11">
        <v>45886</v>
      </c>
      <c r="G188">
        <f t="shared" si="16"/>
        <v>3</v>
      </c>
      <c r="H188">
        <f t="shared" si="17"/>
        <v>240</v>
      </c>
      <c r="I188">
        <f t="shared" si="18"/>
        <v>720</v>
      </c>
      <c r="J188">
        <f t="shared" si="19"/>
        <v>4</v>
      </c>
      <c r="K188">
        <f t="shared" si="20"/>
        <v>2</v>
      </c>
      <c r="L188">
        <f t="shared" si="21"/>
        <v>1</v>
      </c>
      <c r="M188">
        <f t="shared" si="22"/>
        <v>768</v>
      </c>
      <c r="N188">
        <f t="shared" si="23"/>
        <v>768</v>
      </c>
      <c r="P188" s="22" t="s">
        <v>18</v>
      </c>
      <c r="Q188" s="1">
        <v>640</v>
      </c>
    </row>
    <row r="189" spans="1:19" x14ac:dyDescent="0.25">
      <c r="A189" s="12">
        <v>188</v>
      </c>
      <c r="B189" s="13" t="s">
        <v>20</v>
      </c>
      <c r="C189" s="13" t="s">
        <v>173</v>
      </c>
      <c r="D189" s="14">
        <v>2</v>
      </c>
      <c r="E189" s="15">
        <v>45885</v>
      </c>
      <c r="F189" s="16">
        <v>45886</v>
      </c>
      <c r="G189">
        <f t="shared" si="16"/>
        <v>1</v>
      </c>
      <c r="H189">
        <f t="shared" si="17"/>
        <v>240</v>
      </c>
      <c r="I189">
        <f t="shared" si="18"/>
        <v>240</v>
      </c>
      <c r="J189">
        <f t="shared" si="19"/>
        <v>6</v>
      </c>
      <c r="K189">
        <f t="shared" si="20"/>
        <v>0</v>
      </c>
      <c r="L189">
        <f t="shared" si="21"/>
        <v>1</v>
      </c>
      <c r="M189">
        <f t="shared" si="22"/>
        <v>288</v>
      </c>
      <c r="N189">
        <f t="shared" si="23"/>
        <v>288</v>
      </c>
      <c r="P189" s="21" t="s">
        <v>111</v>
      </c>
      <c r="Q189" s="1">
        <v>560</v>
      </c>
    </row>
    <row r="190" spans="1:19" x14ac:dyDescent="0.25">
      <c r="A190" s="7">
        <v>189</v>
      </c>
      <c r="B190" s="8" t="s">
        <v>102</v>
      </c>
      <c r="C190" s="8" t="s">
        <v>174</v>
      </c>
      <c r="D190" s="9">
        <v>3</v>
      </c>
      <c r="E190" s="10">
        <v>45889</v>
      </c>
      <c r="F190" s="11">
        <v>45891</v>
      </c>
      <c r="G190">
        <f t="shared" si="16"/>
        <v>2</v>
      </c>
      <c r="H190">
        <f t="shared" si="17"/>
        <v>320</v>
      </c>
      <c r="I190">
        <f t="shared" si="18"/>
        <v>640</v>
      </c>
      <c r="J190">
        <f t="shared" si="19"/>
        <v>3</v>
      </c>
      <c r="K190">
        <f t="shared" si="20"/>
        <v>2</v>
      </c>
      <c r="L190">
        <f t="shared" si="21"/>
        <v>0</v>
      </c>
      <c r="M190">
        <f t="shared" si="22"/>
        <v>640</v>
      </c>
      <c r="N190">
        <f t="shared" si="23"/>
        <v>640</v>
      </c>
      <c r="P190" s="22" t="s">
        <v>110</v>
      </c>
      <c r="Q190" s="1">
        <v>560</v>
      </c>
    </row>
    <row r="191" spans="1:19" x14ac:dyDescent="0.25">
      <c r="A191" s="12">
        <v>190</v>
      </c>
      <c r="B191" s="13" t="s">
        <v>84</v>
      </c>
      <c r="C191" s="13" t="s">
        <v>92</v>
      </c>
      <c r="D191" s="14">
        <v>3</v>
      </c>
      <c r="E191" s="15">
        <v>45889</v>
      </c>
      <c r="F191" s="16">
        <v>45891</v>
      </c>
      <c r="G191">
        <f t="shared" si="16"/>
        <v>2</v>
      </c>
      <c r="H191">
        <f t="shared" si="17"/>
        <v>320</v>
      </c>
      <c r="I191">
        <f t="shared" si="18"/>
        <v>640</v>
      </c>
      <c r="J191">
        <f t="shared" si="19"/>
        <v>3</v>
      </c>
      <c r="K191">
        <f t="shared" si="20"/>
        <v>2</v>
      </c>
      <c r="L191">
        <f t="shared" si="21"/>
        <v>0</v>
      </c>
      <c r="M191">
        <f t="shared" si="22"/>
        <v>640</v>
      </c>
      <c r="N191">
        <f t="shared" si="23"/>
        <v>640</v>
      </c>
      <c r="P191" s="21" t="s">
        <v>142</v>
      </c>
      <c r="Q191" s="1">
        <v>560</v>
      </c>
    </row>
    <row r="192" spans="1:19" x14ac:dyDescent="0.25">
      <c r="A192" s="7">
        <v>191</v>
      </c>
      <c r="B192" s="8" t="s">
        <v>54</v>
      </c>
      <c r="C192" s="8" t="s">
        <v>117</v>
      </c>
      <c r="D192" s="9">
        <v>3</v>
      </c>
      <c r="E192" s="10">
        <v>45889</v>
      </c>
      <c r="F192" s="11">
        <v>45891</v>
      </c>
      <c r="G192">
        <f t="shared" si="16"/>
        <v>2</v>
      </c>
      <c r="H192">
        <f t="shared" si="17"/>
        <v>320</v>
      </c>
      <c r="I192">
        <f t="shared" si="18"/>
        <v>640</v>
      </c>
      <c r="J192">
        <f t="shared" si="19"/>
        <v>3</v>
      </c>
      <c r="K192">
        <f t="shared" si="20"/>
        <v>2</v>
      </c>
      <c r="L192">
        <f t="shared" si="21"/>
        <v>0</v>
      </c>
      <c r="M192">
        <f t="shared" si="22"/>
        <v>640</v>
      </c>
      <c r="N192">
        <f t="shared" si="23"/>
        <v>640</v>
      </c>
      <c r="P192" s="22" t="s">
        <v>65</v>
      </c>
      <c r="Q192" s="1">
        <v>560</v>
      </c>
    </row>
    <row r="193" spans="1:17" x14ac:dyDescent="0.25">
      <c r="A193" s="12">
        <v>192</v>
      </c>
      <c r="B193" s="13" t="s">
        <v>29</v>
      </c>
      <c r="C193" s="13" t="s">
        <v>177</v>
      </c>
      <c r="D193" s="14">
        <v>1</v>
      </c>
      <c r="E193" s="15">
        <v>45809</v>
      </c>
      <c r="F193" s="16">
        <v>45812</v>
      </c>
      <c r="G193">
        <f t="shared" si="16"/>
        <v>3</v>
      </c>
      <c r="H193">
        <f t="shared" si="17"/>
        <v>140</v>
      </c>
      <c r="I193">
        <f t="shared" si="18"/>
        <v>420</v>
      </c>
      <c r="J193">
        <f t="shared" si="19"/>
        <v>7</v>
      </c>
      <c r="K193">
        <f t="shared" si="20"/>
        <v>2</v>
      </c>
      <c r="L193">
        <f t="shared" si="21"/>
        <v>1</v>
      </c>
      <c r="M193">
        <f t="shared" si="22"/>
        <v>448</v>
      </c>
      <c r="N193">
        <f t="shared" si="23"/>
        <v>448</v>
      </c>
      <c r="P193" s="21" t="s">
        <v>185</v>
      </c>
      <c r="Q193" s="1">
        <v>560</v>
      </c>
    </row>
    <row r="194" spans="1:17" x14ac:dyDescent="0.25">
      <c r="A194" s="7">
        <v>193</v>
      </c>
      <c r="B194" s="8" t="s">
        <v>73</v>
      </c>
      <c r="C194" s="8" t="s">
        <v>129</v>
      </c>
      <c r="D194" s="9">
        <v>1</v>
      </c>
      <c r="E194" s="10">
        <v>45809</v>
      </c>
      <c r="F194" s="11">
        <v>45812</v>
      </c>
      <c r="G194">
        <f t="shared" si="16"/>
        <v>3</v>
      </c>
      <c r="H194">
        <f t="shared" si="17"/>
        <v>140</v>
      </c>
      <c r="I194">
        <f t="shared" si="18"/>
        <v>420</v>
      </c>
      <c r="J194">
        <f t="shared" si="19"/>
        <v>7</v>
      </c>
      <c r="K194">
        <f t="shared" si="20"/>
        <v>2</v>
      </c>
      <c r="L194">
        <f t="shared" si="21"/>
        <v>1</v>
      </c>
      <c r="M194">
        <f t="shared" si="22"/>
        <v>448</v>
      </c>
      <c r="N194">
        <f t="shared" si="23"/>
        <v>448</v>
      </c>
      <c r="P194" s="22" t="s">
        <v>51</v>
      </c>
      <c r="Q194" s="1">
        <v>560</v>
      </c>
    </row>
    <row r="195" spans="1:17" x14ac:dyDescent="0.25">
      <c r="A195" s="12">
        <v>194</v>
      </c>
      <c r="B195" s="13" t="s">
        <v>29</v>
      </c>
      <c r="C195" s="13" t="s">
        <v>124</v>
      </c>
      <c r="D195" s="14">
        <v>3</v>
      </c>
      <c r="E195" s="15">
        <v>45889</v>
      </c>
      <c r="F195" s="16">
        <v>45891</v>
      </c>
      <c r="G195">
        <f t="shared" ref="G195:G201" si="24">F195-E195</f>
        <v>2</v>
      </c>
      <c r="H195">
        <f t="shared" ref="H195:H201" si="25">VLOOKUP(D195,$P$2:$R$6,3,FALSE)</f>
        <v>320</v>
      </c>
      <c r="I195">
        <f t="shared" ref="I195:I201" si="26">H195*G195</f>
        <v>640</v>
      </c>
      <c r="J195">
        <f t="shared" ref="J195:J201" si="27">WEEKDAY(E195,2)</f>
        <v>3</v>
      </c>
      <c r="K195">
        <f t="shared" ref="K195:K201" si="28">NETWORKDAYS(E195,F195-1)</f>
        <v>2</v>
      </c>
      <c r="L195">
        <f t="shared" ref="L195:L258" si="29">G195-K195</f>
        <v>0</v>
      </c>
      <c r="M195">
        <f t="shared" ref="M195:M258" si="30">K195*H195+L195*H195*1.2</f>
        <v>640</v>
      </c>
      <c r="N195">
        <f t="shared" ref="N195:N258" si="31">IF(G195&gt;4,M195*0.9,M195)</f>
        <v>640</v>
      </c>
      <c r="P195" s="21" t="s">
        <v>31</v>
      </c>
      <c r="Q195" s="1">
        <v>560</v>
      </c>
    </row>
    <row r="196" spans="1:17" x14ac:dyDescent="0.25">
      <c r="A196" s="7">
        <v>195</v>
      </c>
      <c r="B196" s="8" t="s">
        <v>54</v>
      </c>
      <c r="C196" s="8" t="s">
        <v>117</v>
      </c>
      <c r="D196" s="9">
        <v>1</v>
      </c>
      <c r="E196" s="10">
        <v>45897</v>
      </c>
      <c r="F196" s="11">
        <v>45898</v>
      </c>
      <c r="G196">
        <f t="shared" si="24"/>
        <v>1</v>
      </c>
      <c r="H196">
        <f t="shared" si="25"/>
        <v>140</v>
      </c>
      <c r="I196">
        <f t="shared" si="26"/>
        <v>140</v>
      </c>
      <c r="J196">
        <f t="shared" si="27"/>
        <v>4</v>
      </c>
      <c r="K196">
        <f t="shared" si="28"/>
        <v>1</v>
      </c>
      <c r="L196">
        <f t="shared" si="29"/>
        <v>0</v>
      </c>
      <c r="M196">
        <f t="shared" si="30"/>
        <v>140</v>
      </c>
      <c r="N196">
        <f t="shared" si="31"/>
        <v>140</v>
      </c>
      <c r="P196" s="22" t="s">
        <v>6</v>
      </c>
      <c r="Q196" s="1">
        <v>560</v>
      </c>
    </row>
    <row r="197" spans="1:17" x14ac:dyDescent="0.25">
      <c r="A197" s="12">
        <v>196</v>
      </c>
      <c r="B197" s="13" t="s">
        <v>84</v>
      </c>
      <c r="C197" s="13" t="s">
        <v>169</v>
      </c>
      <c r="D197" s="14">
        <v>1</v>
      </c>
      <c r="E197" s="15">
        <v>45897</v>
      </c>
      <c r="F197" s="16">
        <v>45898</v>
      </c>
      <c r="G197">
        <f t="shared" si="24"/>
        <v>1</v>
      </c>
      <c r="H197">
        <f t="shared" si="25"/>
        <v>140</v>
      </c>
      <c r="I197">
        <f t="shared" si="26"/>
        <v>140</v>
      </c>
      <c r="J197">
        <f t="shared" si="27"/>
        <v>4</v>
      </c>
      <c r="K197">
        <f t="shared" si="28"/>
        <v>1</v>
      </c>
      <c r="L197">
        <f t="shared" si="29"/>
        <v>0</v>
      </c>
      <c r="M197">
        <f t="shared" si="30"/>
        <v>140</v>
      </c>
      <c r="N197">
        <f t="shared" si="31"/>
        <v>140</v>
      </c>
      <c r="P197" s="21" t="s">
        <v>112</v>
      </c>
      <c r="Q197" s="1">
        <v>560</v>
      </c>
    </row>
    <row r="198" spans="1:17" x14ac:dyDescent="0.25">
      <c r="A198" s="7">
        <v>197</v>
      </c>
      <c r="B198" s="8" t="s">
        <v>16</v>
      </c>
      <c r="C198" s="8" t="s">
        <v>17</v>
      </c>
      <c r="D198" s="9">
        <v>1</v>
      </c>
      <c r="E198" s="10">
        <v>45897</v>
      </c>
      <c r="F198" s="11">
        <v>45898</v>
      </c>
      <c r="G198">
        <f t="shared" si="24"/>
        <v>1</v>
      </c>
      <c r="H198">
        <f t="shared" si="25"/>
        <v>140</v>
      </c>
      <c r="I198">
        <f t="shared" si="26"/>
        <v>140</v>
      </c>
      <c r="J198">
        <f t="shared" si="27"/>
        <v>4</v>
      </c>
      <c r="K198">
        <f t="shared" si="28"/>
        <v>1</v>
      </c>
      <c r="L198">
        <f t="shared" si="29"/>
        <v>0</v>
      </c>
      <c r="M198">
        <f t="shared" si="30"/>
        <v>140</v>
      </c>
      <c r="N198">
        <f t="shared" si="31"/>
        <v>140</v>
      </c>
      <c r="P198" s="22" t="s">
        <v>20</v>
      </c>
      <c r="Q198" s="1">
        <v>560</v>
      </c>
    </row>
    <row r="199" spans="1:17" x14ac:dyDescent="0.25">
      <c r="A199" s="12">
        <v>198</v>
      </c>
      <c r="B199" s="13" t="s">
        <v>84</v>
      </c>
      <c r="C199" s="13" t="s">
        <v>149</v>
      </c>
      <c r="D199" s="14">
        <v>2</v>
      </c>
      <c r="E199" s="15">
        <v>45839</v>
      </c>
      <c r="F199" s="16">
        <v>45852</v>
      </c>
      <c r="G199">
        <f t="shared" si="24"/>
        <v>13</v>
      </c>
      <c r="H199">
        <f t="shared" si="25"/>
        <v>240</v>
      </c>
      <c r="I199">
        <f t="shared" si="26"/>
        <v>3120</v>
      </c>
      <c r="J199">
        <f t="shared" si="27"/>
        <v>2</v>
      </c>
      <c r="K199">
        <f t="shared" si="28"/>
        <v>9</v>
      </c>
      <c r="L199">
        <f t="shared" si="29"/>
        <v>4</v>
      </c>
      <c r="M199">
        <f t="shared" si="30"/>
        <v>3312</v>
      </c>
      <c r="N199">
        <f t="shared" si="31"/>
        <v>2980.8</v>
      </c>
      <c r="P199" s="21" t="s">
        <v>113</v>
      </c>
      <c r="Q199" s="1">
        <v>560</v>
      </c>
    </row>
    <row r="200" spans="1:17" x14ac:dyDescent="0.25">
      <c r="A200" s="7">
        <v>199</v>
      </c>
      <c r="B200" s="8" t="s">
        <v>34</v>
      </c>
      <c r="C200" s="8" t="s">
        <v>134</v>
      </c>
      <c r="D200" s="9">
        <v>3</v>
      </c>
      <c r="E200" s="10">
        <v>45809</v>
      </c>
      <c r="F200" s="11">
        <v>45812</v>
      </c>
      <c r="G200">
        <f t="shared" si="24"/>
        <v>3</v>
      </c>
      <c r="H200">
        <f t="shared" si="25"/>
        <v>320</v>
      </c>
      <c r="I200">
        <f t="shared" si="26"/>
        <v>960</v>
      </c>
      <c r="J200">
        <f t="shared" si="27"/>
        <v>7</v>
      </c>
      <c r="K200">
        <f t="shared" si="28"/>
        <v>2</v>
      </c>
      <c r="L200">
        <f t="shared" si="29"/>
        <v>1</v>
      </c>
      <c r="M200">
        <f t="shared" si="30"/>
        <v>1024</v>
      </c>
      <c r="N200">
        <f t="shared" si="31"/>
        <v>1024</v>
      </c>
      <c r="P200" s="22" t="s">
        <v>102</v>
      </c>
      <c r="Q200" s="1">
        <v>560</v>
      </c>
    </row>
    <row r="201" spans="1:17" x14ac:dyDescent="0.25">
      <c r="A201" s="2">
        <v>200</v>
      </c>
      <c r="B201" s="17" t="s">
        <v>54</v>
      </c>
      <c r="C201" s="17" t="s">
        <v>117</v>
      </c>
      <c r="D201" s="3">
        <v>3</v>
      </c>
      <c r="E201" s="18">
        <v>45809</v>
      </c>
      <c r="F201" s="19">
        <v>45812</v>
      </c>
      <c r="G201">
        <f t="shared" si="24"/>
        <v>3</v>
      </c>
      <c r="H201">
        <f t="shared" si="25"/>
        <v>320</v>
      </c>
      <c r="I201">
        <f t="shared" si="26"/>
        <v>960</v>
      </c>
      <c r="J201">
        <f t="shared" si="27"/>
        <v>7</v>
      </c>
      <c r="K201">
        <f t="shared" si="28"/>
        <v>2</v>
      </c>
      <c r="L201">
        <f t="shared" si="29"/>
        <v>1</v>
      </c>
      <c r="M201">
        <f t="shared" si="30"/>
        <v>1024</v>
      </c>
      <c r="N201">
        <f t="shared" si="31"/>
        <v>1024</v>
      </c>
      <c r="P201" s="21" t="s">
        <v>27</v>
      </c>
      <c r="Q201" s="1">
        <v>560</v>
      </c>
    </row>
    <row r="202" spans="1:17" x14ac:dyDescent="0.25">
      <c r="L202">
        <f t="shared" si="29"/>
        <v>0</v>
      </c>
      <c r="M202">
        <f t="shared" si="30"/>
        <v>0</v>
      </c>
      <c r="N202">
        <f t="shared" si="31"/>
        <v>0</v>
      </c>
      <c r="P202" s="22" t="s">
        <v>26</v>
      </c>
      <c r="Q202" s="1">
        <v>560</v>
      </c>
    </row>
    <row r="203" spans="1:17" x14ac:dyDescent="0.25">
      <c r="L203">
        <f t="shared" si="29"/>
        <v>0</v>
      </c>
      <c r="M203">
        <f t="shared" si="30"/>
        <v>0</v>
      </c>
      <c r="N203">
        <f t="shared" si="31"/>
        <v>0</v>
      </c>
      <c r="P203" s="21" t="s">
        <v>30</v>
      </c>
      <c r="Q203" s="1">
        <v>560</v>
      </c>
    </row>
    <row r="204" spans="1:17" x14ac:dyDescent="0.25">
      <c r="L204">
        <f t="shared" si="29"/>
        <v>0</v>
      </c>
      <c r="M204">
        <f t="shared" si="30"/>
        <v>0</v>
      </c>
      <c r="N204">
        <f t="shared" si="31"/>
        <v>0</v>
      </c>
      <c r="P204" s="22" t="s">
        <v>29</v>
      </c>
      <c r="Q204" s="1">
        <v>560</v>
      </c>
    </row>
    <row r="205" spans="1:17" x14ac:dyDescent="0.25">
      <c r="L205">
        <f t="shared" si="29"/>
        <v>0</v>
      </c>
      <c r="M205">
        <f t="shared" si="30"/>
        <v>0</v>
      </c>
      <c r="N205">
        <f t="shared" si="31"/>
        <v>0</v>
      </c>
      <c r="P205" s="21" t="s">
        <v>79</v>
      </c>
      <c r="Q205" s="1">
        <v>480</v>
      </c>
    </row>
    <row r="206" spans="1:17" x14ac:dyDescent="0.25">
      <c r="L206">
        <f t="shared" si="29"/>
        <v>0</v>
      </c>
      <c r="M206">
        <f t="shared" si="30"/>
        <v>0</v>
      </c>
      <c r="N206">
        <f t="shared" si="31"/>
        <v>0</v>
      </c>
      <c r="P206" s="22" t="s">
        <v>29</v>
      </c>
      <c r="Q206" s="1">
        <v>480</v>
      </c>
    </row>
    <row r="207" spans="1:17" x14ac:dyDescent="0.25">
      <c r="L207">
        <f t="shared" si="29"/>
        <v>0</v>
      </c>
      <c r="M207">
        <f t="shared" si="30"/>
        <v>0</v>
      </c>
      <c r="N207">
        <f t="shared" si="31"/>
        <v>0</v>
      </c>
      <c r="P207" s="21" t="s">
        <v>107</v>
      </c>
      <c r="Q207" s="1">
        <v>480</v>
      </c>
    </row>
    <row r="208" spans="1:17" x14ac:dyDescent="0.25">
      <c r="L208">
        <f t="shared" si="29"/>
        <v>0</v>
      </c>
      <c r="M208">
        <f t="shared" si="30"/>
        <v>0</v>
      </c>
      <c r="N208">
        <f t="shared" si="31"/>
        <v>0</v>
      </c>
      <c r="P208" s="22" t="s">
        <v>45</v>
      </c>
      <c r="Q208" s="1">
        <v>480</v>
      </c>
    </row>
    <row r="209" spans="12:17" x14ac:dyDescent="0.25">
      <c r="L209">
        <f t="shared" si="29"/>
        <v>0</v>
      </c>
      <c r="M209">
        <f t="shared" si="30"/>
        <v>0</v>
      </c>
      <c r="N209">
        <f t="shared" si="31"/>
        <v>0</v>
      </c>
      <c r="P209" s="21" t="s">
        <v>144</v>
      </c>
      <c r="Q209" s="1">
        <v>480</v>
      </c>
    </row>
    <row r="210" spans="12:17" x14ac:dyDescent="0.25">
      <c r="L210">
        <f t="shared" si="29"/>
        <v>0</v>
      </c>
      <c r="M210">
        <f t="shared" si="30"/>
        <v>0</v>
      </c>
      <c r="N210">
        <f t="shared" si="31"/>
        <v>0</v>
      </c>
      <c r="P210" s="22" t="s">
        <v>36</v>
      </c>
      <c r="Q210" s="1">
        <v>480</v>
      </c>
    </row>
    <row r="211" spans="12:17" x14ac:dyDescent="0.25">
      <c r="L211">
        <f t="shared" si="29"/>
        <v>0</v>
      </c>
      <c r="M211">
        <f t="shared" si="30"/>
        <v>0</v>
      </c>
      <c r="N211">
        <f t="shared" si="31"/>
        <v>0</v>
      </c>
      <c r="P211" s="21" t="s">
        <v>153</v>
      </c>
      <c r="Q211" s="1">
        <v>480</v>
      </c>
    </row>
    <row r="212" spans="12:17" x14ac:dyDescent="0.25">
      <c r="L212">
        <f t="shared" si="29"/>
        <v>0</v>
      </c>
      <c r="M212">
        <f t="shared" si="30"/>
        <v>0</v>
      </c>
      <c r="N212">
        <f t="shared" si="31"/>
        <v>0</v>
      </c>
      <c r="P212" s="22" t="s">
        <v>102</v>
      </c>
      <c r="Q212" s="1">
        <v>480</v>
      </c>
    </row>
    <row r="213" spans="12:17" x14ac:dyDescent="0.25">
      <c r="L213">
        <f t="shared" si="29"/>
        <v>0</v>
      </c>
      <c r="M213">
        <f t="shared" si="30"/>
        <v>0</v>
      </c>
      <c r="N213">
        <f t="shared" si="31"/>
        <v>0</v>
      </c>
      <c r="P213" s="21" t="s">
        <v>72</v>
      </c>
      <c r="Q213" s="1">
        <v>480</v>
      </c>
    </row>
    <row r="214" spans="12:17" x14ac:dyDescent="0.25">
      <c r="L214">
        <f t="shared" si="29"/>
        <v>0</v>
      </c>
      <c r="M214">
        <f t="shared" si="30"/>
        <v>0</v>
      </c>
      <c r="N214">
        <f t="shared" si="31"/>
        <v>0</v>
      </c>
      <c r="P214" s="22" t="s">
        <v>29</v>
      </c>
      <c r="Q214" s="1">
        <v>480</v>
      </c>
    </row>
    <row r="215" spans="12:17" x14ac:dyDescent="0.25">
      <c r="L215">
        <f t="shared" si="29"/>
        <v>0</v>
      </c>
      <c r="M215">
        <f t="shared" si="30"/>
        <v>0</v>
      </c>
      <c r="N215">
        <f t="shared" si="31"/>
        <v>0</v>
      </c>
      <c r="P215" s="21" t="s">
        <v>66</v>
      </c>
      <c r="Q215" s="1">
        <v>480</v>
      </c>
    </row>
    <row r="216" spans="12:17" x14ac:dyDescent="0.25">
      <c r="L216">
        <f t="shared" si="29"/>
        <v>0</v>
      </c>
      <c r="M216">
        <f t="shared" si="30"/>
        <v>0</v>
      </c>
      <c r="N216">
        <f t="shared" si="31"/>
        <v>0</v>
      </c>
      <c r="P216" s="22" t="s">
        <v>65</v>
      </c>
      <c r="Q216" s="1">
        <v>480</v>
      </c>
    </row>
    <row r="217" spans="12:17" x14ac:dyDescent="0.25">
      <c r="L217">
        <f t="shared" si="29"/>
        <v>0</v>
      </c>
      <c r="M217">
        <f t="shared" si="30"/>
        <v>0</v>
      </c>
      <c r="N217">
        <f t="shared" si="31"/>
        <v>0</v>
      </c>
      <c r="P217" s="21" t="s">
        <v>70</v>
      </c>
      <c r="Q217" s="1">
        <v>480</v>
      </c>
    </row>
    <row r="218" spans="12:17" x14ac:dyDescent="0.25">
      <c r="L218">
        <f t="shared" si="29"/>
        <v>0</v>
      </c>
      <c r="M218">
        <f t="shared" si="30"/>
        <v>0</v>
      </c>
      <c r="N218">
        <f t="shared" si="31"/>
        <v>0</v>
      </c>
      <c r="P218" s="22" t="s">
        <v>14</v>
      </c>
      <c r="Q218" s="1">
        <v>480</v>
      </c>
    </row>
    <row r="219" spans="12:17" x14ac:dyDescent="0.25">
      <c r="L219">
        <f t="shared" si="29"/>
        <v>0</v>
      </c>
      <c r="M219">
        <f t="shared" si="30"/>
        <v>0</v>
      </c>
      <c r="N219">
        <f t="shared" si="31"/>
        <v>0</v>
      </c>
      <c r="P219" s="21" t="s">
        <v>41</v>
      </c>
      <c r="Q219" s="1">
        <v>480</v>
      </c>
    </row>
    <row r="220" spans="12:17" x14ac:dyDescent="0.25">
      <c r="L220">
        <f t="shared" si="29"/>
        <v>0</v>
      </c>
      <c r="M220">
        <f t="shared" si="30"/>
        <v>0</v>
      </c>
      <c r="N220">
        <f t="shared" si="31"/>
        <v>0</v>
      </c>
      <c r="P220" s="22" t="s">
        <v>40</v>
      </c>
      <c r="Q220" s="1">
        <v>480</v>
      </c>
    </row>
    <row r="221" spans="12:17" x14ac:dyDescent="0.25">
      <c r="L221">
        <f t="shared" si="29"/>
        <v>0</v>
      </c>
      <c r="M221">
        <f t="shared" si="30"/>
        <v>0</v>
      </c>
      <c r="N221">
        <f t="shared" si="31"/>
        <v>0</v>
      </c>
      <c r="P221" s="21" t="s">
        <v>21</v>
      </c>
      <c r="Q221" s="1">
        <v>480</v>
      </c>
    </row>
    <row r="222" spans="12:17" x14ac:dyDescent="0.25">
      <c r="L222">
        <f t="shared" si="29"/>
        <v>0</v>
      </c>
      <c r="M222">
        <f t="shared" si="30"/>
        <v>0</v>
      </c>
      <c r="N222">
        <f t="shared" si="31"/>
        <v>0</v>
      </c>
      <c r="P222" s="22" t="s">
        <v>20</v>
      </c>
      <c r="Q222" s="1">
        <v>480</v>
      </c>
    </row>
    <row r="223" spans="12:17" x14ac:dyDescent="0.25">
      <c r="L223">
        <f t="shared" si="29"/>
        <v>0</v>
      </c>
      <c r="M223">
        <f t="shared" si="30"/>
        <v>0</v>
      </c>
      <c r="N223">
        <f t="shared" si="31"/>
        <v>0</v>
      </c>
      <c r="P223" s="21" t="s">
        <v>58</v>
      </c>
      <c r="Q223" s="1">
        <v>480</v>
      </c>
    </row>
    <row r="224" spans="12:17" x14ac:dyDescent="0.25">
      <c r="L224">
        <f t="shared" si="29"/>
        <v>0</v>
      </c>
      <c r="M224">
        <f t="shared" si="30"/>
        <v>0</v>
      </c>
      <c r="N224">
        <f t="shared" si="31"/>
        <v>0</v>
      </c>
      <c r="P224" s="22" t="s">
        <v>29</v>
      </c>
      <c r="Q224" s="1">
        <v>480</v>
      </c>
    </row>
    <row r="225" spans="12:17" x14ac:dyDescent="0.25">
      <c r="L225">
        <f t="shared" si="29"/>
        <v>0</v>
      </c>
      <c r="M225">
        <f t="shared" si="30"/>
        <v>0</v>
      </c>
      <c r="N225">
        <f t="shared" si="31"/>
        <v>0</v>
      </c>
      <c r="P225" s="21" t="s">
        <v>68</v>
      </c>
      <c r="Q225" s="1">
        <v>480</v>
      </c>
    </row>
    <row r="226" spans="12:17" x14ac:dyDescent="0.25">
      <c r="L226">
        <f t="shared" si="29"/>
        <v>0</v>
      </c>
      <c r="M226">
        <f t="shared" si="30"/>
        <v>0</v>
      </c>
      <c r="N226">
        <f t="shared" si="31"/>
        <v>0</v>
      </c>
      <c r="P226" s="22" t="s">
        <v>51</v>
      </c>
      <c r="Q226" s="1">
        <v>480</v>
      </c>
    </row>
    <row r="227" spans="12:17" x14ac:dyDescent="0.25">
      <c r="L227">
        <f t="shared" si="29"/>
        <v>0</v>
      </c>
      <c r="M227">
        <f t="shared" si="30"/>
        <v>0</v>
      </c>
      <c r="N227">
        <f t="shared" si="31"/>
        <v>0</v>
      </c>
      <c r="P227" s="21" t="s">
        <v>22</v>
      </c>
      <c r="Q227" s="1">
        <v>480</v>
      </c>
    </row>
    <row r="228" spans="12:17" x14ac:dyDescent="0.25">
      <c r="L228">
        <f t="shared" si="29"/>
        <v>0</v>
      </c>
      <c r="M228">
        <f t="shared" si="30"/>
        <v>0</v>
      </c>
      <c r="N228">
        <f t="shared" si="31"/>
        <v>0</v>
      </c>
      <c r="P228" s="22" t="s">
        <v>8</v>
      </c>
      <c r="Q228" s="1">
        <v>480</v>
      </c>
    </row>
    <row r="229" spans="12:17" x14ac:dyDescent="0.25">
      <c r="L229">
        <f t="shared" si="29"/>
        <v>0</v>
      </c>
      <c r="M229">
        <f t="shared" si="30"/>
        <v>0</v>
      </c>
      <c r="N229">
        <f t="shared" si="31"/>
        <v>0</v>
      </c>
      <c r="P229" s="21" t="s">
        <v>42</v>
      </c>
      <c r="Q229" s="1">
        <v>480</v>
      </c>
    </row>
    <row r="230" spans="12:17" x14ac:dyDescent="0.25">
      <c r="L230">
        <f t="shared" si="29"/>
        <v>0</v>
      </c>
      <c r="M230">
        <f t="shared" si="30"/>
        <v>0</v>
      </c>
      <c r="N230">
        <f t="shared" si="31"/>
        <v>0</v>
      </c>
      <c r="P230" s="22" t="s">
        <v>18</v>
      </c>
      <c r="Q230" s="1">
        <v>480</v>
      </c>
    </row>
    <row r="231" spans="12:17" x14ac:dyDescent="0.25">
      <c r="L231">
        <f t="shared" si="29"/>
        <v>0</v>
      </c>
      <c r="M231">
        <f t="shared" si="30"/>
        <v>0</v>
      </c>
      <c r="N231">
        <f t="shared" si="31"/>
        <v>0</v>
      </c>
      <c r="P231" s="21" t="s">
        <v>13</v>
      </c>
      <c r="Q231" s="1">
        <v>480</v>
      </c>
    </row>
    <row r="232" spans="12:17" x14ac:dyDescent="0.25">
      <c r="L232">
        <f t="shared" si="29"/>
        <v>0</v>
      </c>
      <c r="M232">
        <f t="shared" si="30"/>
        <v>0</v>
      </c>
      <c r="N232">
        <f t="shared" si="31"/>
        <v>0</v>
      </c>
      <c r="P232" s="22" t="s">
        <v>12</v>
      </c>
      <c r="Q232" s="1">
        <v>480</v>
      </c>
    </row>
    <row r="233" spans="12:17" x14ac:dyDescent="0.25">
      <c r="L233">
        <f t="shared" si="29"/>
        <v>0</v>
      </c>
      <c r="M233">
        <f t="shared" si="30"/>
        <v>0</v>
      </c>
      <c r="N233">
        <f t="shared" si="31"/>
        <v>0</v>
      </c>
      <c r="P233" s="21" t="s">
        <v>182</v>
      </c>
      <c r="Q233" s="1">
        <v>480</v>
      </c>
    </row>
    <row r="234" spans="12:17" x14ac:dyDescent="0.25">
      <c r="L234">
        <f t="shared" si="29"/>
        <v>0</v>
      </c>
      <c r="M234">
        <f t="shared" si="30"/>
        <v>0</v>
      </c>
      <c r="N234">
        <f t="shared" si="31"/>
        <v>0</v>
      </c>
      <c r="P234" s="22" t="s">
        <v>51</v>
      </c>
      <c r="Q234" s="1">
        <v>480</v>
      </c>
    </row>
    <row r="235" spans="12:17" x14ac:dyDescent="0.25">
      <c r="L235">
        <f t="shared" si="29"/>
        <v>0</v>
      </c>
      <c r="M235">
        <f t="shared" si="30"/>
        <v>0</v>
      </c>
      <c r="N235">
        <f t="shared" si="31"/>
        <v>0</v>
      </c>
      <c r="P235" s="21" t="s">
        <v>24</v>
      </c>
      <c r="Q235" s="1">
        <v>480</v>
      </c>
    </row>
    <row r="236" spans="12:17" x14ac:dyDescent="0.25">
      <c r="L236">
        <f t="shared" si="29"/>
        <v>0</v>
      </c>
      <c r="M236">
        <f t="shared" si="30"/>
        <v>0</v>
      </c>
      <c r="N236">
        <f t="shared" si="31"/>
        <v>0</v>
      </c>
      <c r="P236" s="22" t="s">
        <v>23</v>
      </c>
      <c r="Q236" s="1">
        <v>480</v>
      </c>
    </row>
    <row r="237" spans="12:17" x14ac:dyDescent="0.25">
      <c r="L237">
        <f t="shared" si="29"/>
        <v>0</v>
      </c>
      <c r="M237">
        <f t="shared" si="30"/>
        <v>0</v>
      </c>
      <c r="N237">
        <f t="shared" si="31"/>
        <v>0</v>
      </c>
      <c r="P237" s="21" t="s">
        <v>67</v>
      </c>
      <c r="Q237" s="1">
        <v>480</v>
      </c>
    </row>
    <row r="238" spans="12:17" x14ac:dyDescent="0.25">
      <c r="L238">
        <f t="shared" si="29"/>
        <v>0</v>
      </c>
      <c r="M238">
        <f t="shared" si="30"/>
        <v>0</v>
      </c>
      <c r="N238">
        <f t="shared" si="31"/>
        <v>0</v>
      </c>
      <c r="P238" s="22" t="s">
        <v>65</v>
      </c>
      <c r="Q238" s="1">
        <v>480</v>
      </c>
    </row>
    <row r="239" spans="12:17" x14ac:dyDescent="0.25">
      <c r="L239">
        <f t="shared" si="29"/>
        <v>0</v>
      </c>
      <c r="M239">
        <f t="shared" si="30"/>
        <v>0</v>
      </c>
      <c r="N239">
        <f t="shared" si="31"/>
        <v>0</v>
      </c>
      <c r="P239" s="21" t="s">
        <v>69</v>
      </c>
      <c r="Q239" s="1">
        <v>480</v>
      </c>
    </row>
    <row r="240" spans="12:17" x14ac:dyDescent="0.25">
      <c r="L240">
        <f t="shared" si="29"/>
        <v>0</v>
      </c>
      <c r="M240">
        <f t="shared" si="30"/>
        <v>0</v>
      </c>
      <c r="N240">
        <f t="shared" si="31"/>
        <v>0</v>
      </c>
      <c r="P240" s="22" t="s">
        <v>49</v>
      </c>
      <c r="Q240" s="1">
        <v>480</v>
      </c>
    </row>
    <row r="241" spans="12:17" x14ac:dyDescent="0.25">
      <c r="L241">
        <f t="shared" si="29"/>
        <v>0</v>
      </c>
      <c r="M241">
        <f t="shared" si="30"/>
        <v>0</v>
      </c>
      <c r="N241">
        <f t="shared" si="31"/>
        <v>0</v>
      </c>
      <c r="P241" s="21" t="s">
        <v>71</v>
      </c>
      <c r="Q241" s="1">
        <v>480</v>
      </c>
    </row>
    <row r="242" spans="12:17" x14ac:dyDescent="0.25">
      <c r="L242">
        <f t="shared" si="29"/>
        <v>0</v>
      </c>
      <c r="M242">
        <f t="shared" si="30"/>
        <v>0</v>
      </c>
      <c r="N242">
        <f t="shared" si="31"/>
        <v>0</v>
      </c>
      <c r="P242" s="22" t="s">
        <v>23</v>
      </c>
      <c r="Q242" s="1">
        <v>480</v>
      </c>
    </row>
    <row r="243" spans="12:17" x14ac:dyDescent="0.25">
      <c r="L243">
        <f t="shared" si="29"/>
        <v>0</v>
      </c>
      <c r="M243">
        <f t="shared" si="30"/>
        <v>0</v>
      </c>
      <c r="N243">
        <f t="shared" si="31"/>
        <v>0</v>
      </c>
      <c r="P243" s="21" t="s">
        <v>139</v>
      </c>
      <c r="Q243" s="1">
        <v>480</v>
      </c>
    </row>
    <row r="244" spans="12:17" x14ac:dyDescent="0.25">
      <c r="L244">
        <f t="shared" si="29"/>
        <v>0</v>
      </c>
      <c r="M244">
        <f t="shared" si="30"/>
        <v>0</v>
      </c>
      <c r="N244">
        <f t="shared" si="31"/>
        <v>0</v>
      </c>
      <c r="P244" s="22" t="s">
        <v>16</v>
      </c>
      <c r="Q244" s="1">
        <v>480</v>
      </c>
    </row>
    <row r="245" spans="12:17" x14ac:dyDescent="0.25">
      <c r="L245">
        <f t="shared" si="29"/>
        <v>0</v>
      </c>
      <c r="M245">
        <f t="shared" si="30"/>
        <v>0</v>
      </c>
      <c r="N245">
        <f t="shared" si="31"/>
        <v>0</v>
      </c>
      <c r="P245" s="21" t="s">
        <v>115</v>
      </c>
      <c r="Q245" s="1">
        <v>480</v>
      </c>
    </row>
    <row r="246" spans="12:17" x14ac:dyDescent="0.25">
      <c r="L246">
        <f t="shared" si="29"/>
        <v>0</v>
      </c>
      <c r="M246">
        <f t="shared" si="30"/>
        <v>0</v>
      </c>
      <c r="N246">
        <f t="shared" si="31"/>
        <v>0</v>
      </c>
      <c r="P246" s="22" t="s">
        <v>84</v>
      </c>
      <c r="Q246" s="1">
        <v>480</v>
      </c>
    </row>
    <row r="247" spans="12:17" x14ac:dyDescent="0.25">
      <c r="L247">
        <f t="shared" si="29"/>
        <v>0</v>
      </c>
      <c r="M247">
        <f t="shared" si="30"/>
        <v>0</v>
      </c>
      <c r="N247">
        <f t="shared" si="31"/>
        <v>0</v>
      </c>
      <c r="P247" s="21" t="s">
        <v>78</v>
      </c>
      <c r="Q247" s="1">
        <v>480</v>
      </c>
    </row>
    <row r="248" spans="12:17" x14ac:dyDescent="0.25">
      <c r="L248">
        <f t="shared" si="29"/>
        <v>0</v>
      </c>
      <c r="M248">
        <f t="shared" si="30"/>
        <v>0</v>
      </c>
      <c r="N248">
        <f t="shared" si="31"/>
        <v>0</v>
      </c>
      <c r="P248" s="22" t="s">
        <v>73</v>
      </c>
      <c r="Q248" s="1">
        <v>480</v>
      </c>
    </row>
    <row r="249" spans="12:17" x14ac:dyDescent="0.25">
      <c r="L249">
        <f t="shared" si="29"/>
        <v>0</v>
      </c>
      <c r="M249">
        <f t="shared" si="30"/>
        <v>0</v>
      </c>
      <c r="N249">
        <f t="shared" si="31"/>
        <v>0</v>
      </c>
      <c r="P249" s="21" t="s">
        <v>108</v>
      </c>
      <c r="Q249" s="1">
        <v>480</v>
      </c>
    </row>
    <row r="250" spans="12:17" x14ac:dyDescent="0.25">
      <c r="L250">
        <f t="shared" si="29"/>
        <v>0</v>
      </c>
      <c r="M250">
        <f t="shared" si="30"/>
        <v>0</v>
      </c>
      <c r="N250">
        <f t="shared" si="31"/>
        <v>0</v>
      </c>
      <c r="P250" s="22" t="s">
        <v>29</v>
      </c>
      <c r="Q250" s="1">
        <v>480</v>
      </c>
    </row>
    <row r="251" spans="12:17" x14ac:dyDescent="0.25">
      <c r="L251">
        <f t="shared" si="29"/>
        <v>0</v>
      </c>
      <c r="M251">
        <f t="shared" si="30"/>
        <v>0</v>
      </c>
      <c r="N251">
        <f t="shared" si="31"/>
        <v>0</v>
      </c>
      <c r="P251" s="21" t="s">
        <v>77</v>
      </c>
      <c r="Q251" s="1">
        <v>480</v>
      </c>
    </row>
    <row r="252" spans="12:17" x14ac:dyDescent="0.25">
      <c r="L252">
        <f t="shared" si="29"/>
        <v>0</v>
      </c>
      <c r="M252">
        <f t="shared" si="30"/>
        <v>0</v>
      </c>
      <c r="N252">
        <f t="shared" si="31"/>
        <v>0</v>
      </c>
      <c r="P252" s="22" t="s">
        <v>45</v>
      </c>
      <c r="Q252" s="1">
        <v>480</v>
      </c>
    </row>
    <row r="253" spans="12:17" x14ac:dyDescent="0.25">
      <c r="L253">
        <f t="shared" si="29"/>
        <v>0</v>
      </c>
      <c r="M253">
        <f t="shared" si="30"/>
        <v>0</v>
      </c>
      <c r="N253">
        <f t="shared" si="31"/>
        <v>0</v>
      </c>
      <c r="P253" s="21" t="s">
        <v>80</v>
      </c>
      <c r="Q253" s="1">
        <v>480</v>
      </c>
    </row>
    <row r="254" spans="12:17" x14ac:dyDescent="0.25">
      <c r="L254">
        <f t="shared" si="29"/>
        <v>0</v>
      </c>
      <c r="M254">
        <f t="shared" si="30"/>
        <v>0</v>
      </c>
      <c r="N254">
        <f t="shared" si="31"/>
        <v>0</v>
      </c>
      <c r="P254" s="22" t="s">
        <v>26</v>
      </c>
      <c r="Q254" s="1">
        <v>480</v>
      </c>
    </row>
    <row r="255" spans="12:17" x14ac:dyDescent="0.25">
      <c r="L255">
        <f t="shared" si="29"/>
        <v>0</v>
      </c>
      <c r="M255">
        <f t="shared" si="30"/>
        <v>0</v>
      </c>
      <c r="N255">
        <f t="shared" si="31"/>
        <v>0</v>
      </c>
      <c r="P255" s="21" t="s">
        <v>17</v>
      </c>
      <c r="Q255" s="1">
        <v>460</v>
      </c>
    </row>
    <row r="256" spans="12:17" x14ac:dyDescent="0.25">
      <c r="L256">
        <f t="shared" si="29"/>
        <v>0</v>
      </c>
      <c r="M256">
        <f t="shared" si="30"/>
        <v>0</v>
      </c>
      <c r="N256">
        <f t="shared" si="31"/>
        <v>0</v>
      </c>
      <c r="P256" s="22" t="s">
        <v>16</v>
      </c>
      <c r="Q256" s="1">
        <v>460</v>
      </c>
    </row>
    <row r="257" spans="12:17" x14ac:dyDescent="0.25">
      <c r="L257">
        <f t="shared" si="29"/>
        <v>0</v>
      </c>
      <c r="M257">
        <f t="shared" si="30"/>
        <v>0</v>
      </c>
      <c r="N257">
        <f t="shared" si="31"/>
        <v>0</v>
      </c>
      <c r="P257" s="21" t="s">
        <v>74</v>
      </c>
      <c r="Q257" s="1">
        <v>420</v>
      </c>
    </row>
    <row r="258" spans="12:17" x14ac:dyDescent="0.25">
      <c r="L258">
        <f t="shared" si="29"/>
        <v>0</v>
      </c>
      <c r="M258">
        <f t="shared" si="30"/>
        <v>0</v>
      </c>
      <c r="N258">
        <f t="shared" si="31"/>
        <v>0</v>
      </c>
      <c r="P258" s="22" t="s">
        <v>73</v>
      </c>
      <c r="Q258" s="1">
        <v>420</v>
      </c>
    </row>
    <row r="259" spans="12:17" x14ac:dyDescent="0.25">
      <c r="L259">
        <f t="shared" ref="L259:L309" si="32">G259-K259</f>
        <v>0</v>
      </c>
      <c r="M259">
        <f t="shared" ref="M259:M309" si="33">K259*H259+L259*H259*1.2</f>
        <v>0</v>
      </c>
      <c r="N259">
        <f t="shared" ref="N259:N309" si="34">IF(G259&gt;4,M259*0.9,M259)</f>
        <v>0</v>
      </c>
      <c r="P259" s="21" t="s">
        <v>64</v>
      </c>
      <c r="Q259" s="1">
        <v>420</v>
      </c>
    </row>
    <row r="260" spans="12:17" x14ac:dyDescent="0.25">
      <c r="L260">
        <f t="shared" si="32"/>
        <v>0</v>
      </c>
      <c r="M260">
        <f t="shared" si="33"/>
        <v>0</v>
      </c>
      <c r="N260">
        <f t="shared" si="34"/>
        <v>0</v>
      </c>
      <c r="P260" s="22" t="s">
        <v>26</v>
      </c>
      <c r="Q260" s="1">
        <v>420</v>
      </c>
    </row>
    <row r="261" spans="12:17" x14ac:dyDescent="0.25">
      <c r="L261">
        <f t="shared" si="32"/>
        <v>0</v>
      </c>
      <c r="M261">
        <f t="shared" si="33"/>
        <v>0</v>
      </c>
      <c r="N261">
        <f t="shared" si="34"/>
        <v>0</v>
      </c>
      <c r="P261" s="21" t="s">
        <v>15</v>
      </c>
      <c r="Q261" s="1">
        <v>420</v>
      </c>
    </row>
    <row r="262" spans="12:17" x14ac:dyDescent="0.25">
      <c r="L262">
        <f t="shared" si="32"/>
        <v>0</v>
      </c>
      <c r="M262">
        <f t="shared" si="33"/>
        <v>0</v>
      </c>
      <c r="N262">
        <f t="shared" si="34"/>
        <v>0</v>
      </c>
      <c r="P262" s="22" t="s">
        <v>14</v>
      </c>
      <c r="Q262" s="1">
        <v>420</v>
      </c>
    </row>
    <row r="263" spans="12:17" x14ac:dyDescent="0.25">
      <c r="L263">
        <f t="shared" si="32"/>
        <v>0</v>
      </c>
      <c r="M263">
        <f t="shared" si="33"/>
        <v>0</v>
      </c>
      <c r="N263">
        <f t="shared" si="34"/>
        <v>0</v>
      </c>
      <c r="P263" s="21" t="s">
        <v>95</v>
      </c>
      <c r="Q263" s="1">
        <v>420</v>
      </c>
    </row>
    <row r="264" spans="12:17" x14ac:dyDescent="0.25">
      <c r="L264">
        <f t="shared" si="32"/>
        <v>0</v>
      </c>
      <c r="M264">
        <f t="shared" si="33"/>
        <v>0</v>
      </c>
      <c r="N264">
        <f t="shared" si="34"/>
        <v>0</v>
      </c>
      <c r="P264" s="22" t="s">
        <v>86</v>
      </c>
      <c r="Q264" s="1">
        <v>420</v>
      </c>
    </row>
    <row r="265" spans="12:17" x14ac:dyDescent="0.25">
      <c r="L265">
        <f t="shared" si="32"/>
        <v>0</v>
      </c>
      <c r="M265">
        <f t="shared" si="33"/>
        <v>0</v>
      </c>
      <c r="N265">
        <f t="shared" si="34"/>
        <v>0</v>
      </c>
      <c r="P265" s="21" t="s">
        <v>85</v>
      </c>
      <c r="Q265" s="1">
        <v>420</v>
      </c>
    </row>
    <row r="266" spans="12:17" x14ac:dyDescent="0.25">
      <c r="L266">
        <f t="shared" si="32"/>
        <v>0</v>
      </c>
      <c r="M266">
        <f t="shared" si="33"/>
        <v>0</v>
      </c>
      <c r="N266">
        <f t="shared" si="34"/>
        <v>0</v>
      </c>
      <c r="P266" s="22" t="s">
        <v>84</v>
      </c>
      <c r="Q266" s="1">
        <v>420</v>
      </c>
    </row>
    <row r="267" spans="12:17" x14ac:dyDescent="0.25">
      <c r="L267">
        <f t="shared" si="32"/>
        <v>0</v>
      </c>
      <c r="M267">
        <f t="shared" si="33"/>
        <v>0</v>
      </c>
      <c r="N267">
        <f t="shared" si="34"/>
        <v>0</v>
      </c>
      <c r="P267" s="21" t="s">
        <v>87</v>
      </c>
      <c r="Q267" s="1">
        <v>420</v>
      </c>
    </row>
    <row r="268" spans="12:17" x14ac:dyDescent="0.25">
      <c r="L268">
        <f t="shared" si="32"/>
        <v>0</v>
      </c>
      <c r="M268">
        <f t="shared" si="33"/>
        <v>0</v>
      </c>
      <c r="N268">
        <f t="shared" si="34"/>
        <v>0</v>
      </c>
      <c r="P268" s="22" t="s">
        <v>86</v>
      </c>
      <c r="Q268" s="1">
        <v>420</v>
      </c>
    </row>
    <row r="269" spans="12:17" x14ac:dyDescent="0.25">
      <c r="L269">
        <f t="shared" si="32"/>
        <v>0</v>
      </c>
      <c r="M269">
        <f t="shared" si="33"/>
        <v>0</v>
      </c>
      <c r="N269">
        <f t="shared" si="34"/>
        <v>0</v>
      </c>
      <c r="P269" s="21" t="s">
        <v>57</v>
      </c>
      <c r="Q269" s="1">
        <v>420</v>
      </c>
    </row>
    <row r="270" spans="12:17" x14ac:dyDescent="0.25">
      <c r="L270">
        <f t="shared" si="32"/>
        <v>0</v>
      </c>
      <c r="M270">
        <f t="shared" si="33"/>
        <v>0</v>
      </c>
      <c r="N270">
        <f t="shared" si="34"/>
        <v>0</v>
      </c>
      <c r="P270" s="22" t="s">
        <v>16</v>
      </c>
      <c r="Q270" s="1">
        <v>420</v>
      </c>
    </row>
    <row r="271" spans="12:17" x14ac:dyDescent="0.25">
      <c r="L271">
        <f t="shared" si="32"/>
        <v>0</v>
      </c>
      <c r="M271">
        <f t="shared" si="33"/>
        <v>0</v>
      </c>
      <c r="N271">
        <f t="shared" si="34"/>
        <v>0</v>
      </c>
      <c r="P271" s="21" t="s">
        <v>94</v>
      </c>
      <c r="Q271" s="1">
        <v>400</v>
      </c>
    </row>
    <row r="272" spans="12:17" x14ac:dyDescent="0.25">
      <c r="L272">
        <f t="shared" si="32"/>
        <v>0</v>
      </c>
      <c r="M272">
        <f t="shared" si="33"/>
        <v>0</v>
      </c>
      <c r="N272">
        <f t="shared" si="34"/>
        <v>0</v>
      </c>
      <c r="P272" s="22" t="s">
        <v>12</v>
      </c>
      <c r="Q272" s="1">
        <v>400</v>
      </c>
    </row>
    <row r="273" spans="12:17" x14ac:dyDescent="0.25">
      <c r="L273">
        <f t="shared" si="32"/>
        <v>0</v>
      </c>
      <c r="M273">
        <f t="shared" si="33"/>
        <v>0</v>
      </c>
      <c r="N273">
        <f t="shared" si="34"/>
        <v>0</v>
      </c>
      <c r="P273" s="21" t="s">
        <v>76</v>
      </c>
      <c r="Q273" s="1">
        <v>320</v>
      </c>
    </row>
    <row r="274" spans="12:17" x14ac:dyDescent="0.25">
      <c r="L274">
        <f t="shared" si="32"/>
        <v>0</v>
      </c>
      <c r="M274">
        <f t="shared" si="33"/>
        <v>0</v>
      </c>
      <c r="N274">
        <f t="shared" si="34"/>
        <v>0</v>
      </c>
      <c r="P274" s="22" t="s">
        <v>38</v>
      </c>
      <c r="Q274" s="1">
        <v>320</v>
      </c>
    </row>
    <row r="275" spans="12:17" x14ac:dyDescent="0.25">
      <c r="L275">
        <f t="shared" si="32"/>
        <v>0</v>
      </c>
      <c r="M275">
        <f t="shared" si="33"/>
        <v>0</v>
      </c>
      <c r="N275">
        <f t="shared" si="34"/>
        <v>0</v>
      </c>
      <c r="P275" s="21" t="s">
        <v>160</v>
      </c>
      <c r="Q275" s="1">
        <v>320</v>
      </c>
    </row>
    <row r="276" spans="12:17" x14ac:dyDescent="0.25">
      <c r="L276">
        <f t="shared" si="32"/>
        <v>0</v>
      </c>
      <c r="M276">
        <f t="shared" si="33"/>
        <v>0</v>
      </c>
      <c r="N276">
        <f t="shared" si="34"/>
        <v>0</v>
      </c>
      <c r="P276" s="22" t="s">
        <v>6</v>
      </c>
      <c r="Q276" s="1">
        <v>320</v>
      </c>
    </row>
    <row r="277" spans="12:17" x14ac:dyDescent="0.25">
      <c r="L277">
        <f t="shared" si="32"/>
        <v>0</v>
      </c>
      <c r="M277">
        <f t="shared" si="33"/>
        <v>0</v>
      </c>
      <c r="N277">
        <f t="shared" si="34"/>
        <v>0</v>
      </c>
      <c r="P277" s="21" t="s">
        <v>138</v>
      </c>
      <c r="Q277" s="1">
        <v>320</v>
      </c>
    </row>
    <row r="278" spans="12:17" x14ac:dyDescent="0.25">
      <c r="L278">
        <f t="shared" si="32"/>
        <v>0</v>
      </c>
      <c r="M278">
        <f t="shared" si="33"/>
        <v>0</v>
      </c>
      <c r="N278">
        <f t="shared" si="34"/>
        <v>0</v>
      </c>
      <c r="P278" s="22" t="s">
        <v>20</v>
      </c>
      <c r="Q278" s="1">
        <v>320</v>
      </c>
    </row>
    <row r="279" spans="12:17" x14ac:dyDescent="0.25">
      <c r="L279">
        <f t="shared" si="32"/>
        <v>0</v>
      </c>
      <c r="M279">
        <f t="shared" si="33"/>
        <v>0</v>
      </c>
      <c r="N279">
        <f t="shared" si="34"/>
        <v>0</v>
      </c>
      <c r="P279" s="21" t="s">
        <v>81</v>
      </c>
      <c r="Q279" s="1">
        <v>280</v>
      </c>
    </row>
    <row r="280" spans="12:17" x14ac:dyDescent="0.25">
      <c r="L280">
        <f t="shared" si="32"/>
        <v>0</v>
      </c>
      <c r="M280">
        <f t="shared" si="33"/>
        <v>0</v>
      </c>
      <c r="N280">
        <f t="shared" si="34"/>
        <v>0</v>
      </c>
      <c r="P280" s="22" t="s">
        <v>45</v>
      </c>
      <c r="Q280" s="1">
        <v>280</v>
      </c>
    </row>
    <row r="281" spans="12:17" x14ac:dyDescent="0.25">
      <c r="L281">
        <f t="shared" si="32"/>
        <v>0</v>
      </c>
      <c r="M281">
        <f t="shared" si="33"/>
        <v>0</v>
      </c>
      <c r="N281">
        <f t="shared" si="34"/>
        <v>0</v>
      </c>
      <c r="P281" s="21" t="s">
        <v>121</v>
      </c>
      <c r="Q281" s="1">
        <v>280</v>
      </c>
    </row>
    <row r="282" spans="12:17" x14ac:dyDescent="0.25">
      <c r="L282">
        <f t="shared" si="32"/>
        <v>0</v>
      </c>
      <c r="M282">
        <f t="shared" si="33"/>
        <v>0</v>
      </c>
      <c r="N282">
        <f t="shared" si="34"/>
        <v>0</v>
      </c>
      <c r="P282" s="22" t="s">
        <v>40</v>
      </c>
      <c r="Q282" s="1">
        <v>280</v>
      </c>
    </row>
    <row r="283" spans="12:17" x14ac:dyDescent="0.25">
      <c r="L283">
        <f t="shared" si="32"/>
        <v>0</v>
      </c>
      <c r="M283">
        <f t="shared" si="33"/>
        <v>0</v>
      </c>
      <c r="N283">
        <f t="shared" si="34"/>
        <v>0</v>
      </c>
      <c r="P283" s="21" t="s">
        <v>114</v>
      </c>
      <c r="Q283" s="1">
        <v>280</v>
      </c>
    </row>
    <row r="284" spans="12:17" x14ac:dyDescent="0.25">
      <c r="L284">
        <f t="shared" si="32"/>
        <v>0</v>
      </c>
      <c r="M284">
        <f t="shared" si="33"/>
        <v>0</v>
      </c>
      <c r="N284">
        <f t="shared" si="34"/>
        <v>0</v>
      </c>
      <c r="P284" s="22" t="s">
        <v>18</v>
      </c>
      <c r="Q284" s="1">
        <v>280</v>
      </c>
    </row>
    <row r="285" spans="12:17" x14ac:dyDescent="0.25">
      <c r="L285">
        <f t="shared" si="32"/>
        <v>0</v>
      </c>
      <c r="M285">
        <f t="shared" si="33"/>
        <v>0</v>
      </c>
      <c r="N285">
        <f t="shared" si="34"/>
        <v>0</v>
      </c>
      <c r="P285" s="21" t="s">
        <v>120</v>
      </c>
      <c r="Q285" s="1">
        <v>280</v>
      </c>
    </row>
    <row r="286" spans="12:17" x14ac:dyDescent="0.25">
      <c r="L286">
        <f t="shared" si="32"/>
        <v>0</v>
      </c>
      <c r="M286">
        <f t="shared" si="33"/>
        <v>0</v>
      </c>
      <c r="N286">
        <f t="shared" si="34"/>
        <v>0</v>
      </c>
      <c r="P286" s="22" t="s">
        <v>49</v>
      </c>
      <c r="Q286" s="1">
        <v>280</v>
      </c>
    </row>
    <row r="287" spans="12:17" x14ac:dyDescent="0.25">
      <c r="L287">
        <f t="shared" si="32"/>
        <v>0</v>
      </c>
      <c r="M287">
        <f t="shared" si="33"/>
        <v>0</v>
      </c>
      <c r="N287">
        <f t="shared" si="34"/>
        <v>0</v>
      </c>
      <c r="P287" s="21" t="s">
        <v>119</v>
      </c>
      <c r="Q287" s="1">
        <v>280</v>
      </c>
    </row>
    <row r="288" spans="12:17" x14ac:dyDescent="0.25">
      <c r="L288">
        <f t="shared" si="32"/>
        <v>0</v>
      </c>
      <c r="M288">
        <f t="shared" si="33"/>
        <v>0</v>
      </c>
      <c r="N288">
        <f t="shared" si="34"/>
        <v>0</v>
      </c>
      <c r="P288" s="22" t="s">
        <v>118</v>
      </c>
      <c r="Q288" s="1">
        <v>280</v>
      </c>
    </row>
    <row r="289" spans="12:17" x14ac:dyDescent="0.25">
      <c r="L289">
        <f t="shared" si="32"/>
        <v>0</v>
      </c>
      <c r="M289">
        <f t="shared" si="33"/>
        <v>0</v>
      </c>
      <c r="N289">
        <f t="shared" si="34"/>
        <v>0</v>
      </c>
      <c r="P289" s="21" t="s">
        <v>33</v>
      </c>
      <c r="Q289" s="1">
        <v>280</v>
      </c>
    </row>
    <row r="290" spans="12:17" x14ac:dyDescent="0.25">
      <c r="L290">
        <f t="shared" si="32"/>
        <v>0</v>
      </c>
      <c r="M290">
        <f t="shared" si="33"/>
        <v>0</v>
      </c>
      <c r="N290">
        <f t="shared" si="34"/>
        <v>0</v>
      </c>
      <c r="P290" s="22" t="s">
        <v>32</v>
      </c>
      <c r="Q290" s="1">
        <v>280</v>
      </c>
    </row>
    <row r="291" spans="12:17" x14ac:dyDescent="0.25">
      <c r="L291">
        <f t="shared" si="32"/>
        <v>0</v>
      </c>
      <c r="M291">
        <f t="shared" si="33"/>
        <v>0</v>
      </c>
      <c r="N291">
        <f t="shared" si="34"/>
        <v>0</v>
      </c>
      <c r="P291" s="21" t="s">
        <v>128</v>
      </c>
      <c r="Q291" s="1">
        <v>280</v>
      </c>
    </row>
    <row r="292" spans="12:17" x14ac:dyDescent="0.25">
      <c r="L292">
        <f t="shared" si="32"/>
        <v>0</v>
      </c>
      <c r="M292">
        <f t="shared" si="33"/>
        <v>0</v>
      </c>
      <c r="N292">
        <f t="shared" si="34"/>
        <v>0</v>
      </c>
      <c r="P292" s="22" t="s">
        <v>8</v>
      </c>
      <c r="Q292" s="1">
        <v>280</v>
      </c>
    </row>
    <row r="293" spans="12:17" x14ac:dyDescent="0.25">
      <c r="L293">
        <f t="shared" si="32"/>
        <v>0</v>
      </c>
      <c r="M293">
        <f t="shared" si="33"/>
        <v>0</v>
      </c>
      <c r="N293">
        <f t="shared" si="34"/>
        <v>0</v>
      </c>
      <c r="P293" s="21" t="s">
        <v>82</v>
      </c>
      <c r="Q293" s="1">
        <v>280</v>
      </c>
    </row>
    <row r="294" spans="12:17" x14ac:dyDescent="0.25">
      <c r="L294">
        <f t="shared" si="32"/>
        <v>0</v>
      </c>
      <c r="M294">
        <f t="shared" si="33"/>
        <v>0</v>
      </c>
      <c r="N294">
        <f t="shared" si="34"/>
        <v>0</v>
      </c>
      <c r="P294" s="22" t="s">
        <v>20</v>
      </c>
      <c r="Q294" s="1">
        <v>280</v>
      </c>
    </row>
    <row r="295" spans="12:17" x14ac:dyDescent="0.25">
      <c r="L295">
        <f t="shared" si="32"/>
        <v>0</v>
      </c>
      <c r="M295">
        <f t="shared" si="33"/>
        <v>0</v>
      </c>
      <c r="N295">
        <f t="shared" si="34"/>
        <v>0</v>
      </c>
      <c r="P295" s="21" t="s">
        <v>151</v>
      </c>
      <c r="Q295" s="1">
        <v>240</v>
      </c>
    </row>
    <row r="296" spans="12:17" x14ac:dyDescent="0.25">
      <c r="L296">
        <f t="shared" si="32"/>
        <v>0</v>
      </c>
      <c r="M296">
        <f t="shared" si="33"/>
        <v>0</v>
      </c>
      <c r="N296">
        <f t="shared" si="34"/>
        <v>0</v>
      </c>
      <c r="P296" s="22" t="s">
        <v>14</v>
      </c>
      <c r="Q296" s="1">
        <v>240</v>
      </c>
    </row>
    <row r="297" spans="12:17" x14ac:dyDescent="0.25">
      <c r="L297">
        <f t="shared" si="32"/>
        <v>0</v>
      </c>
      <c r="M297">
        <f t="shared" si="33"/>
        <v>0</v>
      </c>
      <c r="N297">
        <f t="shared" si="34"/>
        <v>0</v>
      </c>
      <c r="P297" s="21" t="s">
        <v>150</v>
      </c>
      <c r="Q297" s="1">
        <v>240</v>
      </c>
    </row>
    <row r="298" spans="12:17" x14ac:dyDescent="0.25">
      <c r="L298">
        <f t="shared" si="32"/>
        <v>0</v>
      </c>
      <c r="M298">
        <f t="shared" si="33"/>
        <v>0</v>
      </c>
      <c r="N298">
        <f t="shared" si="34"/>
        <v>0</v>
      </c>
      <c r="P298" s="22" t="s">
        <v>16</v>
      </c>
      <c r="Q298" s="1">
        <v>240</v>
      </c>
    </row>
    <row r="299" spans="12:17" x14ac:dyDescent="0.25">
      <c r="L299">
        <f t="shared" si="32"/>
        <v>0</v>
      </c>
      <c r="M299">
        <f t="shared" si="33"/>
        <v>0</v>
      </c>
      <c r="N299">
        <f t="shared" si="34"/>
        <v>0</v>
      </c>
      <c r="P299" s="21" t="s">
        <v>148</v>
      </c>
      <c r="Q299" s="1">
        <v>240</v>
      </c>
    </row>
    <row r="300" spans="12:17" x14ac:dyDescent="0.25">
      <c r="L300">
        <f t="shared" si="32"/>
        <v>0</v>
      </c>
      <c r="M300">
        <f t="shared" si="33"/>
        <v>0</v>
      </c>
      <c r="N300">
        <f t="shared" si="34"/>
        <v>0</v>
      </c>
      <c r="P300" s="22" t="s">
        <v>110</v>
      </c>
      <c r="Q300" s="1">
        <v>240</v>
      </c>
    </row>
    <row r="301" spans="12:17" x14ac:dyDescent="0.25">
      <c r="L301">
        <f t="shared" si="32"/>
        <v>0</v>
      </c>
      <c r="M301">
        <f t="shared" si="33"/>
        <v>0</v>
      </c>
      <c r="N301">
        <f t="shared" si="34"/>
        <v>0</v>
      </c>
      <c r="P301" s="21" t="s">
        <v>145</v>
      </c>
      <c r="Q301" s="1">
        <v>140</v>
      </c>
    </row>
    <row r="302" spans="12:17" x14ac:dyDescent="0.25">
      <c r="L302">
        <f t="shared" si="32"/>
        <v>0</v>
      </c>
      <c r="M302">
        <f t="shared" si="33"/>
        <v>0</v>
      </c>
      <c r="N302">
        <f t="shared" si="34"/>
        <v>0</v>
      </c>
      <c r="P302" s="22" t="s">
        <v>8</v>
      </c>
      <c r="Q302" s="1">
        <v>140</v>
      </c>
    </row>
    <row r="303" spans="12:17" x14ac:dyDescent="0.25">
      <c r="L303">
        <f t="shared" si="32"/>
        <v>0</v>
      </c>
      <c r="M303">
        <f t="shared" si="33"/>
        <v>0</v>
      </c>
      <c r="N303">
        <f t="shared" si="34"/>
        <v>0</v>
      </c>
      <c r="P303" s="21" t="s">
        <v>146</v>
      </c>
      <c r="Q303" s="1">
        <v>140</v>
      </c>
    </row>
    <row r="304" spans="12:17" x14ac:dyDescent="0.25">
      <c r="L304">
        <f t="shared" si="32"/>
        <v>0</v>
      </c>
      <c r="M304">
        <f t="shared" si="33"/>
        <v>0</v>
      </c>
      <c r="N304">
        <f t="shared" si="34"/>
        <v>0</v>
      </c>
      <c r="P304" s="22" t="s">
        <v>43</v>
      </c>
      <c r="Q304" s="1">
        <v>140</v>
      </c>
    </row>
    <row r="305" spans="12:17" x14ac:dyDescent="0.25">
      <c r="L305">
        <f t="shared" si="32"/>
        <v>0</v>
      </c>
      <c r="M305">
        <f t="shared" si="33"/>
        <v>0</v>
      </c>
      <c r="N305">
        <f t="shared" si="34"/>
        <v>0</v>
      </c>
      <c r="P305" s="21" t="s">
        <v>143</v>
      </c>
      <c r="Q305" s="1">
        <v>140</v>
      </c>
    </row>
    <row r="306" spans="12:17" x14ac:dyDescent="0.25">
      <c r="L306">
        <f t="shared" si="32"/>
        <v>0</v>
      </c>
      <c r="M306">
        <f t="shared" si="33"/>
        <v>0</v>
      </c>
      <c r="N306">
        <f t="shared" si="34"/>
        <v>0</v>
      </c>
      <c r="P306" s="22" t="s">
        <v>23</v>
      </c>
      <c r="Q306" s="1">
        <v>140</v>
      </c>
    </row>
    <row r="307" spans="12:17" x14ac:dyDescent="0.25">
      <c r="L307">
        <f t="shared" si="32"/>
        <v>0</v>
      </c>
      <c r="M307">
        <f t="shared" si="33"/>
        <v>0</v>
      </c>
      <c r="N307">
        <f t="shared" si="34"/>
        <v>0</v>
      </c>
      <c r="P307" s="21" t="s">
        <v>147</v>
      </c>
      <c r="Q307" s="1">
        <v>140</v>
      </c>
    </row>
    <row r="308" spans="12:17" x14ac:dyDescent="0.25">
      <c r="L308">
        <f t="shared" si="32"/>
        <v>0</v>
      </c>
      <c r="M308">
        <f t="shared" si="33"/>
        <v>0</v>
      </c>
      <c r="N308">
        <f t="shared" si="34"/>
        <v>0</v>
      </c>
      <c r="P308" s="22" t="s">
        <v>84</v>
      </c>
      <c r="Q308" s="1">
        <v>140</v>
      </c>
    </row>
    <row r="309" spans="12:17" x14ac:dyDescent="0.25">
      <c r="L309">
        <f t="shared" si="32"/>
        <v>0</v>
      </c>
      <c r="M309">
        <f t="shared" si="33"/>
        <v>0</v>
      </c>
      <c r="N309">
        <f t="shared" si="34"/>
        <v>0</v>
      </c>
      <c r="P309" s="21" t="s">
        <v>187</v>
      </c>
      <c r="Q309" s="1">
        <v>149340</v>
      </c>
    </row>
  </sheetData>
  <autoFilter ref="A1:J309" xr:uid="{2E78A7E7-48A9-412D-B502-BE5AE952532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110D-D360-42B7-BF0C-236D68462EF8}">
  <dimension ref="A1:K201"/>
  <sheetViews>
    <sheetView zoomScale="160" zoomScaleNormal="160" workbookViewId="0">
      <selection activeCell="L8" sqref="L8"/>
    </sheetView>
  </sheetViews>
  <sheetFormatPr defaultRowHeight="15" x14ac:dyDescent="0.25"/>
  <cols>
    <col min="1" max="1" width="5.85546875" bestFit="1" customWidth="1"/>
    <col min="2" max="2" width="10.85546875" bestFit="1" customWidth="1"/>
    <col min="3" max="3" width="14.85546875" bestFit="1" customWidth="1"/>
    <col min="4" max="4" width="13" bestFit="1" customWidth="1"/>
    <col min="5" max="5" width="11" bestFit="1" customWidth="1"/>
    <col min="6" max="6" width="10.5703125" bestFit="1" customWidth="1"/>
    <col min="8" max="8" width="17.7109375" bestFit="1" customWidth="1"/>
    <col min="9" max="9" width="17.5703125" bestFit="1" customWidth="1"/>
  </cols>
  <sheetData>
    <row r="1" spans="1:1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11" x14ac:dyDescent="0.25">
      <c r="A2" s="7">
        <v>1</v>
      </c>
      <c r="B2" s="8" t="s">
        <v>6</v>
      </c>
      <c r="C2" s="8" t="s">
        <v>7</v>
      </c>
      <c r="D2" s="9">
        <v>2</v>
      </c>
      <c r="E2" s="10">
        <v>45778</v>
      </c>
      <c r="F2" s="11">
        <v>45780</v>
      </c>
      <c r="H2" s="20" t="s">
        <v>186</v>
      </c>
      <c r="I2" t="s">
        <v>203</v>
      </c>
    </row>
    <row r="3" spans="1:11" x14ac:dyDescent="0.25">
      <c r="A3" s="12">
        <v>10</v>
      </c>
      <c r="B3" s="13" t="s">
        <v>23</v>
      </c>
      <c r="C3" s="13" t="s">
        <v>24</v>
      </c>
      <c r="D3" s="14">
        <v>2</v>
      </c>
      <c r="E3" s="15">
        <v>45778</v>
      </c>
      <c r="F3" s="16">
        <v>45780</v>
      </c>
      <c r="H3" s="21" t="s">
        <v>199</v>
      </c>
      <c r="I3" s="1">
        <v>89</v>
      </c>
      <c r="K3" s="1">
        <v>89</v>
      </c>
    </row>
    <row r="4" spans="1:11" x14ac:dyDescent="0.25">
      <c r="A4" s="12">
        <v>16</v>
      </c>
      <c r="B4" s="13" t="s">
        <v>32</v>
      </c>
      <c r="C4" s="13" t="s">
        <v>33</v>
      </c>
      <c r="D4" s="14">
        <v>1</v>
      </c>
      <c r="E4" s="15">
        <v>45778</v>
      </c>
      <c r="F4" s="16">
        <v>45780</v>
      </c>
      <c r="H4" s="21" t="s">
        <v>200</v>
      </c>
      <c r="I4" s="1">
        <v>128</v>
      </c>
      <c r="K4" s="1">
        <v>128</v>
      </c>
    </row>
    <row r="5" spans="1:11" x14ac:dyDescent="0.25">
      <c r="A5" s="7">
        <v>61</v>
      </c>
      <c r="B5" s="8" t="s">
        <v>84</v>
      </c>
      <c r="C5" s="8" t="s">
        <v>92</v>
      </c>
      <c r="D5" s="9">
        <v>3</v>
      </c>
      <c r="E5" s="10">
        <v>45778</v>
      </c>
      <c r="F5" s="11">
        <v>45780</v>
      </c>
      <c r="H5" s="21" t="s">
        <v>201</v>
      </c>
      <c r="I5" s="1">
        <v>119</v>
      </c>
      <c r="K5">
        <f>SUM(K3:K4)</f>
        <v>217</v>
      </c>
    </row>
    <row r="6" spans="1:11" x14ac:dyDescent="0.25">
      <c r="A6" s="12">
        <v>84</v>
      </c>
      <c r="B6" s="13" t="s">
        <v>54</v>
      </c>
      <c r="C6" s="13" t="s">
        <v>117</v>
      </c>
      <c r="D6" s="14">
        <v>3</v>
      </c>
      <c r="E6" s="15">
        <v>45778</v>
      </c>
      <c r="F6" s="16">
        <v>45780</v>
      </c>
      <c r="H6" s="21" t="s">
        <v>202</v>
      </c>
      <c r="I6" s="1">
        <v>91</v>
      </c>
    </row>
    <row r="7" spans="1:11" x14ac:dyDescent="0.25">
      <c r="A7" s="7">
        <v>125</v>
      </c>
      <c r="B7" s="8" t="s">
        <v>23</v>
      </c>
      <c r="C7" s="8" t="s">
        <v>159</v>
      </c>
      <c r="D7" s="9">
        <v>3</v>
      </c>
      <c r="E7" s="10">
        <v>45778</v>
      </c>
      <c r="F7" s="11">
        <v>45780</v>
      </c>
      <c r="H7" s="21" t="s">
        <v>187</v>
      </c>
      <c r="I7" s="1">
        <v>427</v>
      </c>
    </row>
    <row r="8" spans="1:11" x14ac:dyDescent="0.25">
      <c r="A8" s="7">
        <v>131</v>
      </c>
      <c r="B8" s="8" t="s">
        <v>165</v>
      </c>
      <c r="C8" s="8" t="s">
        <v>166</v>
      </c>
      <c r="D8" s="9">
        <v>1</v>
      </c>
      <c r="E8" s="10">
        <v>45778</v>
      </c>
      <c r="F8" s="11">
        <v>45780</v>
      </c>
    </row>
    <row r="9" spans="1:11" x14ac:dyDescent="0.25">
      <c r="A9" s="12">
        <v>132</v>
      </c>
      <c r="B9" s="13" t="s">
        <v>54</v>
      </c>
      <c r="C9" s="13" t="s">
        <v>167</v>
      </c>
      <c r="D9" s="14">
        <v>1</v>
      </c>
      <c r="E9" s="15">
        <v>45778</v>
      </c>
      <c r="F9" s="16">
        <v>45780</v>
      </c>
    </row>
    <row r="10" spans="1:11" x14ac:dyDescent="0.25">
      <c r="A10" s="12">
        <v>12</v>
      </c>
      <c r="B10" s="13" t="s">
        <v>26</v>
      </c>
      <c r="C10" s="13" t="s">
        <v>27</v>
      </c>
      <c r="D10" s="14">
        <v>1</v>
      </c>
      <c r="E10" s="15">
        <v>45782</v>
      </c>
      <c r="F10" s="16">
        <v>45786</v>
      </c>
    </row>
    <row r="11" spans="1:11" x14ac:dyDescent="0.25">
      <c r="A11" s="12">
        <v>14</v>
      </c>
      <c r="B11" s="13" t="s">
        <v>29</v>
      </c>
      <c r="C11" s="13" t="s">
        <v>30</v>
      </c>
      <c r="D11" s="14">
        <v>1</v>
      </c>
      <c r="E11" s="15">
        <v>45782</v>
      </c>
      <c r="F11" s="16">
        <v>45786</v>
      </c>
    </row>
    <row r="12" spans="1:11" x14ac:dyDescent="0.25">
      <c r="A12" s="7">
        <v>15</v>
      </c>
      <c r="B12" s="8" t="s">
        <v>6</v>
      </c>
      <c r="C12" s="8" t="s">
        <v>31</v>
      </c>
      <c r="D12" s="9">
        <v>1</v>
      </c>
      <c r="E12" s="10">
        <v>45782</v>
      </c>
      <c r="F12" s="11">
        <v>45786</v>
      </c>
    </row>
    <row r="13" spans="1:11" x14ac:dyDescent="0.25">
      <c r="A13" s="7">
        <v>17</v>
      </c>
      <c r="B13" s="8" t="s">
        <v>34</v>
      </c>
      <c r="C13" s="8" t="s">
        <v>35</v>
      </c>
      <c r="D13" s="9">
        <v>2</v>
      </c>
      <c r="E13" s="10">
        <v>45782</v>
      </c>
      <c r="F13" s="11">
        <v>45786</v>
      </c>
    </row>
    <row r="14" spans="1:11" x14ac:dyDescent="0.25">
      <c r="A14" s="12">
        <v>18</v>
      </c>
      <c r="B14" s="13" t="s">
        <v>36</v>
      </c>
      <c r="C14" s="13" t="s">
        <v>37</v>
      </c>
      <c r="D14" s="14">
        <v>2</v>
      </c>
      <c r="E14" s="15">
        <v>45782</v>
      </c>
      <c r="F14" s="16">
        <v>45786</v>
      </c>
    </row>
    <row r="15" spans="1:11" x14ac:dyDescent="0.25">
      <c r="A15" s="7">
        <v>19</v>
      </c>
      <c r="B15" s="8" t="s">
        <v>38</v>
      </c>
      <c r="C15" s="8" t="s">
        <v>39</v>
      </c>
      <c r="D15" s="9">
        <v>2</v>
      </c>
      <c r="E15" s="10">
        <v>45782</v>
      </c>
      <c r="F15" s="11">
        <v>45786</v>
      </c>
    </row>
    <row r="16" spans="1:11" x14ac:dyDescent="0.25">
      <c r="A16" s="7">
        <v>25</v>
      </c>
      <c r="B16" s="8" t="s">
        <v>49</v>
      </c>
      <c r="C16" s="8" t="s">
        <v>50</v>
      </c>
      <c r="D16" s="9">
        <v>2</v>
      </c>
      <c r="E16" s="10">
        <v>45782</v>
      </c>
      <c r="F16" s="11">
        <v>45786</v>
      </c>
    </row>
    <row r="17" spans="1:6" x14ac:dyDescent="0.25">
      <c r="A17" s="12">
        <v>26</v>
      </c>
      <c r="B17" s="13" t="s">
        <v>51</v>
      </c>
      <c r="C17" s="13" t="s">
        <v>52</v>
      </c>
      <c r="D17" s="14">
        <v>2</v>
      </c>
      <c r="E17" s="15">
        <v>45782</v>
      </c>
      <c r="F17" s="16">
        <v>45786</v>
      </c>
    </row>
    <row r="18" spans="1:6" x14ac:dyDescent="0.25">
      <c r="A18" s="7">
        <v>27</v>
      </c>
      <c r="B18" s="8" t="s">
        <v>34</v>
      </c>
      <c r="C18" s="8" t="s">
        <v>53</v>
      </c>
      <c r="D18" s="9">
        <v>3</v>
      </c>
      <c r="E18" s="10">
        <v>45782</v>
      </c>
      <c r="F18" s="11">
        <v>45786</v>
      </c>
    </row>
    <row r="19" spans="1:6" x14ac:dyDescent="0.25">
      <c r="A19" s="12">
        <v>28</v>
      </c>
      <c r="B19" s="13" t="s">
        <v>54</v>
      </c>
      <c r="C19" s="13" t="s">
        <v>55</v>
      </c>
      <c r="D19" s="14">
        <v>3</v>
      </c>
      <c r="E19" s="15">
        <v>45782</v>
      </c>
      <c r="F19" s="16">
        <v>45786</v>
      </c>
    </row>
    <row r="20" spans="1:6" x14ac:dyDescent="0.25">
      <c r="A20" s="7">
        <v>29</v>
      </c>
      <c r="B20" s="8" t="s">
        <v>18</v>
      </c>
      <c r="C20" s="8" t="s">
        <v>56</v>
      </c>
      <c r="D20" s="9">
        <v>3</v>
      </c>
      <c r="E20" s="10">
        <v>45782</v>
      </c>
      <c r="F20" s="11">
        <v>45786</v>
      </c>
    </row>
    <row r="21" spans="1:6" x14ac:dyDescent="0.25">
      <c r="A21" s="12">
        <v>34</v>
      </c>
      <c r="B21" s="13" t="s">
        <v>34</v>
      </c>
      <c r="C21" s="13" t="s">
        <v>61</v>
      </c>
      <c r="D21" s="14">
        <v>3</v>
      </c>
      <c r="E21" s="15">
        <v>45782</v>
      </c>
      <c r="F21" s="16">
        <v>45786</v>
      </c>
    </row>
    <row r="22" spans="1:6" x14ac:dyDescent="0.25">
      <c r="A22" s="7">
        <v>35</v>
      </c>
      <c r="B22" s="8" t="s">
        <v>6</v>
      </c>
      <c r="C22" s="8" t="s">
        <v>62</v>
      </c>
      <c r="D22" s="9">
        <v>4</v>
      </c>
      <c r="E22" s="10">
        <v>45782</v>
      </c>
      <c r="F22" s="11">
        <v>45786</v>
      </c>
    </row>
    <row r="23" spans="1:6" x14ac:dyDescent="0.25">
      <c r="A23" s="12">
        <v>36</v>
      </c>
      <c r="B23" s="13" t="s">
        <v>43</v>
      </c>
      <c r="C23" s="13" t="s">
        <v>63</v>
      </c>
      <c r="D23" s="14">
        <v>4</v>
      </c>
      <c r="E23" s="15">
        <v>45782</v>
      </c>
      <c r="F23" s="16">
        <v>45786</v>
      </c>
    </row>
    <row r="24" spans="1:6" x14ac:dyDescent="0.25">
      <c r="A24" s="12">
        <v>2</v>
      </c>
      <c r="B24" s="13" t="s">
        <v>8</v>
      </c>
      <c r="C24" s="13" t="s">
        <v>9</v>
      </c>
      <c r="D24" s="14">
        <v>3</v>
      </c>
      <c r="E24" s="15">
        <v>45787</v>
      </c>
      <c r="F24" s="16">
        <v>45792</v>
      </c>
    </row>
    <row r="25" spans="1:6" x14ac:dyDescent="0.25">
      <c r="A25" s="7">
        <v>7</v>
      </c>
      <c r="B25" s="8" t="s">
        <v>18</v>
      </c>
      <c r="C25" s="8" t="s">
        <v>19</v>
      </c>
      <c r="D25" s="9">
        <v>3</v>
      </c>
      <c r="E25" s="10">
        <v>45787</v>
      </c>
      <c r="F25" s="11">
        <v>45792</v>
      </c>
    </row>
    <row r="26" spans="1:6" x14ac:dyDescent="0.25">
      <c r="A26" s="7">
        <v>23</v>
      </c>
      <c r="B26" s="8" t="s">
        <v>45</v>
      </c>
      <c r="C26" s="8" t="s">
        <v>46</v>
      </c>
      <c r="D26" s="9">
        <v>3</v>
      </c>
      <c r="E26" s="10">
        <v>45787</v>
      </c>
      <c r="F26" s="11">
        <v>45792</v>
      </c>
    </row>
    <row r="27" spans="1:6" x14ac:dyDescent="0.25">
      <c r="A27" s="12">
        <v>62</v>
      </c>
      <c r="B27" s="13" t="s">
        <v>14</v>
      </c>
      <c r="C27" s="13" t="s">
        <v>93</v>
      </c>
      <c r="D27" s="14">
        <v>3</v>
      </c>
      <c r="E27" s="15">
        <v>45787</v>
      </c>
      <c r="F27" s="16">
        <v>45792</v>
      </c>
    </row>
    <row r="28" spans="1:6" x14ac:dyDescent="0.25">
      <c r="A28" s="7">
        <v>5</v>
      </c>
      <c r="B28" s="8" t="s">
        <v>14</v>
      </c>
      <c r="C28" s="8" t="s">
        <v>15</v>
      </c>
      <c r="D28" s="9">
        <v>1</v>
      </c>
      <c r="E28" s="10">
        <v>45795</v>
      </c>
      <c r="F28" s="11">
        <v>45798</v>
      </c>
    </row>
    <row r="29" spans="1:6" x14ac:dyDescent="0.25">
      <c r="A29" s="7">
        <v>37</v>
      </c>
      <c r="B29" s="8" t="s">
        <v>26</v>
      </c>
      <c r="C29" s="8" t="s">
        <v>64</v>
      </c>
      <c r="D29" s="9">
        <v>1</v>
      </c>
      <c r="E29" s="10">
        <v>45795</v>
      </c>
      <c r="F29" s="11">
        <v>45798</v>
      </c>
    </row>
    <row r="30" spans="1:6" x14ac:dyDescent="0.25">
      <c r="A30" s="7">
        <v>55</v>
      </c>
      <c r="B30" s="8" t="s">
        <v>84</v>
      </c>
      <c r="C30" s="8" t="s">
        <v>85</v>
      </c>
      <c r="D30" s="9">
        <v>1</v>
      </c>
      <c r="E30" s="10">
        <v>45795</v>
      </c>
      <c r="F30" s="11">
        <v>45798</v>
      </c>
    </row>
    <row r="31" spans="1:6" x14ac:dyDescent="0.25">
      <c r="A31" s="12">
        <v>70</v>
      </c>
      <c r="B31" s="13" t="s">
        <v>10</v>
      </c>
      <c r="C31" s="13" t="s">
        <v>101</v>
      </c>
      <c r="D31" s="14">
        <v>4</v>
      </c>
      <c r="E31" s="15">
        <v>45795</v>
      </c>
      <c r="F31" s="16">
        <v>45798</v>
      </c>
    </row>
    <row r="32" spans="1:6" x14ac:dyDescent="0.25">
      <c r="A32" s="7">
        <v>95</v>
      </c>
      <c r="B32" s="8" t="s">
        <v>73</v>
      </c>
      <c r="C32" s="8" t="s">
        <v>129</v>
      </c>
      <c r="D32" s="9">
        <v>1</v>
      </c>
      <c r="E32" s="10">
        <v>45795</v>
      </c>
      <c r="F32" s="11">
        <v>45798</v>
      </c>
    </row>
    <row r="33" spans="1:6" x14ac:dyDescent="0.25">
      <c r="A33" s="12">
        <v>120</v>
      </c>
      <c r="B33" s="13" t="s">
        <v>26</v>
      </c>
      <c r="C33" s="13" t="s">
        <v>154</v>
      </c>
      <c r="D33" s="14">
        <v>4</v>
      </c>
      <c r="E33" s="15">
        <v>45795</v>
      </c>
      <c r="F33" s="16">
        <v>45798</v>
      </c>
    </row>
    <row r="34" spans="1:6" x14ac:dyDescent="0.25">
      <c r="A34" s="12">
        <v>4</v>
      </c>
      <c r="B34" s="13" t="s">
        <v>12</v>
      </c>
      <c r="C34" s="13" t="s">
        <v>13</v>
      </c>
      <c r="D34" s="14">
        <v>2</v>
      </c>
      <c r="E34" s="15">
        <v>45803</v>
      </c>
      <c r="F34" s="16">
        <v>45805</v>
      </c>
    </row>
    <row r="35" spans="1:6" x14ac:dyDescent="0.25">
      <c r="A35" s="12">
        <v>38</v>
      </c>
      <c r="B35" s="13" t="s">
        <v>65</v>
      </c>
      <c r="C35" s="13" t="s">
        <v>66</v>
      </c>
      <c r="D35" s="14">
        <v>2</v>
      </c>
      <c r="E35" s="15">
        <v>45803</v>
      </c>
      <c r="F35" s="16">
        <v>45805</v>
      </c>
    </row>
    <row r="36" spans="1:6" x14ac:dyDescent="0.25">
      <c r="A36" s="12">
        <v>48</v>
      </c>
      <c r="B36" s="13" t="s">
        <v>45</v>
      </c>
      <c r="C36" s="13" t="s">
        <v>77</v>
      </c>
      <c r="D36" s="14">
        <v>2</v>
      </c>
      <c r="E36" s="15">
        <v>45803</v>
      </c>
      <c r="F36" s="16">
        <v>45805</v>
      </c>
    </row>
    <row r="37" spans="1:6" x14ac:dyDescent="0.25">
      <c r="A37" s="7">
        <v>75</v>
      </c>
      <c r="B37" s="8" t="s">
        <v>45</v>
      </c>
      <c r="C37" s="8" t="s">
        <v>107</v>
      </c>
      <c r="D37" s="9">
        <v>2</v>
      </c>
      <c r="E37" s="10">
        <v>45803</v>
      </c>
      <c r="F37" s="11">
        <v>45805</v>
      </c>
    </row>
    <row r="38" spans="1:6" x14ac:dyDescent="0.25">
      <c r="A38" s="12">
        <v>82</v>
      </c>
      <c r="B38" s="13" t="s">
        <v>84</v>
      </c>
      <c r="C38" s="13" t="s">
        <v>115</v>
      </c>
      <c r="D38" s="14">
        <v>2</v>
      </c>
      <c r="E38" s="15">
        <v>45803</v>
      </c>
      <c r="F38" s="16">
        <v>45805</v>
      </c>
    </row>
    <row r="39" spans="1:6" x14ac:dyDescent="0.25">
      <c r="A39" s="7">
        <v>105</v>
      </c>
      <c r="B39" s="8" t="s">
        <v>16</v>
      </c>
      <c r="C39" s="8" t="s">
        <v>139</v>
      </c>
      <c r="D39" s="9">
        <v>2</v>
      </c>
      <c r="E39" s="10">
        <v>45803</v>
      </c>
      <c r="F39" s="11">
        <v>45805</v>
      </c>
    </row>
    <row r="40" spans="1:6" x14ac:dyDescent="0.25">
      <c r="A40" s="12">
        <v>110</v>
      </c>
      <c r="B40" s="13" t="s">
        <v>36</v>
      </c>
      <c r="C40" s="13" t="s">
        <v>144</v>
      </c>
      <c r="D40" s="14">
        <v>2</v>
      </c>
      <c r="E40" s="15">
        <v>45803</v>
      </c>
      <c r="F40" s="16">
        <v>45805</v>
      </c>
    </row>
    <row r="41" spans="1:6" x14ac:dyDescent="0.25">
      <c r="A41" s="7">
        <v>119</v>
      </c>
      <c r="B41" s="8" t="s">
        <v>102</v>
      </c>
      <c r="C41" s="8" t="s">
        <v>153</v>
      </c>
      <c r="D41" s="9">
        <v>2</v>
      </c>
      <c r="E41" s="10">
        <v>45803</v>
      </c>
      <c r="F41" s="11">
        <v>45805</v>
      </c>
    </row>
    <row r="42" spans="1:6" x14ac:dyDescent="0.25">
      <c r="A42" s="7">
        <v>3</v>
      </c>
      <c r="B42" s="8" t="s">
        <v>10</v>
      </c>
      <c r="C42" s="8" t="s">
        <v>11</v>
      </c>
      <c r="D42" s="9">
        <v>2</v>
      </c>
      <c r="E42" s="10">
        <v>45809</v>
      </c>
      <c r="F42" s="11">
        <v>45812</v>
      </c>
    </row>
    <row r="43" spans="1:6" x14ac:dyDescent="0.25">
      <c r="A43" s="7">
        <v>13</v>
      </c>
      <c r="B43" s="8" t="s">
        <v>23</v>
      </c>
      <c r="C43" s="8" t="s">
        <v>28</v>
      </c>
      <c r="D43" s="9">
        <v>2</v>
      </c>
      <c r="E43" s="10">
        <v>45809</v>
      </c>
      <c r="F43" s="11">
        <v>45812</v>
      </c>
    </row>
    <row r="44" spans="1:6" x14ac:dyDescent="0.25">
      <c r="A44" s="12">
        <v>22</v>
      </c>
      <c r="B44" s="13" t="s">
        <v>43</v>
      </c>
      <c r="C44" s="13" t="s">
        <v>44</v>
      </c>
      <c r="D44" s="14">
        <v>2</v>
      </c>
      <c r="E44" s="15">
        <v>45809</v>
      </c>
      <c r="F44" s="16">
        <v>45812</v>
      </c>
    </row>
    <row r="45" spans="1:6" x14ac:dyDescent="0.25">
      <c r="A45" s="7">
        <v>33</v>
      </c>
      <c r="B45" s="8" t="s">
        <v>12</v>
      </c>
      <c r="C45" s="8" t="s">
        <v>60</v>
      </c>
      <c r="D45" s="9">
        <v>2</v>
      </c>
      <c r="E45" s="10">
        <v>45809</v>
      </c>
      <c r="F45" s="11">
        <v>45812</v>
      </c>
    </row>
    <row r="46" spans="1:6" x14ac:dyDescent="0.25">
      <c r="A46" s="12">
        <v>46</v>
      </c>
      <c r="B46" s="13" t="s">
        <v>51</v>
      </c>
      <c r="C46" s="13" t="s">
        <v>75</v>
      </c>
      <c r="D46" s="14">
        <v>2</v>
      </c>
      <c r="E46" s="15">
        <v>45809</v>
      </c>
      <c r="F46" s="16">
        <v>45812</v>
      </c>
    </row>
    <row r="47" spans="1:6" x14ac:dyDescent="0.25">
      <c r="A47" s="7">
        <v>59</v>
      </c>
      <c r="B47" s="8" t="s">
        <v>12</v>
      </c>
      <c r="C47" s="8" t="s">
        <v>90</v>
      </c>
      <c r="D47" s="9">
        <v>2</v>
      </c>
      <c r="E47" s="10">
        <v>45809</v>
      </c>
      <c r="F47" s="11">
        <v>45812</v>
      </c>
    </row>
    <row r="48" spans="1:6" x14ac:dyDescent="0.25">
      <c r="A48" s="12">
        <v>60</v>
      </c>
      <c r="B48" s="13" t="s">
        <v>16</v>
      </c>
      <c r="C48" s="13" t="s">
        <v>91</v>
      </c>
      <c r="D48" s="14">
        <v>2</v>
      </c>
      <c r="E48" s="15">
        <v>45809</v>
      </c>
      <c r="F48" s="16">
        <v>45812</v>
      </c>
    </row>
    <row r="49" spans="1:6" x14ac:dyDescent="0.25">
      <c r="A49" s="7">
        <v>171</v>
      </c>
      <c r="B49" s="8" t="s">
        <v>43</v>
      </c>
      <c r="C49" s="8" t="s">
        <v>141</v>
      </c>
      <c r="D49" s="9">
        <v>2</v>
      </c>
      <c r="E49" s="10">
        <v>45809</v>
      </c>
      <c r="F49" s="11">
        <v>45812</v>
      </c>
    </row>
    <row r="50" spans="1:6" x14ac:dyDescent="0.25">
      <c r="A50" s="12">
        <v>176</v>
      </c>
      <c r="B50" s="13" t="s">
        <v>54</v>
      </c>
      <c r="C50" s="13" t="s">
        <v>117</v>
      </c>
      <c r="D50" s="14">
        <v>4</v>
      </c>
      <c r="E50" s="15">
        <v>45809</v>
      </c>
      <c r="F50" s="16">
        <v>45812</v>
      </c>
    </row>
    <row r="51" spans="1:6" x14ac:dyDescent="0.25">
      <c r="A51" s="12">
        <v>180</v>
      </c>
      <c r="B51" s="13" t="s">
        <v>34</v>
      </c>
      <c r="C51" s="13" t="s">
        <v>134</v>
      </c>
      <c r="D51" s="14">
        <v>4</v>
      </c>
      <c r="E51" s="15">
        <v>45809</v>
      </c>
      <c r="F51" s="16">
        <v>45812</v>
      </c>
    </row>
    <row r="52" spans="1:6" x14ac:dyDescent="0.25">
      <c r="A52" s="7">
        <v>181</v>
      </c>
      <c r="B52" s="8" t="s">
        <v>45</v>
      </c>
      <c r="C52" s="8" t="s">
        <v>171</v>
      </c>
      <c r="D52" s="9">
        <v>1</v>
      </c>
      <c r="E52" s="10">
        <v>45809</v>
      </c>
      <c r="F52" s="11">
        <v>45812</v>
      </c>
    </row>
    <row r="53" spans="1:6" x14ac:dyDescent="0.25">
      <c r="A53" s="12">
        <v>192</v>
      </c>
      <c r="B53" s="13" t="s">
        <v>29</v>
      </c>
      <c r="C53" s="13" t="s">
        <v>177</v>
      </c>
      <c r="D53" s="14">
        <v>1</v>
      </c>
      <c r="E53" s="15">
        <v>45809</v>
      </c>
      <c r="F53" s="16">
        <v>45812</v>
      </c>
    </row>
    <row r="54" spans="1:6" x14ac:dyDescent="0.25">
      <c r="A54" s="7">
        <v>193</v>
      </c>
      <c r="B54" s="8" t="s">
        <v>73</v>
      </c>
      <c r="C54" s="8" t="s">
        <v>129</v>
      </c>
      <c r="D54" s="9">
        <v>1</v>
      </c>
      <c r="E54" s="10">
        <v>45809</v>
      </c>
      <c r="F54" s="11">
        <v>45812</v>
      </c>
    </row>
    <row r="55" spans="1:6" x14ac:dyDescent="0.25">
      <c r="A55" s="7">
        <v>199</v>
      </c>
      <c r="B55" s="8" t="s">
        <v>34</v>
      </c>
      <c r="C55" s="8" t="s">
        <v>134</v>
      </c>
      <c r="D55" s="9">
        <v>3</v>
      </c>
      <c r="E55" s="10">
        <v>45809</v>
      </c>
      <c r="F55" s="11">
        <v>45812</v>
      </c>
    </row>
    <row r="56" spans="1:6" x14ac:dyDescent="0.25">
      <c r="A56" s="12">
        <v>200</v>
      </c>
      <c r="B56" s="13" t="s">
        <v>54</v>
      </c>
      <c r="C56" s="13" t="s">
        <v>117</v>
      </c>
      <c r="D56" s="14">
        <v>3</v>
      </c>
      <c r="E56" s="15">
        <v>45809</v>
      </c>
      <c r="F56" s="16">
        <v>45812</v>
      </c>
    </row>
    <row r="57" spans="1:6" x14ac:dyDescent="0.25">
      <c r="A57" s="12">
        <v>6</v>
      </c>
      <c r="B57" s="13" t="s">
        <v>16</v>
      </c>
      <c r="C57" s="13" t="s">
        <v>17</v>
      </c>
      <c r="D57" s="14">
        <v>3</v>
      </c>
      <c r="E57" s="15">
        <v>45816</v>
      </c>
      <c r="F57" s="16">
        <v>45817</v>
      </c>
    </row>
    <row r="58" spans="1:6" x14ac:dyDescent="0.25">
      <c r="A58" s="7">
        <v>47</v>
      </c>
      <c r="B58" s="8" t="s">
        <v>38</v>
      </c>
      <c r="C58" s="8" t="s">
        <v>76</v>
      </c>
      <c r="D58" s="9">
        <v>3</v>
      </c>
      <c r="E58" s="10">
        <v>45816</v>
      </c>
      <c r="F58" s="11">
        <v>45817</v>
      </c>
    </row>
    <row r="59" spans="1:6" x14ac:dyDescent="0.25">
      <c r="A59" s="7">
        <v>63</v>
      </c>
      <c r="B59" s="8" t="s">
        <v>12</v>
      </c>
      <c r="C59" s="8" t="s">
        <v>94</v>
      </c>
      <c r="D59" s="9">
        <v>4</v>
      </c>
      <c r="E59" s="10">
        <v>45816</v>
      </c>
      <c r="F59" s="11">
        <v>45817</v>
      </c>
    </row>
    <row r="60" spans="1:6" x14ac:dyDescent="0.25">
      <c r="A60" s="7">
        <v>83</v>
      </c>
      <c r="B60" s="8" t="s">
        <v>14</v>
      </c>
      <c r="C60" s="8" t="s">
        <v>116</v>
      </c>
      <c r="D60" s="9">
        <v>4</v>
      </c>
      <c r="E60" s="10">
        <v>45816</v>
      </c>
      <c r="F60" s="11">
        <v>45817</v>
      </c>
    </row>
    <row r="61" spans="1:6" x14ac:dyDescent="0.25">
      <c r="A61" s="12">
        <v>104</v>
      </c>
      <c r="B61" s="13" t="s">
        <v>20</v>
      </c>
      <c r="C61" s="13" t="s">
        <v>138</v>
      </c>
      <c r="D61" s="14">
        <v>3</v>
      </c>
      <c r="E61" s="15">
        <v>45816</v>
      </c>
      <c r="F61" s="16">
        <v>45817</v>
      </c>
    </row>
    <row r="62" spans="1:6" x14ac:dyDescent="0.25">
      <c r="A62" s="12">
        <v>126</v>
      </c>
      <c r="B62" s="13" t="s">
        <v>6</v>
      </c>
      <c r="C62" s="13" t="s">
        <v>160</v>
      </c>
      <c r="D62" s="14">
        <v>3</v>
      </c>
      <c r="E62" s="15">
        <v>45816</v>
      </c>
      <c r="F62" s="16">
        <v>45817</v>
      </c>
    </row>
    <row r="63" spans="1:6" x14ac:dyDescent="0.25">
      <c r="A63" s="12">
        <v>134</v>
      </c>
      <c r="B63" s="13" t="s">
        <v>84</v>
      </c>
      <c r="C63" s="13" t="s">
        <v>169</v>
      </c>
      <c r="D63" s="14">
        <v>2</v>
      </c>
      <c r="E63" s="15">
        <v>45818</v>
      </c>
      <c r="F63" s="16">
        <v>45823</v>
      </c>
    </row>
    <row r="64" spans="1:6" x14ac:dyDescent="0.25">
      <c r="A64" s="12">
        <v>140</v>
      </c>
      <c r="B64" s="13" t="s">
        <v>38</v>
      </c>
      <c r="C64" s="13" t="s">
        <v>175</v>
      </c>
      <c r="D64" s="14">
        <v>2</v>
      </c>
      <c r="E64" s="15">
        <v>45818</v>
      </c>
      <c r="F64" s="16">
        <v>45823</v>
      </c>
    </row>
    <row r="65" spans="1:6" x14ac:dyDescent="0.25">
      <c r="A65" s="7">
        <v>145</v>
      </c>
      <c r="B65" s="8" t="s">
        <v>12</v>
      </c>
      <c r="C65" s="8" t="s">
        <v>180</v>
      </c>
      <c r="D65" s="9">
        <v>2</v>
      </c>
      <c r="E65" s="10">
        <v>45818</v>
      </c>
      <c r="F65" s="11">
        <v>45823</v>
      </c>
    </row>
    <row r="66" spans="1:6" x14ac:dyDescent="0.25">
      <c r="A66" s="12">
        <v>148</v>
      </c>
      <c r="B66" s="13" t="s">
        <v>38</v>
      </c>
      <c r="C66" s="13" t="s">
        <v>183</v>
      </c>
      <c r="D66" s="14">
        <v>2</v>
      </c>
      <c r="E66" s="15">
        <v>45818</v>
      </c>
      <c r="F66" s="16">
        <v>45823</v>
      </c>
    </row>
    <row r="67" spans="1:6" x14ac:dyDescent="0.25">
      <c r="A67" s="7">
        <v>153</v>
      </c>
      <c r="B67" s="8" t="s">
        <v>54</v>
      </c>
      <c r="C67" s="8" t="s">
        <v>117</v>
      </c>
      <c r="D67" s="9">
        <v>2</v>
      </c>
      <c r="E67" s="10">
        <v>45818</v>
      </c>
      <c r="F67" s="11">
        <v>45823</v>
      </c>
    </row>
    <row r="68" spans="1:6" x14ac:dyDescent="0.25">
      <c r="A68" s="7">
        <v>161</v>
      </c>
      <c r="B68" s="8" t="s">
        <v>84</v>
      </c>
      <c r="C68" s="8" t="s">
        <v>169</v>
      </c>
      <c r="D68" s="9">
        <v>2</v>
      </c>
      <c r="E68" s="10">
        <v>45818</v>
      </c>
      <c r="F68" s="11">
        <v>45823</v>
      </c>
    </row>
    <row r="69" spans="1:6" x14ac:dyDescent="0.25">
      <c r="A69" s="12">
        <v>8</v>
      </c>
      <c r="B69" s="13" t="s">
        <v>20</v>
      </c>
      <c r="C69" s="13" t="s">
        <v>21</v>
      </c>
      <c r="D69" s="14">
        <v>2</v>
      </c>
      <c r="E69" s="15">
        <v>45825</v>
      </c>
      <c r="F69" s="16">
        <v>45827</v>
      </c>
    </row>
    <row r="70" spans="1:6" x14ac:dyDescent="0.25">
      <c r="A70" s="7">
        <v>21</v>
      </c>
      <c r="B70" s="8" t="s">
        <v>18</v>
      </c>
      <c r="C70" s="8" t="s">
        <v>42</v>
      </c>
      <c r="D70" s="9">
        <v>2</v>
      </c>
      <c r="E70" s="10">
        <v>45825</v>
      </c>
      <c r="F70" s="11">
        <v>45827</v>
      </c>
    </row>
    <row r="71" spans="1:6" x14ac:dyDescent="0.25">
      <c r="A71" s="12">
        <v>32</v>
      </c>
      <c r="B71" s="13" t="s">
        <v>38</v>
      </c>
      <c r="C71" s="13" t="s">
        <v>59</v>
      </c>
      <c r="D71" s="14">
        <v>4</v>
      </c>
      <c r="E71" s="15">
        <v>45825</v>
      </c>
      <c r="F71" s="16">
        <v>45827</v>
      </c>
    </row>
    <row r="72" spans="1:6" x14ac:dyDescent="0.25">
      <c r="A72" s="7">
        <v>39</v>
      </c>
      <c r="B72" s="8" t="s">
        <v>65</v>
      </c>
      <c r="C72" s="8" t="s">
        <v>67</v>
      </c>
      <c r="D72" s="9">
        <v>2</v>
      </c>
      <c r="E72" s="10">
        <v>45825</v>
      </c>
      <c r="F72" s="11">
        <v>45827</v>
      </c>
    </row>
    <row r="73" spans="1:6" x14ac:dyDescent="0.25">
      <c r="A73" s="12">
        <v>54</v>
      </c>
      <c r="B73" s="13" t="s">
        <v>23</v>
      </c>
      <c r="C73" s="13" t="s">
        <v>83</v>
      </c>
      <c r="D73" s="14">
        <v>4</v>
      </c>
      <c r="E73" s="15">
        <v>45825</v>
      </c>
      <c r="F73" s="16">
        <v>45827</v>
      </c>
    </row>
    <row r="74" spans="1:6" x14ac:dyDescent="0.25">
      <c r="A74" s="12">
        <v>40</v>
      </c>
      <c r="B74" s="13" t="s">
        <v>51</v>
      </c>
      <c r="C74" s="13" t="s">
        <v>68</v>
      </c>
      <c r="D74" s="14">
        <v>2</v>
      </c>
      <c r="E74" s="15">
        <v>45828</v>
      </c>
      <c r="F74" s="16">
        <v>45830</v>
      </c>
    </row>
    <row r="75" spans="1:6" x14ac:dyDescent="0.25">
      <c r="A75" s="7">
        <v>41</v>
      </c>
      <c r="B75" s="8" t="s">
        <v>49</v>
      </c>
      <c r="C75" s="8" t="s">
        <v>69</v>
      </c>
      <c r="D75" s="9">
        <v>2</v>
      </c>
      <c r="E75" s="10">
        <v>45828</v>
      </c>
      <c r="F75" s="11">
        <v>45830</v>
      </c>
    </row>
    <row r="76" spans="1:6" x14ac:dyDescent="0.25">
      <c r="A76" s="12">
        <v>42</v>
      </c>
      <c r="B76" s="13" t="s">
        <v>14</v>
      </c>
      <c r="C76" s="13" t="s">
        <v>70</v>
      </c>
      <c r="D76" s="14">
        <v>2</v>
      </c>
      <c r="E76" s="15">
        <v>45828</v>
      </c>
      <c r="F76" s="16">
        <v>45830</v>
      </c>
    </row>
    <row r="77" spans="1:6" x14ac:dyDescent="0.25">
      <c r="A77" s="7">
        <v>43</v>
      </c>
      <c r="B77" s="8" t="s">
        <v>23</v>
      </c>
      <c r="C77" s="8" t="s">
        <v>71</v>
      </c>
      <c r="D77" s="9">
        <v>2</v>
      </c>
      <c r="E77" s="10">
        <v>45828</v>
      </c>
      <c r="F77" s="11">
        <v>45830</v>
      </c>
    </row>
    <row r="78" spans="1:6" x14ac:dyDescent="0.25">
      <c r="A78" s="12">
        <v>44</v>
      </c>
      <c r="B78" s="13" t="s">
        <v>29</v>
      </c>
      <c r="C78" s="13" t="s">
        <v>72</v>
      </c>
      <c r="D78" s="14">
        <v>2</v>
      </c>
      <c r="E78" s="15">
        <v>45828</v>
      </c>
      <c r="F78" s="16">
        <v>45830</v>
      </c>
    </row>
    <row r="79" spans="1:6" x14ac:dyDescent="0.25">
      <c r="A79" s="7">
        <v>49</v>
      </c>
      <c r="B79" s="8" t="s">
        <v>73</v>
      </c>
      <c r="C79" s="8" t="s">
        <v>78</v>
      </c>
      <c r="D79" s="9">
        <v>2</v>
      </c>
      <c r="E79" s="10">
        <v>45828</v>
      </c>
      <c r="F79" s="11">
        <v>45830</v>
      </c>
    </row>
    <row r="80" spans="1:6" x14ac:dyDescent="0.25">
      <c r="A80" s="12">
        <v>50</v>
      </c>
      <c r="B80" s="13" t="s">
        <v>29</v>
      </c>
      <c r="C80" s="13" t="s">
        <v>79</v>
      </c>
      <c r="D80" s="14">
        <v>2</v>
      </c>
      <c r="E80" s="15">
        <v>45828</v>
      </c>
      <c r="F80" s="16">
        <v>45830</v>
      </c>
    </row>
    <row r="81" spans="1:6" x14ac:dyDescent="0.25">
      <c r="A81" s="7">
        <v>51</v>
      </c>
      <c r="B81" s="8" t="s">
        <v>26</v>
      </c>
      <c r="C81" s="8" t="s">
        <v>80</v>
      </c>
      <c r="D81" s="9">
        <v>2</v>
      </c>
      <c r="E81" s="10">
        <v>45828</v>
      </c>
      <c r="F81" s="11">
        <v>45830</v>
      </c>
    </row>
    <row r="82" spans="1:6" x14ac:dyDescent="0.25">
      <c r="A82" s="12">
        <v>52</v>
      </c>
      <c r="B82" s="13" t="s">
        <v>45</v>
      </c>
      <c r="C82" s="13" t="s">
        <v>81</v>
      </c>
      <c r="D82" s="14">
        <v>1</v>
      </c>
      <c r="E82" s="15">
        <v>45828</v>
      </c>
      <c r="F82" s="16">
        <v>45830</v>
      </c>
    </row>
    <row r="83" spans="1:6" x14ac:dyDescent="0.25">
      <c r="A83" s="7">
        <v>53</v>
      </c>
      <c r="B83" s="8" t="s">
        <v>20</v>
      </c>
      <c r="C83" s="8" t="s">
        <v>82</v>
      </c>
      <c r="D83" s="9">
        <v>1</v>
      </c>
      <c r="E83" s="10">
        <v>45828</v>
      </c>
      <c r="F83" s="11">
        <v>45830</v>
      </c>
    </row>
    <row r="84" spans="1:6" x14ac:dyDescent="0.25">
      <c r="A84" s="7">
        <v>57</v>
      </c>
      <c r="B84" s="8" t="s">
        <v>26</v>
      </c>
      <c r="C84" s="8" t="s">
        <v>88</v>
      </c>
      <c r="D84" s="9">
        <v>3</v>
      </c>
      <c r="E84" s="10">
        <v>45833</v>
      </c>
      <c r="F84" s="11">
        <v>45837</v>
      </c>
    </row>
    <row r="85" spans="1:6" x14ac:dyDescent="0.25">
      <c r="A85" s="12">
        <v>58</v>
      </c>
      <c r="B85" s="13" t="s">
        <v>47</v>
      </c>
      <c r="C85" s="13" t="s">
        <v>89</v>
      </c>
      <c r="D85" s="14">
        <v>3</v>
      </c>
      <c r="E85" s="15">
        <v>45833</v>
      </c>
      <c r="F85" s="16">
        <v>45837</v>
      </c>
    </row>
    <row r="86" spans="1:6" x14ac:dyDescent="0.25">
      <c r="A86" s="7">
        <v>65</v>
      </c>
      <c r="B86" s="8" t="s">
        <v>32</v>
      </c>
      <c r="C86" s="8" t="s">
        <v>96</v>
      </c>
      <c r="D86" s="9">
        <v>3</v>
      </c>
      <c r="E86" s="10">
        <v>45833</v>
      </c>
      <c r="F86" s="11">
        <v>45837</v>
      </c>
    </row>
    <row r="87" spans="1:6" x14ac:dyDescent="0.25">
      <c r="A87" s="12">
        <v>66</v>
      </c>
      <c r="B87" s="13" t="s">
        <v>36</v>
      </c>
      <c r="C87" s="13" t="s">
        <v>97</v>
      </c>
      <c r="D87" s="14">
        <v>3</v>
      </c>
      <c r="E87" s="15">
        <v>45833</v>
      </c>
      <c r="F87" s="16">
        <v>45837</v>
      </c>
    </row>
    <row r="88" spans="1:6" x14ac:dyDescent="0.25">
      <c r="A88" s="7">
        <v>67</v>
      </c>
      <c r="B88" s="8" t="s">
        <v>12</v>
      </c>
      <c r="C88" s="8" t="s">
        <v>98</v>
      </c>
      <c r="D88" s="9">
        <v>2</v>
      </c>
      <c r="E88" s="10">
        <v>45833</v>
      </c>
      <c r="F88" s="11">
        <v>45837</v>
      </c>
    </row>
    <row r="89" spans="1:6" x14ac:dyDescent="0.25">
      <c r="A89" s="12">
        <v>68</v>
      </c>
      <c r="B89" s="13" t="s">
        <v>20</v>
      </c>
      <c r="C89" s="13" t="s">
        <v>99</v>
      </c>
      <c r="D89" s="14">
        <v>2</v>
      </c>
      <c r="E89" s="15">
        <v>45833</v>
      </c>
      <c r="F89" s="16">
        <v>45837</v>
      </c>
    </row>
    <row r="90" spans="1:6" x14ac:dyDescent="0.25">
      <c r="A90" s="7">
        <v>69</v>
      </c>
      <c r="B90" s="8" t="s">
        <v>18</v>
      </c>
      <c r="C90" s="8" t="s">
        <v>100</v>
      </c>
      <c r="D90" s="9">
        <v>2</v>
      </c>
      <c r="E90" s="10">
        <v>45833</v>
      </c>
      <c r="F90" s="11">
        <v>45837</v>
      </c>
    </row>
    <row r="91" spans="1:6" x14ac:dyDescent="0.25">
      <c r="A91" s="7">
        <v>71</v>
      </c>
      <c r="B91" s="8" t="s">
        <v>102</v>
      </c>
      <c r="C91" s="8" t="s">
        <v>103</v>
      </c>
      <c r="D91" s="9">
        <v>2</v>
      </c>
      <c r="E91" s="10">
        <v>45833</v>
      </c>
      <c r="F91" s="11">
        <v>45837</v>
      </c>
    </row>
    <row r="92" spans="1:6" x14ac:dyDescent="0.25">
      <c r="A92" s="12">
        <v>72</v>
      </c>
      <c r="B92" s="13" t="s">
        <v>16</v>
      </c>
      <c r="C92" s="13" t="s">
        <v>104</v>
      </c>
      <c r="D92" s="14">
        <v>2</v>
      </c>
      <c r="E92" s="15">
        <v>45833</v>
      </c>
      <c r="F92" s="16">
        <v>45837</v>
      </c>
    </row>
    <row r="93" spans="1:6" x14ac:dyDescent="0.25">
      <c r="A93" s="7">
        <v>73</v>
      </c>
      <c r="B93" s="8" t="s">
        <v>14</v>
      </c>
      <c r="C93" s="8" t="s">
        <v>105</v>
      </c>
      <c r="D93" s="9">
        <v>2</v>
      </c>
      <c r="E93" s="10">
        <v>45833</v>
      </c>
      <c r="F93" s="11">
        <v>45837</v>
      </c>
    </row>
    <row r="94" spans="1:6" x14ac:dyDescent="0.25">
      <c r="A94" s="12">
        <v>74</v>
      </c>
      <c r="B94" s="13" t="s">
        <v>12</v>
      </c>
      <c r="C94" s="13" t="s">
        <v>106</v>
      </c>
      <c r="D94" s="14">
        <v>2</v>
      </c>
      <c r="E94" s="15">
        <v>45833</v>
      </c>
      <c r="F94" s="16">
        <v>45837</v>
      </c>
    </row>
    <row r="95" spans="1:6" x14ac:dyDescent="0.25">
      <c r="A95" s="7">
        <v>77</v>
      </c>
      <c r="B95" s="8" t="s">
        <v>16</v>
      </c>
      <c r="C95" s="8" t="s">
        <v>109</v>
      </c>
      <c r="D95" s="9">
        <v>2</v>
      </c>
      <c r="E95" s="10">
        <v>45833</v>
      </c>
      <c r="F95" s="11">
        <v>45837</v>
      </c>
    </row>
    <row r="96" spans="1:6" x14ac:dyDescent="0.25">
      <c r="A96" s="12">
        <v>78</v>
      </c>
      <c r="B96" s="13" t="s">
        <v>110</v>
      </c>
      <c r="C96" s="13" t="s">
        <v>111</v>
      </c>
      <c r="D96" s="14">
        <v>1</v>
      </c>
      <c r="E96" s="15">
        <v>45833</v>
      </c>
      <c r="F96" s="16">
        <v>45837</v>
      </c>
    </row>
    <row r="97" spans="1:6" x14ac:dyDescent="0.25">
      <c r="A97" s="7">
        <v>79</v>
      </c>
      <c r="B97" s="8" t="s">
        <v>20</v>
      </c>
      <c r="C97" s="8" t="s">
        <v>112</v>
      </c>
      <c r="D97" s="9">
        <v>1</v>
      </c>
      <c r="E97" s="10">
        <v>45833</v>
      </c>
      <c r="F97" s="11">
        <v>45837</v>
      </c>
    </row>
    <row r="98" spans="1:6" x14ac:dyDescent="0.25">
      <c r="A98" s="12">
        <v>80</v>
      </c>
      <c r="B98" s="13" t="s">
        <v>102</v>
      </c>
      <c r="C98" s="13" t="s">
        <v>113</v>
      </c>
      <c r="D98" s="14">
        <v>1</v>
      </c>
      <c r="E98" s="15">
        <v>45833</v>
      </c>
      <c r="F98" s="16">
        <v>45837</v>
      </c>
    </row>
    <row r="99" spans="1:6" x14ac:dyDescent="0.25">
      <c r="A99" s="7">
        <v>9</v>
      </c>
      <c r="B99" s="8" t="s">
        <v>8</v>
      </c>
      <c r="C99" s="8" t="s">
        <v>22</v>
      </c>
      <c r="D99" s="9">
        <v>2</v>
      </c>
      <c r="E99" s="10">
        <v>45839</v>
      </c>
      <c r="F99" s="11">
        <v>45841</v>
      </c>
    </row>
    <row r="100" spans="1:6" x14ac:dyDescent="0.25">
      <c r="A100" s="12">
        <v>20</v>
      </c>
      <c r="B100" s="13" t="s">
        <v>40</v>
      </c>
      <c r="C100" s="13" t="s">
        <v>41</v>
      </c>
      <c r="D100" s="14">
        <v>2</v>
      </c>
      <c r="E100" s="15">
        <v>45839</v>
      </c>
      <c r="F100" s="16">
        <v>45841</v>
      </c>
    </row>
    <row r="101" spans="1:6" x14ac:dyDescent="0.25">
      <c r="A101" s="7">
        <v>31</v>
      </c>
      <c r="B101" s="8" t="s">
        <v>29</v>
      </c>
      <c r="C101" s="8" t="s">
        <v>58</v>
      </c>
      <c r="D101" s="9">
        <v>2</v>
      </c>
      <c r="E101" s="10">
        <v>45839</v>
      </c>
      <c r="F101" s="11">
        <v>45841</v>
      </c>
    </row>
    <row r="102" spans="1:6" x14ac:dyDescent="0.25">
      <c r="A102" s="12">
        <v>76</v>
      </c>
      <c r="B102" s="13" t="s">
        <v>29</v>
      </c>
      <c r="C102" s="13" t="s">
        <v>108</v>
      </c>
      <c r="D102" s="14">
        <v>2</v>
      </c>
      <c r="E102" s="15">
        <v>45839</v>
      </c>
      <c r="F102" s="16">
        <v>45841</v>
      </c>
    </row>
    <row r="103" spans="1:6" x14ac:dyDescent="0.25">
      <c r="A103" s="12">
        <v>94</v>
      </c>
      <c r="B103" s="13" t="s">
        <v>8</v>
      </c>
      <c r="C103" s="13" t="s">
        <v>128</v>
      </c>
      <c r="D103" s="14">
        <v>1</v>
      </c>
      <c r="E103" s="15">
        <v>45839</v>
      </c>
      <c r="F103" s="16">
        <v>45841</v>
      </c>
    </row>
    <row r="104" spans="1:6" x14ac:dyDescent="0.25">
      <c r="A104" s="7">
        <v>127</v>
      </c>
      <c r="B104" s="8" t="s">
        <v>38</v>
      </c>
      <c r="C104" s="8" t="s">
        <v>161</v>
      </c>
      <c r="D104" s="9">
        <v>1</v>
      </c>
      <c r="E104" s="10">
        <v>45839</v>
      </c>
      <c r="F104" s="11">
        <v>45841</v>
      </c>
    </row>
    <row r="105" spans="1:6" x14ac:dyDescent="0.25">
      <c r="A105" s="7">
        <v>147</v>
      </c>
      <c r="B105" s="8" t="s">
        <v>51</v>
      </c>
      <c r="C105" s="8" t="s">
        <v>182</v>
      </c>
      <c r="D105" s="9">
        <v>2</v>
      </c>
      <c r="E105" s="10">
        <v>45839</v>
      </c>
      <c r="F105" s="11">
        <v>45841</v>
      </c>
    </row>
    <row r="106" spans="1:6" x14ac:dyDescent="0.25">
      <c r="A106" s="12">
        <v>160</v>
      </c>
      <c r="B106" s="13" t="s">
        <v>29</v>
      </c>
      <c r="C106" s="13" t="s">
        <v>124</v>
      </c>
      <c r="D106" s="14">
        <v>1</v>
      </c>
      <c r="E106" s="15">
        <v>45839</v>
      </c>
      <c r="F106" s="16">
        <v>45841</v>
      </c>
    </row>
    <row r="107" spans="1:6" x14ac:dyDescent="0.25">
      <c r="A107" s="12">
        <v>170</v>
      </c>
      <c r="B107" s="13" t="s">
        <v>14</v>
      </c>
      <c r="C107" s="13" t="s">
        <v>105</v>
      </c>
      <c r="D107" s="14">
        <v>1</v>
      </c>
      <c r="E107" s="15">
        <v>45839</v>
      </c>
      <c r="F107" s="16">
        <v>45841</v>
      </c>
    </row>
    <row r="108" spans="1:6" x14ac:dyDescent="0.25">
      <c r="A108" s="7">
        <v>177</v>
      </c>
      <c r="B108" s="8" t="s">
        <v>110</v>
      </c>
      <c r="C108" s="8" t="s">
        <v>172</v>
      </c>
      <c r="D108" s="9">
        <v>3</v>
      </c>
      <c r="E108" s="10">
        <v>45839</v>
      </c>
      <c r="F108" s="11">
        <v>45852</v>
      </c>
    </row>
    <row r="109" spans="1:6" x14ac:dyDescent="0.25">
      <c r="A109" s="12">
        <v>198</v>
      </c>
      <c r="B109" s="13" t="s">
        <v>84</v>
      </c>
      <c r="C109" s="13" t="s">
        <v>149</v>
      </c>
      <c r="D109" s="14">
        <v>2</v>
      </c>
      <c r="E109" s="15">
        <v>45839</v>
      </c>
      <c r="F109" s="16">
        <v>45852</v>
      </c>
    </row>
    <row r="110" spans="1:6" x14ac:dyDescent="0.25">
      <c r="A110" s="7">
        <v>81</v>
      </c>
      <c r="B110" s="8" t="s">
        <v>18</v>
      </c>
      <c r="C110" s="8" t="s">
        <v>114</v>
      </c>
      <c r="D110" s="9">
        <v>1</v>
      </c>
      <c r="E110" s="10">
        <v>45843</v>
      </c>
      <c r="F110" s="11">
        <v>45845</v>
      </c>
    </row>
    <row r="111" spans="1:6" x14ac:dyDescent="0.25">
      <c r="A111" s="7">
        <v>85</v>
      </c>
      <c r="B111" s="8" t="s">
        <v>118</v>
      </c>
      <c r="C111" s="8" t="s">
        <v>119</v>
      </c>
      <c r="D111" s="9">
        <v>1</v>
      </c>
      <c r="E111" s="10">
        <v>45843</v>
      </c>
      <c r="F111" s="11">
        <v>45845</v>
      </c>
    </row>
    <row r="112" spans="1:6" x14ac:dyDescent="0.25">
      <c r="A112" s="12">
        <v>86</v>
      </c>
      <c r="B112" s="13" t="s">
        <v>49</v>
      </c>
      <c r="C112" s="13" t="s">
        <v>120</v>
      </c>
      <c r="D112" s="14">
        <v>1</v>
      </c>
      <c r="E112" s="15">
        <v>45843</v>
      </c>
      <c r="F112" s="16">
        <v>45845</v>
      </c>
    </row>
    <row r="113" spans="1:6" x14ac:dyDescent="0.25">
      <c r="A113" s="7">
        <v>87</v>
      </c>
      <c r="B113" s="8" t="s">
        <v>40</v>
      </c>
      <c r="C113" s="8" t="s">
        <v>121</v>
      </c>
      <c r="D113" s="9">
        <v>1</v>
      </c>
      <c r="E113" s="10">
        <v>45843</v>
      </c>
      <c r="F113" s="11">
        <v>45845</v>
      </c>
    </row>
    <row r="114" spans="1:6" x14ac:dyDescent="0.25">
      <c r="A114" s="12">
        <v>88</v>
      </c>
      <c r="B114" s="13" t="s">
        <v>18</v>
      </c>
      <c r="C114" s="13" t="s">
        <v>122</v>
      </c>
      <c r="D114" s="14">
        <v>3</v>
      </c>
      <c r="E114" s="15">
        <v>45843</v>
      </c>
      <c r="F114" s="16">
        <v>45845</v>
      </c>
    </row>
    <row r="115" spans="1:6" x14ac:dyDescent="0.25">
      <c r="A115" s="7">
        <v>89</v>
      </c>
      <c r="B115" s="8" t="s">
        <v>23</v>
      </c>
      <c r="C115" s="8" t="s">
        <v>123</v>
      </c>
      <c r="D115" s="9">
        <v>3</v>
      </c>
      <c r="E115" s="10">
        <v>45843</v>
      </c>
      <c r="F115" s="11">
        <v>45845</v>
      </c>
    </row>
    <row r="116" spans="1:6" x14ac:dyDescent="0.25">
      <c r="A116" s="12">
        <v>90</v>
      </c>
      <c r="B116" s="13" t="s">
        <v>29</v>
      </c>
      <c r="C116" s="13" t="s">
        <v>124</v>
      </c>
      <c r="D116" s="14">
        <v>3</v>
      </c>
      <c r="E116" s="15">
        <v>45843</v>
      </c>
      <c r="F116" s="16">
        <v>45845</v>
      </c>
    </row>
    <row r="117" spans="1:6" x14ac:dyDescent="0.25">
      <c r="A117" s="7">
        <v>91</v>
      </c>
      <c r="B117" s="8" t="s">
        <v>34</v>
      </c>
      <c r="C117" s="8" t="s">
        <v>125</v>
      </c>
      <c r="D117" s="9">
        <v>3</v>
      </c>
      <c r="E117" s="10">
        <v>45843</v>
      </c>
      <c r="F117" s="11">
        <v>45845</v>
      </c>
    </row>
    <row r="118" spans="1:6" x14ac:dyDescent="0.25">
      <c r="A118" s="12">
        <v>92</v>
      </c>
      <c r="B118" s="13" t="s">
        <v>34</v>
      </c>
      <c r="C118" s="13" t="s">
        <v>126</v>
      </c>
      <c r="D118" s="14">
        <v>2</v>
      </c>
      <c r="E118" s="15">
        <v>45848</v>
      </c>
      <c r="F118" s="16">
        <v>45852</v>
      </c>
    </row>
    <row r="119" spans="1:6" x14ac:dyDescent="0.25">
      <c r="A119" s="12">
        <v>96</v>
      </c>
      <c r="B119" s="13" t="s">
        <v>26</v>
      </c>
      <c r="C119" s="13" t="s">
        <v>130</v>
      </c>
      <c r="D119" s="14">
        <v>2</v>
      </c>
      <c r="E119" s="15">
        <v>45848</v>
      </c>
      <c r="F119" s="16">
        <v>45852</v>
      </c>
    </row>
    <row r="120" spans="1:6" x14ac:dyDescent="0.25">
      <c r="A120" s="7">
        <v>97</v>
      </c>
      <c r="B120" s="8" t="s">
        <v>29</v>
      </c>
      <c r="C120" s="8" t="s">
        <v>131</v>
      </c>
      <c r="D120" s="9">
        <v>2</v>
      </c>
      <c r="E120" s="10">
        <v>45848</v>
      </c>
      <c r="F120" s="11">
        <v>45852</v>
      </c>
    </row>
    <row r="121" spans="1:6" x14ac:dyDescent="0.25">
      <c r="A121" s="12">
        <v>98</v>
      </c>
      <c r="B121" s="13" t="s">
        <v>43</v>
      </c>
      <c r="C121" s="13" t="s">
        <v>132</v>
      </c>
      <c r="D121" s="14">
        <v>2</v>
      </c>
      <c r="E121" s="15">
        <v>45848</v>
      </c>
      <c r="F121" s="16">
        <v>45852</v>
      </c>
    </row>
    <row r="122" spans="1:6" x14ac:dyDescent="0.25">
      <c r="A122" s="7">
        <v>99</v>
      </c>
      <c r="B122" s="8" t="s">
        <v>102</v>
      </c>
      <c r="C122" s="8" t="s">
        <v>133</v>
      </c>
      <c r="D122" s="9">
        <v>2</v>
      </c>
      <c r="E122" s="10">
        <v>45848</v>
      </c>
      <c r="F122" s="11">
        <v>45852</v>
      </c>
    </row>
    <row r="123" spans="1:6" x14ac:dyDescent="0.25">
      <c r="A123" s="12">
        <v>100</v>
      </c>
      <c r="B123" s="13" t="s">
        <v>34</v>
      </c>
      <c r="C123" s="13" t="s">
        <v>134</v>
      </c>
      <c r="D123" s="14">
        <v>2</v>
      </c>
      <c r="E123" s="15">
        <v>45848</v>
      </c>
      <c r="F123" s="16">
        <v>45852</v>
      </c>
    </row>
    <row r="124" spans="1:6" x14ac:dyDescent="0.25">
      <c r="A124" s="7">
        <v>101</v>
      </c>
      <c r="B124" s="8" t="s">
        <v>118</v>
      </c>
      <c r="C124" s="8" t="s">
        <v>135</v>
      </c>
      <c r="D124" s="9">
        <v>3</v>
      </c>
      <c r="E124" s="10">
        <v>45848</v>
      </c>
      <c r="F124" s="11">
        <v>45852</v>
      </c>
    </row>
    <row r="125" spans="1:6" x14ac:dyDescent="0.25">
      <c r="A125" s="12">
        <v>102</v>
      </c>
      <c r="B125" s="13" t="s">
        <v>51</v>
      </c>
      <c r="C125" s="13" t="s">
        <v>136</v>
      </c>
      <c r="D125" s="14">
        <v>3</v>
      </c>
      <c r="E125" s="15">
        <v>45848</v>
      </c>
      <c r="F125" s="16">
        <v>45852</v>
      </c>
    </row>
    <row r="126" spans="1:6" x14ac:dyDescent="0.25">
      <c r="A126" s="7">
        <v>103</v>
      </c>
      <c r="B126" s="8" t="s">
        <v>32</v>
      </c>
      <c r="C126" s="8" t="s">
        <v>137</v>
      </c>
      <c r="D126" s="9">
        <v>3</v>
      </c>
      <c r="E126" s="10">
        <v>45848</v>
      </c>
      <c r="F126" s="11">
        <v>45852</v>
      </c>
    </row>
    <row r="127" spans="1:6" x14ac:dyDescent="0.25">
      <c r="A127" s="7">
        <v>107</v>
      </c>
      <c r="B127" s="8" t="s">
        <v>43</v>
      </c>
      <c r="C127" s="8" t="s">
        <v>141</v>
      </c>
      <c r="D127" s="9">
        <v>3</v>
      </c>
      <c r="E127" s="10">
        <v>45848</v>
      </c>
      <c r="F127" s="11">
        <v>45852</v>
      </c>
    </row>
    <row r="128" spans="1:6" x14ac:dyDescent="0.25">
      <c r="A128" s="12">
        <v>108</v>
      </c>
      <c r="B128" s="13" t="s">
        <v>65</v>
      </c>
      <c r="C128" s="13" t="s">
        <v>142</v>
      </c>
      <c r="D128" s="14">
        <v>1</v>
      </c>
      <c r="E128" s="15">
        <v>45848</v>
      </c>
      <c r="F128" s="16">
        <v>45852</v>
      </c>
    </row>
    <row r="129" spans="1:6" x14ac:dyDescent="0.25">
      <c r="A129" s="7">
        <v>11</v>
      </c>
      <c r="B129" s="8" t="s">
        <v>8</v>
      </c>
      <c r="C129" s="8" t="s">
        <v>25</v>
      </c>
      <c r="D129" s="9">
        <v>4</v>
      </c>
      <c r="E129" s="10">
        <v>45853</v>
      </c>
      <c r="F129" s="11">
        <v>45856</v>
      </c>
    </row>
    <row r="130" spans="1:6" x14ac:dyDescent="0.25">
      <c r="A130" s="12">
        <v>24</v>
      </c>
      <c r="B130" s="13" t="s">
        <v>47</v>
      </c>
      <c r="C130" s="13" t="s">
        <v>48</v>
      </c>
      <c r="D130" s="14">
        <v>4</v>
      </c>
      <c r="E130" s="15">
        <v>45853</v>
      </c>
      <c r="F130" s="16">
        <v>45856</v>
      </c>
    </row>
    <row r="131" spans="1:6" x14ac:dyDescent="0.25">
      <c r="A131" s="12">
        <v>30</v>
      </c>
      <c r="B131" s="13" t="s">
        <v>16</v>
      </c>
      <c r="C131" s="13" t="s">
        <v>57</v>
      </c>
      <c r="D131" s="14">
        <v>1</v>
      </c>
      <c r="E131" s="15">
        <v>45853</v>
      </c>
      <c r="F131" s="16">
        <v>45856</v>
      </c>
    </row>
    <row r="132" spans="1:6" x14ac:dyDescent="0.25">
      <c r="A132" s="7">
        <v>45</v>
      </c>
      <c r="B132" s="8" t="s">
        <v>73</v>
      </c>
      <c r="C132" s="8" t="s">
        <v>74</v>
      </c>
      <c r="D132" s="9">
        <v>1</v>
      </c>
      <c r="E132" s="10">
        <v>45853</v>
      </c>
      <c r="F132" s="11">
        <v>45856</v>
      </c>
    </row>
    <row r="133" spans="1:6" x14ac:dyDescent="0.25">
      <c r="A133" s="12">
        <v>56</v>
      </c>
      <c r="B133" s="13" t="s">
        <v>86</v>
      </c>
      <c r="C133" s="13" t="s">
        <v>87</v>
      </c>
      <c r="D133" s="14">
        <v>1</v>
      </c>
      <c r="E133" s="15">
        <v>45853</v>
      </c>
      <c r="F133" s="16">
        <v>45856</v>
      </c>
    </row>
    <row r="134" spans="1:6" x14ac:dyDescent="0.25">
      <c r="A134" s="12">
        <v>64</v>
      </c>
      <c r="B134" s="13" t="s">
        <v>86</v>
      </c>
      <c r="C134" s="13" t="s">
        <v>95</v>
      </c>
      <c r="D134" s="14">
        <v>1</v>
      </c>
      <c r="E134" s="15">
        <v>45853</v>
      </c>
      <c r="F134" s="16">
        <v>45856</v>
      </c>
    </row>
    <row r="135" spans="1:6" x14ac:dyDescent="0.25">
      <c r="A135" s="7">
        <v>93</v>
      </c>
      <c r="B135" s="8" t="s">
        <v>6</v>
      </c>
      <c r="C135" s="8" t="s">
        <v>127</v>
      </c>
      <c r="D135" s="9">
        <v>3</v>
      </c>
      <c r="E135" s="10">
        <v>45853</v>
      </c>
      <c r="F135" s="11">
        <v>45856</v>
      </c>
    </row>
    <row r="136" spans="1:6" x14ac:dyDescent="0.25">
      <c r="A136" s="12">
        <v>106</v>
      </c>
      <c r="B136" s="13" t="s">
        <v>86</v>
      </c>
      <c r="C136" s="13" t="s">
        <v>140</v>
      </c>
      <c r="D136" s="14">
        <v>3</v>
      </c>
      <c r="E136" s="15">
        <v>45853</v>
      </c>
      <c r="F136" s="16">
        <v>45856</v>
      </c>
    </row>
    <row r="137" spans="1:6" x14ac:dyDescent="0.25">
      <c r="A137" s="12">
        <v>118</v>
      </c>
      <c r="B137" s="13" t="s">
        <v>65</v>
      </c>
      <c r="C137" s="13" t="s">
        <v>152</v>
      </c>
      <c r="D137" s="14">
        <v>3</v>
      </c>
      <c r="E137" s="15">
        <v>45853</v>
      </c>
      <c r="F137" s="16">
        <v>45856</v>
      </c>
    </row>
    <row r="138" spans="1:6" x14ac:dyDescent="0.25">
      <c r="A138" s="12">
        <v>128</v>
      </c>
      <c r="B138" s="13" t="s">
        <v>38</v>
      </c>
      <c r="C138" s="13" t="s">
        <v>162</v>
      </c>
      <c r="D138" s="14">
        <v>3</v>
      </c>
      <c r="E138" s="15">
        <v>45853</v>
      </c>
      <c r="F138" s="16">
        <v>45856</v>
      </c>
    </row>
    <row r="139" spans="1:6" x14ac:dyDescent="0.25">
      <c r="A139" s="7">
        <v>141</v>
      </c>
      <c r="B139" s="8" t="s">
        <v>20</v>
      </c>
      <c r="C139" s="8" t="s">
        <v>176</v>
      </c>
      <c r="D139" s="9">
        <v>2</v>
      </c>
      <c r="E139" s="10">
        <v>45853</v>
      </c>
      <c r="F139" s="11">
        <v>45856</v>
      </c>
    </row>
    <row r="140" spans="1:6" x14ac:dyDescent="0.25">
      <c r="A140" s="12">
        <v>154</v>
      </c>
      <c r="B140" s="13" t="s">
        <v>43</v>
      </c>
      <c r="C140" s="13" t="s">
        <v>132</v>
      </c>
      <c r="D140" s="14">
        <v>2</v>
      </c>
      <c r="E140" s="15">
        <v>45853</v>
      </c>
      <c r="F140" s="16">
        <v>45856</v>
      </c>
    </row>
    <row r="141" spans="1:6" x14ac:dyDescent="0.25">
      <c r="A141" s="7">
        <v>169</v>
      </c>
      <c r="B141" s="8" t="s">
        <v>18</v>
      </c>
      <c r="C141" s="8" t="s">
        <v>163</v>
      </c>
      <c r="D141" s="9">
        <v>2</v>
      </c>
      <c r="E141" s="10">
        <v>45853</v>
      </c>
      <c r="F141" s="11">
        <v>45856</v>
      </c>
    </row>
    <row r="142" spans="1:6" x14ac:dyDescent="0.25">
      <c r="A142" s="7">
        <v>109</v>
      </c>
      <c r="B142" s="8" t="s">
        <v>23</v>
      </c>
      <c r="C142" s="8" t="s">
        <v>143</v>
      </c>
      <c r="D142" s="9">
        <v>1</v>
      </c>
      <c r="E142" s="10">
        <v>45858</v>
      </c>
      <c r="F142" s="11">
        <v>45859</v>
      </c>
    </row>
    <row r="143" spans="1:6" x14ac:dyDescent="0.25">
      <c r="A143" s="7">
        <v>111</v>
      </c>
      <c r="B143" s="8" t="s">
        <v>8</v>
      </c>
      <c r="C143" s="8" t="s">
        <v>145</v>
      </c>
      <c r="D143" s="9">
        <v>1</v>
      </c>
      <c r="E143" s="10">
        <v>45858</v>
      </c>
      <c r="F143" s="11">
        <v>45859</v>
      </c>
    </row>
    <row r="144" spans="1:6" x14ac:dyDescent="0.25">
      <c r="A144" s="12">
        <v>112</v>
      </c>
      <c r="B144" s="13" t="s">
        <v>43</v>
      </c>
      <c r="C144" s="13" t="s">
        <v>146</v>
      </c>
      <c r="D144" s="14">
        <v>1</v>
      </c>
      <c r="E144" s="15">
        <v>45858</v>
      </c>
      <c r="F144" s="16">
        <v>45859</v>
      </c>
    </row>
    <row r="145" spans="1:6" x14ac:dyDescent="0.25">
      <c r="A145" s="7">
        <v>113</v>
      </c>
      <c r="B145" s="8" t="s">
        <v>84</v>
      </c>
      <c r="C145" s="8" t="s">
        <v>147</v>
      </c>
      <c r="D145" s="9">
        <v>1</v>
      </c>
      <c r="E145" s="10">
        <v>45858</v>
      </c>
      <c r="F145" s="11">
        <v>45859</v>
      </c>
    </row>
    <row r="146" spans="1:6" x14ac:dyDescent="0.25">
      <c r="A146" s="12">
        <v>114</v>
      </c>
      <c r="B146" s="13" t="s">
        <v>110</v>
      </c>
      <c r="C146" s="13" t="s">
        <v>148</v>
      </c>
      <c r="D146" s="14">
        <v>2</v>
      </c>
      <c r="E146" s="15">
        <v>45858</v>
      </c>
      <c r="F146" s="16">
        <v>45859</v>
      </c>
    </row>
    <row r="147" spans="1:6" x14ac:dyDescent="0.25">
      <c r="A147" s="7">
        <v>115</v>
      </c>
      <c r="B147" s="8" t="s">
        <v>84</v>
      </c>
      <c r="C147" s="8" t="s">
        <v>149</v>
      </c>
      <c r="D147" s="9">
        <v>2</v>
      </c>
      <c r="E147" s="10">
        <v>45858</v>
      </c>
      <c r="F147" s="11">
        <v>45859</v>
      </c>
    </row>
    <row r="148" spans="1:6" x14ac:dyDescent="0.25">
      <c r="A148" s="12">
        <v>116</v>
      </c>
      <c r="B148" s="13" t="s">
        <v>16</v>
      </c>
      <c r="C148" s="13" t="s">
        <v>150</v>
      </c>
      <c r="D148" s="14">
        <v>2</v>
      </c>
      <c r="E148" s="15">
        <v>45858</v>
      </c>
      <c r="F148" s="16">
        <v>45859</v>
      </c>
    </row>
    <row r="149" spans="1:6" x14ac:dyDescent="0.25">
      <c r="A149" s="7">
        <v>117</v>
      </c>
      <c r="B149" s="8" t="s">
        <v>14</v>
      </c>
      <c r="C149" s="8" t="s">
        <v>151</v>
      </c>
      <c r="D149" s="9">
        <v>2</v>
      </c>
      <c r="E149" s="10">
        <v>45858</v>
      </c>
      <c r="F149" s="11">
        <v>45859</v>
      </c>
    </row>
    <row r="150" spans="1:6" x14ac:dyDescent="0.25">
      <c r="A150" s="7">
        <v>121</v>
      </c>
      <c r="B150" s="8" t="s">
        <v>6</v>
      </c>
      <c r="C150" s="8" t="s">
        <v>155</v>
      </c>
      <c r="D150" s="9">
        <v>2</v>
      </c>
      <c r="E150" s="10">
        <v>45863</v>
      </c>
      <c r="F150" s="11">
        <v>45866</v>
      </c>
    </row>
    <row r="151" spans="1:6" x14ac:dyDescent="0.25">
      <c r="A151" s="12">
        <v>122</v>
      </c>
      <c r="B151" s="13" t="s">
        <v>6</v>
      </c>
      <c r="C151" s="13" t="s">
        <v>156</v>
      </c>
      <c r="D151" s="14">
        <v>2</v>
      </c>
      <c r="E151" s="15">
        <v>45863</v>
      </c>
      <c r="F151" s="16">
        <v>45866</v>
      </c>
    </row>
    <row r="152" spans="1:6" x14ac:dyDescent="0.25">
      <c r="A152" s="7">
        <v>123</v>
      </c>
      <c r="B152" s="8" t="s">
        <v>8</v>
      </c>
      <c r="C152" s="8" t="s">
        <v>157</v>
      </c>
      <c r="D152" s="9">
        <v>2</v>
      </c>
      <c r="E152" s="10">
        <v>45863</v>
      </c>
      <c r="F152" s="11">
        <v>45866</v>
      </c>
    </row>
    <row r="153" spans="1:6" x14ac:dyDescent="0.25">
      <c r="A153" s="12">
        <v>124</v>
      </c>
      <c r="B153" s="13" t="s">
        <v>49</v>
      </c>
      <c r="C153" s="13" t="s">
        <v>158</v>
      </c>
      <c r="D153" s="14">
        <v>2</v>
      </c>
      <c r="E153" s="15">
        <v>45863</v>
      </c>
      <c r="F153" s="16">
        <v>45866</v>
      </c>
    </row>
    <row r="154" spans="1:6" x14ac:dyDescent="0.25">
      <c r="A154" s="7">
        <v>129</v>
      </c>
      <c r="B154" s="8" t="s">
        <v>18</v>
      </c>
      <c r="C154" s="8" t="s">
        <v>163</v>
      </c>
      <c r="D154" s="9">
        <v>2</v>
      </c>
      <c r="E154" s="10">
        <v>45863</v>
      </c>
      <c r="F154" s="11">
        <v>45866</v>
      </c>
    </row>
    <row r="155" spans="1:6" x14ac:dyDescent="0.25">
      <c r="A155" s="12">
        <v>130</v>
      </c>
      <c r="B155" s="13" t="s">
        <v>8</v>
      </c>
      <c r="C155" s="13" t="s">
        <v>164</v>
      </c>
      <c r="D155" s="14">
        <v>2</v>
      </c>
      <c r="E155" s="15">
        <v>45863</v>
      </c>
      <c r="F155" s="16">
        <v>45866</v>
      </c>
    </row>
    <row r="156" spans="1:6" x14ac:dyDescent="0.25">
      <c r="A156" s="7">
        <v>133</v>
      </c>
      <c r="B156" s="8" t="s">
        <v>43</v>
      </c>
      <c r="C156" s="8" t="s">
        <v>168</v>
      </c>
      <c r="D156" s="9">
        <v>2</v>
      </c>
      <c r="E156" s="10">
        <v>45863</v>
      </c>
      <c r="F156" s="11">
        <v>45866</v>
      </c>
    </row>
    <row r="157" spans="1:6" x14ac:dyDescent="0.25">
      <c r="A157" s="7">
        <v>135</v>
      </c>
      <c r="B157" s="8" t="s">
        <v>8</v>
      </c>
      <c r="C157" s="8" t="s">
        <v>170</v>
      </c>
      <c r="D157" s="9">
        <v>2</v>
      </c>
      <c r="E157" s="10">
        <v>45863</v>
      </c>
      <c r="F157" s="11">
        <v>45866</v>
      </c>
    </row>
    <row r="158" spans="1:6" x14ac:dyDescent="0.25">
      <c r="A158" s="12">
        <v>136</v>
      </c>
      <c r="B158" s="13" t="s">
        <v>45</v>
      </c>
      <c r="C158" s="13" t="s">
        <v>171</v>
      </c>
      <c r="D158" s="14">
        <v>1</v>
      </c>
      <c r="E158" s="15">
        <v>45863</v>
      </c>
      <c r="F158" s="16">
        <v>45866</v>
      </c>
    </row>
    <row r="159" spans="1:6" x14ac:dyDescent="0.25">
      <c r="A159" s="7">
        <v>137</v>
      </c>
      <c r="B159" s="8" t="s">
        <v>110</v>
      </c>
      <c r="C159" s="8" t="s">
        <v>172</v>
      </c>
      <c r="D159" s="9">
        <v>3</v>
      </c>
      <c r="E159" s="10">
        <v>45871</v>
      </c>
      <c r="F159" s="11">
        <v>45875</v>
      </c>
    </row>
    <row r="160" spans="1:6" x14ac:dyDescent="0.25">
      <c r="A160" s="12">
        <v>138</v>
      </c>
      <c r="B160" s="13" t="s">
        <v>20</v>
      </c>
      <c r="C160" s="13" t="s">
        <v>173</v>
      </c>
      <c r="D160" s="14">
        <v>3</v>
      </c>
      <c r="E160" s="15">
        <v>45871</v>
      </c>
      <c r="F160" s="16">
        <v>45875</v>
      </c>
    </row>
    <row r="161" spans="1:6" x14ac:dyDescent="0.25">
      <c r="A161" s="7">
        <v>139</v>
      </c>
      <c r="B161" s="8" t="s">
        <v>102</v>
      </c>
      <c r="C161" s="8" t="s">
        <v>174</v>
      </c>
      <c r="D161" s="9">
        <v>3</v>
      </c>
      <c r="E161" s="10">
        <v>45871</v>
      </c>
      <c r="F161" s="11">
        <v>45875</v>
      </c>
    </row>
    <row r="162" spans="1:6" x14ac:dyDescent="0.25">
      <c r="A162" s="12">
        <v>142</v>
      </c>
      <c r="B162" s="13" t="s">
        <v>29</v>
      </c>
      <c r="C162" s="13" t="s">
        <v>177</v>
      </c>
      <c r="D162" s="14">
        <v>3</v>
      </c>
      <c r="E162" s="15">
        <v>45871</v>
      </c>
      <c r="F162" s="16">
        <v>45875</v>
      </c>
    </row>
    <row r="163" spans="1:6" x14ac:dyDescent="0.25">
      <c r="A163" s="7">
        <v>143</v>
      </c>
      <c r="B163" s="8" t="s">
        <v>118</v>
      </c>
      <c r="C163" s="8" t="s">
        <v>178</v>
      </c>
      <c r="D163" s="9">
        <v>2</v>
      </c>
      <c r="E163" s="10">
        <v>45871</v>
      </c>
      <c r="F163" s="11">
        <v>45875</v>
      </c>
    </row>
    <row r="164" spans="1:6" x14ac:dyDescent="0.25">
      <c r="A164" s="12">
        <v>144</v>
      </c>
      <c r="B164" s="13" t="s">
        <v>34</v>
      </c>
      <c r="C164" s="13" t="s">
        <v>179</v>
      </c>
      <c r="D164" s="14">
        <v>2</v>
      </c>
      <c r="E164" s="15">
        <v>45871</v>
      </c>
      <c r="F164" s="16">
        <v>45875</v>
      </c>
    </row>
    <row r="165" spans="1:6" x14ac:dyDescent="0.25">
      <c r="A165" s="12">
        <v>146</v>
      </c>
      <c r="B165" s="13" t="s">
        <v>6</v>
      </c>
      <c r="C165" s="13" t="s">
        <v>181</v>
      </c>
      <c r="D165" s="14">
        <v>2</v>
      </c>
      <c r="E165" s="15">
        <v>45871</v>
      </c>
      <c r="F165" s="16">
        <v>45875</v>
      </c>
    </row>
    <row r="166" spans="1:6" x14ac:dyDescent="0.25">
      <c r="A166" s="7">
        <v>149</v>
      </c>
      <c r="B166" s="8" t="s">
        <v>86</v>
      </c>
      <c r="C166" s="8" t="s">
        <v>184</v>
      </c>
      <c r="D166" s="9">
        <v>2</v>
      </c>
      <c r="E166" s="10">
        <v>45871</v>
      </c>
      <c r="F166" s="11">
        <v>45875</v>
      </c>
    </row>
    <row r="167" spans="1:6" x14ac:dyDescent="0.25">
      <c r="A167" s="12">
        <v>150</v>
      </c>
      <c r="B167" s="13" t="s">
        <v>51</v>
      </c>
      <c r="C167" s="13" t="s">
        <v>185</v>
      </c>
      <c r="D167" s="14">
        <v>1</v>
      </c>
      <c r="E167" s="15">
        <v>45871</v>
      </c>
      <c r="F167" s="16">
        <v>45875</v>
      </c>
    </row>
    <row r="168" spans="1:6" x14ac:dyDescent="0.25">
      <c r="A168" s="7">
        <v>151</v>
      </c>
      <c r="B168" s="8" t="s">
        <v>6</v>
      </c>
      <c r="C168" s="8" t="s">
        <v>7</v>
      </c>
      <c r="D168" s="9">
        <v>1</v>
      </c>
      <c r="E168" s="10">
        <v>45871</v>
      </c>
      <c r="F168" s="11">
        <v>45875</v>
      </c>
    </row>
    <row r="169" spans="1:6" x14ac:dyDescent="0.25">
      <c r="A169" s="12">
        <v>152</v>
      </c>
      <c r="B169" s="13" t="s">
        <v>29</v>
      </c>
      <c r="C169" s="13" t="s">
        <v>124</v>
      </c>
      <c r="D169" s="14">
        <v>1</v>
      </c>
      <c r="E169" s="15">
        <v>45871</v>
      </c>
      <c r="F169" s="16">
        <v>45875</v>
      </c>
    </row>
    <row r="170" spans="1:6" x14ac:dyDescent="0.25">
      <c r="A170" s="7">
        <v>155</v>
      </c>
      <c r="B170" s="8" t="s">
        <v>6</v>
      </c>
      <c r="C170" s="8" t="s">
        <v>156</v>
      </c>
      <c r="D170" s="9">
        <v>1</v>
      </c>
      <c r="E170" s="10">
        <v>45871</v>
      </c>
      <c r="F170" s="11">
        <v>45875</v>
      </c>
    </row>
    <row r="171" spans="1:6" x14ac:dyDescent="0.25">
      <c r="A171" s="12">
        <v>156</v>
      </c>
      <c r="B171" s="13" t="s">
        <v>34</v>
      </c>
      <c r="C171" s="13" t="s">
        <v>134</v>
      </c>
      <c r="D171" s="14">
        <v>2</v>
      </c>
      <c r="E171" s="15">
        <v>45879</v>
      </c>
      <c r="F171" s="16">
        <v>45881</v>
      </c>
    </row>
    <row r="172" spans="1:6" x14ac:dyDescent="0.25">
      <c r="A172" s="7">
        <v>157</v>
      </c>
      <c r="B172" s="8" t="s">
        <v>54</v>
      </c>
      <c r="C172" s="8" t="s">
        <v>167</v>
      </c>
      <c r="D172" s="9">
        <v>2</v>
      </c>
      <c r="E172" s="10">
        <v>45879</v>
      </c>
      <c r="F172" s="11">
        <v>45881</v>
      </c>
    </row>
    <row r="173" spans="1:6" x14ac:dyDescent="0.25">
      <c r="A173" s="12">
        <v>158</v>
      </c>
      <c r="B173" s="13" t="s">
        <v>14</v>
      </c>
      <c r="C173" s="13" t="s">
        <v>116</v>
      </c>
      <c r="D173" s="14">
        <v>2</v>
      </c>
      <c r="E173" s="15">
        <v>45879</v>
      </c>
      <c r="F173" s="16">
        <v>45881</v>
      </c>
    </row>
    <row r="174" spans="1:6" x14ac:dyDescent="0.25">
      <c r="A174" s="7">
        <v>159</v>
      </c>
      <c r="B174" s="8" t="s">
        <v>165</v>
      </c>
      <c r="C174" s="8" t="s">
        <v>166</v>
      </c>
      <c r="D174" s="9">
        <v>2</v>
      </c>
      <c r="E174" s="10">
        <v>45879</v>
      </c>
      <c r="F174" s="11">
        <v>45881</v>
      </c>
    </row>
    <row r="175" spans="1:6" x14ac:dyDescent="0.25">
      <c r="A175" s="12">
        <v>162</v>
      </c>
      <c r="B175" s="13" t="s">
        <v>26</v>
      </c>
      <c r="C175" s="13" t="s">
        <v>130</v>
      </c>
      <c r="D175" s="14">
        <v>2</v>
      </c>
      <c r="E175" s="15">
        <v>45879</v>
      </c>
      <c r="F175" s="16">
        <v>45881</v>
      </c>
    </row>
    <row r="176" spans="1:6" x14ac:dyDescent="0.25">
      <c r="A176" s="7">
        <v>163</v>
      </c>
      <c r="B176" s="8" t="s">
        <v>6</v>
      </c>
      <c r="C176" s="8" t="s">
        <v>156</v>
      </c>
      <c r="D176" s="9">
        <v>2</v>
      </c>
      <c r="E176" s="10">
        <v>45879</v>
      </c>
      <c r="F176" s="11">
        <v>45881</v>
      </c>
    </row>
    <row r="177" spans="1:6" x14ac:dyDescent="0.25">
      <c r="A177" s="12">
        <v>164</v>
      </c>
      <c r="B177" s="13" t="s">
        <v>54</v>
      </c>
      <c r="C177" s="13" t="s">
        <v>117</v>
      </c>
      <c r="D177" s="14">
        <v>1</v>
      </c>
      <c r="E177" s="15">
        <v>45883</v>
      </c>
      <c r="F177" s="16">
        <v>45886</v>
      </c>
    </row>
    <row r="178" spans="1:6" x14ac:dyDescent="0.25">
      <c r="A178" s="7">
        <v>165</v>
      </c>
      <c r="B178" s="8" t="s">
        <v>45</v>
      </c>
      <c r="C178" s="8" t="s">
        <v>171</v>
      </c>
      <c r="D178" s="9">
        <v>1</v>
      </c>
      <c r="E178" s="10">
        <v>45883</v>
      </c>
      <c r="F178" s="11">
        <v>45886</v>
      </c>
    </row>
    <row r="179" spans="1:6" x14ac:dyDescent="0.25">
      <c r="A179" s="12">
        <v>166</v>
      </c>
      <c r="B179" s="13" t="s">
        <v>23</v>
      </c>
      <c r="C179" s="13" t="s">
        <v>159</v>
      </c>
      <c r="D179" s="14">
        <v>1</v>
      </c>
      <c r="E179" s="15">
        <v>45883</v>
      </c>
      <c r="F179" s="16">
        <v>45886</v>
      </c>
    </row>
    <row r="180" spans="1:6" x14ac:dyDescent="0.25">
      <c r="A180" s="7">
        <v>167</v>
      </c>
      <c r="B180" s="8" t="s">
        <v>84</v>
      </c>
      <c r="C180" s="8" t="s">
        <v>169</v>
      </c>
      <c r="D180" s="9">
        <v>1</v>
      </c>
      <c r="E180" s="10">
        <v>45883</v>
      </c>
      <c r="F180" s="11">
        <v>45886</v>
      </c>
    </row>
    <row r="181" spans="1:6" x14ac:dyDescent="0.25">
      <c r="A181" s="12">
        <v>168</v>
      </c>
      <c r="B181" s="13" t="s">
        <v>14</v>
      </c>
      <c r="C181" s="13" t="s">
        <v>116</v>
      </c>
      <c r="D181" s="14">
        <v>3</v>
      </c>
      <c r="E181" s="15">
        <v>45883</v>
      </c>
      <c r="F181" s="16">
        <v>45886</v>
      </c>
    </row>
    <row r="182" spans="1:6" x14ac:dyDescent="0.25">
      <c r="A182" s="12">
        <v>172</v>
      </c>
      <c r="B182" s="13" t="s">
        <v>84</v>
      </c>
      <c r="C182" s="13" t="s">
        <v>169</v>
      </c>
      <c r="D182" s="14">
        <v>3</v>
      </c>
      <c r="E182" s="15">
        <v>45883</v>
      </c>
      <c r="F182" s="16">
        <v>45886</v>
      </c>
    </row>
    <row r="183" spans="1:6" x14ac:dyDescent="0.25">
      <c r="A183" s="7">
        <v>173</v>
      </c>
      <c r="B183" s="8" t="s">
        <v>45</v>
      </c>
      <c r="C183" s="8" t="s">
        <v>171</v>
      </c>
      <c r="D183" s="9">
        <v>3</v>
      </c>
      <c r="E183" s="10">
        <v>45883</v>
      </c>
      <c r="F183" s="11">
        <v>45886</v>
      </c>
    </row>
    <row r="184" spans="1:6" x14ac:dyDescent="0.25">
      <c r="A184" s="12">
        <v>174</v>
      </c>
      <c r="B184" s="13" t="s">
        <v>34</v>
      </c>
      <c r="C184" s="13" t="s">
        <v>134</v>
      </c>
      <c r="D184" s="14">
        <v>3</v>
      </c>
      <c r="E184" s="15">
        <v>45883</v>
      </c>
      <c r="F184" s="16">
        <v>45886</v>
      </c>
    </row>
    <row r="185" spans="1:6" x14ac:dyDescent="0.25">
      <c r="A185" s="7">
        <v>175</v>
      </c>
      <c r="B185" s="8" t="s">
        <v>6</v>
      </c>
      <c r="C185" s="8" t="s">
        <v>156</v>
      </c>
      <c r="D185" s="9">
        <v>4</v>
      </c>
      <c r="E185" s="10">
        <v>45883</v>
      </c>
      <c r="F185" s="11">
        <v>45886</v>
      </c>
    </row>
    <row r="186" spans="1:6" x14ac:dyDescent="0.25">
      <c r="A186" s="12">
        <v>178</v>
      </c>
      <c r="B186" s="13" t="s">
        <v>38</v>
      </c>
      <c r="C186" s="13" t="s">
        <v>161</v>
      </c>
      <c r="D186" s="14">
        <v>4</v>
      </c>
      <c r="E186" s="15">
        <v>45883</v>
      </c>
      <c r="F186" s="16">
        <v>45886</v>
      </c>
    </row>
    <row r="187" spans="1:6" x14ac:dyDescent="0.25">
      <c r="A187" s="7">
        <v>179</v>
      </c>
      <c r="B187" s="8" t="s">
        <v>23</v>
      </c>
      <c r="C187" s="8" t="s">
        <v>159</v>
      </c>
      <c r="D187" s="9">
        <v>2</v>
      </c>
      <c r="E187" s="10">
        <v>45883</v>
      </c>
      <c r="F187" s="11">
        <v>45886</v>
      </c>
    </row>
    <row r="188" spans="1:6" x14ac:dyDescent="0.25">
      <c r="A188" s="12">
        <v>182</v>
      </c>
      <c r="B188" s="13" t="s">
        <v>165</v>
      </c>
      <c r="C188" s="13" t="s">
        <v>166</v>
      </c>
      <c r="D188" s="14">
        <v>2</v>
      </c>
      <c r="E188" s="15">
        <v>45883</v>
      </c>
      <c r="F188" s="16">
        <v>45886</v>
      </c>
    </row>
    <row r="189" spans="1:6" x14ac:dyDescent="0.25">
      <c r="A189" s="7">
        <v>183</v>
      </c>
      <c r="B189" s="8" t="s">
        <v>20</v>
      </c>
      <c r="C189" s="8" t="s">
        <v>173</v>
      </c>
      <c r="D189" s="9">
        <v>2</v>
      </c>
      <c r="E189" s="10">
        <v>45883</v>
      </c>
      <c r="F189" s="11">
        <v>45886</v>
      </c>
    </row>
    <row r="190" spans="1:6" x14ac:dyDescent="0.25">
      <c r="A190" s="12">
        <v>184</v>
      </c>
      <c r="B190" s="13" t="s">
        <v>6</v>
      </c>
      <c r="C190" s="13" t="s">
        <v>7</v>
      </c>
      <c r="D190" s="14">
        <v>2</v>
      </c>
      <c r="E190" s="15">
        <v>45883</v>
      </c>
      <c r="F190" s="16">
        <v>45886</v>
      </c>
    </row>
    <row r="191" spans="1:6" x14ac:dyDescent="0.25">
      <c r="A191" s="7">
        <v>185</v>
      </c>
      <c r="B191" s="8" t="s">
        <v>110</v>
      </c>
      <c r="C191" s="8" t="s">
        <v>172</v>
      </c>
      <c r="D191" s="9">
        <v>2</v>
      </c>
      <c r="E191" s="10">
        <v>45883</v>
      </c>
      <c r="F191" s="11">
        <v>45886</v>
      </c>
    </row>
    <row r="192" spans="1:6" x14ac:dyDescent="0.25">
      <c r="A192" s="12">
        <v>186</v>
      </c>
      <c r="B192" s="13" t="s">
        <v>14</v>
      </c>
      <c r="C192" s="13" t="s">
        <v>116</v>
      </c>
      <c r="D192" s="14">
        <v>2</v>
      </c>
      <c r="E192" s="15">
        <v>45883</v>
      </c>
      <c r="F192" s="16">
        <v>45886</v>
      </c>
    </row>
    <row r="193" spans="1:6" x14ac:dyDescent="0.25">
      <c r="A193" s="7">
        <v>187</v>
      </c>
      <c r="B193" s="8" t="s">
        <v>73</v>
      </c>
      <c r="C193" s="8" t="s">
        <v>129</v>
      </c>
      <c r="D193" s="9">
        <v>2</v>
      </c>
      <c r="E193" s="10">
        <v>45883</v>
      </c>
      <c r="F193" s="11">
        <v>45886</v>
      </c>
    </row>
    <row r="194" spans="1:6" x14ac:dyDescent="0.25">
      <c r="A194" s="12">
        <v>188</v>
      </c>
      <c r="B194" s="13" t="s">
        <v>20</v>
      </c>
      <c r="C194" s="13" t="s">
        <v>173</v>
      </c>
      <c r="D194" s="14">
        <v>2</v>
      </c>
      <c r="E194" s="15">
        <v>45885</v>
      </c>
      <c r="F194" s="16">
        <v>45886</v>
      </c>
    </row>
    <row r="195" spans="1:6" x14ac:dyDescent="0.25">
      <c r="A195" s="7">
        <v>189</v>
      </c>
      <c r="B195" s="8" t="s">
        <v>102</v>
      </c>
      <c r="C195" s="8" t="s">
        <v>174</v>
      </c>
      <c r="D195" s="9">
        <v>3</v>
      </c>
      <c r="E195" s="10">
        <v>45889</v>
      </c>
      <c r="F195" s="11">
        <v>45891</v>
      </c>
    </row>
    <row r="196" spans="1:6" x14ac:dyDescent="0.25">
      <c r="A196" s="12">
        <v>190</v>
      </c>
      <c r="B196" s="13" t="s">
        <v>84</v>
      </c>
      <c r="C196" s="13" t="s">
        <v>92</v>
      </c>
      <c r="D196" s="14">
        <v>3</v>
      </c>
      <c r="E196" s="15">
        <v>45889</v>
      </c>
      <c r="F196" s="16">
        <v>45891</v>
      </c>
    </row>
    <row r="197" spans="1:6" x14ac:dyDescent="0.25">
      <c r="A197" s="7">
        <v>191</v>
      </c>
      <c r="B197" s="8" t="s">
        <v>54</v>
      </c>
      <c r="C197" s="8" t="s">
        <v>117</v>
      </c>
      <c r="D197" s="9">
        <v>3</v>
      </c>
      <c r="E197" s="10">
        <v>45889</v>
      </c>
      <c r="F197" s="11">
        <v>45891</v>
      </c>
    </row>
    <row r="198" spans="1:6" x14ac:dyDescent="0.25">
      <c r="A198" s="12">
        <v>194</v>
      </c>
      <c r="B198" s="13" t="s">
        <v>29</v>
      </c>
      <c r="C198" s="13" t="s">
        <v>124</v>
      </c>
      <c r="D198" s="14">
        <v>3</v>
      </c>
      <c r="E198" s="15">
        <v>45889</v>
      </c>
      <c r="F198" s="16">
        <v>45891</v>
      </c>
    </row>
    <row r="199" spans="1:6" x14ac:dyDescent="0.25">
      <c r="A199" s="7">
        <v>195</v>
      </c>
      <c r="B199" s="8" t="s">
        <v>54</v>
      </c>
      <c r="C199" s="8" t="s">
        <v>117</v>
      </c>
      <c r="D199" s="9">
        <v>1</v>
      </c>
      <c r="E199" s="10">
        <v>45897</v>
      </c>
      <c r="F199" s="11">
        <v>45898</v>
      </c>
    </row>
    <row r="200" spans="1:6" x14ac:dyDescent="0.25">
      <c r="A200" s="12">
        <v>196</v>
      </c>
      <c r="B200" s="13" t="s">
        <v>84</v>
      </c>
      <c r="C200" s="13" t="s">
        <v>169</v>
      </c>
      <c r="D200" s="14">
        <v>1</v>
      </c>
      <c r="E200" s="15">
        <v>45897</v>
      </c>
      <c r="F200" s="16">
        <v>45898</v>
      </c>
    </row>
    <row r="201" spans="1:6" x14ac:dyDescent="0.25">
      <c r="A201" s="27">
        <v>197</v>
      </c>
      <c r="B201" s="28" t="s">
        <v>16</v>
      </c>
      <c r="C201" s="28" t="s">
        <v>17</v>
      </c>
      <c r="D201" s="29">
        <v>1</v>
      </c>
      <c r="E201" s="30">
        <v>45897</v>
      </c>
      <c r="F201" s="31">
        <v>45898</v>
      </c>
    </row>
  </sheetData>
  <sortState xmlns:xlrd2="http://schemas.microsoft.com/office/spreadsheetml/2017/richdata2" ref="A2:F201">
    <sortCondition ref="E2:E201"/>
  </sortState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3E3103-0CFA-4434-9532-5800D5CFBC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rezerwacje</vt:lpstr>
      <vt:lpstr>4.1</vt:lpstr>
      <vt:lpstr>4.2</vt:lpstr>
      <vt:lpstr>4.4</vt:lpstr>
      <vt:lpstr>4.3</vt:lpstr>
      <vt:lpstr>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2026-03-09T18:25:40Z</dcterms:modified>
</cp:coreProperties>
</file>