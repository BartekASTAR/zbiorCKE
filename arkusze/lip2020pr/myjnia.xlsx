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artl\PycharmProjects\zbiorCKE\arkusze\lip2020pr\"/>
    </mc:Choice>
  </mc:AlternateContent>
  <xr:revisionPtr revIDLastSave="0" documentId="13_ncr:1_{DC94628A-F7BA-44A2-A8AA-84F90CE5D5D1}" xr6:coauthVersionLast="47" xr6:coauthVersionMax="47" xr10:uidLastSave="{00000000-0000-0000-0000-000000000000}"/>
  <bookViews>
    <workbookView xWindow="-120" yWindow="-120" windowWidth="38640" windowHeight="21120" activeTab="6" xr2:uid="{00000000-000D-0000-FFFF-FFFF00000000}"/>
  </bookViews>
  <sheets>
    <sheet name="myjnia" sheetId="2" r:id="rId1"/>
    <sheet name="6.1" sheetId="3" r:id="rId2"/>
    <sheet name="6.2" sheetId="4" r:id="rId3"/>
    <sheet name="myjnia_symulacja" sheetId="5" r:id="rId4"/>
    <sheet name="6.3" sheetId="6" r:id="rId5"/>
    <sheet name="6.4" sheetId="7" r:id="rId6"/>
    <sheet name="6.5" sheetId="8" r:id="rId7"/>
  </sheets>
  <calcPr calcId="191029"/>
  <pivotCaches>
    <pivotCache cacheId="4" r:id="rId8"/>
    <pivotCache cacheId="5" r:id="rId9"/>
    <pivotCache cacheId="17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" i="8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 s="1"/>
  <c r="H22" i="8"/>
  <c r="H23" i="8"/>
  <c r="H24" i="8"/>
  <c r="H25" i="8"/>
  <c r="H26" i="8"/>
  <c r="H27" i="8"/>
  <c r="H28" i="8"/>
  <c r="H29" i="8"/>
  <c r="H30" i="8"/>
  <c r="H31" i="8"/>
  <c r="H32" i="8"/>
  <c r="H33" i="8" s="1"/>
  <c r="H34" i="8"/>
  <c r="H35" i="8" s="1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 s="1"/>
  <c r="H78" i="8"/>
  <c r="H79" i="8"/>
  <c r="H80" i="8"/>
  <c r="H81" i="8"/>
  <c r="H82" i="8"/>
  <c r="H83" i="8"/>
  <c r="H84" i="8"/>
  <c r="H85" i="8"/>
  <c r="H86" i="8"/>
  <c r="H87" i="8"/>
  <c r="H88" i="8"/>
  <c r="H89" i="8"/>
  <c r="H90" i="8" s="1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 s="1"/>
  <c r="H4" i="8"/>
  <c r="I4" i="8"/>
  <c r="G3" i="8"/>
  <c r="D3" i="8"/>
  <c r="D4" i="8" s="1"/>
  <c r="B1" i="8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3" i="7"/>
  <c r="H4" i="7"/>
  <c r="H3" i="7"/>
  <c r="D3" i="7"/>
  <c r="B1" i="7"/>
  <c r="H3" i="6"/>
  <c r="E3" i="6"/>
  <c r="G3" i="6" s="1"/>
  <c r="C1" i="6"/>
  <c r="G3" i="5"/>
  <c r="G7" i="5"/>
  <c r="G6" i="5"/>
  <c r="E6" i="5"/>
  <c r="F5" i="5"/>
  <c r="F4" i="5"/>
  <c r="G5" i="5" s="1"/>
  <c r="G4" i="5"/>
  <c r="E5" i="5"/>
  <c r="E4" i="5"/>
  <c r="E3" i="5"/>
  <c r="B1" i="5"/>
  <c r="D3" i="5"/>
  <c r="F3" i="5" s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2" i="4"/>
  <c r="F3" i="8" l="1"/>
  <c r="D5" i="8"/>
  <c r="G4" i="8"/>
  <c r="E4" i="8"/>
  <c r="E3" i="8"/>
  <c r="F3" i="7"/>
  <c r="D4" i="7"/>
  <c r="G3" i="7"/>
  <c r="F3" i="6"/>
  <c r="E4" i="6"/>
  <c r="F6" i="5"/>
  <c r="D4" i="5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F4" i="8" l="1"/>
  <c r="E5" i="8"/>
  <c r="D6" i="8"/>
  <c r="G5" i="8"/>
  <c r="F5" i="8" s="1"/>
  <c r="D5" i="7"/>
  <c r="F4" i="7"/>
  <c r="H4" i="6"/>
  <c r="E5" i="6"/>
  <c r="F4" i="6"/>
  <c r="E7" i="5"/>
  <c r="D46" i="5"/>
  <c r="G6" i="8" l="1"/>
  <c r="E6" i="8"/>
  <c r="D7" i="8"/>
  <c r="D6" i="7"/>
  <c r="G4" i="7"/>
  <c r="H5" i="7" s="1"/>
  <c r="G5" i="7" s="1"/>
  <c r="G4" i="6"/>
  <c r="E6" i="6"/>
  <c r="F5" i="6"/>
  <c r="H5" i="6"/>
  <c r="G5" i="6" s="1"/>
  <c r="F7" i="5"/>
  <c r="G8" i="5" s="1"/>
  <c r="D47" i="5"/>
  <c r="D8" i="8" l="1"/>
  <c r="F6" i="8"/>
  <c r="G7" i="8" s="1"/>
  <c r="H6" i="7"/>
  <c r="F6" i="7"/>
  <c r="D7" i="7"/>
  <c r="F5" i="7"/>
  <c r="H6" i="6"/>
  <c r="F6" i="6"/>
  <c r="E7" i="6"/>
  <c r="F8" i="5"/>
  <c r="G9" i="5" s="1"/>
  <c r="F9" i="5" s="1"/>
  <c r="G10" i="5" s="1"/>
  <c r="E8" i="5"/>
  <c r="D48" i="5"/>
  <c r="E7" i="8" l="1"/>
  <c r="F7" i="8" s="1"/>
  <c r="D9" i="8"/>
  <c r="D8" i="7"/>
  <c r="G6" i="7"/>
  <c r="F7" i="7" s="1"/>
  <c r="E8" i="6"/>
  <c r="G6" i="6"/>
  <c r="H7" i="6" s="1"/>
  <c r="E9" i="5"/>
  <c r="E10" i="5"/>
  <c r="F10" i="5"/>
  <c r="G11" i="5" s="1"/>
  <c r="D49" i="5"/>
  <c r="G8" i="8" l="1"/>
  <c r="E8" i="8"/>
  <c r="D10" i="8"/>
  <c r="D9" i="7"/>
  <c r="H7" i="7"/>
  <c r="G7" i="7" s="1"/>
  <c r="H8" i="7" s="1"/>
  <c r="F7" i="6"/>
  <c r="G7" i="6" s="1"/>
  <c r="E9" i="6"/>
  <c r="E11" i="5"/>
  <c r="F11" i="5" s="1"/>
  <c r="G12" i="5" s="1"/>
  <c r="D50" i="5"/>
  <c r="D11" i="8" l="1"/>
  <c r="F8" i="8"/>
  <c r="F8" i="7"/>
  <c r="G8" i="7" s="1"/>
  <c r="D10" i="7"/>
  <c r="H8" i="6"/>
  <c r="F8" i="6"/>
  <c r="E10" i="6"/>
  <c r="E12" i="5"/>
  <c r="F12" i="5"/>
  <c r="G13" i="5" s="1"/>
  <c r="D51" i="5"/>
  <c r="G9" i="8" l="1"/>
  <c r="F9" i="8" s="1"/>
  <c r="E9" i="8"/>
  <c r="D12" i="8"/>
  <c r="F9" i="7"/>
  <c r="H9" i="7"/>
  <c r="G9" i="7" s="1"/>
  <c r="H10" i="7" s="1"/>
  <c r="G10" i="7" s="1"/>
  <c r="F10" i="7"/>
  <c r="D11" i="7"/>
  <c r="E11" i="6"/>
  <c r="G8" i="6"/>
  <c r="E13" i="5"/>
  <c r="F13" i="5"/>
  <c r="G14" i="5" s="1"/>
  <c r="D52" i="5"/>
  <c r="D13" i="8" l="1"/>
  <c r="G10" i="8"/>
  <c r="F10" i="8" s="1"/>
  <c r="E10" i="8"/>
  <c r="H11" i="7"/>
  <c r="D12" i="7"/>
  <c r="F11" i="7"/>
  <c r="H9" i="6"/>
  <c r="G9" i="6" s="1"/>
  <c r="F9" i="6"/>
  <c r="E12" i="6"/>
  <c r="E14" i="5"/>
  <c r="F14" i="5"/>
  <c r="G15" i="5" s="1"/>
  <c r="D53" i="5"/>
  <c r="E11" i="8" l="1"/>
  <c r="G11" i="8"/>
  <c r="F11" i="8" s="1"/>
  <c r="D14" i="8"/>
  <c r="D13" i="7"/>
  <c r="G11" i="7"/>
  <c r="H12" i="7" s="1"/>
  <c r="E13" i="6"/>
  <c r="H10" i="6"/>
  <c r="G10" i="6" s="1"/>
  <c r="F10" i="6"/>
  <c r="E15" i="5"/>
  <c r="F15" i="5"/>
  <c r="G16" i="5" s="1"/>
  <c r="D54" i="5"/>
  <c r="D15" i="8" l="1"/>
  <c r="E12" i="8"/>
  <c r="G12" i="8"/>
  <c r="F12" i="8" s="1"/>
  <c r="F12" i="7"/>
  <c r="G12" i="7" s="1"/>
  <c r="D14" i="7"/>
  <c r="H11" i="6"/>
  <c r="F11" i="6"/>
  <c r="E14" i="6"/>
  <c r="E16" i="5"/>
  <c r="F16" i="5"/>
  <c r="G17" i="5" s="1"/>
  <c r="D55" i="5"/>
  <c r="G13" i="8" l="1"/>
  <c r="E13" i="8"/>
  <c r="D16" i="8"/>
  <c r="H13" i="7"/>
  <c r="F13" i="7"/>
  <c r="D15" i="7"/>
  <c r="E15" i="6"/>
  <c r="G11" i="6"/>
  <c r="E17" i="5"/>
  <c r="F17" i="5"/>
  <c r="G18" i="5" s="1"/>
  <c r="D56" i="5"/>
  <c r="D17" i="8" l="1"/>
  <c r="F13" i="8"/>
  <c r="D16" i="7"/>
  <c r="G13" i="7"/>
  <c r="F12" i="6"/>
  <c r="H12" i="6"/>
  <c r="G12" i="6" s="1"/>
  <c r="E16" i="6"/>
  <c r="E18" i="5"/>
  <c r="F18" i="5"/>
  <c r="G19" i="5" s="1"/>
  <c r="D57" i="5"/>
  <c r="E14" i="8" l="1"/>
  <c r="G14" i="8"/>
  <c r="F14" i="8" s="1"/>
  <c r="D18" i="8"/>
  <c r="H14" i="7"/>
  <c r="F14" i="7"/>
  <c r="D17" i="7"/>
  <c r="E17" i="6"/>
  <c r="H13" i="6"/>
  <c r="F13" i="6"/>
  <c r="E19" i="5"/>
  <c r="F19" i="5"/>
  <c r="G20" i="5" s="1"/>
  <c r="D58" i="5"/>
  <c r="D19" i="8" l="1"/>
  <c r="E15" i="8"/>
  <c r="G15" i="8"/>
  <c r="F15" i="8" s="1"/>
  <c r="D18" i="7"/>
  <c r="G14" i="7"/>
  <c r="G13" i="6"/>
  <c r="H14" i="6"/>
  <c r="F14" i="6"/>
  <c r="E18" i="6"/>
  <c r="E20" i="5"/>
  <c r="D59" i="5"/>
  <c r="E16" i="8" l="1"/>
  <c r="G16" i="8"/>
  <c r="F16" i="8" s="1"/>
  <c r="D20" i="8"/>
  <c r="F15" i="7"/>
  <c r="H15" i="7"/>
  <c r="G15" i="7" s="1"/>
  <c r="D19" i="7"/>
  <c r="G14" i="6"/>
  <c r="E19" i="6"/>
  <c r="H15" i="6"/>
  <c r="F15" i="6"/>
  <c r="F20" i="5"/>
  <c r="G21" i="5" s="1"/>
  <c r="E21" i="5"/>
  <c r="F21" i="5"/>
  <c r="G22" i="5" s="1"/>
  <c r="D60" i="5"/>
  <c r="D21" i="8" l="1"/>
  <c r="E17" i="8"/>
  <c r="G17" i="8"/>
  <c r="F17" i="8" s="1"/>
  <c r="D20" i="7"/>
  <c r="F16" i="7"/>
  <c r="H16" i="7"/>
  <c r="G16" i="7" s="1"/>
  <c r="G15" i="6"/>
  <c r="E20" i="6"/>
  <c r="E22" i="5"/>
  <c r="F22" i="5"/>
  <c r="G23" i="5" s="1"/>
  <c r="D61" i="5"/>
  <c r="G18" i="8" l="1"/>
  <c r="E18" i="8"/>
  <c r="D22" i="8"/>
  <c r="F17" i="7"/>
  <c r="H17" i="7"/>
  <c r="G17" i="7" s="1"/>
  <c r="D21" i="7"/>
  <c r="E21" i="6"/>
  <c r="H16" i="6"/>
  <c r="G16" i="6" s="1"/>
  <c r="F16" i="6"/>
  <c r="E23" i="5"/>
  <c r="F23" i="5"/>
  <c r="G24" i="5" s="1"/>
  <c r="D62" i="5"/>
  <c r="D23" i="8" l="1"/>
  <c r="F18" i="8"/>
  <c r="D22" i="7"/>
  <c r="H18" i="7"/>
  <c r="F18" i="7"/>
  <c r="H17" i="6"/>
  <c r="G17" i="6" s="1"/>
  <c r="F17" i="6"/>
  <c r="E22" i="6"/>
  <c r="E24" i="5"/>
  <c r="F24" i="5"/>
  <c r="G25" i="5" s="1"/>
  <c r="D63" i="5"/>
  <c r="E19" i="8" l="1"/>
  <c r="G19" i="8"/>
  <c r="F19" i="8" s="1"/>
  <c r="D24" i="8"/>
  <c r="G18" i="7"/>
  <c r="F19" i="7"/>
  <c r="H19" i="7"/>
  <c r="G19" i="7" s="1"/>
  <c r="D23" i="7"/>
  <c r="E23" i="6"/>
  <c r="H18" i="6"/>
  <c r="F18" i="6"/>
  <c r="E25" i="5"/>
  <c r="F25" i="5"/>
  <c r="G26" i="5" s="1"/>
  <c r="D64" i="5"/>
  <c r="D25" i="8" l="1"/>
  <c r="G20" i="8"/>
  <c r="E20" i="8"/>
  <c r="D24" i="7"/>
  <c r="H20" i="7"/>
  <c r="F20" i="7"/>
  <c r="G18" i="6"/>
  <c r="E24" i="6"/>
  <c r="E26" i="5"/>
  <c r="F26" i="5"/>
  <c r="G27" i="5" s="1"/>
  <c r="D65" i="5"/>
  <c r="F20" i="8" l="1"/>
  <c r="D26" i="8"/>
  <c r="G20" i="7"/>
  <c r="D25" i="7"/>
  <c r="E25" i="6"/>
  <c r="H19" i="6"/>
  <c r="F19" i="6"/>
  <c r="E27" i="5"/>
  <c r="F27" i="5"/>
  <c r="G28" i="5" s="1"/>
  <c r="D66" i="5"/>
  <c r="D27" i="8" l="1"/>
  <c r="G21" i="8"/>
  <c r="F21" i="8" s="1"/>
  <c r="E21" i="8"/>
  <c r="D26" i="7"/>
  <c r="H21" i="7"/>
  <c r="G21" i="7" s="1"/>
  <c r="F21" i="7"/>
  <c r="G19" i="6"/>
  <c r="E26" i="6"/>
  <c r="E28" i="5"/>
  <c r="F28" i="5"/>
  <c r="G29" i="5" s="1"/>
  <c r="D67" i="5"/>
  <c r="G22" i="8" l="1"/>
  <c r="F22" i="8" s="1"/>
  <c r="E22" i="8"/>
  <c r="D28" i="8"/>
  <c r="H22" i="7"/>
  <c r="F22" i="7"/>
  <c r="D27" i="7"/>
  <c r="E27" i="6"/>
  <c r="H20" i="6"/>
  <c r="F20" i="6"/>
  <c r="E29" i="5"/>
  <c r="F29" i="5"/>
  <c r="G30" i="5" s="1"/>
  <c r="D68" i="5"/>
  <c r="D29" i="8" l="1"/>
  <c r="E23" i="8"/>
  <c r="G23" i="8"/>
  <c r="F23" i="8" s="1"/>
  <c r="D28" i="7"/>
  <c r="G22" i="7"/>
  <c r="G20" i="6"/>
  <c r="E28" i="6"/>
  <c r="E30" i="5"/>
  <c r="F30" i="5"/>
  <c r="G31" i="5" s="1"/>
  <c r="D69" i="5"/>
  <c r="G24" i="8" l="1"/>
  <c r="F24" i="8" s="1"/>
  <c r="E24" i="8"/>
  <c r="D30" i="8"/>
  <c r="F23" i="7"/>
  <c r="H23" i="7"/>
  <c r="G23" i="7" s="1"/>
  <c r="D29" i="7"/>
  <c r="E29" i="6"/>
  <c r="H21" i="6"/>
  <c r="G21" i="6" s="1"/>
  <c r="F21" i="6"/>
  <c r="E31" i="5"/>
  <c r="F31" i="5"/>
  <c r="G32" i="5" s="1"/>
  <c r="D70" i="5"/>
  <c r="D31" i="8" l="1"/>
  <c r="G25" i="8"/>
  <c r="F25" i="8" s="1"/>
  <c r="E25" i="8"/>
  <c r="D30" i="7"/>
  <c r="H24" i="7"/>
  <c r="G24" i="7" s="1"/>
  <c r="F24" i="7"/>
  <c r="H22" i="6"/>
  <c r="F22" i="6"/>
  <c r="E30" i="6"/>
  <c r="E32" i="5"/>
  <c r="F32" i="5"/>
  <c r="G33" i="5" s="1"/>
  <c r="D71" i="5"/>
  <c r="E26" i="8" l="1"/>
  <c r="G26" i="8"/>
  <c r="F26" i="8" s="1"/>
  <c r="D32" i="8"/>
  <c r="H25" i="7"/>
  <c r="G25" i="7" s="1"/>
  <c r="F25" i="7"/>
  <c r="D31" i="7"/>
  <c r="E31" i="6"/>
  <c r="G22" i="6"/>
  <c r="E33" i="5"/>
  <c r="F33" i="5"/>
  <c r="G34" i="5" s="1"/>
  <c r="D72" i="5"/>
  <c r="D33" i="8" l="1"/>
  <c r="E27" i="8"/>
  <c r="G27" i="8"/>
  <c r="F27" i="8" s="1"/>
  <c r="D32" i="7"/>
  <c r="F26" i="7"/>
  <c r="H26" i="7"/>
  <c r="H23" i="6"/>
  <c r="F23" i="6"/>
  <c r="E32" i="6"/>
  <c r="E34" i="5"/>
  <c r="F34" i="5"/>
  <c r="G35" i="5" s="1"/>
  <c r="D73" i="5"/>
  <c r="E28" i="8" l="1"/>
  <c r="G28" i="8"/>
  <c r="F28" i="8" s="1"/>
  <c r="D34" i="8"/>
  <c r="G26" i="7"/>
  <c r="H27" i="7"/>
  <c r="F27" i="7"/>
  <c r="D33" i="7"/>
  <c r="E33" i="6"/>
  <c r="G23" i="6"/>
  <c r="E35" i="5"/>
  <c r="F35" i="5"/>
  <c r="G36" i="5" s="1"/>
  <c r="D74" i="5"/>
  <c r="D35" i="8" l="1"/>
  <c r="E29" i="8"/>
  <c r="G29" i="8"/>
  <c r="F29" i="8" s="1"/>
  <c r="D34" i="7"/>
  <c r="G27" i="7"/>
  <c r="F24" i="6"/>
  <c r="H24" i="6"/>
  <c r="G24" i="6" s="1"/>
  <c r="E34" i="6"/>
  <c r="E36" i="5"/>
  <c r="F36" i="5"/>
  <c r="G37" i="5" s="1"/>
  <c r="D75" i="5"/>
  <c r="E30" i="8" l="1"/>
  <c r="G30" i="8"/>
  <c r="F30" i="8" s="1"/>
  <c r="D36" i="8"/>
  <c r="H28" i="7"/>
  <c r="F28" i="7"/>
  <c r="D35" i="7"/>
  <c r="H25" i="6"/>
  <c r="G25" i="6" s="1"/>
  <c r="F25" i="6"/>
  <c r="E35" i="6"/>
  <c r="E37" i="5"/>
  <c r="F37" i="5"/>
  <c r="G38" i="5" s="1"/>
  <c r="D76" i="5"/>
  <c r="D37" i="8" l="1"/>
  <c r="G31" i="8"/>
  <c r="E31" i="8"/>
  <c r="D36" i="7"/>
  <c r="G28" i="7"/>
  <c r="E36" i="6"/>
  <c r="F26" i="6"/>
  <c r="H26" i="6"/>
  <c r="G26" i="6" s="1"/>
  <c r="E38" i="5"/>
  <c r="F38" i="5"/>
  <c r="G39" i="5" s="1"/>
  <c r="D77" i="5"/>
  <c r="F31" i="8" l="1"/>
  <c r="D38" i="8"/>
  <c r="F29" i="7"/>
  <c r="H29" i="7"/>
  <c r="G29" i="7" s="1"/>
  <c r="D37" i="7"/>
  <c r="H27" i="6"/>
  <c r="F27" i="6"/>
  <c r="E37" i="6"/>
  <c r="E39" i="5"/>
  <c r="F39" i="5"/>
  <c r="G40" i="5" s="1"/>
  <c r="D78" i="5"/>
  <c r="D39" i="8" l="1"/>
  <c r="G32" i="8"/>
  <c r="E32" i="8"/>
  <c r="D38" i="7"/>
  <c r="H30" i="7"/>
  <c r="G30" i="7" s="1"/>
  <c r="F30" i="7"/>
  <c r="E38" i="6"/>
  <c r="G27" i="6"/>
  <c r="E40" i="5"/>
  <c r="F40" i="5"/>
  <c r="G41" i="5" s="1"/>
  <c r="D79" i="5"/>
  <c r="F32" i="8" l="1"/>
  <c r="D40" i="8"/>
  <c r="H31" i="7"/>
  <c r="F31" i="7"/>
  <c r="D39" i="7"/>
  <c r="H28" i="6"/>
  <c r="F28" i="6"/>
  <c r="E39" i="6"/>
  <c r="E41" i="5"/>
  <c r="F41" i="5"/>
  <c r="G42" i="5" s="1"/>
  <c r="D80" i="5"/>
  <c r="D41" i="8" l="1"/>
  <c r="E33" i="8"/>
  <c r="G33" i="8"/>
  <c r="F33" i="8" s="1"/>
  <c r="D40" i="7"/>
  <c r="G31" i="7"/>
  <c r="E40" i="6"/>
  <c r="G28" i="6"/>
  <c r="E42" i="5"/>
  <c r="F42" i="5"/>
  <c r="G43" i="5" s="1"/>
  <c r="D81" i="5"/>
  <c r="G34" i="8" l="1"/>
  <c r="E34" i="8"/>
  <c r="D42" i="8"/>
  <c r="F32" i="7"/>
  <c r="H32" i="7"/>
  <c r="G32" i="7" s="1"/>
  <c r="D41" i="7"/>
  <c r="H29" i="6"/>
  <c r="F29" i="6"/>
  <c r="E41" i="6"/>
  <c r="E43" i="5"/>
  <c r="F43" i="5"/>
  <c r="G44" i="5" s="1"/>
  <c r="D82" i="5"/>
  <c r="D43" i="8" l="1"/>
  <c r="F34" i="8"/>
  <c r="D42" i="7"/>
  <c r="F33" i="7"/>
  <c r="H33" i="7"/>
  <c r="G33" i="7" s="1"/>
  <c r="E42" i="6"/>
  <c r="G29" i="6"/>
  <c r="E44" i="5"/>
  <c r="F44" i="5"/>
  <c r="G45" i="5" s="1"/>
  <c r="D83" i="5"/>
  <c r="G35" i="8" l="1"/>
  <c r="F35" i="8" s="1"/>
  <c r="E35" i="8"/>
  <c r="D44" i="8"/>
  <c r="H34" i="7"/>
  <c r="F34" i="7"/>
  <c r="D43" i="7"/>
  <c r="H30" i="6"/>
  <c r="G30" i="6" s="1"/>
  <c r="F30" i="6"/>
  <c r="E43" i="6"/>
  <c r="E45" i="5"/>
  <c r="F45" i="5"/>
  <c r="G46" i="5" s="1"/>
  <c r="D84" i="5"/>
  <c r="D45" i="8" l="1"/>
  <c r="G36" i="8"/>
  <c r="E36" i="8"/>
  <c r="D44" i="7"/>
  <c r="G34" i="7"/>
  <c r="E44" i="6"/>
  <c r="H31" i="6"/>
  <c r="F31" i="6"/>
  <c r="E46" i="5"/>
  <c r="F46" i="5"/>
  <c r="G47" i="5" s="1"/>
  <c r="D85" i="5"/>
  <c r="F36" i="8" l="1"/>
  <c r="D46" i="8"/>
  <c r="F35" i="7"/>
  <c r="H35" i="7"/>
  <c r="G35" i="7" s="1"/>
  <c r="D45" i="7"/>
  <c r="G31" i="6"/>
  <c r="H32" i="6"/>
  <c r="F32" i="6"/>
  <c r="E45" i="6"/>
  <c r="E47" i="5"/>
  <c r="F47" i="5"/>
  <c r="G48" i="5" s="1"/>
  <c r="D86" i="5"/>
  <c r="D47" i="8" l="1"/>
  <c r="E37" i="8"/>
  <c r="G37" i="8"/>
  <c r="F37" i="8" s="1"/>
  <c r="D46" i="7"/>
  <c r="H36" i="7"/>
  <c r="F36" i="7"/>
  <c r="G32" i="6"/>
  <c r="E46" i="6"/>
  <c r="F33" i="6"/>
  <c r="H33" i="6"/>
  <c r="G33" i="6" s="1"/>
  <c r="E48" i="5"/>
  <c r="F48" i="5"/>
  <c r="G49" i="5" s="1"/>
  <c r="D87" i="5"/>
  <c r="G38" i="8" l="1"/>
  <c r="E38" i="8"/>
  <c r="D48" i="8"/>
  <c r="G36" i="7"/>
  <c r="D47" i="7"/>
  <c r="H34" i="6"/>
  <c r="F34" i="6"/>
  <c r="E47" i="6"/>
  <c r="E49" i="5"/>
  <c r="F49" i="5"/>
  <c r="G50" i="5" s="1"/>
  <c r="D88" i="5"/>
  <c r="D49" i="8" l="1"/>
  <c r="F38" i="8"/>
  <c r="D48" i="7"/>
  <c r="H37" i="7"/>
  <c r="F37" i="7"/>
  <c r="E48" i="6"/>
  <c r="G34" i="6"/>
  <c r="E50" i="5"/>
  <c r="F50" i="5"/>
  <c r="G51" i="5" s="1"/>
  <c r="D89" i="5"/>
  <c r="E39" i="8" l="1"/>
  <c r="G39" i="8"/>
  <c r="F39" i="8" s="1"/>
  <c r="D50" i="8"/>
  <c r="G37" i="7"/>
  <c r="D49" i="7"/>
  <c r="H35" i="6"/>
  <c r="G35" i="6" s="1"/>
  <c r="F35" i="6"/>
  <c r="E49" i="6"/>
  <c r="E51" i="5"/>
  <c r="F51" i="5"/>
  <c r="G52" i="5" s="1"/>
  <c r="D90" i="5"/>
  <c r="D51" i="8" l="1"/>
  <c r="E40" i="8"/>
  <c r="G40" i="8"/>
  <c r="F40" i="8" s="1"/>
  <c r="D50" i="7"/>
  <c r="H38" i="7"/>
  <c r="F38" i="7"/>
  <c r="E50" i="6"/>
  <c r="H36" i="6"/>
  <c r="F36" i="6"/>
  <c r="E52" i="5"/>
  <c r="F52" i="5"/>
  <c r="G53" i="5" s="1"/>
  <c r="D91" i="5"/>
  <c r="G41" i="8" l="1"/>
  <c r="E41" i="8"/>
  <c r="D52" i="8"/>
  <c r="G38" i="7"/>
  <c r="D51" i="7"/>
  <c r="G36" i="6"/>
  <c r="E51" i="6"/>
  <c r="E53" i="5"/>
  <c r="F53" i="5"/>
  <c r="G54" i="5" s="1"/>
  <c r="D92" i="5"/>
  <c r="D53" i="8" l="1"/>
  <c r="F41" i="8"/>
  <c r="D52" i="7"/>
  <c r="H39" i="7"/>
  <c r="F39" i="7"/>
  <c r="E52" i="6"/>
  <c r="H37" i="6"/>
  <c r="F37" i="6"/>
  <c r="E54" i="5"/>
  <c r="F54" i="5"/>
  <c r="G55" i="5" s="1"/>
  <c r="D93" i="5"/>
  <c r="G42" i="8" l="1"/>
  <c r="E42" i="8"/>
  <c r="D54" i="8"/>
  <c r="G39" i="7"/>
  <c r="D53" i="7"/>
  <c r="G37" i="6"/>
  <c r="E53" i="6"/>
  <c r="E55" i="5"/>
  <c r="F55" i="5"/>
  <c r="G56" i="5" s="1"/>
  <c r="D94" i="5"/>
  <c r="D55" i="8" l="1"/>
  <c r="F42" i="8"/>
  <c r="D54" i="7"/>
  <c r="H40" i="7"/>
  <c r="F40" i="7"/>
  <c r="E54" i="6"/>
  <c r="H38" i="6"/>
  <c r="F38" i="6"/>
  <c r="E56" i="5"/>
  <c r="F56" i="5"/>
  <c r="G57" i="5" s="1"/>
  <c r="D95" i="5"/>
  <c r="G43" i="8" l="1"/>
  <c r="E43" i="8"/>
  <c r="D56" i="8"/>
  <c r="G40" i="7"/>
  <c r="D55" i="7"/>
  <c r="G38" i="6"/>
  <c r="E55" i="6"/>
  <c r="E57" i="5"/>
  <c r="F57" i="5"/>
  <c r="G58" i="5" s="1"/>
  <c r="D96" i="5"/>
  <c r="D57" i="8" l="1"/>
  <c r="F43" i="8"/>
  <c r="D56" i="7"/>
  <c r="H41" i="7"/>
  <c r="F41" i="7"/>
  <c r="E56" i="6"/>
  <c r="H39" i="6"/>
  <c r="F39" i="6"/>
  <c r="E58" i="5"/>
  <c r="F58" i="5"/>
  <c r="G59" i="5" s="1"/>
  <c r="D97" i="5"/>
  <c r="G44" i="8" l="1"/>
  <c r="F44" i="8" s="1"/>
  <c r="E44" i="8"/>
  <c r="D58" i="8"/>
  <c r="G41" i="7"/>
  <c r="D57" i="7"/>
  <c r="G39" i="6"/>
  <c r="E57" i="6"/>
  <c r="E59" i="5"/>
  <c r="F59" i="5"/>
  <c r="G60" i="5" s="1"/>
  <c r="D98" i="5"/>
  <c r="D59" i="8" l="1"/>
  <c r="G45" i="8"/>
  <c r="E45" i="8"/>
  <c r="D58" i="7"/>
  <c r="H42" i="7"/>
  <c r="F42" i="7"/>
  <c r="E58" i="6"/>
  <c r="F40" i="6"/>
  <c r="H40" i="6"/>
  <c r="G40" i="6" s="1"/>
  <c r="E60" i="5"/>
  <c r="D99" i="5"/>
  <c r="F45" i="8" l="1"/>
  <c r="D60" i="8"/>
  <c r="G42" i="7"/>
  <c r="D59" i="7"/>
  <c r="H41" i="6"/>
  <c r="F41" i="6"/>
  <c r="E59" i="6"/>
  <c r="F60" i="5"/>
  <c r="G61" i="5" s="1"/>
  <c r="E61" i="5"/>
  <c r="F61" i="5"/>
  <c r="G62" i="5" s="1"/>
  <c r="D100" i="5"/>
  <c r="D61" i="8" l="1"/>
  <c r="G46" i="8"/>
  <c r="F46" i="8" s="1"/>
  <c r="E46" i="8"/>
  <c r="D60" i="7"/>
  <c r="H43" i="7"/>
  <c r="F43" i="7"/>
  <c r="E60" i="6"/>
  <c r="G41" i="6"/>
  <c r="E62" i="5"/>
  <c r="F62" i="5"/>
  <c r="G63" i="5" s="1"/>
  <c r="D101" i="5"/>
  <c r="E47" i="8" l="1"/>
  <c r="G47" i="8"/>
  <c r="F47" i="8" s="1"/>
  <c r="D62" i="8"/>
  <c r="G43" i="7"/>
  <c r="D61" i="7"/>
  <c r="H42" i="6"/>
  <c r="F42" i="6"/>
  <c r="E61" i="6"/>
  <c r="E63" i="5"/>
  <c r="F63" i="5"/>
  <c r="G64" i="5" s="1"/>
  <c r="D102" i="5"/>
  <c r="D63" i="8" l="1"/>
  <c r="G48" i="8"/>
  <c r="F48" i="8" s="1"/>
  <c r="E48" i="8"/>
  <c r="D62" i="7"/>
  <c r="F44" i="7"/>
  <c r="H44" i="7"/>
  <c r="G44" i="7" s="1"/>
  <c r="E62" i="6"/>
  <c r="G42" i="6"/>
  <c r="E64" i="5"/>
  <c r="F64" i="5"/>
  <c r="G65" i="5" s="1"/>
  <c r="D103" i="5"/>
  <c r="E49" i="8" l="1"/>
  <c r="G49" i="8"/>
  <c r="F49" i="8" s="1"/>
  <c r="D64" i="8"/>
  <c r="F45" i="7"/>
  <c r="H45" i="7"/>
  <c r="G45" i="7" s="1"/>
  <c r="D63" i="7"/>
  <c r="H43" i="6"/>
  <c r="F43" i="6"/>
  <c r="E63" i="6"/>
  <c r="E65" i="5"/>
  <c r="F65" i="5"/>
  <c r="G66" i="5" s="1"/>
  <c r="D104" i="5"/>
  <c r="D65" i="8" l="1"/>
  <c r="E50" i="8"/>
  <c r="G50" i="8"/>
  <c r="F50" i="8" s="1"/>
  <c r="D64" i="7"/>
  <c r="H46" i="7"/>
  <c r="G46" i="7" s="1"/>
  <c r="F46" i="7"/>
  <c r="E64" i="6"/>
  <c r="G43" i="6"/>
  <c r="E66" i="5"/>
  <c r="F66" i="5"/>
  <c r="G67" i="5" s="1"/>
  <c r="D105" i="5"/>
  <c r="G51" i="8" l="1"/>
  <c r="E51" i="8"/>
  <c r="D66" i="8"/>
  <c r="F47" i="7"/>
  <c r="H47" i="7"/>
  <c r="G47" i="7" s="1"/>
  <c r="D65" i="7"/>
  <c r="F44" i="6"/>
  <c r="H44" i="6"/>
  <c r="G44" i="6" s="1"/>
  <c r="E65" i="6"/>
  <c r="E67" i="5"/>
  <c r="F67" i="5"/>
  <c r="G68" i="5" s="1"/>
  <c r="D106" i="5"/>
  <c r="D67" i="8" l="1"/>
  <c r="F51" i="8"/>
  <c r="D66" i="7"/>
  <c r="H48" i="7"/>
  <c r="G48" i="7" s="1"/>
  <c r="F48" i="7"/>
  <c r="E66" i="6"/>
  <c r="H45" i="6"/>
  <c r="F45" i="6"/>
  <c r="E68" i="5"/>
  <c r="F68" i="5"/>
  <c r="G69" i="5" s="1"/>
  <c r="D107" i="5"/>
  <c r="G52" i="8" l="1"/>
  <c r="E52" i="8"/>
  <c r="D68" i="8"/>
  <c r="H49" i="7"/>
  <c r="F49" i="7"/>
  <c r="D67" i="7"/>
  <c r="G45" i="6"/>
  <c r="E67" i="6"/>
  <c r="E69" i="5"/>
  <c r="F69" i="5"/>
  <c r="G70" i="5" s="1"/>
  <c r="D108" i="5"/>
  <c r="D69" i="8" l="1"/>
  <c r="F52" i="8"/>
  <c r="D68" i="7"/>
  <c r="G49" i="7"/>
  <c r="E68" i="6"/>
  <c r="H46" i="6"/>
  <c r="G46" i="6" s="1"/>
  <c r="F46" i="6"/>
  <c r="E70" i="5"/>
  <c r="F70" i="5"/>
  <c r="G71" i="5" s="1"/>
  <c r="D109" i="5"/>
  <c r="G53" i="8" l="1"/>
  <c r="E53" i="8"/>
  <c r="D70" i="8"/>
  <c r="F50" i="7"/>
  <c r="H50" i="7"/>
  <c r="G50" i="7" s="1"/>
  <c r="D69" i="7"/>
  <c r="F47" i="6"/>
  <c r="H47" i="6"/>
  <c r="G47" i="6" s="1"/>
  <c r="E69" i="6"/>
  <c r="E71" i="5"/>
  <c r="F71" i="5"/>
  <c r="G72" i="5" s="1"/>
  <c r="D110" i="5"/>
  <c r="D71" i="8" l="1"/>
  <c r="F53" i="8"/>
  <c r="D70" i="7"/>
  <c r="H51" i="7"/>
  <c r="F51" i="7"/>
  <c r="E70" i="6"/>
  <c r="H48" i="6"/>
  <c r="G48" i="6" s="1"/>
  <c r="F48" i="6"/>
  <c r="E72" i="5"/>
  <c r="F72" i="5"/>
  <c r="G73" i="5" s="1"/>
  <c r="D111" i="5"/>
  <c r="G54" i="8" l="1"/>
  <c r="F54" i="8" s="1"/>
  <c r="E54" i="8"/>
  <c r="D72" i="8"/>
  <c r="G51" i="7"/>
  <c r="D71" i="7"/>
  <c r="H49" i="6"/>
  <c r="F49" i="6"/>
  <c r="E71" i="6"/>
  <c r="E73" i="5"/>
  <c r="F73" i="5"/>
  <c r="G74" i="5" s="1"/>
  <c r="D112" i="5"/>
  <c r="D73" i="8" l="1"/>
  <c r="G55" i="8"/>
  <c r="E55" i="8"/>
  <c r="D72" i="7"/>
  <c r="F52" i="7"/>
  <c r="H52" i="7"/>
  <c r="G52" i="7" s="1"/>
  <c r="E72" i="6"/>
  <c r="G49" i="6"/>
  <c r="E74" i="5"/>
  <c r="F74" i="5"/>
  <c r="G75" i="5" s="1"/>
  <c r="D113" i="5"/>
  <c r="F55" i="8" l="1"/>
  <c r="D74" i="8"/>
  <c r="H53" i="7"/>
  <c r="F53" i="7"/>
  <c r="D73" i="7"/>
  <c r="H50" i="6"/>
  <c r="G50" i="6" s="1"/>
  <c r="F50" i="6"/>
  <c r="E73" i="6"/>
  <c r="E75" i="5"/>
  <c r="F75" i="5"/>
  <c r="G76" i="5" s="1"/>
  <c r="D114" i="5"/>
  <c r="D75" i="8" l="1"/>
  <c r="E56" i="8"/>
  <c r="G56" i="8"/>
  <c r="F56" i="8" s="1"/>
  <c r="D74" i="7"/>
  <c r="G53" i="7"/>
  <c r="E74" i="6"/>
  <c r="H51" i="6"/>
  <c r="F51" i="6"/>
  <c r="E76" i="5"/>
  <c r="F76" i="5"/>
  <c r="G77" i="5" s="1"/>
  <c r="D115" i="5"/>
  <c r="G57" i="8" l="1"/>
  <c r="F57" i="8" s="1"/>
  <c r="E57" i="8"/>
  <c r="D76" i="8"/>
  <c r="F54" i="7"/>
  <c r="H54" i="7"/>
  <c r="G54" i="7" s="1"/>
  <c r="D75" i="7"/>
  <c r="G51" i="6"/>
  <c r="E75" i="6"/>
  <c r="E77" i="5"/>
  <c r="F77" i="5"/>
  <c r="G78" i="5" s="1"/>
  <c r="D116" i="5"/>
  <c r="D77" i="8" l="1"/>
  <c r="E58" i="8"/>
  <c r="G58" i="8"/>
  <c r="F58" i="8" s="1"/>
  <c r="D76" i="7"/>
  <c r="H55" i="7"/>
  <c r="F55" i="7"/>
  <c r="E76" i="6"/>
  <c r="F52" i="6"/>
  <c r="H52" i="6"/>
  <c r="G52" i="6" s="1"/>
  <c r="E78" i="5"/>
  <c r="F78" i="5"/>
  <c r="G79" i="5" s="1"/>
  <c r="D117" i="5"/>
  <c r="G59" i="8" l="1"/>
  <c r="E59" i="8"/>
  <c r="D78" i="8"/>
  <c r="G55" i="7"/>
  <c r="D77" i="7"/>
  <c r="H53" i="6"/>
  <c r="F53" i="6"/>
  <c r="E77" i="6"/>
  <c r="E79" i="5"/>
  <c r="F79" i="5"/>
  <c r="G80" i="5" s="1"/>
  <c r="D118" i="5"/>
  <c r="D79" i="8" l="1"/>
  <c r="F59" i="8"/>
  <c r="D78" i="7"/>
  <c r="H56" i="7"/>
  <c r="F56" i="7"/>
  <c r="E78" i="6"/>
  <c r="G53" i="6"/>
  <c r="E80" i="5"/>
  <c r="F80" i="5"/>
  <c r="G81" i="5" s="1"/>
  <c r="D119" i="5"/>
  <c r="G60" i="8" l="1"/>
  <c r="E60" i="8"/>
  <c r="D80" i="8"/>
  <c r="G56" i="7"/>
  <c r="D79" i="7"/>
  <c r="F54" i="6"/>
  <c r="H54" i="6"/>
  <c r="G54" i="6" s="1"/>
  <c r="E79" i="6"/>
  <c r="E81" i="5"/>
  <c r="F81" i="5"/>
  <c r="G82" i="5" s="1"/>
  <c r="D120" i="5"/>
  <c r="D81" i="8" l="1"/>
  <c r="F60" i="8"/>
  <c r="D80" i="7"/>
  <c r="H57" i="7"/>
  <c r="G57" i="7" s="1"/>
  <c r="F57" i="7"/>
  <c r="E80" i="6"/>
  <c r="H55" i="6"/>
  <c r="F55" i="6"/>
  <c r="E82" i="5"/>
  <c r="F82" i="5"/>
  <c r="G83" i="5" s="1"/>
  <c r="D121" i="5"/>
  <c r="E61" i="8" l="1"/>
  <c r="G61" i="8"/>
  <c r="F61" i="8" s="1"/>
  <c r="D82" i="8"/>
  <c r="H58" i="7"/>
  <c r="F58" i="7"/>
  <c r="D81" i="7"/>
  <c r="G55" i="6"/>
  <c r="E81" i="6"/>
  <c r="E83" i="5"/>
  <c r="F83" i="5"/>
  <c r="G84" i="5" s="1"/>
  <c r="D122" i="5"/>
  <c r="D83" i="8" l="1"/>
  <c r="G62" i="8"/>
  <c r="E62" i="8"/>
  <c r="D82" i="7"/>
  <c r="G58" i="7"/>
  <c r="E82" i="6"/>
  <c r="H56" i="6"/>
  <c r="F56" i="6"/>
  <c r="E84" i="5"/>
  <c r="F84" i="5"/>
  <c r="G85" i="5" s="1"/>
  <c r="D123" i="5"/>
  <c r="F62" i="8" l="1"/>
  <c r="D84" i="8"/>
  <c r="F59" i="7"/>
  <c r="H59" i="7"/>
  <c r="G59" i="7" s="1"/>
  <c r="D83" i="7"/>
  <c r="G56" i="6"/>
  <c r="E83" i="6"/>
  <c r="E85" i="5"/>
  <c r="F85" i="5"/>
  <c r="G86" i="5" s="1"/>
  <c r="D124" i="5"/>
  <c r="D85" i="8" l="1"/>
  <c r="G63" i="8"/>
  <c r="E63" i="8"/>
  <c r="D84" i="7"/>
  <c r="H60" i="7"/>
  <c r="F60" i="7"/>
  <c r="E84" i="6"/>
  <c r="F57" i="6"/>
  <c r="H57" i="6"/>
  <c r="G57" i="6" s="1"/>
  <c r="E86" i="5"/>
  <c r="F86" i="5"/>
  <c r="G87" i="5" s="1"/>
  <c r="D125" i="5"/>
  <c r="F63" i="8" l="1"/>
  <c r="D86" i="8"/>
  <c r="G60" i="7"/>
  <c r="D85" i="7"/>
  <c r="F58" i="6"/>
  <c r="H58" i="6"/>
  <c r="G58" i="6" s="1"/>
  <c r="E85" i="6"/>
  <c r="E87" i="5"/>
  <c r="F87" i="5"/>
  <c r="G88" i="5" s="1"/>
  <c r="D126" i="5"/>
  <c r="D87" i="8" l="1"/>
  <c r="G64" i="8"/>
  <c r="E64" i="8"/>
  <c r="D86" i="7"/>
  <c r="F61" i="7"/>
  <c r="H61" i="7"/>
  <c r="G61" i="7" s="1"/>
  <c r="E86" i="6"/>
  <c r="F59" i="6"/>
  <c r="H59" i="6"/>
  <c r="G59" i="6" s="1"/>
  <c r="E88" i="5"/>
  <c r="F88" i="5"/>
  <c r="G89" i="5" s="1"/>
  <c r="D127" i="5"/>
  <c r="F64" i="8" l="1"/>
  <c r="D88" i="8"/>
  <c r="H62" i="7"/>
  <c r="F62" i="7"/>
  <c r="D87" i="7"/>
  <c r="H60" i="6"/>
  <c r="F60" i="6"/>
  <c r="E87" i="6"/>
  <c r="E89" i="5"/>
  <c r="F89" i="5"/>
  <c r="G90" i="5" s="1"/>
  <c r="D128" i="5"/>
  <c r="D89" i="8" l="1"/>
  <c r="G65" i="8"/>
  <c r="F65" i="8" s="1"/>
  <c r="E65" i="8"/>
  <c r="D88" i="7"/>
  <c r="G62" i="7"/>
  <c r="E88" i="6"/>
  <c r="G60" i="6"/>
  <c r="E90" i="5"/>
  <c r="F90" i="5"/>
  <c r="G91" i="5" s="1"/>
  <c r="D129" i="5"/>
  <c r="G66" i="8" l="1"/>
  <c r="E66" i="8"/>
  <c r="D90" i="8"/>
  <c r="H63" i="7"/>
  <c r="F63" i="7"/>
  <c r="D89" i="7"/>
  <c r="F61" i="6"/>
  <c r="H61" i="6"/>
  <c r="G61" i="6" s="1"/>
  <c r="E89" i="6"/>
  <c r="E91" i="5"/>
  <c r="F91" i="5"/>
  <c r="G92" i="5" s="1"/>
  <c r="D130" i="5"/>
  <c r="D91" i="8" l="1"/>
  <c r="F66" i="8"/>
  <c r="D90" i="7"/>
  <c r="G63" i="7"/>
  <c r="E90" i="6"/>
  <c r="H62" i="6"/>
  <c r="F62" i="6"/>
  <c r="E92" i="5"/>
  <c r="F92" i="5"/>
  <c r="G93" i="5" s="1"/>
  <c r="D131" i="5"/>
  <c r="G67" i="8" l="1"/>
  <c r="F67" i="8" s="1"/>
  <c r="E67" i="8"/>
  <c r="D92" i="8"/>
  <c r="F64" i="7"/>
  <c r="H64" i="7"/>
  <c r="G64" i="7" s="1"/>
  <c r="D91" i="7"/>
  <c r="G62" i="6"/>
  <c r="E91" i="6"/>
  <c r="E93" i="5"/>
  <c r="F93" i="5"/>
  <c r="G94" i="5" s="1"/>
  <c r="D132" i="5"/>
  <c r="D93" i="8" l="1"/>
  <c r="E68" i="8"/>
  <c r="G68" i="8"/>
  <c r="F68" i="8" s="1"/>
  <c r="D92" i="7"/>
  <c r="F65" i="7"/>
  <c r="H65" i="7"/>
  <c r="G65" i="7" s="1"/>
  <c r="E92" i="6"/>
  <c r="H63" i="6"/>
  <c r="F63" i="6"/>
  <c r="E94" i="5"/>
  <c r="F94" i="5"/>
  <c r="G95" i="5" s="1"/>
  <c r="D133" i="5"/>
  <c r="G69" i="8" l="1"/>
  <c r="E69" i="8"/>
  <c r="D94" i="8"/>
  <c r="H66" i="7"/>
  <c r="F66" i="7"/>
  <c r="D93" i="7"/>
  <c r="G63" i="6"/>
  <c r="E93" i="6"/>
  <c r="E95" i="5"/>
  <c r="F95" i="5"/>
  <c r="G96" i="5" s="1"/>
  <c r="D134" i="5"/>
  <c r="D95" i="8" l="1"/>
  <c r="F69" i="8"/>
  <c r="D94" i="7"/>
  <c r="G66" i="7"/>
  <c r="E94" i="6"/>
  <c r="F64" i="6"/>
  <c r="H64" i="6"/>
  <c r="G64" i="6" s="1"/>
  <c r="E96" i="5"/>
  <c r="F96" i="5"/>
  <c r="G97" i="5" s="1"/>
  <c r="D135" i="5"/>
  <c r="G70" i="8" l="1"/>
  <c r="E70" i="8"/>
  <c r="D96" i="8"/>
  <c r="H67" i="7"/>
  <c r="G67" i="7" s="1"/>
  <c r="F67" i="7"/>
  <c r="D95" i="7"/>
  <c r="F65" i="6"/>
  <c r="H65" i="6"/>
  <c r="G65" i="6" s="1"/>
  <c r="E95" i="6"/>
  <c r="E97" i="5"/>
  <c r="F97" i="5"/>
  <c r="G98" i="5" s="1"/>
  <c r="D136" i="5"/>
  <c r="D97" i="8" l="1"/>
  <c r="F70" i="8"/>
  <c r="D96" i="7"/>
  <c r="H68" i="7"/>
  <c r="G68" i="7" s="1"/>
  <c r="F68" i="7"/>
  <c r="E96" i="6"/>
  <c r="H66" i="6"/>
  <c r="F66" i="6"/>
  <c r="E98" i="5"/>
  <c r="F98" i="5"/>
  <c r="G99" i="5" s="1"/>
  <c r="D137" i="5"/>
  <c r="G71" i="8" l="1"/>
  <c r="E71" i="8"/>
  <c r="D98" i="8"/>
  <c r="H69" i="7"/>
  <c r="F69" i="7"/>
  <c r="D97" i="7"/>
  <c r="G66" i="6"/>
  <c r="E97" i="6"/>
  <c r="E99" i="5"/>
  <c r="F99" i="5"/>
  <c r="G100" i="5" s="1"/>
  <c r="D138" i="5"/>
  <c r="D99" i="8" l="1"/>
  <c r="F71" i="8"/>
  <c r="D98" i="7"/>
  <c r="G69" i="7"/>
  <c r="E98" i="6"/>
  <c r="H67" i="6"/>
  <c r="G67" i="6" s="1"/>
  <c r="F67" i="6"/>
  <c r="E100" i="5"/>
  <c r="F100" i="5"/>
  <c r="G101" i="5" s="1"/>
  <c r="D139" i="5"/>
  <c r="G72" i="8" l="1"/>
  <c r="E72" i="8"/>
  <c r="D100" i="8"/>
  <c r="F70" i="7"/>
  <c r="H70" i="7"/>
  <c r="G70" i="7" s="1"/>
  <c r="D99" i="7"/>
  <c r="H68" i="6"/>
  <c r="G68" i="6" s="1"/>
  <c r="F68" i="6"/>
  <c r="E99" i="6"/>
  <c r="E101" i="5"/>
  <c r="D140" i="5"/>
  <c r="D101" i="8" l="1"/>
  <c r="F72" i="8"/>
  <c r="D100" i="7"/>
  <c r="F71" i="7"/>
  <c r="H71" i="7"/>
  <c r="G71" i="7" s="1"/>
  <c r="E100" i="6"/>
  <c r="H69" i="6"/>
  <c r="F69" i="6"/>
  <c r="F101" i="5"/>
  <c r="G102" i="5" s="1"/>
  <c r="E102" i="5"/>
  <c r="F102" i="5"/>
  <c r="G103" i="5" s="1"/>
  <c r="D141" i="5"/>
  <c r="G73" i="8" l="1"/>
  <c r="F73" i="8" s="1"/>
  <c r="E73" i="8"/>
  <c r="D102" i="8"/>
  <c r="H72" i="7"/>
  <c r="F72" i="7"/>
  <c r="D101" i="7"/>
  <c r="G69" i="6"/>
  <c r="E101" i="6"/>
  <c r="E103" i="5"/>
  <c r="F103" i="5"/>
  <c r="G104" i="5" s="1"/>
  <c r="D142" i="5"/>
  <c r="D103" i="8" l="1"/>
  <c r="G74" i="8"/>
  <c r="E74" i="8"/>
  <c r="D102" i="7"/>
  <c r="G72" i="7"/>
  <c r="E102" i="6"/>
  <c r="H70" i="6"/>
  <c r="F70" i="6"/>
  <c r="E104" i="5"/>
  <c r="F104" i="5"/>
  <c r="G105" i="5" s="1"/>
  <c r="D143" i="5"/>
  <c r="F74" i="8" l="1"/>
  <c r="D104" i="8"/>
  <c r="F73" i="7"/>
  <c r="H73" i="7"/>
  <c r="G73" i="7" s="1"/>
  <c r="D103" i="7"/>
  <c r="G70" i="6"/>
  <c r="E103" i="6"/>
  <c r="E105" i="5"/>
  <c r="F105" i="5"/>
  <c r="G106" i="5" s="1"/>
  <c r="D144" i="5"/>
  <c r="D105" i="8" l="1"/>
  <c r="E75" i="8"/>
  <c r="G75" i="8"/>
  <c r="F75" i="8" s="1"/>
  <c r="D104" i="7"/>
  <c r="F74" i="7"/>
  <c r="H74" i="7"/>
  <c r="G74" i="7" s="1"/>
  <c r="E104" i="6"/>
  <c r="F71" i="6"/>
  <c r="H71" i="6"/>
  <c r="G71" i="6" s="1"/>
  <c r="E106" i="5"/>
  <c r="F106" i="5"/>
  <c r="G107" i="5" s="1"/>
  <c r="D145" i="5"/>
  <c r="G76" i="8" l="1"/>
  <c r="F76" i="8" s="1"/>
  <c r="E76" i="8"/>
  <c r="D106" i="8"/>
  <c r="F75" i="7"/>
  <c r="H75" i="7"/>
  <c r="G75" i="7" s="1"/>
  <c r="D105" i="7"/>
  <c r="F72" i="6"/>
  <c r="H72" i="6"/>
  <c r="G72" i="6" s="1"/>
  <c r="E105" i="6"/>
  <c r="E107" i="5"/>
  <c r="F107" i="5"/>
  <c r="G108" i="5" s="1"/>
  <c r="D146" i="5"/>
  <c r="D107" i="8" l="1"/>
  <c r="G77" i="8"/>
  <c r="F77" i="8" s="1"/>
  <c r="E77" i="8"/>
  <c r="D106" i="7"/>
  <c r="H76" i="7"/>
  <c r="G76" i="7" s="1"/>
  <c r="F76" i="7"/>
  <c r="E106" i="6"/>
  <c r="F73" i="6"/>
  <c r="H73" i="6"/>
  <c r="G73" i="6" s="1"/>
  <c r="E108" i="5"/>
  <c r="F108" i="5"/>
  <c r="G109" i="5" s="1"/>
  <c r="D108" i="8" l="1"/>
  <c r="G78" i="8"/>
  <c r="E78" i="8"/>
  <c r="F77" i="7"/>
  <c r="H77" i="7"/>
  <c r="G77" i="7" s="1"/>
  <c r="D107" i="7"/>
  <c r="H74" i="6"/>
  <c r="F74" i="6"/>
  <c r="E107" i="6"/>
  <c r="E109" i="5"/>
  <c r="F109" i="5"/>
  <c r="G110" i="5" s="1"/>
  <c r="D109" i="8" l="1"/>
  <c r="F78" i="8"/>
  <c r="D108" i="7"/>
  <c r="H78" i="7"/>
  <c r="F78" i="7"/>
  <c r="E108" i="6"/>
  <c r="G74" i="6"/>
  <c r="E110" i="5"/>
  <c r="F110" i="5"/>
  <c r="G111" i="5" s="1"/>
  <c r="E79" i="8" l="1"/>
  <c r="G79" i="8"/>
  <c r="F79" i="8" s="1"/>
  <c r="D110" i="8"/>
  <c r="G78" i="7"/>
  <c r="D109" i="7"/>
  <c r="F75" i="6"/>
  <c r="H75" i="6"/>
  <c r="G75" i="6" s="1"/>
  <c r="E109" i="6"/>
  <c r="E111" i="5"/>
  <c r="F111" i="5"/>
  <c r="G112" i="5" s="1"/>
  <c r="D111" i="8" l="1"/>
  <c r="G80" i="8"/>
  <c r="F80" i="8" s="1"/>
  <c r="E80" i="8"/>
  <c r="D110" i="7"/>
  <c r="H79" i="7"/>
  <c r="F79" i="7"/>
  <c r="E110" i="6"/>
  <c r="H76" i="6"/>
  <c r="G76" i="6" s="1"/>
  <c r="F76" i="6"/>
  <c r="E112" i="5"/>
  <c r="F112" i="5"/>
  <c r="G113" i="5" s="1"/>
  <c r="G81" i="8" l="1"/>
  <c r="E81" i="8"/>
  <c r="D112" i="8"/>
  <c r="G79" i="7"/>
  <c r="D111" i="7"/>
  <c r="H77" i="6"/>
  <c r="G77" i="6" s="1"/>
  <c r="F77" i="6"/>
  <c r="E111" i="6"/>
  <c r="E113" i="5"/>
  <c r="F113" i="5"/>
  <c r="G114" i="5" s="1"/>
  <c r="D113" i="8" l="1"/>
  <c r="F81" i="8"/>
  <c r="D112" i="7"/>
  <c r="H80" i="7"/>
  <c r="G80" i="7" s="1"/>
  <c r="F80" i="7"/>
  <c r="E112" i="6"/>
  <c r="H78" i="6"/>
  <c r="F78" i="6"/>
  <c r="E114" i="5"/>
  <c r="F114" i="5"/>
  <c r="G115" i="5" s="1"/>
  <c r="E82" i="8" l="1"/>
  <c r="G82" i="8"/>
  <c r="F82" i="8" s="1"/>
  <c r="D114" i="8"/>
  <c r="H81" i="7"/>
  <c r="F81" i="7"/>
  <c r="D113" i="7"/>
  <c r="G78" i="6"/>
  <c r="E113" i="6"/>
  <c r="E115" i="5"/>
  <c r="F115" i="5"/>
  <c r="G116" i="5" s="1"/>
  <c r="D115" i="8" l="1"/>
  <c r="G83" i="8"/>
  <c r="E83" i="8"/>
  <c r="G81" i="7"/>
  <c r="D114" i="7"/>
  <c r="F82" i="7"/>
  <c r="H82" i="7"/>
  <c r="G82" i="7" s="1"/>
  <c r="E114" i="6"/>
  <c r="H79" i="6"/>
  <c r="F79" i="6"/>
  <c r="E116" i="5"/>
  <c r="F116" i="5"/>
  <c r="G117" i="5" s="1"/>
  <c r="F83" i="8" l="1"/>
  <c r="D116" i="8"/>
  <c r="H83" i="7"/>
  <c r="F83" i="7"/>
  <c r="D115" i="7"/>
  <c r="G79" i="6"/>
  <c r="E115" i="6"/>
  <c r="E117" i="5"/>
  <c r="F117" i="5"/>
  <c r="G118" i="5" s="1"/>
  <c r="D117" i="8" l="1"/>
  <c r="G84" i="8"/>
  <c r="E84" i="8"/>
  <c r="D116" i="7"/>
  <c r="G83" i="7"/>
  <c r="E116" i="6"/>
  <c r="F80" i="6"/>
  <c r="H80" i="6"/>
  <c r="G80" i="6" s="1"/>
  <c r="E118" i="5"/>
  <c r="F118" i="5"/>
  <c r="G119" i="5" s="1"/>
  <c r="F84" i="8" l="1"/>
  <c r="D118" i="8"/>
  <c r="H84" i="7"/>
  <c r="F84" i="7"/>
  <c r="D117" i="7"/>
  <c r="H81" i="6"/>
  <c r="F81" i="6"/>
  <c r="E117" i="6"/>
  <c r="E119" i="5"/>
  <c r="F119" i="5"/>
  <c r="G120" i="5" s="1"/>
  <c r="D119" i="8" l="1"/>
  <c r="G85" i="8"/>
  <c r="E85" i="8"/>
  <c r="D118" i="7"/>
  <c r="G84" i="7"/>
  <c r="E118" i="6"/>
  <c r="G81" i="6"/>
  <c r="E120" i="5"/>
  <c r="F120" i="5"/>
  <c r="G121" i="5" s="1"/>
  <c r="F85" i="8" l="1"/>
  <c r="D120" i="8"/>
  <c r="H85" i="7"/>
  <c r="F85" i="7"/>
  <c r="D119" i="7"/>
  <c r="F82" i="6"/>
  <c r="H82" i="6"/>
  <c r="G82" i="6" s="1"/>
  <c r="E119" i="6"/>
  <c r="E121" i="5"/>
  <c r="F121" i="5"/>
  <c r="G122" i="5" s="1"/>
  <c r="D121" i="8" l="1"/>
  <c r="E86" i="8"/>
  <c r="G86" i="8"/>
  <c r="F86" i="8" s="1"/>
  <c r="D120" i="7"/>
  <c r="G85" i="7"/>
  <c r="E120" i="6"/>
  <c r="H83" i="6"/>
  <c r="F83" i="6"/>
  <c r="E122" i="5"/>
  <c r="F122" i="5"/>
  <c r="G123" i="5" s="1"/>
  <c r="G87" i="8" l="1"/>
  <c r="F87" i="8" s="1"/>
  <c r="E87" i="8"/>
  <c r="D122" i="8"/>
  <c r="H86" i="7"/>
  <c r="G86" i="7" s="1"/>
  <c r="F86" i="7"/>
  <c r="D121" i="7"/>
  <c r="G83" i="6"/>
  <c r="E121" i="6"/>
  <c r="E123" i="5"/>
  <c r="F123" i="5"/>
  <c r="G124" i="5" s="1"/>
  <c r="D123" i="8" l="1"/>
  <c r="G88" i="8"/>
  <c r="E88" i="8"/>
  <c r="D122" i="7"/>
  <c r="F87" i="7"/>
  <c r="H87" i="7"/>
  <c r="G87" i="7" s="1"/>
  <c r="E122" i="6"/>
  <c r="H84" i="6"/>
  <c r="F84" i="6"/>
  <c r="E124" i="5"/>
  <c r="F124" i="5"/>
  <c r="G125" i="5" s="1"/>
  <c r="F88" i="8" l="1"/>
  <c r="D124" i="8"/>
  <c r="F88" i="7"/>
  <c r="H88" i="7"/>
  <c r="G88" i="7" s="1"/>
  <c r="D123" i="7"/>
  <c r="G84" i="6"/>
  <c r="E123" i="6"/>
  <c r="E125" i="5"/>
  <c r="F125" i="5"/>
  <c r="G126" i="5" s="1"/>
  <c r="D125" i="8" l="1"/>
  <c r="E89" i="8"/>
  <c r="G89" i="8"/>
  <c r="F89" i="8" s="1"/>
  <c r="D124" i="7"/>
  <c r="F89" i="7"/>
  <c r="H89" i="7"/>
  <c r="G89" i="7" s="1"/>
  <c r="E124" i="6"/>
  <c r="F85" i="6"/>
  <c r="H85" i="6"/>
  <c r="G85" i="6" s="1"/>
  <c r="E126" i="5"/>
  <c r="G90" i="8" l="1"/>
  <c r="F90" i="8" s="1"/>
  <c r="E90" i="8"/>
  <c r="D126" i="8"/>
  <c r="H90" i="7"/>
  <c r="G90" i="7" s="1"/>
  <c r="F90" i="7"/>
  <c r="D125" i="7"/>
  <c r="H86" i="6"/>
  <c r="G86" i="6" s="1"/>
  <c r="F86" i="6"/>
  <c r="E125" i="6"/>
  <c r="F126" i="5"/>
  <c r="G127" i="5" s="1"/>
  <c r="E127" i="5"/>
  <c r="F127" i="5"/>
  <c r="G128" i="5" s="1"/>
  <c r="D127" i="8" l="1"/>
  <c r="E91" i="8"/>
  <c r="G91" i="8"/>
  <c r="F91" i="8" s="1"/>
  <c r="D126" i="7"/>
  <c r="H91" i="7"/>
  <c r="F91" i="7"/>
  <c r="E126" i="6"/>
  <c r="H87" i="6"/>
  <c r="G87" i="6" s="1"/>
  <c r="F87" i="6"/>
  <c r="E128" i="5"/>
  <c r="F128" i="5"/>
  <c r="G129" i="5" s="1"/>
  <c r="E92" i="8" l="1"/>
  <c r="G92" i="8"/>
  <c r="F92" i="8" s="1"/>
  <c r="D128" i="8"/>
  <c r="G91" i="7"/>
  <c r="D127" i="7"/>
  <c r="H88" i="6"/>
  <c r="F88" i="6"/>
  <c r="E127" i="6"/>
  <c r="E129" i="5"/>
  <c r="F129" i="5"/>
  <c r="G130" i="5" s="1"/>
  <c r="G93" i="8" l="1"/>
  <c r="F93" i="8" s="1"/>
  <c r="E93" i="8"/>
  <c r="D129" i="8"/>
  <c r="D128" i="7"/>
  <c r="H92" i="7"/>
  <c r="F92" i="7"/>
  <c r="E128" i="6"/>
  <c r="G88" i="6"/>
  <c r="E130" i="5"/>
  <c r="F130" i="5"/>
  <c r="G131" i="5" s="1"/>
  <c r="D130" i="8" l="1"/>
  <c r="G94" i="8"/>
  <c r="E94" i="8"/>
  <c r="G92" i="7"/>
  <c r="D129" i="7"/>
  <c r="F89" i="6"/>
  <c r="H89" i="6"/>
  <c r="G89" i="6" s="1"/>
  <c r="E129" i="6"/>
  <c r="E131" i="5"/>
  <c r="F131" i="5"/>
  <c r="G132" i="5" s="1"/>
  <c r="F94" i="8" l="1"/>
  <c r="D131" i="8"/>
  <c r="D130" i="7"/>
  <c r="H93" i="7"/>
  <c r="G93" i="7" s="1"/>
  <c r="F93" i="7"/>
  <c r="H90" i="6"/>
  <c r="G90" i="6" s="1"/>
  <c r="F90" i="6"/>
  <c r="E130" i="6"/>
  <c r="E132" i="5"/>
  <c r="F132" i="5"/>
  <c r="G133" i="5" s="1"/>
  <c r="D132" i="8" l="1"/>
  <c r="G95" i="8"/>
  <c r="E95" i="8"/>
  <c r="H94" i="7"/>
  <c r="F94" i="7"/>
  <c r="D131" i="7"/>
  <c r="E131" i="6"/>
  <c r="H91" i="6"/>
  <c r="F91" i="6"/>
  <c r="E133" i="5"/>
  <c r="F133" i="5"/>
  <c r="G134" i="5" s="1"/>
  <c r="F95" i="8" l="1"/>
  <c r="D133" i="8"/>
  <c r="D132" i="7"/>
  <c r="G94" i="7"/>
  <c r="G91" i="6"/>
  <c r="E132" i="6"/>
  <c r="E134" i="5"/>
  <c r="F134" i="5"/>
  <c r="G135" i="5" s="1"/>
  <c r="D134" i="8" l="1"/>
  <c r="E96" i="8"/>
  <c r="G96" i="8"/>
  <c r="F96" i="8" s="1"/>
  <c r="H95" i="7"/>
  <c r="F95" i="7"/>
  <c r="D133" i="7"/>
  <c r="E133" i="6"/>
  <c r="F92" i="6"/>
  <c r="H92" i="6"/>
  <c r="G92" i="6" s="1"/>
  <c r="E135" i="5"/>
  <c r="F135" i="5"/>
  <c r="G136" i="5" s="1"/>
  <c r="G97" i="8" l="1"/>
  <c r="E97" i="8"/>
  <c r="D135" i="8"/>
  <c r="D134" i="7"/>
  <c r="G95" i="7"/>
  <c r="H93" i="6"/>
  <c r="G93" i="6" s="1"/>
  <c r="F93" i="6"/>
  <c r="E134" i="6"/>
  <c r="E136" i="5"/>
  <c r="F136" i="5"/>
  <c r="G137" i="5" s="1"/>
  <c r="D136" i="8" l="1"/>
  <c r="F97" i="8"/>
  <c r="F96" i="7"/>
  <c r="H96" i="7"/>
  <c r="G96" i="7" s="1"/>
  <c r="D135" i="7"/>
  <c r="E135" i="6"/>
  <c r="F94" i="6"/>
  <c r="H94" i="6"/>
  <c r="G94" i="6" s="1"/>
  <c r="E137" i="5"/>
  <c r="F137" i="5"/>
  <c r="G138" i="5" s="1"/>
  <c r="E98" i="8" l="1"/>
  <c r="G98" i="8"/>
  <c r="F98" i="8" s="1"/>
  <c r="D137" i="8"/>
  <c r="D136" i="7"/>
  <c r="H97" i="7"/>
  <c r="F97" i="7"/>
  <c r="H95" i="6"/>
  <c r="F95" i="6"/>
  <c r="E136" i="6"/>
  <c r="E138" i="5"/>
  <c r="F138" i="5"/>
  <c r="G139" i="5" s="1"/>
  <c r="D138" i="8" l="1"/>
  <c r="G99" i="8"/>
  <c r="E99" i="8"/>
  <c r="G97" i="7"/>
  <c r="D137" i="7"/>
  <c r="E137" i="6"/>
  <c r="G95" i="6"/>
  <c r="E139" i="5"/>
  <c r="F139" i="5"/>
  <c r="G140" i="5" s="1"/>
  <c r="F99" i="8" l="1"/>
  <c r="D139" i="8"/>
  <c r="D138" i="7"/>
  <c r="H98" i="7"/>
  <c r="G98" i="7" s="1"/>
  <c r="F98" i="7"/>
  <c r="F96" i="6"/>
  <c r="H96" i="6"/>
  <c r="G96" i="6" s="1"/>
  <c r="E138" i="6"/>
  <c r="E140" i="5"/>
  <c r="F140" i="5"/>
  <c r="G141" i="5" s="1"/>
  <c r="D140" i="8" l="1"/>
  <c r="E100" i="8"/>
  <c r="G100" i="8"/>
  <c r="F100" i="8" s="1"/>
  <c r="F99" i="7"/>
  <c r="H99" i="7"/>
  <c r="G99" i="7" s="1"/>
  <c r="D139" i="7"/>
  <c r="E139" i="6"/>
  <c r="H97" i="6"/>
  <c r="F97" i="6"/>
  <c r="E141" i="5"/>
  <c r="F141" i="5"/>
  <c r="G142" i="5" s="1"/>
  <c r="G101" i="8" l="1"/>
  <c r="E101" i="8"/>
  <c r="D141" i="8"/>
  <c r="D140" i="7"/>
  <c r="F100" i="7"/>
  <c r="H100" i="7"/>
  <c r="G100" i="7" s="1"/>
  <c r="G97" i="6"/>
  <c r="E140" i="6"/>
  <c r="E142" i="5"/>
  <c r="F142" i="5"/>
  <c r="G143" i="5" s="1"/>
  <c r="D142" i="8" l="1"/>
  <c r="F101" i="8"/>
  <c r="F101" i="7"/>
  <c r="H101" i="7"/>
  <c r="D141" i="7"/>
  <c r="E141" i="6"/>
  <c r="H98" i="6"/>
  <c r="G98" i="6" s="1"/>
  <c r="F98" i="6"/>
  <c r="E143" i="5"/>
  <c r="F143" i="5"/>
  <c r="G144" i="5" s="1"/>
  <c r="G102" i="8" l="1"/>
  <c r="E102" i="8"/>
  <c r="D143" i="8"/>
  <c r="D142" i="7"/>
  <c r="G101" i="7"/>
  <c r="H99" i="6"/>
  <c r="F99" i="6"/>
  <c r="E142" i="6"/>
  <c r="E144" i="5"/>
  <c r="F144" i="5"/>
  <c r="G145" i="5" s="1"/>
  <c r="D144" i="8" l="1"/>
  <c r="F102" i="8"/>
  <c r="H102" i="7"/>
  <c r="F102" i="7"/>
  <c r="D143" i="7"/>
  <c r="E143" i="6"/>
  <c r="G99" i="6"/>
  <c r="E145" i="5"/>
  <c r="F145" i="5"/>
  <c r="G146" i="5" s="1"/>
  <c r="E103" i="8" l="1"/>
  <c r="G103" i="8"/>
  <c r="F103" i="8" s="1"/>
  <c r="D145" i="8"/>
  <c r="D144" i="7"/>
  <c r="G102" i="7"/>
  <c r="H100" i="6"/>
  <c r="G100" i="6" s="1"/>
  <c r="F100" i="6"/>
  <c r="E144" i="6"/>
  <c r="E146" i="5"/>
  <c r="F146" i="5"/>
  <c r="D146" i="8" l="1"/>
  <c r="G104" i="8"/>
  <c r="E104" i="8"/>
  <c r="F103" i="7"/>
  <c r="H103" i="7"/>
  <c r="G103" i="7" s="1"/>
  <c r="D145" i="7"/>
  <c r="E145" i="6"/>
  <c r="H101" i="6"/>
  <c r="F101" i="6"/>
  <c r="F104" i="8" l="1"/>
  <c r="D146" i="7"/>
  <c r="F104" i="7"/>
  <c r="H104" i="7"/>
  <c r="G104" i="7" s="1"/>
  <c r="G101" i="6"/>
  <c r="E146" i="6"/>
  <c r="G105" i="8" l="1"/>
  <c r="E105" i="8"/>
  <c r="H105" i="7"/>
  <c r="F105" i="7"/>
  <c r="H102" i="6"/>
  <c r="F102" i="6"/>
  <c r="F105" i="8" l="1"/>
  <c r="G105" i="7"/>
  <c r="G102" i="6"/>
  <c r="E106" i="8" l="1"/>
  <c r="G106" i="8"/>
  <c r="F106" i="8" s="1"/>
  <c r="F106" i="7"/>
  <c r="H106" i="7"/>
  <c r="G106" i="7" s="1"/>
  <c r="F103" i="6"/>
  <c r="H103" i="6"/>
  <c r="G103" i="6" s="1"/>
  <c r="G107" i="8" l="1"/>
  <c r="F107" i="8" s="1"/>
  <c r="E107" i="8"/>
  <c r="H107" i="7"/>
  <c r="G107" i="7" s="1"/>
  <c r="F107" i="7"/>
  <c r="H104" i="6"/>
  <c r="F104" i="6"/>
  <c r="G108" i="8" l="1"/>
  <c r="F108" i="8" s="1"/>
  <c r="E108" i="8"/>
  <c r="F108" i="7"/>
  <c r="H108" i="7"/>
  <c r="G108" i="7" s="1"/>
  <c r="G104" i="6"/>
  <c r="G109" i="8" l="1"/>
  <c r="E109" i="8"/>
  <c r="F109" i="7"/>
  <c r="H109" i="7"/>
  <c r="G109" i="7" s="1"/>
  <c r="H105" i="6"/>
  <c r="F105" i="6"/>
  <c r="F109" i="8" l="1"/>
  <c r="H110" i="7"/>
  <c r="G110" i="7" s="1"/>
  <c r="F110" i="7"/>
  <c r="G105" i="6"/>
  <c r="E110" i="8" l="1"/>
  <c r="G110" i="8"/>
  <c r="F110" i="8" s="1"/>
  <c r="H111" i="7"/>
  <c r="F111" i="7"/>
  <c r="H106" i="6"/>
  <c r="F106" i="6"/>
  <c r="G111" i="8" l="1"/>
  <c r="E111" i="8"/>
  <c r="G111" i="7"/>
  <c r="G106" i="6"/>
  <c r="F111" i="8" l="1"/>
  <c r="H112" i="7"/>
  <c r="G112" i="7" s="1"/>
  <c r="F112" i="7"/>
  <c r="H107" i="6"/>
  <c r="G107" i="6" s="1"/>
  <c r="F107" i="6"/>
  <c r="G112" i="8" l="1"/>
  <c r="F112" i="8" s="1"/>
  <c r="E112" i="8"/>
  <c r="H113" i="7"/>
  <c r="G113" i="7" s="1"/>
  <c r="F113" i="7"/>
  <c r="H108" i="6"/>
  <c r="G108" i="6" s="1"/>
  <c r="F108" i="6"/>
  <c r="E113" i="8" l="1"/>
  <c r="G113" i="8"/>
  <c r="F113" i="8" s="1"/>
  <c r="H114" i="7"/>
  <c r="F114" i="7"/>
  <c r="H109" i="6"/>
  <c r="F109" i="6"/>
  <c r="G114" i="8" l="1"/>
  <c r="E114" i="8"/>
  <c r="G114" i="7"/>
  <c r="G109" i="6"/>
  <c r="F114" i="8" l="1"/>
  <c r="H115" i="7"/>
  <c r="G115" i="7" s="1"/>
  <c r="F115" i="7"/>
  <c r="F110" i="6"/>
  <c r="H110" i="6"/>
  <c r="G110" i="6" s="1"/>
  <c r="G115" i="8" l="1"/>
  <c r="F115" i="8" s="1"/>
  <c r="E115" i="8"/>
  <c r="H116" i="7"/>
  <c r="F116" i="7"/>
  <c r="H111" i="6"/>
  <c r="F111" i="6"/>
  <c r="G116" i="8" l="1"/>
  <c r="E116" i="8"/>
  <c r="G116" i="7"/>
  <c r="G111" i="6"/>
  <c r="F116" i="8" l="1"/>
  <c r="F117" i="7"/>
  <c r="H117" i="7"/>
  <c r="G117" i="7" s="1"/>
  <c r="H112" i="6"/>
  <c r="G112" i="6" s="1"/>
  <c r="F112" i="6"/>
  <c r="E117" i="8" l="1"/>
  <c r="G117" i="8"/>
  <c r="F117" i="8" s="1"/>
  <c r="H118" i="7"/>
  <c r="F118" i="7"/>
  <c r="H113" i="6"/>
  <c r="G113" i="6" s="1"/>
  <c r="F113" i="6"/>
  <c r="G118" i="8" l="1"/>
  <c r="E118" i="8"/>
  <c r="G118" i="7"/>
  <c r="H114" i="6"/>
  <c r="F114" i="6"/>
  <c r="F118" i="8" l="1"/>
  <c r="H119" i="7"/>
  <c r="F119" i="7"/>
  <c r="G114" i="6"/>
  <c r="E119" i="8" l="1"/>
  <c r="G119" i="8"/>
  <c r="F119" i="8" s="1"/>
  <c r="G119" i="7"/>
  <c r="F115" i="6"/>
  <c r="H115" i="6"/>
  <c r="G115" i="6" s="1"/>
  <c r="E120" i="8" l="1"/>
  <c r="G120" i="8"/>
  <c r="F120" i="8" s="1"/>
  <c r="F120" i="7"/>
  <c r="H120" i="7"/>
  <c r="G120" i="7" s="1"/>
  <c r="H116" i="6"/>
  <c r="F116" i="6"/>
  <c r="G121" i="8" l="1"/>
  <c r="E121" i="8"/>
  <c r="H121" i="7"/>
  <c r="F121" i="7"/>
  <c r="G116" i="6"/>
  <c r="F121" i="8" l="1"/>
  <c r="G121" i="7"/>
  <c r="H117" i="6"/>
  <c r="F117" i="6"/>
  <c r="G122" i="8" l="1"/>
  <c r="E122" i="8"/>
  <c r="H122" i="7"/>
  <c r="F122" i="7"/>
  <c r="G117" i="6"/>
  <c r="F122" i="8" l="1"/>
  <c r="G122" i="7"/>
  <c r="H118" i="6"/>
  <c r="F118" i="6"/>
  <c r="G123" i="8" l="1"/>
  <c r="E123" i="8"/>
  <c r="F123" i="7"/>
  <c r="H123" i="7"/>
  <c r="G123" i="7" s="1"/>
  <c r="G118" i="6"/>
  <c r="F123" i="8" l="1"/>
  <c r="F124" i="7"/>
  <c r="H124" i="7"/>
  <c r="G124" i="7" s="1"/>
  <c r="H119" i="6"/>
  <c r="F119" i="6"/>
  <c r="E124" i="8" l="1"/>
  <c r="G124" i="8"/>
  <c r="F124" i="8" s="1"/>
  <c r="H125" i="7"/>
  <c r="F125" i="7"/>
  <c r="G119" i="6"/>
  <c r="G125" i="8" l="1"/>
  <c r="E125" i="8"/>
  <c r="G125" i="7"/>
  <c r="F120" i="6"/>
  <c r="H120" i="6"/>
  <c r="G120" i="6" s="1"/>
  <c r="F125" i="8" l="1"/>
  <c r="H126" i="7"/>
  <c r="F126" i="7"/>
  <c r="H121" i="6"/>
  <c r="F121" i="6"/>
  <c r="E126" i="8" l="1"/>
  <c r="G126" i="8"/>
  <c r="F126" i="8" s="1"/>
  <c r="G126" i="7"/>
  <c r="G121" i="6"/>
  <c r="G127" i="8" l="1"/>
  <c r="E127" i="8"/>
  <c r="H127" i="7"/>
  <c r="F127" i="7"/>
  <c r="H122" i="6"/>
  <c r="F122" i="6"/>
  <c r="F127" i="8" l="1"/>
  <c r="G127" i="7"/>
  <c r="F128" i="7"/>
  <c r="H128" i="7"/>
  <c r="G128" i="7" s="1"/>
  <c r="G122" i="6"/>
  <c r="E128" i="8" l="1"/>
  <c r="G128" i="8"/>
  <c r="F128" i="8" s="1"/>
  <c r="H129" i="7"/>
  <c r="F129" i="7"/>
  <c r="H123" i="6"/>
  <c r="F123" i="6"/>
  <c r="G129" i="8" l="1"/>
  <c r="E129" i="8"/>
  <c r="G129" i="7"/>
  <c r="G123" i="6"/>
  <c r="F129" i="8" l="1"/>
  <c r="F130" i="7"/>
  <c r="H130" i="7"/>
  <c r="G130" i="7" s="1"/>
  <c r="F124" i="6"/>
  <c r="H124" i="6"/>
  <c r="G124" i="6" s="1"/>
  <c r="G130" i="8" l="1"/>
  <c r="E130" i="8"/>
  <c r="H131" i="7"/>
  <c r="G131" i="7" s="1"/>
  <c r="F131" i="7"/>
  <c r="H125" i="6"/>
  <c r="F125" i="6"/>
  <c r="F130" i="8" l="1"/>
  <c r="H132" i="7"/>
  <c r="F132" i="7"/>
  <c r="G125" i="6"/>
  <c r="E131" i="8" l="1"/>
  <c r="G131" i="8"/>
  <c r="F131" i="8" s="1"/>
  <c r="G132" i="7"/>
  <c r="H126" i="6"/>
  <c r="F126" i="6"/>
  <c r="G132" i="8" l="1"/>
  <c r="E132" i="8"/>
  <c r="H133" i="7"/>
  <c r="F133" i="7"/>
  <c r="G126" i="6"/>
  <c r="F132" i="8" l="1"/>
  <c r="G133" i="7"/>
  <c r="H127" i="6"/>
  <c r="F127" i="6"/>
  <c r="E133" i="8" l="1"/>
  <c r="G133" i="8"/>
  <c r="F133" i="8" s="1"/>
  <c r="H134" i="7"/>
  <c r="F134" i="7"/>
  <c r="G127" i="6"/>
  <c r="G134" i="8" l="1"/>
  <c r="E134" i="8"/>
  <c r="G134" i="7"/>
  <c r="H128" i="6"/>
  <c r="F128" i="6"/>
  <c r="F134" i="8" l="1"/>
  <c r="H135" i="7"/>
  <c r="G135" i="7" s="1"/>
  <c r="F135" i="7"/>
  <c r="G128" i="6"/>
  <c r="G135" i="8" l="1"/>
  <c r="F135" i="8" s="1"/>
  <c r="E135" i="8"/>
  <c r="H136" i="7"/>
  <c r="F136" i="7"/>
  <c r="F129" i="6"/>
  <c r="H129" i="6"/>
  <c r="G129" i="6" s="1"/>
  <c r="G136" i="8" l="1"/>
  <c r="E136" i="8"/>
  <c r="G136" i="7"/>
  <c r="H130" i="6"/>
  <c r="F130" i="6"/>
  <c r="F136" i="8" l="1"/>
  <c r="H137" i="7"/>
  <c r="F137" i="7"/>
  <c r="G130" i="6"/>
  <c r="G137" i="8" l="1"/>
  <c r="E137" i="8"/>
  <c r="G137" i="7"/>
  <c r="F131" i="6"/>
  <c r="H131" i="6"/>
  <c r="G131" i="6" s="1"/>
  <c r="F137" i="8" l="1"/>
  <c r="F138" i="7"/>
  <c r="H138" i="7"/>
  <c r="G138" i="7" s="1"/>
  <c r="H132" i="6"/>
  <c r="F132" i="6"/>
  <c r="E138" i="8" l="1"/>
  <c r="G138" i="8"/>
  <c r="F138" i="8" s="1"/>
  <c r="H139" i="7"/>
  <c r="F139" i="7"/>
  <c r="G132" i="6"/>
  <c r="G139" i="8" l="1"/>
  <c r="E139" i="8"/>
  <c r="G139" i="7"/>
  <c r="H133" i="6"/>
  <c r="F133" i="6"/>
  <c r="F139" i="8" l="1"/>
  <c r="H140" i="7"/>
  <c r="F140" i="7"/>
  <c r="G133" i="6"/>
  <c r="G140" i="8" l="1"/>
  <c r="E140" i="8"/>
  <c r="G140" i="7"/>
  <c r="H134" i="6"/>
  <c r="F134" i="6"/>
  <c r="F140" i="8" l="1"/>
  <c r="F141" i="7"/>
  <c r="H141" i="7"/>
  <c r="G141" i="7" s="1"/>
  <c r="G134" i="6"/>
  <c r="G141" i="8" l="1"/>
  <c r="E141" i="8"/>
  <c r="F142" i="7"/>
  <c r="H142" i="7"/>
  <c r="G142" i="7" s="1"/>
  <c r="F135" i="6"/>
  <c r="H135" i="6"/>
  <c r="G135" i="6" s="1"/>
  <c r="F141" i="8" l="1"/>
  <c r="F143" i="7"/>
  <c r="H143" i="7"/>
  <c r="G143" i="7" s="1"/>
  <c r="H136" i="6"/>
  <c r="F136" i="6"/>
  <c r="G142" i="8" l="1"/>
  <c r="E142" i="8"/>
  <c r="F144" i="7"/>
  <c r="H144" i="7"/>
  <c r="G144" i="7" s="1"/>
  <c r="G136" i="6"/>
  <c r="F142" i="8" l="1"/>
  <c r="F145" i="7"/>
  <c r="H145" i="7"/>
  <c r="G145" i="7" s="1"/>
  <c r="H137" i="6"/>
  <c r="F137" i="6"/>
  <c r="G143" i="8" l="1"/>
  <c r="E143" i="8"/>
  <c r="H146" i="7"/>
  <c r="G146" i="7" s="1"/>
  <c r="F146" i="7"/>
  <c r="G137" i="6"/>
  <c r="F143" i="8" l="1"/>
  <c r="F138" i="6"/>
  <c r="H138" i="6"/>
  <c r="G138" i="6" s="1"/>
  <c r="G144" i="8" l="1"/>
  <c r="F144" i="8" s="1"/>
  <c r="E144" i="8"/>
  <c r="H139" i="6"/>
  <c r="F139" i="6"/>
  <c r="G145" i="8" l="1"/>
  <c r="E145" i="8"/>
  <c r="G139" i="6"/>
  <c r="H140" i="6"/>
  <c r="F140" i="6"/>
  <c r="F145" i="8" l="1"/>
  <c r="G140" i="6"/>
  <c r="G146" i="8" l="1"/>
  <c r="F146" i="8" s="1"/>
  <c r="E146" i="8"/>
  <c r="F141" i="6"/>
  <c r="H141" i="6"/>
  <c r="G141" i="6" s="1"/>
  <c r="F142" i="6" l="1"/>
  <c r="H142" i="6"/>
  <c r="G142" i="6" s="1"/>
  <c r="H143" i="6" l="1"/>
  <c r="F143" i="6"/>
  <c r="G143" i="6" l="1"/>
  <c r="H144" i="6" l="1"/>
  <c r="G144" i="6" s="1"/>
  <c r="F144" i="6"/>
  <c r="F145" i="6" l="1"/>
  <c r="H145" i="6"/>
  <c r="G145" i="6" s="1"/>
  <c r="H146" i="6" l="1"/>
  <c r="G146" i="6" s="1"/>
  <c r="F146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955473-F6E4-42CD-AC15-9DEB3731C806}" keepAlive="1" name="Zapytanie — myjnia" description="Połączenie z zapytaniem „myjnia” w skoroszycie." type="5" refreshedVersion="0" background="1">
    <dbPr connection="Provider=Microsoft.Mashup.OleDb.1;Data Source=$Workbook$;Location=myjnia;Extended Properties=&quot;&quot;" command="SELECT * FROM [myjnia]"/>
  </connection>
</connections>
</file>

<file path=xl/sharedStrings.xml><?xml version="1.0" encoding="utf-8"?>
<sst xmlns="http://schemas.openxmlformats.org/spreadsheetml/2006/main" count="1087" uniqueCount="184">
  <si>
    <t>NN792</t>
  </si>
  <si>
    <t>FO434</t>
  </si>
  <si>
    <t>GN103</t>
  </si>
  <si>
    <t>EA828</t>
  </si>
  <si>
    <t>FN819</t>
  </si>
  <si>
    <t>CI708</t>
  </si>
  <si>
    <t>KP566</t>
  </si>
  <si>
    <t>DB255</t>
  </si>
  <si>
    <t>DE239</t>
  </si>
  <si>
    <t>HL821</t>
  </si>
  <si>
    <t>CG489</t>
  </si>
  <si>
    <t>BD204</t>
  </si>
  <si>
    <t>KJ360</t>
  </si>
  <si>
    <t>BH265</t>
  </si>
  <si>
    <t>KI293</t>
  </si>
  <si>
    <t>EH963</t>
  </si>
  <si>
    <t>DP909</t>
  </si>
  <si>
    <t>MD193</t>
  </si>
  <si>
    <t>CC204</t>
  </si>
  <si>
    <t>IB453</t>
  </si>
  <si>
    <t>NE867</t>
  </si>
  <si>
    <t>HP605</t>
  </si>
  <si>
    <t>BM696</t>
  </si>
  <si>
    <t>NH320</t>
  </si>
  <si>
    <t>LJ560</t>
  </si>
  <si>
    <t>KE961</t>
  </si>
  <si>
    <t>DA206</t>
  </si>
  <si>
    <t>BF559</t>
  </si>
  <si>
    <t>AE964</t>
  </si>
  <si>
    <t>AK592</t>
  </si>
  <si>
    <t>GH547</t>
  </si>
  <si>
    <t>HE739</t>
  </si>
  <si>
    <t>JP960</t>
  </si>
  <si>
    <t>EL406</t>
  </si>
  <si>
    <t>NO341</t>
  </si>
  <si>
    <t>HA988</t>
  </si>
  <si>
    <t>BD855</t>
  </si>
  <si>
    <t>AC254</t>
  </si>
  <si>
    <t>EB508</t>
  </si>
  <si>
    <t>CJ207</t>
  </si>
  <si>
    <t>MI932</t>
  </si>
  <si>
    <t>KK643</t>
  </si>
  <si>
    <t>MN131</t>
  </si>
  <si>
    <t>GL291</t>
  </si>
  <si>
    <t>DA512</t>
  </si>
  <si>
    <t>MK572</t>
  </si>
  <si>
    <t>NM404</t>
  </si>
  <si>
    <t>JM414</t>
  </si>
  <si>
    <t>BA749</t>
  </si>
  <si>
    <t>DE678</t>
  </si>
  <si>
    <t>AG504</t>
  </si>
  <si>
    <t>FC803</t>
  </si>
  <si>
    <t>DE822</t>
  </si>
  <si>
    <t>PJ152</t>
  </si>
  <si>
    <t>GK857</t>
  </si>
  <si>
    <t>BO596</t>
  </si>
  <si>
    <t>KK488</t>
  </si>
  <si>
    <t>AI420</t>
  </si>
  <si>
    <t>KJ759</t>
  </si>
  <si>
    <t>DL542</t>
  </si>
  <si>
    <t>JI840</t>
  </si>
  <si>
    <t>KK476</t>
  </si>
  <si>
    <t>HP302</t>
  </si>
  <si>
    <t>FI172</t>
  </si>
  <si>
    <t>NM428</t>
  </si>
  <si>
    <t>PM455</t>
  </si>
  <si>
    <t>JM637</t>
  </si>
  <si>
    <t>PK319</t>
  </si>
  <si>
    <t>PM491</t>
  </si>
  <si>
    <t>BC831</t>
  </si>
  <si>
    <t>OJ247</t>
  </si>
  <si>
    <t>EH892</t>
  </si>
  <si>
    <t>JN904</t>
  </si>
  <si>
    <t>KI291</t>
  </si>
  <si>
    <t>MF590</t>
  </si>
  <si>
    <t>LN225</t>
  </si>
  <si>
    <t>CN589</t>
  </si>
  <si>
    <t>JM352</t>
  </si>
  <si>
    <t>AA425</t>
  </si>
  <si>
    <t>OI629</t>
  </si>
  <si>
    <t>HA731</t>
  </si>
  <si>
    <t>GA781</t>
  </si>
  <si>
    <t>LM755</t>
  </si>
  <si>
    <t>AE347</t>
  </si>
  <si>
    <t>GF313</t>
  </si>
  <si>
    <t>EF961</t>
  </si>
  <si>
    <t>PO926</t>
  </si>
  <si>
    <t>NH234</t>
  </si>
  <si>
    <t>AG864</t>
  </si>
  <si>
    <t>DM336</t>
  </si>
  <si>
    <t>LM392</t>
  </si>
  <si>
    <t>EH559</t>
  </si>
  <si>
    <t>HC465</t>
  </si>
  <si>
    <t>BL246</t>
  </si>
  <si>
    <t>FG771</t>
  </si>
  <si>
    <t>IC327</t>
  </si>
  <si>
    <t>JK843</t>
  </si>
  <si>
    <t>CL393</t>
  </si>
  <si>
    <t>NP226</t>
  </si>
  <si>
    <t>PI710</t>
  </si>
  <si>
    <t>GA435</t>
  </si>
  <si>
    <t>AH451</t>
  </si>
  <si>
    <t>IJ379</t>
  </si>
  <si>
    <t>CC791</t>
  </si>
  <si>
    <t>AF135</t>
  </si>
  <si>
    <t>MN872</t>
  </si>
  <si>
    <t>LP599</t>
  </si>
  <si>
    <t>OD829</t>
  </si>
  <si>
    <t>KN305</t>
  </si>
  <si>
    <t>AH528</t>
  </si>
  <si>
    <t>CA524</t>
  </si>
  <si>
    <t>EP925</t>
  </si>
  <si>
    <t>EF263</t>
  </si>
  <si>
    <t>AN413</t>
  </si>
  <si>
    <t>LE288</t>
  </si>
  <si>
    <t>LM661</t>
  </si>
  <si>
    <t>CO649</t>
  </si>
  <si>
    <t>GB981</t>
  </si>
  <si>
    <t>HF358</t>
  </si>
  <si>
    <t>LA734</t>
  </si>
  <si>
    <t>LL684</t>
  </si>
  <si>
    <t>EG251</t>
  </si>
  <si>
    <t>NH488</t>
  </si>
  <si>
    <t>LF545</t>
  </si>
  <si>
    <t>GB137</t>
  </si>
  <si>
    <t>PB847</t>
  </si>
  <si>
    <t>GH559</t>
  </si>
  <si>
    <t>FP317</t>
  </si>
  <si>
    <t>BM762</t>
  </si>
  <si>
    <t>FJ667</t>
  </si>
  <si>
    <t>FA471</t>
  </si>
  <si>
    <t>OO730</t>
  </si>
  <si>
    <t>NM466</t>
  </si>
  <si>
    <t>LN234</t>
  </si>
  <si>
    <t>NK798</t>
  </si>
  <si>
    <t>DH531</t>
  </si>
  <si>
    <t>IC460</t>
  </si>
  <si>
    <t>BA678</t>
  </si>
  <si>
    <t>GE131</t>
  </si>
  <si>
    <t>PA306</t>
  </si>
  <si>
    <t>EL879</t>
  </si>
  <si>
    <t>EL963</t>
  </si>
  <si>
    <t>NK460</t>
  </si>
  <si>
    <t>GM330</t>
  </si>
  <si>
    <t>Czas od ostatniego</t>
  </si>
  <si>
    <t>Czas mycia</t>
  </si>
  <si>
    <t>Rejstracja</t>
  </si>
  <si>
    <t>Etykiety wierszy</t>
  </si>
  <si>
    <t>Suma końcowa</t>
  </si>
  <si>
    <t>Liczba z Czas od ostatniego</t>
  </si>
  <si>
    <t>Miasto</t>
  </si>
  <si>
    <t>AE</t>
  </si>
  <si>
    <t>AG</t>
  </si>
  <si>
    <t>AH</t>
  </si>
  <si>
    <t>BA</t>
  </si>
  <si>
    <t>BD</t>
  </si>
  <si>
    <t>BM</t>
  </si>
  <si>
    <t>CC</t>
  </si>
  <si>
    <t>DA</t>
  </si>
  <si>
    <t>EF</t>
  </si>
  <si>
    <t>GA</t>
  </si>
  <si>
    <t>GB</t>
  </si>
  <si>
    <t>GH</t>
  </si>
  <si>
    <t>HA</t>
  </si>
  <si>
    <t>HP</t>
  </si>
  <si>
    <t>IC</t>
  </si>
  <si>
    <t>KI</t>
  </si>
  <si>
    <t>KJ</t>
  </si>
  <si>
    <t>LN</t>
  </si>
  <si>
    <t>MN</t>
  </si>
  <si>
    <t>NK</t>
  </si>
  <si>
    <t>PM</t>
  </si>
  <si>
    <t>Ile z 1miasta:</t>
  </si>
  <si>
    <t>Ile z 2 miast:</t>
  </si>
  <si>
    <t>Godzina</t>
  </si>
  <si>
    <t>Czas przyjazdu</t>
  </si>
  <si>
    <t>Minuta</t>
  </si>
  <si>
    <t>Czas wjazdu</t>
  </si>
  <si>
    <t>Czy czeka</t>
  </si>
  <si>
    <t>Godz zwolnienia myjni</t>
  </si>
  <si>
    <t>lp</t>
  </si>
  <si>
    <t>a)</t>
  </si>
  <si>
    <t>b)</t>
  </si>
  <si>
    <t>Liczba z Rejstracja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</si>
</sst>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zł&quot;_-;\-* #,##0.00\ &quot;zł&quot;_-;_-* &quot;-&quot;??\ &quot;zł&quot;_-;_-@_-"/>
    <numFmt numFmtId="165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NumberFormat="1"/>
    <xf numFmtId="0" fontId="0" fillId="0" borderId="1" xfId="0" applyFont="1" applyBorder="1"/>
    <xf numFmtId="0" fontId="0" fillId="0" borderId="2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3" borderId="6" xfId="0" applyNumberFormat="1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NumberFormat="1" applyFont="1" applyBorder="1"/>
    <xf numFmtId="0" fontId="0" fillId="0" borderId="3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 applyBorder="1"/>
    <xf numFmtId="20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22" fontId="0" fillId="0" borderId="0" xfId="0" applyNumberFormat="1"/>
    <xf numFmtId="0" fontId="1" fillId="2" borderId="0" xfId="0" applyNumberFormat="1" applyFont="1" applyFill="1" applyBorder="1"/>
  </cellXfs>
  <cellStyles count="2">
    <cellStyle name="Normalny" xfId="0" builtinId="0"/>
    <cellStyle name="Walutow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[myjnia.xlsx]6.4!Tabela przestawna2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 klientów w poszczególnych godzinach pracy myjni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'6.4'!$K$4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'6.4'!$J$5:$J$11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'6.4'!$K$5:$K$11</c:f>
              <c:numCache>
                <c:formatCode>General</c:formatCode>
                <c:ptCount val="6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9</c:v>
                </c:pt>
                <c:pt idx="4">
                  <c:v>5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62-4168-B5D7-7FED6B66DD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39680511"/>
        <c:axId val="1639680991"/>
      </c:barChart>
      <c:catAx>
        <c:axId val="1639680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Godzina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39680991"/>
        <c:crosses val="autoZero"/>
        <c:auto val="1"/>
        <c:lblAlgn val="ctr"/>
        <c:lblOffset val="100"/>
        <c:noMultiLvlLbl val="0"/>
      </c:catAx>
      <c:valAx>
        <c:axId val="163968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klientów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39680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984320</xdr:colOff>
      <xdr:row>12</xdr:row>
      <xdr:rowOff>129580</xdr:rowOff>
    </xdr:from>
    <xdr:to>
      <xdr:col>13</xdr:col>
      <xdr:colOff>373673</xdr:colOff>
      <xdr:row>27</xdr:row>
      <xdr:rowOff>15280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98C8437-BDD9-6B37-A48E-132F8735A1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lomiej Starosta" refreshedDate="46007.397006134262" createdVersion="8" refreshedVersion="8" minRefreshableVersion="3" recordCount="144" xr:uid="{9D51F47E-64D8-4E99-BFD3-94921BCC63B3}">
  <cacheSource type="worksheet">
    <worksheetSource ref="A1:C145" sheet="myjnia"/>
  </cacheSource>
  <cacheFields count="3">
    <cacheField name="Czas od ostatniego" numFmtId="0">
      <sharedItems containsSemiMixedTypes="0" containsString="0" containsNumber="1" containsInteger="1" minValue="1" maxValue="15"/>
    </cacheField>
    <cacheField name="Czas mycia" numFmtId="0">
      <sharedItems containsSemiMixedTypes="0" containsString="0" containsNumber="1" containsInteger="1" minValue="1" maxValue="15" count="15">
        <n v="5"/>
        <n v="13"/>
        <n v="10"/>
        <n v="2"/>
        <n v="7"/>
        <n v="14"/>
        <n v="12"/>
        <n v="9"/>
        <n v="6"/>
        <n v="15"/>
        <n v="1"/>
        <n v="11"/>
        <n v="3"/>
        <n v="4"/>
        <n v="8"/>
      </sharedItems>
    </cacheField>
    <cacheField name="Rejstracj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lomiej Starosta" refreshedDate="46007.398007291667" createdVersion="8" refreshedVersion="8" minRefreshableVersion="3" recordCount="144" xr:uid="{D3D46012-44B0-4103-9543-741C1404B6FB}">
  <cacheSource type="worksheet">
    <worksheetSource ref="A1:D145" sheet="6.2"/>
  </cacheSource>
  <cacheFields count="4">
    <cacheField name="Czas od ostatniego" numFmtId="0">
      <sharedItems containsSemiMixedTypes="0" containsString="0" containsNumber="1" containsInteger="1" minValue="1" maxValue="15"/>
    </cacheField>
    <cacheField name="Czas mycia" numFmtId="0">
      <sharedItems containsSemiMixedTypes="0" containsString="0" containsNumber="1" containsInteger="1" minValue="1" maxValue="15"/>
    </cacheField>
    <cacheField name="Rejstracja" numFmtId="0">
      <sharedItems/>
    </cacheField>
    <cacheField name="Miasto" numFmtId="0">
      <sharedItems count="107">
        <s v="NN"/>
        <s v="FO"/>
        <s v="GN"/>
        <s v="EA"/>
        <s v="FN"/>
        <s v="CI"/>
        <s v="KP"/>
        <s v="DB"/>
        <s v="DE"/>
        <s v="HL"/>
        <s v="CG"/>
        <s v="BD"/>
        <s v="KJ"/>
        <s v="BH"/>
        <s v="KI"/>
        <s v="EH"/>
        <s v="DP"/>
        <s v="MD"/>
        <s v="CC"/>
        <s v="IB"/>
        <s v="NE"/>
        <s v="HP"/>
        <s v="BM"/>
        <s v="NH"/>
        <s v="LJ"/>
        <s v="KE"/>
        <s v="DA"/>
        <s v="BF"/>
        <s v="AE"/>
        <s v="AK"/>
        <s v="GH"/>
        <s v="HE"/>
        <s v="JP"/>
        <s v="EL"/>
        <s v="NO"/>
        <s v="HA"/>
        <s v="AC"/>
        <s v="EB"/>
        <s v="CJ"/>
        <s v="MI"/>
        <s v="KK"/>
        <s v="MN"/>
        <s v="GL"/>
        <s v="MK"/>
        <s v="NM"/>
        <s v="JM"/>
        <s v="BA"/>
        <s v="AG"/>
        <s v="FC"/>
        <s v="PJ"/>
        <s v="GK"/>
        <s v="BO"/>
        <s v="AI"/>
        <s v="DL"/>
        <s v="JI"/>
        <s v="FI"/>
        <s v="PM"/>
        <s v="PK"/>
        <s v="BC"/>
        <s v="OJ"/>
        <s v="JN"/>
        <s v="MF"/>
        <s v="LN"/>
        <s v="CN"/>
        <s v="AA"/>
        <s v="OI"/>
        <s v="GA"/>
        <s v="LM"/>
        <s v="GF"/>
        <s v="EF"/>
        <s v="PO"/>
        <s v="DM"/>
        <s v="HC"/>
        <s v="BL"/>
        <s v="FG"/>
        <s v="IC"/>
        <s v="JK"/>
        <s v="CL"/>
        <s v="NP"/>
        <s v="PI"/>
        <s v="AH"/>
        <s v="IJ"/>
        <s v="AF"/>
        <s v="LP"/>
        <s v="OD"/>
        <s v="KN"/>
        <s v="CA"/>
        <s v="EP"/>
        <s v="AN"/>
        <s v="LE"/>
        <s v="CO"/>
        <s v="GB"/>
        <s v="HF"/>
        <s v="LA"/>
        <s v="LL"/>
        <s v="EG"/>
        <s v="LF"/>
        <s v="PB"/>
        <s v="FP"/>
        <s v="FJ"/>
        <s v="FA"/>
        <s v="OO"/>
        <s v="NK"/>
        <s v="DH"/>
        <s v="GE"/>
        <s v="PA"/>
        <s v="G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ek Starosta" refreshedDate="46072.794129513888" createdVersion="8" refreshedVersion="8" minRefreshableVersion="3" recordCount="144" xr:uid="{A895BA53-0188-4811-811A-288807BBFEED}">
  <cacheSource type="worksheet">
    <worksheetSource ref="A2:H146" sheet="6.4"/>
  </cacheSource>
  <cacheFields count="8">
    <cacheField name="Czas od ostatniego" numFmtId="0">
      <sharedItems containsSemiMixedTypes="0" containsString="0" containsNumber="1" containsInteger="1" minValue="1" maxValue="15"/>
    </cacheField>
    <cacheField name="Czas mycia" numFmtId="0">
      <sharedItems containsSemiMixedTypes="0" containsString="0" containsNumber="1" containsInteger="1" minValue="1" maxValue="15"/>
    </cacheField>
    <cacheField name="Rejstracja" numFmtId="0">
      <sharedItems/>
    </cacheField>
    <cacheField name="19.02.2026 06:00" numFmtId="165">
      <sharedItems containsSemiMixedTypes="0" containsNonDate="0" containsDate="1" containsString="0" minDate="2026-02-19T06:03:00" maxDate="2026-02-19T23:59:00"/>
    </cacheField>
    <cacheField name="Godzina" numFmtId="0">
      <sharedItems containsSemiMixedTypes="0" containsString="0" containsNumber="1" containsInteger="1" minValue="1" maxValue="23" count="2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 u="1"/>
        <n v="20" u="1"/>
        <n v="21" u="1"/>
        <n v="22" u="1"/>
        <n v="23" u="1"/>
      </sharedItems>
    </cacheField>
    <cacheField name="Czas wjazdu" numFmtId="165">
      <sharedItems containsSemiMixedTypes="0" containsNonDate="0" containsDate="1" containsString="0" minDate="2026-02-19T06:03:00" maxDate="2026-02-20T00:14:00"/>
    </cacheField>
    <cacheField name="Godz zwolnienia myjni" numFmtId="165">
      <sharedItems containsSemiMixedTypes="0" containsNonDate="0" containsDate="1" containsString="0" minDate="2026-02-19T06:08:00" maxDate="2026-02-20T00:14:00"/>
    </cacheField>
    <cacheField name="Czy czeka" numFmtId="165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n v="3"/>
    <x v="0"/>
    <s v="NN792"/>
  </r>
  <r>
    <n v="12"/>
    <x v="1"/>
    <s v="FO434"/>
  </r>
  <r>
    <n v="1"/>
    <x v="2"/>
    <s v="GN103"/>
  </r>
  <r>
    <n v="7"/>
    <x v="3"/>
    <s v="EA828"/>
  </r>
  <r>
    <n v="10"/>
    <x v="4"/>
    <s v="FN819"/>
  </r>
  <r>
    <n v="9"/>
    <x v="5"/>
    <s v="CI708"/>
  </r>
  <r>
    <n v="4"/>
    <x v="2"/>
    <s v="KP566"/>
  </r>
  <r>
    <n v="4"/>
    <x v="4"/>
    <s v="DB255"/>
  </r>
  <r>
    <n v="3"/>
    <x v="3"/>
    <s v="DE239"/>
  </r>
  <r>
    <n v="7"/>
    <x v="6"/>
    <s v="HL821"/>
  </r>
  <r>
    <n v="11"/>
    <x v="6"/>
    <s v="CG489"/>
  </r>
  <r>
    <n v="15"/>
    <x v="5"/>
    <s v="BD204"/>
  </r>
  <r>
    <n v="11"/>
    <x v="7"/>
    <s v="KJ360"/>
  </r>
  <r>
    <n v="3"/>
    <x v="8"/>
    <s v="BH265"/>
  </r>
  <r>
    <n v="1"/>
    <x v="4"/>
    <s v="KI293"/>
  </r>
  <r>
    <n v="11"/>
    <x v="4"/>
    <s v="EH963"/>
  </r>
  <r>
    <n v="2"/>
    <x v="3"/>
    <s v="DP909"/>
  </r>
  <r>
    <n v="9"/>
    <x v="2"/>
    <s v="MD193"/>
  </r>
  <r>
    <n v="2"/>
    <x v="1"/>
    <s v="CC204"/>
  </r>
  <r>
    <n v="13"/>
    <x v="5"/>
    <s v="IB453"/>
  </r>
  <r>
    <n v="10"/>
    <x v="9"/>
    <s v="NE867"/>
  </r>
  <r>
    <n v="6"/>
    <x v="7"/>
    <s v="HP605"/>
  </r>
  <r>
    <n v="5"/>
    <x v="8"/>
    <s v="BM696"/>
  </r>
  <r>
    <n v="13"/>
    <x v="1"/>
    <s v="NH320"/>
  </r>
  <r>
    <n v="11"/>
    <x v="10"/>
    <s v="LJ560"/>
  </r>
  <r>
    <n v="10"/>
    <x v="8"/>
    <s v="KE961"/>
  </r>
  <r>
    <n v="11"/>
    <x v="6"/>
    <s v="DA206"/>
  </r>
  <r>
    <n v="4"/>
    <x v="7"/>
    <s v="BF559"/>
  </r>
  <r>
    <n v="4"/>
    <x v="10"/>
    <s v="AE964"/>
  </r>
  <r>
    <n v="2"/>
    <x v="11"/>
    <s v="AK592"/>
  </r>
  <r>
    <n v="7"/>
    <x v="3"/>
    <s v="GH547"/>
  </r>
  <r>
    <n v="11"/>
    <x v="5"/>
    <s v="HE739"/>
  </r>
  <r>
    <n v="6"/>
    <x v="12"/>
    <s v="JP960"/>
  </r>
  <r>
    <n v="11"/>
    <x v="0"/>
    <s v="EL406"/>
  </r>
  <r>
    <n v="5"/>
    <x v="7"/>
    <s v="NO341"/>
  </r>
  <r>
    <n v="9"/>
    <x v="0"/>
    <s v="HA988"/>
  </r>
  <r>
    <n v="11"/>
    <x v="13"/>
    <s v="BD855"/>
  </r>
  <r>
    <n v="15"/>
    <x v="0"/>
    <s v="AC254"/>
  </r>
  <r>
    <n v="12"/>
    <x v="10"/>
    <s v="EB508"/>
  </r>
  <r>
    <n v="2"/>
    <x v="0"/>
    <s v="CJ207"/>
  </r>
  <r>
    <n v="11"/>
    <x v="11"/>
    <s v="MI932"/>
  </r>
  <r>
    <n v="2"/>
    <x v="12"/>
    <s v="KK643"/>
  </r>
  <r>
    <n v="6"/>
    <x v="1"/>
    <s v="MN131"/>
  </r>
  <r>
    <n v="4"/>
    <x v="11"/>
    <s v="GL291"/>
  </r>
  <r>
    <n v="7"/>
    <x v="2"/>
    <s v="DA512"/>
  </r>
  <r>
    <n v="8"/>
    <x v="8"/>
    <s v="MK572"/>
  </r>
  <r>
    <n v="3"/>
    <x v="5"/>
    <s v="NM404"/>
  </r>
  <r>
    <n v="7"/>
    <x v="1"/>
    <s v="JM414"/>
  </r>
  <r>
    <n v="15"/>
    <x v="11"/>
    <s v="BA749"/>
  </r>
  <r>
    <n v="11"/>
    <x v="14"/>
    <s v="DE678"/>
  </r>
  <r>
    <n v="6"/>
    <x v="2"/>
    <s v="AG504"/>
  </r>
  <r>
    <n v="3"/>
    <x v="6"/>
    <s v="FC803"/>
  </r>
  <r>
    <n v="13"/>
    <x v="11"/>
    <s v="DE822"/>
  </r>
  <r>
    <n v="15"/>
    <x v="6"/>
    <s v="PJ152"/>
  </r>
  <r>
    <n v="1"/>
    <x v="1"/>
    <s v="GK857"/>
  </r>
  <r>
    <n v="15"/>
    <x v="4"/>
    <s v="BO596"/>
  </r>
  <r>
    <n v="14"/>
    <x v="2"/>
    <s v="KK488"/>
  </r>
  <r>
    <n v="7"/>
    <x v="10"/>
    <s v="AI420"/>
  </r>
  <r>
    <n v="7"/>
    <x v="0"/>
    <s v="KJ759"/>
  </r>
  <r>
    <n v="6"/>
    <x v="10"/>
    <s v="DL542"/>
  </r>
  <r>
    <n v="3"/>
    <x v="6"/>
    <s v="JI840"/>
  </r>
  <r>
    <n v="15"/>
    <x v="5"/>
    <s v="KK476"/>
  </r>
  <r>
    <n v="3"/>
    <x v="7"/>
    <s v="HP302"/>
  </r>
  <r>
    <n v="8"/>
    <x v="11"/>
    <s v="FI172"/>
  </r>
  <r>
    <n v="5"/>
    <x v="9"/>
    <s v="NM428"/>
  </r>
  <r>
    <n v="2"/>
    <x v="13"/>
    <s v="PM455"/>
  </r>
  <r>
    <n v="14"/>
    <x v="7"/>
    <s v="JM637"/>
  </r>
  <r>
    <n v="7"/>
    <x v="4"/>
    <s v="PK319"/>
  </r>
  <r>
    <n v="14"/>
    <x v="8"/>
    <s v="PM491"/>
  </r>
  <r>
    <n v="11"/>
    <x v="6"/>
    <s v="BC831"/>
  </r>
  <r>
    <n v="2"/>
    <x v="13"/>
    <s v="OJ247"/>
  </r>
  <r>
    <n v="11"/>
    <x v="9"/>
    <s v="EH892"/>
  </r>
  <r>
    <n v="4"/>
    <x v="12"/>
    <s v="JN904"/>
  </r>
  <r>
    <n v="3"/>
    <x v="6"/>
    <s v="KI291"/>
  </r>
  <r>
    <n v="2"/>
    <x v="4"/>
    <s v="MF590"/>
  </r>
  <r>
    <n v="13"/>
    <x v="4"/>
    <s v="LN225"/>
  </r>
  <r>
    <n v="3"/>
    <x v="6"/>
    <s v="CN589"/>
  </r>
  <r>
    <n v="9"/>
    <x v="7"/>
    <s v="JM352"/>
  </r>
  <r>
    <n v="13"/>
    <x v="12"/>
    <s v="AA425"/>
  </r>
  <r>
    <n v="7"/>
    <x v="3"/>
    <s v="OI629"/>
  </r>
  <r>
    <n v="13"/>
    <x v="13"/>
    <s v="HA731"/>
  </r>
  <r>
    <n v="4"/>
    <x v="6"/>
    <s v="GA781"/>
  </r>
  <r>
    <n v="7"/>
    <x v="14"/>
    <s v="LM755"/>
  </r>
  <r>
    <n v="3"/>
    <x v="6"/>
    <s v="AE347"/>
  </r>
  <r>
    <n v="4"/>
    <x v="11"/>
    <s v="GF313"/>
  </r>
  <r>
    <n v="7"/>
    <x v="10"/>
    <s v="EF961"/>
  </r>
  <r>
    <n v="3"/>
    <x v="7"/>
    <s v="PO926"/>
  </r>
  <r>
    <n v="1"/>
    <x v="13"/>
    <s v="NH234"/>
  </r>
  <r>
    <n v="14"/>
    <x v="12"/>
    <s v="AG864"/>
  </r>
  <r>
    <n v="5"/>
    <x v="6"/>
    <s v="DM336"/>
  </r>
  <r>
    <n v="4"/>
    <x v="7"/>
    <s v="LM392"/>
  </r>
  <r>
    <n v="5"/>
    <x v="13"/>
    <s v="EH559"/>
  </r>
  <r>
    <n v="6"/>
    <x v="14"/>
    <s v="HC465"/>
  </r>
  <r>
    <n v="8"/>
    <x v="5"/>
    <s v="BL246"/>
  </r>
  <r>
    <n v="15"/>
    <x v="11"/>
    <s v="FG771"/>
  </r>
  <r>
    <n v="1"/>
    <x v="10"/>
    <s v="IC327"/>
  </r>
  <r>
    <n v="14"/>
    <x v="9"/>
    <s v="JK843"/>
  </r>
  <r>
    <n v="6"/>
    <x v="4"/>
    <s v="CL393"/>
  </r>
  <r>
    <n v="7"/>
    <x v="11"/>
    <s v="NP226"/>
  </r>
  <r>
    <n v="10"/>
    <x v="11"/>
    <s v="PI710"/>
  </r>
  <r>
    <n v="5"/>
    <x v="8"/>
    <s v="GA435"/>
  </r>
  <r>
    <n v="13"/>
    <x v="4"/>
    <s v="AH451"/>
  </r>
  <r>
    <n v="2"/>
    <x v="7"/>
    <s v="IJ379"/>
  </r>
  <r>
    <n v="9"/>
    <x v="11"/>
    <s v="CC791"/>
  </r>
  <r>
    <n v="8"/>
    <x v="12"/>
    <s v="AF135"/>
  </r>
  <r>
    <n v="1"/>
    <x v="8"/>
    <s v="MN872"/>
  </r>
  <r>
    <n v="10"/>
    <x v="7"/>
    <s v="LP599"/>
  </r>
  <r>
    <n v="2"/>
    <x v="11"/>
    <s v="OD829"/>
  </r>
  <r>
    <n v="6"/>
    <x v="6"/>
    <s v="KN305"/>
  </r>
  <r>
    <n v="2"/>
    <x v="5"/>
    <s v="AH528"/>
  </r>
  <r>
    <n v="4"/>
    <x v="3"/>
    <s v="CA524"/>
  </r>
  <r>
    <n v="9"/>
    <x v="14"/>
    <s v="EP925"/>
  </r>
  <r>
    <n v="2"/>
    <x v="13"/>
    <s v="EF263"/>
  </r>
  <r>
    <n v="11"/>
    <x v="11"/>
    <s v="AN413"/>
  </r>
  <r>
    <n v="8"/>
    <x v="10"/>
    <s v="LE288"/>
  </r>
  <r>
    <n v="13"/>
    <x v="7"/>
    <s v="LM661"/>
  </r>
  <r>
    <n v="7"/>
    <x v="1"/>
    <s v="CO649"/>
  </r>
  <r>
    <n v="7"/>
    <x v="11"/>
    <s v="GB981"/>
  </r>
  <r>
    <n v="9"/>
    <x v="11"/>
    <s v="HF358"/>
  </r>
  <r>
    <n v="6"/>
    <x v="10"/>
    <s v="LA734"/>
  </r>
  <r>
    <n v="14"/>
    <x v="8"/>
    <s v="LL684"/>
  </r>
  <r>
    <n v="14"/>
    <x v="2"/>
    <s v="EG251"/>
  </r>
  <r>
    <n v="7"/>
    <x v="4"/>
    <s v="NH488"/>
  </r>
  <r>
    <n v="11"/>
    <x v="10"/>
    <s v="LF545"/>
  </r>
  <r>
    <n v="11"/>
    <x v="12"/>
    <s v="GB137"/>
  </r>
  <r>
    <n v="11"/>
    <x v="3"/>
    <s v="PB847"/>
  </r>
  <r>
    <n v="12"/>
    <x v="3"/>
    <s v="GH559"/>
  </r>
  <r>
    <n v="3"/>
    <x v="5"/>
    <s v="FP317"/>
  </r>
  <r>
    <n v="3"/>
    <x v="8"/>
    <s v="BM762"/>
  </r>
  <r>
    <n v="12"/>
    <x v="3"/>
    <s v="FJ667"/>
  </r>
  <r>
    <n v="7"/>
    <x v="14"/>
    <s v="FA471"/>
  </r>
  <r>
    <n v="10"/>
    <x v="6"/>
    <s v="OO730"/>
  </r>
  <r>
    <n v="2"/>
    <x v="5"/>
    <s v="NM466"/>
  </r>
  <r>
    <n v="14"/>
    <x v="11"/>
    <s v="LN234"/>
  </r>
  <r>
    <n v="9"/>
    <x v="2"/>
    <s v="NK798"/>
  </r>
  <r>
    <n v="2"/>
    <x v="5"/>
    <s v="DH531"/>
  </r>
  <r>
    <n v="11"/>
    <x v="12"/>
    <s v="IC460"/>
  </r>
  <r>
    <n v="2"/>
    <x v="10"/>
    <s v="BA678"/>
  </r>
  <r>
    <n v="14"/>
    <x v="12"/>
    <s v="GE131"/>
  </r>
  <r>
    <n v="6"/>
    <x v="8"/>
    <s v="PA306"/>
  </r>
  <r>
    <n v="5"/>
    <x v="5"/>
    <s v="EL879"/>
  </r>
  <r>
    <n v="2"/>
    <x v="14"/>
    <s v="EL963"/>
  </r>
  <r>
    <n v="10"/>
    <x v="9"/>
    <s v="NK460"/>
  </r>
  <r>
    <n v="3"/>
    <x v="9"/>
    <s v="GM33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n v="3"/>
    <n v="5"/>
    <s v="NN792"/>
    <x v="0"/>
  </r>
  <r>
    <n v="12"/>
    <n v="13"/>
    <s v="FO434"/>
    <x v="1"/>
  </r>
  <r>
    <n v="1"/>
    <n v="10"/>
    <s v="GN103"/>
    <x v="2"/>
  </r>
  <r>
    <n v="7"/>
    <n v="2"/>
    <s v="EA828"/>
    <x v="3"/>
  </r>
  <r>
    <n v="10"/>
    <n v="7"/>
    <s v="FN819"/>
    <x v="4"/>
  </r>
  <r>
    <n v="9"/>
    <n v="14"/>
    <s v="CI708"/>
    <x v="5"/>
  </r>
  <r>
    <n v="4"/>
    <n v="10"/>
    <s v="KP566"/>
    <x v="6"/>
  </r>
  <r>
    <n v="4"/>
    <n v="7"/>
    <s v="DB255"/>
    <x v="7"/>
  </r>
  <r>
    <n v="3"/>
    <n v="2"/>
    <s v="DE239"/>
    <x v="8"/>
  </r>
  <r>
    <n v="7"/>
    <n v="12"/>
    <s v="HL821"/>
    <x v="9"/>
  </r>
  <r>
    <n v="11"/>
    <n v="12"/>
    <s v="CG489"/>
    <x v="10"/>
  </r>
  <r>
    <n v="15"/>
    <n v="14"/>
    <s v="BD204"/>
    <x v="11"/>
  </r>
  <r>
    <n v="11"/>
    <n v="9"/>
    <s v="KJ360"/>
    <x v="12"/>
  </r>
  <r>
    <n v="3"/>
    <n v="6"/>
    <s v="BH265"/>
    <x v="13"/>
  </r>
  <r>
    <n v="1"/>
    <n v="7"/>
    <s v="KI293"/>
    <x v="14"/>
  </r>
  <r>
    <n v="11"/>
    <n v="7"/>
    <s v="EH963"/>
    <x v="15"/>
  </r>
  <r>
    <n v="2"/>
    <n v="2"/>
    <s v="DP909"/>
    <x v="16"/>
  </r>
  <r>
    <n v="9"/>
    <n v="10"/>
    <s v="MD193"/>
    <x v="17"/>
  </r>
  <r>
    <n v="2"/>
    <n v="13"/>
    <s v="CC204"/>
    <x v="18"/>
  </r>
  <r>
    <n v="13"/>
    <n v="14"/>
    <s v="IB453"/>
    <x v="19"/>
  </r>
  <r>
    <n v="10"/>
    <n v="15"/>
    <s v="NE867"/>
    <x v="20"/>
  </r>
  <r>
    <n v="6"/>
    <n v="9"/>
    <s v="HP605"/>
    <x v="21"/>
  </r>
  <r>
    <n v="5"/>
    <n v="6"/>
    <s v="BM696"/>
    <x v="22"/>
  </r>
  <r>
    <n v="13"/>
    <n v="13"/>
    <s v="NH320"/>
    <x v="23"/>
  </r>
  <r>
    <n v="11"/>
    <n v="1"/>
    <s v="LJ560"/>
    <x v="24"/>
  </r>
  <r>
    <n v="10"/>
    <n v="6"/>
    <s v="KE961"/>
    <x v="25"/>
  </r>
  <r>
    <n v="11"/>
    <n v="12"/>
    <s v="DA206"/>
    <x v="26"/>
  </r>
  <r>
    <n v="4"/>
    <n v="9"/>
    <s v="BF559"/>
    <x v="27"/>
  </r>
  <r>
    <n v="4"/>
    <n v="1"/>
    <s v="AE964"/>
    <x v="28"/>
  </r>
  <r>
    <n v="2"/>
    <n v="11"/>
    <s v="AK592"/>
    <x v="29"/>
  </r>
  <r>
    <n v="7"/>
    <n v="2"/>
    <s v="GH547"/>
    <x v="30"/>
  </r>
  <r>
    <n v="11"/>
    <n v="14"/>
    <s v="HE739"/>
    <x v="31"/>
  </r>
  <r>
    <n v="6"/>
    <n v="3"/>
    <s v="JP960"/>
    <x v="32"/>
  </r>
  <r>
    <n v="11"/>
    <n v="5"/>
    <s v="EL406"/>
    <x v="33"/>
  </r>
  <r>
    <n v="5"/>
    <n v="9"/>
    <s v="NO341"/>
    <x v="34"/>
  </r>
  <r>
    <n v="9"/>
    <n v="5"/>
    <s v="HA988"/>
    <x v="35"/>
  </r>
  <r>
    <n v="11"/>
    <n v="4"/>
    <s v="BD855"/>
    <x v="11"/>
  </r>
  <r>
    <n v="15"/>
    <n v="5"/>
    <s v="AC254"/>
    <x v="36"/>
  </r>
  <r>
    <n v="12"/>
    <n v="1"/>
    <s v="EB508"/>
    <x v="37"/>
  </r>
  <r>
    <n v="2"/>
    <n v="5"/>
    <s v="CJ207"/>
    <x v="38"/>
  </r>
  <r>
    <n v="11"/>
    <n v="11"/>
    <s v="MI932"/>
    <x v="39"/>
  </r>
  <r>
    <n v="2"/>
    <n v="3"/>
    <s v="KK643"/>
    <x v="40"/>
  </r>
  <r>
    <n v="6"/>
    <n v="13"/>
    <s v="MN131"/>
    <x v="41"/>
  </r>
  <r>
    <n v="4"/>
    <n v="11"/>
    <s v="GL291"/>
    <x v="42"/>
  </r>
  <r>
    <n v="7"/>
    <n v="10"/>
    <s v="DA512"/>
    <x v="26"/>
  </r>
  <r>
    <n v="8"/>
    <n v="6"/>
    <s v="MK572"/>
    <x v="43"/>
  </r>
  <r>
    <n v="3"/>
    <n v="14"/>
    <s v="NM404"/>
    <x v="44"/>
  </r>
  <r>
    <n v="7"/>
    <n v="13"/>
    <s v="JM414"/>
    <x v="45"/>
  </r>
  <r>
    <n v="15"/>
    <n v="11"/>
    <s v="BA749"/>
    <x v="46"/>
  </r>
  <r>
    <n v="11"/>
    <n v="8"/>
    <s v="DE678"/>
    <x v="8"/>
  </r>
  <r>
    <n v="6"/>
    <n v="10"/>
    <s v="AG504"/>
    <x v="47"/>
  </r>
  <r>
    <n v="3"/>
    <n v="12"/>
    <s v="FC803"/>
    <x v="48"/>
  </r>
  <r>
    <n v="13"/>
    <n v="11"/>
    <s v="DE822"/>
    <x v="8"/>
  </r>
  <r>
    <n v="15"/>
    <n v="12"/>
    <s v="PJ152"/>
    <x v="49"/>
  </r>
  <r>
    <n v="1"/>
    <n v="13"/>
    <s v="GK857"/>
    <x v="50"/>
  </r>
  <r>
    <n v="15"/>
    <n v="7"/>
    <s v="BO596"/>
    <x v="51"/>
  </r>
  <r>
    <n v="14"/>
    <n v="10"/>
    <s v="KK488"/>
    <x v="40"/>
  </r>
  <r>
    <n v="7"/>
    <n v="1"/>
    <s v="AI420"/>
    <x v="52"/>
  </r>
  <r>
    <n v="7"/>
    <n v="5"/>
    <s v="KJ759"/>
    <x v="12"/>
  </r>
  <r>
    <n v="6"/>
    <n v="1"/>
    <s v="DL542"/>
    <x v="53"/>
  </r>
  <r>
    <n v="3"/>
    <n v="12"/>
    <s v="JI840"/>
    <x v="54"/>
  </r>
  <r>
    <n v="15"/>
    <n v="14"/>
    <s v="KK476"/>
    <x v="40"/>
  </r>
  <r>
    <n v="3"/>
    <n v="9"/>
    <s v="HP302"/>
    <x v="21"/>
  </r>
  <r>
    <n v="8"/>
    <n v="11"/>
    <s v="FI172"/>
    <x v="55"/>
  </r>
  <r>
    <n v="5"/>
    <n v="15"/>
    <s v="NM428"/>
    <x v="44"/>
  </r>
  <r>
    <n v="2"/>
    <n v="4"/>
    <s v="PM455"/>
    <x v="56"/>
  </r>
  <r>
    <n v="14"/>
    <n v="9"/>
    <s v="JM637"/>
    <x v="45"/>
  </r>
  <r>
    <n v="7"/>
    <n v="7"/>
    <s v="PK319"/>
    <x v="57"/>
  </r>
  <r>
    <n v="14"/>
    <n v="6"/>
    <s v="PM491"/>
    <x v="56"/>
  </r>
  <r>
    <n v="11"/>
    <n v="12"/>
    <s v="BC831"/>
    <x v="58"/>
  </r>
  <r>
    <n v="2"/>
    <n v="4"/>
    <s v="OJ247"/>
    <x v="59"/>
  </r>
  <r>
    <n v="11"/>
    <n v="15"/>
    <s v="EH892"/>
    <x v="15"/>
  </r>
  <r>
    <n v="4"/>
    <n v="3"/>
    <s v="JN904"/>
    <x v="60"/>
  </r>
  <r>
    <n v="3"/>
    <n v="12"/>
    <s v="KI291"/>
    <x v="14"/>
  </r>
  <r>
    <n v="2"/>
    <n v="7"/>
    <s v="MF590"/>
    <x v="61"/>
  </r>
  <r>
    <n v="13"/>
    <n v="7"/>
    <s v="LN225"/>
    <x v="62"/>
  </r>
  <r>
    <n v="3"/>
    <n v="12"/>
    <s v="CN589"/>
    <x v="63"/>
  </r>
  <r>
    <n v="9"/>
    <n v="9"/>
    <s v="JM352"/>
    <x v="45"/>
  </r>
  <r>
    <n v="13"/>
    <n v="3"/>
    <s v="AA425"/>
    <x v="64"/>
  </r>
  <r>
    <n v="7"/>
    <n v="2"/>
    <s v="OI629"/>
    <x v="65"/>
  </r>
  <r>
    <n v="13"/>
    <n v="4"/>
    <s v="HA731"/>
    <x v="35"/>
  </r>
  <r>
    <n v="4"/>
    <n v="12"/>
    <s v="GA781"/>
    <x v="66"/>
  </r>
  <r>
    <n v="7"/>
    <n v="8"/>
    <s v="LM755"/>
    <x v="67"/>
  </r>
  <r>
    <n v="3"/>
    <n v="12"/>
    <s v="AE347"/>
    <x v="28"/>
  </r>
  <r>
    <n v="4"/>
    <n v="11"/>
    <s v="GF313"/>
    <x v="68"/>
  </r>
  <r>
    <n v="7"/>
    <n v="1"/>
    <s v="EF961"/>
    <x v="69"/>
  </r>
  <r>
    <n v="3"/>
    <n v="9"/>
    <s v="PO926"/>
    <x v="70"/>
  </r>
  <r>
    <n v="1"/>
    <n v="4"/>
    <s v="NH234"/>
    <x v="23"/>
  </r>
  <r>
    <n v="14"/>
    <n v="3"/>
    <s v="AG864"/>
    <x v="47"/>
  </r>
  <r>
    <n v="5"/>
    <n v="12"/>
    <s v="DM336"/>
    <x v="71"/>
  </r>
  <r>
    <n v="4"/>
    <n v="9"/>
    <s v="LM392"/>
    <x v="67"/>
  </r>
  <r>
    <n v="5"/>
    <n v="4"/>
    <s v="EH559"/>
    <x v="15"/>
  </r>
  <r>
    <n v="6"/>
    <n v="8"/>
    <s v="HC465"/>
    <x v="72"/>
  </r>
  <r>
    <n v="8"/>
    <n v="14"/>
    <s v="BL246"/>
    <x v="73"/>
  </r>
  <r>
    <n v="15"/>
    <n v="11"/>
    <s v="FG771"/>
    <x v="74"/>
  </r>
  <r>
    <n v="1"/>
    <n v="1"/>
    <s v="IC327"/>
    <x v="75"/>
  </r>
  <r>
    <n v="14"/>
    <n v="15"/>
    <s v="JK843"/>
    <x v="76"/>
  </r>
  <r>
    <n v="6"/>
    <n v="7"/>
    <s v="CL393"/>
    <x v="77"/>
  </r>
  <r>
    <n v="7"/>
    <n v="11"/>
    <s v="NP226"/>
    <x v="78"/>
  </r>
  <r>
    <n v="10"/>
    <n v="11"/>
    <s v="PI710"/>
    <x v="79"/>
  </r>
  <r>
    <n v="5"/>
    <n v="6"/>
    <s v="GA435"/>
    <x v="66"/>
  </r>
  <r>
    <n v="13"/>
    <n v="7"/>
    <s v="AH451"/>
    <x v="80"/>
  </r>
  <r>
    <n v="2"/>
    <n v="9"/>
    <s v="IJ379"/>
    <x v="81"/>
  </r>
  <r>
    <n v="9"/>
    <n v="11"/>
    <s v="CC791"/>
    <x v="18"/>
  </r>
  <r>
    <n v="8"/>
    <n v="3"/>
    <s v="AF135"/>
    <x v="82"/>
  </r>
  <r>
    <n v="1"/>
    <n v="6"/>
    <s v="MN872"/>
    <x v="41"/>
  </r>
  <r>
    <n v="10"/>
    <n v="9"/>
    <s v="LP599"/>
    <x v="83"/>
  </r>
  <r>
    <n v="2"/>
    <n v="11"/>
    <s v="OD829"/>
    <x v="84"/>
  </r>
  <r>
    <n v="6"/>
    <n v="12"/>
    <s v="KN305"/>
    <x v="85"/>
  </r>
  <r>
    <n v="2"/>
    <n v="14"/>
    <s v="AH528"/>
    <x v="80"/>
  </r>
  <r>
    <n v="4"/>
    <n v="2"/>
    <s v="CA524"/>
    <x v="86"/>
  </r>
  <r>
    <n v="9"/>
    <n v="8"/>
    <s v="EP925"/>
    <x v="87"/>
  </r>
  <r>
    <n v="2"/>
    <n v="4"/>
    <s v="EF263"/>
    <x v="69"/>
  </r>
  <r>
    <n v="11"/>
    <n v="11"/>
    <s v="AN413"/>
    <x v="88"/>
  </r>
  <r>
    <n v="8"/>
    <n v="1"/>
    <s v="LE288"/>
    <x v="89"/>
  </r>
  <r>
    <n v="13"/>
    <n v="9"/>
    <s v="LM661"/>
    <x v="67"/>
  </r>
  <r>
    <n v="7"/>
    <n v="13"/>
    <s v="CO649"/>
    <x v="90"/>
  </r>
  <r>
    <n v="7"/>
    <n v="11"/>
    <s v="GB981"/>
    <x v="91"/>
  </r>
  <r>
    <n v="9"/>
    <n v="11"/>
    <s v="HF358"/>
    <x v="92"/>
  </r>
  <r>
    <n v="6"/>
    <n v="1"/>
    <s v="LA734"/>
    <x v="93"/>
  </r>
  <r>
    <n v="14"/>
    <n v="6"/>
    <s v="LL684"/>
    <x v="94"/>
  </r>
  <r>
    <n v="14"/>
    <n v="10"/>
    <s v="EG251"/>
    <x v="95"/>
  </r>
  <r>
    <n v="7"/>
    <n v="7"/>
    <s v="NH488"/>
    <x v="23"/>
  </r>
  <r>
    <n v="11"/>
    <n v="1"/>
    <s v="LF545"/>
    <x v="96"/>
  </r>
  <r>
    <n v="11"/>
    <n v="3"/>
    <s v="GB137"/>
    <x v="91"/>
  </r>
  <r>
    <n v="11"/>
    <n v="2"/>
    <s v="PB847"/>
    <x v="97"/>
  </r>
  <r>
    <n v="12"/>
    <n v="2"/>
    <s v="GH559"/>
    <x v="30"/>
  </r>
  <r>
    <n v="3"/>
    <n v="14"/>
    <s v="FP317"/>
    <x v="98"/>
  </r>
  <r>
    <n v="3"/>
    <n v="6"/>
    <s v="BM762"/>
    <x v="22"/>
  </r>
  <r>
    <n v="12"/>
    <n v="2"/>
    <s v="FJ667"/>
    <x v="99"/>
  </r>
  <r>
    <n v="7"/>
    <n v="8"/>
    <s v="FA471"/>
    <x v="100"/>
  </r>
  <r>
    <n v="10"/>
    <n v="12"/>
    <s v="OO730"/>
    <x v="101"/>
  </r>
  <r>
    <n v="2"/>
    <n v="14"/>
    <s v="NM466"/>
    <x v="44"/>
  </r>
  <r>
    <n v="14"/>
    <n v="11"/>
    <s v="LN234"/>
    <x v="62"/>
  </r>
  <r>
    <n v="9"/>
    <n v="10"/>
    <s v="NK798"/>
    <x v="102"/>
  </r>
  <r>
    <n v="2"/>
    <n v="14"/>
    <s v="DH531"/>
    <x v="103"/>
  </r>
  <r>
    <n v="11"/>
    <n v="3"/>
    <s v="IC460"/>
    <x v="75"/>
  </r>
  <r>
    <n v="2"/>
    <n v="1"/>
    <s v="BA678"/>
    <x v="46"/>
  </r>
  <r>
    <n v="14"/>
    <n v="3"/>
    <s v="GE131"/>
    <x v="104"/>
  </r>
  <r>
    <n v="6"/>
    <n v="6"/>
    <s v="PA306"/>
    <x v="105"/>
  </r>
  <r>
    <n v="5"/>
    <n v="14"/>
    <s v="EL879"/>
    <x v="33"/>
  </r>
  <r>
    <n v="2"/>
    <n v="8"/>
    <s v="EL963"/>
    <x v="33"/>
  </r>
  <r>
    <n v="10"/>
    <n v="15"/>
    <s v="NK460"/>
    <x v="102"/>
  </r>
  <r>
    <n v="3"/>
    <n v="15"/>
    <s v="GM330"/>
    <x v="10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n v="3"/>
    <n v="5"/>
    <s v="NN792"/>
    <d v="2026-02-19T06:03:00"/>
    <x v="0"/>
    <d v="2026-02-19T06:03:00"/>
    <d v="2026-02-19T06:08:00"/>
    <b v="1"/>
  </r>
  <r>
    <n v="12"/>
    <n v="13"/>
    <s v="FO434"/>
    <d v="2026-02-19T06:15:00"/>
    <x v="0"/>
    <d v="2026-02-19T06:15:00"/>
    <d v="2026-02-19T06:28:00"/>
    <b v="1"/>
  </r>
  <r>
    <n v="1"/>
    <n v="10"/>
    <s v="GN103"/>
    <d v="2026-02-19T06:16:00"/>
    <x v="0"/>
    <d v="2026-02-19T06:28:00"/>
    <d v="2026-02-19T06:28:00"/>
    <b v="0"/>
  </r>
  <r>
    <n v="7"/>
    <n v="2"/>
    <s v="EA828"/>
    <d v="2026-02-19T06:23:00"/>
    <x v="0"/>
    <d v="2026-02-19T06:28:00"/>
    <d v="2026-02-19T06:30:00"/>
    <b v="1"/>
  </r>
  <r>
    <n v="10"/>
    <n v="7"/>
    <s v="FN819"/>
    <d v="2026-02-19T06:33:00"/>
    <x v="0"/>
    <d v="2026-02-19T06:33:00"/>
    <d v="2026-02-19T06:40:00"/>
    <b v="1"/>
  </r>
  <r>
    <n v="9"/>
    <n v="14"/>
    <s v="CI708"/>
    <d v="2026-02-19T06:42:00"/>
    <x v="0"/>
    <d v="2026-02-19T06:42:00"/>
    <d v="2026-02-19T06:56:00"/>
    <b v="1"/>
  </r>
  <r>
    <n v="4"/>
    <n v="10"/>
    <s v="KP566"/>
    <d v="2026-02-19T06:46:00"/>
    <x v="0"/>
    <d v="2026-02-19T06:56:00"/>
    <d v="2026-02-19T06:56:00"/>
    <b v="0"/>
  </r>
  <r>
    <n v="4"/>
    <n v="7"/>
    <s v="DB255"/>
    <d v="2026-02-19T06:50:00"/>
    <x v="0"/>
    <d v="2026-02-19T06:56:00"/>
    <d v="2026-02-19T06:56:00"/>
    <b v="0"/>
  </r>
  <r>
    <n v="3"/>
    <n v="2"/>
    <s v="DE239"/>
    <d v="2026-02-19T06:53:00"/>
    <x v="0"/>
    <d v="2026-02-19T06:56:00"/>
    <d v="2026-02-19T06:58:00"/>
    <b v="1"/>
  </r>
  <r>
    <n v="7"/>
    <n v="12"/>
    <s v="HL821"/>
    <d v="2026-02-19T07:00:00"/>
    <x v="1"/>
    <d v="2026-02-19T07:00:00"/>
    <d v="2026-02-19T07:12:00"/>
    <b v="1"/>
  </r>
  <r>
    <n v="11"/>
    <n v="12"/>
    <s v="CG489"/>
    <d v="2026-02-19T07:11:00"/>
    <x v="1"/>
    <d v="2026-02-19T07:12:00"/>
    <d v="2026-02-19T07:24:00"/>
    <b v="1"/>
  </r>
  <r>
    <n v="15"/>
    <n v="14"/>
    <s v="BD204"/>
    <d v="2026-02-19T07:26:00"/>
    <x v="1"/>
    <d v="2026-02-19T07:26:00"/>
    <d v="2026-02-19T07:40:00"/>
    <b v="1"/>
  </r>
  <r>
    <n v="11"/>
    <n v="9"/>
    <s v="KJ360"/>
    <d v="2026-02-19T07:37:00"/>
    <x v="1"/>
    <d v="2026-02-19T07:40:00"/>
    <d v="2026-02-19T07:49:00"/>
    <b v="1"/>
  </r>
  <r>
    <n v="3"/>
    <n v="6"/>
    <s v="BH265"/>
    <d v="2026-02-19T07:40:00"/>
    <x v="1"/>
    <d v="2026-02-19T07:49:00"/>
    <d v="2026-02-19T07:49:00"/>
    <b v="0"/>
  </r>
  <r>
    <n v="1"/>
    <n v="7"/>
    <s v="KI293"/>
    <d v="2026-02-19T07:41:00"/>
    <x v="1"/>
    <d v="2026-02-19T07:49:00"/>
    <d v="2026-02-19T07:49:00"/>
    <b v="0"/>
  </r>
  <r>
    <n v="11"/>
    <n v="7"/>
    <s v="EH963"/>
    <d v="2026-02-19T07:52:00"/>
    <x v="1"/>
    <d v="2026-02-19T07:52:00"/>
    <d v="2026-02-19T07:59:00"/>
    <b v="1"/>
  </r>
  <r>
    <n v="2"/>
    <n v="2"/>
    <s v="DP909"/>
    <d v="2026-02-19T07:54:00"/>
    <x v="1"/>
    <d v="2026-02-19T07:59:00"/>
    <d v="2026-02-19T08:01:00"/>
    <b v="1"/>
  </r>
  <r>
    <n v="9"/>
    <n v="10"/>
    <s v="MD193"/>
    <d v="2026-02-19T08:03:00"/>
    <x v="2"/>
    <d v="2026-02-19T08:03:00"/>
    <d v="2026-02-19T08:13:00"/>
    <b v="1"/>
  </r>
  <r>
    <n v="2"/>
    <n v="13"/>
    <s v="CC204"/>
    <d v="2026-02-19T08:05:00"/>
    <x v="2"/>
    <d v="2026-02-19T08:13:00"/>
    <d v="2026-02-19T08:13:00"/>
    <b v="0"/>
  </r>
  <r>
    <n v="13"/>
    <n v="14"/>
    <s v="IB453"/>
    <d v="2026-02-19T08:18:00"/>
    <x v="2"/>
    <d v="2026-02-19T08:18:00"/>
    <d v="2026-02-19T08:32:00"/>
    <b v="1"/>
  </r>
  <r>
    <n v="10"/>
    <n v="15"/>
    <s v="NE867"/>
    <d v="2026-02-19T08:28:00"/>
    <x v="2"/>
    <d v="2026-02-19T08:32:00"/>
    <d v="2026-02-19T08:47:00"/>
    <b v="1"/>
  </r>
  <r>
    <n v="6"/>
    <n v="9"/>
    <s v="HP605"/>
    <d v="2026-02-19T08:34:00"/>
    <x v="2"/>
    <d v="2026-02-19T08:47:00"/>
    <d v="2026-02-19T08:47:00"/>
    <b v="0"/>
  </r>
  <r>
    <n v="5"/>
    <n v="6"/>
    <s v="BM696"/>
    <d v="2026-02-19T08:39:00"/>
    <x v="2"/>
    <d v="2026-02-19T08:47:00"/>
    <d v="2026-02-19T08:47:00"/>
    <b v="0"/>
  </r>
  <r>
    <n v="13"/>
    <n v="13"/>
    <s v="NH320"/>
    <d v="2026-02-19T08:52:00"/>
    <x v="2"/>
    <d v="2026-02-19T08:52:00"/>
    <d v="2026-02-19T09:05:00"/>
    <b v="1"/>
  </r>
  <r>
    <n v="11"/>
    <n v="1"/>
    <s v="LJ560"/>
    <d v="2026-02-19T09:03:00"/>
    <x v="3"/>
    <d v="2026-02-19T09:05:00"/>
    <d v="2026-02-19T09:06:00"/>
    <b v="1"/>
  </r>
  <r>
    <n v="10"/>
    <n v="6"/>
    <s v="KE961"/>
    <d v="2026-02-19T09:13:00"/>
    <x v="3"/>
    <d v="2026-02-19T09:13:00"/>
    <d v="2026-02-19T09:19:00"/>
    <b v="1"/>
  </r>
  <r>
    <n v="11"/>
    <n v="12"/>
    <s v="DA206"/>
    <d v="2026-02-19T09:24:00"/>
    <x v="3"/>
    <d v="2026-02-19T09:24:00"/>
    <d v="2026-02-19T09:36:00"/>
    <b v="1"/>
  </r>
  <r>
    <n v="4"/>
    <n v="9"/>
    <s v="BF559"/>
    <d v="2026-02-19T09:28:00"/>
    <x v="3"/>
    <d v="2026-02-19T09:36:00"/>
    <d v="2026-02-19T09:36:00"/>
    <b v="0"/>
  </r>
  <r>
    <n v="4"/>
    <n v="1"/>
    <s v="AE964"/>
    <d v="2026-02-19T09:32:00"/>
    <x v="3"/>
    <d v="2026-02-19T09:36:00"/>
    <d v="2026-02-19T09:37:00"/>
    <b v="1"/>
  </r>
  <r>
    <n v="2"/>
    <n v="11"/>
    <s v="AK592"/>
    <d v="2026-02-19T09:34:00"/>
    <x v="3"/>
    <d v="2026-02-19T09:37:00"/>
    <d v="2026-02-19T09:48:00"/>
    <b v="1"/>
  </r>
  <r>
    <n v="7"/>
    <n v="2"/>
    <s v="GH547"/>
    <d v="2026-02-19T09:41:00"/>
    <x v="3"/>
    <d v="2026-02-19T09:48:00"/>
    <d v="2026-02-19T09:48:00"/>
    <b v="0"/>
  </r>
  <r>
    <n v="11"/>
    <n v="14"/>
    <s v="HE739"/>
    <d v="2026-02-19T09:52:00"/>
    <x v="3"/>
    <d v="2026-02-19T09:52:00"/>
    <d v="2026-02-19T10:06:00"/>
    <b v="1"/>
  </r>
  <r>
    <n v="6"/>
    <n v="3"/>
    <s v="JP960"/>
    <d v="2026-02-19T09:58:00"/>
    <x v="3"/>
    <d v="2026-02-19T10:06:00"/>
    <d v="2026-02-19T10:06:00"/>
    <b v="0"/>
  </r>
  <r>
    <n v="11"/>
    <n v="5"/>
    <s v="EL406"/>
    <d v="2026-02-19T10:09:00"/>
    <x v="4"/>
    <d v="2026-02-19T10:09:00"/>
    <d v="2026-02-19T10:14:00"/>
    <b v="1"/>
  </r>
  <r>
    <n v="5"/>
    <n v="9"/>
    <s v="NO341"/>
    <d v="2026-02-19T10:14:00"/>
    <x v="4"/>
    <d v="2026-02-19T10:14:00"/>
    <d v="2026-02-19T10:23:00"/>
    <b v="1"/>
  </r>
  <r>
    <n v="9"/>
    <n v="5"/>
    <s v="HA988"/>
    <d v="2026-02-19T10:23:00"/>
    <x v="4"/>
    <d v="2026-02-19T10:23:00"/>
    <d v="2026-02-19T10:28:00"/>
    <b v="1"/>
  </r>
  <r>
    <n v="11"/>
    <n v="4"/>
    <s v="BD855"/>
    <d v="2026-02-19T10:34:00"/>
    <x v="4"/>
    <d v="2026-02-19T10:34:00"/>
    <d v="2026-02-19T10:38:00"/>
    <b v="1"/>
  </r>
  <r>
    <n v="15"/>
    <n v="5"/>
    <s v="AC254"/>
    <d v="2026-02-19T10:49:00"/>
    <x v="4"/>
    <d v="2026-02-19T10:49:00"/>
    <d v="2026-02-19T10:54:00"/>
    <b v="1"/>
  </r>
  <r>
    <n v="12"/>
    <n v="1"/>
    <s v="EB508"/>
    <d v="2026-02-19T11:01:00"/>
    <x v="5"/>
    <d v="2026-02-19T11:01:00"/>
    <d v="2026-02-19T11:02:00"/>
    <b v="1"/>
  </r>
  <r>
    <n v="2"/>
    <n v="5"/>
    <s v="CJ207"/>
    <d v="2026-02-19T11:03:00"/>
    <x v="5"/>
    <d v="2026-02-19T11:03:00"/>
    <d v="2026-02-19T11:08:00"/>
    <b v="1"/>
  </r>
  <r>
    <n v="11"/>
    <n v="11"/>
    <s v="MI932"/>
    <d v="2026-02-19T11:14:00"/>
    <x v="5"/>
    <d v="2026-02-19T11:14:00"/>
    <d v="2026-02-19T11:25:00"/>
    <b v="1"/>
  </r>
  <r>
    <n v="2"/>
    <n v="3"/>
    <s v="KK643"/>
    <d v="2026-02-19T11:16:00"/>
    <x v="5"/>
    <d v="2026-02-19T11:25:00"/>
    <d v="2026-02-19T11:25:00"/>
    <b v="0"/>
  </r>
  <r>
    <n v="6"/>
    <n v="13"/>
    <s v="MN131"/>
    <d v="2026-02-19T11:22:00"/>
    <x v="5"/>
    <d v="2026-02-19T11:25:00"/>
    <d v="2026-02-19T11:38:00"/>
    <b v="1"/>
  </r>
  <r>
    <n v="4"/>
    <n v="11"/>
    <s v="GL291"/>
    <d v="2026-02-19T11:26:00"/>
    <x v="5"/>
    <d v="2026-02-19T11:38:00"/>
    <d v="2026-02-19T11:38:00"/>
    <b v="0"/>
  </r>
  <r>
    <n v="7"/>
    <n v="10"/>
    <s v="DA512"/>
    <d v="2026-02-19T11:33:00"/>
    <x v="5"/>
    <d v="2026-02-19T11:38:00"/>
    <d v="2026-02-19T11:48:00"/>
    <b v="1"/>
  </r>
  <r>
    <n v="8"/>
    <n v="6"/>
    <s v="MK572"/>
    <d v="2026-02-19T11:41:00"/>
    <x v="5"/>
    <d v="2026-02-19T11:48:00"/>
    <d v="2026-02-19T11:48:00"/>
    <b v="0"/>
  </r>
  <r>
    <n v="3"/>
    <n v="14"/>
    <s v="NM404"/>
    <d v="2026-02-19T11:44:00"/>
    <x v="5"/>
    <d v="2026-02-19T11:48:00"/>
    <d v="2026-02-19T12:02:00"/>
    <b v="1"/>
  </r>
  <r>
    <n v="7"/>
    <n v="13"/>
    <s v="JM414"/>
    <d v="2026-02-19T11:51:00"/>
    <x v="5"/>
    <d v="2026-02-19T12:02:00"/>
    <d v="2026-02-19T12:02:00"/>
    <b v="0"/>
  </r>
  <r>
    <n v="15"/>
    <n v="11"/>
    <s v="BA749"/>
    <d v="2026-02-19T12:06:00"/>
    <x v="6"/>
    <d v="2026-02-19T12:06:00"/>
    <d v="2026-02-19T12:17:00"/>
    <b v="1"/>
  </r>
  <r>
    <n v="11"/>
    <n v="8"/>
    <s v="DE678"/>
    <d v="2026-02-19T12:17:00"/>
    <x v="6"/>
    <d v="2026-02-19T12:17:00"/>
    <d v="2026-02-19T12:25:00"/>
    <b v="1"/>
  </r>
  <r>
    <n v="6"/>
    <n v="10"/>
    <s v="AG504"/>
    <d v="2026-02-19T12:23:00"/>
    <x v="6"/>
    <d v="2026-02-19T12:25:00"/>
    <d v="2026-02-19T12:35:00"/>
    <b v="1"/>
  </r>
  <r>
    <n v="3"/>
    <n v="12"/>
    <s v="FC803"/>
    <d v="2026-02-19T12:26:00"/>
    <x v="6"/>
    <d v="2026-02-19T12:35:00"/>
    <d v="2026-02-19T12:35:00"/>
    <b v="0"/>
  </r>
  <r>
    <n v="13"/>
    <n v="11"/>
    <s v="DE822"/>
    <d v="2026-02-19T12:39:00"/>
    <x v="6"/>
    <d v="2026-02-19T12:39:00"/>
    <d v="2026-02-19T12:50:00"/>
    <b v="1"/>
  </r>
  <r>
    <n v="15"/>
    <n v="12"/>
    <s v="PJ152"/>
    <d v="2026-02-19T12:54:00"/>
    <x v="6"/>
    <d v="2026-02-19T12:54:00"/>
    <d v="2026-02-19T13:06:00"/>
    <b v="1"/>
  </r>
  <r>
    <n v="1"/>
    <n v="13"/>
    <s v="GK857"/>
    <d v="2026-02-19T12:55:00"/>
    <x v="6"/>
    <d v="2026-02-19T13:06:00"/>
    <d v="2026-02-19T13:06:00"/>
    <b v="0"/>
  </r>
  <r>
    <n v="15"/>
    <n v="7"/>
    <s v="BO596"/>
    <d v="2026-02-19T13:10:00"/>
    <x v="7"/>
    <d v="2026-02-19T13:10:00"/>
    <d v="2026-02-19T13:17:00"/>
    <b v="1"/>
  </r>
  <r>
    <n v="14"/>
    <n v="10"/>
    <s v="KK488"/>
    <d v="2026-02-19T13:24:00"/>
    <x v="7"/>
    <d v="2026-02-19T13:24:00"/>
    <d v="2026-02-19T13:34:00"/>
    <b v="1"/>
  </r>
  <r>
    <n v="7"/>
    <n v="1"/>
    <s v="AI420"/>
    <d v="2026-02-19T13:31:00"/>
    <x v="7"/>
    <d v="2026-02-19T13:34:00"/>
    <d v="2026-02-19T13:35:00"/>
    <b v="1"/>
  </r>
  <r>
    <n v="7"/>
    <n v="5"/>
    <s v="KJ759"/>
    <d v="2026-02-19T13:38:00"/>
    <x v="7"/>
    <d v="2026-02-19T13:38:00"/>
    <d v="2026-02-19T13:43:00"/>
    <b v="1"/>
  </r>
  <r>
    <n v="6"/>
    <n v="1"/>
    <s v="DL542"/>
    <d v="2026-02-19T13:44:00"/>
    <x v="7"/>
    <d v="2026-02-19T13:44:00"/>
    <d v="2026-02-19T13:45:00"/>
    <b v="1"/>
  </r>
  <r>
    <n v="3"/>
    <n v="12"/>
    <s v="JI840"/>
    <d v="2026-02-19T13:47:00"/>
    <x v="7"/>
    <d v="2026-02-19T13:47:00"/>
    <d v="2026-02-19T13:59:00"/>
    <b v="1"/>
  </r>
  <r>
    <n v="15"/>
    <n v="14"/>
    <s v="KK476"/>
    <d v="2026-02-19T14:02:00"/>
    <x v="8"/>
    <d v="2026-02-19T14:02:00"/>
    <d v="2026-02-19T14:16:00"/>
    <b v="1"/>
  </r>
  <r>
    <n v="3"/>
    <n v="9"/>
    <s v="HP302"/>
    <d v="2026-02-19T14:05:00"/>
    <x v="8"/>
    <d v="2026-02-19T14:16:00"/>
    <d v="2026-02-19T14:16:00"/>
    <b v="0"/>
  </r>
  <r>
    <n v="8"/>
    <n v="11"/>
    <s v="FI172"/>
    <d v="2026-02-19T14:13:00"/>
    <x v="8"/>
    <d v="2026-02-19T14:16:00"/>
    <d v="2026-02-19T14:27:00"/>
    <b v="1"/>
  </r>
  <r>
    <n v="5"/>
    <n v="15"/>
    <s v="NM428"/>
    <d v="2026-02-19T14:18:00"/>
    <x v="8"/>
    <d v="2026-02-19T14:27:00"/>
    <d v="2026-02-19T14:27:00"/>
    <b v="0"/>
  </r>
  <r>
    <n v="2"/>
    <n v="4"/>
    <s v="PM455"/>
    <d v="2026-02-19T14:20:00"/>
    <x v="8"/>
    <d v="2026-02-19T14:27:00"/>
    <d v="2026-02-19T14:27:00"/>
    <b v="0"/>
  </r>
  <r>
    <n v="14"/>
    <n v="9"/>
    <s v="JM637"/>
    <d v="2026-02-19T14:34:00"/>
    <x v="8"/>
    <d v="2026-02-19T14:34:00"/>
    <d v="2026-02-19T14:43:00"/>
    <b v="1"/>
  </r>
  <r>
    <n v="7"/>
    <n v="7"/>
    <s v="PK319"/>
    <d v="2026-02-19T14:41:00"/>
    <x v="8"/>
    <d v="2026-02-19T14:43:00"/>
    <d v="2026-02-19T14:50:00"/>
    <b v="1"/>
  </r>
  <r>
    <n v="14"/>
    <n v="6"/>
    <s v="PM491"/>
    <d v="2026-02-19T14:55:00"/>
    <x v="8"/>
    <d v="2026-02-19T14:55:00"/>
    <d v="2026-02-19T15:01:00"/>
    <b v="1"/>
  </r>
  <r>
    <n v="11"/>
    <n v="12"/>
    <s v="BC831"/>
    <d v="2026-02-19T15:06:00"/>
    <x v="9"/>
    <d v="2026-02-19T15:06:00"/>
    <d v="2026-02-19T15:18:00"/>
    <b v="1"/>
  </r>
  <r>
    <n v="2"/>
    <n v="4"/>
    <s v="OJ247"/>
    <d v="2026-02-19T15:08:00"/>
    <x v="9"/>
    <d v="2026-02-19T15:18:00"/>
    <d v="2026-02-19T15:18:00"/>
    <b v="0"/>
  </r>
  <r>
    <n v="11"/>
    <n v="15"/>
    <s v="EH892"/>
    <d v="2026-02-19T15:19:00"/>
    <x v="9"/>
    <d v="2026-02-19T15:19:00"/>
    <d v="2026-02-19T15:34:00"/>
    <b v="1"/>
  </r>
  <r>
    <n v="4"/>
    <n v="3"/>
    <s v="JN904"/>
    <d v="2026-02-19T15:23:00"/>
    <x v="9"/>
    <d v="2026-02-19T15:34:00"/>
    <d v="2026-02-19T15:34:00"/>
    <b v="0"/>
  </r>
  <r>
    <n v="3"/>
    <n v="12"/>
    <s v="KI291"/>
    <d v="2026-02-19T15:26:00"/>
    <x v="9"/>
    <d v="2026-02-19T15:34:00"/>
    <d v="2026-02-19T15:34:00"/>
    <b v="0"/>
  </r>
  <r>
    <n v="2"/>
    <n v="7"/>
    <s v="MF590"/>
    <d v="2026-02-19T15:28:00"/>
    <x v="9"/>
    <d v="2026-02-19T15:34:00"/>
    <d v="2026-02-19T15:34:00"/>
    <b v="0"/>
  </r>
  <r>
    <n v="13"/>
    <n v="7"/>
    <s v="LN225"/>
    <d v="2026-02-19T15:41:00"/>
    <x v="9"/>
    <d v="2026-02-19T15:41:00"/>
    <d v="2026-02-19T15:48:00"/>
    <b v="1"/>
  </r>
  <r>
    <n v="3"/>
    <n v="12"/>
    <s v="CN589"/>
    <d v="2026-02-19T15:44:00"/>
    <x v="9"/>
    <d v="2026-02-19T15:48:00"/>
    <d v="2026-02-19T16:00:00"/>
    <b v="1"/>
  </r>
  <r>
    <n v="9"/>
    <n v="9"/>
    <s v="JM352"/>
    <d v="2026-02-19T15:53:00"/>
    <x v="9"/>
    <d v="2026-02-19T16:00:00"/>
    <d v="2026-02-19T16:00:00"/>
    <b v="0"/>
  </r>
  <r>
    <n v="13"/>
    <n v="3"/>
    <s v="AA425"/>
    <d v="2026-02-19T16:06:00"/>
    <x v="10"/>
    <d v="2026-02-19T16:06:00"/>
    <d v="2026-02-19T16:09:00"/>
    <b v="1"/>
  </r>
  <r>
    <n v="7"/>
    <n v="2"/>
    <s v="OI629"/>
    <d v="2026-02-19T16:13:00"/>
    <x v="10"/>
    <d v="2026-02-19T16:13:00"/>
    <d v="2026-02-19T16:15:00"/>
    <b v="1"/>
  </r>
  <r>
    <n v="13"/>
    <n v="4"/>
    <s v="HA731"/>
    <d v="2026-02-19T16:26:00"/>
    <x v="10"/>
    <d v="2026-02-19T16:26:00"/>
    <d v="2026-02-19T16:30:00"/>
    <b v="1"/>
  </r>
  <r>
    <n v="4"/>
    <n v="12"/>
    <s v="GA781"/>
    <d v="2026-02-19T16:30:00"/>
    <x v="10"/>
    <d v="2026-02-19T16:30:00"/>
    <d v="2026-02-19T16:42:00"/>
    <b v="1"/>
  </r>
  <r>
    <n v="7"/>
    <n v="8"/>
    <s v="LM755"/>
    <d v="2026-02-19T16:37:00"/>
    <x v="10"/>
    <d v="2026-02-19T16:42:00"/>
    <d v="2026-02-19T16:50:00"/>
    <b v="1"/>
  </r>
  <r>
    <n v="3"/>
    <n v="12"/>
    <s v="AE347"/>
    <d v="2026-02-19T16:40:00"/>
    <x v="10"/>
    <d v="2026-02-19T16:50:00"/>
    <d v="2026-02-19T16:50:00"/>
    <b v="0"/>
  </r>
  <r>
    <n v="4"/>
    <n v="11"/>
    <s v="GF313"/>
    <d v="2026-02-19T16:44:00"/>
    <x v="10"/>
    <d v="2026-02-19T16:50:00"/>
    <d v="2026-02-19T16:50:00"/>
    <b v="0"/>
  </r>
  <r>
    <n v="7"/>
    <n v="1"/>
    <s v="EF961"/>
    <d v="2026-02-19T16:51:00"/>
    <x v="10"/>
    <d v="2026-02-19T16:51:00"/>
    <d v="2026-02-19T16:52:00"/>
    <b v="1"/>
  </r>
  <r>
    <n v="3"/>
    <n v="9"/>
    <s v="PO926"/>
    <d v="2026-02-19T16:54:00"/>
    <x v="10"/>
    <d v="2026-02-19T16:54:00"/>
    <d v="2026-02-19T17:03:00"/>
    <b v="1"/>
  </r>
  <r>
    <n v="1"/>
    <n v="4"/>
    <s v="NH234"/>
    <d v="2026-02-19T16:55:00"/>
    <x v="10"/>
    <d v="2026-02-19T17:03:00"/>
    <d v="2026-02-19T17:03:00"/>
    <b v="0"/>
  </r>
  <r>
    <n v="14"/>
    <n v="3"/>
    <s v="AG864"/>
    <d v="2026-02-19T17:09:00"/>
    <x v="11"/>
    <d v="2026-02-19T17:09:00"/>
    <d v="2026-02-19T17:12:00"/>
    <b v="1"/>
  </r>
  <r>
    <n v="5"/>
    <n v="12"/>
    <s v="DM336"/>
    <d v="2026-02-19T17:14:00"/>
    <x v="11"/>
    <d v="2026-02-19T17:14:00"/>
    <d v="2026-02-19T17:26:00"/>
    <b v="1"/>
  </r>
  <r>
    <n v="4"/>
    <n v="9"/>
    <s v="LM392"/>
    <d v="2026-02-19T17:18:00"/>
    <x v="11"/>
    <d v="2026-02-19T17:26:00"/>
    <d v="2026-02-19T17:26:00"/>
    <b v="0"/>
  </r>
  <r>
    <n v="5"/>
    <n v="4"/>
    <s v="EH559"/>
    <d v="2026-02-19T17:23:00"/>
    <x v="11"/>
    <d v="2026-02-19T17:26:00"/>
    <d v="2026-02-19T17:30:00"/>
    <b v="1"/>
  </r>
  <r>
    <n v="6"/>
    <n v="8"/>
    <s v="HC465"/>
    <d v="2026-02-19T17:29:00"/>
    <x v="11"/>
    <d v="2026-02-19T17:30:00"/>
    <d v="2026-02-19T17:38:00"/>
    <b v="1"/>
  </r>
  <r>
    <n v="8"/>
    <n v="14"/>
    <s v="BL246"/>
    <d v="2026-02-19T17:37:00"/>
    <x v="11"/>
    <d v="2026-02-19T17:38:00"/>
    <d v="2026-02-19T17:52:00"/>
    <b v="1"/>
  </r>
  <r>
    <n v="15"/>
    <n v="11"/>
    <s v="FG771"/>
    <d v="2026-02-19T17:52:00"/>
    <x v="11"/>
    <d v="2026-02-19T17:52:00"/>
    <d v="2026-02-19T18:03:00"/>
    <b v="1"/>
  </r>
  <r>
    <n v="1"/>
    <n v="1"/>
    <s v="IC327"/>
    <d v="2026-02-19T17:53:00"/>
    <x v="11"/>
    <d v="2026-02-19T18:03:00"/>
    <d v="2026-02-19T18:03:00"/>
    <b v="0"/>
  </r>
  <r>
    <n v="14"/>
    <n v="15"/>
    <s v="JK843"/>
    <d v="2026-02-19T18:07:00"/>
    <x v="12"/>
    <d v="2026-02-19T18:07:00"/>
    <d v="2026-02-19T18:22:00"/>
    <b v="1"/>
  </r>
  <r>
    <n v="6"/>
    <n v="7"/>
    <s v="CL393"/>
    <d v="2026-02-19T18:13:00"/>
    <x v="12"/>
    <d v="2026-02-19T18:22:00"/>
    <d v="2026-02-19T18:22:00"/>
    <b v="0"/>
  </r>
  <r>
    <n v="7"/>
    <n v="11"/>
    <s v="NP226"/>
    <d v="2026-02-19T18:20:00"/>
    <x v="12"/>
    <d v="2026-02-19T18:22:00"/>
    <d v="2026-02-19T18:33:00"/>
    <b v="1"/>
  </r>
  <r>
    <n v="10"/>
    <n v="11"/>
    <s v="PI710"/>
    <d v="2026-02-19T18:30:00"/>
    <x v="12"/>
    <d v="2026-02-19T18:33:00"/>
    <d v="2026-02-19T18:44:00"/>
    <b v="1"/>
  </r>
  <r>
    <n v="5"/>
    <n v="6"/>
    <s v="GA435"/>
    <d v="2026-02-19T18:35:00"/>
    <x v="12"/>
    <d v="2026-02-19T18:44:00"/>
    <d v="2026-02-19T18:44:00"/>
    <b v="0"/>
  </r>
  <r>
    <n v="13"/>
    <n v="7"/>
    <s v="AH451"/>
    <d v="2026-02-19T18:48:00"/>
    <x v="12"/>
    <d v="2026-02-19T18:48:00"/>
    <d v="2026-02-19T18:55:00"/>
    <b v="1"/>
  </r>
  <r>
    <n v="2"/>
    <n v="9"/>
    <s v="IJ379"/>
    <d v="2026-02-19T18:50:00"/>
    <x v="12"/>
    <d v="2026-02-19T18:55:00"/>
    <d v="2026-02-19T19:04:00"/>
    <b v="1"/>
  </r>
  <r>
    <n v="9"/>
    <n v="11"/>
    <s v="CC791"/>
    <d v="2026-02-19T18:59:00"/>
    <x v="12"/>
    <d v="2026-02-19T19:04:00"/>
    <d v="2026-02-19T19:15:00"/>
    <b v="1"/>
  </r>
  <r>
    <n v="8"/>
    <n v="3"/>
    <s v="AF135"/>
    <d v="2026-02-19T19:07:00"/>
    <x v="13"/>
    <d v="2026-02-19T19:15:00"/>
    <d v="2026-02-19T19:15:00"/>
    <b v="0"/>
  </r>
  <r>
    <n v="1"/>
    <n v="6"/>
    <s v="MN872"/>
    <d v="2026-02-19T19:08:00"/>
    <x v="13"/>
    <d v="2026-02-19T19:15:00"/>
    <d v="2026-02-19T19:15:00"/>
    <b v="0"/>
  </r>
  <r>
    <n v="10"/>
    <n v="9"/>
    <s v="LP599"/>
    <d v="2026-02-19T19:18:00"/>
    <x v="13"/>
    <d v="2026-02-19T19:18:00"/>
    <d v="2026-02-19T19:27:00"/>
    <b v="1"/>
  </r>
  <r>
    <n v="2"/>
    <n v="11"/>
    <s v="OD829"/>
    <d v="2026-02-19T19:20:00"/>
    <x v="13"/>
    <d v="2026-02-19T19:27:00"/>
    <d v="2026-02-19T19:27:00"/>
    <b v="0"/>
  </r>
  <r>
    <n v="6"/>
    <n v="12"/>
    <s v="KN305"/>
    <d v="2026-02-19T19:26:00"/>
    <x v="13"/>
    <d v="2026-02-19T19:27:00"/>
    <d v="2026-02-19T19:39:00"/>
    <b v="1"/>
  </r>
  <r>
    <n v="2"/>
    <n v="14"/>
    <s v="AH528"/>
    <d v="2026-02-19T19:28:00"/>
    <x v="13"/>
    <d v="2026-02-19T19:39:00"/>
    <d v="2026-02-19T19:39:00"/>
    <b v="0"/>
  </r>
  <r>
    <n v="4"/>
    <n v="2"/>
    <s v="CA524"/>
    <d v="2026-02-19T19:32:00"/>
    <x v="13"/>
    <d v="2026-02-19T19:39:00"/>
    <d v="2026-02-19T19:39:00"/>
    <b v="0"/>
  </r>
  <r>
    <n v="9"/>
    <n v="8"/>
    <s v="EP925"/>
    <d v="2026-02-19T19:41:00"/>
    <x v="13"/>
    <d v="2026-02-19T19:41:00"/>
    <d v="2026-02-19T19:49:00"/>
    <b v="1"/>
  </r>
  <r>
    <n v="2"/>
    <n v="4"/>
    <s v="EF263"/>
    <d v="2026-02-19T19:43:00"/>
    <x v="13"/>
    <d v="2026-02-19T19:49:00"/>
    <d v="2026-02-19T19:49:00"/>
    <b v="0"/>
  </r>
  <r>
    <n v="11"/>
    <n v="11"/>
    <s v="AN413"/>
    <d v="2026-02-19T19:54:00"/>
    <x v="13"/>
    <d v="2026-02-19T19:54:00"/>
    <d v="2026-02-19T20:05:00"/>
    <b v="1"/>
  </r>
  <r>
    <n v="8"/>
    <n v="1"/>
    <s v="LE288"/>
    <d v="2026-02-19T20:02:00"/>
    <x v="14"/>
    <d v="2026-02-19T20:05:00"/>
    <d v="2026-02-19T20:06:00"/>
    <b v="1"/>
  </r>
  <r>
    <n v="13"/>
    <n v="9"/>
    <s v="LM661"/>
    <d v="2026-02-19T20:15:00"/>
    <x v="14"/>
    <d v="2026-02-19T20:15:00"/>
    <d v="2026-02-19T20:24:00"/>
    <b v="1"/>
  </r>
  <r>
    <n v="7"/>
    <n v="13"/>
    <s v="CO649"/>
    <d v="2026-02-19T20:22:00"/>
    <x v="14"/>
    <d v="2026-02-19T20:24:00"/>
    <d v="2026-02-19T20:37:00"/>
    <b v="1"/>
  </r>
  <r>
    <n v="7"/>
    <n v="11"/>
    <s v="GB981"/>
    <d v="2026-02-19T20:29:00"/>
    <x v="14"/>
    <d v="2026-02-19T20:37:00"/>
    <d v="2026-02-19T20:37:00"/>
    <b v="0"/>
  </r>
  <r>
    <n v="9"/>
    <n v="11"/>
    <s v="HF358"/>
    <d v="2026-02-19T20:38:00"/>
    <x v="14"/>
    <d v="2026-02-19T20:38:00"/>
    <d v="2026-02-19T20:49:00"/>
    <b v="1"/>
  </r>
  <r>
    <n v="6"/>
    <n v="1"/>
    <s v="LA734"/>
    <d v="2026-02-19T20:44:00"/>
    <x v="14"/>
    <d v="2026-02-19T20:49:00"/>
    <d v="2026-02-19T20:50:00"/>
    <b v="1"/>
  </r>
  <r>
    <n v="14"/>
    <n v="6"/>
    <s v="LL684"/>
    <d v="2026-02-19T20:58:00"/>
    <x v="14"/>
    <d v="2026-02-19T20:58:00"/>
    <d v="2026-02-19T21:04:00"/>
    <b v="1"/>
  </r>
  <r>
    <n v="14"/>
    <n v="10"/>
    <s v="EG251"/>
    <d v="2026-02-19T21:12:00"/>
    <x v="15"/>
    <d v="2026-02-19T21:12:00"/>
    <d v="2026-02-19T21:22:00"/>
    <b v="1"/>
  </r>
  <r>
    <n v="7"/>
    <n v="7"/>
    <s v="NH488"/>
    <d v="2026-02-19T21:19:00"/>
    <x v="15"/>
    <d v="2026-02-19T21:22:00"/>
    <d v="2026-02-19T21:29:00"/>
    <b v="1"/>
  </r>
  <r>
    <n v="11"/>
    <n v="1"/>
    <s v="LF545"/>
    <d v="2026-02-19T21:30:00"/>
    <x v="15"/>
    <d v="2026-02-19T21:30:00"/>
    <d v="2026-02-19T21:31:00"/>
    <b v="1"/>
  </r>
  <r>
    <n v="11"/>
    <n v="3"/>
    <s v="GB137"/>
    <d v="2026-02-19T21:41:00"/>
    <x v="15"/>
    <d v="2026-02-19T21:41:00"/>
    <d v="2026-02-19T21:44:00"/>
    <b v="1"/>
  </r>
  <r>
    <n v="11"/>
    <n v="2"/>
    <s v="PB847"/>
    <d v="2026-02-19T21:52:00"/>
    <x v="15"/>
    <d v="2026-02-19T21:52:00"/>
    <d v="2026-02-19T21:54:00"/>
    <b v="1"/>
  </r>
  <r>
    <n v="12"/>
    <n v="2"/>
    <s v="GH559"/>
    <d v="2026-02-19T22:04:00"/>
    <x v="16"/>
    <d v="2026-02-19T22:04:00"/>
    <d v="2026-02-19T22:06:00"/>
    <b v="1"/>
  </r>
  <r>
    <n v="3"/>
    <n v="14"/>
    <s v="FP317"/>
    <d v="2026-02-19T22:07:00"/>
    <x v="16"/>
    <d v="2026-02-19T22:07:00"/>
    <d v="2026-02-19T22:21:00"/>
    <b v="1"/>
  </r>
  <r>
    <n v="3"/>
    <n v="6"/>
    <s v="BM762"/>
    <d v="2026-02-19T22:10:00"/>
    <x v="16"/>
    <d v="2026-02-19T22:21:00"/>
    <d v="2026-02-19T22:21:00"/>
    <b v="0"/>
  </r>
  <r>
    <n v="12"/>
    <n v="2"/>
    <s v="FJ667"/>
    <d v="2026-02-19T22:22:00"/>
    <x v="16"/>
    <d v="2026-02-19T22:22:00"/>
    <d v="2026-02-19T22:24:00"/>
    <b v="1"/>
  </r>
  <r>
    <n v="7"/>
    <n v="8"/>
    <s v="FA471"/>
    <d v="2026-02-19T22:29:00"/>
    <x v="16"/>
    <d v="2026-02-19T22:29:00"/>
    <d v="2026-02-19T22:37:00"/>
    <b v="1"/>
  </r>
  <r>
    <n v="10"/>
    <n v="12"/>
    <s v="OO730"/>
    <d v="2026-02-19T22:39:00"/>
    <x v="16"/>
    <d v="2026-02-19T22:39:00"/>
    <d v="2026-02-19T22:51:00"/>
    <b v="1"/>
  </r>
  <r>
    <n v="2"/>
    <n v="14"/>
    <s v="NM466"/>
    <d v="2026-02-19T22:41:00"/>
    <x v="16"/>
    <d v="2026-02-19T22:51:00"/>
    <d v="2026-02-19T22:51:00"/>
    <b v="0"/>
  </r>
  <r>
    <n v="14"/>
    <n v="11"/>
    <s v="LN234"/>
    <d v="2026-02-19T22:55:00"/>
    <x v="16"/>
    <d v="2026-02-19T22:55:00"/>
    <d v="2026-02-19T23:06:00"/>
    <b v="1"/>
  </r>
  <r>
    <n v="9"/>
    <n v="10"/>
    <s v="NK798"/>
    <d v="2026-02-19T23:04:00"/>
    <x v="17"/>
    <d v="2026-02-19T23:06:00"/>
    <d v="2026-02-19T23:16:00"/>
    <b v="1"/>
  </r>
  <r>
    <n v="2"/>
    <n v="14"/>
    <s v="DH531"/>
    <d v="2026-02-19T23:06:00"/>
    <x v="17"/>
    <d v="2026-02-19T23:16:00"/>
    <d v="2026-02-19T23:16:00"/>
    <b v="0"/>
  </r>
  <r>
    <n v="11"/>
    <n v="3"/>
    <s v="IC460"/>
    <d v="2026-02-19T23:17:00"/>
    <x v="17"/>
    <d v="2026-02-19T23:17:00"/>
    <d v="2026-02-19T23:20:00"/>
    <b v="1"/>
  </r>
  <r>
    <n v="2"/>
    <n v="1"/>
    <s v="BA678"/>
    <d v="2026-02-19T23:19:00"/>
    <x v="17"/>
    <d v="2026-02-19T23:20:00"/>
    <d v="2026-02-19T23:21:00"/>
    <b v="1"/>
  </r>
  <r>
    <n v="14"/>
    <n v="3"/>
    <s v="GE131"/>
    <d v="2026-02-19T23:33:00"/>
    <x v="17"/>
    <d v="2026-02-19T23:33:00"/>
    <d v="2026-02-19T23:36:00"/>
    <b v="1"/>
  </r>
  <r>
    <n v="6"/>
    <n v="6"/>
    <s v="PA306"/>
    <d v="2026-02-19T23:39:00"/>
    <x v="17"/>
    <d v="2026-02-19T23:39:00"/>
    <d v="2026-02-19T23:45:00"/>
    <b v="1"/>
  </r>
  <r>
    <n v="5"/>
    <n v="14"/>
    <s v="EL879"/>
    <d v="2026-02-19T23:44:00"/>
    <x v="17"/>
    <d v="2026-02-19T23:45:00"/>
    <d v="2026-02-19T23:59:00"/>
    <b v="1"/>
  </r>
  <r>
    <n v="2"/>
    <n v="8"/>
    <s v="EL963"/>
    <d v="2026-02-19T23:46:00"/>
    <x v="17"/>
    <d v="2026-02-19T23:59:00"/>
    <d v="2026-02-19T23:59:00"/>
    <b v="0"/>
  </r>
  <r>
    <n v="10"/>
    <n v="15"/>
    <s v="NK460"/>
    <d v="2026-02-19T23:56:00"/>
    <x v="17"/>
    <d v="2026-02-19T23:59:00"/>
    <d v="2026-02-20T00:14:00"/>
    <b v="1"/>
  </r>
  <r>
    <n v="3"/>
    <n v="15"/>
    <s v="GM330"/>
    <d v="2026-02-19T23:59:00"/>
    <x v="17"/>
    <d v="2026-02-20T00:14:00"/>
    <d v="2026-02-20T00:14:00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F0D335-FDAC-484F-8961-DCC476562E2A}" name="Tabela przestawna2" cacheId="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E2:F18" firstHeaderRow="1" firstDataRow="1" firstDataCol="1"/>
  <pivotFields count="3">
    <pivotField dataField="1" showAll="0"/>
    <pivotField axis="axisRow" showAll="0">
      <items count="16">
        <item x="10"/>
        <item x="3"/>
        <item x="12"/>
        <item x="13"/>
        <item x="0"/>
        <item x="8"/>
        <item x="4"/>
        <item x="14"/>
        <item x="7"/>
        <item x="2"/>
        <item x="11"/>
        <item x="6"/>
        <item x="1"/>
        <item x="5"/>
        <item x="9"/>
        <item t="default"/>
      </items>
    </pivotField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Liczba z Czas od ostatniego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FD0E56-615A-4076-AE73-7338068BAD0E}" name="Tabela przestawna3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F2:G24" firstHeaderRow="1" firstDataRow="1" firstDataCol="1"/>
  <pivotFields count="4">
    <pivotField dataField="1" showAll="0"/>
    <pivotField showAll="0"/>
    <pivotField showAll="0"/>
    <pivotField axis="axisRow" showAll="0" measureFilter="1">
      <items count="108">
        <item x="64"/>
        <item x="36"/>
        <item x="28"/>
        <item x="82"/>
        <item x="47"/>
        <item x="80"/>
        <item x="52"/>
        <item x="29"/>
        <item x="88"/>
        <item x="46"/>
        <item x="58"/>
        <item x="11"/>
        <item x="27"/>
        <item x="13"/>
        <item x="73"/>
        <item x="22"/>
        <item x="51"/>
        <item x="86"/>
        <item x="18"/>
        <item x="10"/>
        <item x="5"/>
        <item x="38"/>
        <item x="77"/>
        <item x="63"/>
        <item x="90"/>
        <item x="26"/>
        <item x="7"/>
        <item x="8"/>
        <item x="103"/>
        <item x="53"/>
        <item x="71"/>
        <item x="16"/>
        <item x="3"/>
        <item x="37"/>
        <item x="69"/>
        <item x="95"/>
        <item x="15"/>
        <item x="33"/>
        <item x="87"/>
        <item x="100"/>
        <item x="48"/>
        <item x="74"/>
        <item x="55"/>
        <item x="99"/>
        <item x="4"/>
        <item x="1"/>
        <item x="98"/>
        <item x="66"/>
        <item x="91"/>
        <item x="104"/>
        <item x="68"/>
        <item x="30"/>
        <item x="50"/>
        <item x="42"/>
        <item x="106"/>
        <item x="2"/>
        <item x="35"/>
        <item x="72"/>
        <item x="31"/>
        <item x="92"/>
        <item x="9"/>
        <item x="21"/>
        <item x="19"/>
        <item x="75"/>
        <item x="81"/>
        <item x="54"/>
        <item x="76"/>
        <item x="45"/>
        <item x="60"/>
        <item x="32"/>
        <item x="25"/>
        <item x="14"/>
        <item x="12"/>
        <item x="40"/>
        <item x="85"/>
        <item x="6"/>
        <item x="93"/>
        <item x="89"/>
        <item x="96"/>
        <item x="24"/>
        <item x="94"/>
        <item x="67"/>
        <item x="62"/>
        <item x="83"/>
        <item x="17"/>
        <item x="61"/>
        <item x="39"/>
        <item x="43"/>
        <item x="41"/>
        <item x="20"/>
        <item x="23"/>
        <item x="102"/>
        <item x="44"/>
        <item x="0"/>
        <item x="34"/>
        <item x="78"/>
        <item x="84"/>
        <item x="65"/>
        <item x="59"/>
        <item x="101"/>
        <item x="105"/>
        <item x="97"/>
        <item x="79"/>
        <item x="49"/>
        <item x="57"/>
        <item x="56"/>
        <item x="70"/>
        <item t="default"/>
      </items>
    </pivotField>
  </pivotFields>
  <rowFields count="1">
    <field x="3"/>
  </rowFields>
  <rowItems count="22">
    <i>
      <x v="2"/>
    </i>
    <i>
      <x v="4"/>
    </i>
    <i>
      <x v="5"/>
    </i>
    <i>
      <x v="9"/>
    </i>
    <i>
      <x v="11"/>
    </i>
    <i>
      <x v="15"/>
    </i>
    <i>
      <x v="18"/>
    </i>
    <i>
      <x v="25"/>
    </i>
    <i>
      <x v="34"/>
    </i>
    <i>
      <x v="47"/>
    </i>
    <i>
      <x v="48"/>
    </i>
    <i>
      <x v="51"/>
    </i>
    <i>
      <x v="56"/>
    </i>
    <i>
      <x v="61"/>
    </i>
    <i>
      <x v="63"/>
    </i>
    <i>
      <x v="71"/>
    </i>
    <i>
      <x v="72"/>
    </i>
    <i>
      <x v="82"/>
    </i>
    <i>
      <x v="88"/>
    </i>
    <i>
      <x v="91"/>
    </i>
    <i>
      <x v="105"/>
    </i>
    <i t="grand">
      <x/>
    </i>
  </rowItems>
  <colItems count="1">
    <i/>
  </colItems>
  <dataFields count="1">
    <dataField name="Liczba z Czas od ostatniego" fld="0" subtotal="count" baseField="3" baseItem="0"/>
  </dataFields>
  <pivotTableStyleInfo name="PivotStyleLight16" showRowHeaders="1" showColHeaders="1" showRowStripes="0" showColStripes="0" showLastColumn="1"/>
  <filters count="1">
    <filter fld="3" type="valueEqual" evalOrder="-1" id="2" iMeasureFld="0">
      <autoFilter ref="A1">
        <filterColumn colId="0">
          <customFilters>
            <customFilter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926D7F-EF56-4841-9435-A3D4362CE794}" name="Tabela przestawna2" cacheId="1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">
  <location ref="J4:K11" firstHeaderRow="1" firstDataRow="1" firstDataCol="1"/>
  <pivotFields count="8">
    <pivotField showAll="0"/>
    <pivotField showAll="0"/>
    <pivotField dataField="1" showAll="0"/>
    <pivotField numFmtId="165" showAll="0"/>
    <pivotField axis="axisRow" showAll="0" sortType="ascending">
      <items count="24">
        <item x="0"/>
        <item x="1"/>
        <item x="2"/>
        <item x="3"/>
        <item x="4"/>
        <item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m="1" x="18"/>
        <item h="1" m="1" x="19"/>
        <item h="1" m="1" x="20"/>
        <item h="1" m="1" x="21"/>
        <item h="1" m="1" x="22"/>
        <item t="default"/>
      </items>
    </pivotField>
    <pivotField numFmtId="165" showAll="0"/>
    <pivotField numFmtId="165"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Liczba z Rejstracja" fld="2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F6996-976E-4EFE-984A-8254AD3E1F3C}">
  <dimension ref="A1:C145"/>
  <sheetViews>
    <sheetView workbookViewId="0">
      <selection activeCell="E2" sqref="E2:F18"/>
    </sheetView>
  </sheetViews>
  <sheetFormatPr defaultRowHeight="15" x14ac:dyDescent="0.25"/>
  <cols>
    <col min="1" max="3" width="11.140625" bestFit="1" customWidth="1"/>
    <col min="5" max="5" width="17.7109375" bestFit="1" customWidth="1"/>
    <col min="6" max="6" width="24.85546875" bestFit="1" customWidth="1"/>
  </cols>
  <sheetData>
    <row r="1" spans="1:3" x14ac:dyDescent="0.25">
      <c r="A1" s="4" t="s">
        <v>144</v>
      </c>
      <c r="B1" s="5" t="s">
        <v>145</v>
      </c>
      <c r="C1" s="6" t="s">
        <v>146</v>
      </c>
    </row>
    <row r="2" spans="1:3" x14ac:dyDescent="0.25">
      <c r="A2" s="7">
        <v>3</v>
      </c>
      <c r="B2" s="8">
        <v>5</v>
      </c>
      <c r="C2" s="9" t="s">
        <v>0</v>
      </c>
    </row>
    <row r="3" spans="1:3" x14ac:dyDescent="0.25">
      <c r="A3" s="10">
        <v>12</v>
      </c>
      <c r="B3" s="11">
        <v>13</v>
      </c>
      <c r="C3" s="12" t="s">
        <v>1</v>
      </c>
    </row>
    <row r="4" spans="1:3" x14ac:dyDescent="0.25">
      <c r="A4" s="7">
        <v>1</v>
      </c>
      <c r="B4" s="8">
        <v>10</v>
      </c>
      <c r="C4" s="9" t="s">
        <v>2</v>
      </c>
    </row>
    <row r="5" spans="1:3" x14ac:dyDescent="0.25">
      <c r="A5" s="10">
        <v>7</v>
      </c>
      <c r="B5" s="11">
        <v>2</v>
      </c>
      <c r="C5" s="12" t="s">
        <v>3</v>
      </c>
    </row>
    <row r="6" spans="1:3" x14ac:dyDescent="0.25">
      <c r="A6" s="7">
        <v>10</v>
      </c>
      <c r="B6" s="8">
        <v>7</v>
      </c>
      <c r="C6" s="9" t="s">
        <v>4</v>
      </c>
    </row>
    <row r="7" spans="1:3" x14ac:dyDescent="0.25">
      <c r="A7" s="10">
        <v>9</v>
      </c>
      <c r="B7" s="11">
        <v>14</v>
      </c>
      <c r="C7" s="12" t="s">
        <v>5</v>
      </c>
    </row>
    <row r="8" spans="1:3" x14ac:dyDescent="0.25">
      <c r="A8" s="7">
        <v>4</v>
      </c>
      <c r="B8" s="8">
        <v>10</v>
      </c>
      <c r="C8" s="9" t="s">
        <v>6</v>
      </c>
    </row>
    <row r="9" spans="1:3" x14ac:dyDescent="0.25">
      <c r="A9" s="10">
        <v>4</v>
      </c>
      <c r="B9" s="11">
        <v>7</v>
      </c>
      <c r="C9" s="12" t="s">
        <v>7</v>
      </c>
    </row>
    <row r="10" spans="1:3" x14ac:dyDescent="0.25">
      <c r="A10" s="7">
        <v>3</v>
      </c>
      <c r="B10" s="8">
        <v>2</v>
      </c>
      <c r="C10" s="9" t="s">
        <v>8</v>
      </c>
    </row>
    <row r="11" spans="1:3" x14ac:dyDescent="0.25">
      <c r="A11" s="10">
        <v>7</v>
      </c>
      <c r="B11" s="11">
        <v>12</v>
      </c>
      <c r="C11" s="12" t="s">
        <v>9</v>
      </c>
    </row>
    <row r="12" spans="1:3" x14ac:dyDescent="0.25">
      <c r="A12" s="7">
        <v>11</v>
      </c>
      <c r="B12" s="8">
        <v>12</v>
      </c>
      <c r="C12" s="9" t="s">
        <v>10</v>
      </c>
    </row>
    <row r="13" spans="1:3" x14ac:dyDescent="0.25">
      <c r="A13" s="10">
        <v>15</v>
      </c>
      <c r="B13" s="11">
        <v>14</v>
      </c>
      <c r="C13" s="12" t="s">
        <v>11</v>
      </c>
    </row>
    <row r="14" spans="1:3" x14ac:dyDescent="0.25">
      <c r="A14" s="7">
        <v>11</v>
      </c>
      <c r="B14" s="8">
        <v>9</v>
      </c>
      <c r="C14" s="9" t="s">
        <v>12</v>
      </c>
    </row>
    <row r="15" spans="1:3" x14ac:dyDescent="0.25">
      <c r="A15" s="10">
        <v>3</v>
      </c>
      <c r="B15" s="11">
        <v>6</v>
      </c>
      <c r="C15" s="12" t="s">
        <v>13</v>
      </c>
    </row>
    <row r="16" spans="1:3" x14ac:dyDescent="0.25">
      <c r="A16" s="7">
        <v>1</v>
      </c>
      <c r="B16" s="8">
        <v>7</v>
      </c>
      <c r="C16" s="9" t="s">
        <v>14</v>
      </c>
    </row>
    <row r="17" spans="1:3" x14ac:dyDescent="0.25">
      <c r="A17" s="10">
        <v>11</v>
      </c>
      <c r="B17" s="11">
        <v>7</v>
      </c>
      <c r="C17" s="12" t="s">
        <v>15</v>
      </c>
    </row>
    <row r="18" spans="1:3" x14ac:dyDescent="0.25">
      <c r="A18" s="7">
        <v>2</v>
      </c>
      <c r="B18" s="8">
        <v>2</v>
      </c>
      <c r="C18" s="9" t="s">
        <v>16</v>
      </c>
    </row>
    <row r="19" spans="1:3" x14ac:dyDescent="0.25">
      <c r="A19" s="10">
        <v>9</v>
      </c>
      <c r="B19" s="11">
        <v>10</v>
      </c>
      <c r="C19" s="12" t="s">
        <v>17</v>
      </c>
    </row>
    <row r="20" spans="1:3" x14ac:dyDescent="0.25">
      <c r="A20" s="7">
        <v>2</v>
      </c>
      <c r="B20" s="8">
        <v>13</v>
      </c>
      <c r="C20" s="9" t="s">
        <v>18</v>
      </c>
    </row>
    <row r="21" spans="1:3" x14ac:dyDescent="0.25">
      <c r="A21" s="10">
        <v>13</v>
      </c>
      <c r="B21" s="11">
        <v>14</v>
      </c>
      <c r="C21" s="12" t="s">
        <v>19</v>
      </c>
    </row>
    <row r="22" spans="1:3" x14ac:dyDescent="0.25">
      <c r="A22" s="7">
        <v>10</v>
      </c>
      <c r="B22" s="8">
        <v>15</v>
      </c>
      <c r="C22" s="9" t="s">
        <v>20</v>
      </c>
    </row>
    <row r="23" spans="1:3" x14ac:dyDescent="0.25">
      <c r="A23" s="10">
        <v>6</v>
      </c>
      <c r="B23" s="11">
        <v>9</v>
      </c>
      <c r="C23" s="12" t="s">
        <v>21</v>
      </c>
    </row>
    <row r="24" spans="1:3" x14ac:dyDescent="0.25">
      <c r="A24" s="7">
        <v>5</v>
      </c>
      <c r="B24" s="8">
        <v>6</v>
      </c>
      <c r="C24" s="9" t="s">
        <v>22</v>
      </c>
    </row>
    <row r="25" spans="1:3" x14ac:dyDescent="0.25">
      <c r="A25" s="10">
        <v>13</v>
      </c>
      <c r="B25" s="11">
        <v>13</v>
      </c>
      <c r="C25" s="12" t="s">
        <v>23</v>
      </c>
    </row>
    <row r="26" spans="1:3" x14ac:dyDescent="0.25">
      <c r="A26" s="7">
        <v>11</v>
      </c>
      <c r="B26" s="8">
        <v>1</v>
      </c>
      <c r="C26" s="9" t="s">
        <v>24</v>
      </c>
    </row>
    <row r="27" spans="1:3" x14ac:dyDescent="0.25">
      <c r="A27" s="10">
        <v>10</v>
      </c>
      <c r="B27" s="11">
        <v>6</v>
      </c>
      <c r="C27" s="12" t="s">
        <v>25</v>
      </c>
    </row>
    <row r="28" spans="1:3" x14ac:dyDescent="0.25">
      <c r="A28" s="7">
        <v>11</v>
      </c>
      <c r="B28" s="8">
        <v>12</v>
      </c>
      <c r="C28" s="9" t="s">
        <v>26</v>
      </c>
    </row>
    <row r="29" spans="1:3" x14ac:dyDescent="0.25">
      <c r="A29" s="10">
        <v>4</v>
      </c>
      <c r="B29" s="11">
        <v>9</v>
      </c>
      <c r="C29" s="12" t="s">
        <v>27</v>
      </c>
    </row>
    <row r="30" spans="1:3" x14ac:dyDescent="0.25">
      <c r="A30" s="7">
        <v>4</v>
      </c>
      <c r="B30" s="8">
        <v>1</v>
      </c>
      <c r="C30" s="9" t="s">
        <v>28</v>
      </c>
    </row>
    <row r="31" spans="1:3" x14ac:dyDescent="0.25">
      <c r="A31" s="10">
        <v>2</v>
      </c>
      <c r="B31" s="11">
        <v>11</v>
      </c>
      <c r="C31" s="12" t="s">
        <v>29</v>
      </c>
    </row>
    <row r="32" spans="1:3" x14ac:dyDescent="0.25">
      <c r="A32" s="7">
        <v>7</v>
      </c>
      <c r="B32" s="8">
        <v>2</v>
      </c>
      <c r="C32" s="9" t="s">
        <v>30</v>
      </c>
    </row>
    <row r="33" spans="1:3" x14ac:dyDescent="0.25">
      <c r="A33" s="10">
        <v>11</v>
      </c>
      <c r="B33" s="11">
        <v>14</v>
      </c>
      <c r="C33" s="12" t="s">
        <v>31</v>
      </c>
    </row>
    <row r="34" spans="1:3" x14ac:dyDescent="0.25">
      <c r="A34" s="7">
        <v>6</v>
      </c>
      <c r="B34" s="8">
        <v>3</v>
      </c>
      <c r="C34" s="9" t="s">
        <v>32</v>
      </c>
    </row>
    <row r="35" spans="1:3" x14ac:dyDescent="0.25">
      <c r="A35" s="10">
        <v>11</v>
      </c>
      <c r="B35" s="11">
        <v>5</v>
      </c>
      <c r="C35" s="12" t="s">
        <v>33</v>
      </c>
    </row>
    <row r="36" spans="1:3" x14ac:dyDescent="0.25">
      <c r="A36" s="7">
        <v>5</v>
      </c>
      <c r="B36" s="8">
        <v>9</v>
      </c>
      <c r="C36" s="9" t="s">
        <v>34</v>
      </c>
    </row>
    <row r="37" spans="1:3" x14ac:dyDescent="0.25">
      <c r="A37" s="10">
        <v>9</v>
      </c>
      <c r="B37" s="11">
        <v>5</v>
      </c>
      <c r="C37" s="12" t="s">
        <v>35</v>
      </c>
    </row>
    <row r="38" spans="1:3" x14ac:dyDescent="0.25">
      <c r="A38" s="7">
        <v>11</v>
      </c>
      <c r="B38" s="8">
        <v>4</v>
      </c>
      <c r="C38" s="9" t="s">
        <v>36</v>
      </c>
    </row>
    <row r="39" spans="1:3" x14ac:dyDescent="0.25">
      <c r="A39" s="10">
        <v>15</v>
      </c>
      <c r="B39" s="11">
        <v>5</v>
      </c>
      <c r="C39" s="12" t="s">
        <v>37</v>
      </c>
    </row>
    <row r="40" spans="1:3" x14ac:dyDescent="0.25">
      <c r="A40" s="7">
        <v>12</v>
      </c>
      <c r="B40" s="8">
        <v>1</v>
      </c>
      <c r="C40" s="9" t="s">
        <v>38</v>
      </c>
    </row>
    <row r="41" spans="1:3" x14ac:dyDescent="0.25">
      <c r="A41" s="10">
        <v>2</v>
      </c>
      <c r="B41" s="11">
        <v>5</v>
      </c>
      <c r="C41" s="12" t="s">
        <v>39</v>
      </c>
    </row>
    <row r="42" spans="1:3" x14ac:dyDescent="0.25">
      <c r="A42" s="7">
        <v>11</v>
      </c>
      <c r="B42" s="8">
        <v>11</v>
      </c>
      <c r="C42" s="9" t="s">
        <v>40</v>
      </c>
    </row>
    <row r="43" spans="1:3" x14ac:dyDescent="0.25">
      <c r="A43" s="10">
        <v>2</v>
      </c>
      <c r="B43" s="11">
        <v>3</v>
      </c>
      <c r="C43" s="12" t="s">
        <v>41</v>
      </c>
    </row>
    <row r="44" spans="1:3" x14ac:dyDescent="0.25">
      <c r="A44" s="7">
        <v>6</v>
      </c>
      <c r="B44" s="8">
        <v>13</v>
      </c>
      <c r="C44" s="9" t="s">
        <v>42</v>
      </c>
    </row>
    <row r="45" spans="1:3" x14ac:dyDescent="0.25">
      <c r="A45" s="10">
        <v>4</v>
      </c>
      <c r="B45" s="11">
        <v>11</v>
      </c>
      <c r="C45" s="12" t="s">
        <v>43</v>
      </c>
    </row>
    <row r="46" spans="1:3" x14ac:dyDescent="0.25">
      <c r="A46" s="7">
        <v>7</v>
      </c>
      <c r="B46" s="8">
        <v>10</v>
      </c>
      <c r="C46" s="9" t="s">
        <v>44</v>
      </c>
    </row>
    <row r="47" spans="1:3" x14ac:dyDescent="0.25">
      <c r="A47" s="10">
        <v>8</v>
      </c>
      <c r="B47" s="11">
        <v>6</v>
      </c>
      <c r="C47" s="12" t="s">
        <v>45</v>
      </c>
    </row>
    <row r="48" spans="1:3" x14ac:dyDescent="0.25">
      <c r="A48" s="7">
        <v>3</v>
      </c>
      <c r="B48" s="8">
        <v>14</v>
      </c>
      <c r="C48" s="9" t="s">
        <v>46</v>
      </c>
    </row>
    <row r="49" spans="1:3" x14ac:dyDescent="0.25">
      <c r="A49" s="10">
        <v>7</v>
      </c>
      <c r="B49" s="11">
        <v>13</v>
      </c>
      <c r="C49" s="12" t="s">
        <v>47</v>
      </c>
    </row>
    <row r="50" spans="1:3" x14ac:dyDescent="0.25">
      <c r="A50" s="7">
        <v>15</v>
      </c>
      <c r="B50" s="8">
        <v>11</v>
      </c>
      <c r="C50" s="9" t="s">
        <v>48</v>
      </c>
    </row>
    <row r="51" spans="1:3" x14ac:dyDescent="0.25">
      <c r="A51" s="10">
        <v>11</v>
      </c>
      <c r="B51" s="11">
        <v>8</v>
      </c>
      <c r="C51" s="12" t="s">
        <v>49</v>
      </c>
    </row>
    <row r="52" spans="1:3" x14ac:dyDescent="0.25">
      <c r="A52" s="7">
        <v>6</v>
      </c>
      <c r="B52" s="8">
        <v>10</v>
      </c>
      <c r="C52" s="9" t="s">
        <v>50</v>
      </c>
    </row>
    <row r="53" spans="1:3" x14ac:dyDescent="0.25">
      <c r="A53" s="10">
        <v>3</v>
      </c>
      <c r="B53" s="11">
        <v>12</v>
      </c>
      <c r="C53" s="12" t="s">
        <v>51</v>
      </c>
    </row>
    <row r="54" spans="1:3" x14ac:dyDescent="0.25">
      <c r="A54" s="7">
        <v>13</v>
      </c>
      <c r="B54" s="8">
        <v>11</v>
      </c>
      <c r="C54" s="9" t="s">
        <v>52</v>
      </c>
    </row>
    <row r="55" spans="1:3" x14ac:dyDescent="0.25">
      <c r="A55" s="10">
        <v>15</v>
      </c>
      <c r="B55" s="11">
        <v>12</v>
      </c>
      <c r="C55" s="12" t="s">
        <v>53</v>
      </c>
    </row>
    <row r="56" spans="1:3" x14ac:dyDescent="0.25">
      <c r="A56" s="7">
        <v>1</v>
      </c>
      <c r="B56" s="8">
        <v>13</v>
      </c>
      <c r="C56" s="9" t="s">
        <v>54</v>
      </c>
    </row>
    <row r="57" spans="1:3" x14ac:dyDescent="0.25">
      <c r="A57" s="10">
        <v>15</v>
      </c>
      <c r="B57" s="11">
        <v>7</v>
      </c>
      <c r="C57" s="12" t="s">
        <v>55</v>
      </c>
    </row>
    <row r="58" spans="1:3" x14ac:dyDescent="0.25">
      <c r="A58" s="7">
        <v>14</v>
      </c>
      <c r="B58" s="8">
        <v>10</v>
      </c>
      <c r="C58" s="9" t="s">
        <v>56</v>
      </c>
    </row>
    <row r="59" spans="1:3" x14ac:dyDescent="0.25">
      <c r="A59" s="10">
        <v>7</v>
      </c>
      <c r="B59" s="11">
        <v>1</v>
      </c>
      <c r="C59" s="12" t="s">
        <v>57</v>
      </c>
    </row>
    <row r="60" spans="1:3" x14ac:dyDescent="0.25">
      <c r="A60" s="7">
        <v>7</v>
      </c>
      <c r="B60" s="8">
        <v>5</v>
      </c>
      <c r="C60" s="9" t="s">
        <v>58</v>
      </c>
    </row>
    <row r="61" spans="1:3" x14ac:dyDescent="0.25">
      <c r="A61" s="10">
        <v>6</v>
      </c>
      <c r="B61" s="11">
        <v>1</v>
      </c>
      <c r="C61" s="12" t="s">
        <v>59</v>
      </c>
    </row>
    <row r="62" spans="1:3" x14ac:dyDescent="0.25">
      <c r="A62" s="7">
        <v>3</v>
      </c>
      <c r="B62" s="8">
        <v>12</v>
      </c>
      <c r="C62" s="9" t="s">
        <v>60</v>
      </c>
    </row>
    <row r="63" spans="1:3" x14ac:dyDescent="0.25">
      <c r="A63" s="10">
        <v>15</v>
      </c>
      <c r="B63" s="11">
        <v>14</v>
      </c>
      <c r="C63" s="12" t="s">
        <v>61</v>
      </c>
    </row>
    <row r="64" spans="1:3" x14ac:dyDescent="0.25">
      <c r="A64" s="7">
        <v>3</v>
      </c>
      <c r="B64" s="8">
        <v>9</v>
      </c>
      <c r="C64" s="9" t="s">
        <v>62</v>
      </c>
    </row>
    <row r="65" spans="1:3" x14ac:dyDescent="0.25">
      <c r="A65" s="10">
        <v>8</v>
      </c>
      <c r="B65" s="11">
        <v>11</v>
      </c>
      <c r="C65" s="12" t="s">
        <v>63</v>
      </c>
    </row>
    <row r="66" spans="1:3" x14ac:dyDescent="0.25">
      <c r="A66" s="7">
        <v>5</v>
      </c>
      <c r="B66" s="8">
        <v>15</v>
      </c>
      <c r="C66" s="9" t="s">
        <v>64</v>
      </c>
    </row>
    <row r="67" spans="1:3" x14ac:dyDescent="0.25">
      <c r="A67" s="10">
        <v>2</v>
      </c>
      <c r="B67" s="11">
        <v>4</v>
      </c>
      <c r="C67" s="12" t="s">
        <v>65</v>
      </c>
    </row>
    <row r="68" spans="1:3" x14ac:dyDescent="0.25">
      <c r="A68" s="7">
        <v>14</v>
      </c>
      <c r="B68" s="8">
        <v>9</v>
      </c>
      <c r="C68" s="9" t="s">
        <v>66</v>
      </c>
    </row>
    <row r="69" spans="1:3" x14ac:dyDescent="0.25">
      <c r="A69" s="10">
        <v>7</v>
      </c>
      <c r="B69" s="11">
        <v>7</v>
      </c>
      <c r="C69" s="12" t="s">
        <v>67</v>
      </c>
    </row>
    <row r="70" spans="1:3" x14ac:dyDescent="0.25">
      <c r="A70" s="7">
        <v>14</v>
      </c>
      <c r="B70" s="8">
        <v>6</v>
      </c>
      <c r="C70" s="9" t="s">
        <v>68</v>
      </c>
    </row>
    <row r="71" spans="1:3" x14ac:dyDescent="0.25">
      <c r="A71" s="10">
        <v>11</v>
      </c>
      <c r="B71" s="11">
        <v>12</v>
      </c>
      <c r="C71" s="12" t="s">
        <v>69</v>
      </c>
    </row>
    <row r="72" spans="1:3" x14ac:dyDescent="0.25">
      <c r="A72" s="7">
        <v>2</v>
      </c>
      <c r="B72" s="8">
        <v>4</v>
      </c>
      <c r="C72" s="9" t="s">
        <v>70</v>
      </c>
    </row>
    <row r="73" spans="1:3" x14ac:dyDescent="0.25">
      <c r="A73" s="10">
        <v>11</v>
      </c>
      <c r="B73" s="11">
        <v>15</v>
      </c>
      <c r="C73" s="12" t="s">
        <v>71</v>
      </c>
    </row>
    <row r="74" spans="1:3" x14ac:dyDescent="0.25">
      <c r="A74" s="7">
        <v>4</v>
      </c>
      <c r="B74" s="8">
        <v>3</v>
      </c>
      <c r="C74" s="9" t="s">
        <v>72</v>
      </c>
    </row>
    <row r="75" spans="1:3" x14ac:dyDescent="0.25">
      <c r="A75" s="10">
        <v>3</v>
      </c>
      <c r="B75" s="11">
        <v>12</v>
      </c>
      <c r="C75" s="12" t="s">
        <v>73</v>
      </c>
    </row>
    <row r="76" spans="1:3" x14ac:dyDescent="0.25">
      <c r="A76" s="7">
        <v>2</v>
      </c>
      <c r="B76" s="8">
        <v>7</v>
      </c>
      <c r="C76" s="9" t="s">
        <v>74</v>
      </c>
    </row>
    <row r="77" spans="1:3" x14ac:dyDescent="0.25">
      <c r="A77" s="10">
        <v>13</v>
      </c>
      <c r="B77" s="11">
        <v>7</v>
      </c>
      <c r="C77" s="12" t="s">
        <v>75</v>
      </c>
    </row>
    <row r="78" spans="1:3" x14ac:dyDescent="0.25">
      <c r="A78" s="7">
        <v>3</v>
      </c>
      <c r="B78" s="8">
        <v>12</v>
      </c>
      <c r="C78" s="9" t="s">
        <v>76</v>
      </c>
    </row>
    <row r="79" spans="1:3" x14ac:dyDescent="0.25">
      <c r="A79" s="10">
        <v>9</v>
      </c>
      <c r="B79" s="11">
        <v>9</v>
      </c>
      <c r="C79" s="12" t="s">
        <v>77</v>
      </c>
    </row>
    <row r="80" spans="1:3" x14ac:dyDescent="0.25">
      <c r="A80" s="7">
        <v>13</v>
      </c>
      <c r="B80" s="8">
        <v>3</v>
      </c>
      <c r="C80" s="9" t="s">
        <v>78</v>
      </c>
    </row>
    <row r="81" spans="1:3" x14ac:dyDescent="0.25">
      <c r="A81" s="10">
        <v>7</v>
      </c>
      <c r="B81" s="11">
        <v>2</v>
      </c>
      <c r="C81" s="12" t="s">
        <v>79</v>
      </c>
    </row>
    <row r="82" spans="1:3" x14ac:dyDescent="0.25">
      <c r="A82" s="7">
        <v>13</v>
      </c>
      <c r="B82" s="8">
        <v>4</v>
      </c>
      <c r="C82" s="9" t="s">
        <v>80</v>
      </c>
    </row>
    <row r="83" spans="1:3" x14ac:dyDescent="0.25">
      <c r="A83" s="10">
        <v>4</v>
      </c>
      <c r="B83" s="11">
        <v>12</v>
      </c>
      <c r="C83" s="12" t="s">
        <v>81</v>
      </c>
    </row>
    <row r="84" spans="1:3" x14ac:dyDescent="0.25">
      <c r="A84" s="7">
        <v>7</v>
      </c>
      <c r="B84" s="8">
        <v>8</v>
      </c>
      <c r="C84" s="9" t="s">
        <v>82</v>
      </c>
    </row>
    <row r="85" spans="1:3" x14ac:dyDescent="0.25">
      <c r="A85" s="10">
        <v>3</v>
      </c>
      <c r="B85" s="11">
        <v>12</v>
      </c>
      <c r="C85" s="12" t="s">
        <v>83</v>
      </c>
    </row>
    <row r="86" spans="1:3" x14ac:dyDescent="0.25">
      <c r="A86" s="7">
        <v>4</v>
      </c>
      <c r="B86" s="8">
        <v>11</v>
      </c>
      <c r="C86" s="9" t="s">
        <v>84</v>
      </c>
    </row>
    <row r="87" spans="1:3" x14ac:dyDescent="0.25">
      <c r="A87" s="10">
        <v>7</v>
      </c>
      <c r="B87" s="11">
        <v>1</v>
      </c>
      <c r="C87" s="12" t="s">
        <v>85</v>
      </c>
    </row>
    <row r="88" spans="1:3" x14ac:dyDescent="0.25">
      <c r="A88" s="7">
        <v>3</v>
      </c>
      <c r="B88" s="8">
        <v>9</v>
      </c>
      <c r="C88" s="9" t="s">
        <v>86</v>
      </c>
    </row>
    <row r="89" spans="1:3" x14ac:dyDescent="0.25">
      <c r="A89" s="10">
        <v>1</v>
      </c>
      <c r="B89" s="11">
        <v>4</v>
      </c>
      <c r="C89" s="12" t="s">
        <v>87</v>
      </c>
    </row>
    <row r="90" spans="1:3" x14ac:dyDescent="0.25">
      <c r="A90" s="7">
        <v>14</v>
      </c>
      <c r="B90" s="8">
        <v>3</v>
      </c>
      <c r="C90" s="9" t="s">
        <v>88</v>
      </c>
    </row>
    <row r="91" spans="1:3" x14ac:dyDescent="0.25">
      <c r="A91" s="10">
        <v>5</v>
      </c>
      <c r="B91" s="11">
        <v>12</v>
      </c>
      <c r="C91" s="12" t="s">
        <v>89</v>
      </c>
    </row>
    <row r="92" spans="1:3" x14ac:dyDescent="0.25">
      <c r="A92" s="7">
        <v>4</v>
      </c>
      <c r="B92" s="8">
        <v>9</v>
      </c>
      <c r="C92" s="9" t="s">
        <v>90</v>
      </c>
    </row>
    <row r="93" spans="1:3" x14ac:dyDescent="0.25">
      <c r="A93" s="10">
        <v>5</v>
      </c>
      <c r="B93" s="11">
        <v>4</v>
      </c>
      <c r="C93" s="12" t="s">
        <v>91</v>
      </c>
    </row>
    <row r="94" spans="1:3" x14ac:dyDescent="0.25">
      <c r="A94" s="7">
        <v>6</v>
      </c>
      <c r="B94" s="8">
        <v>8</v>
      </c>
      <c r="C94" s="9" t="s">
        <v>92</v>
      </c>
    </row>
    <row r="95" spans="1:3" x14ac:dyDescent="0.25">
      <c r="A95" s="10">
        <v>8</v>
      </c>
      <c r="B95" s="11">
        <v>14</v>
      </c>
      <c r="C95" s="12" t="s">
        <v>93</v>
      </c>
    </row>
    <row r="96" spans="1:3" x14ac:dyDescent="0.25">
      <c r="A96" s="7">
        <v>15</v>
      </c>
      <c r="B96" s="8">
        <v>11</v>
      </c>
      <c r="C96" s="9" t="s">
        <v>94</v>
      </c>
    </row>
    <row r="97" spans="1:3" x14ac:dyDescent="0.25">
      <c r="A97" s="10">
        <v>1</v>
      </c>
      <c r="B97" s="11">
        <v>1</v>
      </c>
      <c r="C97" s="12" t="s">
        <v>95</v>
      </c>
    </row>
    <row r="98" spans="1:3" x14ac:dyDescent="0.25">
      <c r="A98" s="7">
        <v>14</v>
      </c>
      <c r="B98" s="8">
        <v>15</v>
      </c>
      <c r="C98" s="9" t="s">
        <v>96</v>
      </c>
    </row>
    <row r="99" spans="1:3" x14ac:dyDescent="0.25">
      <c r="A99" s="10">
        <v>6</v>
      </c>
      <c r="B99" s="11">
        <v>7</v>
      </c>
      <c r="C99" s="12" t="s">
        <v>97</v>
      </c>
    </row>
    <row r="100" spans="1:3" x14ac:dyDescent="0.25">
      <c r="A100" s="7">
        <v>7</v>
      </c>
      <c r="B100" s="8">
        <v>11</v>
      </c>
      <c r="C100" s="9" t="s">
        <v>98</v>
      </c>
    </row>
    <row r="101" spans="1:3" x14ac:dyDescent="0.25">
      <c r="A101" s="10">
        <v>10</v>
      </c>
      <c r="B101" s="11">
        <v>11</v>
      </c>
      <c r="C101" s="12" t="s">
        <v>99</v>
      </c>
    </row>
    <row r="102" spans="1:3" x14ac:dyDescent="0.25">
      <c r="A102" s="7">
        <v>5</v>
      </c>
      <c r="B102" s="8">
        <v>6</v>
      </c>
      <c r="C102" s="9" t="s">
        <v>100</v>
      </c>
    </row>
    <row r="103" spans="1:3" x14ac:dyDescent="0.25">
      <c r="A103" s="10">
        <v>13</v>
      </c>
      <c r="B103" s="11">
        <v>7</v>
      </c>
      <c r="C103" s="12" t="s">
        <v>101</v>
      </c>
    </row>
    <row r="104" spans="1:3" x14ac:dyDescent="0.25">
      <c r="A104" s="7">
        <v>2</v>
      </c>
      <c r="B104" s="8">
        <v>9</v>
      </c>
      <c r="C104" s="9" t="s">
        <v>102</v>
      </c>
    </row>
    <row r="105" spans="1:3" x14ac:dyDescent="0.25">
      <c r="A105" s="10">
        <v>9</v>
      </c>
      <c r="B105" s="11">
        <v>11</v>
      </c>
      <c r="C105" s="12" t="s">
        <v>103</v>
      </c>
    </row>
    <row r="106" spans="1:3" x14ac:dyDescent="0.25">
      <c r="A106" s="7">
        <v>8</v>
      </c>
      <c r="B106" s="8">
        <v>3</v>
      </c>
      <c r="C106" s="9" t="s">
        <v>104</v>
      </c>
    </row>
    <row r="107" spans="1:3" x14ac:dyDescent="0.25">
      <c r="A107" s="10">
        <v>1</v>
      </c>
      <c r="B107" s="11">
        <v>6</v>
      </c>
      <c r="C107" s="12" t="s">
        <v>105</v>
      </c>
    </row>
    <row r="108" spans="1:3" x14ac:dyDescent="0.25">
      <c r="A108" s="7">
        <v>10</v>
      </c>
      <c r="B108" s="8">
        <v>9</v>
      </c>
      <c r="C108" s="9" t="s">
        <v>106</v>
      </c>
    </row>
    <row r="109" spans="1:3" x14ac:dyDescent="0.25">
      <c r="A109" s="10">
        <v>2</v>
      </c>
      <c r="B109" s="11">
        <v>11</v>
      </c>
      <c r="C109" s="12" t="s">
        <v>107</v>
      </c>
    </row>
    <row r="110" spans="1:3" x14ac:dyDescent="0.25">
      <c r="A110" s="7">
        <v>6</v>
      </c>
      <c r="B110" s="8">
        <v>12</v>
      </c>
      <c r="C110" s="9" t="s">
        <v>108</v>
      </c>
    </row>
    <row r="111" spans="1:3" x14ac:dyDescent="0.25">
      <c r="A111" s="10">
        <v>2</v>
      </c>
      <c r="B111" s="11">
        <v>14</v>
      </c>
      <c r="C111" s="12" t="s">
        <v>109</v>
      </c>
    </row>
    <row r="112" spans="1:3" x14ac:dyDescent="0.25">
      <c r="A112" s="7">
        <v>4</v>
      </c>
      <c r="B112" s="8">
        <v>2</v>
      </c>
      <c r="C112" s="9" t="s">
        <v>110</v>
      </c>
    </row>
    <row r="113" spans="1:3" x14ac:dyDescent="0.25">
      <c r="A113" s="10">
        <v>9</v>
      </c>
      <c r="B113" s="11">
        <v>8</v>
      </c>
      <c r="C113" s="12" t="s">
        <v>111</v>
      </c>
    </row>
    <row r="114" spans="1:3" x14ac:dyDescent="0.25">
      <c r="A114" s="7">
        <v>2</v>
      </c>
      <c r="B114" s="8">
        <v>4</v>
      </c>
      <c r="C114" s="9" t="s">
        <v>112</v>
      </c>
    </row>
    <row r="115" spans="1:3" x14ac:dyDescent="0.25">
      <c r="A115" s="10">
        <v>11</v>
      </c>
      <c r="B115" s="11">
        <v>11</v>
      </c>
      <c r="C115" s="12" t="s">
        <v>113</v>
      </c>
    </row>
    <row r="116" spans="1:3" x14ac:dyDescent="0.25">
      <c r="A116" s="7">
        <v>8</v>
      </c>
      <c r="B116" s="8">
        <v>1</v>
      </c>
      <c r="C116" s="9" t="s">
        <v>114</v>
      </c>
    </row>
    <row r="117" spans="1:3" x14ac:dyDescent="0.25">
      <c r="A117" s="10">
        <v>13</v>
      </c>
      <c r="B117" s="11">
        <v>9</v>
      </c>
      <c r="C117" s="12" t="s">
        <v>115</v>
      </c>
    </row>
    <row r="118" spans="1:3" x14ac:dyDescent="0.25">
      <c r="A118" s="7">
        <v>7</v>
      </c>
      <c r="B118" s="8">
        <v>13</v>
      </c>
      <c r="C118" s="9" t="s">
        <v>116</v>
      </c>
    </row>
    <row r="119" spans="1:3" x14ac:dyDescent="0.25">
      <c r="A119" s="10">
        <v>7</v>
      </c>
      <c r="B119" s="11">
        <v>11</v>
      </c>
      <c r="C119" s="12" t="s">
        <v>117</v>
      </c>
    </row>
    <row r="120" spans="1:3" x14ac:dyDescent="0.25">
      <c r="A120" s="7">
        <v>9</v>
      </c>
      <c r="B120" s="8">
        <v>11</v>
      </c>
      <c r="C120" s="9" t="s">
        <v>118</v>
      </c>
    </row>
    <row r="121" spans="1:3" x14ac:dyDescent="0.25">
      <c r="A121" s="10">
        <v>6</v>
      </c>
      <c r="B121" s="11">
        <v>1</v>
      </c>
      <c r="C121" s="12" t="s">
        <v>119</v>
      </c>
    </row>
    <row r="122" spans="1:3" x14ac:dyDescent="0.25">
      <c r="A122" s="7">
        <v>14</v>
      </c>
      <c r="B122" s="8">
        <v>6</v>
      </c>
      <c r="C122" s="9" t="s">
        <v>120</v>
      </c>
    </row>
    <row r="123" spans="1:3" x14ac:dyDescent="0.25">
      <c r="A123" s="10">
        <v>14</v>
      </c>
      <c r="B123" s="11">
        <v>10</v>
      </c>
      <c r="C123" s="12" t="s">
        <v>121</v>
      </c>
    </row>
    <row r="124" spans="1:3" x14ac:dyDescent="0.25">
      <c r="A124" s="7">
        <v>7</v>
      </c>
      <c r="B124" s="8">
        <v>7</v>
      </c>
      <c r="C124" s="9" t="s">
        <v>122</v>
      </c>
    </row>
    <row r="125" spans="1:3" x14ac:dyDescent="0.25">
      <c r="A125" s="10">
        <v>11</v>
      </c>
      <c r="B125" s="11">
        <v>1</v>
      </c>
      <c r="C125" s="12" t="s">
        <v>123</v>
      </c>
    </row>
    <row r="126" spans="1:3" x14ac:dyDescent="0.25">
      <c r="A126" s="7">
        <v>11</v>
      </c>
      <c r="B126" s="8">
        <v>3</v>
      </c>
      <c r="C126" s="9" t="s">
        <v>124</v>
      </c>
    </row>
    <row r="127" spans="1:3" x14ac:dyDescent="0.25">
      <c r="A127" s="10">
        <v>11</v>
      </c>
      <c r="B127" s="11">
        <v>2</v>
      </c>
      <c r="C127" s="12" t="s">
        <v>125</v>
      </c>
    </row>
    <row r="128" spans="1:3" x14ac:dyDescent="0.25">
      <c r="A128" s="7">
        <v>12</v>
      </c>
      <c r="B128" s="8">
        <v>2</v>
      </c>
      <c r="C128" s="9" t="s">
        <v>126</v>
      </c>
    </row>
    <row r="129" spans="1:3" x14ac:dyDescent="0.25">
      <c r="A129" s="10">
        <v>3</v>
      </c>
      <c r="B129" s="11">
        <v>14</v>
      </c>
      <c r="C129" s="12" t="s">
        <v>127</v>
      </c>
    </row>
    <row r="130" spans="1:3" x14ac:dyDescent="0.25">
      <c r="A130" s="7">
        <v>3</v>
      </c>
      <c r="B130" s="8">
        <v>6</v>
      </c>
      <c r="C130" s="9" t="s">
        <v>128</v>
      </c>
    </row>
    <row r="131" spans="1:3" x14ac:dyDescent="0.25">
      <c r="A131" s="10">
        <v>12</v>
      </c>
      <c r="B131" s="11">
        <v>2</v>
      </c>
      <c r="C131" s="12" t="s">
        <v>129</v>
      </c>
    </row>
    <row r="132" spans="1:3" x14ac:dyDescent="0.25">
      <c r="A132" s="7">
        <v>7</v>
      </c>
      <c r="B132" s="8">
        <v>8</v>
      </c>
      <c r="C132" s="9" t="s">
        <v>130</v>
      </c>
    </row>
    <row r="133" spans="1:3" x14ac:dyDescent="0.25">
      <c r="A133" s="10">
        <v>10</v>
      </c>
      <c r="B133" s="11">
        <v>12</v>
      </c>
      <c r="C133" s="12" t="s">
        <v>131</v>
      </c>
    </row>
    <row r="134" spans="1:3" x14ac:dyDescent="0.25">
      <c r="A134" s="7">
        <v>2</v>
      </c>
      <c r="B134" s="8">
        <v>14</v>
      </c>
      <c r="C134" s="9" t="s">
        <v>132</v>
      </c>
    </row>
    <row r="135" spans="1:3" x14ac:dyDescent="0.25">
      <c r="A135" s="10">
        <v>14</v>
      </c>
      <c r="B135" s="11">
        <v>11</v>
      </c>
      <c r="C135" s="12" t="s">
        <v>133</v>
      </c>
    </row>
    <row r="136" spans="1:3" x14ac:dyDescent="0.25">
      <c r="A136" s="7">
        <v>9</v>
      </c>
      <c r="B136" s="8">
        <v>10</v>
      </c>
      <c r="C136" s="9" t="s">
        <v>134</v>
      </c>
    </row>
    <row r="137" spans="1:3" x14ac:dyDescent="0.25">
      <c r="A137" s="10">
        <v>2</v>
      </c>
      <c r="B137" s="11">
        <v>14</v>
      </c>
      <c r="C137" s="12" t="s">
        <v>135</v>
      </c>
    </row>
    <row r="138" spans="1:3" x14ac:dyDescent="0.25">
      <c r="A138" s="7">
        <v>11</v>
      </c>
      <c r="B138" s="8">
        <v>3</v>
      </c>
      <c r="C138" s="9" t="s">
        <v>136</v>
      </c>
    </row>
    <row r="139" spans="1:3" x14ac:dyDescent="0.25">
      <c r="A139" s="10">
        <v>2</v>
      </c>
      <c r="B139" s="11">
        <v>1</v>
      </c>
      <c r="C139" s="12" t="s">
        <v>137</v>
      </c>
    </row>
    <row r="140" spans="1:3" x14ac:dyDescent="0.25">
      <c r="A140" s="7">
        <v>14</v>
      </c>
      <c r="B140" s="8">
        <v>3</v>
      </c>
      <c r="C140" s="9" t="s">
        <v>138</v>
      </c>
    </row>
    <row r="141" spans="1:3" x14ac:dyDescent="0.25">
      <c r="A141" s="10">
        <v>6</v>
      </c>
      <c r="B141" s="11">
        <v>6</v>
      </c>
      <c r="C141" s="12" t="s">
        <v>139</v>
      </c>
    </row>
    <row r="142" spans="1:3" x14ac:dyDescent="0.25">
      <c r="A142" s="7">
        <v>5</v>
      </c>
      <c r="B142" s="8">
        <v>14</v>
      </c>
      <c r="C142" s="9" t="s">
        <v>140</v>
      </c>
    </row>
    <row r="143" spans="1:3" x14ac:dyDescent="0.25">
      <c r="A143" s="10">
        <v>2</v>
      </c>
      <c r="B143" s="11">
        <v>8</v>
      </c>
      <c r="C143" s="12" t="s">
        <v>141</v>
      </c>
    </row>
    <row r="144" spans="1:3" x14ac:dyDescent="0.25">
      <c r="A144" s="7">
        <v>10</v>
      </c>
      <c r="B144" s="8">
        <v>15</v>
      </c>
      <c r="C144" s="9" t="s">
        <v>142</v>
      </c>
    </row>
    <row r="145" spans="1:3" x14ac:dyDescent="0.25">
      <c r="A145" s="2">
        <v>3</v>
      </c>
      <c r="B145" s="3">
        <v>15</v>
      </c>
      <c r="C145" s="13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1F037-8A62-433D-8DFD-DC09837A68BE}">
  <dimension ref="A1:F145"/>
  <sheetViews>
    <sheetView workbookViewId="0">
      <selection activeCell="E2" sqref="E2"/>
    </sheetView>
  </sheetViews>
  <sheetFormatPr defaultRowHeight="15" x14ac:dyDescent="0.25"/>
  <cols>
    <col min="1" max="3" width="11.140625" bestFit="1" customWidth="1"/>
    <col min="5" max="5" width="17.7109375" bestFit="1" customWidth="1"/>
    <col min="6" max="6" width="24.85546875" bestFit="1" customWidth="1"/>
  </cols>
  <sheetData>
    <row r="1" spans="1:6" x14ac:dyDescent="0.25">
      <c r="A1" s="4" t="s">
        <v>144</v>
      </c>
      <c r="B1" s="5" t="s">
        <v>145</v>
      </c>
      <c r="C1" s="6" t="s">
        <v>146</v>
      </c>
    </row>
    <row r="2" spans="1:6" x14ac:dyDescent="0.25">
      <c r="A2" s="7">
        <v>3</v>
      </c>
      <c r="B2" s="8">
        <v>5</v>
      </c>
      <c r="C2" s="9" t="s">
        <v>0</v>
      </c>
      <c r="E2" t="s">
        <v>147</v>
      </c>
      <c r="F2" t="s">
        <v>149</v>
      </c>
    </row>
    <row r="3" spans="1:6" x14ac:dyDescent="0.25">
      <c r="A3" s="10">
        <v>12</v>
      </c>
      <c r="B3" s="11">
        <v>13</v>
      </c>
      <c r="C3" s="12" t="s">
        <v>1</v>
      </c>
      <c r="E3" s="15">
        <v>1</v>
      </c>
      <c r="F3" s="1">
        <v>11</v>
      </c>
    </row>
    <row r="4" spans="1:6" x14ac:dyDescent="0.25">
      <c r="A4" s="7">
        <v>1</v>
      </c>
      <c r="B4" s="8">
        <v>10</v>
      </c>
      <c r="C4" s="9" t="s">
        <v>2</v>
      </c>
      <c r="E4" s="15">
        <v>2</v>
      </c>
      <c r="F4" s="1">
        <v>9</v>
      </c>
    </row>
    <row r="5" spans="1:6" x14ac:dyDescent="0.25">
      <c r="A5" s="10">
        <v>7</v>
      </c>
      <c r="B5" s="11">
        <v>2</v>
      </c>
      <c r="C5" s="12" t="s">
        <v>3</v>
      </c>
      <c r="E5" s="15">
        <v>3</v>
      </c>
      <c r="F5" s="1">
        <v>9</v>
      </c>
    </row>
    <row r="6" spans="1:6" x14ac:dyDescent="0.25">
      <c r="A6" s="7">
        <v>10</v>
      </c>
      <c r="B6" s="8">
        <v>7</v>
      </c>
      <c r="C6" s="9" t="s">
        <v>4</v>
      </c>
      <c r="E6" s="15">
        <v>4</v>
      </c>
      <c r="F6" s="1">
        <v>7</v>
      </c>
    </row>
    <row r="7" spans="1:6" x14ac:dyDescent="0.25">
      <c r="A7" s="10">
        <v>9</v>
      </c>
      <c r="B7" s="11">
        <v>14</v>
      </c>
      <c r="C7" s="12" t="s">
        <v>5</v>
      </c>
      <c r="E7" s="15">
        <v>5</v>
      </c>
      <c r="F7" s="1">
        <v>6</v>
      </c>
    </row>
    <row r="8" spans="1:6" x14ac:dyDescent="0.25">
      <c r="A8" s="7">
        <v>4</v>
      </c>
      <c r="B8" s="8">
        <v>10</v>
      </c>
      <c r="C8" s="9" t="s">
        <v>6</v>
      </c>
      <c r="E8" s="15">
        <v>6</v>
      </c>
      <c r="F8" s="1">
        <v>10</v>
      </c>
    </row>
    <row r="9" spans="1:6" x14ac:dyDescent="0.25">
      <c r="A9" s="10">
        <v>4</v>
      </c>
      <c r="B9" s="11">
        <v>7</v>
      </c>
      <c r="C9" s="12" t="s">
        <v>7</v>
      </c>
      <c r="E9" s="15">
        <v>7</v>
      </c>
      <c r="F9" s="1">
        <v>11</v>
      </c>
    </row>
    <row r="10" spans="1:6" x14ac:dyDescent="0.25">
      <c r="A10" s="7">
        <v>3</v>
      </c>
      <c r="B10" s="8">
        <v>2</v>
      </c>
      <c r="C10" s="9" t="s">
        <v>8</v>
      </c>
      <c r="E10" s="15">
        <v>8</v>
      </c>
      <c r="F10" s="1">
        <v>6</v>
      </c>
    </row>
    <row r="11" spans="1:6" x14ac:dyDescent="0.25">
      <c r="A11" s="10">
        <v>7</v>
      </c>
      <c r="B11" s="11">
        <v>12</v>
      </c>
      <c r="C11" s="12" t="s">
        <v>9</v>
      </c>
      <c r="E11" s="15">
        <v>9</v>
      </c>
      <c r="F11" s="1">
        <v>12</v>
      </c>
    </row>
    <row r="12" spans="1:6" x14ac:dyDescent="0.25">
      <c r="A12" s="7">
        <v>11</v>
      </c>
      <c r="B12" s="8">
        <v>12</v>
      </c>
      <c r="C12" s="9" t="s">
        <v>10</v>
      </c>
      <c r="E12" s="15">
        <v>10</v>
      </c>
      <c r="F12" s="1">
        <v>8</v>
      </c>
    </row>
    <row r="13" spans="1:6" x14ac:dyDescent="0.25">
      <c r="A13" s="10">
        <v>15</v>
      </c>
      <c r="B13" s="11">
        <v>14</v>
      </c>
      <c r="C13" s="12" t="s">
        <v>11</v>
      </c>
      <c r="E13" s="15">
        <v>11</v>
      </c>
      <c r="F13" s="1">
        <v>16</v>
      </c>
    </row>
    <row r="14" spans="1:6" x14ac:dyDescent="0.25">
      <c r="A14" s="7">
        <v>11</v>
      </c>
      <c r="B14" s="8">
        <v>9</v>
      </c>
      <c r="C14" s="9" t="s">
        <v>12</v>
      </c>
      <c r="E14" s="15">
        <v>12</v>
      </c>
      <c r="F14" s="1">
        <v>14</v>
      </c>
    </row>
    <row r="15" spans="1:6" x14ac:dyDescent="0.25">
      <c r="A15" s="10">
        <v>3</v>
      </c>
      <c r="B15" s="11">
        <v>6</v>
      </c>
      <c r="C15" s="12" t="s">
        <v>13</v>
      </c>
      <c r="E15" s="15">
        <v>13</v>
      </c>
      <c r="F15" s="1">
        <v>7</v>
      </c>
    </row>
    <row r="16" spans="1:6" x14ac:dyDescent="0.25">
      <c r="A16" s="7">
        <v>1</v>
      </c>
      <c r="B16" s="8">
        <v>7</v>
      </c>
      <c r="C16" s="9" t="s">
        <v>14</v>
      </c>
      <c r="E16" s="15">
        <v>14</v>
      </c>
      <c r="F16" s="1">
        <v>12</v>
      </c>
    </row>
    <row r="17" spans="1:6" x14ac:dyDescent="0.25">
      <c r="A17" s="10">
        <v>11</v>
      </c>
      <c r="B17" s="11">
        <v>7</v>
      </c>
      <c r="C17" s="12" t="s">
        <v>15</v>
      </c>
      <c r="E17" s="15">
        <v>15</v>
      </c>
      <c r="F17" s="1">
        <v>6</v>
      </c>
    </row>
    <row r="18" spans="1:6" x14ac:dyDescent="0.25">
      <c r="A18" s="7">
        <v>2</v>
      </c>
      <c r="B18" s="8">
        <v>2</v>
      </c>
      <c r="C18" s="9" t="s">
        <v>16</v>
      </c>
      <c r="E18" s="15" t="s">
        <v>148</v>
      </c>
      <c r="F18" s="1">
        <v>144</v>
      </c>
    </row>
    <row r="19" spans="1:6" x14ac:dyDescent="0.25">
      <c r="A19" s="10">
        <v>9</v>
      </c>
      <c r="B19" s="11">
        <v>10</v>
      </c>
      <c r="C19" s="12" t="s">
        <v>17</v>
      </c>
    </row>
    <row r="20" spans="1:6" x14ac:dyDescent="0.25">
      <c r="A20" s="7">
        <v>2</v>
      </c>
      <c r="B20" s="8">
        <v>13</v>
      </c>
      <c r="C20" s="9" t="s">
        <v>18</v>
      </c>
    </row>
    <row r="21" spans="1:6" x14ac:dyDescent="0.25">
      <c r="A21" s="10">
        <v>13</v>
      </c>
      <c r="B21" s="11">
        <v>14</v>
      </c>
      <c r="C21" s="12" t="s">
        <v>19</v>
      </c>
    </row>
    <row r="22" spans="1:6" x14ac:dyDescent="0.25">
      <c r="A22" s="7">
        <v>10</v>
      </c>
      <c r="B22" s="8">
        <v>15</v>
      </c>
      <c r="C22" s="9" t="s">
        <v>20</v>
      </c>
    </row>
    <row r="23" spans="1:6" x14ac:dyDescent="0.25">
      <c r="A23" s="10">
        <v>6</v>
      </c>
      <c r="B23" s="11">
        <v>9</v>
      </c>
      <c r="C23" s="12" t="s">
        <v>21</v>
      </c>
    </row>
    <row r="24" spans="1:6" x14ac:dyDescent="0.25">
      <c r="A24" s="7">
        <v>5</v>
      </c>
      <c r="B24" s="8">
        <v>6</v>
      </c>
      <c r="C24" s="9" t="s">
        <v>22</v>
      </c>
    </row>
    <row r="25" spans="1:6" x14ac:dyDescent="0.25">
      <c r="A25" s="10">
        <v>13</v>
      </c>
      <c r="B25" s="11">
        <v>13</v>
      </c>
      <c r="C25" s="12" t="s">
        <v>23</v>
      </c>
    </row>
    <row r="26" spans="1:6" x14ac:dyDescent="0.25">
      <c r="A26" s="7">
        <v>11</v>
      </c>
      <c r="B26" s="8">
        <v>1</v>
      </c>
      <c r="C26" s="9" t="s">
        <v>24</v>
      </c>
    </row>
    <row r="27" spans="1:6" x14ac:dyDescent="0.25">
      <c r="A27" s="10">
        <v>10</v>
      </c>
      <c r="B27" s="11">
        <v>6</v>
      </c>
      <c r="C27" s="12" t="s">
        <v>25</v>
      </c>
    </row>
    <row r="28" spans="1:6" x14ac:dyDescent="0.25">
      <c r="A28" s="7">
        <v>11</v>
      </c>
      <c r="B28" s="8">
        <v>12</v>
      </c>
      <c r="C28" s="9" t="s">
        <v>26</v>
      </c>
    </row>
    <row r="29" spans="1:6" x14ac:dyDescent="0.25">
      <c r="A29" s="10">
        <v>4</v>
      </c>
      <c r="B29" s="11">
        <v>9</v>
      </c>
      <c r="C29" s="12" t="s">
        <v>27</v>
      </c>
    </row>
    <row r="30" spans="1:6" x14ac:dyDescent="0.25">
      <c r="A30" s="7">
        <v>4</v>
      </c>
      <c r="B30" s="8">
        <v>1</v>
      </c>
      <c r="C30" s="9" t="s">
        <v>28</v>
      </c>
    </row>
    <row r="31" spans="1:6" x14ac:dyDescent="0.25">
      <c r="A31" s="10">
        <v>2</v>
      </c>
      <c r="B31" s="11">
        <v>11</v>
      </c>
      <c r="C31" s="12" t="s">
        <v>29</v>
      </c>
    </row>
    <row r="32" spans="1:6" x14ac:dyDescent="0.25">
      <c r="A32" s="7">
        <v>7</v>
      </c>
      <c r="B32" s="8">
        <v>2</v>
      </c>
      <c r="C32" s="9" t="s">
        <v>30</v>
      </c>
    </row>
    <row r="33" spans="1:3" x14ac:dyDescent="0.25">
      <c r="A33" s="10">
        <v>11</v>
      </c>
      <c r="B33" s="11">
        <v>14</v>
      </c>
      <c r="C33" s="12" t="s">
        <v>31</v>
      </c>
    </row>
    <row r="34" spans="1:3" x14ac:dyDescent="0.25">
      <c r="A34" s="7">
        <v>6</v>
      </c>
      <c r="B34" s="8">
        <v>3</v>
      </c>
      <c r="C34" s="9" t="s">
        <v>32</v>
      </c>
    </row>
    <row r="35" spans="1:3" x14ac:dyDescent="0.25">
      <c r="A35" s="10">
        <v>11</v>
      </c>
      <c r="B35" s="11">
        <v>5</v>
      </c>
      <c r="C35" s="12" t="s">
        <v>33</v>
      </c>
    </row>
    <row r="36" spans="1:3" x14ac:dyDescent="0.25">
      <c r="A36" s="7">
        <v>5</v>
      </c>
      <c r="B36" s="8">
        <v>9</v>
      </c>
      <c r="C36" s="9" t="s">
        <v>34</v>
      </c>
    </row>
    <row r="37" spans="1:3" x14ac:dyDescent="0.25">
      <c r="A37" s="10">
        <v>9</v>
      </c>
      <c r="B37" s="11">
        <v>5</v>
      </c>
      <c r="C37" s="12" t="s">
        <v>35</v>
      </c>
    </row>
    <row r="38" spans="1:3" x14ac:dyDescent="0.25">
      <c r="A38" s="7">
        <v>11</v>
      </c>
      <c r="B38" s="8">
        <v>4</v>
      </c>
      <c r="C38" s="9" t="s">
        <v>36</v>
      </c>
    </row>
    <row r="39" spans="1:3" x14ac:dyDescent="0.25">
      <c r="A39" s="10">
        <v>15</v>
      </c>
      <c r="B39" s="11">
        <v>5</v>
      </c>
      <c r="C39" s="12" t="s">
        <v>37</v>
      </c>
    </row>
    <row r="40" spans="1:3" x14ac:dyDescent="0.25">
      <c r="A40" s="7">
        <v>12</v>
      </c>
      <c r="B40" s="8">
        <v>1</v>
      </c>
      <c r="C40" s="9" t="s">
        <v>38</v>
      </c>
    </row>
    <row r="41" spans="1:3" x14ac:dyDescent="0.25">
      <c r="A41" s="10">
        <v>2</v>
      </c>
      <c r="B41" s="11">
        <v>5</v>
      </c>
      <c r="C41" s="12" t="s">
        <v>39</v>
      </c>
    </row>
    <row r="42" spans="1:3" x14ac:dyDescent="0.25">
      <c r="A42" s="7">
        <v>11</v>
      </c>
      <c r="B42" s="8">
        <v>11</v>
      </c>
      <c r="C42" s="9" t="s">
        <v>40</v>
      </c>
    </row>
    <row r="43" spans="1:3" x14ac:dyDescent="0.25">
      <c r="A43" s="10">
        <v>2</v>
      </c>
      <c r="B43" s="11">
        <v>3</v>
      </c>
      <c r="C43" s="12" t="s">
        <v>41</v>
      </c>
    </row>
    <row r="44" spans="1:3" x14ac:dyDescent="0.25">
      <c r="A44" s="7">
        <v>6</v>
      </c>
      <c r="B44" s="8">
        <v>13</v>
      </c>
      <c r="C44" s="9" t="s">
        <v>42</v>
      </c>
    </row>
    <row r="45" spans="1:3" x14ac:dyDescent="0.25">
      <c r="A45" s="10">
        <v>4</v>
      </c>
      <c r="B45" s="11">
        <v>11</v>
      </c>
      <c r="C45" s="12" t="s">
        <v>43</v>
      </c>
    </row>
    <row r="46" spans="1:3" x14ac:dyDescent="0.25">
      <c r="A46" s="7">
        <v>7</v>
      </c>
      <c r="B46" s="8">
        <v>10</v>
      </c>
      <c r="C46" s="9" t="s">
        <v>44</v>
      </c>
    </row>
    <row r="47" spans="1:3" x14ac:dyDescent="0.25">
      <c r="A47" s="10">
        <v>8</v>
      </c>
      <c r="B47" s="11">
        <v>6</v>
      </c>
      <c r="C47" s="12" t="s">
        <v>45</v>
      </c>
    </row>
    <row r="48" spans="1:3" x14ac:dyDescent="0.25">
      <c r="A48" s="7">
        <v>3</v>
      </c>
      <c r="B48" s="8">
        <v>14</v>
      </c>
      <c r="C48" s="9" t="s">
        <v>46</v>
      </c>
    </row>
    <row r="49" spans="1:3" x14ac:dyDescent="0.25">
      <c r="A49" s="10">
        <v>7</v>
      </c>
      <c r="B49" s="11">
        <v>13</v>
      </c>
      <c r="C49" s="12" t="s">
        <v>47</v>
      </c>
    </row>
    <row r="50" spans="1:3" x14ac:dyDescent="0.25">
      <c r="A50" s="7">
        <v>15</v>
      </c>
      <c r="B50" s="8">
        <v>11</v>
      </c>
      <c r="C50" s="9" t="s">
        <v>48</v>
      </c>
    </row>
    <row r="51" spans="1:3" x14ac:dyDescent="0.25">
      <c r="A51" s="10">
        <v>11</v>
      </c>
      <c r="B51" s="11">
        <v>8</v>
      </c>
      <c r="C51" s="12" t="s">
        <v>49</v>
      </c>
    </row>
    <row r="52" spans="1:3" x14ac:dyDescent="0.25">
      <c r="A52" s="7">
        <v>6</v>
      </c>
      <c r="B52" s="8">
        <v>10</v>
      </c>
      <c r="C52" s="9" t="s">
        <v>50</v>
      </c>
    </row>
    <row r="53" spans="1:3" x14ac:dyDescent="0.25">
      <c r="A53" s="10">
        <v>3</v>
      </c>
      <c r="B53" s="11">
        <v>12</v>
      </c>
      <c r="C53" s="12" t="s">
        <v>51</v>
      </c>
    </row>
    <row r="54" spans="1:3" x14ac:dyDescent="0.25">
      <c r="A54" s="7">
        <v>13</v>
      </c>
      <c r="B54" s="8">
        <v>11</v>
      </c>
      <c r="C54" s="9" t="s">
        <v>52</v>
      </c>
    </row>
    <row r="55" spans="1:3" x14ac:dyDescent="0.25">
      <c r="A55" s="10">
        <v>15</v>
      </c>
      <c r="B55" s="11">
        <v>12</v>
      </c>
      <c r="C55" s="12" t="s">
        <v>53</v>
      </c>
    </row>
    <row r="56" spans="1:3" x14ac:dyDescent="0.25">
      <c r="A56" s="7">
        <v>1</v>
      </c>
      <c r="B56" s="8">
        <v>13</v>
      </c>
      <c r="C56" s="9" t="s">
        <v>54</v>
      </c>
    </row>
    <row r="57" spans="1:3" x14ac:dyDescent="0.25">
      <c r="A57" s="10">
        <v>15</v>
      </c>
      <c r="B57" s="11">
        <v>7</v>
      </c>
      <c r="C57" s="12" t="s">
        <v>55</v>
      </c>
    </row>
    <row r="58" spans="1:3" x14ac:dyDescent="0.25">
      <c r="A58" s="7">
        <v>14</v>
      </c>
      <c r="B58" s="8">
        <v>10</v>
      </c>
      <c r="C58" s="9" t="s">
        <v>56</v>
      </c>
    </row>
    <row r="59" spans="1:3" x14ac:dyDescent="0.25">
      <c r="A59" s="10">
        <v>7</v>
      </c>
      <c r="B59" s="11">
        <v>1</v>
      </c>
      <c r="C59" s="12" t="s">
        <v>57</v>
      </c>
    </row>
    <row r="60" spans="1:3" x14ac:dyDescent="0.25">
      <c r="A60" s="7">
        <v>7</v>
      </c>
      <c r="B60" s="8">
        <v>5</v>
      </c>
      <c r="C60" s="9" t="s">
        <v>58</v>
      </c>
    </row>
    <row r="61" spans="1:3" x14ac:dyDescent="0.25">
      <c r="A61" s="10">
        <v>6</v>
      </c>
      <c r="B61" s="11">
        <v>1</v>
      </c>
      <c r="C61" s="12" t="s">
        <v>59</v>
      </c>
    </row>
    <row r="62" spans="1:3" x14ac:dyDescent="0.25">
      <c r="A62" s="7">
        <v>3</v>
      </c>
      <c r="B62" s="8">
        <v>12</v>
      </c>
      <c r="C62" s="9" t="s">
        <v>60</v>
      </c>
    </row>
    <row r="63" spans="1:3" x14ac:dyDescent="0.25">
      <c r="A63" s="10">
        <v>15</v>
      </c>
      <c r="B63" s="11">
        <v>14</v>
      </c>
      <c r="C63" s="12" t="s">
        <v>61</v>
      </c>
    </row>
    <row r="64" spans="1:3" x14ac:dyDescent="0.25">
      <c r="A64" s="7">
        <v>3</v>
      </c>
      <c r="B64" s="8">
        <v>9</v>
      </c>
      <c r="C64" s="9" t="s">
        <v>62</v>
      </c>
    </row>
    <row r="65" spans="1:3" x14ac:dyDescent="0.25">
      <c r="A65" s="10">
        <v>8</v>
      </c>
      <c r="B65" s="11">
        <v>11</v>
      </c>
      <c r="C65" s="12" t="s">
        <v>63</v>
      </c>
    </row>
    <row r="66" spans="1:3" x14ac:dyDescent="0.25">
      <c r="A66" s="7">
        <v>5</v>
      </c>
      <c r="B66" s="8">
        <v>15</v>
      </c>
      <c r="C66" s="9" t="s">
        <v>64</v>
      </c>
    </row>
    <row r="67" spans="1:3" x14ac:dyDescent="0.25">
      <c r="A67" s="10">
        <v>2</v>
      </c>
      <c r="B67" s="11">
        <v>4</v>
      </c>
      <c r="C67" s="12" t="s">
        <v>65</v>
      </c>
    </row>
    <row r="68" spans="1:3" x14ac:dyDescent="0.25">
      <c r="A68" s="7">
        <v>14</v>
      </c>
      <c r="B68" s="8">
        <v>9</v>
      </c>
      <c r="C68" s="9" t="s">
        <v>66</v>
      </c>
    </row>
    <row r="69" spans="1:3" x14ac:dyDescent="0.25">
      <c r="A69" s="10">
        <v>7</v>
      </c>
      <c r="B69" s="11">
        <v>7</v>
      </c>
      <c r="C69" s="12" t="s">
        <v>67</v>
      </c>
    </row>
    <row r="70" spans="1:3" x14ac:dyDescent="0.25">
      <c r="A70" s="7">
        <v>14</v>
      </c>
      <c r="B70" s="8">
        <v>6</v>
      </c>
      <c r="C70" s="9" t="s">
        <v>68</v>
      </c>
    </row>
    <row r="71" spans="1:3" x14ac:dyDescent="0.25">
      <c r="A71" s="10">
        <v>11</v>
      </c>
      <c r="B71" s="11">
        <v>12</v>
      </c>
      <c r="C71" s="12" t="s">
        <v>69</v>
      </c>
    </row>
    <row r="72" spans="1:3" x14ac:dyDescent="0.25">
      <c r="A72" s="7">
        <v>2</v>
      </c>
      <c r="B72" s="8">
        <v>4</v>
      </c>
      <c r="C72" s="9" t="s">
        <v>70</v>
      </c>
    </row>
    <row r="73" spans="1:3" x14ac:dyDescent="0.25">
      <c r="A73" s="10">
        <v>11</v>
      </c>
      <c r="B73" s="11">
        <v>15</v>
      </c>
      <c r="C73" s="12" t="s">
        <v>71</v>
      </c>
    </row>
    <row r="74" spans="1:3" x14ac:dyDescent="0.25">
      <c r="A74" s="7">
        <v>4</v>
      </c>
      <c r="B74" s="8">
        <v>3</v>
      </c>
      <c r="C74" s="9" t="s">
        <v>72</v>
      </c>
    </row>
    <row r="75" spans="1:3" x14ac:dyDescent="0.25">
      <c r="A75" s="10">
        <v>3</v>
      </c>
      <c r="B75" s="11">
        <v>12</v>
      </c>
      <c r="C75" s="12" t="s">
        <v>73</v>
      </c>
    </row>
    <row r="76" spans="1:3" x14ac:dyDescent="0.25">
      <c r="A76" s="7">
        <v>2</v>
      </c>
      <c r="B76" s="8">
        <v>7</v>
      </c>
      <c r="C76" s="9" t="s">
        <v>74</v>
      </c>
    </row>
    <row r="77" spans="1:3" x14ac:dyDescent="0.25">
      <c r="A77" s="10">
        <v>13</v>
      </c>
      <c r="B77" s="11">
        <v>7</v>
      </c>
      <c r="C77" s="12" t="s">
        <v>75</v>
      </c>
    </row>
    <row r="78" spans="1:3" x14ac:dyDescent="0.25">
      <c r="A78" s="7">
        <v>3</v>
      </c>
      <c r="B78" s="8">
        <v>12</v>
      </c>
      <c r="C78" s="9" t="s">
        <v>76</v>
      </c>
    </row>
    <row r="79" spans="1:3" x14ac:dyDescent="0.25">
      <c r="A79" s="10">
        <v>9</v>
      </c>
      <c r="B79" s="11">
        <v>9</v>
      </c>
      <c r="C79" s="12" t="s">
        <v>77</v>
      </c>
    </row>
    <row r="80" spans="1:3" x14ac:dyDescent="0.25">
      <c r="A80" s="7">
        <v>13</v>
      </c>
      <c r="B80" s="8">
        <v>3</v>
      </c>
      <c r="C80" s="9" t="s">
        <v>78</v>
      </c>
    </row>
    <row r="81" spans="1:3" x14ac:dyDescent="0.25">
      <c r="A81" s="10">
        <v>7</v>
      </c>
      <c r="B81" s="11">
        <v>2</v>
      </c>
      <c r="C81" s="12" t="s">
        <v>79</v>
      </c>
    </row>
    <row r="82" spans="1:3" x14ac:dyDescent="0.25">
      <c r="A82" s="7">
        <v>13</v>
      </c>
      <c r="B82" s="8">
        <v>4</v>
      </c>
      <c r="C82" s="9" t="s">
        <v>80</v>
      </c>
    </row>
    <row r="83" spans="1:3" x14ac:dyDescent="0.25">
      <c r="A83" s="10">
        <v>4</v>
      </c>
      <c r="B83" s="11">
        <v>12</v>
      </c>
      <c r="C83" s="12" t="s">
        <v>81</v>
      </c>
    </row>
    <row r="84" spans="1:3" x14ac:dyDescent="0.25">
      <c r="A84" s="7">
        <v>7</v>
      </c>
      <c r="B84" s="8">
        <v>8</v>
      </c>
      <c r="C84" s="9" t="s">
        <v>82</v>
      </c>
    </row>
    <row r="85" spans="1:3" x14ac:dyDescent="0.25">
      <c r="A85" s="10">
        <v>3</v>
      </c>
      <c r="B85" s="11">
        <v>12</v>
      </c>
      <c r="C85" s="12" t="s">
        <v>83</v>
      </c>
    </row>
    <row r="86" spans="1:3" x14ac:dyDescent="0.25">
      <c r="A86" s="7">
        <v>4</v>
      </c>
      <c r="B86" s="8">
        <v>11</v>
      </c>
      <c r="C86" s="9" t="s">
        <v>84</v>
      </c>
    </row>
    <row r="87" spans="1:3" x14ac:dyDescent="0.25">
      <c r="A87" s="10">
        <v>7</v>
      </c>
      <c r="B87" s="11">
        <v>1</v>
      </c>
      <c r="C87" s="12" t="s">
        <v>85</v>
      </c>
    </row>
    <row r="88" spans="1:3" x14ac:dyDescent="0.25">
      <c r="A88" s="7">
        <v>3</v>
      </c>
      <c r="B88" s="8">
        <v>9</v>
      </c>
      <c r="C88" s="9" t="s">
        <v>86</v>
      </c>
    </row>
    <row r="89" spans="1:3" x14ac:dyDescent="0.25">
      <c r="A89" s="10">
        <v>1</v>
      </c>
      <c r="B89" s="11">
        <v>4</v>
      </c>
      <c r="C89" s="12" t="s">
        <v>87</v>
      </c>
    </row>
    <row r="90" spans="1:3" x14ac:dyDescent="0.25">
      <c r="A90" s="7">
        <v>14</v>
      </c>
      <c r="B90" s="8">
        <v>3</v>
      </c>
      <c r="C90" s="9" t="s">
        <v>88</v>
      </c>
    </row>
    <row r="91" spans="1:3" x14ac:dyDescent="0.25">
      <c r="A91" s="10">
        <v>5</v>
      </c>
      <c r="B91" s="11">
        <v>12</v>
      </c>
      <c r="C91" s="12" t="s">
        <v>89</v>
      </c>
    </row>
    <row r="92" spans="1:3" x14ac:dyDescent="0.25">
      <c r="A92" s="7">
        <v>4</v>
      </c>
      <c r="B92" s="8">
        <v>9</v>
      </c>
      <c r="C92" s="9" t="s">
        <v>90</v>
      </c>
    </row>
    <row r="93" spans="1:3" x14ac:dyDescent="0.25">
      <c r="A93" s="10">
        <v>5</v>
      </c>
      <c r="B93" s="11">
        <v>4</v>
      </c>
      <c r="C93" s="12" t="s">
        <v>91</v>
      </c>
    </row>
    <row r="94" spans="1:3" x14ac:dyDescent="0.25">
      <c r="A94" s="7">
        <v>6</v>
      </c>
      <c r="B94" s="8">
        <v>8</v>
      </c>
      <c r="C94" s="9" t="s">
        <v>92</v>
      </c>
    </row>
    <row r="95" spans="1:3" x14ac:dyDescent="0.25">
      <c r="A95" s="10">
        <v>8</v>
      </c>
      <c r="B95" s="11">
        <v>14</v>
      </c>
      <c r="C95" s="12" t="s">
        <v>93</v>
      </c>
    </row>
    <row r="96" spans="1:3" x14ac:dyDescent="0.25">
      <c r="A96" s="7">
        <v>15</v>
      </c>
      <c r="B96" s="8">
        <v>11</v>
      </c>
      <c r="C96" s="9" t="s">
        <v>94</v>
      </c>
    </row>
    <row r="97" spans="1:3" x14ac:dyDescent="0.25">
      <c r="A97" s="10">
        <v>1</v>
      </c>
      <c r="B97" s="11">
        <v>1</v>
      </c>
      <c r="C97" s="12" t="s">
        <v>95</v>
      </c>
    </row>
    <row r="98" spans="1:3" x14ac:dyDescent="0.25">
      <c r="A98" s="7">
        <v>14</v>
      </c>
      <c r="B98" s="8">
        <v>15</v>
      </c>
      <c r="C98" s="9" t="s">
        <v>96</v>
      </c>
    </row>
    <row r="99" spans="1:3" x14ac:dyDescent="0.25">
      <c r="A99" s="10">
        <v>6</v>
      </c>
      <c r="B99" s="11">
        <v>7</v>
      </c>
      <c r="C99" s="12" t="s">
        <v>97</v>
      </c>
    </row>
    <row r="100" spans="1:3" x14ac:dyDescent="0.25">
      <c r="A100" s="7">
        <v>7</v>
      </c>
      <c r="B100" s="8">
        <v>11</v>
      </c>
      <c r="C100" s="9" t="s">
        <v>98</v>
      </c>
    </row>
    <row r="101" spans="1:3" x14ac:dyDescent="0.25">
      <c r="A101" s="10">
        <v>10</v>
      </c>
      <c r="B101" s="11">
        <v>11</v>
      </c>
      <c r="C101" s="12" t="s">
        <v>99</v>
      </c>
    </row>
    <row r="102" spans="1:3" x14ac:dyDescent="0.25">
      <c r="A102" s="7">
        <v>5</v>
      </c>
      <c r="B102" s="8">
        <v>6</v>
      </c>
      <c r="C102" s="9" t="s">
        <v>100</v>
      </c>
    </row>
    <row r="103" spans="1:3" x14ac:dyDescent="0.25">
      <c r="A103" s="10">
        <v>13</v>
      </c>
      <c r="B103" s="11">
        <v>7</v>
      </c>
      <c r="C103" s="12" t="s">
        <v>101</v>
      </c>
    </row>
    <row r="104" spans="1:3" x14ac:dyDescent="0.25">
      <c r="A104" s="7">
        <v>2</v>
      </c>
      <c r="B104" s="8">
        <v>9</v>
      </c>
      <c r="C104" s="9" t="s">
        <v>102</v>
      </c>
    </row>
    <row r="105" spans="1:3" x14ac:dyDescent="0.25">
      <c r="A105" s="10">
        <v>9</v>
      </c>
      <c r="B105" s="11">
        <v>11</v>
      </c>
      <c r="C105" s="12" t="s">
        <v>103</v>
      </c>
    </row>
    <row r="106" spans="1:3" x14ac:dyDescent="0.25">
      <c r="A106" s="7">
        <v>8</v>
      </c>
      <c r="B106" s="8">
        <v>3</v>
      </c>
      <c r="C106" s="9" t="s">
        <v>104</v>
      </c>
    </row>
    <row r="107" spans="1:3" x14ac:dyDescent="0.25">
      <c r="A107" s="10">
        <v>1</v>
      </c>
      <c r="B107" s="11">
        <v>6</v>
      </c>
      <c r="C107" s="12" t="s">
        <v>105</v>
      </c>
    </row>
    <row r="108" spans="1:3" x14ac:dyDescent="0.25">
      <c r="A108" s="7">
        <v>10</v>
      </c>
      <c r="B108" s="8">
        <v>9</v>
      </c>
      <c r="C108" s="9" t="s">
        <v>106</v>
      </c>
    </row>
    <row r="109" spans="1:3" x14ac:dyDescent="0.25">
      <c r="A109" s="10">
        <v>2</v>
      </c>
      <c r="B109" s="11">
        <v>11</v>
      </c>
      <c r="C109" s="12" t="s">
        <v>107</v>
      </c>
    </row>
    <row r="110" spans="1:3" x14ac:dyDescent="0.25">
      <c r="A110" s="7">
        <v>6</v>
      </c>
      <c r="B110" s="8">
        <v>12</v>
      </c>
      <c r="C110" s="9" t="s">
        <v>108</v>
      </c>
    </row>
    <row r="111" spans="1:3" x14ac:dyDescent="0.25">
      <c r="A111" s="10">
        <v>2</v>
      </c>
      <c r="B111" s="11">
        <v>14</v>
      </c>
      <c r="C111" s="12" t="s">
        <v>109</v>
      </c>
    </row>
    <row r="112" spans="1:3" x14ac:dyDescent="0.25">
      <c r="A112" s="7">
        <v>4</v>
      </c>
      <c r="B112" s="8">
        <v>2</v>
      </c>
      <c r="C112" s="9" t="s">
        <v>110</v>
      </c>
    </row>
    <row r="113" spans="1:3" x14ac:dyDescent="0.25">
      <c r="A113" s="10">
        <v>9</v>
      </c>
      <c r="B113" s="11">
        <v>8</v>
      </c>
      <c r="C113" s="12" t="s">
        <v>111</v>
      </c>
    </row>
    <row r="114" spans="1:3" x14ac:dyDescent="0.25">
      <c r="A114" s="7">
        <v>2</v>
      </c>
      <c r="B114" s="8">
        <v>4</v>
      </c>
      <c r="C114" s="9" t="s">
        <v>112</v>
      </c>
    </row>
    <row r="115" spans="1:3" x14ac:dyDescent="0.25">
      <c r="A115" s="10">
        <v>11</v>
      </c>
      <c r="B115" s="11">
        <v>11</v>
      </c>
      <c r="C115" s="12" t="s">
        <v>113</v>
      </c>
    </row>
    <row r="116" spans="1:3" x14ac:dyDescent="0.25">
      <c r="A116" s="7">
        <v>8</v>
      </c>
      <c r="B116" s="8">
        <v>1</v>
      </c>
      <c r="C116" s="9" t="s">
        <v>114</v>
      </c>
    </row>
    <row r="117" spans="1:3" x14ac:dyDescent="0.25">
      <c r="A117" s="10">
        <v>13</v>
      </c>
      <c r="B117" s="11">
        <v>9</v>
      </c>
      <c r="C117" s="12" t="s">
        <v>115</v>
      </c>
    </row>
    <row r="118" spans="1:3" x14ac:dyDescent="0.25">
      <c r="A118" s="7">
        <v>7</v>
      </c>
      <c r="B118" s="8">
        <v>13</v>
      </c>
      <c r="C118" s="9" t="s">
        <v>116</v>
      </c>
    </row>
    <row r="119" spans="1:3" x14ac:dyDescent="0.25">
      <c r="A119" s="10">
        <v>7</v>
      </c>
      <c r="B119" s="11">
        <v>11</v>
      </c>
      <c r="C119" s="12" t="s">
        <v>117</v>
      </c>
    </row>
    <row r="120" spans="1:3" x14ac:dyDescent="0.25">
      <c r="A120" s="7">
        <v>9</v>
      </c>
      <c r="B120" s="8">
        <v>11</v>
      </c>
      <c r="C120" s="9" t="s">
        <v>118</v>
      </c>
    </row>
    <row r="121" spans="1:3" x14ac:dyDescent="0.25">
      <c r="A121" s="10">
        <v>6</v>
      </c>
      <c r="B121" s="11">
        <v>1</v>
      </c>
      <c r="C121" s="12" t="s">
        <v>119</v>
      </c>
    </row>
    <row r="122" spans="1:3" x14ac:dyDescent="0.25">
      <c r="A122" s="7">
        <v>14</v>
      </c>
      <c r="B122" s="8">
        <v>6</v>
      </c>
      <c r="C122" s="9" t="s">
        <v>120</v>
      </c>
    </row>
    <row r="123" spans="1:3" x14ac:dyDescent="0.25">
      <c r="A123" s="10">
        <v>14</v>
      </c>
      <c r="B123" s="11">
        <v>10</v>
      </c>
      <c r="C123" s="12" t="s">
        <v>121</v>
      </c>
    </row>
    <row r="124" spans="1:3" x14ac:dyDescent="0.25">
      <c r="A124" s="7">
        <v>7</v>
      </c>
      <c r="B124" s="8">
        <v>7</v>
      </c>
      <c r="C124" s="9" t="s">
        <v>122</v>
      </c>
    </row>
    <row r="125" spans="1:3" x14ac:dyDescent="0.25">
      <c r="A125" s="10">
        <v>11</v>
      </c>
      <c r="B125" s="11">
        <v>1</v>
      </c>
      <c r="C125" s="12" t="s">
        <v>123</v>
      </c>
    </row>
    <row r="126" spans="1:3" x14ac:dyDescent="0.25">
      <c r="A126" s="7">
        <v>11</v>
      </c>
      <c r="B126" s="8">
        <v>3</v>
      </c>
      <c r="C126" s="9" t="s">
        <v>124</v>
      </c>
    </row>
    <row r="127" spans="1:3" x14ac:dyDescent="0.25">
      <c r="A127" s="10">
        <v>11</v>
      </c>
      <c r="B127" s="11">
        <v>2</v>
      </c>
      <c r="C127" s="12" t="s">
        <v>125</v>
      </c>
    </row>
    <row r="128" spans="1:3" x14ac:dyDescent="0.25">
      <c r="A128" s="7">
        <v>12</v>
      </c>
      <c r="B128" s="8">
        <v>2</v>
      </c>
      <c r="C128" s="9" t="s">
        <v>126</v>
      </c>
    </row>
    <row r="129" spans="1:3" x14ac:dyDescent="0.25">
      <c r="A129" s="10">
        <v>3</v>
      </c>
      <c r="B129" s="11">
        <v>14</v>
      </c>
      <c r="C129" s="12" t="s">
        <v>127</v>
      </c>
    </row>
    <row r="130" spans="1:3" x14ac:dyDescent="0.25">
      <c r="A130" s="7">
        <v>3</v>
      </c>
      <c r="B130" s="8">
        <v>6</v>
      </c>
      <c r="C130" s="9" t="s">
        <v>128</v>
      </c>
    </row>
    <row r="131" spans="1:3" x14ac:dyDescent="0.25">
      <c r="A131" s="10">
        <v>12</v>
      </c>
      <c r="B131" s="11">
        <v>2</v>
      </c>
      <c r="C131" s="12" t="s">
        <v>129</v>
      </c>
    </row>
    <row r="132" spans="1:3" x14ac:dyDescent="0.25">
      <c r="A132" s="7">
        <v>7</v>
      </c>
      <c r="B132" s="8">
        <v>8</v>
      </c>
      <c r="C132" s="9" t="s">
        <v>130</v>
      </c>
    </row>
    <row r="133" spans="1:3" x14ac:dyDescent="0.25">
      <c r="A133" s="10">
        <v>10</v>
      </c>
      <c r="B133" s="11">
        <v>12</v>
      </c>
      <c r="C133" s="12" t="s">
        <v>131</v>
      </c>
    </row>
    <row r="134" spans="1:3" x14ac:dyDescent="0.25">
      <c r="A134" s="7">
        <v>2</v>
      </c>
      <c r="B134" s="8">
        <v>14</v>
      </c>
      <c r="C134" s="9" t="s">
        <v>132</v>
      </c>
    </row>
    <row r="135" spans="1:3" x14ac:dyDescent="0.25">
      <c r="A135" s="10">
        <v>14</v>
      </c>
      <c r="B135" s="11">
        <v>11</v>
      </c>
      <c r="C135" s="12" t="s">
        <v>133</v>
      </c>
    </row>
    <row r="136" spans="1:3" x14ac:dyDescent="0.25">
      <c r="A136" s="7">
        <v>9</v>
      </c>
      <c r="B136" s="8">
        <v>10</v>
      </c>
      <c r="C136" s="9" t="s">
        <v>134</v>
      </c>
    </row>
    <row r="137" spans="1:3" x14ac:dyDescent="0.25">
      <c r="A137" s="10">
        <v>2</v>
      </c>
      <c r="B137" s="11">
        <v>14</v>
      </c>
      <c r="C137" s="12" t="s">
        <v>135</v>
      </c>
    </row>
    <row r="138" spans="1:3" x14ac:dyDescent="0.25">
      <c r="A138" s="7">
        <v>11</v>
      </c>
      <c r="B138" s="8">
        <v>3</v>
      </c>
      <c r="C138" s="9" t="s">
        <v>136</v>
      </c>
    </row>
    <row r="139" spans="1:3" x14ac:dyDescent="0.25">
      <c r="A139" s="10">
        <v>2</v>
      </c>
      <c r="B139" s="11">
        <v>1</v>
      </c>
      <c r="C139" s="12" t="s">
        <v>137</v>
      </c>
    </row>
    <row r="140" spans="1:3" x14ac:dyDescent="0.25">
      <c r="A140" s="7">
        <v>14</v>
      </c>
      <c r="B140" s="8">
        <v>3</v>
      </c>
      <c r="C140" s="9" t="s">
        <v>138</v>
      </c>
    </row>
    <row r="141" spans="1:3" x14ac:dyDescent="0.25">
      <c r="A141" s="10">
        <v>6</v>
      </c>
      <c r="B141" s="11">
        <v>6</v>
      </c>
      <c r="C141" s="12" t="s">
        <v>139</v>
      </c>
    </row>
    <row r="142" spans="1:3" x14ac:dyDescent="0.25">
      <c r="A142" s="7">
        <v>5</v>
      </c>
      <c r="B142" s="8">
        <v>14</v>
      </c>
      <c r="C142" s="9" t="s">
        <v>140</v>
      </c>
    </row>
    <row r="143" spans="1:3" x14ac:dyDescent="0.25">
      <c r="A143" s="10">
        <v>2</v>
      </c>
      <c r="B143" s="11">
        <v>8</v>
      </c>
      <c r="C143" s="12" t="s">
        <v>141</v>
      </c>
    </row>
    <row r="144" spans="1:3" x14ac:dyDescent="0.25">
      <c r="A144" s="7">
        <v>10</v>
      </c>
      <c r="B144" s="8">
        <v>15</v>
      </c>
      <c r="C144" s="9" t="s">
        <v>142</v>
      </c>
    </row>
    <row r="145" spans="1:3" x14ac:dyDescent="0.25">
      <c r="A145" s="2">
        <v>3</v>
      </c>
      <c r="B145" s="3">
        <v>15</v>
      </c>
      <c r="C145" s="13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3DF5E-2A7D-42C4-B6F6-D6C7E42900D2}">
  <dimension ref="A1:K145"/>
  <sheetViews>
    <sheetView workbookViewId="0">
      <selection activeCell="H10" sqref="H10"/>
    </sheetView>
  </sheetViews>
  <sheetFormatPr defaultRowHeight="15" x14ac:dyDescent="0.25"/>
  <cols>
    <col min="1" max="3" width="11.140625" bestFit="1" customWidth="1"/>
    <col min="5" max="6" width="17.7109375" bestFit="1" customWidth="1"/>
    <col min="7" max="7" width="24.85546875" bestFit="1" customWidth="1"/>
    <col min="10" max="10" width="12.42578125" bestFit="1" customWidth="1"/>
  </cols>
  <sheetData>
    <row r="1" spans="1:11" x14ac:dyDescent="0.25">
      <c r="A1" s="4" t="s">
        <v>144</v>
      </c>
      <c r="B1" s="5" t="s">
        <v>145</v>
      </c>
      <c r="C1" s="6" t="s">
        <v>146</v>
      </c>
      <c r="D1" s="16" t="s">
        <v>150</v>
      </c>
    </row>
    <row r="2" spans="1:11" x14ac:dyDescent="0.25">
      <c r="A2" s="7">
        <v>3</v>
      </c>
      <c r="B2" s="8">
        <v>5</v>
      </c>
      <c r="C2" s="9" t="s">
        <v>0</v>
      </c>
      <c r="D2" t="str">
        <f>LEFT(C2,2)</f>
        <v>NN</v>
      </c>
      <c r="F2" s="14" t="s">
        <v>147</v>
      </c>
      <c r="G2" t="s">
        <v>149</v>
      </c>
      <c r="J2" t="s">
        <v>172</v>
      </c>
      <c r="K2">
        <v>78</v>
      </c>
    </row>
    <row r="3" spans="1:11" x14ac:dyDescent="0.25">
      <c r="A3" s="10">
        <v>12</v>
      </c>
      <c r="B3" s="11">
        <v>13</v>
      </c>
      <c r="C3" s="12" t="s">
        <v>1</v>
      </c>
      <c r="D3" t="str">
        <f t="shared" ref="D3:D66" si="0">LEFT(C3,2)</f>
        <v>FO</v>
      </c>
      <c r="F3" s="15" t="s">
        <v>151</v>
      </c>
      <c r="G3" s="1">
        <v>2</v>
      </c>
      <c r="J3" t="s">
        <v>173</v>
      </c>
      <c r="K3">
        <v>21</v>
      </c>
    </row>
    <row r="4" spans="1:11" x14ac:dyDescent="0.25">
      <c r="A4" s="7">
        <v>1</v>
      </c>
      <c r="B4" s="8">
        <v>10</v>
      </c>
      <c r="C4" s="9" t="s">
        <v>2</v>
      </c>
      <c r="D4" t="str">
        <f t="shared" si="0"/>
        <v>GN</v>
      </c>
      <c r="F4" s="15" t="s">
        <v>152</v>
      </c>
      <c r="G4" s="1">
        <v>2</v>
      </c>
    </row>
    <row r="5" spans="1:11" x14ac:dyDescent="0.25">
      <c r="A5" s="10">
        <v>7</v>
      </c>
      <c r="B5" s="11">
        <v>2</v>
      </c>
      <c r="C5" s="12" t="s">
        <v>3</v>
      </c>
      <c r="D5" t="str">
        <f t="shared" si="0"/>
        <v>EA</v>
      </c>
      <c r="F5" s="15" t="s">
        <v>153</v>
      </c>
      <c r="G5" s="1">
        <v>2</v>
      </c>
    </row>
    <row r="6" spans="1:11" x14ac:dyDescent="0.25">
      <c r="A6" s="7">
        <v>10</v>
      </c>
      <c r="B6" s="8">
        <v>7</v>
      </c>
      <c r="C6" s="9" t="s">
        <v>4</v>
      </c>
      <c r="D6" t="str">
        <f t="shared" si="0"/>
        <v>FN</v>
      </c>
      <c r="F6" s="15" t="s">
        <v>154</v>
      </c>
      <c r="G6" s="1">
        <v>2</v>
      </c>
    </row>
    <row r="7" spans="1:11" x14ac:dyDescent="0.25">
      <c r="A7" s="10">
        <v>9</v>
      </c>
      <c r="B7" s="11">
        <v>14</v>
      </c>
      <c r="C7" s="12" t="s">
        <v>5</v>
      </c>
      <c r="D7" t="str">
        <f t="shared" si="0"/>
        <v>CI</v>
      </c>
      <c r="F7" s="15" t="s">
        <v>155</v>
      </c>
      <c r="G7" s="1">
        <v>2</v>
      </c>
    </row>
    <row r="8" spans="1:11" x14ac:dyDescent="0.25">
      <c r="A8" s="7">
        <v>4</v>
      </c>
      <c r="B8" s="8">
        <v>10</v>
      </c>
      <c r="C8" s="9" t="s">
        <v>6</v>
      </c>
      <c r="D8" t="str">
        <f t="shared" si="0"/>
        <v>KP</v>
      </c>
      <c r="F8" s="15" t="s">
        <v>156</v>
      </c>
      <c r="G8" s="1">
        <v>2</v>
      </c>
    </row>
    <row r="9" spans="1:11" x14ac:dyDescent="0.25">
      <c r="A9" s="10">
        <v>4</v>
      </c>
      <c r="B9" s="11">
        <v>7</v>
      </c>
      <c r="C9" s="12" t="s">
        <v>7</v>
      </c>
      <c r="D9" t="str">
        <f t="shared" si="0"/>
        <v>DB</v>
      </c>
      <c r="F9" s="15" t="s">
        <v>157</v>
      </c>
      <c r="G9" s="1">
        <v>2</v>
      </c>
    </row>
    <row r="10" spans="1:11" x14ac:dyDescent="0.25">
      <c r="A10" s="7">
        <v>3</v>
      </c>
      <c r="B10" s="8">
        <v>2</v>
      </c>
      <c r="C10" s="9" t="s">
        <v>8</v>
      </c>
      <c r="D10" t="str">
        <f t="shared" si="0"/>
        <v>DE</v>
      </c>
      <c r="F10" s="15" t="s">
        <v>158</v>
      </c>
      <c r="G10" s="1">
        <v>2</v>
      </c>
    </row>
    <row r="11" spans="1:11" x14ac:dyDescent="0.25">
      <c r="A11" s="10">
        <v>7</v>
      </c>
      <c r="B11" s="11">
        <v>12</v>
      </c>
      <c r="C11" s="12" t="s">
        <v>9</v>
      </c>
      <c r="D11" t="str">
        <f t="shared" si="0"/>
        <v>HL</v>
      </c>
      <c r="F11" s="15" t="s">
        <v>159</v>
      </c>
      <c r="G11" s="1">
        <v>2</v>
      </c>
    </row>
    <row r="12" spans="1:11" x14ac:dyDescent="0.25">
      <c r="A12" s="7">
        <v>11</v>
      </c>
      <c r="B12" s="8">
        <v>12</v>
      </c>
      <c r="C12" s="9" t="s">
        <v>10</v>
      </c>
      <c r="D12" t="str">
        <f t="shared" si="0"/>
        <v>CG</v>
      </c>
      <c r="F12" s="15" t="s">
        <v>160</v>
      </c>
      <c r="G12" s="1">
        <v>2</v>
      </c>
    </row>
    <row r="13" spans="1:11" x14ac:dyDescent="0.25">
      <c r="A13" s="10">
        <v>15</v>
      </c>
      <c r="B13" s="11">
        <v>14</v>
      </c>
      <c r="C13" s="12" t="s">
        <v>11</v>
      </c>
      <c r="D13" t="str">
        <f t="shared" si="0"/>
        <v>BD</v>
      </c>
      <c r="F13" s="15" t="s">
        <v>161</v>
      </c>
      <c r="G13" s="1">
        <v>2</v>
      </c>
    </row>
    <row r="14" spans="1:11" x14ac:dyDescent="0.25">
      <c r="A14" s="7">
        <v>11</v>
      </c>
      <c r="B14" s="8">
        <v>9</v>
      </c>
      <c r="C14" s="9" t="s">
        <v>12</v>
      </c>
      <c r="D14" t="str">
        <f t="shared" si="0"/>
        <v>KJ</v>
      </c>
      <c r="F14" s="15" t="s">
        <v>162</v>
      </c>
      <c r="G14" s="1">
        <v>2</v>
      </c>
    </row>
    <row r="15" spans="1:11" x14ac:dyDescent="0.25">
      <c r="A15" s="10">
        <v>3</v>
      </c>
      <c r="B15" s="11">
        <v>6</v>
      </c>
      <c r="C15" s="12" t="s">
        <v>13</v>
      </c>
      <c r="D15" t="str">
        <f t="shared" si="0"/>
        <v>BH</v>
      </c>
      <c r="F15" s="15" t="s">
        <v>163</v>
      </c>
      <c r="G15" s="1">
        <v>2</v>
      </c>
    </row>
    <row r="16" spans="1:11" x14ac:dyDescent="0.25">
      <c r="A16" s="7">
        <v>1</v>
      </c>
      <c r="B16" s="8">
        <v>7</v>
      </c>
      <c r="C16" s="9" t="s">
        <v>14</v>
      </c>
      <c r="D16" t="str">
        <f t="shared" si="0"/>
        <v>KI</v>
      </c>
      <c r="F16" s="15" t="s">
        <v>164</v>
      </c>
      <c r="G16" s="1">
        <v>2</v>
      </c>
    </row>
    <row r="17" spans="1:7" x14ac:dyDescent="0.25">
      <c r="A17" s="10">
        <v>11</v>
      </c>
      <c r="B17" s="11">
        <v>7</v>
      </c>
      <c r="C17" s="12" t="s">
        <v>15</v>
      </c>
      <c r="D17" t="str">
        <f t="shared" si="0"/>
        <v>EH</v>
      </c>
      <c r="F17" s="15" t="s">
        <v>165</v>
      </c>
      <c r="G17" s="1">
        <v>2</v>
      </c>
    </row>
    <row r="18" spans="1:7" x14ac:dyDescent="0.25">
      <c r="A18" s="7">
        <v>2</v>
      </c>
      <c r="B18" s="8">
        <v>2</v>
      </c>
      <c r="C18" s="9" t="s">
        <v>16</v>
      </c>
      <c r="D18" t="str">
        <f t="shared" si="0"/>
        <v>DP</v>
      </c>
      <c r="F18" s="15" t="s">
        <v>166</v>
      </c>
      <c r="G18" s="1">
        <v>2</v>
      </c>
    </row>
    <row r="19" spans="1:7" x14ac:dyDescent="0.25">
      <c r="A19" s="10">
        <v>9</v>
      </c>
      <c r="B19" s="11">
        <v>10</v>
      </c>
      <c r="C19" s="12" t="s">
        <v>17</v>
      </c>
      <c r="D19" t="str">
        <f t="shared" si="0"/>
        <v>MD</v>
      </c>
      <c r="F19" s="15" t="s">
        <v>167</v>
      </c>
      <c r="G19" s="1">
        <v>2</v>
      </c>
    </row>
    <row r="20" spans="1:7" x14ac:dyDescent="0.25">
      <c r="A20" s="7">
        <v>2</v>
      </c>
      <c r="B20" s="8">
        <v>13</v>
      </c>
      <c r="C20" s="9" t="s">
        <v>18</v>
      </c>
      <c r="D20" t="str">
        <f t="shared" si="0"/>
        <v>CC</v>
      </c>
      <c r="F20" s="15" t="s">
        <v>168</v>
      </c>
      <c r="G20" s="1">
        <v>2</v>
      </c>
    </row>
    <row r="21" spans="1:7" x14ac:dyDescent="0.25">
      <c r="A21" s="10">
        <v>13</v>
      </c>
      <c r="B21" s="11">
        <v>14</v>
      </c>
      <c r="C21" s="12" t="s">
        <v>19</v>
      </c>
      <c r="D21" t="str">
        <f t="shared" si="0"/>
        <v>IB</v>
      </c>
      <c r="F21" s="15" t="s">
        <v>169</v>
      </c>
      <c r="G21" s="1">
        <v>2</v>
      </c>
    </row>
    <row r="22" spans="1:7" x14ac:dyDescent="0.25">
      <c r="A22" s="7">
        <v>10</v>
      </c>
      <c r="B22" s="8">
        <v>15</v>
      </c>
      <c r="C22" s="9" t="s">
        <v>20</v>
      </c>
      <c r="D22" t="str">
        <f t="shared" si="0"/>
        <v>NE</v>
      </c>
      <c r="F22" s="15" t="s">
        <v>170</v>
      </c>
      <c r="G22" s="1">
        <v>2</v>
      </c>
    </row>
    <row r="23" spans="1:7" x14ac:dyDescent="0.25">
      <c r="A23" s="10">
        <v>6</v>
      </c>
      <c r="B23" s="11">
        <v>9</v>
      </c>
      <c r="C23" s="12" t="s">
        <v>21</v>
      </c>
      <c r="D23" t="str">
        <f t="shared" si="0"/>
        <v>HP</v>
      </c>
      <c r="F23" s="15" t="s">
        <v>171</v>
      </c>
      <c r="G23" s="1">
        <v>2</v>
      </c>
    </row>
    <row r="24" spans="1:7" x14ac:dyDescent="0.25">
      <c r="A24" s="7">
        <v>5</v>
      </c>
      <c r="B24" s="8">
        <v>6</v>
      </c>
      <c r="C24" s="9" t="s">
        <v>22</v>
      </c>
      <c r="D24" t="str">
        <f t="shared" si="0"/>
        <v>BM</v>
      </c>
      <c r="F24" s="15" t="s">
        <v>148</v>
      </c>
      <c r="G24" s="1">
        <v>42</v>
      </c>
    </row>
    <row r="25" spans="1:7" x14ac:dyDescent="0.25">
      <c r="A25" s="10">
        <v>13</v>
      </c>
      <c r="B25" s="11">
        <v>13</v>
      </c>
      <c r="C25" s="12" t="s">
        <v>23</v>
      </c>
      <c r="D25" t="str">
        <f t="shared" si="0"/>
        <v>NH</v>
      </c>
    </row>
    <row r="26" spans="1:7" x14ac:dyDescent="0.25">
      <c r="A26" s="7">
        <v>11</v>
      </c>
      <c r="B26" s="8">
        <v>1</v>
      </c>
      <c r="C26" s="9" t="s">
        <v>24</v>
      </c>
      <c r="D26" t="str">
        <f t="shared" si="0"/>
        <v>LJ</v>
      </c>
    </row>
    <row r="27" spans="1:7" x14ac:dyDescent="0.25">
      <c r="A27" s="10">
        <v>10</v>
      </c>
      <c r="B27" s="11">
        <v>6</v>
      </c>
      <c r="C27" s="12" t="s">
        <v>25</v>
      </c>
      <c r="D27" t="str">
        <f t="shared" si="0"/>
        <v>KE</v>
      </c>
    </row>
    <row r="28" spans="1:7" x14ac:dyDescent="0.25">
      <c r="A28" s="7">
        <v>11</v>
      </c>
      <c r="B28" s="8">
        <v>12</v>
      </c>
      <c r="C28" s="9" t="s">
        <v>26</v>
      </c>
      <c r="D28" t="str">
        <f t="shared" si="0"/>
        <v>DA</v>
      </c>
    </row>
    <row r="29" spans="1:7" x14ac:dyDescent="0.25">
      <c r="A29" s="10">
        <v>4</v>
      </c>
      <c r="B29" s="11">
        <v>9</v>
      </c>
      <c r="C29" s="12" t="s">
        <v>27</v>
      </c>
      <c r="D29" t="str">
        <f t="shared" si="0"/>
        <v>BF</v>
      </c>
    </row>
    <row r="30" spans="1:7" x14ac:dyDescent="0.25">
      <c r="A30" s="7">
        <v>4</v>
      </c>
      <c r="B30" s="8">
        <v>1</v>
      </c>
      <c r="C30" s="9" t="s">
        <v>28</v>
      </c>
      <c r="D30" t="str">
        <f t="shared" si="0"/>
        <v>AE</v>
      </c>
    </row>
    <row r="31" spans="1:7" x14ac:dyDescent="0.25">
      <c r="A31" s="10">
        <v>2</v>
      </c>
      <c r="B31" s="11">
        <v>11</v>
      </c>
      <c r="C31" s="12" t="s">
        <v>29</v>
      </c>
      <c r="D31" t="str">
        <f t="shared" si="0"/>
        <v>AK</v>
      </c>
    </row>
    <row r="32" spans="1:7" x14ac:dyDescent="0.25">
      <c r="A32" s="7">
        <v>7</v>
      </c>
      <c r="B32" s="8">
        <v>2</v>
      </c>
      <c r="C32" s="9" t="s">
        <v>30</v>
      </c>
      <c r="D32" t="str">
        <f t="shared" si="0"/>
        <v>GH</v>
      </c>
    </row>
    <row r="33" spans="1:4" x14ac:dyDescent="0.25">
      <c r="A33" s="10">
        <v>11</v>
      </c>
      <c r="B33" s="11">
        <v>14</v>
      </c>
      <c r="C33" s="12" t="s">
        <v>31</v>
      </c>
      <c r="D33" t="str">
        <f t="shared" si="0"/>
        <v>HE</v>
      </c>
    </row>
    <row r="34" spans="1:4" x14ac:dyDescent="0.25">
      <c r="A34" s="7">
        <v>6</v>
      </c>
      <c r="B34" s="8">
        <v>3</v>
      </c>
      <c r="C34" s="9" t="s">
        <v>32</v>
      </c>
      <c r="D34" t="str">
        <f t="shared" si="0"/>
        <v>JP</v>
      </c>
    </row>
    <row r="35" spans="1:4" x14ac:dyDescent="0.25">
      <c r="A35" s="10">
        <v>11</v>
      </c>
      <c r="B35" s="11">
        <v>5</v>
      </c>
      <c r="C35" s="12" t="s">
        <v>33</v>
      </c>
      <c r="D35" t="str">
        <f t="shared" si="0"/>
        <v>EL</v>
      </c>
    </row>
    <row r="36" spans="1:4" x14ac:dyDescent="0.25">
      <c r="A36" s="7">
        <v>5</v>
      </c>
      <c r="B36" s="8">
        <v>9</v>
      </c>
      <c r="C36" s="9" t="s">
        <v>34</v>
      </c>
      <c r="D36" t="str">
        <f t="shared" si="0"/>
        <v>NO</v>
      </c>
    </row>
    <row r="37" spans="1:4" x14ac:dyDescent="0.25">
      <c r="A37" s="10">
        <v>9</v>
      </c>
      <c r="B37" s="11">
        <v>5</v>
      </c>
      <c r="C37" s="12" t="s">
        <v>35</v>
      </c>
      <c r="D37" t="str">
        <f t="shared" si="0"/>
        <v>HA</v>
      </c>
    </row>
    <row r="38" spans="1:4" x14ac:dyDescent="0.25">
      <c r="A38" s="7">
        <v>11</v>
      </c>
      <c r="B38" s="8">
        <v>4</v>
      </c>
      <c r="C38" s="9" t="s">
        <v>36</v>
      </c>
      <c r="D38" t="str">
        <f t="shared" si="0"/>
        <v>BD</v>
      </c>
    </row>
    <row r="39" spans="1:4" x14ac:dyDescent="0.25">
      <c r="A39" s="10">
        <v>15</v>
      </c>
      <c r="B39" s="11">
        <v>5</v>
      </c>
      <c r="C39" s="12" t="s">
        <v>37</v>
      </c>
      <c r="D39" t="str">
        <f t="shared" si="0"/>
        <v>AC</v>
      </c>
    </row>
    <row r="40" spans="1:4" x14ac:dyDescent="0.25">
      <c r="A40" s="7">
        <v>12</v>
      </c>
      <c r="B40" s="8">
        <v>1</v>
      </c>
      <c r="C40" s="9" t="s">
        <v>38</v>
      </c>
      <c r="D40" t="str">
        <f t="shared" si="0"/>
        <v>EB</v>
      </c>
    </row>
    <row r="41" spans="1:4" x14ac:dyDescent="0.25">
      <c r="A41" s="10">
        <v>2</v>
      </c>
      <c r="B41" s="11">
        <v>5</v>
      </c>
      <c r="C41" s="12" t="s">
        <v>39</v>
      </c>
      <c r="D41" t="str">
        <f t="shared" si="0"/>
        <v>CJ</v>
      </c>
    </row>
    <row r="42" spans="1:4" x14ac:dyDescent="0.25">
      <c r="A42" s="7">
        <v>11</v>
      </c>
      <c r="B42" s="8">
        <v>11</v>
      </c>
      <c r="C42" s="9" t="s">
        <v>40</v>
      </c>
      <c r="D42" t="str">
        <f t="shared" si="0"/>
        <v>MI</v>
      </c>
    </row>
    <row r="43" spans="1:4" x14ac:dyDescent="0.25">
      <c r="A43" s="10">
        <v>2</v>
      </c>
      <c r="B43" s="11">
        <v>3</v>
      </c>
      <c r="C43" s="12" t="s">
        <v>41</v>
      </c>
      <c r="D43" t="str">
        <f t="shared" si="0"/>
        <v>KK</v>
      </c>
    </row>
    <row r="44" spans="1:4" x14ac:dyDescent="0.25">
      <c r="A44" s="7">
        <v>6</v>
      </c>
      <c r="B44" s="8">
        <v>13</v>
      </c>
      <c r="C44" s="9" t="s">
        <v>42</v>
      </c>
      <c r="D44" t="str">
        <f t="shared" si="0"/>
        <v>MN</v>
      </c>
    </row>
    <row r="45" spans="1:4" x14ac:dyDescent="0.25">
      <c r="A45" s="10">
        <v>4</v>
      </c>
      <c r="B45" s="11">
        <v>11</v>
      </c>
      <c r="C45" s="12" t="s">
        <v>43</v>
      </c>
      <c r="D45" t="str">
        <f t="shared" si="0"/>
        <v>GL</v>
      </c>
    </row>
    <row r="46" spans="1:4" x14ac:dyDescent="0.25">
      <c r="A46" s="7">
        <v>7</v>
      </c>
      <c r="B46" s="8">
        <v>10</v>
      </c>
      <c r="C46" s="9" t="s">
        <v>44</v>
      </c>
      <c r="D46" t="str">
        <f t="shared" si="0"/>
        <v>DA</v>
      </c>
    </row>
    <row r="47" spans="1:4" x14ac:dyDescent="0.25">
      <c r="A47" s="10">
        <v>8</v>
      </c>
      <c r="B47" s="11">
        <v>6</v>
      </c>
      <c r="C47" s="12" t="s">
        <v>45</v>
      </c>
      <c r="D47" t="str">
        <f t="shared" si="0"/>
        <v>MK</v>
      </c>
    </row>
    <row r="48" spans="1:4" x14ac:dyDescent="0.25">
      <c r="A48" s="7">
        <v>3</v>
      </c>
      <c r="B48" s="8">
        <v>14</v>
      </c>
      <c r="C48" s="9" t="s">
        <v>46</v>
      </c>
      <c r="D48" t="str">
        <f t="shared" si="0"/>
        <v>NM</v>
      </c>
    </row>
    <row r="49" spans="1:4" x14ac:dyDescent="0.25">
      <c r="A49" s="10">
        <v>7</v>
      </c>
      <c r="B49" s="11">
        <v>13</v>
      </c>
      <c r="C49" s="12" t="s">
        <v>47</v>
      </c>
      <c r="D49" t="str">
        <f t="shared" si="0"/>
        <v>JM</v>
      </c>
    </row>
    <row r="50" spans="1:4" x14ac:dyDescent="0.25">
      <c r="A50" s="7">
        <v>15</v>
      </c>
      <c r="B50" s="8">
        <v>11</v>
      </c>
      <c r="C50" s="9" t="s">
        <v>48</v>
      </c>
      <c r="D50" t="str">
        <f t="shared" si="0"/>
        <v>BA</v>
      </c>
    </row>
    <row r="51" spans="1:4" x14ac:dyDescent="0.25">
      <c r="A51" s="10">
        <v>11</v>
      </c>
      <c r="B51" s="11">
        <v>8</v>
      </c>
      <c r="C51" s="12" t="s">
        <v>49</v>
      </c>
      <c r="D51" t="str">
        <f t="shared" si="0"/>
        <v>DE</v>
      </c>
    </row>
    <row r="52" spans="1:4" x14ac:dyDescent="0.25">
      <c r="A52" s="7">
        <v>6</v>
      </c>
      <c r="B52" s="8">
        <v>10</v>
      </c>
      <c r="C52" s="9" t="s">
        <v>50</v>
      </c>
      <c r="D52" t="str">
        <f t="shared" si="0"/>
        <v>AG</v>
      </c>
    </row>
    <row r="53" spans="1:4" x14ac:dyDescent="0.25">
      <c r="A53" s="10">
        <v>3</v>
      </c>
      <c r="B53" s="11">
        <v>12</v>
      </c>
      <c r="C53" s="12" t="s">
        <v>51</v>
      </c>
      <c r="D53" t="str">
        <f t="shared" si="0"/>
        <v>FC</v>
      </c>
    </row>
    <row r="54" spans="1:4" x14ac:dyDescent="0.25">
      <c r="A54" s="7">
        <v>13</v>
      </c>
      <c r="B54" s="8">
        <v>11</v>
      </c>
      <c r="C54" s="9" t="s">
        <v>52</v>
      </c>
      <c r="D54" t="str">
        <f t="shared" si="0"/>
        <v>DE</v>
      </c>
    </row>
    <row r="55" spans="1:4" x14ac:dyDescent="0.25">
      <c r="A55" s="10">
        <v>15</v>
      </c>
      <c r="B55" s="11">
        <v>12</v>
      </c>
      <c r="C55" s="12" t="s">
        <v>53</v>
      </c>
      <c r="D55" t="str">
        <f t="shared" si="0"/>
        <v>PJ</v>
      </c>
    </row>
    <row r="56" spans="1:4" x14ac:dyDescent="0.25">
      <c r="A56" s="7">
        <v>1</v>
      </c>
      <c r="B56" s="8">
        <v>13</v>
      </c>
      <c r="C56" s="9" t="s">
        <v>54</v>
      </c>
      <c r="D56" t="str">
        <f t="shared" si="0"/>
        <v>GK</v>
      </c>
    </row>
    <row r="57" spans="1:4" x14ac:dyDescent="0.25">
      <c r="A57" s="10">
        <v>15</v>
      </c>
      <c r="B57" s="11">
        <v>7</v>
      </c>
      <c r="C57" s="12" t="s">
        <v>55</v>
      </c>
      <c r="D57" t="str">
        <f t="shared" si="0"/>
        <v>BO</v>
      </c>
    </row>
    <row r="58" spans="1:4" x14ac:dyDescent="0.25">
      <c r="A58" s="7">
        <v>14</v>
      </c>
      <c r="B58" s="8">
        <v>10</v>
      </c>
      <c r="C58" s="9" t="s">
        <v>56</v>
      </c>
      <c r="D58" t="str">
        <f t="shared" si="0"/>
        <v>KK</v>
      </c>
    </row>
    <row r="59" spans="1:4" x14ac:dyDescent="0.25">
      <c r="A59" s="10">
        <v>7</v>
      </c>
      <c r="B59" s="11">
        <v>1</v>
      </c>
      <c r="C59" s="12" t="s">
        <v>57</v>
      </c>
      <c r="D59" t="str">
        <f t="shared" si="0"/>
        <v>AI</v>
      </c>
    </row>
    <row r="60" spans="1:4" x14ac:dyDescent="0.25">
      <c r="A60" s="7">
        <v>7</v>
      </c>
      <c r="B60" s="8">
        <v>5</v>
      </c>
      <c r="C60" s="9" t="s">
        <v>58</v>
      </c>
      <c r="D60" t="str">
        <f t="shared" si="0"/>
        <v>KJ</v>
      </c>
    </row>
    <row r="61" spans="1:4" x14ac:dyDescent="0.25">
      <c r="A61" s="10">
        <v>6</v>
      </c>
      <c r="B61" s="11">
        <v>1</v>
      </c>
      <c r="C61" s="12" t="s">
        <v>59</v>
      </c>
      <c r="D61" t="str">
        <f t="shared" si="0"/>
        <v>DL</v>
      </c>
    </row>
    <row r="62" spans="1:4" x14ac:dyDescent="0.25">
      <c r="A62" s="7">
        <v>3</v>
      </c>
      <c r="B62" s="8">
        <v>12</v>
      </c>
      <c r="C62" s="9" t="s">
        <v>60</v>
      </c>
      <c r="D62" t="str">
        <f t="shared" si="0"/>
        <v>JI</v>
      </c>
    </row>
    <row r="63" spans="1:4" x14ac:dyDescent="0.25">
      <c r="A63" s="10">
        <v>15</v>
      </c>
      <c r="B63" s="11">
        <v>14</v>
      </c>
      <c r="C63" s="12" t="s">
        <v>61</v>
      </c>
      <c r="D63" t="str">
        <f t="shared" si="0"/>
        <v>KK</v>
      </c>
    </row>
    <row r="64" spans="1:4" x14ac:dyDescent="0.25">
      <c r="A64" s="7">
        <v>3</v>
      </c>
      <c r="B64" s="8">
        <v>9</v>
      </c>
      <c r="C64" s="9" t="s">
        <v>62</v>
      </c>
      <c r="D64" t="str">
        <f t="shared" si="0"/>
        <v>HP</v>
      </c>
    </row>
    <row r="65" spans="1:4" x14ac:dyDescent="0.25">
      <c r="A65" s="10">
        <v>8</v>
      </c>
      <c r="B65" s="11">
        <v>11</v>
      </c>
      <c r="C65" s="12" t="s">
        <v>63</v>
      </c>
      <c r="D65" t="str">
        <f t="shared" si="0"/>
        <v>FI</v>
      </c>
    </row>
    <row r="66" spans="1:4" x14ac:dyDescent="0.25">
      <c r="A66" s="7">
        <v>5</v>
      </c>
      <c r="B66" s="8">
        <v>15</v>
      </c>
      <c r="C66" s="9" t="s">
        <v>64</v>
      </c>
      <c r="D66" t="str">
        <f t="shared" si="0"/>
        <v>NM</v>
      </c>
    </row>
    <row r="67" spans="1:4" x14ac:dyDescent="0.25">
      <c r="A67" s="10">
        <v>2</v>
      </c>
      <c r="B67" s="11">
        <v>4</v>
      </c>
      <c r="C67" s="12" t="s">
        <v>65</v>
      </c>
      <c r="D67" t="str">
        <f t="shared" ref="D67:D130" si="1">LEFT(C67,2)</f>
        <v>PM</v>
      </c>
    </row>
    <row r="68" spans="1:4" x14ac:dyDescent="0.25">
      <c r="A68" s="7">
        <v>14</v>
      </c>
      <c r="B68" s="8">
        <v>9</v>
      </c>
      <c r="C68" s="9" t="s">
        <v>66</v>
      </c>
      <c r="D68" t="str">
        <f t="shared" si="1"/>
        <v>JM</v>
      </c>
    </row>
    <row r="69" spans="1:4" x14ac:dyDescent="0.25">
      <c r="A69" s="10">
        <v>7</v>
      </c>
      <c r="B69" s="11">
        <v>7</v>
      </c>
      <c r="C69" s="12" t="s">
        <v>67</v>
      </c>
      <c r="D69" t="str">
        <f t="shared" si="1"/>
        <v>PK</v>
      </c>
    </row>
    <row r="70" spans="1:4" x14ac:dyDescent="0.25">
      <c r="A70" s="7">
        <v>14</v>
      </c>
      <c r="B70" s="8">
        <v>6</v>
      </c>
      <c r="C70" s="9" t="s">
        <v>68</v>
      </c>
      <c r="D70" t="str">
        <f t="shared" si="1"/>
        <v>PM</v>
      </c>
    </row>
    <row r="71" spans="1:4" x14ac:dyDescent="0.25">
      <c r="A71" s="10">
        <v>11</v>
      </c>
      <c r="B71" s="11">
        <v>12</v>
      </c>
      <c r="C71" s="12" t="s">
        <v>69</v>
      </c>
      <c r="D71" t="str">
        <f t="shared" si="1"/>
        <v>BC</v>
      </c>
    </row>
    <row r="72" spans="1:4" x14ac:dyDescent="0.25">
      <c r="A72" s="7">
        <v>2</v>
      </c>
      <c r="B72" s="8">
        <v>4</v>
      </c>
      <c r="C72" s="9" t="s">
        <v>70</v>
      </c>
      <c r="D72" t="str">
        <f t="shared" si="1"/>
        <v>OJ</v>
      </c>
    </row>
    <row r="73" spans="1:4" x14ac:dyDescent="0.25">
      <c r="A73" s="10">
        <v>11</v>
      </c>
      <c r="B73" s="11">
        <v>15</v>
      </c>
      <c r="C73" s="12" t="s">
        <v>71</v>
      </c>
      <c r="D73" t="str">
        <f t="shared" si="1"/>
        <v>EH</v>
      </c>
    </row>
    <row r="74" spans="1:4" x14ac:dyDescent="0.25">
      <c r="A74" s="7">
        <v>4</v>
      </c>
      <c r="B74" s="8">
        <v>3</v>
      </c>
      <c r="C74" s="9" t="s">
        <v>72</v>
      </c>
      <c r="D74" t="str">
        <f t="shared" si="1"/>
        <v>JN</v>
      </c>
    </row>
    <row r="75" spans="1:4" x14ac:dyDescent="0.25">
      <c r="A75" s="10">
        <v>3</v>
      </c>
      <c r="B75" s="11">
        <v>12</v>
      </c>
      <c r="C75" s="12" t="s">
        <v>73</v>
      </c>
      <c r="D75" t="str">
        <f t="shared" si="1"/>
        <v>KI</v>
      </c>
    </row>
    <row r="76" spans="1:4" x14ac:dyDescent="0.25">
      <c r="A76" s="7">
        <v>2</v>
      </c>
      <c r="B76" s="8">
        <v>7</v>
      </c>
      <c r="C76" s="9" t="s">
        <v>74</v>
      </c>
      <c r="D76" t="str">
        <f t="shared" si="1"/>
        <v>MF</v>
      </c>
    </row>
    <row r="77" spans="1:4" x14ac:dyDescent="0.25">
      <c r="A77" s="10">
        <v>13</v>
      </c>
      <c r="B77" s="11">
        <v>7</v>
      </c>
      <c r="C77" s="12" t="s">
        <v>75</v>
      </c>
      <c r="D77" t="str">
        <f t="shared" si="1"/>
        <v>LN</v>
      </c>
    </row>
    <row r="78" spans="1:4" x14ac:dyDescent="0.25">
      <c r="A78" s="7">
        <v>3</v>
      </c>
      <c r="B78" s="8">
        <v>12</v>
      </c>
      <c r="C78" s="9" t="s">
        <v>76</v>
      </c>
      <c r="D78" t="str">
        <f t="shared" si="1"/>
        <v>CN</v>
      </c>
    </row>
    <row r="79" spans="1:4" x14ac:dyDescent="0.25">
      <c r="A79" s="10">
        <v>9</v>
      </c>
      <c r="B79" s="11">
        <v>9</v>
      </c>
      <c r="C79" s="12" t="s">
        <v>77</v>
      </c>
      <c r="D79" t="str">
        <f t="shared" si="1"/>
        <v>JM</v>
      </c>
    </row>
    <row r="80" spans="1:4" x14ac:dyDescent="0.25">
      <c r="A80" s="7">
        <v>13</v>
      </c>
      <c r="B80" s="8">
        <v>3</v>
      </c>
      <c r="C80" s="9" t="s">
        <v>78</v>
      </c>
      <c r="D80" t="str">
        <f t="shared" si="1"/>
        <v>AA</v>
      </c>
    </row>
    <row r="81" spans="1:4" x14ac:dyDescent="0.25">
      <c r="A81" s="10">
        <v>7</v>
      </c>
      <c r="B81" s="11">
        <v>2</v>
      </c>
      <c r="C81" s="12" t="s">
        <v>79</v>
      </c>
      <c r="D81" t="str">
        <f t="shared" si="1"/>
        <v>OI</v>
      </c>
    </row>
    <row r="82" spans="1:4" x14ac:dyDescent="0.25">
      <c r="A82" s="7">
        <v>13</v>
      </c>
      <c r="B82" s="8">
        <v>4</v>
      </c>
      <c r="C82" s="9" t="s">
        <v>80</v>
      </c>
      <c r="D82" t="str">
        <f t="shared" si="1"/>
        <v>HA</v>
      </c>
    </row>
    <row r="83" spans="1:4" x14ac:dyDescent="0.25">
      <c r="A83" s="10">
        <v>4</v>
      </c>
      <c r="B83" s="11">
        <v>12</v>
      </c>
      <c r="C83" s="12" t="s">
        <v>81</v>
      </c>
      <c r="D83" t="str">
        <f t="shared" si="1"/>
        <v>GA</v>
      </c>
    </row>
    <row r="84" spans="1:4" x14ac:dyDescent="0.25">
      <c r="A84" s="7">
        <v>7</v>
      </c>
      <c r="B84" s="8">
        <v>8</v>
      </c>
      <c r="C84" s="9" t="s">
        <v>82</v>
      </c>
      <c r="D84" t="str">
        <f t="shared" si="1"/>
        <v>LM</v>
      </c>
    </row>
    <row r="85" spans="1:4" x14ac:dyDescent="0.25">
      <c r="A85" s="10">
        <v>3</v>
      </c>
      <c r="B85" s="11">
        <v>12</v>
      </c>
      <c r="C85" s="12" t="s">
        <v>83</v>
      </c>
      <c r="D85" t="str">
        <f t="shared" si="1"/>
        <v>AE</v>
      </c>
    </row>
    <row r="86" spans="1:4" x14ac:dyDescent="0.25">
      <c r="A86" s="7">
        <v>4</v>
      </c>
      <c r="B86" s="8">
        <v>11</v>
      </c>
      <c r="C86" s="9" t="s">
        <v>84</v>
      </c>
      <c r="D86" t="str">
        <f t="shared" si="1"/>
        <v>GF</v>
      </c>
    </row>
    <row r="87" spans="1:4" x14ac:dyDescent="0.25">
      <c r="A87" s="10">
        <v>7</v>
      </c>
      <c r="B87" s="11">
        <v>1</v>
      </c>
      <c r="C87" s="12" t="s">
        <v>85</v>
      </c>
      <c r="D87" t="str">
        <f t="shared" si="1"/>
        <v>EF</v>
      </c>
    </row>
    <row r="88" spans="1:4" x14ac:dyDescent="0.25">
      <c r="A88" s="7">
        <v>3</v>
      </c>
      <c r="B88" s="8">
        <v>9</v>
      </c>
      <c r="C88" s="9" t="s">
        <v>86</v>
      </c>
      <c r="D88" t="str">
        <f t="shared" si="1"/>
        <v>PO</v>
      </c>
    </row>
    <row r="89" spans="1:4" x14ac:dyDescent="0.25">
      <c r="A89" s="10">
        <v>1</v>
      </c>
      <c r="B89" s="11">
        <v>4</v>
      </c>
      <c r="C89" s="12" t="s">
        <v>87</v>
      </c>
      <c r="D89" t="str">
        <f t="shared" si="1"/>
        <v>NH</v>
      </c>
    </row>
    <row r="90" spans="1:4" x14ac:dyDescent="0.25">
      <c r="A90" s="7">
        <v>14</v>
      </c>
      <c r="B90" s="8">
        <v>3</v>
      </c>
      <c r="C90" s="9" t="s">
        <v>88</v>
      </c>
      <c r="D90" t="str">
        <f t="shared" si="1"/>
        <v>AG</v>
      </c>
    </row>
    <row r="91" spans="1:4" x14ac:dyDescent="0.25">
      <c r="A91" s="10">
        <v>5</v>
      </c>
      <c r="B91" s="11">
        <v>12</v>
      </c>
      <c r="C91" s="12" t="s">
        <v>89</v>
      </c>
      <c r="D91" t="str">
        <f t="shared" si="1"/>
        <v>DM</v>
      </c>
    </row>
    <row r="92" spans="1:4" x14ac:dyDescent="0.25">
      <c r="A92" s="7">
        <v>4</v>
      </c>
      <c r="B92" s="8">
        <v>9</v>
      </c>
      <c r="C92" s="9" t="s">
        <v>90</v>
      </c>
      <c r="D92" t="str">
        <f t="shared" si="1"/>
        <v>LM</v>
      </c>
    </row>
    <row r="93" spans="1:4" x14ac:dyDescent="0.25">
      <c r="A93" s="10">
        <v>5</v>
      </c>
      <c r="B93" s="11">
        <v>4</v>
      </c>
      <c r="C93" s="12" t="s">
        <v>91</v>
      </c>
      <c r="D93" t="str">
        <f t="shared" si="1"/>
        <v>EH</v>
      </c>
    </row>
    <row r="94" spans="1:4" x14ac:dyDescent="0.25">
      <c r="A94" s="7">
        <v>6</v>
      </c>
      <c r="B94" s="8">
        <v>8</v>
      </c>
      <c r="C94" s="9" t="s">
        <v>92</v>
      </c>
      <c r="D94" t="str">
        <f t="shared" si="1"/>
        <v>HC</v>
      </c>
    </row>
    <row r="95" spans="1:4" x14ac:dyDescent="0.25">
      <c r="A95" s="10">
        <v>8</v>
      </c>
      <c r="B95" s="11">
        <v>14</v>
      </c>
      <c r="C95" s="12" t="s">
        <v>93</v>
      </c>
      <c r="D95" t="str">
        <f t="shared" si="1"/>
        <v>BL</v>
      </c>
    </row>
    <row r="96" spans="1:4" x14ac:dyDescent="0.25">
      <c r="A96" s="7">
        <v>15</v>
      </c>
      <c r="B96" s="8">
        <v>11</v>
      </c>
      <c r="C96" s="9" t="s">
        <v>94</v>
      </c>
      <c r="D96" t="str">
        <f t="shared" si="1"/>
        <v>FG</v>
      </c>
    </row>
    <row r="97" spans="1:4" x14ac:dyDescent="0.25">
      <c r="A97" s="10">
        <v>1</v>
      </c>
      <c r="B97" s="11">
        <v>1</v>
      </c>
      <c r="C97" s="12" t="s">
        <v>95</v>
      </c>
      <c r="D97" t="str">
        <f t="shared" si="1"/>
        <v>IC</v>
      </c>
    </row>
    <row r="98" spans="1:4" x14ac:dyDescent="0.25">
      <c r="A98" s="7">
        <v>14</v>
      </c>
      <c r="B98" s="8">
        <v>15</v>
      </c>
      <c r="C98" s="9" t="s">
        <v>96</v>
      </c>
      <c r="D98" t="str">
        <f t="shared" si="1"/>
        <v>JK</v>
      </c>
    </row>
    <row r="99" spans="1:4" x14ac:dyDescent="0.25">
      <c r="A99" s="10">
        <v>6</v>
      </c>
      <c r="B99" s="11">
        <v>7</v>
      </c>
      <c r="C99" s="12" t="s">
        <v>97</v>
      </c>
      <c r="D99" t="str">
        <f t="shared" si="1"/>
        <v>CL</v>
      </c>
    </row>
    <row r="100" spans="1:4" x14ac:dyDescent="0.25">
      <c r="A100" s="7">
        <v>7</v>
      </c>
      <c r="B100" s="8">
        <v>11</v>
      </c>
      <c r="C100" s="9" t="s">
        <v>98</v>
      </c>
      <c r="D100" t="str">
        <f t="shared" si="1"/>
        <v>NP</v>
      </c>
    </row>
    <row r="101" spans="1:4" x14ac:dyDescent="0.25">
      <c r="A101" s="10">
        <v>10</v>
      </c>
      <c r="B101" s="11">
        <v>11</v>
      </c>
      <c r="C101" s="12" t="s">
        <v>99</v>
      </c>
      <c r="D101" t="str">
        <f t="shared" si="1"/>
        <v>PI</v>
      </c>
    </row>
    <row r="102" spans="1:4" x14ac:dyDescent="0.25">
      <c r="A102" s="7">
        <v>5</v>
      </c>
      <c r="B102" s="8">
        <v>6</v>
      </c>
      <c r="C102" s="9" t="s">
        <v>100</v>
      </c>
      <c r="D102" t="str">
        <f t="shared" si="1"/>
        <v>GA</v>
      </c>
    </row>
    <row r="103" spans="1:4" x14ac:dyDescent="0.25">
      <c r="A103" s="10">
        <v>13</v>
      </c>
      <c r="B103" s="11">
        <v>7</v>
      </c>
      <c r="C103" s="12" t="s">
        <v>101</v>
      </c>
      <c r="D103" t="str">
        <f t="shared" si="1"/>
        <v>AH</v>
      </c>
    </row>
    <row r="104" spans="1:4" x14ac:dyDescent="0.25">
      <c r="A104" s="7">
        <v>2</v>
      </c>
      <c r="B104" s="8">
        <v>9</v>
      </c>
      <c r="C104" s="9" t="s">
        <v>102</v>
      </c>
      <c r="D104" t="str">
        <f t="shared" si="1"/>
        <v>IJ</v>
      </c>
    </row>
    <row r="105" spans="1:4" x14ac:dyDescent="0.25">
      <c r="A105" s="10">
        <v>9</v>
      </c>
      <c r="B105" s="11">
        <v>11</v>
      </c>
      <c r="C105" s="12" t="s">
        <v>103</v>
      </c>
      <c r="D105" t="str">
        <f t="shared" si="1"/>
        <v>CC</v>
      </c>
    </row>
    <row r="106" spans="1:4" x14ac:dyDescent="0.25">
      <c r="A106" s="7">
        <v>8</v>
      </c>
      <c r="B106" s="8">
        <v>3</v>
      </c>
      <c r="C106" s="9" t="s">
        <v>104</v>
      </c>
      <c r="D106" t="str">
        <f t="shared" si="1"/>
        <v>AF</v>
      </c>
    </row>
    <row r="107" spans="1:4" x14ac:dyDescent="0.25">
      <c r="A107" s="10">
        <v>1</v>
      </c>
      <c r="B107" s="11">
        <v>6</v>
      </c>
      <c r="C107" s="12" t="s">
        <v>105</v>
      </c>
      <c r="D107" t="str">
        <f t="shared" si="1"/>
        <v>MN</v>
      </c>
    </row>
    <row r="108" spans="1:4" x14ac:dyDescent="0.25">
      <c r="A108" s="7">
        <v>10</v>
      </c>
      <c r="B108" s="8">
        <v>9</v>
      </c>
      <c r="C108" s="9" t="s">
        <v>106</v>
      </c>
      <c r="D108" t="str">
        <f t="shared" si="1"/>
        <v>LP</v>
      </c>
    </row>
    <row r="109" spans="1:4" x14ac:dyDescent="0.25">
      <c r="A109" s="10">
        <v>2</v>
      </c>
      <c r="B109" s="11">
        <v>11</v>
      </c>
      <c r="C109" s="12" t="s">
        <v>107</v>
      </c>
      <c r="D109" t="str">
        <f t="shared" si="1"/>
        <v>OD</v>
      </c>
    </row>
    <row r="110" spans="1:4" x14ac:dyDescent="0.25">
      <c r="A110" s="7">
        <v>6</v>
      </c>
      <c r="B110" s="8">
        <v>12</v>
      </c>
      <c r="C110" s="9" t="s">
        <v>108</v>
      </c>
      <c r="D110" t="str">
        <f t="shared" si="1"/>
        <v>KN</v>
      </c>
    </row>
    <row r="111" spans="1:4" x14ac:dyDescent="0.25">
      <c r="A111" s="10">
        <v>2</v>
      </c>
      <c r="B111" s="11">
        <v>14</v>
      </c>
      <c r="C111" s="12" t="s">
        <v>109</v>
      </c>
      <c r="D111" t="str">
        <f t="shared" si="1"/>
        <v>AH</v>
      </c>
    </row>
    <row r="112" spans="1:4" x14ac:dyDescent="0.25">
      <c r="A112" s="7">
        <v>4</v>
      </c>
      <c r="B112" s="8">
        <v>2</v>
      </c>
      <c r="C112" s="9" t="s">
        <v>110</v>
      </c>
      <c r="D112" t="str">
        <f t="shared" si="1"/>
        <v>CA</v>
      </c>
    </row>
    <row r="113" spans="1:4" x14ac:dyDescent="0.25">
      <c r="A113" s="10">
        <v>9</v>
      </c>
      <c r="B113" s="11">
        <v>8</v>
      </c>
      <c r="C113" s="12" t="s">
        <v>111</v>
      </c>
      <c r="D113" t="str">
        <f t="shared" si="1"/>
        <v>EP</v>
      </c>
    </row>
    <row r="114" spans="1:4" x14ac:dyDescent="0.25">
      <c r="A114" s="7">
        <v>2</v>
      </c>
      <c r="B114" s="8">
        <v>4</v>
      </c>
      <c r="C114" s="9" t="s">
        <v>112</v>
      </c>
      <c r="D114" t="str">
        <f t="shared" si="1"/>
        <v>EF</v>
      </c>
    </row>
    <row r="115" spans="1:4" x14ac:dyDescent="0.25">
      <c r="A115" s="10">
        <v>11</v>
      </c>
      <c r="B115" s="11">
        <v>11</v>
      </c>
      <c r="C115" s="12" t="s">
        <v>113</v>
      </c>
      <c r="D115" t="str">
        <f t="shared" si="1"/>
        <v>AN</v>
      </c>
    </row>
    <row r="116" spans="1:4" x14ac:dyDescent="0.25">
      <c r="A116" s="7">
        <v>8</v>
      </c>
      <c r="B116" s="8">
        <v>1</v>
      </c>
      <c r="C116" s="9" t="s">
        <v>114</v>
      </c>
      <c r="D116" t="str">
        <f t="shared" si="1"/>
        <v>LE</v>
      </c>
    </row>
    <row r="117" spans="1:4" x14ac:dyDescent="0.25">
      <c r="A117" s="10">
        <v>13</v>
      </c>
      <c r="B117" s="11">
        <v>9</v>
      </c>
      <c r="C117" s="12" t="s">
        <v>115</v>
      </c>
      <c r="D117" t="str">
        <f t="shared" si="1"/>
        <v>LM</v>
      </c>
    </row>
    <row r="118" spans="1:4" x14ac:dyDescent="0.25">
      <c r="A118" s="7">
        <v>7</v>
      </c>
      <c r="B118" s="8">
        <v>13</v>
      </c>
      <c r="C118" s="9" t="s">
        <v>116</v>
      </c>
      <c r="D118" t="str">
        <f t="shared" si="1"/>
        <v>CO</v>
      </c>
    </row>
    <row r="119" spans="1:4" x14ac:dyDescent="0.25">
      <c r="A119" s="10">
        <v>7</v>
      </c>
      <c r="B119" s="11">
        <v>11</v>
      </c>
      <c r="C119" s="12" t="s">
        <v>117</v>
      </c>
      <c r="D119" t="str">
        <f t="shared" si="1"/>
        <v>GB</v>
      </c>
    </row>
    <row r="120" spans="1:4" x14ac:dyDescent="0.25">
      <c r="A120" s="7">
        <v>9</v>
      </c>
      <c r="B120" s="8">
        <v>11</v>
      </c>
      <c r="C120" s="9" t="s">
        <v>118</v>
      </c>
      <c r="D120" t="str">
        <f t="shared" si="1"/>
        <v>HF</v>
      </c>
    </row>
    <row r="121" spans="1:4" x14ac:dyDescent="0.25">
      <c r="A121" s="10">
        <v>6</v>
      </c>
      <c r="B121" s="11">
        <v>1</v>
      </c>
      <c r="C121" s="12" t="s">
        <v>119</v>
      </c>
      <c r="D121" t="str">
        <f t="shared" si="1"/>
        <v>LA</v>
      </c>
    </row>
    <row r="122" spans="1:4" x14ac:dyDescent="0.25">
      <c r="A122" s="7">
        <v>14</v>
      </c>
      <c r="B122" s="8">
        <v>6</v>
      </c>
      <c r="C122" s="9" t="s">
        <v>120</v>
      </c>
      <c r="D122" t="str">
        <f t="shared" si="1"/>
        <v>LL</v>
      </c>
    </row>
    <row r="123" spans="1:4" x14ac:dyDescent="0.25">
      <c r="A123" s="10">
        <v>14</v>
      </c>
      <c r="B123" s="11">
        <v>10</v>
      </c>
      <c r="C123" s="12" t="s">
        <v>121</v>
      </c>
      <c r="D123" t="str">
        <f t="shared" si="1"/>
        <v>EG</v>
      </c>
    </row>
    <row r="124" spans="1:4" x14ac:dyDescent="0.25">
      <c r="A124" s="7">
        <v>7</v>
      </c>
      <c r="B124" s="8">
        <v>7</v>
      </c>
      <c r="C124" s="9" t="s">
        <v>122</v>
      </c>
      <c r="D124" t="str">
        <f t="shared" si="1"/>
        <v>NH</v>
      </c>
    </row>
    <row r="125" spans="1:4" x14ac:dyDescent="0.25">
      <c r="A125" s="10">
        <v>11</v>
      </c>
      <c r="B125" s="11">
        <v>1</v>
      </c>
      <c r="C125" s="12" t="s">
        <v>123</v>
      </c>
      <c r="D125" t="str">
        <f t="shared" si="1"/>
        <v>LF</v>
      </c>
    </row>
    <row r="126" spans="1:4" x14ac:dyDescent="0.25">
      <c r="A126" s="7">
        <v>11</v>
      </c>
      <c r="B126" s="8">
        <v>3</v>
      </c>
      <c r="C126" s="9" t="s">
        <v>124</v>
      </c>
      <c r="D126" t="str">
        <f t="shared" si="1"/>
        <v>GB</v>
      </c>
    </row>
    <row r="127" spans="1:4" x14ac:dyDescent="0.25">
      <c r="A127" s="10">
        <v>11</v>
      </c>
      <c r="B127" s="11">
        <v>2</v>
      </c>
      <c r="C127" s="12" t="s">
        <v>125</v>
      </c>
      <c r="D127" t="str">
        <f t="shared" si="1"/>
        <v>PB</v>
      </c>
    </row>
    <row r="128" spans="1:4" x14ac:dyDescent="0.25">
      <c r="A128" s="7">
        <v>12</v>
      </c>
      <c r="B128" s="8">
        <v>2</v>
      </c>
      <c r="C128" s="9" t="s">
        <v>126</v>
      </c>
      <c r="D128" t="str">
        <f t="shared" si="1"/>
        <v>GH</v>
      </c>
    </row>
    <row r="129" spans="1:4" x14ac:dyDescent="0.25">
      <c r="A129" s="10">
        <v>3</v>
      </c>
      <c r="B129" s="11">
        <v>14</v>
      </c>
      <c r="C129" s="12" t="s">
        <v>127</v>
      </c>
      <c r="D129" t="str">
        <f t="shared" si="1"/>
        <v>FP</v>
      </c>
    </row>
    <row r="130" spans="1:4" x14ac:dyDescent="0.25">
      <c r="A130" s="7">
        <v>3</v>
      </c>
      <c r="B130" s="8">
        <v>6</v>
      </c>
      <c r="C130" s="9" t="s">
        <v>128</v>
      </c>
      <c r="D130" t="str">
        <f t="shared" si="1"/>
        <v>BM</v>
      </c>
    </row>
    <row r="131" spans="1:4" x14ac:dyDescent="0.25">
      <c r="A131" s="10">
        <v>12</v>
      </c>
      <c r="B131" s="11">
        <v>2</v>
      </c>
      <c r="C131" s="12" t="s">
        <v>129</v>
      </c>
      <c r="D131" t="str">
        <f t="shared" ref="D131:D145" si="2">LEFT(C131,2)</f>
        <v>FJ</v>
      </c>
    </row>
    <row r="132" spans="1:4" x14ac:dyDescent="0.25">
      <c r="A132" s="7">
        <v>7</v>
      </c>
      <c r="B132" s="8">
        <v>8</v>
      </c>
      <c r="C132" s="9" t="s">
        <v>130</v>
      </c>
      <c r="D132" t="str">
        <f t="shared" si="2"/>
        <v>FA</v>
      </c>
    </row>
    <row r="133" spans="1:4" x14ac:dyDescent="0.25">
      <c r="A133" s="10">
        <v>10</v>
      </c>
      <c r="B133" s="11">
        <v>12</v>
      </c>
      <c r="C133" s="12" t="s">
        <v>131</v>
      </c>
      <c r="D133" t="str">
        <f t="shared" si="2"/>
        <v>OO</v>
      </c>
    </row>
    <row r="134" spans="1:4" x14ac:dyDescent="0.25">
      <c r="A134" s="7">
        <v>2</v>
      </c>
      <c r="B134" s="8">
        <v>14</v>
      </c>
      <c r="C134" s="9" t="s">
        <v>132</v>
      </c>
      <c r="D134" t="str">
        <f t="shared" si="2"/>
        <v>NM</v>
      </c>
    </row>
    <row r="135" spans="1:4" x14ac:dyDescent="0.25">
      <c r="A135" s="10">
        <v>14</v>
      </c>
      <c r="B135" s="11">
        <v>11</v>
      </c>
      <c r="C135" s="12" t="s">
        <v>133</v>
      </c>
      <c r="D135" t="str">
        <f t="shared" si="2"/>
        <v>LN</v>
      </c>
    </row>
    <row r="136" spans="1:4" x14ac:dyDescent="0.25">
      <c r="A136" s="7">
        <v>9</v>
      </c>
      <c r="B136" s="8">
        <v>10</v>
      </c>
      <c r="C136" s="9" t="s">
        <v>134</v>
      </c>
      <c r="D136" t="str">
        <f t="shared" si="2"/>
        <v>NK</v>
      </c>
    </row>
    <row r="137" spans="1:4" x14ac:dyDescent="0.25">
      <c r="A137" s="10">
        <v>2</v>
      </c>
      <c r="B137" s="11">
        <v>14</v>
      </c>
      <c r="C137" s="12" t="s">
        <v>135</v>
      </c>
      <c r="D137" t="str">
        <f t="shared" si="2"/>
        <v>DH</v>
      </c>
    </row>
    <row r="138" spans="1:4" x14ac:dyDescent="0.25">
      <c r="A138" s="7">
        <v>11</v>
      </c>
      <c r="B138" s="8">
        <v>3</v>
      </c>
      <c r="C138" s="9" t="s">
        <v>136</v>
      </c>
      <c r="D138" t="str">
        <f t="shared" si="2"/>
        <v>IC</v>
      </c>
    </row>
    <row r="139" spans="1:4" x14ac:dyDescent="0.25">
      <c r="A139" s="10">
        <v>2</v>
      </c>
      <c r="B139" s="11">
        <v>1</v>
      </c>
      <c r="C139" s="12" t="s">
        <v>137</v>
      </c>
      <c r="D139" t="str">
        <f t="shared" si="2"/>
        <v>BA</v>
      </c>
    </row>
    <row r="140" spans="1:4" x14ac:dyDescent="0.25">
      <c r="A140" s="7">
        <v>14</v>
      </c>
      <c r="B140" s="8">
        <v>3</v>
      </c>
      <c r="C140" s="9" t="s">
        <v>138</v>
      </c>
      <c r="D140" t="str">
        <f t="shared" si="2"/>
        <v>GE</v>
      </c>
    </row>
    <row r="141" spans="1:4" x14ac:dyDescent="0.25">
      <c r="A141" s="10">
        <v>6</v>
      </c>
      <c r="B141" s="11">
        <v>6</v>
      </c>
      <c r="C141" s="12" t="s">
        <v>139</v>
      </c>
      <c r="D141" t="str">
        <f t="shared" si="2"/>
        <v>PA</v>
      </c>
    </row>
    <row r="142" spans="1:4" x14ac:dyDescent="0.25">
      <c r="A142" s="7">
        <v>5</v>
      </c>
      <c r="B142" s="8">
        <v>14</v>
      </c>
      <c r="C142" s="9" t="s">
        <v>140</v>
      </c>
      <c r="D142" t="str">
        <f t="shared" si="2"/>
        <v>EL</v>
      </c>
    </row>
    <row r="143" spans="1:4" x14ac:dyDescent="0.25">
      <c r="A143" s="10">
        <v>2</v>
      </c>
      <c r="B143" s="11">
        <v>8</v>
      </c>
      <c r="C143" s="12" t="s">
        <v>141</v>
      </c>
      <c r="D143" t="str">
        <f t="shared" si="2"/>
        <v>EL</v>
      </c>
    </row>
    <row r="144" spans="1:4" x14ac:dyDescent="0.25">
      <c r="A144" s="7">
        <v>10</v>
      </c>
      <c r="B144" s="8">
        <v>15</v>
      </c>
      <c r="C144" s="9" t="s">
        <v>142</v>
      </c>
      <c r="D144" t="str">
        <f t="shared" si="2"/>
        <v>NK</v>
      </c>
    </row>
    <row r="145" spans="1:4" x14ac:dyDescent="0.25">
      <c r="A145" s="2">
        <v>3</v>
      </c>
      <c r="B145" s="3">
        <v>15</v>
      </c>
      <c r="C145" s="13" t="s">
        <v>143</v>
      </c>
      <c r="D145" t="str">
        <f t="shared" si="2"/>
        <v>GM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F3CFE-B889-4FF0-831D-6056763EA77C}">
  <dimension ref="A1:H146"/>
  <sheetViews>
    <sheetView zoomScale="175" zoomScaleNormal="175" workbookViewId="0">
      <selection activeCell="F12" sqref="F12"/>
    </sheetView>
  </sheetViews>
  <sheetFormatPr defaultRowHeight="15" x14ac:dyDescent="0.25"/>
  <cols>
    <col min="1" max="1" width="17.7109375" bestFit="1" customWidth="1"/>
    <col min="2" max="3" width="11.140625" bestFit="1" customWidth="1"/>
    <col min="4" max="4" width="13.85546875" bestFit="1" customWidth="1"/>
    <col min="5" max="5" width="13.85546875" customWidth="1"/>
    <col min="6" max="6" width="21.42578125" bestFit="1" customWidth="1"/>
    <col min="7" max="7" width="17.7109375" customWidth="1"/>
    <col min="8" max="8" width="24.85546875" bestFit="1" customWidth="1"/>
  </cols>
  <sheetData>
    <row r="1" spans="1:8" x14ac:dyDescent="0.25">
      <c r="A1" t="s">
        <v>176</v>
      </c>
      <c r="B1">
        <f>1/(60*24)</f>
        <v>6.9444444444444447E-4</v>
      </c>
      <c r="D1" t="s">
        <v>175</v>
      </c>
    </row>
    <row r="2" spans="1:8" x14ac:dyDescent="0.25">
      <c r="A2" s="4" t="s">
        <v>144</v>
      </c>
      <c r="B2" s="5" t="s">
        <v>145</v>
      </c>
      <c r="C2" s="6" t="s">
        <v>146</v>
      </c>
      <c r="D2" s="17">
        <v>0.25</v>
      </c>
      <c r="E2" s="17" t="s">
        <v>177</v>
      </c>
      <c r="F2" t="s">
        <v>179</v>
      </c>
      <c r="G2" t="s">
        <v>178</v>
      </c>
      <c r="H2" s="16"/>
    </row>
    <row r="3" spans="1:8" x14ac:dyDescent="0.25">
      <c r="A3" s="7">
        <v>3</v>
      </c>
      <c r="B3" s="8">
        <v>5</v>
      </c>
      <c r="C3" s="9" t="s">
        <v>0</v>
      </c>
      <c r="D3" s="18">
        <f>A3/(60*24)+D2</f>
        <v>0.25208333333333333</v>
      </c>
      <c r="E3" s="18">
        <f>D3</f>
        <v>0.25208333333333333</v>
      </c>
      <c r="F3" s="18">
        <f>D3+B3/(60*24)</f>
        <v>0.25555555555555554</v>
      </c>
      <c r="G3" s="18" t="b">
        <f>TRUE</f>
        <v>1</v>
      </c>
    </row>
    <row r="4" spans="1:8" x14ac:dyDescent="0.25">
      <c r="A4" s="10">
        <v>12</v>
      </c>
      <c r="B4" s="11">
        <v>13</v>
      </c>
      <c r="C4" s="12" t="s">
        <v>1</v>
      </c>
      <c r="D4" s="18">
        <f>A4/(60*24)+D3</f>
        <v>0.26041666666666669</v>
      </c>
      <c r="E4" s="18">
        <f>IF(D4&gt;F3,D4,F3)</f>
        <v>0.26041666666666669</v>
      </c>
      <c r="F4" s="18">
        <f>IF(G4=TRUE,E4+B4/(60*24),F3)</f>
        <v>0.26944444444444449</v>
      </c>
      <c r="G4" s="18" t="b">
        <f>IF(D4+5*$B$1&gt;F3,TRUE,FALSE)</f>
        <v>1</v>
      </c>
      <c r="H4" s="18"/>
    </row>
    <row r="5" spans="1:8" x14ac:dyDescent="0.25">
      <c r="A5" s="7">
        <v>1</v>
      </c>
      <c r="B5" s="8">
        <v>10</v>
      </c>
      <c r="C5" s="9" t="s">
        <v>2</v>
      </c>
      <c r="D5" s="18">
        <f>A5/(60*24)+D4</f>
        <v>0.26111111111111113</v>
      </c>
      <c r="E5" s="18">
        <f t="shared" ref="E5:E68" si="0">IF(D5&gt;F4,D5,F4)</f>
        <v>0.26944444444444449</v>
      </c>
      <c r="F5" s="18">
        <f t="shared" ref="F5:F68" si="1">IF(G5=TRUE,E5+B5/(60*24),F4)</f>
        <v>0.26944444444444449</v>
      </c>
      <c r="G5" s="18" t="b">
        <f t="shared" ref="G5:G68" si="2">IF(D5+5*$B$1&gt;F4,TRUE,FALSE)</f>
        <v>0</v>
      </c>
      <c r="H5" s="18"/>
    </row>
    <row r="6" spans="1:8" x14ac:dyDescent="0.25">
      <c r="A6" s="10">
        <v>7</v>
      </c>
      <c r="B6" s="11">
        <v>2</v>
      </c>
      <c r="C6" s="12" t="s">
        <v>3</v>
      </c>
      <c r="D6" s="18">
        <f>A6/(60*24)+D5</f>
        <v>0.26597222222222222</v>
      </c>
      <c r="E6" s="18">
        <f t="shared" si="0"/>
        <v>0.26944444444444449</v>
      </c>
      <c r="F6" s="18">
        <f t="shared" si="1"/>
        <v>0.27083333333333337</v>
      </c>
      <c r="G6" s="18" t="b">
        <f>IF(D6+5*$B$1&gt;=F5,TRUE,FALSE)</f>
        <v>1</v>
      </c>
      <c r="H6" s="18"/>
    </row>
    <row r="7" spans="1:8" x14ac:dyDescent="0.25">
      <c r="A7" s="7">
        <v>10</v>
      </c>
      <c r="B7" s="8">
        <v>7</v>
      </c>
      <c r="C7" s="9" t="s">
        <v>4</v>
      </c>
      <c r="D7" s="18">
        <f>A7/(60*24)+D6</f>
        <v>0.27291666666666664</v>
      </c>
      <c r="E7" s="18">
        <f t="shared" si="0"/>
        <v>0.27291666666666664</v>
      </c>
      <c r="F7" s="18">
        <f t="shared" si="1"/>
        <v>0.27777777777777773</v>
      </c>
      <c r="G7" s="18" t="b">
        <f t="shared" ref="G7:G70" si="3">IF(D7+5*$B$1&gt;=F6,TRUE,FALSE)</f>
        <v>1</v>
      </c>
      <c r="H7" s="18"/>
    </row>
    <row r="8" spans="1:8" x14ac:dyDescent="0.25">
      <c r="A8" s="10">
        <v>9</v>
      </c>
      <c r="B8" s="11">
        <v>14</v>
      </c>
      <c r="C8" s="12" t="s">
        <v>5</v>
      </c>
      <c r="D8" s="18">
        <f>A8/(60*24)+D7</f>
        <v>0.27916666666666662</v>
      </c>
      <c r="E8" s="18">
        <f t="shared" si="0"/>
        <v>0.27916666666666662</v>
      </c>
      <c r="F8" s="18">
        <f t="shared" si="1"/>
        <v>0.28888888888888886</v>
      </c>
      <c r="G8" s="18" t="b">
        <f t="shared" si="3"/>
        <v>1</v>
      </c>
      <c r="H8" s="18"/>
    </row>
    <row r="9" spans="1:8" x14ac:dyDescent="0.25">
      <c r="A9" s="7">
        <v>4</v>
      </c>
      <c r="B9" s="8">
        <v>10</v>
      </c>
      <c r="C9" s="9" t="s">
        <v>6</v>
      </c>
      <c r="D9" s="18">
        <f>A9/(60*24)+D8</f>
        <v>0.28194444444444439</v>
      </c>
      <c r="E9" s="18">
        <f t="shared" si="0"/>
        <v>0.28888888888888886</v>
      </c>
      <c r="F9" s="18">
        <f t="shared" si="1"/>
        <v>0.28888888888888886</v>
      </c>
      <c r="G9" s="18" t="b">
        <f t="shared" si="3"/>
        <v>0</v>
      </c>
      <c r="H9" s="18"/>
    </row>
    <row r="10" spans="1:8" x14ac:dyDescent="0.25">
      <c r="A10" s="10">
        <v>4</v>
      </c>
      <c r="B10" s="11">
        <v>7</v>
      </c>
      <c r="C10" s="12" t="s">
        <v>7</v>
      </c>
      <c r="D10" s="18">
        <f>A10/(60*24)+D9</f>
        <v>0.28472222222222215</v>
      </c>
      <c r="E10" s="18">
        <f t="shared" si="0"/>
        <v>0.28888888888888886</v>
      </c>
      <c r="F10" s="18">
        <f t="shared" si="1"/>
        <v>0.28888888888888886</v>
      </c>
      <c r="G10" s="18" t="b">
        <f t="shared" si="3"/>
        <v>0</v>
      </c>
      <c r="H10" s="18"/>
    </row>
    <row r="11" spans="1:8" x14ac:dyDescent="0.25">
      <c r="A11" s="7">
        <v>3</v>
      </c>
      <c r="B11" s="8">
        <v>2</v>
      </c>
      <c r="C11" s="9" t="s">
        <v>8</v>
      </c>
      <c r="D11" s="18">
        <f>A11/(60*24)+D10</f>
        <v>0.28680555555555548</v>
      </c>
      <c r="E11" s="18">
        <f t="shared" si="0"/>
        <v>0.28888888888888886</v>
      </c>
      <c r="F11" s="18">
        <f t="shared" si="1"/>
        <v>0.29027777777777775</v>
      </c>
      <c r="G11" s="18" t="b">
        <f t="shared" si="3"/>
        <v>1</v>
      </c>
      <c r="H11" s="18"/>
    </row>
    <row r="12" spans="1:8" x14ac:dyDescent="0.25">
      <c r="A12" s="10">
        <v>7</v>
      </c>
      <c r="B12" s="11">
        <v>12</v>
      </c>
      <c r="C12" s="12" t="s">
        <v>9</v>
      </c>
      <c r="D12" s="18">
        <f>A12/(60*24)+D11</f>
        <v>0.29166666666666657</v>
      </c>
      <c r="E12" s="18">
        <f t="shared" si="0"/>
        <v>0.29166666666666657</v>
      </c>
      <c r="F12" s="18">
        <f t="shared" si="1"/>
        <v>0.29999999999999993</v>
      </c>
      <c r="G12" s="18" t="b">
        <f t="shared" si="3"/>
        <v>1</v>
      </c>
      <c r="H12" s="18"/>
    </row>
    <row r="13" spans="1:8" x14ac:dyDescent="0.25">
      <c r="A13" s="7">
        <v>11</v>
      </c>
      <c r="B13" s="8">
        <v>12</v>
      </c>
      <c r="C13" s="9" t="s">
        <v>10</v>
      </c>
      <c r="D13" s="18">
        <f>A13/(60*24)+D12</f>
        <v>0.29930555555555544</v>
      </c>
      <c r="E13" s="18">
        <f t="shared" si="0"/>
        <v>0.29999999999999993</v>
      </c>
      <c r="F13" s="18">
        <f t="shared" si="1"/>
        <v>0.30833333333333329</v>
      </c>
      <c r="G13" s="18" t="b">
        <f t="shared" si="3"/>
        <v>1</v>
      </c>
      <c r="H13" s="18"/>
    </row>
    <row r="14" spans="1:8" x14ac:dyDescent="0.25">
      <c r="A14" s="10">
        <v>15</v>
      </c>
      <c r="B14" s="11">
        <v>14</v>
      </c>
      <c r="C14" s="12" t="s">
        <v>11</v>
      </c>
      <c r="D14" s="18">
        <f>A14/(60*24)+D13</f>
        <v>0.30972222222222212</v>
      </c>
      <c r="E14" s="18">
        <f t="shared" si="0"/>
        <v>0.30972222222222212</v>
      </c>
      <c r="F14" s="18">
        <f t="shared" si="1"/>
        <v>0.31944444444444436</v>
      </c>
      <c r="G14" s="18" t="b">
        <f t="shared" si="3"/>
        <v>1</v>
      </c>
      <c r="H14" s="18"/>
    </row>
    <row r="15" spans="1:8" x14ac:dyDescent="0.25">
      <c r="A15" s="7">
        <v>11</v>
      </c>
      <c r="B15" s="8">
        <v>9</v>
      </c>
      <c r="C15" s="9" t="s">
        <v>12</v>
      </c>
      <c r="D15" s="18">
        <f>A15/(60*24)+D14</f>
        <v>0.31736111111111098</v>
      </c>
      <c r="E15" s="18">
        <f t="shared" si="0"/>
        <v>0.31944444444444436</v>
      </c>
      <c r="F15" s="18">
        <f t="shared" si="1"/>
        <v>0.32569444444444434</v>
      </c>
      <c r="G15" s="18" t="b">
        <f t="shared" si="3"/>
        <v>1</v>
      </c>
      <c r="H15" s="18"/>
    </row>
    <row r="16" spans="1:8" x14ac:dyDescent="0.25">
      <c r="A16" s="10">
        <v>3</v>
      </c>
      <c r="B16" s="11">
        <v>6</v>
      </c>
      <c r="C16" s="12" t="s">
        <v>13</v>
      </c>
      <c r="D16" s="18">
        <f>A16/(60*24)+D15</f>
        <v>0.31944444444444431</v>
      </c>
      <c r="E16" s="18">
        <f t="shared" si="0"/>
        <v>0.32569444444444434</v>
      </c>
      <c r="F16" s="18">
        <f t="shared" si="1"/>
        <v>0.32569444444444434</v>
      </c>
      <c r="G16" s="18" t="b">
        <f t="shared" si="3"/>
        <v>0</v>
      </c>
      <c r="H16" s="18"/>
    </row>
    <row r="17" spans="1:8" x14ac:dyDescent="0.25">
      <c r="A17" s="7">
        <v>1</v>
      </c>
      <c r="B17" s="8">
        <v>7</v>
      </c>
      <c r="C17" s="9" t="s">
        <v>14</v>
      </c>
      <c r="D17" s="18">
        <f>A17/(60*24)+D16</f>
        <v>0.32013888888888875</v>
      </c>
      <c r="E17" s="18">
        <f t="shared" si="0"/>
        <v>0.32569444444444434</v>
      </c>
      <c r="F17" s="18">
        <f t="shared" si="1"/>
        <v>0.32569444444444434</v>
      </c>
      <c r="G17" s="18" t="b">
        <f t="shared" si="3"/>
        <v>0</v>
      </c>
      <c r="H17" s="18"/>
    </row>
    <row r="18" spans="1:8" x14ac:dyDescent="0.25">
      <c r="A18" s="10">
        <v>11</v>
      </c>
      <c r="B18" s="11">
        <v>7</v>
      </c>
      <c r="C18" s="12" t="s">
        <v>15</v>
      </c>
      <c r="D18" s="18">
        <f>A18/(60*24)+D17</f>
        <v>0.32777777777777761</v>
      </c>
      <c r="E18" s="18">
        <f t="shared" si="0"/>
        <v>0.32777777777777761</v>
      </c>
      <c r="F18" s="18">
        <f t="shared" si="1"/>
        <v>0.33263888888888871</v>
      </c>
      <c r="G18" s="18" t="b">
        <f t="shared" si="3"/>
        <v>1</v>
      </c>
      <c r="H18" s="18"/>
    </row>
    <row r="19" spans="1:8" x14ac:dyDescent="0.25">
      <c r="A19" s="7">
        <v>2</v>
      </c>
      <c r="B19" s="8">
        <v>2</v>
      </c>
      <c r="C19" s="9" t="s">
        <v>16</v>
      </c>
      <c r="D19" s="18">
        <f>A19/(60*24)+D18</f>
        <v>0.3291666666666665</v>
      </c>
      <c r="E19" s="18">
        <f t="shared" si="0"/>
        <v>0.33263888888888871</v>
      </c>
      <c r="F19" s="18">
        <f t="shared" si="1"/>
        <v>0.33402777777777759</v>
      </c>
      <c r="G19" s="18" t="b">
        <f t="shared" si="3"/>
        <v>1</v>
      </c>
      <c r="H19" s="18"/>
    </row>
    <row r="20" spans="1:8" x14ac:dyDescent="0.25">
      <c r="A20" s="10">
        <v>9</v>
      </c>
      <c r="B20" s="11">
        <v>10</v>
      </c>
      <c r="C20" s="12" t="s">
        <v>17</v>
      </c>
      <c r="D20" s="18">
        <f>A20/(60*24)+D19</f>
        <v>0.33541666666666647</v>
      </c>
      <c r="E20" s="18">
        <f t="shared" si="0"/>
        <v>0.33541666666666647</v>
      </c>
      <c r="F20" s="18">
        <f t="shared" si="1"/>
        <v>0.34236111111111089</v>
      </c>
      <c r="G20" s="18" t="b">
        <f t="shared" si="3"/>
        <v>1</v>
      </c>
      <c r="H20" s="18"/>
    </row>
    <row r="21" spans="1:8" x14ac:dyDescent="0.25">
      <c r="A21" s="7">
        <v>2</v>
      </c>
      <c r="B21" s="8">
        <v>13</v>
      </c>
      <c r="C21" s="9" t="s">
        <v>18</v>
      </c>
      <c r="D21" s="18">
        <f>A21/(60*24)+D20</f>
        <v>0.33680555555555536</v>
      </c>
      <c r="E21" s="18">
        <f t="shared" si="0"/>
        <v>0.34236111111111089</v>
      </c>
      <c r="F21" s="18">
        <f t="shared" si="1"/>
        <v>0.34236111111111089</v>
      </c>
      <c r="G21" s="18" t="b">
        <f t="shared" si="3"/>
        <v>0</v>
      </c>
      <c r="H21" s="18"/>
    </row>
    <row r="22" spans="1:8" x14ac:dyDescent="0.25">
      <c r="A22" s="10">
        <v>13</v>
      </c>
      <c r="B22" s="11">
        <v>14</v>
      </c>
      <c r="C22" s="12" t="s">
        <v>19</v>
      </c>
      <c r="D22" s="18">
        <f>A22/(60*24)+D21</f>
        <v>0.34583333333333316</v>
      </c>
      <c r="E22" s="18">
        <f t="shared" si="0"/>
        <v>0.34583333333333316</v>
      </c>
      <c r="F22" s="18">
        <f t="shared" si="1"/>
        <v>0.3555555555555554</v>
      </c>
      <c r="G22" s="18" t="b">
        <f t="shared" si="3"/>
        <v>1</v>
      </c>
      <c r="H22" s="18"/>
    </row>
    <row r="23" spans="1:8" x14ac:dyDescent="0.25">
      <c r="A23" s="7">
        <v>10</v>
      </c>
      <c r="B23" s="8">
        <v>15</v>
      </c>
      <c r="C23" s="9" t="s">
        <v>20</v>
      </c>
      <c r="D23" s="18">
        <f>A23/(60*24)+D22</f>
        <v>0.35277777777777758</v>
      </c>
      <c r="E23" s="18">
        <f t="shared" si="0"/>
        <v>0.3555555555555554</v>
      </c>
      <c r="F23" s="18">
        <f t="shared" si="1"/>
        <v>0.36597222222222209</v>
      </c>
      <c r="G23" s="18" t="b">
        <f t="shared" si="3"/>
        <v>1</v>
      </c>
      <c r="H23" s="18"/>
    </row>
    <row r="24" spans="1:8" x14ac:dyDescent="0.25">
      <c r="A24" s="10">
        <v>6</v>
      </c>
      <c r="B24" s="11">
        <v>9</v>
      </c>
      <c r="C24" s="12" t="s">
        <v>21</v>
      </c>
      <c r="D24" s="18">
        <f>A24/(60*24)+D23</f>
        <v>0.35694444444444423</v>
      </c>
      <c r="E24" s="18">
        <f t="shared" si="0"/>
        <v>0.36597222222222209</v>
      </c>
      <c r="F24" s="18">
        <f t="shared" si="1"/>
        <v>0.36597222222222209</v>
      </c>
      <c r="G24" s="18" t="b">
        <f t="shared" si="3"/>
        <v>0</v>
      </c>
      <c r="H24" s="18"/>
    </row>
    <row r="25" spans="1:8" x14ac:dyDescent="0.25">
      <c r="A25" s="7">
        <v>5</v>
      </c>
      <c r="B25" s="8">
        <v>6</v>
      </c>
      <c r="C25" s="9" t="s">
        <v>22</v>
      </c>
      <c r="D25" s="18">
        <f>A25/(60*24)+D24</f>
        <v>0.36041666666666644</v>
      </c>
      <c r="E25" s="18">
        <f t="shared" si="0"/>
        <v>0.36597222222222209</v>
      </c>
      <c r="F25" s="18">
        <f t="shared" si="1"/>
        <v>0.36597222222222209</v>
      </c>
      <c r="G25" s="18" t="b">
        <f t="shared" si="3"/>
        <v>0</v>
      </c>
      <c r="H25" s="18"/>
    </row>
    <row r="26" spans="1:8" x14ac:dyDescent="0.25">
      <c r="A26" s="10">
        <v>13</v>
      </c>
      <c r="B26" s="11">
        <v>13</v>
      </c>
      <c r="C26" s="12" t="s">
        <v>23</v>
      </c>
      <c r="D26" s="18">
        <f>A26/(60*24)+D25</f>
        <v>0.36944444444444424</v>
      </c>
      <c r="E26" s="18">
        <f t="shared" si="0"/>
        <v>0.36944444444444424</v>
      </c>
      <c r="F26" s="18">
        <f t="shared" si="1"/>
        <v>0.37847222222222204</v>
      </c>
      <c r="G26" s="18" t="b">
        <f t="shared" si="3"/>
        <v>1</v>
      </c>
      <c r="H26" s="18"/>
    </row>
    <row r="27" spans="1:8" x14ac:dyDescent="0.25">
      <c r="A27" s="7">
        <v>11</v>
      </c>
      <c r="B27" s="8">
        <v>1</v>
      </c>
      <c r="C27" s="9" t="s">
        <v>24</v>
      </c>
      <c r="D27" s="18">
        <f>A27/(60*24)+D26</f>
        <v>0.3770833333333331</v>
      </c>
      <c r="E27" s="18">
        <f t="shared" si="0"/>
        <v>0.37847222222222204</v>
      </c>
      <c r="F27" s="18">
        <f t="shared" si="1"/>
        <v>0.37916666666666649</v>
      </c>
      <c r="G27" s="18" t="b">
        <f t="shared" si="3"/>
        <v>1</v>
      </c>
      <c r="H27" s="18"/>
    </row>
    <row r="28" spans="1:8" x14ac:dyDescent="0.25">
      <c r="A28" s="10">
        <v>10</v>
      </c>
      <c r="B28" s="11">
        <v>6</v>
      </c>
      <c r="C28" s="12" t="s">
        <v>25</v>
      </c>
      <c r="D28" s="18">
        <f>A28/(60*24)+D27</f>
        <v>0.38402777777777752</v>
      </c>
      <c r="E28" s="18">
        <f t="shared" si="0"/>
        <v>0.38402777777777752</v>
      </c>
      <c r="F28" s="18">
        <f t="shared" si="1"/>
        <v>0.38819444444444418</v>
      </c>
      <c r="G28" s="18" t="b">
        <f t="shared" si="3"/>
        <v>1</v>
      </c>
      <c r="H28" s="18"/>
    </row>
    <row r="29" spans="1:8" x14ac:dyDescent="0.25">
      <c r="A29" s="7">
        <v>11</v>
      </c>
      <c r="B29" s="8">
        <v>12</v>
      </c>
      <c r="C29" s="9" t="s">
        <v>26</v>
      </c>
      <c r="D29" s="18">
        <f>A29/(60*24)+D28</f>
        <v>0.39166666666666639</v>
      </c>
      <c r="E29" s="18">
        <f t="shared" si="0"/>
        <v>0.39166666666666639</v>
      </c>
      <c r="F29" s="18">
        <f t="shared" si="1"/>
        <v>0.39999999999999974</v>
      </c>
      <c r="G29" s="18" t="b">
        <f t="shared" si="3"/>
        <v>1</v>
      </c>
      <c r="H29" s="18"/>
    </row>
    <row r="30" spans="1:8" x14ac:dyDescent="0.25">
      <c r="A30" s="10">
        <v>4</v>
      </c>
      <c r="B30" s="11">
        <v>9</v>
      </c>
      <c r="C30" s="12" t="s">
        <v>27</v>
      </c>
      <c r="D30" s="18">
        <f>A30/(60*24)+D29</f>
        <v>0.39444444444444415</v>
      </c>
      <c r="E30" s="18">
        <f t="shared" si="0"/>
        <v>0.39999999999999974</v>
      </c>
      <c r="F30" s="18">
        <f t="shared" si="1"/>
        <v>0.39999999999999974</v>
      </c>
      <c r="G30" s="18" t="b">
        <f t="shared" si="3"/>
        <v>0</v>
      </c>
      <c r="H30" s="18"/>
    </row>
    <row r="31" spans="1:8" x14ac:dyDescent="0.25">
      <c r="A31" s="7">
        <v>4</v>
      </c>
      <c r="B31" s="8">
        <v>1</v>
      </c>
      <c r="C31" s="9" t="s">
        <v>28</v>
      </c>
      <c r="D31" s="18">
        <f>A31/(60*24)+D30</f>
        <v>0.39722222222222192</v>
      </c>
      <c r="E31" s="18">
        <f t="shared" si="0"/>
        <v>0.39999999999999974</v>
      </c>
      <c r="F31" s="18">
        <f t="shared" si="1"/>
        <v>0.40069444444444419</v>
      </c>
      <c r="G31" s="18" t="b">
        <f t="shared" si="3"/>
        <v>1</v>
      </c>
      <c r="H31" s="18"/>
    </row>
    <row r="32" spans="1:8" x14ac:dyDescent="0.25">
      <c r="A32" s="10">
        <v>2</v>
      </c>
      <c r="B32" s="11">
        <v>11</v>
      </c>
      <c r="C32" s="12" t="s">
        <v>29</v>
      </c>
      <c r="D32" s="18">
        <f>A32/(60*24)+D31</f>
        <v>0.39861111111111081</v>
      </c>
      <c r="E32" s="18">
        <f t="shared" si="0"/>
        <v>0.40069444444444419</v>
      </c>
      <c r="F32" s="18">
        <f t="shared" si="1"/>
        <v>0.40833333333333305</v>
      </c>
      <c r="G32" s="18" t="b">
        <f t="shared" si="3"/>
        <v>1</v>
      </c>
      <c r="H32" s="18"/>
    </row>
    <row r="33" spans="1:8" x14ac:dyDescent="0.25">
      <c r="A33" s="7">
        <v>7</v>
      </c>
      <c r="B33" s="8">
        <v>2</v>
      </c>
      <c r="C33" s="9" t="s">
        <v>30</v>
      </c>
      <c r="D33" s="18">
        <f>A33/(60*24)+D32</f>
        <v>0.4034722222222219</v>
      </c>
      <c r="E33" s="18">
        <f t="shared" si="0"/>
        <v>0.40833333333333305</v>
      </c>
      <c r="F33" s="18">
        <f t="shared" si="1"/>
        <v>0.40833333333333305</v>
      </c>
      <c r="G33" s="18" t="b">
        <f t="shared" si="3"/>
        <v>0</v>
      </c>
      <c r="H33" s="18"/>
    </row>
    <row r="34" spans="1:8" x14ac:dyDescent="0.25">
      <c r="A34" s="10">
        <v>11</v>
      </c>
      <c r="B34" s="11">
        <v>14</v>
      </c>
      <c r="C34" s="12" t="s">
        <v>31</v>
      </c>
      <c r="D34" s="18">
        <f>A34/(60*24)+D33</f>
        <v>0.41111111111111076</v>
      </c>
      <c r="E34" s="18">
        <f t="shared" si="0"/>
        <v>0.41111111111111076</v>
      </c>
      <c r="F34" s="18">
        <f t="shared" si="1"/>
        <v>0.420833333333333</v>
      </c>
      <c r="G34" s="18" t="b">
        <f t="shared" si="3"/>
        <v>1</v>
      </c>
      <c r="H34" s="18"/>
    </row>
    <row r="35" spans="1:8" x14ac:dyDescent="0.25">
      <c r="A35" s="7">
        <v>6</v>
      </c>
      <c r="B35" s="8">
        <v>3</v>
      </c>
      <c r="C35" s="9" t="s">
        <v>32</v>
      </c>
      <c r="D35" s="18">
        <f>A35/(60*24)+D34</f>
        <v>0.41527777777777741</v>
      </c>
      <c r="E35" s="18">
        <f t="shared" si="0"/>
        <v>0.420833333333333</v>
      </c>
      <c r="F35" s="18">
        <f t="shared" si="1"/>
        <v>0.420833333333333</v>
      </c>
      <c r="G35" s="18" t="b">
        <f t="shared" si="3"/>
        <v>0</v>
      </c>
      <c r="H35" s="18"/>
    </row>
    <row r="36" spans="1:8" x14ac:dyDescent="0.25">
      <c r="A36" s="10">
        <v>11</v>
      </c>
      <c r="B36" s="11">
        <v>5</v>
      </c>
      <c r="C36" s="12" t="s">
        <v>33</v>
      </c>
      <c r="D36" s="18">
        <f>A36/(60*24)+D35</f>
        <v>0.42291666666666627</v>
      </c>
      <c r="E36" s="18">
        <f t="shared" si="0"/>
        <v>0.42291666666666627</v>
      </c>
      <c r="F36" s="18">
        <f t="shared" si="1"/>
        <v>0.42638888888888848</v>
      </c>
      <c r="G36" s="18" t="b">
        <f t="shared" si="3"/>
        <v>1</v>
      </c>
      <c r="H36" s="18"/>
    </row>
    <row r="37" spans="1:8" x14ac:dyDescent="0.25">
      <c r="A37" s="7">
        <v>5</v>
      </c>
      <c r="B37" s="8">
        <v>9</v>
      </c>
      <c r="C37" s="9" t="s">
        <v>34</v>
      </c>
      <c r="D37" s="18">
        <f>A37/(60*24)+D36</f>
        <v>0.42638888888888848</v>
      </c>
      <c r="E37" s="18">
        <f t="shared" si="0"/>
        <v>0.42638888888888848</v>
      </c>
      <c r="F37" s="18">
        <f t="shared" si="1"/>
        <v>0.43263888888888846</v>
      </c>
      <c r="G37" s="18" t="b">
        <f t="shared" si="3"/>
        <v>1</v>
      </c>
      <c r="H37" s="18"/>
    </row>
    <row r="38" spans="1:8" x14ac:dyDescent="0.25">
      <c r="A38" s="10">
        <v>9</v>
      </c>
      <c r="B38" s="11">
        <v>5</v>
      </c>
      <c r="C38" s="12" t="s">
        <v>35</v>
      </c>
      <c r="D38" s="18">
        <f>A38/(60*24)+D37</f>
        <v>0.43263888888888846</v>
      </c>
      <c r="E38" s="18">
        <f t="shared" si="0"/>
        <v>0.43263888888888846</v>
      </c>
      <c r="F38" s="18">
        <f t="shared" si="1"/>
        <v>0.43611111111111067</v>
      </c>
      <c r="G38" s="18" t="b">
        <f t="shared" si="3"/>
        <v>1</v>
      </c>
      <c r="H38" s="18"/>
    </row>
    <row r="39" spans="1:8" x14ac:dyDescent="0.25">
      <c r="A39" s="7">
        <v>11</v>
      </c>
      <c r="B39" s="8">
        <v>4</v>
      </c>
      <c r="C39" s="9" t="s">
        <v>36</v>
      </c>
      <c r="D39" s="18">
        <f>A39/(60*24)+D38</f>
        <v>0.44027777777777732</v>
      </c>
      <c r="E39" s="18">
        <f t="shared" si="0"/>
        <v>0.44027777777777732</v>
      </c>
      <c r="F39" s="18">
        <f t="shared" si="1"/>
        <v>0.44305555555555509</v>
      </c>
      <c r="G39" s="18" t="b">
        <f t="shared" si="3"/>
        <v>1</v>
      </c>
      <c r="H39" s="18"/>
    </row>
    <row r="40" spans="1:8" x14ac:dyDescent="0.25">
      <c r="A40" s="10">
        <v>15</v>
      </c>
      <c r="B40" s="11">
        <v>5</v>
      </c>
      <c r="C40" s="12" t="s">
        <v>37</v>
      </c>
      <c r="D40" s="18">
        <f>A40/(60*24)+D39</f>
        <v>0.45069444444444401</v>
      </c>
      <c r="E40" s="18">
        <f t="shared" si="0"/>
        <v>0.45069444444444401</v>
      </c>
      <c r="F40" s="18">
        <f t="shared" si="1"/>
        <v>0.45416666666666622</v>
      </c>
      <c r="G40" s="18" t="b">
        <f t="shared" si="3"/>
        <v>1</v>
      </c>
      <c r="H40" s="18"/>
    </row>
    <row r="41" spans="1:8" x14ac:dyDescent="0.25">
      <c r="A41" s="7">
        <v>12</v>
      </c>
      <c r="B41" s="8">
        <v>1</v>
      </c>
      <c r="C41" s="9" t="s">
        <v>38</v>
      </c>
      <c r="D41" s="18">
        <f>A41/(60*24)+D40</f>
        <v>0.45902777777777737</v>
      </c>
      <c r="E41" s="18">
        <f t="shared" si="0"/>
        <v>0.45902777777777737</v>
      </c>
      <c r="F41" s="18">
        <f t="shared" si="1"/>
        <v>0.45972222222222181</v>
      </c>
      <c r="G41" s="18" t="b">
        <f t="shared" si="3"/>
        <v>1</v>
      </c>
      <c r="H41" s="18"/>
    </row>
    <row r="42" spans="1:8" x14ac:dyDescent="0.25">
      <c r="A42" s="10">
        <v>2</v>
      </c>
      <c r="B42" s="11">
        <v>5</v>
      </c>
      <c r="C42" s="12" t="s">
        <v>39</v>
      </c>
      <c r="D42" s="18">
        <f>A42/(60*24)+D41</f>
        <v>0.46041666666666625</v>
      </c>
      <c r="E42" s="18">
        <f t="shared" si="0"/>
        <v>0.46041666666666625</v>
      </c>
      <c r="F42" s="18">
        <f t="shared" si="1"/>
        <v>0.46388888888888846</v>
      </c>
      <c r="G42" s="18" t="b">
        <f t="shared" si="3"/>
        <v>1</v>
      </c>
      <c r="H42" s="18"/>
    </row>
    <row r="43" spans="1:8" x14ac:dyDescent="0.25">
      <c r="A43" s="7">
        <v>11</v>
      </c>
      <c r="B43" s="8">
        <v>11</v>
      </c>
      <c r="C43" s="9" t="s">
        <v>40</v>
      </c>
      <c r="D43" s="18">
        <f>A43/(60*24)+D42</f>
        <v>0.46805555555555511</v>
      </c>
      <c r="E43" s="18">
        <f t="shared" si="0"/>
        <v>0.46805555555555511</v>
      </c>
      <c r="F43" s="18">
        <f t="shared" si="1"/>
        <v>0.47569444444444398</v>
      </c>
      <c r="G43" s="18" t="b">
        <f t="shared" si="3"/>
        <v>1</v>
      </c>
      <c r="H43" s="18"/>
    </row>
    <row r="44" spans="1:8" x14ac:dyDescent="0.25">
      <c r="A44" s="10">
        <v>2</v>
      </c>
      <c r="B44" s="11">
        <v>3</v>
      </c>
      <c r="C44" s="12" t="s">
        <v>41</v>
      </c>
      <c r="D44" s="18">
        <f>A44/(60*24)+D43</f>
        <v>0.469444444444444</v>
      </c>
      <c r="E44" s="18">
        <f t="shared" si="0"/>
        <v>0.47569444444444398</v>
      </c>
      <c r="F44" s="18">
        <f t="shared" si="1"/>
        <v>0.47569444444444398</v>
      </c>
      <c r="G44" s="18" t="b">
        <f t="shared" si="3"/>
        <v>0</v>
      </c>
      <c r="H44" s="18"/>
    </row>
    <row r="45" spans="1:8" x14ac:dyDescent="0.25">
      <c r="A45" s="7">
        <v>6</v>
      </c>
      <c r="B45" s="8">
        <v>13</v>
      </c>
      <c r="C45" s="9" t="s">
        <v>42</v>
      </c>
      <c r="D45" s="18">
        <f>A45/(60*24)+D44</f>
        <v>0.47361111111111065</v>
      </c>
      <c r="E45" s="18">
        <f t="shared" si="0"/>
        <v>0.47569444444444398</v>
      </c>
      <c r="F45" s="18">
        <f t="shared" si="1"/>
        <v>0.48472222222222178</v>
      </c>
      <c r="G45" s="18" t="b">
        <f t="shared" si="3"/>
        <v>1</v>
      </c>
      <c r="H45" s="18"/>
    </row>
    <row r="46" spans="1:8" x14ac:dyDescent="0.25">
      <c r="A46" s="10">
        <v>4</v>
      </c>
      <c r="B46" s="11">
        <v>11</v>
      </c>
      <c r="C46" s="12" t="s">
        <v>43</v>
      </c>
      <c r="D46" s="18">
        <f>A46/(60*24)+D45</f>
        <v>0.47638888888888842</v>
      </c>
      <c r="E46" s="18">
        <f t="shared" si="0"/>
        <v>0.48472222222222178</v>
      </c>
      <c r="F46" s="18">
        <f t="shared" si="1"/>
        <v>0.48472222222222178</v>
      </c>
      <c r="G46" s="18" t="b">
        <f t="shared" si="3"/>
        <v>0</v>
      </c>
      <c r="H46" s="18"/>
    </row>
    <row r="47" spans="1:8" x14ac:dyDescent="0.25">
      <c r="A47" s="7">
        <v>7</v>
      </c>
      <c r="B47" s="8">
        <v>10</v>
      </c>
      <c r="C47" s="9" t="s">
        <v>44</v>
      </c>
      <c r="D47" s="18">
        <f>A47/(60*24)+D46</f>
        <v>0.48124999999999951</v>
      </c>
      <c r="E47" s="18">
        <f t="shared" si="0"/>
        <v>0.48472222222222178</v>
      </c>
      <c r="F47" s="18">
        <f t="shared" si="1"/>
        <v>0.4916666666666662</v>
      </c>
      <c r="G47" s="18" t="b">
        <f t="shared" si="3"/>
        <v>1</v>
      </c>
      <c r="H47" s="18"/>
    </row>
    <row r="48" spans="1:8" x14ac:dyDescent="0.25">
      <c r="A48" s="10">
        <v>8</v>
      </c>
      <c r="B48" s="11">
        <v>6</v>
      </c>
      <c r="C48" s="12" t="s">
        <v>45</v>
      </c>
      <c r="D48" s="18">
        <f>A48/(60*24)+D47</f>
        <v>0.48680555555555505</v>
      </c>
      <c r="E48" s="18">
        <f t="shared" si="0"/>
        <v>0.4916666666666662</v>
      </c>
      <c r="F48" s="18">
        <f t="shared" si="1"/>
        <v>0.4916666666666662</v>
      </c>
      <c r="G48" s="18" t="b">
        <f t="shared" si="3"/>
        <v>0</v>
      </c>
      <c r="H48" s="18"/>
    </row>
    <row r="49" spans="1:8" x14ac:dyDescent="0.25">
      <c r="A49" s="7">
        <v>3</v>
      </c>
      <c r="B49" s="8">
        <v>14</v>
      </c>
      <c r="C49" s="9" t="s">
        <v>46</v>
      </c>
      <c r="D49" s="18">
        <f>A49/(60*24)+D48</f>
        <v>0.48888888888888837</v>
      </c>
      <c r="E49" s="18">
        <f t="shared" si="0"/>
        <v>0.4916666666666662</v>
      </c>
      <c r="F49" s="18">
        <f t="shared" si="1"/>
        <v>0.50138888888888844</v>
      </c>
      <c r="G49" s="18" t="b">
        <f t="shared" si="3"/>
        <v>1</v>
      </c>
      <c r="H49" s="18"/>
    </row>
    <row r="50" spans="1:8" x14ac:dyDescent="0.25">
      <c r="A50" s="10">
        <v>7</v>
      </c>
      <c r="B50" s="11">
        <v>13</v>
      </c>
      <c r="C50" s="12" t="s">
        <v>47</v>
      </c>
      <c r="D50" s="18">
        <f>A50/(60*24)+D49</f>
        <v>0.49374999999999947</v>
      </c>
      <c r="E50" s="18">
        <f t="shared" si="0"/>
        <v>0.50138888888888844</v>
      </c>
      <c r="F50" s="18">
        <f t="shared" si="1"/>
        <v>0.50138888888888844</v>
      </c>
      <c r="G50" s="18" t="b">
        <f t="shared" si="3"/>
        <v>0</v>
      </c>
      <c r="H50" s="18"/>
    </row>
    <row r="51" spans="1:8" x14ac:dyDescent="0.25">
      <c r="A51" s="7">
        <v>15</v>
      </c>
      <c r="B51" s="8">
        <v>11</v>
      </c>
      <c r="C51" s="9" t="s">
        <v>48</v>
      </c>
      <c r="D51" s="18">
        <f>A51/(60*24)+D50</f>
        <v>0.5041666666666661</v>
      </c>
      <c r="E51" s="18">
        <f t="shared" si="0"/>
        <v>0.5041666666666661</v>
      </c>
      <c r="F51" s="18">
        <f t="shared" si="1"/>
        <v>0.51180555555555496</v>
      </c>
      <c r="G51" s="18" t="b">
        <f t="shared" si="3"/>
        <v>1</v>
      </c>
      <c r="H51" s="18"/>
    </row>
    <row r="52" spans="1:8" x14ac:dyDescent="0.25">
      <c r="A52" s="10">
        <v>11</v>
      </c>
      <c r="B52" s="11">
        <v>8</v>
      </c>
      <c r="C52" s="12" t="s">
        <v>49</v>
      </c>
      <c r="D52" s="18">
        <f>A52/(60*24)+D51</f>
        <v>0.51180555555555496</v>
      </c>
      <c r="E52" s="18">
        <f t="shared" si="0"/>
        <v>0.51180555555555496</v>
      </c>
      <c r="F52" s="18">
        <f t="shared" si="1"/>
        <v>0.51736111111111049</v>
      </c>
      <c r="G52" s="18" t="b">
        <f t="shared" si="3"/>
        <v>1</v>
      </c>
      <c r="H52" s="18"/>
    </row>
    <row r="53" spans="1:8" x14ac:dyDescent="0.25">
      <c r="A53" s="7">
        <v>6</v>
      </c>
      <c r="B53" s="8">
        <v>10</v>
      </c>
      <c r="C53" s="9" t="s">
        <v>50</v>
      </c>
      <c r="D53" s="18">
        <f>A53/(60*24)+D52</f>
        <v>0.51597222222222161</v>
      </c>
      <c r="E53" s="18">
        <f t="shared" si="0"/>
        <v>0.51736111111111049</v>
      </c>
      <c r="F53" s="18">
        <f t="shared" si="1"/>
        <v>0.52430555555555491</v>
      </c>
      <c r="G53" s="18" t="b">
        <f t="shared" si="3"/>
        <v>1</v>
      </c>
      <c r="H53" s="18"/>
    </row>
    <row r="54" spans="1:8" x14ac:dyDescent="0.25">
      <c r="A54" s="10">
        <v>3</v>
      </c>
      <c r="B54" s="11">
        <v>12</v>
      </c>
      <c r="C54" s="12" t="s">
        <v>51</v>
      </c>
      <c r="D54" s="18">
        <f>A54/(60*24)+D53</f>
        <v>0.51805555555555494</v>
      </c>
      <c r="E54" s="18">
        <f t="shared" si="0"/>
        <v>0.52430555555555491</v>
      </c>
      <c r="F54" s="18">
        <f t="shared" si="1"/>
        <v>0.52430555555555491</v>
      </c>
      <c r="G54" s="18" t="b">
        <f t="shared" si="3"/>
        <v>0</v>
      </c>
      <c r="H54" s="18"/>
    </row>
    <row r="55" spans="1:8" x14ac:dyDescent="0.25">
      <c r="A55" s="7">
        <v>13</v>
      </c>
      <c r="B55" s="8">
        <v>11</v>
      </c>
      <c r="C55" s="9" t="s">
        <v>52</v>
      </c>
      <c r="D55" s="18">
        <f>A55/(60*24)+D54</f>
        <v>0.52708333333333268</v>
      </c>
      <c r="E55" s="18">
        <f t="shared" si="0"/>
        <v>0.52708333333333268</v>
      </c>
      <c r="F55" s="18">
        <f t="shared" si="1"/>
        <v>0.53472222222222154</v>
      </c>
      <c r="G55" s="18" t="b">
        <f t="shared" si="3"/>
        <v>1</v>
      </c>
      <c r="H55" s="18"/>
    </row>
    <row r="56" spans="1:8" x14ac:dyDescent="0.25">
      <c r="A56" s="10">
        <v>15</v>
      </c>
      <c r="B56" s="11">
        <v>12</v>
      </c>
      <c r="C56" s="12" t="s">
        <v>53</v>
      </c>
      <c r="D56" s="18">
        <f>A56/(60*24)+D55</f>
        <v>0.53749999999999931</v>
      </c>
      <c r="E56" s="18">
        <f t="shared" si="0"/>
        <v>0.53749999999999931</v>
      </c>
      <c r="F56" s="18">
        <f t="shared" si="1"/>
        <v>0.54583333333333262</v>
      </c>
      <c r="G56" s="18" t="b">
        <f t="shared" si="3"/>
        <v>1</v>
      </c>
      <c r="H56" s="18"/>
    </row>
    <row r="57" spans="1:8" x14ac:dyDescent="0.25">
      <c r="A57" s="7">
        <v>1</v>
      </c>
      <c r="B57" s="8">
        <v>13</v>
      </c>
      <c r="C57" s="9" t="s">
        <v>54</v>
      </c>
      <c r="D57" s="18">
        <f>A57/(60*24)+D56</f>
        <v>0.53819444444444375</v>
      </c>
      <c r="E57" s="18">
        <f t="shared" si="0"/>
        <v>0.54583333333333262</v>
      </c>
      <c r="F57" s="18">
        <f t="shared" si="1"/>
        <v>0.54583333333333262</v>
      </c>
      <c r="G57" s="18" t="b">
        <f t="shared" si="3"/>
        <v>0</v>
      </c>
      <c r="H57" s="18"/>
    </row>
    <row r="58" spans="1:8" x14ac:dyDescent="0.25">
      <c r="A58" s="10">
        <v>15</v>
      </c>
      <c r="B58" s="11">
        <v>7</v>
      </c>
      <c r="C58" s="12" t="s">
        <v>55</v>
      </c>
      <c r="D58" s="18">
        <f>A58/(60*24)+D57</f>
        <v>0.54861111111111038</v>
      </c>
      <c r="E58" s="18">
        <f t="shared" si="0"/>
        <v>0.54861111111111038</v>
      </c>
      <c r="F58" s="18">
        <f t="shared" si="1"/>
        <v>0.55347222222222148</v>
      </c>
      <c r="G58" s="18" t="b">
        <f t="shared" si="3"/>
        <v>1</v>
      </c>
      <c r="H58" s="18"/>
    </row>
    <row r="59" spans="1:8" x14ac:dyDescent="0.25">
      <c r="A59" s="7">
        <v>14</v>
      </c>
      <c r="B59" s="8">
        <v>10</v>
      </c>
      <c r="C59" s="9" t="s">
        <v>56</v>
      </c>
      <c r="D59" s="18">
        <f>A59/(60*24)+D58</f>
        <v>0.55833333333333257</v>
      </c>
      <c r="E59" s="18">
        <f t="shared" si="0"/>
        <v>0.55833333333333257</v>
      </c>
      <c r="F59" s="18">
        <f t="shared" si="1"/>
        <v>0.56527777777777699</v>
      </c>
      <c r="G59" s="18" t="b">
        <f t="shared" si="3"/>
        <v>1</v>
      </c>
      <c r="H59" s="18"/>
    </row>
    <row r="60" spans="1:8" x14ac:dyDescent="0.25">
      <c r="A60" s="10">
        <v>7</v>
      </c>
      <c r="B60" s="11">
        <v>1</v>
      </c>
      <c r="C60" s="12" t="s">
        <v>57</v>
      </c>
      <c r="D60" s="18">
        <f>A60/(60*24)+D59</f>
        <v>0.56319444444444366</v>
      </c>
      <c r="E60" s="18">
        <f t="shared" si="0"/>
        <v>0.56527777777777699</v>
      </c>
      <c r="F60" s="18">
        <f t="shared" si="1"/>
        <v>0.56597222222222143</v>
      </c>
      <c r="G60" s="18" t="b">
        <f t="shared" si="3"/>
        <v>1</v>
      </c>
      <c r="H60" s="18"/>
    </row>
    <row r="61" spans="1:8" x14ac:dyDescent="0.25">
      <c r="A61" s="7">
        <v>7</v>
      </c>
      <c r="B61" s="8">
        <v>5</v>
      </c>
      <c r="C61" s="9" t="s">
        <v>58</v>
      </c>
      <c r="D61" s="18">
        <f>A61/(60*24)+D60</f>
        <v>0.56805555555555476</v>
      </c>
      <c r="E61" s="18">
        <f t="shared" si="0"/>
        <v>0.56805555555555476</v>
      </c>
      <c r="F61" s="18">
        <f t="shared" si="1"/>
        <v>0.57152777777777697</v>
      </c>
      <c r="G61" s="18" t="b">
        <f t="shared" si="3"/>
        <v>1</v>
      </c>
      <c r="H61" s="18"/>
    </row>
    <row r="62" spans="1:8" x14ac:dyDescent="0.25">
      <c r="A62" s="10">
        <v>6</v>
      </c>
      <c r="B62" s="11">
        <v>1</v>
      </c>
      <c r="C62" s="12" t="s">
        <v>59</v>
      </c>
      <c r="D62" s="18">
        <f>A62/(60*24)+D61</f>
        <v>0.57222222222222141</v>
      </c>
      <c r="E62" s="18">
        <f t="shared" si="0"/>
        <v>0.57222222222222141</v>
      </c>
      <c r="F62" s="18">
        <f t="shared" si="1"/>
        <v>0.57291666666666585</v>
      </c>
      <c r="G62" s="18" t="b">
        <f t="shared" si="3"/>
        <v>1</v>
      </c>
      <c r="H62" s="18"/>
    </row>
    <row r="63" spans="1:8" x14ac:dyDescent="0.25">
      <c r="A63" s="7">
        <v>3</v>
      </c>
      <c r="B63" s="8">
        <v>12</v>
      </c>
      <c r="C63" s="9" t="s">
        <v>60</v>
      </c>
      <c r="D63" s="18">
        <f>A63/(60*24)+D62</f>
        <v>0.57430555555555474</v>
      </c>
      <c r="E63" s="18">
        <f t="shared" si="0"/>
        <v>0.57430555555555474</v>
      </c>
      <c r="F63" s="18">
        <f t="shared" si="1"/>
        <v>0.58263888888888804</v>
      </c>
      <c r="G63" s="18" t="b">
        <f t="shared" si="3"/>
        <v>1</v>
      </c>
      <c r="H63" s="18"/>
    </row>
    <row r="64" spans="1:8" x14ac:dyDescent="0.25">
      <c r="A64" s="10">
        <v>15</v>
      </c>
      <c r="B64" s="11">
        <v>14</v>
      </c>
      <c r="C64" s="12" t="s">
        <v>61</v>
      </c>
      <c r="D64" s="18">
        <f>A64/(60*24)+D63</f>
        <v>0.58472222222222137</v>
      </c>
      <c r="E64" s="18">
        <f t="shared" si="0"/>
        <v>0.58472222222222137</v>
      </c>
      <c r="F64" s="18">
        <f t="shared" si="1"/>
        <v>0.59444444444444355</v>
      </c>
      <c r="G64" s="18" t="b">
        <f t="shared" si="3"/>
        <v>1</v>
      </c>
      <c r="H64" s="18"/>
    </row>
    <row r="65" spans="1:8" x14ac:dyDescent="0.25">
      <c r="A65" s="7">
        <v>3</v>
      </c>
      <c r="B65" s="8">
        <v>9</v>
      </c>
      <c r="C65" s="9" t="s">
        <v>62</v>
      </c>
      <c r="D65" s="18">
        <f>A65/(60*24)+D64</f>
        <v>0.58680555555555469</v>
      </c>
      <c r="E65" s="18">
        <f t="shared" si="0"/>
        <v>0.59444444444444355</v>
      </c>
      <c r="F65" s="18">
        <f t="shared" si="1"/>
        <v>0.59444444444444355</v>
      </c>
      <c r="G65" s="18" t="b">
        <f t="shared" si="3"/>
        <v>0</v>
      </c>
      <c r="H65" s="18"/>
    </row>
    <row r="66" spans="1:8" x14ac:dyDescent="0.25">
      <c r="A66" s="10">
        <v>8</v>
      </c>
      <c r="B66" s="11">
        <v>11</v>
      </c>
      <c r="C66" s="12" t="s">
        <v>63</v>
      </c>
      <c r="D66" s="18">
        <f>A66/(60*24)+D65</f>
        <v>0.59236111111111023</v>
      </c>
      <c r="E66" s="18">
        <f t="shared" si="0"/>
        <v>0.59444444444444355</v>
      </c>
      <c r="F66" s="18">
        <f t="shared" si="1"/>
        <v>0.60208333333333242</v>
      </c>
      <c r="G66" s="18" t="b">
        <f t="shared" si="3"/>
        <v>1</v>
      </c>
      <c r="H66" s="18"/>
    </row>
    <row r="67" spans="1:8" x14ac:dyDescent="0.25">
      <c r="A67" s="7">
        <v>5</v>
      </c>
      <c r="B67" s="8">
        <v>15</v>
      </c>
      <c r="C67" s="9" t="s">
        <v>64</v>
      </c>
      <c r="D67" s="18">
        <f>A67/(60*24)+D66</f>
        <v>0.59583333333333244</v>
      </c>
      <c r="E67" s="18">
        <f t="shared" si="0"/>
        <v>0.60208333333333242</v>
      </c>
      <c r="F67" s="18">
        <f t="shared" si="1"/>
        <v>0.60208333333333242</v>
      </c>
      <c r="G67" s="18" t="b">
        <f t="shared" si="3"/>
        <v>0</v>
      </c>
      <c r="H67" s="18"/>
    </row>
    <row r="68" spans="1:8" x14ac:dyDescent="0.25">
      <c r="A68" s="10">
        <v>2</v>
      </c>
      <c r="B68" s="11">
        <v>4</v>
      </c>
      <c r="C68" s="12" t="s">
        <v>65</v>
      </c>
      <c r="D68" s="18">
        <f>A68/(60*24)+D67</f>
        <v>0.59722222222222132</v>
      </c>
      <c r="E68" s="18">
        <f t="shared" si="0"/>
        <v>0.60208333333333242</v>
      </c>
      <c r="F68" s="18">
        <f t="shared" si="1"/>
        <v>0.60208333333333242</v>
      </c>
      <c r="G68" s="18" t="b">
        <f t="shared" si="3"/>
        <v>0</v>
      </c>
      <c r="H68" s="18"/>
    </row>
    <row r="69" spans="1:8" x14ac:dyDescent="0.25">
      <c r="A69" s="7">
        <v>14</v>
      </c>
      <c r="B69" s="8">
        <v>9</v>
      </c>
      <c r="C69" s="9" t="s">
        <v>66</v>
      </c>
      <c r="D69" s="18">
        <f>A69/(60*24)+D68</f>
        <v>0.60694444444444351</v>
      </c>
      <c r="E69" s="18">
        <f t="shared" ref="E69:E132" si="4">IF(D69&gt;F68,D69,F68)</f>
        <v>0.60694444444444351</v>
      </c>
      <c r="F69" s="18">
        <f t="shared" ref="F69:F132" si="5">IF(G69=TRUE,E69+B69/(60*24),F68)</f>
        <v>0.61319444444444349</v>
      </c>
      <c r="G69" s="18" t="b">
        <f t="shared" si="3"/>
        <v>1</v>
      </c>
      <c r="H69" s="18"/>
    </row>
    <row r="70" spans="1:8" x14ac:dyDescent="0.25">
      <c r="A70" s="10">
        <v>7</v>
      </c>
      <c r="B70" s="11">
        <v>7</v>
      </c>
      <c r="C70" s="12" t="s">
        <v>67</v>
      </c>
      <c r="D70" s="18">
        <f>A70/(60*24)+D69</f>
        <v>0.6118055555555546</v>
      </c>
      <c r="E70" s="18">
        <f t="shared" si="4"/>
        <v>0.61319444444444349</v>
      </c>
      <c r="F70" s="18">
        <f t="shared" si="5"/>
        <v>0.61805555555555458</v>
      </c>
      <c r="G70" s="18" t="b">
        <f t="shared" si="3"/>
        <v>1</v>
      </c>
      <c r="H70" s="18"/>
    </row>
    <row r="71" spans="1:8" x14ac:dyDescent="0.25">
      <c r="A71" s="7">
        <v>14</v>
      </c>
      <c r="B71" s="8">
        <v>6</v>
      </c>
      <c r="C71" s="9" t="s">
        <v>68</v>
      </c>
      <c r="D71" s="18">
        <f>A71/(60*24)+D70</f>
        <v>0.62152777777777679</v>
      </c>
      <c r="E71" s="18">
        <f t="shared" si="4"/>
        <v>0.62152777777777679</v>
      </c>
      <c r="F71" s="18">
        <f t="shared" si="5"/>
        <v>0.62569444444444344</v>
      </c>
      <c r="G71" s="18" t="b">
        <f t="shared" ref="G71:G134" si="6">IF(D71+5*$B$1&gt;=F70,TRUE,FALSE)</f>
        <v>1</v>
      </c>
      <c r="H71" s="18"/>
    </row>
    <row r="72" spans="1:8" x14ac:dyDescent="0.25">
      <c r="A72" s="10">
        <v>11</v>
      </c>
      <c r="B72" s="11">
        <v>12</v>
      </c>
      <c r="C72" s="12" t="s">
        <v>69</v>
      </c>
      <c r="D72" s="18">
        <f>A72/(60*24)+D71</f>
        <v>0.62916666666666565</v>
      </c>
      <c r="E72" s="18">
        <f t="shared" si="4"/>
        <v>0.62916666666666565</v>
      </c>
      <c r="F72" s="18">
        <f t="shared" si="5"/>
        <v>0.63749999999999896</v>
      </c>
      <c r="G72" s="18" t="b">
        <f t="shared" si="6"/>
        <v>1</v>
      </c>
      <c r="H72" s="18"/>
    </row>
    <row r="73" spans="1:8" x14ac:dyDescent="0.25">
      <c r="A73" s="7">
        <v>2</v>
      </c>
      <c r="B73" s="8">
        <v>4</v>
      </c>
      <c r="C73" s="9" t="s">
        <v>70</v>
      </c>
      <c r="D73" s="18">
        <f>A73/(60*24)+D72</f>
        <v>0.63055555555555454</v>
      </c>
      <c r="E73" s="18">
        <f t="shared" si="4"/>
        <v>0.63749999999999896</v>
      </c>
      <c r="F73" s="18">
        <f t="shared" si="5"/>
        <v>0.63749999999999896</v>
      </c>
      <c r="G73" s="18" t="b">
        <f t="shared" si="6"/>
        <v>0</v>
      </c>
      <c r="H73" s="18"/>
    </row>
    <row r="74" spans="1:8" x14ac:dyDescent="0.25">
      <c r="A74" s="10">
        <v>11</v>
      </c>
      <c r="B74" s="11">
        <v>15</v>
      </c>
      <c r="C74" s="12" t="s">
        <v>71</v>
      </c>
      <c r="D74" s="18">
        <f>A74/(60*24)+D73</f>
        <v>0.6381944444444434</v>
      </c>
      <c r="E74" s="18">
        <f t="shared" si="4"/>
        <v>0.6381944444444434</v>
      </c>
      <c r="F74" s="18">
        <f t="shared" si="5"/>
        <v>0.64861111111111003</v>
      </c>
      <c r="G74" s="18" t="b">
        <f t="shared" si="6"/>
        <v>1</v>
      </c>
      <c r="H74" s="18"/>
    </row>
    <row r="75" spans="1:8" x14ac:dyDescent="0.25">
      <c r="A75" s="7">
        <v>4</v>
      </c>
      <c r="B75" s="8">
        <v>3</v>
      </c>
      <c r="C75" s="9" t="s">
        <v>72</v>
      </c>
      <c r="D75" s="18">
        <f>A75/(60*24)+D74</f>
        <v>0.64097222222222117</v>
      </c>
      <c r="E75" s="18">
        <f t="shared" si="4"/>
        <v>0.64861111111111003</v>
      </c>
      <c r="F75" s="18">
        <f t="shared" si="5"/>
        <v>0.64861111111111003</v>
      </c>
      <c r="G75" s="18" t="b">
        <f t="shared" si="6"/>
        <v>0</v>
      </c>
      <c r="H75" s="18"/>
    </row>
    <row r="76" spans="1:8" x14ac:dyDescent="0.25">
      <c r="A76" s="10">
        <v>3</v>
      </c>
      <c r="B76" s="11">
        <v>12</v>
      </c>
      <c r="C76" s="12" t="s">
        <v>73</v>
      </c>
      <c r="D76" s="18">
        <f>A76/(60*24)+D75</f>
        <v>0.64305555555555449</v>
      </c>
      <c r="E76" s="18">
        <f t="shared" si="4"/>
        <v>0.64861111111111003</v>
      </c>
      <c r="F76" s="18">
        <f t="shared" si="5"/>
        <v>0.64861111111111003</v>
      </c>
      <c r="G76" s="18" t="b">
        <f t="shared" si="6"/>
        <v>0</v>
      </c>
      <c r="H76" s="18"/>
    </row>
    <row r="77" spans="1:8" x14ac:dyDescent="0.25">
      <c r="A77" s="7">
        <v>2</v>
      </c>
      <c r="B77" s="8">
        <v>7</v>
      </c>
      <c r="C77" s="9" t="s">
        <v>74</v>
      </c>
      <c r="D77" s="18">
        <f>A77/(60*24)+D76</f>
        <v>0.64444444444444338</v>
      </c>
      <c r="E77" s="18">
        <f t="shared" si="4"/>
        <v>0.64861111111111003</v>
      </c>
      <c r="F77" s="18">
        <f t="shared" si="5"/>
        <v>0.64861111111111003</v>
      </c>
      <c r="G77" s="18" t="b">
        <f t="shared" si="6"/>
        <v>0</v>
      </c>
      <c r="H77" s="18"/>
    </row>
    <row r="78" spans="1:8" x14ac:dyDescent="0.25">
      <c r="A78" s="10">
        <v>13</v>
      </c>
      <c r="B78" s="11">
        <v>7</v>
      </c>
      <c r="C78" s="12" t="s">
        <v>75</v>
      </c>
      <c r="D78" s="18">
        <f>A78/(60*24)+D77</f>
        <v>0.65347222222222112</v>
      </c>
      <c r="E78" s="18">
        <f t="shared" si="4"/>
        <v>0.65347222222222112</v>
      </c>
      <c r="F78" s="18">
        <f t="shared" si="5"/>
        <v>0.65833333333333222</v>
      </c>
      <c r="G78" s="18" t="b">
        <f t="shared" si="6"/>
        <v>1</v>
      </c>
      <c r="H78" s="18"/>
    </row>
    <row r="79" spans="1:8" x14ac:dyDescent="0.25">
      <c r="A79" s="7">
        <v>3</v>
      </c>
      <c r="B79" s="8">
        <v>12</v>
      </c>
      <c r="C79" s="9" t="s">
        <v>76</v>
      </c>
      <c r="D79" s="18">
        <f>A79/(60*24)+D78</f>
        <v>0.65555555555555445</v>
      </c>
      <c r="E79" s="18">
        <f t="shared" si="4"/>
        <v>0.65833333333333222</v>
      </c>
      <c r="F79" s="18">
        <f t="shared" si="5"/>
        <v>0.66666666666666552</v>
      </c>
      <c r="G79" s="18" t="b">
        <f t="shared" si="6"/>
        <v>1</v>
      </c>
      <c r="H79" s="18"/>
    </row>
    <row r="80" spans="1:8" x14ac:dyDescent="0.25">
      <c r="A80" s="10">
        <v>9</v>
      </c>
      <c r="B80" s="11">
        <v>9</v>
      </c>
      <c r="C80" s="12" t="s">
        <v>77</v>
      </c>
      <c r="D80" s="18">
        <f>A80/(60*24)+D79</f>
        <v>0.66180555555555443</v>
      </c>
      <c r="E80" s="18">
        <f t="shared" si="4"/>
        <v>0.66666666666666552</v>
      </c>
      <c r="F80" s="18">
        <f t="shared" si="5"/>
        <v>0.66666666666666552</v>
      </c>
      <c r="G80" s="18" t="b">
        <f t="shared" si="6"/>
        <v>0</v>
      </c>
      <c r="H80" s="18"/>
    </row>
    <row r="81" spans="1:8" x14ac:dyDescent="0.25">
      <c r="A81" s="7">
        <v>13</v>
      </c>
      <c r="B81" s="8">
        <v>3</v>
      </c>
      <c r="C81" s="9" t="s">
        <v>78</v>
      </c>
      <c r="D81" s="18">
        <f>A81/(60*24)+D80</f>
        <v>0.67083333333333217</v>
      </c>
      <c r="E81" s="18">
        <f t="shared" si="4"/>
        <v>0.67083333333333217</v>
      </c>
      <c r="F81" s="18">
        <f t="shared" si="5"/>
        <v>0.6729166666666655</v>
      </c>
      <c r="G81" s="18" t="b">
        <f t="shared" si="6"/>
        <v>1</v>
      </c>
      <c r="H81" s="18"/>
    </row>
    <row r="82" spans="1:8" x14ac:dyDescent="0.25">
      <c r="A82" s="10">
        <v>7</v>
      </c>
      <c r="B82" s="11">
        <v>2</v>
      </c>
      <c r="C82" s="12" t="s">
        <v>79</v>
      </c>
      <c r="D82" s="18">
        <f>A82/(60*24)+D81</f>
        <v>0.67569444444444327</v>
      </c>
      <c r="E82" s="18">
        <f t="shared" si="4"/>
        <v>0.67569444444444327</v>
      </c>
      <c r="F82" s="18">
        <f t="shared" si="5"/>
        <v>0.67708333333333215</v>
      </c>
      <c r="G82" s="18" t="b">
        <f t="shared" si="6"/>
        <v>1</v>
      </c>
      <c r="H82" s="18"/>
    </row>
    <row r="83" spans="1:8" x14ac:dyDescent="0.25">
      <c r="A83" s="7">
        <v>13</v>
      </c>
      <c r="B83" s="8">
        <v>4</v>
      </c>
      <c r="C83" s="9" t="s">
        <v>80</v>
      </c>
      <c r="D83" s="18">
        <f>A83/(60*24)+D82</f>
        <v>0.68472222222222101</v>
      </c>
      <c r="E83" s="18">
        <f t="shared" si="4"/>
        <v>0.68472222222222101</v>
      </c>
      <c r="F83" s="18">
        <f t="shared" si="5"/>
        <v>0.68749999999999878</v>
      </c>
      <c r="G83" s="18" t="b">
        <f t="shared" si="6"/>
        <v>1</v>
      </c>
      <c r="H83" s="18"/>
    </row>
    <row r="84" spans="1:8" x14ac:dyDescent="0.25">
      <c r="A84" s="10">
        <v>4</v>
      </c>
      <c r="B84" s="11">
        <v>12</v>
      </c>
      <c r="C84" s="12" t="s">
        <v>81</v>
      </c>
      <c r="D84" s="18">
        <f>A84/(60*24)+D83</f>
        <v>0.68749999999999878</v>
      </c>
      <c r="E84" s="18">
        <f t="shared" si="4"/>
        <v>0.68749999999999878</v>
      </c>
      <c r="F84" s="18">
        <f t="shared" si="5"/>
        <v>0.69583333333333208</v>
      </c>
      <c r="G84" s="18" t="b">
        <f t="shared" si="6"/>
        <v>1</v>
      </c>
      <c r="H84" s="18"/>
    </row>
    <row r="85" spans="1:8" x14ac:dyDescent="0.25">
      <c r="A85" s="7">
        <v>7</v>
      </c>
      <c r="B85" s="8">
        <v>8</v>
      </c>
      <c r="C85" s="9" t="s">
        <v>82</v>
      </c>
      <c r="D85" s="18">
        <f>A85/(60*24)+D84</f>
        <v>0.69236111111110987</v>
      </c>
      <c r="E85" s="18">
        <f t="shared" si="4"/>
        <v>0.69583333333333208</v>
      </c>
      <c r="F85" s="18">
        <f t="shared" si="5"/>
        <v>0.70138888888888762</v>
      </c>
      <c r="G85" s="18" t="b">
        <f t="shared" si="6"/>
        <v>1</v>
      </c>
      <c r="H85" s="18"/>
    </row>
    <row r="86" spans="1:8" x14ac:dyDescent="0.25">
      <c r="A86" s="10">
        <v>3</v>
      </c>
      <c r="B86" s="11">
        <v>12</v>
      </c>
      <c r="C86" s="12" t="s">
        <v>83</v>
      </c>
      <c r="D86" s="18">
        <f>A86/(60*24)+D85</f>
        <v>0.6944444444444432</v>
      </c>
      <c r="E86" s="18">
        <f t="shared" si="4"/>
        <v>0.70138888888888762</v>
      </c>
      <c r="F86" s="18">
        <f t="shared" si="5"/>
        <v>0.70138888888888762</v>
      </c>
      <c r="G86" s="18" t="b">
        <f t="shared" si="6"/>
        <v>0</v>
      </c>
      <c r="H86" s="18"/>
    </row>
    <row r="87" spans="1:8" x14ac:dyDescent="0.25">
      <c r="A87" s="7">
        <v>4</v>
      </c>
      <c r="B87" s="8">
        <v>11</v>
      </c>
      <c r="C87" s="9" t="s">
        <v>84</v>
      </c>
      <c r="D87" s="18">
        <f>A87/(60*24)+D86</f>
        <v>0.69722222222222097</v>
      </c>
      <c r="E87" s="18">
        <f t="shared" si="4"/>
        <v>0.70138888888888762</v>
      </c>
      <c r="F87" s="18">
        <f t="shared" si="5"/>
        <v>0.70138888888888762</v>
      </c>
      <c r="G87" s="18" t="b">
        <f t="shared" si="6"/>
        <v>0</v>
      </c>
      <c r="H87" s="18"/>
    </row>
    <row r="88" spans="1:8" x14ac:dyDescent="0.25">
      <c r="A88" s="10">
        <v>7</v>
      </c>
      <c r="B88" s="11">
        <v>1</v>
      </c>
      <c r="C88" s="12" t="s">
        <v>85</v>
      </c>
      <c r="D88" s="18">
        <f>A88/(60*24)+D87</f>
        <v>0.70208333333333206</v>
      </c>
      <c r="E88" s="18">
        <f t="shared" si="4"/>
        <v>0.70208333333333206</v>
      </c>
      <c r="F88" s="18">
        <f t="shared" si="5"/>
        <v>0.7027777777777765</v>
      </c>
      <c r="G88" s="18" t="b">
        <f t="shared" si="6"/>
        <v>1</v>
      </c>
      <c r="H88" s="18"/>
    </row>
    <row r="89" spans="1:8" x14ac:dyDescent="0.25">
      <c r="A89" s="7">
        <v>3</v>
      </c>
      <c r="B89" s="8">
        <v>9</v>
      </c>
      <c r="C89" s="9" t="s">
        <v>86</v>
      </c>
      <c r="D89" s="18">
        <f>A89/(60*24)+D88</f>
        <v>0.70416666666666539</v>
      </c>
      <c r="E89" s="18">
        <f t="shared" si="4"/>
        <v>0.70416666666666539</v>
      </c>
      <c r="F89" s="18">
        <f t="shared" si="5"/>
        <v>0.71041666666666536</v>
      </c>
      <c r="G89" s="18" t="b">
        <f t="shared" si="6"/>
        <v>1</v>
      </c>
      <c r="H89" s="18"/>
    </row>
    <row r="90" spans="1:8" x14ac:dyDescent="0.25">
      <c r="A90" s="10">
        <v>1</v>
      </c>
      <c r="B90" s="11">
        <v>4</v>
      </c>
      <c r="C90" s="12" t="s">
        <v>87</v>
      </c>
      <c r="D90" s="18">
        <f>A90/(60*24)+D89</f>
        <v>0.70486111111110983</v>
      </c>
      <c r="E90" s="18">
        <f t="shared" si="4"/>
        <v>0.71041666666666536</v>
      </c>
      <c r="F90" s="18">
        <f t="shared" si="5"/>
        <v>0.71041666666666536</v>
      </c>
      <c r="G90" s="18" t="b">
        <f t="shared" si="6"/>
        <v>0</v>
      </c>
      <c r="H90" s="18"/>
    </row>
    <row r="91" spans="1:8" x14ac:dyDescent="0.25">
      <c r="A91" s="7">
        <v>14</v>
      </c>
      <c r="B91" s="8">
        <v>3</v>
      </c>
      <c r="C91" s="9" t="s">
        <v>88</v>
      </c>
      <c r="D91" s="18">
        <f>A91/(60*24)+D90</f>
        <v>0.71458333333333202</v>
      </c>
      <c r="E91" s="18">
        <f t="shared" si="4"/>
        <v>0.71458333333333202</v>
      </c>
      <c r="F91" s="18">
        <f t="shared" si="5"/>
        <v>0.71666666666666534</v>
      </c>
      <c r="G91" s="18" t="b">
        <f t="shared" si="6"/>
        <v>1</v>
      </c>
      <c r="H91" s="18"/>
    </row>
    <row r="92" spans="1:8" x14ac:dyDescent="0.25">
      <c r="A92" s="10">
        <v>5</v>
      </c>
      <c r="B92" s="11">
        <v>12</v>
      </c>
      <c r="C92" s="12" t="s">
        <v>89</v>
      </c>
      <c r="D92" s="18">
        <f>A92/(60*24)+D91</f>
        <v>0.71805555555555423</v>
      </c>
      <c r="E92" s="18">
        <f t="shared" si="4"/>
        <v>0.71805555555555423</v>
      </c>
      <c r="F92" s="18">
        <f t="shared" si="5"/>
        <v>0.72638888888888753</v>
      </c>
      <c r="G92" s="18" t="b">
        <f t="shared" si="6"/>
        <v>1</v>
      </c>
      <c r="H92" s="18"/>
    </row>
    <row r="93" spans="1:8" x14ac:dyDescent="0.25">
      <c r="A93" s="7">
        <v>4</v>
      </c>
      <c r="B93" s="8">
        <v>9</v>
      </c>
      <c r="C93" s="9" t="s">
        <v>90</v>
      </c>
      <c r="D93" s="18">
        <f>A93/(60*24)+D92</f>
        <v>0.72083333333333199</v>
      </c>
      <c r="E93" s="18">
        <f t="shared" si="4"/>
        <v>0.72638888888888753</v>
      </c>
      <c r="F93" s="18">
        <f t="shared" si="5"/>
        <v>0.72638888888888753</v>
      </c>
      <c r="G93" s="18" t="b">
        <f t="shared" si="6"/>
        <v>0</v>
      </c>
      <c r="H93" s="18"/>
    </row>
    <row r="94" spans="1:8" x14ac:dyDescent="0.25">
      <c r="A94" s="10">
        <v>5</v>
      </c>
      <c r="B94" s="11">
        <v>4</v>
      </c>
      <c r="C94" s="12" t="s">
        <v>91</v>
      </c>
      <c r="D94" s="18">
        <f>A94/(60*24)+D93</f>
        <v>0.7243055555555542</v>
      </c>
      <c r="E94" s="18">
        <f t="shared" si="4"/>
        <v>0.72638888888888753</v>
      </c>
      <c r="F94" s="18">
        <f t="shared" si="5"/>
        <v>0.7291666666666653</v>
      </c>
      <c r="G94" s="18" t="b">
        <f t="shared" si="6"/>
        <v>1</v>
      </c>
      <c r="H94" s="18"/>
    </row>
    <row r="95" spans="1:8" x14ac:dyDescent="0.25">
      <c r="A95" s="7">
        <v>6</v>
      </c>
      <c r="B95" s="8">
        <v>8</v>
      </c>
      <c r="C95" s="9" t="s">
        <v>92</v>
      </c>
      <c r="D95" s="18">
        <f>A95/(60*24)+D94</f>
        <v>0.72847222222222086</v>
      </c>
      <c r="E95" s="18">
        <f t="shared" si="4"/>
        <v>0.7291666666666653</v>
      </c>
      <c r="F95" s="18">
        <f t="shared" si="5"/>
        <v>0.73472222222222083</v>
      </c>
      <c r="G95" s="18" t="b">
        <f t="shared" si="6"/>
        <v>1</v>
      </c>
      <c r="H95" s="18"/>
    </row>
    <row r="96" spans="1:8" x14ac:dyDescent="0.25">
      <c r="A96" s="10">
        <v>8</v>
      </c>
      <c r="B96" s="11">
        <v>14</v>
      </c>
      <c r="C96" s="12" t="s">
        <v>93</v>
      </c>
      <c r="D96" s="18">
        <f>A96/(60*24)+D95</f>
        <v>0.73402777777777639</v>
      </c>
      <c r="E96" s="18">
        <f t="shared" si="4"/>
        <v>0.73472222222222083</v>
      </c>
      <c r="F96" s="18">
        <f t="shared" si="5"/>
        <v>0.74444444444444302</v>
      </c>
      <c r="G96" s="18" t="b">
        <f t="shared" si="6"/>
        <v>1</v>
      </c>
      <c r="H96" s="18"/>
    </row>
    <row r="97" spans="1:8" x14ac:dyDescent="0.25">
      <c r="A97" s="7">
        <v>15</v>
      </c>
      <c r="B97" s="8">
        <v>11</v>
      </c>
      <c r="C97" s="9" t="s">
        <v>94</v>
      </c>
      <c r="D97" s="18">
        <f>A97/(60*24)+D96</f>
        <v>0.74444444444444302</v>
      </c>
      <c r="E97" s="18">
        <f t="shared" si="4"/>
        <v>0.74444444444444302</v>
      </c>
      <c r="F97" s="18">
        <f t="shared" si="5"/>
        <v>0.75208333333333188</v>
      </c>
      <c r="G97" s="18" t="b">
        <f t="shared" si="6"/>
        <v>1</v>
      </c>
      <c r="H97" s="18"/>
    </row>
    <row r="98" spans="1:8" x14ac:dyDescent="0.25">
      <c r="A98" s="10">
        <v>1</v>
      </c>
      <c r="B98" s="11">
        <v>1</v>
      </c>
      <c r="C98" s="12" t="s">
        <v>95</v>
      </c>
      <c r="D98" s="18">
        <f>A98/(60*24)+D97</f>
        <v>0.74513888888888746</v>
      </c>
      <c r="E98" s="18">
        <f t="shared" si="4"/>
        <v>0.75208333333333188</v>
      </c>
      <c r="F98" s="18">
        <f t="shared" si="5"/>
        <v>0.75208333333333188</v>
      </c>
      <c r="G98" s="18" t="b">
        <f t="shared" si="6"/>
        <v>0</v>
      </c>
      <c r="H98" s="18"/>
    </row>
    <row r="99" spans="1:8" x14ac:dyDescent="0.25">
      <c r="A99" s="7">
        <v>14</v>
      </c>
      <c r="B99" s="8">
        <v>15</v>
      </c>
      <c r="C99" s="9" t="s">
        <v>96</v>
      </c>
      <c r="D99" s="18">
        <f>A99/(60*24)+D98</f>
        <v>0.75486111111110965</v>
      </c>
      <c r="E99" s="18">
        <f t="shared" si="4"/>
        <v>0.75486111111110965</v>
      </c>
      <c r="F99" s="18">
        <f t="shared" si="5"/>
        <v>0.76527777777777628</v>
      </c>
      <c r="G99" s="18" t="b">
        <f t="shared" si="6"/>
        <v>1</v>
      </c>
      <c r="H99" s="18"/>
    </row>
    <row r="100" spans="1:8" x14ac:dyDescent="0.25">
      <c r="A100" s="10">
        <v>6</v>
      </c>
      <c r="B100" s="11">
        <v>7</v>
      </c>
      <c r="C100" s="12" t="s">
        <v>97</v>
      </c>
      <c r="D100" s="18">
        <f>A100/(60*24)+D99</f>
        <v>0.7590277777777763</v>
      </c>
      <c r="E100" s="18">
        <f t="shared" si="4"/>
        <v>0.76527777777777628</v>
      </c>
      <c r="F100" s="18">
        <f t="shared" si="5"/>
        <v>0.76527777777777628</v>
      </c>
      <c r="G100" s="18" t="b">
        <f t="shared" si="6"/>
        <v>0</v>
      </c>
      <c r="H100" s="18"/>
    </row>
    <row r="101" spans="1:8" x14ac:dyDescent="0.25">
      <c r="A101" s="7">
        <v>7</v>
      </c>
      <c r="B101" s="8">
        <v>11</v>
      </c>
      <c r="C101" s="9" t="s">
        <v>98</v>
      </c>
      <c r="D101" s="18">
        <f>A101/(60*24)+D100</f>
        <v>0.7638888888888874</v>
      </c>
      <c r="E101" s="18">
        <f t="shared" si="4"/>
        <v>0.76527777777777628</v>
      </c>
      <c r="F101" s="18">
        <f t="shared" si="5"/>
        <v>0.77291666666666514</v>
      </c>
      <c r="G101" s="18" t="b">
        <f t="shared" si="6"/>
        <v>1</v>
      </c>
      <c r="H101" s="18"/>
    </row>
    <row r="102" spans="1:8" x14ac:dyDescent="0.25">
      <c r="A102" s="10">
        <v>10</v>
      </c>
      <c r="B102" s="11">
        <v>11</v>
      </c>
      <c r="C102" s="12" t="s">
        <v>99</v>
      </c>
      <c r="D102" s="18">
        <f>A102/(60*24)+D101</f>
        <v>0.77083333333333182</v>
      </c>
      <c r="E102" s="18">
        <f t="shared" si="4"/>
        <v>0.77291666666666514</v>
      </c>
      <c r="F102" s="18">
        <f t="shared" si="5"/>
        <v>0.780555555555554</v>
      </c>
      <c r="G102" s="18" t="b">
        <f t="shared" si="6"/>
        <v>1</v>
      </c>
      <c r="H102" s="18"/>
    </row>
    <row r="103" spans="1:8" x14ac:dyDescent="0.25">
      <c r="A103" s="7">
        <v>5</v>
      </c>
      <c r="B103" s="8">
        <v>6</v>
      </c>
      <c r="C103" s="9" t="s">
        <v>100</v>
      </c>
      <c r="D103" s="18">
        <f>A103/(60*24)+D102</f>
        <v>0.77430555555555403</v>
      </c>
      <c r="E103" s="18">
        <f t="shared" si="4"/>
        <v>0.780555555555554</v>
      </c>
      <c r="F103" s="18">
        <f t="shared" si="5"/>
        <v>0.780555555555554</v>
      </c>
      <c r="G103" s="18" t="b">
        <f t="shared" si="6"/>
        <v>0</v>
      </c>
      <c r="H103" s="18"/>
    </row>
    <row r="104" spans="1:8" x14ac:dyDescent="0.25">
      <c r="A104" s="10">
        <v>13</v>
      </c>
      <c r="B104" s="11">
        <v>7</v>
      </c>
      <c r="C104" s="12" t="s">
        <v>101</v>
      </c>
      <c r="D104" s="18">
        <f>A104/(60*24)+D103</f>
        <v>0.78333333333333177</v>
      </c>
      <c r="E104" s="18">
        <f t="shared" si="4"/>
        <v>0.78333333333333177</v>
      </c>
      <c r="F104" s="18">
        <f t="shared" si="5"/>
        <v>0.78819444444444287</v>
      </c>
      <c r="G104" s="18" t="b">
        <f t="shared" si="6"/>
        <v>1</v>
      </c>
      <c r="H104" s="18"/>
    </row>
    <row r="105" spans="1:8" x14ac:dyDescent="0.25">
      <c r="A105" s="7">
        <v>2</v>
      </c>
      <c r="B105" s="8">
        <v>9</v>
      </c>
      <c r="C105" s="9" t="s">
        <v>102</v>
      </c>
      <c r="D105" s="18">
        <f>A105/(60*24)+D104</f>
        <v>0.78472222222222066</v>
      </c>
      <c r="E105" s="18">
        <f t="shared" si="4"/>
        <v>0.78819444444444287</v>
      </c>
      <c r="F105" s="18">
        <f t="shared" si="5"/>
        <v>0.79444444444444284</v>
      </c>
      <c r="G105" s="18" t="b">
        <f t="shared" si="6"/>
        <v>1</v>
      </c>
      <c r="H105" s="18"/>
    </row>
    <row r="106" spans="1:8" x14ac:dyDescent="0.25">
      <c r="A106" s="10">
        <v>9</v>
      </c>
      <c r="B106" s="11">
        <v>11</v>
      </c>
      <c r="C106" s="12" t="s">
        <v>103</v>
      </c>
      <c r="D106" s="18">
        <f>A106/(60*24)+D105</f>
        <v>0.79097222222222063</v>
      </c>
      <c r="E106" s="18">
        <f t="shared" si="4"/>
        <v>0.79444444444444284</v>
      </c>
      <c r="F106" s="18">
        <f t="shared" si="5"/>
        <v>0.80208333333333171</v>
      </c>
      <c r="G106" s="18" t="b">
        <f t="shared" si="6"/>
        <v>1</v>
      </c>
      <c r="H106" s="18"/>
    </row>
    <row r="107" spans="1:8" x14ac:dyDescent="0.25">
      <c r="A107" s="7">
        <v>8</v>
      </c>
      <c r="B107" s="8">
        <v>3</v>
      </c>
      <c r="C107" s="9" t="s">
        <v>104</v>
      </c>
      <c r="D107" s="18">
        <f>A107/(60*24)+D106</f>
        <v>0.79652777777777617</v>
      </c>
      <c r="E107" s="18">
        <f t="shared" si="4"/>
        <v>0.80208333333333171</v>
      </c>
      <c r="F107" s="18">
        <f t="shared" si="5"/>
        <v>0.80208333333333171</v>
      </c>
      <c r="G107" s="18" t="b">
        <f t="shared" si="6"/>
        <v>0</v>
      </c>
      <c r="H107" s="18"/>
    </row>
    <row r="108" spans="1:8" x14ac:dyDescent="0.25">
      <c r="A108" s="10">
        <v>1</v>
      </c>
      <c r="B108" s="11">
        <v>6</v>
      </c>
      <c r="C108" s="12" t="s">
        <v>105</v>
      </c>
      <c r="D108" s="18">
        <f>A108/(60*24)+D107</f>
        <v>0.79722222222222061</v>
      </c>
      <c r="E108" s="18">
        <f t="shared" si="4"/>
        <v>0.80208333333333171</v>
      </c>
      <c r="F108" s="18">
        <f t="shared" si="5"/>
        <v>0.80208333333333171</v>
      </c>
      <c r="G108" s="18" t="b">
        <f t="shared" si="6"/>
        <v>0</v>
      </c>
      <c r="H108" s="18"/>
    </row>
    <row r="109" spans="1:8" x14ac:dyDescent="0.25">
      <c r="A109" s="7">
        <v>10</v>
      </c>
      <c r="B109" s="8">
        <v>9</v>
      </c>
      <c r="C109" s="9" t="s">
        <v>106</v>
      </c>
      <c r="D109" s="18">
        <f>A109/(60*24)+D108</f>
        <v>0.80416666666666503</v>
      </c>
      <c r="E109" s="18">
        <f t="shared" si="4"/>
        <v>0.80416666666666503</v>
      </c>
      <c r="F109" s="18">
        <f t="shared" si="5"/>
        <v>0.81041666666666501</v>
      </c>
      <c r="G109" s="18" t="b">
        <f t="shared" si="6"/>
        <v>1</v>
      </c>
      <c r="H109" s="18"/>
    </row>
    <row r="110" spans="1:8" x14ac:dyDescent="0.25">
      <c r="A110" s="10">
        <v>2</v>
      </c>
      <c r="B110" s="11">
        <v>11</v>
      </c>
      <c r="C110" s="12" t="s">
        <v>107</v>
      </c>
      <c r="D110" s="18">
        <f>A110/(60*24)+D109</f>
        <v>0.80555555555555391</v>
      </c>
      <c r="E110" s="18">
        <f t="shared" si="4"/>
        <v>0.81041666666666501</v>
      </c>
      <c r="F110" s="18">
        <f t="shared" si="5"/>
        <v>0.81041666666666501</v>
      </c>
      <c r="G110" s="18" t="b">
        <f t="shared" si="6"/>
        <v>0</v>
      </c>
      <c r="H110" s="18"/>
    </row>
    <row r="111" spans="1:8" x14ac:dyDescent="0.25">
      <c r="A111" s="7">
        <v>6</v>
      </c>
      <c r="B111" s="8">
        <v>12</v>
      </c>
      <c r="C111" s="9" t="s">
        <v>108</v>
      </c>
      <c r="D111" s="18">
        <f>A111/(60*24)+D110</f>
        <v>0.80972222222222057</v>
      </c>
      <c r="E111" s="18">
        <f t="shared" si="4"/>
        <v>0.81041666666666501</v>
      </c>
      <c r="F111" s="18">
        <f t="shared" si="5"/>
        <v>0.81874999999999831</v>
      </c>
      <c r="G111" s="18" t="b">
        <f t="shared" si="6"/>
        <v>1</v>
      </c>
      <c r="H111" s="18"/>
    </row>
    <row r="112" spans="1:8" x14ac:dyDescent="0.25">
      <c r="A112" s="10">
        <v>2</v>
      </c>
      <c r="B112" s="11">
        <v>14</v>
      </c>
      <c r="C112" s="12" t="s">
        <v>109</v>
      </c>
      <c r="D112" s="18">
        <f>A112/(60*24)+D111</f>
        <v>0.81111111111110945</v>
      </c>
      <c r="E112" s="18">
        <f t="shared" si="4"/>
        <v>0.81874999999999831</v>
      </c>
      <c r="F112" s="18">
        <f t="shared" si="5"/>
        <v>0.81874999999999831</v>
      </c>
      <c r="G112" s="18" t="b">
        <f t="shared" si="6"/>
        <v>0</v>
      </c>
      <c r="H112" s="18"/>
    </row>
    <row r="113" spans="1:8" x14ac:dyDescent="0.25">
      <c r="A113" s="7">
        <v>4</v>
      </c>
      <c r="B113" s="8">
        <v>2</v>
      </c>
      <c r="C113" s="9" t="s">
        <v>110</v>
      </c>
      <c r="D113" s="18">
        <f>A113/(60*24)+D112</f>
        <v>0.81388888888888722</v>
      </c>
      <c r="E113" s="18">
        <f t="shared" si="4"/>
        <v>0.81874999999999831</v>
      </c>
      <c r="F113" s="18">
        <f t="shared" si="5"/>
        <v>0.81874999999999831</v>
      </c>
      <c r="G113" s="18" t="b">
        <f t="shared" si="6"/>
        <v>0</v>
      </c>
      <c r="H113" s="18"/>
    </row>
    <row r="114" spans="1:8" x14ac:dyDescent="0.25">
      <c r="A114" s="10">
        <v>9</v>
      </c>
      <c r="B114" s="11">
        <v>8</v>
      </c>
      <c r="C114" s="12" t="s">
        <v>111</v>
      </c>
      <c r="D114" s="18">
        <f>A114/(60*24)+D113</f>
        <v>0.8201388888888872</v>
      </c>
      <c r="E114" s="18">
        <f t="shared" si="4"/>
        <v>0.8201388888888872</v>
      </c>
      <c r="F114" s="18">
        <f t="shared" si="5"/>
        <v>0.82569444444444273</v>
      </c>
      <c r="G114" s="18" t="b">
        <f t="shared" si="6"/>
        <v>1</v>
      </c>
      <c r="H114" s="18"/>
    </row>
    <row r="115" spans="1:8" x14ac:dyDescent="0.25">
      <c r="A115" s="7">
        <v>2</v>
      </c>
      <c r="B115" s="8">
        <v>4</v>
      </c>
      <c r="C115" s="9" t="s">
        <v>112</v>
      </c>
      <c r="D115" s="18">
        <f>A115/(60*24)+D114</f>
        <v>0.82152777777777608</v>
      </c>
      <c r="E115" s="18">
        <f t="shared" si="4"/>
        <v>0.82569444444444273</v>
      </c>
      <c r="F115" s="18">
        <f t="shared" si="5"/>
        <v>0.82569444444444273</v>
      </c>
      <c r="G115" s="18" t="b">
        <f t="shared" si="6"/>
        <v>0</v>
      </c>
      <c r="H115" s="18"/>
    </row>
    <row r="116" spans="1:8" x14ac:dyDescent="0.25">
      <c r="A116" s="10">
        <v>11</v>
      </c>
      <c r="B116" s="11">
        <v>11</v>
      </c>
      <c r="C116" s="12" t="s">
        <v>113</v>
      </c>
      <c r="D116" s="18">
        <f>A116/(60*24)+D115</f>
        <v>0.82916666666666494</v>
      </c>
      <c r="E116" s="18">
        <f t="shared" si="4"/>
        <v>0.82916666666666494</v>
      </c>
      <c r="F116" s="18">
        <f t="shared" si="5"/>
        <v>0.8368055555555538</v>
      </c>
      <c r="G116" s="18" t="b">
        <f t="shared" si="6"/>
        <v>1</v>
      </c>
      <c r="H116" s="18"/>
    </row>
    <row r="117" spans="1:8" x14ac:dyDescent="0.25">
      <c r="A117" s="7">
        <v>8</v>
      </c>
      <c r="B117" s="8">
        <v>1</v>
      </c>
      <c r="C117" s="9" t="s">
        <v>114</v>
      </c>
      <c r="D117" s="18">
        <f>A117/(60*24)+D116</f>
        <v>0.83472222222222048</v>
      </c>
      <c r="E117" s="18">
        <f t="shared" si="4"/>
        <v>0.8368055555555538</v>
      </c>
      <c r="F117" s="18">
        <f t="shared" si="5"/>
        <v>0.83749999999999825</v>
      </c>
      <c r="G117" s="18" t="b">
        <f t="shared" si="6"/>
        <v>1</v>
      </c>
      <c r="H117" s="18"/>
    </row>
    <row r="118" spans="1:8" x14ac:dyDescent="0.25">
      <c r="A118" s="10">
        <v>13</v>
      </c>
      <c r="B118" s="11">
        <v>9</v>
      </c>
      <c r="C118" s="12" t="s">
        <v>115</v>
      </c>
      <c r="D118" s="18">
        <f>A118/(60*24)+D117</f>
        <v>0.84374999999999822</v>
      </c>
      <c r="E118" s="18">
        <f t="shared" si="4"/>
        <v>0.84374999999999822</v>
      </c>
      <c r="F118" s="18">
        <f t="shared" si="5"/>
        <v>0.8499999999999982</v>
      </c>
      <c r="G118" s="18" t="b">
        <f t="shared" si="6"/>
        <v>1</v>
      </c>
      <c r="H118" s="18"/>
    </row>
    <row r="119" spans="1:8" x14ac:dyDescent="0.25">
      <c r="A119" s="7">
        <v>7</v>
      </c>
      <c r="B119" s="8">
        <v>13</v>
      </c>
      <c r="C119" s="9" t="s">
        <v>116</v>
      </c>
      <c r="D119" s="18">
        <f>A119/(60*24)+D118</f>
        <v>0.84861111111110932</v>
      </c>
      <c r="E119" s="18">
        <f t="shared" si="4"/>
        <v>0.8499999999999982</v>
      </c>
      <c r="F119" s="18">
        <f t="shared" si="5"/>
        <v>0.85902777777777595</v>
      </c>
      <c r="G119" s="18" t="b">
        <f t="shared" si="6"/>
        <v>1</v>
      </c>
      <c r="H119" s="18"/>
    </row>
    <row r="120" spans="1:8" x14ac:dyDescent="0.25">
      <c r="A120" s="10">
        <v>7</v>
      </c>
      <c r="B120" s="11">
        <v>11</v>
      </c>
      <c r="C120" s="12" t="s">
        <v>117</v>
      </c>
      <c r="D120" s="18">
        <f>A120/(60*24)+D119</f>
        <v>0.85347222222222041</v>
      </c>
      <c r="E120" s="18">
        <f t="shared" si="4"/>
        <v>0.85902777777777595</v>
      </c>
      <c r="F120" s="18">
        <f t="shared" si="5"/>
        <v>0.85902777777777595</v>
      </c>
      <c r="G120" s="18" t="b">
        <f t="shared" si="6"/>
        <v>0</v>
      </c>
      <c r="H120" s="18"/>
    </row>
    <row r="121" spans="1:8" x14ac:dyDescent="0.25">
      <c r="A121" s="7">
        <v>9</v>
      </c>
      <c r="B121" s="8">
        <v>11</v>
      </c>
      <c r="C121" s="9" t="s">
        <v>118</v>
      </c>
      <c r="D121" s="18">
        <f>A121/(60*24)+D120</f>
        <v>0.85972222222222039</v>
      </c>
      <c r="E121" s="18">
        <f t="shared" si="4"/>
        <v>0.85972222222222039</v>
      </c>
      <c r="F121" s="18">
        <f t="shared" si="5"/>
        <v>0.86736111111110925</v>
      </c>
      <c r="G121" s="18" t="b">
        <f t="shared" si="6"/>
        <v>1</v>
      </c>
      <c r="H121" s="18"/>
    </row>
    <row r="122" spans="1:8" x14ac:dyDescent="0.25">
      <c r="A122" s="10">
        <v>6</v>
      </c>
      <c r="B122" s="11">
        <v>1</v>
      </c>
      <c r="C122" s="12" t="s">
        <v>119</v>
      </c>
      <c r="D122" s="18">
        <f>A122/(60*24)+D121</f>
        <v>0.86388888888888704</v>
      </c>
      <c r="E122" s="18">
        <f t="shared" si="4"/>
        <v>0.86736111111110925</v>
      </c>
      <c r="F122" s="18">
        <f t="shared" si="5"/>
        <v>0.86805555555555369</v>
      </c>
      <c r="G122" s="18" t="b">
        <f t="shared" si="6"/>
        <v>1</v>
      </c>
      <c r="H122" s="18"/>
    </row>
    <row r="123" spans="1:8" x14ac:dyDescent="0.25">
      <c r="A123" s="7">
        <v>14</v>
      </c>
      <c r="B123" s="8">
        <v>6</v>
      </c>
      <c r="C123" s="9" t="s">
        <v>120</v>
      </c>
      <c r="D123" s="18">
        <f>A123/(60*24)+D122</f>
        <v>0.87361111111110923</v>
      </c>
      <c r="E123" s="18">
        <f t="shared" si="4"/>
        <v>0.87361111111110923</v>
      </c>
      <c r="F123" s="18">
        <f t="shared" si="5"/>
        <v>0.87777777777777588</v>
      </c>
      <c r="G123" s="18" t="b">
        <f t="shared" si="6"/>
        <v>1</v>
      </c>
      <c r="H123" s="18"/>
    </row>
    <row r="124" spans="1:8" x14ac:dyDescent="0.25">
      <c r="A124" s="10">
        <v>14</v>
      </c>
      <c r="B124" s="11">
        <v>10</v>
      </c>
      <c r="C124" s="12" t="s">
        <v>121</v>
      </c>
      <c r="D124" s="18">
        <f>A124/(60*24)+D123</f>
        <v>0.88333333333333142</v>
      </c>
      <c r="E124" s="18">
        <f t="shared" si="4"/>
        <v>0.88333333333333142</v>
      </c>
      <c r="F124" s="18">
        <f t="shared" si="5"/>
        <v>0.89027777777777584</v>
      </c>
      <c r="G124" s="18" t="b">
        <f t="shared" si="6"/>
        <v>1</v>
      </c>
      <c r="H124" s="18"/>
    </row>
    <row r="125" spans="1:8" x14ac:dyDescent="0.25">
      <c r="A125" s="7">
        <v>7</v>
      </c>
      <c r="B125" s="8">
        <v>7</v>
      </c>
      <c r="C125" s="9" t="s">
        <v>122</v>
      </c>
      <c r="D125" s="18">
        <f>A125/(60*24)+D124</f>
        <v>0.88819444444444251</v>
      </c>
      <c r="E125" s="18">
        <f t="shared" si="4"/>
        <v>0.89027777777777584</v>
      </c>
      <c r="F125" s="18">
        <f t="shared" si="5"/>
        <v>0.89513888888888693</v>
      </c>
      <c r="G125" s="18" t="b">
        <f t="shared" si="6"/>
        <v>1</v>
      </c>
      <c r="H125" s="18"/>
    </row>
    <row r="126" spans="1:8" x14ac:dyDescent="0.25">
      <c r="A126" s="10">
        <v>11</v>
      </c>
      <c r="B126" s="11">
        <v>1</v>
      </c>
      <c r="C126" s="12" t="s">
        <v>123</v>
      </c>
      <c r="D126" s="18">
        <f>A126/(60*24)+D125</f>
        <v>0.89583333333333137</v>
      </c>
      <c r="E126" s="18">
        <f t="shared" si="4"/>
        <v>0.89583333333333137</v>
      </c>
      <c r="F126" s="18">
        <f t="shared" si="5"/>
        <v>0.89652777777777581</v>
      </c>
      <c r="G126" s="18" t="b">
        <f t="shared" si="6"/>
        <v>1</v>
      </c>
      <c r="H126" s="18"/>
    </row>
    <row r="127" spans="1:8" x14ac:dyDescent="0.25">
      <c r="A127" s="7">
        <v>11</v>
      </c>
      <c r="B127" s="8">
        <v>3</v>
      </c>
      <c r="C127" s="9" t="s">
        <v>124</v>
      </c>
      <c r="D127" s="18">
        <f>A127/(60*24)+D126</f>
        <v>0.90347222222222023</v>
      </c>
      <c r="E127" s="18">
        <f t="shared" si="4"/>
        <v>0.90347222222222023</v>
      </c>
      <c r="F127" s="18">
        <f t="shared" si="5"/>
        <v>0.90555555555555356</v>
      </c>
      <c r="G127" s="18" t="b">
        <f t="shared" si="6"/>
        <v>1</v>
      </c>
      <c r="H127" s="18"/>
    </row>
    <row r="128" spans="1:8" x14ac:dyDescent="0.25">
      <c r="A128" s="10">
        <v>11</v>
      </c>
      <c r="B128" s="11">
        <v>2</v>
      </c>
      <c r="C128" s="12" t="s">
        <v>125</v>
      </c>
      <c r="D128" s="18">
        <f>A128/(60*24)+D127</f>
        <v>0.9111111111111091</v>
      </c>
      <c r="E128" s="18">
        <f t="shared" si="4"/>
        <v>0.9111111111111091</v>
      </c>
      <c r="F128" s="18">
        <f t="shared" si="5"/>
        <v>0.91249999999999798</v>
      </c>
      <c r="G128" s="18" t="b">
        <f t="shared" si="6"/>
        <v>1</v>
      </c>
      <c r="H128" s="18"/>
    </row>
    <row r="129" spans="1:8" x14ac:dyDescent="0.25">
      <c r="A129" s="7">
        <v>12</v>
      </c>
      <c r="B129" s="8">
        <v>2</v>
      </c>
      <c r="C129" s="9" t="s">
        <v>126</v>
      </c>
      <c r="D129" s="18">
        <f>A129/(60*24)+D128</f>
        <v>0.9194444444444424</v>
      </c>
      <c r="E129" s="18">
        <f t="shared" si="4"/>
        <v>0.9194444444444424</v>
      </c>
      <c r="F129" s="18">
        <f t="shared" si="5"/>
        <v>0.92083333333333128</v>
      </c>
      <c r="G129" s="18" t="b">
        <f t="shared" si="6"/>
        <v>1</v>
      </c>
      <c r="H129" s="18"/>
    </row>
    <row r="130" spans="1:8" x14ac:dyDescent="0.25">
      <c r="A130" s="10">
        <v>3</v>
      </c>
      <c r="B130" s="11">
        <v>14</v>
      </c>
      <c r="C130" s="12" t="s">
        <v>127</v>
      </c>
      <c r="D130" s="18">
        <f>A130/(60*24)+D129</f>
        <v>0.92152777777777573</v>
      </c>
      <c r="E130" s="18">
        <f t="shared" si="4"/>
        <v>0.92152777777777573</v>
      </c>
      <c r="F130" s="18">
        <f t="shared" si="5"/>
        <v>0.93124999999999791</v>
      </c>
      <c r="G130" s="18" t="b">
        <f t="shared" si="6"/>
        <v>1</v>
      </c>
      <c r="H130" s="18"/>
    </row>
    <row r="131" spans="1:8" x14ac:dyDescent="0.25">
      <c r="A131" s="7">
        <v>3</v>
      </c>
      <c r="B131" s="8">
        <v>6</v>
      </c>
      <c r="C131" s="9" t="s">
        <v>128</v>
      </c>
      <c r="D131" s="18">
        <f>A131/(60*24)+D130</f>
        <v>0.92361111111110905</v>
      </c>
      <c r="E131" s="18">
        <f t="shared" si="4"/>
        <v>0.93124999999999791</v>
      </c>
      <c r="F131" s="18">
        <f t="shared" si="5"/>
        <v>0.93124999999999791</v>
      </c>
      <c r="G131" s="18" t="b">
        <f t="shared" si="6"/>
        <v>0</v>
      </c>
      <c r="H131" s="18"/>
    </row>
    <row r="132" spans="1:8" x14ac:dyDescent="0.25">
      <c r="A132" s="10">
        <v>12</v>
      </c>
      <c r="B132" s="11">
        <v>2</v>
      </c>
      <c r="C132" s="12" t="s">
        <v>129</v>
      </c>
      <c r="D132" s="18">
        <f>A132/(60*24)+D131</f>
        <v>0.93194444444444235</v>
      </c>
      <c r="E132" s="18">
        <f t="shared" si="4"/>
        <v>0.93194444444444235</v>
      </c>
      <c r="F132" s="18">
        <f t="shared" si="5"/>
        <v>0.93333333333333124</v>
      </c>
      <c r="G132" s="18" t="b">
        <f t="shared" si="6"/>
        <v>1</v>
      </c>
      <c r="H132" s="18"/>
    </row>
    <row r="133" spans="1:8" x14ac:dyDescent="0.25">
      <c r="A133" s="7">
        <v>7</v>
      </c>
      <c r="B133" s="8">
        <v>8</v>
      </c>
      <c r="C133" s="9" t="s">
        <v>130</v>
      </c>
      <c r="D133" s="18">
        <f>A133/(60*24)+D132</f>
        <v>0.93680555555555345</v>
      </c>
      <c r="E133" s="18">
        <f t="shared" ref="E133:E146" si="7">IF(D133&gt;F132,D133,F132)</f>
        <v>0.93680555555555345</v>
      </c>
      <c r="F133" s="18">
        <f t="shared" ref="F133:F146" si="8">IF(G133=TRUE,E133+B133/(60*24),F132)</f>
        <v>0.94236111111110898</v>
      </c>
      <c r="G133" s="18" t="b">
        <f t="shared" si="6"/>
        <v>1</v>
      </c>
      <c r="H133" s="18"/>
    </row>
    <row r="134" spans="1:8" x14ac:dyDescent="0.25">
      <c r="A134" s="10">
        <v>10</v>
      </c>
      <c r="B134" s="11">
        <v>12</v>
      </c>
      <c r="C134" s="12" t="s">
        <v>131</v>
      </c>
      <c r="D134" s="18">
        <f>A134/(60*24)+D133</f>
        <v>0.94374999999999787</v>
      </c>
      <c r="E134" s="18">
        <f t="shared" si="7"/>
        <v>0.94374999999999787</v>
      </c>
      <c r="F134" s="18">
        <f t="shared" si="8"/>
        <v>0.95208333333333117</v>
      </c>
      <c r="G134" s="18" t="b">
        <f t="shared" si="6"/>
        <v>1</v>
      </c>
      <c r="H134" s="18"/>
    </row>
    <row r="135" spans="1:8" x14ac:dyDescent="0.25">
      <c r="A135" s="7">
        <v>2</v>
      </c>
      <c r="B135" s="8">
        <v>14</v>
      </c>
      <c r="C135" s="9" t="s">
        <v>132</v>
      </c>
      <c r="D135" s="18">
        <f>A135/(60*24)+D134</f>
        <v>0.94513888888888675</v>
      </c>
      <c r="E135" s="18">
        <f t="shared" si="7"/>
        <v>0.95208333333333117</v>
      </c>
      <c r="F135" s="18">
        <f t="shared" si="8"/>
        <v>0.95208333333333117</v>
      </c>
      <c r="G135" s="18" t="b">
        <f t="shared" ref="G135:G146" si="9">IF(D135+5*$B$1&gt;=F134,TRUE,FALSE)</f>
        <v>0</v>
      </c>
      <c r="H135" s="18"/>
    </row>
    <row r="136" spans="1:8" x14ac:dyDescent="0.25">
      <c r="A136" s="10">
        <v>14</v>
      </c>
      <c r="B136" s="11">
        <v>11</v>
      </c>
      <c r="C136" s="12" t="s">
        <v>133</v>
      </c>
      <c r="D136" s="18">
        <f>A136/(60*24)+D135</f>
        <v>0.95486111111110894</v>
      </c>
      <c r="E136" s="18">
        <f t="shared" si="7"/>
        <v>0.95486111111110894</v>
      </c>
      <c r="F136" s="18">
        <f t="shared" si="8"/>
        <v>0.9624999999999978</v>
      </c>
      <c r="G136" s="18" t="b">
        <f t="shared" si="9"/>
        <v>1</v>
      </c>
      <c r="H136" s="18"/>
    </row>
    <row r="137" spans="1:8" x14ac:dyDescent="0.25">
      <c r="A137" s="7">
        <v>9</v>
      </c>
      <c r="B137" s="8">
        <v>10</v>
      </c>
      <c r="C137" s="9" t="s">
        <v>134</v>
      </c>
      <c r="D137" s="18">
        <f>A137/(60*24)+D136</f>
        <v>0.96111111111110892</v>
      </c>
      <c r="E137" s="18">
        <f t="shared" si="7"/>
        <v>0.9624999999999978</v>
      </c>
      <c r="F137" s="18">
        <f t="shared" si="8"/>
        <v>0.96944444444444222</v>
      </c>
      <c r="G137" s="18" t="b">
        <f t="shared" si="9"/>
        <v>1</v>
      </c>
      <c r="H137" s="18"/>
    </row>
    <row r="138" spans="1:8" x14ac:dyDescent="0.25">
      <c r="A138" s="10">
        <v>2</v>
      </c>
      <c r="B138" s="11">
        <v>14</v>
      </c>
      <c r="C138" s="12" t="s">
        <v>135</v>
      </c>
      <c r="D138" s="18">
        <f>A138/(60*24)+D137</f>
        <v>0.9624999999999978</v>
      </c>
      <c r="E138" s="18">
        <f t="shared" si="7"/>
        <v>0.96944444444444222</v>
      </c>
      <c r="F138" s="18">
        <f t="shared" si="8"/>
        <v>0.96944444444444222</v>
      </c>
      <c r="G138" s="18" t="b">
        <f t="shared" si="9"/>
        <v>0</v>
      </c>
      <c r="H138" s="18"/>
    </row>
    <row r="139" spans="1:8" x14ac:dyDescent="0.25">
      <c r="A139" s="7">
        <v>11</v>
      </c>
      <c r="B139" s="8">
        <v>3</v>
      </c>
      <c r="C139" s="9" t="s">
        <v>136</v>
      </c>
      <c r="D139" s="18">
        <f>A139/(60*24)+D138</f>
        <v>0.97013888888888666</v>
      </c>
      <c r="E139" s="18">
        <f t="shared" si="7"/>
        <v>0.97013888888888666</v>
      </c>
      <c r="F139" s="18">
        <f t="shared" si="8"/>
        <v>0.97222222222221999</v>
      </c>
      <c r="G139" s="18" t="b">
        <f t="shared" si="9"/>
        <v>1</v>
      </c>
      <c r="H139" s="18"/>
    </row>
    <row r="140" spans="1:8" x14ac:dyDescent="0.25">
      <c r="A140" s="10">
        <v>2</v>
      </c>
      <c r="B140" s="11">
        <v>1</v>
      </c>
      <c r="C140" s="12" t="s">
        <v>137</v>
      </c>
      <c r="D140" s="18">
        <f>A140/(60*24)+D139</f>
        <v>0.97152777777777555</v>
      </c>
      <c r="E140" s="18">
        <f t="shared" si="7"/>
        <v>0.97222222222221999</v>
      </c>
      <c r="F140" s="18">
        <f t="shared" si="8"/>
        <v>0.97291666666666443</v>
      </c>
      <c r="G140" s="18" t="b">
        <f t="shared" si="9"/>
        <v>1</v>
      </c>
      <c r="H140" s="18"/>
    </row>
    <row r="141" spans="1:8" x14ac:dyDescent="0.25">
      <c r="A141" s="7">
        <v>14</v>
      </c>
      <c r="B141" s="8">
        <v>3</v>
      </c>
      <c r="C141" s="9" t="s">
        <v>138</v>
      </c>
      <c r="D141" s="18">
        <f>A141/(60*24)+D140</f>
        <v>0.98124999999999774</v>
      </c>
      <c r="E141" s="18">
        <f t="shared" si="7"/>
        <v>0.98124999999999774</v>
      </c>
      <c r="F141" s="18">
        <f t="shared" si="8"/>
        <v>0.98333333333333106</v>
      </c>
      <c r="G141" s="18" t="b">
        <f t="shared" si="9"/>
        <v>1</v>
      </c>
      <c r="H141" s="18"/>
    </row>
    <row r="142" spans="1:8" x14ac:dyDescent="0.25">
      <c r="A142" s="10">
        <v>6</v>
      </c>
      <c r="B142" s="11">
        <v>6</v>
      </c>
      <c r="C142" s="12" t="s">
        <v>139</v>
      </c>
      <c r="D142" s="18">
        <f>A142/(60*24)+D141</f>
        <v>0.98541666666666439</v>
      </c>
      <c r="E142" s="18">
        <f t="shared" si="7"/>
        <v>0.98541666666666439</v>
      </c>
      <c r="F142" s="18">
        <f t="shared" si="8"/>
        <v>0.98958333333333104</v>
      </c>
      <c r="G142" s="18" t="b">
        <f t="shared" si="9"/>
        <v>1</v>
      </c>
      <c r="H142" s="18"/>
    </row>
    <row r="143" spans="1:8" x14ac:dyDescent="0.25">
      <c r="A143" s="7">
        <v>5</v>
      </c>
      <c r="B143" s="8">
        <v>14</v>
      </c>
      <c r="C143" s="9" t="s">
        <v>140</v>
      </c>
      <c r="D143" s="18">
        <f>A143/(60*24)+D142</f>
        <v>0.9888888888888866</v>
      </c>
      <c r="E143" s="18">
        <f t="shared" si="7"/>
        <v>0.98958333333333104</v>
      </c>
      <c r="F143" s="18">
        <f t="shared" si="8"/>
        <v>0.99930555555555323</v>
      </c>
      <c r="G143" s="18" t="b">
        <f t="shared" si="9"/>
        <v>1</v>
      </c>
      <c r="H143" s="18"/>
    </row>
    <row r="144" spans="1:8" x14ac:dyDescent="0.25">
      <c r="A144" s="10">
        <v>2</v>
      </c>
      <c r="B144" s="11">
        <v>8</v>
      </c>
      <c r="C144" s="12" t="s">
        <v>141</v>
      </c>
      <c r="D144" s="18">
        <f>A144/(60*24)+D143</f>
        <v>0.99027777777777548</v>
      </c>
      <c r="E144" s="18">
        <f t="shared" si="7"/>
        <v>0.99930555555555323</v>
      </c>
      <c r="F144" s="18">
        <f t="shared" si="8"/>
        <v>0.99930555555555323</v>
      </c>
      <c r="G144" s="18" t="b">
        <f t="shared" si="9"/>
        <v>0</v>
      </c>
      <c r="H144" s="18"/>
    </row>
    <row r="145" spans="1:8" x14ac:dyDescent="0.25">
      <c r="A145" s="7">
        <v>10</v>
      </c>
      <c r="B145" s="8">
        <v>15</v>
      </c>
      <c r="C145" s="9" t="s">
        <v>142</v>
      </c>
      <c r="D145" s="18">
        <f>A145/(60*24)+D144</f>
        <v>0.9972222222222199</v>
      </c>
      <c r="E145" s="18">
        <f t="shared" si="7"/>
        <v>0.99930555555555323</v>
      </c>
      <c r="F145" s="18">
        <f t="shared" si="8"/>
        <v>1.00972222222222</v>
      </c>
      <c r="G145" s="18" t="b">
        <f t="shared" si="9"/>
        <v>1</v>
      </c>
      <c r="H145" s="18"/>
    </row>
    <row r="146" spans="1:8" x14ac:dyDescent="0.25">
      <c r="A146" s="2">
        <v>3</v>
      </c>
      <c r="B146" s="3">
        <v>15</v>
      </c>
      <c r="C146" s="13" t="s">
        <v>143</v>
      </c>
      <c r="D146" s="18">
        <f>A146/(60*24)+D145</f>
        <v>0.99930555555555323</v>
      </c>
      <c r="E146" s="18">
        <f t="shared" si="7"/>
        <v>1.00972222222222</v>
      </c>
      <c r="F146" s="18">
        <f t="shared" si="8"/>
        <v>1.00972222222222</v>
      </c>
      <c r="G146" s="18" t="b">
        <f t="shared" si="9"/>
        <v>0</v>
      </c>
      <c r="H146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D690E-13CD-4166-8853-01F55A8B08B9}">
  <dimension ref="A1:L146"/>
  <sheetViews>
    <sheetView zoomScale="175" zoomScaleNormal="175" workbookViewId="0">
      <selection activeCell="L8" sqref="L8"/>
    </sheetView>
  </sheetViews>
  <sheetFormatPr defaultRowHeight="15" x14ac:dyDescent="0.25"/>
  <cols>
    <col min="2" max="2" width="17.7109375" bestFit="1" customWidth="1"/>
    <col min="3" max="4" width="11.140625" bestFit="1" customWidth="1"/>
    <col min="5" max="5" width="13.85546875" bestFit="1" customWidth="1"/>
    <col min="6" max="6" width="13.85546875" customWidth="1"/>
    <col min="7" max="7" width="21.42578125" bestFit="1" customWidth="1"/>
    <col min="8" max="8" width="17.7109375" customWidth="1"/>
    <col min="9" max="9" width="24.85546875" bestFit="1" customWidth="1"/>
  </cols>
  <sheetData>
    <row r="1" spans="1:12" x14ac:dyDescent="0.25">
      <c r="B1" t="s">
        <v>176</v>
      </c>
      <c r="C1">
        <f>1/(60*24)</f>
        <v>6.9444444444444447E-4</v>
      </c>
      <c r="E1" t="s">
        <v>175</v>
      </c>
    </row>
    <row r="2" spans="1:12" x14ac:dyDescent="0.25">
      <c r="A2" t="s">
        <v>180</v>
      </c>
      <c r="B2" s="4" t="s">
        <v>144</v>
      </c>
      <c r="C2" s="5" t="s">
        <v>145</v>
      </c>
      <c r="D2" s="6" t="s">
        <v>146</v>
      </c>
      <c r="E2" s="17">
        <v>0.25</v>
      </c>
      <c r="F2" s="17" t="s">
        <v>177</v>
      </c>
      <c r="G2" t="s">
        <v>179</v>
      </c>
      <c r="H2" t="s">
        <v>178</v>
      </c>
      <c r="I2" s="16"/>
      <c r="K2" t="s">
        <v>181</v>
      </c>
      <c r="L2">
        <v>114</v>
      </c>
    </row>
    <row r="3" spans="1:12" x14ac:dyDescent="0.25">
      <c r="A3">
        <v>1</v>
      </c>
      <c r="B3" s="7">
        <v>3</v>
      </c>
      <c r="C3" s="8">
        <v>5</v>
      </c>
      <c r="D3" s="9" t="s">
        <v>0</v>
      </c>
      <c r="E3" s="18">
        <f>B3/(60*24)+E2</f>
        <v>0.25208333333333333</v>
      </c>
      <c r="F3" s="18">
        <f>E3</f>
        <v>0.25208333333333333</v>
      </c>
      <c r="G3" s="18">
        <f>E3+C3/(60*24)</f>
        <v>0.25555555555555554</v>
      </c>
      <c r="H3" s="18" t="b">
        <f>TRUE</f>
        <v>1</v>
      </c>
      <c r="K3" t="s">
        <v>182</v>
      </c>
      <c r="L3" s="18">
        <v>0.82916666666666494</v>
      </c>
    </row>
    <row r="4" spans="1:12" x14ac:dyDescent="0.25">
      <c r="A4">
        <v>2</v>
      </c>
      <c r="B4" s="10">
        <v>12</v>
      </c>
      <c r="C4" s="11">
        <v>13</v>
      </c>
      <c r="D4" s="12" t="s">
        <v>1</v>
      </c>
      <c r="E4" s="18">
        <f>B4/(60*24)+E3</f>
        <v>0.26041666666666669</v>
      </c>
      <c r="F4" s="18">
        <f>IF(E4&gt;G3,E4,G3)</f>
        <v>0.26041666666666669</v>
      </c>
      <c r="G4" s="18">
        <f>IF(H4=TRUE,F4+C4/(60*24),G3)</f>
        <v>0.26944444444444449</v>
      </c>
      <c r="H4" s="18" t="b">
        <f>IF(E4+5*$C$1&gt;G3,TRUE,FALSE)</f>
        <v>1</v>
      </c>
      <c r="I4" s="18"/>
    </row>
    <row r="5" spans="1:12" x14ac:dyDescent="0.25">
      <c r="A5">
        <v>3</v>
      </c>
      <c r="B5" s="7">
        <v>1</v>
      </c>
      <c r="C5" s="8">
        <v>10</v>
      </c>
      <c r="D5" s="9" t="s">
        <v>2</v>
      </c>
      <c r="E5" s="18">
        <f>B5/(60*24)+E4</f>
        <v>0.26111111111111113</v>
      </c>
      <c r="F5" s="18">
        <f t="shared" ref="F5:F68" si="0">IF(E5&gt;G4,E5,G4)</f>
        <v>0.26944444444444449</v>
      </c>
      <c r="G5" s="18">
        <f t="shared" ref="G5:G68" si="1">IF(H5=TRUE,F5+C5/(60*24),G4)</f>
        <v>0.26944444444444449</v>
      </c>
      <c r="H5" s="18" t="b">
        <f t="shared" ref="H5:H68" si="2">IF(E5+5*$C$1&gt;G4,TRUE,FALSE)</f>
        <v>0</v>
      </c>
      <c r="I5" s="18"/>
    </row>
    <row r="6" spans="1:12" x14ac:dyDescent="0.25">
      <c r="A6">
        <v>4</v>
      </c>
      <c r="B6" s="10">
        <v>7</v>
      </c>
      <c r="C6" s="11">
        <v>2</v>
      </c>
      <c r="D6" s="12" t="s">
        <v>3</v>
      </c>
      <c r="E6" s="18">
        <f>B6/(60*24)+E5</f>
        <v>0.26597222222222222</v>
      </c>
      <c r="F6" s="18">
        <f t="shared" si="0"/>
        <v>0.26944444444444449</v>
      </c>
      <c r="G6" s="18">
        <f t="shared" si="1"/>
        <v>0.27083333333333337</v>
      </c>
      <c r="H6" s="18" t="b">
        <f>IF(E6+5*$C$1&gt;=G5,TRUE,FALSE)</f>
        <v>1</v>
      </c>
      <c r="I6" s="18"/>
    </row>
    <row r="7" spans="1:12" x14ac:dyDescent="0.25">
      <c r="A7">
        <v>5</v>
      </c>
      <c r="B7" s="7">
        <v>10</v>
      </c>
      <c r="C7" s="8">
        <v>7</v>
      </c>
      <c r="D7" s="9" t="s">
        <v>4</v>
      </c>
      <c r="E7" s="18">
        <f>B7/(60*24)+E6</f>
        <v>0.27291666666666664</v>
      </c>
      <c r="F7" s="18">
        <f t="shared" si="0"/>
        <v>0.27291666666666664</v>
      </c>
      <c r="G7" s="18">
        <f t="shared" si="1"/>
        <v>0.27777777777777773</v>
      </c>
      <c r="H7" s="18" t="b">
        <f t="shared" ref="H7:H70" si="3">IF(E7+5*$C$1&gt;=G6,TRUE,FALSE)</f>
        <v>1</v>
      </c>
      <c r="I7" s="18"/>
    </row>
    <row r="8" spans="1:12" x14ac:dyDescent="0.25">
      <c r="A8">
        <v>6</v>
      </c>
      <c r="B8" s="10">
        <v>9</v>
      </c>
      <c r="C8" s="11">
        <v>14</v>
      </c>
      <c r="D8" s="12" t="s">
        <v>5</v>
      </c>
      <c r="E8" s="18">
        <f>B8/(60*24)+E7</f>
        <v>0.27916666666666662</v>
      </c>
      <c r="F8" s="18">
        <f t="shared" si="0"/>
        <v>0.27916666666666662</v>
      </c>
      <c r="G8" s="18">
        <f t="shared" si="1"/>
        <v>0.28888888888888886</v>
      </c>
      <c r="H8" s="18" t="b">
        <f t="shared" si="3"/>
        <v>1</v>
      </c>
      <c r="I8" s="18"/>
      <c r="L8" s="19"/>
    </row>
    <row r="9" spans="1:12" x14ac:dyDescent="0.25">
      <c r="A9">
        <v>7</v>
      </c>
      <c r="B9" s="7">
        <v>4</v>
      </c>
      <c r="C9" s="8">
        <v>10</v>
      </c>
      <c r="D9" s="9" t="s">
        <v>6</v>
      </c>
      <c r="E9" s="18">
        <f>B9/(60*24)+E8</f>
        <v>0.28194444444444439</v>
      </c>
      <c r="F9" s="18">
        <f t="shared" si="0"/>
        <v>0.28888888888888886</v>
      </c>
      <c r="G9" s="18">
        <f t="shared" si="1"/>
        <v>0.28888888888888886</v>
      </c>
      <c r="H9" s="18" t="b">
        <f t="shared" si="3"/>
        <v>0</v>
      </c>
      <c r="I9" s="18"/>
    </row>
    <row r="10" spans="1:12" x14ac:dyDescent="0.25">
      <c r="A10">
        <v>8</v>
      </c>
      <c r="B10" s="10">
        <v>4</v>
      </c>
      <c r="C10" s="11">
        <v>7</v>
      </c>
      <c r="D10" s="12" t="s">
        <v>7</v>
      </c>
      <c r="E10" s="18">
        <f>B10/(60*24)+E9</f>
        <v>0.28472222222222215</v>
      </c>
      <c r="F10" s="18">
        <f t="shared" si="0"/>
        <v>0.28888888888888886</v>
      </c>
      <c r="G10" s="18">
        <f t="shared" si="1"/>
        <v>0.28888888888888886</v>
      </c>
      <c r="H10" s="18" t="b">
        <f t="shared" si="3"/>
        <v>0</v>
      </c>
      <c r="I10" s="18"/>
    </row>
    <row r="11" spans="1:12" x14ac:dyDescent="0.25">
      <c r="A11">
        <v>9</v>
      </c>
      <c r="B11" s="7">
        <v>3</v>
      </c>
      <c r="C11" s="8">
        <v>2</v>
      </c>
      <c r="D11" s="9" t="s">
        <v>8</v>
      </c>
      <c r="E11" s="18">
        <f>B11/(60*24)+E10</f>
        <v>0.28680555555555548</v>
      </c>
      <c r="F11" s="18">
        <f t="shared" si="0"/>
        <v>0.28888888888888886</v>
      </c>
      <c r="G11" s="18">
        <f t="shared" si="1"/>
        <v>0.29027777777777775</v>
      </c>
      <c r="H11" s="18" t="b">
        <f t="shared" si="3"/>
        <v>1</v>
      </c>
      <c r="I11" s="18"/>
    </row>
    <row r="12" spans="1:12" x14ac:dyDescent="0.25">
      <c r="A12">
        <v>10</v>
      </c>
      <c r="B12" s="10">
        <v>7</v>
      </c>
      <c r="C12" s="11">
        <v>12</v>
      </c>
      <c r="D12" s="12" t="s">
        <v>9</v>
      </c>
      <c r="E12" s="18">
        <f>B12/(60*24)+E11</f>
        <v>0.29166666666666657</v>
      </c>
      <c r="F12" s="18">
        <f t="shared" si="0"/>
        <v>0.29166666666666657</v>
      </c>
      <c r="G12" s="18">
        <f t="shared" si="1"/>
        <v>0.29999999999999993</v>
      </c>
      <c r="H12" s="18" t="b">
        <f t="shared" si="3"/>
        <v>1</v>
      </c>
      <c r="I12" s="18"/>
    </row>
    <row r="13" spans="1:12" x14ac:dyDescent="0.25">
      <c r="A13">
        <v>11</v>
      </c>
      <c r="B13" s="7">
        <v>11</v>
      </c>
      <c r="C13" s="8">
        <v>12</v>
      </c>
      <c r="D13" s="9" t="s">
        <v>10</v>
      </c>
      <c r="E13" s="18">
        <f>B13/(60*24)+E12</f>
        <v>0.29930555555555544</v>
      </c>
      <c r="F13" s="18">
        <f t="shared" si="0"/>
        <v>0.29999999999999993</v>
      </c>
      <c r="G13" s="18">
        <f t="shared" si="1"/>
        <v>0.30833333333333329</v>
      </c>
      <c r="H13" s="18" t="b">
        <f t="shared" si="3"/>
        <v>1</v>
      </c>
      <c r="I13" s="18"/>
    </row>
    <row r="14" spans="1:12" x14ac:dyDescent="0.25">
      <c r="A14">
        <v>12</v>
      </c>
      <c r="B14" s="10">
        <v>15</v>
      </c>
      <c r="C14" s="11">
        <v>14</v>
      </c>
      <c r="D14" s="12" t="s">
        <v>11</v>
      </c>
      <c r="E14" s="18">
        <f>B14/(60*24)+E13</f>
        <v>0.30972222222222212</v>
      </c>
      <c r="F14" s="18">
        <f t="shared" si="0"/>
        <v>0.30972222222222212</v>
      </c>
      <c r="G14" s="18">
        <f t="shared" si="1"/>
        <v>0.31944444444444436</v>
      </c>
      <c r="H14" s="18" t="b">
        <f t="shared" si="3"/>
        <v>1</v>
      </c>
      <c r="I14" s="18"/>
    </row>
    <row r="15" spans="1:12" x14ac:dyDescent="0.25">
      <c r="A15">
        <v>13</v>
      </c>
      <c r="B15" s="7">
        <v>11</v>
      </c>
      <c r="C15" s="8">
        <v>9</v>
      </c>
      <c r="D15" s="9" t="s">
        <v>12</v>
      </c>
      <c r="E15" s="18">
        <f>B15/(60*24)+E14</f>
        <v>0.31736111111111098</v>
      </c>
      <c r="F15" s="18">
        <f t="shared" si="0"/>
        <v>0.31944444444444436</v>
      </c>
      <c r="G15" s="18">
        <f t="shared" si="1"/>
        <v>0.32569444444444434</v>
      </c>
      <c r="H15" s="18" t="b">
        <f t="shared" si="3"/>
        <v>1</v>
      </c>
      <c r="I15" s="18"/>
    </row>
    <row r="16" spans="1:12" x14ac:dyDescent="0.25">
      <c r="A16">
        <v>14</v>
      </c>
      <c r="B16" s="10">
        <v>3</v>
      </c>
      <c r="C16" s="11">
        <v>6</v>
      </c>
      <c r="D16" s="12" t="s">
        <v>13</v>
      </c>
      <c r="E16" s="18">
        <f>B16/(60*24)+E15</f>
        <v>0.31944444444444431</v>
      </c>
      <c r="F16" s="18">
        <f t="shared" si="0"/>
        <v>0.32569444444444434</v>
      </c>
      <c r="G16" s="18">
        <f t="shared" si="1"/>
        <v>0.32569444444444434</v>
      </c>
      <c r="H16" s="18" t="b">
        <f t="shared" si="3"/>
        <v>0</v>
      </c>
      <c r="I16" s="18"/>
    </row>
    <row r="17" spans="1:9" x14ac:dyDescent="0.25">
      <c r="A17">
        <v>15</v>
      </c>
      <c r="B17" s="7">
        <v>1</v>
      </c>
      <c r="C17" s="8">
        <v>7</v>
      </c>
      <c r="D17" s="9" t="s">
        <v>14</v>
      </c>
      <c r="E17" s="18">
        <f>B17/(60*24)+E16</f>
        <v>0.32013888888888875</v>
      </c>
      <c r="F17" s="18">
        <f t="shared" si="0"/>
        <v>0.32569444444444434</v>
      </c>
      <c r="G17" s="18">
        <f t="shared" si="1"/>
        <v>0.32569444444444434</v>
      </c>
      <c r="H17" s="18" t="b">
        <f t="shared" si="3"/>
        <v>0</v>
      </c>
      <c r="I17" s="18"/>
    </row>
    <row r="18" spans="1:9" x14ac:dyDescent="0.25">
      <c r="A18">
        <v>16</v>
      </c>
      <c r="B18" s="10">
        <v>11</v>
      </c>
      <c r="C18" s="11">
        <v>7</v>
      </c>
      <c r="D18" s="12" t="s">
        <v>15</v>
      </c>
      <c r="E18" s="18">
        <f>B18/(60*24)+E17</f>
        <v>0.32777777777777761</v>
      </c>
      <c r="F18" s="18">
        <f t="shared" si="0"/>
        <v>0.32777777777777761</v>
      </c>
      <c r="G18" s="18">
        <f t="shared" si="1"/>
        <v>0.33263888888888871</v>
      </c>
      <c r="H18" s="18" t="b">
        <f t="shared" si="3"/>
        <v>1</v>
      </c>
      <c r="I18" s="18"/>
    </row>
    <row r="19" spans="1:9" x14ac:dyDescent="0.25">
      <c r="A19">
        <v>17</v>
      </c>
      <c r="B19" s="7">
        <v>2</v>
      </c>
      <c r="C19" s="8">
        <v>2</v>
      </c>
      <c r="D19" s="9" t="s">
        <v>16</v>
      </c>
      <c r="E19" s="18">
        <f>B19/(60*24)+E18</f>
        <v>0.3291666666666665</v>
      </c>
      <c r="F19" s="18">
        <f t="shared" si="0"/>
        <v>0.33263888888888871</v>
      </c>
      <c r="G19" s="18">
        <f t="shared" si="1"/>
        <v>0.33402777777777759</v>
      </c>
      <c r="H19" s="18" t="b">
        <f t="shared" si="3"/>
        <v>1</v>
      </c>
      <c r="I19" s="18"/>
    </row>
    <row r="20" spans="1:9" x14ac:dyDescent="0.25">
      <c r="A20">
        <v>18</v>
      </c>
      <c r="B20" s="10">
        <v>9</v>
      </c>
      <c r="C20" s="11">
        <v>10</v>
      </c>
      <c r="D20" s="12" t="s">
        <v>17</v>
      </c>
      <c r="E20" s="18">
        <f>B20/(60*24)+E19</f>
        <v>0.33541666666666647</v>
      </c>
      <c r="F20" s="18">
        <f t="shared" si="0"/>
        <v>0.33541666666666647</v>
      </c>
      <c r="G20" s="18">
        <f t="shared" si="1"/>
        <v>0.34236111111111089</v>
      </c>
      <c r="H20" s="18" t="b">
        <f t="shared" si="3"/>
        <v>1</v>
      </c>
      <c r="I20" s="18"/>
    </row>
    <row r="21" spans="1:9" x14ac:dyDescent="0.25">
      <c r="A21">
        <v>19</v>
      </c>
      <c r="B21" s="7">
        <v>2</v>
      </c>
      <c r="C21" s="8">
        <v>13</v>
      </c>
      <c r="D21" s="9" t="s">
        <v>18</v>
      </c>
      <c r="E21" s="18">
        <f>B21/(60*24)+E20</f>
        <v>0.33680555555555536</v>
      </c>
      <c r="F21" s="18">
        <f t="shared" si="0"/>
        <v>0.34236111111111089</v>
      </c>
      <c r="G21" s="18">
        <f t="shared" si="1"/>
        <v>0.34236111111111089</v>
      </c>
      <c r="H21" s="18" t="b">
        <f t="shared" si="3"/>
        <v>0</v>
      </c>
      <c r="I21" s="18"/>
    </row>
    <row r="22" spans="1:9" x14ac:dyDescent="0.25">
      <c r="A22">
        <v>20</v>
      </c>
      <c r="B22" s="10">
        <v>13</v>
      </c>
      <c r="C22" s="11">
        <v>14</v>
      </c>
      <c r="D22" s="12" t="s">
        <v>19</v>
      </c>
      <c r="E22" s="18">
        <f>B22/(60*24)+E21</f>
        <v>0.34583333333333316</v>
      </c>
      <c r="F22" s="18">
        <f t="shared" si="0"/>
        <v>0.34583333333333316</v>
      </c>
      <c r="G22" s="18">
        <f t="shared" si="1"/>
        <v>0.3555555555555554</v>
      </c>
      <c r="H22" s="18" t="b">
        <f t="shared" si="3"/>
        <v>1</v>
      </c>
      <c r="I22" s="18"/>
    </row>
    <row r="23" spans="1:9" x14ac:dyDescent="0.25">
      <c r="A23">
        <v>21</v>
      </c>
      <c r="B23" s="7">
        <v>10</v>
      </c>
      <c r="C23" s="8">
        <v>15</v>
      </c>
      <c r="D23" s="9" t="s">
        <v>20</v>
      </c>
      <c r="E23" s="18">
        <f>B23/(60*24)+E22</f>
        <v>0.35277777777777758</v>
      </c>
      <c r="F23" s="18">
        <f t="shared" si="0"/>
        <v>0.3555555555555554</v>
      </c>
      <c r="G23" s="18">
        <f t="shared" si="1"/>
        <v>0.36597222222222209</v>
      </c>
      <c r="H23" s="18" t="b">
        <f t="shared" si="3"/>
        <v>1</v>
      </c>
      <c r="I23" s="18"/>
    </row>
    <row r="24" spans="1:9" x14ac:dyDescent="0.25">
      <c r="A24">
        <v>22</v>
      </c>
      <c r="B24" s="10">
        <v>6</v>
      </c>
      <c r="C24" s="11">
        <v>9</v>
      </c>
      <c r="D24" s="12" t="s">
        <v>21</v>
      </c>
      <c r="E24" s="18">
        <f>B24/(60*24)+E23</f>
        <v>0.35694444444444423</v>
      </c>
      <c r="F24" s="18">
        <f t="shared" si="0"/>
        <v>0.36597222222222209</v>
      </c>
      <c r="G24" s="18">
        <f t="shared" si="1"/>
        <v>0.36597222222222209</v>
      </c>
      <c r="H24" s="18" t="b">
        <f t="shared" si="3"/>
        <v>0</v>
      </c>
      <c r="I24" s="18"/>
    </row>
    <row r="25" spans="1:9" x14ac:dyDescent="0.25">
      <c r="A25">
        <v>23</v>
      </c>
      <c r="B25" s="7">
        <v>5</v>
      </c>
      <c r="C25" s="8">
        <v>6</v>
      </c>
      <c r="D25" s="9" t="s">
        <v>22</v>
      </c>
      <c r="E25" s="18">
        <f>B25/(60*24)+E24</f>
        <v>0.36041666666666644</v>
      </c>
      <c r="F25" s="18">
        <f t="shared" si="0"/>
        <v>0.36597222222222209</v>
      </c>
      <c r="G25" s="18">
        <f t="shared" si="1"/>
        <v>0.36597222222222209</v>
      </c>
      <c r="H25" s="18" t="b">
        <f t="shared" si="3"/>
        <v>0</v>
      </c>
      <c r="I25" s="18"/>
    </row>
    <row r="26" spans="1:9" x14ac:dyDescent="0.25">
      <c r="A26">
        <v>24</v>
      </c>
      <c r="B26" s="10">
        <v>13</v>
      </c>
      <c r="C26" s="11">
        <v>13</v>
      </c>
      <c r="D26" s="12" t="s">
        <v>23</v>
      </c>
      <c r="E26" s="18">
        <f>B26/(60*24)+E25</f>
        <v>0.36944444444444424</v>
      </c>
      <c r="F26" s="18">
        <f t="shared" si="0"/>
        <v>0.36944444444444424</v>
      </c>
      <c r="G26" s="18">
        <f t="shared" si="1"/>
        <v>0.37847222222222204</v>
      </c>
      <c r="H26" s="18" t="b">
        <f t="shared" si="3"/>
        <v>1</v>
      </c>
      <c r="I26" s="18"/>
    </row>
    <row r="27" spans="1:9" x14ac:dyDescent="0.25">
      <c r="A27">
        <v>25</v>
      </c>
      <c r="B27" s="7">
        <v>11</v>
      </c>
      <c r="C27" s="8">
        <v>1</v>
      </c>
      <c r="D27" s="9" t="s">
        <v>24</v>
      </c>
      <c r="E27" s="18">
        <f>B27/(60*24)+E26</f>
        <v>0.3770833333333331</v>
      </c>
      <c r="F27" s="18">
        <f t="shared" si="0"/>
        <v>0.37847222222222204</v>
      </c>
      <c r="G27" s="18">
        <f t="shared" si="1"/>
        <v>0.37916666666666649</v>
      </c>
      <c r="H27" s="18" t="b">
        <f t="shared" si="3"/>
        <v>1</v>
      </c>
      <c r="I27" s="18"/>
    </row>
    <row r="28" spans="1:9" x14ac:dyDescent="0.25">
      <c r="A28">
        <v>26</v>
      </c>
      <c r="B28" s="10">
        <v>10</v>
      </c>
      <c r="C28" s="11">
        <v>6</v>
      </c>
      <c r="D28" s="12" t="s">
        <v>25</v>
      </c>
      <c r="E28" s="18">
        <f>B28/(60*24)+E27</f>
        <v>0.38402777777777752</v>
      </c>
      <c r="F28" s="18">
        <f t="shared" si="0"/>
        <v>0.38402777777777752</v>
      </c>
      <c r="G28" s="18">
        <f t="shared" si="1"/>
        <v>0.38819444444444418</v>
      </c>
      <c r="H28" s="18" t="b">
        <f t="shared" si="3"/>
        <v>1</v>
      </c>
      <c r="I28" s="18"/>
    </row>
    <row r="29" spans="1:9" x14ac:dyDescent="0.25">
      <c r="A29">
        <v>27</v>
      </c>
      <c r="B29" s="7">
        <v>11</v>
      </c>
      <c r="C29" s="8">
        <v>12</v>
      </c>
      <c r="D29" s="9" t="s">
        <v>26</v>
      </c>
      <c r="E29" s="18">
        <f>B29/(60*24)+E28</f>
        <v>0.39166666666666639</v>
      </c>
      <c r="F29" s="18">
        <f t="shared" si="0"/>
        <v>0.39166666666666639</v>
      </c>
      <c r="G29" s="18">
        <f t="shared" si="1"/>
        <v>0.39999999999999974</v>
      </c>
      <c r="H29" s="18" t="b">
        <f t="shared" si="3"/>
        <v>1</v>
      </c>
      <c r="I29" s="18"/>
    </row>
    <row r="30" spans="1:9" x14ac:dyDescent="0.25">
      <c r="A30">
        <v>28</v>
      </c>
      <c r="B30" s="10">
        <v>4</v>
      </c>
      <c r="C30" s="11">
        <v>9</v>
      </c>
      <c r="D30" s="12" t="s">
        <v>27</v>
      </c>
      <c r="E30" s="18">
        <f>B30/(60*24)+E29</f>
        <v>0.39444444444444415</v>
      </c>
      <c r="F30" s="18">
        <f t="shared" si="0"/>
        <v>0.39999999999999974</v>
      </c>
      <c r="G30" s="18">
        <f t="shared" si="1"/>
        <v>0.39999999999999974</v>
      </c>
      <c r="H30" s="18" t="b">
        <f t="shared" si="3"/>
        <v>0</v>
      </c>
      <c r="I30" s="18"/>
    </row>
    <row r="31" spans="1:9" x14ac:dyDescent="0.25">
      <c r="A31">
        <v>29</v>
      </c>
      <c r="B31" s="7">
        <v>4</v>
      </c>
      <c r="C31" s="8">
        <v>1</v>
      </c>
      <c r="D31" s="9" t="s">
        <v>28</v>
      </c>
      <c r="E31" s="18">
        <f>B31/(60*24)+E30</f>
        <v>0.39722222222222192</v>
      </c>
      <c r="F31" s="18">
        <f t="shared" si="0"/>
        <v>0.39999999999999974</v>
      </c>
      <c r="G31" s="18">
        <f t="shared" si="1"/>
        <v>0.40069444444444419</v>
      </c>
      <c r="H31" s="18" t="b">
        <f t="shared" si="3"/>
        <v>1</v>
      </c>
      <c r="I31" s="18"/>
    </row>
    <row r="32" spans="1:9" x14ac:dyDescent="0.25">
      <c r="A32">
        <v>30</v>
      </c>
      <c r="B32" s="10">
        <v>2</v>
      </c>
      <c r="C32" s="11">
        <v>11</v>
      </c>
      <c r="D32" s="12" t="s">
        <v>29</v>
      </c>
      <c r="E32" s="18">
        <f>B32/(60*24)+E31</f>
        <v>0.39861111111111081</v>
      </c>
      <c r="F32" s="18">
        <f t="shared" si="0"/>
        <v>0.40069444444444419</v>
      </c>
      <c r="G32" s="18">
        <f t="shared" si="1"/>
        <v>0.40833333333333305</v>
      </c>
      <c r="H32" s="18" t="b">
        <f t="shared" si="3"/>
        <v>1</v>
      </c>
      <c r="I32" s="18"/>
    </row>
    <row r="33" spans="1:9" x14ac:dyDescent="0.25">
      <c r="A33">
        <v>31</v>
      </c>
      <c r="B33" s="7">
        <v>7</v>
      </c>
      <c r="C33" s="8">
        <v>2</v>
      </c>
      <c r="D33" s="9" t="s">
        <v>30</v>
      </c>
      <c r="E33" s="18">
        <f>B33/(60*24)+E32</f>
        <v>0.4034722222222219</v>
      </c>
      <c r="F33" s="18">
        <f t="shared" si="0"/>
        <v>0.40833333333333305</v>
      </c>
      <c r="G33" s="18">
        <f t="shared" si="1"/>
        <v>0.40833333333333305</v>
      </c>
      <c r="H33" s="18" t="b">
        <f t="shared" si="3"/>
        <v>0</v>
      </c>
      <c r="I33" s="18"/>
    </row>
    <row r="34" spans="1:9" x14ac:dyDescent="0.25">
      <c r="A34">
        <v>32</v>
      </c>
      <c r="B34" s="10">
        <v>11</v>
      </c>
      <c r="C34" s="11">
        <v>14</v>
      </c>
      <c r="D34" s="12" t="s">
        <v>31</v>
      </c>
      <c r="E34" s="18">
        <f>B34/(60*24)+E33</f>
        <v>0.41111111111111076</v>
      </c>
      <c r="F34" s="18">
        <f t="shared" si="0"/>
        <v>0.41111111111111076</v>
      </c>
      <c r="G34" s="18">
        <f t="shared" si="1"/>
        <v>0.420833333333333</v>
      </c>
      <c r="H34" s="18" t="b">
        <f t="shared" si="3"/>
        <v>1</v>
      </c>
      <c r="I34" s="18"/>
    </row>
    <row r="35" spans="1:9" x14ac:dyDescent="0.25">
      <c r="A35">
        <v>33</v>
      </c>
      <c r="B35" s="7">
        <v>6</v>
      </c>
      <c r="C35" s="8">
        <v>3</v>
      </c>
      <c r="D35" s="9" t="s">
        <v>32</v>
      </c>
      <c r="E35" s="18">
        <f>B35/(60*24)+E34</f>
        <v>0.41527777777777741</v>
      </c>
      <c r="F35" s="18">
        <f t="shared" si="0"/>
        <v>0.420833333333333</v>
      </c>
      <c r="G35" s="18">
        <f t="shared" si="1"/>
        <v>0.420833333333333</v>
      </c>
      <c r="H35" s="18" t="b">
        <f t="shared" si="3"/>
        <v>0</v>
      </c>
      <c r="I35" s="18"/>
    </row>
    <row r="36" spans="1:9" x14ac:dyDescent="0.25">
      <c r="A36">
        <v>34</v>
      </c>
      <c r="B36" s="10">
        <v>11</v>
      </c>
      <c r="C36" s="11">
        <v>5</v>
      </c>
      <c r="D36" s="12" t="s">
        <v>33</v>
      </c>
      <c r="E36" s="18">
        <f>B36/(60*24)+E35</f>
        <v>0.42291666666666627</v>
      </c>
      <c r="F36" s="18">
        <f t="shared" si="0"/>
        <v>0.42291666666666627</v>
      </c>
      <c r="G36" s="18">
        <f t="shared" si="1"/>
        <v>0.42638888888888848</v>
      </c>
      <c r="H36" s="18" t="b">
        <f t="shared" si="3"/>
        <v>1</v>
      </c>
      <c r="I36" s="18"/>
    </row>
    <row r="37" spans="1:9" x14ac:dyDescent="0.25">
      <c r="A37">
        <v>35</v>
      </c>
      <c r="B37" s="7">
        <v>5</v>
      </c>
      <c r="C37" s="8">
        <v>9</v>
      </c>
      <c r="D37" s="9" t="s">
        <v>34</v>
      </c>
      <c r="E37" s="18">
        <f>B37/(60*24)+E36</f>
        <v>0.42638888888888848</v>
      </c>
      <c r="F37" s="18">
        <f t="shared" si="0"/>
        <v>0.42638888888888848</v>
      </c>
      <c r="G37" s="18">
        <f t="shared" si="1"/>
        <v>0.43263888888888846</v>
      </c>
      <c r="H37" s="18" t="b">
        <f t="shared" si="3"/>
        <v>1</v>
      </c>
      <c r="I37" s="18"/>
    </row>
    <row r="38" spans="1:9" x14ac:dyDescent="0.25">
      <c r="A38">
        <v>36</v>
      </c>
      <c r="B38" s="10">
        <v>9</v>
      </c>
      <c r="C38" s="11">
        <v>5</v>
      </c>
      <c r="D38" s="12" t="s">
        <v>35</v>
      </c>
      <c r="E38" s="18">
        <f>B38/(60*24)+E37</f>
        <v>0.43263888888888846</v>
      </c>
      <c r="F38" s="18">
        <f t="shared" si="0"/>
        <v>0.43263888888888846</v>
      </c>
      <c r="G38" s="18">
        <f t="shared" si="1"/>
        <v>0.43611111111111067</v>
      </c>
      <c r="H38" s="18" t="b">
        <f t="shared" si="3"/>
        <v>1</v>
      </c>
      <c r="I38" s="18"/>
    </row>
    <row r="39" spans="1:9" x14ac:dyDescent="0.25">
      <c r="A39">
        <v>37</v>
      </c>
      <c r="B39" s="7">
        <v>11</v>
      </c>
      <c r="C39" s="8">
        <v>4</v>
      </c>
      <c r="D39" s="9" t="s">
        <v>36</v>
      </c>
      <c r="E39" s="18">
        <f>B39/(60*24)+E38</f>
        <v>0.44027777777777732</v>
      </c>
      <c r="F39" s="18">
        <f t="shared" si="0"/>
        <v>0.44027777777777732</v>
      </c>
      <c r="G39" s="18">
        <f t="shared" si="1"/>
        <v>0.44305555555555509</v>
      </c>
      <c r="H39" s="18" t="b">
        <f t="shared" si="3"/>
        <v>1</v>
      </c>
      <c r="I39" s="18"/>
    </row>
    <row r="40" spans="1:9" x14ac:dyDescent="0.25">
      <c r="A40">
        <v>38</v>
      </c>
      <c r="B40" s="10">
        <v>15</v>
      </c>
      <c r="C40" s="11">
        <v>5</v>
      </c>
      <c r="D40" s="12" t="s">
        <v>37</v>
      </c>
      <c r="E40" s="18">
        <f>B40/(60*24)+E39</f>
        <v>0.45069444444444401</v>
      </c>
      <c r="F40" s="18">
        <f t="shared" si="0"/>
        <v>0.45069444444444401</v>
      </c>
      <c r="G40" s="18">
        <f t="shared" si="1"/>
        <v>0.45416666666666622</v>
      </c>
      <c r="H40" s="18" t="b">
        <f t="shared" si="3"/>
        <v>1</v>
      </c>
      <c r="I40" s="18"/>
    </row>
    <row r="41" spans="1:9" x14ac:dyDescent="0.25">
      <c r="A41">
        <v>39</v>
      </c>
      <c r="B41" s="7">
        <v>12</v>
      </c>
      <c r="C41" s="8">
        <v>1</v>
      </c>
      <c r="D41" s="9" t="s">
        <v>38</v>
      </c>
      <c r="E41" s="18">
        <f>B41/(60*24)+E40</f>
        <v>0.45902777777777737</v>
      </c>
      <c r="F41" s="18">
        <f t="shared" si="0"/>
        <v>0.45902777777777737</v>
      </c>
      <c r="G41" s="18">
        <f t="shared" si="1"/>
        <v>0.45972222222222181</v>
      </c>
      <c r="H41" s="18" t="b">
        <f t="shared" si="3"/>
        <v>1</v>
      </c>
      <c r="I41" s="18"/>
    </row>
    <row r="42" spans="1:9" x14ac:dyDescent="0.25">
      <c r="A42">
        <v>40</v>
      </c>
      <c r="B42" s="10">
        <v>2</v>
      </c>
      <c r="C42" s="11">
        <v>5</v>
      </c>
      <c r="D42" s="12" t="s">
        <v>39</v>
      </c>
      <c r="E42" s="18">
        <f>B42/(60*24)+E41</f>
        <v>0.46041666666666625</v>
      </c>
      <c r="F42" s="18">
        <f t="shared" si="0"/>
        <v>0.46041666666666625</v>
      </c>
      <c r="G42" s="18">
        <f t="shared" si="1"/>
        <v>0.46388888888888846</v>
      </c>
      <c r="H42" s="18" t="b">
        <f t="shared" si="3"/>
        <v>1</v>
      </c>
      <c r="I42" s="18"/>
    </row>
    <row r="43" spans="1:9" x14ac:dyDescent="0.25">
      <c r="A43">
        <v>41</v>
      </c>
      <c r="B43" s="7">
        <v>11</v>
      </c>
      <c r="C43" s="8">
        <v>11</v>
      </c>
      <c r="D43" s="9" t="s">
        <v>40</v>
      </c>
      <c r="E43" s="18">
        <f>B43/(60*24)+E42</f>
        <v>0.46805555555555511</v>
      </c>
      <c r="F43" s="18">
        <f t="shared" si="0"/>
        <v>0.46805555555555511</v>
      </c>
      <c r="G43" s="18">
        <f t="shared" si="1"/>
        <v>0.47569444444444398</v>
      </c>
      <c r="H43" s="18" t="b">
        <f t="shared" si="3"/>
        <v>1</v>
      </c>
      <c r="I43" s="18"/>
    </row>
    <row r="44" spans="1:9" x14ac:dyDescent="0.25">
      <c r="A44">
        <v>42</v>
      </c>
      <c r="B44" s="10">
        <v>2</v>
      </c>
      <c r="C44" s="11">
        <v>3</v>
      </c>
      <c r="D44" s="12" t="s">
        <v>41</v>
      </c>
      <c r="E44" s="18">
        <f>B44/(60*24)+E43</f>
        <v>0.469444444444444</v>
      </c>
      <c r="F44" s="18">
        <f t="shared" si="0"/>
        <v>0.47569444444444398</v>
      </c>
      <c r="G44" s="18">
        <f t="shared" si="1"/>
        <v>0.47569444444444398</v>
      </c>
      <c r="H44" s="18" t="b">
        <f t="shared" si="3"/>
        <v>0</v>
      </c>
      <c r="I44" s="18"/>
    </row>
    <row r="45" spans="1:9" x14ac:dyDescent="0.25">
      <c r="A45">
        <v>43</v>
      </c>
      <c r="B45" s="7">
        <v>6</v>
      </c>
      <c r="C45" s="8">
        <v>13</v>
      </c>
      <c r="D45" s="9" t="s">
        <v>42</v>
      </c>
      <c r="E45" s="18">
        <f>B45/(60*24)+E44</f>
        <v>0.47361111111111065</v>
      </c>
      <c r="F45" s="18">
        <f t="shared" si="0"/>
        <v>0.47569444444444398</v>
      </c>
      <c r="G45" s="18">
        <f t="shared" si="1"/>
        <v>0.48472222222222178</v>
      </c>
      <c r="H45" s="18" t="b">
        <f t="shared" si="3"/>
        <v>1</v>
      </c>
      <c r="I45" s="18"/>
    </row>
    <row r="46" spans="1:9" x14ac:dyDescent="0.25">
      <c r="A46">
        <v>44</v>
      </c>
      <c r="B46" s="10">
        <v>4</v>
      </c>
      <c r="C46" s="11">
        <v>11</v>
      </c>
      <c r="D46" s="12" t="s">
        <v>43</v>
      </c>
      <c r="E46" s="18">
        <f>B46/(60*24)+E45</f>
        <v>0.47638888888888842</v>
      </c>
      <c r="F46" s="18">
        <f t="shared" si="0"/>
        <v>0.48472222222222178</v>
      </c>
      <c r="G46" s="18">
        <f t="shared" si="1"/>
        <v>0.48472222222222178</v>
      </c>
      <c r="H46" s="18" t="b">
        <f t="shared" si="3"/>
        <v>0</v>
      </c>
      <c r="I46" s="18"/>
    </row>
    <row r="47" spans="1:9" x14ac:dyDescent="0.25">
      <c r="A47">
        <v>45</v>
      </c>
      <c r="B47" s="7">
        <v>7</v>
      </c>
      <c r="C47" s="8">
        <v>10</v>
      </c>
      <c r="D47" s="9" t="s">
        <v>44</v>
      </c>
      <c r="E47" s="18">
        <f>B47/(60*24)+E46</f>
        <v>0.48124999999999951</v>
      </c>
      <c r="F47" s="18">
        <f t="shared" si="0"/>
        <v>0.48472222222222178</v>
      </c>
      <c r="G47" s="18">
        <f t="shared" si="1"/>
        <v>0.4916666666666662</v>
      </c>
      <c r="H47" s="18" t="b">
        <f t="shared" si="3"/>
        <v>1</v>
      </c>
      <c r="I47" s="18"/>
    </row>
    <row r="48" spans="1:9" x14ac:dyDescent="0.25">
      <c r="A48">
        <v>46</v>
      </c>
      <c r="B48" s="10">
        <v>8</v>
      </c>
      <c r="C48" s="11">
        <v>6</v>
      </c>
      <c r="D48" s="12" t="s">
        <v>45</v>
      </c>
      <c r="E48" s="18">
        <f>B48/(60*24)+E47</f>
        <v>0.48680555555555505</v>
      </c>
      <c r="F48" s="18">
        <f t="shared" si="0"/>
        <v>0.4916666666666662</v>
      </c>
      <c r="G48" s="18">
        <f t="shared" si="1"/>
        <v>0.4916666666666662</v>
      </c>
      <c r="H48" s="18" t="b">
        <f t="shared" si="3"/>
        <v>0</v>
      </c>
      <c r="I48" s="18"/>
    </row>
    <row r="49" spans="1:9" x14ac:dyDescent="0.25">
      <c r="A49">
        <v>47</v>
      </c>
      <c r="B49" s="7">
        <v>3</v>
      </c>
      <c r="C49" s="8">
        <v>14</v>
      </c>
      <c r="D49" s="9" t="s">
        <v>46</v>
      </c>
      <c r="E49" s="18">
        <f>B49/(60*24)+E48</f>
        <v>0.48888888888888837</v>
      </c>
      <c r="F49" s="18">
        <f t="shared" si="0"/>
        <v>0.4916666666666662</v>
      </c>
      <c r="G49" s="18">
        <f t="shared" si="1"/>
        <v>0.50138888888888844</v>
      </c>
      <c r="H49" s="18" t="b">
        <f t="shared" si="3"/>
        <v>1</v>
      </c>
      <c r="I49" s="18"/>
    </row>
    <row r="50" spans="1:9" x14ac:dyDescent="0.25">
      <c r="A50">
        <v>48</v>
      </c>
      <c r="B50" s="10">
        <v>7</v>
      </c>
      <c r="C50" s="11">
        <v>13</v>
      </c>
      <c r="D50" s="12" t="s">
        <v>47</v>
      </c>
      <c r="E50" s="18">
        <f>B50/(60*24)+E49</f>
        <v>0.49374999999999947</v>
      </c>
      <c r="F50" s="18">
        <f t="shared" si="0"/>
        <v>0.50138888888888844</v>
      </c>
      <c r="G50" s="18">
        <f t="shared" si="1"/>
        <v>0.50138888888888844</v>
      </c>
      <c r="H50" s="18" t="b">
        <f t="shared" si="3"/>
        <v>0</v>
      </c>
      <c r="I50" s="18"/>
    </row>
    <row r="51" spans="1:9" x14ac:dyDescent="0.25">
      <c r="A51">
        <v>49</v>
      </c>
      <c r="B51" s="7">
        <v>15</v>
      </c>
      <c r="C51" s="8">
        <v>11</v>
      </c>
      <c r="D51" s="9" t="s">
        <v>48</v>
      </c>
      <c r="E51" s="18">
        <f>B51/(60*24)+E50</f>
        <v>0.5041666666666661</v>
      </c>
      <c r="F51" s="18">
        <f t="shared" si="0"/>
        <v>0.5041666666666661</v>
      </c>
      <c r="G51" s="18">
        <f t="shared" si="1"/>
        <v>0.51180555555555496</v>
      </c>
      <c r="H51" s="18" t="b">
        <f t="shared" si="3"/>
        <v>1</v>
      </c>
      <c r="I51" s="18"/>
    </row>
    <row r="52" spans="1:9" x14ac:dyDescent="0.25">
      <c r="A52">
        <v>50</v>
      </c>
      <c r="B52" s="10">
        <v>11</v>
      </c>
      <c r="C52" s="11">
        <v>8</v>
      </c>
      <c r="D52" s="12" t="s">
        <v>49</v>
      </c>
      <c r="E52" s="18">
        <f>B52/(60*24)+E51</f>
        <v>0.51180555555555496</v>
      </c>
      <c r="F52" s="18">
        <f t="shared" si="0"/>
        <v>0.51180555555555496</v>
      </c>
      <c r="G52" s="18">
        <f t="shared" si="1"/>
        <v>0.51736111111111049</v>
      </c>
      <c r="H52" s="18" t="b">
        <f t="shared" si="3"/>
        <v>1</v>
      </c>
      <c r="I52" s="18"/>
    </row>
    <row r="53" spans="1:9" x14ac:dyDescent="0.25">
      <c r="A53">
        <v>51</v>
      </c>
      <c r="B53" s="7">
        <v>6</v>
      </c>
      <c r="C53" s="8">
        <v>10</v>
      </c>
      <c r="D53" s="9" t="s">
        <v>50</v>
      </c>
      <c r="E53" s="18">
        <f>B53/(60*24)+E52</f>
        <v>0.51597222222222161</v>
      </c>
      <c r="F53" s="18">
        <f t="shared" si="0"/>
        <v>0.51736111111111049</v>
      </c>
      <c r="G53" s="18">
        <f t="shared" si="1"/>
        <v>0.52430555555555491</v>
      </c>
      <c r="H53" s="18" t="b">
        <f t="shared" si="3"/>
        <v>1</v>
      </c>
      <c r="I53" s="18"/>
    </row>
    <row r="54" spans="1:9" x14ac:dyDescent="0.25">
      <c r="A54">
        <v>52</v>
      </c>
      <c r="B54" s="10">
        <v>3</v>
      </c>
      <c r="C54" s="11">
        <v>12</v>
      </c>
      <c r="D54" s="12" t="s">
        <v>51</v>
      </c>
      <c r="E54" s="18">
        <f>B54/(60*24)+E53</f>
        <v>0.51805555555555494</v>
      </c>
      <c r="F54" s="18">
        <f t="shared" si="0"/>
        <v>0.52430555555555491</v>
      </c>
      <c r="G54" s="18">
        <f t="shared" si="1"/>
        <v>0.52430555555555491</v>
      </c>
      <c r="H54" s="18" t="b">
        <f t="shared" si="3"/>
        <v>0</v>
      </c>
      <c r="I54" s="18"/>
    </row>
    <row r="55" spans="1:9" x14ac:dyDescent="0.25">
      <c r="A55">
        <v>53</v>
      </c>
      <c r="B55" s="7">
        <v>13</v>
      </c>
      <c r="C55" s="8">
        <v>11</v>
      </c>
      <c r="D55" s="9" t="s">
        <v>52</v>
      </c>
      <c r="E55" s="18">
        <f>B55/(60*24)+E54</f>
        <v>0.52708333333333268</v>
      </c>
      <c r="F55" s="18">
        <f t="shared" si="0"/>
        <v>0.52708333333333268</v>
      </c>
      <c r="G55" s="18">
        <f t="shared" si="1"/>
        <v>0.53472222222222154</v>
      </c>
      <c r="H55" s="18" t="b">
        <f t="shared" si="3"/>
        <v>1</v>
      </c>
      <c r="I55" s="18"/>
    </row>
    <row r="56" spans="1:9" x14ac:dyDescent="0.25">
      <c r="A56">
        <v>54</v>
      </c>
      <c r="B56" s="10">
        <v>15</v>
      </c>
      <c r="C56" s="11">
        <v>12</v>
      </c>
      <c r="D56" s="12" t="s">
        <v>53</v>
      </c>
      <c r="E56" s="18">
        <f>B56/(60*24)+E55</f>
        <v>0.53749999999999931</v>
      </c>
      <c r="F56" s="18">
        <f t="shared" si="0"/>
        <v>0.53749999999999931</v>
      </c>
      <c r="G56" s="18">
        <f t="shared" si="1"/>
        <v>0.54583333333333262</v>
      </c>
      <c r="H56" s="18" t="b">
        <f t="shared" si="3"/>
        <v>1</v>
      </c>
      <c r="I56" s="18"/>
    </row>
    <row r="57" spans="1:9" x14ac:dyDescent="0.25">
      <c r="A57">
        <v>55</v>
      </c>
      <c r="B57" s="7">
        <v>1</v>
      </c>
      <c r="C57" s="8">
        <v>13</v>
      </c>
      <c r="D57" s="9" t="s">
        <v>54</v>
      </c>
      <c r="E57" s="18">
        <f>B57/(60*24)+E56</f>
        <v>0.53819444444444375</v>
      </c>
      <c r="F57" s="18">
        <f t="shared" si="0"/>
        <v>0.54583333333333262</v>
      </c>
      <c r="G57" s="18">
        <f t="shared" si="1"/>
        <v>0.54583333333333262</v>
      </c>
      <c r="H57" s="18" t="b">
        <f t="shared" si="3"/>
        <v>0</v>
      </c>
      <c r="I57" s="18"/>
    </row>
    <row r="58" spans="1:9" x14ac:dyDescent="0.25">
      <c r="A58">
        <v>56</v>
      </c>
      <c r="B58" s="10">
        <v>15</v>
      </c>
      <c r="C58" s="11">
        <v>7</v>
      </c>
      <c r="D58" s="12" t="s">
        <v>55</v>
      </c>
      <c r="E58" s="18">
        <f>B58/(60*24)+E57</f>
        <v>0.54861111111111038</v>
      </c>
      <c r="F58" s="18">
        <f t="shared" si="0"/>
        <v>0.54861111111111038</v>
      </c>
      <c r="G58" s="18">
        <f t="shared" si="1"/>
        <v>0.55347222222222148</v>
      </c>
      <c r="H58" s="18" t="b">
        <f t="shared" si="3"/>
        <v>1</v>
      </c>
      <c r="I58" s="18"/>
    </row>
    <row r="59" spans="1:9" x14ac:dyDescent="0.25">
      <c r="A59">
        <v>57</v>
      </c>
      <c r="B59" s="7">
        <v>14</v>
      </c>
      <c r="C59" s="8">
        <v>10</v>
      </c>
      <c r="D59" s="9" t="s">
        <v>56</v>
      </c>
      <c r="E59" s="18">
        <f>B59/(60*24)+E58</f>
        <v>0.55833333333333257</v>
      </c>
      <c r="F59" s="18">
        <f t="shared" si="0"/>
        <v>0.55833333333333257</v>
      </c>
      <c r="G59" s="18">
        <f t="shared" si="1"/>
        <v>0.56527777777777699</v>
      </c>
      <c r="H59" s="18" t="b">
        <f t="shared" si="3"/>
        <v>1</v>
      </c>
      <c r="I59" s="18"/>
    </row>
    <row r="60" spans="1:9" x14ac:dyDescent="0.25">
      <c r="A60">
        <v>58</v>
      </c>
      <c r="B60" s="10">
        <v>7</v>
      </c>
      <c r="C60" s="11">
        <v>1</v>
      </c>
      <c r="D60" s="12" t="s">
        <v>57</v>
      </c>
      <c r="E60" s="18">
        <f>B60/(60*24)+E59</f>
        <v>0.56319444444444366</v>
      </c>
      <c r="F60" s="18">
        <f t="shared" si="0"/>
        <v>0.56527777777777699</v>
      </c>
      <c r="G60" s="18">
        <f t="shared" si="1"/>
        <v>0.56597222222222143</v>
      </c>
      <c r="H60" s="18" t="b">
        <f t="shared" si="3"/>
        <v>1</v>
      </c>
      <c r="I60" s="18"/>
    </row>
    <row r="61" spans="1:9" x14ac:dyDescent="0.25">
      <c r="A61">
        <v>59</v>
      </c>
      <c r="B61" s="7">
        <v>7</v>
      </c>
      <c r="C61" s="8">
        <v>5</v>
      </c>
      <c r="D61" s="9" t="s">
        <v>58</v>
      </c>
      <c r="E61" s="18">
        <f>B61/(60*24)+E60</f>
        <v>0.56805555555555476</v>
      </c>
      <c r="F61" s="18">
        <f t="shared" si="0"/>
        <v>0.56805555555555476</v>
      </c>
      <c r="G61" s="18">
        <f t="shared" si="1"/>
        <v>0.57152777777777697</v>
      </c>
      <c r="H61" s="18" t="b">
        <f t="shared" si="3"/>
        <v>1</v>
      </c>
      <c r="I61" s="18"/>
    </row>
    <row r="62" spans="1:9" x14ac:dyDescent="0.25">
      <c r="A62">
        <v>60</v>
      </c>
      <c r="B62" s="10">
        <v>6</v>
      </c>
      <c r="C62" s="11">
        <v>1</v>
      </c>
      <c r="D62" s="12" t="s">
        <v>59</v>
      </c>
      <c r="E62" s="18">
        <f>B62/(60*24)+E61</f>
        <v>0.57222222222222141</v>
      </c>
      <c r="F62" s="18">
        <f t="shared" si="0"/>
        <v>0.57222222222222141</v>
      </c>
      <c r="G62" s="18">
        <f t="shared" si="1"/>
        <v>0.57291666666666585</v>
      </c>
      <c r="H62" s="18" t="b">
        <f t="shared" si="3"/>
        <v>1</v>
      </c>
      <c r="I62" s="18"/>
    </row>
    <row r="63" spans="1:9" x14ac:dyDescent="0.25">
      <c r="A63">
        <v>61</v>
      </c>
      <c r="B63" s="7">
        <v>3</v>
      </c>
      <c r="C63" s="8">
        <v>12</v>
      </c>
      <c r="D63" s="9" t="s">
        <v>60</v>
      </c>
      <c r="E63" s="18">
        <f>B63/(60*24)+E62</f>
        <v>0.57430555555555474</v>
      </c>
      <c r="F63" s="18">
        <f t="shared" si="0"/>
        <v>0.57430555555555474</v>
      </c>
      <c r="G63" s="18">
        <f t="shared" si="1"/>
        <v>0.58263888888888804</v>
      </c>
      <c r="H63" s="18" t="b">
        <f t="shared" si="3"/>
        <v>1</v>
      </c>
      <c r="I63" s="18"/>
    </row>
    <row r="64" spans="1:9" x14ac:dyDescent="0.25">
      <c r="A64">
        <v>62</v>
      </c>
      <c r="B64" s="10">
        <v>15</v>
      </c>
      <c r="C64" s="11">
        <v>14</v>
      </c>
      <c r="D64" s="12" t="s">
        <v>61</v>
      </c>
      <c r="E64" s="18">
        <f>B64/(60*24)+E63</f>
        <v>0.58472222222222137</v>
      </c>
      <c r="F64" s="18">
        <f t="shared" si="0"/>
        <v>0.58472222222222137</v>
      </c>
      <c r="G64" s="18">
        <f t="shared" si="1"/>
        <v>0.59444444444444355</v>
      </c>
      <c r="H64" s="18" t="b">
        <f t="shared" si="3"/>
        <v>1</v>
      </c>
      <c r="I64" s="18"/>
    </row>
    <row r="65" spans="1:9" x14ac:dyDescent="0.25">
      <c r="A65">
        <v>63</v>
      </c>
      <c r="B65" s="7">
        <v>3</v>
      </c>
      <c r="C65" s="8">
        <v>9</v>
      </c>
      <c r="D65" s="9" t="s">
        <v>62</v>
      </c>
      <c r="E65" s="18">
        <f>B65/(60*24)+E64</f>
        <v>0.58680555555555469</v>
      </c>
      <c r="F65" s="18">
        <f t="shared" si="0"/>
        <v>0.59444444444444355</v>
      </c>
      <c r="G65" s="18">
        <f t="shared" si="1"/>
        <v>0.59444444444444355</v>
      </c>
      <c r="H65" s="18" t="b">
        <f t="shared" si="3"/>
        <v>0</v>
      </c>
      <c r="I65" s="18"/>
    </row>
    <row r="66" spans="1:9" x14ac:dyDescent="0.25">
      <c r="A66">
        <v>64</v>
      </c>
      <c r="B66" s="10">
        <v>8</v>
      </c>
      <c r="C66" s="11">
        <v>11</v>
      </c>
      <c r="D66" s="12" t="s">
        <v>63</v>
      </c>
      <c r="E66" s="18">
        <f>B66/(60*24)+E65</f>
        <v>0.59236111111111023</v>
      </c>
      <c r="F66" s="18">
        <f t="shared" si="0"/>
        <v>0.59444444444444355</v>
      </c>
      <c r="G66" s="18">
        <f t="shared" si="1"/>
        <v>0.60208333333333242</v>
      </c>
      <c r="H66" s="18" t="b">
        <f t="shared" si="3"/>
        <v>1</v>
      </c>
      <c r="I66" s="18"/>
    </row>
    <row r="67" spans="1:9" x14ac:dyDescent="0.25">
      <c r="A67">
        <v>65</v>
      </c>
      <c r="B67" s="7">
        <v>5</v>
      </c>
      <c r="C67" s="8">
        <v>15</v>
      </c>
      <c r="D67" s="9" t="s">
        <v>64</v>
      </c>
      <c r="E67" s="18">
        <f>B67/(60*24)+E66</f>
        <v>0.59583333333333244</v>
      </c>
      <c r="F67" s="18">
        <f t="shared" si="0"/>
        <v>0.60208333333333242</v>
      </c>
      <c r="G67" s="18">
        <f t="shared" si="1"/>
        <v>0.60208333333333242</v>
      </c>
      <c r="H67" s="18" t="b">
        <f t="shared" si="3"/>
        <v>0</v>
      </c>
      <c r="I67" s="18"/>
    </row>
    <row r="68" spans="1:9" x14ac:dyDescent="0.25">
      <c r="A68">
        <v>66</v>
      </c>
      <c r="B68" s="10">
        <v>2</v>
      </c>
      <c r="C68" s="11">
        <v>4</v>
      </c>
      <c r="D68" s="12" t="s">
        <v>65</v>
      </c>
      <c r="E68" s="18">
        <f>B68/(60*24)+E67</f>
        <v>0.59722222222222132</v>
      </c>
      <c r="F68" s="18">
        <f t="shared" si="0"/>
        <v>0.60208333333333242</v>
      </c>
      <c r="G68" s="18">
        <f t="shared" si="1"/>
        <v>0.60208333333333242</v>
      </c>
      <c r="H68" s="18" t="b">
        <f t="shared" si="3"/>
        <v>0</v>
      </c>
      <c r="I68" s="18"/>
    </row>
    <row r="69" spans="1:9" x14ac:dyDescent="0.25">
      <c r="A69">
        <v>67</v>
      </c>
      <c r="B69" s="7">
        <v>14</v>
      </c>
      <c r="C69" s="8">
        <v>9</v>
      </c>
      <c r="D69" s="9" t="s">
        <v>66</v>
      </c>
      <c r="E69" s="18">
        <f>B69/(60*24)+E68</f>
        <v>0.60694444444444351</v>
      </c>
      <c r="F69" s="18">
        <f t="shared" ref="F69:F132" si="4">IF(E69&gt;G68,E69,G68)</f>
        <v>0.60694444444444351</v>
      </c>
      <c r="G69" s="18">
        <f t="shared" ref="G69:G132" si="5">IF(H69=TRUE,F69+C69/(60*24),G68)</f>
        <v>0.61319444444444349</v>
      </c>
      <c r="H69" s="18" t="b">
        <f t="shared" si="3"/>
        <v>1</v>
      </c>
      <c r="I69" s="18"/>
    </row>
    <row r="70" spans="1:9" x14ac:dyDescent="0.25">
      <c r="A70">
        <v>68</v>
      </c>
      <c r="B70" s="10">
        <v>7</v>
      </c>
      <c r="C70" s="11">
        <v>7</v>
      </c>
      <c r="D70" s="12" t="s">
        <v>67</v>
      </c>
      <c r="E70" s="18">
        <f>B70/(60*24)+E69</f>
        <v>0.6118055555555546</v>
      </c>
      <c r="F70" s="18">
        <f t="shared" si="4"/>
        <v>0.61319444444444349</v>
      </c>
      <c r="G70" s="18">
        <f t="shared" si="5"/>
        <v>0.61805555555555458</v>
      </c>
      <c r="H70" s="18" t="b">
        <f t="shared" si="3"/>
        <v>1</v>
      </c>
      <c r="I70" s="18"/>
    </row>
    <row r="71" spans="1:9" x14ac:dyDescent="0.25">
      <c r="A71">
        <v>69</v>
      </c>
      <c r="B71" s="7">
        <v>14</v>
      </c>
      <c r="C71" s="8">
        <v>6</v>
      </c>
      <c r="D71" s="9" t="s">
        <v>68</v>
      </c>
      <c r="E71" s="18">
        <f>B71/(60*24)+E70</f>
        <v>0.62152777777777679</v>
      </c>
      <c r="F71" s="18">
        <f t="shared" si="4"/>
        <v>0.62152777777777679</v>
      </c>
      <c r="G71" s="18">
        <f t="shared" si="5"/>
        <v>0.62569444444444344</v>
      </c>
      <c r="H71" s="18" t="b">
        <f t="shared" ref="H71:H134" si="6">IF(E71+5*$C$1&gt;=G70,TRUE,FALSE)</f>
        <v>1</v>
      </c>
      <c r="I71" s="18"/>
    </row>
    <row r="72" spans="1:9" x14ac:dyDescent="0.25">
      <c r="A72">
        <v>70</v>
      </c>
      <c r="B72" s="10">
        <v>11</v>
      </c>
      <c r="C72" s="11">
        <v>12</v>
      </c>
      <c r="D72" s="12" t="s">
        <v>69</v>
      </c>
      <c r="E72" s="18">
        <f>B72/(60*24)+E71</f>
        <v>0.62916666666666565</v>
      </c>
      <c r="F72" s="18">
        <f t="shared" si="4"/>
        <v>0.62916666666666565</v>
      </c>
      <c r="G72" s="18">
        <f t="shared" si="5"/>
        <v>0.63749999999999896</v>
      </c>
      <c r="H72" s="18" t="b">
        <f t="shared" si="6"/>
        <v>1</v>
      </c>
      <c r="I72" s="18"/>
    </row>
    <row r="73" spans="1:9" x14ac:dyDescent="0.25">
      <c r="A73">
        <v>71</v>
      </c>
      <c r="B73" s="7">
        <v>2</v>
      </c>
      <c r="C73" s="8">
        <v>4</v>
      </c>
      <c r="D73" s="9" t="s">
        <v>70</v>
      </c>
      <c r="E73" s="18">
        <f>B73/(60*24)+E72</f>
        <v>0.63055555555555454</v>
      </c>
      <c r="F73" s="18">
        <f t="shared" si="4"/>
        <v>0.63749999999999896</v>
      </c>
      <c r="G73" s="18">
        <f t="shared" si="5"/>
        <v>0.63749999999999896</v>
      </c>
      <c r="H73" s="18" t="b">
        <f t="shared" si="6"/>
        <v>0</v>
      </c>
      <c r="I73" s="18"/>
    </row>
    <row r="74" spans="1:9" x14ac:dyDescent="0.25">
      <c r="A74">
        <v>72</v>
      </c>
      <c r="B74" s="10">
        <v>11</v>
      </c>
      <c r="C74" s="11">
        <v>15</v>
      </c>
      <c r="D74" s="12" t="s">
        <v>71</v>
      </c>
      <c r="E74" s="18">
        <f>B74/(60*24)+E73</f>
        <v>0.6381944444444434</v>
      </c>
      <c r="F74" s="18">
        <f t="shared" si="4"/>
        <v>0.6381944444444434</v>
      </c>
      <c r="G74" s="18">
        <f t="shared" si="5"/>
        <v>0.64861111111111003</v>
      </c>
      <c r="H74" s="18" t="b">
        <f t="shared" si="6"/>
        <v>1</v>
      </c>
      <c r="I74" s="18"/>
    </row>
    <row r="75" spans="1:9" x14ac:dyDescent="0.25">
      <c r="A75">
        <v>73</v>
      </c>
      <c r="B75" s="7">
        <v>4</v>
      </c>
      <c r="C75" s="8">
        <v>3</v>
      </c>
      <c r="D75" s="9" t="s">
        <v>72</v>
      </c>
      <c r="E75" s="18">
        <f>B75/(60*24)+E74</f>
        <v>0.64097222222222117</v>
      </c>
      <c r="F75" s="18">
        <f t="shared" si="4"/>
        <v>0.64861111111111003</v>
      </c>
      <c r="G75" s="18">
        <f t="shared" si="5"/>
        <v>0.64861111111111003</v>
      </c>
      <c r="H75" s="18" t="b">
        <f t="shared" si="6"/>
        <v>0</v>
      </c>
      <c r="I75" s="18"/>
    </row>
    <row r="76" spans="1:9" x14ac:dyDescent="0.25">
      <c r="A76">
        <v>74</v>
      </c>
      <c r="B76" s="10">
        <v>3</v>
      </c>
      <c r="C76" s="11">
        <v>12</v>
      </c>
      <c r="D76" s="12" t="s">
        <v>73</v>
      </c>
      <c r="E76" s="18">
        <f>B76/(60*24)+E75</f>
        <v>0.64305555555555449</v>
      </c>
      <c r="F76" s="18">
        <f t="shared" si="4"/>
        <v>0.64861111111111003</v>
      </c>
      <c r="G76" s="18">
        <f t="shared" si="5"/>
        <v>0.64861111111111003</v>
      </c>
      <c r="H76" s="18" t="b">
        <f t="shared" si="6"/>
        <v>0</v>
      </c>
      <c r="I76" s="18"/>
    </row>
    <row r="77" spans="1:9" x14ac:dyDescent="0.25">
      <c r="A77">
        <v>75</v>
      </c>
      <c r="B77" s="7">
        <v>2</v>
      </c>
      <c r="C77" s="8">
        <v>7</v>
      </c>
      <c r="D77" s="9" t="s">
        <v>74</v>
      </c>
      <c r="E77" s="18">
        <f>B77/(60*24)+E76</f>
        <v>0.64444444444444338</v>
      </c>
      <c r="F77" s="18">
        <f t="shared" si="4"/>
        <v>0.64861111111111003</v>
      </c>
      <c r="G77" s="18">
        <f t="shared" si="5"/>
        <v>0.64861111111111003</v>
      </c>
      <c r="H77" s="18" t="b">
        <f t="shared" si="6"/>
        <v>0</v>
      </c>
      <c r="I77" s="18"/>
    </row>
    <row r="78" spans="1:9" x14ac:dyDescent="0.25">
      <c r="A78">
        <v>76</v>
      </c>
      <c r="B78" s="10">
        <v>13</v>
      </c>
      <c r="C78" s="11">
        <v>7</v>
      </c>
      <c r="D78" s="12" t="s">
        <v>75</v>
      </c>
      <c r="E78" s="18">
        <f>B78/(60*24)+E77</f>
        <v>0.65347222222222112</v>
      </c>
      <c r="F78" s="18">
        <f t="shared" si="4"/>
        <v>0.65347222222222112</v>
      </c>
      <c r="G78" s="18">
        <f t="shared" si="5"/>
        <v>0.65833333333333222</v>
      </c>
      <c r="H78" s="18" t="b">
        <f t="shared" si="6"/>
        <v>1</v>
      </c>
      <c r="I78" s="18"/>
    </row>
    <row r="79" spans="1:9" x14ac:dyDescent="0.25">
      <c r="A79">
        <v>77</v>
      </c>
      <c r="B79" s="7">
        <v>3</v>
      </c>
      <c r="C79" s="8">
        <v>12</v>
      </c>
      <c r="D79" s="9" t="s">
        <v>76</v>
      </c>
      <c r="E79" s="18">
        <f>B79/(60*24)+E78</f>
        <v>0.65555555555555445</v>
      </c>
      <c r="F79" s="18">
        <f t="shared" si="4"/>
        <v>0.65833333333333222</v>
      </c>
      <c r="G79" s="18">
        <f t="shared" si="5"/>
        <v>0.66666666666666552</v>
      </c>
      <c r="H79" s="18" t="b">
        <f t="shared" si="6"/>
        <v>1</v>
      </c>
      <c r="I79" s="18"/>
    </row>
    <row r="80" spans="1:9" x14ac:dyDescent="0.25">
      <c r="A80">
        <v>78</v>
      </c>
      <c r="B80" s="10">
        <v>9</v>
      </c>
      <c r="C80" s="11">
        <v>9</v>
      </c>
      <c r="D80" s="12" t="s">
        <v>77</v>
      </c>
      <c r="E80" s="18">
        <f>B80/(60*24)+E79</f>
        <v>0.66180555555555443</v>
      </c>
      <c r="F80" s="18">
        <f t="shared" si="4"/>
        <v>0.66666666666666552</v>
      </c>
      <c r="G80" s="18">
        <f t="shared" si="5"/>
        <v>0.66666666666666552</v>
      </c>
      <c r="H80" s="18" t="b">
        <f t="shared" si="6"/>
        <v>0</v>
      </c>
      <c r="I80" s="18"/>
    </row>
    <row r="81" spans="1:9" x14ac:dyDescent="0.25">
      <c r="A81">
        <v>79</v>
      </c>
      <c r="B81" s="7">
        <v>13</v>
      </c>
      <c r="C81" s="8">
        <v>3</v>
      </c>
      <c r="D81" s="9" t="s">
        <v>78</v>
      </c>
      <c r="E81" s="18">
        <f>B81/(60*24)+E80</f>
        <v>0.67083333333333217</v>
      </c>
      <c r="F81" s="18">
        <f t="shared" si="4"/>
        <v>0.67083333333333217</v>
      </c>
      <c r="G81" s="18">
        <f t="shared" si="5"/>
        <v>0.6729166666666655</v>
      </c>
      <c r="H81" s="18" t="b">
        <f t="shared" si="6"/>
        <v>1</v>
      </c>
      <c r="I81" s="18"/>
    </row>
    <row r="82" spans="1:9" x14ac:dyDescent="0.25">
      <c r="A82">
        <v>80</v>
      </c>
      <c r="B82" s="10">
        <v>7</v>
      </c>
      <c r="C82" s="11">
        <v>2</v>
      </c>
      <c r="D82" s="12" t="s">
        <v>79</v>
      </c>
      <c r="E82" s="18">
        <f>B82/(60*24)+E81</f>
        <v>0.67569444444444327</v>
      </c>
      <c r="F82" s="18">
        <f t="shared" si="4"/>
        <v>0.67569444444444327</v>
      </c>
      <c r="G82" s="18">
        <f t="shared" si="5"/>
        <v>0.67708333333333215</v>
      </c>
      <c r="H82" s="18" t="b">
        <f t="shared" si="6"/>
        <v>1</v>
      </c>
      <c r="I82" s="18"/>
    </row>
    <row r="83" spans="1:9" x14ac:dyDescent="0.25">
      <c r="A83">
        <v>81</v>
      </c>
      <c r="B83" s="7">
        <v>13</v>
      </c>
      <c r="C83" s="8">
        <v>4</v>
      </c>
      <c r="D83" s="9" t="s">
        <v>80</v>
      </c>
      <c r="E83" s="18">
        <f>B83/(60*24)+E82</f>
        <v>0.68472222222222101</v>
      </c>
      <c r="F83" s="18">
        <f t="shared" si="4"/>
        <v>0.68472222222222101</v>
      </c>
      <c r="G83" s="18">
        <f t="shared" si="5"/>
        <v>0.68749999999999878</v>
      </c>
      <c r="H83" s="18" t="b">
        <f t="shared" si="6"/>
        <v>1</v>
      </c>
      <c r="I83" s="18"/>
    </row>
    <row r="84" spans="1:9" x14ac:dyDescent="0.25">
      <c r="A84">
        <v>82</v>
      </c>
      <c r="B84" s="10">
        <v>4</v>
      </c>
      <c r="C84" s="11">
        <v>12</v>
      </c>
      <c r="D84" s="12" t="s">
        <v>81</v>
      </c>
      <c r="E84" s="18">
        <f>B84/(60*24)+E83</f>
        <v>0.68749999999999878</v>
      </c>
      <c r="F84" s="18">
        <f t="shared" si="4"/>
        <v>0.68749999999999878</v>
      </c>
      <c r="G84" s="18">
        <f t="shared" si="5"/>
        <v>0.69583333333333208</v>
      </c>
      <c r="H84" s="18" t="b">
        <f t="shared" si="6"/>
        <v>1</v>
      </c>
      <c r="I84" s="18"/>
    </row>
    <row r="85" spans="1:9" x14ac:dyDescent="0.25">
      <c r="A85">
        <v>83</v>
      </c>
      <c r="B85" s="7">
        <v>7</v>
      </c>
      <c r="C85" s="8">
        <v>8</v>
      </c>
      <c r="D85" s="9" t="s">
        <v>82</v>
      </c>
      <c r="E85" s="18">
        <f>B85/(60*24)+E84</f>
        <v>0.69236111111110987</v>
      </c>
      <c r="F85" s="18">
        <f t="shared" si="4"/>
        <v>0.69583333333333208</v>
      </c>
      <c r="G85" s="18">
        <f t="shared" si="5"/>
        <v>0.70138888888888762</v>
      </c>
      <c r="H85" s="18" t="b">
        <f t="shared" si="6"/>
        <v>1</v>
      </c>
      <c r="I85" s="18"/>
    </row>
    <row r="86" spans="1:9" x14ac:dyDescent="0.25">
      <c r="A86">
        <v>84</v>
      </c>
      <c r="B86" s="10">
        <v>3</v>
      </c>
      <c r="C86" s="11">
        <v>12</v>
      </c>
      <c r="D86" s="12" t="s">
        <v>83</v>
      </c>
      <c r="E86" s="18">
        <f>B86/(60*24)+E85</f>
        <v>0.6944444444444432</v>
      </c>
      <c r="F86" s="18">
        <f t="shared" si="4"/>
        <v>0.70138888888888762</v>
      </c>
      <c r="G86" s="18">
        <f t="shared" si="5"/>
        <v>0.70138888888888762</v>
      </c>
      <c r="H86" s="18" t="b">
        <f t="shared" si="6"/>
        <v>0</v>
      </c>
      <c r="I86" s="18"/>
    </row>
    <row r="87" spans="1:9" x14ac:dyDescent="0.25">
      <c r="A87">
        <v>85</v>
      </c>
      <c r="B87" s="7">
        <v>4</v>
      </c>
      <c r="C87" s="8">
        <v>11</v>
      </c>
      <c r="D87" s="9" t="s">
        <v>84</v>
      </c>
      <c r="E87" s="18">
        <f>B87/(60*24)+E86</f>
        <v>0.69722222222222097</v>
      </c>
      <c r="F87" s="18">
        <f t="shared" si="4"/>
        <v>0.70138888888888762</v>
      </c>
      <c r="G87" s="18">
        <f t="shared" si="5"/>
        <v>0.70138888888888762</v>
      </c>
      <c r="H87" s="18" t="b">
        <f t="shared" si="6"/>
        <v>0</v>
      </c>
      <c r="I87" s="18"/>
    </row>
    <row r="88" spans="1:9" x14ac:dyDescent="0.25">
      <c r="A88">
        <v>86</v>
      </c>
      <c r="B88" s="10">
        <v>7</v>
      </c>
      <c r="C88" s="11">
        <v>1</v>
      </c>
      <c r="D88" s="12" t="s">
        <v>85</v>
      </c>
      <c r="E88" s="18">
        <f>B88/(60*24)+E87</f>
        <v>0.70208333333333206</v>
      </c>
      <c r="F88" s="18">
        <f t="shared" si="4"/>
        <v>0.70208333333333206</v>
      </c>
      <c r="G88" s="18">
        <f t="shared" si="5"/>
        <v>0.7027777777777765</v>
      </c>
      <c r="H88" s="18" t="b">
        <f t="shared" si="6"/>
        <v>1</v>
      </c>
      <c r="I88" s="18"/>
    </row>
    <row r="89" spans="1:9" x14ac:dyDescent="0.25">
      <c r="A89">
        <v>87</v>
      </c>
      <c r="B89" s="7">
        <v>3</v>
      </c>
      <c r="C89" s="8">
        <v>9</v>
      </c>
      <c r="D89" s="9" t="s">
        <v>86</v>
      </c>
      <c r="E89" s="18">
        <f>B89/(60*24)+E88</f>
        <v>0.70416666666666539</v>
      </c>
      <c r="F89" s="18">
        <f t="shared" si="4"/>
        <v>0.70416666666666539</v>
      </c>
      <c r="G89" s="18">
        <f t="shared" si="5"/>
        <v>0.71041666666666536</v>
      </c>
      <c r="H89" s="18" t="b">
        <f t="shared" si="6"/>
        <v>1</v>
      </c>
      <c r="I89" s="18"/>
    </row>
    <row r="90" spans="1:9" x14ac:dyDescent="0.25">
      <c r="A90">
        <v>88</v>
      </c>
      <c r="B90" s="10">
        <v>1</v>
      </c>
      <c r="C90" s="11">
        <v>4</v>
      </c>
      <c r="D90" s="12" t="s">
        <v>87</v>
      </c>
      <c r="E90" s="18">
        <f>B90/(60*24)+E89</f>
        <v>0.70486111111110983</v>
      </c>
      <c r="F90" s="18">
        <f t="shared" si="4"/>
        <v>0.71041666666666536</v>
      </c>
      <c r="G90" s="18">
        <f t="shared" si="5"/>
        <v>0.71041666666666536</v>
      </c>
      <c r="H90" s="18" t="b">
        <f t="shared" si="6"/>
        <v>0</v>
      </c>
      <c r="I90" s="18"/>
    </row>
    <row r="91" spans="1:9" x14ac:dyDescent="0.25">
      <c r="A91">
        <v>89</v>
      </c>
      <c r="B91" s="7">
        <v>14</v>
      </c>
      <c r="C91" s="8">
        <v>3</v>
      </c>
      <c r="D91" s="9" t="s">
        <v>88</v>
      </c>
      <c r="E91" s="18">
        <f>B91/(60*24)+E90</f>
        <v>0.71458333333333202</v>
      </c>
      <c r="F91" s="18">
        <f t="shared" si="4"/>
        <v>0.71458333333333202</v>
      </c>
      <c r="G91" s="18">
        <f t="shared" si="5"/>
        <v>0.71666666666666534</v>
      </c>
      <c r="H91" s="18" t="b">
        <f t="shared" si="6"/>
        <v>1</v>
      </c>
      <c r="I91" s="18"/>
    </row>
    <row r="92" spans="1:9" x14ac:dyDescent="0.25">
      <c r="A92">
        <v>90</v>
      </c>
      <c r="B92" s="10">
        <v>5</v>
      </c>
      <c r="C92" s="11">
        <v>12</v>
      </c>
      <c r="D92" s="12" t="s">
        <v>89</v>
      </c>
      <c r="E92" s="18">
        <f>B92/(60*24)+E91</f>
        <v>0.71805555555555423</v>
      </c>
      <c r="F92" s="18">
        <f t="shared" si="4"/>
        <v>0.71805555555555423</v>
      </c>
      <c r="G92" s="18">
        <f t="shared" si="5"/>
        <v>0.72638888888888753</v>
      </c>
      <c r="H92" s="18" t="b">
        <f t="shared" si="6"/>
        <v>1</v>
      </c>
      <c r="I92" s="18"/>
    </row>
    <row r="93" spans="1:9" x14ac:dyDescent="0.25">
      <c r="A93">
        <v>91</v>
      </c>
      <c r="B93" s="7">
        <v>4</v>
      </c>
      <c r="C93" s="8">
        <v>9</v>
      </c>
      <c r="D93" s="9" t="s">
        <v>90</v>
      </c>
      <c r="E93" s="18">
        <f>B93/(60*24)+E92</f>
        <v>0.72083333333333199</v>
      </c>
      <c r="F93" s="18">
        <f t="shared" si="4"/>
        <v>0.72638888888888753</v>
      </c>
      <c r="G93" s="18">
        <f t="shared" si="5"/>
        <v>0.72638888888888753</v>
      </c>
      <c r="H93" s="18" t="b">
        <f t="shared" si="6"/>
        <v>0</v>
      </c>
      <c r="I93" s="18"/>
    </row>
    <row r="94" spans="1:9" x14ac:dyDescent="0.25">
      <c r="A94">
        <v>92</v>
      </c>
      <c r="B94" s="10">
        <v>5</v>
      </c>
      <c r="C94" s="11">
        <v>4</v>
      </c>
      <c r="D94" s="12" t="s">
        <v>91</v>
      </c>
      <c r="E94" s="18">
        <f>B94/(60*24)+E93</f>
        <v>0.7243055555555542</v>
      </c>
      <c r="F94" s="18">
        <f t="shared" si="4"/>
        <v>0.72638888888888753</v>
      </c>
      <c r="G94" s="18">
        <f t="shared" si="5"/>
        <v>0.7291666666666653</v>
      </c>
      <c r="H94" s="18" t="b">
        <f t="shared" si="6"/>
        <v>1</v>
      </c>
      <c r="I94" s="18"/>
    </row>
    <row r="95" spans="1:9" x14ac:dyDescent="0.25">
      <c r="A95">
        <v>93</v>
      </c>
      <c r="B95" s="7">
        <v>6</v>
      </c>
      <c r="C95" s="8">
        <v>8</v>
      </c>
      <c r="D95" s="9" t="s">
        <v>92</v>
      </c>
      <c r="E95" s="18">
        <f>B95/(60*24)+E94</f>
        <v>0.72847222222222086</v>
      </c>
      <c r="F95" s="18">
        <f t="shared" si="4"/>
        <v>0.7291666666666653</v>
      </c>
      <c r="G95" s="18">
        <f t="shared" si="5"/>
        <v>0.73472222222222083</v>
      </c>
      <c r="H95" s="18" t="b">
        <f t="shared" si="6"/>
        <v>1</v>
      </c>
      <c r="I95" s="18"/>
    </row>
    <row r="96" spans="1:9" x14ac:dyDescent="0.25">
      <c r="A96">
        <v>94</v>
      </c>
      <c r="B96" s="10">
        <v>8</v>
      </c>
      <c r="C96" s="11">
        <v>14</v>
      </c>
      <c r="D96" s="12" t="s">
        <v>93</v>
      </c>
      <c r="E96" s="18">
        <f>B96/(60*24)+E95</f>
        <v>0.73402777777777639</v>
      </c>
      <c r="F96" s="18">
        <f t="shared" si="4"/>
        <v>0.73472222222222083</v>
      </c>
      <c r="G96" s="18">
        <f t="shared" si="5"/>
        <v>0.74444444444444302</v>
      </c>
      <c r="H96" s="18" t="b">
        <f t="shared" si="6"/>
        <v>1</v>
      </c>
      <c r="I96" s="18"/>
    </row>
    <row r="97" spans="1:9" x14ac:dyDescent="0.25">
      <c r="A97">
        <v>95</v>
      </c>
      <c r="B97" s="7">
        <v>15</v>
      </c>
      <c r="C97" s="8">
        <v>11</v>
      </c>
      <c r="D97" s="9" t="s">
        <v>94</v>
      </c>
      <c r="E97" s="18">
        <f>B97/(60*24)+E96</f>
        <v>0.74444444444444302</v>
      </c>
      <c r="F97" s="18">
        <f t="shared" si="4"/>
        <v>0.74444444444444302</v>
      </c>
      <c r="G97" s="18">
        <f t="shared" si="5"/>
        <v>0.75208333333333188</v>
      </c>
      <c r="H97" s="18" t="b">
        <f t="shared" si="6"/>
        <v>1</v>
      </c>
      <c r="I97" s="18"/>
    </row>
    <row r="98" spans="1:9" x14ac:dyDescent="0.25">
      <c r="A98">
        <v>96</v>
      </c>
      <c r="B98" s="10">
        <v>1</v>
      </c>
      <c r="C98" s="11">
        <v>1</v>
      </c>
      <c r="D98" s="12" t="s">
        <v>95</v>
      </c>
      <c r="E98" s="18">
        <f>B98/(60*24)+E97</f>
        <v>0.74513888888888746</v>
      </c>
      <c r="F98" s="18">
        <f t="shared" si="4"/>
        <v>0.75208333333333188</v>
      </c>
      <c r="G98" s="18">
        <f t="shared" si="5"/>
        <v>0.75208333333333188</v>
      </c>
      <c r="H98" s="18" t="b">
        <f t="shared" si="6"/>
        <v>0</v>
      </c>
      <c r="I98" s="18"/>
    </row>
    <row r="99" spans="1:9" x14ac:dyDescent="0.25">
      <c r="A99">
        <v>97</v>
      </c>
      <c r="B99" s="7">
        <v>14</v>
      </c>
      <c r="C99" s="8">
        <v>15</v>
      </c>
      <c r="D99" s="9" t="s">
        <v>96</v>
      </c>
      <c r="E99" s="18">
        <f>B99/(60*24)+E98</f>
        <v>0.75486111111110965</v>
      </c>
      <c r="F99" s="18">
        <f t="shared" si="4"/>
        <v>0.75486111111110965</v>
      </c>
      <c r="G99" s="18">
        <f t="shared" si="5"/>
        <v>0.76527777777777628</v>
      </c>
      <c r="H99" s="18" t="b">
        <f t="shared" si="6"/>
        <v>1</v>
      </c>
      <c r="I99" s="18"/>
    </row>
    <row r="100" spans="1:9" x14ac:dyDescent="0.25">
      <c r="A100">
        <v>98</v>
      </c>
      <c r="B100" s="10">
        <v>6</v>
      </c>
      <c r="C100" s="11">
        <v>7</v>
      </c>
      <c r="D100" s="12" t="s">
        <v>97</v>
      </c>
      <c r="E100" s="18">
        <f>B100/(60*24)+E99</f>
        <v>0.7590277777777763</v>
      </c>
      <c r="F100" s="18">
        <f t="shared" si="4"/>
        <v>0.76527777777777628</v>
      </c>
      <c r="G100" s="18">
        <f t="shared" si="5"/>
        <v>0.76527777777777628</v>
      </c>
      <c r="H100" s="18" t="b">
        <f t="shared" si="6"/>
        <v>0</v>
      </c>
      <c r="I100" s="18"/>
    </row>
    <row r="101" spans="1:9" x14ac:dyDescent="0.25">
      <c r="A101">
        <v>99</v>
      </c>
      <c r="B101" s="7">
        <v>7</v>
      </c>
      <c r="C101" s="8">
        <v>11</v>
      </c>
      <c r="D101" s="9" t="s">
        <v>98</v>
      </c>
      <c r="E101" s="18">
        <f>B101/(60*24)+E100</f>
        <v>0.7638888888888874</v>
      </c>
      <c r="F101" s="18">
        <f t="shared" si="4"/>
        <v>0.76527777777777628</v>
      </c>
      <c r="G101" s="18">
        <f t="shared" si="5"/>
        <v>0.77291666666666514</v>
      </c>
      <c r="H101" s="18" t="b">
        <f t="shared" si="6"/>
        <v>1</v>
      </c>
      <c r="I101" s="18"/>
    </row>
    <row r="102" spans="1:9" x14ac:dyDescent="0.25">
      <c r="A102">
        <v>100</v>
      </c>
      <c r="B102" s="10">
        <v>10</v>
      </c>
      <c r="C102" s="11">
        <v>11</v>
      </c>
      <c r="D102" s="12" t="s">
        <v>99</v>
      </c>
      <c r="E102" s="18">
        <f>B102/(60*24)+E101</f>
        <v>0.77083333333333182</v>
      </c>
      <c r="F102" s="18">
        <f t="shared" si="4"/>
        <v>0.77291666666666514</v>
      </c>
      <c r="G102" s="18">
        <f t="shared" si="5"/>
        <v>0.780555555555554</v>
      </c>
      <c r="H102" s="18" t="b">
        <f t="shared" si="6"/>
        <v>1</v>
      </c>
      <c r="I102" s="18"/>
    </row>
    <row r="103" spans="1:9" x14ac:dyDescent="0.25">
      <c r="A103">
        <v>101</v>
      </c>
      <c r="B103" s="7">
        <v>5</v>
      </c>
      <c r="C103" s="8">
        <v>6</v>
      </c>
      <c r="D103" s="9" t="s">
        <v>100</v>
      </c>
      <c r="E103" s="18">
        <f>B103/(60*24)+E102</f>
        <v>0.77430555555555403</v>
      </c>
      <c r="F103" s="18">
        <f t="shared" si="4"/>
        <v>0.780555555555554</v>
      </c>
      <c r="G103" s="18">
        <f t="shared" si="5"/>
        <v>0.780555555555554</v>
      </c>
      <c r="H103" s="18" t="b">
        <f t="shared" si="6"/>
        <v>0</v>
      </c>
      <c r="I103" s="18"/>
    </row>
    <row r="104" spans="1:9" x14ac:dyDescent="0.25">
      <c r="A104">
        <v>102</v>
      </c>
      <c r="B104" s="10">
        <v>13</v>
      </c>
      <c r="C104" s="11">
        <v>7</v>
      </c>
      <c r="D104" s="12" t="s">
        <v>101</v>
      </c>
      <c r="E104" s="18">
        <f>B104/(60*24)+E103</f>
        <v>0.78333333333333177</v>
      </c>
      <c r="F104" s="18">
        <f t="shared" si="4"/>
        <v>0.78333333333333177</v>
      </c>
      <c r="G104" s="18">
        <f t="shared" si="5"/>
        <v>0.78819444444444287</v>
      </c>
      <c r="H104" s="18" t="b">
        <f t="shared" si="6"/>
        <v>1</v>
      </c>
      <c r="I104" s="18"/>
    </row>
    <row r="105" spans="1:9" x14ac:dyDescent="0.25">
      <c r="A105">
        <v>103</v>
      </c>
      <c r="B105" s="7">
        <v>2</v>
      </c>
      <c r="C105" s="8">
        <v>9</v>
      </c>
      <c r="D105" s="9" t="s">
        <v>102</v>
      </c>
      <c r="E105" s="18">
        <f>B105/(60*24)+E104</f>
        <v>0.78472222222222066</v>
      </c>
      <c r="F105" s="18">
        <f t="shared" si="4"/>
        <v>0.78819444444444287</v>
      </c>
      <c r="G105" s="18">
        <f t="shared" si="5"/>
        <v>0.79444444444444284</v>
      </c>
      <c r="H105" s="18" t="b">
        <f t="shared" si="6"/>
        <v>1</v>
      </c>
      <c r="I105" s="18"/>
    </row>
    <row r="106" spans="1:9" x14ac:dyDescent="0.25">
      <c r="A106">
        <v>104</v>
      </c>
      <c r="B106" s="10">
        <v>9</v>
      </c>
      <c r="C106" s="11">
        <v>11</v>
      </c>
      <c r="D106" s="12" t="s">
        <v>103</v>
      </c>
      <c r="E106" s="18">
        <f>B106/(60*24)+E105</f>
        <v>0.79097222222222063</v>
      </c>
      <c r="F106" s="18">
        <f t="shared" si="4"/>
        <v>0.79444444444444284</v>
      </c>
      <c r="G106" s="18">
        <f t="shared" si="5"/>
        <v>0.80208333333333171</v>
      </c>
      <c r="H106" s="18" t="b">
        <f t="shared" si="6"/>
        <v>1</v>
      </c>
      <c r="I106" s="18"/>
    </row>
    <row r="107" spans="1:9" x14ac:dyDescent="0.25">
      <c r="A107">
        <v>105</v>
      </c>
      <c r="B107" s="7">
        <v>8</v>
      </c>
      <c r="C107" s="8">
        <v>3</v>
      </c>
      <c r="D107" s="9" t="s">
        <v>104</v>
      </c>
      <c r="E107" s="18">
        <f>B107/(60*24)+E106</f>
        <v>0.79652777777777617</v>
      </c>
      <c r="F107" s="18">
        <f t="shared" si="4"/>
        <v>0.80208333333333171</v>
      </c>
      <c r="G107" s="18">
        <f t="shared" si="5"/>
        <v>0.80208333333333171</v>
      </c>
      <c r="H107" s="18" t="b">
        <f t="shared" si="6"/>
        <v>0</v>
      </c>
      <c r="I107" s="18"/>
    </row>
    <row r="108" spans="1:9" x14ac:dyDescent="0.25">
      <c r="A108">
        <v>106</v>
      </c>
      <c r="B108" s="10">
        <v>1</v>
      </c>
      <c r="C108" s="11">
        <v>6</v>
      </c>
      <c r="D108" s="12" t="s">
        <v>105</v>
      </c>
      <c r="E108" s="18">
        <f>B108/(60*24)+E107</f>
        <v>0.79722222222222061</v>
      </c>
      <c r="F108" s="18">
        <f t="shared" si="4"/>
        <v>0.80208333333333171</v>
      </c>
      <c r="G108" s="18">
        <f t="shared" si="5"/>
        <v>0.80208333333333171</v>
      </c>
      <c r="H108" s="18" t="b">
        <f t="shared" si="6"/>
        <v>0</v>
      </c>
      <c r="I108" s="18"/>
    </row>
    <row r="109" spans="1:9" x14ac:dyDescent="0.25">
      <c r="A109">
        <v>107</v>
      </c>
      <c r="B109" s="7">
        <v>10</v>
      </c>
      <c r="C109" s="8">
        <v>9</v>
      </c>
      <c r="D109" s="9" t="s">
        <v>106</v>
      </c>
      <c r="E109" s="18">
        <f>B109/(60*24)+E108</f>
        <v>0.80416666666666503</v>
      </c>
      <c r="F109" s="18">
        <f t="shared" si="4"/>
        <v>0.80416666666666503</v>
      </c>
      <c r="G109" s="18">
        <f t="shared" si="5"/>
        <v>0.81041666666666501</v>
      </c>
      <c r="H109" s="18" t="b">
        <f t="shared" si="6"/>
        <v>1</v>
      </c>
      <c r="I109" s="18"/>
    </row>
    <row r="110" spans="1:9" x14ac:dyDescent="0.25">
      <c r="A110">
        <v>108</v>
      </c>
      <c r="B110" s="10">
        <v>2</v>
      </c>
      <c r="C110" s="11">
        <v>11</v>
      </c>
      <c r="D110" s="12" t="s">
        <v>107</v>
      </c>
      <c r="E110" s="18">
        <f>B110/(60*24)+E109</f>
        <v>0.80555555555555391</v>
      </c>
      <c r="F110" s="18">
        <f t="shared" si="4"/>
        <v>0.81041666666666501</v>
      </c>
      <c r="G110" s="18">
        <f t="shared" si="5"/>
        <v>0.81041666666666501</v>
      </c>
      <c r="H110" s="18" t="b">
        <f t="shared" si="6"/>
        <v>0</v>
      </c>
      <c r="I110" s="18"/>
    </row>
    <row r="111" spans="1:9" x14ac:dyDescent="0.25">
      <c r="A111">
        <v>109</v>
      </c>
      <c r="B111" s="7">
        <v>6</v>
      </c>
      <c r="C111" s="8">
        <v>12</v>
      </c>
      <c r="D111" s="9" t="s">
        <v>108</v>
      </c>
      <c r="E111" s="18">
        <f>B111/(60*24)+E110</f>
        <v>0.80972222222222057</v>
      </c>
      <c r="F111" s="18">
        <f t="shared" si="4"/>
        <v>0.81041666666666501</v>
      </c>
      <c r="G111" s="18">
        <f t="shared" si="5"/>
        <v>0.81874999999999831</v>
      </c>
      <c r="H111" s="18" t="b">
        <f t="shared" si="6"/>
        <v>1</v>
      </c>
      <c r="I111" s="18"/>
    </row>
    <row r="112" spans="1:9" x14ac:dyDescent="0.25">
      <c r="A112">
        <v>110</v>
      </c>
      <c r="B112" s="10">
        <v>2</v>
      </c>
      <c r="C112" s="11">
        <v>14</v>
      </c>
      <c r="D112" s="12" t="s">
        <v>109</v>
      </c>
      <c r="E112" s="18">
        <f>B112/(60*24)+E111</f>
        <v>0.81111111111110945</v>
      </c>
      <c r="F112" s="18">
        <f t="shared" si="4"/>
        <v>0.81874999999999831</v>
      </c>
      <c r="G112" s="18">
        <f t="shared" si="5"/>
        <v>0.81874999999999831</v>
      </c>
      <c r="H112" s="18" t="b">
        <f t="shared" si="6"/>
        <v>0</v>
      </c>
      <c r="I112" s="18"/>
    </row>
    <row r="113" spans="1:9" x14ac:dyDescent="0.25">
      <c r="A113">
        <v>111</v>
      </c>
      <c r="B113" s="7">
        <v>4</v>
      </c>
      <c r="C113" s="8">
        <v>2</v>
      </c>
      <c r="D113" s="9" t="s">
        <v>110</v>
      </c>
      <c r="E113" s="18">
        <f>B113/(60*24)+E112</f>
        <v>0.81388888888888722</v>
      </c>
      <c r="F113" s="18">
        <f t="shared" si="4"/>
        <v>0.81874999999999831</v>
      </c>
      <c r="G113" s="18">
        <f t="shared" si="5"/>
        <v>0.81874999999999831</v>
      </c>
      <c r="H113" s="18" t="b">
        <f t="shared" si="6"/>
        <v>0</v>
      </c>
      <c r="I113" s="18"/>
    </row>
    <row r="114" spans="1:9" x14ac:dyDescent="0.25">
      <c r="A114">
        <v>112</v>
      </c>
      <c r="B114" s="10">
        <v>9</v>
      </c>
      <c r="C114" s="11">
        <v>8</v>
      </c>
      <c r="D114" s="12" t="s">
        <v>111</v>
      </c>
      <c r="E114" s="18">
        <f>B114/(60*24)+E113</f>
        <v>0.8201388888888872</v>
      </c>
      <c r="F114" s="18">
        <f t="shared" si="4"/>
        <v>0.8201388888888872</v>
      </c>
      <c r="G114" s="18">
        <f t="shared" si="5"/>
        <v>0.82569444444444273</v>
      </c>
      <c r="H114" s="18" t="b">
        <f t="shared" si="6"/>
        <v>1</v>
      </c>
      <c r="I114" s="18"/>
    </row>
    <row r="115" spans="1:9" x14ac:dyDescent="0.25">
      <c r="A115">
        <v>113</v>
      </c>
      <c r="B115" s="7">
        <v>2</v>
      </c>
      <c r="C115" s="8">
        <v>4</v>
      </c>
      <c r="D115" s="9" t="s">
        <v>112</v>
      </c>
      <c r="E115" s="18">
        <f>B115/(60*24)+E114</f>
        <v>0.82152777777777608</v>
      </c>
      <c r="F115" s="18">
        <f t="shared" si="4"/>
        <v>0.82569444444444273</v>
      </c>
      <c r="G115" s="18">
        <f t="shared" si="5"/>
        <v>0.82569444444444273</v>
      </c>
      <c r="H115" s="18" t="b">
        <f t="shared" si="6"/>
        <v>0</v>
      </c>
      <c r="I115" s="18"/>
    </row>
    <row r="116" spans="1:9" x14ac:dyDescent="0.25">
      <c r="A116">
        <v>114</v>
      </c>
      <c r="B116" s="10">
        <v>11</v>
      </c>
      <c r="C116" s="11">
        <v>11</v>
      </c>
      <c r="D116" s="12" t="s">
        <v>113</v>
      </c>
      <c r="E116" s="18">
        <f>B116/(60*24)+E115</f>
        <v>0.82916666666666494</v>
      </c>
      <c r="F116" s="18">
        <f t="shared" si="4"/>
        <v>0.82916666666666494</v>
      </c>
      <c r="G116" s="18">
        <f t="shared" si="5"/>
        <v>0.8368055555555538</v>
      </c>
      <c r="H116" s="18" t="b">
        <f t="shared" si="6"/>
        <v>1</v>
      </c>
      <c r="I116" s="18"/>
    </row>
    <row r="117" spans="1:9" x14ac:dyDescent="0.25">
      <c r="A117">
        <v>115</v>
      </c>
      <c r="B117" s="7">
        <v>8</v>
      </c>
      <c r="C117" s="8">
        <v>1</v>
      </c>
      <c r="D117" s="9" t="s">
        <v>114</v>
      </c>
      <c r="E117" s="18">
        <f>B117/(60*24)+E116</f>
        <v>0.83472222222222048</v>
      </c>
      <c r="F117" s="18">
        <f t="shared" si="4"/>
        <v>0.8368055555555538</v>
      </c>
      <c r="G117" s="18">
        <f t="shared" si="5"/>
        <v>0.83749999999999825</v>
      </c>
      <c r="H117" s="18" t="b">
        <f t="shared" si="6"/>
        <v>1</v>
      </c>
      <c r="I117" s="18"/>
    </row>
    <row r="118" spans="1:9" x14ac:dyDescent="0.25">
      <c r="A118">
        <v>116</v>
      </c>
      <c r="B118" s="10">
        <v>13</v>
      </c>
      <c r="C118" s="11">
        <v>9</v>
      </c>
      <c r="D118" s="12" t="s">
        <v>115</v>
      </c>
      <c r="E118" s="18">
        <f>B118/(60*24)+E117</f>
        <v>0.84374999999999822</v>
      </c>
      <c r="F118" s="18">
        <f t="shared" si="4"/>
        <v>0.84374999999999822</v>
      </c>
      <c r="G118" s="18">
        <f t="shared" si="5"/>
        <v>0.8499999999999982</v>
      </c>
      <c r="H118" s="18" t="b">
        <f t="shared" si="6"/>
        <v>1</v>
      </c>
      <c r="I118" s="18"/>
    </row>
    <row r="119" spans="1:9" x14ac:dyDescent="0.25">
      <c r="A119">
        <v>117</v>
      </c>
      <c r="B119" s="7">
        <v>7</v>
      </c>
      <c r="C119" s="8">
        <v>13</v>
      </c>
      <c r="D119" s="9" t="s">
        <v>116</v>
      </c>
      <c r="E119" s="18">
        <f>B119/(60*24)+E118</f>
        <v>0.84861111111110932</v>
      </c>
      <c r="F119" s="18">
        <f t="shared" si="4"/>
        <v>0.8499999999999982</v>
      </c>
      <c r="G119" s="18">
        <f t="shared" si="5"/>
        <v>0.85902777777777595</v>
      </c>
      <c r="H119" s="18" t="b">
        <f t="shared" si="6"/>
        <v>1</v>
      </c>
      <c r="I119" s="18"/>
    </row>
    <row r="120" spans="1:9" x14ac:dyDescent="0.25">
      <c r="A120">
        <v>118</v>
      </c>
      <c r="B120" s="10">
        <v>7</v>
      </c>
      <c r="C120" s="11">
        <v>11</v>
      </c>
      <c r="D120" s="12" t="s">
        <v>117</v>
      </c>
      <c r="E120" s="18">
        <f>B120/(60*24)+E119</f>
        <v>0.85347222222222041</v>
      </c>
      <c r="F120" s="18">
        <f t="shared" si="4"/>
        <v>0.85902777777777595</v>
      </c>
      <c r="G120" s="18">
        <f t="shared" si="5"/>
        <v>0.85902777777777595</v>
      </c>
      <c r="H120" s="18" t="b">
        <f t="shared" si="6"/>
        <v>0</v>
      </c>
      <c r="I120" s="18"/>
    </row>
    <row r="121" spans="1:9" x14ac:dyDescent="0.25">
      <c r="A121">
        <v>119</v>
      </c>
      <c r="B121" s="7">
        <v>9</v>
      </c>
      <c r="C121" s="8">
        <v>11</v>
      </c>
      <c r="D121" s="9" t="s">
        <v>118</v>
      </c>
      <c r="E121" s="18">
        <f>B121/(60*24)+E120</f>
        <v>0.85972222222222039</v>
      </c>
      <c r="F121" s="18">
        <f t="shared" si="4"/>
        <v>0.85972222222222039</v>
      </c>
      <c r="G121" s="18">
        <f t="shared" si="5"/>
        <v>0.86736111111110925</v>
      </c>
      <c r="H121" s="18" t="b">
        <f t="shared" si="6"/>
        <v>1</v>
      </c>
      <c r="I121" s="18"/>
    </row>
    <row r="122" spans="1:9" x14ac:dyDescent="0.25">
      <c r="A122">
        <v>120</v>
      </c>
      <c r="B122" s="10">
        <v>6</v>
      </c>
      <c r="C122" s="11">
        <v>1</v>
      </c>
      <c r="D122" s="12" t="s">
        <v>119</v>
      </c>
      <c r="E122" s="18">
        <f>B122/(60*24)+E121</f>
        <v>0.86388888888888704</v>
      </c>
      <c r="F122" s="18">
        <f t="shared" si="4"/>
        <v>0.86736111111110925</v>
      </c>
      <c r="G122" s="18">
        <f t="shared" si="5"/>
        <v>0.86805555555555369</v>
      </c>
      <c r="H122" s="18" t="b">
        <f t="shared" si="6"/>
        <v>1</v>
      </c>
      <c r="I122" s="18"/>
    </row>
    <row r="123" spans="1:9" x14ac:dyDescent="0.25">
      <c r="A123">
        <v>121</v>
      </c>
      <c r="B123" s="7">
        <v>14</v>
      </c>
      <c r="C123" s="8">
        <v>6</v>
      </c>
      <c r="D123" s="9" t="s">
        <v>120</v>
      </c>
      <c r="E123" s="18">
        <f>B123/(60*24)+E122</f>
        <v>0.87361111111110923</v>
      </c>
      <c r="F123" s="18">
        <f t="shared" si="4"/>
        <v>0.87361111111110923</v>
      </c>
      <c r="G123" s="18">
        <f t="shared" si="5"/>
        <v>0.87777777777777588</v>
      </c>
      <c r="H123" s="18" t="b">
        <f t="shared" si="6"/>
        <v>1</v>
      </c>
      <c r="I123" s="18"/>
    </row>
    <row r="124" spans="1:9" x14ac:dyDescent="0.25">
      <c r="A124">
        <v>122</v>
      </c>
      <c r="B124" s="10">
        <v>14</v>
      </c>
      <c r="C124" s="11">
        <v>10</v>
      </c>
      <c r="D124" s="12" t="s">
        <v>121</v>
      </c>
      <c r="E124" s="18">
        <f>B124/(60*24)+E123</f>
        <v>0.88333333333333142</v>
      </c>
      <c r="F124" s="18">
        <f t="shared" si="4"/>
        <v>0.88333333333333142</v>
      </c>
      <c r="G124" s="18">
        <f t="shared" si="5"/>
        <v>0.89027777777777584</v>
      </c>
      <c r="H124" s="18" t="b">
        <f t="shared" si="6"/>
        <v>1</v>
      </c>
      <c r="I124" s="18"/>
    </row>
    <row r="125" spans="1:9" x14ac:dyDescent="0.25">
      <c r="A125">
        <v>123</v>
      </c>
      <c r="B125" s="7">
        <v>7</v>
      </c>
      <c r="C125" s="8">
        <v>7</v>
      </c>
      <c r="D125" s="9" t="s">
        <v>122</v>
      </c>
      <c r="E125" s="18">
        <f>B125/(60*24)+E124</f>
        <v>0.88819444444444251</v>
      </c>
      <c r="F125" s="18">
        <f t="shared" si="4"/>
        <v>0.89027777777777584</v>
      </c>
      <c r="G125" s="18">
        <f t="shared" si="5"/>
        <v>0.89513888888888693</v>
      </c>
      <c r="H125" s="18" t="b">
        <f t="shared" si="6"/>
        <v>1</v>
      </c>
      <c r="I125" s="18"/>
    </row>
    <row r="126" spans="1:9" x14ac:dyDescent="0.25">
      <c r="A126">
        <v>124</v>
      </c>
      <c r="B126" s="10">
        <v>11</v>
      </c>
      <c r="C126" s="11">
        <v>1</v>
      </c>
      <c r="D126" s="12" t="s">
        <v>123</v>
      </c>
      <c r="E126" s="18">
        <f>B126/(60*24)+E125</f>
        <v>0.89583333333333137</v>
      </c>
      <c r="F126" s="18">
        <f t="shared" si="4"/>
        <v>0.89583333333333137</v>
      </c>
      <c r="G126" s="18">
        <f t="shared" si="5"/>
        <v>0.89652777777777581</v>
      </c>
      <c r="H126" s="18" t="b">
        <f t="shared" si="6"/>
        <v>1</v>
      </c>
      <c r="I126" s="18"/>
    </row>
    <row r="127" spans="1:9" x14ac:dyDescent="0.25">
      <c r="A127">
        <v>125</v>
      </c>
      <c r="B127" s="7">
        <v>11</v>
      </c>
      <c r="C127" s="8">
        <v>3</v>
      </c>
      <c r="D127" s="9" t="s">
        <v>124</v>
      </c>
      <c r="E127" s="18">
        <f>B127/(60*24)+E126</f>
        <v>0.90347222222222023</v>
      </c>
      <c r="F127" s="18">
        <f t="shared" si="4"/>
        <v>0.90347222222222023</v>
      </c>
      <c r="G127" s="18">
        <f t="shared" si="5"/>
        <v>0.90555555555555356</v>
      </c>
      <c r="H127" s="18" t="b">
        <f t="shared" si="6"/>
        <v>1</v>
      </c>
      <c r="I127" s="18"/>
    </row>
    <row r="128" spans="1:9" x14ac:dyDescent="0.25">
      <c r="A128">
        <v>126</v>
      </c>
      <c r="B128" s="10">
        <v>11</v>
      </c>
      <c r="C128" s="11">
        <v>2</v>
      </c>
      <c r="D128" s="12" t="s">
        <v>125</v>
      </c>
      <c r="E128" s="18">
        <f>B128/(60*24)+E127</f>
        <v>0.9111111111111091</v>
      </c>
      <c r="F128" s="18">
        <f t="shared" si="4"/>
        <v>0.9111111111111091</v>
      </c>
      <c r="G128" s="18">
        <f t="shared" si="5"/>
        <v>0.91249999999999798</v>
      </c>
      <c r="H128" s="18" t="b">
        <f t="shared" si="6"/>
        <v>1</v>
      </c>
      <c r="I128" s="18"/>
    </row>
    <row r="129" spans="1:9" x14ac:dyDescent="0.25">
      <c r="A129">
        <v>127</v>
      </c>
      <c r="B129" s="7">
        <v>12</v>
      </c>
      <c r="C129" s="8">
        <v>2</v>
      </c>
      <c r="D129" s="9" t="s">
        <v>126</v>
      </c>
      <c r="E129" s="18">
        <f>B129/(60*24)+E128</f>
        <v>0.9194444444444424</v>
      </c>
      <c r="F129" s="18">
        <f t="shared" si="4"/>
        <v>0.9194444444444424</v>
      </c>
      <c r="G129" s="18">
        <f t="shared" si="5"/>
        <v>0.92083333333333128</v>
      </c>
      <c r="H129" s="18" t="b">
        <f t="shared" si="6"/>
        <v>1</v>
      </c>
      <c r="I129" s="18"/>
    </row>
    <row r="130" spans="1:9" x14ac:dyDescent="0.25">
      <c r="A130">
        <v>128</v>
      </c>
      <c r="B130" s="10">
        <v>3</v>
      </c>
      <c r="C130" s="11">
        <v>14</v>
      </c>
      <c r="D130" s="12" t="s">
        <v>127</v>
      </c>
      <c r="E130" s="18">
        <f>B130/(60*24)+E129</f>
        <v>0.92152777777777573</v>
      </c>
      <c r="F130" s="18">
        <f t="shared" si="4"/>
        <v>0.92152777777777573</v>
      </c>
      <c r="G130" s="18">
        <f t="shared" si="5"/>
        <v>0.93124999999999791</v>
      </c>
      <c r="H130" s="18" t="b">
        <f t="shared" si="6"/>
        <v>1</v>
      </c>
      <c r="I130" s="18"/>
    </row>
    <row r="131" spans="1:9" x14ac:dyDescent="0.25">
      <c r="A131">
        <v>129</v>
      </c>
      <c r="B131" s="7">
        <v>3</v>
      </c>
      <c r="C131" s="8">
        <v>6</v>
      </c>
      <c r="D131" s="9" t="s">
        <v>128</v>
      </c>
      <c r="E131" s="18">
        <f>B131/(60*24)+E130</f>
        <v>0.92361111111110905</v>
      </c>
      <c r="F131" s="18">
        <f t="shared" si="4"/>
        <v>0.93124999999999791</v>
      </c>
      <c r="G131" s="18">
        <f t="shared" si="5"/>
        <v>0.93124999999999791</v>
      </c>
      <c r="H131" s="18" t="b">
        <f t="shared" si="6"/>
        <v>0</v>
      </c>
      <c r="I131" s="18"/>
    </row>
    <row r="132" spans="1:9" x14ac:dyDescent="0.25">
      <c r="A132">
        <v>130</v>
      </c>
      <c r="B132" s="10">
        <v>12</v>
      </c>
      <c r="C132" s="11">
        <v>2</v>
      </c>
      <c r="D132" s="12" t="s">
        <v>129</v>
      </c>
      <c r="E132" s="18">
        <f>B132/(60*24)+E131</f>
        <v>0.93194444444444235</v>
      </c>
      <c r="F132" s="18">
        <f t="shared" si="4"/>
        <v>0.93194444444444235</v>
      </c>
      <c r="G132" s="18">
        <f t="shared" si="5"/>
        <v>0.93333333333333124</v>
      </c>
      <c r="H132" s="18" t="b">
        <f t="shared" si="6"/>
        <v>1</v>
      </c>
      <c r="I132" s="18"/>
    </row>
    <row r="133" spans="1:9" x14ac:dyDescent="0.25">
      <c r="A133">
        <v>131</v>
      </c>
      <c r="B133" s="7">
        <v>7</v>
      </c>
      <c r="C133" s="8">
        <v>8</v>
      </c>
      <c r="D133" s="9" t="s">
        <v>130</v>
      </c>
      <c r="E133" s="18">
        <f>B133/(60*24)+E132</f>
        <v>0.93680555555555345</v>
      </c>
      <c r="F133" s="18">
        <f t="shared" ref="F133:F146" si="7">IF(E133&gt;G132,E133,G132)</f>
        <v>0.93680555555555345</v>
      </c>
      <c r="G133" s="18">
        <f t="shared" ref="G133:G146" si="8">IF(H133=TRUE,F133+C133/(60*24),G132)</f>
        <v>0.94236111111110898</v>
      </c>
      <c r="H133" s="18" t="b">
        <f t="shared" si="6"/>
        <v>1</v>
      </c>
      <c r="I133" s="18"/>
    </row>
    <row r="134" spans="1:9" x14ac:dyDescent="0.25">
      <c r="A134">
        <v>132</v>
      </c>
      <c r="B134" s="10">
        <v>10</v>
      </c>
      <c r="C134" s="11">
        <v>12</v>
      </c>
      <c r="D134" s="12" t="s">
        <v>131</v>
      </c>
      <c r="E134" s="18">
        <f>B134/(60*24)+E133</f>
        <v>0.94374999999999787</v>
      </c>
      <c r="F134" s="18">
        <f t="shared" si="7"/>
        <v>0.94374999999999787</v>
      </c>
      <c r="G134" s="18">
        <f t="shared" si="8"/>
        <v>0.95208333333333117</v>
      </c>
      <c r="H134" s="18" t="b">
        <f t="shared" si="6"/>
        <v>1</v>
      </c>
      <c r="I134" s="18"/>
    </row>
    <row r="135" spans="1:9" x14ac:dyDescent="0.25">
      <c r="A135">
        <v>133</v>
      </c>
      <c r="B135" s="7">
        <v>2</v>
      </c>
      <c r="C135" s="8">
        <v>14</v>
      </c>
      <c r="D135" s="9" t="s">
        <v>132</v>
      </c>
      <c r="E135" s="18">
        <f>B135/(60*24)+E134</f>
        <v>0.94513888888888675</v>
      </c>
      <c r="F135" s="18">
        <f t="shared" si="7"/>
        <v>0.95208333333333117</v>
      </c>
      <c r="G135" s="18">
        <f t="shared" si="8"/>
        <v>0.95208333333333117</v>
      </c>
      <c r="H135" s="18" t="b">
        <f t="shared" ref="H135:H146" si="9">IF(E135+5*$C$1&gt;=G134,TRUE,FALSE)</f>
        <v>0</v>
      </c>
      <c r="I135" s="18"/>
    </row>
    <row r="136" spans="1:9" x14ac:dyDescent="0.25">
      <c r="A136">
        <v>134</v>
      </c>
      <c r="B136" s="10">
        <v>14</v>
      </c>
      <c r="C136" s="11">
        <v>11</v>
      </c>
      <c r="D136" s="12" t="s">
        <v>133</v>
      </c>
      <c r="E136" s="18">
        <f>B136/(60*24)+E135</f>
        <v>0.95486111111110894</v>
      </c>
      <c r="F136" s="18">
        <f t="shared" si="7"/>
        <v>0.95486111111110894</v>
      </c>
      <c r="G136" s="18">
        <f t="shared" si="8"/>
        <v>0.9624999999999978</v>
      </c>
      <c r="H136" s="18" t="b">
        <f t="shared" si="9"/>
        <v>1</v>
      </c>
      <c r="I136" s="18"/>
    </row>
    <row r="137" spans="1:9" x14ac:dyDescent="0.25">
      <c r="A137">
        <v>135</v>
      </c>
      <c r="B137" s="7">
        <v>9</v>
      </c>
      <c r="C137" s="8">
        <v>10</v>
      </c>
      <c r="D137" s="9" t="s">
        <v>134</v>
      </c>
      <c r="E137" s="18">
        <f>B137/(60*24)+E136</f>
        <v>0.96111111111110892</v>
      </c>
      <c r="F137" s="18">
        <f t="shared" si="7"/>
        <v>0.9624999999999978</v>
      </c>
      <c r="G137" s="18">
        <f t="shared" si="8"/>
        <v>0.96944444444444222</v>
      </c>
      <c r="H137" s="18" t="b">
        <f t="shared" si="9"/>
        <v>1</v>
      </c>
      <c r="I137" s="18"/>
    </row>
    <row r="138" spans="1:9" x14ac:dyDescent="0.25">
      <c r="A138">
        <v>136</v>
      </c>
      <c r="B138" s="10">
        <v>2</v>
      </c>
      <c r="C138" s="11">
        <v>14</v>
      </c>
      <c r="D138" s="12" t="s">
        <v>135</v>
      </c>
      <c r="E138" s="18">
        <f>B138/(60*24)+E137</f>
        <v>0.9624999999999978</v>
      </c>
      <c r="F138" s="18">
        <f t="shared" si="7"/>
        <v>0.96944444444444222</v>
      </c>
      <c r="G138" s="18">
        <f t="shared" si="8"/>
        <v>0.96944444444444222</v>
      </c>
      <c r="H138" s="18" t="b">
        <f t="shared" si="9"/>
        <v>0</v>
      </c>
      <c r="I138" s="18"/>
    </row>
    <row r="139" spans="1:9" x14ac:dyDescent="0.25">
      <c r="A139">
        <v>137</v>
      </c>
      <c r="B139" s="7">
        <v>11</v>
      </c>
      <c r="C139" s="8">
        <v>3</v>
      </c>
      <c r="D139" s="9" t="s">
        <v>136</v>
      </c>
      <c r="E139" s="18">
        <f>B139/(60*24)+E138</f>
        <v>0.97013888888888666</v>
      </c>
      <c r="F139" s="18">
        <f t="shared" si="7"/>
        <v>0.97013888888888666</v>
      </c>
      <c r="G139" s="18">
        <f t="shared" si="8"/>
        <v>0.97222222222221999</v>
      </c>
      <c r="H139" s="18" t="b">
        <f t="shared" si="9"/>
        <v>1</v>
      </c>
      <c r="I139" s="18"/>
    </row>
    <row r="140" spans="1:9" x14ac:dyDescent="0.25">
      <c r="A140">
        <v>138</v>
      </c>
      <c r="B140" s="10">
        <v>2</v>
      </c>
      <c r="C140" s="11">
        <v>1</v>
      </c>
      <c r="D140" s="12" t="s">
        <v>137</v>
      </c>
      <c r="E140" s="18">
        <f>B140/(60*24)+E139</f>
        <v>0.97152777777777555</v>
      </c>
      <c r="F140" s="18">
        <f t="shared" si="7"/>
        <v>0.97222222222221999</v>
      </c>
      <c r="G140" s="18">
        <f t="shared" si="8"/>
        <v>0.97291666666666443</v>
      </c>
      <c r="H140" s="18" t="b">
        <f t="shared" si="9"/>
        <v>1</v>
      </c>
      <c r="I140" s="18"/>
    </row>
    <row r="141" spans="1:9" x14ac:dyDescent="0.25">
      <c r="A141">
        <v>139</v>
      </c>
      <c r="B141" s="7">
        <v>14</v>
      </c>
      <c r="C141" s="8">
        <v>3</v>
      </c>
      <c r="D141" s="9" t="s">
        <v>138</v>
      </c>
      <c r="E141" s="18">
        <f>B141/(60*24)+E140</f>
        <v>0.98124999999999774</v>
      </c>
      <c r="F141" s="18">
        <f t="shared" si="7"/>
        <v>0.98124999999999774</v>
      </c>
      <c r="G141" s="18">
        <f t="shared" si="8"/>
        <v>0.98333333333333106</v>
      </c>
      <c r="H141" s="18" t="b">
        <f t="shared" si="9"/>
        <v>1</v>
      </c>
      <c r="I141" s="18"/>
    </row>
    <row r="142" spans="1:9" x14ac:dyDescent="0.25">
      <c r="A142">
        <v>140</v>
      </c>
      <c r="B142" s="10">
        <v>6</v>
      </c>
      <c r="C142" s="11">
        <v>6</v>
      </c>
      <c r="D142" s="12" t="s">
        <v>139</v>
      </c>
      <c r="E142" s="18">
        <f>B142/(60*24)+E141</f>
        <v>0.98541666666666439</v>
      </c>
      <c r="F142" s="18">
        <f t="shared" si="7"/>
        <v>0.98541666666666439</v>
      </c>
      <c r="G142" s="18">
        <f t="shared" si="8"/>
        <v>0.98958333333333104</v>
      </c>
      <c r="H142" s="18" t="b">
        <f t="shared" si="9"/>
        <v>1</v>
      </c>
      <c r="I142" s="18"/>
    </row>
    <row r="143" spans="1:9" x14ac:dyDescent="0.25">
      <c r="A143">
        <v>141</v>
      </c>
      <c r="B143" s="7">
        <v>5</v>
      </c>
      <c r="C143" s="8">
        <v>14</v>
      </c>
      <c r="D143" s="9" t="s">
        <v>140</v>
      </c>
      <c r="E143" s="18">
        <f>B143/(60*24)+E142</f>
        <v>0.9888888888888866</v>
      </c>
      <c r="F143" s="18">
        <f t="shared" si="7"/>
        <v>0.98958333333333104</v>
      </c>
      <c r="G143" s="18">
        <f t="shared" si="8"/>
        <v>0.99930555555555323</v>
      </c>
      <c r="H143" s="18" t="b">
        <f t="shared" si="9"/>
        <v>1</v>
      </c>
      <c r="I143" s="18"/>
    </row>
    <row r="144" spans="1:9" x14ac:dyDescent="0.25">
      <c r="A144">
        <v>142</v>
      </c>
      <c r="B144" s="10">
        <v>2</v>
      </c>
      <c r="C144" s="11">
        <v>8</v>
      </c>
      <c r="D144" s="12" t="s">
        <v>141</v>
      </c>
      <c r="E144" s="18">
        <f>B144/(60*24)+E143</f>
        <v>0.99027777777777548</v>
      </c>
      <c r="F144" s="18">
        <f t="shared" si="7"/>
        <v>0.99930555555555323</v>
      </c>
      <c r="G144" s="18">
        <f t="shared" si="8"/>
        <v>0.99930555555555323</v>
      </c>
      <c r="H144" s="18" t="b">
        <f t="shared" si="9"/>
        <v>0</v>
      </c>
      <c r="I144" s="18"/>
    </row>
    <row r="145" spans="1:9" x14ac:dyDescent="0.25">
      <c r="A145">
        <v>143</v>
      </c>
      <c r="B145" s="7">
        <v>10</v>
      </c>
      <c r="C145" s="8">
        <v>15</v>
      </c>
      <c r="D145" s="9" t="s">
        <v>142</v>
      </c>
      <c r="E145" s="18">
        <f>B145/(60*24)+E144</f>
        <v>0.9972222222222199</v>
      </c>
      <c r="F145" s="18">
        <f t="shared" si="7"/>
        <v>0.99930555555555323</v>
      </c>
      <c r="G145" s="18">
        <f t="shared" si="8"/>
        <v>1.00972222222222</v>
      </c>
      <c r="H145" s="18" t="b">
        <f t="shared" si="9"/>
        <v>1</v>
      </c>
      <c r="I145" s="18"/>
    </row>
    <row r="146" spans="1:9" x14ac:dyDescent="0.25">
      <c r="A146">
        <v>144</v>
      </c>
      <c r="B146" s="2">
        <v>3</v>
      </c>
      <c r="C146" s="3">
        <v>15</v>
      </c>
      <c r="D146" s="13" t="s">
        <v>143</v>
      </c>
      <c r="E146" s="18">
        <f>B146/(60*24)+E145</f>
        <v>0.99930555555555323</v>
      </c>
      <c r="F146" s="18">
        <f t="shared" si="7"/>
        <v>1.00972222222222</v>
      </c>
      <c r="G146" s="18">
        <f t="shared" si="8"/>
        <v>1.00972222222222</v>
      </c>
      <c r="H146" s="18" t="b">
        <f t="shared" si="9"/>
        <v>0</v>
      </c>
      <c r="I146" s="1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0FC38-7F07-473B-A563-67EDC3C14AD8}">
  <dimension ref="A1:K146"/>
  <sheetViews>
    <sheetView zoomScale="130" zoomScaleNormal="130" workbookViewId="0">
      <selection activeCell="J5" sqref="J5"/>
    </sheetView>
  </sheetViews>
  <sheetFormatPr defaultRowHeight="15" x14ac:dyDescent="0.25"/>
  <cols>
    <col min="1" max="1" width="17.7109375" bestFit="1" customWidth="1"/>
    <col min="2" max="3" width="11.140625" bestFit="1" customWidth="1"/>
    <col min="4" max="4" width="16" bestFit="1" customWidth="1"/>
    <col min="5" max="5" width="13.85546875" style="1" customWidth="1"/>
    <col min="6" max="6" width="13.85546875" customWidth="1"/>
    <col min="7" max="7" width="21.42578125" bestFit="1" customWidth="1"/>
    <col min="8" max="8" width="17.7109375" customWidth="1"/>
    <col min="9" max="9" width="24.85546875" bestFit="1" customWidth="1"/>
    <col min="10" max="10" width="17.7109375" bestFit="1" customWidth="1"/>
    <col min="11" max="11" width="16.85546875" bestFit="1" customWidth="1"/>
  </cols>
  <sheetData>
    <row r="1" spans="1:11" x14ac:dyDescent="0.25">
      <c r="A1" t="s">
        <v>176</v>
      </c>
      <c r="B1">
        <f>1/(60*24)</f>
        <v>6.9444444444444447E-4</v>
      </c>
      <c r="D1" t="s">
        <v>175</v>
      </c>
    </row>
    <row r="2" spans="1:11" x14ac:dyDescent="0.25">
      <c r="A2" s="4" t="s">
        <v>144</v>
      </c>
      <c r="B2" s="5" t="s">
        <v>145</v>
      </c>
      <c r="C2" s="6" t="s">
        <v>146</v>
      </c>
      <c r="D2" s="20">
        <v>46072.25</v>
      </c>
      <c r="E2" s="1" t="s">
        <v>174</v>
      </c>
      <c r="F2" s="17" t="s">
        <v>177</v>
      </c>
      <c r="G2" t="s">
        <v>179</v>
      </c>
      <c r="H2" t="s">
        <v>178</v>
      </c>
      <c r="I2" s="16"/>
    </row>
    <row r="3" spans="1:11" x14ac:dyDescent="0.25">
      <c r="A3" s="7">
        <v>3</v>
      </c>
      <c r="B3" s="8">
        <v>5</v>
      </c>
      <c r="C3" s="9" t="s">
        <v>0</v>
      </c>
      <c r="D3" s="18">
        <f>A3/(60*24)+D2</f>
        <v>46072.252083333333</v>
      </c>
      <c r="E3" s="1">
        <f>HOUR(D3)-5</f>
        <v>1</v>
      </c>
      <c r="F3" s="18">
        <f>D3</f>
        <v>46072.252083333333</v>
      </c>
      <c r="G3" s="18">
        <f>D3+B3/(60*24)</f>
        <v>46072.255555555552</v>
      </c>
      <c r="H3" s="18" t="b">
        <f>TRUE</f>
        <v>1</v>
      </c>
    </row>
    <row r="4" spans="1:11" x14ac:dyDescent="0.25">
      <c r="A4" s="10">
        <v>12</v>
      </c>
      <c r="B4" s="11">
        <v>13</v>
      </c>
      <c r="C4" s="12" t="s">
        <v>1</v>
      </c>
      <c r="D4" s="18">
        <f>A4/(60*24)+D3</f>
        <v>46072.260416666664</v>
      </c>
      <c r="E4" s="1">
        <f t="shared" ref="E4:E67" si="0">HOUR(D4)-5</f>
        <v>1</v>
      </c>
      <c r="F4" s="18">
        <f>IF(D4&gt;G3,D4,G3)</f>
        <v>46072.260416666664</v>
      </c>
      <c r="G4" s="18">
        <f>IF(H4=TRUE,F4+B4/(60*24),G3)</f>
        <v>46072.269444444442</v>
      </c>
      <c r="H4" s="18" t="b">
        <f>IF(D4+5*$B$1&gt;G3,TRUE,FALSE)</f>
        <v>1</v>
      </c>
      <c r="I4" s="18"/>
      <c r="J4" s="14" t="s">
        <v>147</v>
      </c>
      <c r="K4" t="s">
        <v>183</v>
      </c>
    </row>
    <row r="5" spans="1:11" x14ac:dyDescent="0.25">
      <c r="A5" s="7">
        <v>1</v>
      </c>
      <c r="B5" s="8">
        <v>10</v>
      </c>
      <c r="C5" s="9" t="s">
        <v>2</v>
      </c>
      <c r="D5" s="18">
        <f>A5/(60*24)+D4</f>
        <v>46072.261111111111</v>
      </c>
      <c r="E5" s="1">
        <f t="shared" si="0"/>
        <v>1</v>
      </c>
      <c r="F5" s="18">
        <f t="shared" ref="F5:F68" si="1">IF(D5&gt;G4,D5,G4)</f>
        <v>46072.269444444442</v>
      </c>
      <c r="G5" s="18">
        <f t="shared" ref="G5:G68" si="2">IF(H5=TRUE,F5+B5/(60*24),G4)</f>
        <v>46072.269444444442</v>
      </c>
      <c r="H5" s="18" t="b">
        <f t="shared" ref="H5:H68" si="3">IF(D5+5*$B$1&gt;G4,TRUE,FALSE)</f>
        <v>0</v>
      </c>
      <c r="I5" s="18"/>
      <c r="J5" s="15">
        <v>1</v>
      </c>
      <c r="K5" s="1">
        <v>9</v>
      </c>
    </row>
    <row r="6" spans="1:11" x14ac:dyDescent="0.25">
      <c r="A6" s="10">
        <v>7</v>
      </c>
      <c r="B6" s="11">
        <v>2</v>
      </c>
      <c r="C6" s="12" t="s">
        <v>3</v>
      </c>
      <c r="D6" s="18">
        <f>A6/(60*24)+D5</f>
        <v>46072.265972222223</v>
      </c>
      <c r="E6" s="1">
        <f t="shared" si="0"/>
        <v>1</v>
      </c>
      <c r="F6" s="18">
        <f t="shared" si="1"/>
        <v>46072.269444444442</v>
      </c>
      <c r="G6" s="18">
        <f t="shared" si="2"/>
        <v>46072.270833333328</v>
      </c>
      <c r="H6" s="18" t="b">
        <f>IF(D6+5*$B$1&gt;=G5,TRUE,FALSE)</f>
        <v>1</v>
      </c>
      <c r="I6" s="18"/>
      <c r="J6" s="15">
        <v>2</v>
      </c>
      <c r="K6" s="1">
        <v>8</v>
      </c>
    </row>
    <row r="7" spans="1:11" x14ac:dyDescent="0.25">
      <c r="A7" s="7">
        <v>10</v>
      </c>
      <c r="B7" s="8">
        <v>7</v>
      </c>
      <c r="C7" s="9" t="s">
        <v>4</v>
      </c>
      <c r="D7" s="18">
        <f>A7/(60*24)+D6</f>
        <v>46072.272916666669</v>
      </c>
      <c r="E7" s="1">
        <f t="shared" si="0"/>
        <v>1</v>
      </c>
      <c r="F7" s="18">
        <f t="shared" si="1"/>
        <v>46072.272916666669</v>
      </c>
      <c r="G7" s="18">
        <f t="shared" si="2"/>
        <v>46072.277777777781</v>
      </c>
      <c r="H7" s="18" t="b">
        <f t="shared" ref="H7:H70" si="4">IF(D7+5*$B$1&gt;=G6,TRUE,FALSE)</f>
        <v>1</v>
      </c>
      <c r="I7" s="18"/>
      <c r="J7" s="15">
        <v>3</v>
      </c>
      <c r="K7" s="1">
        <v>7</v>
      </c>
    </row>
    <row r="8" spans="1:11" x14ac:dyDescent="0.25">
      <c r="A8" s="10">
        <v>9</v>
      </c>
      <c r="B8" s="11">
        <v>14</v>
      </c>
      <c r="C8" s="12" t="s">
        <v>5</v>
      </c>
      <c r="D8" s="18">
        <f>A8/(60*24)+D7</f>
        <v>46072.279166666667</v>
      </c>
      <c r="E8" s="1">
        <f t="shared" si="0"/>
        <v>1</v>
      </c>
      <c r="F8" s="18">
        <f t="shared" si="1"/>
        <v>46072.279166666667</v>
      </c>
      <c r="G8" s="18">
        <f t="shared" si="2"/>
        <v>46072.288888888892</v>
      </c>
      <c r="H8" s="18" t="b">
        <f t="shared" si="4"/>
        <v>1</v>
      </c>
      <c r="I8" s="18"/>
      <c r="J8" s="15">
        <v>4</v>
      </c>
      <c r="K8" s="1">
        <v>9</v>
      </c>
    </row>
    <row r="9" spans="1:11" x14ac:dyDescent="0.25">
      <c r="A9" s="7">
        <v>4</v>
      </c>
      <c r="B9" s="8">
        <v>10</v>
      </c>
      <c r="C9" s="9" t="s">
        <v>6</v>
      </c>
      <c r="D9" s="18">
        <f>A9/(60*24)+D8</f>
        <v>46072.281944444447</v>
      </c>
      <c r="E9" s="1">
        <f t="shared" si="0"/>
        <v>1</v>
      </c>
      <c r="F9" s="18">
        <f t="shared" si="1"/>
        <v>46072.288888888892</v>
      </c>
      <c r="G9" s="18">
        <f t="shared" si="2"/>
        <v>46072.288888888892</v>
      </c>
      <c r="H9" s="18" t="b">
        <f t="shared" si="4"/>
        <v>0</v>
      </c>
      <c r="I9" s="18"/>
      <c r="J9" s="15">
        <v>5</v>
      </c>
      <c r="K9" s="1">
        <v>5</v>
      </c>
    </row>
    <row r="10" spans="1:11" x14ac:dyDescent="0.25">
      <c r="A10" s="10">
        <v>4</v>
      </c>
      <c r="B10" s="11">
        <v>7</v>
      </c>
      <c r="C10" s="12" t="s">
        <v>7</v>
      </c>
      <c r="D10" s="18">
        <f>A10/(60*24)+D9</f>
        <v>46072.284722222226</v>
      </c>
      <c r="E10" s="1">
        <f t="shared" si="0"/>
        <v>1</v>
      </c>
      <c r="F10" s="18">
        <f t="shared" si="1"/>
        <v>46072.288888888892</v>
      </c>
      <c r="G10" s="18">
        <f t="shared" si="2"/>
        <v>46072.288888888892</v>
      </c>
      <c r="H10" s="18" t="b">
        <f t="shared" si="4"/>
        <v>0</v>
      </c>
      <c r="I10" s="18"/>
      <c r="J10" s="15">
        <v>6</v>
      </c>
      <c r="K10" s="1">
        <v>10</v>
      </c>
    </row>
    <row r="11" spans="1:11" x14ac:dyDescent="0.25">
      <c r="A11" s="7">
        <v>3</v>
      </c>
      <c r="B11" s="8">
        <v>2</v>
      </c>
      <c r="C11" s="9" t="s">
        <v>8</v>
      </c>
      <c r="D11" s="18">
        <f>A11/(60*24)+D10</f>
        <v>46072.286805555559</v>
      </c>
      <c r="E11" s="1">
        <f t="shared" si="0"/>
        <v>1</v>
      </c>
      <c r="F11" s="18">
        <f t="shared" si="1"/>
        <v>46072.288888888892</v>
      </c>
      <c r="G11" s="18">
        <f t="shared" si="2"/>
        <v>46072.290277777778</v>
      </c>
      <c r="H11" s="18" t="b">
        <f t="shared" si="4"/>
        <v>1</v>
      </c>
      <c r="I11" s="18"/>
      <c r="J11" s="15" t="s">
        <v>148</v>
      </c>
      <c r="K11" s="1">
        <v>48</v>
      </c>
    </row>
    <row r="12" spans="1:11" x14ac:dyDescent="0.25">
      <c r="A12" s="10">
        <v>7</v>
      </c>
      <c r="B12" s="11">
        <v>12</v>
      </c>
      <c r="C12" s="12" t="s">
        <v>9</v>
      </c>
      <c r="D12" s="18">
        <f>A12/(60*24)+D11</f>
        <v>46072.291666666672</v>
      </c>
      <c r="E12" s="1">
        <f t="shared" si="0"/>
        <v>2</v>
      </c>
      <c r="F12" s="18">
        <f t="shared" si="1"/>
        <v>46072.291666666672</v>
      </c>
      <c r="G12" s="18">
        <f t="shared" si="2"/>
        <v>46072.3</v>
      </c>
      <c r="H12" s="18" t="b">
        <f t="shared" si="4"/>
        <v>1</v>
      </c>
      <c r="I12" s="18"/>
    </row>
    <row r="13" spans="1:11" x14ac:dyDescent="0.25">
      <c r="A13" s="7">
        <v>11</v>
      </c>
      <c r="B13" s="8">
        <v>12</v>
      </c>
      <c r="C13" s="9" t="s">
        <v>10</v>
      </c>
      <c r="D13" s="18">
        <f>A13/(60*24)+D12</f>
        <v>46072.299305555563</v>
      </c>
      <c r="E13" s="1">
        <f t="shared" si="0"/>
        <v>2</v>
      </c>
      <c r="F13" s="18">
        <f t="shared" si="1"/>
        <v>46072.3</v>
      </c>
      <c r="G13" s="18">
        <f t="shared" si="2"/>
        <v>46072.308333333334</v>
      </c>
      <c r="H13" s="18" t="b">
        <f t="shared" si="4"/>
        <v>1</v>
      </c>
      <c r="I13" s="18"/>
    </row>
    <row r="14" spans="1:11" x14ac:dyDescent="0.25">
      <c r="A14" s="10">
        <v>15</v>
      </c>
      <c r="B14" s="11">
        <v>14</v>
      </c>
      <c r="C14" s="12" t="s">
        <v>11</v>
      </c>
      <c r="D14" s="18">
        <f>A14/(60*24)+D13</f>
        <v>46072.309722222228</v>
      </c>
      <c r="E14" s="1">
        <f t="shared" si="0"/>
        <v>2</v>
      </c>
      <c r="F14" s="18">
        <f t="shared" si="1"/>
        <v>46072.309722222228</v>
      </c>
      <c r="G14" s="18">
        <f t="shared" si="2"/>
        <v>46072.319444444453</v>
      </c>
      <c r="H14" s="18" t="b">
        <f t="shared" si="4"/>
        <v>1</v>
      </c>
      <c r="I14" s="18"/>
    </row>
    <row r="15" spans="1:11" x14ac:dyDescent="0.25">
      <c r="A15" s="7">
        <v>11</v>
      </c>
      <c r="B15" s="8">
        <v>9</v>
      </c>
      <c r="C15" s="9" t="s">
        <v>12</v>
      </c>
      <c r="D15" s="18">
        <f>A15/(60*24)+D14</f>
        <v>46072.31736111112</v>
      </c>
      <c r="E15" s="1">
        <f t="shared" si="0"/>
        <v>2</v>
      </c>
      <c r="F15" s="18">
        <f t="shared" si="1"/>
        <v>46072.319444444453</v>
      </c>
      <c r="G15" s="18">
        <f t="shared" si="2"/>
        <v>46072.325694444451</v>
      </c>
      <c r="H15" s="18" t="b">
        <f t="shared" si="4"/>
        <v>1</v>
      </c>
      <c r="I15" s="18"/>
    </row>
    <row r="16" spans="1:11" x14ac:dyDescent="0.25">
      <c r="A16" s="10">
        <v>3</v>
      </c>
      <c r="B16" s="11">
        <v>6</v>
      </c>
      <c r="C16" s="12" t="s">
        <v>13</v>
      </c>
      <c r="D16" s="18">
        <f>A16/(60*24)+D15</f>
        <v>46072.319444444453</v>
      </c>
      <c r="E16" s="1">
        <f t="shared" si="0"/>
        <v>2</v>
      </c>
      <c r="F16" s="18">
        <f t="shared" si="1"/>
        <v>46072.325694444451</v>
      </c>
      <c r="G16" s="18">
        <f t="shared" si="2"/>
        <v>46072.325694444451</v>
      </c>
      <c r="H16" s="18" t="b">
        <f t="shared" si="4"/>
        <v>0</v>
      </c>
      <c r="I16" s="18"/>
    </row>
    <row r="17" spans="1:9" x14ac:dyDescent="0.25">
      <c r="A17" s="7">
        <v>1</v>
      </c>
      <c r="B17" s="8">
        <v>7</v>
      </c>
      <c r="C17" s="9" t="s">
        <v>14</v>
      </c>
      <c r="D17" s="18">
        <f>A17/(60*24)+D16</f>
        <v>46072.320138888899</v>
      </c>
      <c r="E17" s="1">
        <f t="shared" si="0"/>
        <v>2</v>
      </c>
      <c r="F17" s="18">
        <f t="shared" si="1"/>
        <v>46072.325694444451</v>
      </c>
      <c r="G17" s="18">
        <f t="shared" si="2"/>
        <v>46072.325694444451</v>
      </c>
      <c r="H17" s="18" t="b">
        <f t="shared" si="4"/>
        <v>0</v>
      </c>
      <c r="I17" s="18"/>
    </row>
    <row r="18" spans="1:9" x14ac:dyDescent="0.25">
      <c r="A18" s="10">
        <v>11</v>
      </c>
      <c r="B18" s="11">
        <v>7</v>
      </c>
      <c r="C18" s="12" t="s">
        <v>15</v>
      </c>
      <c r="D18" s="18">
        <f>A18/(60*24)+D17</f>
        <v>46072.327777777791</v>
      </c>
      <c r="E18" s="1">
        <f t="shared" si="0"/>
        <v>2</v>
      </c>
      <c r="F18" s="18">
        <f t="shared" si="1"/>
        <v>46072.327777777791</v>
      </c>
      <c r="G18" s="18">
        <f t="shared" si="2"/>
        <v>46072.332638888904</v>
      </c>
      <c r="H18" s="18" t="b">
        <f t="shared" si="4"/>
        <v>1</v>
      </c>
      <c r="I18" s="18"/>
    </row>
    <row r="19" spans="1:9" x14ac:dyDescent="0.25">
      <c r="A19" s="7">
        <v>2</v>
      </c>
      <c r="B19" s="8">
        <v>2</v>
      </c>
      <c r="C19" s="9" t="s">
        <v>16</v>
      </c>
      <c r="D19" s="18">
        <f>A19/(60*24)+D18</f>
        <v>46072.329166666677</v>
      </c>
      <c r="E19" s="1">
        <f t="shared" si="0"/>
        <v>2</v>
      </c>
      <c r="F19" s="18">
        <f t="shared" si="1"/>
        <v>46072.332638888904</v>
      </c>
      <c r="G19" s="18">
        <f t="shared" si="2"/>
        <v>46072.33402777779</v>
      </c>
      <c r="H19" s="18" t="b">
        <f t="shared" si="4"/>
        <v>1</v>
      </c>
      <c r="I19" s="18"/>
    </row>
    <row r="20" spans="1:9" x14ac:dyDescent="0.25">
      <c r="A20" s="10">
        <v>9</v>
      </c>
      <c r="B20" s="11">
        <v>10</v>
      </c>
      <c r="C20" s="12" t="s">
        <v>17</v>
      </c>
      <c r="D20" s="18">
        <f>A20/(60*24)+D19</f>
        <v>46072.335416666676</v>
      </c>
      <c r="E20" s="1">
        <f t="shared" si="0"/>
        <v>3</v>
      </c>
      <c r="F20" s="18">
        <f t="shared" si="1"/>
        <v>46072.335416666676</v>
      </c>
      <c r="G20" s="18">
        <f t="shared" si="2"/>
        <v>46072.342361111121</v>
      </c>
      <c r="H20" s="18" t="b">
        <f t="shared" si="4"/>
        <v>1</v>
      </c>
      <c r="I20" s="18"/>
    </row>
    <row r="21" spans="1:9" x14ac:dyDescent="0.25">
      <c r="A21" s="7">
        <v>2</v>
      </c>
      <c r="B21" s="8">
        <v>13</v>
      </c>
      <c r="C21" s="9" t="s">
        <v>18</v>
      </c>
      <c r="D21" s="18">
        <f>A21/(60*24)+D20</f>
        <v>46072.336805555562</v>
      </c>
      <c r="E21" s="1">
        <f t="shared" si="0"/>
        <v>3</v>
      </c>
      <c r="F21" s="18">
        <f t="shared" si="1"/>
        <v>46072.342361111121</v>
      </c>
      <c r="G21" s="18">
        <f t="shared" si="2"/>
        <v>46072.342361111121</v>
      </c>
      <c r="H21" s="18" t="b">
        <f t="shared" si="4"/>
        <v>0</v>
      </c>
      <c r="I21" s="18"/>
    </row>
    <row r="22" spans="1:9" x14ac:dyDescent="0.25">
      <c r="A22" s="10">
        <v>13</v>
      </c>
      <c r="B22" s="11">
        <v>14</v>
      </c>
      <c r="C22" s="12" t="s">
        <v>19</v>
      </c>
      <c r="D22" s="18">
        <f>A22/(60*24)+D21</f>
        <v>46072.34583333334</v>
      </c>
      <c r="E22" s="1">
        <f t="shared" si="0"/>
        <v>3</v>
      </c>
      <c r="F22" s="18">
        <f t="shared" si="1"/>
        <v>46072.34583333334</v>
      </c>
      <c r="G22" s="18">
        <f t="shared" si="2"/>
        <v>46072.355555555565</v>
      </c>
      <c r="H22" s="18" t="b">
        <f t="shared" si="4"/>
        <v>1</v>
      </c>
      <c r="I22" s="18"/>
    </row>
    <row r="23" spans="1:9" x14ac:dyDescent="0.25">
      <c r="A23" s="7">
        <v>10</v>
      </c>
      <c r="B23" s="8">
        <v>15</v>
      </c>
      <c r="C23" s="9" t="s">
        <v>20</v>
      </c>
      <c r="D23" s="18">
        <f>A23/(60*24)+D22</f>
        <v>46072.352777777785</v>
      </c>
      <c r="E23" s="1">
        <f t="shared" si="0"/>
        <v>3</v>
      </c>
      <c r="F23" s="18">
        <f t="shared" si="1"/>
        <v>46072.355555555565</v>
      </c>
      <c r="G23" s="18">
        <f t="shared" si="2"/>
        <v>46072.365972222229</v>
      </c>
      <c r="H23" s="18" t="b">
        <f t="shared" si="4"/>
        <v>1</v>
      </c>
      <c r="I23" s="18"/>
    </row>
    <row r="24" spans="1:9" x14ac:dyDescent="0.25">
      <c r="A24" s="10">
        <v>6</v>
      </c>
      <c r="B24" s="11">
        <v>9</v>
      </c>
      <c r="C24" s="12" t="s">
        <v>21</v>
      </c>
      <c r="D24" s="18">
        <f>A24/(60*24)+D23</f>
        <v>46072.356944444451</v>
      </c>
      <c r="E24" s="1">
        <f t="shared" si="0"/>
        <v>3</v>
      </c>
      <c r="F24" s="18">
        <f t="shared" si="1"/>
        <v>46072.365972222229</v>
      </c>
      <c r="G24" s="18">
        <f t="shared" si="2"/>
        <v>46072.365972222229</v>
      </c>
      <c r="H24" s="18" t="b">
        <f t="shared" si="4"/>
        <v>0</v>
      </c>
      <c r="I24" s="18"/>
    </row>
    <row r="25" spans="1:9" x14ac:dyDescent="0.25">
      <c r="A25" s="7">
        <v>5</v>
      </c>
      <c r="B25" s="8">
        <v>6</v>
      </c>
      <c r="C25" s="9" t="s">
        <v>22</v>
      </c>
      <c r="D25" s="18">
        <f>A25/(60*24)+D24</f>
        <v>46072.36041666667</v>
      </c>
      <c r="E25" s="1">
        <f t="shared" si="0"/>
        <v>3</v>
      </c>
      <c r="F25" s="18">
        <f t="shared" si="1"/>
        <v>46072.365972222229</v>
      </c>
      <c r="G25" s="18">
        <f t="shared" si="2"/>
        <v>46072.365972222229</v>
      </c>
      <c r="H25" s="18" t="b">
        <f t="shared" si="4"/>
        <v>0</v>
      </c>
      <c r="I25" s="18"/>
    </row>
    <row r="26" spans="1:9" x14ac:dyDescent="0.25">
      <c r="A26" s="10">
        <v>13</v>
      </c>
      <c r="B26" s="11">
        <v>13</v>
      </c>
      <c r="C26" s="12" t="s">
        <v>23</v>
      </c>
      <c r="D26" s="18">
        <f>A26/(60*24)+D25</f>
        <v>46072.369444444448</v>
      </c>
      <c r="E26" s="1">
        <f t="shared" si="0"/>
        <v>3</v>
      </c>
      <c r="F26" s="18">
        <f t="shared" si="1"/>
        <v>46072.369444444448</v>
      </c>
      <c r="G26" s="18">
        <f t="shared" si="2"/>
        <v>46072.378472222226</v>
      </c>
      <c r="H26" s="18" t="b">
        <f t="shared" si="4"/>
        <v>1</v>
      </c>
      <c r="I26" s="18"/>
    </row>
    <row r="27" spans="1:9" x14ac:dyDescent="0.25">
      <c r="A27" s="7">
        <v>11</v>
      </c>
      <c r="B27" s="8">
        <v>1</v>
      </c>
      <c r="C27" s="9" t="s">
        <v>24</v>
      </c>
      <c r="D27" s="18">
        <f>A27/(60*24)+D26</f>
        <v>46072.37708333334</v>
      </c>
      <c r="E27" s="1">
        <f t="shared" si="0"/>
        <v>4</v>
      </c>
      <c r="F27" s="18">
        <f t="shared" si="1"/>
        <v>46072.378472222226</v>
      </c>
      <c r="G27" s="18">
        <f t="shared" si="2"/>
        <v>46072.379166666673</v>
      </c>
      <c r="H27" s="18" t="b">
        <f t="shared" si="4"/>
        <v>1</v>
      </c>
      <c r="I27" s="18"/>
    </row>
    <row r="28" spans="1:9" x14ac:dyDescent="0.25">
      <c r="A28" s="10">
        <v>10</v>
      </c>
      <c r="B28" s="11">
        <v>6</v>
      </c>
      <c r="C28" s="12" t="s">
        <v>25</v>
      </c>
      <c r="D28" s="18">
        <f>A28/(60*24)+D27</f>
        <v>46072.384027777785</v>
      </c>
      <c r="E28" s="1">
        <f t="shared" si="0"/>
        <v>4</v>
      </c>
      <c r="F28" s="18">
        <f t="shared" si="1"/>
        <v>46072.384027777785</v>
      </c>
      <c r="G28" s="18">
        <f t="shared" si="2"/>
        <v>46072.388194444451</v>
      </c>
      <c r="H28" s="18" t="b">
        <f t="shared" si="4"/>
        <v>1</v>
      </c>
      <c r="I28" s="18"/>
    </row>
    <row r="29" spans="1:9" x14ac:dyDescent="0.25">
      <c r="A29" s="7">
        <v>11</v>
      </c>
      <c r="B29" s="8">
        <v>12</v>
      </c>
      <c r="C29" s="9" t="s">
        <v>26</v>
      </c>
      <c r="D29" s="18">
        <f>A29/(60*24)+D28</f>
        <v>46072.391666666677</v>
      </c>
      <c r="E29" s="1">
        <f t="shared" si="0"/>
        <v>4</v>
      </c>
      <c r="F29" s="18">
        <f t="shared" si="1"/>
        <v>46072.391666666677</v>
      </c>
      <c r="G29" s="18">
        <f t="shared" si="2"/>
        <v>46072.400000000009</v>
      </c>
      <c r="H29" s="18" t="b">
        <f t="shared" si="4"/>
        <v>1</v>
      </c>
      <c r="I29" s="18"/>
    </row>
    <row r="30" spans="1:9" x14ac:dyDescent="0.25">
      <c r="A30" s="10">
        <v>4</v>
      </c>
      <c r="B30" s="11">
        <v>9</v>
      </c>
      <c r="C30" s="12" t="s">
        <v>27</v>
      </c>
      <c r="D30" s="18">
        <f>A30/(60*24)+D29</f>
        <v>46072.394444444457</v>
      </c>
      <c r="E30" s="1">
        <f t="shared" si="0"/>
        <v>4</v>
      </c>
      <c r="F30" s="18">
        <f t="shared" si="1"/>
        <v>46072.400000000009</v>
      </c>
      <c r="G30" s="18">
        <f t="shared" si="2"/>
        <v>46072.400000000009</v>
      </c>
      <c r="H30" s="18" t="b">
        <f t="shared" si="4"/>
        <v>0</v>
      </c>
      <c r="I30" s="18"/>
    </row>
    <row r="31" spans="1:9" x14ac:dyDescent="0.25">
      <c r="A31" s="7">
        <v>4</v>
      </c>
      <c r="B31" s="8">
        <v>1</v>
      </c>
      <c r="C31" s="9" t="s">
        <v>28</v>
      </c>
      <c r="D31" s="18">
        <f>A31/(60*24)+D30</f>
        <v>46072.397222222236</v>
      </c>
      <c r="E31" s="1">
        <f t="shared" si="0"/>
        <v>4</v>
      </c>
      <c r="F31" s="18">
        <f t="shared" si="1"/>
        <v>46072.400000000009</v>
      </c>
      <c r="G31" s="18">
        <f t="shared" si="2"/>
        <v>46072.400694444455</v>
      </c>
      <c r="H31" s="18" t="b">
        <f t="shared" si="4"/>
        <v>1</v>
      </c>
      <c r="I31" s="18"/>
    </row>
    <row r="32" spans="1:9" x14ac:dyDescent="0.25">
      <c r="A32" s="10">
        <v>2</v>
      </c>
      <c r="B32" s="11">
        <v>11</v>
      </c>
      <c r="C32" s="12" t="s">
        <v>29</v>
      </c>
      <c r="D32" s="18">
        <f>A32/(60*24)+D31</f>
        <v>46072.398611111123</v>
      </c>
      <c r="E32" s="1">
        <f t="shared" si="0"/>
        <v>4</v>
      </c>
      <c r="F32" s="18">
        <f t="shared" si="1"/>
        <v>46072.400694444455</v>
      </c>
      <c r="G32" s="18">
        <f t="shared" si="2"/>
        <v>46072.408333333347</v>
      </c>
      <c r="H32" s="18" t="b">
        <f t="shared" si="4"/>
        <v>1</v>
      </c>
      <c r="I32" s="18"/>
    </row>
    <row r="33" spans="1:9" x14ac:dyDescent="0.25">
      <c r="A33" s="7">
        <v>7</v>
      </c>
      <c r="B33" s="8">
        <v>2</v>
      </c>
      <c r="C33" s="9" t="s">
        <v>30</v>
      </c>
      <c r="D33" s="18">
        <f>A33/(60*24)+D32</f>
        <v>46072.403472222235</v>
      </c>
      <c r="E33" s="1">
        <f t="shared" si="0"/>
        <v>4</v>
      </c>
      <c r="F33" s="18">
        <f t="shared" si="1"/>
        <v>46072.408333333347</v>
      </c>
      <c r="G33" s="18">
        <f t="shared" si="2"/>
        <v>46072.408333333347</v>
      </c>
      <c r="H33" s="18" t="b">
        <f t="shared" si="4"/>
        <v>0</v>
      </c>
      <c r="I33" s="18"/>
    </row>
    <row r="34" spans="1:9" x14ac:dyDescent="0.25">
      <c r="A34" s="10">
        <v>11</v>
      </c>
      <c r="B34" s="11">
        <v>14</v>
      </c>
      <c r="C34" s="12" t="s">
        <v>31</v>
      </c>
      <c r="D34" s="18">
        <f>A34/(60*24)+D33</f>
        <v>46072.411111111127</v>
      </c>
      <c r="E34" s="1">
        <f t="shared" si="0"/>
        <v>4</v>
      </c>
      <c r="F34" s="18">
        <f t="shared" si="1"/>
        <v>46072.411111111127</v>
      </c>
      <c r="G34" s="18">
        <f t="shared" si="2"/>
        <v>46072.420833333352</v>
      </c>
      <c r="H34" s="18" t="b">
        <f t="shared" si="4"/>
        <v>1</v>
      </c>
      <c r="I34" s="18"/>
    </row>
    <row r="35" spans="1:9" x14ac:dyDescent="0.25">
      <c r="A35" s="7">
        <v>6</v>
      </c>
      <c r="B35" s="8">
        <v>3</v>
      </c>
      <c r="C35" s="9" t="s">
        <v>32</v>
      </c>
      <c r="D35" s="18">
        <f>A35/(60*24)+D34</f>
        <v>46072.415277777793</v>
      </c>
      <c r="E35" s="1">
        <f t="shared" si="0"/>
        <v>4</v>
      </c>
      <c r="F35" s="18">
        <f t="shared" si="1"/>
        <v>46072.420833333352</v>
      </c>
      <c r="G35" s="18">
        <f t="shared" si="2"/>
        <v>46072.420833333352</v>
      </c>
      <c r="H35" s="18" t="b">
        <f t="shared" si="4"/>
        <v>0</v>
      </c>
      <c r="I35" s="18"/>
    </row>
    <row r="36" spans="1:9" x14ac:dyDescent="0.25">
      <c r="A36" s="10">
        <v>11</v>
      </c>
      <c r="B36" s="11">
        <v>5</v>
      </c>
      <c r="C36" s="12" t="s">
        <v>33</v>
      </c>
      <c r="D36" s="18">
        <f>A36/(60*24)+D35</f>
        <v>46072.422916666685</v>
      </c>
      <c r="E36" s="1">
        <f t="shared" si="0"/>
        <v>5</v>
      </c>
      <c r="F36" s="18">
        <f t="shared" si="1"/>
        <v>46072.422916666685</v>
      </c>
      <c r="G36" s="18">
        <f t="shared" si="2"/>
        <v>46072.426388888904</v>
      </c>
      <c r="H36" s="18" t="b">
        <f t="shared" si="4"/>
        <v>1</v>
      </c>
      <c r="I36" s="18"/>
    </row>
    <row r="37" spans="1:9" x14ac:dyDescent="0.25">
      <c r="A37" s="7">
        <v>5</v>
      </c>
      <c r="B37" s="8">
        <v>9</v>
      </c>
      <c r="C37" s="9" t="s">
        <v>34</v>
      </c>
      <c r="D37" s="18">
        <f>A37/(60*24)+D36</f>
        <v>46072.426388888904</v>
      </c>
      <c r="E37" s="1">
        <f t="shared" si="0"/>
        <v>5</v>
      </c>
      <c r="F37" s="18">
        <f t="shared" si="1"/>
        <v>46072.426388888904</v>
      </c>
      <c r="G37" s="18">
        <f t="shared" si="2"/>
        <v>46072.432638888902</v>
      </c>
      <c r="H37" s="18" t="b">
        <f t="shared" si="4"/>
        <v>1</v>
      </c>
      <c r="I37" s="18"/>
    </row>
    <row r="38" spans="1:9" x14ac:dyDescent="0.25">
      <c r="A38" s="10">
        <v>9</v>
      </c>
      <c r="B38" s="11">
        <v>5</v>
      </c>
      <c r="C38" s="12" t="s">
        <v>35</v>
      </c>
      <c r="D38" s="18">
        <f>A38/(60*24)+D37</f>
        <v>46072.432638888902</v>
      </c>
      <c r="E38" s="1">
        <f t="shared" si="0"/>
        <v>5</v>
      </c>
      <c r="F38" s="18">
        <f t="shared" si="1"/>
        <v>46072.432638888902</v>
      </c>
      <c r="G38" s="18">
        <f t="shared" si="2"/>
        <v>46072.436111111121</v>
      </c>
      <c r="H38" s="18" t="b">
        <f t="shared" si="4"/>
        <v>1</v>
      </c>
      <c r="I38" s="18"/>
    </row>
    <row r="39" spans="1:9" x14ac:dyDescent="0.25">
      <c r="A39" s="7">
        <v>11</v>
      </c>
      <c r="B39" s="8">
        <v>4</v>
      </c>
      <c r="C39" s="9" t="s">
        <v>36</v>
      </c>
      <c r="D39" s="18">
        <f>A39/(60*24)+D38</f>
        <v>46072.440277777794</v>
      </c>
      <c r="E39" s="1">
        <f t="shared" si="0"/>
        <v>5</v>
      </c>
      <c r="F39" s="18">
        <f t="shared" si="1"/>
        <v>46072.440277777794</v>
      </c>
      <c r="G39" s="18">
        <f t="shared" si="2"/>
        <v>46072.443055555574</v>
      </c>
      <c r="H39" s="18" t="b">
        <f t="shared" si="4"/>
        <v>1</v>
      </c>
      <c r="I39" s="18"/>
    </row>
    <row r="40" spans="1:9" x14ac:dyDescent="0.25">
      <c r="A40" s="10">
        <v>15</v>
      </c>
      <c r="B40" s="11">
        <v>5</v>
      </c>
      <c r="C40" s="12" t="s">
        <v>37</v>
      </c>
      <c r="D40" s="18">
        <f>A40/(60*24)+D39</f>
        <v>46072.450694444458</v>
      </c>
      <c r="E40" s="1">
        <f t="shared" si="0"/>
        <v>5</v>
      </c>
      <c r="F40" s="18">
        <f t="shared" si="1"/>
        <v>46072.450694444458</v>
      </c>
      <c r="G40" s="18">
        <f t="shared" si="2"/>
        <v>46072.454166666677</v>
      </c>
      <c r="H40" s="18" t="b">
        <f t="shared" si="4"/>
        <v>1</v>
      </c>
      <c r="I40" s="18"/>
    </row>
    <row r="41" spans="1:9" x14ac:dyDescent="0.25">
      <c r="A41" s="7">
        <v>12</v>
      </c>
      <c r="B41" s="8">
        <v>1</v>
      </c>
      <c r="C41" s="9" t="s">
        <v>38</v>
      </c>
      <c r="D41" s="18">
        <f>A41/(60*24)+D40</f>
        <v>46072.45902777779</v>
      </c>
      <c r="E41" s="1">
        <f t="shared" si="0"/>
        <v>6</v>
      </c>
      <c r="F41" s="18">
        <f t="shared" si="1"/>
        <v>46072.45902777779</v>
      </c>
      <c r="G41" s="18">
        <f t="shared" si="2"/>
        <v>46072.459722222236</v>
      </c>
      <c r="H41" s="18" t="b">
        <f t="shared" si="4"/>
        <v>1</v>
      </c>
      <c r="I41" s="18"/>
    </row>
    <row r="42" spans="1:9" x14ac:dyDescent="0.25">
      <c r="A42" s="10">
        <v>2</v>
      </c>
      <c r="B42" s="11">
        <v>5</v>
      </c>
      <c r="C42" s="12" t="s">
        <v>39</v>
      </c>
      <c r="D42" s="18">
        <f>A42/(60*24)+D41</f>
        <v>46072.460416666676</v>
      </c>
      <c r="E42" s="1">
        <f t="shared" si="0"/>
        <v>6</v>
      </c>
      <c r="F42" s="18">
        <f t="shared" si="1"/>
        <v>46072.460416666676</v>
      </c>
      <c r="G42" s="18">
        <f t="shared" si="2"/>
        <v>46072.463888888895</v>
      </c>
      <c r="H42" s="18" t="b">
        <f t="shared" si="4"/>
        <v>1</v>
      </c>
      <c r="I42" s="18"/>
    </row>
    <row r="43" spans="1:9" x14ac:dyDescent="0.25">
      <c r="A43" s="7">
        <v>11</v>
      </c>
      <c r="B43" s="8">
        <v>11</v>
      </c>
      <c r="C43" s="9" t="s">
        <v>40</v>
      </c>
      <c r="D43" s="18">
        <f>A43/(60*24)+D42</f>
        <v>46072.468055555568</v>
      </c>
      <c r="E43" s="1">
        <f t="shared" si="0"/>
        <v>6</v>
      </c>
      <c r="F43" s="18">
        <f t="shared" si="1"/>
        <v>46072.468055555568</v>
      </c>
      <c r="G43" s="18">
        <f t="shared" si="2"/>
        <v>46072.47569444446</v>
      </c>
      <c r="H43" s="18" t="b">
        <f t="shared" si="4"/>
        <v>1</v>
      </c>
      <c r="I43" s="18"/>
    </row>
    <row r="44" spans="1:9" x14ac:dyDescent="0.25">
      <c r="A44" s="10">
        <v>2</v>
      </c>
      <c r="B44" s="11">
        <v>3</v>
      </c>
      <c r="C44" s="12" t="s">
        <v>41</v>
      </c>
      <c r="D44" s="18">
        <f>A44/(60*24)+D43</f>
        <v>46072.469444444454</v>
      </c>
      <c r="E44" s="1">
        <f t="shared" si="0"/>
        <v>6</v>
      </c>
      <c r="F44" s="18">
        <f t="shared" si="1"/>
        <v>46072.47569444446</v>
      </c>
      <c r="G44" s="18">
        <f t="shared" si="2"/>
        <v>46072.47569444446</v>
      </c>
      <c r="H44" s="18" t="b">
        <f t="shared" si="4"/>
        <v>0</v>
      </c>
      <c r="I44" s="18"/>
    </row>
    <row r="45" spans="1:9" x14ac:dyDescent="0.25">
      <c r="A45" s="7">
        <v>6</v>
      </c>
      <c r="B45" s="8">
        <v>13</v>
      </c>
      <c r="C45" s="9" t="s">
        <v>42</v>
      </c>
      <c r="D45" s="18">
        <f>A45/(60*24)+D44</f>
        <v>46072.47361111112</v>
      </c>
      <c r="E45" s="1">
        <f t="shared" si="0"/>
        <v>6</v>
      </c>
      <c r="F45" s="18">
        <f t="shared" si="1"/>
        <v>46072.47569444446</v>
      </c>
      <c r="G45" s="18">
        <f t="shared" si="2"/>
        <v>46072.484722222238</v>
      </c>
      <c r="H45" s="18" t="b">
        <f t="shared" si="4"/>
        <v>1</v>
      </c>
      <c r="I45" s="18"/>
    </row>
    <row r="46" spans="1:9" x14ac:dyDescent="0.25">
      <c r="A46" s="10">
        <v>4</v>
      </c>
      <c r="B46" s="11">
        <v>11</v>
      </c>
      <c r="C46" s="12" t="s">
        <v>43</v>
      </c>
      <c r="D46" s="18">
        <f>A46/(60*24)+D45</f>
        <v>46072.476388888899</v>
      </c>
      <c r="E46" s="1">
        <f t="shared" si="0"/>
        <v>6</v>
      </c>
      <c r="F46" s="18">
        <f t="shared" si="1"/>
        <v>46072.484722222238</v>
      </c>
      <c r="G46" s="18">
        <f t="shared" si="2"/>
        <v>46072.484722222238</v>
      </c>
      <c r="H46" s="18" t="b">
        <f t="shared" si="4"/>
        <v>0</v>
      </c>
      <c r="I46" s="18"/>
    </row>
    <row r="47" spans="1:9" x14ac:dyDescent="0.25">
      <c r="A47" s="7">
        <v>7</v>
      </c>
      <c r="B47" s="8">
        <v>10</v>
      </c>
      <c r="C47" s="9" t="s">
        <v>44</v>
      </c>
      <c r="D47" s="18">
        <f>A47/(60*24)+D46</f>
        <v>46072.481250000012</v>
      </c>
      <c r="E47" s="1">
        <f t="shared" si="0"/>
        <v>6</v>
      </c>
      <c r="F47" s="18">
        <f t="shared" si="1"/>
        <v>46072.484722222238</v>
      </c>
      <c r="G47" s="18">
        <f t="shared" si="2"/>
        <v>46072.491666666683</v>
      </c>
      <c r="H47" s="18" t="b">
        <f t="shared" si="4"/>
        <v>1</v>
      </c>
      <c r="I47" s="18"/>
    </row>
    <row r="48" spans="1:9" x14ac:dyDescent="0.25">
      <c r="A48" s="10">
        <v>8</v>
      </c>
      <c r="B48" s="11">
        <v>6</v>
      </c>
      <c r="C48" s="12" t="s">
        <v>45</v>
      </c>
      <c r="D48" s="18">
        <f>A48/(60*24)+D47</f>
        <v>46072.486805555571</v>
      </c>
      <c r="E48" s="1">
        <f t="shared" si="0"/>
        <v>6</v>
      </c>
      <c r="F48" s="18">
        <f t="shared" si="1"/>
        <v>46072.491666666683</v>
      </c>
      <c r="G48" s="18">
        <f t="shared" si="2"/>
        <v>46072.491666666683</v>
      </c>
      <c r="H48" s="18" t="b">
        <f t="shared" si="4"/>
        <v>0</v>
      </c>
      <c r="I48" s="18"/>
    </row>
    <row r="49" spans="1:9" x14ac:dyDescent="0.25">
      <c r="A49" s="7">
        <v>3</v>
      </c>
      <c r="B49" s="8">
        <v>14</v>
      </c>
      <c r="C49" s="9" t="s">
        <v>46</v>
      </c>
      <c r="D49" s="18">
        <f>A49/(60*24)+D48</f>
        <v>46072.488888888904</v>
      </c>
      <c r="E49" s="1">
        <f t="shared" si="0"/>
        <v>6</v>
      </c>
      <c r="F49" s="18">
        <f t="shared" si="1"/>
        <v>46072.491666666683</v>
      </c>
      <c r="G49" s="18">
        <f t="shared" si="2"/>
        <v>46072.501388888908</v>
      </c>
      <c r="H49" s="18" t="b">
        <f t="shared" si="4"/>
        <v>1</v>
      </c>
      <c r="I49" s="18"/>
    </row>
    <row r="50" spans="1:9" x14ac:dyDescent="0.25">
      <c r="A50" s="10">
        <v>7</v>
      </c>
      <c r="B50" s="11">
        <v>13</v>
      </c>
      <c r="C50" s="12" t="s">
        <v>47</v>
      </c>
      <c r="D50" s="18">
        <f>A50/(60*24)+D49</f>
        <v>46072.493750000016</v>
      </c>
      <c r="E50" s="1">
        <f t="shared" si="0"/>
        <v>6</v>
      </c>
      <c r="F50" s="18">
        <f t="shared" si="1"/>
        <v>46072.501388888908</v>
      </c>
      <c r="G50" s="18">
        <f t="shared" si="2"/>
        <v>46072.501388888908</v>
      </c>
      <c r="H50" s="18" t="b">
        <f t="shared" si="4"/>
        <v>0</v>
      </c>
      <c r="I50" s="18"/>
    </row>
    <row r="51" spans="1:9" x14ac:dyDescent="0.25">
      <c r="A51" s="7">
        <v>15</v>
      </c>
      <c r="B51" s="8">
        <v>11</v>
      </c>
      <c r="C51" s="9" t="s">
        <v>48</v>
      </c>
      <c r="D51" s="18">
        <f>A51/(60*24)+D50</f>
        <v>46072.50416666668</v>
      </c>
      <c r="E51" s="1">
        <f t="shared" si="0"/>
        <v>7</v>
      </c>
      <c r="F51" s="18">
        <f t="shared" si="1"/>
        <v>46072.50416666668</v>
      </c>
      <c r="G51" s="18">
        <f t="shared" si="2"/>
        <v>46072.511805555572</v>
      </c>
      <c r="H51" s="18" t="b">
        <f t="shared" si="4"/>
        <v>1</v>
      </c>
      <c r="I51" s="18"/>
    </row>
    <row r="52" spans="1:9" x14ac:dyDescent="0.25">
      <c r="A52" s="10">
        <v>11</v>
      </c>
      <c r="B52" s="11">
        <v>8</v>
      </c>
      <c r="C52" s="12" t="s">
        <v>49</v>
      </c>
      <c r="D52" s="18">
        <f>A52/(60*24)+D51</f>
        <v>46072.511805555572</v>
      </c>
      <c r="E52" s="1">
        <f t="shared" si="0"/>
        <v>7</v>
      </c>
      <c r="F52" s="18">
        <f t="shared" si="1"/>
        <v>46072.511805555572</v>
      </c>
      <c r="G52" s="18">
        <f t="shared" si="2"/>
        <v>46072.517361111131</v>
      </c>
      <c r="H52" s="18" t="b">
        <f t="shared" si="4"/>
        <v>1</v>
      </c>
      <c r="I52" s="18"/>
    </row>
    <row r="53" spans="1:9" x14ac:dyDescent="0.25">
      <c r="A53" s="7">
        <v>6</v>
      </c>
      <c r="B53" s="8">
        <v>10</v>
      </c>
      <c r="C53" s="9" t="s">
        <v>50</v>
      </c>
      <c r="D53" s="18">
        <f>A53/(60*24)+D52</f>
        <v>46072.515972222238</v>
      </c>
      <c r="E53" s="1">
        <f t="shared" si="0"/>
        <v>7</v>
      </c>
      <c r="F53" s="18">
        <f t="shared" si="1"/>
        <v>46072.517361111131</v>
      </c>
      <c r="G53" s="18">
        <f t="shared" si="2"/>
        <v>46072.524305555577</v>
      </c>
      <c r="H53" s="18" t="b">
        <f t="shared" si="4"/>
        <v>1</v>
      </c>
      <c r="I53" s="18"/>
    </row>
    <row r="54" spans="1:9" x14ac:dyDescent="0.25">
      <c r="A54" s="10">
        <v>3</v>
      </c>
      <c r="B54" s="11">
        <v>12</v>
      </c>
      <c r="C54" s="12" t="s">
        <v>51</v>
      </c>
      <c r="D54" s="18">
        <f>A54/(60*24)+D53</f>
        <v>46072.518055555571</v>
      </c>
      <c r="E54" s="1">
        <f t="shared" si="0"/>
        <v>7</v>
      </c>
      <c r="F54" s="18">
        <f t="shared" si="1"/>
        <v>46072.524305555577</v>
      </c>
      <c r="G54" s="18">
        <f t="shared" si="2"/>
        <v>46072.524305555577</v>
      </c>
      <c r="H54" s="18" t="b">
        <f t="shared" si="4"/>
        <v>0</v>
      </c>
      <c r="I54" s="18"/>
    </row>
    <row r="55" spans="1:9" x14ac:dyDescent="0.25">
      <c r="A55" s="7">
        <v>13</v>
      </c>
      <c r="B55" s="8">
        <v>11</v>
      </c>
      <c r="C55" s="9" t="s">
        <v>52</v>
      </c>
      <c r="D55" s="18">
        <f>A55/(60*24)+D54</f>
        <v>46072.527083333349</v>
      </c>
      <c r="E55" s="1">
        <f t="shared" si="0"/>
        <v>7</v>
      </c>
      <c r="F55" s="18">
        <f t="shared" si="1"/>
        <v>46072.527083333349</v>
      </c>
      <c r="G55" s="18">
        <f t="shared" si="2"/>
        <v>46072.534722222241</v>
      </c>
      <c r="H55" s="18" t="b">
        <f t="shared" si="4"/>
        <v>1</v>
      </c>
      <c r="I55" s="18"/>
    </row>
    <row r="56" spans="1:9" x14ac:dyDescent="0.25">
      <c r="A56" s="10">
        <v>15</v>
      </c>
      <c r="B56" s="11">
        <v>12</v>
      </c>
      <c r="C56" s="12" t="s">
        <v>53</v>
      </c>
      <c r="D56" s="18">
        <f>A56/(60*24)+D55</f>
        <v>46072.537500000013</v>
      </c>
      <c r="E56" s="1">
        <f t="shared" si="0"/>
        <v>7</v>
      </c>
      <c r="F56" s="18">
        <f t="shared" si="1"/>
        <v>46072.537500000013</v>
      </c>
      <c r="G56" s="18">
        <f t="shared" si="2"/>
        <v>46072.545833333344</v>
      </c>
      <c r="H56" s="18" t="b">
        <f t="shared" si="4"/>
        <v>1</v>
      </c>
      <c r="I56" s="18"/>
    </row>
    <row r="57" spans="1:9" x14ac:dyDescent="0.25">
      <c r="A57" s="7">
        <v>1</v>
      </c>
      <c r="B57" s="8">
        <v>13</v>
      </c>
      <c r="C57" s="9" t="s">
        <v>54</v>
      </c>
      <c r="D57" s="18">
        <f>A57/(60*24)+D56</f>
        <v>46072.53819444446</v>
      </c>
      <c r="E57" s="1">
        <f t="shared" si="0"/>
        <v>7</v>
      </c>
      <c r="F57" s="18">
        <f t="shared" si="1"/>
        <v>46072.545833333344</v>
      </c>
      <c r="G57" s="18">
        <f t="shared" si="2"/>
        <v>46072.545833333344</v>
      </c>
      <c r="H57" s="18" t="b">
        <f t="shared" si="4"/>
        <v>0</v>
      </c>
      <c r="I57" s="18"/>
    </row>
    <row r="58" spans="1:9" x14ac:dyDescent="0.25">
      <c r="A58" s="10">
        <v>15</v>
      </c>
      <c r="B58" s="11">
        <v>7</v>
      </c>
      <c r="C58" s="12" t="s">
        <v>55</v>
      </c>
      <c r="D58" s="18">
        <f>A58/(60*24)+D57</f>
        <v>46072.548611111124</v>
      </c>
      <c r="E58" s="1">
        <f t="shared" si="0"/>
        <v>8</v>
      </c>
      <c r="F58" s="18">
        <f t="shared" si="1"/>
        <v>46072.548611111124</v>
      </c>
      <c r="G58" s="18">
        <f t="shared" si="2"/>
        <v>46072.553472222236</v>
      </c>
      <c r="H58" s="18" t="b">
        <f t="shared" si="4"/>
        <v>1</v>
      </c>
      <c r="I58" s="18"/>
    </row>
    <row r="59" spans="1:9" x14ac:dyDescent="0.25">
      <c r="A59" s="7">
        <v>14</v>
      </c>
      <c r="B59" s="8">
        <v>10</v>
      </c>
      <c r="C59" s="9" t="s">
        <v>56</v>
      </c>
      <c r="D59" s="18">
        <f>A59/(60*24)+D58</f>
        <v>46072.558333333349</v>
      </c>
      <c r="E59" s="1">
        <f t="shared" si="0"/>
        <v>8</v>
      </c>
      <c r="F59" s="18">
        <f t="shared" si="1"/>
        <v>46072.558333333349</v>
      </c>
      <c r="G59" s="18">
        <f t="shared" si="2"/>
        <v>46072.565277777794</v>
      </c>
      <c r="H59" s="18" t="b">
        <f t="shared" si="4"/>
        <v>1</v>
      </c>
      <c r="I59" s="18"/>
    </row>
    <row r="60" spans="1:9" x14ac:dyDescent="0.25">
      <c r="A60" s="10">
        <v>7</v>
      </c>
      <c r="B60" s="11">
        <v>1</v>
      </c>
      <c r="C60" s="12" t="s">
        <v>57</v>
      </c>
      <c r="D60" s="18">
        <f>A60/(60*24)+D59</f>
        <v>46072.563194444461</v>
      </c>
      <c r="E60" s="1">
        <f t="shared" si="0"/>
        <v>8</v>
      </c>
      <c r="F60" s="18">
        <f t="shared" si="1"/>
        <v>46072.565277777794</v>
      </c>
      <c r="G60" s="18">
        <f t="shared" si="2"/>
        <v>46072.565972222241</v>
      </c>
      <c r="H60" s="18" t="b">
        <f t="shared" si="4"/>
        <v>1</v>
      </c>
      <c r="I60" s="18"/>
    </row>
    <row r="61" spans="1:9" x14ac:dyDescent="0.25">
      <c r="A61" s="7">
        <v>7</v>
      </c>
      <c r="B61" s="8">
        <v>5</v>
      </c>
      <c r="C61" s="9" t="s">
        <v>58</v>
      </c>
      <c r="D61" s="18">
        <f>A61/(60*24)+D60</f>
        <v>46072.568055555574</v>
      </c>
      <c r="E61" s="1">
        <f t="shared" si="0"/>
        <v>8</v>
      </c>
      <c r="F61" s="18">
        <f t="shared" si="1"/>
        <v>46072.568055555574</v>
      </c>
      <c r="G61" s="18">
        <f t="shared" si="2"/>
        <v>46072.571527777793</v>
      </c>
      <c r="H61" s="18" t="b">
        <f t="shared" si="4"/>
        <v>1</v>
      </c>
      <c r="I61" s="18"/>
    </row>
    <row r="62" spans="1:9" x14ac:dyDescent="0.25">
      <c r="A62" s="10">
        <v>6</v>
      </c>
      <c r="B62" s="11">
        <v>1</v>
      </c>
      <c r="C62" s="12" t="s">
        <v>59</v>
      </c>
      <c r="D62" s="18">
        <f>A62/(60*24)+D61</f>
        <v>46072.572222222239</v>
      </c>
      <c r="E62" s="1">
        <f t="shared" si="0"/>
        <v>8</v>
      </c>
      <c r="F62" s="18">
        <f t="shared" si="1"/>
        <v>46072.572222222239</v>
      </c>
      <c r="G62" s="18">
        <f t="shared" si="2"/>
        <v>46072.572916666686</v>
      </c>
      <c r="H62" s="18" t="b">
        <f t="shared" si="4"/>
        <v>1</v>
      </c>
      <c r="I62" s="18"/>
    </row>
    <row r="63" spans="1:9" x14ac:dyDescent="0.25">
      <c r="A63" s="7">
        <v>3</v>
      </c>
      <c r="B63" s="8">
        <v>12</v>
      </c>
      <c r="C63" s="9" t="s">
        <v>60</v>
      </c>
      <c r="D63" s="18">
        <f>A63/(60*24)+D62</f>
        <v>46072.574305555572</v>
      </c>
      <c r="E63" s="1">
        <f t="shared" si="0"/>
        <v>8</v>
      </c>
      <c r="F63" s="18">
        <f t="shared" si="1"/>
        <v>46072.574305555572</v>
      </c>
      <c r="G63" s="18">
        <f t="shared" si="2"/>
        <v>46072.582638888904</v>
      </c>
      <c r="H63" s="18" t="b">
        <f t="shared" si="4"/>
        <v>1</v>
      </c>
      <c r="I63" s="18"/>
    </row>
    <row r="64" spans="1:9" x14ac:dyDescent="0.25">
      <c r="A64" s="10">
        <v>15</v>
      </c>
      <c r="B64" s="11">
        <v>14</v>
      </c>
      <c r="C64" s="12" t="s">
        <v>61</v>
      </c>
      <c r="D64" s="18">
        <f>A64/(60*24)+D63</f>
        <v>46072.584722222236</v>
      </c>
      <c r="E64" s="1">
        <f t="shared" si="0"/>
        <v>9</v>
      </c>
      <c r="F64" s="18">
        <f t="shared" si="1"/>
        <v>46072.584722222236</v>
      </c>
      <c r="G64" s="18">
        <f t="shared" si="2"/>
        <v>46072.594444444461</v>
      </c>
      <c r="H64" s="18" t="b">
        <f t="shared" si="4"/>
        <v>1</v>
      </c>
      <c r="I64" s="18"/>
    </row>
    <row r="65" spans="1:9" x14ac:dyDescent="0.25">
      <c r="A65" s="7">
        <v>3</v>
      </c>
      <c r="B65" s="8">
        <v>9</v>
      </c>
      <c r="C65" s="9" t="s">
        <v>62</v>
      </c>
      <c r="D65" s="18">
        <f>A65/(60*24)+D64</f>
        <v>46072.586805555569</v>
      </c>
      <c r="E65" s="1">
        <f t="shared" si="0"/>
        <v>9</v>
      </c>
      <c r="F65" s="18">
        <f t="shared" si="1"/>
        <v>46072.594444444461</v>
      </c>
      <c r="G65" s="18">
        <f t="shared" si="2"/>
        <v>46072.594444444461</v>
      </c>
      <c r="H65" s="18" t="b">
        <f t="shared" si="4"/>
        <v>0</v>
      </c>
      <c r="I65" s="18"/>
    </row>
    <row r="66" spans="1:9" x14ac:dyDescent="0.25">
      <c r="A66" s="10">
        <v>8</v>
      </c>
      <c r="B66" s="11">
        <v>11</v>
      </c>
      <c r="C66" s="12" t="s">
        <v>63</v>
      </c>
      <c r="D66" s="18">
        <f>A66/(60*24)+D65</f>
        <v>46072.592361111128</v>
      </c>
      <c r="E66" s="1">
        <f t="shared" si="0"/>
        <v>9</v>
      </c>
      <c r="F66" s="18">
        <f t="shared" si="1"/>
        <v>46072.594444444461</v>
      </c>
      <c r="G66" s="18">
        <f t="shared" si="2"/>
        <v>46072.602083333353</v>
      </c>
      <c r="H66" s="18" t="b">
        <f t="shared" si="4"/>
        <v>1</v>
      </c>
      <c r="I66" s="18"/>
    </row>
    <row r="67" spans="1:9" x14ac:dyDescent="0.25">
      <c r="A67" s="7">
        <v>5</v>
      </c>
      <c r="B67" s="8">
        <v>15</v>
      </c>
      <c r="C67" s="9" t="s">
        <v>64</v>
      </c>
      <c r="D67" s="18">
        <f>A67/(60*24)+D66</f>
        <v>46072.595833333347</v>
      </c>
      <c r="E67" s="1">
        <f t="shared" si="0"/>
        <v>9</v>
      </c>
      <c r="F67" s="18">
        <f t="shared" si="1"/>
        <v>46072.602083333353</v>
      </c>
      <c r="G67" s="18">
        <f t="shared" si="2"/>
        <v>46072.602083333353</v>
      </c>
      <c r="H67" s="18" t="b">
        <f t="shared" si="4"/>
        <v>0</v>
      </c>
      <c r="I67" s="18"/>
    </row>
    <row r="68" spans="1:9" x14ac:dyDescent="0.25">
      <c r="A68" s="10">
        <v>2</v>
      </c>
      <c r="B68" s="11">
        <v>4</v>
      </c>
      <c r="C68" s="12" t="s">
        <v>65</v>
      </c>
      <c r="D68" s="18">
        <f>A68/(60*24)+D67</f>
        <v>46072.597222222234</v>
      </c>
      <c r="E68" s="1">
        <f t="shared" ref="E68:E131" si="5">HOUR(D68)-5</f>
        <v>9</v>
      </c>
      <c r="F68" s="18">
        <f t="shared" si="1"/>
        <v>46072.602083333353</v>
      </c>
      <c r="G68" s="18">
        <f t="shared" si="2"/>
        <v>46072.602083333353</v>
      </c>
      <c r="H68" s="18" t="b">
        <f t="shared" si="4"/>
        <v>0</v>
      </c>
      <c r="I68" s="18"/>
    </row>
    <row r="69" spans="1:9" x14ac:dyDescent="0.25">
      <c r="A69" s="7">
        <v>14</v>
      </c>
      <c r="B69" s="8">
        <v>9</v>
      </c>
      <c r="C69" s="9" t="s">
        <v>66</v>
      </c>
      <c r="D69" s="18">
        <f>A69/(60*24)+D68</f>
        <v>46072.606944444458</v>
      </c>
      <c r="E69" s="1">
        <f t="shared" si="5"/>
        <v>9</v>
      </c>
      <c r="F69" s="18">
        <f t="shared" ref="F69:F132" si="6">IF(D69&gt;G68,D69,G68)</f>
        <v>46072.606944444458</v>
      </c>
      <c r="G69" s="18">
        <f t="shared" ref="G69:G132" si="7">IF(H69=TRUE,F69+B69/(60*24),G68)</f>
        <v>46072.613194444457</v>
      </c>
      <c r="H69" s="18" t="b">
        <f t="shared" si="4"/>
        <v>1</v>
      </c>
      <c r="I69" s="18"/>
    </row>
    <row r="70" spans="1:9" x14ac:dyDescent="0.25">
      <c r="A70" s="10">
        <v>7</v>
      </c>
      <c r="B70" s="11">
        <v>7</v>
      </c>
      <c r="C70" s="12" t="s">
        <v>67</v>
      </c>
      <c r="D70" s="18">
        <f>A70/(60*24)+D69</f>
        <v>46072.611805555571</v>
      </c>
      <c r="E70" s="1">
        <f t="shared" si="5"/>
        <v>9</v>
      </c>
      <c r="F70" s="18">
        <f t="shared" si="6"/>
        <v>46072.613194444457</v>
      </c>
      <c r="G70" s="18">
        <f t="shared" si="7"/>
        <v>46072.618055555569</v>
      </c>
      <c r="H70" s="18" t="b">
        <f t="shared" si="4"/>
        <v>1</v>
      </c>
      <c r="I70" s="18"/>
    </row>
    <row r="71" spans="1:9" x14ac:dyDescent="0.25">
      <c r="A71" s="7">
        <v>14</v>
      </c>
      <c r="B71" s="8">
        <v>6</v>
      </c>
      <c r="C71" s="9" t="s">
        <v>68</v>
      </c>
      <c r="D71" s="18">
        <f>A71/(60*24)+D70</f>
        <v>46072.621527777796</v>
      </c>
      <c r="E71" s="1">
        <f t="shared" si="5"/>
        <v>9</v>
      </c>
      <c r="F71" s="18">
        <f t="shared" si="6"/>
        <v>46072.621527777796</v>
      </c>
      <c r="G71" s="18">
        <f t="shared" si="7"/>
        <v>46072.625694444461</v>
      </c>
      <c r="H71" s="18" t="b">
        <f t="shared" ref="H71:H134" si="8">IF(D71+5*$B$1&gt;=G70,TRUE,FALSE)</f>
        <v>1</v>
      </c>
      <c r="I71" s="18"/>
    </row>
    <row r="72" spans="1:9" x14ac:dyDescent="0.25">
      <c r="A72" s="10">
        <v>11</v>
      </c>
      <c r="B72" s="11">
        <v>12</v>
      </c>
      <c r="C72" s="12" t="s">
        <v>69</v>
      </c>
      <c r="D72" s="18">
        <f>A72/(60*24)+D71</f>
        <v>46072.629166666688</v>
      </c>
      <c r="E72" s="1">
        <f t="shared" si="5"/>
        <v>10</v>
      </c>
      <c r="F72" s="18">
        <f t="shared" si="6"/>
        <v>46072.629166666688</v>
      </c>
      <c r="G72" s="18">
        <f t="shared" si="7"/>
        <v>46072.637500000019</v>
      </c>
      <c r="H72" s="18" t="b">
        <f t="shared" si="8"/>
        <v>1</v>
      </c>
      <c r="I72" s="18"/>
    </row>
    <row r="73" spans="1:9" x14ac:dyDescent="0.25">
      <c r="A73" s="7">
        <v>2</v>
      </c>
      <c r="B73" s="8">
        <v>4</v>
      </c>
      <c r="C73" s="9" t="s">
        <v>70</v>
      </c>
      <c r="D73" s="18">
        <f>A73/(60*24)+D72</f>
        <v>46072.630555555574</v>
      </c>
      <c r="E73" s="1">
        <f t="shared" si="5"/>
        <v>10</v>
      </c>
      <c r="F73" s="18">
        <f t="shared" si="6"/>
        <v>46072.637500000019</v>
      </c>
      <c r="G73" s="18">
        <f t="shared" si="7"/>
        <v>46072.637500000019</v>
      </c>
      <c r="H73" s="18" t="b">
        <f t="shared" si="8"/>
        <v>0</v>
      </c>
      <c r="I73" s="18"/>
    </row>
    <row r="74" spans="1:9" x14ac:dyDescent="0.25">
      <c r="A74" s="10">
        <v>11</v>
      </c>
      <c r="B74" s="11">
        <v>15</v>
      </c>
      <c r="C74" s="12" t="s">
        <v>71</v>
      </c>
      <c r="D74" s="18">
        <f>A74/(60*24)+D73</f>
        <v>46072.638194444466</v>
      </c>
      <c r="E74" s="1">
        <f t="shared" si="5"/>
        <v>10</v>
      </c>
      <c r="F74" s="18">
        <f t="shared" si="6"/>
        <v>46072.638194444466</v>
      </c>
      <c r="G74" s="18">
        <f t="shared" si="7"/>
        <v>46072.64861111113</v>
      </c>
      <c r="H74" s="18" t="b">
        <f t="shared" si="8"/>
        <v>1</v>
      </c>
      <c r="I74" s="18"/>
    </row>
    <row r="75" spans="1:9" x14ac:dyDescent="0.25">
      <c r="A75" s="7">
        <v>4</v>
      </c>
      <c r="B75" s="8">
        <v>3</v>
      </c>
      <c r="C75" s="9" t="s">
        <v>72</v>
      </c>
      <c r="D75" s="18">
        <f>A75/(60*24)+D74</f>
        <v>46072.640972222245</v>
      </c>
      <c r="E75" s="1">
        <f t="shared" si="5"/>
        <v>10</v>
      </c>
      <c r="F75" s="18">
        <f t="shared" si="6"/>
        <v>46072.64861111113</v>
      </c>
      <c r="G75" s="18">
        <f t="shared" si="7"/>
        <v>46072.64861111113</v>
      </c>
      <c r="H75" s="18" t="b">
        <f t="shared" si="8"/>
        <v>0</v>
      </c>
      <c r="I75" s="18"/>
    </row>
    <row r="76" spans="1:9" x14ac:dyDescent="0.25">
      <c r="A76" s="10">
        <v>3</v>
      </c>
      <c r="B76" s="11">
        <v>12</v>
      </c>
      <c r="C76" s="12" t="s">
        <v>73</v>
      </c>
      <c r="D76" s="18">
        <f>A76/(60*24)+D75</f>
        <v>46072.643055555578</v>
      </c>
      <c r="E76" s="1">
        <f t="shared" si="5"/>
        <v>10</v>
      </c>
      <c r="F76" s="18">
        <f t="shared" si="6"/>
        <v>46072.64861111113</v>
      </c>
      <c r="G76" s="18">
        <f t="shared" si="7"/>
        <v>46072.64861111113</v>
      </c>
      <c r="H76" s="18" t="b">
        <f t="shared" si="8"/>
        <v>0</v>
      </c>
      <c r="I76" s="18"/>
    </row>
    <row r="77" spans="1:9" x14ac:dyDescent="0.25">
      <c r="A77" s="7">
        <v>2</v>
      </c>
      <c r="B77" s="8">
        <v>7</v>
      </c>
      <c r="C77" s="9" t="s">
        <v>74</v>
      </c>
      <c r="D77" s="18">
        <f>A77/(60*24)+D76</f>
        <v>46072.644444444464</v>
      </c>
      <c r="E77" s="1">
        <f t="shared" si="5"/>
        <v>10</v>
      </c>
      <c r="F77" s="18">
        <f t="shared" si="6"/>
        <v>46072.64861111113</v>
      </c>
      <c r="G77" s="18">
        <f t="shared" si="7"/>
        <v>46072.64861111113</v>
      </c>
      <c r="H77" s="18" t="b">
        <f t="shared" si="8"/>
        <v>0</v>
      </c>
      <c r="I77" s="18"/>
    </row>
    <row r="78" spans="1:9" x14ac:dyDescent="0.25">
      <c r="A78" s="10">
        <v>13</v>
      </c>
      <c r="B78" s="11">
        <v>7</v>
      </c>
      <c r="C78" s="12" t="s">
        <v>75</v>
      </c>
      <c r="D78" s="18">
        <f>A78/(60*24)+D77</f>
        <v>46072.653472222242</v>
      </c>
      <c r="E78" s="1">
        <f t="shared" si="5"/>
        <v>10</v>
      </c>
      <c r="F78" s="18">
        <f t="shared" si="6"/>
        <v>46072.653472222242</v>
      </c>
      <c r="G78" s="18">
        <f t="shared" si="7"/>
        <v>46072.658333333355</v>
      </c>
      <c r="H78" s="18" t="b">
        <f t="shared" si="8"/>
        <v>1</v>
      </c>
      <c r="I78" s="18"/>
    </row>
    <row r="79" spans="1:9" x14ac:dyDescent="0.25">
      <c r="A79" s="7">
        <v>3</v>
      </c>
      <c r="B79" s="8">
        <v>12</v>
      </c>
      <c r="C79" s="9" t="s">
        <v>76</v>
      </c>
      <c r="D79" s="18">
        <f>A79/(60*24)+D78</f>
        <v>46072.655555555575</v>
      </c>
      <c r="E79" s="1">
        <f t="shared" si="5"/>
        <v>10</v>
      </c>
      <c r="F79" s="18">
        <f t="shared" si="6"/>
        <v>46072.658333333355</v>
      </c>
      <c r="G79" s="18">
        <f t="shared" si="7"/>
        <v>46072.666666666686</v>
      </c>
      <c r="H79" s="18" t="b">
        <f t="shared" si="8"/>
        <v>1</v>
      </c>
      <c r="I79" s="18"/>
    </row>
    <row r="80" spans="1:9" x14ac:dyDescent="0.25">
      <c r="A80" s="10">
        <v>9</v>
      </c>
      <c r="B80" s="11">
        <v>9</v>
      </c>
      <c r="C80" s="12" t="s">
        <v>77</v>
      </c>
      <c r="D80" s="18">
        <f>A80/(60*24)+D79</f>
        <v>46072.661805555574</v>
      </c>
      <c r="E80" s="1">
        <f t="shared" si="5"/>
        <v>10</v>
      </c>
      <c r="F80" s="18">
        <f t="shared" si="6"/>
        <v>46072.666666666686</v>
      </c>
      <c r="G80" s="18">
        <f t="shared" si="7"/>
        <v>46072.666666666686</v>
      </c>
      <c r="H80" s="18" t="b">
        <f t="shared" si="8"/>
        <v>0</v>
      </c>
      <c r="I80" s="18"/>
    </row>
    <row r="81" spans="1:9" x14ac:dyDescent="0.25">
      <c r="A81" s="7">
        <v>13</v>
      </c>
      <c r="B81" s="8">
        <v>3</v>
      </c>
      <c r="C81" s="9" t="s">
        <v>78</v>
      </c>
      <c r="D81" s="18">
        <f>A81/(60*24)+D80</f>
        <v>46072.670833333352</v>
      </c>
      <c r="E81" s="1">
        <f t="shared" si="5"/>
        <v>11</v>
      </c>
      <c r="F81" s="18">
        <f t="shared" si="6"/>
        <v>46072.670833333352</v>
      </c>
      <c r="G81" s="18">
        <f t="shared" si="7"/>
        <v>46072.672916666685</v>
      </c>
      <c r="H81" s="18" t="b">
        <f t="shared" si="8"/>
        <v>1</v>
      </c>
      <c r="I81" s="18"/>
    </row>
    <row r="82" spans="1:9" x14ac:dyDescent="0.25">
      <c r="A82" s="10">
        <v>7</v>
      </c>
      <c r="B82" s="11">
        <v>2</v>
      </c>
      <c r="C82" s="12" t="s">
        <v>79</v>
      </c>
      <c r="D82" s="18">
        <f>A82/(60*24)+D81</f>
        <v>46072.675694444464</v>
      </c>
      <c r="E82" s="1">
        <f t="shared" si="5"/>
        <v>11</v>
      </c>
      <c r="F82" s="18">
        <f t="shared" si="6"/>
        <v>46072.675694444464</v>
      </c>
      <c r="G82" s="18">
        <f t="shared" si="7"/>
        <v>46072.67708333335</v>
      </c>
      <c r="H82" s="18" t="b">
        <f t="shared" si="8"/>
        <v>1</v>
      </c>
      <c r="I82" s="18"/>
    </row>
    <row r="83" spans="1:9" x14ac:dyDescent="0.25">
      <c r="A83" s="7">
        <v>13</v>
      </c>
      <c r="B83" s="8">
        <v>4</v>
      </c>
      <c r="C83" s="9" t="s">
        <v>80</v>
      </c>
      <c r="D83" s="18">
        <f>A83/(60*24)+D82</f>
        <v>46072.684722222242</v>
      </c>
      <c r="E83" s="1">
        <f t="shared" si="5"/>
        <v>11</v>
      </c>
      <c r="F83" s="18">
        <f t="shared" si="6"/>
        <v>46072.684722222242</v>
      </c>
      <c r="G83" s="18">
        <f t="shared" si="7"/>
        <v>46072.687500000022</v>
      </c>
      <c r="H83" s="18" t="b">
        <f t="shared" si="8"/>
        <v>1</v>
      </c>
      <c r="I83" s="18"/>
    </row>
    <row r="84" spans="1:9" x14ac:dyDescent="0.25">
      <c r="A84" s="10">
        <v>4</v>
      </c>
      <c r="B84" s="11">
        <v>12</v>
      </c>
      <c r="C84" s="12" t="s">
        <v>81</v>
      </c>
      <c r="D84" s="18">
        <f>A84/(60*24)+D83</f>
        <v>46072.687500000022</v>
      </c>
      <c r="E84" s="1">
        <f t="shared" si="5"/>
        <v>11</v>
      </c>
      <c r="F84" s="18">
        <f t="shared" si="6"/>
        <v>46072.687500000022</v>
      </c>
      <c r="G84" s="18">
        <f t="shared" si="7"/>
        <v>46072.695833333353</v>
      </c>
      <c r="H84" s="18" t="b">
        <f t="shared" si="8"/>
        <v>1</v>
      </c>
      <c r="I84" s="18"/>
    </row>
    <row r="85" spans="1:9" x14ac:dyDescent="0.25">
      <c r="A85" s="7">
        <v>7</v>
      </c>
      <c r="B85" s="8">
        <v>8</v>
      </c>
      <c r="C85" s="9" t="s">
        <v>82</v>
      </c>
      <c r="D85" s="18">
        <f>A85/(60*24)+D84</f>
        <v>46072.692361111134</v>
      </c>
      <c r="E85" s="1">
        <f t="shared" si="5"/>
        <v>11</v>
      </c>
      <c r="F85" s="18">
        <f t="shared" si="6"/>
        <v>46072.695833333353</v>
      </c>
      <c r="G85" s="18">
        <f t="shared" si="7"/>
        <v>46072.701388888912</v>
      </c>
      <c r="H85" s="18" t="b">
        <f t="shared" si="8"/>
        <v>1</v>
      </c>
      <c r="I85" s="18"/>
    </row>
    <row r="86" spans="1:9" x14ac:dyDescent="0.25">
      <c r="A86" s="10">
        <v>3</v>
      </c>
      <c r="B86" s="11">
        <v>12</v>
      </c>
      <c r="C86" s="12" t="s">
        <v>83</v>
      </c>
      <c r="D86" s="18">
        <f>A86/(60*24)+D85</f>
        <v>46072.694444444467</v>
      </c>
      <c r="E86" s="1">
        <f t="shared" si="5"/>
        <v>11</v>
      </c>
      <c r="F86" s="18">
        <f t="shared" si="6"/>
        <v>46072.701388888912</v>
      </c>
      <c r="G86" s="18">
        <f t="shared" si="7"/>
        <v>46072.701388888912</v>
      </c>
      <c r="H86" s="18" t="b">
        <f t="shared" si="8"/>
        <v>0</v>
      </c>
      <c r="I86" s="18"/>
    </row>
    <row r="87" spans="1:9" x14ac:dyDescent="0.25">
      <c r="A87" s="7">
        <v>4</v>
      </c>
      <c r="B87" s="8">
        <v>11</v>
      </c>
      <c r="C87" s="9" t="s">
        <v>84</v>
      </c>
      <c r="D87" s="18">
        <f>A87/(60*24)+D86</f>
        <v>46072.697222222247</v>
      </c>
      <c r="E87" s="1">
        <f t="shared" si="5"/>
        <v>11</v>
      </c>
      <c r="F87" s="18">
        <f t="shared" si="6"/>
        <v>46072.701388888912</v>
      </c>
      <c r="G87" s="18">
        <f t="shared" si="7"/>
        <v>46072.701388888912</v>
      </c>
      <c r="H87" s="18" t="b">
        <f t="shared" si="8"/>
        <v>0</v>
      </c>
      <c r="I87" s="18"/>
    </row>
    <row r="88" spans="1:9" x14ac:dyDescent="0.25">
      <c r="A88" s="10">
        <v>7</v>
      </c>
      <c r="B88" s="11">
        <v>1</v>
      </c>
      <c r="C88" s="12" t="s">
        <v>85</v>
      </c>
      <c r="D88" s="18">
        <f>A88/(60*24)+D87</f>
        <v>46072.702083333359</v>
      </c>
      <c r="E88" s="1">
        <f t="shared" si="5"/>
        <v>11</v>
      </c>
      <c r="F88" s="18">
        <f t="shared" si="6"/>
        <v>46072.702083333359</v>
      </c>
      <c r="G88" s="18">
        <f t="shared" si="7"/>
        <v>46072.702777777806</v>
      </c>
      <c r="H88" s="18" t="b">
        <f t="shared" si="8"/>
        <v>1</v>
      </c>
      <c r="I88" s="18"/>
    </row>
    <row r="89" spans="1:9" x14ac:dyDescent="0.25">
      <c r="A89" s="7">
        <v>3</v>
      </c>
      <c r="B89" s="8">
        <v>9</v>
      </c>
      <c r="C89" s="9" t="s">
        <v>86</v>
      </c>
      <c r="D89" s="18">
        <f>A89/(60*24)+D88</f>
        <v>46072.704166666692</v>
      </c>
      <c r="E89" s="1">
        <f t="shared" si="5"/>
        <v>11</v>
      </c>
      <c r="F89" s="18">
        <f t="shared" si="6"/>
        <v>46072.704166666692</v>
      </c>
      <c r="G89" s="18">
        <f t="shared" si="7"/>
        <v>46072.71041666669</v>
      </c>
      <c r="H89" s="18" t="b">
        <f t="shared" si="8"/>
        <v>1</v>
      </c>
      <c r="I89" s="18"/>
    </row>
    <row r="90" spans="1:9" x14ac:dyDescent="0.25">
      <c r="A90" s="10">
        <v>1</v>
      </c>
      <c r="B90" s="11">
        <v>4</v>
      </c>
      <c r="C90" s="12" t="s">
        <v>87</v>
      </c>
      <c r="D90" s="18">
        <f>A90/(60*24)+D89</f>
        <v>46072.704861111139</v>
      </c>
      <c r="E90" s="1">
        <f t="shared" si="5"/>
        <v>11</v>
      </c>
      <c r="F90" s="18">
        <f t="shared" si="6"/>
        <v>46072.71041666669</v>
      </c>
      <c r="G90" s="18">
        <f t="shared" si="7"/>
        <v>46072.71041666669</v>
      </c>
      <c r="H90" s="18" t="b">
        <f t="shared" si="8"/>
        <v>0</v>
      </c>
      <c r="I90" s="18"/>
    </row>
    <row r="91" spans="1:9" x14ac:dyDescent="0.25">
      <c r="A91" s="7">
        <v>14</v>
      </c>
      <c r="B91" s="8">
        <v>3</v>
      </c>
      <c r="C91" s="9" t="s">
        <v>88</v>
      </c>
      <c r="D91" s="18">
        <f>A91/(60*24)+D90</f>
        <v>46072.714583333363</v>
      </c>
      <c r="E91" s="1">
        <f t="shared" si="5"/>
        <v>12</v>
      </c>
      <c r="F91" s="18">
        <f t="shared" si="6"/>
        <v>46072.714583333363</v>
      </c>
      <c r="G91" s="18">
        <f t="shared" si="7"/>
        <v>46072.716666666696</v>
      </c>
      <c r="H91" s="18" t="b">
        <f t="shared" si="8"/>
        <v>1</v>
      </c>
      <c r="I91" s="18"/>
    </row>
    <row r="92" spans="1:9" x14ac:dyDescent="0.25">
      <c r="A92" s="10">
        <v>5</v>
      </c>
      <c r="B92" s="11">
        <v>12</v>
      </c>
      <c r="C92" s="12" t="s">
        <v>89</v>
      </c>
      <c r="D92" s="18">
        <f>A92/(60*24)+D91</f>
        <v>46072.718055555582</v>
      </c>
      <c r="E92" s="1">
        <f t="shared" si="5"/>
        <v>12</v>
      </c>
      <c r="F92" s="18">
        <f t="shared" si="6"/>
        <v>46072.718055555582</v>
      </c>
      <c r="G92" s="18">
        <f t="shared" si="7"/>
        <v>46072.726388888914</v>
      </c>
      <c r="H92" s="18" t="b">
        <f t="shared" si="8"/>
        <v>1</v>
      </c>
      <c r="I92" s="18"/>
    </row>
    <row r="93" spans="1:9" x14ac:dyDescent="0.25">
      <c r="A93" s="7">
        <v>4</v>
      </c>
      <c r="B93" s="8">
        <v>9</v>
      </c>
      <c r="C93" s="9" t="s">
        <v>90</v>
      </c>
      <c r="D93" s="18">
        <f>A93/(60*24)+D92</f>
        <v>46072.720833333362</v>
      </c>
      <c r="E93" s="1">
        <f t="shared" si="5"/>
        <v>12</v>
      </c>
      <c r="F93" s="18">
        <f t="shared" si="6"/>
        <v>46072.726388888914</v>
      </c>
      <c r="G93" s="18">
        <f t="shared" si="7"/>
        <v>46072.726388888914</v>
      </c>
      <c r="H93" s="18" t="b">
        <f t="shared" si="8"/>
        <v>0</v>
      </c>
      <c r="I93" s="18"/>
    </row>
    <row r="94" spans="1:9" x14ac:dyDescent="0.25">
      <c r="A94" s="10">
        <v>5</v>
      </c>
      <c r="B94" s="11">
        <v>4</v>
      </c>
      <c r="C94" s="12" t="s">
        <v>91</v>
      </c>
      <c r="D94" s="18">
        <f>A94/(60*24)+D93</f>
        <v>46072.724305555581</v>
      </c>
      <c r="E94" s="1">
        <f t="shared" si="5"/>
        <v>12</v>
      </c>
      <c r="F94" s="18">
        <f t="shared" si="6"/>
        <v>46072.726388888914</v>
      </c>
      <c r="G94" s="18">
        <f t="shared" si="7"/>
        <v>46072.729166666693</v>
      </c>
      <c r="H94" s="18" t="b">
        <f t="shared" si="8"/>
        <v>1</v>
      </c>
      <c r="I94" s="18"/>
    </row>
    <row r="95" spans="1:9" x14ac:dyDescent="0.25">
      <c r="A95" s="7">
        <v>6</v>
      </c>
      <c r="B95" s="8">
        <v>8</v>
      </c>
      <c r="C95" s="9" t="s">
        <v>92</v>
      </c>
      <c r="D95" s="18">
        <f>A95/(60*24)+D94</f>
        <v>46072.728472222247</v>
      </c>
      <c r="E95" s="1">
        <f t="shared" si="5"/>
        <v>12</v>
      </c>
      <c r="F95" s="18">
        <f t="shared" si="6"/>
        <v>46072.729166666693</v>
      </c>
      <c r="G95" s="18">
        <f t="shared" si="7"/>
        <v>46072.734722222252</v>
      </c>
      <c r="H95" s="18" t="b">
        <f t="shared" si="8"/>
        <v>1</v>
      </c>
      <c r="I95" s="18"/>
    </row>
    <row r="96" spans="1:9" x14ac:dyDescent="0.25">
      <c r="A96" s="10">
        <v>8</v>
      </c>
      <c r="B96" s="11">
        <v>14</v>
      </c>
      <c r="C96" s="12" t="s">
        <v>93</v>
      </c>
      <c r="D96" s="18">
        <f>A96/(60*24)+D95</f>
        <v>46072.734027777806</v>
      </c>
      <c r="E96" s="1">
        <f t="shared" si="5"/>
        <v>12</v>
      </c>
      <c r="F96" s="18">
        <f t="shared" si="6"/>
        <v>46072.734722222252</v>
      </c>
      <c r="G96" s="18">
        <f t="shared" si="7"/>
        <v>46072.744444444477</v>
      </c>
      <c r="H96" s="18" t="b">
        <f t="shared" si="8"/>
        <v>1</v>
      </c>
      <c r="I96" s="18"/>
    </row>
    <row r="97" spans="1:9" x14ac:dyDescent="0.25">
      <c r="A97" s="7">
        <v>15</v>
      </c>
      <c r="B97" s="8">
        <v>11</v>
      </c>
      <c r="C97" s="9" t="s">
        <v>94</v>
      </c>
      <c r="D97" s="18">
        <f>A97/(60*24)+D96</f>
        <v>46072.74444444447</v>
      </c>
      <c r="E97" s="1">
        <f t="shared" si="5"/>
        <v>12</v>
      </c>
      <c r="F97" s="18">
        <f t="shared" si="6"/>
        <v>46072.744444444477</v>
      </c>
      <c r="G97" s="18">
        <f t="shared" si="7"/>
        <v>46072.752083333369</v>
      </c>
      <c r="H97" s="18" t="b">
        <f t="shared" si="8"/>
        <v>1</v>
      </c>
      <c r="I97" s="18"/>
    </row>
    <row r="98" spans="1:9" x14ac:dyDescent="0.25">
      <c r="A98" s="10">
        <v>1</v>
      </c>
      <c r="B98" s="11">
        <v>1</v>
      </c>
      <c r="C98" s="12" t="s">
        <v>95</v>
      </c>
      <c r="D98" s="18">
        <f>A98/(60*24)+D97</f>
        <v>46072.745138888917</v>
      </c>
      <c r="E98" s="1">
        <f t="shared" si="5"/>
        <v>12</v>
      </c>
      <c r="F98" s="18">
        <f t="shared" si="6"/>
        <v>46072.752083333369</v>
      </c>
      <c r="G98" s="18">
        <f t="shared" si="7"/>
        <v>46072.752083333369</v>
      </c>
      <c r="H98" s="18" t="b">
        <f t="shared" si="8"/>
        <v>0</v>
      </c>
      <c r="I98" s="18"/>
    </row>
    <row r="99" spans="1:9" x14ac:dyDescent="0.25">
      <c r="A99" s="7">
        <v>14</v>
      </c>
      <c r="B99" s="8">
        <v>15</v>
      </c>
      <c r="C99" s="9" t="s">
        <v>96</v>
      </c>
      <c r="D99" s="18">
        <f>A99/(60*24)+D98</f>
        <v>46072.754861111142</v>
      </c>
      <c r="E99" s="1">
        <f t="shared" si="5"/>
        <v>13</v>
      </c>
      <c r="F99" s="18">
        <f t="shared" si="6"/>
        <v>46072.754861111142</v>
      </c>
      <c r="G99" s="18">
        <f t="shared" si="7"/>
        <v>46072.765277777806</v>
      </c>
      <c r="H99" s="18" t="b">
        <f t="shared" si="8"/>
        <v>1</v>
      </c>
      <c r="I99" s="18"/>
    </row>
    <row r="100" spans="1:9" x14ac:dyDescent="0.25">
      <c r="A100" s="10">
        <v>6</v>
      </c>
      <c r="B100" s="11">
        <v>7</v>
      </c>
      <c r="C100" s="12" t="s">
        <v>97</v>
      </c>
      <c r="D100" s="18">
        <f>A100/(60*24)+D99</f>
        <v>46072.759027777807</v>
      </c>
      <c r="E100" s="1">
        <f t="shared" si="5"/>
        <v>13</v>
      </c>
      <c r="F100" s="18">
        <f t="shared" si="6"/>
        <v>46072.765277777806</v>
      </c>
      <c r="G100" s="18">
        <f t="shared" si="7"/>
        <v>46072.765277777806</v>
      </c>
      <c r="H100" s="18" t="b">
        <f t="shared" si="8"/>
        <v>0</v>
      </c>
      <c r="I100" s="18"/>
    </row>
    <row r="101" spans="1:9" x14ac:dyDescent="0.25">
      <c r="A101" s="7">
        <v>7</v>
      </c>
      <c r="B101" s="8">
        <v>11</v>
      </c>
      <c r="C101" s="9" t="s">
        <v>98</v>
      </c>
      <c r="D101" s="18">
        <f>A101/(60*24)+D100</f>
        <v>46072.76388888892</v>
      </c>
      <c r="E101" s="1">
        <f t="shared" si="5"/>
        <v>13</v>
      </c>
      <c r="F101" s="18">
        <f t="shared" si="6"/>
        <v>46072.765277777806</v>
      </c>
      <c r="G101" s="18">
        <f t="shared" si="7"/>
        <v>46072.772916666698</v>
      </c>
      <c r="H101" s="18" t="b">
        <f t="shared" si="8"/>
        <v>1</v>
      </c>
      <c r="I101" s="18"/>
    </row>
    <row r="102" spans="1:9" x14ac:dyDescent="0.25">
      <c r="A102" s="10">
        <v>10</v>
      </c>
      <c r="B102" s="11">
        <v>11</v>
      </c>
      <c r="C102" s="12" t="s">
        <v>99</v>
      </c>
      <c r="D102" s="18">
        <f>A102/(60*24)+D101</f>
        <v>46072.770833333365</v>
      </c>
      <c r="E102" s="1">
        <f t="shared" si="5"/>
        <v>13</v>
      </c>
      <c r="F102" s="18">
        <f t="shared" si="6"/>
        <v>46072.772916666698</v>
      </c>
      <c r="G102" s="18">
        <f t="shared" si="7"/>
        <v>46072.78055555559</v>
      </c>
      <c r="H102" s="18" t="b">
        <f t="shared" si="8"/>
        <v>1</v>
      </c>
      <c r="I102" s="18"/>
    </row>
    <row r="103" spans="1:9" x14ac:dyDescent="0.25">
      <c r="A103" s="7">
        <v>5</v>
      </c>
      <c r="B103" s="8">
        <v>6</v>
      </c>
      <c r="C103" s="9" t="s">
        <v>100</v>
      </c>
      <c r="D103" s="18">
        <f>A103/(60*24)+D102</f>
        <v>46072.774305555584</v>
      </c>
      <c r="E103" s="1">
        <f t="shared" si="5"/>
        <v>13</v>
      </c>
      <c r="F103" s="18">
        <f t="shared" si="6"/>
        <v>46072.78055555559</v>
      </c>
      <c r="G103" s="18">
        <f t="shared" si="7"/>
        <v>46072.78055555559</v>
      </c>
      <c r="H103" s="18" t="b">
        <f t="shared" si="8"/>
        <v>0</v>
      </c>
      <c r="I103" s="18"/>
    </row>
    <row r="104" spans="1:9" x14ac:dyDescent="0.25">
      <c r="A104" s="10">
        <v>13</v>
      </c>
      <c r="B104" s="11">
        <v>7</v>
      </c>
      <c r="C104" s="12" t="s">
        <v>101</v>
      </c>
      <c r="D104" s="18">
        <f>A104/(60*24)+D103</f>
        <v>46072.783333333362</v>
      </c>
      <c r="E104" s="1">
        <f t="shared" si="5"/>
        <v>13</v>
      </c>
      <c r="F104" s="18">
        <f t="shared" si="6"/>
        <v>46072.783333333362</v>
      </c>
      <c r="G104" s="18">
        <f t="shared" si="7"/>
        <v>46072.788194444474</v>
      </c>
      <c r="H104" s="18" t="b">
        <f t="shared" si="8"/>
        <v>1</v>
      </c>
      <c r="I104" s="18"/>
    </row>
    <row r="105" spans="1:9" x14ac:dyDescent="0.25">
      <c r="A105" s="7">
        <v>2</v>
      </c>
      <c r="B105" s="8">
        <v>9</v>
      </c>
      <c r="C105" s="9" t="s">
        <v>102</v>
      </c>
      <c r="D105" s="18">
        <f>A105/(60*24)+D104</f>
        <v>46072.784722222248</v>
      </c>
      <c r="E105" s="1">
        <f t="shared" si="5"/>
        <v>13</v>
      </c>
      <c r="F105" s="18">
        <f t="shared" si="6"/>
        <v>46072.788194444474</v>
      </c>
      <c r="G105" s="18">
        <f t="shared" si="7"/>
        <v>46072.794444444473</v>
      </c>
      <c r="H105" s="18" t="b">
        <f t="shared" si="8"/>
        <v>1</v>
      </c>
      <c r="I105" s="18"/>
    </row>
    <row r="106" spans="1:9" x14ac:dyDescent="0.25">
      <c r="A106" s="10">
        <v>9</v>
      </c>
      <c r="B106" s="11">
        <v>11</v>
      </c>
      <c r="C106" s="12" t="s">
        <v>103</v>
      </c>
      <c r="D106" s="18">
        <f>A106/(60*24)+D105</f>
        <v>46072.790972222247</v>
      </c>
      <c r="E106" s="1">
        <f t="shared" si="5"/>
        <v>13</v>
      </c>
      <c r="F106" s="18">
        <f t="shared" si="6"/>
        <v>46072.794444444473</v>
      </c>
      <c r="G106" s="18">
        <f t="shared" si="7"/>
        <v>46072.802083333365</v>
      </c>
      <c r="H106" s="18" t="b">
        <f t="shared" si="8"/>
        <v>1</v>
      </c>
      <c r="I106" s="18"/>
    </row>
    <row r="107" spans="1:9" x14ac:dyDescent="0.25">
      <c r="A107" s="7">
        <v>8</v>
      </c>
      <c r="B107" s="8">
        <v>3</v>
      </c>
      <c r="C107" s="9" t="s">
        <v>104</v>
      </c>
      <c r="D107" s="18">
        <f>A107/(60*24)+D106</f>
        <v>46072.796527777806</v>
      </c>
      <c r="E107" s="1">
        <f t="shared" si="5"/>
        <v>14</v>
      </c>
      <c r="F107" s="18">
        <f t="shared" si="6"/>
        <v>46072.802083333365</v>
      </c>
      <c r="G107" s="18">
        <f t="shared" si="7"/>
        <v>46072.802083333365</v>
      </c>
      <c r="H107" s="18" t="b">
        <f t="shared" si="8"/>
        <v>0</v>
      </c>
      <c r="I107" s="18"/>
    </row>
    <row r="108" spans="1:9" x14ac:dyDescent="0.25">
      <c r="A108" s="10">
        <v>1</v>
      </c>
      <c r="B108" s="11">
        <v>6</v>
      </c>
      <c r="C108" s="12" t="s">
        <v>105</v>
      </c>
      <c r="D108" s="18">
        <f>A108/(60*24)+D107</f>
        <v>46072.797222222252</v>
      </c>
      <c r="E108" s="1">
        <f t="shared" si="5"/>
        <v>14</v>
      </c>
      <c r="F108" s="18">
        <f t="shared" si="6"/>
        <v>46072.802083333365</v>
      </c>
      <c r="G108" s="18">
        <f t="shared" si="7"/>
        <v>46072.802083333365</v>
      </c>
      <c r="H108" s="18" t="b">
        <f t="shared" si="8"/>
        <v>0</v>
      </c>
      <c r="I108" s="18"/>
    </row>
    <row r="109" spans="1:9" x14ac:dyDescent="0.25">
      <c r="A109" s="7">
        <v>10</v>
      </c>
      <c r="B109" s="8">
        <v>9</v>
      </c>
      <c r="C109" s="9" t="s">
        <v>106</v>
      </c>
      <c r="D109" s="18">
        <f>A109/(60*24)+D108</f>
        <v>46072.804166666698</v>
      </c>
      <c r="E109" s="1">
        <f t="shared" si="5"/>
        <v>14</v>
      </c>
      <c r="F109" s="18">
        <f t="shared" si="6"/>
        <v>46072.804166666698</v>
      </c>
      <c r="G109" s="18">
        <f t="shared" si="7"/>
        <v>46072.810416666696</v>
      </c>
      <c r="H109" s="18" t="b">
        <f t="shared" si="8"/>
        <v>1</v>
      </c>
      <c r="I109" s="18"/>
    </row>
    <row r="110" spans="1:9" x14ac:dyDescent="0.25">
      <c r="A110" s="10">
        <v>2</v>
      </c>
      <c r="B110" s="11">
        <v>11</v>
      </c>
      <c r="C110" s="12" t="s">
        <v>107</v>
      </c>
      <c r="D110" s="18">
        <f>A110/(60*24)+D109</f>
        <v>46072.805555555584</v>
      </c>
      <c r="E110" s="1">
        <f t="shared" si="5"/>
        <v>14</v>
      </c>
      <c r="F110" s="18">
        <f t="shared" si="6"/>
        <v>46072.810416666696</v>
      </c>
      <c r="G110" s="18">
        <f t="shared" si="7"/>
        <v>46072.810416666696</v>
      </c>
      <c r="H110" s="18" t="b">
        <f t="shared" si="8"/>
        <v>0</v>
      </c>
      <c r="I110" s="18"/>
    </row>
    <row r="111" spans="1:9" x14ac:dyDescent="0.25">
      <c r="A111" s="7">
        <v>6</v>
      </c>
      <c r="B111" s="8">
        <v>12</v>
      </c>
      <c r="C111" s="9" t="s">
        <v>108</v>
      </c>
      <c r="D111" s="18">
        <f>A111/(60*24)+D110</f>
        <v>46072.80972222225</v>
      </c>
      <c r="E111" s="1">
        <f t="shared" si="5"/>
        <v>14</v>
      </c>
      <c r="F111" s="18">
        <f t="shared" si="6"/>
        <v>46072.810416666696</v>
      </c>
      <c r="G111" s="18">
        <f t="shared" si="7"/>
        <v>46072.818750000028</v>
      </c>
      <c r="H111" s="18" t="b">
        <f t="shared" si="8"/>
        <v>1</v>
      </c>
      <c r="I111" s="18"/>
    </row>
    <row r="112" spans="1:9" x14ac:dyDescent="0.25">
      <c r="A112" s="10">
        <v>2</v>
      </c>
      <c r="B112" s="11">
        <v>14</v>
      </c>
      <c r="C112" s="12" t="s">
        <v>109</v>
      </c>
      <c r="D112" s="18">
        <f>A112/(60*24)+D111</f>
        <v>46072.811111111136</v>
      </c>
      <c r="E112" s="1">
        <f t="shared" si="5"/>
        <v>14</v>
      </c>
      <c r="F112" s="18">
        <f t="shared" si="6"/>
        <v>46072.818750000028</v>
      </c>
      <c r="G112" s="18">
        <f t="shared" si="7"/>
        <v>46072.818750000028</v>
      </c>
      <c r="H112" s="18" t="b">
        <f t="shared" si="8"/>
        <v>0</v>
      </c>
      <c r="I112" s="18"/>
    </row>
    <row r="113" spans="1:9" x14ac:dyDescent="0.25">
      <c r="A113" s="7">
        <v>4</v>
      </c>
      <c r="B113" s="8">
        <v>2</v>
      </c>
      <c r="C113" s="9" t="s">
        <v>110</v>
      </c>
      <c r="D113" s="18">
        <f>A113/(60*24)+D112</f>
        <v>46072.813888888915</v>
      </c>
      <c r="E113" s="1">
        <f t="shared" si="5"/>
        <v>14</v>
      </c>
      <c r="F113" s="18">
        <f t="shared" si="6"/>
        <v>46072.818750000028</v>
      </c>
      <c r="G113" s="18">
        <f t="shared" si="7"/>
        <v>46072.818750000028</v>
      </c>
      <c r="H113" s="18" t="b">
        <f t="shared" si="8"/>
        <v>0</v>
      </c>
      <c r="I113" s="18"/>
    </row>
    <row r="114" spans="1:9" x14ac:dyDescent="0.25">
      <c r="A114" s="10">
        <v>9</v>
      </c>
      <c r="B114" s="11">
        <v>8</v>
      </c>
      <c r="C114" s="12" t="s">
        <v>111</v>
      </c>
      <c r="D114" s="18">
        <f>A114/(60*24)+D113</f>
        <v>46072.820138888914</v>
      </c>
      <c r="E114" s="1">
        <f t="shared" si="5"/>
        <v>14</v>
      </c>
      <c r="F114" s="18">
        <f t="shared" si="6"/>
        <v>46072.820138888914</v>
      </c>
      <c r="G114" s="18">
        <f t="shared" si="7"/>
        <v>46072.825694444473</v>
      </c>
      <c r="H114" s="18" t="b">
        <f t="shared" si="8"/>
        <v>1</v>
      </c>
      <c r="I114" s="18"/>
    </row>
    <row r="115" spans="1:9" x14ac:dyDescent="0.25">
      <c r="A115" s="7">
        <v>2</v>
      </c>
      <c r="B115" s="8">
        <v>4</v>
      </c>
      <c r="C115" s="9" t="s">
        <v>112</v>
      </c>
      <c r="D115" s="18">
        <f>A115/(60*24)+D114</f>
        <v>46072.8215277778</v>
      </c>
      <c r="E115" s="1">
        <f t="shared" si="5"/>
        <v>14</v>
      </c>
      <c r="F115" s="18">
        <f t="shared" si="6"/>
        <v>46072.825694444473</v>
      </c>
      <c r="G115" s="18">
        <f t="shared" si="7"/>
        <v>46072.825694444473</v>
      </c>
      <c r="H115" s="18" t="b">
        <f t="shared" si="8"/>
        <v>0</v>
      </c>
      <c r="I115" s="18"/>
    </row>
    <row r="116" spans="1:9" x14ac:dyDescent="0.25">
      <c r="A116" s="10">
        <v>11</v>
      </c>
      <c r="B116" s="11">
        <v>11</v>
      </c>
      <c r="C116" s="12" t="s">
        <v>113</v>
      </c>
      <c r="D116" s="18">
        <f>A116/(60*24)+D115</f>
        <v>46072.829166666692</v>
      </c>
      <c r="E116" s="1">
        <f t="shared" si="5"/>
        <v>14</v>
      </c>
      <c r="F116" s="18">
        <f t="shared" si="6"/>
        <v>46072.829166666692</v>
      </c>
      <c r="G116" s="18">
        <f t="shared" si="7"/>
        <v>46072.836805555584</v>
      </c>
      <c r="H116" s="18" t="b">
        <f t="shared" si="8"/>
        <v>1</v>
      </c>
      <c r="I116" s="18"/>
    </row>
    <row r="117" spans="1:9" x14ac:dyDescent="0.25">
      <c r="A117" s="7">
        <v>8</v>
      </c>
      <c r="B117" s="8">
        <v>1</v>
      </c>
      <c r="C117" s="9" t="s">
        <v>114</v>
      </c>
      <c r="D117" s="18">
        <f>A117/(60*24)+D116</f>
        <v>46072.834722222251</v>
      </c>
      <c r="E117" s="1">
        <f t="shared" si="5"/>
        <v>15</v>
      </c>
      <c r="F117" s="18">
        <f t="shared" si="6"/>
        <v>46072.836805555584</v>
      </c>
      <c r="G117" s="18">
        <f t="shared" si="7"/>
        <v>46072.837500000031</v>
      </c>
      <c r="H117" s="18" t="b">
        <f t="shared" si="8"/>
        <v>1</v>
      </c>
      <c r="I117" s="18"/>
    </row>
    <row r="118" spans="1:9" x14ac:dyDescent="0.25">
      <c r="A118" s="10">
        <v>13</v>
      </c>
      <c r="B118" s="11">
        <v>9</v>
      </c>
      <c r="C118" s="12" t="s">
        <v>115</v>
      </c>
      <c r="D118" s="18">
        <f>A118/(60*24)+D117</f>
        <v>46072.843750000029</v>
      </c>
      <c r="E118" s="1">
        <f t="shared" si="5"/>
        <v>15</v>
      </c>
      <c r="F118" s="18">
        <f t="shared" si="6"/>
        <v>46072.843750000029</v>
      </c>
      <c r="G118" s="18">
        <f t="shared" si="7"/>
        <v>46072.850000000028</v>
      </c>
      <c r="H118" s="18" t="b">
        <f t="shared" si="8"/>
        <v>1</v>
      </c>
      <c r="I118" s="18"/>
    </row>
    <row r="119" spans="1:9" x14ac:dyDescent="0.25">
      <c r="A119" s="7">
        <v>7</v>
      </c>
      <c r="B119" s="8">
        <v>13</v>
      </c>
      <c r="C119" s="9" t="s">
        <v>116</v>
      </c>
      <c r="D119" s="18">
        <f>A119/(60*24)+D118</f>
        <v>46072.848611111142</v>
      </c>
      <c r="E119" s="1">
        <f t="shared" si="5"/>
        <v>15</v>
      </c>
      <c r="F119" s="18">
        <f t="shared" si="6"/>
        <v>46072.850000000028</v>
      </c>
      <c r="G119" s="18">
        <f t="shared" si="7"/>
        <v>46072.859027777806</v>
      </c>
      <c r="H119" s="18" t="b">
        <f t="shared" si="8"/>
        <v>1</v>
      </c>
      <c r="I119" s="18"/>
    </row>
    <row r="120" spans="1:9" x14ac:dyDescent="0.25">
      <c r="A120" s="10">
        <v>7</v>
      </c>
      <c r="B120" s="11">
        <v>11</v>
      </c>
      <c r="C120" s="12" t="s">
        <v>117</v>
      </c>
      <c r="D120" s="18">
        <f>A120/(60*24)+D119</f>
        <v>46072.853472222254</v>
      </c>
      <c r="E120" s="1">
        <f t="shared" si="5"/>
        <v>15</v>
      </c>
      <c r="F120" s="18">
        <f t="shared" si="6"/>
        <v>46072.859027777806</v>
      </c>
      <c r="G120" s="18">
        <f t="shared" si="7"/>
        <v>46072.859027777806</v>
      </c>
      <c r="H120" s="18" t="b">
        <f t="shared" si="8"/>
        <v>0</v>
      </c>
      <c r="I120" s="18"/>
    </row>
    <row r="121" spans="1:9" x14ac:dyDescent="0.25">
      <c r="A121" s="7">
        <v>9</v>
      </c>
      <c r="B121" s="8">
        <v>11</v>
      </c>
      <c r="C121" s="9" t="s">
        <v>118</v>
      </c>
      <c r="D121" s="18">
        <f>A121/(60*24)+D120</f>
        <v>46072.859722222252</v>
      </c>
      <c r="E121" s="1">
        <f t="shared" si="5"/>
        <v>15</v>
      </c>
      <c r="F121" s="18">
        <f t="shared" si="6"/>
        <v>46072.859722222252</v>
      </c>
      <c r="G121" s="18">
        <f t="shared" si="7"/>
        <v>46072.867361111144</v>
      </c>
      <c r="H121" s="18" t="b">
        <f t="shared" si="8"/>
        <v>1</v>
      </c>
      <c r="I121" s="18"/>
    </row>
    <row r="122" spans="1:9" x14ac:dyDescent="0.25">
      <c r="A122" s="10">
        <v>6</v>
      </c>
      <c r="B122" s="11">
        <v>1</v>
      </c>
      <c r="C122" s="12" t="s">
        <v>119</v>
      </c>
      <c r="D122" s="18">
        <f>A122/(60*24)+D121</f>
        <v>46072.863888888918</v>
      </c>
      <c r="E122" s="1">
        <f t="shared" si="5"/>
        <v>15</v>
      </c>
      <c r="F122" s="18">
        <f t="shared" si="6"/>
        <v>46072.867361111144</v>
      </c>
      <c r="G122" s="18">
        <f t="shared" si="7"/>
        <v>46072.868055555591</v>
      </c>
      <c r="H122" s="18" t="b">
        <f t="shared" si="8"/>
        <v>1</v>
      </c>
      <c r="I122" s="18"/>
    </row>
    <row r="123" spans="1:9" x14ac:dyDescent="0.25">
      <c r="A123" s="7">
        <v>14</v>
      </c>
      <c r="B123" s="8">
        <v>6</v>
      </c>
      <c r="C123" s="9" t="s">
        <v>120</v>
      </c>
      <c r="D123" s="18">
        <f>A123/(60*24)+D122</f>
        <v>46072.873611111143</v>
      </c>
      <c r="E123" s="1">
        <f t="shared" si="5"/>
        <v>15</v>
      </c>
      <c r="F123" s="18">
        <f t="shared" si="6"/>
        <v>46072.873611111143</v>
      </c>
      <c r="G123" s="18">
        <f t="shared" si="7"/>
        <v>46072.877777777809</v>
      </c>
      <c r="H123" s="18" t="b">
        <f t="shared" si="8"/>
        <v>1</v>
      </c>
      <c r="I123" s="18"/>
    </row>
    <row r="124" spans="1:9" x14ac:dyDescent="0.25">
      <c r="A124" s="10">
        <v>14</v>
      </c>
      <c r="B124" s="11">
        <v>10</v>
      </c>
      <c r="C124" s="12" t="s">
        <v>121</v>
      </c>
      <c r="D124" s="18">
        <f>A124/(60*24)+D123</f>
        <v>46072.883333333368</v>
      </c>
      <c r="E124" s="1">
        <f t="shared" si="5"/>
        <v>16</v>
      </c>
      <c r="F124" s="18">
        <f t="shared" si="6"/>
        <v>46072.883333333368</v>
      </c>
      <c r="G124" s="18">
        <f t="shared" si="7"/>
        <v>46072.890277777813</v>
      </c>
      <c r="H124" s="18" t="b">
        <f t="shared" si="8"/>
        <v>1</v>
      </c>
      <c r="I124" s="18"/>
    </row>
    <row r="125" spans="1:9" x14ac:dyDescent="0.25">
      <c r="A125" s="7">
        <v>7</v>
      </c>
      <c r="B125" s="8">
        <v>7</v>
      </c>
      <c r="C125" s="9" t="s">
        <v>122</v>
      </c>
      <c r="D125" s="18">
        <f>A125/(60*24)+D124</f>
        <v>46072.88819444448</v>
      </c>
      <c r="E125" s="1">
        <f t="shared" si="5"/>
        <v>16</v>
      </c>
      <c r="F125" s="18">
        <f t="shared" si="6"/>
        <v>46072.890277777813</v>
      </c>
      <c r="G125" s="18">
        <f t="shared" si="7"/>
        <v>46072.895138888925</v>
      </c>
      <c r="H125" s="18" t="b">
        <f t="shared" si="8"/>
        <v>1</v>
      </c>
      <c r="I125" s="18"/>
    </row>
    <row r="126" spans="1:9" x14ac:dyDescent="0.25">
      <c r="A126" s="10">
        <v>11</v>
      </c>
      <c r="B126" s="11">
        <v>1</v>
      </c>
      <c r="C126" s="12" t="s">
        <v>123</v>
      </c>
      <c r="D126" s="18">
        <f>A126/(60*24)+D125</f>
        <v>46072.895833333372</v>
      </c>
      <c r="E126" s="1">
        <f t="shared" si="5"/>
        <v>16</v>
      </c>
      <c r="F126" s="18">
        <f t="shared" si="6"/>
        <v>46072.895833333372</v>
      </c>
      <c r="G126" s="18">
        <f t="shared" si="7"/>
        <v>46072.896527777819</v>
      </c>
      <c r="H126" s="18" t="b">
        <f t="shared" si="8"/>
        <v>1</v>
      </c>
      <c r="I126" s="18"/>
    </row>
    <row r="127" spans="1:9" x14ac:dyDescent="0.25">
      <c r="A127" s="7">
        <v>11</v>
      </c>
      <c r="B127" s="8">
        <v>3</v>
      </c>
      <c r="C127" s="9" t="s">
        <v>124</v>
      </c>
      <c r="D127" s="18">
        <f>A127/(60*24)+D126</f>
        <v>46072.903472222264</v>
      </c>
      <c r="E127" s="1">
        <f t="shared" si="5"/>
        <v>16</v>
      </c>
      <c r="F127" s="18">
        <f t="shared" si="6"/>
        <v>46072.903472222264</v>
      </c>
      <c r="G127" s="18">
        <f t="shared" si="7"/>
        <v>46072.905555555597</v>
      </c>
      <c r="H127" s="18" t="b">
        <f t="shared" si="8"/>
        <v>1</v>
      </c>
      <c r="I127" s="18"/>
    </row>
    <row r="128" spans="1:9" x14ac:dyDescent="0.25">
      <c r="A128" s="10">
        <v>11</v>
      </c>
      <c r="B128" s="11">
        <v>2</v>
      </c>
      <c r="C128" s="12" t="s">
        <v>125</v>
      </c>
      <c r="D128" s="18">
        <f>A128/(60*24)+D127</f>
        <v>46072.911111111156</v>
      </c>
      <c r="E128" s="1">
        <f t="shared" si="5"/>
        <v>16</v>
      </c>
      <c r="F128" s="18">
        <f t="shared" si="6"/>
        <v>46072.911111111156</v>
      </c>
      <c r="G128" s="18">
        <f t="shared" si="7"/>
        <v>46072.912500000042</v>
      </c>
      <c r="H128" s="18" t="b">
        <f t="shared" si="8"/>
        <v>1</v>
      </c>
      <c r="I128" s="18"/>
    </row>
    <row r="129" spans="1:9" x14ac:dyDescent="0.25">
      <c r="A129" s="7">
        <v>12</v>
      </c>
      <c r="B129" s="8">
        <v>2</v>
      </c>
      <c r="C129" s="9" t="s">
        <v>126</v>
      </c>
      <c r="D129" s="18">
        <f>A129/(60*24)+D128</f>
        <v>46072.919444444487</v>
      </c>
      <c r="E129" s="1">
        <f t="shared" si="5"/>
        <v>17</v>
      </c>
      <c r="F129" s="18">
        <f t="shared" si="6"/>
        <v>46072.919444444487</v>
      </c>
      <c r="G129" s="18">
        <f t="shared" si="7"/>
        <v>46072.920833333374</v>
      </c>
      <c r="H129" s="18" t="b">
        <f t="shared" si="8"/>
        <v>1</v>
      </c>
      <c r="I129" s="18"/>
    </row>
    <row r="130" spans="1:9" x14ac:dyDescent="0.25">
      <c r="A130" s="10">
        <v>3</v>
      </c>
      <c r="B130" s="11">
        <v>14</v>
      </c>
      <c r="C130" s="12" t="s">
        <v>127</v>
      </c>
      <c r="D130" s="18">
        <f>A130/(60*24)+D129</f>
        <v>46072.92152777782</v>
      </c>
      <c r="E130" s="1">
        <f t="shared" si="5"/>
        <v>17</v>
      </c>
      <c r="F130" s="18">
        <f t="shared" si="6"/>
        <v>46072.92152777782</v>
      </c>
      <c r="G130" s="18">
        <f t="shared" si="7"/>
        <v>46072.931250000045</v>
      </c>
      <c r="H130" s="18" t="b">
        <f t="shared" si="8"/>
        <v>1</v>
      </c>
      <c r="I130" s="18"/>
    </row>
    <row r="131" spans="1:9" x14ac:dyDescent="0.25">
      <c r="A131" s="7">
        <v>3</v>
      </c>
      <c r="B131" s="8">
        <v>6</v>
      </c>
      <c r="C131" s="9" t="s">
        <v>128</v>
      </c>
      <c r="D131" s="18">
        <f>A131/(60*24)+D130</f>
        <v>46072.923611111153</v>
      </c>
      <c r="E131" s="1">
        <f t="shared" si="5"/>
        <v>17</v>
      </c>
      <c r="F131" s="18">
        <f t="shared" si="6"/>
        <v>46072.931250000045</v>
      </c>
      <c r="G131" s="18">
        <f t="shared" si="7"/>
        <v>46072.931250000045</v>
      </c>
      <c r="H131" s="18" t="b">
        <f t="shared" si="8"/>
        <v>0</v>
      </c>
      <c r="I131" s="18"/>
    </row>
    <row r="132" spans="1:9" x14ac:dyDescent="0.25">
      <c r="A132" s="10">
        <v>12</v>
      </c>
      <c r="B132" s="11">
        <v>2</v>
      </c>
      <c r="C132" s="12" t="s">
        <v>129</v>
      </c>
      <c r="D132" s="18">
        <f>A132/(60*24)+D131</f>
        <v>46072.931944444485</v>
      </c>
      <c r="E132" s="1">
        <f t="shared" ref="E132:E146" si="9">HOUR(D132)-5</f>
        <v>17</v>
      </c>
      <c r="F132" s="18">
        <f t="shared" si="6"/>
        <v>46072.931944444485</v>
      </c>
      <c r="G132" s="18">
        <f t="shared" si="7"/>
        <v>46072.933333333371</v>
      </c>
      <c r="H132" s="18" t="b">
        <f t="shared" si="8"/>
        <v>1</v>
      </c>
      <c r="I132" s="18"/>
    </row>
    <row r="133" spans="1:9" x14ac:dyDescent="0.25">
      <c r="A133" s="7">
        <v>7</v>
      </c>
      <c r="B133" s="8">
        <v>8</v>
      </c>
      <c r="C133" s="9" t="s">
        <v>130</v>
      </c>
      <c r="D133" s="18">
        <f>A133/(60*24)+D132</f>
        <v>46072.936805555597</v>
      </c>
      <c r="E133" s="1">
        <f t="shared" si="9"/>
        <v>17</v>
      </c>
      <c r="F133" s="18">
        <f t="shared" ref="F133:F146" si="10">IF(D133&gt;G132,D133,G132)</f>
        <v>46072.936805555597</v>
      </c>
      <c r="G133" s="18">
        <f t="shared" ref="G133:G146" si="11">IF(H133=TRUE,F133+B133/(60*24),G132)</f>
        <v>46072.942361111156</v>
      </c>
      <c r="H133" s="18" t="b">
        <f t="shared" si="8"/>
        <v>1</v>
      </c>
      <c r="I133" s="18"/>
    </row>
    <row r="134" spans="1:9" x14ac:dyDescent="0.25">
      <c r="A134" s="10">
        <v>10</v>
      </c>
      <c r="B134" s="11">
        <v>12</v>
      </c>
      <c r="C134" s="12" t="s">
        <v>131</v>
      </c>
      <c r="D134" s="18">
        <f>A134/(60*24)+D133</f>
        <v>46072.943750000042</v>
      </c>
      <c r="E134" s="1">
        <f t="shared" si="9"/>
        <v>17</v>
      </c>
      <c r="F134" s="18">
        <f t="shared" si="10"/>
        <v>46072.943750000042</v>
      </c>
      <c r="G134" s="18">
        <f t="shared" si="11"/>
        <v>46072.952083333374</v>
      </c>
      <c r="H134" s="18" t="b">
        <f t="shared" si="8"/>
        <v>1</v>
      </c>
      <c r="I134" s="18"/>
    </row>
    <row r="135" spans="1:9" x14ac:dyDescent="0.25">
      <c r="A135" s="7">
        <v>2</v>
      </c>
      <c r="B135" s="8">
        <v>14</v>
      </c>
      <c r="C135" s="9" t="s">
        <v>132</v>
      </c>
      <c r="D135" s="18">
        <f>A135/(60*24)+D134</f>
        <v>46072.945138888928</v>
      </c>
      <c r="E135" s="1">
        <f t="shared" si="9"/>
        <v>17</v>
      </c>
      <c r="F135" s="18">
        <f t="shared" si="10"/>
        <v>46072.952083333374</v>
      </c>
      <c r="G135" s="18">
        <f t="shared" si="11"/>
        <v>46072.952083333374</v>
      </c>
      <c r="H135" s="18" t="b">
        <f t="shared" ref="H135:H146" si="12">IF(D135+5*$B$1&gt;=G134,TRUE,FALSE)</f>
        <v>0</v>
      </c>
      <c r="I135" s="18"/>
    </row>
    <row r="136" spans="1:9" x14ac:dyDescent="0.25">
      <c r="A136" s="10">
        <v>14</v>
      </c>
      <c r="B136" s="11">
        <v>11</v>
      </c>
      <c r="C136" s="12" t="s">
        <v>133</v>
      </c>
      <c r="D136" s="18">
        <f>A136/(60*24)+D135</f>
        <v>46072.954861111153</v>
      </c>
      <c r="E136" s="1">
        <f t="shared" si="9"/>
        <v>17</v>
      </c>
      <c r="F136" s="18">
        <f t="shared" si="10"/>
        <v>46072.954861111153</v>
      </c>
      <c r="G136" s="18">
        <f t="shared" si="11"/>
        <v>46072.962500000045</v>
      </c>
      <c r="H136" s="18" t="b">
        <f t="shared" si="12"/>
        <v>1</v>
      </c>
      <c r="I136" s="18"/>
    </row>
    <row r="137" spans="1:9" x14ac:dyDescent="0.25">
      <c r="A137" s="7">
        <v>9</v>
      </c>
      <c r="B137" s="8">
        <v>10</v>
      </c>
      <c r="C137" s="9" t="s">
        <v>134</v>
      </c>
      <c r="D137" s="18">
        <f>A137/(60*24)+D136</f>
        <v>46072.961111111152</v>
      </c>
      <c r="E137" s="1">
        <f t="shared" si="9"/>
        <v>18</v>
      </c>
      <c r="F137" s="18">
        <f t="shared" si="10"/>
        <v>46072.962500000045</v>
      </c>
      <c r="G137" s="18">
        <f t="shared" si="11"/>
        <v>46072.96944444449</v>
      </c>
      <c r="H137" s="18" t="b">
        <f t="shared" si="12"/>
        <v>1</v>
      </c>
      <c r="I137" s="18"/>
    </row>
    <row r="138" spans="1:9" x14ac:dyDescent="0.25">
      <c r="A138" s="10">
        <v>2</v>
      </c>
      <c r="B138" s="11">
        <v>14</v>
      </c>
      <c r="C138" s="12" t="s">
        <v>135</v>
      </c>
      <c r="D138" s="18">
        <f>A138/(60*24)+D137</f>
        <v>46072.962500000038</v>
      </c>
      <c r="E138" s="1">
        <f t="shared" si="9"/>
        <v>18</v>
      </c>
      <c r="F138" s="18">
        <f t="shared" si="10"/>
        <v>46072.96944444449</v>
      </c>
      <c r="G138" s="18">
        <f t="shared" si="11"/>
        <v>46072.96944444449</v>
      </c>
      <c r="H138" s="18" t="b">
        <f t="shared" si="12"/>
        <v>0</v>
      </c>
      <c r="I138" s="18"/>
    </row>
    <row r="139" spans="1:9" x14ac:dyDescent="0.25">
      <c r="A139" s="7">
        <v>11</v>
      </c>
      <c r="B139" s="8">
        <v>3</v>
      </c>
      <c r="C139" s="9" t="s">
        <v>136</v>
      </c>
      <c r="D139" s="18">
        <f>A139/(60*24)+D138</f>
        <v>46072.97013888893</v>
      </c>
      <c r="E139" s="1">
        <f t="shared" si="9"/>
        <v>18</v>
      </c>
      <c r="F139" s="18">
        <f t="shared" si="10"/>
        <v>46072.97013888893</v>
      </c>
      <c r="G139" s="18">
        <f t="shared" si="11"/>
        <v>46072.972222222263</v>
      </c>
      <c r="H139" s="18" t="b">
        <f t="shared" si="12"/>
        <v>1</v>
      </c>
      <c r="I139" s="18"/>
    </row>
    <row r="140" spans="1:9" x14ac:dyDescent="0.25">
      <c r="A140" s="10">
        <v>2</v>
      </c>
      <c r="B140" s="11">
        <v>1</v>
      </c>
      <c r="C140" s="12" t="s">
        <v>137</v>
      </c>
      <c r="D140" s="18">
        <f>A140/(60*24)+D139</f>
        <v>46072.971527777816</v>
      </c>
      <c r="E140" s="1">
        <f t="shared" si="9"/>
        <v>18</v>
      </c>
      <c r="F140" s="18">
        <f t="shared" si="10"/>
        <v>46072.972222222263</v>
      </c>
      <c r="G140" s="18">
        <f t="shared" si="11"/>
        <v>46072.972916666709</v>
      </c>
      <c r="H140" s="18" t="b">
        <f t="shared" si="12"/>
        <v>1</v>
      </c>
      <c r="I140" s="18"/>
    </row>
    <row r="141" spans="1:9" x14ac:dyDescent="0.25">
      <c r="A141" s="7">
        <v>14</v>
      </c>
      <c r="B141" s="8">
        <v>3</v>
      </c>
      <c r="C141" s="9" t="s">
        <v>138</v>
      </c>
      <c r="D141" s="18">
        <f>A141/(60*24)+D140</f>
        <v>46072.981250000041</v>
      </c>
      <c r="E141" s="1">
        <f t="shared" si="9"/>
        <v>18</v>
      </c>
      <c r="F141" s="18">
        <f t="shared" si="10"/>
        <v>46072.981250000041</v>
      </c>
      <c r="G141" s="18">
        <f t="shared" si="11"/>
        <v>46072.983333333374</v>
      </c>
      <c r="H141" s="18" t="b">
        <f t="shared" si="12"/>
        <v>1</v>
      </c>
      <c r="I141" s="18"/>
    </row>
    <row r="142" spans="1:9" x14ac:dyDescent="0.25">
      <c r="A142" s="10">
        <v>6</v>
      </c>
      <c r="B142" s="11">
        <v>6</v>
      </c>
      <c r="C142" s="12" t="s">
        <v>139</v>
      </c>
      <c r="D142" s="18">
        <f>A142/(60*24)+D141</f>
        <v>46072.985416666706</v>
      </c>
      <c r="E142" s="1">
        <f t="shared" si="9"/>
        <v>18</v>
      </c>
      <c r="F142" s="18">
        <f t="shared" si="10"/>
        <v>46072.985416666706</v>
      </c>
      <c r="G142" s="18">
        <f t="shared" si="11"/>
        <v>46072.989583333372</v>
      </c>
      <c r="H142" s="18" t="b">
        <f t="shared" si="12"/>
        <v>1</v>
      </c>
      <c r="I142" s="18"/>
    </row>
    <row r="143" spans="1:9" x14ac:dyDescent="0.25">
      <c r="A143" s="7">
        <v>5</v>
      </c>
      <c r="B143" s="8">
        <v>14</v>
      </c>
      <c r="C143" s="9" t="s">
        <v>140</v>
      </c>
      <c r="D143" s="18">
        <f>A143/(60*24)+D142</f>
        <v>46072.988888888925</v>
      </c>
      <c r="E143" s="1">
        <f t="shared" si="9"/>
        <v>18</v>
      </c>
      <c r="F143" s="18">
        <f t="shared" si="10"/>
        <v>46072.989583333372</v>
      </c>
      <c r="G143" s="18">
        <f t="shared" si="11"/>
        <v>46072.999305555597</v>
      </c>
      <c r="H143" s="18" t="b">
        <f t="shared" si="12"/>
        <v>1</v>
      </c>
      <c r="I143" s="18"/>
    </row>
    <row r="144" spans="1:9" x14ac:dyDescent="0.25">
      <c r="A144" s="10">
        <v>2</v>
      </c>
      <c r="B144" s="11">
        <v>8</v>
      </c>
      <c r="C144" s="12" t="s">
        <v>141</v>
      </c>
      <c r="D144" s="18">
        <f>A144/(60*24)+D143</f>
        <v>46072.990277777812</v>
      </c>
      <c r="E144" s="1">
        <f t="shared" si="9"/>
        <v>18</v>
      </c>
      <c r="F144" s="18">
        <f t="shared" si="10"/>
        <v>46072.999305555597</v>
      </c>
      <c r="G144" s="18">
        <f t="shared" si="11"/>
        <v>46072.999305555597</v>
      </c>
      <c r="H144" s="18" t="b">
        <f t="shared" si="12"/>
        <v>0</v>
      </c>
      <c r="I144" s="18"/>
    </row>
    <row r="145" spans="1:9" x14ac:dyDescent="0.25">
      <c r="A145" s="7">
        <v>10</v>
      </c>
      <c r="B145" s="8">
        <v>15</v>
      </c>
      <c r="C145" s="9" t="s">
        <v>142</v>
      </c>
      <c r="D145" s="18">
        <f>A145/(60*24)+D144</f>
        <v>46072.997222222257</v>
      </c>
      <c r="E145" s="1">
        <f t="shared" si="9"/>
        <v>18</v>
      </c>
      <c r="F145" s="18">
        <f t="shared" si="10"/>
        <v>46072.999305555597</v>
      </c>
      <c r="G145" s="18">
        <f t="shared" si="11"/>
        <v>46073.009722222261</v>
      </c>
      <c r="H145" s="18" t="b">
        <f t="shared" si="12"/>
        <v>1</v>
      </c>
      <c r="I145" s="18"/>
    </row>
    <row r="146" spans="1:9" x14ac:dyDescent="0.25">
      <c r="A146" s="2">
        <v>3</v>
      </c>
      <c r="B146" s="3">
        <v>15</v>
      </c>
      <c r="C146" s="13" t="s">
        <v>143</v>
      </c>
      <c r="D146" s="18">
        <f>A146/(60*24)+D145</f>
        <v>46072.99930555559</v>
      </c>
      <c r="E146" s="1">
        <f t="shared" si="9"/>
        <v>18</v>
      </c>
      <c r="F146" s="18">
        <f t="shared" si="10"/>
        <v>46073.009722222261</v>
      </c>
      <c r="G146" s="18">
        <f t="shared" si="11"/>
        <v>46073.009722222261</v>
      </c>
      <c r="H146" s="18" t="b">
        <f t="shared" si="12"/>
        <v>0</v>
      </c>
      <c r="I146" s="18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A359-647A-45E8-9976-E4922E888ABC}">
  <dimension ref="A1:I146"/>
  <sheetViews>
    <sheetView tabSelected="1" zoomScale="175" zoomScaleNormal="175" workbookViewId="0">
      <selection activeCell="I6" sqref="I6"/>
    </sheetView>
  </sheetViews>
  <sheetFormatPr defaultRowHeight="15" x14ac:dyDescent="0.25"/>
  <cols>
    <col min="1" max="1" width="17.7109375" bestFit="1" customWidth="1"/>
    <col min="2" max="3" width="11.140625" bestFit="1" customWidth="1"/>
    <col min="4" max="4" width="13.85546875" bestFit="1" customWidth="1"/>
    <col min="5" max="5" width="13.85546875" customWidth="1"/>
    <col min="6" max="6" width="21.42578125" bestFit="1" customWidth="1"/>
    <col min="7" max="7" width="17.7109375" customWidth="1"/>
    <col min="8" max="8" width="24.85546875" style="1" bestFit="1" customWidth="1"/>
  </cols>
  <sheetData>
    <row r="1" spans="1:9" x14ac:dyDescent="0.25">
      <c r="A1" t="s">
        <v>176</v>
      </c>
      <c r="B1">
        <f>1/(60*24)</f>
        <v>6.9444444444444447E-4</v>
      </c>
      <c r="D1" t="s">
        <v>175</v>
      </c>
    </row>
    <row r="2" spans="1:9" x14ac:dyDescent="0.25">
      <c r="A2" s="4" t="s">
        <v>144</v>
      </c>
      <c r="B2" s="5" t="s">
        <v>145</v>
      </c>
      <c r="C2" s="6" t="s">
        <v>146</v>
      </c>
      <c r="D2" s="17">
        <v>0.25</v>
      </c>
      <c r="E2" s="17" t="s">
        <v>177</v>
      </c>
      <c r="F2" t="s">
        <v>179</v>
      </c>
      <c r="G2" t="s">
        <v>178</v>
      </c>
      <c r="H2" s="21"/>
      <c r="I2" s="9" t="s">
        <v>6</v>
      </c>
    </row>
    <row r="3" spans="1:9" x14ac:dyDescent="0.25">
      <c r="A3" s="7">
        <v>3</v>
      </c>
      <c r="B3" s="8">
        <v>5</v>
      </c>
      <c r="C3" s="9" t="s">
        <v>0</v>
      </c>
      <c r="D3" s="18">
        <f>A3/(60*24)+D2</f>
        <v>0.25208333333333333</v>
      </c>
      <c r="E3" s="18">
        <f>D3</f>
        <v>0.25208333333333333</v>
      </c>
      <c r="F3" s="18">
        <f>D3+B3/(60*24)</f>
        <v>0.25555555555555554</v>
      </c>
      <c r="G3" s="18" t="b">
        <f>TRUE</f>
        <v>1</v>
      </c>
    </row>
    <row r="4" spans="1:9" x14ac:dyDescent="0.25">
      <c r="A4" s="10">
        <v>12</v>
      </c>
      <c r="B4" s="11">
        <v>13</v>
      </c>
      <c r="C4" s="12" t="s">
        <v>1</v>
      </c>
      <c r="D4" s="18">
        <f>A4/(60*24)+D3</f>
        <v>0.26041666666666669</v>
      </c>
      <c r="E4" s="18">
        <f>IF(D4&gt;F3,D4,F3)</f>
        <v>0.26041666666666669</v>
      </c>
      <c r="F4" s="18">
        <f>IF(G4=TRUE,E4+B4/(60*24),F3)</f>
        <v>0.26944444444444449</v>
      </c>
      <c r="G4" s="18" t="b">
        <f>IF(D4+5*$B$1&gt;F3,TRUE,FALSE)</f>
        <v>1</v>
      </c>
      <c r="H4" s="1">
        <f>IF(G4=FALSE,H3+1,0)</f>
        <v>0</v>
      </c>
      <c r="I4">
        <f>COUNTIF(G3:G146,FALSE)</f>
        <v>44</v>
      </c>
    </row>
    <row r="5" spans="1:9" x14ac:dyDescent="0.25">
      <c r="A5" s="7">
        <v>1</v>
      </c>
      <c r="B5" s="8">
        <v>10</v>
      </c>
      <c r="C5" s="9" t="s">
        <v>2</v>
      </c>
      <c r="D5" s="18">
        <f>A5/(60*24)+D4</f>
        <v>0.26111111111111113</v>
      </c>
      <c r="E5" s="18">
        <f t="shared" ref="E5:E68" si="0">IF(D5&gt;F4,D5,F4)</f>
        <v>0.26944444444444449</v>
      </c>
      <c r="F5" s="18">
        <f t="shared" ref="F5:F68" si="1">IF(G5=TRUE,E5+B5/(60*24),F4)</f>
        <v>0.26944444444444449</v>
      </c>
      <c r="G5" s="18" t="b">
        <f t="shared" ref="G5:G68" si="2">IF(D5+5*$B$1&gt;F4,TRUE,FALSE)</f>
        <v>0</v>
      </c>
      <c r="H5" s="1">
        <f t="shared" ref="H5:H68" si="3">IF(G5=FALSE,H4+1,0)</f>
        <v>1</v>
      </c>
      <c r="I5">
        <f>MAX(H4:H146)</f>
        <v>3</v>
      </c>
    </row>
    <row r="6" spans="1:9" x14ac:dyDescent="0.25">
      <c r="A6" s="10">
        <v>7</v>
      </c>
      <c r="B6" s="11">
        <v>2</v>
      </c>
      <c r="C6" s="12" t="s">
        <v>3</v>
      </c>
      <c r="D6" s="18">
        <f>A6/(60*24)+D5</f>
        <v>0.26597222222222222</v>
      </c>
      <c r="E6" s="18">
        <f t="shared" si="0"/>
        <v>0.26944444444444449</v>
      </c>
      <c r="F6" s="18">
        <f t="shared" si="1"/>
        <v>0.27083333333333337</v>
      </c>
      <c r="G6" s="18" t="b">
        <f>IF(D6+5*$B$1&gt;=F5,TRUE,FALSE)</f>
        <v>1</v>
      </c>
      <c r="H6" s="1">
        <f t="shared" si="3"/>
        <v>0</v>
      </c>
    </row>
    <row r="7" spans="1:9" x14ac:dyDescent="0.25">
      <c r="A7" s="7">
        <v>10</v>
      </c>
      <c r="B7" s="8">
        <v>7</v>
      </c>
      <c r="C7" s="9" t="s">
        <v>4</v>
      </c>
      <c r="D7" s="18">
        <f>A7/(60*24)+D6</f>
        <v>0.27291666666666664</v>
      </c>
      <c r="E7" s="18">
        <f t="shared" si="0"/>
        <v>0.27291666666666664</v>
      </c>
      <c r="F7" s="18">
        <f t="shared" si="1"/>
        <v>0.27777777777777773</v>
      </c>
      <c r="G7" s="18" t="b">
        <f t="shared" ref="G7:G70" si="4">IF(D7+5*$B$1&gt;=F6,TRUE,FALSE)</f>
        <v>1</v>
      </c>
      <c r="H7" s="1">
        <f t="shared" si="3"/>
        <v>0</v>
      </c>
    </row>
    <row r="8" spans="1:9" x14ac:dyDescent="0.25">
      <c r="A8" s="10">
        <v>9</v>
      </c>
      <c r="B8" s="11">
        <v>14</v>
      </c>
      <c r="C8" s="12" t="s">
        <v>5</v>
      </c>
      <c r="D8" s="18">
        <f>A8/(60*24)+D7</f>
        <v>0.27916666666666662</v>
      </c>
      <c r="E8" s="18">
        <f t="shared" si="0"/>
        <v>0.27916666666666662</v>
      </c>
      <c r="F8" s="18">
        <f t="shared" si="1"/>
        <v>0.28888888888888886</v>
      </c>
      <c r="G8" s="18" t="b">
        <f t="shared" si="4"/>
        <v>1</v>
      </c>
      <c r="H8" s="1">
        <f t="shared" si="3"/>
        <v>0</v>
      </c>
    </row>
    <row r="9" spans="1:9" x14ac:dyDescent="0.25">
      <c r="A9" s="7">
        <v>4</v>
      </c>
      <c r="B9" s="8">
        <v>10</v>
      </c>
      <c r="C9" s="9" t="s">
        <v>6</v>
      </c>
      <c r="D9" s="18">
        <f>A9/(60*24)+D8</f>
        <v>0.28194444444444439</v>
      </c>
      <c r="E9" s="18">
        <f t="shared" si="0"/>
        <v>0.28888888888888886</v>
      </c>
      <c r="F9" s="18">
        <f t="shared" si="1"/>
        <v>0.28888888888888886</v>
      </c>
      <c r="G9" s="18" t="b">
        <f t="shared" si="4"/>
        <v>0</v>
      </c>
      <c r="H9" s="1">
        <f t="shared" si="3"/>
        <v>1</v>
      </c>
    </row>
    <row r="10" spans="1:9" x14ac:dyDescent="0.25">
      <c r="A10" s="10">
        <v>4</v>
      </c>
      <c r="B10" s="11">
        <v>7</v>
      </c>
      <c r="C10" s="12" t="s">
        <v>7</v>
      </c>
      <c r="D10" s="18">
        <f>A10/(60*24)+D9</f>
        <v>0.28472222222222215</v>
      </c>
      <c r="E10" s="18">
        <f t="shared" si="0"/>
        <v>0.28888888888888886</v>
      </c>
      <c r="F10" s="18">
        <f t="shared" si="1"/>
        <v>0.28888888888888886</v>
      </c>
      <c r="G10" s="18" t="b">
        <f t="shared" si="4"/>
        <v>0</v>
      </c>
      <c r="H10" s="1">
        <f t="shared" si="3"/>
        <v>2</v>
      </c>
    </row>
    <row r="11" spans="1:9" x14ac:dyDescent="0.25">
      <c r="A11" s="7">
        <v>3</v>
      </c>
      <c r="B11" s="8">
        <v>2</v>
      </c>
      <c r="C11" s="9" t="s">
        <v>8</v>
      </c>
      <c r="D11" s="18">
        <f>A11/(60*24)+D10</f>
        <v>0.28680555555555548</v>
      </c>
      <c r="E11" s="18">
        <f t="shared" si="0"/>
        <v>0.28888888888888886</v>
      </c>
      <c r="F11" s="18">
        <f t="shared" si="1"/>
        <v>0.29027777777777775</v>
      </c>
      <c r="G11" s="18" t="b">
        <f t="shared" si="4"/>
        <v>1</v>
      </c>
      <c r="H11" s="1">
        <f t="shared" si="3"/>
        <v>0</v>
      </c>
    </row>
    <row r="12" spans="1:9" x14ac:dyDescent="0.25">
      <c r="A12" s="10">
        <v>7</v>
      </c>
      <c r="B12" s="11">
        <v>12</v>
      </c>
      <c r="C12" s="12" t="s">
        <v>9</v>
      </c>
      <c r="D12" s="18">
        <f>A12/(60*24)+D11</f>
        <v>0.29166666666666657</v>
      </c>
      <c r="E12" s="18">
        <f t="shared" si="0"/>
        <v>0.29166666666666657</v>
      </c>
      <c r="F12" s="18">
        <f t="shared" si="1"/>
        <v>0.29999999999999993</v>
      </c>
      <c r="G12" s="18" t="b">
        <f t="shared" si="4"/>
        <v>1</v>
      </c>
      <c r="H12" s="1">
        <f t="shared" si="3"/>
        <v>0</v>
      </c>
    </row>
    <row r="13" spans="1:9" x14ac:dyDescent="0.25">
      <c r="A13" s="7">
        <v>11</v>
      </c>
      <c r="B13" s="8">
        <v>12</v>
      </c>
      <c r="C13" s="9" t="s">
        <v>10</v>
      </c>
      <c r="D13" s="18">
        <f>A13/(60*24)+D12</f>
        <v>0.29930555555555544</v>
      </c>
      <c r="E13" s="18">
        <f t="shared" si="0"/>
        <v>0.29999999999999993</v>
      </c>
      <c r="F13" s="18">
        <f t="shared" si="1"/>
        <v>0.30833333333333329</v>
      </c>
      <c r="G13" s="18" t="b">
        <f t="shared" si="4"/>
        <v>1</v>
      </c>
      <c r="H13" s="1">
        <f t="shared" si="3"/>
        <v>0</v>
      </c>
    </row>
    <row r="14" spans="1:9" x14ac:dyDescent="0.25">
      <c r="A14" s="10">
        <v>15</v>
      </c>
      <c r="B14" s="11">
        <v>14</v>
      </c>
      <c r="C14" s="12" t="s">
        <v>11</v>
      </c>
      <c r="D14" s="18">
        <f>A14/(60*24)+D13</f>
        <v>0.30972222222222212</v>
      </c>
      <c r="E14" s="18">
        <f t="shared" si="0"/>
        <v>0.30972222222222212</v>
      </c>
      <c r="F14" s="18">
        <f t="shared" si="1"/>
        <v>0.31944444444444436</v>
      </c>
      <c r="G14" s="18" t="b">
        <f t="shared" si="4"/>
        <v>1</v>
      </c>
      <c r="H14" s="1">
        <f t="shared" si="3"/>
        <v>0</v>
      </c>
    </row>
    <row r="15" spans="1:9" x14ac:dyDescent="0.25">
      <c r="A15" s="7">
        <v>11</v>
      </c>
      <c r="B15" s="8">
        <v>9</v>
      </c>
      <c r="C15" s="9" t="s">
        <v>12</v>
      </c>
      <c r="D15" s="18">
        <f>A15/(60*24)+D14</f>
        <v>0.31736111111111098</v>
      </c>
      <c r="E15" s="18">
        <f t="shared" si="0"/>
        <v>0.31944444444444436</v>
      </c>
      <c r="F15" s="18">
        <f t="shared" si="1"/>
        <v>0.32569444444444434</v>
      </c>
      <c r="G15" s="18" t="b">
        <f t="shared" si="4"/>
        <v>1</v>
      </c>
      <c r="H15" s="1">
        <f t="shared" si="3"/>
        <v>0</v>
      </c>
    </row>
    <row r="16" spans="1:9" x14ac:dyDescent="0.25">
      <c r="A16" s="10">
        <v>3</v>
      </c>
      <c r="B16" s="11">
        <v>6</v>
      </c>
      <c r="C16" s="12" t="s">
        <v>13</v>
      </c>
      <c r="D16" s="18">
        <f>A16/(60*24)+D15</f>
        <v>0.31944444444444431</v>
      </c>
      <c r="E16" s="18">
        <f t="shared" si="0"/>
        <v>0.32569444444444434</v>
      </c>
      <c r="F16" s="18">
        <f t="shared" si="1"/>
        <v>0.32569444444444434</v>
      </c>
      <c r="G16" s="18" t="b">
        <f t="shared" si="4"/>
        <v>0</v>
      </c>
      <c r="H16" s="1">
        <f t="shared" si="3"/>
        <v>1</v>
      </c>
    </row>
    <row r="17" spans="1:8" x14ac:dyDescent="0.25">
      <c r="A17" s="7">
        <v>1</v>
      </c>
      <c r="B17" s="8">
        <v>7</v>
      </c>
      <c r="C17" s="9" t="s">
        <v>14</v>
      </c>
      <c r="D17" s="18">
        <f>A17/(60*24)+D16</f>
        <v>0.32013888888888875</v>
      </c>
      <c r="E17" s="18">
        <f t="shared" si="0"/>
        <v>0.32569444444444434</v>
      </c>
      <c r="F17" s="18">
        <f t="shared" si="1"/>
        <v>0.32569444444444434</v>
      </c>
      <c r="G17" s="18" t="b">
        <f t="shared" si="4"/>
        <v>0</v>
      </c>
      <c r="H17" s="1">
        <f t="shared" si="3"/>
        <v>2</v>
      </c>
    </row>
    <row r="18" spans="1:8" x14ac:dyDescent="0.25">
      <c r="A18" s="10">
        <v>11</v>
      </c>
      <c r="B18" s="11">
        <v>7</v>
      </c>
      <c r="C18" s="12" t="s">
        <v>15</v>
      </c>
      <c r="D18" s="18">
        <f>A18/(60*24)+D17</f>
        <v>0.32777777777777761</v>
      </c>
      <c r="E18" s="18">
        <f t="shared" si="0"/>
        <v>0.32777777777777761</v>
      </c>
      <c r="F18" s="18">
        <f t="shared" si="1"/>
        <v>0.33263888888888871</v>
      </c>
      <c r="G18" s="18" t="b">
        <f t="shared" si="4"/>
        <v>1</v>
      </c>
      <c r="H18" s="1">
        <f t="shared" si="3"/>
        <v>0</v>
      </c>
    </row>
    <row r="19" spans="1:8" x14ac:dyDescent="0.25">
      <c r="A19" s="7">
        <v>2</v>
      </c>
      <c r="B19" s="8">
        <v>2</v>
      </c>
      <c r="C19" s="9" t="s">
        <v>16</v>
      </c>
      <c r="D19" s="18">
        <f>A19/(60*24)+D18</f>
        <v>0.3291666666666665</v>
      </c>
      <c r="E19" s="18">
        <f t="shared" si="0"/>
        <v>0.33263888888888871</v>
      </c>
      <c r="F19" s="18">
        <f t="shared" si="1"/>
        <v>0.33402777777777759</v>
      </c>
      <c r="G19" s="18" t="b">
        <f t="shared" si="4"/>
        <v>1</v>
      </c>
      <c r="H19" s="1">
        <f t="shared" si="3"/>
        <v>0</v>
      </c>
    </row>
    <row r="20" spans="1:8" x14ac:dyDescent="0.25">
      <c r="A20" s="10">
        <v>9</v>
      </c>
      <c r="B20" s="11">
        <v>10</v>
      </c>
      <c r="C20" s="12" t="s">
        <v>17</v>
      </c>
      <c r="D20" s="18">
        <f>A20/(60*24)+D19</f>
        <v>0.33541666666666647</v>
      </c>
      <c r="E20" s="18">
        <f t="shared" si="0"/>
        <v>0.33541666666666647</v>
      </c>
      <c r="F20" s="18">
        <f t="shared" si="1"/>
        <v>0.34236111111111089</v>
      </c>
      <c r="G20" s="18" t="b">
        <f t="shared" si="4"/>
        <v>1</v>
      </c>
      <c r="H20" s="1">
        <f t="shared" si="3"/>
        <v>0</v>
      </c>
    </row>
    <row r="21" spans="1:8" x14ac:dyDescent="0.25">
      <c r="A21" s="7">
        <v>2</v>
      </c>
      <c r="B21" s="8">
        <v>13</v>
      </c>
      <c r="C21" s="9" t="s">
        <v>18</v>
      </c>
      <c r="D21" s="18">
        <f>A21/(60*24)+D20</f>
        <v>0.33680555555555536</v>
      </c>
      <c r="E21" s="18">
        <f t="shared" si="0"/>
        <v>0.34236111111111089</v>
      </c>
      <c r="F21" s="18">
        <f t="shared" si="1"/>
        <v>0.34236111111111089</v>
      </c>
      <c r="G21" s="18" t="b">
        <f t="shared" si="4"/>
        <v>0</v>
      </c>
      <c r="H21" s="1">
        <f t="shared" si="3"/>
        <v>1</v>
      </c>
    </row>
    <row r="22" spans="1:8" x14ac:dyDescent="0.25">
      <c r="A22" s="10">
        <v>13</v>
      </c>
      <c r="B22" s="11">
        <v>14</v>
      </c>
      <c r="C22" s="12" t="s">
        <v>19</v>
      </c>
      <c r="D22" s="18">
        <f>A22/(60*24)+D21</f>
        <v>0.34583333333333316</v>
      </c>
      <c r="E22" s="18">
        <f t="shared" si="0"/>
        <v>0.34583333333333316</v>
      </c>
      <c r="F22" s="18">
        <f t="shared" si="1"/>
        <v>0.3555555555555554</v>
      </c>
      <c r="G22" s="18" t="b">
        <f t="shared" si="4"/>
        <v>1</v>
      </c>
      <c r="H22" s="1">
        <f t="shared" si="3"/>
        <v>0</v>
      </c>
    </row>
    <row r="23" spans="1:8" x14ac:dyDescent="0.25">
      <c r="A23" s="7">
        <v>10</v>
      </c>
      <c r="B23" s="8">
        <v>15</v>
      </c>
      <c r="C23" s="9" t="s">
        <v>20</v>
      </c>
      <c r="D23" s="18">
        <f>A23/(60*24)+D22</f>
        <v>0.35277777777777758</v>
      </c>
      <c r="E23" s="18">
        <f t="shared" si="0"/>
        <v>0.3555555555555554</v>
      </c>
      <c r="F23" s="18">
        <f t="shared" si="1"/>
        <v>0.36597222222222209</v>
      </c>
      <c r="G23" s="18" t="b">
        <f t="shared" si="4"/>
        <v>1</v>
      </c>
      <c r="H23" s="1">
        <f t="shared" si="3"/>
        <v>0</v>
      </c>
    </row>
    <row r="24" spans="1:8" x14ac:dyDescent="0.25">
      <c r="A24" s="10">
        <v>6</v>
      </c>
      <c r="B24" s="11">
        <v>9</v>
      </c>
      <c r="C24" s="12" t="s">
        <v>21</v>
      </c>
      <c r="D24" s="18">
        <f>A24/(60*24)+D23</f>
        <v>0.35694444444444423</v>
      </c>
      <c r="E24" s="18">
        <f t="shared" si="0"/>
        <v>0.36597222222222209</v>
      </c>
      <c r="F24" s="18">
        <f t="shared" si="1"/>
        <v>0.36597222222222209</v>
      </c>
      <c r="G24" s="18" t="b">
        <f t="shared" si="4"/>
        <v>0</v>
      </c>
      <c r="H24" s="1">
        <f t="shared" si="3"/>
        <v>1</v>
      </c>
    </row>
    <row r="25" spans="1:8" x14ac:dyDescent="0.25">
      <c r="A25" s="7">
        <v>5</v>
      </c>
      <c r="B25" s="8">
        <v>6</v>
      </c>
      <c r="C25" s="9" t="s">
        <v>22</v>
      </c>
      <c r="D25" s="18">
        <f>A25/(60*24)+D24</f>
        <v>0.36041666666666644</v>
      </c>
      <c r="E25" s="18">
        <f t="shared" si="0"/>
        <v>0.36597222222222209</v>
      </c>
      <c r="F25" s="18">
        <f t="shared" si="1"/>
        <v>0.36597222222222209</v>
      </c>
      <c r="G25" s="18" t="b">
        <f t="shared" si="4"/>
        <v>0</v>
      </c>
      <c r="H25" s="1">
        <f t="shared" si="3"/>
        <v>2</v>
      </c>
    </row>
    <row r="26" spans="1:8" x14ac:dyDescent="0.25">
      <c r="A26" s="10">
        <v>13</v>
      </c>
      <c r="B26" s="11">
        <v>13</v>
      </c>
      <c r="C26" s="12" t="s">
        <v>23</v>
      </c>
      <c r="D26" s="18">
        <f>A26/(60*24)+D25</f>
        <v>0.36944444444444424</v>
      </c>
      <c r="E26" s="18">
        <f t="shared" si="0"/>
        <v>0.36944444444444424</v>
      </c>
      <c r="F26" s="18">
        <f t="shared" si="1"/>
        <v>0.37847222222222204</v>
      </c>
      <c r="G26" s="18" t="b">
        <f t="shared" si="4"/>
        <v>1</v>
      </c>
      <c r="H26" s="1">
        <f t="shared" si="3"/>
        <v>0</v>
      </c>
    </row>
    <row r="27" spans="1:8" x14ac:dyDescent="0.25">
      <c r="A27" s="7">
        <v>11</v>
      </c>
      <c r="B27" s="8">
        <v>1</v>
      </c>
      <c r="C27" s="9" t="s">
        <v>24</v>
      </c>
      <c r="D27" s="18">
        <f>A27/(60*24)+D26</f>
        <v>0.3770833333333331</v>
      </c>
      <c r="E27" s="18">
        <f t="shared" si="0"/>
        <v>0.37847222222222204</v>
      </c>
      <c r="F27" s="18">
        <f t="shared" si="1"/>
        <v>0.37916666666666649</v>
      </c>
      <c r="G27" s="18" t="b">
        <f t="shared" si="4"/>
        <v>1</v>
      </c>
      <c r="H27" s="1">
        <f t="shared" si="3"/>
        <v>0</v>
      </c>
    </row>
    <row r="28" spans="1:8" x14ac:dyDescent="0.25">
      <c r="A28" s="10">
        <v>10</v>
      </c>
      <c r="B28" s="11">
        <v>6</v>
      </c>
      <c r="C28" s="12" t="s">
        <v>25</v>
      </c>
      <c r="D28" s="18">
        <f>A28/(60*24)+D27</f>
        <v>0.38402777777777752</v>
      </c>
      <c r="E28" s="18">
        <f t="shared" si="0"/>
        <v>0.38402777777777752</v>
      </c>
      <c r="F28" s="18">
        <f t="shared" si="1"/>
        <v>0.38819444444444418</v>
      </c>
      <c r="G28" s="18" t="b">
        <f t="shared" si="4"/>
        <v>1</v>
      </c>
      <c r="H28" s="1">
        <f t="shared" si="3"/>
        <v>0</v>
      </c>
    </row>
    <row r="29" spans="1:8" x14ac:dyDescent="0.25">
      <c r="A29" s="7">
        <v>11</v>
      </c>
      <c r="B29" s="8">
        <v>12</v>
      </c>
      <c r="C29" s="9" t="s">
        <v>26</v>
      </c>
      <c r="D29" s="18">
        <f>A29/(60*24)+D28</f>
        <v>0.39166666666666639</v>
      </c>
      <c r="E29" s="18">
        <f t="shared" si="0"/>
        <v>0.39166666666666639</v>
      </c>
      <c r="F29" s="18">
        <f t="shared" si="1"/>
        <v>0.39999999999999974</v>
      </c>
      <c r="G29" s="18" t="b">
        <f t="shared" si="4"/>
        <v>1</v>
      </c>
      <c r="H29" s="1">
        <f t="shared" si="3"/>
        <v>0</v>
      </c>
    </row>
    <row r="30" spans="1:8" x14ac:dyDescent="0.25">
      <c r="A30" s="10">
        <v>4</v>
      </c>
      <c r="B30" s="11">
        <v>9</v>
      </c>
      <c r="C30" s="12" t="s">
        <v>27</v>
      </c>
      <c r="D30" s="18">
        <f>A30/(60*24)+D29</f>
        <v>0.39444444444444415</v>
      </c>
      <c r="E30" s="18">
        <f t="shared" si="0"/>
        <v>0.39999999999999974</v>
      </c>
      <c r="F30" s="18">
        <f t="shared" si="1"/>
        <v>0.39999999999999974</v>
      </c>
      <c r="G30" s="18" t="b">
        <f t="shared" si="4"/>
        <v>0</v>
      </c>
      <c r="H30" s="1">
        <f t="shared" si="3"/>
        <v>1</v>
      </c>
    </row>
    <row r="31" spans="1:8" x14ac:dyDescent="0.25">
      <c r="A31" s="7">
        <v>4</v>
      </c>
      <c r="B31" s="8">
        <v>1</v>
      </c>
      <c r="C31" s="9" t="s">
        <v>28</v>
      </c>
      <c r="D31" s="18">
        <f>A31/(60*24)+D30</f>
        <v>0.39722222222222192</v>
      </c>
      <c r="E31" s="18">
        <f t="shared" si="0"/>
        <v>0.39999999999999974</v>
      </c>
      <c r="F31" s="18">
        <f t="shared" si="1"/>
        <v>0.40069444444444419</v>
      </c>
      <c r="G31" s="18" t="b">
        <f t="shared" si="4"/>
        <v>1</v>
      </c>
      <c r="H31" s="1">
        <f t="shared" si="3"/>
        <v>0</v>
      </c>
    </row>
    <row r="32" spans="1:8" x14ac:dyDescent="0.25">
      <c r="A32" s="10">
        <v>2</v>
      </c>
      <c r="B32" s="11">
        <v>11</v>
      </c>
      <c r="C32" s="12" t="s">
        <v>29</v>
      </c>
      <c r="D32" s="18">
        <f>A32/(60*24)+D31</f>
        <v>0.39861111111111081</v>
      </c>
      <c r="E32" s="18">
        <f t="shared" si="0"/>
        <v>0.40069444444444419</v>
      </c>
      <c r="F32" s="18">
        <f t="shared" si="1"/>
        <v>0.40833333333333305</v>
      </c>
      <c r="G32" s="18" t="b">
        <f t="shared" si="4"/>
        <v>1</v>
      </c>
      <c r="H32" s="1">
        <f t="shared" si="3"/>
        <v>0</v>
      </c>
    </row>
    <row r="33" spans="1:8" x14ac:dyDescent="0.25">
      <c r="A33" s="7">
        <v>7</v>
      </c>
      <c r="B33" s="8">
        <v>2</v>
      </c>
      <c r="C33" s="9" t="s">
        <v>30</v>
      </c>
      <c r="D33" s="18">
        <f>A33/(60*24)+D32</f>
        <v>0.4034722222222219</v>
      </c>
      <c r="E33" s="18">
        <f t="shared" si="0"/>
        <v>0.40833333333333305</v>
      </c>
      <c r="F33" s="18">
        <f t="shared" si="1"/>
        <v>0.40833333333333305</v>
      </c>
      <c r="G33" s="18" t="b">
        <f t="shared" si="4"/>
        <v>0</v>
      </c>
      <c r="H33" s="1">
        <f t="shared" si="3"/>
        <v>1</v>
      </c>
    </row>
    <row r="34" spans="1:8" x14ac:dyDescent="0.25">
      <c r="A34" s="10">
        <v>11</v>
      </c>
      <c r="B34" s="11">
        <v>14</v>
      </c>
      <c r="C34" s="12" t="s">
        <v>31</v>
      </c>
      <c r="D34" s="18">
        <f>A34/(60*24)+D33</f>
        <v>0.41111111111111076</v>
      </c>
      <c r="E34" s="18">
        <f t="shared" si="0"/>
        <v>0.41111111111111076</v>
      </c>
      <c r="F34" s="18">
        <f t="shared" si="1"/>
        <v>0.420833333333333</v>
      </c>
      <c r="G34" s="18" t="b">
        <f t="shared" si="4"/>
        <v>1</v>
      </c>
      <c r="H34" s="1">
        <f t="shared" si="3"/>
        <v>0</v>
      </c>
    </row>
    <row r="35" spans="1:8" x14ac:dyDescent="0.25">
      <c r="A35" s="7">
        <v>6</v>
      </c>
      <c r="B35" s="8">
        <v>3</v>
      </c>
      <c r="C35" s="9" t="s">
        <v>32</v>
      </c>
      <c r="D35" s="18">
        <f>A35/(60*24)+D34</f>
        <v>0.41527777777777741</v>
      </c>
      <c r="E35" s="18">
        <f t="shared" si="0"/>
        <v>0.420833333333333</v>
      </c>
      <c r="F35" s="18">
        <f t="shared" si="1"/>
        <v>0.420833333333333</v>
      </c>
      <c r="G35" s="18" t="b">
        <f t="shared" si="4"/>
        <v>0</v>
      </c>
      <c r="H35" s="1">
        <f t="shared" si="3"/>
        <v>1</v>
      </c>
    </row>
    <row r="36" spans="1:8" x14ac:dyDescent="0.25">
      <c r="A36" s="10">
        <v>11</v>
      </c>
      <c r="B36" s="11">
        <v>5</v>
      </c>
      <c r="C36" s="12" t="s">
        <v>33</v>
      </c>
      <c r="D36" s="18">
        <f>A36/(60*24)+D35</f>
        <v>0.42291666666666627</v>
      </c>
      <c r="E36" s="18">
        <f t="shared" si="0"/>
        <v>0.42291666666666627</v>
      </c>
      <c r="F36" s="18">
        <f t="shared" si="1"/>
        <v>0.42638888888888848</v>
      </c>
      <c r="G36" s="18" t="b">
        <f t="shared" si="4"/>
        <v>1</v>
      </c>
      <c r="H36" s="1">
        <f t="shared" si="3"/>
        <v>0</v>
      </c>
    </row>
    <row r="37" spans="1:8" x14ac:dyDescent="0.25">
      <c r="A37" s="7">
        <v>5</v>
      </c>
      <c r="B37" s="8">
        <v>9</v>
      </c>
      <c r="C37" s="9" t="s">
        <v>34</v>
      </c>
      <c r="D37" s="18">
        <f>A37/(60*24)+D36</f>
        <v>0.42638888888888848</v>
      </c>
      <c r="E37" s="18">
        <f t="shared" si="0"/>
        <v>0.42638888888888848</v>
      </c>
      <c r="F37" s="18">
        <f t="shared" si="1"/>
        <v>0.43263888888888846</v>
      </c>
      <c r="G37" s="18" t="b">
        <f t="shared" si="4"/>
        <v>1</v>
      </c>
      <c r="H37" s="1">
        <f t="shared" si="3"/>
        <v>0</v>
      </c>
    </row>
    <row r="38" spans="1:8" x14ac:dyDescent="0.25">
      <c r="A38" s="10">
        <v>9</v>
      </c>
      <c r="B38" s="11">
        <v>5</v>
      </c>
      <c r="C38" s="12" t="s">
        <v>35</v>
      </c>
      <c r="D38" s="18">
        <f>A38/(60*24)+D37</f>
        <v>0.43263888888888846</v>
      </c>
      <c r="E38" s="18">
        <f t="shared" si="0"/>
        <v>0.43263888888888846</v>
      </c>
      <c r="F38" s="18">
        <f t="shared" si="1"/>
        <v>0.43611111111111067</v>
      </c>
      <c r="G38" s="18" t="b">
        <f t="shared" si="4"/>
        <v>1</v>
      </c>
      <c r="H38" s="1">
        <f t="shared" si="3"/>
        <v>0</v>
      </c>
    </row>
    <row r="39" spans="1:8" x14ac:dyDescent="0.25">
      <c r="A39" s="7">
        <v>11</v>
      </c>
      <c r="B39" s="8">
        <v>4</v>
      </c>
      <c r="C39" s="9" t="s">
        <v>36</v>
      </c>
      <c r="D39" s="18">
        <f>A39/(60*24)+D38</f>
        <v>0.44027777777777732</v>
      </c>
      <c r="E39" s="18">
        <f t="shared" si="0"/>
        <v>0.44027777777777732</v>
      </c>
      <c r="F39" s="18">
        <f t="shared" si="1"/>
        <v>0.44305555555555509</v>
      </c>
      <c r="G39" s="18" t="b">
        <f t="shared" si="4"/>
        <v>1</v>
      </c>
      <c r="H39" s="1">
        <f t="shared" si="3"/>
        <v>0</v>
      </c>
    </row>
    <row r="40" spans="1:8" x14ac:dyDescent="0.25">
      <c r="A40" s="10">
        <v>15</v>
      </c>
      <c r="B40" s="11">
        <v>5</v>
      </c>
      <c r="C40" s="12" t="s">
        <v>37</v>
      </c>
      <c r="D40" s="18">
        <f>A40/(60*24)+D39</f>
        <v>0.45069444444444401</v>
      </c>
      <c r="E40" s="18">
        <f t="shared" si="0"/>
        <v>0.45069444444444401</v>
      </c>
      <c r="F40" s="18">
        <f t="shared" si="1"/>
        <v>0.45416666666666622</v>
      </c>
      <c r="G40" s="18" t="b">
        <f t="shared" si="4"/>
        <v>1</v>
      </c>
      <c r="H40" s="1">
        <f t="shared" si="3"/>
        <v>0</v>
      </c>
    </row>
    <row r="41" spans="1:8" x14ac:dyDescent="0.25">
      <c r="A41" s="7">
        <v>12</v>
      </c>
      <c r="B41" s="8">
        <v>1</v>
      </c>
      <c r="C41" s="9" t="s">
        <v>38</v>
      </c>
      <c r="D41" s="18">
        <f>A41/(60*24)+D40</f>
        <v>0.45902777777777737</v>
      </c>
      <c r="E41" s="18">
        <f t="shared" si="0"/>
        <v>0.45902777777777737</v>
      </c>
      <c r="F41" s="18">
        <f t="shared" si="1"/>
        <v>0.45972222222222181</v>
      </c>
      <c r="G41" s="18" t="b">
        <f t="shared" si="4"/>
        <v>1</v>
      </c>
      <c r="H41" s="1">
        <f t="shared" si="3"/>
        <v>0</v>
      </c>
    </row>
    <row r="42" spans="1:8" x14ac:dyDescent="0.25">
      <c r="A42" s="10">
        <v>2</v>
      </c>
      <c r="B42" s="11">
        <v>5</v>
      </c>
      <c r="C42" s="12" t="s">
        <v>39</v>
      </c>
      <c r="D42" s="18">
        <f>A42/(60*24)+D41</f>
        <v>0.46041666666666625</v>
      </c>
      <c r="E42" s="18">
        <f t="shared" si="0"/>
        <v>0.46041666666666625</v>
      </c>
      <c r="F42" s="18">
        <f t="shared" si="1"/>
        <v>0.46388888888888846</v>
      </c>
      <c r="G42" s="18" t="b">
        <f t="shared" si="4"/>
        <v>1</v>
      </c>
      <c r="H42" s="1">
        <f t="shared" si="3"/>
        <v>0</v>
      </c>
    </row>
    <row r="43" spans="1:8" x14ac:dyDescent="0.25">
      <c r="A43" s="7">
        <v>11</v>
      </c>
      <c r="B43" s="8">
        <v>11</v>
      </c>
      <c r="C43" s="9" t="s">
        <v>40</v>
      </c>
      <c r="D43" s="18">
        <f>A43/(60*24)+D42</f>
        <v>0.46805555555555511</v>
      </c>
      <c r="E43" s="18">
        <f t="shared" si="0"/>
        <v>0.46805555555555511</v>
      </c>
      <c r="F43" s="18">
        <f t="shared" si="1"/>
        <v>0.47569444444444398</v>
      </c>
      <c r="G43" s="18" t="b">
        <f t="shared" si="4"/>
        <v>1</v>
      </c>
      <c r="H43" s="1">
        <f t="shared" si="3"/>
        <v>0</v>
      </c>
    </row>
    <row r="44" spans="1:8" x14ac:dyDescent="0.25">
      <c r="A44" s="10">
        <v>2</v>
      </c>
      <c r="B44" s="11">
        <v>3</v>
      </c>
      <c r="C44" s="12" t="s">
        <v>41</v>
      </c>
      <c r="D44" s="18">
        <f>A44/(60*24)+D43</f>
        <v>0.469444444444444</v>
      </c>
      <c r="E44" s="18">
        <f t="shared" si="0"/>
        <v>0.47569444444444398</v>
      </c>
      <c r="F44" s="18">
        <f t="shared" si="1"/>
        <v>0.47569444444444398</v>
      </c>
      <c r="G44" s="18" t="b">
        <f t="shared" si="4"/>
        <v>0</v>
      </c>
      <c r="H44" s="1">
        <f t="shared" si="3"/>
        <v>1</v>
      </c>
    </row>
    <row r="45" spans="1:8" x14ac:dyDescent="0.25">
      <c r="A45" s="7">
        <v>6</v>
      </c>
      <c r="B45" s="8">
        <v>13</v>
      </c>
      <c r="C45" s="9" t="s">
        <v>42</v>
      </c>
      <c r="D45" s="18">
        <f>A45/(60*24)+D44</f>
        <v>0.47361111111111065</v>
      </c>
      <c r="E45" s="18">
        <f t="shared" si="0"/>
        <v>0.47569444444444398</v>
      </c>
      <c r="F45" s="18">
        <f t="shared" si="1"/>
        <v>0.48472222222222178</v>
      </c>
      <c r="G45" s="18" t="b">
        <f t="shared" si="4"/>
        <v>1</v>
      </c>
      <c r="H45" s="1">
        <f t="shared" si="3"/>
        <v>0</v>
      </c>
    </row>
    <row r="46" spans="1:8" x14ac:dyDescent="0.25">
      <c r="A46" s="10">
        <v>4</v>
      </c>
      <c r="B46" s="11">
        <v>11</v>
      </c>
      <c r="C46" s="12" t="s">
        <v>43</v>
      </c>
      <c r="D46" s="18">
        <f>A46/(60*24)+D45</f>
        <v>0.47638888888888842</v>
      </c>
      <c r="E46" s="18">
        <f t="shared" si="0"/>
        <v>0.48472222222222178</v>
      </c>
      <c r="F46" s="18">
        <f t="shared" si="1"/>
        <v>0.48472222222222178</v>
      </c>
      <c r="G46" s="18" t="b">
        <f t="shared" si="4"/>
        <v>0</v>
      </c>
      <c r="H46" s="1">
        <f t="shared" si="3"/>
        <v>1</v>
      </c>
    </row>
    <row r="47" spans="1:8" x14ac:dyDescent="0.25">
      <c r="A47" s="7">
        <v>7</v>
      </c>
      <c r="B47" s="8">
        <v>10</v>
      </c>
      <c r="C47" s="9" t="s">
        <v>44</v>
      </c>
      <c r="D47" s="18">
        <f>A47/(60*24)+D46</f>
        <v>0.48124999999999951</v>
      </c>
      <c r="E47" s="18">
        <f t="shared" si="0"/>
        <v>0.48472222222222178</v>
      </c>
      <c r="F47" s="18">
        <f t="shared" si="1"/>
        <v>0.4916666666666662</v>
      </c>
      <c r="G47" s="18" t="b">
        <f t="shared" si="4"/>
        <v>1</v>
      </c>
      <c r="H47" s="1">
        <f t="shared" si="3"/>
        <v>0</v>
      </c>
    </row>
    <row r="48" spans="1:8" x14ac:dyDescent="0.25">
      <c r="A48" s="10">
        <v>8</v>
      </c>
      <c r="B48" s="11">
        <v>6</v>
      </c>
      <c r="C48" s="12" t="s">
        <v>45</v>
      </c>
      <c r="D48" s="18">
        <f>A48/(60*24)+D47</f>
        <v>0.48680555555555505</v>
      </c>
      <c r="E48" s="18">
        <f t="shared" si="0"/>
        <v>0.4916666666666662</v>
      </c>
      <c r="F48" s="18">
        <f t="shared" si="1"/>
        <v>0.4916666666666662</v>
      </c>
      <c r="G48" s="18" t="b">
        <f t="shared" si="4"/>
        <v>0</v>
      </c>
      <c r="H48" s="1">
        <f t="shared" si="3"/>
        <v>1</v>
      </c>
    </row>
    <row r="49" spans="1:8" x14ac:dyDescent="0.25">
      <c r="A49" s="7">
        <v>3</v>
      </c>
      <c r="B49" s="8">
        <v>14</v>
      </c>
      <c r="C49" s="9" t="s">
        <v>46</v>
      </c>
      <c r="D49" s="18">
        <f>A49/(60*24)+D48</f>
        <v>0.48888888888888837</v>
      </c>
      <c r="E49" s="18">
        <f t="shared" si="0"/>
        <v>0.4916666666666662</v>
      </c>
      <c r="F49" s="18">
        <f t="shared" si="1"/>
        <v>0.50138888888888844</v>
      </c>
      <c r="G49" s="18" t="b">
        <f t="shared" si="4"/>
        <v>1</v>
      </c>
      <c r="H49" s="1">
        <f t="shared" si="3"/>
        <v>0</v>
      </c>
    </row>
    <row r="50" spans="1:8" x14ac:dyDescent="0.25">
      <c r="A50" s="10">
        <v>7</v>
      </c>
      <c r="B50" s="11">
        <v>13</v>
      </c>
      <c r="C50" s="12" t="s">
        <v>47</v>
      </c>
      <c r="D50" s="18">
        <f>A50/(60*24)+D49</f>
        <v>0.49374999999999947</v>
      </c>
      <c r="E50" s="18">
        <f t="shared" si="0"/>
        <v>0.50138888888888844</v>
      </c>
      <c r="F50" s="18">
        <f t="shared" si="1"/>
        <v>0.50138888888888844</v>
      </c>
      <c r="G50" s="18" t="b">
        <f t="shared" si="4"/>
        <v>0</v>
      </c>
      <c r="H50" s="1">
        <f t="shared" si="3"/>
        <v>1</v>
      </c>
    </row>
    <row r="51" spans="1:8" x14ac:dyDescent="0.25">
      <c r="A51" s="7">
        <v>15</v>
      </c>
      <c r="B51" s="8">
        <v>11</v>
      </c>
      <c r="C51" s="9" t="s">
        <v>48</v>
      </c>
      <c r="D51" s="18">
        <f>A51/(60*24)+D50</f>
        <v>0.5041666666666661</v>
      </c>
      <c r="E51" s="18">
        <f t="shared" si="0"/>
        <v>0.5041666666666661</v>
      </c>
      <c r="F51" s="18">
        <f t="shared" si="1"/>
        <v>0.51180555555555496</v>
      </c>
      <c r="G51" s="18" t="b">
        <f t="shared" si="4"/>
        <v>1</v>
      </c>
      <c r="H51" s="1">
        <f t="shared" si="3"/>
        <v>0</v>
      </c>
    </row>
    <row r="52" spans="1:8" x14ac:dyDescent="0.25">
      <c r="A52" s="10">
        <v>11</v>
      </c>
      <c r="B52" s="11">
        <v>8</v>
      </c>
      <c r="C52" s="12" t="s">
        <v>49</v>
      </c>
      <c r="D52" s="18">
        <f>A52/(60*24)+D51</f>
        <v>0.51180555555555496</v>
      </c>
      <c r="E52" s="18">
        <f t="shared" si="0"/>
        <v>0.51180555555555496</v>
      </c>
      <c r="F52" s="18">
        <f t="shared" si="1"/>
        <v>0.51736111111111049</v>
      </c>
      <c r="G52" s="18" t="b">
        <f t="shared" si="4"/>
        <v>1</v>
      </c>
      <c r="H52" s="1">
        <f t="shared" si="3"/>
        <v>0</v>
      </c>
    </row>
    <row r="53" spans="1:8" x14ac:dyDescent="0.25">
      <c r="A53" s="7">
        <v>6</v>
      </c>
      <c r="B53" s="8">
        <v>10</v>
      </c>
      <c r="C53" s="9" t="s">
        <v>50</v>
      </c>
      <c r="D53" s="18">
        <f>A53/(60*24)+D52</f>
        <v>0.51597222222222161</v>
      </c>
      <c r="E53" s="18">
        <f t="shared" si="0"/>
        <v>0.51736111111111049</v>
      </c>
      <c r="F53" s="18">
        <f t="shared" si="1"/>
        <v>0.52430555555555491</v>
      </c>
      <c r="G53" s="18" t="b">
        <f t="shared" si="4"/>
        <v>1</v>
      </c>
      <c r="H53" s="1">
        <f t="shared" si="3"/>
        <v>0</v>
      </c>
    </row>
    <row r="54" spans="1:8" x14ac:dyDescent="0.25">
      <c r="A54" s="10">
        <v>3</v>
      </c>
      <c r="B54" s="11">
        <v>12</v>
      </c>
      <c r="C54" s="12" t="s">
        <v>51</v>
      </c>
      <c r="D54" s="18">
        <f>A54/(60*24)+D53</f>
        <v>0.51805555555555494</v>
      </c>
      <c r="E54" s="18">
        <f t="shared" si="0"/>
        <v>0.52430555555555491</v>
      </c>
      <c r="F54" s="18">
        <f t="shared" si="1"/>
        <v>0.52430555555555491</v>
      </c>
      <c r="G54" s="18" t="b">
        <f t="shared" si="4"/>
        <v>0</v>
      </c>
      <c r="H54" s="1">
        <f t="shared" si="3"/>
        <v>1</v>
      </c>
    </row>
    <row r="55" spans="1:8" x14ac:dyDescent="0.25">
      <c r="A55" s="7">
        <v>13</v>
      </c>
      <c r="B55" s="8">
        <v>11</v>
      </c>
      <c r="C55" s="9" t="s">
        <v>52</v>
      </c>
      <c r="D55" s="18">
        <f>A55/(60*24)+D54</f>
        <v>0.52708333333333268</v>
      </c>
      <c r="E55" s="18">
        <f t="shared" si="0"/>
        <v>0.52708333333333268</v>
      </c>
      <c r="F55" s="18">
        <f t="shared" si="1"/>
        <v>0.53472222222222154</v>
      </c>
      <c r="G55" s="18" t="b">
        <f t="shared" si="4"/>
        <v>1</v>
      </c>
      <c r="H55" s="1">
        <f t="shared" si="3"/>
        <v>0</v>
      </c>
    </row>
    <row r="56" spans="1:8" x14ac:dyDescent="0.25">
      <c r="A56" s="10">
        <v>15</v>
      </c>
      <c r="B56" s="11">
        <v>12</v>
      </c>
      <c r="C56" s="12" t="s">
        <v>53</v>
      </c>
      <c r="D56" s="18">
        <f>A56/(60*24)+D55</f>
        <v>0.53749999999999931</v>
      </c>
      <c r="E56" s="18">
        <f t="shared" si="0"/>
        <v>0.53749999999999931</v>
      </c>
      <c r="F56" s="18">
        <f t="shared" si="1"/>
        <v>0.54583333333333262</v>
      </c>
      <c r="G56" s="18" t="b">
        <f t="shared" si="4"/>
        <v>1</v>
      </c>
      <c r="H56" s="1">
        <f t="shared" si="3"/>
        <v>0</v>
      </c>
    </row>
    <row r="57" spans="1:8" x14ac:dyDescent="0.25">
      <c r="A57" s="7">
        <v>1</v>
      </c>
      <c r="B57" s="8">
        <v>13</v>
      </c>
      <c r="C57" s="9" t="s">
        <v>54</v>
      </c>
      <c r="D57" s="18">
        <f>A57/(60*24)+D56</f>
        <v>0.53819444444444375</v>
      </c>
      <c r="E57" s="18">
        <f t="shared" si="0"/>
        <v>0.54583333333333262</v>
      </c>
      <c r="F57" s="18">
        <f t="shared" si="1"/>
        <v>0.54583333333333262</v>
      </c>
      <c r="G57" s="18" t="b">
        <f t="shared" si="4"/>
        <v>0</v>
      </c>
      <c r="H57" s="1">
        <f t="shared" si="3"/>
        <v>1</v>
      </c>
    </row>
    <row r="58" spans="1:8" x14ac:dyDescent="0.25">
      <c r="A58" s="10">
        <v>15</v>
      </c>
      <c r="B58" s="11">
        <v>7</v>
      </c>
      <c r="C58" s="12" t="s">
        <v>55</v>
      </c>
      <c r="D58" s="18">
        <f>A58/(60*24)+D57</f>
        <v>0.54861111111111038</v>
      </c>
      <c r="E58" s="18">
        <f t="shared" si="0"/>
        <v>0.54861111111111038</v>
      </c>
      <c r="F58" s="18">
        <f t="shared" si="1"/>
        <v>0.55347222222222148</v>
      </c>
      <c r="G58" s="18" t="b">
        <f t="shared" si="4"/>
        <v>1</v>
      </c>
      <c r="H58" s="1">
        <f t="shared" si="3"/>
        <v>0</v>
      </c>
    </row>
    <row r="59" spans="1:8" x14ac:dyDescent="0.25">
      <c r="A59" s="7">
        <v>14</v>
      </c>
      <c r="B59" s="8">
        <v>10</v>
      </c>
      <c r="C59" s="9" t="s">
        <v>56</v>
      </c>
      <c r="D59" s="18">
        <f>A59/(60*24)+D58</f>
        <v>0.55833333333333257</v>
      </c>
      <c r="E59" s="18">
        <f t="shared" si="0"/>
        <v>0.55833333333333257</v>
      </c>
      <c r="F59" s="18">
        <f t="shared" si="1"/>
        <v>0.56527777777777699</v>
      </c>
      <c r="G59" s="18" t="b">
        <f t="shared" si="4"/>
        <v>1</v>
      </c>
      <c r="H59" s="1">
        <f t="shared" si="3"/>
        <v>0</v>
      </c>
    </row>
    <row r="60" spans="1:8" x14ac:dyDescent="0.25">
      <c r="A60" s="10">
        <v>7</v>
      </c>
      <c r="B60" s="11">
        <v>1</v>
      </c>
      <c r="C60" s="12" t="s">
        <v>57</v>
      </c>
      <c r="D60" s="18">
        <f>A60/(60*24)+D59</f>
        <v>0.56319444444444366</v>
      </c>
      <c r="E60" s="18">
        <f t="shared" si="0"/>
        <v>0.56527777777777699</v>
      </c>
      <c r="F60" s="18">
        <f t="shared" si="1"/>
        <v>0.56597222222222143</v>
      </c>
      <c r="G60" s="18" t="b">
        <f t="shared" si="4"/>
        <v>1</v>
      </c>
      <c r="H60" s="1">
        <f t="shared" si="3"/>
        <v>0</v>
      </c>
    </row>
    <row r="61" spans="1:8" x14ac:dyDescent="0.25">
      <c r="A61" s="7">
        <v>7</v>
      </c>
      <c r="B61" s="8">
        <v>5</v>
      </c>
      <c r="C61" s="9" t="s">
        <v>58</v>
      </c>
      <c r="D61" s="18">
        <f>A61/(60*24)+D60</f>
        <v>0.56805555555555476</v>
      </c>
      <c r="E61" s="18">
        <f t="shared" si="0"/>
        <v>0.56805555555555476</v>
      </c>
      <c r="F61" s="18">
        <f t="shared" si="1"/>
        <v>0.57152777777777697</v>
      </c>
      <c r="G61" s="18" t="b">
        <f t="shared" si="4"/>
        <v>1</v>
      </c>
      <c r="H61" s="1">
        <f t="shared" si="3"/>
        <v>0</v>
      </c>
    </row>
    <row r="62" spans="1:8" x14ac:dyDescent="0.25">
      <c r="A62" s="10">
        <v>6</v>
      </c>
      <c r="B62" s="11">
        <v>1</v>
      </c>
      <c r="C62" s="12" t="s">
        <v>59</v>
      </c>
      <c r="D62" s="18">
        <f>A62/(60*24)+D61</f>
        <v>0.57222222222222141</v>
      </c>
      <c r="E62" s="18">
        <f t="shared" si="0"/>
        <v>0.57222222222222141</v>
      </c>
      <c r="F62" s="18">
        <f t="shared" si="1"/>
        <v>0.57291666666666585</v>
      </c>
      <c r="G62" s="18" t="b">
        <f t="shared" si="4"/>
        <v>1</v>
      </c>
      <c r="H62" s="1">
        <f t="shared" si="3"/>
        <v>0</v>
      </c>
    </row>
    <row r="63" spans="1:8" x14ac:dyDescent="0.25">
      <c r="A63" s="7">
        <v>3</v>
      </c>
      <c r="B63" s="8">
        <v>12</v>
      </c>
      <c r="C63" s="9" t="s">
        <v>60</v>
      </c>
      <c r="D63" s="18">
        <f>A63/(60*24)+D62</f>
        <v>0.57430555555555474</v>
      </c>
      <c r="E63" s="18">
        <f t="shared" si="0"/>
        <v>0.57430555555555474</v>
      </c>
      <c r="F63" s="18">
        <f t="shared" si="1"/>
        <v>0.58263888888888804</v>
      </c>
      <c r="G63" s="18" t="b">
        <f t="shared" si="4"/>
        <v>1</v>
      </c>
      <c r="H63" s="1">
        <f t="shared" si="3"/>
        <v>0</v>
      </c>
    </row>
    <row r="64" spans="1:8" x14ac:dyDescent="0.25">
      <c r="A64" s="10">
        <v>15</v>
      </c>
      <c r="B64" s="11">
        <v>14</v>
      </c>
      <c r="C64" s="12" t="s">
        <v>61</v>
      </c>
      <c r="D64" s="18">
        <f>A64/(60*24)+D63</f>
        <v>0.58472222222222137</v>
      </c>
      <c r="E64" s="18">
        <f t="shared" si="0"/>
        <v>0.58472222222222137</v>
      </c>
      <c r="F64" s="18">
        <f t="shared" si="1"/>
        <v>0.59444444444444355</v>
      </c>
      <c r="G64" s="18" t="b">
        <f t="shared" si="4"/>
        <v>1</v>
      </c>
      <c r="H64" s="1">
        <f t="shared" si="3"/>
        <v>0</v>
      </c>
    </row>
    <row r="65" spans="1:8" x14ac:dyDescent="0.25">
      <c r="A65" s="7">
        <v>3</v>
      </c>
      <c r="B65" s="8">
        <v>9</v>
      </c>
      <c r="C65" s="9" t="s">
        <v>62</v>
      </c>
      <c r="D65" s="18">
        <f>A65/(60*24)+D64</f>
        <v>0.58680555555555469</v>
      </c>
      <c r="E65" s="18">
        <f t="shared" si="0"/>
        <v>0.59444444444444355</v>
      </c>
      <c r="F65" s="18">
        <f t="shared" si="1"/>
        <v>0.59444444444444355</v>
      </c>
      <c r="G65" s="18" t="b">
        <f t="shared" si="4"/>
        <v>0</v>
      </c>
      <c r="H65" s="1">
        <f t="shared" si="3"/>
        <v>1</v>
      </c>
    </row>
    <row r="66" spans="1:8" x14ac:dyDescent="0.25">
      <c r="A66" s="10">
        <v>8</v>
      </c>
      <c r="B66" s="11">
        <v>11</v>
      </c>
      <c r="C66" s="12" t="s">
        <v>63</v>
      </c>
      <c r="D66" s="18">
        <f>A66/(60*24)+D65</f>
        <v>0.59236111111111023</v>
      </c>
      <c r="E66" s="18">
        <f t="shared" si="0"/>
        <v>0.59444444444444355</v>
      </c>
      <c r="F66" s="18">
        <f t="shared" si="1"/>
        <v>0.60208333333333242</v>
      </c>
      <c r="G66" s="18" t="b">
        <f t="shared" si="4"/>
        <v>1</v>
      </c>
      <c r="H66" s="1">
        <f t="shared" si="3"/>
        <v>0</v>
      </c>
    </row>
    <row r="67" spans="1:8" x14ac:dyDescent="0.25">
      <c r="A67" s="7">
        <v>5</v>
      </c>
      <c r="B67" s="8">
        <v>15</v>
      </c>
      <c r="C67" s="9" t="s">
        <v>64</v>
      </c>
      <c r="D67" s="18">
        <f>A67/(60*24)+D66</f>
        <v>0.59583333333333244</v>
      </c>
      <c r="E67" s="18">
        <f t="shared" si="0"/>
        <v>0.60208333333333242</v>
      </c>
      <c r="F67" s="18">
        <f t="shared" si="1"/>
        <v>0.60208333333333242</v>
      </c>
      <c r="G67" s="18" t="b">
        <f t="shared" si="4"/>
        <v>0</v>
      </c>
      <c r="H67" s="1">
        <f t="shared" si="3"/>
        <v>1</v>
      </c>
    </row>
    <row r="68" spans="1:8" x14ac:dyDescent="0.25">
      <c r="A68" s="10">
        <v>2</v>
      </c>
      <c r="B68" s="11">
        <v>4</v>
      </c>
      <c r="C68" s="12" t="s">
        <v>65</v>
      </c>
      <c r="D68" s="18">
        <f>A68/(60*24)+D67</f>
        <v>0.59722222222222132</v>
      </c>
      <c r="E68" s="18">
        <f t="shared" si="0"/>
        <v>0.60208333333333242</v>
      </c>
      <c r="F68" s="18">
        <f t="shared" si="1"/>
        <v>0.60208333333333242</v>
      </c>
      <c r="G68" s="18" t="b">
        <f t="shared" si="4"/>
        <v>0</v>
      </c>
      <c r="H68" s="1">
        <f t="shared" si="3"/>
        <v>2</v>
      </c>
    </row>
    <row r="69" spans="1:8" x14ac:dyDescent="0.25">
      <c r="A69" s="7">
        <v>14</v>
      </c>
      <c r="B69" s="8">
        <v>9</v>
      </c>
      <c r="C69" s="9" t="s">
        <v>66</v>
      </c>
      <c r="D69" s="18">
        <f>A69/(60*24)+D68</f>
        <v>0.60694444444444351</v>
      </c>
      <c r="E69" s="18">
        <f t="shared" ref="E69:E132" si="5">IF(D69&gt;F68,D69,F68)</f>
        <v>0.60694444444444351</v>
      </c>
      <c r="F69" s="18">
        <f t="shared" ref="F69:F132" si="6">IF(G69=TRUE,E69+B69/(60*24),F68)</f>
        <v>0.61319444444444349</v>
      </c>
      <c r="G69" s="18" t="b">
        <f t="shared" si="4"/>
        <v>1</v>
      </c>
      <c r="H69" s="1">
        <f t="shared" ref="H69:H132" si="7">IF(G69=FALSE,H68+1,0)</f>
        <v>0</v>
      </c>
    </row>
    <row r="70" spans="1:8" x14ac:dyDescent="0.25">
      <c r="A70" s="10">
        <v>7</v>
      </c>
      <c r="B70" s="11">
        <v>7</v>
      </c>
      <c r="C70" s="12" t="s">
        <v>67</v>
      </c>
      <c r="D70" s="18">
        <f>A70/(60*24)+D69</f>
        <v>0.6118055555555546</v>
      </c>
      <c r="E70" s="18">
        <f t="shared" si="5"/>
        <v>0.61319444444444349</v>
      </c>
      <c r="F70" s="18">
        <f t="shared" si="6"/>
        <v>0.61805555555555458</v>
      </c>
      <c r="G70" s="18" t="b">
        <f t="shared" si="4"/>
        <v>1</v>
      </c>
      <c r="H70" s="1">
        <f t="shared" si="7"/>
        <v>0</v>
      </c>
    </row>
    <row r="71" spans="1:8" x14ac:dyDescent="0.25">
      <c r="A71" s="7">
        <v>14</v>
      </c>
      <c r="B71" s="8">
        <v>6</v>
      </c>
      <c r="C71" s="9" t="s">
        <v>68</v>
      </c>
      <c r="D71" s="18">
        <f>A71/(60*24)+D70</f>
        <v>0.62152777777777679</v>
      </c>
      <c r="E71" s="18">
        <f t="shared" si="5"/>
        <v>0.62152777777777679</v>
      </c>
      <c r="F71" s="18">
        <f t="shared" si="6"/>
        <v>0.62569444444444344</v>
      </c>
      <c r="G71" s="18" t="b">
        <f t="shared" ref="G71:G134" si="8">IF(D71+5*$B$1&gt;=F70,TRUE,FALSE)</f>
        <v>1</v>
      </c>
      <c r="H71" s="1">
        <f t="shared" si="7"/>
        <v>0</v>
      </c>
    </row>
    <row r="72" spans="1:8" x14ac:dyDescent="0.25">
      <c r="A72" s="10">
        <v>11</v>
      </c>
      <c r="B72" s="11">
        <v>12</v>
      </c>
      <c r="C72" s="12" t="s">
        <v>69</v>
      </c>
      <c r="D72" s="18">
        <f>A72/(60*24)+D71</f>
        <v>0.62916666666666565</v>
      </c>
      <c r="E72" s="18">
        <f t="shared" si="5"/>
        <v>0.62916666666666565</v>
      </c>
      <c r="F72" s="18">
        <f t="shared" si="6"/>
        <v>0.63749999999999896</v>
      </c>
      <c r="G72" s="18" t="b">
        <f t="shared" si="8"/>
        <v>1</v>
      </c>
      <c r="H72" s="1">
        <f t="shared" si="7"/>
        <v>0</v>
      </c>
    </row>
    <row r="73" spans="1:8" x14ac:dyDescent="0.25">
      <c r="A73" s="7">
        <v>2</v>
      </c>
      <c r="B73" s="8">
        <v>4</v>
      </c>
      <c r="C73" s="9" t="s">
        <v>70</v>
      </c>
      <c r="D73" s="18">
        <f>A73/(60*24)+D72</f>
        <v>0.63055555555555454</v>
      </c>
      <c r="E73" s="18">
        <f t="shared" si="5"/>
        <v>0.63749999999999896</v>
      </c>
      <c r="F73" s="18">
        <f t="shared" si="6"/>
        <v>0.63749999999999896</v>
      </c>
      <c r="G73" s="18" t="b">
        <f t="shared" si="8"/>
        <v>0</v>
      </c>
      <c r="H73" s="1">
        <f t="shared" si="7"/>
        <v>1</v>
      </c>
    </row>
    <row r="74" spans="1:8" x14ac:dyDescent="0.25">
      <c r="A74" s="10">
        <v>11</v>
      </c>
      <c r="B74" s="11">
        <v>15</v>
      </c>
      <c r="C74" s="12" t="s">
        <v>71</v>
      </c>
      <c r="D74" s="18">
        <f>A74/(60*24)+D73</f>
        <v>0.6381944444444434</v>
      </c>
      <c r="E74" s="18">
        <f t="shared" si="5"/>
        <v>0.6381944444444434</v>
      </c>
      <c r="F74" s="18">
        <f t="shared" si="6"/>
        <v>0.64861111111111003</v>
      </c>
      <c r="G74" s="18" t="b">
        <f t="shared" si="8"/>
        <v>1</v>
      </c>
      <c r="H74" s="1">
        <f t="shared" si="7"/>
        <v>0</v>
      </c>
    </row>
    <row r="75" spans="1:8" x14ac:dyDescent="0.25">
      <c r="A75" s="7">
        <v>4</v>
      </c>
      <c r="B75" s="8">
        <v>3</v>
      </c>
      <c r="C75" s="9" t="s">
        <v>72</v>
      </c>
      <c r="D75" s="18">
        <f>A75/(60*24)+D74</f>
        <v>0.64097222222222117</v>
      </c>
      <c r="E75" s="18">
        <f t="shared" si="5"/>
        <v>0.64861111111111003</v>
      </c>
      <c r="F75" s="18">
        <f t="shared" si="6"/>
        <v>0.64861111111111003</v>
      </c>
      <c r="G75" s="18" t="b">
        <f t="shared" si="8"/>
        <v>0</v>
      </c>
      <c r="H75" s="1">
        <f t="shared" si="7"/>
        <v>1</v>
      </c>
    </row>
    <row r="76" spans="1:8" x14ac:dyDescent="0.25">
      <c r="A76" s="10">
        <v>3</v>
      </c>
      <c r="B76" s="11">
        <v>12</v>
      </c>
      <c r="C76" s="12" t="s">
        <v>73</v>
      </c>
      <c r="D76" s="18">
        <f>A76/(60*24)+D75</f>
        <v>0.64305555555555449</v>
      </c>
      <c r="E76" s="18">
        <f t="shared" si="5"/>
        <v>0.64861111111111003</v>
      </c>
      <c r="F76" s="18">
        <f t="shared" si="6"/>
        <v>0.64861111111111003</v>
      </c>
      <c r="G76" s="18" t="b">
        <f t="shared" si="8"/>
        <v>0</v>
      </c>
      <c r="H76" s="1">
        <f t="shared" si="7"/>
        <v>2</v>
      </c>
    </row>
    <row r="77" spans="1:8" x14ac:dyDescent="0.25">
      <c r="A77" s="7">
        <v>2</v>
      </c>
      <c r="B77" s="8">
        <v>7</v>
      </c>
      <c r="C77" s="9" t="s">
        <v>74</v>
      </c>
      <c r="D77" s="18">
        <f>A77/(60*24)+D76</f>
        <v>0.64444444444444338</v>
      </c>
      <c r="E77" s="18">
        <f t="shared" si="5"/>
        <v>0.64861111111111003</v>
      </c>
      <c r="F77" s="18">
        <f t="shared" si="6"/>
        <v>0.64861111111111003</v>
      </c>
      <c r="G77" s="18" t="b">
        <f t="shared" si="8"/>
        <v>0</v>
      </c>
      <c r="H77" s="1">
        <f t="shared" si="7"/>
        <v>3</v>
      </c>
    </row>
    <row r="78" spans="1:8" x14ac:dyDescent="0.25">
      <c r="A78" s="10">
        <v>13</v>
      </c>
      <c r="B78" s="11">
        <v>7</v>
      </c>
      <c r="C78" s="12" t="s">
        <v>75</v>
      </c>
      <c r="D78" s="18">
        <f>A78/(60*24)+D77</f>
        <v>0.65347222222222112</v>
      </c>
      <c r="E78" s="18">
        <f t="shared" si="5"/>
        <v>0.65347222222222112</v>
      </c>
      <c r="F78" s="18">
        <f t="shared" si="6"/>
        <v>0.65833333333333222</v>
      </c>
      <c r="G78" s="18" t="b">
        <f t="shared" si="8"/>
        <v>1</v>
      </c>
      <c r="H78" s="1">
        <f t="shared" si="7"/>
        <v>0</v>
      </c>
    </row>
    <row r="79" spans="1:8" x14ac:dyDescent="0.25">
      <c r="A79" s="7">
        <v>3</v>
      </c>
      <c r="B79" s="8">
        <v>12</v>
      </c>
      <c r="C79" s="9" t="s">
        <v>76</v>
      </c>
      <c r="D79" s="18">
        <f>A79/(60*24)+D78</f>
        <v>0.65555555555555445</v>
      </c>
      <c r="E79" s="18">
        <f t="shared" si="5"/>
        <v>0.65833333333333222</v>
      </c>
      <c r="F79" s="18">
        <f t="shared" si="6"/>
        <v>0.66666666666666552</v>
      </c>
      <c r="G79" s="18" t="b">
        <f t="shared" si="8"/>
        <v>1</v>
      </c>
      <c r="H79" s="1">
        <f t="shared" si="7"/>
        <v>0</v>
      </c>
    </row>
    <row r="80" spans="1:8" x14ac:dyDescent="0.25">
      <c r="A80" s="10">
        <v>9</v>
      </c>
      <c r="B80" s="11">
        <v>9</v>
      </c>
      <c r="C80" s="12" t="s">
        <v>77</v>
      </c>
      <c r="D80" s="18">
        <f>A80/(60*24)+D79</f>
        <v>0.66180555555555443</v>
      </c>
      <c r="E80" s="18">
        <f t="shared" si="5"/>
        <v>0.66666666666666552</v>
      </c>
      <c r="F80" s="18">
        <f t="shared" si="6"/>
        <v>0.66666666666666552</v>
      </c>
      <c r="G80" s="18" t="b">
        <f t="shared" si="8"/>
        <v>0</v>
      </c>
      <c r="H80" s="1">
        <f t="shared" si="7"/>
        <v>1</v>
      </c>
    </row>
    <row r="81" spans="1:8" x14ac:dyDescent="0.25">
      <c r="A81" s="7">
        <v>13</v>
      </c>
      <c r="B81" s="8">
        <v>3</v>
      </c>
      <c r="C81" s="9" t="s">
        <v>78</v>
      </c>
      <c r="D81" s="18">
        <f>A81/(60*24)+D80</f>
        <v>0.67083333333333217</v>
      </c>
      <c r="E81" s="18">
        <f t="shared" si="5"/>
        <v>0.67083333333333217</v>
      </c>
      <c r="F81" s="18">
        <f t="shared" si="6"/>
        <v>0.6729166666666655</v>
      </c>
      <c r="G81" s="18" t="b">
        <f t="shared" si="8"/>
        <v>1</v>
      </c>
      <c r="H81" s="1">
        <f t="shared" si="7"/>
        <v>0</v>
      </c>
    </row>
    <row r="82" spans="1:8" x14ac:dyDescent="0.25">
      <c r="A82" s="10">
        <v>7</v>
      </c>
      <c r="B82" s="11">
        <v>2</v>
      </c>
      <c r="C82" s="12" t="s">
        <v>79</v>
      </c>
      <c r="D82" s="18">
        <f>A82/(60*24)+D81</f>
        <v>0.67569444444444327</v>
      </c>
      <c r="E82" s="18">
        <f t="shared" si="5"/>
        <v>0.67569444444444327</v>
      </c>
      <c r="F82" s="18">
        <f t="shared" si="6"/>
        <v>0.67708333333333215</v>
      </c>
      <c r="G82" s="18" t="b">
        <f t="shared" si="8"/>
        <v>1</v>
      </c>
      <c r="H82" s="1">
        <f t="shared" si="7"/>
        <v>0</v>
      </c>
    </row>
    <row r="83" spans="1:8" x14ac:dyDescent="0.25">
      <c r="A83" s="7">
        <v>13</v>
      </c>
      <c r="B83" s="8">
        <v>4</v>
      </c>
      <c r="C83" s="9" t="s">
        <v>80</v>
      </c>
      <c r="D83" s="18">
        <f>A83/(60*24)+D82</f>
        <v>0.68472222222222101</v>
      </c>
      <c r="E83" s="18">
        <f t="shared" si="5"/>
        <v>0.68472222222222101</v>
      </c>
      <c r="F83" s="18">
        <f t="shared" si="6"/>
        <v>0.68749999999999878</v>
      </c>
      <c r="G83" s="18" t="b">
        <f t="shared" si="8"/>
        <v>1</v>
      </c>
      <c r="H83" s="1">
        <f t="shared" si="7"/>
        <v>0</v>
      </c>
    </row>
    <row r="84" spans="1:8" x14ac:dyDescent="0.25">
      <c r="A84" s="10">
        <v>4</v>
      </c>
      <c r="B84" s="11">
        <v>12</v>
      </c>
      <c r="C84" s="12" t="s">
        <v>81</v>
      </c>
      <c r="D84" s="18">
        <f>A84/(60*24)+D83</f>
        <v>0.68749999999999878</v>
      </c>
      <c r="E84" s="18">
        <f t="shared" si="5"/>
        <v>0.68749999999999878</v>
      </c>
      <c r="F84" s="18">
        <f t="shared" si="6"/>
        <v>0.69583333333333208</v>
      </c>
      <c r="G84" s="18" t="b">
        <f t="shared" si="8"/>
        <v>1</v>
      </c>
      <c r="H84" s="1">
        <f t="shared" si="7"/>
        <v>0</v>
      </c>
    </row>
    <row r="85" spans="1:8" x14ac:dyDescent="0.25">
      <c r="A85" s="7">
        <v>7</v>
      </c>
      <c r="B85" s="8">
        <v>8</v>
      </c>
      <c r="C85" s="9" t="s">
        <v>82</v>
      </c>
      <c r="D85" s="18">
        <f>A85/(60*24)+D84</f>
        <v>0.69236111111110987</v>
      </c>
      <c r="E85" s="18">
        <f t="shared" si="5"/>
        <v>0.69583333333333208</v>
      </c>
      <c r="F85" s="18">
        <f t="shared" si="6"/>
        <v>0.70138888888888762</v>
      </c>
      <c r="G85" s="18" t="b">
        <f t="shared" si="8"/>
        <v>1</v>
      </c>
      <c r="H85" s="1">
        <f t="shared" si="7"/>
        <v>0</v>
      </c>
    </row>
    <row r="86" spans="1:8" x14ac:dyDescent="0.25">
      <c r="A86" s="10">
        <v>3</v>
      </c>
      <c r="B86" s="11">
        <v>12</v>
      </c>
      <c r="C86" s="12" t="s">
        <v>83</v>
      </c>
      <c r="D86" s="18">
        <f>A86/(60*24)+D85</f>
        <v>0.6944444444444432</v>
      </c>
      <c r="E86" s="18">
        <f t="shared" si="5"/>
        <v>0.70138888888888762</v>
      </c>
      <c r="F86" s="18">
        <f t="shared" si="6"/>
        <v>0.70138888888888762</v>
      </c>
      <c r="G86" s="18" t="b">
        <f t="shared" si="8"/>
        <v>0</v>
      </c>
      <c r="H86" s="1">
        <f t="shared" si="7"/>
        <v>1</v>
      </c>
    </row>
    <row r="87" spans="1:8" x14ac:dyDescent="0.25">
      <c r="A87" s="7">
        <v>4</v>
      </c>
      <c r="B87" s="8">
        <v>11</v>
      </c>
      <c r="C87" s="9" t="s">
        <v>84</v>
      </c>
      <c r="D87" s="18">
        <f>A87/(60*24)+D86</f>
        <v>0.69722222222222097</v>
      </c>
      <c r="E87" s="18">
        <f t="shared" si="5"/>
        <v>0.70138888888888762</v>
      </c>
      <c r="F87" s="18">
        <f t="shared" si="6"/>
        <v>0.70138888888888762</v>
      </c>
      <c r="G87" s="18" t="b">
        <f t="shared" si="8"/>
        <v>0</v>
      </c>
      <c r="H87" s="1">
        <f t="shared" si="7"/>
        <v>2</v>
      </c>
    </row>
    <row r="88" spans="1:8" x14ac:dyDescent="0.25">
      <c r="A88" s="10">
        <v>7</v>
      </c>
      <c r="B88" s="11">
        <v>1</v>
      </c>
      <c r="C88" s="12" t="s">
        <v>85</v>
      </c>
      <c r="D88" s="18">
        <f>A88/(60*24)+D87</f>
        <v>0.70208333333333206</v>
      </c>
      <c r="E88" s="18">
        <f t="shared" si="5"/>
        <v>0.70208333333333206</v>
      </c>
      <c r="F88" s="18">
        <f t="shared" si="6"/>
        <v>0.7027777777777765</v>
      </c>
      <c r="G88" s="18" t="b">
        <f t="shared" si="8"/>
        <v>1</v>
      </c>
      <c r="H88" s="1">
        <f t="shared" si="7"/>
        <v>0</v>
      </c>
    </row>
    <row r="89" spans="1:8" x14ac:dyDescent="0.25">
      <c r="A89" s="7">
        <v>3</v>
      </c>
      <c r="B89" s="8">
        <v>9</v>
      </c>
      <c r="C89" s="9" t="s">
        <v>86</v>
      </c>
      <c r="D89" s="18">
        <f>A89/(60*24)+D88</f>
        <v>0.70416666666666539</v>
      </c>
      <c r="E89" s="18">
        <f t="shared" si="5"/>
        <v>0.70416666666666539</v>
      </c>
      <c r="F89" s="18">
        <f t="shared" si="6"/>
        <v>0.71041666666666536</v>
      </c>
      <c r="G89" s="18" t="b">
        <f t="shared" si="8"/>
        <v>1</v>
      </c>
      <c r="H89" s="1">
        <f t="shared" si="7"/>
        <v>0</v>
      </c>
    </row>
    <row r="90" spans="1:8" x14ac:dyDescent="0.25">
      <c r="A90" s="10">
        <v>1</v>
      </c>
      <c r="B90" s="11">
        <v>4</v>
      </c>
      <c r="C90" s="12" t="s">
        <v>87</v>
      </c>
      <c r="D90" s="18">
        <f>A90/(60*24)+D89</f>
        <v>0.70486111111110983</v>
      </c>
      <c r="E90" s="18">
        <f t="shared" si="5"/>
        <v>0.71041666666666536</v>
      </c>
      <c r="F90" s="18">
        <f t="shared" si="6"/>
        <v>0.71041666666666536</v>
      </c>
      <c r="G90" s="18" t="b">
        <f t="shared" si="8"/>
        <v>0</v>
      </c>
      <c r="H90" s="1">
        <f t="shared" si="7"/>
        <v>1</v>
      </c>
    </row>
    <row r="91" spans="1:8" x14ac:dyDescent="0.25">
      <c r="A91" s="7">
        <v>14</v>
      </c>
      <c r="B91" s="8">
        <v>3</v>
      </c>
      <c r="C91" s="9" t="s">
        <v>88</v>
      </c>
      <c r="D91" s="18">
        <f>A91/(60*24)+D90</f>
        <v>0.71458333333333202</v>
      </c>
      <c r="E91" s="18">
        <f t="shared" si="5"/>
        <v>0.71458333333333202</v>
      </c>
      <c r="F91" s="18">
        <f t="shared" si="6"/>
        <v>0.71666666666666534</v>
      </c>
      <c r="G91" s="18" t="b">
        <f t="shared" si="8"/>
        <v>1</v>
      </c>
      <c r="H91" s="1">
        <f t="shared" si="7"/>
        <v>0</v>
      </c>
    </row>
    <row r="92" spans="1:8" x14ac:dyDescent="0.25">
      <c r="A92" s="10">
        <v>5</v>
      </c>
      <c r="B92" s="11">
        <v>12</v>
      </c>
      <c r="C92" s="12" t="s">
        <v>89</v>
      </c>
      <c r="D92" s="18">
        <f>A92/(60*24)+D91</f>
        <v>0.71805555555555423</v>
      </c>
      <c r="E92" s="18">
        <f t="shared" si="5"/>
        <v>0.71805555555555423</v>
      </c>
      <c r="F92" s="18">
        <f t="shared" si="6"/>
        <v>0.72638888888888753</v>
      </c>
      <c r="G92" s="18" t="b">
        <f t="shared" si="8"/>
        <v>1</v>
      </c>
      <c r="H92" s="1">
        <f t="shared" si="7"/>
        <v>0</v>
      </c>
    </row>
    <row r="93" spans="1:8" x14ac:dyDescent="0.25">
      <c r="A93" s="7">
        <v>4</v>
      </c>
      <c r="B93" s="8">
        <v>9</v>
      </c>
      <c r="C93" s="9" t="s">
        <v>90</v>
      </c>
      <c r="D93" s="18">
        <f>A93/(60*24)+D92</f>
        <v>0.72083333333333199</v>
      </c>
      <c r="E93" s="18">
        <f t="shared" si="5"/>
        <v>0.72638888888888753</v>
      </c>
      <c r="F93" s="18">
        <f t="shared" si="6"/>
        <v>0.72638888888888753</v>
      </c>
      <c r="G93" s="18" t="b">
        <f t="shared" si="8"/>
        <v>0</v>
      </c>
      <c r="H93" s="1">
        <f t="shared" si="7"/>
        <v>1</v>
      </c>
    </row>
    <row r="94" spans="1:8" x14ac:dyDescent="0.25">
      <c r="A94" s="10">
        <v>5</v>
      </c>
      <c r="B94" s="11">
        <v>4</v>
      </c>
      <c r="C94" s="12" t="s">
        <v>91</v>
      </c>
      <c r="D94" s="18">
        <f>A94/(60*24)+D93</f>
        <v>0.7243055555555542</v>
      </c>
      <c r="E94" s="18">
        <f t="shared" si="5"/>
        <v>0.72638888888888753</v>
      </c>
      <c r="F94" s="18">
        <f t="shared" si="6"/>
        <v>0.7291666666666653</v>
      </c>
      <c r="G94" s="18" t="b">
        <f t="shared" si="8"/>
        <v>1</v>
      </c>
      <c r="H94" s="1">
        <f t="shared" si="7"/>
        <v>0</v>
      </c>
    </row>
    <row r="95" spans="1:8" x14ac:dyDescent="0.25">
      <c r="A95" s="7">
        <v>6</v>
      </c>
      <c r="B95" s="8">
        <v>8</v>
      </c>
      <c r="C95" s="9" t="s">
        <v>92</v>
      </c>
      <c r="D95" s="18">
        <f>A95/(60*24)+D94</f>
        <v>0.72847222222222086</v>
      </c>
      <c r="E95" s="18">
        <f t="shared" si="5"/>
        <v>0.7291666666666653</v>
      </c>
      <c r="F95" s="18">
        <f t="shared" si="6"/>
        <v>0.73472222222222083</v>
      </c>
      <c r="G95" s="18" t="b">
        <f t="shared" si="8"/>
        <v>1</v>
      </c>
      <c r="H95" s="1">
        <f t="shared" si="7"/>
        <v>0</v>
      </c>
    </row>
    <row r="96" spans="1:8" x14ac:dyDescent="0.25">
      <c r="A96" s="10">
        <v>8</v>
      </c>
      <c r="B96" s="11">
        <v>14</v>
      </c>
      <c r="C96" s="12" t="s">
        <v>93</v>
      </c>
      <c r="D96" s="18">
        <f>A96/(60*24)+D95</f>
        <v>0.73402777777777639</v>
      </c>
      <c r="E96" s="18">
        <f t="shared" si="5"/>
        <v>0.73472222222222083</v>
      </c>
      <c r="F96" s="18">
        <f t="shared" si="6"/>
        <v>0.74444444444444302</v>
      </c>
      <c r="G96" s="18" t="b">
        <f t="shared" si="8"/>
        <v>1</v>
      </c>
      <c r="H96" s="1">
        <f t="shared" si="7"/>
        <v>0</v>
      </c>
    </row>
    <row r="97" spans="1:8" x14ac:dyDescent="0.25">
      <c r="A97" s="7">
        <v>15</v>
      </c>
      <c r="B97" s="8">
        <v>11</v>
      </c>
      <c r="C97" s="9" t="s">
        <v>94</v>
      </c>
      <c r="D97" s="18">
        <f>A97/(60*24)+D96</f>
        <v>0.74444444444444302</v>
      </c>
      <c r="E97" s="18">
        <f t="shared" si="5"/>
        <v>0.74444444444444302</v>
      </c>
      <c r="F97" s="18">
        <f t="shared" si="6"/>
        <v>0.75208333333333188</v>
      </c>
      <c r="G97" s="18" t="b">
        <f t="shared" si="8"/>
        <v>1</v>
      </c>
      <c r="H97" s="1">
        <f t="shared" si="7"/>
        <v>0</v>
      </c>
    </row>
    <row r="98" spans="1:8" x14ac:dyDescent="0.25">
      <c r="A98" s="10">
        <v>1</v>
      </c>
      <c r="B98" s="11">
        <v>1</v>
      </c>
      <c r="C98" s="12" t="s">
        <v>95</v>
      </c>
      <c r="D98" s="18">
        <f>A98/(60*24)+D97</f>
        <v>0.74513888888888746</v>
      </c>
      <c r="E98" s="18">
        <f t="shared" si="5"/>
        <v>0.75208333333333188</v>
      </c>
      <c r="F98" s="18">
        <f t="shared" si="6"/>
        <v>0.75208333333333188</v>
      </c>
      <c r="G98" s="18" t="b">
        <f t="shared" si="8"/>
        <v>0</v>
      </c>
      <c r="H98" s="1">
        <f t="shared" si="7"/>
        <v>1</v>
      </c>
    </row>
    <row r="99" spans="1:8" x14ac:dyDescent="0.25">
      <c r="A99" s="7">
        <v>14</v>
      </c>
      <c r="B99" s="8">
        <v>15</v>
      </c>
      <c r="C99" s="9" t="s">
        <v>96</v>
      </c>
      <c r="D99" s="18">
        <f>A99/(60*24)+D98</f>
        <v>0.75486111111110965</v>
      </c>
      <c r="E99" s="18">
        <f t="shared" si="5"/>
        <v>0.75486111111110965</v>
      </c>
      <c r="F99" s="18">
        <f t="shared" si="6"/>
        <v>0.76527777777777628</v>
      </c>
      <c r="G99" s="18" t="b">
        <f t="shared" si="8"/>
        <v>1</v>
      </c>
      <c r="H99" s="1">
        <f t="shared" si="7"/>
        <v>0</v>
      </c>
    </row>
    <row r="100" spans="1:8" x14ac:dyDescent="0.25">
      <c r="A100" s="10">
        <v>6</v>
      </c>
      <c r="B100" s="11">
        <v>7</v>
      </c>
      <c r="C100" s="12" t="s">
        <v>97</v>
      </c>
      <c r="D100" s="18">
        <f>A100/(60*24)+D99</f>
        <v>0.7590277777777763</v>
      </c>
      <c r="E100" s="18">
        <f t="shared" si="5"/>
        <v>0.76527777777777628</v>
      </c>
      <c r="F100" s="18">
        <f t="shared" si="6"/>
        <v>0.76527777777777628</v>
      </c>
      <c r="G100" s="18" t="b">
        <f t="shared" si="8"/>
        <v>0</v>
      </c>
      <c r="H100" s="1">
        <f t="shared" si="7"/>
        <v>1</v>
      </c>
    </row>
    <row r="101" spans="1:8" x14ac:dyDescent="0.25">
      <c r="A101" s="7">
        <v>7</v>
      </c>
      <c r="B101" s="8">
        <v>11</v>
      </c>
      <c r="C101" s="9" t="s">
        <v>98</v>
      </c>
      <c r="D101" s="18">
        <f>A101/(60*24)+D100</f>
        <v>0.7638888888888874</v>
      </c>
      <c r="E101" s="18">
        <f t="shared" si="5"/>
        <v>0.76527777777777628</v>
      </c>
      <c r="F101" s="18">
        <f t="shared" si="6"/>
        <v>0.77291666666666514</v>
      </c>
      <c r="G101" s="18" t="b">
        <f t="shared" si="8"/>
        <v>1</v>
      </c>
      <c r="H101" s="1">
        <f t="shared" si="7"/>
        <v>0</v>
      </c>
    </row>
    <row r="102" spans="1:8" x14ac:dyDescent="0.25">
      <c r="A102" s="10">
        <v>10</v>
      </c>
      <c r="B102" s="11">
        <v>11</v>
      </c>
      <c r="C102" s="12" t="s">
        <v>99</v>
      </c>
      <c r="D102" s="18">
        <f>A102/(60*24)+D101</f>
        <v>0.77083333333333182</v>
      </c>
      <c r="E102" s="18">
        <f t="shared" si="5"/>
        <v>0.77291666666666514</v>
      </c>
      <c r="F102" s="18">
        <f t="shared" si="6"/>
        <v>0.780555555555554</v>
      </c>
      <c r="G102" s="18" t="b">
        <f t="shared" si="8"/>
        <v>1</v>
      </c>
      <c r="H102" s="1">
        <f t="shared" si="7"/>
        <v>0</v>
      </c>
    </row>
    <row r="103" spans="1:8" x14ac:dyDescent="0.25">
      <c r="A103" s="7">
        <v>5</v>
      </c>
      <c r="B103" s="8">
        <v>6</v>
      </c>
      <c r="C103" s="9" t="s">
        <v>100</v>
      </c>
      <c r="D103" s="18">
        <f>A103/(60*24)+D102</f>
        <v>0.77430555555555403</v>
      </c>
      <c r="E103" s="18">
        <f t="shared" si="5"/>
        <v>0.780555555555554</v>
      </c>
      <c r="F103" s="18">
        <f t="shared" si="6"/>
        <v>0.780555555555554</v>
      </c>
      <c r="G103" s="18" t="b">
        <f t="shared" si="8"/>
        <v>0</v>
      </c>
      <c r="H103" s="1">
        <f t="shared" si="7"/>
        <v>1</v>
      </c>
    </row>
    <row r="104" spans="1:8" x14ac:dyDescent="0.25">
      <c r="A104" s="10">
        <v>13</v>
      </c>
      <c r="B104" s="11">
        <v>7</v>
      </c>
      <c r="C104" s="12" t="s">
        <v>101</v>
      </c>
      <c r="D104" s="18">
        <f>A104/(60*24)+D103</f>
        <v>0.78333333333333177</v>
      </c>
      <c r="E104" s="18">
        <f t="shared" si="5"/>
        <v>0.78333333333333177</v>
      </c>
      <c r="F104" s="18">
        <f t="shared" si="6"/>
        <v>0.78819444444444287</v>
      </c>
      <c r="G104" s="18" t="b">
        <f t="shared" si="8"/>
        <v>1</v>
      </c>
      <c r="H104" s="1">
        <f t="shared" si="7"/>
        <v>0</v>
      </c>
    </row>
    <row r="105" spans="1:8" x14ac:dyDescent="0.25">
      <c r="A105" s="7">
        <v>2</v>
      </c>
      <c r="B105" s="8">
        <v>9</v>
      </c>
      <c r="C105" s="9" t="s">
        <v>102</v>
      </c>
      <c r="D105" s="18">
        <f>A105/(60*24)+D104</f>
        <v>0.78472222222222066</v>
      </c>
      <c r="E105" s="18">
        <f t="shared" si="5"/>
        <v>0.78819444444444287</v>
      </c>
      <c r="F105" s="18">
        <f t="shared" si="6"/>
        <v>0.79444444444444284</v>
      </c>
      <c r="G105" s="18" t="b">
        <f t="shared" si="8"/>
        <v>1</v>
      </c>
      <c r="H105" s="1">
        <f t="shared" si="7"/>
        <v>0</v>
      </c>
    </row>
    <row r="106" spans="1:8" x14ac:dyDescent="0.25">
      <c r="A106" s="10">
        <v>9</v>
      </c>
      <c r="B106" s="11">
        <v>11</v>
      </c>
      <c r="C106" s="12" t="s">
        <v>103</v>
      </c>
      <c r="D106" s="18">
        <f>A106/(60*24)+D105</f>
        <v>0.79097222222222063</v>
      </c>
      <c r="E106" s="18">
        <f t="shared" si="5"/>
        <v>0.79444444444444284</v>
      </c>
      <c r="F106" s="18">
        <f t="shared" si="6"/>
        <v>0.80208333333333171</v>
      </c>
      <c r="G106" s="18" t="b">
        <f t="shared" si="8"/>
        <v>1</v>
      </c>
      <c r="H106" s="1">
        <f t="shared" si="7"/>
        <v>0</v>
      </c>
    </row>
    <row r="107" spans="1:8" x14ac:dyDescent="0.25">
      <c r="A107" s="7">
        <v>8</v>
      </c>
      <c r="B107" s="8">
        <v>3</v>
      </c>
      <c r="C107" s="9" t="s">
        <v>104</v>
      </c>
      <c r="D107" s="18">
        <f>A107/(60*24)+D106</f>
        <v>0.79652777777777617</v>
      </c>
      <c r="E107" s="18">
        <f t="shared" si="5"/>
        <v>0.80208333333333171</v>
      </c>
      <c r="F107" s="18">
        <f t="shared" si="6"/>
        <v>0.80208333333333171</v>
      </c>
      <c r="G107" s="18" t="b">
        <f t="shared" si="8"/>
        <v>0</v>
      </c>
      <c r="H107" s="1">
        <f t="shared" si="7"/>
        <v>1</v>
      </c>
    </row>
    <row r="108" spans="1:8" x14ac:dyDescent="0.25">
      <c r="A108" s="10">
        <v>1</v>
      </c>
      <c r="B108" s="11">
        <v>6</v>
      </c>
      <c r="C108" s="12" t="s">
        <v>105</v>
      </c>
      <c r="D108" s="18">
        <f>A108/(60*24)+D107</f>
        <v>0.79722222222222061</v>
      </c>
      <c r="E108" s="18">
        <f t="shared" si="5"/>
        <v>0.80208333333333171</v>
      </c>
      <c r="F108" s="18">
        <f t="shared" si="6"/>
        <v>0.80208333333333171</v>
      </c>
      <c r="G108" s="18" t="b">
        <f t="shared" si="8"/>
        <v>0</v>
      </c>
      <c r="H108" s="1">
        <f t="shared" si="7"/>
        <v>2</v>
      </c>
    </row>
    <row r="109" spans="1:8" x14ac:dyDescent="0.25">
      <c r="A109" s="7">
        <v>10</v>
      </c>
      <c r="B109" s="8">
        <v>9</v>
      </c>
      <c r="C109" s="9" t="s">
        <v>106</v>
      </c>
      <c r="D109" s="18">
        <f>A109/(60*24)+D108</f>
        <v>0.80416666666666503</v>
      </c>
      <c r="E109" s="18">
        <f t="shared" si="5"/>
        <v>0.80416666666666503</v>
      </c>
      <c r="F109" s="18">
        <f t="shared" si="6"/>
        <v>0.81041666666666501</v>
      </c>
      <c r="G109" s="18" t="b">
        <f t="shared" si="8"/>
        <v>1</v>
      </c>
      <c r="H109" s="1">
        <f t="shared" si="7"/>
        <v>0</v>
      </c>
    </row>
    <row r="110" spans="1:8" x14ac:dyDescent="0.25">
      <c r="A110" s="10">
        <v>2</v>
      </c>
      <c r="B110" s="11">
        <v>11</v>
      </c>
      <c r="C110" s="12" t="s">
        <v>107</v>
      </c>
      <c r="D110" s="18">
        <f>A110/(60*24)+D109</f>
        <v>0.80555555555555391</v>
      </c>
      <c r="E110" s="18">
        <f t="shared" si="5"/>
        <v>0.81041666666666501</v>
      </c>
      <c r="F110" s="18">
        <f t="shared" si="6"/>
        <v>0.81041666666666501</v>
      </c>
      <c r="G110" s="18" t="b">
        <f t="shared" si="8"/>
        <v>0</v>
      </c>
      <c r="H110" s="1">
        <f t="shared" si="7"/>
        <v>1</v>
      </c>
    </row>
    <row r="111" spans="1:8" x14ac:dyDescent="0.25">
      <c r="A111" s="7">
        <v>6</v>
      </c>
      <c r="B111" s="8">
        <v>12</v>
      </c>
      <c r="C111" s="9" t="s">
        <v>108</v>
      </c>
      <c r="D111" s="18">
        <f>A111/(60*24)+D110</f>
        <v>0.80972222222222057</v>
      </c>
      <c r="E111" s="18">
        <f t="shared" si="5"/>
        <v>0.81041666666666501</v>
      </c>
      <c r="F111" s="18">
        <f t="shared" si="6"/>
        <v>0.81874999999999831</v>
      </c>
      <c r="G111" s="18" t="b">
        <f t="shared" si="8"/>
        <v>1</v>
      </c>
      <c r="H111" s="1">
        <f t="shared" si="7"/>
        <v>0</v>
      </c>
    </row>
    <row r="112" spans="1:8" x14ac:dyDescent="0.25">
      <c r="A112" s="10">
        <v>2</v>
      </c>
      <c r="B112" s="11">
        <v>14</v>
      </c>
      <c r="C112" s="12" t="s">
        <v>109</v>
      </c>
      <c r="D112" s="18">
        <f>A112/(60*24)+D111</f>
        <v>0.81111111111110945</v>
      </c>
      <c r="E112" s="18">
        <f t="shared" si="5"/>
        <v>0.81874999999999831</v>
      </c>
      <c r="F112" s="18">
        <f t="shared" si="6"/>
        <v>0.81874999999999831</v>
      </c>
      <c r="G112" s="18" t="b">
        <f t="shared" si="8"/>
        <v>0</v>
      </c>
      <c r="H112" s="1">
        <f t="shared" si="7"/>
        <v>1</v>
      </c>
    </row>
    <row r="113" spans="1:8" x14ac:dyDescent="0.25">
      <c r="A113" s="7">
        <v>4</v>
      </c>
      <c r="B113" s="8">
        <v>2</v>
      </c>
      <c r="C113" s="9" t="s">
        <v>110</v>
      </c>
      <c r="D113" s="18">
        <f>A113/(60*24)+D112</f>
        <v>0.81388888888888722</v>
      </c>
      <c r="E113" s="18">
        <f t="shared" si="5"/>
        <v>0.81874999999999831</v>
      </c>
      <c r="F113" s="18">
        <f t="shared" si="6"/>
        <v>0.81874999999999831</v>
      </c>
      <c r="G113" s="18" t="b">
        <f t="shared" si="8"/>
        <v>0</v>
      </c>
      <c r="H113" s="1">
        <f t="shared" si="7"/>
        <v>2</v>
      </c>
    </row>
    <row r="114" spans="1:8" x14ac:dyDescent="0.25">
      <c r="A114" s="10">
        <v>9</v>
      </c>
      <c r="B114" s="11">
        <v>8</v>
      </c>
      <c r="C114" s="12" t="s">
        <v>111</v>
      </c>
      <c r="D114" s="18">
        <f>A114/(60*24)+D113</f>
        <v>0.8201388888888872</v>
      </c>
      <c r="E114" s="18">
        <f t="shared" si="5"/>
        <v>0.8201388888888872</v>
      </c>
      <c r="F114" s="18">
        <f t="shared" si="6"/>
        <v>0.82569444444444273</v>
      </c>
      <c r="G114" s="18" t="b">
        <f t="shared" si="8"/>
        <v>1</v>
      </c>
      <c r="H114" s="1">
        <f t="shared" si="7"/>
        <v>0</v>
      </c>
    </row>
    <row r="115" spans="1:8" x14ac:dyDescent="0.25">
      <c r="A115" s="7">
        <v>2</v>
      </c>
      <c r="B115" s="8">
        <v>4</v>
      </c>
      <c r="C115" s="9" t="s">
        <v>112</v>
      </c>
      <c r="D115" s="18">
        <f>A115/(60*24)+D114</f>
        <v>0.82152777777777608</v>
      </c>
      <c r="E115" s="18">
        <f t="shared" si="5"/>
        <v>0.82569444444444273</v>
      </c>
      <c r="F115" s="18">
        <f t="shared" si="6"/>
        <v>0.82569444444444273</v>
      </c>
      <c r="G115" s="18" t="b">
        <f t="shared" si="8"/>
        <v>0</v>
      </c>
      <c r="H115" s="1">
        <f t="shared" si="7"/>
        <v>1</v>
      </c>
    </row>
    <row r="116" spans="1:8" x14ac:dyDescent="0.25">
      <c r="A116" s="10">
        <v>11</v>
      </c>
      <c r="B116" s="11">
        <v>11</v>
      </c>
      <c r="C116" s="12" t="s">
        <v>113</v>
      </c>
      <c r="D116" s="18">
        <f>A116/(60*24)+D115</f>
        <v>0.82916666666666494</v>
      </c>
      <c r="E116" s="18">
        <f t="shared" si="5"/>
        <v>0.82916666666666494</v>
      </c>
      <c r="F116" s="18">
        <f t="shared" si="6"/>
        <v>0.8368055555555538</v>
      </c>
      <c r="G116" s="18" t="b">
        <f t="shared" si="8"/>
        <v>1</v>
      </c>
      <c r="H116" s="1">
        <f t="shared" si="7"/>
        <v>0</v>
      </c>
    </row>
    <row r="117" spans="1:8" x14ac:dyDescent="0.25">
      <c r="A117" s="7">
        <v>8</v>
      </c>
      <c r="B117" s="8">
        <v>1</v>
      </c>
      <c r="C117" s="9" t="s">
        <v>114</v>
      </c>
      <c r="D117" s="18">
        <f>A117/(60*24)+D116</f>
        <v>0.83472222222222048</v>
      </c>
      <c r="E117" s="18">
        <f t="shared" si="5"/>
        <v>0.8368055555555538</v>
      </c>
      <c r="F117" s="18">
        <f t="shared" si="6"/>
        <v>0.83749999999999825</v>
      </c>
      <c r="G117" s="18" t="b">
        <f t="shared" si="8"/>
        <v>1</v>
      </c>
      <c r="H117" s="1">
        <f t="shared" si="7"/>
        <v>0</v>
      </c>
    </row>
    <row r="118" spans="1:8" x14ac:dyDescent="0.25">
      <c r="A118" s="10">
        <v>13</v>
      </c>
      <c r="B118" s="11">
        <v>9</v>
      </c>
      <c r="C118" s="12" t="s">
        <v>115</v>
      </c>
      <c r="D118" s="18">
        <f>A118/(60*24)+D117</f>
        <v>0.84374999999999822</v>
      </c>
      <c r="E118" s="18">
        <f t="shared" si="5"/>
        <v>0.84374999999999822</v>
      </c>
      <c r="F118" s="18">
        <f t="shared" si="6"/>
        <v>0.8499999999999982</v>
      </c>
      <c r="G118" s="18" t="b">
        <f t="shared" si="8"/>
        <v>1</v>
      </c>
      <c r="H118" s="1">
        <f t="shared" si="7"/>
        <v>0</v>
      </c>
    </row>
    <row r="119" spans="1:8" x14ac:dyDescent="0.25">
      <c r="A119" s="7">
        <v>7</v>
      </c>
      <c r="B119" s="8">
        <v>13</v>
      </c>
      <c r="C119" s="9" t="s">
        <v>116</v>
      </c>
      <c r="D119" s="18">
        <f>A119/(60*24)+D118</f>
        <v>0.84861111111110932</v>
      </c>
      <c r="E119" s="18">
        <f t="shared" si="5"/>
        <v>0.8499999999999982</v>
      </c>
      <c r="F119" s="18">
        <f t="shared" si="6"/>
        <v>0.85902777777777595</v>
      </c>
      <c r="G119" s="18" t="b">
        <f t="shared" si="8"/>
        <v>1</v>
      </c>
      <c r="H119" s="1">
        <f t="shared" si="7"/>
        <v>0</v>
      </c>
    </row>
    <row r="120" spans="1:8" x14ac:dyDescent="0.25">
      <c r="A120" s="10">
        <v>7</v>
      </c>
      <c r="B120" s="11">
        <v>11</v>
      </c>
      <c r="C120" s="12" t="s">
        <v>117</v>
      </c>
      <c r="D120" s="18">
        <f>A120/(60*24)+D119</f>
        <v>0.85347222222222041</v>
      </c>
      <c r="E120" s="18">
        <f t="shared" si="5"/>
        <v>0.85902777777777595</v>
      </c>
      <c r="F120" s="18">
        <f t="shared" si="6"/>
        <v>0.85902777777777595</v>
      </c>
      <c r="G120" s="18" t="b">
        <f t="shared" si="8"/>
        <v>0</v>
      </c>
      <c r="H120" s="1">
        <f t="shared" si="7"/>
        <v>1</v>
      </c>
    </row>
    <row r="121" spans="1:8" x14ac:dyDescent="0.25">
      <c r="A121" s="7">
        <v>9</v>
      </c>
      <c r="B121" s="8">
        <v>11</v>
      </c>
      <c r="C121" s="9" t="s">
        <v>118</v>
      </c>
      <c r="D121" s="18">
        <f>A121/(60*24)+D120</f>
        <v>0.85972222222222039</v>
      </c>
      <c r="E121" s="18">
        <f t="shared" si="5"/>
        <v>0.85972222222222039</v>
      </c>
      <c r="F121" s="18">
        <f t="shared" si="6"/>
        <v>0.86736111111110925</v>
      </c>
      <c r="G121" s="18" t="b">
        <f t="shared" si="8"/>
        <v>1</v>
      </c>
      <c r="H121" s="1">
        <f t="shared" si="7"/>
        <v>0</v>
      </c>
    </row>
    <row r="122" spans="1:8" x14ac:dyDescent="0.25">
      <c r="A122" s="10">
        <v>6</v>
      </c>
      <c r="B122" s="11">
        <v>1</v>
      </c>
      <c r="C122" s="12" t="s">
        <v>119</v>
      </c>
      <c r="D122" s="18">
        <f>A122/(60*24)+D121</f>
        <v>0.86388888888888704</v>
      </c>
      <c r="E122" s="18">
        <f t="shared" si="5"/>
        <v>0.86736111111110925</v>
      </c>
      <c r="F122" s="18">
        <f t="shared" si="6"/>
        <v>0.86805555555555369</v>
      </c>
      <c r="G122" s="18" t="b">
        <f t="shared" si="8"/>
        <v>1</v>
      </c>
      <c r="H122" s="1">
        <f t="shared" si="7"/>
        <v>0</v>
      </c>
    </row>
    <row r="123" spans="1:8" x14ac:dyDescent="0.25">
      <c r="A123" s="7">
        <v>14</v>
      </c>
      <c r="B123" s="8">
        <v>6</v>
      </c>
      <c r="C123" s="9" t="s">
        <v>120</v>
      </c>
      <c r="D123" s="18">
        <f>A123/(60*24)+D122</f>
        <v>0.87361111111110923</v>
      </c>
      <c r="E123" s="18">
        <f t="shared" si="5"/>
        <v>0.87361111111110923</v>
      </c>
      <c r="F123" s="18">
        <f t="shared" si="6"/>
        <v>0.87777777777777588</v>
      </c>
      <c r="G123" s="18" t="b">
        <f t="shared" si="8"/>
        <v>1</v>
      </c>
      <c r="H123" s="1">
        <f t="shared" si="7"/>
        <v>0</v>
      </c>
    </row>
    <row r="124" spans="1:8" x14ac:dyDescent="0.25">
      <c r="A124" s="10">
        <v>14</v>
      </c>
      <c r="B124" s="11">
        <v>10</v>
      </c>
      <c r="C124" s="12" t="s">
        <v>121</v>
      </c>
      <c r="D124" s="18">
        <f>A124/(60*24)+D123</f>
        <v>0.88333333333333142</v>
      </c>
      <c r="E124" s="18">
        <f t="shared" si="5"/>
        <v>0.88333333333333142</v>
      </c>
      <c r="F124" s="18">
        <f t="shared" si="6"/>
        <v>0.89027777777777584</v>
      </c>
      <c r="G124" s="18" t="b">
        <f t="shared" si="8"/>
        <v>1</v>
      </c>
      <c r="H124" s="1">
        <f t="shared" si="7"/>
        <v>0</v>
      </c>
    </row>
    <row r="125" spans="1:8" x14ac:dyDescent="0.25">
      <c r="A125" s="7">
        <v>7</v>
      </c>
      <c r="B125" s="8">
        <v>7</v>
      </c>
      <c r="C125" s="9" t="s">
        <v>122</v>
      </c>
      <c r="D125" s="18">
        <f>A125/(60*24)+D124</f>
        <v>0.88819444444444251</v>
      </c>
      <c r="E125" s="18">
        <f t="shared" si="5"/>
        <v>0.89027777777777584</v>
      </c>
      <c r="F125" s="18">
        <f t="shared" si="6"/>
        <v>0.89513888888888693</v>
      </c>
      <c r="G125" s="18" t="b">
        <f t="shared" si="8"/>
        <v>1</v>
      </c>
      <c r="H125" s="1">
        <f t="shared" si="7"/>
        <v>0</v>
      </c>
    </row>
    <row r="126" spans="1:8" x14ac:dyDescent="0.25">
      <c r="A126" s="10">
        <v>11</v>
      </c>
      <c r="B126" s="11">
        <v>1</v>
      </c>
      <c r="C126" s="12" t="s">
        <v>123</v>
      </c>
      <c r="D126" s="18">
        <f>A126/(60*24)+D125</f>
        <v>0.89583333333333137</v>
      </c>
      <c r="E126" s="18">
        <f t="shared" si="5"/>
        <v>0.89583333333333137</v>
      </c>
      <c r="F126" s="18">
        <f t="shared" si="6"/>
        <v>0.89652777777777581</v>
      </c>
      <c r="G126" s="18" t="b">
        <f t="shared" si="8"/>
        <v>1</v>
      </c>
      <c r="H126" s="1">
        <f t="shared" si="7"/>
        <v>0</v>
      </c>
    </row>
    <row r="127" spans="1:8" x14ac:dyDescent="0.25">
      <c r="A127" s="7">
        <v>11</v>
      </c>
      <c r="B127" s="8">
        <v>3</v>
      </c>
      <c r="C127" s="9" t="s">
        <v>124</v>
      </c>
      <c r="D127" s="18">
        <f>A127/(60*24)+D126</f>
        <v>0.90347222222222023</v>
      </c>
      <c r="E127" s="18">
        <f t="shared" si="5"/>
        <v>0.90347222222222023</v>
      </c>
      <c r="F127" s="18">
        <f t="shared" si="6"/>
        <v>0.90555555555555356</v>
      </c>
      <c r="G127" s="18" t="b">
        <f t="shared" si="8"/>
        <v>1</v>
      </c>
      <c r="H127" s="1">
        <f t="shared" si="7"/>
        <v>0</v>
      </c>
    </row>
    <row r="128" spans="1:8" x14ac:dyDescent="0.25">
      <c r="A128" s="10">
        <v>11</v>
      </c>
      <c r="B128" s="11">
        <v>2</v>
      </c>
      <c r="C128" s="12" t="s">
        <v>125</v>
      </c>
      <c r="D128" s="18">
        <f>A128/(60*24)+D127</f>
        <v>0.9111111111111091</v>
      </c>
      <c r="E128" s="18">
        <f t="shared" si="5"/>
        <v>0.9111111111111091</v>
      </c>
      <c r="F128" s="18">
        <f t="shared" si="6"/>
        <v>0.91249999999999798</v>
      </c>
      <c r="G128" s="18" t="b">
        <f t="shared" si="8"/>
        <v>1</v>
      </c>
      <c r="H128" s="1">
        <f t="shared" si="7"/>
        <v>0</v>
      </c>
    </row>
    <row r="129" spans="1:8" x14ac:dyDescent="0.25">
      <c r="A129" s="7">
        <v>12</v>
      </c>
      <c r="B129" s="8">
        <v>2</v>
      </c>
      <c r="C129" s="9" t="s">
        <v>126</v>
      </c>
      <c r="D129" s="18">
        <f>A129/(60*24)+D128</f>
        <v>0.9194444444444424</v>
      </c>
      <c r="E129" s="18">
        <f t="shared" si="5"/>
        <v>0.9194444444444424</v>
      </c>
      <c r="F129" s="18">
        <f t="shared" si="6"/>
        <v>0.92083333333333128</v>
      </c>
      <c r="G129" s="18" t="b">
        <f t="shared" si="8"/>
        <v>1</v>
      </c>
      <c r="H129" s="1">
        <f t="shared" si="7"/>
        <v>0</v>
      </c>
    </row>
    <row r="130" spans="1:8" x14ac:dyDescent="0.25">
      <c r="A130" s="10">
        <v>3</v>
      </c>
      <c r="B130" s="11">
        <v>14</v>
      </c>
      <c r="C130" s="12" t="s">
        <v>127</v>
      </c>
      <c r="D130" s="18">
        <f>A130/(60*24)+D129</f>
        <v>0.92152777777777573</v>
      </c>
      <c r="E130" s="18">
        <f t="shared" si="5"/>
        <v>0.92152777777777573</v>
      </c>
      <c r="F130" s="18">
        <f t="shared" si="6"/>
        <v>0.93124999999999791</v>
      </c>
      <c r="G130" s="18" t="b">
        <f t="shared" si="8"/>
        <v>1</v>
      </c>
      <c r="H130" s="1">
        <f t="shared" si="7"/>
        <v>0</v>
      </c>
    </row>
    <row r="131" spans="1:8" x14ac:dyDescent="0.25">
      <c r="A131" s="7">
        <v>3</v>
      </c>
      <c r="B131" s="8">
        <v>6</v>
      </c>
      <c r="C131" s="9" t="s">
        <v>128</v>
      </c>
      <c r="D131" s="18">
        <f>A131/(60*24)+D130</f>
        <v>0.92361111111110905</v>
      </c>
      <c r="E131" s="18">
        <f t="shared" si="5"/>
        <v>0.93124999999999791</v>
      </c>
      <c r="F131" s="18">
        <f t="shared" si="6"/>
        <v>0.93124999999999791</v>
      </c>
      <c r="G131" s="18" t="b">
        <f t="shared" si="8"/>
        <v>0</v>
      </c>
      <c r="H131" s="1">
        <f t="shared" si="7"/>
        <v>1</v>
      </c>
    </row>
    <row r="132" spans="1:8" x14ac:dyDescent="0.25">
      <c r="A132" s="10">
        <v>12</v>
      </c>
      <c r="B132" s="11">
        <v>2</v>
      </c>
      <c r="C132" s="12" t="s">
        <v>129</v>
      </c>
      <c r="D132" s="18">
        <f>A132/(60*24)+D131</f>
        <v>0.93194444444444235</v>
      </c>
      <c r="E132" s="18">
        <f t="shared" si="5"/>
        <v>0.93194444444444235</v>
      </c>
      <c r="F132" s="18">
        <f t="shared" si="6"/>
        <v>0.93333333333333124</v>
      </c>
      <c r="G132" s="18" t="b">
        <f t="shared" si="8"/>
        <v>1</v>
      </c>
      <c r="H132" s="1">
        <f t="shared" si="7"/>
        <v>0</v>
      </c>
    </row>
    <row r="133" spans="1:8" x14ac:dyDescent="0.25">
      <c r="A133" s="7">
        <v>7</v>
      </c>
      <c r="B133" s="8">
        <v>8</v>
      </c>
      <c r="C133" s="9" t="s">
        <v>130</v>
      </c>
      <c r="D133" s="18">
        <f>A133/(60*24)+D132</f>
        <v>0.93680555555555345</v>
      </c>
      <c r="E133" s="18">
        <f t="shared" ref="E133:E146" si="9">IF(D133&gt;F132,D133,F132)</f>
        <v>0.93680555555555345</v>
      </c>
      <c r="F133" s="18">
        <f t="shared" ref="F133:F146" si="10">IF(G133=TRUE,E133+B133/(60*24),F132)</f>
        <v>0.94236111111110898</v>
      </c>
      <c r="G133" s="18" t="b">
        <f t="shared" si="8"/>
        <v>1</v>
      </c>
      <c r="H133" s="1">
        <f t="shared" ref="H133:H146" si="11">IF(G133=FALSE,H132+1,0)</f>
        <v>0</v>
      </c>
    </row>
    <row r="134" spans="1:8" x14ac:dyDescent="0.25">
      <c r="A134" s="10">
        <v>10</v>
      </c>
      <c r="B134" s="11">
        <v>12</v>
      </c>
      <c r="C134" s="12" t="s">
        <v>131</v>
      </c>
      <c r="D134" s="18">
        <f>A134/(60*24)+D133</f>
        <v>0.94374999999999787</v>
      </c>
      <c r="E134" s="18">
        <f t="shared" si="9"/>
        <v>0.94374999999999787</v>
      </c>
      <c r="F134" s="18">
        <f t="shared" si="10"/>
        <v>0.95208333333333117</v>
      </c>
      <c r="G134" s="18" t="b">
        <f t="shared" si="8"/>
        <v>1</v>
      </c>
      <c r="H134" s="1">
        <f t="shared" si="11"/>
        <v>0</v>
      </c>
    </row>
    <row r="135" spans="1:8" x14ac:dyDescent="0.25">
      <c r="A135" s="7">
        <v>2</v>
      </c>
      <c r="B135" s="8">
        <v>14</v>
      </c>
      <c r="C135" s="9" t="s">
        <v>132</v>
      </c>
      <c r="D135" s="18">
        <f>A135/(60*24)+D134</f>
        <v>0.94513888888888675</v>
      </c>
      <c r="E135" s="18">
        <f t="shared" si="9"/>
        <v>0.95208333333333117</v>
      </c>
      <c r="F135" s="18">
        <f t="shared" si="10"/>
        <v>0.95208333333333117</v>
      </c>
      <c r="G135" s="18" t="b">
        <f t="shared" ref="G135:G146" si="12">IF(D135+5*$B$1&gt;=F134,TRUE,FALSE)</f>
        <v>0</v>
      </c>
      <c r="H135" s="1">
        <f t="shared" si="11"/>
        <v>1</v>
      </c>
    </row>
    <row r="136" spans="1:8" x14ac:dyDescent="0.25">
      <c r="A136" s="10">
        <v>14</v>
      </c>
      <c r="B136" s="11">
        <v>11</v>
      </c>
      <c r="C136" s="12" t="s">
        <v>133</v>
      </c>
      <c r="D136" s="18">
        <f>A136/(60*24)+D135</f>
        <v>0.95486111111110894</v>
      </c>
      <c r="E136" s="18">
        <f t="shared" si="9"/>
        <v>0.95486111111110894</v>
      </c>
      <c r="F136" s="18">
        <f t="shared" si="10"/>
        <v>0.9624999999999978</v>
      </c>
      <c r="G136" s="18" t="b">
        <f t="shared" si="12"/>
        <v>1</v>
      </c>
      <c r="H136" s="1">
        <f t="shared" si="11"/>
        <v>0</v>
      </c>
    </row>
    <row r="137" spans="1:8" x14ac:dyDescent="0.25">
      <c r="A137" s="7">
        <v>9</v>
      </c>
      <c r="B137" s="8">
        <v>10</v>
      </c>
      <c r="C137" s="9" t="s">
        <v>134</v>
      </c>
      <c r="D137" s="18">
        <f>A137/(60*24)+D136</f>
        <v>0.96111111111110892</v>
      </c>
      <c r="E137" s="18">
        <f t="shared" si="9"/>
        <v>0.9624999999999978</v>
      </c>
      <c r="F137" s="18">
        <f t="shared" si="10"/>
        <v>0.96944444444444222</v>
      </c>
      <c r="G137" s="18" t="b">
        <f t="shared" si="12"/>
        <v>1</v>
      </c>
      <c r="H137" s="1">
        <f t="shared" si="11"/>
        <v>0</v>
      </c>
    </row>
    <row r="138" spans="1:8" x14ac:dyDescent="0.25">
      <c r="A138" s="10">
        <v>2</v>
      </c>
      <c r="B138" s="11">
        <v>14</v>
      </c>
      <c r="C138" s="12" t="s">
        <v>135</v>
      </c>
      <c r="D138" s="18">
        <f>A138/(60*24)+D137</f>
        <v>0.9624999999999978</v>
      </c>
      <c r="E138" s="18">
        <f t="shared" si="9"/>
        <v>0.96944444444444222</v>
      </c>
      <c r="F138" s="18">
        <f t="shared" si="10"/>
        <v>0.96944444444444222</v>
      </c>
      <c r="G138" s="18" t="b">
        <f t="shared" si="12"/>
        <v>0</v>
      </c>
      <c r="H138" s="1">
        <f t="shared" si="11"/>
        <v>1</v>
      </c>
    </row>
    <row r="139" spans="1:8" x14ac:dyDescent="0.25">
      <c r="A139" s="7">
        <v>11</v>
      </c>
      <c r="B139" s="8">
        <v>3</v>
      </c>
      <c r="C139" s="9" t="s">
        <v>136</v>
      </c>
      <c r="D139" s="18">
        <f>A139/(60*24)+D138</f>
        <v>0.97013888888888666</v>
      </c>
      <c r="E139" s="18">
        <f t="shared" si="9"/>
        <v>0.97013888888888666</v>
      </c>
      <c r="F139" s="18">
        <f t="shared" si="10"/>
        <v>0.97222222222221999</v>
      </c>
      <c r="G139" s="18" t="b">
        <f t="shared" si="12"/>
        <v>1</v>
      </c>
      <c r="H139" s="1">
        <f t="shared" si="11"/>
        <v>0</v>
      </c>
    </row>
    <row r="140" spans="1:8" x14ac:dyDescent="0.25">
      <c r="A140" s="10">
        <v>2</v>
      </c>
      <c r="B140" s="11">
        <v>1</v>
      </c>
      <c r="C140" s="12" t="s">
        <v>137</v>
      </c>
      <c r="D140" s="18">
        <f>A140/(60*24)+D139</f>
        <v>0.97152777777777555</v>
      </c>
      <c r="E140" s="18">
        <f t="shared" si="9"/>
        <v>0.97222222222221999</v>
      </c>
      <c r="F140" s="18">
        <f t="shared" si="10"/>
        <v>0.97291666666666443</v>
      </c>
      <c r="G140" s="18" t="b">
        <f t="shared" si="12"/>
        <v>1</v>
      </c>
      <c r="H140" s="1">
        <f t="shared" si="11"/>
        <v>0</v>
      </c>
    </row>
    <row r="141" spans="1:8" x14ac:dyDescent="0.25">
      <c r="A141" s="7">
        <v>14</v>
      </c>
      <c r="B141" s="8">
        <v>3</v>
      </c>
      <c r="C141" s="9" t="s">
        <v>138</v>
      </c>
      <c r="D141" s="18">
        <f>A141/(60*24)+D140</f>
        <v>0.98124999999999774</v>
      </c>
      <c r="E141" s="18">
        <f t="shared" si="9"/>
        <v>0.98124999999999774</v>
      </c>
      <c r="F141" s="18">
        <f t="shared" si="10"/>
        <v>0.98333333333333106</v>
      </c>
      <c r="G141" s="18" t="b">
        <f t="shared" si="12"/>
        <v>1</v>
      </c>
      <c r="H141" s="1">
        <f t="shared" si="11"/>
        <v>0</v>
      </c>
    </row>
    <row r="142" spans="1:8" x14ac:dyDescent="0.25">
      <c r="A142" s="10">
        <v>6</v>
      </c>
      <c r="B142" s="11">
        <v>6</v>
      </c>
      <c r="C142" s="12" t="s">
        <v>139</v>
      </c>
      <c r="D142" s="18">
        <f>A142/(60*24)+D141</f>
        <v>0.98541666666666439</v>
      </c>
      <c r="E142" s="18">
        <f t="shared" si="9"/>
        <v>0.98541666666666439</v>
      </c>
      <c r="F142" s="18">
        <f t="shared" si="10"/>
        <v>0.98958333333333104</v>
      </c>
      <c r="G142" s="18" t="b">
        <f t="shared" si="12"/>
        <v>1</v>
      </c>
      <c r="H142" s="1">
        <f t="shared" si="11"/>
        <v>0</v>
      </c>
    </row>
    <row r="143" spans="1:8" x14ac:dyDescent="0.25">
      <c r="A143" s="7">
        <v>5</v>
      </c>
      <c r="B143" s="8">
        <v>14</v>
      </c>
      <c r="C143" s="9" t="s">
        <v>140</v>
      </c>
      <c r="D143" s="18">
        <f>A143/(60*24)+D142</f>
        <v>0.9888888888888866</v>
      </c>
      <c r="E143" s="18">
        <f t="shared" si="9"/>
        <v>0.98958333333333104</v>
      </c>
      <c r="F143" s="18">
        <f t="shared" si="10"/>
        <v>0.99930555555555323</v>
      </c>
      <c r="G143" s="18" t="b">
        <f t="shared" si="12"/>
        <v>1</v>
      </c>
      <c r="H143" s="1">
        <f t="shared" si="11"/>
        <v>0</v>
      </c>
    </row>
    <row r="144" spans="1:8" x14ac:dyDescent="0.25">
      <c r="A144" s="10">
        <v>2</v>
      </c>
      <c r="B144" s="11">
        <v>8</v>
      </c>
      <c r="C144" s="12" t="s">
        <v>141</v>
      </c>
      <c r="D144" s="18">
        <f>A144/(60*24)+D143</f>
        <v>0.99027777777777548</v>
      </c>
      <c r="E144" s="18">
        <f t="shared" si="9"/>
        <v>0.99930555555555323</v>
      </c>
      <c r="F144" s="18">
        <f t="shared" si="10"/>
        <v>0.99930555555555323</v>
      </c>
      <c r="G144" s="18" t="b">
        <f t="shared" si="12"/>
        <v>0</v>
      </c>
      <c r="H144" s="1">
        <f t="shared" si="11"/>
        <v>1</v>
      </c>
    </row>
    <row r="145" spans="1:8" x14ac:dyDescent="0.25">
      <c r="A145" s="7">
        <v>10</v>
      </c>
      <c r="B145" s="8">
        <v>15</v>
      </c>
      <c r="C145" s="9" t="s">
        <v>142</v>
      </c>
      <c r="D145" s="18">
        <f>A145/(60*24)+D144</f>
        <v>0.9972222222222199</v>
      </c>
      <c r="E145" s="18">
        <f t="shared" si="9"/>
        <v>0.99930555555555323</v>
      </c>
      <c r="F145" s="18">
        <f t="shared" si="10"/>
        <v>1.00972222222222</v>
      </c>
      <c r="G145" s="18" t="b">
        <f t="shared" si="12"/>
        <v>1</v>
      </c>
      <c r="H145" s="1">
        <f t="shared" si="11"/>
        <v>0</v>
      </c>
    </row>
    <row r="146" spans="1:8" x14ac:dyDescent="0.25">
      <c r="A146" s="2">
        <v>3</v>
      </c>
      <c r="B146" s="3">
        <v>15</v>
      </c>
      <c r="C146" s="13" t="s">
        <v>143</v>
      </c>
      <c r="D146" s="18">
        <f>A146/(60*24)+D145</f>
        <v>0.99930555555555323</v>
      </c>
      <c r="E146" s="18">
        <f t="shared" si="9"/>
        <v>1.00972222222222</v>
      </c>
      <c r="F146" s="18">
        <f t="shared" si="10"/>
        <v>1.00972222222222</v>
      </c>
      <c r="G146" s="18" t="b">
        <f t="shared" si="12"/>
        <v>0</v>
      </c>
      <c r="H146" s="1">
        <f t="shared" si="11"/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A599FE-FB04-46D2-ACE2-3FD5BC4FC9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myjnia</vt:lpstr>
      <vt:lpstr>6.1</vt:lpstr>
      <vt:lpstr>6.2</vt:lpstr>
      <vt:lpstr>myjnia_symulacja</vt:lpstr>
      <vt:lpstr>6.3</vt:lpstr>
      <vt:lpstr>6.4</vt:lpstr>
      <vt:lpstr>6.5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Bartlomiej Starosta</dc:creator>
  <cp:lastModifiedBy>Bartlomiej Starosta</cp:lastModifiedBy>
  <dcterms:created xsi:type="dcterms:W3CDTF">2015-06-05T18:19:34Z</dcterms:created>
  <dcterms:modified xsi:type="dcterms:W3CDTF">2026-02-19T18:07:51Z</dcterms:modified>
</cp:coreProperties>
</file>