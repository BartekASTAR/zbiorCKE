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ougedupl-my.sharepoint.com/personal/bartlomiej_starosta_ulo_pozytywneinicjatywy_pl/Documents/Dokumenty/Matura/Arkusze/cze2017pr/zad5/"/>
    </mc:Choice>
  </mc:AlternateContent>
  <xr:revisionPtr revIDLastSave="10" documentId="8_{038194D9-F667-473D-B1C6-E1A17E18B1E8}" xr6:coauthVersionLast="47" xr6:coauthVersionMax="47" xr10:uidLastSave="{3DB6331E-48C3-4176-B5B3-04E7C1A10CA2}"/>
  <bookViews>
    <workbookView xWindow="-120" yWindow="-120" windowWidth="29040" windowHeight="15720" activeTab="4" xr2:uid="{02FCC7BF-9B2E-4B74-8DAE-C0A4337B977B}"/>
  </bookViews>
  <sheets>
    <sheet name="dane" sheetId="1" r:id="rId1"/>
    <sheet name="5.1" sheetId="2" r:id="rId2"/>
    <sheet name="5.2" sheetId="3" r:id="rId3"/>
    <sheet name="5.3" sheetId="4" r:id="rId4"/>
    <sheet name="5,4" sheetId="5" r:id="rId5"/>
  </sheets>
  <calcPr calcId="0"/>
  <pivotCaches>
    <pivotCache cacheId="3" r:id="rId6"/>
    <pivotCache cacheId="8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5" l="1"/>
  <c r="K3" i="5"/>
  <c r="K4" i="5"/>
  <c r="K8" i="5"/>
  <c r="K114" i="5"/>
  <c r="K115" i="5"/>
  <c r="K40" i="5"/>
  <c r="K54" i="5"/>
  <c r="K83" i="5"/>
  <c r="K18" i="5"/>
  <c r="K41" i="5"/>
  <c r="K25" i="5"/>
  <c r="K42" i="5"/>
  <c r="K36" i="5"/>
  <c r="K87" i="5"/>
  <c r="K37" i="5"/>
  <c r="K55" i="5"/>
  <c r="K77" i="5"/>
  <c r="K2" i="5"/>
  <c r="K79" i="5"/>
  <c r="K80" i="5"/>
  <c r="K84" i="5"/>
  <c r="K38" i="5"/>
  <c r="K19" i="5"/>
  <c r="K27" i="5"/>
  <c r="K16" i="5"/>
  <c r="K88" i="5"/>
  <c r="K89" i="5"/>
  <c r="K75" i="5"/>
  <c r="K118" i="5"/>
  <c r="K69" i="5"/>
  <c r="K57" i="5"/>
  <c r="K106" i="5"/>
  <c r="K59" i="5"/>
  <c r="K65" i="5"/>
  <c r="K63" i="5"/>
  <c r="K67" i="5"/>
  <c r="K12" i="5"/>
  <c r="K90" i="5"/>
  <c r="K43" i="5"/>
  <c r="K7" i="5"/>
  <c r="K26" i="5"/>
  <c r="K28" i="5"/>
  <c r="K85" i="5"/>
  <c r="K29" i="5"/>
  <c r="K86" i="5"/>
  <c r="K52" i="5"/>
  <c r="K17" i="5"/>
  <c r="K14" i="5"/>
  <c r="K5" i="5"/>
  <c r="K45" i="5"/>
  <c r="K46" i="5"/>
  <c r="K47" i="5"/>
  <c r="K93" i="5"/>
  <c r="K66" i="5"/>
  <c r="K61" i="5"/>
  <c r="K68" i="5"/>
  <c r="K48" i="5"/>
  <c r="K49" i="5"/>
  <c r="K44" i="5"/>
  <c r="K30" i="5"/>
  <c r="K110" i="5"/>
  <c r="K111" i="5"/>
  <c r="K112" i="5"/>
  <c r="K113" i="5"/>
  <c r="K50" i="5"/>
  <c r="K51" i="5"/>
  <c r="K60" i="5"/>
  <c r="K100" i="5"/>
  <c r="K101" i="5"/>
  <c r="K102" i="5"/>
  <c r="K103" i="5"/>
  <c r="K104" i="5"/>
  <c r="K105" i="5"/>
  <c r="K13" i="5"/>
  <c r="K23" i="5"/>
  <c r="K56" i="5"/>
  <c r="K78" i="5"/>
  <c r="K39" i="5"/>
  <c r="K20" i="5"/>
  <c r="K76" i="5"/>
  <c r="K108" i="5"/>
  <c r="K10" i="5"/>
  <c r="K11" i="5"/>
  <c r="K70" i="5"/>
  <c r="K95" i="5"/>
  <c r="K96" i="5"/>
  <c r="K97" i="5"/>
  <c r="K98" i="5"/>
  <c r="K99" i="5"/>
  <c r="K91" i="5"/>
  <c r="K107" i="5"/>
  <c r="K92" i="5"/>
  <c r="K116" i="5"/>
  <c r="K94" i="5"/>
  <c r="K31" i="5"/>
  <c r="K32" i="5"/>
  <c r="K33" i="5"/>
  <c r="K34" i="5"/>
  <c r="K35" i="5"/>
  <c r="K64" i="5"/>
  <c r="K24" i="5"/>
  <c r="K81" i="5"/>
  <c r="K82" i="5"/>
  <c r="K53" i="5"/>
  <c r="K15" i="5"/>
  <c r="K119" i="5"/>
  <c r="K123" i="5"/>
  <c r="K124" i="5"/>
  <c r="K125" i="5"/>
  <c r="K126" i="5"/>
  <c r="K127" i="5"/>
  <c r="K128" i="5"/>
  <c r="K129" i="5"/>
  <c r="K130" i="5"/>
  <c r="K71" i="5"/>
  <c r="K117" i="5"/>
  <c r="K73" i="5"/>
  <c r="K74" i="5"/>
  <c r="K109" i="5"/>
  <c r="K58" i="5"/>
  <c r="K21" i="5"/>
  <c r="K120" i="5"/>
  <c r="K121" i="5"/>
  <c r="K122" i="5"/>
  <c r="K72" i="5"/>
  <c r="K22" i="5"/>
  <c r="K62" i="5"/>
  <c r="K131" i="5"/>
  <c r="K132" i="5"/>
  <c r="K133" i="5"/>
  <c r="K134" i="5"/>
  <c r="K135" i="5"/>
  <c r="K9" i="5"/>
  <c r="J135" i="5"/>
  <c r="I135" i="5"/>
  <c r="H135" i="5"/>
  <c r="I134" i="5"/>
  <c r="H134" i="5"/>
  <c r="J134" i="5" s="1"/>
  <c r="I133" i="5"/>
  <c r="J133" i="5" s="1"/>
  <c r="H133" i="5"/>
  <c r="I132" i="5"/>
  <c r="H132" i="5"/>
  <c r="J132" i="5" s="1"/>
  <c r="I131" i="5"/>
  <c r="H131" i="5"/>
  <c r="I62" i="5"/>
  <c r="J62" i="5" s="1"/>
  <c r="H62" i="5"/>
  <c r="I22" i="5"/>
  <c r="H22" i="5"/>
  <c r="J22" i="5" s="1"/>
  <c r="I72" i="5"/>
  <c r="H72" i="5"/>
  <c r="I122" i="5"/>
  <c r="H122" i="5"/>
  <c r="J122" i="5" s="1"/>
  <c r="I121" i="5"/>
  <c r="H121" i="5"/>
  <c r="J121" i="5" s="1"/>
  <c r="I120" i="5"/>
  <c r="H120" i="5"/>
  <c r="I21" i="5"/>
  <c r="H21" i="5"/>
  <c r="J21" i="5" s="1"/>
  <c r="I58" i="5"/>
  <c r="H58" i="5"/>
  <c r="J109" i="5"/>
  <c r="I109" i="5"/>
  <c r="H109" i="5"/>
  <c r="I74" i="5"/>
  <c r="H74" i="5"/>
  <c r="J74" i="5" s="1"/>
  <c r="I73" i="5"/>
  <c r="H73" i="5"/>
  <c r="I117" i="5"/>
  <c r="H117" i="5"/>
  <c r="J117" i="5" s="1"/>
  <c r="I71" i="5"/>
  <c r="H71" i="5"/>
  <c r="J71" i="5" s="1"/>
  <c r="I130" i="5"/>
  <c r="J130" i="5" s="1"/>
  <c r="H130" i="5"/>
  <c r="I129" i="5"/>
  <c r="H129" i="5"/>
  <c r="I128" i="5"/>
  <c r="H128" i="5"/>
  <c r="J128" i="5" s="1"/>
  <c r="I127" i="5"/>
  <c r="H127" i="5"/>
  <c r="I126" i="5"/>
  <c r="H126" i="5"/>
  <c r="I125" i="5"/>
  <c r="H125" i="5"/>
  <c r="I124" i="5"/>
  <c r="H124" i="5"/>
  <c r="J124" i="5" s="1"/>
  <c r="I123" i="5"/>
  <c r="H123" i="5"/>
  <c r="J123" i="5" s="1"/>
  <c r="I119" i="5"/>
  <c r="H119" i="5"/>
  <c r="I15" i="5"/>
  <c r="H15" i="5"/>
  <c r="I53" i="5"/>
  <c r="H53" i="5"/>
  <c r="J53" i="5" s="1"/>
  <c r="I82" i="5"/>
  <c r="H82" i="5"/>
  <c r="J82" i="5" s="1"/>
  <c r="I81" i="5"/>
  <c r="H81" i="5"/>
  <c r="J81" i="5" s="1"/>
  <c r="I24" i="5"/>
  <c r="H24" i="5"/>
  <c r="J24" i="5" s="1"/>
  <c r="I64" i="5"/>
  <c r="H64" i="5"/>
  <c r="J64" i="5" s="1"/>
  <c r="J35" i="5"/>
  <c r="I35" i="5"/>
  <c r="H35" i="5"/>
  <c r="I34" i="5"/>
  <c r="J34" i="5" s="1"/>
  <c r="H34" i="5"/>
  <c r="I33" i="5"/>
  <c r="H33" i="5"/>
  <c r="J33" i="5" s="1"/>
  <c r="I32" i="5"/>
  <c r="H32" i="5"/>
  <c r="I31" i="5"/>
  <c r="H31" i="5"/>
  <c r="I94" i="5"/>
  <c r="H94" i="5"/>
  <c r="J94" i="5" s="1"/>
  <c r="I116" i="5"/>
  <c r="H116" i="5"/>
  <c r="I92" i="5"/>
  <c r="H92" i="5"/>
  <c r="J92" i="5" s="1"/>
  <c r="I107" i="5"/>
  <c r="H107" i="5"/>
  <c r="I91" i="5"/>
  <c r="H91" i="5"/>
  <c r="I99" i="5"/>
  <c r="H99" i="5"/>
  <c r="J99" i="5" s="1"/>
  <c r="I98" i="5"/>
  <c r="H98" i="5"/>
  <c r="I97" i="5"/>
  <c r="H97" i="5"/>
  <c r="J97" i="5" s="1"/>
  <c r="I96" i="5"/>
  <c r="H96" i="5"/>
  <c r="J96" i="5" s="1"/>
  <c r="I95" i="5"/>
  <c r="H95" i="5"/>
  <c r="J95" i="5" s="1"/>
  <c r="J70" i="5"/>
  <c r="I70" i="5"/>
  <c r="H70" i="5"/>
  <c r="J11" i="5"/>
  <c r="I11" i="5"/>
  <c r="H11" i="5"/>
  <c r="I10" i="5"/>
  <c r="H10" i="5"/>
  <c r="I108" i="5"/>
  <c r="H108" i="5"/>
  <c r="I76" i="5"/>
  <c r="H76" i="5"/>
  <c r="I20" i="5"/>
  <c r="H20" i="5"/>
  <c r="I39" i="5"/>
  <c r="H39" i="5"/>
  <c r="J39" i="5" s="1"/>
  <c r="I78" i="5"/>
  <c r="H78" i="5"/>
  <c r="I56" i="5"/>
  <c r="H56" i="5"/>
  <c r="I23" i="5"/>
  <c r="H23" i="5"/>
  <c r="J23" i="5" s="1"/>
  <c r="I13" i="5"/>
  <c r="H13" i="5"/>
  <c r="J13" i="5" s="1"/>
  <c r="I105" i="5"/>
  <c r="H105" i="5"/>
  <c r="I104" i="5"/>
  <c r="H104" i="5"/>
  <c r="I103" i="5"/>
  <c r="H103" i="5"/>
  <c r="J103" i="5" s="1"/>
  <c r="I102" i="5"/>
  <c r="H102" i="5"/>
  <c r="J102" i="5" s="1"/>
  <c r="I101" i="5"/>
  <c r="H101" i="5"/>
  <c r="J100" i="5"/>
  <c r="I100" i="5"/>
  <c r="H100" i="5"/>
  <c r="I60" i="5"/>
  <c r="H60" i="5"/>
  <c r="J60" i="5" s="1"/>
  <c r="I51" i="5"/>
  <c r="H51" i="5"/>
  <c r="I50" i="5"/>
  <c r="H50" i="5"/>
  <c r="J50" i="5" s="1"/>
  <c r="I113" i="5"/>
  <c r="H113" i="5"/>
  <c r="I112" i="5"/>
  <c r="H112" i="5"/>
  <c r="I111" i="5"/>
  <c r="H111" i="5"/>
  <c r="I110" i="5"/>
  <c r="H110" i="5"/>
  <c r="I30" i="5"/>
  <c r="H30" i="5"/>
  <c r="J30" i="5" s="1"/>
  <c r="I44" i="5"/>
  <c r="H44" i="5"/>
  <c r="I49" i="5"/>
  <c r="H49" i="5"/>
  <c r="J49" i="5" s="1"/>
  <c r="I48" i="5"/>
  <c r="H48" i="5"/>
  <c r="J48" i="5" s="1"/>
  <c r="I68" i="5"/>
  <c r="H68" i="5"/>
  <c r="I61" i="5"/>
  <c r="J61" i="5" s="1"/>
  <c r="H61" i="5"/>
  <c r="I66" i="5"/>
  <c r="H66" i="5"/>
  <c r="I93" i="5"/>
  <c r="H93" i="5"/>
  <c r="J93" i="5" s="1"/>
  <c r="I47" i="5"/>
  <c r="H47" i="5"/>
  <c r="J47" i="5" s="1"/>
  <c r="I46" i="5"/>
  <c r="H46" i="5"/>
  <c r="J46" i="5" s="1"/>
  <c r="I45" i="5"/>
  <c r="H45" i="5"/>
  <c r="I5" i="5"/>
  <c r="H5" i="5"/>
  <c r="J5" i="5" s="1"/>
  <c r="I14" i="5"/>
  <c r="H14" i="5"/>
  <c r="I17" i="5"/>
  <c r="J17" i="5" s="1"/>
  <c r="H17" i="5"/>
  <c r="I52" i="5"/>
  <c r="H52" i="5"/>
  <c r="J52" i="5" s="1"/>
  <c r="I86" i="5"/>
  <c r="H86" i="5"/>
  <c r="J86" i="5" s="1"/>
  <c r="I29" i="5"/>
  <c r="H29" i="5"/>
  <c r="I85" i="5"/>
  <c r="H85" i="5"/>
  <c r="J85" i="5" s="1"/>
  <c r="I28" i="5"/>
  <c r="H28" i="5"/>
  <c r="J28" i="5" s="1"/>
  <c r="I26" i="5"/>
  <c r="H26" i="5"/>
  <c r="J26" i="5" s="1"/>
  <c r="I7" i="5"/>
  <c r="H7" i="5"/>
  <c r="J43" i="5"/>
  <c r="I43" i="5"/>
  <c r="H43" i="5"/>
  <c r="I90" i="5"/>
  <c r="H90" i="5"/>
  <c r="J90" i="5" s="1"/>
  <c r="I12" i="5"/>
  <c r="H12" i="5"/>
  <c r="I67" i="5"/>
  <c r="H67" i="5"/>
  <c r="J67" i="5" s="1"/>
  <c r="I63" i="5"/>
  <c r="H63" i="5"/>
  <c r="J63" i="5" s="1"/>
  <c r="I65" i="5"/>
  <c r="H65" i="5"/>
  <c r="I59" i="5"/>
  <c r="H59" i="5"/>
  <c r="I106" i="5"/>
  <c r="H106" i="5"/>
  <c r="I57" i="5"/>
  <c r="H57" i="5"/>
  <c r="I69" i="5"/>
  <c r="H69" i="5"/>
  <c r="I118" i="5"/>
  <c r="H118" i="5"/>
  <c r="J118" i="5" s="1"/>
  <c r="I75" i="5"/>
  <c r="H75" i="5"/>
  <c r="J75" i="5" s="1"/>
  <c r="I89" i="5"/>
  <c r="H89" i="5"/>
  <c r="I88" i="5"/>
  <c r="H88" i="5"/>
  <c r="J88" i="5" s="1"/>
  <c r="I16" i="5"/>
  <c r="H16" i="5"/>
  <c r="I27" i="5"/>
  <c r="H27" i="5"/>
  <c r="I19" i="5"/>
  <c r="H19" i="5"/>
  <c r="J19" i="5" s="1"/>
  <c r="I38" i="5"/>
  <c r="H38" i="5"/>
  <c r="J38" i="5" s="1"/>
  <c r="I84" i="5"/>
  <c r="H84" i="5"/>
  <c r="I80" i="5"/>
  <c r="H80" i="5"/>
  <c r="J80" i="5" s="1"/>
  <c r="I79" i="5"/>
  <c r="J79" i="5" s="1"/>
  <c r="H79" i="5"/>
  <c r="I2" i="5"/>
  <c r="J2" i="5" s="1"/>
  <c r="H2" i="5"/>
  <c r="I77" i="5"/>
  <c r="H77" i="5"/>
  <c r="J77" i="5" s="1"/>
  <c r="I55" i="5"/>
  <c r="H55" i="5"/>
  <c r="J55" i="5" s="1"/>
  <c r="I37" i="5"/>
  <c r="H37" i="5"/>
  <c r="I87" i="5"/>
  <c r="H87" i="5"/>
  <c r="J87" i="5" s="1"/>
  <c r="I36" i="5"/>
  <c r="H36" i="5"/>
  <c r="J36" i="5" s="1"/>
  <c r="I42" i="5"/>
  <c r="H42" i="5"/>
  <c r="J42" i="5" s="1"/>
  <c r="I25" i="5"/>
  <c r="H25" i="5"/>
  <c r="I41" i="5"/>
  <c r="H41" i="5"/>
  <c r="I18" i="5"/>
  <c r="H18" i="5"/>
  <c r="J18" i="5" s="1"/>
  <c r="I83" i="5"/>
  <c r="H83" i="5"/>
  <c r="J83" i="5" s="1"/>
  <c r="I54" i="5"/>
  <c r="H54" i="5"/>
  <c r="J54" i="5" s="1"/>
  <c r="I40" i="5"/>
  <c r="H40" i="5"/>
  <c r="J40" i="5" s="1"/>
  <c r="I115" i="5"/>
  <c r="H115" i="5"/>
  <c r="I114" i="5"/>
  <c r="J114" i="5" s="1"/>
  <c r="H114" i="5"/>
  <c r="J8" i="5"/>
  <c r="I8" i="5"/>
  <c r="H8" i="5"/>
  <c r="I4" i="5"/>
  <c r="H4" i="5"/>
  <c r="I3" i="5"/>
  <c r="H3" i="5"/>
  <c r="I6" i="5"/>
  <c r="H6" i="5"/>
  <c r="J6" i="5" s="1"/>
  <c r="I9" i="5"/>
  <c r="H9" i="5"/>
  <c r="I135" i="4"/>
  <c r="H135" i="4"/>
  <c r="J135" i="4" s="1"/>
  <c r="J134" i="4"/>
  <c r="I134" i="4"/>
  <c r="H134" i="4"/>
  <c r="I133" i="4"/>
  <c r="J133" i="4" s="1"/>
  <c r="H133" i="4"/>
  <c r="I132" i="4"/>
  <c r="H132" i="4"/>
  <c r="J132" i="4" s="1"/>
  <c r="J131" i="4"/>
  <c r="I131" i="4"/>
  <c r="H131" i="4"/>
  <c r="J130" i="4"/>
  <c r="I130" i="4"/>
  <c r="H130" i="4"/>
  <c r="I129" i="4"/>
  <c r="H129" i="4"/>
  <c r="J129" i="4" s="1"/>
  <c r="I128" i="4"/>
  <c r="H128" i="4"/>
  <c r="J128" i="4" s="1"/>
  <c r="I127" i="4"/>
  <c r="H127" i="4"/>
  <c r="J127" i="4" s="1"/>
  <c r="I126" i="4"/>
  <c r="J126" i="4" s="1"/>
  <c r="H126" i="4"/>
  <c r="I125" i="4"/>
  <c r="J125" i="4" s="1"/>
  <c r="H125" i="4"/>
  <c r="I124" i="4"/>
  <c r="H124" i="4"/>
  <c r="J124" i="4" s="1"/>
  <c r="I123" i="4"/>
  <c r="H123" i="4"/>
  <c r="J123" i="4" s="1"/>
  <c r="J122" i="4"/>
  <c r="I122" i="4"/>
  <c r="H122" i="4"/>
  <c r="I121" i="4"/>
  <c r="H121" i="4"/>
  <c r="J121" i="4" s="1"/>
  <c r="I120" i="4"/>
  <c r="H120" i="4"/>
  <c r="J120" i="4" s="1"/>
  <c r="I119" i="4"/>
  <c r="H119" i="4"/>
  <c r="J119" i="4" s="1"/>
  <c r="J118" i="4"/>
  <c r="I118" i="4"/>
  <c r="H118" i="4"/>
  <c r="I117" i="4"/>
  <c r="J117" i="4" s="1"/>
  <c r="H117" i="4"/>
  <c r="I116" i="4"/>
  <c r="H116" i="4"/>
  <c r="J116" i="4" s="1"/>
  <c r="J115" i="4"/>
  <c r="I115" i="4"/>
  <c r="H115" i="4"/>
  <c r="J114" i="4"/>
  <c r="I114" i="4"/>
  <c r="H114" i="4"/>
  <c r="I113" i="4"/>
  <c r="H113" i="4"/>
  <c r="J113" i="4" s="1"/>
  <c r="I112" i="4"/>
  <c r="H112" i="4"/>
  <c r="J112" i="4" s="1"/>
  <c r="I111" i="4"/>
  <c r="H111" i="4"/>
  <c r="J111" i="4" s="1"/>
  <c r="I110" i="4"/>
  <c r="J110" i="4" s="1"/>
  <c r="H110" i="4"/>
  <c r="I109" i="4"/>
  <c r="J109" i="4" s="1"/>
  <c r="H109" i="4"/>
  <c r="I108" i="4"/>
  <c r="H108" i="4"/>
  <c r="J108" i="4" s="1"/>
  <c r="I107" i="4"/>
  <c r="H107" i="4"/>
  <c r="J107" i="4" s="1"/>
  <c r="J106" i="4"/>
  <c r="I106" i="4"/>
  <c r="H106" i="4"/>
  <c r="I105" i="4"/>
  <c r="H105" i="4"/>
  <c r="J105" i="4" s="1"/>
  <c r="I104" i="4"/>
  <c r="H104" i="4"/>
  <c r="J104" i="4" s="1"/>
  <c r="I103" i="4"/>
  <c r="H103" i="4"/>
  <c r="J103" i="4" s="1"/>
  <c r="J102" i="4"/>
  <c r="I102" i="4"/>
  <c r="H102" i="4"/>
  <c r="I101" i="4"/>
  <c r="J101" i="4" s="1"/>
  <c r="H101" i="4"/>
  <c r="I100" i="4"/>
  <c r="H100" i="4"/>
  <c r="J100" i="4" s="1"/>
  <c r="J99" i="4"/>
  <c r="I99" i="4"/>
  <c r="H99" i="4"/>
  <c r="J98" i="4"/>
  <c r="I98" i="4"/>
  <c r="H98" i="4"/>
  <c r="I97" i="4"/>
  <c r="H97" i="4"/>
  <c r="J97" i="4" s="1"/>
  <c r="I96" i="4"/>
  <c r="H96" i="4"/>
  <c r="J96" i="4" s="1"/>
  <c r="I95" i="4"/>
  <c r="H95" i="4"/>
  <c r="J95" i="4" s="1"/>
  <c r="I94" i="4"/>
  <c r="J94" i="4" s="1"/>
  <c r="H94" i="4"/>
  <c r="I93" i="4"/>
  <c r="J93" i="4" s="1"/>
  <c r="H93" i="4"/>
  <c r="I92" i="4"/>
  <c r="H92" i="4"/>
  <c r="J92" i="4" s="1"/>
  <c r="I91" i="4"/>
  <c r="H91" i="4"/>
  <c r="J91" i="4" s="1"/>
  <c r="J90" i="4"/>
  <c r="I90" i="4"/>
  <c r="H90" i="4"/>
  <c r="I89" i="4"/>
  <c r="H89" i="4"/>
  <c r="J89" i="4" s="1"/>
  <c r="I88" i="4"/>
  <c r="H88" i="4"/>
  <c r="J88" i="4" s="1"/>
  <c r="I87" i="4"/>
  <c r="H87" i="4"/>
  <c r="J87" i="4" s="1"/>
  <c r="J86" i="4"/>
  <c r="I86" i="4"/>
  <c r="H86" i="4"/>
  <c r="I85" i="4"/>
  <c r="J85" i="4" s="1"/>
  <c r="H85" i="4"/>
  <c r="I84" i="4"/>
  <c r="H84" i="4"/>
  <c r="J84" i="4" s="1"/>
  <c r="J83" i="4"/>
  <c r="I83" i="4"/>
  <c r="H83" i="4"/>
  <c r="J82" i="4"/>
  <c r="I82" i="4"/>
  <c r="H82" i="4"/>
  <c r="I81" i="4"/>
  <c r="H81" i="4"/>
  <c r="J81" i="4" s="1"/>
  <c r="I80" i="4"/>
  <c r="H80" i="4"/>
  <c r="J80" i="4" s="1"/>
  <c r="I79" i="4"/>
  <c r="H79" i="4"/>
  <c r="J79" i="4" s="1"/>
  <c r="I78" i="4"/>
  <c r="J78" i="4" s="1"/>
  <c r="H78" i="4"/>
  <c r="I77" i="4"/>
  <c r="J77" i="4" s="1"/>
  <c r="H77" i="4"/>
  <c r="I76" i="4"/>
  <c r="H76" i="4"/>
  <c r="J76" i="4" s="1"/>
  <c r="I75" i="4"/>
  <c r="H75" i="4"/>
  <c r="J75" i="4" s="1"/>
  <c r="J74" i="4"/>
  <c r="I74" i="4"/>
  <c r="H74" i="4"/>
  <c r="I73" i="4"/>
  <c r="H73" i="4"/>
  <c r="J73" i="4" s="1"/>
  <c r="I72" i="4"/>
  <c r="H72" i="4"/>
  <c r="J72" i="4" s="1"/>
  <c r="I71" i="4"/>
  <c r="H71" i="4"/>
  <c r="J71" i="4" s="1"/>
  <c r="J70" i="4"/>
  <c r="I70" i="4"/>
  <c r="H70" i="4"/>
  <c r="I69" i="4"/>
  <c r="J69" i="4" s="1"/>
  <c r="H69" i="4"/>
  <c r="I68" i="4"/>
  <c r="H68" i="4"/>
  <c r="J68" i="4" s="1"/>
  <c r="J67" i="4"/>
  <c r="I67" i="4"/>
  <c r="H67" i="4"/>
  <c r="J66" i="4"/>
  <c r="I66" i="4"/>
  <c r="H66" i="4"/>
  <c r="J65" i="4"/>
  <c r="I65" i="4"/>
  <c r="H65" i="4"/>
  <c r="I64" i="4"/>
  <c r="H64" i="4"/>
  <c r="J64" i="4" s="1"/>
  <c r="I63" i="4"/>
  <c r="H63" i="4"/>
  <c r="J63" i="4" s="1"/>
  <c r="I62" i="4"/>
  <c r="J62" i="4" s="1"/>
  <c r="H62" i="4"/>
  <c r="I61" i="4"/>
  <c r="J61" i="4" s="1"/>
  <c r="H61" i="4"/>
  <c r="I60" i="4"/>
  <c r="H60" i="4"/>
  <c r="J60" i="4" s="1"/>
  <c r="I59" i="4"/>
  <c r="H59" i="4"/>
  <c r="J59" i="4" s="1"/>
  <c r="J58" i="4"/>
  <c r="I58" i="4"/>
  <c r="H58" i="4"/>
  <c r="I57" i="4"/>
  <c r="H57" i="4"/>
  <c r="J57" i="4" s="1"/>
  <c r="I56" i="4"/>
  <c r="H56" i="4"/>
  <c r="J56" i="4" s="1"/>
  <c r="I55" i="4"/>
  <c r="H55" i="4"/>
  <c r="J55" i="4" s="1"/>
  <c r="J54" i="4"/>
  <c r="I54" i="4"/>
  <c r="H54" i="4"/>
  <c r="I53" i="4"/>
  <c r="J53" i="4" s="1"/>
  <c r="H53" i="4"/>
  <c r="I52" i="4"/>
  <c r="H52" i="4"/>
  <c r="J52" i="4" s="1"/>
  <c r="J51" i="4"/>
  <c r="I51" i="4"/>
  <c r="H51" i="4"/>
  <c r="J50" i="4"/>
  <c r="I50" i="4"/>
  <c r="H50" i="4"/>
  <c r="I49" i="4"/>
  <c r="H49" i="4"/>
  <c r="J49" i="4" s="1"/>
  <c r="I48" i="4"/>
  <c r="H48" i="4"/>
  <c r="J48" i="4" s="1"/>
  <c r="I47" i="4"/>
  <c r="H47" i="4"/>
  <c r="J47" i="4" s="1"/>
  <c r="I46" i="4"/>
  <c r="J46" i="4" s="1"/>
  <c r="H46" i="4"/>
  <c r="I45" i="4"/>
  <c r="J45" i="4" s="1"/>
  <c r="H45" i="4"/>
  <c r="I44" i="4"/>
  <c r="H44" i="4"/>
  <c r="J44" i="4" s="1"/>
  <c r="I43" i="4"/>
  <c r="H43" i="4"/>
  <c r="J43" i="4" s="1"/>
  <c r="J42" i="4"/>
  <c r="I42" i="4"/>
  <c r="H42" i="4"/>
  <c r="I41" i="4"/>
  <c r="H41" i="4"/>
  <c r="J41" i="4" s="1"/>
  <c r="I40" i="4"/>
  <c r="H40" i="4"/>
  <c r="J40" i="4" s="1"/>
  <c r="I39" i="4"/>
  <c r="H39" i="4"/>
  <c r="J39" i="4" s="1"/>
  <c r="J38" i="4"/>
  <c r="I38" i="4"/>
  <c r="H38" i="4"/>
  <c r="I37" i="4"/>
  <c r="J37" i="4" s="1"/>
  <c r="H37" i="4"/>
  <c r="I36" i="4"/>
  <c r="H36" i="4"/>
  <c r="J36" i="4" s="1"/>
  <c r="J35" i="4"/>
  <c r="I35" i="4"/>
  <c r="H35" i="4"/>
  <c r="J34" i="4"/>
  <c r="I34" i="4"/>
  <c r="H34" i="4"/>
  <c r="I33" i="4"/>
  <c r="H33" i="4"/>
  <c r="J33" i="4" s="1"/>
  <c r="I32" i="4"/>
  <c r="H32" i="4"/>
  <c r="J32" i="4" s="1"/>
  <c r="I31" i="4"/>
  <c r="H31" i="4"/>
  <c r="J31" i="4" s="1"/>
  <c r="I30" i="4"/>
  <c r="J30" i="4" s="1"/>
  <c r="H30" i="4"/>
  <c r="I29" i="4"/>
  <c r="J29" i="4" s="1"/>
  <c r="H29" i="4"/>
  <c r="I28" i="4"/>
  <c r="H28" i="4"/>
  <c r="J28" i="4" s="1"/>
  <c r="I27" i="4"/>
  <c r="H27" i="4"/>
  <c r="J27" i="4" s="1"/>
  <c r="J26" i="4"/>
  <c r="I26" i="4"/>
  <c r="H26" i="4"/>
  <c r="I25" i="4"/>
  <c r="H25" i="4"/>
  <c r="J25" i="4" s="1"/>
  <c r="I24" i="4"/>
  <c r="H24" i="4"/>
  <c r="J24" i="4" s="1"/>
  <c r="I23" i="4"/>
  <c r="H23" i="4"/>
  <c r="J23" i="4" s="1"/>
  <c r="J22" i="4"/>
  <c r="I22" i="4"/>
  <c r="H22" i="4"/>
  <c r="I21" i="4"/>
  <c r="J21" i="4" s="1"/>
  <c r="H21" i="4"/>
  <c r="I20" i="4"/>
  <c r="H20" i="4"/>
  <c r="J20" i="4" s="1"/>
  <c r="J19" i="4"/>
  <c r="I19" i="4"/>
  <c r="H19" i="4"/>
  <c r="J18" i="4"/>
  <c r="I18" i="4"/>
  <c r="H18" i="4"/>
  <c r="I17" i="4"/>
  <c r="H17" i="4"/>
  <c r="J17" i="4" s="1"/>
  <c r="I16" i="4"/>
  <c r="H16" i="4"/>
  <c r="J16" i="4" s="1"/>
  <c r="I15" i="4"/>
  <c r="H15" i="4"/>
  <c r="J15" i="4" s="1"/>
  <c r="I14" i="4"/>
  <c r="J14" i="4" s="1"/>
  <c r="H14" i="4"/>
  <c r="I13" i="4"/>
  <c r="J13" i="4" s="1"/>
  <c r="H13" i="4"/>
  <c r="I12" i="4"/>
  <c r="H12" i="4"/>
  <c r="J12" i="4" s="1"/>
  <c r="I11" i="4"/>
  <c r="H11" i="4"/>
  <c r="J11" i="4" s="1"/>
  <c r="J10" i="4"/>
  <c r="I10" i="4"/>
  <c r="H10" i="4"/>
  <c r="I9" i="4"/>
  <c r="H9" i="4"/>
  <c r="J9" i="4" s="1"/>
  <c r="I8" i="4"/>
  <c r="H8" i="4"/>
  <c r="J8" i="4" s="1"/>
  <c r="I7" i="4"/>
  <c r="H7" i="4"/>
  <c r="J7" i="4" s="1"/>
  <c r="J6" i="4"/>
  <c r="I6" i="4"/>
  <c r="H6" i="4"/>
  <c r="I5" i="4"/>
  <c r="J5" i="4" s="1"/>
  <c r="H5" i="4"/>
  <c r="I4" i="4"/>
  <c r="H4" i="4"/>
  <c r="J4" i="4" s="1"/>
  <c r="J3" i="4"/>
  <c r="I3" i="4"/>
  <c r="H3" i="4"/>
  <c r="J2" i="4"/>
  <c r="I2" i="4"/>
  <c r="H2" i="4"/>
  <c r="M2" i="2"/>
  <c r="I135" i="3"/>
  <c r="H135" i="3"/>
  <c r="I134" i="3"/>
  <c r="H134" i="3"/>
  <c r="J134" i="3" s="1"/>
  <c r="I133" i="3"/>
  <c r="H133" i="3"/>
  <c r="I132" i="3"/>
  <c r="H132" i="3"/>
  <c r="I131" i="3"/>
  <c r="H131" i="3"/>
  <c r="I130" i="3"/>
  <c r="J130" i="3" s="1"/>
  <c r="H130" i="3"/>
  <c r="I129" i="3"/>
  <c r="H129" i="3"/>
  <c r="J129" i="3" s="1"/>
  <c r="I128" i="3"/>
  <c r="H128" i="3"/>
  <c r="I127" i="3"/>
  <c r="H127" i="3"/>
  <c r="J127" i="3" s="1"/>
  <c r="I126" i="3"/>
  <c r="H126" i="3"/>
  <c r="J126" i="3" s="1"/>
  <c r="I125" i="3"/>
  <c r="J125" i="3" s="1"/>
  <c r="H125" i="3"/>
  <c r="I124" i="3"/>
  <c r="J124" i="3" s="1"/>
  <c r="H124" i="3"/>
  <c r="I123" i="3"/>
  <c r="H123" i="3"/>
  <c r="J123" i="3" s="1"/>
  <c r="I122" i="3"/>
  <c r="H122" i="3"/>
  <c r="J122" i="3" s="1"/>
  <c r="I121" i="3"/>
  <c r="H121" i="3"/>
  <c r="J121" i="3" s="1"/>
  <c r="I120" i="3"/>
  <c r="H120" i="3"/>
  <c r="I119" i="3"/>
  <c r="H119" i="3"/>
  <c r="J119" i="3" s="1"/>
  <c r="I118" i="3"/>
  <c r="H118" i="3"/>
  <c r="J118" i="3" s="1"/>
  <c r="I117" i="3"/>
  <c r="J117" i="3" s="1"/>
  <c r="H117" i="3"/>
  <c r="I116" i="3"/>
  <c r="H116" i="3"/>
  <c r="I115" i="3"/>
  <c r="H115" i="3"/>
  <c r="J115" i="3" s="1"/>
  <c r="I114" i="3"/>
  <c r="H114" i="3"/>
  <c r="J114" i="3" s="1"/>
  <c r="J113" i="3"/>
  <c r="I113" i="3"/>
  <c r="H113" i="3"/>
  <c r="I112" i="3"/>
  <c r="H112" i="3"/>
  <c r="I111" i="3"/>
  <c r="H111" i="3"/>
  <c r="J111" i="3" s="1"/>
  <c r="I110" i="3"/>
  <c r="H110" i="3"/>
  <c r="I109" i="3"/>
  <c r="J109" i="3" s="1"/>
  <c r="H109" i="3"/>
  <c r="I108" i="3"/>
  <c r="H108" i="3"/>
  <c r="I107" i="3"/>
  <c r="H107" i="3"/>
  <c r="J107" i="3" s="1"/>
  <c r="I106" i="3"/>
  <c r="H106" i="3"/>
  <c r="J106" i="3" s="1"/>
  <c r="I105" i="3"/>
  <c r="H105" i="3"/>
  <c r="I104" i="3"/>
  <c r="H104" i="3"/>
  <c r="J104" i="3" s="1"/>
  <c r="I103" i="3"/>
  <c r="H103" i="3"/>
  <c r="J103" i="3" s="1"/>
  <c r="I102" i="3"/>
  <c r="H102" i="3"/>
  <c r="I101" i="3"/>
  <c r="J101" i="3" s="1"/>
  <c r="H101" i="3"/>
  <c r="I100" i="3"/>
  <c r="H100" i="3"/>
  <c r="J100" i="3" s="1"/>
  <c r="I99" i="3"/>
  <c r="H99" i="3"/>
  <c r="J99" i="3" s="1"/>
  <c r="I98" i="3"/>
  <c r="J98" i="3" s="1"/>
  <c r="H98" i="3"/>
  <c r="J97" i="3"/>
  <c r="I97" i="3"/>
  <c r="H97" i="3"/>
  <c r="I96" i="3"/>
  <c r="H96" i="3"/>
  <c r="J96" i="3" s="1"/>
  <c r="I95" i="3"/>
  <c r="H95" i="3"/>
  <c r="I94" i="3"/>
  <c r="H94" i="3"/>
  <c r="I93" i="3"/>
  <c r="H93" i="3"/>
  <c r="I92" i="3"/>
  <c r="H92" i="3"/>
  <c r="I91" i="3"/>
  <c r="H91" i="3"/>
  <c r="J91" i="3" s="1"/>
  <c r="I90" i="3"/>
  <c r="H90" i="3"/>
  <c r="I89" i="3"/>
  <c r="H89" i="3"/>
  <c r="J89" i="3" s="1"/>
  <c r="I88" i="3"/>
  <c r="H88" i="3"/>
  <c r="J88" i="3" s="1"/>
  <c r="I87" i="3"/>
  <c r="H87" i="3"/>
  <c r="I86" i="3"/>
  <c r="H86" i="3"/>
  <c r="I85" i="3"/>
  <c r="H85" i="3"/>
  <c r="I84" i="3"/>
  <c r="H84" i="3"/>
  <c r="J84" i="3" s="1"/>
  <c r="I83" i="3"/>
  <c r="H83" i="3"/>
  <c r="J83" i="3" s="1"/>
  <c r="J82" i="3"/>
  <c r="I82" i="3"/>
  <c r="H82" i="3"/>
  <c r="I81" i="3"/>
  <c r="H81" i="3"/>
  <c r="J81" i="3" s="1"/>
  <c r="I80" i="3"/>
  <c r="H80" i="3"/>
  <c r="I79" i="3"/>
  <c r="H79" i="3"/>
  <c r="I78" i="3"/>
  <c r="H78" i="3"/>
  <c r="J78" i="3" s="1"/>
  <c r="I77" i="3"/>
  <c r="H77" i="3"/>
  <c r="I76" i="3"/>
  <c r="H76" i="3"/>
  <c r="I75" i="3"/>
  <c r="H75" i="3"/>
  <c r="I74" i="3"/>
  <c r="H74" i="3"/>
  <c r="I73" i="3"/>
  <c r="H73" i="3"/>
  <c r="J73" i="3" s="1"/>
  <c r="I72" i="3"/>
  <c r="H72" i="3"/>
  <c r="I71" i="3"/>
  <c r="H71" i="3"/>
  <c r="I70" i="3"/>
  <c r="H70" i="3"/>
  <c r="J70" i="3" s="1"/>
  <c r="I69" i="3"/>
  <c r="H69" i="3"/>
  <c r="I68" i="3"/>
  <c r="H68" i="3"/>
  <c r="I67" i="3"/>
  <c r="H67" i="3"/>
  <c r="I66" i="3"/>
  <c r="H66" i="3"/>
  <c r="J66" i="3" s="1"/>
  <c r="I65" i="3"/>
  <c r="H65" i="3"/>
  <c r="J65" i="3" s="1"/>
  <c r="I64" i="3"/>
  <c r="H64" i="3"/>
  <c r="I63" i="3"/>
  <c r="H63" i="3"/>
  <c r="J63" i="3" s="1"/>
  <c r="I62" i="3"/>
  <c r="H62" i="3"/>
  <c r="J62" i="3" s="1"/>
  <c r="I61" i="3"/>
  <c r="H61" i="3"/>
  <c r="I60" i="3"/>
  <c r="J60" i="3" s="1"/>
  <c r="H60" i="3"/>
  <c r="I59" i="3"/>
  <c r="H59" i="3"/>
  <c r="I58" i="3"/>
  <c r="H58" i="3"/>
  <c r="J58" i="3" s="1"/>
  <c r="I57" i="3"/>
  <c r="H57" i="3"/>
  <c r="I56" i="3"/>
  <c r="H56" i="3"/>
  <c r="I55" i="3"/>
  <c r="H55" i="3"/>
  <c r="J55" i="3" s="1"/>
  <c r="I54" i="3"/>
  <c r="H54" i="3"/>
  <c r="J54" i="3" s="1"/>
  <c r="I53" i="3"/>
  <c r="H53" i="3"/>
  <c r="I52" i="3"/>
  <c r="H52" i="3"/>
  <c r="I51" i="3"/>
  <c r="H51" i="3"/>
  <c r="I50" i="3"/>
  <c r="H50" i="3"/>
  <c r="J50" i="3" s="1"/>
  <c r="I49" i="3"/>
  <c r="H49" i="3"/>
  <c r="J49" i="3" s="1"/>
  <c r="I48" i="3"/>
  <c r="H48" i="3"/>
  <c r="J48" i="3" s="1"/>
  <c r="I47" i="3"/>
  <c r="H47" i="3"/>
  <c r="J47" i="3" s="1"/>
  <c r="I46" i="3"/>
  <c r="H46" i="3"/>
  <c r="J46" i="3" s="1"/>
  <c r="I45" i="3"/>
  <c r="J45" i="3" s="1"/>
  <c r="H45" i="3"/>
  <c r="I44" i="3"/>
  <c r="J44" i="3" s="1"/>
  <c r="H44" i="3"/>
  <c r="I43" i="3"/>
  <c r="H43" i="3"/>
  <c r="J43" i="3" s="1"/>
  <c r="I42" i="3"/>
  <c r="H42" i="3"/>
  <c r="I41" i="3"/>
  <c r="H41" i="3"/>
  <c r="I40" i="3"/>
  <c r="H40" i="3"/>
  <c r="J40" i="3" s="1"/>
  <c r="I39" i="3"/>
  <c r="H39" i="3"/>
  <c r="J39" i="3" s="1"/>
  <c r="I38" i="3"/>
  <c r="H38" i="3"/>
  <c r="J38" i="3" s="1"/>
  <c r="I37" i="3"/>
  <c r="J37" i="3" s="1"/>
  <c r="H37" i="3"/>
  <c r="I36" i="3"/>
  <c r="H36" i="3"/>
  <c r="I35" i="3"/>
  <c r="H35" i="3"/>
  <c r="J35" i="3" s="1"/>
  <c r="I34" i="3"/>
  <c r="H34" i="3"/>
  <c r="J34" i="3" s="1"/>
  <c r="I33" i="3"/>
  <c r="H33" i="3"/>
  <c r="J33" i="3" s="1"/>
  <c r="I32" i="3"/>
  <c r="H32" i="3"/>
  <c r="J32" i="3" s="1"/>
  <c r="I31" i="3"/>
  <c r="H31" i="3"/>
  <c r="J31" i="3" s="1"/>
  <c r="I30" i="3"/>
  <c r="H30" i="3"/>
  <c r="I29" i="3"/>
  <c r="J29" i="3" s="1"/>
  <c r="H29" i="3"/>
  <c r="I28" i="3"/>
  <c r="H28" i="3"/>
  <c r="I27" i="3"/>
  <c r="H27" i="3"/>
  <c r="J27" i="3" s="1"/>
  <c r="I26" i="3"/>
  <c r="H26" i="3"/>
  <c r="I25" i="3"/>
  <c r="H25" i="3"/>
  <c r="J25" i="3" s="1"/>
  <c r="I24" i="3"/>
  <c r="H24" i="3"/>
  <c r="J24" i="3" s="1"/>
  <c r="I23" i="3"/>
  <c r="H23" i="3"/>
  <c r="J23" i="3" s="1"/>
  <c r="I22" i="3"/>
  <c r="H22" i="3"/>
  <c r="I21" i="3"/>
  <c r="J21" i="3" s="1"/>
  <c r="H21" i="3"/>
  <c r="I20" i="3"/>
  <c r="H20" i="3"/>
  <c r="J20" i="3" s="1"/>
  <c r="I19" i="3"/>
  <c r="H19" i="3"/>
  <c r="J19" i="3" s="1"/>
  <c r="I18" i="3"/>
  <c r="H18" i="3"/>
  <c r="J18" i="3" s="1"/>
  <c r="I17" i="3"/>
  <c r="H17" i="3"/>
  <c r="J17" i="3" s="1"/>
  <c r="I16" i="3"/>
  <c r="H16" i="3"/>
  <c r="J16" i="3" s="1"/>
  <c r="I15" i="3"/>
  <c r="H15" i="3"/>
  <c r="I14" i="3"/>
  <c r="H14" i="3"/>
  <c r="I13" i="3"/>
  <c r="H13" i="3"/>
  <c r="I12" i="3"/>
  <c r="H12" i="3"/>
  <c r="I11" i="3"/>
  <c r="H11" i="3"/>
  <c r="J11" i="3" s="1"/>
  <c r="I10" i="3"/>
  <c r="H10" i="3"/>
  <c r="J10" i="3" s="1"/>
  <c r="I9" i="3"/>
  <c r="H9" i="3"/>
  <c r="J9" i="3" s="1"/>
  <c r="I8" i="3"/>
  <c r="H8" i="3"/>
  <c r="J8" i="3" s="1"/>
  <c r="I7" i="3"/>
  <c r="H7" i="3"/>
  <c r="I6" i="3"/>
  <c r="H6" i="3"/>
  <c r="I5" i="3"/>
  <c r="H5" i="3"/>
  <c r="I4" i="3"/>
  <c r="H4" i="3"/>
  <c r="J4" i="3" s="1"/>
  <c r="I3" i="3"/>
  <c r="H3" i="3"/>
  <c r="J3" i="3" s="1"/>
  <c r="I2" i="3"/>
  <c r="J2" i="3" s="1"/>
  <c r="H2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K2" i="2"/>
  <c r="J2" i="2"/>
  <c r="I2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J3" i="1"/>
  <c r="J4" i="1"/>
  <c r="J5" i="1"/>
  <c r="J6" i="1"/>
  <c r="J7" i="1"/>
  <c r="J18" i="1"/>
  <c r="J19" i="1"/>
  <c r="J20" i="1"/>
  <c r="J21" i="1"/>
  <c r="J22" i="1"/>
  <c r="J23" i="1"/>
  <c r="J34" i="1"/>
  <c r="J35" i="1"/>
  <c r="J36" i="1"/>
  <c r="J37" i="1"/>
  <c r="J38" i="1"/>
  <c r="J39" i="1"/>
  <c r="J50" i="1"/>
  <c r="J51" i="1"/>
  <c r="J52" i="1"/>
  <c r="J53" i="1"/>
  <c r="J54" i="1"/>
  <c r="J55" i="1"/>
  <c r="J66" i="1"/>
  <c r="J67" i="1"/>
  <c r="J68" i="1"/>
  <c r="J69" i="1"/>
  <c r="J70" i="1"/>
  <c r="J71" i="1"/>
  <c r="J82" i="1"/>
  <c r="J83" i="1"/>
  <c r="J84" i="1"/>
  <c r="J85" i="1"/>
  <c r="J86" i="1"/>
  <c r="J87" i="1"/>
  <c r="J98" i="1"/>
  <c r="J99" i="1"/>
  <c r="J100" i="1"/>
  <c r="J101" i="1"/>
  <c r="J102" i="1"/>
  <c r="J103" i="1"/>
  <c r="J114" i="1"/>
  <c r="J115" i="1"/>
  <c r="J116" i="1"/>
  <c r="J117" i="1"/>
  <c r="J118" i="1"/>
  <c r="J119" i="1"/>
  <c r="J130" i="1"/>
  <c r="J131" i="1"/>
  <c r="J132" i="1"/>
  <c r="J133" i="1"/>
  <c r="J134" i="1"/>
  <c r="J135" i="1"/>
  <c r="I3" i="1"/>
  <c r="I4" i="1"/>
  <c r="I5" i="1"/>
  <c r="I6" i="1"/>
  <c r="I7" i="1"/>
  <c r="I8" i="1"/>
  <c r="I9" i="1"/>
  <c r="I10" i="1"/>
  <c r="I11" i="1"/>
  <c r="I12" i="1"/>
  <c r="J12" i="1" s="1"/>
  <c r="I13" i="1"/>
  <c r="I14" i="1"/>
  <c r="J14" i="1" s="1"/>
  <c r="I15" i="1"/>
  <c r="J15" i="1" s="1"/>
  <c r="I16" i="1"/>
  <c r="J16" i="1" s="1"/>
  <c r="I17" i="1"/>
  <c r="J17" i="1" s="1"/>
  <c r="I18" i="1"/>
  <c r="I19" i="1"/>
  <c r="I20" i="1"/>
  <c r="I21" i="1"/>
  <c r="I22" i="1"/>
  <c r="I23" i="1"/>
  <c r="I24" i="1"/>
  <c r="I25" i="1"/>
  <c r="I26" i="1"/>
  <c r="I27" i="1"/>
  <c r="I28" i="1"/>
  <c r="J28" i="1" s="1"/>
  <c r="I29" i="1"/>
  <c r="I30" i="1"/>
  <c r="J30" i="1" s="1"/>
  <c r="I31" i="1"/>
  <c r="J31" i="1" s="1"/>
  <c r="I32" i="1"/>
  <c r="J32" i="1" s="1"/>
  <c r="I33" i="1"/>
  <c r="J33" i="1" s="1"/>
  <c r="I34" i="1"/>
  <c r="I35" i="1"/>
  <c r="I36" i="1"/>
  <c r="I37" i="1"/>
  <c r="I38" i="1"/>
  <c r="I39" i="1"/>
  <c r="I40" i="1"/>
  <c r="I41" i="1"/>
  <c r="I42" i="1"/>
  <c r="I43" i="1"/>
  <c r="I44" i="1"/>
  <c r="J44" i="1" s="1"/>
  <c r="I45" i="1"/>
  <c r="I46" i="1"/>
  <c r="J46" i="1" s="1"/>
  <c r="I47" i="1"/>
  <c r="J47" i="1" s="1"/>
  <c r="I48" i="1"/>
  <c r="J48" i="1" s="1"/>
  <c r="I49" i="1"/>
  <c r="J49" i="1" s="1"/>
  <c r="I50" i="1"/>
  <c r="I51" i="1"/>
  <c r="I52" i="1"/>
  <c r="I53" i="1"/>
  <c r="I54" i="1"/>
  <c r="I55" i="1"/>
  <c r="I56" i="1"/>
  <c r="I57" i="1"/>
  <c r="I58" i="1"/>
  <c r="I59" i="1"/>
  <c r="I60" i="1"/>
  <c r="J60" i="1" s="1"/>
  <c r="I61" i="1"/>
  <c r="I62" i="1"/>
  <c r="J62" i="1" s="1"/>
  <c r="I63" i="1"/>
  <c r="J63" i="1" s="1"/>
  <c r="I64" i="1"/>
  <c r="J64" i="1" s="1"/>
  <c r="I65" i="1"/>
  <c r="J65" i="1" s="1"/>
  <c r="I66" i="1"/>
  <c r="I67" i="1"/>
  <c r="I68" i="1"/>
  <c r="I69" i="1"/>
  <c r="I70" i="1"/>
  <c r="I71" i="1"/>
  <c r="I72" i="1"/>
  <c r="I73" i="1"/>
  <c r="I74" i="1"/>
  <c r="I75" i="1"/>
  <c r="I76" i="1"/>
  <c r="J76" i="1" s="1"/>
  <c r="I77" i="1"/>
  <c r="I78" i="1"/>
  <c r="J78" i="1" s="1"/>
  <c r="I79" i="1"/>
  <c r="J79" i="1" s="1"/>
  <c r="I80" i="1"/>
  <c r="J80" i="1" s="1"/>
  <c r="I81" i="1"/>
  <c r="J81" i="1" s="1"/>
  <c r="I82" i="1"/>
  <c r="I83" i="1"/>
  <c r="I84" i="1"/>
  <c r="I85" i="1"/>
  <c r="I86" i="1"/>
  <c r="I87" i="1"/>
  <c r="I88" i="1"/>
  <c r="I89" i="1"/>
  <c r="I90" i="1"/>
  <c r="I91" i="1"/>
  <c r="I92" i="1"/>
  <c r="J92" i="1" s="1"/>
  <c r="I93" i="1"/>
  <c r="I94" i="1"/>
  <c r="J94" i="1" s="1"/>
  <c r="I95" i="1"/>
  <c r="J95" i="1" s="1"/>
  <c r="I96" i="1"/>
  <c r="J96" i="1" s="1"/>
  <c r="I97" i="1"/>
  <c r="J97" i="1" s="1"/>
  <c r="I98" i="1"/>
  <c r="I99" i="1"/>
  <c r="I100" i="1"/>
  <c r="I101" i="1"/>
  <c r="I102" i="1"/>
  <c r="I103" i="1"/>
  <c r="I104" i="1"/>
  <c r="I105" i="1"/>
  <c r="I106" i="1"/>
  <c r="I107" i="1"/>
  <c r="I108" i="1"/>
  <c r="J108" i="1" s="1"/>
  <c r="I109" i="1"/>
  <c r="I110" i="1"/>
  <c r="J110" i="1" s="1"/>
  <c r="I111" i="1"/>
  <c r="J111" i="1" s="1"/>
  <c r="I112" i="1"/>
  <c r="J112" i="1" s="1"/>
  <c r="I113" i="1"/>
  <c r="J113" i="1" s="1"/>
  <c r="I114" i="1"/>
  <c r="I115" i="1"/>
  <c r="I116" i="1"/>
  <c r="I117" i="1"/>
  <c r="I118" i="1"/>
  <c r="I119" i="1"/>
  <c r="I120" i="1"/>
  <c r="I121" i="1"/>
  <c r="I122" i="1"/>
  <c r="I123" i="1"/>
  <c r="I124" i="1"/>
  <c r="J124" i="1" s="1"/>
  <c r="I125" i="1"/>
  <c r="I126" i="1"/>
  <c r="J126" i="1" s="1"/>
  <c r="I127" i="1"/>
  <c r="J127" i="1" s="1"/>
  <c r="I128" i="1"/>
  <c r="J128" i="1" s="1"/>
  <c r="I129" i="1"/>
  <c r="J129" i="1" s="1"/>
  <c r="I130" i="1"/>
  <c r="I131" i="1"/>
  <c r="I132" i="1"/>
  <c r="I133" i="1"/>
  <c r="I134" i="1"/>
  <c r="I135" i="1"/>
  <c r="I2" i="1"/>
  <c r="H3" i="1"/>
  <c r="H4" i="1"/>
  <c r="H5" i="1"/>
  <c r="H6" i="1"/>
  <c r="H7" i="1"/>
  <c r="H8" i="1"/>
  <c r="J8" i="1" s="1"/>
  <c r="H9" i="1"/>
  <c r="J9" i="1" s="1"/>
  <c r="H10" i="1"/>
  <c r="J10" i="1" s="1"/>
  <c r="H11" i="1"/>
  <c r="J11" i="1" s="1"/>
  <c r="H12" i="1"/>
  <c r="H13" i="1"/>
  <c r="J13" i="1" s="1"/>
  <c r="H14" i="1"/>
  <c r="H15" i="1"/>
  <c r="H16" i="1"/>
  <c r="H17" i="1"/>
  <c r="H18" i="1"/>
  <c r="H19" i="1"/>
  <c r="H20" i="1"/>
  <c r="H21" i="1"/>
  <c r="H22" i="1"/>
  <c r="H23" i="1"/>
  <c r="H24" i="1"/>
  <c r="J24" i="1" s="1"/>
  <c r="H25" i="1"/>
  <c r="J25" i="1" s="1"/>
  <c r="H26" i="1"/>
  <c r="J26" i="1" s="1"/>
  <c r="H27" i="1"/>
  <c r="J27" i="1" s="1"/>
  <c r="H28" i="1"/>
  <c r="H29" i="1"/>
  <c r="J29" i="1" s="1"/>
  <c r="H30" i="1"/>
  <c r="H31" i="1"/>
  <c r="H32" i="1"/>
  <c r="H33" i="1"/>
  <c r="H34" i="1"/>
  <c r="H35" i="1"/>
  <c r="H36" i="1"/>
  <c r="H37" i="1"/>
  <c r="H38" i="1"/>
  <c r="H39" i="1"/>
  <c r="H40" i="1"/>
  <c r="J40" i="1" s="1"/>
  <c r="H41" i="1"/>
  <c r="J41" i="1" s="1"/>
  <c r="H42" i="1"/>
  <c r="J42" i="1" s="1"/>
  <c r="H43" i="1"/>
  <c r="J43" i="1" s="1"/>
  <c r="H44" i="1"/>
  <c r="H45" i="1"/>
  <c r="J45" i="1" s="1"/>
  <c r="H46" i="1"/>
  <c r="H47" i="1"/>
  <c r="H48" i="1"/>
  <c r="H49" i="1"/>
  <c r="H50" i="1"/>
  <c r="H51" i="1"/>
  <c r="H52" i="1"/>
  <c r="H53" i="1"/>
  <c r="H54" i="1"/>
  <c r="H55" i="1"/>
  <c r="H56" i="1"/>
  <c r="J56" i="1" s="1"/>
  <c r="H57" i="1"/>
  <c r="J57" i="1" s="1"/>
  <c r="H58" i="1"/>
  <c r="J58" i="1" s="1"/>
  <c r="H59" i="1"/>
  <c r="J59" i="1" s="1"/>
  <c r="H60" i="1"/>
  <c r="H61" i="1"/>
  <c r="J61" i="1" s="1"/>
  <c r="H62" i="1"/>
  <c r="H63" i="1"/>
  <c r="H64" i="1"/>
  <c r="H65" i="1"/>
  <c r="H66" i="1"/>
  <c r="H67" i="1"/>
  <c r="H68" i="1"/>
  <c r="H69" i="1"/>
  <c r="H70" i="1"/>
  <c r="H71" i="1"/>
  <c r="H72" i="1"/>
  <c r="J72" i="1" s="1"/>
  <c r="H73" i="1"/>
  <c r="J73" i="1" s="1"/>
  <c r="H74" i="1"/>
  <c r="J74" i="1" s="1"/>
  <c r="H75" i="1"/>
  <c r="J75" i="1" s="1"/>
  <c r="H76" i="1"/>
  <c r="H77" i="1"/>
  <c r="J77" i="1" s="1"/>
  <c r="H78" i="1"/>
  <c r="H79" i="1"/>
  <c r="H80" i="1"/>
  <c r="H81" i="1"/>
  <c r="H82" i="1"/>
  <c r="H83" i="1"/>
  <c r="H84" i="1"/>
  <c r="H85" i="1"/>
  <c r="H86" i="1"/>
  <c r="H87" i="1"/>
  <c r="H88" i="1"/>
  <c r="J88" i="1" s="1"/>
  <c r="H89" i="1"/>
  <c r="J89" i="1" s="1"/>
  <c r="H90" i="1"/>
  <c r="J90" i="1" s="1"/>
  <c r="H91" i="1"/>
  <c r="J91" i="1" s="1"/>
  <c r="H92" i="1"/>
  <c r="H93" i="1"/>
  <c r="J93" i="1" s="1"/>
  <c r="H94" i="1"/>
  <c r="H95" i="1"/>
  <c r="H96" i="1"/>
  <c r="H97" i="1"/>
  <c r="H98" i="1"/>
  <c r="H99" i="1"/>
  <c r="H100" i="1"/>
  <c r="H101" i="1"/>
  <c r="H102" i="1"/>
  <c r="H103" i="1"/>
  <c r="H104" i="1"/>
  <c r="J104" i="1" s="1"/>
  <c r="H105" i="1"/>
  <c r="J105" i="1" s="1"/>
  <c r="H106" i="1"/>
  <c r="J106" i="1" s="1"/>
  <c r="H107" i="1"/>
  <c r="J107" i="1" s="1"/>
  <c r="H108" i="1"/>
  <c r="H109" i="1"/>
  <c r="J109" i="1" s="1"/>
  <c r="H110" i="1"/>
  <c r="H111" i="1"/>
  <c r="H112" i="1"/>
  <c r="H113" i="1"/>
  <c r="H114" i="1"/>
  <c r="H115" i="1"/>
  <c r="H116" i="1"/>
  <c r="H117" i="1"/>
  <c r="H118" i="1"/>
  <c r="H119" i="1"/>
  <c r="H120" i="1"/>
  <c r="J120" i="1" s="1"/>
  <c r="H121" i="1"/>
  <c r="J121" i="1" s="1"/>
  <c r="H122" i="1"/>
  <c r="J122" i="1" s="1"/>
  <c r="H123" i="1"/>
  <c r="J123" i="1" s="1"/>
  <c r="H124" i="1"/>
  <c r="H125" i="1"/>
  <c r="J125" i="1" s="1"/>
  <c r="H126" i="1"/>
  <c r="H127" i="1"/>
  <c r="H128" i="1"/>
  <c r="H129" i="1"/>
  <c r="H130" i="1"/>
  <c r="H131" i="1"/>
  <c r="H132" i="1"/>
  <c r="H133" i="1"/>
  <c r="H134" i="1"/>
  <c r="H135" i="1"/>
  <c r="H2" i="1"/>
  <c r="J2" i="1" s="1"/>
  <c r="J115" i="5" l="1"/>
  <c r="J89" i="5"/>
  <c r="J68" i="5"/>
  <c r="J113" i="5"/>
  <c r="J116" i="5"/>
  <c r="J120" i="5"/>
  <c r="J65" i="5"/>
  <c r="J9" i="5"/>
  <c r="J84" i="5"/>
  <c r="J104" i="5"/>
  <c r="J76" i="5"/>
  <c r="J125" i="5"/>
  <c r="J29" i="5"/>
  <c r="J51" i="5"/>
  <c r="J105" i="5"/>
  <c r="J108" i="5"/>
  <c r="J31" i="5"/>
  <c r="J126" i="5"/>
  <c r="J73" i="5"/>
  <c r="J112" i="5"/>
  <c r="J20" i="5"/>
  <c r="J3" i="5"/>
  <c r="J37" i="5"/>
  <c r="J69" i="5"/>
  <c r="J12" i="5"/>
  <c r="J44" i="5"/>
  <c r="J98" i="5"/>
  <c r="J32" i="5"/>
  <c r="J72" i="5"/>
  <c r="J10" i="5"/>
  <c r="J127" i="5"/>
  <c r="J4" i="5"/>
  <c r="J57" i="5"/>
  <c r="J45" i="5"/>
  <c r="J27" i="5"/>
  <c r="J106" i="5"/>
  <c r="J110" i="5"/>
  <c r="J91" i="5"/>
  <c r="J41" i="5"/>
  <c r="J66" i="5"/>
  <c r="J56" i="5"/>
  <c r="J15" i="5"/>
  <c r="J129" i="5"/>
  <c r="J16" i="5"/>
  <c r="J59" i="5"/>
  <c r="J111" i="5"/>
  <c r="J101" i="5"/>
  <c r="J107" i="5"/>
  <c r="J58" i="5"/>
  <c r="J131" i="5"/>
  <c r="J25" i="5"/>
  <c r="J7" i="5"/>
  <c r="J14" i="5"/>
  <c r="J78" i="5"/>
  <c r="J119" i="5"/>
  <c r="J68" i="3"/>
  <c r="J69" i="3"/>
  <c r="J77" i="3"/>
  <c r="J92" i="3"/>
  <c r="J53" i="3"/>
  <c r="J85" i="3"/>
  <c r="J93" i="3"/>
  <c r="J108" i="3"/>
  <c r="J26" i="3"/>
  <c r="J41" i="3"/>
  <c r="J56" i="3"/>
  <c r="J64" i="3"/>
  <c r="J71" i="3"/>
  <c r="J79" i="3"/>
  <c r="J86" i="3"/>
  <c r="J94" i="3"/>
  <c r="J116" i="3"/>
  <c r="J131" i="3"/>
  <c r="J42" i="3"/>
  <c r="J57" i="3"/>
  <c r="J72" i="3"/>
  <c r="J80" i="3"/>
  <c r="J87" i="3"/>
  <c r="J95" i="3"/>
  <c r="J102" i="3"/>
  <c r="J110" i="3"/>
  <c r="J132" i="3"/>
  <c r="J76" i="3"/>
  <c r="J61" i="3"/>
  <c r="J13" i="3"/>
  <c r="J28" i="3"/>
  <c r="J133" i="3"/>
  <c r="J6" i="3"/>
  <c r="J14" i="3"/>
  <c r="J36" i="3"/>
  <c r="J51" i="3"/>
  <c r="J59" i="3"/>
  <c r="J74" i="3"/>
  <c r="J112" i="3"/>
  <c r="J12" i="3"/>
  <c r="J5" i="3"/>
  <c r="J7" i="3"/>
  <c r="J15" i="3"/>
  <c r="J22" i="3"/>
  <c r="J30" i="3"/>
  <c r="J52" i="3"/>
  <c r="J67" i="3"/>
  <c r="J75" i="3"/>
  <c r="J90" i="3"/>
  <c r="J105" i="3"/>
  <c r="J120" i="3"/>
  <c r="J128" i="3"/>
  <c r="J135" i="3"/>
</calcChain>
</file>

<file path=xl/sharedStrings.xml><?xml version="1.0" encoding="utf-8"?>
<sst xmlns="http://schemas.openxmlformats.org/spreadsheetml/2006/main" count="1967" uniqueCount="238">
  <si>
    <t>Marka_i_model</t>
  </si>
  <si>
    <t>Rok_produkcji</t>
  </si>
  <si>
    <t>Cena_zakupu</t>
  </si>
  <si>
    <t>Nr_rejestracyjny</t>
  </si>
  <si>
    <t>Przebieg</t>
  </si>
  <si>
    <t>Data_ostatniego_remontu</t>
  </si>
  <si>
    <t>Iveco Strails</t>
  </si>
  <si>
    <t>ERA 210 TR</t>
  </si>
  <si>
    <t>ERA 211 TR</t>
  </si>
  <si>
    <t>ERA 212 TR</t>
  </si>
  <si>
    <t>ERA 213 TR</t>
  </si>
  <si>
    <t>ERA 209 TR</t>
  </si>
  <si>
    <t>Mercedes Axor</t>
  </si>
  <si>
    <t>ERA 223 TR</t>
  </si>
  <si>
    <t>MAN TGA</t>
  </si>
  <si>
    <t>ERA 217 TR</t>
  </si>
  <si>
    <t>Volvo FE</t>
  </si>
  <si>
    <t>ERA 095 TR</t>
  </si>
  <si>
    <t>Volvo FM</t>
  </si>
  <si>
    <t>ERA 093 TR</t>
  </si>
  <si>
    <t>Volvo FMX</t>
  </si>
  <si>
    <t>ERA 094 TR</t>
  </si>
  <si>
    <t>Volvo FH</t>
  </si>
  <si>
    <t>ERA 092 TR</t>
  </si>
  <si>
    <t>ERA 097 TR</t>
  </si>
  <si>
    <t>Iveco 100E</t>
  </si>
  <si>
    <t>ERA 114 TR</t>
  </si>
  <si>
    <t>ERA 108 TR</t>
  </si>
  <si>
    <t>Scania L94</t>
  </si>
  <si>
    <t>ERA 100 TR</t>
  </si>
  <si>
    <t>ERA 101 TR</t>
  </si>
  <si>
    <t>ERA 111 TR</t>
  </si>
  <si>
    <t>ERA 120 TR</t>
  </si>
  <si>
    <t>Renault Premium</t>
  </si>
  <si>
    <t>ERA 110 TR</t>
  </si>
  <si>
    <t>Mercedes Atego</t>
  </si>
  <si>
    <t>ERA 112 TR</t>
  </si>
  <si>
    <t>Scania M93</t>
  </si>
  <si>
    <t>ERA 102 TR</t>
  </si>
  <si>
    <t>ERA 302 TR</t>
  </si>
  <si>
    <t>ERA 096 TR</t>
  </si>
  <si>
    <t>Iveco EuroCargo</t>
  </si>
  <si>
    <t>ERA 104 TR</t>
  </si>
  <si>
    <t>ERA 119 TR</t>
  </si>
  <si>
    <t>ERA 106 TR</t>
  </si>
  <si>
    <t>MAN TGL</t>
  </si>
  <si>
    <t>ERA 117 TR</t>
  </si>
  <si>
    <t>Volvo FL</t>
  </si>
  <si>
    <t>ERA 098 TR</t>
  </si>
  <si>
    <t>ERA 109 TR</t>
  </si>
  <si>
    <t>DAF LF45</t>
  </si>
  <si>
    <t>ERA 115 TR</t>
  </si>
  <si>
    <t>ERA 113 TR</t>
  </si>
  <si>
    <t>ERA 107 TR</t>
  </si>
  <si>
    <t>MAN TGA41</t>
  </si>
  <si>
    <t>ERA 116 TR</t>
  </si>
  <si>
    <t>MAN TGA33</t>
  </si>
  <si>
    <t>ERA 105 TR</t>
  </si>
  <si>
    <t>DAF CF85</t>
  </si>
  <si>
    <t>ERA 103 TR</t>
  </si>
  <si>
    <t>Mercedes Sided</t>
  </si>
  <si>
    <t>ERA 099 TR</t>
  </si>
  <si>
    <t>Mercedes Actros</t>
  </si>
  <si>
    <t>ERA 118 TR</t>
  </si>
  <si>
    <t>ERA 132 TR</t>
  </si>
  <si>
    <t>ERA 142 TR</t>
  </si>
  <si>
    <t>ERA 145 TR</t>
  </si>
  <si>
    <t>Renault Midlum</t>
  </si>
  <si>
    <t>ERA 146 TR</t>
  </si>
  <si>
    <t>ERA 135 TR</t>
  </si>
  <si>
    <t>ERA 136 TR</t>
  </si>
  <si>
    <t>Renault D10</t>
  </si>
  <si>
    <t>ERA 141 TR</t>
  </si>
  <si>
    <t>ERA 340 TR</t>
  </si>
  <si>
    <t>ERA 147 TR</t>
  </si>
  <si>
    <t>ERA 394 TR</t>
  </si>
  <si>
    <t>DAF CF75</t>
  </si>
  <si>
    <t>ERA 143 TR</t>
  </si>
  <si>
    <t>ERA 140 TR</t>
  </si>
  <si>
    <t>DAF CF65</t>
  </si>
  <si>
    <t>ERA 133 TR</t>
  </si>
  <si>
    <t>Iveco TrakkerEuro5</t>
  </si>
  <si>
    <t>ERA 214 TR</t>
  </si>
  <si>
    <t>Renault Magnum</t>
  </si>
  <si>
    <t>ERA 227 TR</t>
  </si>
  <si>
    <t>ERA 228 TR</t>
  </si>
  <si>
    <t>ERA 226 TR</t>
  </si>
  <si>
    <t>ERA 131 TR</t>
  </si>
  <si>
    <t>ERA 144 TR</t>
  </si>
  <si>
    <t>ERA 134 TR</t>
  </si>
  <si>
    <t>ERA 161 TR</t>
  </si>
  <si>
    <t>Renault R385</t>
  </si>
  <si>
    <t>ERA 158 TR</t>
  </si>
  <si>
    <t>ERA 160 TR</t>
  </si>
  <si>
    <t>ERA 159 TR</t>
  </si>
  <si>
    <t>ERA 157 TR</t>
  </si>
  <si>
    <t>ERA 221 TR</t>
  </si>
  <si>
    <t>ERA 225 TR</t>
  </si>
  <si>
    <t>ERA 220 TR</t>
  </si>
  <si>
    <t>ERA 222 TR</t>
  </si>
  <si>
    <t>Renault Pelen</t>
  </si>
  <si>
    <t>ERA 230 TR</t>
  </si>
  <si>
    <t>ERA 229 TR</t>
  </si>
  <si>
    <t>ERA 162 TR</t>
  </si>
  <si>
    <t>Scania R500</t>
  </si>
  <si>
    <t>ERA 237 TR</t>
  </si>
  <si>
    <t>ERA 236 TR</t>
  </si>
  <si>
    <t>ERA 238 TR</t>
  </si>
  <si>
    <t>ERA 240 TR</t>
  </si>
  <si>
    <t>ERA 241 TR</t>
  </si>
  <si>
    <t>ERA 239 TR</t>
  </si>
  <si>
    <t>ERA 168 TR</t>
  </si>
  <si>
    <t>ERA 175 TR</t>
  </si>
  <si>
    <t>ERA 173 TR</t>
  </si>
  <si>
    <t>ERA 166 TR</t>
  </si>
  <si>
    <t>ERA 176 TR</t>
  </si>
  <si>
    <t>ERA 172 TR</t>
  </si>
  <si>
    <t>ERA 169 TR</t>
  </si>
  <si>
    <t>ERA 170 TR</t>
  </si>
  <si>
    <t>Iveco STRALIS</t>
  </si>
  <si>
    <t>ERA 215 TR</t>
  </si>
  <si>
    <t>ERA 216 TR</t>
  </si>
  <si>
    <t>ERA 178 TR</t>
  </si>
  <si>
    <t>Scania R420</t>
  </si>
  <si>
    <t>ERA 232 TR</t>
  </si>
  <si>
    <t>ERA 233 TR</t>
  </si>
  <si>
    <t>ERA 231 TR</t>
  </si>
  <si>
    <t>ERA 234 TR</t>
  </si>
  <si>
    <t>ERA 235 TR</t>
  </si>
  <si>
    <t>Volvo FH13-500</t>
  </si>
  <si>
    <t>ERA 248 TR</t>
  </si>
  <si>
    <t>ERA 177 TR</t>
  </si>
  <si>
    <t>ERA 247 TR</t>
  </si>
  <si>
    <t>MAN TGX</t>
  </si>
  <si>
    <t>ERA 218 TR</t>
  </si>
  <si>
    <t>ERA 174 TR</t>
  </si>
  <si>
    <t>DAF XF460</t>
  </si>
  <si>
    <t>ERA 207 TR</t>
  </si>
  <si>
    <t>ERA 405 TR</t>
  </si>
  <si>
    <t>ERA 204 TR</t>
  </si>
  <si>
    <t>ERA 208 TR</t>
  </si>
  <si>
    <t>ERA 406 TR</t>
  </si>
  <si>
    <t>ERA 171 TR</t>
  </si>
  <si>
    <t>ERA 183 TR</t>
  </si>
  <si>
    <t>ERA 388 TR</t>
  </si>
  <si>
    <t>ERA 188 TR</t>
  </si>
  <si>
    <t>ERA 184 TR</t>
  </si>
  <si>
    <t>ERA 186 TR</t>
  </si>
  <si>
    <t>ERA 185 TR</t>
  </si>
  <si>
    <t>ERA 199 TR</t>
  </si>
  <si>
    <t>ERA 198 TR</t>
  </si>
  <si>
    <t>ERA 200 TR</t>
  </si>
  <si>
    <t>ERA 201 TR</t>
  </si>
  <si>
    <t>ERA 496 TR</t>
  </si>
  <si>
    <t>ERA 497 TR</t>
  </si>
  <si>
    <t>ERA 202 TR</t>
  </si>
  <si>
    <t>ERA 203 TR</t>
  </si>
  <si>
    <t>MAN TGS</t>
  </si>
  <si>
    <t>ERA 187 TR</t>
  </si>
  <si>
    <t>ERA 219 TR</t>
  </si>
  <si>
    <t>MAN TGA18</t>
  </si>
  <si>
    <t>ERA 193 TR</t>
  </si>
  <si>
    <t>ERA 195 TR</t>
  </si>
  <si>
    <t>ERA 197 TR</t>
  </si>
  <si>
    <t>ERA 194 TR</t>
  </si>
  <si>
    <t>ERA 196 TR</t>
  </si>
  <si>
    <t>ERA 393 TR</t>
  </si>
  <si>
    <t>ERA 494 TR</t>
  </si>
  <si>
    <t>ERA 495 TR</t>
  </si>
  <si>
    <t>ERA 192 TR</t>
  </si>
  <si>
    <t>ERA 205 TR</t>
  </si>
  <si>
    <t>ERA 206 TR</t>
  </si>
  <si>
    <t>Volvo 2015Euro6M</t>
  </si>
  <si>
    <t>ERA 242 TR</t>
  </si>
  <si>
    <t>ERA 243 TR</t>
  </si>
  <si>
    <t>ERA 244 TR</t>
  </si>
  <si>
    <t>ERA 245 TR</t>
  </si>
  <si>
    <t>ERA 246 TR</t>
  </si>
  <si>
    <t>czas</t>
  </si>
  <si>
    <t>przebieg</t>
  </si>
  <si>
    <t>nowa_cena</t>
  </si>
  <si>
    <t>a_czas</t>
  </si>
  <si>
    <t>a_przebieg</t>
  </si>
  <si>
    <t xml:space="preserve">a) </t>
  </si>
  <si>
    <t>b)</t>
  </si>
  <si>
    <t>Iveco</t>
  </si>
  <si>
    <t>Strails</t>
  </si>
  <si>
    <t>Mercedes</t>
  </si>
  <si>
    <t>Axor</t>
  </si>
  <si>
    <t>MAN</t>
  </si>
  <si>
    <t>TGA</t>
  </si>
  <si>
    <t>Volvo</t>
  </si>
  <si>
    <t>FE</t>
  </si>
  <si>
    <t>FM</t>
  </si>
  <si>
    <t>FMX</t>
  </si>
  <si>
    <t>FH</t>
  </si>
  <si>
    <t>100E</t>
  </si>
  <si>
    <t>Scania</t>
  </si>
  <si>
    <t>L94</t>
  </si>
  <si>
    <t>Renault</t>
  </si>
  <si>
    <t>Premium</t>
  </si>
  <si>
    <t>Atego</t>
  </si>
  <si>
    <t>M93</t>
  </si>
  <si>
    <t>EuroCargo</t>
  </si>
  <si>
    <t>TGL</t>
  </si>
  <si>
    <t>FL</t>
  </si>
  <si>
    <t>DAF</t>
  </si>
  <si>
    <t>LF45</t>
  </si>
  <si>
    <t>TGA41</t>
  </si>
  <si>
    <t>TGA33</t>
  </si>
  <si>
    <t>CF85</t>
  </si>
  <si>
    <t>Sided</t>
  </si>
  <si>
    <t>Actros</t>
  </si>
  <si>
    <t>Midlum</t>
  </si>
  <si>
    <t>D10</t>
  </si>
  <si>
    <t>CF75</t>
  </si>
  <si>
    <t>CF65</t>
  </si>
  <si>
    <t>TrakkerEuro5</t>
  </si>
  <si>
    <t>Magnum</t>
  </si>
  <si>
    <t>R385</t>
  </si>
  <si>
    <t>Pelen</t>
  </si>
  <si>
    <t>R500</t>
  </si>
  <si>
    <t>STRALIS</t>
  </si>
  <si>
    <t>R420</t>
  </si>
  <si>
    <t>FH13-500</t>
  </si>
  <si>
    <t>TGX</t>
  </si>
  <si>
    <t>XF460</t>
  </si>
  <si>
    <t>TGS</t>
  </si>
  <si>
    <t>TGA18</t>
  </si>
  <si>
    <t>2015Euro6M</t>
  </si>
  <si>
    <t>Marka</t>
  </si>
  <si>
    <t>Model</t>
  </si>
  <si>
    <t>Etykiety wierszy</t>
  </si>
  <si>
    <t>(puste)</t>
  </si>
  <si>
    <t>Suma końcowa</t>
  </si>
  <si>
    <t>Liczba z Nr_rejestracyjny</t>
  </si>
  <si>
    <t>Średnia z Przebieg</t>
  </si>
  <si>
    <t>Etykiety kolumn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</si>
</sst>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33" borderId="0" xfId="0" applyFill="1"/>
    <xf numFmtId="14" fontId="0" fillId="33" borderId="0" xfId="0" applyNumberFormat="1" applyFill="1"/>
    <xf numFmtId="1" fontId="0" fillId="33" borderId="0" xfId="0" applyNumberFormat="1" applyFill="1"/>
    <xf numFmtId="0" fontId="0" fillId="34" borderId="0" xfId="0" applyFill="1"/>
    <xf numFmtId="0" fontId="0" fillId="35" borderId="0" xfId="0" applyFill="1"/>
    <xf numFmtId="14" fontId="0" fillId="35" borderId="0" xfId="0" applyNumberFormat="1" applyFill="1"/>
    <xf numFmtId="1" fontId="0" fillId="35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"/>
    </dxf>
    <dxf>
      <numFmt numFmtId="2" formatCode="0.00"/>
    </dxf>
    <dxf>
      <numFmt numFmtId="164" formatCode="0.000"/>
    </dxf>
    <dxf>
      <numFmt numFmtId="166" formatCode="0.0"/>
    </dxf>
    <dxf>
      <numFmt numFmtId="2" formatCode="0.00"/>
    </dxf>
    <dxf>
      <numFmt numFmtId="164" formatCode="0.000"/>
    </dxf>
    <dxf>
      <numFmt numFmtId="166" formatCode="0.0"/>
    </dxf>
    <dxf>
      <numFmt numFmtId="2" formatCode="0.00"/>
    </dxf>
    <dxf>
      <numFmt numFmtId="164" formatCode="0.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"/>
    </dxf>
    <dxf>
      <numFmt numFmtId="2" formatCode="0.0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[transport.xlsx]5.2!Tabela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przebieg marki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'5.2'!$M$2</c:f>
              <c:strCache>
                <c:ptCount val="1"/>
                <c:pt idx="0">
                  <c:v>Liczba z Nr_rejestracyjny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'5.2'!$L$3:$L$11</c:f>
              <c:strCache>
                <c:ptCount val="8"/>
                <c:pt idx="0">
                  <c:v>DAF</c:v>
                </c:pt>
                <c:pt idx="1">
                  <c:v>Iveco</c:v>
                </c:pt>
                <c:pt idx="2">
                  <c:v>MAN</c:v>
                </c:pt>
                <c:pt idx="3">
                  <c:v>Mercedes</c:v>
                </c:pt>
                <c:pt idx="4">
                  <c:v>Renault</c:v>
                </c:pt>
                <c:pt idx="5">
                  <c:v>Scania</c:v>
                </c:pt>
                <c:pt idx="6">
                  <c:v>Volvo</c:v>
                </c:pt>
                <c:pt idx="7">
                  <c:v>(puste)</c:v>
                </c:pt>
              </c:strCache>
            </c:strRef>
          </c:cat>
          <c:val>
            <c:numRef>
              <c:f>'5.2'!$M$3:$M$11</c:f>
              <c:numCache>
                <c:formatCode>General</c:formatCode>
                <c:ptCount val="8"/>
                <c:pt idx="0">
                  <c:v>30</c:v>
                </c:pt>
                <c:pt idx="1">
                  <c:v>12</c:v>
                </c:pt>
                <c:pt idx="2">
                  <c:v>18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9-4459-914A-AF3722E5BC4C}"/>
            </c:ext>
          </c:extLst>
        </c:ser>
        <c:ser>
          <c:idx val="1"/>
          <c:order val="1"/>
          <c:tx>
            <c:strRef>
              <c:f>'5.2'!$N$2</c:f>
              <c:strCache>
                <c:ptCount val="1"/>
                <c:pt idx="0">
                  <c:v>Średnia z Przebieg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'5.2'!$L$3:$L$11</c:f>
              <c:strCache>
                <c:ptCount val="8"/>
                <c:pt idx="0">
                  <c:v>DAF</c:v>
                </c:pt>
                <c:pt idx="1">
                  <c:v>Iveco</c:v>
                </c:pt>
                <c:pt idx="2">
                  <c:v>MAN</c:v>
                </c:pt>
                <c:pt idx="3">
                  <c:v>Mercedes</c:v>
                </c:pt>
                <c:pt idx="4">
                  <c:v>Renault</c:v>
                </c:pt>
                <c:pt idx="5">
                  <c:v>Scania</c:v>
                </c:pt>
                <c:pt idx="6">
                  <c:v>Volvo</c:v>
                </c:pt>
                <c:pt idx="7">
                  <c:v>(puste)</c:v>
                </c:pt>
              </c:strCache>
            </c:strRef>
          </c:cat>
          <c:val>
            <c:numRef>
              <c:f>'5.2'!$N$3:$N$11</c:f>
              <c:numCache>
                <c:formatCode>General</c:formatCode>
                <c:ptCount val="8"/>
                <c:pt idx="0">
                  <c:v>273239.59999999998</c:v>
                </c:pt>
                <c:pt idx="1">
                  <c:v>657434.5</c:v>
                </c:pt>
                <c:pt idx="2">
                  <c:v>289637.27777777775</c:v>
                </c:pt>
                <c:pt idx="3">
                  <c:v>486545.8823529412</c:v>
                </c:pt>
                <c:pt idx="4">
                  <c:v>519936.0588235294</c:v>
                </c:pt>
                <c:pt idx="5">
                  <c:v>557117.6470588235</c:v>
                </c:pt>
                <c:pt idx="6">
                  <c:v>307130.4347826087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89-4459-914A-AF3722E5BC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1797519"/>
        <c:axId val="1101797999"/>
      </c:barChart>
      <c:catAx>
        <c:axId val="110179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01797999"/>
        <c:crosses val="autoZero"/>
        <c:auto val="1"/>
        <c:lblAlgn val="ctr"/>
        <c:lblOffset val="100"/>
        <c:noMultiLvlLbl val="0"/>
      </c:catAx>
      <c:valAx>
        <c:axId val="110179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0179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12</xdr:row>
      <xdr:rowOff>4762</xdr:rowOff>
    </xdr:from>
    <xdr:to>
      <xdr:col>14</xdr:col>
      <xdr:colOff>400050</xdr:colOff>
      <xdr:row>26</xdr:row>
      <xdr:rowOff>80962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E6DA0CF-EB32-1910-F543-99053A030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5930.385827893515" createdVersion="8" refreshedVersion="8" minRefreshableVersion="3" recordCount="135" xr:uid="{2D2B963B-6646-499B-B454-466BF9ADA910}">
  <cacheSource type="worksheet">
    <worksheetSource ref="A1:J1048576" sheet="5.2"/>
  </cacheSource>
  <cacheFields count="10">
    <cacheField name="Marka" numFmtId="0">
      <sharedItems containsBlank="1" count="8">
        <s v="Iveco"/>
        <s v="Mercedes"/>
        <s v="MAN"/>
        <s v="Volvo"/>
        <s v="Scania"/>
        <s v="Renault"/>
        <s v="DAF"/>
        <m/>
      </sharedItems>
    </cacheField>
    <cacheField name="Model" numFmtId="0">
      <sharedItems containsBlank="1"/>
    </cacheField>
    <cacheField name="Rok_produkcji" numFmtId="0">
      <sharedItems containsString="0" containsBlank="1" containsNumber="1" containsInteger="1" minValue="2006" maxValue="2015"/>
    </cacheField>
    <cacheField name="Cena_zakupu" numFmtId="0">
      <sharedItems containsString="0" containsBlank="1" containsNumber="1" containsInteger="1" minValue="37000" maxValue="360000"/>
    </cacheField>
    <cacheField name="Nr_rejestracyjny" numFmtId="0">
      <sharedItems containsBlank="1"/>
    </cacheField>
    <cacheField name="Przebieg" numFmtId="0">
      <sharedItems containsString="0" containsBlank="1" containsNumber="1" containsInteger="1" minValue="91000" maxValue="1260000"/>
    </cacheField>
    <cacheField name="Data_ostatniego_remontu" numFmtId="0">
      <sharedItems containsNonDate="0" containsDate="1" containsString="0" containsBlank="1" minDate="2015-01-10T00:00:00" maxDate="2016-12-31T00:00:00"/>
    </cacheField>
    <cacheField name="czas" numFmtId="0">
      <sharedItems containsString="0" containsBlank="1" containsNumber="1" containsInteger="1" minValue="2" maxValue="11"/>
    </cacheField>
    <cacheField name="przebieg2" numFmtId="0">
      <sharedItems containsString="0" containsBlank="1" containsNumber="1" containsInteger="1" minValue="0" maxValue="12"/>
    </cacheField>
    <cacheField name="nowa_cena" numFmtId="0">
      <sharedItems containsString="0" containsBlank="1" containsNumber="1" minValue="17390" maxValue="316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5930.388823611109" createdVersion="8" refreshedVersion="8" minRefreshableVersion="3" recordCount="134" xr:uid="{DBF14EA6-BE72-4EA2-A88F-7F9C5557C961}">
  <cacheSource type="worksheet">
    <worksheetSource ref="A1:J135" sheet="5.3"/>
  </cacheSource>
  <cacheFields count="10">
    <cacheField name="Marka" numFmtId="0">
      <sharedItems count="7">
        <s v="Iveco"/>
        <s v="Mercedes"/>
        <s v="MAN"/>
        <s v="Volvo"/>
        <s v="Scania"/>
        <s v="Renault"/>
        <s v="DAF"/>
      </sharedItems>
    </cacheField>
    <cacheField name="Model" numFmtId="0">
      <sharedItems/>
    </cacheField>
    <cacheField name="Rok_produkcji" numFmtId="0">
      <sharedItems containsSemiMixedTypes="0" containsString="0" containsNumber="1" containsInteger="1" minValue="2006" maxValue="2015" count="10"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Cena_zakupu" numFmtId="0">
      <sharedItems containsSemiMixedTypes="0" containsString="0" containsNumber="1" containsInteger="1" minValue="37000" maxValue="360000"/>
    </cacheField>
    <cacheField name="Nr_rejestracyjny" numFmtId="0">
      <sharedItems/>
    </cacheField>
    <cacheField name="Przebieg" numFmtId="0">
      <sharedItems containsSemiMixedTypes="0" containsString="0" containsNumber="1" containsInteger="1" minValue="91000" maxValue="1260000"/>
    </cacheField>
    <cacheField name="Data_ostatniego_remontu" numFmtId="14">
      <sharedItems containsSemiMixedTypes="0" containsNonDate="0" containsDate="1" containsString="0" minDate="2015-01-10T00:00:00" maxDate="2016-12-31T00:00:00"/>
    </cacheField>
    <cacheField name="czas" numFmtId="1">
      <sharedItems containsSemiMixedTypes="0" containsString="0" containsNumber="1" containsInteger="1" minValue="2" maxValue="11"/>
    </cacheField>
    <cacheField name="przebieg2" numFmtId="0">
      <sharedItems containsSemiMixedTypes="0" containsString="0" containsNumber="1" containsInteger="1" minValue="0" maxValue="12"/>
    </cacheField>
    <cacheField name="nowa_cena" numFmtId="0">
      <sharedItems containsSemiMixedTypes="0" containsString="0" containsNumber="1" minValue="17390" maxValue="316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x v="0"/>
    <s v="Strails"/>
    <n v="2006"/>
    <n v="85900"/>
    <s v="ERA 210 TR"/>
    <n v="1200655"/>
    <d v="2015-01-31T00:00:00"/>
    <n v="11"/>
    <n v="12"/>
    <n v="18039"/>
  </r>
  <r>
    <x v="0"/>
    <s v="Strails"/>
    <n v="2006"/>
    <n v="85900"/>
    <s v="ERA 211 TR"/>
    <n v="1068570"/>
    <d v="2015-01-25T00:00:00"/>
    <n v="11"/>
    <n v="10"/>
    <n v="21475"/>
  </r>
  <r>
    <x v="0"/>
    <s v="Strails"/>
    <n v="2006"/>
    <n v="85900"/>
    <s v="ERA 212 TR"/>
    <n v="998704"/>
    <d v="2015-01-24T00:00:00"/>
    <n v="11"/>
    <n v="9"/>
    <n v="23193"/>
  </r>
  <r>
    <x v="0"/>
    <s v="Strails"/>
    <n v="2006"/>
    <n v="85900"/>
    <s v="ERA 213 TR"/>
    <n v="936780"/>
    <d v="2015-01-24T00:00:00"/>
    <n v="11"/>
    <n v="9"/>
    <n v="23193"/>
  </r>
  <r>
    <x v="0"/>
    <s v="Strails"/>
    <n v="2006"/>
    <n v="85900"/>
    <s v="ERA 209 TR"/>
    <n v="870233"/>
    <d v="2015-01-30T00:00:00"/>
    <n v="11"/>
    <n v="8"/>
    <n v="24911"/>
  </r>
  <r>
    <x v="1"/>
    <s v="Axor"/>
    <n v="2007"/>
    <n v="205000"/>
    <s v="ERA 223 TR"/>
    <n v="1260000"/>
    <d v="2016-04-23T00:00:00"/>
    <n v="10"/>
    <n v="12"/>
    <n v="53300"/>
  </r>
  <r>
    <x v="2"/>
    <s v="TGA"/>
    <n v="2007"/>
    <n v="198000"/>
    <s v="ERA 217 TR"/>
    <n v="890200"/>
    <d v="2016-05-30T00:00:00"/>
    <n v="10"/>
    <n v="8"/>
    <n v="67320"/>
  </r>
  <r>
    <x v="3"/>
    <s v="FE"/>
    <n v="2008"/>
    <n v="49411"/>
    <s v="ERA 095 TR"/>
    <n v="186000"/>
    <d v="2015-07-25T00:00:00"/>
    <n v="9"/>
    <n v="1"/>
    <n v="26187.829999999998"/>
  </r>
  <r>
    <x v="3"/>
    <s v="FM"/>
    <n v="2008"/>
    <n v="58000"/>
    <s v="ERA 093 TR"/>
    <n v="306000"/>
    <d v="2015-09-24T00:00:00"/>
    <n v="9"/>
    <n v="3"/>
    <n v="28420"/>
  </r>
  <r>
    <x v="3"/>
    <s v="FMX"/>
    <n v="2008"/>
    <n v="84000"/>
    <s v="ERA 094 TR"/>
    <n v="266000"/>
    <d v="2016-01-13T00:00:00"/>
    <n v="9"/>
    <n v="2"/>
    <n v="42840"/>
  </r>
  <r>
    <x v="3"/>
    <s v="FH"/>
    <n v="2008"/>
    <n v="89000"/>
    <s v="ERA 092 TR"/>
    <n v="305000"/>
    <d v="2015-03-12T00:00:00"/>
    <n v="9"/>
    <n v="3"/>
    <n v="43610"/>
  </r>
  <r>
    <x v="3"/>
    <s v="FE"/>
    <n v="2009"/>
    <n v="48411"/>
    <s v="ERA 097 TR"/>
    <n v="190000"/>
    <d v="2015-07-25T00:00:00"/>
    <n v="8"/>
    <n v="1"/>
    <n v="28078.379999999997"/>
  </r>
  <r>
    <x v="0"/>
    <s v="100E"/>
    <n v="2009"/>
    <n v="68000"/>
    <s v="ERA 114 TR"/>
    <n v="992600"/>
    <d v="2015-06-02T00:00:00"/>
    <n v="8"/>
    <n v="9"/>
    <n v="28560"/>
  </r>
  <r>
    <x v="3"/>
    <s v="FE"/>
    <n v="2009"/>
    <n v="49411"/>
    <s v="ERA 108 TR"/>
    <n v="186000"/>
    <d v="2015-07-25T00:00:00"/>
    <n v="8"/>
    <n v="1"/>
    <n v="28658.379999999997"/>
  </r>
  <r>
    <x v="4"/>
    <s v="L94"/>
    <n v="2009"/>
    <n v="67900"/>
    <s v="ERA 100 TR"/>
    <n v="850000"/>
    <d v="2015-07-09T00:00:00"/>
    <n v="8"/>
    <n v="8"/>
    <n v="29876"/>
  </r>
  <r>
    <x v="3"/>
    <s v="FE"/>
    <n v="2009"/>
    <n v="65000"/>
    <s v="ERA 101 TR"/>
    <n v="740000"/>
    <d v="2016-01-16T00:00:00"/>
    <n v="8"/>
    <n v="7"/>
    <n v="29900"/>
  </r>
  <r>
    <x v="4"/>
    <s v="L94"/>
    <n v="2009"/>
    <n v="68900"/>
    <s v="ERA 111 TR"/>
    <n v="846000"/>
    <d v="2015-07-09T00:00:00"/>
    <n v="8"/>
    <n v="8"/>
    <n v="30316"/>
  </r>
  <r>
    <x v="3"/>
    <s v="FM"/>
    <n v="2009"/>
    <n v="59000"/>
    <s v="ERA 120 TR"/>
    <n v="302000"/>
    <d v="2015-09-24T00:00:00"/>
    <n v="8"/>
    <n v="3"/>
    <n v="31860"/>
  </r>
  <r>
    <x v="5"/>
    <s v="Premium"/>
    <n v="2009"/>
    <n v="77000"/>
    <s v="ERA 110 TR"/>
    <n v="846000"/>
    <d v="2016-01-07T00:00:00"/>
    <n v="8"/>
    <n v="8"/>
    <n v="33880"/>
  </r>
  <r>
    <x v="1"/>
    <s v="Atego"/>
    <n v="2009"/>
    <n v="85000"/>
    <s v="ERA 112 TR"/>
    <n v="946000"/>
    <d v="2015-01-10T00:00:00"/>
    <n v="8"/>
    <n v="9"/>
    <n v="35700"/>
  </r>
  <r>
    <x v="4"/>
    <s v="M93"/>
    <n v="2009"/>
    <n v="79000"/>
    <s v="ERA 102 TR"/>
    <n v="390000"/>
    <d v="2016-01-10T00:00:00"/>
    <n v="8"/>
    <n v="3"/>
    <n v="42660"/>
  </r>
  <r>
    <x v="4"/>
    <s v="M93"/>
    <n v="2009"/>
    <n v="79000"/>
    <s v="ERA 302 TR"/>
    <n v="390000"/>
    <d v="2016-01-10T00:00:00"/>
    <n v="8"/>
    <n v="3"/>
    <n v="42660"/>
  </r>
  <r>
    <x v="3"/>
    <s v="FMX"/>
    <n v="2009"/>
    <n v="83000"/>
    <s v="ERA 096 TR"/>
    <n v="270000"/>
    <d v="2016-01-13T00:00:00"/>
    <n v="8"/>
    <n v="2"/>
    <n v="46480"/>
  </r>
  <r>
    <x v="0"/>
    <s v="EuroCargo"/>
    <n v="2009"/>
    <n v="86133"/>
    <s v="ERA 104 TR"/>
    <n v="380000"/>
    <d v="2015-07-23T00:00:00"/>
    <n v="8"/>
    <n v="3"/>
    <n v="46511.819999999992"/>
  </r>
  <r>
    <x v="3"/>
    <s v="FH"/>
    <n v="2009"/>
    <n v="90000"/>
    <s v="ERA 119 TR"/>
    <n v="301000"/>
    <d v="2015-03-12T00:00:00"/>
    <n v="8"/>
    <n v="3"/>
    <n v="48600"/>
  </r>
  <r>
    <x v="1"/>
    <s v="Atego"/>
    <n v="2009"/>
    <n v="91000"/>
    <s v="ERA 106 TR"/>
    <n v="360000"/>
    <d v="2015-06-19T00:00:00"/>
    <n v="8"/>
    <n v="3"/>
    <n v="49140"/>
  </r>
  <r>
    <x v="2"/>
    <s v="TGL"/>
    <n v="2009"/>
    <n v="114400"/>
    <s v="ERA 117 TR"/>
    <n v="226000"/>
    <d v="2015-03-10T00:00:00"/>
    <n v="8"/>
    <n v="2"/>
    <n v="64064"/>
  </r>
  <r>
    <x v="3"/>
    <s v="FL"/>
    <n v="2009"/>
    <n v="134000"/>
    <s v="ERA 098 TR"/>
    <n v="482000"/>
    <d v="2016-01-16T00:00:00"/>
    <n v="8"/>
    <n v="4"/>
    <n v="69680"/>
  </r>
  <r>
    <x v="3"/>
    <s v="FL"/>
    <n v="2009"/>
    <n v="135000"/>
    <s v="ERA 109 TR"/>
    <n v="478000"/>
    <d v="2016-01-16T00:00:00"/>
    <n v="8"/>
    <n v="4"/>
    <n v="70200"/>
  </r>
  <r>
    <x v="6"/>
    <s v="LF45"/>
    <n v="2009"/>
    <n v="131780"/>
    <s v="ERA 115 TR"/>
    <n v="306000"/>
    <d v="2015-12-27T00:00:00"/>
    <n v="8"/>
    <n v="3"/>
    <n v="71161.2"/>
  </r>
  <r>
    <x v="2"/>
    <s v="TGL"/>
    <n v="2009"/>
    <n v="159000"/>
    <s v="ERA 113 TR"/>
    <n v="403000"/>
    <d v="2016-11-07T00:00:00"/>
    <n v="8"/>
    <n v="4"/>
    <n v="82680"/>
  </r>
  <r>
    <x v="5"/>
    <s v="Premium"/>
    <n v="2009"/>
    <n v="162800"/>
    <s v="ERA 107 TR"/>
    <n v="370000"/>
    <d v="2015-11-21T00:00:00"/>
    <n v="8"/>
    <n v="3"/>
    <n v="87912"/>
  </r>
  <r>
    <x v="2"/>
    <s v="TGA41"/>
    <n v="2009"/>
    <n v="168800"/>
    <s v="ERA 116 TR"/>
    <n v="186300"/>
    <d v="2015-09-25T00:00:00"/>
    <n v="8"/>
    <n v="1"/>
    <n v="97904"/>
  </r>
  <r>
    <x v="2"/>
    <s v="TGA33"/>
    <n v="2009"/>
    <n v="195370"/>
    <s v="ERA 105 TR"/>
    <n v="290000"/>
    <d v="2016-04-07T00:00:00"/>
    <n v="8"/>
    <n v="2"/>
    <n v="109407.2"/>
  </r>
  <r>
    <x v="6"/>
    <s v="CF85"/>
    <n v="2009"/>
    <n v="195340"/>
    <s v="ERA 103 TR"/>
    <n v="190000"/>
    <d v="2015-10-01T00:00:00"/>
    <n v="8"/>
    <n v="1"/>
    <n v="113297.2"/>
  </r>
  <r>
    <x v="1"/>
    <s v="Sided"/>
    <n v="2009"/>
    <n v="230000"/>
    <s v="ERA 099 TR"/>
    <n v="305000"/>
    <d v="2015-10-30T00:00:00"/>
    <n v="8"/>
    <n v="3"/>
    <n v="124200"/>
  </r>
  <r>
    <x v="1"/>
    <s v="Actros"/>
    <n v="2009"/>
    <n v="291000"/>
    <s v="ERA 118 TR"/>
    <n v="166000"/>
    <d v="2015-10-20T00:00:00"/>
    <n v="8"/>
    <n v="1"/>
    <n v="168780"/>
  </r>
  <r>
    <x v="6"/>
    <s v="LF45"/>
    <n v="2010"/>
    <n v="37000"/>
    <s v="ERA 132 TR"/>
    <n v="978000"/>
    <d v="2015-11-01T00:00:00"/>
    <n v="7"/>
    <n v="9"/>
    <n v="17390"/>
  </r>
  <r>
    <x v="6"/>
    <s v="LF45"/>
    <n v="2010"/>
    <n v="40830"/>
    <s v="ERA 142 TR"/>
    <n v="326000"/>
    <d v="2015-02-27T00:00:00"/>
    <n v="7"/>
    <n v="3"/>
    <n v="24089.7"/>
  </r>
  <r>
    <x v="3"/>
    <s v="FE"/>
    <n v="2010"/>
    <n v="66000"/>
    <s v="ERA 145 TR"/>
    <n v="736000"/>
    <d v="2016-01-16T00:00:00"/>
    <n v="7"/>
    <n v="7"/>
    <n v="33660"/>
  </r>
  <r>
    <x v="5"/>
    <s v="Midlum"/>
    <n v="2010"/>
    <n v="60000"/>
    <s v="ERA 146 TR"/>
    <n v="99250"/>
    <d v="2015-08-10T00:00:00"/>
    <n v="7"/>
    <n v="0"/>
    <n v="39000"/>
  </r>
  <r>
    <x v="1"/>
    <s v="Atego"/>
    <n v="2010"/>
    <n v="84000"/>
    <s v="ERA 135 TR"/>
    <n v="950000"/>
    <d v="2015-01-25T00:00:00"/>
    <n v="7"/>
    <n v="9"/>
    <n v="39480"/>
  </r>
  <r>
    <x v="0"/>
    <s v="100E"/>
    <n v="2010"/>
    <n v="67000"/>
    <s v="ERA 136 TR"/>
    <n v="103260"/>
    <d v="2015-06-02T00:00:00"/>
    <n v="7"/>
    <n v="1"/>
    <n v="42210"/>
  </r>
  <r>
    <x v="5"/>
    <s v="D10"/>
    <n v="2010"/>
    <n v="75300"/>
    <s v="ERA 141 TR"/>
    <n v="302000"/>
    <d v="2015-06-19T00:00:00"/>
    <n v="7"/>
    <n v="3"/>
    <n v="44427"/>
  </r>
  <r>
    <x v="3"/>
    <s v="FMX"/>
    <n v="2010"/>
    <n v="84000"/>
    <s v="ERA 340 TR"/>
    <n v="266000"/>
    <d v="2016-01-13T00:00:00"/>
    <n v="7"/>
    <n v="2"/>
    <n v="51240"/>
  </r>
  <r>
    <x v="1"/>
    <s v="Atego"/>
    <n v="2010"/>
    <n v="92000"/>
    <s v="ERA 147 TR"/>
    <n v="356000"/>
    <d v="2015-06-19T00:00:00"/>
    <n v="7"/>
    <n v="3"/>
    <n v="54280"/>
  </r>
  <r>
    <x v="2"/>
    <s v="TGL"/>
    <n v="2010"/>
    <n v="89000"/>
    <s v="ERA 394 TR"/>
    <n v="266000"/>
    <d v="2016-01-13T00:00:00"/>
    <n v="7"/>
    <n v="2"/>
    <n v="54290"/>
  </r>
  <r>
    <x v="6"/>
    <s v="CF75"/>
    <n v="2010"/>
    <n v="94000"/>
    <s v="ERA 143 TR"/>
    <n v="91000"/>
    <d v="2015-09-21T00:00:00"/>
    <n v="7"/>
    <n v="0"/>
    <n v="61100"/>
  </r>
  <r>
    <x v="2"/>
    <s v="TGL"/>
    <n v="2010"/>
    <n v="113400"/>
    <s v="ERA 140 TR"/>
    <n v="230000"/>
    <d v="2015-03-10T00:00:00"/>
    <n v="7"/>
    <n v="2"/>
    <n v="69174"/>
  </r>
  <r>
    <x v="6"/>
    <s v="CF65"/>
    <n v="2010"/>
    <n v="135000"/>
    <s v="ERA 133 TR"/>
    <n v="251000"/>
    <d v="2015-03-04T00:00:00"/>
    <n v="7"/>
    <n v="2"/>
    <n v="82350"/>
  </r>
  <r>
    <x v="0"/>
    <s v="TrakkerEuro5"/>
    <n v="2010"/>
    <n v="160000"/>
    <s v="ERA 214 TR"/>
    <n v="263000"/>
    <d v="2015-01-24T00:00:00"/>
    <n v="7"/>
    <n v="2"/>
    <n v="97600"/>
  </r>
  <r>
    <x v="5"/>
    <s v="Magnum"/>
    <n v="2010"/>
    <n v="265000"/>
    <s v="ERA 227 TR"/>
    <n v="930000"/>
    <d v="2015-08-20T00:00:00"/>
    <n v="7"/>
    <n v="9"/>
    <n v="124550"/>
  </r>
  <r>
    <x v="5"/>
    <s v="Magnum"/>
    <n v="2010"/>
    <n v="265000"/>
    <s v="ERA 228 TR"/>
    <n v="912000"/>
    <d v="2015-08-20T00:00:00"/>
    <n v="7"/>
    <n v="9"/>
    <n v="124550"/>
  </r>
  <r>
    <x v="5"/>
    <s v="Magnum"/>
    <n v="2010"/>
    <n v="265000"/>
    <s v="ERA 226 TR"/>
    <n v="856000"/>
    <d v="2015-08-20T00:00:00"/>
    <n v="7"/>
    <n v="8"/>
    <n v="129850"/>
  </r>
  <r>
    <x v="5"/>
    <s v="Premium"/>
    <n v="2010"/>
    <n v="230000"/>
    <s v="ERA 131 TR"/>
    <n v="455000"/>
    <d v="2016-03-10T00:00:00"/>
    <n v="7"/>
    <n v="4"/>
    <n v="131100"/>
  </r>
  <r>
    <x v="1"/>
    <s v="Sided"/>
    <n v="2010"/>
    <n v="231000"/>
    <s v="ERA 144 TR"/>
    <n v="301000"/>
    <d v="2015-10-30T00:00:00"/>
    <n v="7"/>
    <n v="3"/>
    <n v="136290"/>
  </r>
  <r>
    <x v="1"/>
    <s v="Actros"/>
    <n v="2010"/>
    <n v="257000"/>
    <s v="ERA 134 TR"/>
    <n v="164700"/>
    <d v="2015-10-09T00:00:00"/>
    <n v="7"/>
    <n v="1"/>
    <n v="161910"/>
  </r>
  <r>
    <x v="6"/>
    <s v="LF45"/>
    <n v="2011"/>
    <n v="38000"/>
    <s v="ERA 161 TR"/>
    <n v="574000"/>
    <d v="2015-11-01T00:00:00"/>
    <n v="6"/>
    <n v="5"/>
    <n v="22800"/>
  </r>
  <r>
    <x v="5"/>
    <s v="R385"/>
    <n v="2011"/>
    <n v="56700"/>
    <s v="ERA 158 TR"/>
    <n v="290000"/>
    <d v="2015-08-20T00:00:00"/>
    <n v="6"/>
    <n v="2"/>
    <n v="37422"/>
  </r>
  <r>
    <x v="5"/>
    <s v="R385"/>
    <n v="2011"/>
    <n v="57700"/>
    <s v="ERA 160 TR"/>
    <n v="286000"/>
    <d v="2015-08-20T00:00:00"/>
    <n v="6"/>
    <n v="2"/>
    <n v="38082"/>
  </r>
  <r>
    <x v="5"/>
    <s v="Midlum"/>
    <n v="2011"/>
    <n v="59000"/>
    <s v="ERA 159 TR"/>
    <n v="103250"/>
    <d v="2015-08-10T00:00:00"/>
    <n v="6"/>
    <n v="1"/>
    <n v="40120"/>
  </r>
  <r>
    <x v="5"/>
    <s v="D10"/>
    <n v="2011"/>
    <n v="74300"/>
    <s v="ERA 157 TR"/>
    <n v="306000"/>
    <d v="2015-06-19T00:00:00"/>
    <n v="6"/>
    <n v="3"/>
    <n v="47552"/>
  </r>
  <r>
    <x v="1"/>
    <s v="Actros"/>
    <n v="2011"/>
    <n v="210000"/>
    <s v="ERA 221 TR"/>
    <n v="780000"/>
    <d v="2016-04-21T00:00:00"/>
    <n v="6"/>
    <n v="7"/>
    <n v="117600"/>
  </r>
  <r>
    <x v="1"/>
    <s v="Actros"/>
    <n v="2011"/>
    <n v="210000"/>
    <s v="ERA 225 TR"/>
    <n v="760300"/>
    <d v="2016-04-21T00:00:00"/>
    <n v="6"/>
    <n v="7"/>
    <n v="117600"/>
  </r>
  <r>
    <x v="1"/>
    <s v="Actros"/>
    <n v="2011"/>
    <n v="210000"/>
    <s v="ERA 220 TR"/>
    <n v="680000"/>
    <d v="2016-04-21T00:00:00"/>
    <n v="6"/>
    <n v="6"/>
    <n v="121800"/>
  </r>
  <r>
    <x v="1"/>
    <s v="Actros"/>
    <n v="2011"/>
    <n v="210000"/>
    <s v="ERA 222 TR"/>
    <n v="655000"/>
    <d v="2016-04-21T00:00:00"/>
    <n v="6"/>
    <n v="6"/>
    <n v="121800"/>
  </r>
  <r>
    <x v="5"/>
    <s v="Pelen"/>
    <n v="2011"/>
    <n v="220000"/>
    <s v="ERA 230 TR"/>
    <n v="731000"/>
    <d v="2015-08-20T00:00:00"/>
    <n v="6"/>
    <n v="7"/>
    <n v="123200"/>
  </r>
  <r>
    <x v="5"/>
    <s v="Pelen"/>
    <n v="2011"/>
    <n v="220000"/>
    <s v="ERA 229 TR"/>
    <n v="685413"/>
    <d v="2015-08-20T00:00:00"/>
    <n v="6"/>
    <n v="6"/>
    <n v="127600"/>
  </r>
  <r>
    <x v="6"/>
    <s v="CF85"/>
    <n v="2011"/>
    <n v="196340"/>
    <s v="ERA 162 TR"/>
    <n v="186000"/>
    <d v="2015-10-01T00:00:00"/>
    <n v="6"/>
    <n v="1"/>
    <n v="133511.20000000001"/>
  </r>
  <r>
    <x v="4"/>
    <s v="R500"/>
    <n v="2011"/>
    <n v="245000"/>
    <s v="ERA 237 TR"/>
    <n v="720000"/>
    <d v="2016-04-02T00:00:00"/>
    <n v="6"/>
    <n v="7"/>
    <n v="137200"/>
  </r>
  <r>
    <x v="4"/>
    <s v="R500"/>
    <n v="2011"/>
    <n v="245000"/>
    <s v="ERA 236 TR"/>
    <n v="680000"/>
    <d v="2016-04-02T00:00:00"/>
    <n v="6"/>
    <n v="6"/>
    <n v="142100"/>
  </r>
  <r>
    <x v="4"/>
    <s v="R500"/>
    <n v="2011"/>
    <n v="245000"/>
    <s v="ERA 238 TR"/>
    <n v="660000"/>
    <d v="2016-04-02T00:00:00"/>
    <n v="6"/>
    <n v="6"/>
    <n v="142100"/>
  </r>
  <r>
    <x v="4"/>
    <s v="R500"/>
    <n v="2011"/>
    <n v="245000"/>
    <s v="ERA 240 TR"/>
    <n v="630000"/>
    <d v="2016-04-02T00:00:00"/>
    <n v="6"/>
    <n v="6"/>
    <n v="142100"/>
  </r>
  <r>
    <x v="4"/>
    <s v="R500"/>
    <n v="2011"/>
    <n v="245000"/>
    <s v="ERA 241 TR"/>
    <n v="655000"/>
    <d v="2016-04-02T00:00:00"/>
    <n v="6"/>
    <n v="6"/>
    <n v="142100"/>
  </r>
  <r>
    <x v="4"/>
    <s v="R500"/>
    <n v="2011"/>
    <n v="245000"/>
    <s v="ERA 239 TR"/>
    <n v="590000"/>
    <d v="2016-04-02T00:00:00"/>
    <n v="6"/>
    <n v="5"/>
    <n v="147000"/>
  </r>
  <r>
    <x v="6"/>
    <s v="LF45"/>
    <n v="2012"/>
    <n v="39830"/>
    <s v="ERA 168 TR"/>
    <n v="330000"/>
    <d v="2015-02-27T00:00:00"/>
    <n v="5"/>
    <n v="3"/>
    <n v="27482.7"/>
  </r>
  <r>
    <x v="6"/>
    <s v="LF45"/>
    <n v="2012"/>
    <n v="48800"/>
    <s v="ERA 175 TR"/>
    <n v="268650"/>
    <d v="2015-04-23T00:00:00"/>
    <n v="5"/>
    <n v="2"/>
    <n v="34648"/>
  </r>
  <r>
    <x v="3"/>
    <s v="FM"/>
    <n v="2012"/>
    <n v="59000"/>
    <s v="ERA 173 TR"/>
    <n v="302000"/>
    <d v="2015-09-24T00:00:00"/>
    <n v="5"/>
    <n v="3"/>
    <n v="40710"/>
  </r>
  <r>
    <x v="5"/>
    <s v="Premium"/>
    <n v="2012"/>
    <n v="76000"/>
    <s v="ERA 166 TR"/>
    <n v="850000"/>
    <d v="2016-01-07T00:00:00"/>
    <n v="5"/>
    <n v="8"/>
    <n v="44840"/>
  </r>
  <r>
    <x v="0"/>
    <s v="EuroCargo"/>
    <n v="2012"/>
    <n v="87133"/>
    <s v="ERA 176 TR"/>
    <n v="376000"/>
    <d v="2015-07-23T00:00:00"/>
    <n v="5"/>
    <n v="3"/>
    <n v="60121.770000000004"/>
  </r>
  <r>
    <x v="3"/>
    <s v="FH"/>
    <n v="2012"/>
    <n v="110000"/>
    <s v="ERA 172 TR"/>
    <n v="201000"/>
    <d v="2015-03-12T00:00:00"/>
    <n v="5"/>
    <n v="2"/>
    <n v="78100"/>
  </r>
  <r>
    <x v="6"/>
    <s v="LF45"/>
    <n v="2012"/>
    <n v="130780"/>
    <s v="ERA 169 TR"/>
    <n v="310000"/>
    <d v="2015-12-27T00:00:00"/>
    <n v="5"/>
    <n v="3"/>
    <n v="90238.2"/>
  </r>
  <r>
    <x v="2"/>
    <s v="TGL"/>
    <n v="2012"/>
    <n v="135502"/>
    <s v="ERA 170 TR"/>
    <n v="247000"/>
    <d v="2016-04-16T00:00:00"/>
    <n v="5"/>
    <n v="2"/>
    <n v="96206.42"/>
  </r>
  <r>
    <x v="0"/>
    <s v="STRALIS"/>
    <n v="2012"/>
    <n v="145000"/>
    <s v="ERA 215 TR"/>
    <n v="386732"/>
    <d v="2015-02-24T00:00:00"/>
    <n v="5"/>
    <n v="3"/>
    <n v="100050"/>
  </r>
  <r>
    <x v="0"/>
    <s v="STRALIS"/>
    <n v="2012"/>
    <n v="145000"/>
    <s v="ERA 216 TR"/>
    <n v="312680"/>
    <d v="2015-02-24T00:00:00"/>
    <n v="5"/>
    <n v="3"/>
    <n v="100050"/>
  </r>
  <r>
    <x v="5"/>
    <s v="Premium"/>
    <n v="2012"/>
    <n v="163800"/>
    <s v="ERA 178 TR"/>
    <n v="366000"/>
    <d v="2015-11-21T00:00:00"/>
    <n v="5"/>
    <n v="3"/>
    <n v="113022"/>
  </r>
  <r>
    <x v="4"/>
    <s v="R420"/>
    <n v="2012"/>
    <n v="183000"/>
    <s v="ERA 232 TR"/>
    <n v="520000"/>
    <d v="2016-03-15T00:00:00"/>
    <n v="5"/>
    <n v="5"/>
    <n v="118950"/>
  </r>
  <r>
    <x v="4"/>
    <s v="R420"/>
    <n v="2012"/>
    <n v="183000"/>
    <s v="ERA 233 TR"/>
    <n v="530000"/>
    <d v="2016-03-15T00:00:00"/>
    <n v="5"/>
    <n v="5"/>
    <n v="118950"/>
  </r>
  <r>
    <x v="4"/>
    <s v="R420"/>
    <n v="2012"/>
    <n v="183000"/>
    <s v="ERA 231 TR"/>
    <n v="490000"/>
    <d v="2016-03-15T00:00:00"/>
    <n v="5"/>
    <n v="4"/>
    <n v="122610"/>
  </r>
  <r>
    <x v="4"/>
    <s v="R420"/>
    <n v="2012"/>
    <n v="183000"/>
    <s v="ERA 234 TR"/>
    <n v="481000"/>
    <d v="2016-03-15T00:00:00"/>
    <n v="5"/>
    <n v="4"/>
    <n v="122610"/>
  </r>
  <r>
    <x v="4"/>
    <s v="R420"/>
    <n v="2012"/>
    <n v="183000"/>
    <s v="ERA 235 TR"/>
    <n v="454000"/>
    <d v="2016-03-15T00:00:00"/>
    <n v="5"/>
    <n v="4"/>
    <n v="122610"/>
  </r>
  <r>
    <x v="3"/>
    <s v="FH13-500"/>
    <n v="2012"/>
    <n v="210000"/>
    <s v="ERA 248 TR"/>
    <n v="517000"/>
    <d v="2016-02-15T00:00:00"/>
    <n v="5"/>
    <n v="5"/>
    <n v="136500"/>
  </r>
  <r>
    <x v="2"/>
    <s v="TGA33"/>
    <n v="2012"/>
    <n v="196370"/>
    <s v="ERA 177 TR"/>
    <n v="286000"/>
    <d v="2016-04-07T00:00:00"/>
    <n v="5"/>
    <n v="2"/>
    <n v="139422.70000000001"/>
  </r>
  <r>
    <x v="3"/>
    <s v="FH13-500"/>
    <n v="2012"/>
    <n v="210000"/>
    <s v="ERA 247 TR"/>
    <n v="435000"/>
    <d v="2016-02-15T00:00:00"/>
    <n v="5"/>
    <n v="4"/>
    <n v="140700"/>
  </r>
  <r>
    <x v="2"/>
    <s v="TGX"/>
    <n v="2012"/>
    <n v="210300"/>
    <s v="ERA 218 TR"/>
    <n v="417671"/>
    <d v="2016-05-30T00:00:00"/>
    <n v="5"/>
    <n v="4"/>
    <n v="140901"/>
  </r>
  <r>
    <x v="5"/>
    <s v="Premium"/>
    <n v="2012"/>
    <n v="231000"/>
    <s v="ERA 174 TR"/>
    <n v="451000"/>
    <d v="2016-03-10T00:00:00"/>
    <n v="5"/>
    <n v="4"/>
    <n v="154770"/>
  </r>
  <r>
    <x v="6"/>
    <s v="XF460"/>
    <n v="2012"/>
    <n v="240000"/>
    <s v="ERA 207 TR"/>
    <n v="301344"/>
    <d v="2015-06-30T00:00:00"/>
    <n v="5"/>
    <n v="3"/>
    <n v="165600"/>
  </r>
  <r>
    <x v="6"/>
    <s v="XF460"/>
    <n v="2012"/>
    <n v="240000"/>
    <s v="ERA 405 TR"/>
    <n v="315988"/>
    <d v="2015-06-30T00:00:00"/>
    <n v="5"/>
    <n v="3"/>
    <n v="165600"/>
  </r>
  <r>
    <x v="6"/>
    <s v="XF460"/>
    <n v="2012"/>
    <n v="240000"/>
    <s v="ERA 204 TR"/>
    <n v="234760"/>
    <d v="2015-06-30T00:00:00"/>
    <n v="5"/>
    <n v="2"/>
    <n v="170400"/>
  </r>
  <r>
    <x v="6"/>
    <s v="XF460"/>
    <n v="2012"/>
    <n v="240000"/>
    <s v="ERA 208 TR"/>
    <n v="210780"/>
    <d v="2015-06-30T00:00:00"/>
    <n v="5"/>
    <n v="2"/>
    <n v="170400"/>
  </r>
  <r>
    <x v="6"/>
    <s v="XF460"/>
    <n v="2012"/>
    <n v="240000"/>
    <s v="ERA 406 TR"/>
    <n v="198240"/>
    <d v="2015-06-30T00:00:00"/>
    <n v="5"/>
    <n v="1"/>
    <n v="175200"/>
  </r>
  <r>
    <x v="1"/>
    <s v="Actros"/>
    <n v="2012"/>
    <n v="290000"/>
    <s v="ERA 171 TR"/>
    <n v="170000"/>
    <d v="2015-10-20T00:00:00"/>
    <n v="5"/>
    <n v="1"/>
    <n v="211700"/>
  </r>
  <r>
    <x v="6"/>
    <s v="LF45"/>
    <n v="2013"/>
    <n v="47800"/>
    <s v="ERA 183 TR"/>
    <n v="272650"/>
    <d v="2015-04-23T00:00:00"/>
    <n v="4"/>
    <n v="2"/>
    <n v="36328"/>
  </r>
  <r>
    <x v="4"/>
    <s v="M93"/>
    <n v="2013"/>
    <n v="80000"/>
    <s v="ERA 388 TR"/>
    <n v="350000"/>
    <d v="2016-01-10T00:00:00"/>
    <n v="4"/>
    <n v="3"/>
    <n v="59200"/>
  </r>
  <r>
    <x v="4"/>
    <s v="M93"/>
    <n v="2013"/>
    <n v="80000"/>
    <s v="ERA 188 TR"/>
    <n v="235000"/>
    <d v="2016-01-10T00:00:00"/>
    <n v="4"/>
    <n v="2"/>
    <n v="60800"/>
  </r>
  <r>
    <x v="6"/>
    <s v="CF75"/>
    <n v="2013"/>
    <n v="93000"/>
    <s v="ERA 184 TR"/>
    <n v="195000"/>
    <d v="2015-09-21T00:00:00"/>
    <n v="4"/>
    <n v="1"/>
    <n v="72540"/>
  </r>
  <r>
    <x v="6"/>
    <s v="CF65"/>
    <n v="2013"/>
    <n v="136000"/>
    <s v="ERA 186 TR"/>
    <n v="247000"/>
    <d v="2015-03-04T00:00:00"/>
    <n v="4"/>
    <n v="2"/>
    <n v="103360"/>
  </r>
  <r>
    <x v="2"/>
    <s v="TGL"/>
    <n v="2013"/>
    <n v="158000"/>
    <s v="ERA 185 TR"/>
    <n v="407000"/>
    <d v="2016-11-07T00:00:00"/>
    <n v="4"/>
    <n v="4"/>
    <n v="113760"/>
  </r>
  <r>
    <x v="6"/>
    <s v="XF460"/>
    <n v="2013"/>
    <n v="240000"/>
    <s v="ERA 199 TR"/>
    <n v="301232"/>
    <d v="2016-12-15T00:00:00"/>
    <n v="4"/>
    <n v="3"/>
    <n v="177600"/>
  </r>
  <r>
    <x v="6"/>
    <s v="XF460"/>
    <n v="2013"/>
    <n v="240000"/>
    <s v="ERA 198 TR"/>
    <n v="289567"/>
    <d v="2016-12-15T00:00:00"/>
    <n v="4"/>
    <n v="2"/>
    <n v="182400"/>
  </r>
  <r>
    <x v="6"/>
    <s v="XF460"/>
    <n v="2013"/>
    <n v="240000"/>
    <s v="ERA 200 TR"/>
    <n v="245211"/>
    <d v="2016-12-15T00:00:00"/>
    <n v="4"/>
    <n v="2"/>
    <n v="182400"/>
  </r>
  <r>
    <x v="6"/>
    <s v="XF460"/>
    <n v="2013"/>
    <n v="240000"/>
    <s v="ERA 201 TR"/>
    <n v="200123"/>
    <d v="2016-12-15T00:00:00"/>
    <n v="4"/>
    <n v="2"/>
    <n v="182400"/>
  </r>
  <r>
    <x v="6"/>
    <s v="XF460"/>
    <n v="2013"/>
    <n v="240000"/>
    <s v="ERA 496 TR"/>
    <n v="235811"/>
    <d v="2016-12-15T00:00:00"/>
    <n v="4"/>
    <n v="2"/>
    <n v="182400"/>
  </r>
  <r>
    <x v="6"/>
    <s v="XF460"/>
    <n v="2013"/>
    <n v="240000"/>
    <s v="ERA 497 TR"/>
    <n v="250021"/>
    <d v="2016-12-15T00:00:00"/>
    <n v="4"/>
    <n v="2"/>
    <n v="182400"/>
  </r>
  <r>
    <x v="6"/>
    <s v="XF460"/>
    <n v="2013"/>
    <n v="240000"/>
    <s v="ERA 202 TR"/>
    <n v="198340"/>
    <d v="2016-12-15T00:00:00"/>
    <n v="4"/>
    <n v="1"/>
    <n v="187200"/>
  </r>
  <r>
    <x v="6"/>
    <s v="XF460"/>
    <n v="2013"/>
    <n v="240000"/>
    <s v="ERA 203 TR"/>
    <n v="189761"/>
    <d v="2016-12-15T00:00:00"/>
    <n v="4"/>
    <n v="1"/>
    <n v="187200"/>
  </r>
  <r>
    <x v="2"/>
    <s v="TGS"/>
    <n v="2013"/>
    <n v="271000"/>
    <s v="ERA 187 TR"/>
    <n v="153000"/>
    <d v="2015-11-26T00:00:00"/>
    <n v="4"/>
    <n v="1"/>
    <n v="211380"/>
  </r>
  <r>
    <x v="2"/>
    <s v="TGS"/>
    <n v="2013"/>
    <n v="271000"/>
    <s v="ERA 219 TR"/>
    <n v="123000"/>
    <d v="2016-05-30T00:00:00"/>
    <n v="4"/>
    <n v="1"/>
    <n v="211380"/>
  </r>
  <r>
    <x v="2"/>
    <s v="TGA18"/>
    <n v="2014"/>
    <n v="98000"/>
    <s v="ERA 193 TR"/>
    <n v="251000"/>
    <d v="2015-12-06T00:00:00"/>
    <n v="3"/>
    <n v="2"/>
    <n v="79380"/>
  </r>
  <r>
    <x v="2"/>
    <s v="TGA18"/>
    <n v="2014"/>
    <n v="99000"/>
    <s v="ERA 195 TR"/>
    <n v="247000"/>
    <d v="2015-12-06T00:00:00"/>
    <n v="3"/>
    <n v="2"/>
    <n v="80190"/>
  </r>
  <r>
    <x v="2"/>
    <s v="TGL"/>
    <n v="2014"/>
    <n v="136502"/>
    <s v="ERA 197 TR"/>
    <n v="243000"/>
    <d v="2016-04-16T00:00:00"/>
    <n v="3"/>
    <n v="2"/>
    <n v="110566.62"/>
  </r>
  <r>
    <x v="2"/>
    <s v="TGA41"/>
    <n v="2014"/>
    <n v="167800"/>
    <s v="ERA 194 TR"/>
    <n v="190300"/>
    <d v="2015-09-25T00:00:00"/>
    <n v="3"/>
    <n v="1"/>
    <n v="139274"/>
  </r>
  <r>
    <x v="1"/>
    <s v="Atego"/>
    <n v="2014"/>
    <n v="219000"/>
    <s v="ERA 196 TR"/>
    <n v="126290"/>
    <d v="2015-03-20T00:00:00"/>
    <n v="3"/>
    <n v="1"/>
    <n v="181770"/>
  </r>
  <r>
    <x v="6"/>
    <s v="XF460"/>
    <n v="2014"/>
    <n v="240000"/>
    <s v="ERA 393 TR"/>
    <n v="183788"/>
    <d v="2016-11-07T00:00:00"/>
    <n v="3"/>
    <n v="1"/>
    <n v="199200"/>
  </r>
  <r>
    <x v="6"/>
    <s v="XF460"/>
    <n v="2014"/>
    <n v="240000"/>
    <s v="ERA 494 TR"/>
    <n v="160198"/>
    <d v="2016-11-07T00:00:00"/>
    <n v="3"/>
    <n v="1"/>
    <n v="199200"/>
  </r>
  <r>
    <x v="6"/>
    <s v="XF460"/>
    <n v="2014"/>
    <n v="240000"/>
    <s v="ERA 495 TR"/>
    <n v="156724"/>
    <d v="2016-11-07T00:00:00"/>
    <n v="3"/>
    <n v="1"/>
    <n v="199200"/>
  </r>
  <r>
    <x v="2"/>
    <s v="TGS"/>
    <n v="2014"/>
    <n v="270000"/>
    <s v="ERA 192 TR"/>
    <n v="157000"/>
    <d v="2015-11-26T00:00:00"/>
    <n v="3"/>
    <n v="1"/>
    <n v="224100"/>
  </r>
  <r>
    <x v="1"/>
    <s v="Atego"/>
    <n v="2015"/>
    <n v="218000"/>
    <s v="ERA 205 TR"/>
    <n v="130290"/>
    <d v="2015-03-20T00:00:00"/>
    <n v="2"/>
    <n v="1"/>
    <n v="191840"/>
  </r>
  <r>
    <x v="1"/>
    <s v="Actros"/>
    <n v="2015"/>
    <n v="258000"/>
    <s v="ERA 206 TR"/>
    <n v="160700"/>
    <d v="2015-10-09T00:00:00"/>
    <n v="2"/>
    <n v="1"/>
    <n v="227040"/>
  </r>
  <r>
    <x v="3"/>
    <s v="2015Euro6M"/>
    <n v="2015"/>
    <n v="360000"/>
    <s v="ERA 242 TR"/>
    <n v="100000"/>
    <d v="2016-12-30T00:00:00"/>
    <n v="2"/>
    <n v="1"/>
    <n v="316800"/>
  </r>
  <r>
    <x v="3"/>
    <s v="2015Euro6M"/>
    <n v="2015"/>
    <n v="360000"/>
    <s v="ERA 243 TR"/>
    <n v="115000"/>
    <d v="2016-12-30T00:00:00"/>
    <n v="2"/>
    <n v="1"/>
    <n v="316800"/>
  </r>
  <r>
    <x v="3"/>
    <s v="2015Euro6M"/>
    <n v="2015"/>
    <n v="360000"/>
    <s v="ERA 244 TR"/>
    <n v="132000"/>
    <d v="2016-12-30T00:00:00"/>
    <n v="2"/>
    <n v="1"/>
    <n v="316800"/>
  </r>
  <r>
    <x v="3"/>
    <s v="2015Euro6M"/>
    <n v="2015"/>
    <n v="360000"/>
    <s v="ERA 245 TR"/>
    <n v="108000"/>
    <d v="2016-12-30T00:00:00"/>
    <n v="2"/>
    <n v="1"/>
    <n v="316800"/>
  </r>
  <r>
    <x v="3"/>
    <s v="2015Euro6M"/>
    <n v="2015"/>
    <n v="360000"/>
    <s v="ERA 246 TR"/>
    <n v="140000"/>
    <d v="2016-12-30T00:00:00"/>
    <n v="2"/>
    <n v="1"/>
    <n v="316800"/>
  </r>
  <r>
    <x v="7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s v="Strails"/>
    <x v="0"/>
    <n v="85900"/>
    <s v="ERA 210 TR"/>
    <n v="1200655"/>
    <d v="2015-01-31T00:00:00"/>
    <n v="11"/>
    <n v="12"/>
    <n v="18039"/>
  </r>
  <r>
    <x v="0"/>
    <s v="Strails"/>
    <x v="0"/>
    <n v="85900"/>
    <s v="ERA 211 TR"/>
    <n v="1068570"/>
    <d v="2015-01-25T00:00:00"/>
    <n v="11"/>
    <n v="10"/>
    <n v="21475"/>
  </r>
  <r>
    <x v="0"/>
    <s v="Strails"/>
    <x v="0"/>
    <n v="85900"/>
    <s v="ERA 212 TR"/>
    <n v="998704"/>
    <d v="2015-01-24T00:00:00"/>
    <n v="11"/>
    <n v="9"/>
    <n v="23193"/>
  </r>
  <r>
    <x v="0"/>
    <s v="Strails"/>
    <x v="0"/>
    <n v="85900"/>
    <s v="ERA 213 TR"/>
    <n v="936780"/>
    <d v="2015-01-24T00:00:00"/>
    <n v="11"/>
    <n v="9"/>
    <n v="23193"/>
  </r>
  <r>
    <x v="0"/>
    <s v="Strails"/>
    <x v="0"/>
    <n v="85900"/>
    <s v="ERA 209 TR"/>
    <n v="870233"/>
    <d v="2015-01-30T00:00:00"/>
    <n v="11"/>
    <n v="8"/>
    <n v="24911"/>
  </r>
  <r>
    <x v="1"/>
    <s v="Axor"/>
    <x v="1"/>
    <n v="205000"/>
    <s v="ERA 223 TR"/>
    <n v="1260000"/>
    <d v="2016-04-23T00:00:00"/>
    <n v="10"/>
    <n v="12"/>
    <n v="53300"/>
  </r>
  <r>
    <x v="2"/>
    <s v="TGA"/>
    <x v="1"/>
    <n v="198000"/>
    <s v="ERA 217 TR"/>
    <n v="890200"/>
    <d v="2016-05-30T00:00:00"/>
    <n v="10"/>
    <n v="8"/>
    <n v="67320"/>
  </r>
  <r>
    <x v="3"/>
    <s v="FE"/>
    <x v="2"/>
    <n v="49411"/>
    <s v="ERA 095 TR"/>
    <n v="186000"/>
    <d v="2015-07-25T00:00:00"/>
    <n v="9"/>
    <n v="1"/>
    <n v="26187.829999999998"/>
  </r>
  <r>
    <x v="3"/>
    <s v="FM"/>
    <x v="2"/>
    <n v="58000"/>
    <s v="ERA 093 TR"/>
    <n v="306000"/>
    <d v="2015-09-24T00:00:00"/>
    <n v="9"/>
    <n v="3"/>
    <n v="28420"/>
  </r>
  <r>
    <x v="3"/>
    <s v="FMX"/>
    <x v="2"/>
    <n v="84000"/>
    <s v="ERA 094 TR"/>
    <n v="266000"/>
    <d v="2016-01-13T00:00:00"/>
    <n v="9"/>
    <n v="2"/>
    <n v="42840"/>
  </r>
  <r>
    <x v="3"/>
    <s v="FH"/>
    <x v="2"/>
    <n v="89000"/>
    <s v="ERA 092 TR"/>
    <n v="305000"/>
    <d v="2015-03-12T00:00:00"/>
    <n v="9"/>
    <n v="3"/>
    <n v="43610"/>
  </r>
  <r>
    <x v="3"/>
    <s v="FE"/>
    <x v="3"/>
    <n v="48411"/>
    <s v="ERA 097 TR"/>
    <n v="190000"/>
    <d v="2015-07-25T00:00:00"/>
    <n v="8"/>
    <n v="1"/>
    <n v="28078.379999999997"/>
  </r>
  <r>
    <x v="0"/>
    <s v="100E"/>
    <x v="3"/>
    <n v="68000"/>
    <s v="ERA 114 TR"/>
    <n v="992600"/>
    <d v="2015-06-02T00:00:00"/>
    <n v="8"/>
    <n v="9"/>
    <n v="28560"/>
  </r>
  <r>
    <x v="3"/>
    <s v="FE"/>
    <x v="3"/>
    <n v="49411"/>
    <s v="ERA 108 TR"/>
    <n v="186000"/>
    <d v="2015-07-25T00:00:00"/>
    <n v="8"/>
    <n v="1"/>
    <n v="28658.379999999997"/>
  </r>
  <r>
    <x v="4"/>
    <s v="L94"/>
    <x v="3"/>
    <n v="67900"/>
    <s v="ERA 100 TR"/>
    <n v="850000"/>
    <d v="2015-07-09T00:00:00"/>
    <n v="8"/>
    <n v="8"/>
    <n v="29876"/>
  </r>
  <r>
    <x v="3"/>
    <s v="FE"/>
    <x v="3"/>
    <n v="65000"/>
    <s v="ERA 101 TR"/>
    <n v="740000"/>
    <d v="2016-01-16T00:00:00"/>
    <n v="8"/>
    <n v="7"/>
    <n v="29900"/>
  </r>
  <r>
    <x v="4"/>
    <s v="L94"/>
    <x v="3"/>
    <n v="68900"/>
    <s v="ERA 111 TR"/>
    <n v="846000"/>
    <d v="2015-07-09T00:00:00"/>
    <n v="8"/>
    <n v="8"/>
    <n v="30316"/>
  </r>
  <r>
    <x v="3"/>
    <s v="FM"/>
    <x v="3"/>
    <n v="59000"/>
    <s v="ERA 120 TR"/>
    <n v="302000"/>
    <d v="2015-09-24T00:00:00"/>
    <n v="8"/>
    <n v="3"/>
    <n v="31860"/>
  </r>
  <r>
    <x v="5"/>
    <s v="Premium"/>
    <x v="3"/>
    <n v="77000"/>
    <s v="ERA 110 TR"/>
    <n v="846000"/>
    <d v="2016-01-07T00:00:00"/>
    <n v="8"/>
    <n v="8"/>
    <n v="33880"/>
  </r>
  <r>
    <x v="1"/>
    <s v="Atego"/>
    <x v="3"/>
    <n v="85000"/>
    <s v="ERA 112 TR"/>
    <n v="946000"/>
    <d v="2015-01-10T00:00:00"/>
    <n v="8"/>
    <n v="9"/>
    <n v="35700"/>
  </r>
  <r>
    <x v="4"/>
    <s v="M93"/>
    <x v="3"/>
    <n v="79000"/>
    <s v="ERA 102 TR"/>
    <n v="390000"/>
    <d v="2016-01-10T00:00:00"/>
    <n v="8"/>
    <n v="3"/>
    <n v="42660"/>
  </r>
  <r>
    <x v="4"/>
    <s v="M93"/>
    <x v="3"/>
    <n v="79000"/>
    <s v="ERA 302 TR"/>
    <n v="390000"/>
    <d v="2016-01-10T00:00:00"/>
    <n v="8"/>
    <n v="3"/>
    <n v="42660"/>
  </r>
  <r>
    <x v="3"/>
    <s v="FMX"/>
    <x v="3"/>
    <n v="83000"/>
    <s v="ERA 096 TR"/>
    <n v="270000"/>
    <d v="2016-01-13T00:00:00"/>
    <n v="8"/>
    <n v="2"/>
    <n v="46480"/>
  </r>
  <r>
    <x v="0"/>
    <s v="EuroCargo"/>
    <x v="3"/>
    <n v="86133"/>
    <s v="ERA 104 TR"/>
    <n v="380000"/>
    <d v="2015-07-23T00:00:00"/>
    <n v="8"/>
    <n v="3"/>
    <n v="46511.819999999992"/>
  </r>
  <r>
    <x v="3"/>
    <s v="FH"/>
    <x v="3"/>
    <n v="90000"/>
    <s v="ERA 119 TR"/>
    <n v="301000"/>
    <d v="2015-03-12T00:00:00"/>
    <n v="8"/>
    <n v="3"/>
    <n v="48600"/>
  </r>
  <r>
    <x v="1"/>
    <s v="Atego"/>
    <x v="3"/>
    <n v="91000"/>
    <s v="ERA 106 TR"/>
    <n v="360000"/>
    <d v="2015-06-19T00:00:00"/>
    <n v="8"/>
    <n v="3"/>
    <n v="49140"/>
  </r>
  <r>
    <x v="2"/>
    <s v="TGL"/>
    <x v="3"/>
    <n v="114400"/>
    <s v="ERA 117 TR"/>
    <n v="226000"/>
    <d v="2015-03-10T00:00:00"/>
    <n v="8"/>
    <n v="2"/>
    <n v="64064"/>
  </r>
  <r>
    <x v="3"/>
    <s v="FL"/>
    <x v="3"/>
    <n v="134000"/>
    <s v="ERA 098 TR"/>
    <n v="482000"/>
    <d v="2016-01-16T00:00:00"/>
    <n v="8"/>
    <n v="4"/>
    <n v="69680"/>
  </r>
  <r>
    <x v="3"/>
    <s v="FL"/>
    <x v="3"/>
    <n v="135000"/>
    <s v="ERA 109 TR"/>
    <n v="478000"/>
    <d v="2016-01-16T00:00:00"/>
    <n v="8"/>
    <n v="4"/>
    <n v="70200"/>
  </r>
  <r>
    <x v="6"/>
    <s v="LF45"/>
    <x v="3"/>
    <n v="131780"/>
    <s v="ERA 115 TR"/>
    <n v="306000"/>
    <d v="2015-12-27T00:00:00"/>
    <n v="8"/>
    <n v="3"/>
    <n v="71161.2"/>
  </r>
  <r>
    <x v="2"/>
    <s v="TGL"/>
    <x v="3"/>
    <n v="159000"/>
    <s v="ERA 113 TR"/>
    <n v="403000"/>
    <d v="2016-11-07T00:00:00"/>
    <n v="8"/>
    <n v="4"/>
    <n v="82680"/>
  </r>
  <r>
    <x v="5"/>
    <s v="Premium"/>
    <x v="3"/>
    <n v="162800"/>
    <s v="ERA 107 TR"/>
    <n v="370000"/>
    <d v="2015-11-21T00:00:00"/>
    <n v="8"/>
    <n v="3"/>
    <n v="87912"/>
  </r>
  <r>
    <x v="2"/>
    <s v="TGA41"/>
    <x v="3"/>
    <n v="168800"/>
    <s v="ERA 116 TR"/>
    <n v="186300"/>
    <d v="2015-09-25T00:00:00"/>
    <n v="8"/>
    <n v="1"/>
    <n v="97904"/>
  </r>
  <r>
    <x v="2"/>
    <s v="TGA33"/>
    <x v="3"/>
    <n v="195370"/>
    <s v="ERA 105 TR"/>
    <n v="290000"/>
    <d v="2016-04-07T00:00:00"/>
    <n v="8"/>
    <n v="2"/>
    <n v="109407.2"/>
  </r>
  <r>
    <x v="6"/>
    <s v="CF85"/>
    <x v="3"/>
    <n v="195340"/>
    <s v="ERA 103 TR"/>
    <n v="190000"/>
    <d v="2015-10-01T00:00:00"/>
    <n v="8"/>
    <n v="1"/>
    <n v="113297.2"/>
  </r>
  <r>
    <x v="1"/>
    <s v="Sided"/>
    <x v="3"/>
    <n v="230000"/>
    <s v="ERA 099 TR"/>
    <n v="305000"/>
    <d v="2015-10-30T00:00:00"/>
    <n v="8"/>
    <n v="3"/>
    <n v="124200"/>
  </r>
  <r>
    <x v="1"/>
    <s v="Actros"/>
    <x v="3"/>
    <n v="291000"/>
    <s v="ERA 118 TR"/>
    <n v="166000"/>
    <d v="2015-10-20T00:00:00"/>
    <n v="8"/>
    <n v="1"/>
    <n v="168780"/>
  </r>
  <r>
    <x v="6"/>
    <s v="LF45"/>
    <x v="4"/>
    <n v="37000"/>
    <s v="ERA 132 TR"/>
    <n v="978000"/>
    <d v="2015-11-01T00:00:00"/>
    <n v="7"/>
    <n v="9"/>
    <n v="17390"/>
  </r>
  <r>
    <x v="6"/>
    <s v="LF45"/>
    <x v="4"/>
    <n v="40830"/>
    <s v="ERA 142 TR"/>
    <n v="326000"/>
    <d v="2015-02-27T00:00:00"/>
    <n v="7"/>
    <n v="3"/>
    <n v="24089.7"/>
  </r>
  <r>
    <x v="3"/>
    <s v="FE"/>
    <x v="4"/>
    <n v="66000"/>
    <s v="ERA 145 TR"/>
    <n v="736000"/>
    <d v="2016-01-16T00:00:00"/>
    <n v="7"/>
    <n v="7"/>
    <n v="33660"/>
  </r>
  <r>
    <x v="5"/>
    <s v="Midlum"/>
    <x v="4"/>
    <n v="60000"/>
    <s v="ERA 146 TR"/>
    <n v="99250"/>
    <d v="2015-08-10T00:00:00"/>
    <n v="7"/>
    <n v="0"/>
    <n v="39000"/>
  </r>
  <r>
    <x v="1"/>
    <s v="Atego"/>
    <x v="4"/>
    <n v="84000"/>
    <s v="ERA 135 TR"/>
    <n v="950000"/>
    <d v="2015-01-25T00:00:00"/>
    <n v="7"/>
    <n v="9"/>
    <n v="39480"/>
  </r>
  <r>
    <x v="0"/>
    <s v="100E"/>
    <x v="4"/>
    <n v="67000"/>
    <s v="ERA 136 TR"/>
    <n v="103260"/>
    <d v="2015-06-02T00:00:00"/>
    <n v="7"/>
    <n v="1"/>
    <n v="42210"/>
  </r>
  <r>
    <x v="5"/>
    <s v="D10"/>
    <x v="4"/>
    <n v="75300"/>
    <s v="ERA 141 TR"/>
    <n v="302000"/>
    <d v="2015-06-19T00:00:00"/>
    <n v="7"/>
    <n v="3"/>
    <n v="44427"/>
  </r>
  <r>
    <x v="3"/>
    <s v="FMX"/>
    <x v="4"/>
    <n v="84000"/>
    <s v="ERA 340 TR"/>
    <n v="266000"/>
    <d v="2016-01-13T00:00:00"/>
    <n v="7"/>
    <n v="2"/>
    <n v="51240"/>
  </r>
  <r>
    <x v="1"/>
    <s v="Atego"/>
    <x v="4"/>
    <n v="92000"/>
    <s v="ERA 147 TR"/>
    <n v="356000"/>
    <d v="2015-06-19T00:00:00"/>
    <n v="7"/>
    <n v="3"/>
    <n v="54280"/>
  </r>
  <r>
    <x v="2"/>
    <s v="TGL"/>
    <x v="4"/>
    <n v="89000"/>
    <s v="ERA 394 TR"/>
    <n v="266000"/>
    <d v="2016-01-13T00:00:00"/>
    <n v="7"/>
    <n v="2"/>
    <n v="54290"/>
  </r>
  <r>
    <x v="6"/>
    <s v="CF75"/>
    <x v="4"/>
    <n v="94000"/>
    <s v="ERA 143 TR"/>
    <n v="91000"/>
    <d v="2015-09-21T00:00:00"/>
    <n v="7"/>
    <n v="0"/>
    <n v="61100"/>
  </r>
  <r>
    <x v="2"/>
    <s v="TGL"/>
    <x v="4"/>
    <n v="113400"/>
    <s v="ERA 140 TR"/>
    <n v="230000"/>
    <d v="2015-03-10T00:00:00"/>
    <n v="7"/>
    <n v="2"/>
    <n v="69174"/>
  </r>
  <r>
    <x v="6"/>
    <s v="CF65"/>
    <x v="4"/>
    <n v="135000"/>
    <s v="ERA 133 TR"/>
    <n v="251000"/>
    <d v="2015-03-04T00:00:00"/>
    <n v="7"/>
    <n v="2"/>
    <n v="82350"/>
  </r>
  <r>
    <x v="0"/>
    <s v="TrakkerEuro5"/>
    <x v="4"/>
    <n v="160000"/>
    <s v="ERA 214 TR"/>
    <n v="263000"/>
    <d v="2015-01-24T00:00:00"/>
    <n v="7"/>
    <n v="2"/>
    <n v="97600"/>
  </r>
  <r>
    <x v="5"/>
    <s v="Magnum"/>
    <x v="4"/>
    <n v="265000"/>
    <s v="ERA 227 TR"/>
    <n v="930000"/>
    <d v="2015-08-20T00:00:00"/>
    <n v="7"/>
    <n v="9"/>
    <n v="124550"/>
  </r>
  <r>
    <x v="5"/>
    <s v="Magnum"/>
    <x v="4"/>
    <n v="265000"/>
    <s v="ERA 228 TR"/>
    <n v="912000"/>
    <d v="2015-08-20T00:00:00"/>
    <n v="7"/>
    <n v="9"/>
    <n v="124550"/>
  </r>
  <r>
    <x v="5"/>
    <s v="Magnum"/>
    <x v="4"/>
    <n v="265000"/>
    <s v="ERA 226 TR"/>
    <n v="856000"/>
    <d v="2015-08-20T00:00:00"/>
    <n v="7"/>
    <n v="8"/>
    <n v="129850"/>
  </r>
  <r>
    <x v="5"/>
    <s v="Premium"/>
    <x v="4"/>
    <n v="230000"/>
    <s v="ERA 131 TR"/>
    <n v="455000"/>
    <d v="2016-03-10T00:00:00"/>
    <n v="7"/>
    <n v="4"/>
    <n v="131100"/>
  </r>
  <r>
    <x v="1"/>
    <s v="Sided"/>
    <x v="4"/>
    <n v="231000"/>
    <s v="ERA 144 TR"/>
    <n v="301000"/>
    <d v="2015-10-30T00:00:00"/>
    <n v="7"/>
    <n v="3"/>
    <n v="136290"/>
  </r>
  <r>
    <x v="1"/>
    <s v="Actros"/>
    <x v="4"/>
    <n v="257000"/>
    <s v="ERA 134 TR"/>
    <n v="164700"/>
    <d v="2015-10-09T00:00:00"/>
    <n v="7"/>
    <n v="1"/>
    <n v="161910"/>
  </r>
  <r>
    <x v="6"/>
    <s v="LF45"/>
    <x v="5"/>
    <n v="38000"/>
    <s v="ERA 161 TR"/>
    <n v="574000"/>
    <d v="2015-11-01T00:00:00"/>
    <n v="6"/>
    <n v="5"/>
    <n v="22800"/>
  </r>
  <r>
    <x v="5"/>
    <s v="R385"/>
    <x v="5"/>
    <n v="56700"/>
    <s v="ERA 158 TR"/>
    <n v="290000"/>
    <d v="2015-08-20T00:00:00"/>
    <n v="6"/>
    <n v="2"/>
    <n v="37422"/>
  </r>
  <r>
    <x v="5"/>
    <s v="R385"/>
    <x v="5"/>
    <n v="57700"/>
    <s v="ERA 160 TR"/>
    <n v="286000"/>
    <d v="2015-08-20T00:00:00"/>
    <n v="6"/>
    <n v="2"/>
    <n v="38082"/>
  </r>
  <r>
    <x v="5"/>
    <s v="Midlum"/>
    <x v="5"/>
    <n v="59000"/>
    <s v="ERA 159 TR"/>
    <n v="103250"/>
    <d v="2015-08-10T00:00:00"/>
    <n v="6"/>
    <n v="1"/>
    <n v="40120"/>
  </r>
  <r>
    <x v="5"/>
    <s v="D10"/>
    <x v="5"/>
    <n v="74300"/>
    <s v="ERA 157 TR"/>
    <n v="306000"/>
    <d v="2015-06-19T00:00:00"/>
    <n v="6"/>
    <n v="3"/>
    <n v="47552"/>
  </r>
  <r>
    <x v="1"/>
    <s v="Actros"/>
    <x v="5"/>
    <n v="210000"/>
    <s v="ERA 221 TR"/>
    <n v="780000"/>
    <d v="2016-04-21T00:00:00"/>
    <n v="6"/>
    <n v="7"/>
    <n v="117600"/>
  </r>
  <r>
    <x v="1"/>
    <s v="Actros"/>
    <x v="5"/>
    <n v="210000"/>
    <s v="ERA 225 TR"/>
    <n v="760300"/>
    <d v="2016-04-21T00:00:00"/>
    <n v="6"/>
    <n v="7"/>
    <n v="117600"/>
  </r>
  <r>
    <x v="1"/>
    <s v="Actros"/>
    <x v="5"/>
    <n v="210000"/>
    <s v="ERA 220 TR"/>
    <n v="680000"/>
    <d v="2016-04-21T00:00:00"/>
    <n v="6"/>
    <n v="6"/>
    <n v="121800"/>
  </r>
  <r>
    <x v="1"/>
    <s v="Actros"/>
    <x v="5"/>
    <n v="210000"/>
    <s v="ERA 222 TR"/>
    <n v="655000"/>
    <d v="2016-04-21T00:00:00"/>
    <n v="6"/>
    <n v="6"/>
    <n v="121800"/>
  </r>
  <r>
    <x v="5"/>
    <s v="Pelen"/>
    <x v="5"/>
    <n v="220000"/>
    <s v="ERA 230 TR"/>
    <n v="731000"/>
    <d v="2015-08-20T00:00:00"/>
    <n v="6"/>
    <n v="7"/>
    <n v="123200"/>
  </r>
  <r>
    <x v="5"/>
    <s v="Pelen"/>
    <x v="5"/>
    <n v="220000"/>
    <s v="ERA 229 TR"/>
    <n v="685413"/>
    <d v="2015-08-20T00:00:00"/>
    <n v="6"/>
    <n v="6"/>
    <n v="127600"/>
  </r>
  <r>
    <x v="6"/>
    <s v="CF85"/>
    <x v="5"/>
    <n v="196340"/>
    <s v="ERA 162 TR"/>
    <n v="186000"/>
    <d v="2015-10-01T00:00:00"/>
    <n v="6"/>
    <n v="1"/>
    <n v="133511.20000000001"/>
  </r>
  <r>
    <x v="4"/>
    <s v="R500"/>
    <x v="5"/>
    <n v="245000"/>
    <s v="ERA 237 TR"/>
    <n v="720000"/>
    <d v="2016-04-02T00:00:00"/>
    <n v="6"/>
    <n v="7"/>
    <n v="137200"/>
  </r>
  <r>
    <x v="4"/>
    <s v="R500"/>
    <x v="5"/>
    <n v="245000"/>
    <s v="ERA 236 TR"/>
    <n v="680000"/>
    <d v="2016-04-02T00:00:00"/>
    <n v="6"/>
    <n v="6"/>
    <n v="142100"/>
  </r>
  <r>
    <x v="4"/>
    <s v="R500"/>
    <x v="5"/>
    <n v="245000"/>
    <s v="ERA 238 TR"/>
    <n v="660000"/>
    <d v="2016-04-02T00:00:00"/>
    <n v="6"/>
    <n v="6"/>
    <n v="142100"/>
  </r>
  <r>
    <x v="4"/>
    <s v="R500"/>
    <x v="5"/>
    <n v="245000"/>
    <s v="ERA 240 TR"/>
    <n v="630000"/>
    <d v="2016-04-02T00:00:00"/>
    <n v="6"/>
    <n v="6"/>
    <n v="142100"/>
  </r>
  <r>
    <x v="4"/>
    <s v="R500"/>
    <x v="5"/>
    <n v="245000"/>
    <s v="ERA 241 TR"/>
    <n v="655000"/>
    <d v="2016-04-02T00:00:00"/>
    <n v="6"/>
    <n v="6"/>
    <n v="142100"/>
  </r>
  <r>
    <x v="4"/>
    <s v="R500"/>
    <x v="5"/>
    <n v="245000"/>
    <s v="ERA 239 TR"/>
    <n v="590000"/>
    <d v="2016-04-02T00:00:00"/>
    <n v="6"/>
    <n v="5"/>
    <n v="147000"/>
  </r>
  <r>
    <x v="6"/>
    <s v="LF45"/>
    <x v="6"/>
    <n v="39830"/>
    <s v="ERA 168 TR"/>
    <n v="330000"/>
    <d v="2015-02-27T00:00:00"/>
    <n v="5"/>
    <n v="3"/>
    <n v="27482.7"/>
  </r>
  <r>
    <x v="6"/>
    <s v="LF45"/>
    <x v="6"/>
    <n v="48800"/>
    <s v="ERA 175 TR"/>
    <n v="268650"/>
    <d v="2015-04-23T00:00:00"/>
    <n v="5"/>
    <n v="2"/>
    <n v="34648"/>
  </r>
  <r>
    <x v="3"/>
    <s v="FM"/>
    <x v="6"/>
    <n v="59000"/>
    <s v="ERA 173 TR"/>
    <n v="302000"/>
    <d v="2015-09-24T00:00:00"/>
    <n v="5"/>
    <n v="3"/>
    <n v="40710"/>
  </r>
  <r>
    <x v="5"/>
    <s v="Premium"/>
    <x v="6"/>
    <n v="76000"/>
    <s v="ERA 166 TR"/>
    <n v="850000"/>
    <d v="2016-01-07T00:00:00"/>
    <n v="5"/>
    <n v="8"/>
    <n v="44840"/>
  </r>
  <r>
    <x v="0"/>
    <s v="EuroCargo"/>
    <x v="6"/>
    <n v="87133"/>
    <s v="ERA 176 TR"/>
    <n v="376000"/>
    <d v="2015-07-23T00:00:00"/>
    <n v="5"/>
    <n v="3"/>
    <n v="60121.770000000004"/>
  </r>
  <r>
    <x v="3"/>
    <s v="FH"/>
    <x v="6"/>
    <n v="110000"/>
    <s v="ERA 172 TR"/>
    <n v="201000"/>
    <d v="2015-03-12T00:00:00"/>
    <n v="5"/>
    <n v="2"/>
    <n v="78100"/>
  </r>
  <r>
    <x v="6"/>
    <s v="LF45"/>
    <x v="6"/>
    <n v="130780"/>
    <s v="ERA 169 TR"/>
    <n v="310000"/>
    <d v="2015-12-27T00:00:00"/>
    <n v="5"/>
    <n v="3"/>
    <n v="90238.2"/>
  </r>
  <r>
    <x v="2"/>
    <s v="TGL"/>
    <x v="6"/>
    <n v="135502"/>
    <s v="ERA 170 TR"/>
    <n v="247000"/>
    <d v="2016-04-16T00:00:00"/>
    <n v="5"/>
    <n v="2"/>
    <n v="96206.42"/>
  </r>
  <r>
    <x v="0"/>
    <s v="STRALIS"/>
    <x v="6"/>
    <n v="145000"/>
    <s v="ERA 215 TR"/>
    <n v="386732"/>
    <d v="2015-02-24T00:00:00"/>
    <n v="5"/>
    <n v="3"/>
    <n v="100050"/>
  </r>
  <r>
    <x v="0"/>
    <s v="STRALIS"/>
    <x v="6"/>
    <n v="145000"/>
    <s v="ERA 216 TR"/>
    <n v="312680"/>
    <d v="2015-02-24T00:00:00"/>
    <n v="5"/>
    <n v="3"/>
    <n v="100050"/>
  </r>
  <r>
    <x v="5"/>
    <s v="Premium"/>
    <x v="6"/>
    <n v="163800"/>
    <s v="ERA 178 TR"/>
    <n v="366000"/>
    <d v="2015-11-21T00:00:00"/>
    <n v="5"/>
    <n v="3"/>
    <n v="113022"/>
  </r>
  <r>
    <x v="4"/>
    <s v="R420"/>
    <x v="6"/>
    <n v="183000"/>
    <s v="ERA 232 TR"/>
    <n v="520000"/>
    <d v="2016-03-15T00:00:00"/>
    <n v="5"/>
    <n v="5"/>
    <n v="118950"/>
  </r>
  <r>
    <x v="4"/>
    <s v="R420"/>
    <x v="6"/>
    <n v="183000"/>
    <s v="ERA 233 TR"/>
    <n v="530000"/>
    <d v="2016-03-15T00:00:00"/>
    <n v="5"/>
    <n v="5"/>
    <n v="118950"/>
  </r>
  <r>
    <x v="4"/>
    <s v="R420"/>
    <x v="6"/>
    <n v="183000"/>
    <s v="ERA 231 TR"/>
    <n v="490000"/>
    <d v="2016-03-15T00:00:00"/>
    <n v="5"/>
    <n v="4"/>
    <n v="122610"/>
  </r>
  <r>
    <x v="4"/>
    <s v="R420"/>
    <x v="6"/>
    <n v="183000"/>
    <s v="ERA 234 TR"/>
    <n v="481000"/>
    <d v="2016-03-15T00:00:00"/>
    <n v="5"/>
    <n v="4"/>
    <n v="122610"/>
  </r>
  <r>
    <x v="4"/>
    <s v="R420"/>
    <x v="6"/>
    <n v="183000"/>
    <s v="ERA 235 TR"/>
    <n v="454000"/>
    <d v="2016-03-15T00:00:00"/>
    <n v="5"/>
    <n v="4"/>
    <n v="122610"/>
  </r>
  <r>
    <x v="3"/>
    <s v="FH13-500"/>
    <x v="6"/>
    <n v="210000"/>
    <s v="ERA 248 TR"/>
    <n v="517000"/>
    <d v="2016-02-15T00:00:00"/>
    <n v="5"/>
    <n v="5"/>
    <n v="136500"/>
  </r>
  <r>
    <x v="2"/>
    <s v="TGA33"/>
    <x v="6"/>
    <n v="196370"/>
    <s v="ERA 177 TR"/>
    <n v="286000"/>
    <d v="2016-04-07T00:00:00"/>
    <n v="5"/>
    <n v="2"/>
    <n v="139422.70000000001"/>
  </r>
  <r>
    <x v="3"/>
    <s v="FH13-500"/>
    <x v="6"/>
    <n v="210000"/>
    <s v="ERA 247 TR"/>
    <n v="435000"/>
    <d v="2016-02-15T00:00:00"/>
    <n v="5"/>
    <n v="4"/>
    <n v="140700"/>
  </r>
  <r>
    <x v="2"/>
    <s v="TGX"/>
    <x v="6"/>
    <n v="210300"/>
    <s v="ERA 218 TR"/>
    <n v="417671"/>
    <d v="2016-05-30T00:00:00"/>
    <n v="5"/>
    <n v="4"/>
    <n v="140901"/>
  </r>
  <r>
    <x v="5"/>
    <s v="Premium"/>
    <x v="6"/>
    <n v="231000"/>
    <s v="ERA 174 TR"/>
    <n v="451000"/>
    <d v="2016-03-10T00:00:00"/>
    <n v="5"/>
    <n v="4"/>
    <n v="154770"/>
  </r>
  <r>
    <x v="6"/>
    <s v="XF460"/>
    <x v="6"/>
    <n v="240000"/>
    <s v="ERA 207 TR"/>
    <n v="301344"/>
    <d v="2015-06-30T00:00:00"/>
    <n v="5"/>
    <n v="3"/>
    <n v="165600"/>
  </r>
  <r>
    <x v="6"/>
    <s v="XF460"/>
    <x v="6"/>
    <n v="240000"/>
    <s v="ERA 405 TR"/>
    <n v="315988"/>
    <d v="2015-06-30T00:00:00"/>
    <n v="5"/>
    <n v="3"/>
    <n v="165600"/>
  </r>
  <r>
    <x v="6"/>
    <s v="XF460"/>
    <x v="6"/>
    <n v="240000"/>
    <s v="ERA 204 TR"/>
    <n v="234760"/>
    <d v="2015-06-30T00:00:00"/>
    <n v="5"/>
    <n v="2"/>
    <n v="170400"/>
  </r>
  <r>
    <x v="6"/>
    <s v="XF460"/>
    <x v="6"/>
    <n v="240000"/>
    <s v="ERA 208 TR"/>
    <n v="210780"/>
    <d v="2015-06-30T00:00:00"/>
    <n v="5"/>
    <n v="2"/>
    <n v="170400"/>
  </r>
  <r>
    <x v="6"/>
    <s v="XF460"/>
    <x v="6"/>
    <n v="240000"/>
    <s v="ERA 406 TR"/>
    <n v="198240"/>
    <d v="2015-06-30T00:00:00"/>
    <n v="5"/>
    <n v="1"/>
    <n v="175200"/>
  </r>
  <r>
    <x v="1"/>
    <s v="Actros"/>
    <x v="6"/>
    <n v="290000"/>
    <s v="ERA 171 TR"/>
    <n v="170000"/>
    <d v="2015-10-20T00:00:00"/>
    <n v="5"/>
    <n v="1"/>
    <n v="211700"/>
  </r>
  <r>
    <x v="6"/>
    <s v="LF45"/>
    <x v="7"/>
    <n v="47800"/>
    <s v="ERA 183 TR"/>
    <n v="272650"/>
    <d v="2015-04-23T00:00:00"/>
    <n v="4"/>
    <n v="2"/>
    <n v="36328"/>
  </r>
  <r>
    <x v="4"/>
    <s v="M93"/>
    <x v="7"/>
    <n v="80000"/>
    <s v="ERA 388 TR"/>
    <n v="350000"/>
    <d v="2016-01-10T00:00:00"/>
    <n v="4"/>
    <n v="3"/>
    <n v="59200"/>
  </r>
  <r>
    <x v="4"/>
    <s v="M93"/>
    <x v="7"/>
    <n v="80000"/>
    <s v="ERA 188 TR"/>
    <n v="235000"/>
    <d v="2016-01-10T00:00:00"/>
    <n v="4"/>
    <n v="2"/>
    <n v="60800"/>
  </r>
  <r>
    <x v="6"/>
    <s v="CF75"/>
    <x v="7"/>
    <n v="93000"/>
    <s v="ERA 184 TR"/>
    <n v="195000"/>
    <d v="2015-09-21T00:00:00"/>
    <n v="4"/>
    <n v="1"/>
    <n v="72540"/>
  </r>
  <r>
    <x v="6"/>
    <s v="CF65"/>
    <x v="7"/>
    <n v="136000"/>
    <s v="ERA 186 TR"/>
    <n v="247000"/>
    <d v="2015-03-04T00:00:00"/>
    <n v="4"/>
    <n v="2"/>
    <n v="103360"/>
  </r>
  <r>
    <x v="2"/>
    <s v="TGL"/>
    <x v="7"/>
    <n v="158000"/>
    <s v="ERA 185 TR"/>
    <n v="407000"/>
    <d v="2016-11-07T00:00:00"/>
    <n v="4"/>
    <n v="4"/>
    <n v="113760"/>
  </r>
  <r>
    <x v="6"/>
    <s v="XF460"/>
    <x v="7"/>
    <n v="240000"/>
    <s v="ERA 199 TR"/>
    <n v="301232"/>
    <d v="2016-12-15T00:00:00"/>
    <n v="4"/>
    <n v="3"/>
    <n v="177600"/>
  </r>
  <r>
    <x v="6"/>
    <s v="XF460"/>
    <x v="7"/>
    <n v="240000"/>
    <s v="ERA 198 TR"/>
    <n v="289567"/>
    <d v="2016-12-15T00:00:00"/>
    <n v="4"/>
    <n v="2"/>
    <n v="182400"/>
  </r>
  <r>
    <x v="6"/>
    <s v="XF460"/>
    <x v="7"/>
    <n v="240000"/>
    <s v="ERA 200 TR"/>
    <n v="245211"/>
    <d v="2016-12-15T00:00:00"/>
    <n v="4"/>
    <n v="2"/>
    <n v="182400"/>
  </r>
  <r>
    <x v="6"/>
    <s v="XF460"/>
    <x v="7"/>
    <n v="240000"/>
    <s v="ERA 201 TR"/>
    <n v="200123"/>
    <d v="2016-12-15T00:00:00"/>
    <n v="4"/>
    <n v="2"/>
    <n v="182400"/>
  </r>
  <r>
    <x v="6"/>
    <s v="XF460"/>
    <x v="7"/>
    <n v="240000"/>
    <s v="ERA 496 TR"/>
    <n v="235811"/>
    <d v="2016-12-15T00:00:00"/>
    <n v="4"/>
    <n v="2"/>
    <n v="182400"/>
  </r>
  <r>
    <x v="6"/>
    <s v="XF460"/>
    <x v="7"/>
    <n v="240000"/>
    <s v="ERA 497 TR"/>
    <n v="250021"/>
    <d v="2016-12-15T00:00:00"/>
    <n v="4"/>
    <n v="2"/>
    <n v="182400"/>
  </r>
  <r>
    <x v="6"/>
    <s v="XF460"/>
    <x v="7"/>
    <n v="240000"/>
    <s v="ERA 202 TR"/>
    <n v="198340"/>
    <d v="2016-12-15T00:00:00"/>
    <n v="4"/>
    <n v="1"/>
    <n v="187200"/>
  </r>
  <r>
    <x v="6"/>
    <s v="XF460"/>
    <x v="7"/>
    <n v="240000"/>
    <s v="ERA 203 TR"/>
    <n v="189761"/>
    <d v="2016-12-15T00:00:00"/>
    <n v="4"/>
    <n v="1"/>
    <n v="187200"/>
  </r>
  <r>
    <x v="2"/>
    <s v="TGS"/>
    <x v="7"/>
    <n v="271000"/>
    <s v="ERA 187 TR"/>
    <n v="153000"/>
    <d v="2015-11-26T00:00:00"/>
    <n v="4"/>
    <n v="1"/>
    <n v="211380"/>
  </r>
  <r>
    <x v="2"/>
    <s v="TGS"/>
    <x v="7"/>
    <n v="271000"/>
    <s v="ERA 219 TR"/>
    <n v="123000"/>
    <d v="2016-05-30T00:00:00"/>
    <n v="4"/>
    <n v="1"/>
    <n v="211380"/>
  </r>
  <r>
    <x v="2"/>
    <s v="TGA18"/>
    <x v="8"/>
    <n v="98000"/>
    <s v="ERA 193 TR"/>
    <n v="251000"/>
    <d v="2015-12-06T00:00:00"/>
    <n v="3"/>
    <n v="2"/>
    <n v="79380"/>
  </r>
  <r>
    <x v="2"/>
    <s v="TGA18"/>
    <x v="8"/>
    <n v="99000"/>
    <s v="ERA 195 TR"/>
    <n v="247000"/>
    <d v="2015-12-06T00:00:00"/>
    <n v="3"/>
    <n v="2"/>
    <n v="80190"/>
  </r>
  <r>
    <x v="2"/>
    <s v="TGL"/>
    <x v="8"/>
    <n v="136502"/>
    <s v="ERA 197 TR"/>
    <n v="243000"/>
    <d v="2016-04-16T00:00:00"/>
    <n v="3"/>
    <n v="2"/>
    <n v="110566.62"/>
  </r>
  <r>
    <x v="2"/>
    <s v="TGA41"/>
    <x v="8"/>
    <n v="167800"/>
    <s v="ERA 194 TR"/>
    <n v="190300"/>
    <d v="2015-09-25T00:00:00"/>
    <n v="3"/>
    <n v="1"/>
    <n v="139274"/>
  </r>
  <r>
    <x v="1"/>
    <s v="Atego"/>
    <x v="8"/>
    <n v="219000"/>
    <s v="ERA 196 TR"/>
    <n v="126290"/>
    <d v="2015-03-20T00:00:00"/>
    <n v="3"/>
    <n v="1"/>
    <n v="181770"/>
  </r>
  <r>
    <x v="6"/>
    <s v="XF460"/>
    <x v="8"/>
    <n v="240000"/>
    <s v="ERA 393 TR"/>
    <n v="183788"/>
    <d v="2016-11-07T00:00:00"/>
    <n v="3"/>
    <n v="1"/>
    <n v="199200"/>
  </r>
  <r>
    <x v="6"/>
    <s v="XF460"/>
    <x v="8"/>
    <n v="240000"/>
    <s v="ERA 494 TR"/>
    <n v="160198"/>
    <d v="2016-11-07T00:00:00"/>
    <n v="3"/>
    <n v="1"/>
    <n v="199200"/>
  </r>
  <r>
    <x v="6"/>
    <s v="XF460"/>
    <x v="8"/>
    <n v="240000"/>
    <s v="ERA 495 TR"/>
    <n v="156724"/>
    <d v="2016-11-07T00:00:00"/>
    <n v="3"/>
    <n v="1"/>
    <n v="199200"/>
  </r>
  <r>
    <x v="2"/>
    <s v="TGS"/>
    <x v="8"/>
    <n v="270000"/>
    <s v="ERA 192 TR"/>
    <n v="157000"/>
    <d v="2015-11-26T00:00:00"/>
    <n v="3"/>
    <n v="1"/>
    <n v="224100"/>
  </r>
  <r>
    <x v="1"/>
    <s v="Atego"/>
    <x v="9"/>
    <n v="218000"/>
    <s v="ERA 205 TR"/>
    <n v="130290"/>
    <d v="2015-03-20T00:00:00"/>
    <n v="2"/>
    <n v="1"/>
    <n v="191840"/>
  </r>
  <r>
    <x v="1"/>
    <s v="Actros"/>
    <x v="9"/>
    <n v="258000"/>
    <s v="ERA 206 TR"/>
    <n v="160700"/>
    <d v="2015-10-09T00:00:00"/>
    <n v="2"/>
    <n v="1"/>
    <n v="227040"/>
  </r>
  <r>
    <x v="3"/>
    <s v="2015Euro6M"/>
    <x v="9"/>
    <n v="360000"/>
    <s v="ERA 242 TR"/>
    <n v="100000"/>
    <d v="2016-12-30T00:00:00"/>
    <n v="2"/>
    <n v="1"/>
    <n v="316800"/>
  </r>
  <r>
    <x v="3"/>
    <s v="2015Euro6M"/>
    <x v="9"/>
    <n v="360000"/>
    <s v="ERA 243 TR"/>
    <n v="115000"/>
    <d v="2016-12-30T00:00:00"/>
    <n v="2"/>
    <n v="1"/>
    <n v="316800"/>
  </r>
  <r>
    <x v="3"/>
    <s v="2015Euro6M"/>
    <x v="9"/>
    <n v="360000"/>
    <s v="ERA 244 TR"/>
    <n v="132000"/>
    <d v="2016-12-30T00:00:00"/>
    <n v="2"/>
    <n v="1"/>
    <n v="316800"/>
  </r>
  <r>
    <x v="3"/>
    <s v="2015Euro6M"/>
    <x v="9"/>
    <n v="360000"/>
    <s v="ERA 245 TR"/>
    <n v="108000"/>
    <d v="2016-12-30T00:00:00"/>
    <n v="2"/>
    <n v="1"/>
    <n v="316800"/>
  </r>
  <r>
    <x v="3"/>
    <s v="2015Euro6M"/>
    <x v="9"/>
    <n v="360000"/>
    <s v="ERA 246 TR"/>
    <n v="140000"/>
    <d v="2016-12-30T00:00:00"/>
    <n v="2"/>
    <n v="1"/>
    <n v="316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9D040-7B6A-45E0-8100-B6A65CD13704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L2:N11" firstHeaderRow="0" firstDataRow="1" firstDataCol="1"/>
  <pivotFields count="10">
    <pivotField axis="axisRow" showAll="0">
      <items count="9">
        <item x="6"/>
        <item x="0"/>
        <item x="2"/>
        <item x="1"/>
        <item x="5"/>
        <item x="4"/>
        <item x="3"/>
        <item x="7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Liczba z Nr_rejestracyjny" fld="4" subtotal="count" baseField="0" baseItem="0"/>
    <dataField name="Średnia z Przebieg" fld="5" subtotal="average" baseField="0" baseItem="0"/>
  </dataFields>
  <formats count="4">
    <format dxfId="4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0" count="4">
            <x v="3"/>
            <x v="4"/>
            <x v="5"/>
            <x v="6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DF66A-4D79-452F-B30D-393EB9A40808}" name="Tabela przestawna2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2:W11" firstHeaderRow="1" firstDataRow="2" firstDataCol="1"/>
  <pivotFields count="10">
    <pivotField axis="axisRow" showAll="0">
      <items count="8">
        <item x="6"/>
        <item x="0"/>
        <item x="2"/>
        <item x="1"/>
        <item x="5"/>
        <item x="4"/>
        <item x="3"/>
        <item t="default"/>
      </items>
    </pivotField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  <pivotField numFmtId="14" showAll="0"/>
    <pivotField numFmtId="1"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Liczba z Nr_rejestracyjn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7793-0935-4A95-86DF-6148A104DF30}">
  <dimension ref="A1:J135"/>
  <sheetViews>
    <sheetView workbookViewId="0">
      <selection activeCell="B4" sqref="B4"/>
    </sheetView>
  </sheetViews>
  <sheetFormatPr defaultRowHeight="15" x14ac:dyDescent="0.25"/>
  <cols>
    <col min="1" max="1" width="17.85546875" bestFit="1" customWidth="1"/>
    <col min="2" max="2" width="17.85546875" customWidth="1"/>
    <col min="3" max="3" width="13.7109375" bestFit="1" customWidth="1"/>
    <col min="4" max="4" width="12.7109375" bestFit="1" customWidth="1"/>
    <col min="5" max="5" width="15.28515625" bestFit="1" customWidth="1"/>
    <col min="6" max="6" width="8.42578125" bestFit="1" customWidth="1"/>
    <col min="7" max="7" width="24" bestFit="1" customWidth="1"/>
    <col min="8" max="8" width="10.140625" style="2" bestFit="1" customWidth="1"/>
    <col min="10" max="10" width="11.85546875" bestFit="1" customWidth="1"/>
  </cols>
  <sheetData>
    <row r="1" spans="1:10" x14ac:dyDescent="0.25">
      <c r="A1" t="s">
        <v>230</v>
      </c>
      <c r="B1" t="s">
        <v>231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178</v>
      </c>
      <c r="I1" t="s">
        <v>179</v>
      </c>
      <c r="J1" t="s">
        <v>180</v>
      </c>
    </row>
    <row r="2" spans="1:10" x14ac:dyDescent="0.25">
      <c r="A2" t="s">
        <v>185</v>
      </c>
      <c r="B2" t="s">
        <v>186</v>
      </c>
      <c r="C2">
        <v>2006</v>
      </c>
      <c r="D2">
        <v>85900</v>
      </c>
      <c r="E2" t="s">
        <v>7</v>
      </c>
      <c r="F2">
        <v>1200655</v>
      </c>
      <c r="G2" s="1">
        <v>42035</v>
      </c>
      <c r="H2" s="3">
        <f>2017-TRUNC(C2)</f>
        <v>11</v>
      </c>
      <c r="I2">
        <f>TRUNC(F2/100000)</f>
        <v>12</v>
      </c>
      <c r="J2">
        <f>D2-(D2*H2*0.05 + D2*I2*0.02)</f>
        <v>18039</v>
      </c>
    </row>
    <row r="3" spans="1:10" x14ac:dyDescent="0.25">
      <c r="A3" t="s">
        <v>185</v>
      </c>
      <c r="B3" t="s">
        <v>186</v>
      </c>
      <c r="C3">
        <v>2006</v>
      </c>
      <c r="D3">
        <v>85900</v>
      </c>
      <c r="E3" t="s">
        <v>8</v>
      </c>
      <c r="F3">
        <v>1068570</v>
      </c>
      <c r="G3" s="1">
        <v>42029</v>
      </c>
      <c r="H3" s="3">
        <f t="shared" ref="H3:H66" si="0">2017-TRUNC(C3)</f>
        <v>11</v>
      </c>
      <c r="I3">
        <f t="shared" ref="I3:I66" si="1">TRUNC(F3/100000)</f>
        <v>10</v>
      </c>
      <c r="J3">
        <f t="shared" ref="J3:J66" si="2">D3-(D3*H3*0.05 + D3*I3*0.02)</f>
        <v>21475</v>
      </c>
    </row>
    <row r="4" spans="1:10" x14ac:dyDescent="0.25">
      <c r="A4" t="s">
        <v>185</v>
      </c>
      <c r="B4" t="s">
        <v>186</v>
      </c>
      <c r="C4">
        <v>2006</v>
      </c>
      <c r="D4">
        <v>85900</v>
      </c>
      <c r="E4" t="s">
        <v>9</v>
      </c>
      <c r="F4">
        <v>998704</v>
      </c>
      <c r="G4" s="1">
        <v>42028</v>
      </c>
      <c r="H4" s="3">
        <f t="shared" si="0"/>
        <v>11</v>
      </c>
      <c r="I4">
        <f t="shared" si="1"/>
        <v>9</v>
      </c>
      <c r="J4">
        <f t="shared" si="2"/>
        <v>23193</v>
      </c>
    </row>
    <row r="5" spans="1:10" x14ac:dyDescent="0.25">
      <c r="A5" t="s">
        <v>185</v>
      </c>
      <c r="B5" t="s">
        <v>186</v>
      </c>
      <c r="C5">
        <v>2006</v>
      </c>
      <c r="D5">
        <v>85900</v>
      </c>
      <c r="E5" t="s">
        <v>10</v>
      </c>
      <c r="F5">
        <v>936780</v>
      </c>
      <c r="G5" s="1">
        <v>42028</v>
      </c>
      <c r="H5" s="3">
        <f t="shared" si="0"/>
        <v>11</v>
      </c>
      <c r="I5">
        <f t="shared" si="1"/>
        <v>9</v>
      </c>
      <c r="J5">
        <f t="shared" si="2"/>
        <v>23193</v>
      </c>
    </row>
    <row r="6" spans="1:10" x14ac:dyDescent="0.25">
      <c r="A6" t="s">
        <v>185</v>
      </c>
      <c r="B6" t="s">
        <v>186</v>
      </c>
      <c r="C6">
        <v>2006</v>
      </c>
      <c r="D6">
        <v>85900</v>
      </c>
      <c r="E6" t="s">
        <v>11</v>
      </c>
      <c r="F6">
        <v>870233</v>
      </c>
      <c r="G6" s="1">
        <v>42034</v>
      </c>
      <c r="H6" s="3">
        <f t="shared" si="0"/>
        <v>11</v>
      </c>
      <c r="I6">
        <f t="shared" si="1"/>
        <v>8</v>
      </c>
      <c r="J6">
        <f t="shared" si="2"/>
        <v>24911</v>
      </c>
    </row>
    <row r="7" spans="1:10" x14ac:dyDescent="0.25">
      <c r="A7" t="s">
        <v>187</v>
      </c>
      <c r="B7" t="s">
        <v>188</v>
      </c>
      <c r="C7">
        <v>2007</v>
      </c>
      <c r="D7">
        <v>205000</v>
      </c>
      <c r="E7" t="s">
        <v>13</v>
      </c>
      <c r="F7">
        <v>1260000</v>
      </c>
      <c r="G7" s="1">
        <v>42483</v>
      </c>
      <c r="H7" s="3">
        <f t="shared" si="0"/>
        <v>10</v>
      </c>
      <c r="I7">
        <f t="shared" si="1"/>
        <v>12</v>
      </c>
      <c r="J7">
        <f t="shared" si="2"/>
        <v>53300</v>
      </c>
    </row>
    <row r="8" spans="1:10" x14ac:dyDescent="0.25">
      <c r="A8" t="s">
        <v>189</v>
      </c>
      <c r="B8" t="s">
        <v>190</v>
      </c>
      <c r="C8">
        <v>2007</v>
      </c>
      <c r="D8">
        <v>198000</v>
      </c>
      <c r="E8" t="s">
        <v>15</v>
      </c>
      <c r="F8">
        <v>890200</v>
      </c>
      <c r="G8" s="1">
        <v>42520</v>
      </c>
      <c r="H8" s="3">
        <f t="shared" si="0"/>
        <v>10</v>
      </c>
      <c r="I8">
        <f t="shared" si="1"/>
        <v>8</v>
      </c>
      <c r="J8">
        <f t="shared" si="2"/>
        <v>67320</v>
      </c>
    </row>
    <row r="9" spans="1:10" x14ac:dyDescent="0.25">
      <c r="A9" t="s">
        <v>191</v>
      </c>
      <c r="B9" t="s">
        <v>192</v>
      </c>
      <c r="C9">
        <v>2008</v>
      </c>
      <c r="D9">
        <v>49411</v>
      </c>
      <c r="E9" t="s">
        <v>17</v>
      </c>
      <c r="F9">
        <v>186000</v>
      </c>
      <c r="G9" s="1">
        <v>42210</v>
      </c>
      <c r="H9" s="3">
        <f t="shared" si="0"/>
        <v>9</v>
      </c>
      <c r="I9">
        <f t="shared" si="1"/>
        <v>1</v>
      </c>
      <c r="J9">
        <f t="shared" si="2"/>
        <v>26187.829999999998</v>
      </c>
    </row>
    <row r="10" spans="1:10" x14ac:dyDescent="0.25">
      <c r="A10" t="s">
        <v>191</v>
      </c>
      <c r="B10" t="s">
        <v>193</v>
      </c>
      <c r="C10">
        <v>2008</v>
      </c>
      <c r="D10">
        <v>58000</v>
      </c>
      <c r="E10" t="s">
        <v>19</v>
      </c>
      <c r="F10">
        <v>306000</v>
      </c>
      <c r="G10" s="1">
        <v>42271</v>
      </c>
      <c r="H10" s="3">
        <f t="shared" si="0"/>
        <v>9</v>
      </c>
      <c r="I10">
        <f t="shared" si="1"/>
        <v>3</v>
      </c>
      <c r="J10">
        <f t="shared" si="2"/>
        <v>28420</v>
      </c>
    </row>
    <row r="11" spans="1:10" x14ac:dyDescent="0.25">
      <c r="A11" t="s">
        <v>191</v>
      </c>
      <c r="B11" t="s">
        <v>194</v>
      </c>
      <c r="C11">
        <v>2008</v>
      </c>
      <c r="D11">
        <v>84000</v>
      </c>
      <c r="E11" t="s">
        <v>21</v>
      </c>
      <c r="F11">
        <v>266000</v>
      </c>
      <c r="G11" s="1">
        <v>42382</v>
      </c>
      <c r="H11" s="3">
        <f t="shared" si="0"/>
        <v>9</v>
      </c>
      <c r="I11">
        <f t="shared" si="1"/>
        <v>2</v>
      </c>
      <c r="J11">
        <f t="shared" si="2"/>
        <v>42840</v>
      </c>
    </row>
    <row r="12" spans="1:10" x14ac:dyDescent="0.25">
      <c r="A12" t="s">
        <v>191</v>
      </c>
      <c r="B12" t="s">
        <v>195</v>
      </c>
      <c r="C12">
        <v>2008</v>
      </c>
      <c r="D12">
        <v>89000</v>
      </c>
      <c r="E12" t="s">
        <v>23</v>
      </c>
      <c r="F12">
        <v>305000</v>
      </c>
      <c r="G12" s="1">
        <v>42075</v>
      </c>
      <c r="H12" s="3">
        <f t="shared" si="0"/>
        <v>9</v>
      </c>
      <c r="I12">
        <f t="shared" si="1"/>
        <v>3</v>
      </c>
      <c r="J12">
        <f t="shared" si="2"/>
        <v>43610</v>
      </c>
    </row>
    <row r="13" spans="1:10" x14ac:dyDescent="0.25">
      <c r="A13" t="s">
        <v>191</v>
      </c>
      <c r="B13" t="s">
        <v>192</v>
      </c>
      <c r="C13">
        <v>2009</v>
      </c>
      <c r="D13">
        <v>48411</v>
      </c>
      <c r="E13" t="s">
        <v>24</v>
      </c>
      <c r="F13">
        <v>190000</v>
      </c>
      <c r="G13" s="1">
        <v>42210</v>
      </c>
      <c r="H13" s="3">
        <f t="shared" si="0"/>
        <v>8</v>
      </c>
      <c r="I13">
        <f t="shared" si="1"/>
        <v>1</v>
      </c>
      <c r="J13">
        <f t="shared" si="2"/>
        <v>28078.379999999997</v>
      </c>
    </row>
    <row r="14" spans="1:10" x14ac:dyDescent="0.25">
      <c r="A14" t="s">
        <v>185</v>
      </c>
      <c r="B14" t="s">
        <v>196</v>
      </c>
      <c r="C14">
        <v>2009</v>
      </c>
      <c r="D14">
        <v>68000</v>
      </c>
      <c r="E14" t="s">
        <v>26</v>
      </c>
      <c r="F14">
        <v>992600</v>
      </c>
      <c r="G14" s="1">
        <v>42157</v>
      </c>
      <c r="H14" s="3">
        <f t="shared" si="0"/>
        <v>8</v>
      </c>
      <c r="I14">
        <f t="shared" si="1"/>
        <v>9</v>
      </c>
      <c r="J14">
        <f t="shared" si="2"/>
        <v>28560</v>
      </c>
    </row>
    <row r="15" spans="1:10" x14ac:dyDescent="0.25">
      <c r="A15" t="s">
        <v>191</v>
      </c>
      <c r="B15" t="s">
        <v>192</v>
      </c>
      <c r="C15">
        <v>2009</v>
      </c>
      <c r="D15">
        <v>49411</v>
      </c>
      <c r="E15" t="s">
        <v>27</v>
      </c>
      <c r="F15">
        <v>186000</v>
      </c>
      <c r="G15" s="1">
        <v>42210</v>
      </c>
      <c r="H15" s="3">
        <f t="shared" si="0"/>
        <v>8</v>
      </c>
      <c r="I15">
        <f t="shared" si="1"/>
        <v>1</v>
      </c>
      <c r="J15">
        <f t="shared" si="2"/>
        <v>28658.379999999997</v>
      </c>
    </row>
    <row r="16" spans="1:10" x14ac:dyDescent="0.25">
      <c r="A16" t="s">
        <v>197</v>
      </c>
      <c r="B16" t="s">
        <v>198</v>
      </c>
      <c r="C16">
        <v>2009</v>
      </c>
      <c r="D16">
        <v>67900</v>
      </c>
      <c r="E16" t="s">
        <v>29</v>
      </c>
      <c r="F16">
        <v>850000</v>
      </c>
      <c r="G16" s="1">
        <v>42194</v>
      </c>
      <c r="H16" s="3">
        <f t="shared" si="0"/>
        <v>8</v>
      </c>
      <c r="I16">
        <f t="shared" si="1"/>
        <v>8</v>
      </c>
      <c r="J16">
        <f t="shared" si="2"/>
        <v>29876</v>
      </c>
    </row>
    <row r="17" spans="1:10" x14ac:dyDescent="0.25">
      <c r="A17" t="s">
        <v>191</v>
      </c>
      <c r="B17" t="s">
        <v>192</v>
      </c>
      <c r="C17">
        <v>2009</v>
      </c>
      <c r="D17">
        <v>65000</v>
      </c>
      <c r="E17" t="s">
        <v>30</v>
      </c>
      <c r="F17">
        <v>740000</v>
      </c>
      <c r="G17" s="1">
        <v>42385</v>
      </c>
      <c r="H17" s="3">
        <f t="shared" si="0"/>
        <v>8</v>
      </c>
      <c r="I17">
        <f t="shared" si="1"/>
        <v>7</v>
      </c>
      <c r="J17">
        <f t="shared" si="2"/>
        <v>29900</v>
      </c>
    </row>
    <row r="18" spans="1:10" x14ac:dyDescent="0.25">
      <c r="A18" t="s">
        <v>197</v>
      </c>
      <c r="B18" t="s">
        <v>198</v>
      </c>
      <c r="C18">
        <v>2009</v>
      </c>
      <c r="D18">
        <v>68900</v>
      </c>
      <c r="E18" t="s">
        <v>31</v>
      </c>
      <c r="F18">
        <v>846000</v>
      </c>
      <c r="G18" s="1">
        <v>42194</v>
      </c>
      <c r="H18" s="3">
        <f t="shared" si="0"/>
        <v>8</v>
      </c>
      <c r="I18">
        <f t="shared" si="1"/>
        <v>8</v>
      </c>
      <c r="J18">
        <f t="shared" si="2"/>
        <v>30316</v>
      </c>
    </row>
    <row r="19" spans="1:10" x14ac:dyDescent="0.25">
      <c r="A19" t="s">
        <v>191</v>
      </c>
      <c r="B19" t="s">
        <v>193</v>
      </c>
      <c r="C19">
        <v>2009</v>
      </c>
      <c r="D19">
        <v>59000</v>
      </c>
      <c r="E19" t="s">
        <v>32</v>
      </c>
      <c r="F19">
        <v>302000</v>
      </c>
      <c r="G19" s="1">
        <v>42271</v>
      </c>
      <c r="H19" s="3">
        <f t="shared" si="0"/>
        <v>8</v>
      </c>
      <c r="I19">
        <f t="shared" si="1"/>
        <v>3</v>
      </c>
      <c r="J19">
        <f t="shared" si="2"/>
        <v>31860</v>
      </c>
    </row>
    <row r="20" spans="1:10" x14ac:dyDescent="0.25">
      <c r="A20" t="s">
        <v>199</v>
      </c>
      <c r="B20" t="s">
        <v>200</v>
      </c>
      <c r="C20">
        <v>2009</v>
      </c>
      <c r="D20">
        <v>77000</v>
      </c>
      <c r="E20" t="s">
        <v>34</v>
      </c>
      <c r="F20">
        <v>846000</v>
      </c>
      <c r="G20" s="1">
        <v>42376</v>
      </c>
      <c r="H20" s="3">
        <f t="shared" si="0"/>
        <v>8</v>
      </c>
      <c r="I20">
        <f t="shared" si="1"/>
        <v>8</v>
      </c>
      <c r="J20">
        <f t="shared" si="2"/>
        <v>33880</v>
      </c>
    </row>
    <row r="21" spans="1:10" x14ac:dyDescent="0.25">
      <c r="A21" t="s">
        <v>187</v>
      </c>
      <c r="B21" t="s">
        <v>201</v>
      </c>
      <c r="C21">
        <v>2009</v>
      </c>
      <c r="D21">
        <v>85000</v>
      </c>
      <c r="E21" t="s">
        <v>36</v>
      </c>
      <c r="F21">
        <v>946000</v>
      </c>
      <c r="G21" s="1">
        <v>42014</v>
      </c>
      <c r="H21" s="3">
        <f t="shared" si="0"/>
        <v>8</v>
      </c>
      <c r="I21">
        <f t="shared" si="1"/>
        <v>9</v>
      </c>
      <c r="J21">
        <f t="shared" si="2"/>
        <v>35700</v>
      </c>
    </row>
    <row r="22" spans="1:10" x14ac:dyDescent="0.25">
      <c r="A22" t="s">
        <v>197</v>
      </c>
      <c r="B22" t="s">
        <v>202</v>
      </c>
      <c r="C22">
        <v>2009</v>
      </c>
      <c r="D22">
        <v>79000</v>
      </c>
      <c r="E22" t="s">
        <v>38</v>
      </c>
      <c r="F22">
        <v>390000</v>
      </c>
      <c r="G22" s="1">
        <v>42379</v>
      </c>
      <c r="H22" s="3">
        <f t="shared" si="0"/>
        <v>8</v>
      </c>
      <c r="I22">
        <f t="shared" si="1"/>
        <v>3</v>
      </c>
      <c r="J22">
        <f t="shared" si="2"/>
        <v>42660</v>
      </c>
    </row>
    <row r="23" spans="1:10" x14ac:dyDescent="0.25">
      <c r="A23" t="s">
        <v>197</v>
      </c>
      <c r="B23" t="s">
        <v>202</v>
      </c>
      <c r="C23">
        <v>2009</v>
      </c>
      <c r="D23">
        <v>79000</v>
      </c>
      <c r="E23" t="s">
        <v>39</v>
      </c>
      <c r="F23">
        <v>390000</v>
      </c>
      <c r="G23" s="1">
        <v>42379</v>
      </c>
      <c r="H23" s="3">
        <f t="shared" si="0"/>
        <v>8</v>
      </c>
      <c r="I23">
        <f t="shared" si="1"/>
        <v>3</v>
      </c>
      <c r="J23">
        <f t="shared" si="2"/>
        <v>42660</v>
      </c>
    </row>
    <row r="24" spans="1:10" x14ac:dyDescent="0.25">
      <c r="A24" t="s">
        <v>191</v>
      </c>
      <c r="B24" t="s">
        <v>194</v>
      </c>
      <c r="C24">
        <v>2009</v>
      </c>
      <c r="D24">
        <v>83000</v>
      </c>
      <c r="E24" t="s">
        <v>40</v>
      </c>
      <c r="F24">
        <v>270000</v>
      </c>
      <c r="G24" s="1">
        <v>42382</v>
      </c>
      <c r="H24" s="3">
        <f t="shared" si="0"/>
        <v>8</v>
      </c>
      <c r="I24">
        <f t="shared" si="1"/>
        <v>2</v>
      </c>
      <c r="J24">
        <f t="shared" si="2"/>
        <v>46480</v>
      </c>
    </row>
    <row r="25" spans="1:10" x14ac:dyDescent="0.25">
      <c r="A25" t="s">
        <v>185</v>
      </c>
      <c r="B25" t="s">
        <v>203</v>
      </c>
      <c r="C25">
        <v>2009</v>
      </c>
      <c r="D25">
        <v>86133</v>
      </c>
      <c r="E25" t="s">
        <v>42</v>
      </c>
      <c r="F25">
        <v>380000</v>
      </c>
      <c r="G25" s="1">
        <v>42208</v>
      </c>
      <c r="H25" s="3">
        <f t="shared" si="0"/>
        <v>8</v>
      </c>
      <c r="I25">
        <f t="shared" si="1"/>
        <v>3</v>
      </c>
      <c r="J25">
        <f t="shared" si="2"/>
        <v>46511.819999999992</v>
      </c>
    </row>
    <row r="26" spans="1:10" x14ac:dyDescent="0.25">
      <c r="A26" t="s">
        <v>191</v>
      </c>
      <c r="B26" t="s">
        <v>195</v>
      </c>
      <c r="C26">
        <v>2009</v>
      </c>
      <c r="D26">
        <v>90000</v>
      </c>
      <c r="E26" t="s">
        <v>43</v>
      </c>
      <c r="F26">
        <v>301000</v>
      </c>
      <c r="G26" s="1">
        <v>42075</v>
      </c>
      <c r="H26" s="3">
        <f t="shared" si="0"/>
        <v>8</v>
      </c>
      <c r="I26">
        <f t="shared" si="1"/>
        <v>3</v>
      </c>
      <c r="J26">
        <f t="shared" si="2"/>
        <v>48600</v>
      </c>
    </row>
    <row r="27" spans="1:10" x14ac:dyDescent="0.25">
      <c r="A27" t="s">
        <v>187</v>
      </c>
      <c r="B27" t="s">
        <v>201</v>
      </c>
      <c r="C27">
        <v>2009</v>
      </c>
      <c r="D27">
        <v>91000</v>
      </c>
      <c r="E27" t="s">
        <v>44</v>
      </c>
      <c r="F27">
        <v>360000</v>
      </c>
      <c r="G27" s="1">
        <v>42174</v>
      </c>
      <c r="H27" s="3">
        <f t="shared" si="0"/>
        <v>8</v>
      </c>
      <c r="I27">
        <f t="shared" si="1"/>
        <v>3</v>
      </c>
      <c r="J27">
        <f t="shared" si="2"/>
        <v>49140</v>
      </c>
    </row>
    <row r="28" spans="1:10" x14ac:dyDescent="0.25">
      <c r="A28" t="s">
        <v>189</v>
      </c>
      <c r="B28" t="s">
        <v>204</v>
      </c>
      <c r="C28">
        <v>2009</v>
      </c>
      <c r="D28">
        <v>114400</v>
      </c>
      <c r="E28" t="s">
        <v>46</v>
      </c>
      <c r="F28">
        <v>226000</v>
      </c>
      <c r="G28" s="1">
        <v>42073</v>
      </c>
      <c r="H28" s="3">
        <f t="shared" si="0"/>
        <v>8</v>
      </c>
      <c r="I28">
        <f t="shared" si="1"/>
        <v>2</v>
      </c>
      <c r="J28">
        <f t="shared" si="2"/>
        <v>64064</v>
      </c>
    </row>
    <row r="29" spans="1:10" x14ac:dyDescent="0.25">
      <c r="A29" t="s">
        <v>191</v>
      </c>
      <c r="B29" t="s">
        <v>205</v>
      </c>
      <c r="C29">
        <v>2009</v>
      </c>
      <c r="D29">
        <v>134000</v>
      </c>
      <c r="E29" t="s">
        <v>48</v>
      </c>
      <c r="F29">
        <v>482000</v>
      </c>
      <c r="G29" s="1">
        <v>42385</v>
      </c>
      <c r="H29" s="3">
        <f t="shared" si="0"/>
        <v>8</v>
      </c>
      <c r="I29">
        <f t="shared" si="1"/>
        <v>4</v>
      </c>
      <c r="J29">
        <f t="shared" si="2"/>
        <v>69680</v>
      </c>
    </row>
    <row r="30" spans="1:10" x14ac:dyDescent="0.25">
      <c r="A30" t="s">
        <v>191</v>
      </c>
      <c r="B30" t="s">
        <v>205</v>
      </c>
      <c r="C30">
        <v>2009</v>
      </c>
      <c r="D30">
        <v>135000</v>
      </c>
      <c r="E30" t="s">
        <v>49</v>
      </c>
      <c r="F30">
        <v>478000</v>
      </c>
      <c r="G30" s="1">
        <v>42385</v>
      </c>
      <c r="H30" s="3">
        <f t="shared" si="0"/>
        <v>8</v>
      </c>
      <c r="I30">
        <f t="shared" si="1"/>
        <v>4</v>
      </c>
      <c r="J30">
        <f t="shared" si="2"/>
        <v>70200</v>
      </c>
    </row>
    <row r="31" spans="1:10" x14ac:dyDescent="0.25">
      <c r="A31" t="s">
        <v>206</v>
      </c>
      <c r="B31" t="s">
        <v>207</v>
      </c>
      <c r="C31">
        <v>2009</v>
      </c>
      <c r="D31">
        <v>131780</v>
      </c>
      <c r="E31" t="s">
        <v>51</v>
      </c>
      <c r="F31">
        <v>306000</v>
      </c>
      <c r="G31" s="1">
        <v>42365</v>
      </c>
      <c r="H31" s="3">
        <f t="shared" si="0"/>
        <v>8</v>
      </c>
      <c r="I31">
        <f t="shared" si="1"/>
        <v>3</v>
      </c>
      <c r="J31">
        <f t="shared" si="2"/>
        <v>71161.2</v>
      </c>
    </row>
    <row r="32" spans="1:10" x14ac:dyDescent="0.25">
      <c r="A32" t="s">
        <v>189</v>
      </c>
      <c r="B32" t="s">
        <v>204</v>
      </c>
      <c r="C32">
        <v>2009</v>
      </c>
      <c r="D32">
        <v>159000</v>
      </c>
      <c r="E32" t="s">
        <v>52</v>
      </c>
      <c r="F32">
        <v>403000</v>
      </c>
      <c r="G32" s="1">
        <v>42681</v>
      </c>
      <c r="H32" s="3">
        <f t="shared" si="0"/>
        <v>8</v>
      </c>
      <c r="I32">
        <f t="shared" si="1"/>
        <v>4</v>
      </c>
      <c r="J32">
        <f t="shared" si="2"/>
        <v>82680</v>
      </c>
    </row>
    <row r="33" spans="1:10" x14ac:dyDescent="0.25">
      <c r="A33" t="s">
        <v>199</v>
      </c>
      <c r="B33" t="s">
        <v>200</v>
      </c>
      <c r="C33">
        <v>2009</v>
      </c>
      <c r="D33">
        <v>162800</v>
      </c>
      <c r="E33" t="s">
        <v>53</v>
      </c>
      <c r="F33">
        <v>370000</v>
      </c>
      <c r="G33" s="1">
        <v>42329</v>
      </c>
      <c r="H33" s="3">
        <f t="shared" si="0"/>
        <v>8</v>
      </c>
      <c r="I33">
        <f t="shared" si="1"/>
        <v>3</v>
      </c>
      <c r="J33">
        <f t="shared" si="2"/>
        <v>87912</v>
      </c>
    </row>
    <row r="34" spans="1:10" x14ac:dyDescent="0.25">
      <c r="A34" t="s">
        <v>189</v>
      </c>
      <c r="B34" t="s">
        <v>208</v>
      </c>
      <c r="C34">
        <v>2009</v>
      </c>
      <c r="D34">
        <v>168800</v>
      </c>
      <c r="E34" t="s">
        <v>55</v>
      </c>
      <c r="F34">
        <v>186300</v>
      </c>
      <c r="G34" s="1">
        <v>42272</v>
      </c>
      <c r="H34" s="3">
        <f t="shared" si="0"/>
        <v>8</v>
      </c>
      <c r="I34">
        <f t="shared" si="1"/>
        <v>1</v>
      </c>
      <c r="J34">
        <f t="shared" si="2"/>
        <v>97904</v>
      </c>
    </row>
    <row r="35" spans="1:10" x14ac:dyDescent="0.25">
      <c r="A35" t="s">
        <v>189</v>
      </c>
      <c r="B35" t="s">
        <v>209</v>
      </c>
      <c r="C35">
        <v>2009</v>
      </c>
      <c r="D35">
        <v>195370</v>
      </c>
      <c r="E35" t="s">
        <v>57</v>
      </c>
      <c r="F35">
        <v>290000</v>
      </c>
      <c r="G35" s="1">
        <v>42467</v>
      </c>
      <c r="H35" s="3">
        <f t="shared" si="0"/>
        <v>8</v>
      </c>
      <c r="I35">
        <f t="shared" si="1"/>
        <v>2</v>
      </c>
      <c r="J35">
        <f t="shared" si="2"/>
        <v>109407.2</v>
      </c>
    </row>
    <row r="36" spans="1:10" x14ac:dyDescent="0.25">
      <c r="A36" t="s">
        <v>206</v>
      </c>
      <c r="B36" t="s">
        <v>210</v>
      </c>
      <c r="C36">
        <v>2009</v>
      </c>
      <c r="D36">
        <v>195340</v>
      </c>
      <c r="E36" t="s">
        <v>59</v>
      </c>
      <c r="F36">
        <v>190000</v>
      </c>
      <c r="G36" s="1">
        <v>42278</v>
      </c>
      <c r="H36" s="3">
        <f t="shared" si="0"/>
        <v>8</v>
      </c>
      <c r="I36">
        <f t="shared" si="1"/>
        <v>1</v>
      </c>
      <c r="J36">
        <f t="shared" si="2"/>
        <v>113297.2</v>
      </c>
    </row>
    <row r="37" spans="1:10" x14ac:dyDescent="0.25">
      <c r="A37" t="s">
        <v>187</v>
      </c>
      <c r="B37" t="s">
        <v>211</v>
      </c>
      <c r="C37">
        <v>2009</v>
      </c>
      <c r="D37">
        <v>230000</v>
      </c>
      <c r="E37" t="s">
        <v>61</v>
      </c>
      <c r="F37">
        <v>305000</v>
      </c>
      <c r="G37" s="1">
        <v>42307</v>
      </c>
      <c r="H37" s="3">
        <f t="shared" si="0"/>
        <v>8</v>
      </c>
      <c r="I37">
        <f t="shared" si="1"/>
        <v>3</v>
      </c>
      <c r="J37">
        <f t="shared" si="2"/>
        <v>124200</v>
      </c>
    </row>
    <row r="38" spans="1:10" x14ac:dyDescent="0.25">
      <c r="A38" t="s">
        <v>187</v>
      </c>
      <c r="B38" t="s">
        <v>212</v>
      </c>
      <c r="C38">
        <v>2009</v>
      </c>
      <c r="D38">
        <v>291000</v>
      </c>
      <c r="E38" t="s">
        <v>63</v>
      </c>
      <c r="F38">
        <v>166000</v>
      </c>
      <c r="G38" s="1">
        <v>42297</v>
      </c>
      <c r="H38" s="3">
        <f t="shared" si="0"/>
        <v>8</v>
      </c>
      <c r="I38">
        <f t="shared" si="1"/>
        <v>1</v>
      </c>
      <c r="J38">
        <f t="shared" si="2"/>
        <v>168780</v>
      </c>
    </row>
    <row r="39" spans="1:10" x14ac:dyDescent="0.25">
      <c r="A39" t="s">
        <v>206</v>
      </c>
      <c r="B39" t="s">
        <v>207</v>
      </c>
      <c r="C39">
        <v>2010</v>
      </c>
      <c r="D39">
        <v>37000</v>
      </c>
      <c r="E39" t="s">
        <v>64</v>
      </c>
      <c r="F39">
        <v>978000</v>
      </c>
      <c r="G39" s="1">
        <v>42309</v>
      </c>
      <c r="H39" s="3">
        <f t="shared" si="0"/>
        <v>7</v>
      </c>
      <c r="I39">
        <f t="shared" si="1"/>
        <v>9</v>
      </c>
      <c r="J39">
        <f t="shared" si="2"/>
        <v>17390</v>
      </c>
    </row>
    <row r="40" spans="1:10" x14ac:dyDescent="0.25">
      <c r="A40" t="s">
        <v>206</v>
      </c>
      <c r="B40" t="s">
        <v>207</v>
      </c>
      <c r="C40">
        <v>2010</v>
      </c>
      <c r="D40">
        <v>40830</v>
      </c>
      <c r="E40" t="s">
        <v>65</v>
      </c>
      <c r="F40">
        <v>326000</v>
      </c>
      <c r="G40" s="1">
        <v>42062</v>
      </c>
      <c r="H40" s="3">
        <f t="shared" si="0"/>
        <v>7</v>
      </c>
      <c r="I40">
        <f t="shared" si="1"/>
        <v>3</v>
      </c>
      <c r="J40">
        <f t="shared" si="2"/>
        <v>24089.7</v>
      </c>
    </row>
    <row r="41" spans="1:10" x14ac:dyDescent="0.25">
      <c r="A41" t="s">
        <v>191</v>
      </c>
      <c r="B41" t="s">
        <v>192</v>
      </c>
      <c r="C41">
        <v>2010</v>
      </c>
      <c r="D41">
        <v>66000</v>
      </c>
      <c r="E41" t="s">
        <v>66</v>
      </c>
      <c r="F41">
        <v>736000</v>
      </c>
      <c r="G41" s="1">
        <v>42385</v>
      </c>
      <c r="H41" s="3">
        <f t="shared" si="0"/>
        <v>7</v>
      </c>
      <c r="I41">
        <f t="shared" si="1"/>
        <v>7</v>
      </c>
      <c r="J41">
        <f t="shared" si="2"/>
        <v>33660</v>
      </c>
    </row>
    <row r="42" spans="1:10" x14ac:dyDescent="0.25">
      <c r="A42" t="s">
        <v>199</v>
      </c>
      <c r="B42" t="s">
        <v>213</v>
      </c>
      <c r="C42">
        <v>2010</v>
      </c>
      <c r="D42">
        <v>60000</v>
      </c>
      <c r="E42" t="s">
        <v>68</v>
      </c>
      <c r="F42">
        <v>99250</v>
      </c>
      <c r="G42" s="1">
        <v>42226</v>
      </c>
      <c r="H42" s="3">
        <f t="shared" si="0"/>
        <v>7</v>
      </c>
      <c r="I42">
        <f t="shared" si="1"/>
        <v>0</v>
      </c>
      <c r="J42">
        <f t="shared" si="2"/>
        <v>39000</v>
      </c>
    </row>
    <row r="43" spans="1:10" x14ac:dyDescent="0.25">
      <c r="A43" t="s">
        <v>187</v>
      </c>
      <c r="B43" t="s">
        <v>201</v>
      </c>
      <c r="C43">
        <v>2010</v>
      </c>
      <c r="D43">
        <v>84000</v>
      </c>
      <c r="E43" t="s">
        <v>69</v>
      </c>
      <c r="F43">
        <v>950000</v>
      </c>
      <c r="G43" s="1">
        <v>42029</v>
      </c>
      <c r="H43" s="3">
        <f t="shared" si="0"/>
        <v>7</v>
      </c>
      <c r="I43">
        <f t="shared" si="1"/>
        <v>9</v>
      </c>
      <c r="J43">
        <f t="shared" si="2"/>
        <v>39480</v>
      </c>
    </row>
    <row r="44" spans="1:10" x14ac:dyDescent="0.25">
      <c r="A44" t="s">
        <v>185</v>
      </c>
      <c r="B44" t="s">
        <v>196</v>
      </c>
      <c r="C44">
        <v>2010</v>
      </c>
      <c r="D44">
        <v>67000</v>
      </c>
      <c r="E44" t="s">
        <v>70</v>
      </c>
      <c r="F44">
        <v>103260</v>
      </c>
      <c r="G44" s="1">
        <v>42157</v>
      </c>
      <c r="H44" s="3">
        <f t="shared" si="0"/>
        <v>7</v>
      </c>
      <c r="I44">
        <f t="shared" si="1"/>
        <v>1</v>
      </c>
      <c r="J44">
        <f t="shared" si="2"/>
        <v>42210</v>
      </c>
    </row>
    <row r="45" spans="1:10" x14ac:dyDescent="0.25">
      <c r="A45" t="s">
        <v>199</v>
      </c>
      <c r="B45" t="s">
        <v>214</v>
      </c>
      <c r="C45">
        <v>2010</v>
      </c>
      <c r="D45">
        <v>75300</v>
      </c>
      <c r="E45" t="s">
        <v>72</v>
      </c>
      <c r="F45">
        <v>302000</v>
      </c>
      <c r="G45" s="1">
        <v>42174</v>
      </c>
      <c r="H45" s="3">
        <f t="shared" si="0"/>
        <v>7</v>
      </c>
      <c r="I45">
        <f t="shared" si="1"/>
        <v>3</v>
      </c>
      <c r="J45">
        <f t="shared" si="2"/>
        <v>44427</v>
      </c>
    </row>
    <row r="46" spans="1:10" x14ac:dyDescent="0.25">
      <c r="A46" t="s">
        <v>191</v>
      </c>
      <c r="B46" t="s">
        <v>194</v>
      </c>
      <c r="C46">
        <v>2010</v>
      </c>
      <c r="D46">
        <v>84000</v>
      </c>
      <c r="E46" t="s">
        <v>73</v>
      </c>
      <c r="F46">
        <v>266000</v>
      </c>
      <c r="G46" s="1">
        <v>42382</v>
      </c>
      <c r="H46" s="3">
        <f t="shared" si="0"/>
        <v>7</v>
      </c>
      <c r="I46">
        <f t="shared" si="1"/>
        <v>2</v>
      </c>
      <c r="J46">
        <f t="shared" si="2"/>
        <v>51240</v>
      </c>
    </row>
    <row r="47" spans="1:10" x14ac:dyDescent="0.25">
      <c r="A47" t="s">
        <v>187</v>
      </c>
      <c r="B47" t="s">
        <v>201</v>
      </c>
      <c r="C47">
        <v>2010</v>
      </c>
      <c r="D47">
        <v>92000</v>
      </c>
      <c r="E47" t="s">
        <v>74</v>
      </c>
      <c r="F47">
        <v>356000</v>
      </c>
      <c r="G47" s="1">
        <v>42174</v>
      </c>
      <c r="H47" s="3">
        <f t="shared" si="0"/>
        <v>7</v>
      </c>
      <c r="I47">
        <f t="shared" si="1"/>
        <v>3</v>
      </c>
      <c r="J47">
        <f t="shared" si="2"/>
        <v>54280</v>
      </c>
    </row>
    <row r="48" spans="1:10" x14ac:dyDescent="0.25">
      <c r="A48" t="s">
        <v>189</v>
      </c>
      <c r="B48" t="s">
        <v>204</v>
      </c>
      <c r="C48">
        <v>2010</v>
      </c>
      <c r="D48">
        <v>89000</v>
      </c>
      <c r="E48" t="s">
        <v>75</v>
      </c>
      <c r="F48">
        <v>266000</v>
      </c>
      <c r="G48" s="1">
        <v>42382</v>
      </c>
      <c r="H48" s="3">
        <f t="shared" si="0"/>
        <v>7</v>
      </c>
      <c r="I48">
        <f t="shared" si="1"/>
        <v>2</v>
      </c>
      <c r="J48">
        <f t="shared" si="2"/>
        <v>54290</v>
      </c>
    </row>
    <row r="49" spans="1:10" x14ac:dyDescent="0.25">
      <c r="A49" t="s">
        <v>206</v>
      </c>
      <c r="B49" t="s">
        <v>215</v>
      </c>
      <c r="C49">
        <v>2010</v>
      </c>
      <c r="D49">
        <v>94000</v>
      </c>
      <c r="E49" t="s">
        <v>77</v>
      </c>
      <c r="F49">
        <v>91000</v>
      </c>
      <c r="G49" s="1">
        <v>42268</v>
      </c>
      <c r="H49" s="3">
        <f t="shared" si="0"/>
        <v>7</v>
      </c>
      <c r="I49">
        <f t="shared" si="1"/>
        <v>0</v>
      </c>
      <c r="J49">
        <f t="shared" si="2"/>
        <v>61100</v>
      </c>
    </row>
    <row r="50" spans="1:10" x14ac:dyDescent="0.25">
      <c r="A50" t="s">
        <v>189</v>
      </c>
      <c r="B50" t="s">
        <v>204</v>
      </c>
      <c r="C50">
        <v>2010</v>
      </c>
      <c r="D50">
        <v>113400</v>
      </c>
      <c r="E50" t="s">
        <v>78</v>
      </c>
      <c r="F50">
        <v>230000</v>
      </c>
      <c r="G50" s="1">
        <v>42073</v>
      </c>
      <c r="H50" s="3">
        <f t="shared" si="0"/>
        <v>7</v>
      </c>
      <c r="I50">
        <f t="shared" si="1"/>
        <v>2</v>
      </c>
      <c r="J50">
        <f t="shared" si="2"/>
        <v>69174</v>
      </c>
    </row>
    <row r="51" spans="1:10" x14ac:dyDescent="0.25">
      <c r="A51" t="s">
        <v>206</v>
      </c>
      <c r="B51" t="s">
        <v>216</v>
      </c>
      <c r="C51">
        <v>2010</v>
      </c>
      <c r="D51">
        <v>135000</v>
      </c>
      <c r="E51" t="s">
        <v>80</v>
      </c>
      <c r="F51">
        <v>251000</v>
      </c>
      <c r="G51" s="1">
        <v>42067</v>
      </c>
      <c r="H51" s="3">
        <f t="shared" si="0"/>
        <v>7</v>
      </c>
      <c r="I51">
        <f t="shared" si="1"/>
        <v>2</v>
      </c>
      <c r="J51">
        <f t="shared" si="2"/>
        <v>82350</v>
      </c>
    </row>
    <row r="52" spans="1:10" x14ac:dyDescent="0.25">
      <c r="A52" t="s">
        <v>185</v>
      </c>
      <c r="B52" t="s">
        <v>217</v>
      </c>
      <c r="C52">
        <v>2010</v>
      </c>
      <c r="D52">
        <v>160000</v>
      </c>
      <c r="E52" t="s">
        <v>82</v>
      </c>
      <c r="F52">
        <v>263000</v>
      </c>
      <c r="G52" s="1">
        <v>42028</v>
      </c>
      <c r="H52" s="3">
        <f t="shared" si="0"/>
        <v>7</v>
      </c>
      <c r="I52">
        <f t="shared" si="1"/>
        <v>2</v>
      </c>
      <c r="J52">
        <f t="shared" si="2"/>
        <v>97600</v>
      </c>
    </row>
    <row r="53" spans="1:10" x14ac:dyDescent="0.25">
      <c r="A53" t="s">
        <v>199</v>
      </c>
      <c r="B53" t="s">
        <v>218</v>
      </c>
      <c r="C53">
        <v>2010</v>
      </c>
      <c r="D53">
        <v>265000</v>
      </c>
      <c r="E53" t="s">
        <v>84</v>
      </c>
      <c r="F53">
        <v>930000</v>
      </c>
      <c r="G53" s="1">
        <v>42236</v>
      </c>
      <c r="H53" s="3">
        <f t="shared" si="0"/>
        <v>7</v>
      </c>
      <c r="I53">
        <f t="shared" si="1"/>
        <v>9</v>
      </c>
      <c r="J53">
        <f t="shared" si="2"/>
        <v>124550</v>
      </c>
    </row>
    <row r="54" spans="1:10" x14ac:dyDescent="0.25">
      <c r="A54" t="s">
        <v>199</v>
      </c>
      <c r="B54" t="s">
        <v>218</v>
      </c>
      <c r="C54">
        <v>2010</v>
      </c>
      <c r="D54">
        <v>265000</v>
      </c>
      <c r="E54" t="s">
        <v>85</v>
      </c>
      <c r="F54">
        <v>912000</v>
      </c>
      <c r="G54" s="1">
        <v>42236</v>
      </c>
      <c r="H54" s="3">
        <f t="shared" si="0"/>
        <v>7</v>
      </c>
      <c r="I54">
        <f t="shared" si="1"/>
        <v>9</v>
      </c>
      <c r="J54">
        <f t="shared" si="2"/>
        <v>124550</v>
      </c>
    </row>
    <row r="55" spans="1:10" x14ac:dyDescent="0.25">
      <c r="A55" t="s">
        <v>199</v>
      </c>
      <c r="B55" t="s">
        <v>218</v>
      </c>
      <c r="C55">
        <v>2010</v>
      </c>
      <c r="D55">
        <v>265000</v>
      </c>
      <c r="E55" t="s">
        <v>86</v>
      </c>
      <c r="F55">
        <v>856000</v>
      </c>
      <c r="G55" s="1">
        <v>42236</v>
      </c>
      <c r="H55" s="3">
        <f t="shared" si="0"/>
        <v>7</v>
      </c>
      <c r="I55">
        <f t="shared" si="1"/>
        <v>8</v>
      </c>
      <c r="J55">
        <f t="shared" si="2"/>
        <v>129850</v>
      </c>
    </row>
    <row r="56" spans="1:10" x14ac:dyDescent="0.25">
      <c r="A56" t="s">
        <v>199</v>
      </c>
      <c r="B56" t="s">
        <v>200</v>
      </c>
      <c r="C56">
        <v>2010</v>
      </c>
      <c r="D56">
        <v>230000</v>
      </c>
      <c r="E56" t="s">
        <v>87</v>
      </c>
      <c r="F56">
        <v>455000</v>
      </c>
      <c r="G56" s="1">
        <v>42439</v>
      </c>
      <c r="H56" s="3">
        <f t="shared" si="0"/>
        <v>7</v>
      </c>
      <c r="I56">
        <f t="shared" si="1"/>
        <v>4</v>
      </c>
      <c r="J56">
        <f t="shared" si="2"/>
        <v>131100</v>
      </c>
    </row>
    <row r="57" spans="1:10" x14ac:dyDescent="0.25">
      <c r="A57" t="s">
        <v>187</v>
      </c>
      <c r="B57" t="s">
        <v>211</v>
      </c>
      <c r="C57">
        <v>2010</v>
      </c>
      <c r="D57">
        <v>231000</v>
      </c>
      <c r="E57" t="s">
        <v>88</v>
      </c>
      <c r="F57">
        <v>301000</v>
      </c>
      <c r="G57" s="1">
        <v>42307</v>
      </c>
      <c r="H57" s="3">
        <f t="shared" si="0"/>
        <v>7</v>
      </c>
      <c r="I57">
        <f t="shared" si="1"/>
        <v>3</v>
      </c>
      <c r="J57">
        <f t="shared" si="2"/>
        <v>136290</v>
      </c>
    </row>
    <row r="58" spans="1:10" x14ac:dyDescent="0.25">
      <c r="A58" t="s">
        <v>187</v>
      </c>
      <c r="B58" t="s">
        <v>212</v>
      </c>
      <c r="C58">
        <v>2010</v>
      </c>
      <c r="D58">
        <v>257000</v>
      </c>
      <c r="E58" t="s">
        <v>89</v>
      </c>
      <c r="F58">
        <v>164700</v>
      </c>
      <c r="G58" s="1">
        <v>42286</v>
      </c>
      <c r="H58" s="3">
        <f t="shared" si="0"/>
        <v>7</v>
      </c>
      <c r="I58">
        <f t="shared" si="1"/>
        <v>1</v>
      </c>
      <c r="J58">
        <f t="shared" si="2"/>
        <v>161910</v>
      </c>
    </row>
    <row r="59" spans="1:10" x14ac:dyDescent="0.25">
      <c r="A59" t="s">
        <v>206</v>
      </c>
      <c r="B59" t="s">
        <v>207</v>
      </c>
      <c r="C59">
        <v>2011</v>
      </c>
      <c r="D59">
        <v>38000</v>
      </c>
      <c r="E59" t="s">
        <v>90</v>
      </c>
      <c r="F59">
        <v>574000</v>
      </c>
      <c r="G59" s="1">
        <v>42309</v>
      </c>
      <c r="H59" s="3">
        <f t="shared" si="0"/>
        <v>6</v>
      </c>
      <c r="I59">
        <f t="shared" si="1"/>
        <v>5</v>
      </c>
      <c r="J59">
        <f t="shared" si="2"/>
        <v>22800</v>
      </c>
    </row>
    <row r="60" spans="1:10" x14ac:dyDescent="0.25">
      <c r="A60" t="s">
        <v>199</v>
      </c>
      <c r="B60" t="s">
        <v>219</v>
      </c>
      <c r="C60">
        <v>2011</v>
      </c>
      <c r="D60">
        <v>56700</v>
      </c>
      <c r="E60" t="s">
        <v>92</v>
      </c>
      <c r="F60">
        <v>290000</v>
      </c>
      <c r="G60" s="1">
        <v>42236</v>
      </c>
      <c r="H60" s="3">
        <f t="shared" si="0"/>
        <v>6</v>
      </c>
      <c r="I60">
        <f t="shared" si="1"/>
        <v>2</v>
      </c>
      <c r="J60">
        <f t="shared" si="2"/>
        <v>37422</v>
      </c>
    </row>
    <row r="61" spans="1:10" x14ac:dyDescent="0.25">
      <c r="A61" t="s">
        <v>199</v>
      </c>
      <c r="B61" t="s">
        <v>219</v>
      </c>
      <c r="C61">
        <v>2011</v>
      </c>
      <c r="D61">
        <v>57700</v>
      </c>
      <c r="E61" t="s">
        <v>93</v>
      </c>
      <c r="F61">
        <v>286000</v>
      </c>
      <c r="G61" s="1">
        <v>42236</v>
      </c>
      <c r="H61" s="3">
        <f t="shared" si="0"/>
        <v>6</v>
      </c>
      <c r="I61">
        <f t="shared" si="1"/>
        <v>2</v>
      </c>
      <c r="J61">
        <f t="shared" si="2"/>
        <v>38082</v>
      </c>
    </row>
    <row r="62" spans="1:10" x14ac:dyDescent="0.25">
      <c r="A62" t="s">
        <v>199</v>
      </c>
      <c r="B62" t="s">
        <v>213</v>
      </c>
      <c r="C62">
        <v>2011</v>
      </c>
      <c r="D62">
        <v>59000</v>
      </c>
      <c r="E62" t="s">
        <v>94</v>
      </c>
      <c r="F62">
        <v>103250</v>
      </c>
      <c r="G62" s="1">
        <v>42226</v>
      </c>
      <c r="H62" s="3">
        <f t="shared" si="0"/>
        <v>6</v>
      </c>
      <c r="I62">
        <f t="shared" si="1"/>
        <v>1</v>
      </c>
      <c r="J62">
        <f t="shared" si="2"/>
        <v>40120</v>
      </c>
    </row>
    <row r="63" spans="1:10" x14ac:dyDescent="0.25">
      <c r="A63" t="s">
        <v>199</v>
      </c>
      <c r="B63" t="s">
        <v>214</v>
      </c>
      <c r="C63">
        <v>2011</v>
      </c>
      <c r="D63">
        <v>74300</v>
      </c>
      <c r="E63" t="s">
        <v>95</v>
      </c>
      <c r="F63">
        <v>306000</v>
      </c>
      <c r="G63" s="1">
        <v>42174</v>
      </c>
      <c r="H63" s="3">
        <f t="shared" si="0"/>
        <v>6</v>
      </c>
      <c r="I63">
        <f t="shared" si="1"/>
        <v>3</v>
      </c>
      <c r="J63">
        <f t="shared" si="2"/>
        <v>47552</v>
      </c>
    </row>
    <row r="64" spans="1:10" x14ac:dyDescent="0.25">
      <c r="A64" t="s">
        <v>187</v>
      </c>
      <c r="B64" t="s">
        <v>212</v>
      </c>
      <c r="C64">
        <v>2011</v>
      </c>
      <c r="D64">
        <v>210000</v>
      </c>
      <c r="E64" t="s">
        <v>96</v>
      </c>
      <c r="F64">
        <v>780000</v>
      </c>
      <c r="G64" s="1">
        <v>42481</v>
      </c>
      <c r="H64" s="3">
        <f t="shared" si="0"/>
        <v>6</v>
      </c>
      <c r="I64">
        <f t="shared" si="1"/>
        <v>7</v>
      </c>
      <c r="J64">
        <f t="shared" si="2"/>
        <v>117600</v>
      </c>
    </row>
    <row r="65" spans="1:10" x14ac:dyDescent="0.25">
      <c r="A65" t="s">
        <v>187</v>
      </c>
      <c r="B65" t="s">
        <v>212</v>
      </c>
      <c r="C65">
        <v>2011</v>
      </c>
      <c r="D65">
        <v>210000</v>
      </c>
      <c r="E65" t="s">
        <v>97</v>
      </c>
      <c r="F65">
        <v>760300</v>
      </c>
      <c r="G65" s="1">
        <v>42481</v>
      </c>
      <c r="H65" s="3">
        <f t="shared" si="0"/>
        <v>6</v>
      </c>
      <c r="I65">
        <f t="shared" si="1"/>
        <v>7</v>
      </c>
      <c r="J65">
        <f t="shared" si="2"/>
        <v>117600</v>
      </c>
    </row>
    <row r="66" spans="1:10" x14ac:dyDescent="0.25">
      <c r="A66" t="s">
        <v>187</v>
      </c>
      <c r="B66" t="s">
        <v>212</v>
      </c>
      <c r="C66">
        <v>2011</v>
      </c>
      <c r="D66">
        <v>210000</v>
      </c>
      <c r="E66" t="s">
        <v>98</v>
      </c>
      <c r="F66">
        <v>680000</v>
      </c>
      <c r="G66" s="1">
        <v>42481</v>
      </c>
      <c r="H66" s="3">
        <f t="shared" si="0"/>
        <v>6</v>
      </c>
      <c r="I66">
        <f t="shared" si="1"/>
        <v>6</v>
      </c>
      <c r="J66">
        <f t="shared" si="2"/>
        <v>121800</v>
      </c>
    </row>
    <row r="67" spans="1:10" x14ac:dyDescent="0.25">
      <c r="A67" t="s">
        <v>187</v>
      </c>
      <c r="B67" t="s">
        <v>212</v>
      </c>
      <c r="C67">
        <v>2011</v>
      </c>
      <c r="D67">
        <v>210000</v>
      </c>
      <c r="E67" t="s">
        <v>99</v>
      </c>
      <c r="F67">
        <v>655000</v>
      </c>
      <c r="G67" s="1">
        <v>42481</v>
      </c>
      <c r="H67" s="3">
        <f t="shared" ref="H67:H130" si="3">2017-TRUNC(C67)</f>
        <v>6</v>
      </c>
      <c r="I67">
        <f t="shared" ref="I67:I130" si="4">TRUNC(F67/100000)</f>
        <v>6</v>
      </c>
      <c r="J67">
        <f t="shared" ref="J67:J130" si="5">D67-(D67*H67*0.05 + D67*I67*0.02)</f>
        <v>121800</v>
      </c>
    </row>
    <row r="68" spans="1:10" x14ac:dyDescent="0.25">
      <c r="A68" t="s">
        <v>199</v>
      </c>
      <c r="B68" t="s">
        <v>220</v>
      </c>
      <c r="C68">
        <v>2011</v>
      </c>
      <c r="D68">
        <v>220000</v>
      </c>
      <c r="E68" t="s">
        <v>101</v>
      </c>
      <c r="F68">
        <v>731000</v>
      </c>
      <c r="G68" s="1">
        <v>42236</v>
      </c>
      <c r="H68" s="3">
        <f t="shared" si="3"/>
        <v>6</v>
      </c>
      <c r="I68">
        <f t="shared" si="4"/>
        <v>7</v>
      </c>
      <c r="J68">
        <f t="shared" si="5"/>
        <v>123200</v>
      </c>
    </row>
    <row r="69" spans="1:10" x14ac:dyDescent="0.25">
      <c r="A69" t="s">
        <v>199</v>
      </c>
      <c r="B69" t="s">
        <v>220</v>
      </c>
      <c r="C69">
        <v>2011</v>
      </c>
      <c r="D69">
        <v>220000</v>
      </c>
      <c r="E69" t="s">
        <v>102</v>
      </c>
      <c r="F69">
        <v>685413</v>
      </c>
      <c r="G69" s="1">
        <v>42236</v>
      </c>
      <c r="H69" s="3">
        <f t="shared" si="3"/>
        <v>6</v>
      </c>
      <c r="I69">
        <f t="shared" si="4"/>
        <v>6</v>
      </c>
      <c r="J69">
        <f t="shared" si="5"/>
        <v>127600</v>
      </c>
    </row>
    <row r="70" spans="1:10" x14ac:dyDescent="0.25">
      <c r="A70" t="s">
        <v>206</v>
      </c>
      <c r="B70" t="s">
        <v>210</v>
      </c>
      <c r="C70">
        <v>2011</v>
      </c>
      <c r="D70">
        <v>196340</v>
      </c>
      <c r="E70" t="s">
        <v>103</v>
      </c>
      <c r="F70">
        <v>186000</v>
      </c>
      <c r="G70" s="1">
        <v>42278</v>
      </c>
      <c r="H70" s="3">
        <f t="shared" si="3"/>
        <v>6</v>
      </c>
      <c r="I70">
        <f t="shared" si="4"/>
        <v>1</v>
      </c>
      <c r="J70">
        <f t="shared" si="5"/>
        <v>133511.20000000001</v>
      </c>
    </row>
    <row r="71" spans="1:10" x14ac:dyDescent="0.25">
      <c r="A71" t="s">
        <v>197</v>
      </c>
      <c r="B71" t="s">
        <v>221</v>
      </c>
      <c r="C71">
        <v>2011</v>
      </c>
      <c r="D71">
        <v>245000</v>
      </c>
      <c r="E71" t="s">
        <v>105</v>
      </c>
      <c r="F71">
        <v>720000</v>
      </c>
      <c r="G71" s="1">
        <v>42462</v>
      </c>
      <c r="H71" s="3">
        <f t="shared" si="3"/>
        <v>6</v>
      </c>
      <c r="I71">
        <f t="shared" si="4"/>
        <v>7</v>
      </c>
      <c r="J71">
        <f t="shared" si="5"/>
        <v>137200</v>
      </c>
    </row>
    <row r="72" spans="1:10" x14ac:dyDescent="0.25">
      <c r="A72" t="s">
        <v>197</v>
      </c>
      <c r="B72" t="s">
        <v>221</v>
      </c>
      <c r="C72">
        <v>2011</v>
      </c>
      <c r="D72">
        <v>245000</v>
      </c>
      <c r="E72" t="s">
        <v>106</v>
      </c>
      <c r="F72">
        <v>680000</v>
      </c>
      <c r="G72" s="1">
        <v>42462</v>
      </c>
      <c r="H72" s="3">
        <f t="shared" si="3"/>
        <v>6</v>
      </c>
      <c r="I72">
        <f t="shared" si="4"/>
        <v>6</v>
      </c>
      <c r="J72">
        <f t="shared" si="5"/>
        <v>142100</v>
      </c>
    </row>
    <row r="73" spans="1:10" x14ac:dyDescent="0.25">
      <c r="A73" t="s">
        <v>197</v>
      </c>
      <c r="B73" t="s">
        <v>221</v>
      </c>
      <c r="C73">
        <v>2011</v>
      </c>
      <c r="D73">
        <v>245000</v>
      </c>
      <c r="E73" t="s">
        <v>107</v>
      </c>
      <c r="F73">
        <v>660000</v>
      </c>
      <c r="G73" s="1">
        <v>42462</v>
      </c>
      <c r="H73" s="3">
        <f t="shared" si="3"/>
        <v>6</v>
      </c>
      <c r="I73">
        <f t="shared" si="4"/>
        <v>6</v>
      </c>
      <c r="J73">
        <f t="shared" si="5"/>
        <v>142100</v>
      </c>
    </row>
    <row r="74" spans="1:10" x14ac:dyDescent="0.25">
      <c r="A74" t="s">
        <v>197</v>
      </c>
      <c r="B74" t="s">
        <v>221</v>
      </c>
      <c r="C74">
        <v>2011</v>
      </c>
      <c r="D74">
        <v>245000</v>
      </c>
      <c r="E74" t="s">
        <v>108</v>
      </c>
      <c r="F74">
        <v>630000</v>
      </c>
      <c r="G74" s="1">
        <v>42462</v>
      </c>
      <c r="H74" s="3">
        <f t="shared" si="3"/>
        <v>6</v>
      </c>
      <c r="I74">
        <f t="shared" si="4"/>
        <v>6</v>
      </c>
      <c r="J74">
        <f t="shared" si="5"/>
        <v>142100</v>
      </c>
    </row>
    <row r="75" spans="1:10" x14ac:dyDescent="0.25">
      <c r="A75" t="s">
        <v>197</v>
      </c>
      <c r="B75" t="s">
        <v>221</v>
      </c>
      <c r="C75">
        <v>2011</v>
      </c>
      <c r="D75">
        <v>245000</v>
      </c>
      <c r="E75" t="s">
        <v>109</v>
      </c>
      <c r="F75">
        <v>655000</v>
      </c>
      <c r="G75" s="1">
        <v>42462</v>
      </c>
      <c r="H75" s="3">
        <f t="shared" si="3"/>
        <v>6</v>
      </c>
      <c r="I75">
        <f t="shared" si="4"/>
        <v>6</v>
      </c>
      <c r="J75">
        <f t="shared" si="5"/>
        <v>142100</v>
      </c>
    </row>
    <row r="76" spans="1:10" x14ac:dyDescent="0.25">
      <c r="A76" t="s">
        <v>197</v>
      </c>
      <c r="B76" t="s">
        <v>221</v>
      </c>
      <c r="C76">
        <v>2011</v>
      </c>
      <c r="D76">
        <v>245000</v>
      </c>
      <c r="E76" t="s">
        <v>110</v>
      </c>
      <c r="F76">
        <v>590000</v>
      </c>
      <c r="G76" s="1">
        <v>42462</v>
      </c>
      <c r="H76" s="3">
        <f t="shared" si="3"/>
        <v>6</v>
      </c>
      <c r="I76">
        <f t="shared" si="4"/>
        <v>5</v>
      </c>
      <c r="J76">
        <f t="shared" si="5"/>
        <v>147000</v>
      </c>
    </row>
    <row r="77" spans="1:10" x14ac:dyDescent="0.25">
      <c r="A77" t="s">
        <v>206</v>
      </c>
      <c r="B77" t="s">
        <v>207</v>
      </c>
      <c r="C77">
        <v>2012</v>
      </c>
      <c r="D77">
        <v>39830</v>
      </c>
      <c r="E77" t="s">
        <v>111</v>
      </c>
      <c r="F77">
        <v>330000</v>
      </c>
      <c r="G77" s="1">
        <v>42062</v>
      </c>
      <c r="H77" s="3">
        <f t="shared" si="3"/>
        <v>5</v>
      </c>
      <c r="I77">
        <f t="shared" si="4"/>
        <v>3</v>
      </c>
      <c r="J77">
        <f t="shared" si="5"/>
        <v>27482.7</v>
      </c>
    </row>
    <row r="78" spans="1:10" x14ac:dyDescent="0.25">
      <c r="A78" t="s">
        <v>206</v>
      </c>
      <c r="B78" t="s">
        <v>207</v>
      </c>
      <c r="C78">
        <v>2012</v>
      </c>
      <c r="D78">
        <v>48800</v>
      </c>
      <c r="E78" t="s">
        <v>112</v>
      </c>
      <c r="F78">
        <v>268650</v>
      </c>
      <c r="G78" s="1">
        <v>42117</v>
      </c>
      <c r="H78" s="3">
        <f t="shared" si="3"/>
        <v>5</v>
      </c>
      <c r="I78">
        <f t="shared" si="4"/>
        <v>2</v>
      </c>
      <c r="J78">
        <f t="shared" si="5"/>
        <v>34648</v>
      </c>
    </row>
    <row r="79" spans="1:10" x14ac:dyDescent="0.25">
      <c r="A79" t="s">
        <v>191</v>
      </c>
      <c r="B79" t="s">
        <v>193</v>
      </c>
      <c r="C79">
        <v>2012</v>
      </c>
      <c r="D79">
        <v>59000</v>
      </c>
      <c r="E79" t="s">
        <v>113</v>
      </c>
      <c r="F79">
        <v>302000</v>
      </c>
      <c r="G79" s="1">
        <v>42271</v>
      </c>
      <c r="H79" s="3">
        <f t="shared" si="3"/>
        <v>5</v>
      </c>
      <c r="I79">
        <f t="shared" si="4"/>
        <v>3</v>
      </c>
      <c r="J79">
        <f t="shared" si="5"/>
        <v>40710</v>
      </c>
    </row>
    <row r="80" spans="1:10" x14ac:dyDescent="0.25">
      <c r="A80" t="s">
        <v>199</v>
      </c>
      <c r="B80" t="s">
        <v>200</v>
      </c>
      <c r="C80">
        <v>2012</v>
      </c>
      <c r="D80">
        <v>76000</v>
      </c>
      <c r="E80" t="s">
        <v>114</v>
      </c>
      <c r="F80">
        <v>850000</v>
      </c>
      <c r="G80" s="1">
        <v>42376</v>
      </c>
      <c r="H80" s="3">
        <f t="shared" si="3"/>
        <v>5</v>
      </c>
      <c r="I80">
        <f t="shared" si="4"/>
        <v>8</v>
      </c>
      <c r="J80">
        <f t="shared" si="5"/>
        <v>44840</v>
      </c>
    </row>
    <row r="81" spans="1:10" x14ac:dyDescent="0.25">
      <c r="A81" t="s">
        <v>185</v>
      </c>
      <c r="B81" t="s">
        <v>203</v>
      </c>
      <c r="C81">
        <v>2012</v>
      </c>
      <c r="D81">
        <v>87133</v>
      </c>
      <c r="E81" t="s">
        <v>115</v>
      </c>
      <c r="F81">
        <v>376000</v>
      </c>
      <c r="G81" s="1">
        <v>42208</v>
      </c>
      <c r="H81" s="3">
        <f t="shared" si="3"/>
        <v>5</v>
      </c>
      <c r="I81">
        <f t="shared" si="4"/>
        <v>3</v>
      </c>
      <c r="J81">
        <f t="shared" si="5"/>
        <v>60121.770000000004</v>
      </c>
    </row>
    <row r="82" spans="1:10" x14ac:dyDescent="0.25">
      <c r="A82" t="s">
        <v>191</v>
      </c>
      <c r="B82" t="s">
        <v>195</v>
      </c>
      <c r="C82">
        <v>2012</v>
      </c>
      <c r="D82">
        <v>110000</v>
      </c>
      <c r="E82" t="s">
        <v>116</v>
      </c>
      <c r="F82">
        <v>201000</v>
      </c>
      <c r="G82" s="1">
        <v>42075</v>
      </c>
      <c r="H82" s="3">
        <f t="shared" si="3"/>
        <v>5</v>
      </c>
      <c r="I82">
        <f t="shared" si="4"/>
        <v>2</v>
      </c>
      <c r="J82">
        <f t="shared" si="5"/>
        <v>78100</v>
      </c>
    </row>
    <row r="83" spans="1:10" x14ac:dyDescent="0.25">
      <c r="A83" t="s">
        <v>206</v>
      </c>
      <c r="B83" t="s">
        <v>207</v>
      </c>
      <c r="C83">
        <v>2012</v>
      </c>
      <c r="D83">
        <v>130780</v>
      </c>
      <c r="E83" t="s">
        <v>117</v>
      </c>
      <c r="F83">
        <v>310000</v>
      </c>
      <c r="G83" s="1">
        <v>42365</v>
      </c>
      <c r="H83" s="3">
        <f t="shared" si="3"/>
        <v>5</v>
      </c>
      <c r="I83">
        <f t="shared" si="4"/>
        <v>3</v>
      </c>
      <c r="J83">
        <f t="shared" si="5"/>
        <v>90238.2</v>
      </c>
    </row>
    <row r="84" spans="1:10" x14ac:dyDescent="0.25">
      <c r="A84" t="s">
        <v>189</v>
      </c>
      <c r="B84" t="s">
        <v>204</v>
      </c>
      <c r="C84">
        <v>2012</v>
      </c>
      <c r="D84">
        <v>135502</v>
      </c>
      <c r="E84" t="s">
        <v>118</v>
      </c>
      <c r="F84">
        <v>247000</v>
      </c>
      <c r="G84" s="1">
        <v>42476</v>
      </c>
      <c r="H84" s="3">
        <f t="shared" si="3"/>
        <v>5</v>
      </c>
      <c r="I84">
        <f t="shared" si="4"/>
        <v>2</v>
      </c>
      <c r="J84">
        <f t="shared" si="5"/>
        <v>96206.42</v>
      </c>
    </row>
    <row r="85" spans="1:10" x14ac:dyDescent="0.25">
      <c r="A85" t="s">
        <v>185</v>
      </c>
      <c r="B85" t="s">
        <v>222</v>
      </c>
      <c r="C85">
        <v>2012</v>
      </c>
      <c r="D85">
        <v>145000</v>
      </c>
      <c r="E85" t="s">
        <v>120</v>
      </c>
      <c r="F85">
        <v>386732</v>
      </c>
      <c r="G85" s="1">
        <v>42059</v>
      </c>
      <c r="H85" s="3">
        <f t="shared" si="3"/>
        <v>5</v>
      </c>
      <c r="I85">
        <f t="shared" si="4"/>
        <v>3</v>
      </c>
      <c r="J85">
        <f t="shared" si="5"/>
        <v>100050</v>
      </c>
    </row>
    <row r="86" spans="1:10" x14ac:dyDescent="0.25">
      <c r="A86" t="s">
        <v>185</v>
      </c>
      <c r="B86" t="s">
        <v>222</v>
      </c>
      <c r="C86">
        <v>2012</v>
      </c>
      <c r="D86">
        <v>145000</v>
      </c>
      <c r="E86" t="s">
        <v>121</v>
      </c>
      <c r="F86">
        <v>312680</v>
      </c>
      <c r="G86" s="1">
        <v>42059</v>
      </c>
      <c r="H86" s="3">
        <f t="shared" si="3"/>
        <v>5</v>
      </c>
      <c r="I86">
        <f t="shared" si="4"/>
        <v>3</v>
      </c>
      <c r="J86">
        <f t="shared" si="5"/>
        <v>100050</v>
      </c>
    </row>
    <row r="87" spans="1:10" x14ac:dyDescent="0.25">
      <c r="A87" t="s">
        <v>199</v>
      </c>
      <c r="B87" t="s">
        <v>200</v>
      </c>
      <c r="C87">
        <v>2012</v>
      </c>
      <c r="D87">
        <v>163800</v>
      </c>
      <c r="E87" t="s">
        <v>122</v>
      </c>
      <c r="F87">
        <v>366000</v>
      </c>
      <c r="G87" s="1">
        <v>42329</v>
      </c>
      <c r="H87" s="3">
        <f t="shared" si="3"/>
        <v>5</v>
      </c>
      <c r="I87">
        <f t="shared" si="4"/>
        <v>3</v>
      </c>
      <c r="J87">
        <f t="shared" si="5"/>
        <v>113022</v>
      </c>
    </row>
    <row r="88" spans="1:10" x14ac:dyDescent="0.25">
      <c r="A88" t="s">
        <v>197</v>
      </c>
      <c r="B88" t="s">
        <v>223</v>
      </c>
      <c r="C88">
        <v>2012</v>
      </c>
      <c r="D88">
        <v>183000</v>
      </c>
      <c r="E88" t="s">
        <v>124</v>
      </c>
      <c r="F88">
        <v>520000</v>
      </c>
      <c r="G88" s="1">
        <v>42444</v>
      </c>
      <c r="H88" s="3">
        <f t="shared" si="3"/>
        <v>5</v>
      </c>
      <c r="I88">
        <f t="shared" si="4"/>
        <v>5</v>
      </c>
      <c r="J88">
        <f t="shared" si="5"/>
        <v>118950</v>
      </c>
    </row>
    <row r="89" spans="1:10" x14ac:dyDescent="0.25">
      <c r="A89" t="s">
        <v>197</v>
      </c>
      <c r="B89" t="s">
        <v>223</v>
      </c>
      <c r="C89">
        <v>2012</v>
      </c>
      <c r="D89">
        <v>183000</v>
      </c>
      <c r="E89" t="s">
        <v>125</v>
      </c>
      <c r="F89">
        <v>530000</v>
      </c>
      <c r="G89" s="1">
        <v>42444</v>
      </c>
      <c r="H89" s="3">
        <f t="shared" si="3"/>
        <v>5</v>
      </c>
      <c r="I89">
        <f t="shared" si="4"/>
        <v>5</v>
      </c>
      <c r="J89">
        <f t="shared" si="5"/>
        <v>118950</v>
      </c>
    </row>
    <row r="90" spans="1:10" x14ac:dyDescent="0.25">
      <c r="A90" t="s">
        <v>197</v>
      </c>
      <c r="B90" t="s">
        <v>223</v>
      </c>
      <c r="C90">
        <v>2012</v>
      </c>
      <c r="D90">
        <v>183000</v>
      </c>
      <c r="E90" t="s">
        <v>126</v>
      </c>
      <c r="F90">
        <v>490000</v>
      </c>
      <c r="G90" s="1">
        <v>42444</v>
      </c>
      <c r="H90" s="3">
        <f t="shared" si="3"/>
        <v>5</v>
      </c>
      <c r="I90">
        <f t="shared" si="4"/>
        <v>4</v>
      </c>
      <c r="J90">
        <f t="shared" si="5"/>
        <v>122610</v>
      </c>
    </row>
    <row r="91" spans="1:10" x14ac:dyDescent="0.25">
      <c r="A91" t="s">
        <v>197</v>
      </c>
      <c r="B91" t="s">
        <v>223</v>
      </c>
      <c r="C91">
        <v>2012</v>
      </c>
      <c r="D91">
        <v>183000</v>
      </c>
      <c r="E91" t="s">
        <v>127</v>
      </c>
      <c r="F91">
        <v>481000</v>
      </c>
      <c r="G91" s="1">
        <v>42444</v>
      </c>
      <c r="H91" s="3">
        <f t="shared" si="3"/>
        <v>5</v>
      </c>
      <c r="I91">
        <f t="shared" si="4"/>
        <v>4</v>
      </c>
      <c r="J91">
        <f t="shared" si="5"/>
        <v>122610</v>
      </c>
    </row>
    <row r="92" spans="1:10" x14ac:dyDescent="0.25">
      <c r="A92" t="s">
        <v>197</v>
      </c>
      <c r="B92" t="s">
        <v>223</v>
      </c>
      <c r="C92">
        <v>2012</v>
      </c>
      <c r="D92">
        <v>183000</v>
      </c>
      <c r="E92" t="s">
        <v>128</v>
      </c>
      <c r="F92">
        <v>454000</v>
      </c>
      <c r="G92" s="1">
        <v>42444</v>
      </c>
      <c r="H92" s="3">
        <f t="shared" si="3"/>
        <v>5</v>
      </c>
      <c r="I92">
        <f t="shared" si="4"/>
        <v>4</v>
      </c>
      <c r="J92">
        <f t="shared" si="5"/>
        <v>122610</v>
      </c>
    </row>
    <row r="93" spans="1:10" x14ac:dyDescent="0.25">
      <c r="A93" t="s">
        <v>191</v>
      </c>
      <c r="B93" t="s">
        <v>224</v>
      </c>
      <c r="C93">
        <v>2012</v>
      </c>
      <c r="D93">
        <v>210000</v>
      </c>
      <c r="E93" t="s">
        <v>130</v>
      </c>
      <c r="F93">
        <v>517000</v>
      </c>
      <c r="G93" s="1">
        <v>42415</v>
      </c>
      <c r="H93" s="3">
        <f t="shared" si="3"/>
        <v>5</v>
      </c>
      <c r="I93">
        <f t="shared" si="4"/>
        <v>5</v>
      </c>
      <c r="J93">
        <f t="shared" si="5"/>
        <v>136500</v>
      </c>
    </row>
    <row r="94" spans="1:10" x14ac:dyDescent="0.25">
      <c r="A94" t="s">
        <v>189</v>
      </c>
      <c r="B94" t="s">
        <v>209</v>
      </c>
      <c r="C94">
        <v>2012</v>
      </c>
      <c r="D94">
        <v>196370</v>
      </c>
      <c r="E94" t="s">
        <v>131</v>
      </c>
      <c r="F94">
        <v>286000</v>
      </c>
      <c r="G94" s="1">
        <v>42467</v>
      </c>
      <c r="H94" s="3">
        <f t="shared" si="3"/>
        <v>5</v>
      </c>
      <c r="I94">
        <f t="shared" si="4"/>
        <v>2</v>
      </c>
      <c r="J94">
        <f t="shared" si="5"/>
        <v>139422.70000000001</v>
      </c>
    </row>
    <row r="95" spans="1:10" x14ac:dyDescent="0.25">
      <c r="A95" t="s">
        <v>191</v>
      </c>
      <c r="B95" t="s">
        <v>224</v>
      </c>
      <c r="C95">
        <v>2012</v>
      </c>
      <c r="D95">
        <v>210000</v>
      </c>
      <c r="E95" t="s">
        <v>132</v>
      </c>
      <c r="F95">
        <v>435000</v>
      </c>
      <c r="G95" s="1">
        <v>42415</v>
      </c>
      <c r="H95" s="3">
        <f t="shared" si="3"/>
        <v>5</v>
      </c>
      <c r="I95">
        <f t="shared" si="4"/>
        <v>4</v>
      </c>
      <c r="J95">
        <f t="shared" si="5"/>
        <v>140700</v>
      </c>
    </row>
    <row r="96" spans="1:10" x14ac:dyDescent="0.25">
      <c r="A96" t="s">
        <v>189</v>
      </c>
      <c r="B96" t="s">
        <v>225</v>
      </c>
      <c r="C96">
        <v>2012</v>
      </c>
      <c r="D96">
        <v>210300</v>
      </c>
      <c r="E96" t="s">
        <v>134</v>
      </c>
      <c r="F96">
        <v>417671</v>
      </c>
      <c r="G96" s="1">
        <v>42520</v>
      </c>
      <c r="H96" s="3">
        <f t="shared" si="3"/>
        <v>5</v>
      </c>
      <c r="I96">
        <f t="shared" si="4"/>
        <v>4</v>
      </c>
      <c r="J96">
        <f t="shared" si="5"/>
        <v>140901</v>
      </c>
    </row>
    <row r="97" spans="1:10" x14ac:dyDescent="0.25">
      <c r="A97" t="s">
        <v>199</v>
      </c>
      <c r="B97" t="s">
        <v>200</v>
      </c>
      <c r="C97">
        <v>2012</v>
      </c>
      <c r="D97">
        <v>231000</v>
      </c>
      <c r="E97" t="s">
        <v>135</v>
      </c>
      <c r="F97">
        <v>451000</v>
      </c>
      <c r="G97" s="1">
        <v>42439</v>
      </c>
      <c r="H97" s="3">
        <f t="shared" si="3"/>
        <v>5</v>
      </c>
      <c r="I97">
        <f t="shared" si="4"/>
        <v>4</v>
      </c>
      <c r="J97">
        <f t="shared" si="5"/>
        <v>154770</v>
      </c>
    </row>
    <row r="98" spans="1:10" x14ac:dyDescent="0.25">
      <c r="A98" t="s">
        <v>206</v>
      </c>
      <c r="B98" t="s">
        <v>226</v>
      </c>
      <c r="C98">
        <v>2012</v>
      </c>
      <c r="D98">
        <v>240000</v>
      </c>
      <c r="E98" t="s">
        <v>137</v>
      </c>
      <c r="F98">
        <v>301344</v>
      </c>
      <c r="G98" s="1">
        <v>42185</v>
      </c>
      <c r="H98" s="3">
        <f t="shared" si="3"/>
        <v>5</v>
      </c>
      <c r="I98">
        <f t="shared" si="4"/>
        <v>3</v>
      </c>
      <c r="J98">
        <f t="shared" si="5"/>
        <v>165600</v>
      </c>
    </row>
    <row r="99" spans="1:10" x14ac:dyDescent="0.25">
      <c r="A99" t="s">
        <v>206</v>
      </c>
      <c r="B99" t="s">
        <v>226</v>
      </c>
      <c r="C99">
        <v>2012</v>
      </c>
      <c r="D99">
        <v>240000</v>
      </c>
      <c r="E99" t="s">
        <v>138</v>
      </c>
      <c r="F99">
        <v>315988</v>
      </c>
      <c r="G99" s="1">
        <v>42185</v>
      </c>
      <c r="H99" s="3">
        <f t="shared" si="3"/>
        <v>5</v>
      </c>
      <c r="I99">
        <f t="shared" si="4"/>
        <v>3</v>
      </c>
      <c r="J99">
        <f t="shared" si="5"/>
        <v>165600</v>
      </c>
    </row>
    <row r="100" spans="1:10" x14ac:dyDescent="0.25">
      <c r="A100" t="s">
        <v>206</v>
      </c>
      <c r="B100" t="s">
        <v>226</v>
      </c>
      <c r="C100">
        <v>2012</v>
      </c>
      <c r="D100">
        <v>240000</v>
      </c>
      <c r="E100" t="s">
        <v>139</v>
      </c>
      <c r="F100">
        <v>234760</v>
      </c>
      <c r="G100" s="1">
        <v>42185</v>
      </c>
      <c r="H100" s="3">
        <f t="shared" si="3"/>
        <v>5</v>
      </c>
      <c r="I100">
        <f t="shared" si="4"/>
        <v>2</v>
      </c>
      <c r="J100">
        <f t="shared" si="5"/>
        <v>170400</v>
      </c>
    </row>
    <row r="101" spans="1:10" x14ac:dyDescent="0.25">
      <c r="A101" t="s">
        <v>206</v>
      </c>
      <c r="B101" t="s">
        <v>226</v>
      </c>
      <c r="C101">
        <v>2012</v>
      </c>
      <c r="D101">
        <v>240000</v>
      </c>
      <c r="E101" t="s">
        <v>140</v>
      </c>
      <c r="F101">
        <v>210780</v>
      </c>
      <c r="G101" s="1">
        <v>42185</v>
      </c>
      <c r="H101" s="3">
        <f t="shared" si="3"/>
        <v>5</v>
      </c>
      <c r="I101">
        <f t="shared" si="4"/>
        <v>2</v>
      </c>
      <c r="J101">
        <f t="shared" si="5"/>
        <v>170400</v>
      </c>
    </row>
    <row r="102" spans="1:10" x14ac:dyDescent="0.25">
      <c r="A102" t="s">
        <v>206</v>
      </c>
      <c r="B102" t="s">
        <v>226</v>
      </c>
      <c r="C102">
        <v>2012</v>
      </c>
      <c r="D102">
        <v>240000</v>
      </c>
      <c r="E102" t="s">
        <v>141</v>
      </c>
      <c r="F102">
        <v>198240</v>
      </c>
      <c r="G102" s="1">
        <v>42185</v>
      </c>
      <c r="H102" s="3">
        <f t="shared" si="3"/>
        <v>5</v>
      </c>
      <c r="I102">
        <f t="shared" si="4"/>
        <v>1</v>
      </c>
      <c r="J102">
        <f t="shared" si="5"/>
        <v>175200</v>
      </c>
    </row>
    <row r="103" spans="1:10" x14ac:dyDescent="0.25">
      <c r="A103" t="s">
        <v>187</v>
      </c>
      <c r="B103" t="s">
        <v>212</v>
      </c>
      <c r="C103">
        <v>2012</v>
      </c>
      <c r="D103">
        <v>290000</v>
      </c>
      <c r="E103" t="s">
        <v>142</v>
      </c>
      <c r="F103">
        <v>170000</v>
      </c>
      <c r="G103" s="1">
        <v>42297</v>
      </c>
      <c r="H103" s="3">
        <f t="shared" si="3"/>
        <v>5</v>
      </c>
      <c r="I103">
        <f t="shared" si="4"/>
        <v>1</v>
      </c>
      <c r="J103">
        <f t="shared" si="5"/>
        <v>211700</v>
      </c>
    </row>
    <row r="104" spans="1:10" x14ac:dyDescent="0.25">
      <c r="A104" t="s">
        <v>206</v>
      </c>
      <c r="B104" t="s">
        <v>207</v>
      </c>
      <c r="C104">
        <v>2013</v>
      </c>
      <c r="D104">
        <v>47800</v>
      </c>
      <c r="E104" t="s">
        <v>143</v>
      </c>
      <c r="F104">
        <v>272650</v>
      </c>
      <c r="G104" s="1">
        <v>42117</v>
      </c>
      <c r="H104" s="3">
        <f t="shared" si="3"/>
        <v>4</v>
      </c>
      <c r="I104">
        <f t="shared" si="4"/>
        <v>2</v>
      </c>
      <c r="J104">
        <f t="shared" si="5"/>
        <v>36328</v>
      </c>
    </row>
    <row r="105" spans="1:10" x14ac:dyDescent="0.25">
      <c r="A105" t="s">
        <v>197</v>
      </c>
      <c r="B105" t="s">
        <v>202</v>
      </c>
      <c r="C105">
        <v>2013</v>
      </c>
      <c r="D105">
        <v>80000</v>
      </c>
      <c r="E105" t="s">
        <v>144</v>
      </c>
      <c r="F105">
        <v>350000</v>
      </c>
      <c r="G105" s="1">
        <v>42379</v>
      </c>
      <c r="H105" s="3">
        <f t="shared" si="3"/>
        <v>4</v>
      </c>
      <c r="I105">
        <f t="shared" si="4"/>
        <v>3</v>
      </c>
      <c r="J105">
        <f t="shared" si="5"/>
        <v>59200</v>
      </c>
    </row>
    <row r="106" spans="1:10" x14ac:dyDescent="0.25">
      <c r="A106" t="s">
        <v>197</v>
      </c>
      <c r="B106" t="s">
        <v>202</v>
      </c>
      <c r="C106">
        <v>2013</v>
      </c>
      <c r="D106">
        <v>80000</v>
      </c>
      <c r="E106" t="s">
        <v>145</v>
      </c>
      <c r="F106">
        <v>235000</v>
      </c>
      <c r="G106" s="1">
        <v>42379</v>
      </c>
      <c r="H106" s="3">
        <f t="shared" si="3"/>
        <v>4</v>
      </c>
      <c r="I106">
        <f t="shared" si="4"/>
        <v>2</v>
      </c>
      <c r="J106">
        <f t="shared" si="5"/>
        <v>60800</v>
      </c>
    </row>
    <row r="107" spans="1:10" x14ac:dyDescent="0.25">
      <c r="A107" t="s">
        <v>206</v>
      </c>
      <c r="B107" t="s">
        <v>215</v>
      </c>
      <c r="C107">
        <v>2013</v>
      </c>
      <c r="D107">
        <v>93000</v>
      </c>
      <c r="E107" t="s">
        <v>146</v>
      </c>
      <c r="F107">
        <v>195000</v>
      </c>
      <c r="G107" s="1">
        <v>42268</v>
      </c>
      <c r="H107" s="3">
        <f t="shared" si="3"/>
        <v>4</v>
      </c>
      <c r="I107">
        <f t="shared" si="4"/>
        <v>1</v>
      </c>
      <c r="J107">
        <f t="shared" si="5"/>
        <v>72540</v>
      </c>
    </row>
    <row r="108" spans="1:10" x14ac:dyDescent="0.25">
      <c r="A108" t="s">
        <v>206</v>
      </c>
      <c r="B108" t="s">
        <v>216</v>
      </c>
      <c r="C108">
        <v>2013</v>
      </c>
      <c r="D108">
        <v>136000</v>
      </c>
      <c r="E108" t="s">
        <v>147</v>
      </c>
      <c r="F108">
        <v>247000</v>
      </c>
      <c r="G108" s="1">
        <v>42067</v>
      </c>
      <c r="H108" s="3">
        <f t="shared" si="3"/>
        <v>4</v>
      </c>
      <c r="I108">
        <f t="shared" si="4"/>
        <v>2</v>
      </c>
      <c r="J108">
        <f t="shared" si="5"/>
        <v>103360</v>
      </c>
    </row>
    <row r="109" spans="1:10" x14ac:dyDescent="0.25">
      <c r="A109" t="s">
        <v>189</v>
      </c>
      <c r="B109" t="s">
        <v>204</v>
      </c>
      <c r="C109">
        <v>2013</v>
      </c>
      <c r="D109">
        <v>158000</v>
      </c>
      <c r="E109" t="s">
        <v>148</v>
      </c>
      <c r="F109">
        <v>407000</v>
      </c>
      <c r="G109" s="1">
        <v>42681</v>
      </c>
      <c r="H109" s="3">
        <f t="shared" si="3"/>
        <v>4</v>
      </c>
      <c r="I109">
        <f t="shared" si="4"/>
        <v>4</v>
      </c>
      <c r="J109">
        <f t="shared" si="5"/>
        <v>113760</v>
      </c>
    </row>
    <row r="110" spans="1:10" x14ac:dyDescent="0.25">
      <c r="A110" t="s">
        <v>206</v>
      </c>
      <c r="B110" t="s">
        <v>226</v>
      </c>
      <c r="C110">
        <v>2013</v>
      </c>
      <c r="D110">
        <v>240000</v>
      </c>
      <c r="E110" t="s">
        <v>149</v>
      </c>
      <c r="F110">
        <v>301232</v>
      </c>
      <c r="G110" s="1">
        <v>42719</v>
      </c>
      <c r="H110" s="3">
        <f t="shared" si="3"/>
        <v>4</v>
      </c>
      <c r="I110">
        <f t="shared" si="4"/>
        <v>3</v>
      </c>
      <c r="J110">
        <f t="shared" si="5"/>
        <v>177600</v>
      </c>
    </row>
    <row r="111" spans="1:10" x14ac:dyDescent="0.25">
      <c r="A111" t="s">
        <v>206</v>
      </c>
      <c r="B111" t="s">
        <v>226</v>
      </c>
      <c r="C111">
        <v>2013</v>
      </c>
      <c r="D111">
        <v>240000</v>
      </c>
      <c r="E111" t="s">
        <v>150</v>
      </c>
      <c r="F111">
        <v>289567</v>
      </c>
      <c r="G111" s="1">
        <v>42719</v>
      </c>
      <c r="H111" s="3">
        <f t="shared" si="3"/>
        <v>4</v>
      </c>
      <c r="I111">
        <f t="shared" si="4"/>
        <v>2</v>
      </c>
      <c r="J111">
        <f t="shared" si="5"/>
        <v>182400</v>
      </c>
    </row>
    <row r="112" spans="1:10" x14ac:dyDescent="0.25">
      <c r="A112" t="s">
        <v>206</v>
      </c>
      <c r="B112" t="s">
        <v>226</v>
      </c>
      <c r="C112">
        <v>2013</v>
      </c>
      <c r="D112">
        <v>240000</v>
      </c>
      <c r="E112" t="s">
        <v>151</v>
      </c>
      <c r="F112">
        <v>245211</v>
      </c>
      <c r="G112" s="1">
        <v>42719</v>
      </c>
      <c r="H112" s="3">
        <f t="shared" si="3"/>
        <v>4</v>
      </c>
      <c r="I112">
        <f t="shared" si="4"/>
        <v>2</v>
      </c>
      <c r="J112">
        <f t="shared" si="5"/>
        <v>182400</v>
      </c>
    </row>
    <row r="113" spans="1:10" x14ac:dyDescent="0.25">
      <c r="A113" t="s">
        <v>206</v>
      </c>
      <c r="B113" t="s">
        <v>226</v>
      </c>
      <c r="C113">
        <v>2013</v>
      </c>
      <c r="D113">
        <v>240000</v>
      </c>
      <c r="E113" t="s">
        <v>152</v>
      </c>
      <c r="F113">
        <v>200123</v>
      </c>
      <c r="G113" s="1">
        <v>42719</v>
      </c>
      <c r="H113" s="3">
        <f t="shared" si="3"/>
        <v>4</v>
      </c>
      <c r="I113">
        <f t="shared" si="4"/>
        <v>2</v>
      </c>
      <c r="J113">
        <f t="shared" si="5"/>
        <v>182400</v>
      </c>
    </row>
    <row r="114" spans="1:10" x14ac:dyDescent="0.25">
      <c r="A114" t="s">
        <v>206</v>
      </c>
      <c r="B114" t="s">
        <v>226</v>
      </c>
      <c r="C114">
        <v>2013</v>
      </c>
      <c r="D114">
        <v>240000</v>
      </c>
      <c r="E114" t="s">
        <v>153</v>
      </c>
      <c r="F114">
        <v>235811</v>
      </c>
      <c r="G114" s="1">
        <v>42719</v>
      </c>
      <c r="H114" s="3">
        <f t="shared" si="3"/>
        <v>4</v>
      </c>
      <c r="I114">
        <f t="shared" si="4"/>
        <v>2</v>
      </c>
      <c r="J114">
        <f t="shared" si="5"/>
        <v>182400</v>
      </c>
    </row>
    <row r="115" spans="1:10" x14ac:dyDescent="0.25">
      <c r="A115" t="s">
        <v>206</v>
      </c>
      <c r="B115" t="s">
        <v>226</v>
      </c>
      <c r="C115">
        <v>2013</v>
      </c>
      <c r="D115">
        <v>240000</v>
      </c>
      <c r="E115" t="s">
        <v>154</v>
      </c>
      <c r="F115">
        <v>250021</v>
      </c>
      <c r="G115" s="1">
        <v>42719</v>
      </c>
      <c r="H115" s="3">
        <f t="shared" si="3"/>
        <v>4</v>
      </c>
      <c r="I115">
        <f t="shared" si="4"/>
        <v>2</v>
      </c>
      <c r="J115">
        <f t="shared" si="5"/>
        <v>182400</v>
      </c>
    </row>
    <row r="116" spans="1:10" x14ac:dyDescent="0.25">
      <c r="A116" t="s">
        <v>206</v>
      </c>
      <c r="B116" t="s">
        <v>226</v>
      </c>
      <c r="C116">
        <v>2013</v>
      </c>
      <c r="D116">
        <v>240000</v>
      </c>
      <c r="E116" t="s">
        <v>155</v>
      </c>
      <c r="F116">
        <v>198340</v>
      </c>
      <c r="G116" s="1">
        <v>42719</v>
      </c>
      <c r="H116" s="3">
        <f t="shared" si="3"/>
        <v>4</v>
      </c>
      <c r="I116">
        <f t="shared" si="4"/>
        <v>1</v>
      </c>
      <c r="J116">
        <f t="shared" si="5"/>
        <v>187200</v>
      </c>
    </row>
    <row r="117" spans="1:10" x14ac:dyDescent="0.25">
      <c r="A117" t="s">
        <v>206</v>
      </c>
      <c r="B117" t="s">
        <v>226</v>
      </c>
      <c r="C117">
        <v>2013</v>
      </c>
      <c r="D117">
        <v>240000</v>
      </c>
      <c r="E117" t="s">
        <v>156</v>
      </c>
      <c r="F117">
        <v>189761</v>
      </c>
      <c r="G117" s="1">
        <v>42719</v>
      </c>
      <c r="H117" s="3">
        <f t="shared" si="3"/>
        <v>4</v>
      </c>
      <c r="I117">
        <f t="shared" si="4"/>
        <v>1</v>
      </c>
      <c r="J117">
        <f t="shared" si="5"/>
        <v>187200</v>
      </c>
    </row>
    <row r="118" spans="1:10" x14ac:dyDescent="0.25">
      <c r="A118" t="s">
        <v>189</v>
      </c>
      <c r="B118" t="s">
        <v>227</v>
      </c>
      <c r="C118">
        <v>2013</v>
      </c>
      <c r="D118">
        <v>271000</v>
      </c>
      <c r="E118" t="s">
        <v>158</v>
      </c>
      <c r="F118">
        <v>153000</v>
      </c>
      <c r="G118" s="1">
        <v>42334</v>
      </c>
      <c r="H118" s="3">
        <f t="shared" si="3"/>
        <v>4</v>
      </c>
      <c r="I118">
        <f t="shared" si="4"/>
        <v>1</v>
      </c>
      <c r="J118">
        <f t="shared" si="5"/>
        <v>211380</v>
      </c>
    </row>
    <row r="119" spans="1:10" x14ac:dyDescent="0.25">
      <c r="A119" t="s">
        <v>189</v>
      </c>
      <c r="B119" t="s">
        <v>227</v>
      </c>
      <c r="C119">
        <v>2013</v>
      </c>
      <c r="D119">
        <v>271000</v>
      </c>
      <c r="E119" t="s">
        <v>159</v>
      </c>
      <c r="F119">
        <v>123000</v>
      </c>
      <c r="G119" s="1">
        <v>42520</v>
      </c>
      <c r="H119" s="3">
        <f t="shared" si="3"/>
        <v>4</v>
      </c>
      <c r="I119">
        <f t="shared" si="4"/>
        <v>1</v>
      </c>
      <c r="J119">
        <f t="shared" si="5"/>
        <v>211380</v>
      </c>
    </row>
    <row r="120" spans="1:10" x14ac:dyDescent="0.25">
      <c r="A120" t="s">
        <v>189</v>
      </c>
      <c r="B120" t="s">
        <v>228</v>
      </c>
      <c r="C120">
        <v>2014</v>
      </c>
      <c r="D120">
        <v>98000</v>
      </c>
      <c r="E120" t="s">
        <v>161</v>
      </c>
      <c r="F120">
        <v>251000</v>
      </c>
      <c r="G120" s="1">
        <v>42344</v>
      </c>
      <c r="H120" s="3">
        <f t="shared" si="3"/>
        <v>3</v>
      </c>
      <c r="I120">
        <f t="shared" si="4"/>
        <v>2</v>
      </c>
      <c r="J120">
        <f t="shared" si="5"/>
        <v>79380</v>
      </c>
    </row>
    <row r="121" spans="1:10" x14ac:dyDescent="0.25">
      <c r="A121" t="s">
        <v>189</v>
      </c>
      <c r="B121" t="s">
        <v>228</v>
      </c>
      <c r="C121">
        <v>2014</v>
      </c>
      <c r="D121">
        <v>99000</v>
      </c>
      <c r="E121" t="s">
        <v>162</v>
      </c>
      <c r="F121">
        <v>247000</v>
      </c>
      <c r="G121" s="1">
        <v>42344</v>
      </c>
      <c r="H121" s="3">
        <f t="shared" si="3"/>
        <v>3</v>
      </c>
      <c r="I121">
        <f t="shared" si="4"/>
        <v>2</v>
      </c>
      <c r="J121">
        <f t="shared" si="5"/>
        <v>80190</v>
      </c>
    </row>
    <row r="122" spans="1:10" x14ac:dyDescent="0.25">
      <c r="A122" t="s">
        <v>189</v>
      </c>
      <c r="B122" t="s">
        <v>204</v>
      </c>
      <c r="C122">
        <v>2014</v>
      </c>
      <c r="D122">
        <v>136502</v>
      </c>
      <c r="E122" t="s">
        <v>163</v>
      </c>
      <c r="F122">
        <v>243000</v>
      </c>
      <c r="G122" s="1">
        <v>42476</v>
      </c>
      <c r="H122" s="3">
        <f t="shared" si="3"/>
        <v>3</v>
      </c>
      <c r="I122">
        <f t="shared" si="4"/>
        <v>2</v>
      </c>
      <c r="J122">
        <f t="shared" si="5"/>
        <v>110566.62</v>
      </c>
    </row>
    <row r="123" spans="1:10" x14ac:dyDescent="0.25">
      <c r="A123" t="s">
        <v>189</v>
      </c>
      <c r="B123" t="s">
        <v>208</v>
      </c>
      <c r="C123">
        <v>2014</v>
      </c>
      <c r="D123">
        <v>167800</v>
      </c>
      <c r="E123" t="s">
        <v>164</v>
      </c>
      <c r="F123">
        <v>190300</v>
      </c>
      <c r="G123" s="1">
        <v>42272</v>
      </c>
      <c r="H123" s="3">
        <f t="shared" si="3"/>
        <v>3</v>
      </c>
      <c r="I123">
        <f t="shared" si="4"/>
        <v>1</v>
      </c>
      <c r="J123">
        <f t="shared" si="5"/>
        <v>139274</v>
      </c>
    </row>
    <row r="124" spans="1:10" x14ac:dyDescent="0.25">
      <c r="A124" t="s">
        <v>187</v>
      </c>
      <c r="B124" t="s">
        <v>201</v>
      </c>
      <c r="C124">
        <v>2014</v>
      </c>
      <c r="D124">
        <v>219000</v>
      </c>
      <c r="E124" t="s">
        <v>165</v>
      </c>
      <c r="F124">
        <v>126290</v>
      </c>
      <c r="G124" s="1">
        <v>42083</v>
      </c>
      <c r="H124" s="3">
        <f t="shared" si="3"/>
        <v>3</v>
      </c>
      <c r="I124">
        <f t="shared" si="4"/>
        <v>1</v>
      </c>
      <c r="J124">
        <f t="shared" si="5"/>
        <v>181770</v>
      </c>
    </row>
    <row r="125" spans="1:10" x14ac:dyDescent="0.25">
      <c r="A125" t="s">
        <v>206</v>
      </c>
      <c r="B125" t="s">
        <v>226</v>
      </c>
      <c r="C125">
        <v>2014</v>
      </c>
      <c r="D125">
        <v>240000</v>
      </c>
      <c r="E125" t="s">
        <v>166</v>
      </c>
      <c r="F125">
        <v>183788</v>
      </c>
      <c r="G125" s="1">
        <v>42681</v>
      </c>
      <c r="H125" s="3">
        <f t="shared" si="3"/>
        <v>3</v>
      </c>
      <c r="I125">
        <f t="shared" si="4"/>
        <v>1</v>
      </c>
      <c r="J125">
        <f t="shared" si="5"/>
        <v>199200</v>
      </c>
    </row>
    <row r="126" spans="1:10" x14ac:dyDescent="0.25">
      <c r="A126" t="s">
        <v>206</v>
      </c>
      <c r="B126" t="s">
        <v>226</v>
      </c>
      <c r="C126">
        <v>2014</v>
      </c>
      <c r="D126">
        <v>240000</v>
      </c>
      <c r="E126" t="s">
        <v>167</v>
      </c>
      <c r="F126">
        <v>160198</v>
      </c>
      <c r="G126" s="1">
        <v>42681</v>
      </c>
      <c r="H126" s="3">
        <f t="shared" si="3"/>
        <v>3</v>
      </c>
      <c r="I126">
        <f t="shared" si="4"/>
        <v>1</v>
      </c>
      <c r="J126">
        <f t="shared" si="5"/>
        <v>199200</v>
      </c>
    </row>
    <row r="127" spans="1:10" x14ac:dyDescent="0.25">
      <c r="A127" t="s">
        <v>206</v>
      </c>
      <c r="B127" t="s">
        <v>226</v>
      </c>
      <c r="C127">
        <v>2014</v>
      </c>
      <c r="D127">
        <v>240000</v>
      </c>
      <c r="E127" t="s">
        <v>168</v>
      </c>
      <c r="F127">
        <v>156724</v>
      </c>
      <c r="G127" s="1">
        <v>42681</v>
      </c>
      <c r="H127" s="3">
        <f t="shared" si="3"/>
        <v>3</v>
      </c>
      <c r="I127">
        <f t="shared" si="4"/>
        <v>1</v>
      </c>
      <c r="J127">
        <f t="shared" si="5"/>
        <v>199200</v>
      </c>
    </row>
    <row r="128" spans="1:10" x14ac:dyDescent="0.25">
      <c r="A128" t="s">
        <v>189</v>
      </c>
      <c r="B128" t="s">
        <v>227</v>
      </c>
      <c r="C128">
        <v>2014</v>
      </c>
      <c r="D128">
        <v>270000</v>
      </c>
      <c r="E128" t="s">
        <v>169</v>
      </c>
      <c r="F128">
        <v>157000</v>
      </c>
      <c r="G128" s="1">
        <v>42334</v>
      </c>
      <c r="H128" s="3">
        <f t="shared" si="3"/>
        <v>3</v>
      </c>
      <c r="I128">
        <f t="shared" si="4"/>
        <v>1</v>
      </c>
      <c r="J128">
        <f t="shared" si="5"/>
        <v>224100</v>
      </c>
    </row>
    <row r="129" spans="1:10" x14ac:dyDescent="0.25">
      <c r="A129" t="s">
        <v>187</v>
      </c>
      <c r="B129" t="s">
        <v>201</v>
      </c>
      <c r="C129">
        <v>2015</v>
      </c>
      <c r="D129">
        <v>218000</v>
      </c>
      <c r="E129" t="s">
        <v>170</v>
      </c>
      <c r="F129">
        <v>130290</v>
      </c>
      <c r="G129" s="1">
        <v>42083</v>
      </c>
      <c r="H129" s="3">
        <f t="shared" si="3"/>
        <v>2</v>
      </c>
      <c r="I129">
        <f t="shared" si="4"/>
        <v>1</v>
      </c>
      <c r="J129">
        <f t="shared" si="5"/>
        <v>191840</v>
      </c>
    </row>
    <row r="130" spans="1:10" x14ac:dyDescent="0.25">
      <c r="A130" t="s">
        <v>187</v>
      </c>
      <c r="B130" t="s">
        <v>212</v>
      </c>
      <c r="C130">
        <v>2015</v>
      </c>
      <c r="D130">
        <v>258000</v>
      </c>
      <c r="E130" t="s">
        <v>171</v>
      </c>
      <c r="F130">
        <v>160700</v>
      </c>
      <c r="G130" s="1">
        <v>42286</v>
      </c>
      <c r="H130" s="3">
        <f t="shared" si="3"/>
        <v>2</v>
      </c>
      <c r="I130">
        <f t="shared" si="4"/>
        <v>1</v>
      </c>
      <c r="J130">
        <f t="shared" si="5"/>
        <v>227040</v>
      </c>
    </row>
    <row r="131" spans="1:10" x14ac:dyDescent="0.25">
      <c r="A131" t="s">
        <v>191</v>
      </c>
      <c r="B131" t="s">
        <v>229</v>
      </c>
      <c r="C131">
        <v>2015</v>
      </c>
      <c r="D131">
        <v>360000</v>
      </c>
      <c r="E131" t="s">
        <v>173</v>
      </c>
      <c r="F131">
        <v>100000</v>
      </c>
      <c r="G131" s="1">
        <v>42734</v>
      </c>
      <c r="H131" s="3">
        <f t="shared" ref="H131:H135" si="6">2017-TRUNC(C131)</f>
        <v>2</v>
      </c>
      <c r="I131">
        <f t="shared" ref="I131:I135" si="7">TRUNC(F131/100000)</f>
        <v>1</v>
      </c>
      <c r="J131">
        <f t="shared" ref="J131:J135" si="8">D131-(D131*H131*0.05 + D131*I131*0.02)</f>
        <v>316800</v>
      </c>
    </row>
    <row r="132" spans="1:10" x14ac:dyDescent="0.25">
      <c r="A132" t="s">
        <v>191</v>
      </c>
      <c r="B132" t="s">
        <v>229</v>
      </c>
      <c r="C132">
        <v>2015</v>
      </c>
      <c r="D132">
        <v>360000</v>
      </c>
      <c r="E132" t="s">
        <v>174</v>
      </c>
      <c r="F132">
        <v>115000</v>
      </c>
      <c r="G132" s="1">
        <v>42734</v>
      </c>
      <c r="H132" s="3">
        <f t="shared" si="6"/>
        <v>2</v>
      </c>
      <c r="I132">
        <f t="shared" si="7"/>
        <v>1</v>
      </c>
      <c r="J132">
        <f t="shared" si="8"/>
        <v>316800</v>
      </c>
    </row>
    <row r="133" spans="1:10" x14ac:dyDescent="0.25">
      <c r="A133" t="s">
        <v>191</v>
      </c>
      <c r="B133" t="s">
        <v>229</v>
      </c>
      <c r="C133">
        <v>2015</v>
      </c>
      <c r="D133">
        <v>360000</v>
      </c>
      <c r="E133" t="s">
        <v>175</v>
      </c>
      <c r="F133">
        <v>132000</v>
      </c>
      <c r="G133" s="1">
        <v>42734</v>
      </c>
      <c r="H133" s="3">
        <f t="shared" si="6"/>
        <v>2</v>
      </c>
      <c r="I133">
        <f t="shared" si="7"/>
        <v>1</v>
      </c>
      <c r="J133">
        <f t="shared" si="8"/>
        <v>316800</v>
      </c>
    </row>
    <row r="134" spans="1:10" x14ac:dyDescent="0.25">
      <c r="A134" t="s">
        <v>191</v>
      </c>
      <c r="B134" t="s">
        <v>229</v>
      </c>
      <c r="C134">
        <v>2015</v>
      </c>
      <c r="D134">
        <v>360000</v>
      </c>
      <c r="E134" t="s">
        <v>176</v>
      </c>
      <c r="F134">
        <v>108000</v>
      </c>
      <c r="G134" s="1">
        <v>42734</v>
      </c>
      <c r="H134" s="3">
        <f t="shared" si="6"/>
        <v>2</v>
      </c>
      <c r="I134">
        <f t="shared" si="7"/>
        <v>1</v>
      </c>
      <c r="J134">
        <f t="shared" si="8"/>
        <v>316800</v>
      </c>
    </row>
    <row r="135" spans="1:10" x14ac:dyDescent="0.25">
      <c r="A135" t="s">
        <v>191</v>
      </c>
      <c r="B135" t="s">
        <v>229</v>
      </c>
      <c r="C135">
        <v>2015</v>
      </c>
      <c r="D135">
        <v>360000</v>
      </c>
      <c r="E135" t="s">
        <v>177</v>
      </c>
      <c r="F135">
        <v>140000</v>
      </c>
      <c r="G135" s="1">
        <v>42734</v>
      </c>
      <c r="H135" s="3">
        <f t="shared" si="6"/>
        <v>2</v>
      </c>
      <c r="I135">
        <f t="shared" si="7"/>
        <v>1</v>
      </c>
      <c r="J135">
        <f t="shared" si="8"/>
        <v>316800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06F9-C599-4CBB-BD74-F1045145279B}">
  <dimension ref="A1:P135"/>
  <sheetViews>
    <sheetView topLeftCell="A16" workbookViewId="0">
      <selection activeCell="N7" sqref="N7:P7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12.7109375" bestFit="1" customWidth="1"/>
    <col min="4" max="4" width="15.28515625" bestFit="1" customWidth="1"/>
    <col min="5" max="5" width="8.42578125" bestFit="1" customWidth="1"/>
    <col min="6" max="6" width="24" bestFit="1" customWidth="1"/>
    <col min="7" max="7" width="10.140625" style="2" bestFit="1" customWidth="1"/>
    <col min="10" max="10" width="10.42578125" bestFit="1" customWidth="1"/>
    <col min="11" max="11" width="11.85546875" bestFit="1" customWidth="1"/>
    <col min="14" max="14" width="8.7109375" bestFit="1" customWidth="1"/>
    <col min="15" max="15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178</v>
      </c>
      <c r="H1" t="s">
        <v>179</v>
      </c>
      <c r="I1" t="s">
        <v>181</v>
      </c>
      <c r="J1" t="s">
        <v>182</v>
      </c>
      <c r="K1" t="s">
        <v>180</v>
      </c>
    </row>
    <row r="2" spans="1:16" x14ac:dyDescent="0.25">
      <c r="A2" t="s">
        <v>6</v>
      </c>
      <c r="B2">
        <v>2006</v>
      </c>
      <c r="C2">
        <v>85900</v>
      </c>
      <c r="D2" t="s">
        <v>7</v>
      </c>
      <c r="E2">
        <v>1200655</v>
      </c>
      <c r="F2" s="1">
        <v>42035</v>
      </c>
      <c r="G2" s="3">
        <f>2017-TRUNC(B2)</f>
        <v>11</v>
      </c>
      <c r="H2">
        <f>TRUNC(E2/100000)</f>
        <v>12</v>
      </c>
      <c r="I2">
        <f>C2*G2*0.05</f>
        <v>47245</v>
      </c>
      <c r="J2">
        <f>C2*H2*0.02</f>
        <v>20616</v>
      </c>
      <c r="K2">
        <f>C2-I2-J2</f>
        <v>18039</v>
      </c>
      <c r="M2">
        <f>MIN(K2:K135)</f>
        <v>17390</v>
      </c>
    </row>
    <row r="3" spans="1:16" x14ac:dyDescent="0.25">
      <c r="A3" t="s">
        <v>6</v>
      </c>
      <c r="B3">
        <v>2006</v>
      </c>
      <c r="C3">
        <v>85900</v>
      </c>
      <c r="D3" t="s">
        <v>8</v>
      </c>
      <c r="E3">
        <v>1068570</v>
      </c>
      <c r="F3" s="1">
        <v>42029</v>
      </c>
      <c r="G3" s="3">
        <f t="shared" ref="G3:G66" si="0">2017-TRUNC(B3)</f>
        <v>11</v>
      </c>
      <c r="H3">
        <f t="shared" ref="H3:H66" si="1">TRUNC(E3/100000)</f>
        <v>10</v>
      </c>
      <c r="I3">
        <f t="shared" ref="I3:I66" si="2">C3*G3*0.05</f>
        <v>47245</v>
      </c>
      <c r="J3">
        <f t="shared" ref="J3:J66" si="3">C3*H3*0.02</f>
        <v>17180</v>
      </c>
      <c r="K3">
        <f t="shared" ref="K3:K66" si="4">C3-I3-J3</f>
        <v>21475</v>
      </c>
    </row>
    <row r="4" spans="1:16" x14ac:dyDescent="0.25">
      <c r="A4" t="s">
        <v>6</v>
      </c>
      <c r="B4">
        <v>2006</v>
      </c>
      <c r="C4">
        <v>85900</v>
      </c>
      <c r="D4" t="s">
        <v>9</v>
      </c>
      <c r="E4">
        <v>998704</v>
      </c>
      <c r="F4" s="1">
        <v>42028</v>
      </c>
      <c r="G4" s="3">
        <f t="shared" si="0"/>
        <v>11</v>
      </c>
      <c r="H4">
        <f t="shared" si="1"/>
        <v>9</v>
      </c>
      <c r="I4">
        <f t="shared" si="2"/>
        <v>47245</v>
      </c>
      <c r="J4">
        <f t="shared" si="3"/>
        <v>15462</v>
      </c>
      <c r="K4">
        <f t="shared" si="4"/>
        <v>23193</v>
      </c>
    </row>
    <row r="5" spans="1:16" x14ac:dyDescent="0.25">
      <c r="A5" t="s">
        <v>6</v>
      </c>
      <c r="B5">
        <v>2006</v>
      </c>
      <c r="C5">
        <v>85900</v>
      </c>
      <c r="D5" t="s">
        <v>10</v>
      </c>
      <c r="E5">
        <v>936780</v>
      </c>
      <c r="F5" s="1">
        <v>42028</v>
      </c>
      <c r="G5" s="3">
        <f t="shared" si="0"/>
        <v>11</v>
      </c>
      <c r="H5">
        <f t="shared" si="1"/>
        <v>9</v>
      </c>
      <c r="I5">
        <f t="shared" si="2"/>
        <v>47245</v>
      </c>
      <c r="J5">
        <f t="shared" si="3"/>
        <v>15462</v>
      </c>
      <c r="K5">
        <f t="shared" si="4"/>
        <v>23193</v>
      </c>
    </row>
    <row r="6" spans="1:16" x14ac:dyDescent="0.25">
      <c r="A6" t="s">
        <v>6</v>
      </c>
      <c r="B6">
        <v>2006</v>
      </c>
      <c r="C6">
        <v>85900</v>
      </c>
      <c r="D6" t="s">
        <v>11</v>
      </c>
      <c r="E6">
        <v>870233</v>
      </c>
      <c r="F6" s="1">
        <v>42034</v>
      </c>
      <c r="G6" s="3">
        <f t="shared" si="0"/>
        <v>11</v>
      </c>
      <c r="H6">
        <f t="shared" si="1"/>
        <v>8</v>
      </c>
      <c r="I6">
        <f t="shared" si="2"/>
        <v>47245</v>
      </c>
      <c r="J6">
        <f t="shared" si="3"/>
        <v>13744</v>
      </c>
      <c r="K6">
        <f t="shared" si="4"/>
        <v>24911</v>
      </c>
      <c r="M6" t="s">
        <v>183</v>
      </c>
      <c r="N6" s="7">
        <v>40050</v>
      </c>
      <c r="O6" s="7">
        <v>5340</v>
      </c>
    </row>
    <row r="7" spans="1:16" x14ac:dyDescent="0.25">
      <c r="A7" t="s">
        <v>12</v>
      </c>
      <c r="B7">
        <v>2007</v>
      </c>
      <c r="C7">
        <v>205000</v>
      </c>
      <c r="D7" t="s">
        <v>13</v>
      </c>
      <c r="E7">
        <v>1260000</v>
      </c>
      <c r="F7" s="1">
        <v>42483</v>
      </c>
      <c r="G7" s="3">
        <f t="shared" si="0"/>
        <v>10</v>
      </c>
      <c r="H7">
        <f t="shared" si="1"/>
        <v>12</v>
      </c>
      <c r="I7">
        <f t="shared" si="2"/>
        <v>102500</v>
      </c>
      <c r="J7">
        <f t="shared" si="3"/>
        <v>49200</v>
      </c>
      <c r="K7">
        <f t="shared" si="4"/>
        <v>53300</v>
      </c>
      <c r="M7" t="s">
        <v>184</v>
      </c>
      <c r="N7" s="8" t="s">
        <v>50</v>
      </c>
      <c r="O7" s="8" t="s">
        <v>64</v>
      </c>
      <c r="P7">
        <v>17390</v>
      </c>
    </row>
    <row r="8" spans="1:16" x14ac:dyDescent="0.25">
      <c r="A8" t="s">
        <v>14</v>
      </c>
      <c r="B8">
        <v>2007</v>
      </c>
      <c r="C8">
        <v>198000</v>
      </c>
      <c r="D8" t="s">
        <v>15</v>
      </c>
      <c r="E8">
        <v>890200</v>
      </c>
      <c r="F8" s="1">
        <v>42520</v>
      </c>
      <c r="G8" s="3">
        <f t="shared" si="0"/>
        <v>10</v>
      </c>
      <c r="H8">
        <f t="shared" si="1"/>
        <v>8</v>
      </c>
      <c r="I8">
        <f t="shared" si="2"/>
        <v>99000</v>
      </c>
      <c r="J8">
        <f t="shared" si="3"/>
        <v>31680</v>
      </c>
      <c r="K8">
        <f t="shared" si="4"/>
        <v>67320</v>
      </c>
    </row>
    <row r="9" spans="1:16" x14ac:dyDescent="0.25">
      <c r="A9" t="s">
        <v>16</v>
      </c>
      <c r="B9">
        <v>2008</v>
      </c>
      <c r="C9">
        <v>49411</v>
      </c>
      <c r="D9" t="s">
        <v>17</v>
      </c>
      <c r="E9">
        <v>186000</v>
      </c>
      <c r="F9" s="1">
        <v>42210</v>
      </c>
      <c r="G9" s="3">
        <f t="shared" si="0"/>
        <v>9</v>
      </c>
      <c r="H9">
        <f t="shared" si="1"/>
        <v>1</v>
      </c>
      <c r="I9">
        <f t="shared" si="2"/>
        <v>22234.95</v>
      </c>
      <c r="J9">
        <f t="shared" si="3"/>
        <v>988.22</v>
      </c>
      <c r="K9">
        <f t="shared" si="4"/>
        <v>26187.829999999998</v>
      </c>
    </row>
    <row r="10" spans="1:16" x14ac:dyDescent="0.25">
      <c r="A10" t="s">
        <v>18</v>
      </c>
      <c r="B10">
        <v>2008</v>
      </c>
      <c r="C10">
        <v>58000</v>
      </c>
      <c r="D10" t="s">
        <v>19</v>
      </c>
      <c r="E10">
        <v>306000</v>
      </c>
      <c r="F10" s="1">
        <v>42271</v>
      </c>
      <c r="G10" s="3">
        <f t="shared" si="0"/>
        <v>9</v>
      </c>
      <c r="H10">
        <f t="shared" si="1"/>
        <v>3</v>
      </c>
      <c r="I10">
        <f t="shared" si="2"/>
        <v>26100</v>
      </c>
      <c r="J10">
        <f t="shared" si="3"/>
        <v>3480</v>
      </c>
      <c r="K10">
        <f t="shared" si="4"/>
        <v>28420</v>
      </c>
    </row>
    <row r="11" spans="1:16" x14ac:dyDescent="0.25">
      <c r="A11" t="s">
        <v>20</v>
      </c>
      <c r="B11">
        <v>2008</v>
      </c>
      <c r="C11">
        <v>84000</v>
      </c>
      <c r="D11" t="s">
        <v>21</v>
      </c>
      <c r="E11">
        <v>266000</v>
      </c>
      <c r="F11" s="1">
        <v>42382</v>
      </c>
      <c r="G11" s="3">
        <f t="shared" si="0"/>
        <v>9</v>
      </c>
      <c r="H11">
        <f t="shared" si="1"/>
        <v>2</v>
      </c>
      <c r="I11">
        <f t="shared" si="2"/>
        <v>37800</v>
      </c>
      <c r="J11">
        <f t="shared" si="3"/>
        <v>3360</v>
      </c>
      <c r="K11">
        <f t="shared" si="4"/>
        <v>42840</v>
      </c>
    </row>
    <row r="12" spans="1:16" x14ac:dyDescent="0.25">
      <c r="A12" s="4" t="s">
        <v>22</v>
      </c>
      <c r="B12" s="4">
        <v>2008</v>
      </c>
      <c r="C12" s="4">
        <v>89000</v>
      </c>
      <c r="D12" s="4" t="s">
        <v>23</v>
      </c>
      <c r="E12" s="4">
        <v>305000</v>
      </c>
      <c r="F12" s="5">
        <v>42075</v>
      </c>
      <c r="G12" s="6">
        <f t="shared" si="0"/>
        <v>9</v>
      </c>
      <c r="H12" s="4">
        <f t="shared" si="1"/>
        <v>3</v>
      </c>
      <c r="I12" s="7">
        <f t="shared" si="2"/>
        <v>40050</v>
      </c>
      <c r="J12" s="7">
        <f t="shared" si="3"/>
        <v>5340</v>
      </c>
      <c r="K12" s="4">
        <f t="shared" si="4"/>
        <v>43610</v>
      </c>
    </row>
    <row r="13" spans="1:16" x14ac:dyDescent="0.25">
      <c r="A13" t="s">
        <v>16</v>
      </c>
      <c r="B13">
        <v>2009</v>
      </c>
      <c r="C13">
        <v>48411</v>
      </c>
      <c r="D13" t="s">
        <v>24</v>
      </c>
      <c r="E13">
        <v>190000</v>
      </c>
      <c r="F13" s="1">
        <v>42210</v>
      </c>
      <c r="G13" s="3">
        <f t="shared" si="0"/>
        <v>8</v>
      </c>
      <c r="H13">
        <f t="shared" si="1"/>
        <v>1</v>
      </c>
      <c r="I13">
        <f t="shared" si="2"/>
        <v>19364.400000000001</v>
      </c>
      <c r="J13">
        <f t="shared" si="3"/>
        <v>968.22</v>
      </c>
      <c r="K13">
        <f t="shared" si="4"/>
        <v>28078.379999999997</v>
      </c>
    </row>
    <row r="14" spans="1:16" x14ac:dyDescent="0.25">
      <c r="A14" t="s">
        <v>25</v>
      </c>
      <c r="B14">
        <v>2009</v>
      </c>
      <c r="C14">
        <v>68000</v>
      </c>
      <c r="D14" t="s">
        <v>26</v>
      </c>
      <c r="E14">
        <v>992600</v>
      </c>
      <c r="F14" s="1">
        <v>42157</v>
      </c>
      <c r="G14" s="3">
        <f t="shared" si="0"/>
        <v>8</v>
      </c>
      <c r="H14">
        <f t="shared" si="1"/>
        <v>9</v>
      </c>
      <c r="I14">
        <f t="shared" si="2"/>
        <v>27200</v>
      </c>
      <c r="J14">
        <f t="shared" si="3"/>
        <v>12240</v>
      </c>
      <c r="K14">
        <f t="shared" si="4"/>
        <v>28560</v>
      </c>
    </row>
    <row r="15" spans="1:16" x14ac:dyDescent="0.25">
      <c r="A15" t="s">
        <v>16</v>
      </c>
      <c r="B15">
        <v>2009</v>
      </c>
      <c r="C15">
        <v>49411</v>
      </c>
      <c r="D15" t="s">
        <v>27</v>
      </c>
      <c r="E15">
        <v>186000</v>
      </c>
      <c r="F15" s="1">
        <v>42210</v>
      </c>
      <c r="G15" s="3">
        <f t="shared" si="0"/>
        <v>8</v>
      </c>
      <c r="H15">
        <f t="shared" si="1"/>
        <v>1</v>
      </c>
      <c r="I15">
        <f t="shared" si="2"/>
        <v>19764.400000000001</v>
      </c>
      <c r="J15">
        <f t="shared" si="3"/>
        <v>988.22</v>
      </c>
      <c r="K15">
        <f t="shared" si="4"/>
        <v>28658.379999999997</v>
      </c>
    </row>
    <row r="16" spans="1:16" x14ac:dyDescent="0.25">
      <c r="A16" t="s">
        <v>28</v>
      </c>
      <c r="B16">
        <v>2009</v>
      </c>
      <c r="C16">
        <v>67900</v>
      </c>
      <c r="D16" t="s">
        <v>29</v>
      </c>
      <c r="E16">
        <v>850000</v>
      </c>
      <c r="F16" s="1">
        <v>42194</v>
      </c>
      <c r="G16" s="3">
        <f t="shared" si="0"/>
        <v>8</v>
      </c>
      <c r="H16">
        <f t="shared" si="1"/>
        <v>8</v>
      </c>
      <c r="I16">
        <f t="shared" si="2"/>
        <v>27160</v>
      </c>
      <c r="J16">
        <f t="shared" si="3"/>
        <v>10864</v>
      </c>
      <c r="K16">
        <f t="shared" si="4"/>
        <v>29876</v>
      </c>
    </row>
    <row r="17" spans="1:11" x14ac:dyDescent="0.25">
      <c r="A17" t="s">
        <v>16</v>
      </c>
      <c r="B17">
        <v>2009</v>
      </c>
      <c r="C17">
        <v>65000</v>
      </c>
      <c r="D17" t="s">
        <v>30</v>
      </c>
      <c r="E17">
        <v>740000</v>
      </c>
      <c r="F17" s="1">
        <v>42385</v>
      </c>
      <c r="G17" s="3">
        <f t="shared" si="0"/>
        <v>8</v>
      </c>
      <c r="H17">
        <f t="shared" si="1"/>
        <v>7</v>
      </c>
      <c r="I17">
        <f t="shared" si="2"/>
        <v>26000</v>
      </c>
      <c r="J17">
        <f t="shared" si="3"/>
        <v>9100</v>
      </c>
      <c r="K17">
        <f t="shared" si="4"/>
        <v>29900</v>
      </c>
    </row>
    <row r="18" spans="1:11" x14ac:dyDescent="0.25">
      <c r="A18" t="s">
        <v>28</v>
      </c>
      <c r="B18">
        <v>2009</v>
      </c>
      <c r="C18">
        <v>68900</v>
      </c>
      <c r="D18" t="s">
        <v>31</v>
      </c>
      <c r="E18">
        <v>846000</v>
      </c>
      <c r="F18" s="1">
        <v>42194</v>
      </c>
      <c r="G18" s="3">
        <f t="shared" si="0"/>
        <v>8</v>
      </c>
      <c r="H18">
        <f t="shared" si="1"/>
        <v>8</v>
      </c>
      <c r="I18">
        <f t="shared" si="2"/>
        <v>27560</v>
      </c>
      <c r="J18">
        <f t="shared" si="3"/>
        <v>11024</v>
      </c>
      <c r="K18">
        <f t="shared" si="4"/>
        <v>30316</v>
      </c>
    </row>
    <row r="19" spans="1:11" x14ac:dyDescent="0.25">
      <c r="A19" t="s">
        <v>18</v>
      </c>
      <c r="B19">
        <v>2009</v>
      </c>
      <c r="C19">
        <v>59000</v>
      </c>
      <c r="D19" t="s">
        <v>32</v>
      </c>
      <c r="E19">
        <v>302000</v>
      </c>
      <c r="F19" s="1">
        <v>42271</v>
      </c>
      <c r="G19" s="3">
        <f t="shared" si="0"/>
        <v>8</v>
      </c>
      <c r="H19">
        <f t="shared" si="1"/>
        <v>3</v>
      </c>
      <c r="I19">
        <f t="shared" si="2"/>
        <v>23600</v>
      </c>
      <c r="J19">
        <f t="shared" si="3"/>
        <v>3540</v>
      </c>
      <c r="K19">
        <f t="shared" si="4"/>
        <v>31860</v>
      </c>
    </row>
    <row r="20" spans="1:11" x14ac:dyDescent="0.25">
      <c r="A20" t="s">
        <v>33</v>
      </c>
      <c r="B20">
        <v>2009</v>
      </c>
      <c r="C20">
        <v>77000</v>
      </c>
      <c r="D20" t="s">
        <v>34</v>
      </c>
      <c r="E20">
        <v>846000</v>
      </c>
      <c r="F20" s="1">
        <v>42376</v>
      </c>
      <c r="G20" s="3">
        <f t="shared" si="0"/>
        <v>8</v>
      </c>
      <c r="H20">
        <f t="shared" si="1"/>
        <v>8</v>
      </c>
      <c r="I20">
        <f t="shared" si="2"/>
        <v>30800</v>
      </c>
      <c r="J20">
        <f t="shared" si="3"/>
        <v>12320</v>
      </c>
      <c r="K20">
        <f t="shared" si="4"/>
        <v>33880</v>
      </c>
    </row>
    <row r="21" spans="1:11" x14ac:dyDescent="0.25">
      <c r="A21" t="s">
        <v>35</v>
      </c>
      <c r="B21">
        <v>2009</v>
      </c>
      <c r="C21">
        <v>85000</v>
      </c>
      <c r="D21" t="s">
        <v>36</v>
      </c>
      <c r="E21">
        <v>946000</v>
      </c>
      <c r="F21" s="1">
        <v>42014</v>
      </c>
      <c r="G21" s="3">
        <f t="shared" si="0"/>
        <v>8</v>
      </c>
      <c r="H21">
        <f t="shared" si="1"/>
        <v>9</v>
      </c>
      <c r="I21">
        <f t="shared" si="2"/>
        <v>34000</v>
      </c>
      <c r="J21">
        <f t="shared" si="3"/>
        <v>15300</v>
      </c>
      <c r="K21">
        <f t="shared" si="4"/>
        <v>35700</v>
      </c>
    </row>
    <row r="22" spans="1:11" x14ac:dyDescent="0.25">
      <c r="A22" t="s">
        <v>37</v>
      </c>
      <c r="B22">
        <v>2009</v>
      </c>
      <c r="C22">
        <v>79000</v>
      </c>
      <c r="D22" t="s">
        <v>38</v>
      </c>
      <c r="E22">
        <v>390000</v>
      </c>
      <c r="F22" s="1">
        <v>42379</v>
      </c>
      <c r="G22" s="3">
        <f t="shared" si="0"/>
        <v>8</v>
      </c>
      <c r="H22">
        <f t="shared" si="1"/>
        <v>3</v>
      </c>
      <c r="I22">
        <f t="shared" si="2"/>
        <v>31600</v>
      </c>
      <c r="J22">
        <f t="shared" si="3"/>
        <v>4740</v>
      </c>
      <c r="K22">
        <f t="shared" si="4"/>
        <v>42660</v>
      </c>
    </row>
    <row r="23" spans="1:11" x14ac:dyDescent="0.25">
      <c r="A23" t="s">
        <v>37</v>
      </c>
      <c r="B23">
        <v>2009</v>
      </c>
      <c r="C23">
        <v>79000</v>
      </c>
      <c r="D23" t="s">
        <v>39</v>
      </c>
      <c r="E23">
        <v>390000</v>
      </c>
      <c r="F23" s="1">
        <v>42379</v>
      </c>
      <c r="G23" s="3">
        <f t="shared" si="0"/>
        <v>8</v>
      </c>
      <c r="H23">
        <f t="shared" si="1"/>
        <v>3</v>
      </c>
      <c r="I23">
        <f t="shared" si="2"/>
        <v>31600</v>
      </c>
      <c r="J23">
        <f t="shared" si="3"/>
        <v>4740</v>
      </c>
      <c r="K23">
        <f t="shared" si="4"/>
        <v>42660</v>
      </c>
    </row>
    <row r="24" spans="1:11" x14ac:dyDescent="0.25">
      <c r="A24" t="s">
        <v>20</v>
      </c>
      <c r="B24">
        <v>2009</v>
      </c>
      <c r="C24">
        <v>83000</v>
      </c>
      <c r="D24" t="s">
        <v>40</v>
      </c>
      <c r="E24">
        <v>270000</v>
      </c>
      <c r="F24" s="1">
        <v>42382</v>
      </c>
      <c r="G24" s="3">
        <f t="shared" si="0"/>
        <v>8</v>
      </c>
      <c r="H24">
        <f t="shared" si="1"/>
        <v>2</v>
      </c>
      <c r="I24">
        <f t="shared" si="2"/>
        <v>33200</v>
      </c>
      <c r="J24">
        <f t="shared" si="3"/>
        <v>3320</v>
      </c>
      <c r="K24">
        <f t="shared" si="4"/>
        <v>46480</v>
      </c>
    </row>
    <row r="25" spans="1:11" x14ac:dyDescent="0.25">
      <c r="A25" t="s">
        <v>41</v>
      </c>
      <c r="B25">
        <v>2009</v>
      </c>
      <c r="C25">
        <v>86133</v>
      </c>
      <c r="D25" t="s">
        <v>42</v>
      </c>
      <c r="E25">
        <v>380000</v>
      </c>
      <c r="F25" s="1">
        <v>42208</v>
      </c>
      <c r="G25" s="3">
        <f t="shared" si="0"/>
        <v>8</v>
      </c>
      <c r="H25">
        <f t="shared" si="1"/>
        <v>3</v>
      </c>
      <c r="I25">
        <f t="shared" si="2"/>
        <v>34453.200000000004</v>
      </c>
      <c r="J25">
        <f t="shared" si="3"/>
        <v>5167.9800000000005</v>
      </c>
      <c r="K25">
        <f t="shared" si="4"/>
        <v>46511.819999999992</v>
      </c>
    </row>
    <row r="26" spans="1:11" x14ac:dyDescent="0.25">
      <c r="A26" t="s">
        <v>22</v>
      </c>
      <c r="B26">
        <v>2009</v>
      </c>
      <c r="C26">
        <v>90000</v>
      </c>
      <c r="D26" t="s">
        <v>43</v>
      </c>
      <c r="E26">
        <v>301000</v>
      </c>
      <c r="F26" s="1">
        <v>42075</v>
      </c>
      <c r="G26" s="3">
        <f t="shared" si="0"/>
        <v>8</v>
      </c>
      <c r="H26">
        <f t="shared" si="1"/>
        <v>3</v>
      </c>
      <c r="I26">
        <f t="shared" si="2"/>
        <v>36000</v>
      </c>
      <c r="J26">
        <f t="shared" si="3"/>
        <v>5400</v>
      </c>
      <c r="K26">
        <f t="shared" si="4"/>
        <v>48600</v>
      </c>
    </row>
    <row r="27" spans="1:11" x14ac:dyDescent="0.25">
      <c r="A27" t="s">
        <v>35</v>
      </c>
      <c r="B27">
        <v>2009</v>
      </c>
      <c r="C27">
        <v>91000</v>
      </c>
      <c r="D27" t="s">
        <v>44</v>
      </c>
      <c r="E27">
        <v>360000</v>
      </c>
      <c r="F27" s="1">
        <v>42174</v>
      </c>
      <c r="G27" s="3">
        <f t="shared" si="0"/>
        <v>8</v>
      </c>
      <c r="H27">
        <f t="shared" si="1"/>
        <v>3</v>
      </c>
      <c r="I27">
        <f t="shared" si="2"/>
        <v>36400</v>
      </c>
      <c r="J27">
        <f t="shared" si="3"/>
        <v>5460</v>
      </c>
      <c r="K27">
        <f t="shared" si="4"/>
        <v>49140</v>
      </c>
    </row>
    <row r="28" spans="1:11" x14ac:dyDescent="0.25">
      <c r="A28" t="s">
        <v>45</v>
      </c>
      <c r="B28">
        <v>2009</v>
      </c>
      <c r="C28">
        <v>114400</v>
      </c>
      <c r="D28" t="s">
        <v>46</v>
      </c>
      <c r="E28">
        <v>226000</v>
      </c>
      <c r="F28" s="1">
        <v>42073</v>
      </c>
      <c r="G28" s="3">
        <f t="shared" si="0"/>
        <v>8</v>
      </c>
      <c r="H28">
        <f t="shared" si="1"/>
        <v>2</v>
      </c>
      <c r="I28">
        <f t="shared" si="2"/>
        <v>45760</v>
      </c>
      <c r="J28">
        <f t="shared" si="3"/>
        <v>4576</v>
      </c>
      <c r="K28">
        <f t="shared" si="4"/>
        <v>64064</v>
      </c>
    </row>
    <row r="29" spans="1:11" x14ac:dyDescent="0.25">
      <c r="A29" t="s">
        <v>47</v>
      </c>
      <c r="B29">
        <v>2009</v>
      </c>
      <c r="C29">
        <v>134000</v>
      </c>
      <c r="D29" t="s">
        <v>48</v>
      </c>
      <c r="E29">
        <v>482000</v>
      </c>
      <c r="F29" s="1">
        <v>42385</v>
      </c>
      <c r="G29" s="3">
        <f t="shared" si="0"/>
        <v>8</v>
      </c>
      <c r="H29">
        <f t="shared" si="1"/>
        <v>4</v>
      </c>
      <c r="I29">
        <f t="shared" si="2"/>
        <v>53600</v>
      </c>
      <c r="J29">
        <f t="shared" si="3"/>
        <v>10720</v>
      </c>
      <c r="K29">
        <f t="shared" si="4"/>
        <v>69680</v>
      </c>
    </row>
    <row r="30" spans="1:11" x14ac:dyDescent="0.25">
      <c r="A30" t="s">
        <v>47</v>
      </c>
      <c r="B30">
        <v>2009</v>
      </c>
      <c r="C30">
        <v>135000</v>
      </c>
      <c r="D30" t="s">
        <v>49</v>
      </c>
      <c r="E30">
        <v>478000</v>
      </c>
      <c r="F30" s="1">
        <v>42385</v>
      </c>
      <c r="G30" s="3">
        <f t="shared" si="0"/>
        <v>8</v>
      </c>
      <c r="H30">
        <f t="shared" si="1"/>
        <v>4</v>
      </c>
      <c r="I30">
        <f t="shared" si="2"/>
        <v>54000</v>
      </c>
      <c r="J30">
        <f t="shared" si="3"/>
        <v>10800</v>
      </c>
      <c r="K30">
        <f t="shared" si="4"/>
        <v>70200</v>
      </c>
    </row>
    <row r="31" spans="1:11" x14ac:dyDescent="0.25">
      <c r="A31" t="s">
        <v>50</v>
      </c>
      <c r="B31">
        <v>2009</v>
      </c>
      <c r="C31">
        <v>131780</v>
      </c>
      <c r="D31" t="s">
        <v>51</v>
      </c>
      <c r="E31">
        <v>306000</v>
      </c>
      <c r="F31" s="1">
        <v>42365</v>
      </c>
      <c r="G31" s="3">
        <f t="shared" si="0"/>
        <v>8</v>
      </c>
      <c r="H31">
        <f t="shared" si="1"/>
        <v>3</v>
      </c>
      <c r="I31">
        <f t="shared" si="2"/>
        <v>52712</v>
      </c>
      <c r="J31">
        <f t="shared" si="3"/>
        <v>7906.8</v>
      </c>
      <c r="K31">
        <f t="shared" si="4"/>
        <v>71161.2</v>
      </c>
    </row>
    <row r="32" spans="1:11" x14ac:dyDescent="0.25">
      <c r="A32" t="s">
        <v>45</v>
      </c>
      <c r="B32">
        <v>2009</v>
      </c>
      <c r="C32">
        <v>159000</v>
      </c>
      <c r="D32" t="s">
        <v>52</v>
      </c>
      <c r="E32">
        <v>403000</v>
      </c>
      <c r="F32" s="1">
        <v>42681</v>
      </c>
      <c r="G32" s="3">
        <f t="shared" si="0"/>
        <v>8</v>
      </c>
      <c r="H32">
        <f t="shared" si="1"/>
        <v>4</v>
      </c>
      <c r="I32">
        <f t="shared" si="2"/>
        <v>63600</v>
      </c>
      <c r="J32">
        <f t="shared" si="3"/>
        <v>12720</v>
      </c>
      <c r="K32">
        <f t="shared" si="4"/>
        <v>82680</v>
      </c>
    </row>
    <row r="33" spans="1:11" x14ac:dyDescent="0.25">
      <c r="A33" t="s">
        <v>33</v>
      </c>
      <c r="B33">
        <v>2009</v>
      </c>
      <c r="C33">
        <v>162800</v>
      </c>
      <c r="D33" t="s">
        <v>53</v>
      </c>
      <c r="E33">
        <v>370000</v>
      </c>
      <c r="F33" s="1">
        <v>42329</v>
      </c>
      <c r="G33" s="3">
        <f t="shared" si="0"/>
        <v>8</v>
      </c>
      <c r="H33">
        <f t="shared" si="1"/>
        <v>3</v>
      </c>
      <c r="I33">
        <f t="shared" si="2"/>
        <v>65120</v>
      </c>
      <c r="J33">
        <f t="shared" si="3"/>
        <v>9768</v>
      </c>
      <c r="K33">
        <f t="shared" si="4"/>
        <v>87912</v>
      </c>
    </row>
    <row r="34" spans="1:11" x14ac:dyDescent="0.25">
      <c r="A34" t="s">
        <v>54</v>
      </c>
      <c r="B34">
        <v>2009</v>
      </c>
      <c r="C34">
        <v>168800</v>
      </c>
      <c r="D34" t="s">
        <v>55</v>
      </c>
      <c r="E34">
        <v>186300</v>
      </c>
      <c r="F34" s="1">
        <v>42272</v>
      </c>
      <c r="G34" s="3">
        <f t="shared" si="0"/>
        <v>8</v>
      </c>
      <c r="H34">
        <f t="shared" si="1"/>
        <v>1</v>
      </c>
      <c r="I34">
        <f t="shared" si="2"/>
        <v>67520</v>
      </c>
      <c r="J34">
        <f t="shared" si="3"/>
        <v>3376</v>
      </c>
      <c r="K34">
        <f t="shared" si="4"/>
        <v>97904</v>
      </c>
    </row>
    <row r="35" spans="1:11" x14ac:dyDescent="0.25">
      <c r="A35" t="s">
        <v>56</v>
      </c>
      <c r="B35">
        <v>2009</v>
      </c>
      <c r="C35">
        <v>195370</v>
      </c>
      <c r="D35" t="s">
        <v>57</v>
      </c>
      <c r="E35">
        <v>290000</v>
      </c>
      <c r="F35" s="1">
        <v>42467</v>
      </c>
      <c r="G35" s="3">
        <f t="shared" si="0"/>
        <v>8</v>
      </c>
      <c r="H35">
        <f t="shared" si="1"/>
        <v>2</v>
      </c>
      <c r="I35">
        <f t="shared" si="2"/>
        <v>78148</v>
      </c>
      <c r="J35">
        <f t="shared" si="3"/>
        <v>7814.8</v>
      </c>
      <c r="K35">
        <f t="shared" si="4"/>
        <v>109407.2</v>
      </c>
    </row>
    <row r="36" spans="1:11" x14ac:dyDescent="0.25">
      <c r="A36" t="s">
        <v>58</v>
      </c>
      <c r="B36">
        <v>2009</v>
      </c>
      <c r="C36">
        <v>195340</v>
      </c>
      <c r="D36" t="s">
        <v>59</v>
      </c>
      <c r="E36">
        <v>190000</v>
      </c>
      <c r="F36" s="1">
        <v>42278</v>
      </c>
      <c r="G36" s="3">
        <f t="shared" si="0"/>
        <v>8</v>
      </c>
      <c r="H36">
        <f t="shared" si="1"/>
        <v>1</v>
      </c>
      <c r="I36">
        <f t="shared" si="2"/>
        <v>78136</v>
      </c>
      <c r="J36">
        <f t="shared" si="3"/>
        <v>3906.8</v>
      </c>
      <c r="K36">
        <f t="shared" si="4"/>
        <v>113297.2</v>
      </c>
    </row>
    <row r="37" spans="1:11" x14ac:dyDescent="0.25">
      <c r="A37" t="s">
        <v>60</v>
      </c>
      <c r="B37">
        <v>2009</v>
      </c>
      <c r="C37">
        <v>230000</v>
      </c>
      <c r="D37" t="s">
        <v>61</v>
      </c>
      <c r="E37">
        <v>305000</v>
      </c>
      <c r="F37" s="1">
        <v>42307</v>
      </c>
      <c r="G37" s="3">
        <f t="shared" si="0"/>
        <v>8</v>
      </c>
      <c r="H37">
        <f t="shared" si="1"/>
        <v>3</v>
      </c>
      <c r="I37">
        <f t="shared" si="2"/>
        <v>92000</v>
      </c>
      <c r="J37">
        <f t="shared" si="3"/>
        <v>13800</v>
      </c>
      <c r="K37">
        <f t="shared" si="4"/>
        <v>124200</v>
      </c>
    </row>
    <row r="38" spans="1:11" x14ac:dyDescent="0.25">
      <c r="A38" t="s">
        <v>62</v>
      </c>
      <c r="B38">
        <v>2009</v>
      </c>
      <c r="C38">
        <v>291000</v>
      </c>
      <c r="D38" t="s">
        <v>63</v>
      </c>
      <c r="E38">
        <v>166000</v>
      </c>
      <c r="F38" s="1">
        <v>42297</v>
      </c>
      <c r="G38" s="3">
        <f t="shared" si="0"/>
        <v>8</v>
      </c>
      <c r="H38">
        <f t="shared" si="1"/>
        <v>1</v>
      </c>
      <c r="I38">
        <f t="shared" si="2"/>
        <v>116400</v>
      </c>
      <c r="J38">
        <f t="shared" si="3"/>
        <v>5820</v>
      </c>
      <c r="K38">
        <f t="shared" si="4"/>
        <v>168780</v>
      </c>
    </row>
    <row r="39" spans="1:11" x14ac:dyDescent="0.25">
      <c r="A39" s="8" t="s">
        <v>50</v>
      </c>
      <c r="B39" s="8">
        <v>2010</v>
      </c>
      <c r="C39" s="8">
        <v>37000</v>
      </c>
      <c r="D39" s="8" t="s">
        <v>64</v>
      </c>
      <c r="E39" s="8">
        <v>978000</v>
      </c>
      <c r="F39" s="9">
        <v>42309</v>
      </c>
      <c r="G39" s="10">
        <f t="shared" si="0"/>
        <v>7</v>
      </c>
      <c r="H39" s="8">
        <f t="shared" si="1"/>
        <v>9</v>
      </c>
      <c r="I39" s="8">
        <f t="shared" si="2"/>
        <v>12950</v>
      </c>
      <c r="J39" s="8">
        <f t="shared" si="3"/>
        <v>6660</v>
      </c>
      <c r="K39">
        <f t="shared" si="4"/>
        <v>17390</v>
      </c>
    </row>
    <row r="40" spans="1:11" x14ac:dyDescent="0.25">
      <c r="A40" t="s">
        <v>50</v>
      </c>
      <c r="B40">
        <v>2010</v>
      </c>
      <c r="C40">
        <v>40830</v>
      </c>
      <c r="D40" t="s">
        <v>65</v>
      </c>
      <c r="E40">
        <v>326000</v>
      </c>
      <c r="F40" s="1">
        <v>42062</v>
      </c>
      <c r="G40" s="3">
        <f t="shared" si="0"/>
        <v>7</v>
      </c>
      <c r="H40">
        <f t="shared" si="1"/>
        <v>3</v>
      </c>
      <c r="I40">
        <f t="shared" si="2"/>
        <v>14290.5</v>
      </c>
      <c r="J40">
        <f t="shared" si="3"/>
        <v>2449.8000000000002</v>
      </c>
      <c r="K40">
        <f t="shared" si="4"/>
        <v>24089.7</v>
      </c>
    </row>
    <row r="41" spans="1:11" x14ac:dyDescent="0.25">
      <c r="A41" t="s">
        <v>16</v>
      </c>
      <c r="B41">
        <v>2010</v>
      </c>
      <c r="C41">
        <v>66000</v>
      </c>
      <c r="D41" t="s">
        <v>66</v>
      </c>
      <c r="E41">
        <v>736000</v>
      </c>
      <c r="F41" s="1">
        <v>42385</v>
      </c>
      <c r="G41" s="3">
        <f t="shared" si="0"/>
        <v>7</v>
      </c>
      <c r="H41">
        <f t="shared" si="1"/>
        <v>7</v>
      </c>
      <c r="I41">
        <f t="shared" si="2"/>
        <v>23100</v>
      </c>
      <c r="J41">
        <f t="shared" si="3"/>
        <v>9240</v>
      </c>
      <c r="K41">
        <f t="shared" si="4"/>
        <v>33660</v>
      </c>
    </row>
    <row r="42" spans="1:11" x14ac:dyDescent="0.25">
      <c r="A42" t="s">
        <v>67</v>
      </c>
      <c r="B42">
        <v>2010</v>
      </c>
      <c r="C42">
        <v>60000</v>
      </c>
      <c r="D42" t="s">
        <v>68</v>
      </c>
      <c r="E42">
        <v>99250</v>
      </c>
      <c r="F42" s="1">
        <v>42226</v>
      </c>
      <c r="G42" s="3">
        <f t="shared" si="0"/>
        <v>7</v>
      </c>
      <c r="H42">
        <f t="shared" si="1"/>
        <v>0</v>
      </c>
      <c r="I42">
        <f t="shared" si="2"/>
        <v>21000</v>
      </c>
      <c r="J42">
        <f t="shared" si="3"/>
        <v>0</v>
      </c>
      <c r="K42">
        <f t="shared" si="4"/>
        <v>39000</v>
      </c>
    </row>
    <row r="43" spans="1:11" x14ac:dyDescent="0.25">
      <c r="A43" t="s">
        <v>35</v>
      </c>
      <c r="B43">
        <v>2010</v>
      </c>
      <c r="C43">
        <v>84000</v>
      </c>
      <c r="D43" t="s">
        <v>69</v>
      </c>
      <c r="E43">
        <v>950000</v>
      </c>
      <c r="F43" s="1">
        <v>42029</v>
      </c>
      <c r="G43" s="3">
        <f t="shared" si="0"/>
        <v>7</v>
      </c>
      <c r="H43">
        <f t="shared" si="1"/>
        <v>9</v>
      </c>
      <c r="I43">
        <f t="shared" si="2"/>
        <v>29400</v>
      </c>
      <c r="J43">
        <f t="shared" si="3"/>
        <v>15120</v>
      </c>
      <c r="K43">
        <f t="shared" si="4"/>
        <v>39480</v>
      </c>
    </row>
    <row r="44" spans="1:11" x14ac:dyDescent="0.25">
      <c r="A44" t="s">
        <v>25</v>
      </c>
      <c r="B44">
        <v>2010</v>
      </c>
      <c r="C44">
        <v>67000</v>
      </c>
      <c r="D44" t="s">
        <v>70</v>
      </c>
      <c r="E44">
        <v>103260</v>
      </c>
      <c r="F44" s="1">
        <v>42157</v>
      </c>
      <c r="G44" s="3">
        <f t="shared" si="0"/>
        <v>7</v>
      </c>
      <c r="H44">
        <f t="shared" si="1"/>
        <v>1</v>
      </c>
      <c r="I44">
        <f t="shared" si="2"/>
        <v>23450</v>
      </c>
      <c r="J44">
        <f t="shared" si="3"/>
        <v>1340</v>
      </c>
      <c r="K44">
        <f t="shared" si="4"/>
        <v>42210</v>
      </c>
    </row>
    <row r="45" spans="1:11" x14ac:dyDescent="0.25">
      <c r="A45" t="s">
        <v>71</v>
      </c>
      <c r="B45">
        <v>2010</v>
      </c>
      <c r="C45">
        <v>75300</v>
      </c>
      <c r="D45" t="s">
        <v>72</v>
      </c>
      <c r="E45">
        <v>302000</v>
      </c>
      <c r="F45" s="1">
        <v>42174</v>
      </c>
      <c r="G45" s="3">
        <f t="shared" si="0"/>
        <v>7</v>
      </c>
      <c r="H45">
        <f t="shared" si="1"/>
        <v>3</v>
      </c>
      <c r="I45">
        <f t="shared" si="2"/>
        <v>26355</v>
      </c>
      <c r="J45">
        <f t="shared" si="3"/>
        <v>4518</v>
      </c>
      <c r="K45">
        <f t="shared" si="4"/>
        <v>44427</v>
      </c>
    </row>
    <row r="46" spans="1:11" x14ac:dyDescent="0.25">
      <c r="A46" t="s">
        <v>20</v>
      </c>
      <c r="B46">
        <v>2010</v>
      </c>
      <c r="C46">
        <v>84000</v>
      </c>
      <c r="D46" t="s">
        <v>73</v>
      </c>
      <c r="E46">
        <v>266000</v>
      </c>
      <c r="F46" s="1">
        <v>42382</v>
      </c>
      <c r="G46" s="3">
        <f t="shared" si="0"/>
        <v>7</v>
      </c>
      <c r="H46">
        <f t="shared" si="1"/>
        <v>2</v>
      </c>
      <c r="I46">
        <f t="shared" si="2"/>
        <v>29400</v>
      </c>
      <c r="J46">
        <f t="shared" si="3"/>
        <v>3360</v>
      </c>
      <c r="K46">
        <f t="shared" si="4"/>
        <v>51240</v>
      </c>
    </row>
    <row r="47" spans="1:11" x14ac:dyDescent="0.25">
      <c r="A47" t="s">
        <v>35</v>
      </c>
      <c r="B47">
        <v>2010</v>
      </c>
      <c r="C47">
        <v>92000</v>
      </c>
      <c r="D47" t="s">
        <v>74</v>
      </c>
      <c r="E47">
        <v>356000</v>
      </c>
      <c r="F47" s="1">
        <v>42174</v>
      </c>
      <c r="G47" s="3">
        <f t="shared" si="0"/>
        <v>7</v>
      </c>
      <c r="H47">
        <f t="shared" si="1"/>
        <v>3</v>
      </c>
      <c r="I47">
        <f t="shared" si="2"/>
        <v>32200</v>
      </c>
      <c r="J47">
        <f t="shared" si="3"/>
        <v>5520</v>
      </c>
      <c r="K47">
        <f t="shared" si="4"/>
        <v>54280</v>
      </c>
    </row>
    <row r="48" spans="1:11" x14ac:dyDescent="0.25">
      <c r="A48" t="s">
        <v>45</v>
      </c>
      <c r="B48">
        <v>2010</v>
      </c>
      <c r="C48">
        <v>89000</v>
      </c>
      <c r="D48" t="s">
        <v>75</v>
      </c>
      <c r="E48">
        <v>266000</v>
      </c>
      <c r="F48" s="1">
        <v>42382</v>
      </c>
      <c r="G48" s="3">
        <f t="shared" si="0"/>
        <v>7</v>
      </c>
      <c r="H48">
        <f t="shared" si="1"/>
        <v>2</v>
      </c>
      <c r="I48">
        <f t="shared" si="2"/>
        <v>31150</v>
      </c>
      <c r="J48">
        <f t="shared" si="3"/>
        <v>3560</v>
      </c>
      <c r="K48">
        <f t="shared" si="4"/>
        <v>54290</v>
      </c>
    </row>
    <row r="49" spans="1:11" x14ac:dyDescent="0.25">
      <c r="A49" t="s">
        <v>76</v>
      </c>
      <c r="B49">
        <v>2010</v>
      </c>
      <c r="C49">
        <v>94000</v>
      </c>
      <c r="D49" t="s">
        <v>77</v>
      </c>
      <c r="E49">
        <v>91000</v>
      </c>
      <c r="F49" s="1">
        <v>42268</v>
      </c>
      <c r="G49" s="3">
        <f t="shared" si="0"/>
        <v>7</v>
      </c>
      <c r="H49">
        <f t="shared" si="1"/>
        <v>0</v>
      </c>
      <c r="I49">
        <f t="shared" si="2"/>
        <v>32900</v>
      </c>
      <c r="J49">
        <f t="shared" si="3"/>
        <v>0</v>
      </c>
      <c r="K49">
        <f t="shared" si="4"/>
        <v>61100</v>
      </c>
    </row>
    <row r="50" spans="1:11" x14ac:dyDescent="0.25">
      <c r="A50" t="s">
        <v>45</v>
      </c>
      <c r="B50">
        <v>2010</v>
      </c>
      <c r="C50">
        <v>113400</v>
      </c>
      <c r="D50" t="s">
        <v>78</v>
      </c>
      <c r="E50">
        <v>230000</v>
      </c>
      <c r="F50" s="1">
        <v>42073</v>
      </c>
      <c r="G50" s="3">
        <f t="shared" si="0"/>
        <v>7</v>
      </c>
      <c r="H50">
        <f t="shared" si="1"/>
        <v>2</v>
      </c>
      <c r="I50">
        <f t="shared" si="2"/>
        <v>39690</v>
      </c>
      <c r="J50">
        <f t="shared" si="3"/>
        <v>4536</v>
      </c>
      <c r="K50">
        <f t="shared" si="4"/>
        <v>69174</v>
      </c>
    </row>
    <row r="51" spans="1:11" x14ac:dyDescent="0.25">
      <c r="A51" t="s">
        <v>79</v>
      </c>
      <c r="B51">
        <v>2010</v>
      </c>
      <c r="C51">
        <v>135000</v>
      </c>
      <c r="D51" t="s">
        <v>80</v>
      </c>
      <c r="E51">
        <v>251000</v>
      </c>
      <c r="F51" s="1">
        <v>42067</v>
      </c>
      <c r="G51" s="3">
        <f t="shared" si="0"/>
        <v>7</v>
      </c>
      <c r="H51">
        <f t="shared" si="1"/>
        <v>2</v>
      </c>
      <c r="I51">
        <f t="shared" si="2"/>
        <v>47250</v>
      </c>
      <c r="J51">
        <f t="shared" si="3"/>
        <v>5400</v>
      </c>
      <c r="K51">
        <f t="shared" si="4"/>
        <v>82350</v>
      </c>
    </row>
    <row r="52" spans="1:11" x14ac:dyDescent="0.25">
      <c r="A52" t="s">
        <v>81</v>
      </c>
      <c r="B52">
        <v>2010</v>
      </c>
      <c r="C52">
        <v>160000</v>
      </c>
      <c r="D52" t="s">
        <v>82</v>
      </c>
      <c r="E52">
        <v>263000</v>
      </c>
      <c r="F52" s="1">
        <v>42028</v>
      </c>
      <c r="G52" s="3">
        <f t="shared" si="0"/>
        <v>7</v>
      </c>
      <c r="H52">
        <f t="shared" si="1"/>
        <v>2</v>
      </c>
      <c r="I52">
        <f t="shared" si="2"/>
        <v>56000</v>
      </c>
      <c r="J52">
        <f t="shared" si="3"/>
        <v>6400</v>
      </c>
      <c r="K52">
        <f t="shared" si="4"/>
        <v>97600</v>
      </c>
    </row>
    <row r="53" spans="1:11" x14ac:dyDescent="0.25">
      <c r="A53" t="s">
        <v>83</v>
      </c>
      <c r="B53">
        <v>2010</v>
      </c>
      <c r="C53">
        <v>265000</v>
      </c>
      <c r="D53" t="s">
        <v>84</v>
      </c>
      <c r="E53">
        <v>930000</v>
      </c>
      <c r="F53" s="1">
        <v>42236</v>
      </c>
      <c r="G53" s="3">
        <f t="shared" si="0"/>
        <v>7</v>
      </c>
      <c r="H53">
        <f t="shared" si="1"/>
        <v>9</v>
      </c>
      <c r="I53">
        <f t="shared" si="2"/>
        <v>92750</v>
      </c>
      <c r="J53">
        <f t="shared" si="3"/>
        <v>47700</v>
      </c>
      <c r="K53">
        <f t="shared" si="4"/>
        <v>124550</v>
      </c>
    </row>
    <row r="54" spans="1:11" x14ac:dyDescent="0.25">
      <c r="A54" t="s">
        <v>83</v>
      </c>
      <c r="B54">
        <v>2010</v>
      </c>
      <c r="C54">
        <v>265000</v>
      </c>
      <c r="D54" t="s">
        <v>85</v>
      </c>
      <c r="E54">
        <v>912000</v>
      </c>
      <c r="F54" s="1">
        <v>42236</v>
      </c>
      <c r="G54" s="3">
        <f t="shared" si="0"/>
        <v>7</v>
      </c>
      <c r="H54">
        <f t="shared" si="1"/>
        <v>9</v>
      </c>
      <c r="I54">
        <f t="shared" si="2"/>
        <v>92750</v>
      </c>
      <c r="J54">
        <f t="shared" si="3"/>
        <v>47700</v>
      </c>
      <c r="K54">
        <f t="shared" si="4"/>
        <v>124550</v>
      </c>
    </row>
    <row r="55" spans="1:11" x14ac:dyDescent="0.25">
      <c r="A55" t="s">
        <v>83</v>
      </c>
      <c r="B55">
        <v>2010</v>
      </c>
      <c r="C55">
        <v>265000</v>
      </c>
      <c r="D55" t="s">
        <v>86</v>
      </c>
      <c r="E55">
        <v>856000</v>
      </c>
      <c r="F55" s="1">
        <v>42236</v>
      </c>
      <c r="G55" s="3">
        <f t="shared" si="0"/>
        <v>7</v>
      </c>
      <c r="H55">
        <f t="shared" si="1"/>
        <v>8</v>
      </c>
      <c r="I55">
        <f t="shared" si="2"/>
        <v>92750</v>
      </c>
      <c r="J55">
        <f t="shared" si="3"/>
        <v>42400</v>
      </c>
      <c r="K55">
        <f t="shared" si="4"/>
        <v>129850</v>
      </c>
    </row>
    <row r="56" spans="1:11" x14ac:dyDescent="0.25">
      <c r="A56" t="s">
        <v>33</v>
      </c>
      <c r="B56">
        <v>2010</v>
      </c>
      <c r="C56">
        <v>230000</v>
      </c>
      <c r="D56" t="s">
        <v>87</v>
      </c>
      <c r="E56">
        <v>455000</v>
      </c>
      <c r="F56" s="1">
        <v>42439</v>
      </c>
      <c r="G56" s="3">
        <f t="shared" si="0"/>
        <v>7</v>
      </c>
      <c r="H56">
        <f t="shared" si="1"/>
        <v>4</v>
      </c>
      <c r="I56">
        <f t="shared" si="2"/>
        <v>80500</v>
      </c>
      <c r="J56">
        <f t="shared" si="3"/>
        <v>18400</v>
      </c>
      <c r="K56">
        <f t="shared" si="4"/>
        <v>131100</v>
      </c>
    </row>
    <row r="57" spans="1:11" x14ac:dyDescent="0.25">
      <c r="A57" t="s">
        <v>60</v>
      </c>
      <c r="B57">
        <v>2010</v>
      </c>
      <c r="C57">
        <v>231000</v>
      </c>
      <c r="D57" t="s">
        <v>88</v>
      </c>
      <c r="E57">
        <v>301000</v>
      </c>
      <c r="F57" s="1">
        <v>42307</v>
      </c>
      <c r="G57" s="3">
        <f t="shared" si="0"/>
        <v>7</v>
      </c>
      <c r="H57">
        <f t="shared" si="1"/>
        <v>3</v>
      </c>
      <c r="I57">
        <f t="shared" si="2"/>
        <v>80850</v>
      </c>
      <c r="J57">
        <f t="shared" si="3"/>
        <v>13860</v>
      </c>
      <c r="K57">
        <f t="shared" si="4"/>
        <v>136290</v>
      </c>
    </row>
    <row r="58" spans="1:11" x14ac:dyDescent="0.25">
      <c r="A58" t="s">
        <v>62</v>
      </c>
      <c r="B58">
        <v>2010</v>
      </c>
      <c r="C58">
        <v>257000</v>
      </c>
      <c r="D58" t="s">
        <v>89</v>
      </c>
      <c r="E58">
        <v>164700</v>
      </c>
      <c r="F58" s="1">
        <v>42286</v>
      </c>
      <c r="G58" s="3">
        <f t="shared" si="0"/>
        <v>7</v>
      </c>
      <c r="H58">
        <f t="shared" si="1"/>
        <v>1</v>
      </c>
      <c r="I58">
        <f t="shared" si="2"/>
        <v>89950</v>
      </c>
      <c r="J58">
        <f t="shared" si="3"/>
        <v>5140</v>
      </c>
      <c r="K58">
        <f t="shared" si="4"/>
        <v>161910</v>
      </c>
    </row>
    <row r="59" spans="1:11" x14ac:dyDescent="0.25">
      <c r="A59" t="s">
        <v>50</v>
      </c>
      <c r="B59">
        <v>2011</v>
      </c>
      <c r="C59">
        <v>38000</v>
      </c>
      <c r="D59" t="s">
        <v>90</v>
      </c>
      <c r="E59">
        <v>574000</v>
      </c>
      <c r="F59" s="1">
        <v>42309</v>
      </c>
      <c r="G59" s="3">
        <f t="shared" si="0"/>
        <v>6</v>
      </c>
      <c r="H59">
        <f t="shared" si="1"/>
        <v>5</v>
      </c>
      <c r="I59">
        <f t="shared" si="2"/>
        <v>11400</v>
      </c>
      <c r="J59">
        <f t="shared" si="3"/>
        <v>3800</v>
      </c>
      <c r="K59">
        <f t="shared" si="4"/>
        <v>22800</v>
      </c>
    </row>
    <row r="60" spans="1:11" x14ac:dyDescent="0.25">
      <c r="A60" t="s">
        <v>91</v>
      </c>
      <c r="B60">
        <v>2011</v>
      </c>
      <c r="C60">
        <v>56700</v>
      </c>
      <c r="D60" t="s">
        <v>92</v>
      </c>
      <c r="E60">
        <v>290000</v>
      </c>
      <c r="F60" s="1">
        <v>42236</v>
      </c>
      <c r="G60" s="3">
        <f t="shared" si="0"/>
        <v>6</v>
      </c>
      <c r="H60">
        <f t="shared" si="1"/>
        <v>2</v>
      </c>
      <c r="I60">
        <f t="shared" si="2"/>
        <v>17010</v>
      </c>
      <c r="J60">
        <f t="shared" si="3"/>
        <v>2268</v>
      </c>
      <c r="K60">
        <f t="shared" si="4"/>
        <v>37422</v>
      </c>
    </row>
    <row r="61" spans="1:11" x14ac:dyDescent="0.25">
      <c r="A61" t="s">
        <v>91</v>
      </c>
      <c r="B61">
        <v>2011</v>
      </c>
      <c r="C61">
        <v>57700</v>
      </c>
      <c r="D61" t="s">
        <v>93</v>
      </c>
      <c r="E61">
        <v>286000</v>
      </c>
      <c r="F61" s="1">
        <v>42236</v>
      </c>
      <c r="G61" s="3">
        <f t="shared" si="0"/>
        <v>6</v>
      </c>
      <c r="H61">
        <f t="shared" si="1"/>
        <v>2</v>
      </c>
      <c r="I61">
        <f t="shared" si="2"/>
        <v>17310</v>
      </c>
      <c r="J61">
        <f t="shared" si="3"/>
        <v>2308</v>
      </c>
      <c r="K61">
        <f t="shared" si="4"/>
        <v>38082</v>
      </c>
    </row>
    <row r="62" spans="1:11" x14ac:dyDescent="0.25">
      <c r="A62" t="s">
        <v>67</v>
      </c>
      <c r="B62">
        <v>2011</v>
      </c>
      <c r="C62">
        <v>59000</v>
      </c>
      <c r="D62" t="s">
        <v>94</v>
      </c>
      <c r="E62">
        <v>103250</v>
      </c>
      <c r="F62" s="1">
        <v>42226</v>
      </c>
      <c r="G62" s="3">
        <f t="shared" si="0"/>
        <v>6</v>
      </c>
      <c r="H62">
        <f t="shared" si="1"/>
        <v>1</v>
      </c>
      <c r="I62">
        <f t="shared" si="2"/>
        <v>17700</v>
      </c>
      <c r="J62">
        <f t="shared" si="3"/>
        <v>1180</v>
      </c>
      <c r="K62">
        <f t="shared" si="4"/>
        <v>40120</v>
      </c>
    </row>
    <row r="63" spans="1:11" x14ac:dyDescent="0.25">
      <c r="A63" t="s">
        <v>71</v>
      </c>
      <c r="B63">
        <v>2011</v>
      </c>
      <c r="C63">
        <v>74300</v>
      </c>
      <c r="D63" t="s">
        <v>95</v>
      </c>
      <c r="E63">
        <v>306000</v>
      </c>
      <c r="F63" s="1">
        <v>42174</v>
      </c>
      <c r="G63" s="3">
        <f t="shared" si="0"/>
        <v>6</v>
      </c>
      <c r="H63">
        <f t="shared" si="1"/>
        <v>3</v>
      </c>
      <c r="I63">
        <f t="shared" si="2"/>
        <v>22290</v>
      </c>
      <c r="J63">
        <f t="shared" si="3"/>
        <v>4458</v>
      </c>
      <c r="K63">
        <f t="shared" si="4"/>
        <v>47552</v>
      </c>
    </row>
    <row r="64" spans="1:11" x14ac:dyDescent="0.25">
      <c r="A64" t="s">
        <v>62</v>
      </c>
      <c r="B64">
        <v>2011</v>
      </c>
      <c r="C64">
        <v>210000</v>
      </c>
      <c r="D64" t="s">
        <v>96</v>
      </c>
      <c r="E64">
        <v>780000</v>
      </c>
      <c r="F64" s="1">
        <v>42481</v>
      </c>
      <c r="G64" s="3">
        <f t="shared" si="0"/>
        <v>6</v>
      </c>
      <c r="H64">
        <f t="shared" si="1"/>
        <v>7</v>
      </c>
      <c r="I64">
        <f t="shared" si="2"/>
        <v>63000</v>
      </c>
      <c r="J64">
        <f t="shared" si="3"/>
        <v>29400</v>
      </c>
      <c r="K64">
        <f t="shared" si="4"/>
        <v>117600</v>
      </c>
    </row>
    <row r="65" spans="1:11" x14ac:dyDescent="0.25">
      <c r="A65" t="s">
        <v>62</v>
      </c>
      <c r="B65">
        <v>2011</v>
      </c>
      <c r="C65">
        <v>210000</v>
      </c>
      <c r="D65" t="s">
        <v>97</v>
      </c>
      <c r="E65">
        <v>760300</v>
      </c>
      <c r="F65" s="1">
        <v>42481</v>
      </c>
      <c r="G65" s="3">
        <f t="shared" si="0"/>
        <v>6</v>
      </c>
      <c r="H65">
        <f t="shared" si="1"/>
        <v>7</v>
      </c>
      <c r="I65">
        <f t="shared" si="2"/>
        <v>63000</v>
      </c>
      <c r="J65">
        <f t="shared" si="3"/>
        <v>29400</v>
      </c>
      <c r="K65">
        <f t="shared" si="4"/>
        <v>117600</v>
      </c>
    </row>
    <row r="66" spans="1:11" x14ac:dyDescent="0.25">
      <c r="A66" t="s">
        <v>62</v>
      </c>
      <c r="B66">
        <v>2011</v>
      </c>
      <c r="C66">
        <v>210000</v>
      </c>
      <c r="D66" t="s">
        <v>98</v>
      </c>
      <c r="E66">
        <v>680000</v>
      </c>
      <c r="F66" s="1">
        <v>42481</v>
      </c>
      <c r="G66" s="3">
        <f t="shared" si="0"/>
        <v>6</v>
      </c>
      <c r="H66">
        <f t="shared" si="1"/>
        <v>6</v>
      </c>
      <c r="I66">
        <f t="shared" si="2"/>
        <v>63000</v>
      </c>
      <c r="J66">
        <f t="shared" si="3"/>
        <v>25200</v>
      </c>
      <c r="K66">
        <f t="shared" si="4"/>
        <v>121800</v>
      </c>
    </row>
    <row r="67" spans="1:11" x14ac:dyDescent="0.25">
      <c r="A67" t="s">
        <v>62</v>
      </c>
      <c r="B67">
        <v>2011</v>
      </c>
      <c r="C67">
        <v>210000</v>
      </c>
      <c r="D67" t="s">
        <v>99</v>
      </c>
      <c r="E67">
        <v>655000</v>
      </c>
      <c r="F67" s="1">
        <v>42481</v>
      </c>
      <c r="G67" s="3">
        <f t="shared" ref="G67:G130" si="5">2017-TRUNC(B67)</f>
        <v>6</v>
      </c>
      <c r="H67">
        <f t="shared" ref="H67:H130" si="6">TRUNC(E67/100000)</f>
        <v>6</v>
      </c>
      <c r="I67">
        <f t="shared" ref="I67:I130" si="7">C67*G67*0.05</f>
        <v>63000</v>
      </c>
      <c r="J67">
        <f t="shared" ref="J67:J130" si="8">C67*H67*0.02</f>
        <v>25200</v>
      </c>
      <c r="K67">
        <f t="shared" ref="K67:K130" si="9">C67-I67-J67</f>
        <v>121800</v>
      </c>
    </row>
    <row r="68" spans="1:11" x14ac:dyDescent="0.25">
      <c r="A68" t="s">
        <v>100</v>
      </c>
      <c r="B68">
        <v>2011</v>
      </c>
      <c r="C68">
        <v>220000</v>
      </c>
      <c r="D68" t="s">
        <v>101</v>
      </c>
      <c r="E68">
        <v>731000</v>
      </c>
      <c r="F68" s="1">
        <v>42236</v>
      </c>
      <c r="G68" s="3">
        <f t="shared" si="5"/>
        <v>6</v>
      </c>
      <c r="H68">
        <f t="shared" si="6"/>
        <v>7</v>
      </c>
      <c r="I68">
        <f t="shared" si="7"/>
        <v>66000</v>
      </c>
      <c r="J68">
        <f t="shared" si="8"/>
        <v>30800</v>
      </c>
      <c r="K68">
        <f t="shared" si="9"/>
        <v>123200</v>
      </c>
    </row>
    <row r="69" spans="1:11" x14ac:dyDescent="0.25">
      <c r="A69" t="s">
        <v>100</v>
      </c>
      <c r="B69">
        <v>2011</v>
      </c>
      <c r="C69">
        <v>220000</v>
      </c>
      <c r="D69" t="s">
        <v>102</v>
      </c>
      <c r="E69">
        <v>685413</v>
      </c>
      <c r="F69" s="1">
        <v>42236</v>
      </c>
      <c r="G69" s="3">
        <f t="shared" si="5"/>
        <v>6</v>
      </c>
      <c r="H69">
        <f t="shared" si="6"/>
        <v>6</v>
      </c>
      <c r="I69">
        <f t="shared" si="7"/>
        <v>66000</v>
      </c>
      <c r="J69">
        <f t="shared" si="8"/>
        <v>26400</v>
      </c>
      <c r="K69">
        <f t="shared" si="9"/>
        <v>127600</v>
      </c>
    </row>
    <row r="70" spans="1:11" x14ac:dyDescent="0.25">
      <c r="A70" t="s">
        <v>58</v>
      </c>
      <c r="B70">
        <v>2011</v>
      </c>
      <c r="C70">
        <v>196340</v>
      </c>
      <c r="D70" t="s">
        <v>103</v>
      </c>
      <c r="E70">
        <v>186000</v>
      </c>
      <c r="F70" s="1">
        <v>42278</v>
      </c>
      <c r="G70" s="3">
        <f t="shared" si="5"/>
        <v>6</v>
      </c>
      <c r="H70">
        <f t="shared" si="6"/>
        <v>1</v>
      </c>
      <c r="I70">
        <f t="shared" si="7"/>
        <v>58902</v>
      </c>
      <c r="J70">
        <f t="shared" si="8"/>
        <v>3926.8</v>
      </c>
      <c r="K70">
        <f t="shared" si="9"/>
        <v>133511.20000000001</v>
      </c>
    </row>
    <row r="71" spans="1:11" x14ac:dyDescent="0.25">
      <c r="A71" t="s">
        <v>104</v>
      </c>
      <c r="B71">
        <v>2011</v>
      </c>
      <c r="C71">
        <v>245000</v>
      </c>
      <c r="D71" t="s">
        <v>105</v>
      </c>
      <c r="E71">
        <v>720000</v>
      </c>
      <c r="F71" s="1">
        <v>42462</v>
      </c>
      <c r="G71" s="3">
        <f t="shared" si="5"/>
        <v>6</v>
      </c>
      <c r="H71">
        <f t="shared" si="6"/>
        <v>7</v>
      </c>
      <c r="I71">
        <f t="shared" si="7"/>
        <v>73500</v>
      </c>
      <c r="J71">
        <f t="shared" si="8"/>
        <v>34300</v>
      </c>
      <c r="K71">
        <f t="shared" si="9"/>
        <v>137200</v>
      </c>
    </row>
    <row r="72" spans="1:11" x14ac:dyDescent="0.25">
      <c r="A72" t="s">
        <v>104</v>
      </c>
      <c r="B72">
        <v>2011</v>
      </c>
      <c r="C72">
        <v>245000</v>
      </c>
      <c r="D72" t="s">
        <v>106</v>
      </c>
      <c r="E72">
        <v>680000</v>
      </c>
      <c r="F72" s="1">
        <v>42462</v>
      </c>
      <c r="G72" s="3">
        <f t="shared" si="5"/>
        <v>6</v>
      </c>
      <c r="H72">
        <f t="shared" si="6"/>
        <v>6</v>
      </c>
      <c r="I72">
        <f t="shared" si="7"/>
        <v>73500</v>
      </c>
      <c r="J72">
        <f t="shared" si="8"/>
        <v>29400</v>
      </c>
      <c r="K72">
        <f t="shared" si="9"/>
        <v>142100</v>
      </c>
    </row>
    <row r="73" spans="1:11" x14ac:dyDescent="0.25">
      <c r="A73" t="s">
        <v>104</v>
      </c>
      <c r="B73">
        <v>2011</v>
      </c>
      <c r="C73">
        <v>245000</v>
      </c>
      <c r="D73" t="s">
        <v>107</v>
      </c>
      <c r="E73">
        <v>660000</v>
      </c>
      <c r="F73" s="1">
        <v>42462</v>
      </c>
      <c r="G73" s="3">
        <f t="shared" si="5"/>
        <v>6</v>
      </c>
      <c r="H73">
        <f t="shared" si="6"/>
        <v>6</v>
      </c>
      <c r="I73">
        <f t="shared" si="7"/>
        <v>73500</v>
      </c>
      <c r="J73">
        <f t="shared" si="8"/>
        <v>29400</v>
      </c>
      <c r="K73">
        <f t="shared" si="9"/>
        <v>142100</v>
      </c>
    </row>
    <row r="74" spans="1:11" x14ac:dyDescent="0.25">
      <c r="A74" t="s">
        <v>104</v>
      </c>
      <c r="B74">
        <v>2011</v>
      </c>
      <c r="C74">
        <v>245000</v>
      </c>
      <c r="D74" t="s">
        <v>108</v>
      </c>
      <c r="E74">
        <v>630000</v>
      </c>
      <c r="F74" s="1">
        <v>42462</v>
      </c>
      <c r="G74" s="3">
        <f t="shared" si="5"/>
        <v>6</v>
      </c>
      <c r="H74">
        <f t="shared" si="6"/>
        <v>6</v>
      </c>
      <c r="I74">
        <f t="shared" si="7"/>
        <v>73500</v>
      </c>
      <c r="J74">
        <f t="shared" si="8"/>
        <v>29400</v>
      </c>
      <c r="K74">
        <f t="shared" si="9"/>
        <v>142100</v>
      </c>
    </row>
    <row r="75" spans="1:11" x14ac:dyDescent="0.25">
      <c r="A75" t="s">
        <v>104</v>
      </c>
      <c r="B75">
        <v>2011</v>
      </c>
      <c r="C75">
        <v>245000</v>
      </c>
      <c r="D75" t="s">
        <v>109</v>
      </c>
      <c r="E75">
        <v>655000</v>
      </c>
      <c r="F75" s="1">
        <v>42462</v>
      </c>
      <c r="G75" s="3">
        <f t="shared" si="5"/>
        <v>6</v>
      </c>
      <c r="H75">
        <f t="shared" si="6"/>
        <v>6</v>
      </c>
      <c r="I75">
        <f t="shared" si="7"/>
        <v>73500</v>
      </c>
      <c r="J75">
        <f t="shared" si="8"/>
        <v>29400</v>
      </c>
      <c r="K75">
        <f t="shared" si="9"/>
        <v>142100</v>
      </c>
    </row>
    <row r="76" spans="1:11" x14ac:dyDescent="0.25">
      <c r="A76" t="s">
        <v>104</v>
      </c>
      <c r="B76">
        <v>2011</v>
      </c>
      <c r="C76">
        <v>245000</v>
      </c>
      <c r="D76" t="s">
        <v>110</v>
      </c>
      <c r="E76">
        <v>590000</v>
      </c>
      <c r="F76" s="1">
        <v>42462</v>
      </c>
      <c r="G76" s="3">
        <f t="shared" si="5"/>
        <v>6</v>
      </c>
      <c r="H76">
        <f t="shared" si="6"/>
        <v>5</v>
      </c>
      <c r="I76">
        <f t="shared" si="7"/>
        <v>73500</v>
      </c>
      <c r="J76">
        <f t="shared" si="8"/>
        <v>24500</v>
      </c>
      <c r="K76">
        <f t="shared" si="9"/>
        <v>147000</v>
      </c>
    </row>
    <row r="77" spans="1:11" x14ac:dyDescent="0.25">
      <c r="A77" t="s">
        <v>50</v>
      </c>
      <c r="B77">
        <v>2012</v>
      </c>
      <c r="C77">
        <v>39830</v>
      </c>
      <c r="D77" t="s">
        <v>111</v>
      </c>
      <c r="E77">
        <v>330000</v>
      </c>
      <c r="F77" s="1">
        <v>42062</v>
      </c>
      <c r="G77" s="3">
        <f t="shared" si="5"/>
        <v>5</v>
      </c>
      <c r="H77">
        <f t="shared" si="6"/>
        <v>3</v>
      </c>
      <c r="I77">
        <f t="shared" si="7"/>
        <v>9957.5</v>
      </c>
      <c r="J77">
        <f t="shared" si="8"/>
        <v>2389.8000000000002</v>
      </c>
      <c r="K77">
        <f t="shared" si="9"/>
        <v>27482.7</v>
      </c>
    </row>
    <row r="78" spans="1:11" x14ac:dyDescent="0.25">
      <c r="A78" t="s">
        <v>50</v>
      </c>
      <c r="B78">
        <v>2012</v>
      </c>
      <c r="C78">
        <v>48800</v>
      </c>
      <c r="D78" t="s">
        <v>112</v>
      </c>
      <c r="E78">
        <v>268650</v>
      </c>
      <c r="F78" s="1">
        <v>42117</v>
      </c>
      <c r="G78" s="3">
        <f t="shared" si="5"/>
        <v>5</v>
      </c>
      <c r="H78">
        <f t="shared" si="6"/>
        <v>2</v>
      </c>
      <c r="I78">
        <f t="shared" si="7"/>
        <v>12200</v>
      </c>
      <c r="J78">
        <f t="shared" si="8"/>
        <v>1952</v>
      </c>
      <c r="K78">
        <f t="shared" si="9"/>
        <v>34648</v>
      </c>
    </row>
    <row r="79" spans="1:11" x14ac:dyDescent="0.25">
      <c r="A79" t="s">
        <v>18</v>
      </c>
      <c r="B79">
        <v>2012</v>
      </c>
      <c r="C79">
        <v>59000</v>
      </c>
      <c r="D79" t="s">
        <v>113</v>
      </c>
      <c r="E79">
        <v>302000</v>
      </c>
      <c r="F79" s="1">
        <v>42271</v>
      </c>
      <c r="G79" s="3">
        <f t="shared" si="5"/>
        <v>5</v>
      </c>
      <c r="H79">
        <f t="shared" si="6"/>
        <v>3</v>
      </c>
      <c r="I79">
        <f t="shared" si="7"/>
        <v>14750</v>
      </c>
      <c r="J79">
        <f t="shared" si="8"/>
        <v>3540</v>
      </c>
      <c r="K79">
        <f t="shared" si="9"/>
        <v>40710</v>
      </c>
    </row>
    <row r="80" spans="1:11" x14ac:dyDescent="0.25">
      <c r="A80" t="s">
        <v>33</v>
      </c>
      <c r="B80">
        <v>2012</v>
      </c>
      <c r="C80">
        <v>76000</v>
      </c>
      <c r="D80" t="s">
        <v>114</v>
      </c>
      <c r="E80">
        <v>850000</v>
      </c>
      <c r="F80" s="1">
        <v>42376</v>
      </c>
      <c r="G80" s="3">
        <f t="shared" si="5"/>
        <v>5</v>
      </c>
      <c r="H80">
        <f t="shared" si="6"/>
        <v>8</v>
      </c>
      <c r="I80">
        <f t="shared" si="7"/>
        <v>19000</v>
      </c>
      <c r="J80">
        <f t="shared" si="8"/>
        <v>12160</v>
      </c>
      <c r="K80">
        <f t="shared" si="9"/>
        <v>44840</v>
      </c>
    </row>
    <row r="81" spans="1:11" x14ac:dyDescent="0.25">
      <c r="A81" t="s">
        <v>41</v>
      </c>
      <c r="B81">
        <v>2012</v>
      </c>
      <c r="C81">
        <v>87133</v>
      </c>
      <c r="D81" t="s">
        <v>115</v>
      </c>
      <c r="E81">
        <v>376000</v>
      </c>
      <c r="F81" s="1">
        <v>42208</v>
      </c>
      <c r="G81" s="3">
        <f t="shared" si="5"/>
        <v>5</v>
      </c>
      <c r="H81">
        <f t="shared" si="6"/>
        <v>3</v>
      </c>
      <c r="I81">
        <f t="shared" si="7"/>
        <v>21783.25</v>
      </c>
      <c r="J81">
        <f t="shared" si="8"/>
        <v>5227.9800000000005</v>
      </c>
      <c r="K81">
        <f t="shared" si="9"/>
        <v>60121.77</v>
      </c>
    </row>
    <row r="82" spans="1:11" x14ac:dyDescent="0.25">
      <c r="A82" t="s">
        <v>22</v>
      </c>
      <c r="B82">
        <v>2012</v>
      </c>
      <c r="C82">
        <v>110000</v>
      </c>
      <c r="D82" t="s">
        <v>116</v>
      </c>
      <c r="E82">
        <v>201000</v>
      </c>
      <c r="F82" s="1">
        <v>42075</v>
      </c>
      <c r="G82" s="3">
        <f t="shared" si="5"/>
        <v>5</v>
      </c>
      <c r="H82">
        <f t="shared" si="6"/>
        <v>2</v>
      </c>
      <c r="I82">
        <f t="shared" si="7"/>
        <v>27500</v>
      </c>
      <c r="J82">
        <f t="shared" si="8"/>
        <v>4400</v>
      </c>
      <c r="K82">
        <f t="shared" si="9"/>
        <v>78100</v>
      </c>
    </row>
    <row r="83" spans="1:11" x14ac:dyDescent="0.25">
      <c r="A83" t="s">
        <v>50</v>
      </c>
      <c r="B83">
        <v>2012</v>
      </c>
      <c r="C83">
        <v>130780</v>
      </c>
      <c r="D83" t="s">
        <v>117</v>
      </c>
      <c r="E83">
        <v>310000</v>
      </c>
      <c r="F83" s="1">
        <v>42365</v>
      </c>
      <c r="G83" s="3">
        <f t="shared" si="5"/>
        <v>5</v>
      </c>
      <c r="H83">
        <f t="shared" si="6"/>
        <v>3</v>
      </c>
      <c r="I83">
        <f t="shared" si="7"/>
        <v>32695</v>
      </c>
      <c r="J83">
        <f t="shared" si="8"/>
        <v>7846.8</v>
      </c>
      <c r="K83">
        <f t="shared" si="9"/>
        <v>90238.2</v>
      </c>
    </row>
    <row r="84" spans="1:11" x14ac:dyDescent="0.25">
      <c r="A84" t="s">
        <v>45</v>
      </c>
      <c r="B84">
        <v>2012</v>
      </c>
      <c r="C84">
        <v>135502</v>
      </c>
      <c r="D84" t="s">
        <v>118</v>
      </c>
      <c r="E84">
        <v>247000</v>
      </c>
      <c r="F84" s="1">
        <v>42476</v>
      </c>
      <c r="G84" s="3">
        <f t="shared" si="5"/>
        <v>5</v>
      </c>
      <c r="H84">
        <f t="shared" si="6"/>
        <v>2</v>
      </c>
      <c r="I84">
        <f t="shared" si="7"/>
        <v>33875.5</v>
      </c>
      <c r="J84">
        <f t="shared" si="8"/>
        <v>5420.08</v>
      </c>
      <c r="K84">
        <f t="shared" si="9"/>
        <v>96206.42</v>
      </c>
    </row>
    <row r="85" spans="1:11" x14ac:dyDescent="0.25">
      <c r="A85" t="s">
        <v>119</v>
      </c>
      <c r="B85">
        <v>2012</v>
      </c>
      <c r="C85">
        <v>145000</v>
      </c>
      <c r="D85" t="s">
        <v>120</v>
      </c>
      <c r="E85">
        <v>386732</v>
      </c>
      <c r="F85" s="1">
        <v>42059</v>
      </c>
      <c r="G85" s="3">
        <f t="shared" si="5"/>
        <v>5</v>
      </c>
      <c r="H85">
        <f t="shared" si="6"/>
        <v>3</v>
      </c>
      <c r="I85">
        <f t="shared" si="7"/>
        <v>36250</v>
      </c>
      <c r="J85">
        <f t="shared" si="8"/>
        <v>8700</v>
      </c>
      <c r="K85">
        <f t="shared" si="9"/>
        <v>100050</v>
      </c>
    </row>
    <row r="86" spans="1:11" x14ac:dyDescent="0.25">
      <c r="A86" t="s">
        <v>119</v>
      </c>
      <c r="B86">
        <v>2012</v>
      </c>
      <c r="C86">
        <v>145000</v>
      </c>
      <c r="D86" t="s">
        <v>121</v>
      </c>
      <c r="E86">
        <v>312680</v>
      </c>
      <c r="F86" s="1">
        <v>42059</v>
      </c>
      <c r="G86" s="3">
        <f t="shared" si="5"/>
        <v>5</v>
      </c>
      <c r="H86">
        <f t="shared" si="6"/>
        <v>3</v>
      </c>
      <c r="I86">
        <f t="shared" si="7"/>
        <v>36250</v>
      </c>
      <c r="J86">
        <f t="shared" si="8"/>
        <v>8700</v>
      </c>
      <c r="K86">
        <f t="shared" si="9"/>
        <v>100050</v>
      </c>
    </row>
    <row r="87" spans="1:11" x14ac:dyDescent="0.25">
      <c r="A87" t="s">
        <v>33</v>
      </c>
      <c r="B87">
        <v>2012</v>
      </c>
      <c r="C87">
        <v>163800</v>
      </c>
      <c r="D87" t="s">
        <v>122</v>
      </c>
      <c r="E87">
        <v>366000</v>
      </c>
      <c r="F87" s="1">
        <v>42329</v>
      </c>
      <c r="G87" s="3">
        <f t="shared" si="5"/>
        <v>5</v>
      </c>
      <c r="H87">
        <f t="shared" si="6"/>
        <v>3</v>
      </c>
      <c r="I87">
        <f t="shared" si="7"/>
        <v>40950</v>
      </c>
      <c r="J87">
        <f t="shared" si="8"/>
        <v>9828</v>
      </c>
      <c r="K87">
        <f t="shared" si="9"/>
        <v>113022</v>
      </c>
    </row>
    <row r="88" spans="1:11" x14ac:dyDescent="0.25">
      <c r="A88" t="s">
        <v>123</v>
      </c>
      <c r="B88">
        <v>2012</v>
      </c>
      <c r="C88">
        <v>183000</v>
      </c>
      <c r="D88" t="s">
        <v>124</v>
      </c>
      <c r="E88">
        <v>520000</v>
      </c>
      <c r="F88" s="1">
        <v>42444</v>
      </c>
      <c r="G88" s="3">
        <f t="shared" si="5"/>
        <v>5</v>
      </c>
      <c r="H88">
        <f t="shared" si="6"/>
        <v>5</v>
      </c>
      <c r="I88">
        <f t="shared" si="7"/>
        <v>45750</v>
      </c>
      <c r="J88">
        <f t="shared" si="8"/>
        <v>18300</v>
      </c>
      <c r="K88">
        <f t="shared" si="9"/>
        <v>118950</v>
      </c>
    </row>
    <row r="89" spans="1:11" x14ac:dyDescent="0.25">
      <c r="A89" t="s">
        <v>123</v>
      </c>
      <c r="B89">
        <v>2012</v>
      </c>
      <c r="C89">
        <v>183000</v>
      </c>
      <c r="D89" t="s">
        <v>125</v>
      </c>
      <c r="E89">
        <v>530000</v>
      </c>
      <c r="F89" s="1">
        <v>42444</v>
      </c>
      <c r="G89" s="3">
        <f t="shared" si="5"/>
        <v>5</v>
      </c>
      <c r="H89">
        <f t="shared" si="6"/>
        <v>5</v>
      </c>
      <c r="I89">
        <f t="shared" si="7"/>
        <v>45750</v>
      </c>
      <c r="J89">
        <f t="shared" si="8"/>
        <v>18300</v>
      </c>
      <c r="K89">
        <f t="shared" si="9"/>
        <v>118950</v>
      </c>
    </row>
    <row r="90" spans="1:11" x14ac:dyDescent="0.25">
      <c r="A90" t="s">
        <v>123</v>
      </c>
      <c r="B90">
        <v>2012</v>
      </c>
      <c r="C90">
        <v>183000</v>
      </c>
      <c r="D90" t="s">
        <v>126</v>
      </c>
      <c r="E90">
        <v>490000</v>
      </c>
      <c r="F90" s="1">
        <v>42444</v>
      </c>
      <c r="G90" s="3">
        <f t="shared" si="5"/>
        <v>5</v>
      </c>
      <c r="H90">
        <f t="shared" si="6"/>
        <v>4</v>
      </c>
      <c r="I90">
        <f t="shared" si="7"/>
        <v>45750</v>
      </c>
      <c r="J90">
        <f t="shared" si="8"/>
        <v>14640</v>
      </c>
      <c r="K90">
        <f t="shared" si="9"/>
        <v>122610</v>
      </c>
    </row>
    <row r="91" spans="1:11" x14ac:dyDescent="0.25">
      <c r="A91" t="s">
        <v>123</v>
      </c>
      <c r="B91">
        <v>2012</v>
      </c>
      <c r="C91">
        <v>183000</v>
      </c>
      <c r="D91" t="s">
        <v>127</v>
      </c>
      <c r="E91">
        <v>481000</v>
      </c>
      <c r="F91" s="1">
        <v>42444</v>
      </c>
      <c r="G91" s="3">
        <f t="shared" si="5"/>
        <v>5</v>
      </c>
      <c r="H91">
        <f t="shared" si="6"/>
        <v>4</v>
      </c>
      <c r="I91">
        <f t="shared" si="7"/>
        <v>45750</v>
      </c>
      <c r="J91">
        <f t="shared" si="8"/>
        <v>14640</v>
      </c>
      <c r="K91">
        <f t="shared" si="9"/>
        <v>122610</v>
      </c>
    </row>
    <row r="92" spans="1:11" x14ac:dyDescent="0.25">
      <c r="A92" t="s">
        <v>123</v>
      </c>
      <c r="B92">
        <v>2012</v>
      </c>
      <c r="C92">
        <v>183000</v>
      </c>
      <c r="D92" t="s">
        <v>128</v>
      </c>
      <c r="E92">
        <v>454000</v>
      </c>
      <c r="F92" s="1">
        <v>42444</v>
      </c>
      <c r="G92" s="3">
        <f t="shared" si="5"/>
        <v>5</v>
      </c>
      <c r="H92">
        <f t="shared" si="6"/>
        <v>4</v>
      </c>
      <c r="I92">
        <f t="shared" si="7"/>
        <v>45750</v>
      </c>
      <c r="J92">
        <f t="shared" si="8"/>
        <v>14640</v>
      </c>
      <c r="K92">
        <f t="shared" si="9"/>
        <v>122610</v>
      </c>
    </row>
    <row r="93" spans="1:11" x14ac:dyDescent="0.25">
      <c r="A93" t="s">
        <v>129</v>
      </c>
      <c r="B93">
        <v>2012</v>
      </c>
      <c r="C93">
        <v>210000</v>
      </c>
      <c r="D93" t="s">
        <v>130</v>
      </c>
      <c r="E93">
        <v>517000</v>
      </c>
      <c r="F93" s="1">
        <v>42415</v>
      </c>
      <c r="G93" s="3">
        <f t="shared" si="5"/>
        <v>5</v>
      </c>
      <c r="H93">
        <f t="shared" si="6"/>
        <v>5</v>
      </c>
      <c r="I93">
        <f t="shared" si="7"/>
        <v>52500</v>
      </c>
      <c r="J93">
        <f t="shared" si="8"/>
        <v>21000</v>
      </c>
      <c r="K93">
        <f t="shared" si="9"/>
        <v>136500</v>
      </c>
    </row>
    <row r="94" spans="1:11" x14ac:dyDescent="0.25">
      <c r="A94" t="s">
        <v>56</v>
      </c>
      <c r="B94">
        <v>2012</v>
      </c>
      <c r="C94">
        <v>196370</v>
      </c>
      <c r="D94" t="s">
        <v>131</v>
      </c>
      <c r="E94">
        <v>286000</v>
      </c>
      <c r="F94" s="1">
        <v>42467</v>
      </c>
      <c r="G94" s="3">
        <f t="shared" si="5"/>
        <v>5</v>
      </c>
      <c r="H94">
        <f t="shared" si="6"/>
        <v>2</v>
      </c>
      <c r="I94">
        <f t="shared" si="7"/>
        <v>49092.5</v>
      </c>
      <c r="J94">
        <f t="shared" si="8"/>
        <v>7854.8</v>
      </c>
      <c r="K94">
        <f t="shared" si="9"/>
        <v>139422.70000000001</v>
      </c>
    </row>
    <row r="95" spans="1:11" x14ac:dyDescent="0.25">
      <c r="A95" t="s">
        <v>129</v>
      </c>
      <c r="B95">
        <v>2012</v>
      </c>
      <c r="C95">
        <v>210000</v>
      </c>
      <c r="D95" t="s">
        <v>132</v>
      </c>
      <c r="E95">
        <v>435000</v>
      </c>
      <c r="F95" s="1">
        <v>42415</v>
      </c>
      <c r="G95" s="3">
        <f t="shared" si="5"/>
        <v>5</v>
      </c>
      <c r="H95">
        <f t="shared" si="6"/>
        <v>4</v>
      </c>
      <c r="I95">
        <f t="shared" si="7"/>
        <v>52500</v>
      </c>
      <c r="J95">
        <f t="shared" si="8"/>
        <v>16800</v>
      </c>
      <c r="K95">
        <f t="shared" si="9"/>
        <v>140700</v>
      </c>
    </row>
    <row r="96" spans="1:11" x14ac:dyDescent="0.25">
      <c r="A96" t="s">
        <v>133</v>
      </c>
      <c r="B96">
        <v>2012</v>
      </c>
      <c r="C96">
        <v>210300</v>
      </c>
      <c r="D96" t="s">
        <v>134</v>
      </c>
      <c r="E96">
        <v>417671</v>
      </c>
      <c r="F96" s="1">
        <v>42520</v>
      </c>
      <c r="G96" s="3">
        <f t="shared" si="5"/>
        <v>5</v>
      </c>
      <c r="H96">
        <f t="shared" si="6"/>
        <v>4</v>
      </c>
      <c r="I96">
        <f t="shared" si="7"/>
        <v>52575</v>
      </c>
      <c r="J96">
        <f t="shared" si="8"/>
        <v>16824</v>
      </c>
      <c r="K96">
        <f t="shared" si="9"/>
        <v>140901</v>
      </c>
    </row>
    <row r="97" spans="1:11" x14ac:dyDescent="0.25">
      <c r="A97" t="s">
        <v>33</v>
      </c>
      <c r="B97">
        <v>2012</v>
      </c>
      <c r="C97">
        <v>231000</v>
      </c>
      <c r="D97" t="s">
        <v>135</v>
      </c>
      <c r="E97">
        <v>451000</v>
      </c>
      <c r="F97" s="1">
        <v>42439</v>
      </c>
      <c r="G97" s="3">
        <f t="shared" si="5"/>
        <v>5</v>
      </c>
      <c r="H97">
        <f t="shared" si="6"/>
        <v>4</v>
      </c>
      <c r="I97">
        <f t="shared" si="7"/>
        <v>57750</v>
      </c>
      <c r="J97">
        <f t="shared" si="8"/>
        <v>18480</v>
      </c>
      <c r="K97">
        <f t="shared" si="9"/>
        <v>154770</v>
      </c>
    </row>
    <row r="98" spans="1:11" x14ac:dyDescent="0.25">
      <c r="A98" t="s">
        <v>136</v>
      </c>
      <c r="B98">
        <v>2012</v>
      </c>
      <c r="C98">
        <v>240000</v>
      </c>
      <c r="D98" t="s">
        <v>137</v>
      </c>
      <c r="E98">
        <v>301344</v>
      </c>
      <c r="F98" s="1">
        <v>42185</v>
      </c>
      <c r="G98" s="3">
        <f t="shared" si="5"/>
        <v>5</v>
      </c>
      <c r="H98">
        <f t="shared" si="6"/>
        <v>3</v>
      </c>
      <c r="I98">
        <f t="shared" si="7"/>
        <v>60000</v>
      </c>
      <c r="J98">
        <f t="shared" si="8"/>
        <v>14400</v>
      </c>
      <c r="K98">
        <f t="shared" si="9"/>
        <v>165600</v>
      </c>
    </row>
    <row r="99" spans="1:11" x14ac:dyDescent="0.25">
      <c r="A99" t="s">
        <v>136</v>
      </c>
      <c r="B99">
        <v>2012</v>
      </c>
      <c r="C99">
        <v>240000</v>
      </c>
      <c r="D99" t="s">
        <v>138</v>
      </c>
      <c r="E99">
        <v>315988</v>
      </c>
      <c r="F99" s="1">
        <v>42185</v>
      </c>
      <c r="G99" s="3">
        <f t="shared" si="5"/>
        <v>5</v>
      </c>
      <c r="H99">
        <f t="shared" si="6"/>
        <v>3</v>
      </c>
      <c r="I99">
        <f t="shared" si="7"/>
        <v>60000</v>
      </c>
      <c r="J99">
        <f t="shared" si="8"/>
        <v>14400</v>
      </c>
      <c r="K99">
        <f t="shared" si="9"/>
        <v>165600</v>
      </c>
    </row>
    <row r="100" spans="1:11" x14ac:dyDescent="0.25">
      <c r="A100" t="s">
        <v>136</v>
      </c>
      <c r="B100">
        <v>2012</v>
      </c>
      <c r="C100">
        <v>240000</v>
      </c>
      <c r="D100" t="s">
        <v>139</v>
      </c>
      <c r="E100">
        <v>234760</v>
      </c>
      <c r="F100" s="1">
        <v>42185</v>
      </c>
      <c r="G100" s="3">
        <f t="shared" si="5"/>
        <v>5</v>
      </c>
      <c r="H100">
        <f t="shared" si="6"/>
        <v>2</v>
      </c>
      <c r="I100">
        <f t="shared" si="7"/>
        <v>60000</v>
      </c>
      <c r="J100">
        <f t="shared" si="8"/>
        <v>9600</v>
      </c>
      <c r="K100">
        <f t="shared" si="9"/>
        <v>170400</v>
      </c>
    </row>
    <row r="101" spans="1:11" x14ac:dyDescent="0.25">
      <c r="A101" t="s">
        <v>136</v>
      </c>
      <c r="B101">
        <v>2012</v>
      </c>
      <c r="C101">
        <v>240000</v>
      </c>
      <c r="D101" t="s">
        <v>140</v>
      </c>
      <c r="E101">
        <v>210780</v>
      </c>
      <c r="F101" s="1">
        <v>42185</v>
      </c>
      <c r="G101" s="3">
        <f t="shared" si="5"/>
        <v>5</v>
      </c>
      <c r="H101">
        <f t="shared" si="6"/>
        <v>2</v>
      </c>
      <c r="I101">
        <f t="shared" si="7"/>
        <v>60000</v>
      </c>
      <c r="J101">
        <f t="shared" si="8"/>
        <v>9600</v>
      </c>
      <c r="K101">
        <f t="shared" si="9"/>
        <v>170400</v>
      </c>
    </row>
    <row r="102" spans="1:11" x14ac:dyDescent="0.25">
      <c r="A102" t="s">
        <v>136</v>
      </c>
      <c r="B102">
        <v>2012</v>
      </c>
      <c r="C102">
        <v>240000</v>
      </c>
      <c r="D102" t="s">
        <v>141</v>
      </c>
      <c r="E102">
        <v>198240</v>
      </c>
      <c r="F102" s="1">
        <v>42185</v>
      </c>
      <c r="G102" s="3">
        <f t="shared" si="5"/>
        <v>5</v>
      </c>
      <c r="H102">
        <f t="shared" si="6"/>
        <v>1</v>
      </c>
      <c r="I102">
        <f t="shared" si="7"/>
        <v>60000</v>
      </c>
      <c r="J102">
        <f t="shared" si="8"/>
        <v>4800</v>
      </c>
      <c r="K102">
        <f t="shared" si="9"/>
        <v>175200</v>
      </c>
    </row>
    <row r="103" spans="1:11" x14ac:dyDescent="0.25">
      <c r="A103" t="s">
        <v>62</v>
      </c>
      <c r="B103">
        <v>2012</v>
      </c>
      <c r="C103">
        <v>290000</v>
      </c>
      <c r="D103" t="s">
        <v>142</v>
      </c>
      <c r="E103">
        <v>170000</v>
      </c>
      <c r="F103" s="1">
        <v>42297</v>
      </c>
      <c r="G103" s="3">
        <f t="shared" si="5"/>
        <v>5</v>
      </c>
      <c r="H103">
        <f t="shared" si="6"/>
        <v>1</v>
      </c>
      <c r="I103">
        <f t="shared" si="7"/>
        <v>72500</v>
      </c>
      <c r="J103">
        <f t="shared" si="8"/>
        <v>5800</v>
      </c>
      <c r="K103">
        <f t="shared" si="9"/>
        <v>211700</v>
      </c>
    </row>
    <row r="104" spans="1:11" x14ac:dyDescent="0.25">
      <c r="A104" t="s">
        <v>50</v>
      </c>
      <c r="B104">
        <v>2013</v>
      </c>
      <c r="C104">
        <v>47800</v>
      </c>
      <c r="D104" t="s">
        <v>143</v>
      </c>
      <c r="E104">
        <v>272650</v>
      </c>
      <c r="F104" s="1">
        <v>42117</v>
      </c>
      <c r="G104" s="3">
        <f t="shared" si="5"/>
        <v>4</v>
      </c>
      <c r="H104">
        <f t="shared" si="6"/>
        <v>2</v>
      </c>
      <c r="I104">
        <f t="shared" si="7"/>
        <v>9560</v>
      </c>
      <c r="J104">
        <f t="shared" si="8"/>
        <v>1912</v>
      </c>
      <c r="K104">
        <f t="shared" si="9"/>
        <v>36328</v>
      </c>
    </row>
    <row r="105" spans="1:11" x14ac:dyDescent="0.25">
      <c r="A105" t="s">
        <v>37</v>
      </c>
      <c r="B105">
        <v>2013</v>
      </c>
      <c r="C105">
        <v>80000</v>
      </c>
      <c r="D105" t="s">
        <v>144</v>
      </c>
      <c r="E105">
        <v>350000</v>
      </c>
      <c r="F105" s="1">
        <v>42379</v>
      </c>
      <c r="G105" s="3">
        <f t="shared" si="5"/>
        <v>4</v>
      </c>
      <c r="H105">
        <f t="shared" si="6"/>
        <v>3</v>
      </c>
      <c r="I105">
        <f t="shared" si="7"/>
        <v>16000</v>
      </c>
      <c r="J105">
        <f t="shared" si="8"/>
        <v>4800</v>
      </c>
      <c r="K105">
        <f t="shared" si="9"/>
        <v>59200</v>
      </c>
    </row>
    <row r="106" spans="1:11" x14ac:dyDescent="0.25">
      <c r="A106" t="s">
        <v>37</v>
      </c>
      <c r="B106">
        <v>2013</v>
      </c>
      <c r="C106">
        <v>80000</v>
      </c>
      <c r="D106" t="s">
        <v>145</v>
      </c>
      <c r="E106">
        <v>235000</v>
      </c>
      <c r="F106" s="1">
        <v>42379</v>
      </c>
      <c r="G106" s="3">
        <f t="shared" si="5"/>
        <v>4</v>
      </c>
      <c r="H106">
        <f t="shared" si="6"/>
        <v>2</v>
      </c>
      <c r="I106">
        <f t="shared" si="7"/>
        <v>16000</v>
      </c>
      <c r="J106">
        <f t="shared" si="8"/>
        <v>3200</v>
      </c>
      <c r="K106">
        <f t="shared" si="9"/>
        <v>60800</v>
      </c>
    </row>
    <row r="107" spans="1:11" x14ac:dyDescent="0.25">
      <c r="A107" t="s">
        <v>76</v>
      </c>
      <c r="B107">
        <v>2013</v>
      </c>
      <c r="C107">
        <v>93000</v>
      </c>
      <c r="D107" t="s">
        <v>146</v>
      </c>
      <c r="E107">
        <v>195000</v>
      </c>
      <c r="F107" s="1">
        <v>42268</v>
      </c>
      <c r="G107" s="3">
        <f t="shared" si="5"/>
        <v>4</v>
      </c>
      <c r="H107">
        <f t="shared" si="6"/>
        <v>1</v>
      </c>
      <c r="I107">
        <f t="shared" si="7"/>
        <v>18600</v>
      </c>
      <c r="J107">
        <f t="shared" si="8"/>
        <v>1860</v>
      </c>
      <c r="K107">
        <f t="shared" si="9"/>
        <v>72540</v>
      </c>
    </row>
    <row r="108" spans="1:11" x14ac:dyDescent="0.25">
      <c r="A108" t="s">
        <v>79</v>
      </c>
      <c r="B108">
        <v>2013</v>
      </c>
      <c r="C108">
        <v>136000</v>
      </c>
      <c r="D108" t="s">
        <v>147</v>
      </c>
      <c r="E108">
        <v>247000</v>
      </c>
      <c r="F108" s="1">
        <v>42067</v>
      </c>
      <c r="G108" s="3">
        <f t="shared" si="5"/>
        <v>4</v>
      </c>
      <c r="H108">
        <f t="shared" si="6"/>
        <v>2</v>
      </c>
      <c r="I108">
        <f t="shared" si="7"/>
        <v>27200</v>
      </c>
      <c r="J108">
        <f t="shared" si="8"/>
        <v>5440</v>
      </c>
      <c r="K108">
        <f t="shared" si="9"/>
        <v>103360</v>
      </c>
    </row>
    <row r="109" spans="1:11" x14ac:dyDescent="0.25">
      <c r="A109" t="s">
        <v>45</v>
      </c>
      <c r="B109">
        <v>2013</v>
      </c>
      <c r="C109">
        <v>158000</v>
      </c>
      <c r="D109" t="s">
        <v>148</v>
      </c>
      <c r="E109">
        <v>407000</v>
      </c>
      <c r="F109" s="1">
        <v>42681</v>
      </c>
      <c r="G109" s="3">
        <f t="shared" si="5"/>
        <v>4</v>
      </c>
      <c r="H109">
        <f t="shared" si="6"/>
        <v>4</v>
      </c>
      <c r="I109">
        <f t="shared" si="7"/>
        <v>31600</v>
      </c>
      <c r="J109">
        <f t="shared" si="8"/>
        <v>12640</v>
      </c>
      <c r="K109">
        <f t="shared" si="9"/>
        <v>113760</v>
      </c>
    </row>
    <row r="110" spans="1:11" x14ac:dyDescent="0.25">
      <c r="A110" t="s">
        <v>136</v>
      </c>
      <c r="B110">
        <v>2013</v>
      </c>
      <c r="C110">
        <v>240000</v>
      </c>
      <c r="D110" t="s">
        <v>149</v>
      </c>
      <c r="E110">
        <v>301232</v>
      </c>
      <c r="F110" s="1">
        <v>42719</v>
      </c>
      <c r="G110" s="3">
        <f t="shared" si="5"/>
        <v>4</v>
      </c>
      <c r="H110">
        <f t="shared" si="6"/>
        <v>3</v>
      </c>
      <c r="I110">
        <f t="shared" si="7"/>
        <v>48000</v>
      </c>
      <c r="J110">
        <f t="shared" si="8"/>
        <v>14400</v>
      </c>
      <c r="K110">
        <f t="shared" si="9"/>
        <v>177600</v>
      </c>
    </row>
    <row r="111" spans="1:11" x14ac:dyDescent="0.25">
      <c r="A111" t="s">
        <v>136</v>
      </c>
      <c r="B111">
        <v>2013</v>
      </c>
      <c r="C111">
        <v>240000</v>
      </c>
      <c r="D111" t="s">
        <v>150</v>
      </c>
      <c r="E111">
        <v>289567</v>
      </c>
      <c r="F111" s="1">
        <v>42719</v>
      </c>
      <c r="G111" s="3">
        <f t="shared" si="5"/>
        <v>4</v>
      </c>
      <c r="H111">
        <f t="shared" si="6"/>
        <v>2</v>
      </c>
      <c r="I111">
        <f t="shared" si="7"/>
        <v>48000</v>
      </c>
      <c r="J111">
        <f t="shared" si="8"/>
        <v>9600</v>
      </c>
      <c r="K111">
        <f t="shared" si="9"/>
        <v>182400</v>
      </c>
    </row>
    <row r="112" spans="1:11" x14ac:dyDescent="0.25">
      <c r="A112" t="s">
        <v>136</v>
      </c>
      <c r="B112">
        <v>2013</v>
      </c>
      <c r="C112">
        <v>240000</v>
      </c>
      <c r="D112" t="s">
        <v>151</v>
      </c>
      <c r="E112">
        <v>245211</v>
      </c>
      <c r="F112" s="1">
        <v>42719</v>
      </c>
      <c r="G112" s="3">
        <f t="shared" si="5"/>
        <v>4</v>
      </c>
      <c r="H112">
        <f t="shared" si="6"/>
        <v>2</v>
      </c>
      <c r="I112">
        <f t="shared" si="7"/>
        <v>48000</v>
      </c>
      <c r="J112">
        <f t="shared" si="8"/>
        <v>9600</v>
      </c>
      <c r="K112">
        <f t="shared" si="9"/>
        <v>182400</v>
      </c>
    </row>
    <row r="113" spans="1:11" x14ac:dyDescent="0.25">
      <c r="A113" t="s">
        <v>136</v>
      </c>
      <c r="B113">
        <v>2013</v>
      </c>
      <c r="C113">
        <v>240000</v>
      </c>
      <c r="D113" t="s">
        <v>152</v>
      </c>
      <c r="E113">
        <v>200123</v>
      </c>
      <c r="F113" s="1">
        <v>42719</v>
      </c>
      <c r="G113" s="3">
        <f t="shared" si="5"/>
        <v>4</v>
      </c>
      <c r="H113">
        <f t="shared" si="6"/>
        <v>2</v>
      </c>
      <c r="I113">
        <f t="shared" si="7"/>
        <v>48000</v>
      </c>
      <c r="J113">
        <f t="shared" si="8"/>
        <v>9600</v>
      </c>
      <c r="K113">
        <f t="shared" si="9"/>
        <v>182400</v>
      </c>
    </row>
    <row r="114" spans="1:11" x14ac:dyDescent="0.25">
      <c r="A114" t="s">
        <v>136</v>
      </c>
      <c r="B114">
        <v>2013</v>
      </c>
      <c r="C114">
        <v>240000</v>
      </c>
      <c r="D114" t="s">
        <v>153</v>
      </c>
      <c r="E114">
        <v>235811</v>
      </c>
      <c r="F114" s="1">
        <v>42719</v>
      </c>
      <c r="G114" s="3">
        <f t="shared" si="5"/>
        <v>4</v>
      </c>
      <c r="H114">
        <f t="shared" si="6"/>
        <v>2</v>
      </c>
      <c r="I114">
        <f t="shared" si="7"/>
        <v>48000</v>
      </c>
      <c r="J114">
        <f t="shared" si="8"/>
        <v>9600</v>
      </c>
      <c r="K114">
        <f t="shared" si="9"/>
        <v>182400</v>
      </c>
    </row>
    <row r="115" spans="1:11" x14ac:dyDescent="0.25">
      <c r="A115" t="s">
        <v>136</v>
      </c>
      <c r="B115">
        <v>2013</v>
      </c>
      <c r="C115">
        <v>240000</v>
      </c>
      <c r="D115" t="s">
        <v>154</v>
      </c>
      <c r="E115">
        <v>250021</v>
      </c>
      <c r="F115" s="1">
        <v>42719</v>
      </c>
      <c r="G115" s="3">
        <f t="shared" si="5"/>
        <v>4</v>
      </c>
      <c r="H115">
        <f t="shared" si="6"/>
        <v>2</v>
      </c>
      <c r="I115">
        <f t="shared" si="7"/>
        <v>48000</v>
      </c>
      <c r="J115">
        <f t="shared" si="8"/>
        <v>9600</v>
      </c>
      <c r="K115">
        <f t="shared" si="9"/>
        <v>182400</v>
      </c>
    </row>
    <row r="116" spans="1:11" x14ac:dyDescent="0.25">
      <c r="A116" t="s">
        <v>136</v>
      </c>
      <c r="B116">
        <v>2013</v>
      </c>
      <c r="C116">
        <v>240000</v>
      </c>
      <c r="D116" t="s">
        <v>155</v>
      </c>
      <c r="E116">
        <v>198340</v>
      </c>
      <c r="F116" s="1">
        <v>42719</v>
      </c>
      <c r="G116" s="3">
        <f t="shared" si="5"/>
        <v>4</v>
      </c>
      <c r="H116">
        <f t="shared" si="6"/>
        <v>1</v>
      </c>
      <c r="I116">
        <f t="shared" si="7"/>
        <v>48000</v>
      </c>
      <c r="J116">
        <f t="shared" si="8"/>
        <v>4800</v>
      </c>
      <c r="K116">
        <f t="shared" si="9"/>
        <v>187200</v>
      </c>
    </row>
    <row r="117" spans="1:11" x14ac:dyDescent="0.25">
      <c r="A117" t="s">
        <v>136</v>
      </c>
      <c r="B117">
        <v>2013</v>
      </c>
      <c r="C117">
        <v>240000</v>
      </c>
      <c r="D117" t="s">
        <v>156</v>
      </c>
      <c r="E117">
        <v>189761</v>
      </c>
      <c r="F117" s="1">
        <v>42719</v>
      </c>
      <c r="G117" s="3">
        <f t="shared" si="5"/>
        <v>4</v>
      </c>
      <c r="H117">
        <f t="shared" si="6"/>
        <v>1</v>
      </c>
      <c r="I117">
        <f t="shared" si="7"/>
        <v>48000</v>
      </c>
      <c r="J117">
        <f t="shared" si="8"/>
        <v>4800</v>
      </c>
      <c r="K117">
        <f t="shared" si="9"/>
        <v>187200</v>
      </c>
    </row>
    <row r="118" spans="1:11" x14ac:dyDescent="0.25">
      <c r="A118" t="s">
        <v>157</v>
      </c>
      <c r="B118">
        <v>2013</v>
      </c>
      <c r="C118">
        <v>271000</v>
      </c>
      <c r="D118" t="s">
        <v>158</v>
      </c>
      <c r="E118">
        <v>153000</v>
      </c>
      <c r="F118" s="1">
        <v>42334</v>
      </c>
      <c r="G118" s="3">
        <f t="shared" si="5"/>
        <v>4</v>
      </c>
      <c r="H118">
        <f t="shared" si="6"/>
        <v>1</v>
      </c>
      <c r="I118">
        <f t="shared" si="7"/>
        <v>54200</v>
      </c>
      <c r="J118">
        <f t="shared" si="8"/>
        <v>5420</v>
      </c>
      <c r="K118">
        <f t="shared" si="9"/>
        <v>211380</v>
      </c>
    </row>
    <row r="119" spans="1:11" x14ac:dyDescent="0.25">
      <c r="A119" t="s">
        <v>157</v>
      </c>
      <c r="B119">
        <v>2013</v>
      </c>
      <c r="C119">
        <v>271000</v>
      </c>
      <c r="D119" t="s">
        <v>159</v>
      </c>
      <c r="E119">
        <v>123000</v>
      </c>
      <c r="F119" s="1">
        <v>42520</v>
      </c>
      <c r="G119" s="3">
        <f t="shared" si="5"/>
        <v>4</v>
      </c>
      <c r="H119">
        <f t="shared" si="6"/>
        <v>1</v>
      </c>
      <c r="I119">
        <f t="shared" si="7"/>
        <v>54200</v>
      </c>
      <c r="J119">
        <f t="shared" si="8"/>
        <v>5420</v>
      </c>
      <c r="K119">
        <f t="shared" si="9"/>
        <v>211380</v>
      </c>
    </row>
    <row r="120" spans="1:11" x14ac:dyDescent="0.25">
      <c r="A120" t="s">
        <v>160</v>
      </c>
      <c r="B120">
        <v>2014</v>
      </c>
      <c r="C120">
        <v>98000</v>
      </c>
      <c r="D120" t="s">
        <v>161</v>
      </c>
      <c r="E120">
        <v>251000</v>
      </c>
      <c r="F120" s="1">
        <v>42344</v>
      </c>
      <c r="G120" s="3">
        <f t="shared" si="5"/>
        <v>3</v>
      </c>
      <c r="H120">
        <f t="shared" si="6"/>
        <v>2</v>
      </c>
      <c r="I120">
        <f t="shared" si="7"/>
        <v>14700</v>
      </c>
      <c r="J120">
        <f t="shared" si="8"/>
        <v>3920</v>
      </c>
      <c r="K120">
        <f t="shared" si="9"/>
        <v>79380</v>
      </c>
    </row>
    <row r="121" spans="1:11" x14ac:dyDescent="0.25">
      <c r="A121" t="s">
        <v>160</v>
      </c>
      <c r="B121">
        <v>2014</v>
      </c>
      <c r="C121">
        <v>99000</v>
      </c>
      <c r="D121" t="s">
        <v>162</v>
      </c>
      <c r="E121">
        <v>247000</v>
      </c>
      <c r="F121" s="1">
        <v>42344</v>
      </c>
      <c r="G121" s="3">
        <f t="shared" si="5"/>
        <v>3</v>
      </c>
      <c r="H121">
        <f t="shared" si="6"/>
        <v>2</v>
      </c>
      <c r="I121">
        <f t="shared" si="7"/>
        <v>14850</v>
      </c>
      <c r="J121">
        <f t="shared" si="8"/>
        <v>3960</v>
      </c>
      <c r="K121">
        <f t="shared" si="9"/>
        <v>80190</v>
      </c>
    </row>
    <row r="122" spans="1:11" x14ac:dyDescent="0.25">
      <c r="A122" t="s">
        <v>45</v>
      </c>
      <c r="B122">
        <v>2014</v>
      </c>
      <c r="C122">
        <v>136502</v>
      </c>
      <c r="D122" t="s">
        <v>163</v>
      </c>
      <c r="E122">
        <v>243000</v>
      </c>
      <c r="F122" s="1">
        <v>42476</v>
      </c>
      <c r="G122" s="3">
        <f t="shared" si="5"/>
        <v>3</v>
      </c>
      <c r="H122">
        <f t="shared" si="6"/>
        <v>2</v>
      </c>
      <c r="I122">
        <f t="shared" si="7"/>
        <v>20475.300000000003</v>
      </c>
      <c r="J122">
        <f t="shared" si="8"/>
        <v>5460.08</v>
      </c>
      <c r="K122">
        <f t="shared" si="9"/>
        <v>110566.62</v>
      </c>
    </row>
    <row r="123" spans="1:11" x14ac:dyDescent="0.25">
      <c r="A123" t="s">
        <v>54</v>
      </c>
      <c r="B123">
        <v>2014</v>
      </c>
      <c r="C123">
        <v>167800</v>
      </c>
      <c r="D123" t="s">
        <v>164</v>
      </c>
      <c r="E123">
        <v>190300</v>
      </c>
      <c r="F123" s="1">
        <v>42272</v>
      </c>
      <c r="G123" s="3">
        <f t="shared" si="5"/>
        <v>3</v>
      </c>
      <c r="H123">
        <f t="shared" si="6"/>
        <v>1</v>
      </c>
      <c r="I123">
        <f t="shared" si="7"/>
        <v>25170</v>
      </c>
      <c r="J123">
        <f t="shared" si="8"/>
        <v>3356</v>
      </c>
      <c r="K123">
        <f t="shared" si="9"/>
        <v>139274</v>
      </c>
    </row>
    <row r="124" spans="1:11" x14ac:dyDescent="0.25">
      <c r="A124" t="s">
        <v>35</v>
      </c>
      <c r="B124">
        <v>2014</v>
      </c>
      <c r="C124">
        <v>219000</v>
      </c>
      <c r="D124" t="s">
        <v>165</v>
      </c>
      <c r="E124">
        <v>126290</v>
      </c>
      <c r="F124" s="1">
        <v>42083</v>
      </c>
      <c r="G124" s="3">
        <f t="shared" si="5"/>
        <v>3</v>
      </c>
      <c r="H124">
        <f t="shared" si="6"/>
        <v>1</v>
      </c>
      <c r="I124">
        <f t="shared" si="7"/>
        <v>32850</v>
      </c>
      <c r="J124">
        <f t="shared" si="8"/>
        <v>4380</v>
      </c>
      <c r="K124">
        <f t="shared" si="9"/>
        <v>181770</v>
      </c>
    </row>
    <row r="125" spans="1:11" x14ac:dyDescent="0.25">
      <c r="A125" t="s">
        <v>136</v>
      </c>
      <c r="B125">
        <v>2014</v>
      </c>
      <c r="C125">
        <v>240000</v>
      </c>
      <c r="D125" t="s">
        <v>166</v>
      </c>
      <c r="E125">
        <v>183788</v>
      </c>
      <c r="F125" s="1">
        <v>42681</v>
      </c>
      <c r="G125" s="3">
        <f t="shared" si="5"/>
        <v>3</v>
      </c>
      <c r="H125">
        <f t="shared" si="6"/>
        <v>1</v>
      </c>
      <c r="I125">
        <f t="shared" si="7"/>
        <v>36000</v>
      </c>
      <c r="J125">
        <f t="shared" si="8"/>
        <v>4800</v>
      </c>
      <c r="K125">
        <f t="shared" si="9"/>
        <v>199200</v>
      </c>
    </row>
    <row r="126" spans="1:11" x14ac:dyDescent="0.25">
      <c r="A126" t="s">
        <v>136</v>
      </c>
      <c r="B126">
        <v>2014</v>
      </c>
      <c r="C126">
        <v>240000</v>
      </c>
      <c r="D126" t="s">
        <v>167</v>
      </c>
      <c r="E126">
        <v>160198</v>
      </c>
      <c r="F126" s="1">
        <v>42681</v>
      </c>
      <c r="G126" s="3">
        <f t="shared" si="5"/>
        <v>3</v>
      </c>
      <c r="H126">
        <f t="shared" si="6"/>
        <v>1</v>
      </c>
      <c r="I126">
        <f t="shared" si="7"/>
        <v>36000</v>
      </c>
      <c r="J126">
        <f t="shared" si="8"/>
        <v>4800</v>
      </c>
      <c r="K126">
        <f t="shared" si="9"/>
        <v>199200</v>
      </c>
    </row>
    <row r="127" spans="1:11" x14ac:dyDescent="0.25">
      <c r="A127" t="s">
        <v>136</v>
      </c>
      <c r="B127">
        <v>2014</v>
      </c>
      <c r="C127">
        <v>240000</v>
      </c>
      <c r="D127" t="s">
        <v>168</v>
      </c>
      <c r="E127">
        <v>156724</v>
      </c>
      <c r="F127" s="1">
        <v>42681</v>
      </c>
      <c r="G127" s="3">
        <f t="shared" si="5"/>
        <v>3</v>
      </c>
      <c r="H127">
        <f t="shared" si="6"/>
        <v>1</v>
      </c>
      <c r="I127">
        <f t="shared" si="7"/>
        <v>36000</v>
      </c>
      <c r="J127">
        <f t="shared" si="8"/>
        <v>4800</v>
      </c>
      <c r="K127">
        <f t="shared" si="9"/>
        <v>199200</v>
      </c>
    </row>
    <row r="128" spans="1:11" x14ac:dyDescent="0.25">
      <c r="A128" t="s">
        <v>157</v>
      </c>
      <c r="B128">
        <v>2014</v>
      </c>
      <c r="C128">
        <v>270000</v>
      </c>
      <c r="D128" t="s">
        <v>169</v>
      </c>
      <c r="E128">
        <v>157000</v>
      </c>
      <c r="F128" s="1">
        <v>42334</v>
      </c>
      <c r="G128" s="3">
        <f t="shared" si="5"/>
        <v>3</v>
      </c>
      <c r="H128">
        <f t="shared" si="6"/>
        <v>1</v>
      </c>
      <c r="I128">
        <f t="shared" si="7"/>
        <v>40500</v>
      </c>
      <c r="J128">
        <f t="shared" si="8"/>
        <v>5400</v>
      </c>
      <c r="K128">
        <f t="shared" si="9"/>
        <v>224100</v>
      </c>
    </row>
    <row r="129" spans="1:11" x14ac:dyDescent="0.25">
      <c r="A129" t="s">
        <v>35</v>
      </c>
      <c r="B129">
        <v>2015</v>
      </c>
      <c r="C129">
        <v>218000</v>
      </c>
      <c r="D129" t="s">
        <v>170</v>
      </c>
      <c r="E129">
        <v>130290</v>
      </c>
      <c r="F129" s="1">
        <v>42083</v>
      </c>
      <c r="G129" s="3">
        <f t="shared" si="5"/>
        <v>2</v>
      </c>
      <c r="H129">
        <f t="shared" si="6"/>
        <v>1</v>
      </c>
      <c r="I129">
        <f t="shared" si="7"/>
        <v>21800</v>
      </c>
      <c r="J129">
        <f t="shared" si="8"/>
        <v>4360</v>
      </c>
      <c r="K129">
        <f t="shared" si="9"/>
        <v>191840</v>
      </c>
    </row>
    <row r="130" spans="1:11" x14ac:dyDescent="0.25">
      <c r="A130" t="s">
        <v>62</v>
      </c>
      <c r="B130">
        <v>2015</v>
      </c>
      <c r="C130">
        <v>258000</v>
      </c>
      <c r="D130" t="s">
        <v>171</v>
      </c>
      <c r="E130">
        <v>160700</v>
      </c>
      <c r="F130" s="1">
        <v>42286</v>
      </c>
      <c r="G130" s="3">
        <f t="shared" si="5"/>
        <v>2</v>
      </c>
      <c r="H130">
        <f t="shared" si="6"/>
        <v>1</v>
      </c>
      <c r="I130">
        <f t="shared" si="7"/>
        <v>25800</v>
      </c>
      <c r="J130">
        <f t="shared" si="8"/>
        <v>5160</v>
      </c>
      <c r="K130">
        <f t="shared" si="9"/>
        <v>227040</v>
      </c>
    </row>
    <row r="131" spans="1:11" x14ac:dyDescent="0.25">
      <c r="A131" t="s">
        <v>172</v>
      </c>
      <c r="B131">
        <v>2015</v>
      </c>
      <c r="C131">
        <v>360000</v>
      </c>
      <c r="D131" t="s">
        <v>173</v>
      </c>
      <c r="E131">
        <v>100000</v>
      </c>
      <c r="F131" s="1">
        <v>42734</v>
      </c>
      <c r="G131" s="3">
        <f t="shared" ref="G131:G135" si="10">2017-TRUNC(B131)</f>
        <v>2</v>
      </c>
      <c r="H131">
        <f t="shared" ref="H131:H135" si="11">TRUNC(E131/100000)</f>
        <v>1</v>
      </c>
      <c r="I131">
        <f t="shared" ref="I131:I135" si="12">C131*G131*0.05</f>
        <v>36000</v>
      </c>
      <c r="J131">
        <f t="shared" ref="J131:J135" si="13">C131*H131*0.02</f>
        <v>7200</v>
      </c>
      <c r="K131">
        <f t="shared" ref="K131:K135" si="14">C131-I131-J131</f>
        <v>316800</v>
      </c>
    </row>
    <row r="132" spans="1:11" x14ac:dyDescent="0.25">
      <c r="A132" t="s">
        <v>172</v>
      </c>
      <c r="B132">
        <v>2015</v>
      </c>
      <c r="C132">
        <v>360000</v>
      </c>
      <c r="D132" t="s">
        <v>174</v>
      </c>
      <c r="E132">
        <v>115000</v>
      </c>
      <c r="F132" s="1">
        <v>42734</v>
      </c>
      <c r="G132" s="3">
        <f t="shared" si="10"/>
        <v>2</v>
      </c>
      <c r="H132">
        <f t="shared" si="11"/>
        <v>1</v>
      </c>
      <c r="I132">
        <f t="shared" si="12"/>
        <v>36000</v>
      </c>
      <c r="J132">
        <f t="shared" si="13"/>
        <v>7200</v>
      </c>
      <c r="K132">
        <f t="shared" si="14"/>
        <v>316800</v>
      </c>
    </row>
    <row r="133" spans="1:11" x14ac:dyDescent="0.25">
      <c r="A133" t="s">
        <v>172</v>
      </c>
      <c r="B133">
        <v>2015</v>
      </c>
      <c r="C133">
        <v>360000</v>
      </c>
      <c r="D133" t="s">
        <v>175</v>
      </c>
      <c r="E133">
        <v>132000</v>
      </c>
      <c r="F133" s="1">
        <v>42734</v>
      </c>
      <c r="G133" s="3">
        <f t="shared" si="10"/>
        <v>2</v>
      </c>
      <c r="H133">
        <f t="shared" si="11"/>
        <v>1</v>
      </c>
      <c r="I133">
        <f t="shared" si="12"/>
        <v>36000</v>
      </c>
      <c r="J133">
        <f t="shared" si="13"/>
        <v>7200</v>
      </c>
      <c r="K133">
        <f t="shared" si="14"/>
        <v>316800</v>
      </c>
    </row>
    <row r="134" spans="1:11" x14ac:dyDescent="0.25">
      <c r="A134" t="s">
        <v>172</v>
      </c>
      <c r="B134">
        <v>2015</v>
      </c>
      <c r="C134">
        <v>360000</v>
      </c>
      <c r="D134" t="s">
        <v>176</v>
      </c>
      <c r="E134">
        <v>108000</v>
      </c>
      <c r="F134" s="1">
        <v>42734</v>
      </c>
      <c r="G134" s="3">
        <f t="shared" si="10"/>
        <v>2</v>
      </c>
      <c r="H134">
        <f t="shared" si="11"/>
        <v>1</v>
      </c>
      <c r="I134">
        <f t="shared" si="12"/>
        <v>36000</v>
      </c>
      <c r="J134">
        <f t="shared" si="13"/>
        <v>7200</v>
      </c>
      <c r="K134">
        <f t="shared" si="14"/>
        <v>316800</v>
      </c>
    </row>
    <row r="135" spans="1:11" x14ac:dyDescent="0.25">
      <c r="A135" t="s">
        <v>172</v>
      </c>
      <c r="B135">
        <v>2015</v>
      </c>
      <c r="C135">
        <v>360000</v>
      </c>
      <c r="D135" t="s">
        <v>177</v>
      </c>
      <c r="E135">
        <v>140000</v>
      </c>
      <c r="F135" s="1">
        <v>42734</v>
      </c>
      <c r="G135" s="3">
        <f t="shared" si="10"/>
        <v>2</v>
      </c>
      <c r="H135">
        <f t="shared" si="11"/>
        <v>1</v>
      </c>
      <c r="I135">
        <f t="shared" si="12"/>
        <v>36000</v>
      </c>
      <c r="J135">
        <f t="shared" si="13"/>
        <v>7200</v>
      </c>
      <c r="K135">
        <f t="shared" si="14"/>
        <v>316800</v>
      </c>
    </row>
  </sheetData>
  <conditionalFormatting sqref="A1:K135">
    <cfRule type="cellIs" dxfId="1" priority="2" operator="equal">
      <formula>17390</formula>
    </cfRule>
  </conditionalFormatting>
  <conditionalFormatting sqref="N7:P7">
    <cfRule type="cellIs" dxfId="0" priority="1" operator="equal">
      <formula>17390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AD20-F4BE-46A4-8EDC-8D513A89337F}">
  <dimension ref="A1:N135"/>
  <sheetViews>
    <sheetView workbookViewId="0">
      <selection sqref="A1:B1048576"/>
    </sheetView>
  </sheetViews>
  <sheetFormatPr defaultRowHeight="15" x14ac:dyDescent="0.25"/>
  <cols>
    <col min="1" max="1" width="17.85546875" bestFit="1" customWidth="1"/>
    <col min="2" max="2" width="17.85546875" customWidth="1"/>
    <col min="3" max="3" width="13.7109375" bestFit="1" customWidth="1"/>
    <col min="4" max="4" width="12.7109375" bestFit="1" customWidth="1"/>
    <col min="5" max="5" width="15.28515625" bestFit="1" customWidth="1"/>
    <col min="6" max="6" width="8.42578125" bestFit="1" customWidth="1"/>
    <col min="7" max="7" width="24" bestFit="1" customWidth="1"/>
    <col min="8" max="8" width="10.140625" style="2" bestFit="1" customWidth="1"/>
    <col min="10" max="10" width="11.85546875" bestFit="1" customWidth="1"/>
    <col min="12" max="12" width="17.85546875" bestFit="1" customWidth="1"/>
    <col min="13" max="13" width="23.42578125" bestFit="1" customWidth="1"/>
    <col min="14" max="14" width="17.5703125" bestFit="1" customWidth="1"/>
  </cols>
  <sheetData>
    <row r="1" spans="1:14" x14ac:dyDescent="0.25">
      <c r="A1" t="s">
        <v>230</v>
      </c>
      <c r="B1" t="s">
        <v>231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178</v>
      </c>
      <c r="I1" t="s">
        <v>179</v>
      </c>
      <c r="J1" t="s">
        <v>180</v>
      </c>
    </row>
    <row r="2" spans="1:14" x14ac:dyDescent="0.25">
      <c r="A2" t="s">
        <v>185</v>
      </c>
      <c r="B2" t="s">
        <v>186</v>
      </c>
      <c r="C2">
        <v>2006</v>
      </c>
      <c r="D2">
        <v>85900</v>
      </c>
      <c r="E2" t="s">
        <v>7</v>
      </c>
      <c r="F2">
        <v>1200655</v>
      </c>
      <c r="G2" s="1">
        <v>42035</v>
      </c>
      <c r="H2" s="3">
        <f>2017-TRUNC(C2)</f>
        <v>11</v>
      </c>
      <c r="I2">
        <f>TRUNC(F2/100000)</f>
        <v>12</v>
      </c>
      <c r="J2">
        <f>D2-(D2*H2*0.05 + D2*I2*0.02)</f>
        <v>18039</v>
      </c>
      <c r="L2" s="11" t="s">
        <v>232</v>
      </c>
      <c r="M2" t="s">
        <v>235</v>
      </c>
      <c r="N2" t="s">
        <v>236</v>
      </c>
    </row>
    <row r="3" spans="1:14" x14ac:dyDescent="0.25">
      <c r="A3" t="s">
        <v>185</v>
      </c>
      <c r="B3" t="s">
        <v>186</v>
      </c>
      <c r="C3">
        <v>2006</v>
      </c>
      <c r="D3">
        <v>85900</v>
      </c>
      <c r="E3" t="s">
        <v>8</v>
      </c>
      <c r="F3">
        <v>1068570</v>
      </c>
      <c r="G3" s="1">
        <v>42029</v>
      </c>
      <c r="H3" s="3">
        <f t="shared" ref="H3:H66" si="0">2017-TRUNC(C3)</f>
        <v>11</v>
      </c>
      <c r="I3">
        <f t="shared" ref="I3:I66" si="1">TRUNC(F3/100000)</f>
        <v>10</v>
      </c>
      <c r="J3">
        <f t="shared" ref="J3:J66" si="2">D3-(D3*H3*0.05 + D3*I3*0.02)</f>
        <v>21475</v>
      </c>
      <c r="L3" s="12" t="s">
        <v>206</v>
      </c>
      <c r="M3" s="13">
        <v>30</v>
      </c>
      <c r="N3" s="3">
        <v>273239.59999999998</v>
      </c>
    </row>
    <row r="4" spans="1:14" x14ac:dyDescent="0.25">
      <c r="A4" t="s">
        <v>185</v>
      </c>
      <c r="B4" t="s">
        <v>186</v>
      </c>
      <c r="C4">
        <v>2006</v>
      </c>
      <c r="D4">
        <v>85900</v>
      </c>
      <c r="E4" t="s">
        <v>9</v>
      </c>
      <c r="F4">
        <v>998704</v>
      </c>
      <c r="G4" s="1">
        <v>42028</v>
      </c>
      <c r="H4" s="3">
        <f t="shared" si="0"/>
        <v>11</v>
      </c>
      <c r="I4">
        <f t="shared" si="1"/>
        <v>9</v>
      </c>
      <c r="J4">
        <f t="shared" si="2"/>
        <v>23193</v>
      </c>
      <c r="L4" s="12" t="s">
        <v>185</v>
      </c>
      <c r="M4" s="13">
        <v>12</v>
      </c>
      <c r="N4" s="3">
        <v>657434.5</v>
      </c>
    </row>
    <row r="5" spans="1:14" x14ac:dyDescent="0.25">
      <c r="A5" t="s">
        <v>185</v>
      </c>
      <c r="B5" t="s">
        <v>186</v>
      </c>
      <c r="C5">
        <v>2006</v>
      </c>
      <c r="D5">
        <v>85900</v>
      </c>
      <c r="E5" t="s">
        <v>10</v>
      </c>
      <c r="F5">
        <v>936780</v>
      </c>
      <c r="G5" s="1">
        <v>42028</v>
      </c>
      <c r="H5" s="3">
        <f t="shared" si="0"/>
        <v>11</v>
      </c>
      <c r="I5">
        <f t="shared" si="1"/>
        <v>9</v>
      </c>
      <c r="J5">
        <f t="shared" si="2"/>
        <v>23193</v>
      </c>
      <c r="L5" s="12" t="s">
        <v>189</v>
      </c>
      <c r="M5" s="13">
        <v>18</v>
      </c>
      <c r="N5" s="3">
        <v>289637.27777777775</v>
      </c>
    </row>
    <row r="6" spans="1:14" x14ac:dyDescent="0.25">
      <c r="A6" t="s">
        <v>185</v>
      </c>
      <c r="B6" t="s">
        <v>186</v>
      </c>
      <c r="C6">
        <v>2006</v>
      </c>
      <c r="D6">
        <v>85900</v>
      </c>
      <c r="E6" t="s">
        <v>11</v>
      </c>
      <c r="F6">
        <v>870233</v>
      </c>
      <c r="G6" s="1">
        <v>42034</v>
      </c>
      <c r="H6" s="3">
        <f t="shared" si="0"/>
        <v>11</v>
      </c>
      <c r="I6">
        <f t="shared" si="1"/>
        <v>8</v>
      </c>
      <c r="J6">
        <f t="shared" si="2"/>
        <v>24911</v>
      </c>
      <c r="L6" s="12" t="s">
        <v>187</v>
      </c>
      <c r="M6" s="13">
        <v>17</v>
      </c>
      <c r="N6" s="3">
        <v>486545.8823529412</v>
      </c>
    </row>
    <row r="7" spans="1:14" x14ac:dyDescent="0.25">
      <c r="A7" t="s">
        <v>187</v>
      </c>
      <c r="B7" t="s">
        <v>188</v>
      </c>
      <c r="C7">
        <v>2007</v>
      </c>
      <c r="D7">
        <v>205000</v>
      </c>
      <c r="E7" t="s">
        <v>13</v>
      </c>
      <c r="F7">
        <v>1260000</v>
      </c>
      <c r="G7" s="1">
        <v>42483</v>
      </c>
      <c r="H7" s="3">
        <f t="shared" si="0"/>
        <v>10</v>
      </c>
      <c r="I7">
        <f t="shared" si="1"/>
        <v>12</v>
      </c>
      <c r="J7">
        <f t="shared" si="2"/>
        <v>53300</v>
      </c>
      <c r="L7" s="12" t="s">
        <v>199</v>
      </c>
      <c r="M7" s="13">
        <v>17</v>
      </c>
      <c r="N7" s="3">
        <v>519936.0588235294</v>
      </c>
    </row>
    <row r="8" spans="1:14" x14ac:dyDescent="0.25">
      <c r="A8" t="s">
        <v>189</v>
      </c>
      <c r="B8" t="s">
        <v>190</v>
      </c>
      <c r="C8">
        <v>2007</v>
      </c>
      <c r="D8">
        <v>198000</v>
      </c>
      <c r="E8" t="s">
        <v>15</v>
      </c>
      <c r="F8">
        <v>890200</v>
      </c>
      <c r="G8" s="1">
        <v>42520</v>
      </c>
      <c r="H8" s="3">
        <f t="shared" si="0"/>
        <v>10</v>
      </c>
      <c r="I8">
        <f t="shared" si="1"/>
        <v>8</v>
      </c>
      <c r="J8">
        <f t="shared" si="2"/>
        <v>67320</v>
      </c>
      <c r="L8" s="12" t="s">
        <v>197</v>
      </c>
      <c r="M8" s="13">
        <v>17</v>
      </c>
      <c r="N8" s="3">
        <v>557117.6470588235</v>
      </c>
    </row>
    <row r="9" spans="1:14" x14ac:dyDescent="0.25">
      <c r="A9" t="s">
        <v>191</v>
      </c>
      <c r="B9" t="s">
        <v>192</v>
      </c>
      <c r="C9">
        <v>2008</v>
      </c>
      <c r="D9">
        <v>49411</v>
      </c>
      <c r="E9" t="s">
        <v>17</v>
      </c>
      <c r="F9">
        <v>186000</v>
      </c>
      <c r="G9" s="1">
        <v>42210</v>
      </c>
      <c r="H9" s="3">
        <f t="shared" si="0"/>
        <v>9</v>
      </c>
      <c r="I9">
        <f t="shared" si="1"/>
        <v>1</v>
      </c>
      <c r="J9">
        <f t="shared" si="2"/>
        <v>26187.829999999998</v>
      </c>
      <c r="L9" s="12" t="s">
        <v>191</v>
      </c>
      <c r="M9" s="13">
        <v>23</v>
      </c>
      <c r="N9" s="3">
        <v>307130.4347826087</v>
      </c>
    </row>
    <row r="10" spans="1:14" x14ac:dyDescent="0.25">
      <c r="A10" t="s">
        <v>191</v>
      </c>
      <c r="B10" t="s">
        <v>193</v>
      </c>
      <c r="C10">
        <v>2008</v>
      </c>
      <c r="D10">
        <v>58000</v>
      </c>
      <c r="E10" t="s">
        <v>19</v>
      </c>
      <c r="F10">
        <v>306000</v>
      </c>
      <c r="G10" s="1">
        <v>42271</v>
      </c>
      <c r="H10" s="3">
        <f t="shared" si="0"/>
        <v>9</v>
      </c>
      <c r="I10">
        <f t="shared" si="1"/>
        <v>3</v>
      </c>
      <c r="J10">
        <f t="shared" si="2"/>
        <v>28420</v>
      </c>
      <c r="L10" s="12" t="s">
        <v>233</v>
      </c>
      <c r="M10" s="13"/>
      <c r="N10" s="13"/>
    </row>
    <row r="11" spans="1:14" x14ac:dyDescent="0.25">
      <c r="A11" t="s">
        <v>191</v>
      </c>
      <c r="B11" t="s">
        <v>194</v>
      </c>
      <c r="C11">
        <v>2008</v>
      </c>
      <c r="D11">
        <v>84000</v>
      </c>
      <c r="E11" t="s">
        <v>21</v>
      </c>
      <c r="F11">
        <v>266000</v>
      </c>
      <c r="G11" s="1">
        <v>42382</v>
      </c>
      <c r="H11" s="3">
        <f t="shared" si="0"/>
        <v>9</v>
      </c>
      <c r="I11">
        <f t="shared" si="1"/>
        <v>2</v>
      </c>
      <c r="J11">
        <f t="shared" si="2"/>
        <v>42840</v>
      </c>
      <c r="L11" s="12" t="s">
        <v>234</v>
      </c>
      <c r="M11" s="13">
        <v>134</v>
      </c>
      <c r="N11" s="13">
        <v>410037.80597014923</v>
      </c>
    </row>
    <row r="12" spans="1:14" x14ac:dyDescent="0.25">
      <c r="A12" t="s">
        <v>191</v>
      </c>
      <c r="B12" t="s">
        <v>195</v>
      </c>
      <c r="C12">
        <v>2008</v>
      </c>
      <c r="D12">
        <v>89000</v>
      </c>
      <c r="E12" t="s">
        <v>23</v>
      </c>
      <c r="F12">
        <v>305000</v>
      </c>
      <c r="G12" s="1">
        <v>42075</v>
      </c>
      <c r="H12" s="3">
        <f t="shared" si="0"/>
        <v>9</v>
      </c>
      <c r="I12">
        <f t="shared" si="1"/>
        <v>3</v>
      </c>
      <c r="J12">
        <f t="shared" si="2"/>
        <v>43610</v>
      </c>
    </row>
    <row r="13" spans="1:14" x14ac:dyDescent="0.25">
      <c r="A13" t="s">
        <v>191</v>
      </c>
      <c r="B13" t="s">
        <v>192</v>
      </c>
      <c r="C13">
        <v>2009</v>
      </c>
      <c r="D13">
        <v>48411</v>
      </c>
      <c r="E13" t="s">
        <v>24</v>
      </c>
      <c r="F13">
        <v>190000</v>
      </c>
      <c r="G13" s="1">
        <v>42210</v>
      </c>
      <c r="H13" s="3">
        <f t="shared" si="0"/>
        <v>8</v>
      </c>
      <c r="I13">
        <f t="shared" si="1"/>
        <v>1</v>
      </c>
      <c r="J13">
        <f t="shared" si="2"/>
        <v>28078.379999999997</v>
      </c>
    </row>
    <row r="14" spans="1:14" x14ac:dyDescent="0.25">
      <c r="A14" t="s">
        <v>185</v>
      </c>
      <c r="B14" t="s">
        <v>196</v>
      </c>
      <c r="C14">
        <v>2009</v>
      </c>
      <c r="D14">
        <v>68000</v>
      </c>
      <c r="E14" t="s">
        <v>26</v>
      </c>
      <c r="F14">
        <v>992600</v>
      </c>
      <c r="G14" s="1">
        <v>42157</v>
      </c>
      <c r="H14" s="3">
        <f t="shared" si="0"/>
        <v>8</v>
      </c>
      <c r="I14">
        <f t="shared" si="1"/>
        <v>9</v>
      </c>
      <c r="J14">
        <f t="shared" si="2"/>
        <v>28560</v>
      </c>
    </row>
    <row r="15" spans="1:14" x14ac:dyDescent="0.25">
      <c r="A15" t="s">
        <v>191</v>
      </c>
      <c r="B15" t="s">
        <v>192</v>
      </c>
      <c r="C15">
        <v>2009</v>
      </c>
      <c r="D15">
        <v>49411</v>
      </c>
      <c r="E15" t="s">
        <v>27</v>
      </c>
      <c r="F15">
        <v>186000</v>
      </c>
      <c r="G15" s="1">
        <v>42210</v>
      </c>
      <c r="H15" s="3">
        <f t="shared" si="0"/>
        <v>8</v>
      </c>
      <c r="I15">
        <f t="shared" si="1"/>
        <v>1</v>
      </c>
      <c r="J15">
        <f t="shared" si="2"/>
        <v>28658.379999999997</v>
      </c>
    </row>
    <row r="16" spans="1:14" x14ac:dyDescent="0.25">
      <c r="A16" t="s">
        <v>197</v>
      </c>
      <c r="B16" t="s">
        <v>198</v>
      </c>
      <c r="C16">
        <v>2009</v>
      </c>
      <c r="D16">
        <v>67900</v>
      </c>
      <c r="E16" t="s">
        <v>29</v>
      </c>
      <c r="F16">
        <v>850000</v>
      </c>
      <c r="G16" s="1">
        <v>42194</v>
      </c>
      <c r="H16" s="3">
        <f t="shared" si="0"/>
        <v>8</v>
      </c>
      <c r="I16">
        <f t="shared" si="1"/>
        <v>8</v>
      </c>
      <c r="J16">
        <f t="shared" si="2"/>
        <v>29876</v>
      </c>
    </row>
    <row r="17" spans="1:10" x14ac:dyDescent="0.25">
      <c r="A17" t="s">
        <v>191</v>
      </c>
      <c r="B17" t="s">
        <v>192</v>
      </c>
      <c r="C17">
        <v>2009</v>
      </c>
      <c r="D17">
        <v>65000</v>
      </c>
      <c r="E17" t="s">
        <v>30</v>
      </c>
      <c r="F17">
        <v>740000</v>
      </c>
      <c r="G17" s="1">
        <v>42385</v>
      </c>
      <c r="H17" s="3">
        <f t="shared" si="0"/>
        <v>8</v>
      </c>
      <c r="I17">
        <f t="shared" si="1"/>
        <v>7</v>
      </c>
      <c r="J17">
        <f t="shared" si="2"/>
        <v>29900</v>
      </c>
    </row>
    <row r="18" spans="1:10" x14ac:dyDescent="0.25">
      <c r="A18" t="s">
        <v>197</v>
      </c>
      <c r="B18" t="s">
        <v>198</v>
      </c>
      <c r="C18">
        <v>2009</v>
      </c>
      <c r="D18">
        <v>68900</v>
      </c>
      <c r="E18" t="s">
        <v>31</v>
      </c>
      <c r="F18">
        <v>846000</v>
      </c>
      <c r="G18" s="1">
        <v>42194</v>
      </c>
      <c r="H18" s="3">
        <f t="shared" si="0"/>
        <v>8</v>
      </c>
      <c r="I18">
        <f t="shared" si="1"/>
        <v>8</v>
      </c>
      <c r="J18">
        <f t="shared" si="2"/>
        <v>30316</v>
      </c>
    </row>
    <row r="19" spans="1:10" x14ac:dyDescent="0.25">
      <c r="A19" t="s">
        <v>191</v>
      </c>
      <c r="B19" t="s">
        <v>193</v>
      </c>
      <c r="C19">
        <v>2009</v>
      </c>
      <c r="D19">
        <v>59000</v>
      </c>
      <c r="E19" t="s">
        <v>32</v>
      </c>
      <c r="F19">
        <v>302000</v>
      </c>
      <c r="G19" s="1">
        <v>42271</v>
      </c>
      <c r="H19" s="3">
        <f t="shared" si="0"/>
        <v>8</v>
      </c>
      <c r="I19">
        <f t="shared" si="1"/>
        <v>3</v>
      </c>
      <c r="J19">
        <f t="shared" si="2"/>
        <v>31860</v>
      </c>
    </row>
    <row r="20" spans="1:10" x14ac:dyDescent="0.25">
      <c r="A20" t="s">
        <v>199</v>
      </c>
      <c r="B20" t="s">
        <v>200</v>
      </c>
      <c r="C20">
        <v>2009</v>
      </c>
      <c r="D20">
        <v>77000</v>
      </c>
      <c r="E20" t="s">
        <v>34</v>
      </c>
      <c r="F20">
        <v>846000</v>
      </c>
      <c r="G20" s="1">
        <v>42376</v>
      </c>
      <c r="H20" s="3">
        <f t="shared" si="0"/>
        <v>8</v>
      </c>
      <c r="I20">
        <f t="shared" si="1"/>
        <v>8</v>
      </c>
      <c r="J20">
        <f t="shared" si="2"/>
        <v>33880</v>
      </c>
    </row>
    <row r="21" spans="1:10" x14ac:dyDescent="0.25">
      <c r="A21" t="s">
        <v>187</v>
      </c>
      <c r="B21" t="s">
        <v>201</v>
      </c>
      <c r="C21">
        <v>2009</v>
      </c>
      <c r="D21">
        <v>85000</v>
      </c>
      <c r="E21" t="s">
        <v>36</v>
      </c>
      <c r="F21">
        <v>946000</v>
      </c>
      <c r="G21" s="1">
        <v>42014</v>
      </c>
      <c r="H21" s="3">
        <f t="shared" si="0"/>
        <v>8</v>
      </c>
      <c r="I21">
        <f t="shared" si="1"/>
        <v>9</v>
      </c>
      <c r="J21">
        <f t="shared" si="2"/>
        <v>35700</v>
      </c>
    </row>
    <row r="22" spans="1:10" x14ac:dyDescent="0.25">
      <c r="A22" t="s">
        <v>197</v>
      </c>
      <c r="B22" t="s">
        <v>202</v>
      </c>
      <c r="C22">
        <v>2009</v>
      </c>
      <c r="D22">
        <v>79000</v>
      </c>
      <c r="E22" t="s">
        <v>38</v>
      </c>
      <c r="F22">
        <v>390000</v>
      </c>
      <c r="G22" s="1">
        <v>42379</v>
      </c>
      <c r="H22" s="3">
        <f t="shared" si="0"/>
        <v>8</v>
      </c>
      <c r="I22">
        <f t="shared" si="1"/>
        <v>3</v>
      </c>
      <c r="J22">
        <f t="shared" si="2"/>
        <v>42660</v>
      </c>
    </row>
    <row r="23" spans="1:10" x14ac:dyDescent="0.25">
      <c r="A23" t="s">
        <v>197</v>
      </c>
      <c r="B23" t="s">
        <v>202</v>
      </c>
      <c r="C23">
        <v>2009</v>
      </c>
      <c r="D23">
        <v>79000</v>
      </c>
      <c r="E23" t="s">
        <v>39</v>
      </c>
      <c r="F23">
        <v>390000</v>
      </c>
      <c r="G23" s="1">
        <v>42379</v>
      </c>
      <c r="H23" s="3">
        <f t="shared" si="0"/>
        <v>8</v>
      </c>
      <c r="I23">
        <f t="shared" si="1"/>
        <v>3</v>
      </c>
      <c r="J23">
        <f t="shared" si="2"/>
        <v>42660</v>
      </c>
    </row>
    <row r="24" spans="1:10" x14ac:dyDescent="0.25">
      <c r="A24" t="s">
        <v>191</v>
      </c>
      <c r="B24" t="s">
        <v>194</v>
      </c>
      <c r="C24">
        <v>2009</v>
      </c>
      <c r="D24">
        <v>83000</v>
      </c>
      <c r="E24" t="s">
        <v>40</v>
      </c>
      <c r="F24">
        <v>270000</v>
      </c>
      <c r="G24" s="1">
        <v>42382</v>
      </c>
      <c r="H24" s="3">
        <f t="shared" si="0"/>
        <v>8</v>
      </c>
      <c r="I24">
        <f t="shared" si="1"/>
        <v>2</v>
      </c>
      <c r="J24">
        <f t="shared" si="2"/>
        <v>46480</v>
      </c>
    </row>
    <row r="25" spans="1:10" x14ac:dyDescent="0.25">
      <c r="A25" t="s">
        <v>185</v>
      </c>
      <c r="B25" t="s">
        <v>203</v>
      </c>
      <c r="C25">
        <v>2009</v>
      </c>
      <c r="D25">
        <v>86133</v>
      </c>
      <c r="E25" t="s">
        <v>42</v>
      </c>
      <c r="F25">
        <v>380000</v>
      </c>
      <c r="G25" s="1">
        <v>42208</v>
      </c>
      <c r="H25" s="3">
        <f t="shared" si="0"/>
        <v>8</v>
      </c>
      <c r="I25">
        <f t="shared" si="1"/>
        <v>3</v>
      </c>
      <c r="J25">
        <f t="shared" si="2"/>
        <v>46511.819999999992</v>
      </c>
    </row>
    <row r="26" spans="1:10" x14ac:dyDescent="0.25">
      <c r="A26" t="s">
        <v>191</v>
      </c>
      <c r="B26" t="s">
        <v>195</v>
      </c>
      <c r="C26">
        <v>2009</v>
      </c>
      <c r="D26">
        <v>90000</v>
      </c>
      <c r="E26" t="s">
        <v>43</v>
      </c>
      <c r="F26">
        <v>301000</v>
      </c>
      <c r="G26" s="1">
        <v>42075</v>
      </c>
      <c r="H26" s="3">
        <f t="shared" si="0"/>
        <v>8</v>
      </c>
      <c r="I26">
        <f t="shared" si="1"/>
        <v>3</v>
      </c>
      <c r="J26">
        <f t="shared" si="2"/>
        <v>48600</v>
      </c>
    </row>
    <row r="27" spans="1:10" x14ac:dyDescent="0.25">
      <c r="A27" t="s">
        <v>187</v>
      </c>
      <c r="B27" t="s">
        <v>201</v>
      </c>
      <c r="C27">
        <v>2009</v>
      </c>
      <c r="D27">
        <v>91000</v>
      </c>
      <c r="E27" t="s">
        <v>44</v>
      </c>
      <c r="F27">
        <v>360000</v>
      </c>
      <c r="G27" s="1">
        <v>42174</v>
      </c>
      <c r="H27" s="3">
        <f t="shared" si="0"/>
        <v>8</v>
      </c>
      <c r="I27">
        <f t="shared" si="1"/>
        <v>3</v>
      </c>
      <c r="J27">
        <f t="shared" si="2"/>
        <v>49140</v>
      </c>
    </row>
    <row r="28" spans="1:10" x14ac:dyDescent="0.25">
      <c r="A28" t="s">
        <v>189</v>
      </c>
      <c r="B28" t="s">
        <v>204</v>
      </c>
      <c r="C28">
        <v>2009</v>
      </c>
      <c r="D28">
        <v>114400</v>
      </c>
      <c r="E28" t="s">
        <v>46</v>
      </c>
      <c r="F28">
        <v>226000</v>
      </c>
      <c r="G28" s="1">
        <v>42073</v>
      </c>
      <c r="H28" s="3">
        <f t="shared" si="0"/>
        <v>8</v>
      </c>
      <c r="I28">
        <f t="shared" si="1"/>
        <v>2</v>
      </c>
      <c r="J28">
        <f t="shared" si="2"/>
        <v>64064</v>
      </c>
    </row>
    <row r="29" spans="1:10" x14ac:dyDescent="0.25">
      <c r="A29" t="s">
        <v>191</v>
      </c>
      <c r="B29" t="s">
        <v>205</v>
      </c>
      <c r="C29">
        <v>2009</v>
      </c>
      <c r="D29">
        <v>134000</v>
      </c>
      <c r="E29" t="s">
        <v>48</v>
      </c>
      <c r="F29">
        <v>482000</v>
      </c>
      <c r="G29" s="1">
        <v>42385</v>
      </c>
      <c r="H29" s="3">
        <f t="shared" si="0"/>
        <v>8</v>
      </c>
      <c r="I29">
        <f t="shared" si="1"/>
        <v>4</v>
      </c>
      <c r="J29">
        <f t="shared" si="2"/>
        <v>69680</v>
      </c>
    </row>
    <row r="30" spans="1:10" x14ac:dyDescent="0.25">
      <c r="A30" t="s">
        <v>191</v>
      </c>
      <c r="B30" t="s">
        <v>205</v>
      </c>
      <c r="C30">
        <v>2009</v>
      </c>
      <c r="D30">
        <v>135000</v>
      </c>
      <c r="E30" t="s">
        <v>49</v>
      </c>
      <c r="F30">
        <v>478000</v>
      </c>
      <c r="G30" s="1">
        <v>42385</v>
      </c>
      <c r="H30" s="3">
        <f t="shared" si="0"/>
        <v>8</v>
      </c>
      <c r="I30">
        <f t="shared" si="1"/>
        <v>4</v>
      </c>
      <c r="J30">
        <f t="shared" si="2"/>
        <v>70200</v>
      </c>
    </row>
    <row r="31" spans="1:10" x14ac:dyDescent="0.25">
      <c r="A31" t="s">
        <v>206</v>
      </c>
      <c r="B31" t="s">
        <v>207</v>
      </c>
      <c r="C31">
        <v>2009</v>
      </c>
      <c r="D31">
        <v>131780</v>
      </c>
      <c r="E31" t="s">
        <v>51</v>
      </c>
      <c r="F31">
        <v>306000</v>
      </c>
      <c r="G31" s="1">
        <v>42365</v>
      </c>
      <c r="H31" s="3">
        <f t="shared" si="0"/>
        <v>8</v>
      </c>
      <c r="I31">
        <f t="shared" si="1"/>
        <v>3</v>
      </c>
      <c r="J31">
        <f t="shared" si="2"/>
        <v>71161.2</v>
      </c>
    </row>
    <row r="32" spans="1:10" x14ac:dyDescent="0.25">
      <c r="A32" t="s">
        <v>189</v>
      </c>
      <c r="B32" t="s">
        <v>204</v>
      </c>
      <c r="C32">
        <v>2009</v>
      </c>
      <c r="D32">
        <v>159000</v>
      </c>
      <c r="E32" t="s">
        <v>52</v>
      </c>
      <c r="F32">
        <v>403000</v>
      </c>
      <c r="G32" s="1">
        <v>42681</v>
      </c>
      <c r="H32" s="3">
        <f t="shared" si="0"/>
        <v>8</v>
      </c>
      <c r="I32">
        <f t="shared" si="1"/>
        <v>4</v>
      </c>
      <c r="J32">
        <f t="shared" si="2"/>
        <v>82680</v>
      </c>
    </row>
    <row r="33" spans="1:10" x14ac:dyDescent="0.25">
      <c r="A33" t="s">
        <v>199</v>
      </c>
      <c r="B33" t="s">
        <v>200</v>
      </c>
      <c r="C33">
        <v>2009</v>
      </c>
      <c r="D33">
        <v>162800</v>
      </c>
      <c r="E33" t="s">
        <v>53</v>
      </c>
      <c r="F33">
        <v>370000</v>
      </c>
      <c r="G33" s="1">
        <v>42329</v>
      </c>
      <c r="H33" s="3">
        <f t="shared" si="0"/>
        <v>8</v>
      </c>
      <c r="I33">
        <f t="shared" si="1"/>
        <v>3</v>
      </c>
      <c r="J33">
        <f t="shared" si="2"/>
        <v>87912</v>
      </c>
    </row>
    <row r="34" spans="1:10" x14ac:dyDescent="0.25">
      <c r="A34" t="s">
        <v>189</v>
      </c>
      <c r="B34" t="s">
        <v>208</v>
      </c>
      <c r="C34">
        <v>2009</v>
      </c>
      <c r="D34">
        <v>168800</v>
      </c>
      <c r="E34" t="s">
        <v>55</v>
      </c>
      <c r="F34">
        <v>186300</v>
      </c>
      <c r="G34" s="1">
        <v>42272</v>
      </c>
      <c r="H34" s="3">
        <f t="shared" si="0"/>
        <v>8</v>
      </c>
      <c r="I34">
        <f t="shared" si="1"/>
        <v>1</v>
      </c>
      <c r="J34">
        <f t="shared" si="2"/>
        <v>97904</v>
      </c>
    </row>
    <row r="35" spans="1:10" x14ac:dyDescent="0.25">
      <c r="A35" t="s">
        <v>189</v>
      </c>
      <c r="B35" t="s">
        <v>209</v>
      </c>
      <c r="C35">
        <v>2009</v>
      </c>
      <c r="D35">
        <v>195370</v>
      </c>
      <c r="E35" t="s">
        <v>57</v>
      </c>
      <c r="F35">
        <v>290000</v>
      </c>
      <c r="G35" s="1">
        <v>42467</v>
      </c>
      <c r="H35" s="3">
        <f t="shared" si="0"/>
        <v>8</v>
      </c>
      <c r="I35">
        <f t="shared" si="1"/>
        <v>2</v>
      </c>
      <c r="J35">
        <f t="shared" si="2"/>
        <v>109407.2</v>
      </c>
    </row>
    <row r="36" spans="1:10" x14ac:dyDescent="0.25">
      <c r="A36" t="s">
        <v>206</v>
      </c>
      <c r="B36" t="s">
        <v>210</v>
      </c>
      <c r="C36">
        <v>2009</v>
      </c>
      <c r="D36">
        <v>195340</v>
      </c>
      <c r="E36" t="s">
        <v>59</v>
      </c>
      <c r="F36">
        <v>190000</v>
      </c>
      <c r="G36" s="1">
        <v>42278</v>
      </c>
      <c r="H36" s="3">
        <f t="shared" si="0"/>
        <v>8</v>
      </c>
      <c r="I36">
        <f t="shared" si="1"/>
        <v>1</v>
      </c>
      <c r="J36">
        <f t="shared" si="2"/>
        <v>113297.2</v>
      </c>
    </row>
    <row r="37" spans="1:10" x14ac:dyDescent="0.25">
      <c r="A37" t="s">
        <v>187</v>
      </c>
      <c r="B37" t="s">
        <v>211</v>
      </c>
      <c r="C37">
        <v>2009</v>
      </c>
      <c r="D37">
        <v>230000</v>
      </c>
      <c r="E37" t="s">
        <v>61</v>
      </c>
      <c r="F37">
        <v>305000</v>
      </c>
      <c r="G37" s="1">
        <v>42307</v>
      </c>
      <c r="H37" s="3">
        <f t="shared" si="0"/>
        <v>8</v>
      </c>
      <c r="I37">
        <f t="shared" si="1"/>
        <v>3</v>
      </c>
      <c r="J37">
        <f t="shared" si="2"/>
        <v>124200</v>
      </c>
    </row>
    <row r="38" spans="1:10" x14ac:dyDescent="0.25">
      <c r="A38" t="s">
        <v>187</v>
      </c>
      <c r="B38" t="s">
        <v>212</v>
      </c>
      <c r="C38">
        <v>2009</v>
      </c>
      <c r="D38">
        <v>291000</v>
      </c>
      <c r="E38" t="s">
        <v>63</v>
      </c>
      <c r="F38">
        <v>166000</v>
      </c>
      <c r="G38" s="1">
        <v>42297</v>
      </c>
      <c r="H38" s="3">
        <f t="shared" si="0"/>
        <v>8</v>
      </c>
      <c r="I38">
        <f t="shared" si="1"/>
        <v>1</v>
      </c>
      <c r="J38">
        <f t="shared" si="2"/>
        <v>168780</v>
      </c>
    </row>
    <row r="39" spans="1:10" x14ac:dyDescent="0.25">
      <c r="A39" t="s">
        <v>206</v>
      </c>
      <c r="B39" t="s">
        <v>207</v>
      </c>
      <c r="C39">
        <v>2010</v>
      </c>
      <c r="D39">
        <v>37000</v>
      </c>
      <c r="E39" t="s">
        <v>64</v>
      </c>
      <c r="F39">
        <v>978000</v>
      </c>
      <c r="G39" s="1">
        <v>42309</v>
      </c>
      <c r="H39" s="3">
        <f t="shared" si="0"/>
        <v>7</v>
      </c>
      <c r="I39">
        <f t="shared" si="1"/>
        <v>9</v>
      </c>
      <c r="J39">
        <f t="shared" si="2"/>
        <v>17390</v>
      </c>
    </row>
    <row r="40" spans="1:10" x14ac:dyDescent="0.25">
      <c r="A40" t="s">
        <v>206</v>
      </c>
      <c r="B40" t="s">
        <v>207</v>
      </c>
      <c r="C40">
        <v>2010</v>
      </c>
      <c r="D40">
        <v>40830</v>
      </c>
      <c r="E40" t="s">
        <v>65</v>
      </c>
      <c r="F40">
        <v>326000</v>
      </c>
      <c r="G40" s="1">
        <v>42062</v>
      </c>
      <c r="H40" s="3">
        <f t="shared" si="0"/>
        <v>7</v>
      </c>
      <c r="I40">
        <f t="shared" si="1"/>
        <v>3</v>
      </c>
      <c r="J40">
        <f t="shared" si="2"/>
        <v>24089.7</v>
      </c>
    </row>
    <row r="41" spans="1:10" x14ac:dyDescent="0.25">
      <c r="A41" t="s">
        <v>191</v>
      </c>
      <c r="B41" t="s">
        <v>192</v>
      </c>
      <c r="C41">
        <v>2010</v>
      </c>
      <c r="D41">
        <v>66000</v>
      </c>
      <c r="E41" t="s">
        <v>66</v>
      </c>
      <c r="F41">
        <v>736000</v>
      </c>
      <c r="G41" s="1">
        <v>42385</v>
      </c>
      <c r="H41" s="3">
        <f t="shared" si="0"/>
        <v>7</v>
      </c>
      <c r="I41">
        <f t="shared" si="1"/>
        <v>7</v>
      </c>
      <c r="J41">
        <f t="shared" si="2"/>
        <v>33660</v>
      </c>
    </row>
    <row r="42" spans="1:10" x14ac:dyDescent="0.25">
      <c r="A42" t="s">
        <v>199</v>
      </c>
      <c r="B42" t="s">
        <v>213</v>
      </c>
      <c r="C42">
        <v>2010</v>
      </c>
      <c r="D42">
        <v>60000</v>
      </c>
      <c r="E42" t="s">
        <v>68</v>
      </c>
      <c r="F42">
        <v>99250</v>
      </c>
      <c r="G42" s="1">
        <v>42226</v>
      </c>
      <c r="H42" s="3">
        <f t="shared" si="0"/>
        <v>7</v>
      </c>
      <c r="I42">
        <f t="shared" si="1"/>
        <v>0</v>
      </c>
      <c r="J42">
        <f t="shared" si="2"/>
        <v>39000</v>
      </c>
    </row>
    <row r="43" spans="1:10" x14ac:dyDescent="0.25">
      <c r="A43" t="s">
        <v>187</v>
      </c>
      <c r="B43" t="s">
        <v>201</v>
      </c>
      <c r="C43">
        <v>2010</v>
      </c>
      <c r="D43">
        <v>84000</v>
      </c>
      <c r="E43" t="s">
        <v>69</v>
      </c>
      <c r="F43">
        <v>950000</v>
      </c>
      <c r="G43" s="1">
        <v>42029</v>
      </c>
      <c r="H43" s="3">
        <f t="shared" si="0"/>
        <v>7</v>
      </c>
      <c r="I43">
        <f t="shared" si="1"/>
        <v>9</v>
      </c>
      <c r="J43">
        <f t="shared" si="2"/>
        <v>39480</v>
      </c>
    </row>
    <row r="44" spans="1:10" x14ac:dyDescent="0.25">
      <c r="A44" t="s">
        <v>185</v>
      </c>
      <c r="B44" t="s">
        <v>196</v>
      </c>
      <c r="C44">
        <v>2010</v>
      </c>
      <c r="D44">
        <v>67000</v>
      </c>
      <c r="E44" t="s">
        <v>70</v>
      </c>
      <c r="F44">
        <v>103260</v>
      </c>
      <c r="G44" s="1">
        <v>42157</v>
      </c>
      <c r="H44" s="3">
        <f t="shared" si="0"/>
        <v>7</v>
      </c>
      <c r="I44">
        <f t="shared" si="1"/>
        <v>1</v>
      </c>
      <c r="J44">
        <f t="shared" si="2"/>
        <v>42210</v>
      </c>
    </row>
    <row r="45" spans="1:10" x14ac:dyDescent="0.25">
      <c r="A45" t="s">
        <v>199</v>
      </c>
      <c r="B45" t="s">
        <v>214</v>
      </c>
      <c r="C45">
        <v>2010</v>
      </c>
      <c r="D45">
        <v>75300</v>
      </c>
      <c r="E45" t="s">
        <v>72</v>
      </c>
      <c r="F45">
        <v>302000</v>
      </c>
      <c r="G45" s="1">
        <v>42174</v>
      </c>
      <c r="H45" s="3">
        <f t="shared" si="0"/>
        <v>7</v>
      </c>
      <c r="I45">
        <f t="shared" si="1"/>
        <v>3</v>
      </c>
      <c r="J45">
        <f t="shared" si="2"/>
        <v>44427</v>
      </c>
    </row>
    <row r="46" spans="1:10" x14ac:dyDescent="0.25">
      <c r="A46" t="s">
        <v>191</v>
      </c>
      <c r="B46" t="s">
        <v>194</v>
      </c>
      <c r="C46">
        <v>2010</v>
      </c>
      <c r="D46">
        <v>84000</v>
      </c>
      <c r="E46" t="s">
        <v>73</v>
      </c>
      <c r="F46">
        <v>266000</v>
      </c>
      <c r="G46" s="1">
        <v>42382</v>
      </c>
      <c r="H46" s="3">
        <f t="shared" si="0"/>
        <v>7</v>
      </c>
      <c r="I46">
        <f t="shared" si="1"/>
        <v>2</v>
      </c>
      <c r="J46">
        <f t="shared" si="2"/>
        <v>51240</v>
      </c>
    </row>
    <row r="47" spans="1:10" x14ac:dyDescent="0.25">
      <c r="A47" t="s">
        <v>187</v>
      </c>
      <c r="B47" t="s">
        <v>201</v>
      </c>
      <c r="C47">
        <v>2010</v>
      </c>
      <c r="D47">
        <v>92000</v>
      </c>
      <c r="E47" t="s">
        <v>74</v>
      </c>
      <c r="F47">
        <v>356000</v>
      </c>
      <c r="G47" s="1">
        <v>42174</v>
      </c>
      <c r="H47" s="3">
        <f t="shared" si="0"/>
        <v>7</v>
      </c>
      <c r="I47">
        <f t="shared" si="1"/>
        <v>3</v>
      </c>
      <c r="J47">
        <f t="shared" si="2"/>
        <v>54280</v>
      </c>
    </row>
    <row r="48" spans="1:10" x14ac:dyDescent="0.25">
      <c r="A48" t="s">
        <v>189</v>
      </c>
      <c r="B48" t="s">
        <v>204</v>
      </c>
      <c r="C48">
        <v>2010</v>
      </c>
      <c r="D48">
        <v>89000</v>
      </c>
      <c r="E48" t="s">
        <v>75</v>
      </c>
      <c r="F48">
        <v>266000</v>
      </c>
      <c r="G48" s="1">
        <v>42382</v>
      </c>
      <c r="H48" s="3">
        <f t="shared" si="0"/>
        <v>7</v>
      </c>
      <c r="I48">
        <f t="shared" si="1"/>
        <v>2</v>
      </c>
      <c r="J48">
        <f t="shared" si="2"/>
        <v>54290</v>
      </c>
    </row>
    <row r="49" spans="1:10" x14ac:dyDescent="0.25">
      <c r="A49" t="s">
        <v>206</v>
      </c>
      <c r="B49" t="s">
        <v>215</v>
      </c>
      <c r="C49">
        <v>2010</v>
      </c>
      <c r="D49">
        <v>94000</v>
      </c>
      <c r="E49" t="s">
        <v>77</v>
      </c>
      <c r="F49">
        <v>91000</v>
      </c>
      <c r="G49" s="1">
        <v>42268</v>
      </c>
      <c r="H49" s="3">
        <f t="shared" si="0"/>
        <v>7</v>
      </c>
      <c r="I49">
        <f t="shared" si="1"/>
        <v>0</v>
      </c>
      <c r="J49">
        <f t="shared" si="2"/>
        <v>61100</v>
      </c>
    </row>
    <row r="50" spans="1:10" x14ac:dyDescent="0.25">
      <c r="A50" t="s">
        <v>189</v>
      </c>
      <c r="B50" t="s">
        <v>204</v>
      </c>
      <c r="C50">
        <v>2010</v>
      </c>
      <c r="D50">
        <v>113400</v>
      </c>
      <c r="E50" t="s">
        <v>78</v>
      </c>
      <c r="F50">
        <v>230000</v>
      </c>
      <c r="G50" s="1">
        <v>42073</v>
      </c>
      <c r="H50" s="3">
        <f t="shared" si="0"/>
        <v>7</v>
      </c>
      <c r="I50">
        <f t="shared" si="1"/>
        <v>2</v>
      </c>
      <c r="J50">
        <f t="shared" si="2"/>
        <v>69174</v>
      </c>
    </row>
    <row r="51" spans="1:10" x14ac:dyDescent="0.25">
      <c r="A51" t="s">
        <v>206</v>
      </c>
      <c r="B51" t="s">
        <v>216</v>
      </c>
      <c r="C51">
        <v>2010</v>
      </c>
      <c r="D51">
        <v>135000</v>
      </c>
      <c r="E51" t="s">
        <v>80</v>
      </c>
      <c r="F51">
        <v>251000</v>
      </c>
      <c r="G51" s="1">
        <v>42067</v>
      </c>
      <c r="H51" s="3">
        <f t="shared" si="0"/>
        <v>7</v>
      </c>
      <c r="I51">
        <f t="shared" si="1"/>
        <v>2</v>
      </c>
      <c r="J51">
        <f t="shared" si="2"/>
        <v>82350</v>
      </c>
    </row>
    <row r="52" spans="1:10" x14ac:dyDescent="0.25">
      <c r="A52" t="s">
        <v>185</v>
      </c>
      <c r="B52" t="s">
        <v>217</v>
      </c>
      <c r="C52">
        <v>2010</v>
      </c>
      <c r="D52">
        <v>160000</v>
      </c>
      <c r="E52" t="s">
        <v>82</v>
      </c>
      <c r="F52">
        <v>263000</v>
      </c>
      <c r="G52" s="1">
        <v>42028</v>
      </c>
      <c r="H52" s="3">
        <f t="shared" si="0"/>
        <v>7</v>
      </c>
      <c r="I52">
        <f t="shared" si="1"/>
        <v>2</v>
      </c>
      <c r="J52">
        <f t="shared" si="2"/>
        <v>97600</v>
      </c>
    </row>
    <row r="53" spans="1:10" x14ac:dyDescent="0.25">
      <c r="A53" t="s">
        <v>199</v>
      </c>
      <c r="B53" t="s">
        <v>218</v>
      </c>
      <c r="C53">
        <v>2010</v>
      </c>
      <c r="D53">
        <v>265000</v>
      </c>
      <c r="E53" t="s">
        <v>84</v>
      </c>
      <c r="F53">
        <v>930000</v>
      </c>
      <c r="G53" s="1">
        <v>42236</v>
      </c>
      <c r="H53" s="3">
        <f t="shared" si="0"/>
        <v>7</v>
      </c>
      <c r="I53">
        <f t="shared" si="1"/>
        <v>9</v>
      </c>
      <c r="J53">
        <f t="shared" si="2"/>
        <v>124550</v>
      </c>
    </row>
    <row r="54" spans="1:10" x14ac:dyDescent="0.25">
      <c r="A54" t="s">
        <v>199</v>
      </c>
      <c r="B54" t="s">
        <v>218</v>
      </c>
      <c r="C54">
        <v>2010</v>
      </c>
      <c r="D54">
        <v>265000</v>
      </c>
      <c r="E54" t="s">
        <v>85</v>
      </c>
      <c r="F54">
        <v>912000</v>
      </c>
      <c r="G54" s="1">
        <v>42236</v>
      </c>
      <c r="H54" s="3">
        <f t="shared" si="0"/>
        <v>7</v>
      </c>
      <c r="I54">
        <f t="shared" si="1"/>
        <v>9</v>
      </c>
      <c r="J54">
        <f t="shared" si="2"/>
        <v>124550</v>
      </c>
    </row>
    <row r="55" spans="1:10" x14ac:dyDescent="0.25">
      <c r="A55" t="s">
        <v>199</v>
      </c>
      <c r="B55" t="s">
        <v>218</v>
      </c>
      <c r="C55">
        <v>2010</v>
      </c>
      <c r="D55">
        <v>265000</v>
      </c>
      <c r="E55" t="s">
        <v>86</v>
      </c>
      <c r="F55">
        <v>856000</v>
      </c>
      <c r="G55" s="1">
        <v>42236</v>
      </c>
      <c r="H55" s="3">
        <f t="shared" si="0"/>
        <v>7</v>
      </c>
      <c r="I55">
        <f t="shared" si="1"/>
        <v>8</v>
      </c>
      <c r="J55">
        <f t="shared" si="2"/>
        <v>129850</v>
      </c>
    </row>
    <row r="56" spans="1:10" x14ac:dyDescent="0.25">
      <c r="A56" t="s">
        <v>199</v>
      </c>
      <c r="B56" t="s">
        <v>200</v>
      </c>
      <c r="C56">
        <v>2010</v>
      </c>
      <c r="D56">
        <v>230000</v>
      </c>
      <c r="E56" t="s">
        <v>87</v>
      </c>
      <c r="F56">
        <v>455000</v>
      </c>
      <c r="G56" s="1">
        <v>42439</v>
      </c>
      <c r="H56" s="3">
        <f t="shared" si="0"/>
        <v>7</v>
      </c>
      <c r="I56">
        <f t="shared" si="1"/>
        <v>4</v>
      </c>
      <c r="J56">
        <f t="shared" si="2"/>
        <v>131100</v>
      </c>
    </row>
    <row r="57" spans="1:10" x14ac:dyDescent="0.25">
      <c r="A57" t="s">
        <v>187</v>
      </c>
      <c r="B57" t="s">
        <v>211</v>
      </c>
      <c r="C57">
        <v>2010</v>
      </c>
      <c r="D57">
        <v>231000</v>
      </c>
      <c r="E57" t="s">
        <v>88</v>
      </c>
      <c r="F57">
        <v>301000</v>
      </c>
      <c r="G57" s="1">
        <v>42307</v>
      </c>
      <c r="H57" s="3">
        <f t="shared" si="0"/>
        <v>7</v>
      </c>
      <c r="I57">
        <f t="shared" si="1"/>
        <v>3</v>
      </c>
      <c r="J57">
        <f t="shared" si="2"/>
        <v>136290</v>
      </c>
    </row>
    <row r="58" spans="1:10" x14ac:dyDescent="0.25">
      <c r="A58" t="s">
        <v>187</v>
      </c>
      <c r="B58" t="s">
        <v>212</v>
      </c>
      <c r="C58">
        <v>2010</v>
      </c>
      <c r="D58">
        <v>257000</v>
      </c>
      <c r="E58" t="s">
        <v>89</v>
      </c>
      <c r="F58">
        <v>164700</v>
      </c>
      <c r="G58" s="1">
        <v>42286</v>
      </c>
      <c r="H58" s="3">
        <f t="shared" si="0"/>
        <v>7</v>
      </c>
      <c r="I58">
        <f t="shared" si="1"/>
        <v>1</v>
      </c>
      <c r="J58">
        <f t="shared" si="2"/>
        <v>161910</v>
      </c>
    </row>
    <row r="59" spans="1:10" x14ac:dyDescent="0.25">
      <c r="A59" t="s">
        <v>206</v>
      </c>
      <c r="B59" t="s">
        <v>207</v>
      </c>
      <c r="C59">
        <v>2011</v>
      </c>
      <c r="D59">
        <v>38000</v>
      </c>
      <c r="E59" t="s">
        <v>90</v>
      </c>
      <c r="F59">
        <v>574000</v>
      </c>
      <c r="G59" s="1">
        <v>42309</v>
      </c>
      <c r="H59" s="3">
        <f t="shared" si="0"/>
        <v>6</v>
      </c>
      <c r="I59">
        <f t="shared" si="1"/>
        <v>5</v>
      </c>
      <c r="J59">
        <f t="shared" si="2"/>
        <v>22800</v>
      </c>
    </row>
    <row r="60" spans="1:10" x14ac:dyDescent="0.25">
      <c r="A60" t="s">
        <v>199</v>
      </c>
      <c r="B60" t="s">
        <v>219</v>
      </c>
      <c r="C60">
        <v>2011</v>
      </c>
      <c r="D60">
        <v>56700</v>
      </c>
      <c r="E60" t="s">
        <v>92</v>
      </c>
      <c r="F60">
        <v>290000</v>
      </c>
      <c r="G60" s="1">
        <v>42236</v>
      </c>
      <c r="H60" s="3">
        <f t="shared" si="0"/>
        <v>6</v>
      </c>
      <c r="I60">
        <f t="shared" si="1"/>
        <v>2</v>
      </c>
      <c r="J60">
        <f t="shared" si="2"/>
        <v>37422</v>
      </c>
    </row>
    <row r="61" spans="1:10" x14ac:dyDescent="0.25">
      <c r="A61" t="s">
        <v>199</v>
      </c>
      <c r="B61" t="s">
        <v>219</v>
      </c>
      <c r="C61">
        <v>2011</v>
      </c>
      <c r="D61">
        <v>57700</v>
      </c>
      <c r="E61" t="s">
        <v>93</v>
      </c>
      <c r="F61">
        <v>286000</v>
      </c>
      <c r="G61" s="1">
        <v>42236</v>
      </c>
      <c r="H61" s="3">
        <f t="shared" si="0"/>
        <v>6</v>
      </c>
      <c r="I61">
        <f t="shared" si="1"/>
        <v>2</v>
      </c>
      <c r="J61">
        <f t="shared" si="2"/>
        <v>38082</v>
      </c>
    </row>
    <row r="62" spans="1:10" x14ac:dyDescent="0.25">
      <c r="A62" t="s">
        <v>199</v>
      </c>
      <c r="B62" t="s">
        <v>213</v>
      </c>
      <c r="C62">
        <v>2011</v>
      </c>
      <c r="D62">
        <v>59000</v>
      </c>
      <c r="E62" t="s">
        <v>94</v>
      </c>
      <c r="F62">
        <v>103250</v>
      </c>
      <c r="G62" s="1">
        <v>42226</v>
      </c>
      <c r="H62" s="3">
        <f t="shared" si="0"/>
        <v>6</v>
      </c>
      <c r="I62">
        <f t="shared" si="1"/>
        <v>1</v>
      </c>
      <c r="J62">
        <f t="shared" si="2"/>
        <v>40120</v>
      </c>
    </row>
    <row r="63" spans="1:10" x14ac:dyDescent="0.25">
      <c r="A63" t="s">
        <v>199</v>
      </c>
      <c r="B63" t="s">
        <v>214</v>
      </c>
      <c r="C63">
        <v>2011</v>
      </c>
      <c r="D63">
        <v>74300</v>
      </c>
      <c r="E63" t="s">
        <v>95</v>
      </c>
      <c r="F63">
        <v>306000</v>
      </c>
      <c r="G63" s="1">
        <v>42174</v>
      </c>
      <c r="H63" s="3">
        <f t="shared" si="0"/>
        <v>6</v>
      </c>
      <c r="I63">
        <f t="shared" si="1"/>
        <v>3</v>
      </c>
      <c r="J63">
        <f t="shared" si="2"/>
        <v>47552</v>
      </c>
    </row>
    <row r="64" spans="1:10" x14ac:dyDescent="0.25">
      <c r="A64" t="s">
        <v>187</v>
      </c>
      <c r="B64" t="s">
        <v>212</v>
      </c>
      <c r="C64">
        <v>2011</v>
      </c>
      <c r="D64">
        <v>210000</v>
      </c>
      <c r="E64" t="s">
        <v>96</v>
      </c>
      <c r="F64">
        <v>780000</v>
      </c>
      <c r="G64" s="1">
        <v>42481</v>
      </c>
      <c r="H64" s="3">
        <f t="shared" si="0"/>
        <v>6</v>
      </c>
      <c r="I64">
        <f t="shared" si="1"/>
        <v>7</v>
      </c>
      <c r="J64">
        <f t="shared" si="2"/>
        <v>117600</v>
      </c>
    </row>
    <row r="65" spans="1:10" x14ac:dyDescent="0.25">
      <c r="A65" t="s">
        <v>187</v>
      </c>
      <c r="B65" t="s">
        <v>212</v>
      </c>
      <c r="C65">
        <v>2011</v>
      </c>
      <c r="D65">
        <v>210000</v>
      </c>
      <c r="E65" t="s">
        <v>97</v>
      </c>
      <c r="F65">
        <v>760300</v>
      </c>
      <c r="G65" s="1">
        <v>42481</v>
      </c>
      <c r="H65" s="3">
        <f t="shared" si="0"/>
        <v>6</v>
      </c>
      <c r="I65">
        <f t="shared" si="1"/>
        <v>7</v>
      </c>
      <c r="J65">
        <f t="shared" si="2"/>
        <v>117600</v>
      </c>
    </row>
    <row r="66" spans="1:10" x14ac:dyDescent="0.25">
      <c r="A66" t="s">
        <v>187</v>
      </c>
      <c r="B66" t="s">
        <v>212</v>
      </c>
      <c r="C66">
        <v>2011</v>
      </c>
      <c r="D66">
        <v>210000</v>
      </c>
      <c r="E66" t="s">
        <v>98</v>
      </c>
      <c r="F66">
        <v>680000</v>
      </c>
      <c r="G66" s="1">
        <v>42481</v>
      </c>
      <c r="H66" s="3">
        <f t="shared" si="0"/>
        <v>6</v>
      </c>
      <c r="I66">
        <f t="shared" si="1"/>
        <v>6</v>
      </c>
      <c r="J66">
        <f t="shared" si="2"/>
        <v>121800</v>
      </c>
    </row>
    <row r="67" spans="1:10" x14ac:dyDescent="0.25">
      <c r="A67" t="s">
        <v>187</v>
      </c>
      <c r="B67" t="s">
        <v>212</v>
      </c>
      <c r="C67">
        <v>2011</v>
      </c>
      <c r="D67">
        <v>210000</v>
      </c>
      <c r="E67" t="s">
        <v>99</v>
      </c>
      <c r="F67">
        <v>655000</v>
      </c>
      <c r="G67" s="1">
        <v>42481</v>
      </c>
      <c r="H67" s="3">
        <f t="shared" ref="H67:H130" si="3">2017-TRUNC(C67)</f>
        <v>6</v>
      </c>
      <c r="I67">
        <f t="shared" ref="I67:I130" si="4">TRUNC(F67/100000)</f>
        <v>6</v>
      </c>
      <c r="J67">
        <f t="shared" ref="J67:J130" si="5">D67-(D67*H67*0.05 + D67*I67*0.02)</f>
        <v>121800</v>
      </c>
    </row>
    <row r="68" spans="1:10" x14ac:dyDescent="0.25">
      <c r="A68" t="s">
        <v>199</v>
      </c>
      <c r="B68" t="s">
        <v>220</v>
      </c>
      <c r="C68">
        <v>2011</v>
      </c>
      <c r="D68">
        <v>220000</v>
      </c>
      <c r="E68" t="s">
        <v>101</v>
      </c>
      <c r="F68">
        <v>731000</v>
      </c>
      <c r="G68" s="1">
        <v>42236</v>
      </c>
      <c r="H68" s="3">
        <f t="shared" si="3"/>
        <v>6</v>
      </c>
      <c r="I68">
        <f t="shared" si="4"/>
        <v>7</v>
      </c>
      <c r="J68">
        <f t="shared" si="5"/>
        <v>123200</v>
      </c>
    </row>
    <row r="69" spans="1:10" x14ac:dyDescent="0.25">
      <c r="A69" t="s">
        <v>199</v>
      </c>
      <c r="B69" t="s">
        <v>220</v>
      </c>
      <c r="C69">
        <v>2011</v>
      </c>
      <c r="D69">
        <v>220000</v>
      </c>
      <c r="E69" t="s">
        <v>102</v>
      </c>
      <c r="F69">
        <v>685413</v>
      </c>
      <c r="G69" s="1">
        <v>42236</v>
      </c>
      <c r="H69" s="3">
        <f t="shared" si="3"/>
        <v>6</v>
      </c>
      <c r="I69">
        <f t="shared" si="4"/>
        <v>6</v>
      </c>
      <c r="J69">
        <f t="shared" si="5"/>
        <v>127600</v>
      </c>
    </row>
    <row r="70" spans="1:10" x14ac:dyDescent="0.25">
      <c r="A70" t="s">
        <v>206</v>
      </c>
      <c r="B70" t="s">
        <v>210</v>
      </c>
      <c r="C70">
        <v>2011</v>
      </c>
      <c r="D70">
        <v>196340</v>
      </c>
      <c r="E70" t="s">
        <v>103</v>
      </c>
      <c r="F70">
        <v>186000</v>
      </c>
      <c r="G70" s="1">
        <v>42278</v>
      </c>
      <c r="H70" s="3">
        <f t="shared" si="3"/>
        <v>6</v>
      </c>
      <c r="I70">
        <f t="shared" si="4"/>
        <v>1</v>
      </c>
      <c r="J70">
        <f t="shared" si="5"/>
        <v>133511.20000000001</v>
      </c>
    </row>
    <row r="71" spans="1:10" x14ac:dyDescent="0.25">
      <c r="A71" t="s">
        <v>197</v>
      </c>
      <c r="B71" t="s">
        <v>221</v>
      </c>
      <c r="C71">
        <v>2011</v>
      </c>
      <c r="D71">
        <v>245000</v>
      </c>
      <c r="E71" t="s">
        <v>105</v>
      </c>
      <c r="F71">
        <v>720000</v>
      </c>
      <c r="G71" s="1">
        <v>42462</v>
      </c>
      <c r="H71" s="3">
        <f t="shared" si="3"/>
        <v>6</v>
      </c>
      <c r="I71">
        <f t="shared" si="4"/>
        <v>7</v>
      </c>
      <c r="J71">
        <f t="shared" si="5"/>
        <v>137200</v>
      </c>
    </row>
    <row r="72" spans="1:10" x14ac:dyDescent="0.25">
      <c r="A72" t="s">
        <v>197</v>
      </c>
      <c r="B72" t="s">
        <v>221</v>
      </c>
      <c r="C72">
        <v>2011</v>
      </c>
      <c r="D72">
        <v>245000</v>
      </c>
      <c r="E72" t="s">
        <v>106</v>
      </c>
      <c r="F72">
        <v>680000</v>
      </c>
      <c r="G72" s="1">
        <v>42462</v>
      </c>
      <c r="H72" s="3">
        <f t="shared" si="3"/>
        <v>6</v>
      </c>
      <c r="I72">
        <f t="shared" si="4"/>
        <v>6</v>
      </c>
      <c r="J72">
        <f t="shared" si="5"/>
        <v>142100</v>
      </c>
    </row>
    <row r="73" spans="1:10" x14ac:dyDescent="0.25">
      <c r="A73" t="s">
        <v>197</v>
      </c>
      <c r="B73" t="s">
        <v>221</v>
      </c>
      <c r="C73">
        <v>2011</v>
      </c>
      <c r="D73">
        <v>245000</v>
      </c>
      <c r="E73" t="s">
        <v>107</v>
      </c>
      <c r="F73">
        <v>660000</v>
      </c>
      <c r="G73" s="1">
        <v>42462</v>
      </c>
      <c r="H73" s="3">
        <f t="shared" si="3"/>
        <v>6</v>
      </c>
      <c r="I73">
        <f t="shared" si="4"/>
        <v>6</v>
      </c>
      <c r="J73">
        <f t="shared" si="5"/>
        <v>142100</v>
      </c>
    </row>
    <row r="74" spans="1:10" x14ac:dyDescent="0.25">
      <c r="A74" t="s">
        <v>197</v>
      </c>
      <c r="B74" t="s">
        <v>221</v>
      </c>
      <c r="C74">
        <v>2011</v>
      </c>
      <c r="D74">
        <v>245000</v>
      </c>
      <c r="E74" t="s">
        <v>108</v>
      </c>
      <c r="F74">
        <v>630000</v>
      </c>
      <c r="G74" s="1">
        <v>42462</v>
      </c>
      <c r="H74" s="3">
        <f t="shared" si="3"/>
        <v>6</v>
      </c>
      <c r="I74">
        <f t="shared" si="4"/>
        <v>6</v>
      </c>
      <c r="J74">
        <f t="shared" si="5"/>
        <v>142100</v>
      </c>
    </row>
    <row r="75" spans="1:10" x14ac:dyDescent="0.25">
      <c r="A75" t="s">
        <v>197</v>
      </c>
      <c r="B75" t="s">
        <v>221</v>
      </c>
      <c r="C75">
        <v>2011</v>
      </c>
      <c r="D75">
        <v>245000</v>
      </c>
      <c r="E75" t="s">
        <v>109</v>
      </c>
      <c r="F75">
        <v>655000</v>
      </c>
      <c r="G75" s="1">
        <v>42462</v>
      </c>
      <c r="H75" s="3">
        <f t="shared" si="3"/>
        <v>6</v>
      </c>
      <c r="I75">
        <f t="shared" si="4"/>
        <v>6</v>
      </c>
      <c r="J75">
        <f t="shared" si="5"/>
        <v>142100</v>
      </c>
    </row>
    <row r="76" spans="1:10" x14ac:dyDescent="0.25">
      <c r="A76" t="s">
        <v>197</v>
      </c>
      <c r="B76" t="s">
        <v>221</v>
      </c>
      <c r="C76">
        <v>2011</v>
      </c>
      <c r="D76">
        <v>245000</v>
      </c>
      <c r="E76" t="s">
        <v>110</v>
      </c>
      <c r="F76">
        <v>590000</v>
      </c>
      <c r="G76" s="1">
        <v>42462</v>
      </c>
      <c r="H76" s="3">
        <f t="shared" si="3"/>
        <v>6</v>
      </c>
      <c r="I76">
        <f t="shared" si="4"/>
        <v>5</v>
      </c>
      <c r="J76">
        <f t="shared" si="5"/>
        <v>147000</v>
      </c>
    </row>
    <row r="77" spans="1:10" x14ac:dyDescent="0.25">
      <c r="A77" t="s">
        <v>206</v>
      </c>
      <c r="B77" t="s">
        <v>207</v>
      </c>
      <c r="C77">
        <v>2012</v>
      </c>
      <c r="D77">
        <v>39830</v>
      </c>
      <c r="E77" t="s">
        <v>111</v>
      </c>
      <c r="F77">
        <v>330000</v>
      </c>
      <c r="G77" s="1">
        <v>42062</v>
      </c>
      <c r="H77" s="3">
        <f t="shared" si="3"/>
        <v>5</v>
      </c>
      <c r="I77">
        <f t="shared" si="4"/>
        <v>3</v>
      </c>
      <c r="J77">
        <f t="shared" si="5"/>
        <v>27482.7</v>
      </c>
    </row>
    <row r="78" spans="1:10" x14ac:dyDescent="0.25">
      <c r="A78" t="s">
        <v>206</v>
      </c>
      <c r="B78" t="s">
        <v>207</v>
      </c>
      <c r="C78">
        <v>2012</v>
      </c>
      <c r="D78">
        <v>48800</v>
      </c>
      <c r="E78" t="s">
        <v>112</v>
      </c>
      <c r="F78">
        <v>268650</v>
      </c>
      <c r="G78" s="1">
        <v>42117</v>
      </c>
      <c r="H78" s="3">
        <f t="shared" si="3"/>
        <v>5</v>
      </c>
      <c r="I78">
        <f t="shared" si="4"/>
        <v>2</v>
      </c>
      <c r="J78">
        <f t="shared" si="5"/>
        <v>34648</v>
      </c>
    </row>
    <row r="79" spans="1:10" x14ac:dyDescent="0.25">
      <c r="A79" t="s">
        <v>191</v>
      </c>
      <c r="B79" t="s">
        <v>193</v>
      </c>
      <c r="C79">
        <v>2012</v>
      </c>
      <c r="D79">
        <v>59000</v>
      </c>
      <c r="E79" t="s">
        <v>113</v>
      </c>
      <c r="F79">
        <v>302000</v>
      </c>
      <c r="G79" s="1">
        <v>42271</v>
      </c>
      <c r="H79" s="3">
        <f t="shared" si="3"/>
        <v>5</v>
      </c>
      <c r="I79">
        <f t="shared" si="4"/>
        <v>3</v>
      </c>
      <c r="J79">
        <f t="shared" si="5"/>
        <v>40710</v>
      </c>
    </row>
    <row r="80" spans="1:10" x14ac:dyDescent="0.25">
      <c r="A80" t="s">
        <v>199</v>
      </c>
      <c r="B80" t="s">
        <v>200</v>
      </c>
      <c r="C80">
        <v>2012</v>
      </c>
      <c r="D80">
        <v>76000</v>
      </c>
      <c r="E80" t="s">
        <v>114</v>
      </c>
      <c r="F80">
        <v>850000</v>
      </c>
      <c r="G80" s="1">
        <v>42376</v>
      </c>
      <c r="H80" s="3">
        <f t="shared" si="3"/>
        <v>5</v>
      </c>
      <c r="I80">
        <f t="shared" si="4"/>
        <v>8</v>
      </c>
      <c r="J80">
        <f t="shared" si="5"/>
        <v>44840</v>
      </c>
    </row>
    <row r="81" spans="1:10" x14ac:dyDescent="0.25">
      <c r="A81" t="s">
        <v>185</v>
      </c>
      <c r="B81" t="s">
        <v>203</v>
      </c>
      <c r="C81">
        <v>2012</v>
      </c>
      <c r="D81">
        <v>87133</v>
      </c>
      <c r="E81" t="s">
        <v>115</v>
      </c>
      <c r="F81">
        <v>376000</v>
      </c>
      <c r="G81" s="1">
        <v>42208</v>
      </c>
      <c r="H81" s="3">
        <f t="shared" si="3"/>
        <v>5</v>
      </c>
      <c r="I81">
        <f t="shared" si="4"/>
        <v>3</v>
      </c>
      <c r="J81">
        <f t="shared" si="5"/>
        <v>60121.770000000004</v>
      </c>
    </row>
    <row r="82" spans="1:10" x14ac:dyDescent="0.25">
      <c r="A82" t="s">
        <v>191</v>
      </c>
      <c r="B82" t="s">
        <v>195</v>
      </c>
      <c r="C82">
        <v>2012</v>
      </c>
      <c r="D82">
        <v>110000</v>
      </c>
      <c r="E82" t="s">
        <v>116</v>
      </c>
      <c r="F82">
        <v>201000</v>
      </c>
      <c r="G82" s="1">
        <v>42075</v>
      </c>
      <c r="H82" s="3">
        <f t="shared" si="3"/>
        <v>5</v>
      </c>
      <c r="I82">
        <f t="shared" si="4"/>
        <v>2</v>
      </c>
      <c r="J82">
        <f t="shared" si="5"/>
        <v>78100</v>
      </c>
    </row>
    <row r="83" spans="1:10" x14ac:dyDescent="0.25">
      <c r="A83" t="s">
        <v>206</v>
      </c>
      <c r="B83" t="s">
        <v>207</v>
      </c>
      <c r="C83">
        <v>2012</v>
      </c>
      <c r="D83">
        <v>130780</v>
      </c>
      <c r="E83" t="s">
        <v>117</v>
      </c>
      <c r="F83">
        <v>310000</v>
      </c>
      <c r="G83" s="1">
        <v>42365</v>
      </c>
      <c r="H83" s="3">
        <f t="shared" si="3"/>
        <v>5</v>
      </c>
      <c r="I83">
        <f t="shared" si="4"/>
        <v>3</v>
      </c>
      <c r="J83">
        <f t="shared" si="5"/>
        <v>90238.2</v>
      </c>
    </row>
    <row r="84" spans="1:10" x14ac:dyDescent="0.25">
      <c r="A84" t="s">
        <v>189</v>
      </c>
      <c r="B84" t="s">
        <v>204</v>
      </c>
      <c r="C84">
        <v>2012</v>
      </c>
      <c r="D84">
        <v>135502</v>
      </c>
      <c r="E84" t="s">
        <v>118</v>
      </c>
      <c r="F84">
        <v>247000</v>
      </c>
      <c r="G84" s="1">
        <v>42476</v>
      </c>
      <c r="H84" s="3">
        <f t="shared" si="3"/>
        <v>5</v>
      </c>
      <c r="I84">
        <f t="shared" si="4"/>
        <v>2</v>
      </c>
      <c r="J84">
        <f t="shared" si="5"/>
        <v>96206.42</v>
      </c>
    </row>
    <row r="85" spans="1:10" x14ac:dyDescent="0.25">
      <c r="A85" t="s">
        <v>185</v>
      </c>
      <c r="B85" t="s">
        <v>222</v>
      </c>
      <c r="C85">
        <v>2012</v>
      </c>
      <c r="D85">
        <v>145000</v>
      </c>
      <c r="E85" t="s">
        <v>120</v>
      </c>
      <c r="F85">
        <v>386732</v>
      </c>
      <c r="G85" s="1">
        <v>42059</v>
      </c>
      <c r="H85" s="3">
        <f t="shared" si="3"/>
        <v>5</v>
      </c>
      <c r="I85">
        <f t="shared" si="4"/>
        <v>3</v>
      </c>
      <c r="J85">
        <f t="shared" si="5"/>
        <v>100050</v>
      </c>
    </row>
    <row r="86" spans="1:10" x14ac:dyDescent="0.25">
      <c r="A86" t="s">
        <v>185</v>
      </c>
      <c r="B86" t="s">
        <v>222</v>
      </c>
      <c r="C86">
        <v>2012</v>
      </c>
      <c r="D86">
        <v>145000</v>
      </c>
      <c r="E86" t="s">
        <v>121</v>
      </c>
      <c r="F86">
        <v>312680</v>
      </c>
      <c r="G86" s="1">
        <v>42059</v>
      </c>
      <c r="H86" s="3">
        <f t="shared" si="3"/>
        <v>5</v>
      </c>
      <c r="I86">
        <f t="shared" si="4"/>
        <v>3</v>
      </c>
      <c r="J86">
        <f t="shared" si="5"/>
        <v>100050</v>
      </c>
    </row>
    <row r="87" spans="1:10" x14ac:dyDescent="0.25">
      <c r="A87" t="s">
        <v>199</v>
      </c>
      <c r="B87" t="s">
        <v>200</v>
      </c>
      <c r="C87">
        <v>2012</v>
      </c>
      <c r="D87">
        <v>163800</v>
      </c>
      <c r="E87" t="s">
        <v>122</v>
      </c>
      <c r="F87">
        <v>366000</v>
      </c>
      <c r="G87" s="1">
        <v>42329</v>
      </c>
      <c r="H87" s="3">
        <f t="shared" si="3"/>
        <v>5</v>
      </c>
      <c r="I87">
        <f t="shared" si="4"/>
        <v>3</v>
      </c>
      <c r="J87">
        <f t="shared" si="5"/>
        <v>113022</v>
      </c>
    </row>
    <row r="88" spans="1:10" x14ac:dyDescent="0.25">
      <c r="A88" t="s">
        <v>197</v>
      </c>
      <c r="B88" t="s">
        <v>223</v>
      </c>
      <c r="C88">
        <v>2012</v>
      </c>
      <c r="D88">
        <v>183000</v>
      </c>
      <c r="E88" t="s">
        <v>124</v>
      </c>
      <c r="F88">
        <v>520000</v>
      </c>
      <c r="G88" s="1">
        <v>42444</v>
      </c>
      <c r="H88" s="3">
        <f t="shared" si="3"/>
        <v>5</v>
      </c>
      <c r="I88">
        <f t="shared" si="4"/>
        <v>5</v>
      </c>
      <c r="J88">
        <f t="shared" si="5"/>
        <v>118950</v>
      </c>
    </row>
    <row r="89" spans="1:10" x14ac:dyDescent="0.25">
      <c r="A89" t="s">
        <v>197</v>
      </c>
      <c r="B89" t="s">
        <v>223</v>
      </c>
      <c r="C89">
        <v>2012</v>
      </c>
      <c r="D89">
        <v>183000</v>
      </c>
      <c r="E89" t="s">
        <v>125</v>
      </c>
      <c r="F89">
        <v>530000</v>
      </c>
      <c r="G89" s="1">
        <v>42444</v>
      </c>
      <c r="H89" s="3">
        <f t="shared" si="3"/>
        <v>5</v>
      </c>
      <c r="I89">
        <f t="shared" si="4"/>
        <v>5</v>
      </c>
      <c r="J89">
        <f t="shared" si="5"/>
        <v>118950</v>
      </c>
    </row>
    <row r="90" spans="1:10" x14ac:dyDescent="0.25">
      <c r="A90" t="s">
        <v>197</v>
      </c>
      <c r="B90" t="s">
        <v>223</v>
      </c>
      <c r="C90">
        <v>2012</v>
      </c>
      <c r="D90">
        <v>183000</v>
      </c>
      <c r="E90" t="s">
        <v>126</v>
      </c>
      <c r="F90">
        <v>490000</v>
      </c>
      <c r="G90" s="1">
        <v>42444</v>
      </c>
      <c r="H90" s="3">
        <f t="shared" si="3"/>
        <v>5</v>
      </c>
      <c r="I90">
        <f t="shared" si="4"/>
        <v>4</v>
      </c>
      <c r="J90">
        <f t="shared" si="5"/>
        <v>122610</v>
      </c>
    </row>
    <row r="91" spans="1:10" x14ac:dyDescent="0.25">
      <c r="A91" t="s">
        <v>197</v>
      </c>
      <c r="B91" t="s">
        <v>223</v>
      </c>
      <c r="C91">
        <v>2012</v>
      </c>
      <c r="D91">
        <v>183000</v>
      </c>
      <c r="E91" t="s">
        <v>127</v>
      </c>
      <c r="F91">
        <v>481000</v>
      </c>
      <c r="G91" s="1">
        <v>42444</v>
      </c>
      <c r="H91" s="3">
        <f t="shared" si="3"/>
        <v>5</v>
      </c>
      <c r="I91">
        <f t="shared" si="4"/>
        <v>4</v>
      </c>
      <c r="J91">
        <f t="shared" si="5"/>
        <v>122610</v>
      </c>
    </row>
    <row r="92" spans="1:10" x14ac:dyDescent="0.25">
      <c r="A92" t="s">
        <v>197</v>
      </c>
      <c r="B92" t="s">
        <v>223</v>
      </c>
      <c r="C92">
        <v>2012</v>
      </c>
      <c r="D92">
        <v>183000</v>
      </c>
      <c r="E92" t="s">
        <v>128</v>
      </c>
      <c r="F92">
        <v>454000</v>
      </c>
      <c r="G92" s="1">
        <v>42444</v>
      </c>
      <c r="H92" s="3">
        <f t="shared" si="3"/>
        <v>5</v>
      </c>
      <c r="I92">
        <f t="shared" si="4"/>
        <v>4</v>
      </c>
      <c r="J92">
        <f t="shared" si="5"/>
        <v>122610</v>
      </c>
    </row>
    <row r="93" spans="1:10" x14ac:dyDescent="0.25">
      <c r="A93" t="s">
        <v>191</v>
      </c>
      <c r="B93" t="s">
        <v>224</v>
      </c>
      <c r="C93">
        <v>2012</v>
      </c>
      <c r="D93">
        <v>210000</v>
      </c>
      <c r="E93" t="s">
        <v>130</v>
      </c>
      <c r="F93">
        <v>517000</v>
      </c>
      <c r="G93" s="1">
        <v>42415</v>
      </c>
      <c r="H93" s="3">
        <f t="shared" si="3"/>
        <v>5</v>
      </c>
      <c r="I93">
        <f t="shared" si="4"/>
        <v>5</v>
      </c>
      <c r="J93">
        <f t="shared" si="5"/>
        <v>136500</v>
      </c>
    </row>
    <row r="94" spans="1:10" x14ac:dyDescent="0.25">
      <c r="A94" t="s">
        <v>189</v>
      </c>
      <c r="B94" t="s">
        <v>209</v>
      </c>
      <c r="C94">
        <v>2012</v>
      </c>
      <c r="D94">
        <v>196370</v>
      </c>
      <c r="E94" t="s">
        <v>131</v>
      </c>
      <c r="F94">
        <v>286000</v>
      </c>
      <c r="G94" s="1">
        <v>42467</v>
      </c>
      <c r="H94" s="3">
        <f t="shared" si="3"/>
        <v>5</v>
      </c>
      <c r="I94">
        <f t="shared" si="4"/>
        <v>2</v>
      </c>
      <c r="J94">
        <f t="shared" si="5"/>
        <v>139422.70000000001</v>
      </c>
    </row>
    <row r="95" spans="1:10" x14ac:dyDescent="0.25">
      <c r="A95" t="s">
        <v>191</v>
      </c>
      <c r="B95" t="s">
        <v>224</v>
      </c>
      <c r="C95">
        <v>2012</v>
      </c>
      <c r="D95">
        <v>210000</v>
      </c>
      <c r="E95" t="s">
        <v>132</v>
      </c>
      <c r="F95">
        <v>435000</v>
      </c>
      <c r="G95" s="1">
        <v>42415</v>
      </c>
      <c r="H95" s="3">
        <f t="shared" si="3"/>
        <v>5</v>
      </c>
      <c r="I95">
        <f t="shared" si="4"/>
        <v>4</v>
      </c>
      <c r="J95">
        <f t="shared" si="5"/>
        <v>140700</v>
      </c>
    </row>
    <row r="96" spans="1:10" x14ac:dyDescent="0.25">
      <c r="A96" t="s">
        <v>189</v>
      </c>
      <c r="B96" t="s">
        <v>225</v>
      </c>
      <c r="C96">
        <v>2012</v>
      </c>
      <c r="D96">
        <v>210300</v>
      </c>
      <c r="E96" t="s">
        <v>134</v>
      </c>
      <c r="F96">
        <v>417671</v>
      </c>
      <c r="G96" s="1">
        <v>42520</v>
      </c>
      <c r="H96" s="3">
        <f t="shared" si="3"/>
        <v>5</v>
      </c>
      <c r="I96">
        <f t="shared" si="4"/>
        <v>4</v>
      </c>
      <c r="J96">
        <f t="shared" si="5"/>
        <v>140901</v>
      </c>
    </row>
    <row r="97" spans="1:10" x14ac:dyDescent="0.25">
      <c r="A97" t="s">
        <v>199</v>
      </c>
      <c r="B97" t="s">
        <v>200</v>
      </c>
      <c r="C97">
        <v>2012</v>
      </c>
      <c r="D97">
        <v>231000</v>
      </c>
      <c r="E97" t="s">
        <v>135</v>
      </c>
      <c r="F97">
        <v>451000</v>
      </c>
      <c r="G97" s="1">
        <v>42439</v>
      </c>
      <c r="H97" s="3">
        <f t="shared" si="3"/>
        <v>5</v>
      </c>
      <c r="I97">
        <f t="shared" si="4"/>
        <v>4</v>
      </c>
      <c r="J97">
        <f t="shared" si="5"/>
        <v>154770</v>
      </c>
    </row>
    <row r="98" spans="1:10" x14ac:dyDescent="0.25">
      <c r="A98" t="s">
        <v>206</v>
      </c>
      <c r="B98" t="s">
        <v>226</v>
      </c>
      <c r="C98">
        <v>2012</v>
      </c>
      <c r="D98">
        <v>240000</v>
      </c>
      <c r="E98" t="s">
        <v>137</v>
      </c>
      <c r="F98">
        <v>301344</v>
      </c>
      <c r="G98" s="1">
        <v>42185</v>
      </c>
      <c r="H98" s="3">
        <f t="shared" si="3"/>
        <v>5</v>
      </c>
      <c r="I98">
        <f t="shared" si="4"/>
        <v>3</v>
      </c>
      <c r="J98">
        <f t="shared" si="5"/>
        <v>165600</v>
      </c>
    </row>
    <row r="99" spans="1:10" x14ac:dyDescent="0.25">
      <c r="A99" t="s">
        <v>206</v>
      </c>
      <c r="B99" t="s">
        <v>226</v>
      </c>
      <c r="C99">
        <v>2012</v>
      </c>
      <c r="D99">
        <v>240000</v>
      </c>
      <c r="E99" t="s">
        <v>138</v>
      </c>
      <c r="F99">
        <v>315988</v>
      </c>
      <c r="G99" s="1">
        <v>42185</v>
      </c>
      <c r="H99" s="3">
        <f t="shared" si="3"/>
        <v>5</v>
      </c>
      <c r="I99">
        <f t="shared" si="4"/>
        <v>3</v>
      </c>
      <c r="J99">
        <f t="shared" si="5"/>
        <v>165600</v>
      </c>
    </row>
    <row r="100" spans="1:10" x14ac:dyDescent="0.25">
      <c r="A100" t="s">
        <v>206</v>
      </c>
      <c r="B100" t="s">
        <v>226</v>
      </c>
      <c r="C100">
        <v>2012</v>
      </c>
      <c r="D100">
        <v>240000</v>
      </c>
      <c r="E100" t="s">
        <v>139</v>
      </c>
      <c r="F100">
        <v>234760</v>
      </c>
      <c r="G100" s="1">
        <v>42185</v>
      </c>
      <c r="H100" s="3">
        <f t="shared" si="3"/>
        <v>5</v>
      </c>
      <c r="I100">
        <f t="shared" si="4"/>
        <v>2</v>
      </c>
      <c r="J100">
        <f t="shared" si="5"/>
        <v>170400</v>
      </c>
    </row>
    <row r="101" spans="1:10" x14ac:dyDescent="0.25">
      <c r="A101" t="s">
        <v>206</v>
      </c>
      <c r="B101" t="s">
        <v>226</v>
      </c>
      <c r="C101">
        <v>2012</v>
      </c>
      <c r="D101">
        <v>240000</v>
      </c>
      <c r="E101" t="s">
        <v>140</v>
      </c>
      <c r="F101">
        <v>210780</v>
      </c>
      <c r="G101" s="1">
        <v>42185</v>
      </c>
      <c r="H101" s="3">
        <f t="shared" si="3"/>
        <v>5</v>
      </c>
      <c r="I101">
        <f t="shared" si="4"/>
        <v>2</v>
      </c>
      <c r="J101">
        <f t="shared" si="5"/>
        <v>170400</v>
      </c>
    </row>
    <row r="102" spans="1:10" x14ac:dyDescent="0.25">
      <c r="A102" t="s">
        <v>206</v>
      </c>
      <c r="B102" t="s">
        <v>226</v>
      </c>
      <c r="C102">
        <v>2012</v>
      </c>
      <c r="D102">
        <v>240000</v>
      </c>
      <c r="E102" t="s">
        <v>141</v>
      </c>
      <c r="F102">
        <v>198240</v>
      </c>
      <c r="G102" s="1">
        <v>42185</v>
      </c>
      <c r="H102" s="3">
        <f t="shared" si="3"/>
        <v>5</v>
      </c>
      <c r="I102">
        <f t="shared" si="4"/>
        <v>1</v>
      </c>
      <c r="J102">
        <f t="shared" si="5"/>
        <v>175200</v>
      </c>
    </row>
    <row r="103" spans="1:10" x14ac:dyDescent="0.25">
      <c r="A103" t="s">
        <v>187</v>
      </c>
      <c r="B103" t="s">
        <v>212</v>
      </c>
      <c r="C103">
        <v>2012</v>
      </c>
      <c r="D103">
        <v>290000</v>
      </c>
      <c r="E103" t="s">
        <v>142</v>
      </c>
      <c r="F103">
        <v>170000</v>
      </c>
      <c r="G103" s="1">
        <v>42297</v>
      </c>
      <c r="H103" s="3">
        <f t="shared" si="3"/>
        <v>5</v>
      </c>
      <c r="I103">
        <f t="shared" si="4"/>
        <v>1</v>
      </c>
      <c r="J103">
        <f t="shared" si="5"/>
        <v>211700</v>
      </c>
    </row>
    <row r="104" spans="1:10" x14ac:dyDescent="0.25">
      <c r="A104" t="s">
        <v>206</v>
      </c>
      <c r="B104" t="s">
        <v>207</v>
      </c>
      <c r="C104">
        <v>2013</v>
      </c>
      <c r="D104">
        <v>47800</v>
      </c>
      <c r="E104" t="s">
        <v>143</v>
      </c>
      <c r="F104">
        <v>272650</v>
      </c>
      <c r="G104" s="1">
        <v>42117</v>
      </c>
      <c r="H104" s="3">
        <f t="shared" si="3"/>
        <v>4</v>
      </c>
      <c r="I104">
        <f t="shared" si="4"/>
        <v>2</v>
      </c>
      <c r="J104">
        <f t="shared" si="5"/>
        <v>36328</v>
      </c>
    </row>
    <row r="105" spans="1:10" x14ac:dyDescent="0.25">
      <c r="A105" t="s">
        <v>197</v>
      </c>
      <c r="B105" t="s">
        <v>202</v>
      </c>
      <c r="C105">
        <v>2013</v>
      </c>
      <c r="D105">
        <v>80000</v>
      </c>
      <c r="E105" t="s">
        <v>144</v>
      </c>
      <c r="F105">
        <v>350000</v>
      </c>
      <c r="G105" s="1">
        <v>42379</v>
      </c>
      <c r="H105" s="3">
        <f t="shared" si="3"/>
        <v>4</v>
      </c>
      <c r="I105">
        <f t="shared" si="4"/>
        <v>3</v>
      </c>
      <c r="J105">
        <f t="shared" si="5"/>
        <v>59200</v>
      </c>
    </row>
    <row r="106" spans="1:10" x14ac:dyDescent="0.25">
      <c r="A106" t="s">
        <v>197</v>
      </c>
      <c r="B106" t="s">
        <v>202</v>
      </c>
      <c r="C106">
        <v>2013</v>
      </c>
      <c r="D106">
        <v>80000</v>
      </c>
      <c r="E106" t="s">
        <v>145</v>
      </c>
      <c r="F106">
        <v>235000</v>
      </c>
      <c r="G106" s="1">
        <v>42379</v>
      </c>
      <c r="H106" s="3">
        <f t="shared" si="3"/>
        <v>4</v>
      </c>
      <c r="I106">
        <f t="shared" si="4"/>
        <v>2</v>
      </c>
      <c r="J106">
        <f t="shared" si="5"/>
        <v>60800</v>
      </c>
    </row>
    <row r="107" spans="1:10" x14ac:dyDescent="0.25">
      <c r="A107" t="s">
        <v>206</v>
      </c>
      <c r="B107" t="s">
        <v>215</v>
      </c>
      <c r="C107">
        <v>2013</v>
      </c>
      <c r="D107">
        <v>93000</v>
      </c>
      <c r="E107" t="s">
        <v>146</v>
      </c>
      <c r="F107">
        <v>195000</v>
      </c>
      <c r="G107" s="1">
        <v>42268</v>
      </c>
      <c r="H107" s="3">
        <f t="shared" si="3"/>
        <v>4</v>
      </c>
      <c r="I107">
        <f t="shared" si="4"/>
        <v>1</v>
      </c>
      <c r="J107">
        <f t="shared" si="5"/>
        <v>72540</v>
      </c>
    </row>
    <row r="108" spans="1:10" x14ac:dyDescent="0.25">
      <c r="A108" t="s">
        <v>206</v>
      </c>
      <c r="B108" t="s">
        <v>216</v>
      </c>
      <c r="C108">
        <v>2013</v>
      </c>
      <c r="D108">
        <v>136000</v>
      </c>
      <c r="E108" t="s">
        <v>147</v>
      </c>
      <c r="F108">
        <v>247000</v>
      </c>
      <c r="G108" s="1">
        <v>42067</v>
      </c>
      <c r="H108" s="3">
        <f t="shared" si="3"/>
        <v>4</v>
      </c>
      <c r="I108">
        <f t="shared" si="4"/>
        <v>2</v>
      </c>
      <c r="J108">
        <f t="shared" si="5"/>
        <v>103360</v>
      </c>
    </row>
    <row r="109" spans="1:10" x14ac:dyDescent="0.25">
      <c r="A109" t="s">
        <v>189</v>
      </c>
      <c r="B109" t="s">
        <v>204</v>
      </c>
      <c r="C109">
        <v>2013</v>
      </c>
      <c r="D109">
        <v>158000</v>
      </c>
      <c r="E109" t="s">
        <v>148</v>
      </c>
      <c r="F109">
        <v>407000</v>
      </c>
      <c r="G109" s="1">
        <v>42681</v>
      </c>
      <c r="H109" s="3">
        <f t="shared" si="3"/>
        <v>4</v>
      </c>
      <c r="I109">
        <f t="shared" si="4"/>
        <v>4</v>
      </c>
      <c r="J109">
        <f t="shared" si="5"/>
        <v>113760</v>
      </c>
    </row>
    <row r="110" spans="1:10" x14ac:dyDescent="0.25">
      <c r="A110" t="s">
        <v>206</v>
      </c>
      <c r="B110" t="s">
        <v>226</v>
      </c>
      <c r="C110">
        <v>2013</v>
      </c>
      <c r="D110">
        <v>240000</v>
      </c>
      <c r="E110" t="s">
        <v>149</v>
      </c>
      <c r="F110">
        <v>301232</v>
      </c>
      <c r="G110" s="1">
        <v>42719</v>
      </c>
      <c r="H110" s="3">
        <f t="shared" si="3"/>
        <v>4</v>
      </c>
      <c r="I110">
        <f t="shared" si="4"/>
        <v>3</v>
      </c>
      <c r="J110">
        <f t="shared" si="5"/>
        <v>177600</v>
      </c>
    </row>
    <row r="111" spans="1:10" x14ac:dyDescent="0.25">
      <c r="A111" t="s">
        <v>206</v>
      </c>
      <c r="B111" t="s">
        <v>226</v>
      </c>
      <c r="C111">
        <v>2013</v>
      </c>
      <c r="D111">
        <v>240000</v>
      </c>
      <c r="E111" t="s">
        <v>150</v>
      </c>
      <c r="F111">
        <v>289567</v>
      </c>
      <c r="G111" s="1">
        <v>42719</v>
      </c>
      <c r="H111" s="3">
        <f t="shared" si="3"/>
        <v>4</v>
      </c>
      <c r="I111">
        <f t="shared" si="4"/>
        <v>2</v>
      </c>
      <c r="J111">
        <f t="shared" si="5"/>
        <v>182400</v>
      </c>
    </row>
    <row r="112" spans="1:10" x14ac:dyDescent="0.25">
      <c r="A112" t="s">
        <v>206</v>
      </c>
      <c r="B112" t="s">
        <v>226</v>
      </c>
      <c r="C112">
        <v>2013</v>
      </c>
      <c r="D112">
        <v>240000</v>
      </c>
      <c r="E112" t="s">
        <v>151</v>
      </c>
      <c r="F112">
        <v>245211</v>
      </c>
      <c r="G112" s="1">
        <v>42719</v>
      </c>
      <c r="H112" s="3">
        <f t="shared" si="3"/>
        <v>4</v>
      </c>
      <c r="I112">
        <f t="shared" si="4"/>
        <v>2</v>
      </c>
      <c r="J112">
        <f t="shared" si="5"/>
        <v>182400</v>
      </c>
    </row>
    <row r="113" spans="1:10" x14ac:dyDescent="0.25">
      <c r="A113" t="s">
        <v>206</v>
      </c>
      <c r="B113" t="s">
        <v>226</v>
      </c>
      <c r="C113">
        <v>2013</v>
      </c>
      <c r="D113">
        <v>240000</v>
      </c>
      <c r="E113" t="s">
        <v>152</v>
      </c>
      <c r="F113">
        <v>200123</v>
      </c>
      <c r="G113" s="1">
        <v>42719</v>
      </c>
      <c r="H113" s="3">
        <f t="shared" si="3"/>
        <v>4</v>
      </c>
      <c r="I113">
        <f t="shared" si="4"/>
        <v>2</v>
      </c>
      <c r="J113">
        <f t="shared" si="5"/>
        <v>182400</v>
      </c>
    </row>
    <row r="114" spans="1:10" x14ac:dyDescent="0.25">
      <c r="A114" t="s">
        <v>206</v>
      </c>
      <c r="B114" t="s">
        <v>226</v>
      </c>
      <c r="C114">
        <v>2013</v>
      </c>
      <c r="D114">
        <v>240000</v>
      </c>
      <c r="E114" t="s">
        <v>153</v>
      </c>
      <c r="F114">
        <v>235811</v>
      </c>
      <c r="G114" s="1">
        <v>42719</v>
      </c>
      <c r="H114" s="3">
        <f t="shared" si="3"/>
        <v>4</v>
      </c>
      <c r="I114">
        <f t="shared" si="4"/>
        <v>2</v>
      </c>
      <c r="J114">
        <f t="shared" si="5"/>
        <v>182400</v>
      </c>
    </row>
    <row r="115" spans="1:10" x14ac:dyDescent="0.25">
      <c r="A115" t="s">
        <v>206</v>
      </c>
      <c r="B115" t="s">
        <v>226</v>
      </c>
      <c r="C115">
        <v>2013</v>
      </c>
      <c r="D115">
        <v>240000</v>
      </c>
      <c r="E115" t="s">
        <v>154</v>
      </c>
      <c r="F115">
        <v>250021</v>
      </c>
      <c r="G115" s="1">
        <v>42719</v>
      </c>
      <c r="H115" s="3">
        <f t="shared" si="3"/>
        <v>4</v>
      </c>
      <c r="I115">
        <f t="shared" si="4"/>
        <v>2</v>
      </c>
      <c r="J115">
        <f t="shared" si="5"/>
        <v>182400</v>
      </c>
    </row>
    <row r="116" spans="1:10" x14ac:dyDescent="0.25">
      <c r="A116" t="s">
        <v>206</v>
      </c>
      <c r="B116" t="s">
        <v>226</v>
      </c>
      <c r="C116">
        <v>2013</v>
      </c>
      <c r="D116">
        <v>240000</v>
      </c>
      <c r="E116" t="s">
        <v>155</v>
      </c>
      <c r="F116">
        <v>198340</v>
      </c>
      <c r="G116" s="1">
        <v>42719</v>
      </c>
      <c r="H116" s="3">
        <f t="shared" si="3"/>
        <v>4</v>
      </c>
      <c r="I116">
        <f t="shared" si="4"/>
        <v>1</v>
      </c>
      <c r="J116">
        <f t="shared" si="5"/>
        <v>187200</v>
      </c>
    </row>
    <row r="117" spans="1:10" x14ac:dyDescent="0.25">
      <c r="A117" t="s">
        <v>206</v>
      </c>
      <c r="B117" t="s">
        <v>226</v>
      </c>
      <c r="C117">
        <v>2013</v>
      </c>
      <c r="D117">
        <v>240000</v>
      </c>
      <c r="E117" t="s">
        <v>156</v>
      </c>
      <c r="F117">
        <v>189761</v>
      </c>
      <c r="G117" s="1">
        <v>42719</v>
      </c>
      <c r="H117" s="3">
        <f t="shared" si="3"/>
        <v>4</v>
      </c>
      <c r="I117">
        <f t="shared" si="4"/>
        <v>1</v>
      </c>
      <c r="J117">
        <f t="shared" si="5"/>
        <v>187200</v>
      </c>
    </row>
    <row r="118" spans="1:10" x14ac:dyDescent="0.25">
      <c r="A118" t="s">
        <v>189</v>
      </c>
      <c r="B118" t="s">
        <v>227</v>
      </c>
      <c r="C118">
        <v>2013</v>
      </c>
      <c r="D118">
        <v>271000</v>
      </c>
      <c r="E118" t="s">
        <v>158</v>
      </c>
      <c r="F118">
        <v>153000</v>
      </c>
      <c r="G118" s="1">
        <v>42334</v>
      </c>
      <c r="H118" s="3">
        <f t="shared" si="3"/>
        <v>4</v>
      </c>
      <c r="I118">
        <f t="shared" si="4"/>
        <v>1</v>
      </c>
      <c r="J118">
        <f t="shared" si="5"/>
        <v>211380</v>
      </c>
    </row>
    <row r="119" spans="1:10" x14ac:dyDescent="0.25">
      <c r="A119" t="s">
        <v>189</v>
      </c>
      <c r="B119" t="s">
        <v>227</v>
      </c>
      <c r="C119">
        <v>2013</v>
      </c>
      <c r="D119">
        <v>271000</v>
      </c>
      <c r="E119" t="s">
        <v>159</v>
      </c>
      <c r="F119">
        <v>123000</v>
      </c>
      <c r="G119" s="1">
        <v>42520</v>
      </c>
      <c r="H119" s="3">
        <f t="shared" si="3"/>
        <v>4</v>
      </c>
      <c r="I119">
        <f t="shared" si="4"/>
        <v>1</v>
      </c>
      <c r="J119">
        <f t="shared" si="5"/>
        <v>211380</v>
      </c>
    </row>
    <row r="120" spans="1:10" x14ac:dyDescent="0.25">
      <c r="A120" t="s">
        <v>189</v>
      </c>
      <c r="B120" t="s">
        <v>228</v>
      </c>
      <c r="C120">
        <v>2014</v>
      </c>
      <c r="D120">
        <v>98000</v>
      </c>
      <c r="E120" t="s">
        <v>161</v>
      </c>
      <c r="F120">
        <v>251000</v>
      </c>
      <c r="G120" s="1">
        <v>42344</v>
      </c>
      <c r="H120" s="3">
        <f t="shared" si="3"/>
        <v>3</v>
      </c>
      <c r="I120">
        <f t="shared" si="4"/>
        <v>2</v>
      </c>
      <c r="J120">
        <f t="shared" si="5"/>
        <v>79380</v>
      </c>
    </row>
    <row r="121" spans="1:10" x14ac:dyDescent="0.25">
      <c r="A121" t="s">
        <v>189</v>
      </c>
      <c r="B121" t="s">
        <v>228</v>
      </c>
      <c r="C121">
        <v>2014</v>
      </c>
      <c r="D121">
        <v>99000</v>
      </c>
      <c r="E121" t="s">
        <v>162</v>
      </c>
      <c r="F121">
        <v>247000</v>
      </c>
      <c r="G121" s="1">
        <v>42344</v>
      </c>
      <c r="H121" s="3">
        <f t="shared" si="3"/>
        <v>3</v>
      </c>
      <c r="I121">
        <f t="shared" si="4"/>
        <v>2</v>
      </c>
      <c r="J121">
        <f t="shared" si="5"/>
        <v>80190</v>
      </c>
    </row>
    <row r="122" spans="1:10" x14ac:dyDescent="0.25">
      <c r="A122" t="s">
        <v>189</v>
      </c>
      <c r="B122" t="s">
        <v>204</v>
      </c>
      <c r="C122">
        <v>2014</v>
      </c>
      <c r="D122">
        <v>136502</v>
      </c>
      <c r="E122" t="s">
        <v>163</v>
      </c>
      <c r="F122">
        <v>243000</v>
      </c>
      <c r="G122" s="1">
        <v>42476</v>
      </c>
      <c r="H122" s="3">
        <f t="shared" si="3"/>
        <v>3</v>
      </c>
      <c r="I122">
        <f t="shared" si="4"/>
        <v>2</v>
      </c>
      <c r="J122">
        <f t="shared" si="5"/>
        <v>110566.62</v>
      </c>
    </row>
    <row r="123" spans="1:10" x14ac:dyDescent="0.25">
      <c r="A123" t="s">
        <v>189</v>
      </c>
      <c r="B123" t="s">
        <v>208</v>
      </c>
      <c r="C123">
        <v>2014</v>
      </c>
      <c r="D123">
        <v>167800</v>
      </c>
      <c r="E123" t="s">
        <v>164</v>
      </c>
      <c r="F123">
        <v>190300</v>
      </c>
      <c r="G123" s="1">
        <v>42272</v>
      </c>
      <c r="H123" s="3">
        <f t="shared" si="3"/>
        <v>3</v>
      </c>
      <c r="I123">
        <f t="shared" si="4"/>
        <v>1</v>
      </c>
      <c r="J123">
        <f t="shared" si="5"/>
        <v>139274</v>
      </c>
    </row>
    <row r="124" spans="1:10" x14ac:dyDescent="0.25">
      <c r="A124" t="s">
        <v>187</v>
      </c>
      <c r="B124" t="s">
        <v>201</v>
      </c>
      <c r="C124">
        <v>2014</v>
      </c>
      <c r="D124">
        <v>219000</v>
      </c>
      <c r="E124" t="s">
        <v>165</v>
      </c>
      <c r="F124">
        <v>126290</v>
      </c>
      <c r="G124" s="1">
        <v>42083</v>
      </c>
      <c r="H124" s="3">
        <f t="shared" si="3"/>
        <v>3</v>
      </c>
      <c r="I124">
        <f t="shared" si="4"/>
        <v>1</v>
      </c>
      <c r="J124">
        <f t="shared" si="5"/>
        <v>181770</v>
      </c>
    </row>
    <row r="125" spans="1:10" x14ac:dyDescent="0.25">
      <c r="A125" t="s">
        <v>206</v>
      </c>
      <c r="B125" t="s">
        <v>226</v>
      </c>
      <c r="C125">
        <v>2014</v>
      </c>
      <c r="D125">
        <v>240000</v>
      </c>
      <c r="E125" t="s">
        <v>166</v>
      </c>
      <c r="F125">
        <v>183788</v>
      </c>
      <c r="G125" s="1">
        <v>42681</v>
      </c>
      <c r="H125" s="3">
        <f t="shared" si="3"/>
        <v>3</v>
      </c>
      <c r="I125">
        <f t="shared" si="4"/>
        <v>1</v>
      </c>
      <c r="J125">
        <f t="shared" si="5"/>
        <v>199200</v>
      </c>
    </row>
    <row r="126" spans="1:10" x14ac:dyDescent="0.25">
      <c r="A126" t="s">
        <v>206</v>
      </c>
      <c r="B126" t="s">
        <v>226</v>
      </c>
      <c r="C126">
        <v>2014</v>
      </c>
      <c r="D126">
        <v>240000</v>
      </c>
      <c r="E126" t="s">
        <v>167</v>
      </c>
      <c r="F126">
        <v>160198</v>
      </c>
      <c r="G126" s="1">
        <v>42681</v>
      </c>
      <c r="H126" s="3">
        <f t="shared" si="3"/>
        <v>3</v>
      </c>
      <c r="I126">
        <f t="shared" si="4"/>
        <v>1</v>
      </c>
      <c r="J126">
        <f t="shared" si="5"/>
        <v>199200</v>
      </c>
    </row>
    <row r="127" spans="1:10" x14ac:dyDescent="0.25">
      <c r="A127" t="s">
        <v>206</v>
      </c>
      <c r="B127" t="s">
        <v>226</v>
      </c>
      <c r="C127">
        <v>2014</v>
      </c>
      <c r="D127">
        <v>240000</v>
      </c>
      <c r="E127" t="s">
        <v>168</v>
      </c>
      <c r="F127">
        <v>156724</v>
      </c>
      <c r="G127" s="1">
        <v>42681</v>
      </c>
      <c r="H127" s="3">
        <f t="shared" si="3"/>
        <v>3</v>
      </c>
      <c r="I127">
        <f t="shared" si="4"/>
        <v>1</v>
      </c>
      <c r="J127">
        <f t="shared" si="5"/>
        <v>199200</v>
      </c>
    </row>
    <row r="128" spans="1:10" x14ac:dyDescent="0.25">
      <c r="A128" t="s">
        <v>189</v>
      </c>
      <c r="B128" t="s">
        <v>227</v>
      </c>
      <c r="C128">
        <v>2014</v>
      </c>
      <c r="D128">
        <v>270000</v>
      </c>
      <c r="E128" t="s">
        <v>169</v>
      </c>
      <c r="F128">
        <v>157000</v>
      </c>
      <c r="G128" s="1">
        <v>42334</v>
      </c>
      <c r="H128" s="3">
        <f t="shared" si="3"/>
        <v>3</v>
      </c>
      <c r="I128">
        <f t="shared" si="4"/>
        <v>1</v>
      </c>
      <c r="J128">
        <f t="shared" si="5"/>
        <v>224100</v>
      </c>
    </row>
    <row r="129" spans="1:10" x14ac:dyDescent="0.25">
      <c r="A129" t="s">
        <v>187</v>
      </c>
      <c r="B129" t="s">
        <v>201</v>
      </c>
      <c r="C129">
        <v>2015</v>
      </c>
      <c r="D129">
        <v>218000</v>
      </c>
      <c r="E129" t="s">
        <v>170</v>
      </c>
      <c r="F129">
        <v>130290</v>
      </c>
      <c r="G129" s="1">
        <v>42083</v>
      </c>
      <c r="H129" s="3">
        <f t="shared" si="3"/>
        <v>2</v>
      </c>
      <c r="I129">
        <f t="shared" si="4"/>
        <v>1</v>
      </c>
      <c r="J129">
        <f t="shared" si="5"/>
        <v>191840</v>
      </c>
    </row>
    <row r="130" spans="1:10" x14ac:dyDescent="0.25">
      <c r="A130" t="s">
        <v>187</v>
      </c>
      <c r="B130" t="s">
        <v>212</v>
      </c>
      <c r="C130">
        <v>2015</v>
      </c>
      <c r="D130">
        <v>258000</v>
      </c>
      <c r="E130" t="s">
        <v>171</v>
      </c>
      <c r="F130">
        <v>160700</v>
      </c>
      <c r="G130" s="1">
        <v>42286</v>
      </c>
      <c r="H130" s="3">
        <f t="shared" si="3"/>
        <v>2</v>
      </c>
      <c r="I130">
        <f t="shared" si="4"/>
        <v>1</v>
      </c>
      <c r="J130">
        <f t="shared" si="5"/>
        <v>227040</v>
      </c>
    </row>
    <row r="131" spans="1:10" x14ac:dyDescent="0.25">
      <c r="A131" t="s">
        <v>191</v>
      </c>
      <c r="B131" t="s">
        <v>229</v>
      </c>
      <c r="C131">
        <v>2015</v>
      </c>
      <c r="D131">
        <v>360000</v>
      </c>
      <c r="E131" t="s">
        <v>173</v>
      </c>
      <c r="F131">
        <v>100000</v>
      </c>
      <c r="G131" s="1">
        <v>42734</v>
      </c>
      <c r="H131" s="3">
        <f t="shared" ref="H131:H135" si="6">2017-TRUNC(C131)</f>
        <v>2</v>
      </c>
      <c r="I131">
        <f t="shared" ref="I131:I135" si="7">TRUNC(F131/100000)</f>
        <v>1</v>
      </c>
      <c r="J131">
        <f t="shared" ref="J131:J135" si="8">D131-(D131*H131*0.05 + D131*I131*0.02)</f>
        <v>316800</v>
      </c>
    </row>
    <row r="132" spans="1:10" x14ac:dyDescent="0.25">
      <c r="A132" t="s">
        <v>191</v>
      </c>
      <c r="B132" t="s">
        <v>229</v>
      </c>
      <c r="C132">
        <v>2015</v>
      </c>
      <c r="D132">
        <v>360000</v>
      </c>
      <c r="E132" t="s">
        <v>174</v>
      </c>
      <c r="F132">
        <v>115000</v>
      </c>
      <c r="G132" s="1">
        <v>42734</v>
      </c>
      <c r="H132" s="3">
        <f t="shared" si="6"/>
        <v>2</v>
      </c>
      <c r="I132">
        <f t="shared" si="7"/>
        <v>1</v>
      </c>
      <c r="J132">
        <f t="shared" si="8"/>
        <v>316800</v>
      </c>
    </row>
    <row r="133" spans="1:10" x14ac:dyDescent="0.25">
      <c r="A133" t="s">
        <v>191</v>
      </c>
      <c r="B133" t="s">
        <v>229</v>
      </c>
      <c r="C133">
        <v>2015</v>
      </c>
      <c r="D133">
        <v>360000</v>
      </c>
      <c r="E133" t="s">
        <v>175</v>
      </c>
      <c r="F133">
        <v>132000</v>
      </c>
      <c r="G133" s="1">
        <v>42734</v>
      </c>
      <c r="H133" s="3">
        <f t="shared" si="6"/>
        <v>2</v>
      </c>
      <c r="I133">
        <f t="shared" si="7"/>
        <v>1</v>
      </c>
      <c r="J133">
        <f t="shared" si="8"/>
        <v>316800</v>
      </c>
    </row>
    <row r="134" spans="1:10" x14ac:dyDescent="0.25">
      <c r="A134" t="s">
        <v>191</v>
      </c>
      <c r="B134" t="s">
        <v>229</v>
      </c>
      <c r="C134">
        <v>2015</v>
      </c>
      <c r="D134">
        <v>360000</v>
      </c>
      <c r="E134" t="s">
        <v>176</v>
      </c>
      <c r="F134">
        <v>108000</v>
      </c>
      <c r="G134" s="1">
        <v>42734</v>
      </c>
      <c r="H134" s="3">
        <f t="shared" si="6"/>
        <v>2</v>
      </c>
      <c r="I134">
        <f t="shared" si="7"/>
        <v>1</v>
      </c>
      <c r="J134">
        <f t="shared" si="8"/>
        <v>316800</v>
      </c>
    </row>
    <row r="135" spans="1:10" x14ac:dyDescent="0.25">
      <c r="A135" t="s">
        <v>191</v>
      </c>
      <c r="B135" t="s">
        <v>229</v>
      </c>
      <c r="C135">
        <v>2015</v>
      </c>
      <c r="D135">
        <v>360000</v>
      </c>
      <c r="E135" t="s">
        <v>177</v>
      </c>
      <c r="F135">
        <v>140000</v>
      </c>
      <c r="G135" s="1">
        <v>42734</v>
      </c>
      <c r="H135" s="3">
        <f t="shared" si="6"/>
        <v>2</v>
      </c>
      <c r="I135">
        <f t="shared" si="7"/>
        <v>1</v>
      </c>
      <c r="J135">
        <f t="shared" si="8"/>
        <v>316800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01C7-9620-44A9-BE1E-5ECE2042B8F4}">
  <dimension ref="A1:W135"/>
  <sheetViews>
    <sheetView topLeftCell="C1" workbookViewId="0">
      <selection activeCell="L2" sqref="L2"/>
    </sheetView>
  </sheetViews>
  <sheetFormatPr defaultRowHeight="15" x14ac:dyDescent="0.25"/>
  <cols>
    <col min="1" max="1" width="17.85546875" bestFit="1" customWidth="1"/>
    <col min="2" max="2" width="17.85546875" customWidth="1"/>
    <col min="3" max="3" width="13.7109375" bestFit="1" customWidth="1"/>
    <col min="4" max="4" width="12.7109375" bestFit="1" customWidth="1"/>
    <col min="5" max="5" width="15.28515625" bestFit="1" customWidth="1"/>
    <col min="6" max="6" width="8.42578125" bestFit="1" customWidth="1"/>
    <col min="7" max="7" width="24" bestFit="1" customWidth="1"/>
    <col min="8" max="8" width="10.140625" style="2" bestFit="1" customWidth="1"/>
    <col min="10" max="10" width="11.85546875" bestFit="1" customWidth="1"/>
    <col min="12" max="12" width="23.42578125" bestFit="1" customWidth="1"/>
    <col min="13" max="13" width="17.85546875" bestFit="1" customWidth="1"/>
    <col min="14" max="22" width="5" bestFit="1" customWidth="1"/>
    <col min="23" max="23" width="14.42578125" bestFit="1" customWidth="1"/>
  </cols>
  <sheetData>
    <row r="1" spans="1:23" x14ac:dyDescent="0.25">
      <c r="A1" t="s">
        <v>230</v>
      </c>
      <c r="B1" t="s">
        <v>231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178</v>
      </c>
      <c r="I1" t="s">
        <v>179</v>
      </c>
      <c r="J1" t="s">
        <v>180</v>
      </c>
    </row>
    <row r="2" spans="1:23" x14ac:dyDescent="0.25">
      <c r="A2" t="s">
        <v>185</v>
      </c>
      <c r="B2" t="s">
        <v>186</v>
      </c>
      <c r="C2">
        <v>2006</v>
      </c>
      <c r="D2">
        <v>85900</v>
      </c>
      <c r="E2" t="s">
        <v>7</v>
      </c>
      <c r="F2">
        <v>1200655</v>
      </c>
      <c r="G2" s="1">
        <v>42035</v>
      </c>
      <c r="H2" s="3">
        <f>2017-TRUNC(C2)</f>
        <v>11</v>
      </c>
      <c r="I2">
        <f>TRUNC(F2/100000)</f>
        <v>12</v>
      </c>
      <c r="J2">
        <f>D2-(D2*H2*0.05 + D2*I2*0.02)</f>
        <v>18039</v>
      </c>
      <c r="L2" s="11" t="s">
        <v>235</v>
      </c>
      <c r="M2" s="11" t="s">
        <v>237</v>
      </c>
    </row>
    <row r="3" spans="1:23" x14ac:dyDescent="0.25">
      <c r="A3" t="s">
        <v>185</v>
      </c>
      <c r="B3" t="s">
        <v>186</v>
      </c>
      <c r="C3">
        <v>2006</v>
      </c>
      <c r="D3">
        <v>85900</v>
      </c>
      <c r="E3" t="s">
        <v>8</v>
      </c>
      <c r="F3">
        <v>1068570</v>
      </c>
      <c r="G3" s="1">
        <v>42029</v>
      </c>
      <c r="H3" s="3">
        <f t="shared" ref="H3:H66" si="0">2017-TRUNC(C3)</f>
        <v>11</v>
      </c>
      <c r="I3">
        <f t="shared" ref="I3:I66" si="1">TRUNC(F3/100000)</f>
        <v>10</v>
      </c>
      <c r="J3">
        <f t="shared" ref="J3:J66" si="2">D3-(D3*H3*0.05 + D3*I3*0.02)</f>
        <v>21475</v>
      </c>
      <c r="L3" s="11" t="s">
        <v>232</v>
      </c>
      <c r="M3">
        <v>2006</v>
      </c>
      <c r="N3">
        <v>2007</v>
      </c>
      <c r="O3">
        <v>2008</v>
      </c>
      <c r="P3">
        <v>2009</v>
      </c>
      <c r="Q3">
        <v>2010</v>
      </c>
      <c r="R3">
        <v>2011</v>
      </c>
      <c r="S3">
        <v>2012</v>
      </c>
      <c r="T3">
        <v>2013</v>
      </c>
      <c r="U3">
        <v>2014</v>
      </c>
      <c r="V3">
        <v>2015</v>
      </c>
      <c r="W3" t="s">
        <v>234</v>
      </c>
    </row>
    <row r="4" spans="1:23" x14ac:dyDescent="0.25">
      <c r="A4" t="s">
        <v>185</v>
      </c>
      <c r="B4" t="s">
        <v>186</v>
      </c>
      <c r="C4">
        <v>2006</v>
      </c>
      <c r="D4">
        <v>85900</v>
      </c>
      <c r="E4" t="s">
        <v>9</v>
      </c>
      <c r="F4">
        <v>998704</v>
      </c>
      <c r="G4" s="1">
        <v>42028</v>
      </c>
      <c r="H4" s="3">
        <f t="shared" si="0"/>
        <v>11</v>
      </c>
      <c r="I4">
        <f t="shared" si="1"/>
        <v>9</v>
      </c>
      <c r="J4">
        <f t="shared" si="2"/>
        <v>23193</v>
      </c>
      <c r="L4" s="12" t="s">
        <v>206</v>
      </c>
      <c r="M4" s="13"/>
      <c r="N4" s="13"/>
      <c r="O4" s="13"/>
      <c r="P4" s="13">
        <v>2</v>
      </c>
      <c r="Q4" s="13">
        <v>4</v>
      </c>
      <c r="R4" s="13">
        <v>2</v>
      </c>
      <c r="S4" s="13">
        <v>8</v>
      </c>
      <c r="T4" s="13">
        <v>11</v>
      </c>
      <c r="U4" s="13">
        <v>3</v>
      </c>
      <c r="V4" s="13"/>
      <c r="W4" s="13">
        <v>30</v>
      </c>
    </row>
    <row r="5" spans="1:23" x14ac:dyDescent="0.25">
      <c r="A5" t="s">
        <v>185</v>
      </c>
      <c r="B5" t="s">
        <v>186</v>
      </c>
      <c r="C5">
        <v>2006</v>
      </c>
      <c r="D5">
        <v>85900</v>
      </c>
      <c r="E5" t="s">
        <v>10</v>
      </c>
      <c r="F5">
        <v>936780</v>
      </c>
      <c r="G5" s="1">
        <v>42028</v>
      </c>
      <c r="H5" s="3">
        <f t="shared" si="0"/>
        <v>11</v>
      </c>
      <c r="I5">
        <f t="shared" si="1"/>
        <v>9</v>
      </c>
      <c r="J5">
        <f t="shared" si="2"/>
        <v>23193</v>
      </c>
      <c r="L5" s="12" t="s">
        <v>185</v>
      </c>
      <c r="M5" s="13">
        <v>5</v>
      </c>
      <c r="N5" s="13"/>
      <c r="O5" s="13"/>
      <c r="P5" s="13">
        <v>2</v>
      </c>
      <c r="Q5" s="13">
        <v>2</v>
      </c>
      <c r="R5" s="13"/>
      <c r="S5" s="13">
        <v>3</v>
      </c>
      <c r="T5" s="13"/>
      <c r="U5" s="13"/>
      <c r="V5" s="13"/>
      <c r="W5" s="13">
        <v>12</v>
      </c>
    </row>
    <row r="6" spans="1:23" x14ac:dyDescent="0.25">
      <c r="A6" t="s">
        <v>185</v>
      </c>
      <c r="B6" t="s">
        <v>186</v>
      </c>
      <c r="C6">
        <v>2006</v>
      </c>
      <c r="D6">
        <v>85900</v>
      </c>
      <c r="E6" t="s">
        <v>11</v>
      </c>
      <c r="F6">
        <v>870233</v>
      </c>
      <c r="G6" s="1">
        <v>42034</v>
      </c>
      <c r="H6" s="3">
        <f t="shared" si="0"/>
        <v>11</v>
      </c>
      <c r="I6">
        <f t="shared" si="1"/>
        <v>8</v>
      </c>
      <c r="J6">
        <f t="shared" si="2"/>
        <v>24911</v>
      </c>
      <c r="L6" s="12" t="s">
        <v>189</v>
      </c>
      <c r="M6" s="13"/>
      <c r="N6" s="13">
        <v>1</v>
      </c>
      <c r="O6" s="13"/>
      <c r="P6" s="13">
        <v>4</v>
      </c>
      <c r="Q6" s="13">
        <v>2</v>
      </c>
      <c r="R6" s="13"/>
      <c r="S6" s="13">
        <v>3</v>
      </c>
      <c r="T6" s="13">
        <v>3</v>
      </c>
      <c r="U6" s="13">
        <v>5</v>
      </c>
      <c r="V6" s="13"/>
      <c r="W6" s="13">
        <v>18</v>
      </c>
    </row>
    <row r="7" spans="1:23" x14ac:dyDescent="0.25">
      <c r="A7" t="s">
        <v>187</v>
      </c>
      <c r="B7" t="s">
        <v>188</v>
      </c>
      <c r="C7">
        <v>2007</v>
      </c>
      <c r="D7">
        <v>205000</v>
      </c>
      <c r="E7" t="s">
        <v>13</v>
      </c>
      <c r="F7">
        <v>1260000</v>
      </c>
      <c r="G7" s="1">
        <v>42483</v>
      </c>
      <c r="H7" s="3">
        <f t="shared" si="0"/>
        <v>10</v>
      </c>
      <c r="I7">
        <f t="shared" si="1"/>
        <v>12</v>
      </c>
      <c r="J7">
        <f t="shared" si="2"/>
        <v>53300</v>
      </c>
      <c r="L7" s="12" t="s">
        <v>187</v>
      </c>
      <c r="M7" s="13"/>
      <c r="N7" s="13">
        <v>1</v>
      </c>
      <c r="O7" s="13"/>
      <c r="P7" s="13">
        <v>4</v>
      </c>
      <c r="Q7" s="13">
        <v>4</v>
      </c>
      <c r="R7" s="13">
        <v>4</v>
      </c>
      <c r="S7" s="13">
        <v>1</v>
      </c>
      <c r="T7" s="13"/>
      <c r="U7" s="13">
        <v>1</v>
      </c>
      <c r="V7" s="13">
        <v>2</v>
      </c>
      <c r="W7" s="13">
        <v>17</v>
      </c>
    </row>
    <row r="8" spans="1:23" x14ac:dyDescent="0.25">
      <c r="A8" t="s">
        <v>189</v>
      </c>
      <c r="B8" t="s">
        <v>190</v>
      </c>
      <c r="C8">
        <v>2007</v>
      </c>
      <c r="D8">
        <v>198000</v>
      </c>
      <c r="E8" t="s">
        <v>15</v>
      </c>
      <c r="F8">
        <v>890200</v>
      </c>
      <c r="G8" s="1">
        <v>42520</v>
      </c>
      <c r="H8" s="3">
        <f t="shared" si="0"/>
        <v>10</v>
      </c>
      <c r="I8">
        <f t="shared" si="1"/>
        <v>8</v>
      </c>
      <c r="J8">
        <f t="shared" si="2"/>
        <v>67320</v>
      </c>
      <c r="L8" s="12" t="s">
        <v>199</v>
      </c>
      <c r="M8" s="13"/>
      <c r="N8" s="13"/>
      <c r="O8" s="13"/>
      <c r="P8" s="13">
        <v>2</v>
      </c>
      <c r="Q8" s="13">
        <v>6</v>
      </c>
      <c r="R8" s="13">
        <v>6</v>
      </c>
      <c r="S8" s="13">
        <v>3</v>
      </c>
      <c r="T8" s="13"/>
      <c r="U8" s="13"/>
      <c r="V8" s="13"/>
      <c r="W8" s="13">
        <v>17</v>
      </c>
    </row>
    <row r="9" spans="1:23" x14ac:dyDescent="0.25">
      <c r="A9" t="s">
        <v>191</v>
      </c>
      <c r="B9" t="s">
        <v>192</v>
      </c>
      <c r="C9">
        <v>2008</v>
      </c>
      <c r="D9">
        <v>49411</v>
      </c>
      <c r="E9" t="s">
        <v>17</v>
      </c>
      <c r="F9">
        <v>186000</v>
      </c>
      <c r="G9" s="1">
        <v>42210</v>
      </c>
      <c r="H9" s="3">
        <f t="shared" si="0"/>
        <v>9</v>
      </c>
      <c r="I9">
        <f t="shared" si="1"/>
        <v>1</v>
      </c>
      <c r="J9">
        <f t="shared" si="2"/>
        <v>26187.829999999998</v>
      </c>
      <c r="L9" s="12" t="s">
        <v>197</v>
      </c>
      <c r="M9" s="13"/>
      <c r="N9" s="13"/>
      <c r="O9" s="13"/>
      <c r="P9" s="13">
        <v>4</v>
      </c>
      <c r="Q9" s="13"/>
      <c r="R9" s="13">
        <v>6</v>
      </c>
      <c r="S9" s="13">
        <v>5</v>
      </c>
      <c r="T9" s="13">
        <v>2</v>
      </c>
      <c r="U9" s="13"/>
      <c r="V9" s="13"/>
      <c r="W9" s="13">
        <v>17</v>
      </c>
    </row>
    <row r="10" spans="1:23" x14ac:dyDescent="0.25">
      <c r="A10" t="s">
        <v>191</v>
      </c>
      <c r="B10" t="s">
        <v>193</v>
      </c>
      <c r="C10">
        <v>2008</v>
      </c>
      <c r="D10">
        <v>58000</v>
      </c>
      <c r="E10" t="s">
        <v>19</v>
      </c>
      <c r="F10">
        <v>306000</v>
      </c>
      <c r="G10" s="1">
        <v>42271</v>
      </c>
      <c r="H10" s="3">
        <f t="shared" si="0"/>
        <v>9</v>
      </c>
      <c r="I10">
        <f t="shared" si="1"/>
        <v>3</v>
      </c>
      <c r="J10">
        <f t="shared" si="2"/>
        <v>28420</v>
      </c>
      <c r="L10" s="12" t="s">
        <v>191</v>
      </c>
      <c r="M10" s="13"/>
      <c r="N10" s="13"/>
      <c r="O10" s="13">
        <v>4</v>
      </c>
      <c r="P10" s="13">
        <v>8</v>
      </c>
      <c r="Q10" s="13">
        <v>2</v>
      </c>
      <c r="R10" s="13"/>
      <c r="S10" s="13">
        <v>4</v>
      </c>
      <c r="T10" s="13"/>
      <c r="U10" s="13"/>
      <c r="V10" s="13">
        <v>5</v>
      </c>
      <c r="W10" s="13">
        <v>23</v>
      </c>
    </row>
    <row r="11" spans="1:23" x14ac:dyDescent="0.25">
      <c r="A11" t="s">
        <v>191</v>
      </c>
      <c r="B11" t="s">
        <v>194</v>
      </c>
      <c r="C11">
        <v>2008</v>
      </c>
      <c r="D11">
        <v>84000</v>
      </c>
      <c r="E11" t="s">
        <v>21</v>
      </c>
      <c r="F11">
        <v>266000</v>
      </c>
      <c r="G11" s="1">
        <v>42382</v>
      </c>
      <c r="H11" s="3">
        <f t="shared" si="0"/>
        <v>9</v>
      </c>
      <c r="I11">
        <f t="shared" si="1"/>
        <v>2</v>
      </c>
      <c r="J11">
        <f t="shared" si="2"/>
        <v>42840</v>
      </c>
      <c r="L11" s="12" t="s">
        <v>234</v>
      </c>
      <c r="M11" s="13">
        <v>5</v>
      </c>
      <c r="N11" s="13">
        <v>2</v>
      </c>
      <c r="O11" s="13">
        <v>4</v>
      </c>
      <c r="P11" s="13">
        <v>26</v>
      </c>
      <c r="Q11" s="13">
        <v>20</v>
      </c>
      <c r="R11" s="13">
        <v>18</v>
      </c>
      <c r="S11" s="13">
        <v>27</v>
      </c>
      <c r="T11" s="13">
        <v>16</v>
      </c>
      <c r="U11" s="13">
        <v>9</v>
      </c>
      <c r="V11" s="13">
        <v>7</v>
      </c>
      <c r="W11" s="13">
        <v>134</v>
      </c>
    </row>
    <row r="12" spans="1:23" x14ac:dyDescent="0.25">
      <c r="A12" t="s">
        <v>191</v>
      </c>
      <c r="B12" t="s">
        <v>195</v>
      </c>
      <c r="C12">
        <v>2008</v>
      </c>
      <c r="D12">
        <v>89000</v>
      </c>
      <c r="E12" t="s">
        <v>23</v>
      </c>
      <c r="F12">
        <v>305000</v>
      </c>
      <c r="G12" s="1">
        <v>42075</v>
      </c>
      <c r="H12" s="3">
        <f t="shared" si="0"/>
        <v>9</v>
      </c>
      <c r="I12">
        <f t="shared" si="1"/>
        <v>3</v>
      </c>
      <c r="J12">
        <f t="shared" si="2"/>
        <v>43610</v>
      </c>
    </row>
    <row r="13" spans="1:23" x14ac:dyDescent="0.25">
      <c r="A13" t="s">
        <v>191</v>
      </c>
      <c r="B13" t="s">
        <v>192</v>
      </c>
      <c r="C13">
        <v>2009</v>
      </c>
      <c r="D13">
        <v>48411</v>
      </c>
      <c r="E13" t="s">
        <v>24</v>
      </c>
      <c r="F13">
        <v>190000</v>
      </c>
      <c r="G13" s="1">
        <v>42210</v>
      </c>
      <c r="H13" s="3">
        <f t="shared" si="0"/>
        <v>8</v>
      </c>
      <c r="I13">
        <f t="shared" si="1"/>
        <v>1</v>
      </c>
      <c r="J13">
        <f t="shared" si="2"/>
        <v>28078.379999999997</v>
      </c>
    </row>
    <row r="14" spans="1:23" x14ac:dyDescent="0.25">
      <c r="A14" t="s">
        <v>185</v>
      </c>
      <c r="B14" t="s">
        <v>196</v>
      </c>
      <c r="C14">
        <v>2009</v>
      </c>
      <c r="D14">
        <v>68000</v>
      </c>
      <c r="E14" t="s">
        <v>26</v>
      </c>
      <c r="F14">
        <v>992600</v>
      </c>
      <c r="G14" s="1">
        <v>42157</v>
      </c>
      <c r="H14" s="3">
        <f t="shared" si="0"/>
        <v>8</v>
      </c>
      <c r="I14">
        <f t="shared" si="1"/>
        <v>9</v>
      </c>
      <c r="J14">
        <f t="shared" si="2"/>
        <v>28560</v>
      </c>
    </row>
    <row r="15" spans="1:23" x14ac:dyDescent="0.25">
      <c r="A15" t="s">
        <v>191</v>
      </c>
      <c r="B15" t="s">
        <v>192</v>
      </c>
      <c r="C15">
        <v>2009</v>
      </c>
      <c r="D15">
        <v>49411</v>
      </c>
      <c r="E15" t="s">
        <v>27</v>
      </c>
      <c r="F15">
        <v>186000</v>
      </c>
      <c r="G15" s="1">
        <v>42210</v>
      </c>
      <c r="H15" s="3">
        <f t="shared" si="0"/>
        <v>8</v>
      </c>
      <c r="I15">
        <f t="shared" si="1"/>
        <v>1</v>
      </c>
      <c r="J15">
        <f t="shared" si="2"/>
        <v>28658.379999999997</v>
      </c>
    </row>
    <row r="16" spans="1:23" x14ac:dyDescent="0.25">
      <c r="A16" t="s">
        <v>197</v>
      </c>
      <c r="B16" t="s">
        <v>198</v>
      </c>
      <c r="C16">
        <v>2009</v>
      </c>
      <c r="D16">
        <v>67900</v>
      </c>
      <c r="E16" t="s">
        <v>29</v>
      </c>
      <c r="F16">
        <v>850000</v>
      </c>
      <c r="G16" s="1">
        <v>42194</v>
      </c>
      <c r="H16" s="3">
        <f t="shared" si="0"/>
        <v>8</v>
      </c>
      <c r="I16">
        <f t="shared" si="1"/>
        <v>8</v>
      </c>
      <c r="J16">
        <f t="shared" si="2"/>
        <v>29876</v>
      </c>
    </row>
    <row r="17" spans="1:10" x14ac:dyDescent="0.25">
      <c r="A17" t="s">
        <v>191</v>
      </c>
      <c r="B17" t="s">
        <v>192</v>
      </c>
      <c r="C17">
        <v>2009</v>
      </c>
      <c r="D17">
        <v>65000</v>
      </c>
      <c r="E17" t="s">
        <v>30</v>
      </c>
      <c r="F17">
        <v>740000</v>
      </c>
      <c r="G17" s="1">
        <v>42385</v>
      </c>
      <c r="H17" s="3">
        <f t="shared" si="0"/>
        <v>8</v>
      </c>
      <c r="I17">
        <f t="shared" si="1"/>
        <v>7</v>
      </c>
      <c r="J17">
        <f t="shared" si="2"/>
        <v>29900</v>
      </c>
    </row>
    <row r="18" spans="1:10" x14ac:dyDescent="0.25">
      <c r="A18" t="s">
        <v>197</v>
      </c>
      <c r="B18" t="s">
        <v>198</v>
      </c>
      <c r="C18">
        <v>2009</v>
      </c>
      <c r="D18">
        <v>68900</v>
      </c>
      <c r="E18" t="s">
        <v>31</v>
      </c>
      <c r="F18">
        <v>846000</v>
      </c>
      <c r="G18" s="1">
        <v>42194</v>
      </c>
      <c r="H18" s="3">
        <f t="shared" si="0"/>
        <v>8</v>
      </c>
      <c r="I18">
        <f t="shared" si="1"/>
        <v>8</v>
      </c>
      <c r="J18">
        <f t="shared" si="2"/>
        <v>30316</v>
      </c>
    </row>
    <row r="19" spans="1:10" x14ac:dyDescent="0.25">
      <c r="A19" t="s">
        <v>191</v>
      </c>
      <c r="B19" t="s">
        <v>193</v>
      </c>
      <c r="C19">
        <v>2009</v>
      </c>
      <c r="D19">
        <v>59000</v>
      </c>
      <c r="E19" t="s">
        <v>32</v>
      </c>
      <c r="F19">
        <v>302000</v>
      </c>
      <c r="G19" s="1">
        <v>42271</v>
      </c>
      <c r="H19" s="3">
        <f t="shared" si="0"/>
        <v>8</v>
      </c>
      <c r="I19">
        <f t="shared" si="1"/>
        <v>3</v>
      </c>
      <c r="J19">
        <f t="shared" si="2"/>
        <v>31860</v>
      </c>
    </row>
    <row r="20" spans="1:10" x14ac:dyDescent="0.25">
      <c r="A20" t="s">
        <v>199</v>
      </c>
      <c r="B20" t="s">
        <v>200</v>
      </c>
      <c r="C20">
        <v>2009</v>
      </c>
      <c r="D20">
        <v>77000</v>
      </c>
      <c r="E20" t="s">
        <v>34</v>
      </c>
      <c r="F20">
        <v>846000</v>
      </c>
      <c r="G20" s="1">
        <v>42376</v>
      </c>
      <c r="H20" s="3">
        <f t="shared" si="0"/>
        <v>8</v>
      </c>
      <c r="I20">
        <f t="shared" si="1"/>
        <v>8</v>
      </c>
      <c r="J20">
        <f t="shared" si="2"/>
        <v>33880</v>
      </c>
    </row>
    <row r="21" spans="1:10" x14ac:dyDescent="0.25">
      <c r="A21" t="s">
        <v>187</v>
      </c>
      <c r="B21" t="s">
        <v>201</v>
      </c>
      <c r="C21">
        <v>2009</v>
      </c>
      <c r="D21">
        <v>85000</v>
      </c>
      <c r="E21" t="s">
        <v>36</v>
      </c>
      <c r="F21">
        <v>946000</v>
      </c>
      <c r="G21" s="1">
        <v>42014</v>
      </c>
      <c r="H21" s="3">
        <f t="shared" si="0"/>
        <v>8</v>
      </c>
      <c r="I21">
        <f t="shared" si="1"/>
        <v>9</v>
      </c>
      <c r="J21">
        <f t="shared" si="2"/>
        <v>35700</v>
      </c>
    </row>
    <row r="22" spans="1:10" x14ac:dyDescent="0.25">
      <c r="A22" t="s">
        <v>197</v>
      </c>
      <c r="B22" t="s">
        <v>202</v>
      </c>
      <c r="C22">
        <v>2009</v>
      </c>
      <c r="D22">
        <v>79000</v>
      </c>
      <c r="E22" t="s">
        <v>38</v>
      </c>
      <c r="F22">
        <v>390000</v>
      </c>
      <c r="G22" s="1">
        <v>42379</v>
      </c>
      <c r="H22" s="3">
        <f t="shared" si="0"/>
        <v>8</v>
      </c>
      <c r="I22">
        <f t="shared" si="1"/>
        <v>3</v>
      </c>
      <c r="J22">
        <f t="shared" si="2"/>
        <v>42660</v>
      </c>
    </row>
    <row r="23" spans="1:10" x14ac:dyDescent="0.25">
      <c r="A23" t="s">
        <v>197</v>
      </c>
      <c r="B23" t="s">
        <v>202</v>
      </c>
      <c r="C23">
        <v>2009</v>
      </c>
      <c r="D23">
        <v>79000</v>
      </c>
      <c r="E23" t="s">
        <v>39</v>
      </c>
      <c r="F23">
        <v>390000</v>
      </c>
      <c r="G23" s="1">
        <v>42379</v>
      </c>
      <c r="H23" s="3">
        <f t="shared" si="0"/>
        <v>8</v>
      </c>
      <c r="I23">
        <f t="shared" si="1"/>
        <v>3</v>
      </c>
      <c r="J23">
        <f t="shared" si="2"/>
        <v>42660</v>
      </c>
    </row>
    <row r="24" spans="1:10" x14ac:dyDescent="0.25">
      <c r="A24" t="s">
        <v>191</v>
      </c>
      <c r="B24" t="s">
        <v>194</v>
      </c>
      <c r="C24">
        <v>2009</v>
      </c>
      <c r="D24">
        <v>83000</v>
      </c>
      <c r="E24" t="s">
        <v>40</v>
      </c>
      <c r="F24">
        <v>270000</v>
      </c>
      <c r="G24" s="1">
        <v>42382</v>
      </c>
      <c r="H24" s="3">
        <f t="shared" si="0"/>
        <v>8</v>
      </c>
      <c r="I24">
        <f t="shared" si="1"/>
        <v>2</v>
      </c>
      <c r="J24">
        <f t="shared" si="2"/>
        <v>46480</v>
      </c>
    </row>
    <row r="25" spans="1:10" x14ac:dyDescent="0.25">
      <c r="A25" t="s">
        <v>185</v>
      </c>
      <c r="B25" t="s">
        <v>203</v>
      </c>
      <c r="C25">
        <v>2009</v>
      </c>
      <c r="D25">
        <v>86133</v>
      </c>
      <c r="E25" t="s">
        <v>42</v>
      </c>
      <c r="F25">
        <v>380000</v>
      </c>
      <c r="G25" s="1">
        <v>42208</v>
      </c>
      <c r="H25" s="3">
        <f t="shared" si="0"/>
        <v>8</v>
      </c>
      <c r="I25">
        <f t="shared" si="1"/>
        <v>3</v>
      </c>
      <c r="J25">
        <f t="shared" si="2"/>
        <v>46511.819999999992</v>
      </c>
    </row>
    <row r="26" spans="1:10" x14ac:dyDescent="0.25">
      <c r="A26" t="s">
        <v>191</v>
      </c>
      <c r="B26" t="s">
        <v>195</v>
      </c>
      <c r="C26">
        <v>2009</v>
      </c>
      <c r="D26">
        <v>90000</v>
      </c>
      <c r="E26" t="s">
        <v>43</v>
      </c>
      <c r="F26">
        <v>301000</v>
      </c>
      <c r="G26" s="1">
        <v>42075</v>
      </c>
      <c r="H26" s="3">
        <f t="shared" si="0"/>
        <v>8</v>
      </c>
      <c r="I26">
        <f t="shared" si="1"/>
        <v>3</v>
      </c>
      <c r="J26">
        <f t="shared" si="2"/>
        <v>48600</v>
      </c>
    </row>
    <row r="27" spans="1:10" x14ac:dyDescent="0.25">
      <c r="A27" t="s">
        <v>187</v>
      </c>
      <c r="B27" t="s">
        <v>201</v>
      </c>
      <c r="C27">
        <v>2009</v>
      </c>
      <c r="D27">
        <v>91000</v>
      </c>
      <c r="E27" t="s">
        <v>44</v>
      </c>
      <c r="F27">
        <v>360000</v>
      </c>
      <c r="G27" s="1">
        <v>42174</v>
      </c>
      <c r="H27" s="3">
        <f t="shared" si="0"/>
        <v>8</v>
      </c>
      <c r="I27">
        <f t="shared" si="1"/>
        <v>3</v>
      </c>
      <c r="J27">
        <f t="shared" si="2"/>
        <v>49140</v>
      </c>
    </row>
    <row r="28" spans="1:10" x14ac:dyDescent="0.25">
      <c r="A28" t="s">
        <v>189</v>
      </c>
      <c r="B28" t="s">
        <v>204</v>
      </c>
      <c r="C28">
        <v>2009</v>
      </c>
      <c r="D28">
        <v>114400</v>
      </c>
      <c r="E28" t="s">
        <v>46</v>
      </c>
      <c r="F28">
        <v>226000</v>
      </c>
      <c r="G28" s="1">
        <v>42073</v>
      </c>
      <c r="H28" s="3">
        <f t="shared" si="0"/>
        <v>8</v>
      </c>
      <c r="I28">
        <f t="shared" si="1"/>
        <v>2</v>
      </c>
      <c r="J28">
        <f t="shared" si="2"/>
        <v>64064</v>
      </c>
    </row>
    <row r="29" spans="1:10" x14ac:dyDescent="0.25">
      <c r="A29" t="s">
        <v>191</v>
      </c>
      <c r="B29" t="s">
        <v>205</v>
      </c>
      <c r="C29">
        <v>2009</v>
      </c>
      <c r="D29">
        <v>134000</v>
      </c>
      <c r="E29" t="s">
        <v>48</v>
      </c>
      <c r="F29">
        <v>482000</v>
      </c>
      <c r="G29" s="1">
        <v>42385</v>
      </c>
      <c r="H29" s="3">
        <f t="shared" si="0"/>
        <v>8</v>
      </c>
      <c r="I29">
        <f t="shared" si="1"/>
        <v>4</v>
      </c>
      <c r="J29">
        <f t="shared" si="2"/>
        <v>69680</v>
      </c>
    </row>
    <row r="30" spans="1:10" x14ac:dyDescent="0.25">
      <c r="A30" t="s">
        <v>191</v>
      </c>
      <c r="B30" t="s">
        <v>205</v>
      </c>
      <c r="C30">
        <v>2009</v>
      </c>
      <c r="D30">
        <v>135000</v>
      </c>
      <c r="E30" t="s">
        <v>49</v>
      </c>
      <c r="F30">
        <v>478000</v>
      </c>
      <c r="G30" s="1">
        <v>42385</v>
      </c>
      <c r="H30" s="3">
        <f t="shared" si="0"/>
        <v>8</v>
      </c>
      <c r="I30">
        <f t="shared" si="1"/>
        <v>4</v>
      </c>
      <c r="J30">
        <f t="shared" si="2"/>
        <v>70200</v>
      </c>
    </row>
    <row r="31" spans="1:10" x14ac:dyDescent="0.25">
      <c r="A31" t="s">
        <v>206</v>
      </c>
      <c r="B31" t="s">
        <v>207</v>
      </c>
      <c r="C31">
        <v>2009</v>
      </c>
      <c r="D31">
        <v>131780</v>
      </c>
      <c r="E31" t="s">
        <v>51</v>
      </c>
      <c r="F31">
        <v>306000</v>
      </c>
      <c r="G31" s="1">
        <v>42365</v>
      </c>
      <c r="H31" s="3">
        <f t="shared" si="0"/>
        <v>8</v>
      </c>
      <c r="I31">
        <f t="shared" si="1"/>
        <v>3</v>
      </c>
      <c r="J31">
        <f t="shared" si="2"/>
        <v>71161.2</v>
      </c>
    </row>
    <row r="32" spans="1:10" x14ac:dyDescent="0.25">
      <c r="A32" t="s">
        <v>189</v>
      </c>
      <c r="B32" t="s">
        <v>204</v>
      </c>
      <c r="C32">
        <v>2009</v>
      </c>
      <c r="D32">
        <v>159000</v>
      </c>
      <c r="E32" t="s">
        <v>52</v>
      </c>
      <c r="F32">
        <v>403000</v>
      </c>
      <c r="G32" s="1">
        <v>42681</v>
      </c>
      <c r="H32" s="3">
        <f t="shared" si="0"/>
        <v>8</v>
      </c>
      <c r="I32">
        <f t="shared" si="1"/>
        <v>4</v>
      </c>
      <c r="J32">
        <f t="shared" si="2"/>
        <v>82680</v>
      </c>
    </row>
    <row r="33" spans="1:10" x14ac:dyDescent="0.25">
      <c r="A33" t="s">
        <v>199</v>
      </c>
      <c r="B33" t="s">
        <v>200</v>
      </c>
      <c r="C33">
        <v>2009</v>
      </c>
      <c r="D33">
        <v>162800</v>
      </c>
      <c r="E33" t="s">
        <v>53</v>
      </c>
      <c r="F33">
        <v>370000</v>
      </c>
      <c r="G33" s="1">
        <v>42329</v>
      </c>
      <c r="H33" s="3">
        <f t="shared" si="0"/>
        <v>8</v>
      </c>
      <c r="I33">
        <f t="shared" si="1"/>
        <v>3</v>
      </c>
      <c r="J33">
        <f t="shared" si="2"/>
        <v>87912</v>
      </c>
    </row>
    <row r="34" spans="1:10" x14ac:dyDescent="0.25">
      <c r="A34" t="s">
        <v>189</v>
      </c>
      <c r="B34" t="s">
        <v>208</v>
      </c>
      <c r="C34">
        <v>2009</v>
      </c>
      <c r="D34">
        <v>168800</v>
      </c>
      <c r="E34" t="s">
        <v>55</v>
      </c>
      <c r="F34">
        <v>186300</v>
      </c>
      <c r="G34" s="1">
        <v>42272</v>
      </c>
      <c r="H34" s="3">
        <f t="shared" si="0"/>
        <v>8</v>
      </c>
      <c r="I34">
        <f t="shared" si="1"/>
        <v>1</v>
      </c>
      <c r="J34">
        <f t="shared" si="2"/>
        <v>97904</v>
      </c>
    </row>
    <row r="35" spans="1:10" x14ac:dyDescent="0.25">
      <c r="A35" t="s">
        <v>189</v>
      </c>
      <c r="B35" t="s">
        <v>209</v>
      </c>
      <c r="C35">
        <v>2009</v>
      </c>
      <c r="D35">
        <v>195370</v>
      </c>
      <c r="E35" t="s">
        <v>57</v>
      </c>
      <c r="F35">
        <v>290000</v>
      </c>
      <c r="G35" s="1">
        <v>42467</v>
      </c>
      <c r="H35" s="3">
        <f t="shared" si="0"/>
        <v>8</v>
      </c>
      <c r="I35">
        <f t="shared" si="1"/>
        <v>2</v>
      </c>
      <c r="J35">
        <f t="shared" si="2"/>
        <v>109407.2</v>
      </c>
    </row>
    <row r="36" spans="1:10" x14ac:dyDescent="0.25">
      <c r="A36" t="s">
        <v>206</v>
      </c>
      <c r="B36" t="s">
        <v>210</v>
      </c>
      <c r="C36">
        <v>2009</v>
      </c>
      <c r="D36">
        <v>195340</v>
      </c>
      <c r="E36" t="s">
        <v>59</v>
      </c>
      <c r="F36">
        <v>190000</v>
      </c>
      <c r="G36" s="1">
        <v>42278</v>
      </c>
      <c r="H36" s="3">
        <f t="shared" si="0"/>
        <v>8</v>
      </c>
      <c r="I36">
        <f t="shared" si="1"/>
        <v>1</v>
      </c>
      <c r="J36">
        <f t="shared" si="2"/>
        <v>113297.2</v>
      </c>
    </row>
    <row r="37" spans="1:10" x14ac:dyDescent="0.25">
      <c r="A37" t="s">
        <v>187</v>
      </c>
      <c r="B37" t="s">
        <v>211</v>
      </c>
      <c r="C37">
        <v>2009</v>
      </c>
      <c r="D37">
        <v>230000</v>
      </c>
      <c r="E37" t="s">
        <v>61</v>
      </c>
      <c r="F37">
        <v>305000</v>
      </c>
      <c r="G37" s="1">
        <v>42307</v>
      </c>
      <c r="H37" s="3">
        <f t="shared" si="0"/>
        <v>8</v>
      </c>
      <c r="I37">
        <f t="shared" si="1"/>
        <v>3</v>
      </c>
      <c r="J37">
        <f t="shared" si="2"/>
        <v>124200</v>
      </c>
    </row>
    <row r="38" spans="1:10" x14ac:dyDescent="0.25">
      <c r="A38" t="s">
        <v>187</v>
      </c>
      <c r="B38" t="s">
        <v>212</v>
      </c>
      <c r="C38">
        <v>2009</v>
      </c>
      <c r="D38">
        <v>291000</v>
      </c>
      <c r="E38" t="s">
        <v>63</v>
      </c>
      <c r="F38">
        <v>166000</v>
      </c>
      <c r="G38" s="1">
        <v>42297</v>
      </c>
      <c r="H38" s="3">
        <f t="shared" si="0"/>
        <v>8</v>
      </c>
      <c r="I38">
        <f t="shared" si="1"/>
        <v>1</v>
      </c>
      <c r="J38">
        <f t="shared" si="2"/>
        <v>168780</v>
      </c>
    </row>
    <row r="39" spans="1:10" x14ac:dyDescent="0.25">
      <c r="A39" t="s">
        <v>206</v>
      </c>
      <c r="B39" t="s">
        <v>207</v>
      </c>
      <c r="C39">
        <v>2010</v>
      </c>
      <c r="D39">
        <v>37000</v>
      </c>
      <c r="E39" t="s">
        <v>64</v>
      </c>
      <c r="F39">
        <v>978000</v>
      </c>
      <c r="G39" s="1">
        <v>42309</v>
      </c>
      <c r="H39" s="3">
        <f t="shared" si="0"/>
        <v>7</v>
      </c>
      <c r="I39">
        <f t="shared" si="1"/>
        <v>9</v>
      </c>
      <c r="J39">
        <f t="shared" si="2"/>
        <v>17390</v>
      </c>
    </row>
    <row r="40" spans="1:10" x14ac:dyDescent="0.25">
      <c r="A40" t="s">
        <v>206</v>
      </c>
      <c r="B40" t="s">
        <v>207</v>
      </c>
      <c r="C40">
        <v>2010</v>
      </c>
      <c r="D40">
        <v>40830</v>
      </c>
      <c r="E40" t="s">
        <v>65</v>
      </c>
      <c r="F40">
        <v>326000</v>
      </c>
      <c r="G40" s="1">
        <v>42062</v>
      </c>
      <c r="H40" s="3">
        <f t="shared" si="0"/>
        <v>7</v>
      </c>
      <c r="I40">
        <f t="shared" si="1"/>
        <v>3</v>
      </c>
      <c r="J40">
        <f t="shared" si="2"/>
        <v>24089.7</v>
      </c>
    </row>
    <row r="41" spans="1:10" x14ac:dyDescent="0.25">
      <c r="A41" t="s">
        <v>191</v>
      </c>
      <c r="B41" t="s">
        <v>192</v>
      </c>
      <c r="C41">
        <v>2010</v>
      </c>
      <c r="D41">
        <v>66000</v>
      </c>
      <c r="E41" t="s">
        <v>66</v>
      </c>
      <c r="F41">
        <v>736000</v>
      </c>
      <c r="G41" s="1">
        <v>42385</v>
      </c>
      <c r="H41" s="3">
        <f t="shared" si="0"/>
        <v>7</v>
      </c>
      <c r="I41">
        <f t="shared" si="1"/>
        <v>7</v>
      </c>
      <c r="J41">
        <f t="shared" si="2"/>
        <v>33660</v>
      </c>
    </row>
    <row r="42" spans="1:10" x14ac:dyDescent="0.25">
      <c r="A42" t="s">
        <v>199</v>
      </c>
      <c r="B42" t="s">
        <v>213</v>
      </c>
      <c r="C42">
        <v>2010</v>
      </c>
      <c r="D42">
        <v>60000</v>
      </c>
      <c r="E42" t="s">
        <v>68</v>
      </c>
      <c r="F42">
        <v>99250</v>
      </c>
      <c r="G42" s="1">
        <v>42226</v>
      </c>
      <c r="H42" s="3">
        <f t="shared" si="0"/>
        <v>7</v>
      </c>
      <c r="I42">
        <f t="shared" si="1"/>
        <v>0</v>
      </c>
      <c r="J42">
        <f t="shared" si="2"/>
        <v>39000</v>
      </c>
    </row>
    <row r="43" spans="1:10" x14ac:dyDescent="0.25">
      <c r="A43" t="s">
        <v>187</v>
      </c>
      <c r="B43" t="s">
        <v>201</v>
      </c>
      <c r="C43">
        <v>2010</v>
      </c>
      <c r="D43">
        <v>84000</v>
      </c>
      <c r="E43" t="s">
        <v>69</v>
      </c>
      <c r="F43">
        <v>950000</v>
      </c>
      <c r="G43" s="1">
        <v>42029</v>
      </c>
      <c r="H43" s="3">
        <f t="shared" si="0"/>
        <v>7</v>
      </c>
      <c r="I43">
        <f t="shared" si="1"/>
        <v>9</v>
      </c>
      <c r="J43">
        <f t="shared" si="2"/>
        <v>39480</v>
      </c>
    </row>
    <row r="44" spans="1:10" x14ac:dyDescent="0.25">
      <c r="A44" t="s">
        <v>185</v>
      </c>
      <c r="B44" t="s">
        <v>196</v>
      </c>
      <c r="C44">
        <v>2010</v>
      </c>
      <c r="D44">
        <v>67000</v>
      </c>
      <c r="E44" t="s">
        <v>70</v>
      </c>
      <c r="F44">
        <v>103260</v>
      </c>
      <c r="G44" s="1">
        <v>42157</v>
      </c>
      <c r="H44" s="3">
        <f t="shared" si="0"/>
        <v>7</v>
      </c>
      <c r="I44">
        <f t="shared" si="1"/>
        <v>1</v>
      </c>
      <c r="J44">
        <f t="shared" si="2"/>
        <v>42210</v>
      </c>
    </row>
    <row r="45" spans="1:10" x14ac:dyDescent="0.25">
      <c r="A45" t="s">
        <v>199</v>
      </c>
      <c r="B45" t="s">
        <v>214</v>
      </c>
      <c r="C45">
        <v>2010</v>
      </c>
      <c r="D45">
        <v>75300</v>
      </c>
      <c r="E45" t="s">
        <v>72</v>
      </c>
      <c r="F45">
        <v>302000</v>
      </c>
      <c r="G45" s="1">
        <v>42174</v>
      </c>
      <c r="H45" s="3">
        <f t="shared" si="0"/>
        <v>7</v>
      </c>
      <c r="I45">
        <f t="shared" si="1"/>
        <v>3</v>
      </c>
      <c r="J45">
        <f t="shared" si="2"/>
        <v>44427</v>
      </c>
    </row>
    <row r="46" spans="1:10" x14ac:dyDescent="0.25">
      <c r="A46" t="s">
        <v>191</v>
      </c>
      <c r="B46" t="s">
        <v>194</v>
      </c>
      <c r="C46">
        <v>2010</v>
      </c>
      <c r="D46">
        <v>84000</v>
      </c>
      <c r="E46" t="s">
        <v>73</v>
      </c>
      <c r="F46">
        <v>266000</v>
      </c>
      <c r="G46" s="1">
        <v>42382</v>
      </c>
      <c r="H46" s="3">
        <f t="shared" si="0"/>
        <v>7</v>
      </c>
      <c r="I46">
        <f t="shared" si="1"/>
        <v>2</v>
      </c>
      <c r="J46">
        <f t="shared" si="2"/>
        <v>51240</v>
      </c>
    </row>
    <row r="47" spans="1:10" x14ac:dyDescent="0.25">
      <c r="A47" t="s">
        <v>187</v>
      </c>
      <c r="B47" t="s">
        <v>201</v>
      </c>
      <c r="C47">
        <v>2010</v>
      </c>
      <c r="D47">
        <v>92000</v>
      </c>
      <c r="E47" t="s">
        <v>74</v>
      </c>
      <c r="F47">
        <v>356000</v>
      </c>
      <c r="G47" s="1">
        <v>42174</v>
      </c>
      <c r="H47" s="3">
        <f t="shared" si="0"/>
        <v>7</v>
      </c>
      <c r="I47">
        <f t="shared" si="1"/>
        <v>3</v>
      </c>
      <c r="J47">
        <f t="shared" si="2"/>
        <v>54280</v>
      </c>
    </row>
    <row r="48" spans="1:10" x14ac:dyDescent="0.25">
      <c r="A48" t="s">
        <v>189</v>
      </c>
      <c r="B48" t="s">
        <v>204</v>
      </c>
      <c r="C48">
        <v>2010</v>
      </c>
      <c r="D48">
        <v>89000</v>
      </c>
      <c r="E48" t="s">
        <v>75</v>
      </c>
      <c r="F48">
        <v>266000</v>
      </c>
      <c r="G48" s="1">
        <v>42382</v>
      </c>
      <c r="H48" s="3">
        <f t="shared" si="0"/>
        <v>7</v>
      </c>
      <c r="I48">
        <f t="shared" si="1"/>
        <v>2</v>
      </c>
      <c r="J48">
        <f t="shared" si="2"/>
        <v>54290</v>
      </c>
    </row>
    <row r="49" spans="1:10" x14ac:dyDescent="0.25">
      <c r="A49" t="s">
        <v>206</v>
      </c>
      <c r="B49" t="s">
        <v>215</v>
      </c>
      <c r="C49">
        <v>2010</v>
      </c>
      <c r="D49">
        <v>94000</v>
      </c>
      <c r="E49" t="s">
        <v>77</v>
      </c>
      <c r="F49">
        <v>91000</v>
      </c>
      <c r="G49" s="1">
        <v>42268</v>
      </c>
      <c r="H49" s="3">
        <f t="shared" si="0"/>
        <v>7</v>
      </c>
      <c r="I49">
        <f t="shared" si="1"/>
        <v>0</v>
      </c>
      <c r="J49">
        <f t="shared" si="2"/>
        <v>61100</v>
      </c>
    </row>
    <row r="50" spans="1:10" x14ac:dyDescent="0.25">
      <c r="A50" t="s">
        <v>189</v>
      </c>
      <c r="B50" t="s">
        <v>204</v>
      </c>
      <c r="C50">
        <v>2010</v>
      </c>
      <c r="D50">
        <v>113400</v>
      </c>
      <c r="E50" t="s">
        <v>78</v>
      </c>
      <c r="F50">
        <v>230000</v>
      </c>
      <c r="G50" s="1">
        <v>42073</v>
      </c>
      <c r="H50" s="3">
        <f t="shared" si="0"/>
        <v>7</v>
      </c>
      <c r="I50">
        <f t="shared" si="1"/>
        <v>2</v>
      </c>
      <c r="J50">
        <f t="shared" si="2"/>
        <v>69174</v>
      </c>
    </row>
    <row r="51" spans="1:10" x14ac:dyDescent="0.25">
      <c r="A51" t="s">
        <v>206</v>
      </c>
      <c r="B51" t="s">
        <v>216</v>
      </c>
      <c r="C51">
        <v>2010</v>
      </c>
      <c r="D51">
        <v>135000</v>
      </c>
      <c r="E51" t="s">
        <v>80</v>
      </c>
      <c r="F51">
        <v>251000</v>
      </c>
      <c r="G51" s="1">
        <v>42067</v>
      </c>
      <c r="H51" s="3">
        <f t="shared" si="0"/>
        <v>7</v>
      </c>
      <c r="I51">
        <f t="shared" si="1"/>
        <v>2</v>
      </c>
      <c r="J51">
        <f t="shared" si="2"/>
        <v>82350</v>
      </c>
    </row>
    <row r="52" spans="1:10" x14ac:dyDescent="0.25">
      <c r="A52" t="s">
        <v>185</v>
      </c>
      <c r="B52" t="s">
        <v>217</v>
      </c>
      <c r="C52">
        <v>2010</v>
      </c>
      <c r="D52">
        <v>160000</v>
      </c>
      <c r="E52" t="s">
        <v>82</v>
      </c>
      <c r="F52">
        <v>263000</v>
      </c>
      <c r="G52" s="1">
        <v>42028</v>
      </c>
      <c r="H52" s="3">
        <f t="shared" si="0"/>
        <v>7</v>
      </c>
      <c r="I52">
        <f t="shared" si="1"/>
        <v>2</v>
      </c>
      <c r="J52">
        <f t="shared" si="2"/>
        <v>97600</v>
      </c>
    </row>
    <row r="53" spans="1:10" x14ac:dyDescent="0.25">
      <c r="A53" t="s">
        <v>199</v>
      </c>
      <c r="B53" t="s">
        <v>218</v>
      </c>
      <c r="C53">
        <v>2010</v>
      </c>
      <c r="D53">
        <v>265000</v>
      </c>
      <c r="E53" t="s">
        <v>84</v>
      </c>
      <c r="F53">
        <v>930000</v>
      </c>
      <c r="G53" s="1">
        <v>42236</v>
      </c>
      <c r="H53" s="3">
        <f t="shared" si="0"/>
        <v>7</v>
      </c>
      <c r="I53">
        <f t="shared" si="1"/>
        <v>9</v>
      </c>
      <c r="J53">
        <f t="shared" si="2"/>
        <v>124550</v>
      </c>
    </row>
    <row r="54" spans="1:10" x14ac:dyDescent="0.25">
      <c r="A54" t="s">
        <v>199</v>
      </c>
      <c r="B54" t="s">
        <v>218</v>
      </c>
      <c r="C54">
        <v>2010</v>
      </c>
      <c r="D54">
        <v>265000</v>
      </c>
      <c r="E54" t="s">
        <v>85</v>
      </c>
      <c r="F54">
        <v>912000</v>
      </c>
      <c r="G54" s="1">
        <v>42236</v>
      </c>
      <c r="H54" s="3">
        <f t="shared" si="0"/>
        <v>7</v>
      </c>
      <c r="I54">
        <f t="shared" si="1"/>
        <v>9</v>
      </c>
      <c r="J54">
        <f t="shared" si="2"/>
        <v>124550</v>
      </c>
    </row>
    <row r="55" spans="1:10" x14ac:dyDescent="0.25">
      <c r="A55" t="s">
        <v>199</v>
      </c>
      <c r="B55" t="s">
        <v>218</v>
      </c>
      <c r="C55">
        <v>2010</v>
      </c>
      <c r="D55">
        <v>265000</v>
      </c>
      <c r="E55" t="s">
        <v>86</v>
      </c>
      <c r="F55">
        <v>856000</v>
      </c>
      <c r="G55" s="1">
        <v>42236</v>
      </c>
      <c r="H55" s="3">
        <f t="shared" si="0"/>
        <v>7</v>
      </c>
      <c r="I55">
        <f t="shared" si="1"/>
        <v>8</v>
      </c>
      <c r="J55">
        <f t="shared" si="2"/>
        <v>129850</v>
      </c>
    </row>
    <row r="56" spans="1:10" x14ac:dyDescent="0.25">
      <c r="A56" t="s">
        <v>199</v>
      </c>
      <c r="B56" t="s">
        <v>200</v>
      </c>
      <c r="C56">
        <v>2010</v>
      </c>
      <c r="D56">
        <v>230000</v>
      </c>
      <c r="E56" t="s">
        <v>87</v>
      </c>
      <c r="F56">
        <v>455000</v>
      </c>
      <c r="G56" s="1">
        <v>42439</v>
      </c>
      <c r="H56" s="3">
        <f t="shared" si="0"/>
        <v>7</v>
      </c>
      <c r="I56">
        <f t="shared" si="1"/>
        <v>4</v>
      </c>
      <c r="J56">
        <f t="shared" si="2"/>
        <v>131100</v>
      </c>
    </row>
    <row r="57" spans="1:10" x14ac:dyDescent="0.25">
      <c r="A57" t="s">
        <v>187</v>
      </c>
      <c r="B57" t="s">
        <v>211</v>
      </c>
      <c r="C57">
        <v>2010</v>
      </c>
      <c r="D57">
        <v>231000</v>
      </c>
      <c r="E57" t="s">
        <v>88</v>
      </c>
      <c r="F57">
        <v>301000</v>
      </c>
      <c r="G57" s="1">
        <v>42307</v>
      </c>
      <c r="H57" s="3">
        <f t="shared" si="0"/>
        <v>7</v>
      </c>
      <c r="I57">
        <f t="shared" si="1"/>
        <v>3</v>
      </c>
      <c r="J57">
        <f t="shared" si="2"/>
        <v>136290</v>
      </c>
    </row>
    <row r="58" spans="1:10" x14ac:dyDescent="0.25">
      <c r="A58" t="s">
        <v>187</v>
      </c>
      <c r="B58" t="s">
        <v>212</v>
      </c>
      <c r="C58">
        <v>2010</v>
      </c>
      <c r="D58">
        <v>257000</v>
      </c>
      <c r="E58" t="s">
        <v>89</v>
      </c>
      <c r="F58">
        <v>164700</v>
      </c>
      <c r="G58" s="1">
        <v>42286</v>
      </c>
      <c r="H58" s="3">
        <f t="shared" si="0"/>
        <v>7</v>
      </c>
      <c r="I58">
        <f t="shared" si="1"/>
        <v>1</v>
      </c>
      <c r="J58">
        <f t="shared" si="2"/>
        <v>161910</v>
      </c>
    </row>
    <row r="59" spans="1:10" x14ac:dyDescent="0.25">
      <c r="A59" t="s">
        <v>206</v>
      </c>
      <c r="B59" t="s">
        <v>207</v>
      </c>
      <c r="C59">
        <v>2011</v>
      </c>
      <c r="D59">
        <v>38000</v>
      </c>
      <c r="E59" t="s">
        <v>90</v>
      </c>
      <c r="F59">
        <v>574000</v>
      </c>
      <c r="G59" s="1">
        <v>42309</v>
      </c>
      <c r="H59" s="3">
        <f t="shared" si="0"/>
        <v>6</v>
      </c>
      <c r="I59">
        <f t="shared" si="1"/>
        <v>5</v>
      </c>
      <c r="J59">
        <f t="shared" si="2"/>
        <v>22800</v>
      </c>
    </row>
    <row r="60" spans="1:10" x14ac:dyDescent="0.25">
      <c r="A60" t="s">
        <v>199</v>
      </c>
      <c r="B60" t="s">
        <v>219</v>
      </c>
      <c r="C60">
        <v>2011</v>
      </c>
      <c r="D60">
        <v>56700</v>
      </c>
      <c r="E60" t="s">
        <v>92</v>
      </c>
      <c r="F60">
        <v>290000</v>
      </c>
      <c r="G60" s="1">
        <v>42236</v>
      </c>
      <c r="H60" s="3">
        <f t="shared" si="0"/>
        <v>6</v>
      </c>
      <c r="I60">
        <f t="shared" si="1"/>
        <v>2</v>
      </c>
      <c r="J60">
        <f t="shared" si="2"/>
        <v>37422</v>
      </c>
    </row>
    <row r="61" spans="1:10" x14ac:dyDescent="0.25">
      <c r="A61" t="s">
        <v>199</v>
      </c>
      <c r="B61" t="s">
        <v>219</v>
      </c>
      <c r="C61">
        <v>2011</v>
      </c>
      <c r="D61">
        <v>57700</v>
      </c>
      <c r="E61" t="s">
        <v>93</v>
      </c>
      <c r="F61">
        <v>286000</v>
      </c>
      <c r="G61" s="1">
        <v>42236</v>
      </c>
      <c r="H61" s="3">
        <f t="shared" si="0"/>
        <v>6</v>
      </c>
      <c r="I61">
        <f t="shared" si="1"/>
        <v>2</v>
      </c>
      <c r="J61">
        <f t="shared" si="2"/>
        <v>38082</v>
      </c>
    </row>
    <row r="62" spans="1:10" x14ac:dyDescent="0.25">
      <c r="A62" t="s">
        <v>199</v>
      </c>
      <c r="B62" t="s">
        <v>213</v>
      </c>
      <c r="C62">
        <v>2011</v>
      </c>
      <c r="D62">
        <v>59000</v>
      </c>
      <c r="E62" t="s">
        <v>94</v>
      </c>
      <c r="F62">
        <v>103250</v>
      </c>
      <c r="G62" s="1">
        <v>42226</v>
      </c>
      <c r="H62" s="3">
        <f t="shared" si="0"/>
        <v>6</v>
      </c>
      <c r="I62">
        <f t="shared" si="1"/>
        <v>1</v>
      </c>
      <c r="J62">
        <f t="shared" si="2"/>
        <v>40120</v>
      </c>
    </row>
    <row r="63" spans="1:10" x14ac:dyDescent="0.25">
      <c r="A63" t="s">
        <v>199</v>
      </c>
      <c r="B63" t="s">
        <v>214</v>
      </c>
      <c r="C63">
        <v>2011</v>
      </c>
      <c r="D63">
        <v>74300</v>
      </c>
      <c r="E63" t="s">
        <v>95</v>
      </c>
      <c r="F63">
        <v>306000</v>
      </c>
      <c r="G63" s="1">
        <v>42174</v>
      </c>
      <c r="H63" s="3">
        <f t="shared" si="0"/>
        <v>6</v>
      </c>
      <c r="I63">
        <f t="shared" si="1"/>
        <v>3</v>
      </c>
      <c r="J63">
        <f t="shared" si="2"/>
        <v>47552</v>
      </c>
    </row>
    <row r="64" spans="1:10" x14ac:dyDescent="0.25">
      <c r="A64" t="s">
        <v>187</v>
      </c>
      <c r="B64" t="s">
        <v>212</v>
      </c>
      <c r="C64">
        <v>2011</v>
      </c>
      <c r="D64">
        <v>210000</v>
      </c>
      <c r="E64" t="s">
        <v>96</v>
      </c>
      <c r="F64">
        <v>780000</v>
      </c>
      <c r="G64" s="1">
        <v>42481</v>
      </c>
      <c r="H64" s="3">
        <f t="shared" si="0"/>
        <v>6</v>
      </c>
      <c r="I64">
        <f t="shared" si="1"/>
        <v>7</v>
      </c>
      <c r="J64">
        <f t="shared" si="2"/>
        <v>117600</v>
      </c>
    </row>
    <row r="65" spans="1:10" x14ac:dyDescent="0.25">
      <c r="A65" t="s">
        <v>187</v>
      </c>
      <c r="B65" t="s">
        <v>212</v>
      </c>
      <c r="C65">
        <v>2011</v>
      </c>
      <c r="D65">
        <v>210000</v>
      </c>
      <c r="E65" t="s">
        <v>97</v>
      </c>
      <c r="F65">
        <v>760300</v>
      </c>
      <c r="G65" s="1">
        <v>42481</v>
      </c>
      <c r="H65" s="3">
        <f t="shared" si="0"/>
        <v>6</v>
      </c>
      <c r="I65">
        <f t="shared" si="1"/>
        <v>7</v>
      </c>
      <c r="J65">
        <f t="shared" si="2"/>
        <v>117600</v>
      </c>
    </row>
    <row r="66" spans="1:10" x14ac:dyDescent="0.25">
      <c r="A66" t="s">
        <v>187</v>
      </c>
      <c r="B66" t="s">
        <v>212</v>
      </c>
      <c r="C66">
        <v>2011</v>
      </c>
      <c r="D66">
        <v>210000</v>
      </c>
      <c r="E66" t="s">
        <v>98</v>
      </c>
      <c r="F66">
        <v>680000</v>
      </c>
      <c r="G66" s="1">
        <v>42481</v>
      </c>
      <c r="H66" s="3">
        <f t="shared" si="0"/>
        <v>6</v>
      </c>
      <c r="I66">
        <f t="shared" si="1"/>
        <v>6</v>
      </c>
      <c r="J66">
        <f t="shared" si="2"/>
        <v>121800</v>
      </c>
    </row>
    <row r="67" spans="1:10" x14ac:dyDescent="0.25">
      <c r="A67" t="s">
        <v>187</v>
      </c>
      <c r="B67" t="s">
        <v>212</v>
      </c>
      <c r="C67">
        <v>2011</v>
      </c>
      <c r="D67">
        <v>210000</v>
      </c>
      <c r="E67" t="s">
        <v>99</v>
      </c>
      <c r="F67">
        <v>655000</v>
      </c>
      <c r="G67" s="1">
        <v>42481</v>
      </c>
      <c r="H67" s="3">
        <f t="shared" ref="H67:H130" si="3">2017-TRUNC(C67)</f>
        <v>6</v>
      </c>
      <c r="I67">
        <f t="shared" ref="I67:I130" si="4">TRUNC(F67/100000)</f>
        <v>6</v>
      </c>
      <c r="J67">
        <f t="shared" ref="J67:J130" si="5">D67-(D67*H67*0.05 + D67*I67*0.02)</f>
        <v>121800</v>
      </c>
    </row>
    <row r="68" spans="1:10" x14ac:dyDescent="0.25">
      <c r="A68" t="s">
        <v>199</v>
      </c>
      <c r="B68" t="s">
        <v>220</v>
      </c>
      <c r="C68">
        <v>2011</v>
      </c>
      <c r="D68">
        <v>220000</v>
      </c>
      <c r="E68" t="s">
        <v>101</v>
      </c>
      <c r="F68">
        <v>731000</v>
      </c>
      <c r="G68" s="1">
        <v>42236</v>
      </c>
      <c r="H68" s="3">
        <f t="shared" si="3"/>
        <v>6</v>
      </c>
      <c r="I68">
        <f t="shared" si="4"/>
        <v>7</v>
      </c>
      <c r="J68">
        <f t="shared" si="5"/>
        <v>123200</v>
      </c>
    </row>
    <row r="69" spans="1:10" x14ac:dyDescent="0.25">
      <c r="A69" t="s">
        <v>199</v>
      </c>
      <c r="B69" t="s">
        <v>220</v>
      </c>
      <c r="C69">
        <v>2011</v>
      </c>
      <c r="D69">
        <v>220000</v>
      </c>
      <c r="E69" t="s">
        <v>102</v>
      </c>
      <c r="F69">
        <v>685413</v>
      </c>
      <c r="G69" s="1">
        <v>42236</v>
      </c>
      <c r="H69" s="3">
        <f t="shared" si="3"/>
        <v>6</v>
      </c>
      <c r="I69">
        <f t="shared" si="4"/>
        <v>6</v>
      </c>
      <c r="J69">
        <f t="shared" si="5"/>
        <v>127600</v>
      </c>
    </row>
    <row r="70" spans="1:10" x14ac:dyDescent="0.25">
      <c r="A70" t="s">
        <v>206</v>
      </c>
      <c r="B70" t="s">
        <v>210</v>
      </c>
      <c r="C70">
        <v>2011</v>
      </c>
      <c r="D70">
        <v>196340</v>
      </c>
      <c r="E70" t="s">
        <v>103</v>
      </c>
      <c r="F70">
        <v>186000</v>
      </c>
      <c r="G70" s="1">
        <v>42278</v>
      </c>
      <c r="H70" s="3">
        <f t="shared" si="3"/>
        <v>6</v>
      </c>
      <c r="I70">
        <f t="shared" si="4"/>
        <v>1</v>
      </c>
      <c r="J70">
        <f t="shared" si="5"/>
        <v>133511.20000000001</v>
      </c>
    </row>
    <row r="71" spans="1:10" x14ac:dyDescent="0.25">
      <c r="A71" t="s">
        <v>197</v>
      </c>
      <c r="B71" t="s">
        <v>221</v>
      </c>
      <c r="C71">
        <v>2011</v>
      </c>
      <c r="D71">
        <v>245000</v>
      </c>
      <c r="E71" t="s">
        <v>105</v>
      </c>
      <c r="F71">
        <v>720000</v>
      </c>
      <c r="G71" s="1">
        <v>42462</v>
      </c>
      <c r="H71" s="3">
        <f t="shared" si="3"/>
        <v>6</v>
      </c>
      <c r="I71">
        <f t="shared" si="4"/>
        <v>7</v>
      </c>
      <c r="J71">
        <f t="shared" si="5"/>
        <v>137200</v>
      </c>
    </row>
    <row r="72" spans="1:10" x14ac:dyDescent="0.25">
      <c r="A72" t="s">
        <v>197</v>
      </c>
      <c r="B72" t="s">
        <v>221</v>
      </c>
      <c r="C72">
        <v>2011</v>
      </c>
      <c r="D72">
        <v>245000</v>
      </c>
      <c r="E72" t="s">
        <v>106</v>
      </c>
      <c r="F72">
        <v>680000</v>
      </c>
      <c r="G72" s="1">
        <v>42462</v>
      </c>
      <c r="H72" s="3">
        <f t="shared" si="3"/>
        <v>6</v>
      </c>
      <c r="I72">
        <f t="shared" si="4"/>
        <v>6</v>
      </c>
      <c r="J72">
        <f t="shared" si="5"/>
        <v>142100</v>
      </c>
    </row>
    <row r="73" spans="1:10" x14ac:dyDescent="0.25">
      <c r="A73" t="s">
        <v>197</v>
      </c>
      <c r="B73" t="s">
        <v>221</v>
      </c>
      <c r="C73">
        <v>2011</v>
      </c>
      <c r="D73">
        <v>245000</v>
      </c>
      <c r="E73" t="s">
        <v>107</v>
      </c>
      <c r="F73">
        <v>660000</v>
      </c>
      <c r="G73" s="1">
        <v>42462</v>
      </c>
      <c r="H73" s="3">
        <f t="shared" si="3"/>
        <v>6</v>
      </c>
      <c r="I73">
        <f t="shared" si="4"/>
        <v>6</v>
      </c>
      <c r="J73">
        <f t="shared" si="5"/>
        <v>142100</v>
      </c>
    </row>
    <row r="74" spans="1:10" x14ac:dyDescent="0.25">
      <c r="A74" t="s">
        <v>197</v>
      </c>
      <c r="B74" t="s">
        <v>221</v>
      </c>
      <c r="C74">
        <v>2011</v>
      </c>
      <c r="D74">
        <v>245000</v>
      </c>
      <c r="E74" t="s">
        <v>108</v>
      </c>
      <c r="F74">
        <v>630000</v>
      </c>
      <c r="G74" s="1">
        <v>42462</v>
      </c>
      <c r="H74" s="3">
        <f t="shared" si="3"/>
        <v>6</v>
      </c>
      <c r="I74">
        <f t="shared" si="4"/>
        <v>6</v>
      </c>
      <c r="J74">
        <f t="shared" si="5"/>
        <v>142100</v>
      </c>
    </row>
    <row r="75" spans="1:10" x14ac:dyDescent="0.25">
      <c r="A75" t="s">
        <v>197</v>
      </c>
      <c r="B75" t="s">
        <v>221</v>
      </c>
      <c r="C75">
        <v>2011</v>
      </c>
      <c r="D75">
        <v>245000</v>
      </c>
      <c r="E75" t="s">
        <v>109</v>
      </c>
      <c r="F75">
        <v>655000</v>
      </c>
      <c r="G75" s="1">
        <v>42462</v>
      </c>
      <c r="H75" s="3">
        <f t="shared" si="3"/>
        <v>6</v>
      </c>
      <c r="I75">
        <f t="shared" si="4"/>
        <v>6</v>
      </c>
      <c r="J75">
        <f t="shared" si="5"/>
        <v>142100</v>
      </c>
    </row>
    <row r="76" spans="1:10" x14ac:dyDescent="0.25">
      <c r="A76" t="s">
        <v>197</v>
      </c>
      <c r="B76" t="s">
        <v>221</v>
      </c>
      <c r="C76">
        <v>2011</v>
      </c>
      <c r="D76">
        <v>245000</v>
      </c>
      <c r="E76" t="s">
        <v>110</v>
      </c>
      <c r="F76">
        <v>590000</v>
      </c>
      <c r="G76" s="1">
        <v>42462</v>
      </c>
      <c r="H76" s="3">
        <f t="shared" si="3"/>
        <v>6</v>
      </c>
      <c r="I76">
        <f t="shared" si="4"/>
        <v>5</v>
      </c>
      <c r="J76">
        <f t="shared" si="5"/>
        <v>147000</v>
      </c>
    </row>
    <row r="77" spans="1:10" x14ac:dyDescent="0.25">
      <c r="A77" t="s">
        <v>206</v>
      </c>
      <c r="B77" t="s">
        <v>207</v>
      </c>
      <c r="C77">
        <v>2012</v>
      </c>
      <c r="D77">
        <v>39830</v>
      </c>
      <c r="E77" t="s">
        <v>111</v>
      </c>
      <c r="F77">
        <v>330000</v>
      </c>
      <c r="G77" s="1">
        <v>42062</v>
      </c>
      <c r="H77" s="3">
        <f t="shared" si="3"/>
        <v>5</v>
      </c>
      <c r="I77">
        <f t="shared" si="4"/>
        <v>3</v>
      </c>
      <c r="J77">
        <f t="shared" si="5"/>
        <v>27482.7</v>
      </c>
    </row>
    <row r="78" spans="1:10" x14ac:dyDescent="0.25">
      <c r="A78" t="s">
        <v>206</v>
      </c>
      <c r="B78" t="s">
        <v>207</v>
      </c>
      <c r="C78">
        <v>2012</v>
      </c>
      <c r="D78">
        <v>48800</v>
      </c>
      <c r="E78" t="s">
        <v>112</v>
      </c>
      <c r="F78">
        <v>268650</v>
      </c>
      <c r="G78" s="1">
        <v>42117</v>
      </c>
      <c r="H78" s="3">
        <f t="shared" si="3"/>
        <v>5</v>
      </c>
      <c r="I78">
        <f t="shared" si="4"/>
        <v>2</v>
      </c>
      <c r="J78">
        <f t="shared" si="5"/>
        <v>34648</v>
      </c>
    </row>
    <row r="79" spans="1:10" x14ac:dyDescent="0.25">
      <c r="A79" t="s">
        <v>191</v>
      </c>
      <c r="B79" t="s">
        <v>193</v>
      </c>
      <c r="C79">
        <v>2012</v>
      </c>
      <c r="D79">
        <v>59000</v>
      </c>
      <c r="E79" t="s">
        <v>113</v>
      </c>
      <c r="F79">
        <v>302000</v>
      </c>
      <c r="G79" s="1">
        <v>42271</v>
      </c>
      <c r="H79" s="3">
        <f t="shared" si="3"/>
        <v>5</v>
      </c>
      <c r="I79">
        <f t="shared" si="4"/>
        <v>3</v>
      </c>
      <c r="J79">
        <f t="shared" si="5"/>
        <v>40710</v>
      </c>
    </row>
    <row r="80" spans="1:10" x14ac:dyDescent="0.25">
      <c r="A80" t="s">
        <v>199</v>
      </c>
      <c r="B80" t="s">
        <v>200</v>
      </c>
      <c r="C80">
        <v>2012</v>
      </c>
      <c r="D80">
        <v>76000</v>
      </c>
      <c r="E80" t="s">
        <v>114</v>
      </c>
      <c r="F80">
        <v>850000</v>
      </c>
      <c r="G80" s="1">
        <v>42376</v>
      </c>
      <c r="H80" s="3">
        <f t="shared" si="3"/>
        <v>5</v>
      </c>
      <c r="I80">
        <f t="shared" si="4"/>
        <v>8</v>
      </c>
      <c r="J80">
        <f t="shared" si="5"/>
        <v>44840</v>
      </c>
    </row>
    <row r="81" spans="1:10" x14ac:dyDescent="0.25">
      <c r="A81" t="s">
        <v>185</v>
      </c>
      <c r="B81" t="s">
        <v>203</v>
      </c>
      <c r="C81">
        <v>2012</v>
      </c>
      <c r="D81">
        <v>87133</v>
      </c>
      <c r="E81" t="s">
        <v>115</v>
      </c>
      <c r="F81">
        <v>376000</v>
      </c>
      <c r="G81" s="1">
        <v>42208</v>
      </c>
      <c r="H81" s="3">
        <f t="shared" si="3"/>
        <v>5</v>
      </c>
      <c r="I81">
        <f t="shared" si="4"/>
        <v>3</v>
      </c>
      <c r="J81">
        <f t="shared" si="5"/>
        <v>60121.770000000004</v>
      </c>
    </row>
    <row r="82" spans="1:10" x14ac:dyDescent="0.25">
      <c r="A82" t="s">
        <v>191</v>
      </c>
      <c r="B82" t="s">
        <v>195</v>
      </c>
      <c r="C82">
        <v>2012</v>
      </c>
      <c r="D82">
        <v>110000</v>
      </c>
      <c r="E82" t="s">
        <v>116</v>
      </c>
      <c r="F82">
        <v>201000</v>
      </c>
      <c r="G82" s="1">
        <v>42075</v>
      </c>
      <c r="H82" s="3">
        <f t="shared" si="3"/>
        <v>5</v>
      </c>
      <c r="I82">
        <f t="shared" si="4"/>
        <v>2</v>
      </c>
      <c r="J82">
        <f t="shared" si="5"/>
        <v>78100</v>
      </c>
    </row>
    <row r="83" spans="1:10" x14ac:dyDescent="0.25">
      <c r="A83" t="s">
        <v>206</v>
      </c>
      <c r="B83" t="s">
        <v>207</v>
      </c>
      <c r="C83">
        <v>2012</v>
      </c>
      <c r="D83">
        <v>130780</v>
      </c>
      <c r="E83" t="s">
        <v>117</v>
      </c>
      <c r="F83">
        <v>310000</v>
      </c>
      <c r="G83" s="1">
        <v>42365</v>
      </c>
      <c r="H83" s="3">
        <f t="shared" si="3"/>
        <v>5</v>
      </c>
      <c r="I83">
        <f t="shared" si="4"/>
        <v>3</v>
      </c>
      <c r="J83">
        <f t="shared" si="5"/>
        <v>90238.2</v>
      </c>
    </row>
    <row r="84" spans="1:10" x14ac:dyDescent="0.25">
      <c r="A84" t="s">
        <v>189</v>
      </c>
      <c r="B84" t="s">
        <v>204</v>
      </c>
      <c r="C84">
        <v>2012</v>
      </c>
      <c r="D84">
        <v>135502</v>
      </c>
      <c r="E84" t="s">
        <v>118</v>
      </c>
      <c r="F84">
        <v>247000</v>
      </c>
      <c r="G84" s="1">
        <v>42476</v>
      </c>
      <c r="H84" s="3">
        <f t="shared" si="3"/>
        <v>5</v>
      </c>
      <c r="I84">
        <f t="shared" si="4"/>
        <v>2</v>
      </c>
      <c r="J84">
        <f t="shared" si="5"/>
        <v>96206.42</v>
      </c>
    </row>
    <row r="85" spans="1:10" x14ac:dyDescent="0.25">
      <c r="A85" t="s">
        <v>185</v>
      </c>
      <c r="B85" t="s">
        <v>222</v>
      </c>
      <c r="C85">
        <v>2012</v>
      </c>
      <c r="D85">
        <v>145000</v>
      </c>
      <c r="E85" t="s">
        <v>120</v>
      </c>
      <c r="F85">
        <v>386732</v>
      </c>
      <c r="G85" s="1">
        <v>42059</v>
      </c>
      <c r="H85" s="3">
        <f t="shared" si="3"/>
        <v>5</v>
      </c>
      <c r="I85">
        <f t="shared" si="4"/>
        <v>3</v>
      </c>
      <c r="J85">
        <f t="shared" si="5"/>
        <v>100050</v>
      </c>
    </row>
    <row r="86" spans="1:10" x14ac:dyDescent="0.25">
      <c r="A86" t="s">
        <v>185</v>
      </c>
      <c r="B86" t="s">
        <v>222</v>
      </c>
      <c r="C86">
        <v>2012</v>
      </c>
      <c r="D86">
        <v>145000</v>
      </c>
      <c r="E86" t="s">
        <v>121</v>
      </c>
      <c r="F86">
        <v>312680</v>
      </c>
      <c r="G86" s="1">
        <v>42059</v>
      </c>
      <c r="H86" s="3">
        <f t="shared" si="3"/>
        <v>5</v>
      </c>
      <c r="I86">
        <f t="shared" si="4"/>
        <v>3</v>
      </c>
      <c r="J86">
        <f t="shared" si="5"/>
        <v>100050</v>
      </c>
    </row>
    <row r="87" spans="1:10" x14ac:dyDescent="0.25">
      <c r="A87" t="s">
        <v>199</v>
      </c>
      <c r="B87" t="s">
        <v>200</v>
      </c>
      <c r="C87">
        <v>2012</v>
      </c>
      <c r="D87">
        <v>163800</v>
      </c>
      <c r="E87" t="s">
        <v>122</v>
      </c>
      <c r="F87">
        <v>366000</v>
      </c>
      <c r="G87" s="1">
        <v>42329</v>
      </c>
      <c r="H87" s="3">
        <f t="shared" si="3"/>
        <v>5</v>
      </c>
      <c r="I87">
        <f t="shared" si="4"/>
        <v>3</v>
      </c>
      <c r="J87">
        <f t="shared" si="5"/>
        <v>113022</v>
      </c>
    </row>
    <row r="88" spans="1:10" x14ac:dyDescent="0.25">
      <c r="A88" t="s">
        <v>197</v>
      </c>
      <c r="B88" t="s">
        <v>223</v>
      </c>
      <c r="C88">
        <v>2012</v>
      </c>
      <c r="D88">
        <v>183000</v>
      </c>
      <c r="E88" t="s">
        <v>124</v>
      </c>
      <c r="F88">
        <v>520000</v>
      </c>
      <c r="G88" s="1">
        <v>42444</v>
      </c>
      <c r="H88" s="3">
        <f t="shared" si="3"/>
        <v>5</v>
      </c>
      <c r="I88">
        <f t="shared" si="4"/>
        <v>5</v>
      </c>
      <c r="J88">
        <f t="shared" si="5"/>
        <v>118950</v>
      </c>
    </row>
    <row r="89" spans="1:10" x14ac:dyDescent="0.25">
      <c r="A89" t="s">
        <v>197</v>
      </c>
      <c r="B89" t="s">
        <v>223</v>
      </c>
      <c r="C89">
        <v>2012</v>
      </c>
      <c r="D89">
        <v>183000</v>
      </c>
      <c r="E89" t="s">
        <v>125</v>
      </c>
      <c r="F89">
        <v>530000</v>
      </c>
      <c r="G89" s="1">
        <v>42444</v>
      </c>
      <c r="H89" s="3">
        <f t="shared" si="3"/>
        <v>5</v>
      </c>
      <c r="I89">
        <f t="shared" si="4"/>
        <v>5</v>
      </c>
      <c r="J89">
        <f t="shared" si="5"/>
        <v>118950</v>
      </c>
    </row>
    <row r="90" spans="1:10" x14ac:dyDescent="0.25">
      <c r="A90" t="s">
        <v>197</v>
      </c>
      <c r="B90" t="s">
        <v>223</v>
      </c>
      <c r="C90">
        <v>2012</v>
      </c>
      <c r="D90">
        <v>183000</v>
      </c>
      <c r="E90" t="s">
        <v>126</v>
      </c>
      <c r="F90">
        <v>490000</v>
      </c>
      <c r="G90" s="1">
        <v>42444</v>
      </c>
      <c r="H90" s="3">
        <f t="shared" si="3"/>
        <v>5</v>
      </c>
      <c r="I90">
        <f t="shared" si="4"/>
        <v>4</v>
      </c>
      <c r="J90">
        <f t="shared" si="5"/>
        <v>122610</v>
      </c>
    </row>
    <row r="91" spans="1:10" x14ac:dyDescent="0.25">
      <c r="A91" t="s">
        <v>197</v>
      </c>
      <c r="B91" t="s">
        <v>223</v>
      </c>
      <c r="C91">
        <v>2012</v>
      </c>
      <c r="D91">
        <v>183000</v>
      </c>
      <c r="E91" t="s">
        <v>127</v>
      </c>
      <c r="F91">
        <v>481000</v>
      </c>
      <c r="G91" s="1">
        <v>42444</v>
      </c>
      <c r="H91" s="3">
        <f t="shared" si="3"/>
        <v>5</v>
      </c>
      <c r="I91">
        <f t="shared" si="4"/>
        <v>4</v>
      </c>
      <c r="J91">
        <f t="shared" si="5"/>
        <v>122610</v>
      </c>
    </row>
    <row r="92" spans="1:10" x14ac:dyDescent="0.25">
      <c r="A92" t="s">
        <v>197</v>
      </c>
      <c r="B92" t="s">
        <v>223</v>
      </c>
      <c r="C92">
        <v>2012</v>
      </c>
      <c r="D92">
        <v>183000</v>
      </c>
      <c r="E92" t="s">
        <v>128</v>
      </c>
      <c r="F92">
        <v>454000</v>
      </c>
      <c r="G92" s="1">
        <v>42444</v>
      </c>
      <c r="H92" s="3">
        <f t="shared" si="3"/>
        <v>5</v>
      </c>
      <c r="I92">
        <f t="shared" si="4"/>
        <v>4</v>
      </c>
      <c r="J92">
        <f t="shared" si="5"/>
        <v>122610</v>
      </c>
    </row>
    <row r="93" spans="1:10" x14ac:dyDescent="0.25">
      <c r="A93" t="s">
        <v>191</v>
      </c>
      <c r="B93" t="s">
        <v>224</v>
      </c>
      <c r="C93">
        <v>2012</v>
      </c>
      <c r="D93">
        <v>210000</v>
      </c>
      <c r="E93" t="s">
        <v>130</v>
      </c>
      <c r="F93">
        <v>517000</v>
      </c>
      <c r="G93" s="1">
        <v>42415</v>
      </c>
      <c r="H93" s="3">
        <f t="shared" si="3"/>
        <v>5</v>
      </c>
      <c r="I93">
        <f t="shared" si="4"/>
        <v>5</v>
      </c>
      <c r="J93">
        <f t="shared" si="5"/>
        <v>136500</v>
      </c>
    </row>
    <row r="94" spans="1:10" x14ac:dyDescent="0.25">
      <c r="A94" t="s">
        <v>189</v>
      </c>
      <c r="B94" t="s">
        <v>209</v>
      </c>
      <c r="C94">
        <v>2012</v>
      </c>
      <c r="D94">
        <v>196370</v>
      </c>
      <c r="E94" t="s">
        <v>131</v>
      </c>
      <c r="F94">
        <v>286000</v>
      </c>
      <c r="G94" s="1">
        <v>42467</v>
      </c>
      <c r="H94" s="3">
        <f t="shared" si="3"/>
        <v>5</v>
      </c>
      <c r="I94">
        <f t="shared" si="4"/>
        <v>2</v>
      </c>
      <c r="J94">
        <f t="shared" si="5"/>
        <v>139422.70000000001</v>
      </c>
    </row>
    <row r="95" spans="1:10" x14ac:dyDescent="0.25">
      <c r="A95" t="s">
        <v>191</v>
      </c>
      <c r="B95" t="s">
        <v>224</v>
      </c>
      <c r="C95">
        <v>2012</v>
      </c>
      <c r="D95">
        <v>210000</v>
      </c>
      <c r="E95" t="s">
        <v>132</v>
      </c>
      <c r="F95">
        <v>435000</v>
      </c>
      <c r="G95" s="1">
        <v>42415</v>
      </c>
      <c r="H95" s="3">
        <f t="shared" si="3"/>
        <v>5</v>
      </c>
      <c r="I95">
        <f t="shared" si="4"/>
        <v>4</v>
      </c>
      <c r="J95">
        <f t="shared" si="5"/>
        <v>140700</v>
      </c>
    </row>
    <row r="96" spans="1:10" x14ac:dyDescent="0.25">
      <c r="A96" t="s">
        <v>189</v>
      </c>
      <c r="B96" t="s">
        <v>225</v>
      </c>
      <c r="C96">
        <v>2012</v>
      </c>
      <c r="D96">
        <v>210300</v>
      </c>
      <c r="E96" t="s">
        <v>134</v>
      </c>
      <c r="F96">
        <v>417671</v>
      </c>
      <c r="G96" s="1">
        <v>42520</v>
      </c>
      <c r="H96" s="3">
        <f t="shared" si="3"/>
        <v>5</v>
      </c>
      <c r="I96">
        <f t="shared" si="4"/>
        <v>4</v>
      </c>
      <c r="J96">
        <f t="shared" si="5"/>
        <v>140901</v>
      </c>
    </row>
    <row r="97" spans="1:10" x14ac:dyDescent="0.25">
      <c r="A97" t="s">
        <v>199</v>
      </c>
      <c r="B97" t="s">
        <v>200</v>
      </c>
      <c r="C97">
        <v>2012</v>
      </c>
      <c r="D97">
        <v>231000</v>
      </c>
      <c r="E97" t="s">
        <v>135</v>
      </c>
      <c r="F97">
        <v>451000</v>
      </c>
      <c r="G97" s="1">
        <v>42439</v>
      </c>
      <c r="H97" s="3">
        <f t="shared" si="3"/>
        <v>5</v>
      </c>
      <c r="I97">
        <f t="shared" si="4"/>
        <v>4</v>
      </c>
      <c r="J97">
        <f t="shared" si="5"/>
        <v>154770</v>
      </c>
    </row>
    <row r="98" spans="1:10" x14ac:dyDescent="0.25">
      <c r="A98" t="s">
        <v>206</v>
      </c>
      <c r="B98" t="s">
        <v>226</v>
      </c>
      <c r="C98">
        <v>2012</v>
      </c>
      <c r="D98">
        <v>240000</v>
      </c>
      <c r="E98" t="s">
        <v>137</v>
      </c>
      <c r="F98">
        <v>301344</v>
      </c>
      <c r="G98" s="1">
        <v>42185</v>
      </c>
      <c r="H98" s="3">
        <f t="shared" si="3"/>
        <v>5</v>
      </c>
      <c r="I98">
        <f t="shared" si="4"/>
        <v>3</v>
      </c>
      <c r="J98">
        <f t="shared" si="5"/>
        <v>165600</v>
      </c>
    </row>
    <row r="99" spans="1:10" x14ac:dyDescent="0.25">
      <c r="A99" t="s">
        <v>206</v>
      </c>
      <c r="B99" t="s">
        <v>226</v>
      </c>
      <c r="C99">
        <v>2012</v>
      </c>
      <c r="D99">
        <v>240000</v>
      </c>
      <c r="E99" t="s">
        <v>138</v>
      </c>
      <c r="F99">
        <v>315988</v>
      </c>
      <c r="G99" s="1">
        <v>42185</v>
      </c>
      <c r="H99" s="3">
        <f t="shared" si="3"/>
        <v>5</v>
      </c>
      <c r="I99">
        <f t="shared" si="4"/>
        <v>3</v>
      </c>
      <c r="J99">
        <f t="shared" si="5"/>
        <v>165600</v>
      </c>
    </row>
    <row r="100" spans="1:10" x14ac:dyDescent="0.25">
      <c r="A100" t="s">
        <v>206</v>
      </c>
      <c r="B100" t="s">
        <v>226</v>
      </c>
      <c r="C100">
        <v>2012</v>
      </c>
      <c r="D100">
        <v>240000</v>
      </c>
      <c r="E100" t="s">
        <v>139</v>
      </c>
      <c r="F100">
        <v>234760</v>
      </c>
      <c r="G100" s="1">
        <v>42185</v>
      </c>
      <c r="H100" s="3">
        <f t="shared" si="3"/>
        <v>5</v>
      </c>
      <c r="I100">
        <f t="shared" si="4"/>
        <v>2</v>
      </c>
      <c r="J100">
        <f t="shared" si="5"/>
        <v>170400</v>
      </c>
    </row>
    <row r="101" spans="1:10" x14ac:dyDescent="0.25">
      <c r="A101" t="s">
        <v>206</v>
      </c>
      <c r="B101" t="s">
        <v>226</v>
      </c>
      <c r="C101">
        <v>2012</v>
      </c>
      <c r="D101">
        <v>240000</v>
      </c>
      <c r="E101" t="s">
        <v>140</v>
      </c>
      <c r="F101">
        <v>210780</v>
      </c>
      <c r="G101" s="1">
        <v>42185</v>
      </c>
      <c r="H101" s="3">
        <f t="shared" si="3"/>
        <v>5</v>
      </c>
      <c r="I101">
        <f t="shared" si="4"/>
        <v>2</v>
      </c>
      <c r="J101">
        <f t="shared" si="5"/>
        <v>170400</v>
      </c>
    </row>
    <row r="102" spans="1:10" x14ac:dyDescent="0.25">
      <c r="A102" t="s">
        <v>206</v>
      </c>
      <c r="B102" t="s">
        <v>226</v>
      </c>
      <c r="C102">
        <v>2012</v>
      </c>
      <c r="D102">
        <v>240000</v>
      </c>
      <c r="E102" t="s">
        <v>141</v>
      </c>
      <c r="F102">
        <v>198240</v>
      </c>
      <c r="G102" s="1">
        <v>42185</v>
      </c>
      <c r="H102" s="3">
        <f t="shared" si="3"/>
        <v>5</v>
      </c>
      <c r="I102">
        <f t="shared" si="4"/>
        <v>1</v>
      </c>
      <c r="J102">
        <f t="shared" si="5"/>
        <v>175200</v>
      </c>
    </row>
    <row r="103" spans="1:10" x14ac:dyDescent="0.25">
      <c r="A103" t="s">
        <v>187</v>
      </c>
      <c r="B103" t="s">
        <v>212</v>
      </c>
      <c r="C103">
        <v>2012</v>
      </c>
      <c r="D103">
        <v>290000</v>
      </c>
      <c r="E103" t="s">
        <v>142</v>
      </c>
      <c r="F103">
        <v>170000</v>
      </c>
      <c r="G103" s="1">
        <v>42297</v>
      </c>
      <c r="H103" s="3">
        <f t="shared" si="3"/>
        <v>5</v>
      </c>
      <c r="I103">
        <f t="shared" si="4"/>
        <v>1</v>
      </c>
      <c r="J103">
        <f t="shared" si="5"/>
        <v>211700</v>
      </c>
    </row>
    <row r="104" spans="1:10" x14ac:dyDescent="0.25">
      <c r="A104" t="s">
        <v>206</v>
      </c>
      <c r="B104" t="s">
        <v>207</v>
      </c>
      <c r="C104">
        <v>2013</v>
      </c>
      <c r="D104">
        <v>47800</v>
      </c>
      <c r="E104" t="s">
        <v>143</v>
      </c>
      <c r="F104">
        <v>272650</v>
      </c>
      <c r="G104" s="1">
        <v>42117</v>
      </c>
      <c r="H104" s="3">
        <f t="shared" si="3"/>
        <v>4</v>
      </c>
      <c r="I104">
        <f t="shared" si="4"/>
        <v>2</v>
      </c>
      <c r="J104">
        <f t="shared" si="5"/>
        <v>36328</v>
      </c>
    </row>
    <row r="105" spans="1:10" x14ac:dyDescent="0.25">
      <c r="A105" t="s">
        <v>197</v>
      </c>
      <c r="B105" t="s">
        <v>202</v>
      </c>
      <c r="C105">
        <v>2013</v>
      </c>
      <c r="D105">
        <v>80000</v>
      </c>
      <c r="E105" t="s">
        <v>144</v>
      </c>
      <c r="F105">
        <v>350000</v>
      </c>
      <c r="G105" s="1">
        <v>42379</v>
      </c>
      <c r="H105" s="3">
        <f t="shared" si="3"/>
        <v>4</v>
      </c>
      <c r="I105">
        <f t="shared" si="4"/>
        <v>3</v>
      </c>
      <c r="J105">
        <f t="shared" si="5"/>
        <v>59200</v>
      </c>
    </row>
    <row r="106" spans="1:10" x14ac:dyDescent="0.25">
      <c r="A106" t="s">
        <v>197</v>
      </c>
      <c r="B106" t="s">
        <v>202</v>
      </c>
      <c r="C106">
        <v>2013</v>
      </c>
      <c r="D106">
        <v>80000</v>
      </c>
      <c r="E106" t="s">
        <v>145</v>
      </c>
      <c r="F106">
        <v>235000</v>
      </c>
      <c r="G106" s="1">
        <v>42379</v>
      </c>
      <c r="H106" s="3">
        <f t="shared" si="3"/>
        <v>4</v>
      </c>
      <c r="I106">
        <f t="shared" si="4"/>
        <v>2</v>
      </c>
      <c r="J106">
        <f t="shared" si="5"/>
        <v>60800</v>
      </c>
    </row>
    <row r="107" spans="1:10" x14ac:dyDescent="0.25">
      <c r="A107" t="s">
        <v>206</v>
      </c>
      <c r="B107" t="s">
        <v>215</v>
      </c>
      <c r="C107">
        <v>2013</v>
      </c>
      <c r="D107">
        <v>93000</v>
      </c>
      <c r="E107" t="s">
        <v>146</v>
      </c>
      <c r="F107">
        <v>195000</v>
      </c>
      <c r="G107" s="1">
        <v>42268</v>
      </c>
      <c r="H107" s="3">
        <f t="shared" si="3"/>
        <v>4</v>
      </c>
      <c r="I107">
        <f t="shared" si="4"/>
        <v>1</v>
      </c>
      <c r="J107">
        <f t="shared" si="5"/>
        <v>72540</v>
      </c>
    </row>
    <row r="108" spans="1:10" x14ac:dyDescent="0.25">
      <c r="A108" t="s">
        <v>206</v>
      </c>
      <c r="B108" t="s">
        <v>216</v>
      </c>
      <c r="C108">
        <v>2013</v>
      </c>
      <c r="D108">
        <v>136000</v>
      </c>
      <c r="E108" t="s">
        <v>147</v>
      </c>
      <c r="F108">
        <v>247000</v>
      </c>
      <c r="G108" s="1">
        <v>42067</v>
      </c>
      <c r="H108" s="3">
        <f t="shared" si="3"/>
        <v>4</v>
      </c>
      <c r="I108">
        <f t="shared" si="4"/>
        <v>2</v>
      </c>
      <c r="J108">
        <f t="shared" si="5"/>
        <v>103360</v>
      </c>
    </row>
    <row r="109" spans="1:10" x14ac:dyDescent="0.25">
      <c r="A109" t="s">
        <v>189</v>
      </c>
      <c r="B109" t="s">
        <v>204</v>
      </c>
      <c r="C109">
        <v>2013</v>
      </c>
      <c r="D109">
        <v>158000</v>
      </c>
      <c r="E109" t="s">
        <v>148</v>
      </c>
      <c r="F109">
        <v>407000</v>
      </c>
      <c r="G109" s="1">
        <v>42681</v>
      </c>
      <c r="H109" s="3">
        <f t="shared" si="3"/>
        <v>4</v>
      </c>
      <c r="I109">
        <f t="shared" si="4"/>
        <v>4</v>
      </c>
      <c r="J109">
        <f t="shared" si="5"/>
        <v>113760</v>
      </c>
    </row>
    <row r="110" spans="1:10" x14ac:dyDescent="0.25">
      <c r="A110" t="s">
        <v>206</v>
      </c>
      <c r="B110" t="s">
        <v>226</v>
      </c>
      <c r="C110">
        <v>2013</v>
      </c>
      <c r="D110">
        <v>240000</v>
      </c>
      <c r="E110" t="s">
        <v>149</v>
      </c>
      <c r="F110">
        <v>301232</v>
      </c>
      <c r="G110" s="1">
        <v>42719</v>
      </c>
      <c r="H110" s="3">
        <f t="shared" si="3"/>
        <v>4</v>
      </c>
      <c r="I110">
        <f t="shared" si="4"/>
        <v>3</v>
      </c>
      <c r="J110">
        <f t="shared" si="5"/>
        <v>177600</v>
      </c>
    </row>
    <row r="111" spans="1:10" x14ac:dyDescent="0.25">
      <c r="A111" t="s">
        <v>206</v>
      </c>
      <c r="B111" t="s">
        <v>226</v>
      </c>
      <c r="C111">
        <v>2013</v>
      </c>
      <c r="D111">
        <v>240000</v>
      </c>
      <c r="E111" t="s">
        <v>150</v>
      </c>
      <c r="F111">
        <v>289567</v>
      </c>
      <c r="G111" s="1">
        <v>42719</v>
      </c>
      <c r="H111" s="3">
        <f t="shared" si="3"/>
        <v>4</v>
      </c>
      <c r="I111">
        <f t="shared" si="4"/>
        <v>2</v>
      </c>
      <c r="J111">
        <f t="shared" si="5"/>
        <v>182400</v>
      </c>
    </row>
    <row r="112" spans="1:10" x14ac:dyDescent="0.25">
      <c r="A112" t="s">
        <v>206</v>
      </c>
      <c r="B112" t="s">
        <v>226</v>
      </c>
      <c r="C112">
        <v>2013</v>
      </c>
      <c r="D112">
        <v>240000</v>
      </c>
      <c r="E112" t="s">
        <v>151</v>
      </c>
      <c r="F112">
        <v>245211</v>
      </c>
      <c r="G112" s="1">
        <v>42719</v>
      </c>
      <c r="H112" s="3">
        <f t="shared" si="3"/>
        <v>4</v>
      </c>
      <c r="I112">
        <f t="shared" si="4"/>
        <v>2</v>
      </c>
      <c r="J112">
        <f t="shared" si="5"/>
        <v>182400</v>
      </c>
    </row>
    <row r="113" spans="1:10" x14ac:dyDescent="0.25">
      <c r="A113" t="s">
        <v>206</v>
      </c>
      <c r="B113" t="s">
        <v>226</v>
      </c>
      <c r="C113">
        <v>2013</v>
      </c>
      <c r="D113">
        <v>240000</v>
      </c>
      <c r="E113" t="s">
        <v>152</v>
      </c>
      <c r="F113">
        <v>200123</v>
      </c>
      <c r="G113" s="1">
        <v>42719</v>
      </c>
      <c r="H113" s="3">
        <f t="shared" si="3"/>
        <v>4</v>
      </c>
      <c r="I113">
        <f t="shared" si="4"/>
        <v>2</v>
      </c>
      <c r="J113">
        <f t="shared" si="5"/>
        <v>182400</v>
      </c>
    </row>
    <row r="114" spans="1:10" x14ac:dyDescent="0.25">
      <c r="A114" t="s">
        <v>206</v>
      </c>
      <c r="B114" t="s">
        <v>226</v>
      </c>
      <c r="C114">
        <v>2013</v>
      </c>
      <c r="D114">
        <v>240000</v>
      </c>
      <c r="E114" t="s">
        <v>153</v>
      </c>
      <c r="F114">
        <v>235811</v>
      </c>
      <c r="G114" s="1">
        <v>42719</v>
      </c>
      <c r="H114" s="3">
        <f t="shared" si="3"/>
        <v>4</v>
      </c>
      <c r="I114">
        <f t="shared" si="4"/>
        <v>2</v>
      </c>
      <c r="J114">
        <f t="shared" si="5"/>
        <v>182400</v>
      </c>
    </row>
    <row r="115" spans="1:10" x14ac:dyDescent="0.25">
      <c r="A115" t="s">
        <v>206</v>
      </c>
      <c r="B115" t="s">
        <v>226</v>
      </c>
      <c r="C115">
        <v>2013</v>
      </c>
      <c r="D115">
        <v>240000</v>
      </c>
      <c r="E115" t="s">
        <v>154</v>
      </c>
      <c r="F115">
        <v>250021</v>
      </c>
      <c r="G115" s="1">
        <v>42719</v>
      </c>
      <c r="H115" s="3">
        <f t="shared" si="3"/>
        <v>4</v>
      </c>
      <c r="I115">
        <f t="shared" si="4"/>
        <v>2</v>
      </c>
      <c r="J115">
        <f t="shared" si="5"/>
        <v>182400</v>
      </c>
    </row>
    <row r="116" spans="1:10" x14ac:dyDescent="0.25">
      <c r="A116" t="s">
        <v>206</v>
      </c>
      <c r="B116" t="s">
        <v>226</v>
      </c>
      <c r="C116">
        <v>2013</v>
      </c>
      <c r="D116">
        <v>240000</v>
      </c>
      <c r="E116" t="s">
        <v>155</v>
      </c>
      <c r="F116">
        <v>198340</v>
      </c>
      <c r="G116" s="1">
        <v>42719</v>
      </c>
      <c r="H116" s="3">
        <f t="shared" si="3"/>
        <v>4</v>
      </c>
      <c r="I116">
        <f t="shared" si="4"/>
        <v>1</v>
      </c>
      <c r="J116">
        <f t="shared" si="5"/>
        <v>187200</v>
      </c>
    </row>
    <row r="117" spans="1:10" x14ac:dyDescent="0.25">
      <c r="A117" t="s">
        <v>206</v>
      </c>
      <c r="B117" t="s">
        <v>226</v>
      </c>
      <c r="C117">
        <v>2013</v>
      </c>
      <c r="D117">
        <v>240000</v>
      </c>
      <c r="E117" t="s">
        <v>156</v>
      </c>
      <c r="F117">
        <v>189761</v>
      </c>
      <c r="G117" s="1">
        <v>42719</v>
      </c>
      <c r="H117" s="3">
        <f t="shared" si="3"/>
        <v>4</v>
      </c>
      <c r="I117">
        <f t="shared" si="4"/>
        <v>1</v>
      </c>
      <c r="J117">
        <f t="shared" si="5"/>
        <v>187200</v>
      </c>
    </row>
    <row r="118" spans="1:10" x14ac:dyDescent="0.25">
      <c r="A118" t="s">
        <v>189</v>
      </c>
      <c r="B118" t="s">
        <v>227</v>
      </c>
      <c r="C118">
        <v>2013</v>
      </c>
      <c r="D118">
        <v>271000</v>
      </c>
      <c r="E118" t="s">
        <v>158</v>
      </c>
      <c r="F118">
        <v>153000</v>
      </c>
      <c r="G118" s="1">
        <v>42334</v>
      </c>
      <c r="H118" s="3">
        <f t="shared" si="3"/>
        <v>4</v>
      </c>
      <c r="I118">
        <f t="shared" si="4"/>
        <v>1</v>
      </c>
      <c r="J118">
        <f t="shared" si="5"/>
        <v>211380</v>
      </c>
    </row>
    <row r="119" spans="1:10" x14ac:dyDescent="0.25">
      <c r="A119" t="s">
        <v>189</v>
      </c>
      <c r="B119" t="s">
        <v>227</v>
      </c>
      <c r="C119">
        <v>2013</v>
      </c>
      <c r="D119">
        <v>271000</v>
      </c>
      <c r="E119" t="s">
        <v>159</v>
      </c>
      <c r="F119">
        <v>123000</v>
      </c>
      <c r="G119" s="1">
        <v>42520</v>
      </c>
      <c r="H119" s="3">
        <f t="shared" si="3"/>
        <v>4</v>
      </c>
      <c r="I119">
        <f t="shared" si="4"/>
        <v>1</v>
      </c>
      <c r="J119">
        <f t="shared" si="5"/>
        <v>211380</v>
      </c>
    </row>
    <row r="120" spans="1:10" x14ac:dyDescent="0.25">
      <c r="A120" t="s">
        <v>189</v>
      </c>
      <c r="B120" t="s">
        <v>228</v>
      </c>
      <c r="C120">
        <v>2014</v>
      </c>
      <c r="D120">
        <v>98000</v>
      </c>
      <c r="E120" t="s">
        <v>161</v>
      </c>
      <c r="F120">
        <v>251000</v>
      </c>
      <c r="G120" s="1">
        <v>42344</v>
      </c>
      <c r="H120" s="3">
        <f t="shared" si="3"/>
        <v>3</v>
      </c>
      <c r="I120">
        <f t="shared" si="4"/>
        <v>2</v>
      </c>
      <c r="J120">
        <f t="shared" si="5"/>
        <v>79380</v>
      </c>
    </row>
    <row r="121" spans="1:10" x14ac:dyDescent="0.25">
      <c r="A121" t="s">
        <v>189</v>
      </c>
      <c r="B121" t="s">
        <v>228</v>
      </c>
      <c r="C121">
        <v>2014</v>
      </c>
      <c r="D121">
        <v>99000</v>
      </c>
      <c r="E121" t="s">
        <v>162</v>
      </c>
      <c r="F121">
        <v>247000</v>
      </c>
      <c r="G121" s="1">
        <v>42344</v>
      </c>
      <c r="H121" s="3">
        <f t="shared" si="3"/>
        <v>3</v>
      </c>
      <c r="I121">
        <f t="shared" si="4"/>
        <v>2</v>
      </c>
      <c r="J121">
        <f t="shared" si="5"/>
        <v>80190</v>
      </c>
    </row>
    <row r="122" spans="1:10" x14ac:dyDescent="0.25">
      <c r="A122" t="s">
        <v>189</v>
      </c>
      <c r="B122" t="s">
        <v>204</v>
      </c>
      <c r="C122">
        <v>2014</v>
      </c>
      <c r="D122">
        <v>136502</v>
      </c>
      <c r="E122" t="s">
        <v>163</v>
      </c>
      <c r="F122">
        <v>243000</v>
      </c>
      <c r="G122" s="1">
        <v>42476</v>
      </c>
      <c r="H122" s="3">
        <f t="shared" si="3"/>
        <v>3</v>
      </c>
      <c r="I122">
        <f t="shared" si="4"/>
        <v>2</v>
      </c>
      <c r="J122">
        <f t="shared" si="5"/>
        <v>110566.62</v>
      </c>
    </row>
    <row r="123" spans="1:10" x14ac:dyDescent="0.25">
      <c r="A123" t="s">
        <v>189</v>
      </c>
      <c r="B123" t="s">
        <v>208</v>
      </c>
      <c r="C123">
        <v>2014</v>
      </c>
      <c r="D123">
        <v>167800</v>
      </c>
      <c r="E123" t="s">
        <v>164</v>
      </c>
      <c r="F123">
        <v>190300</v>
      </c>
      <c r="G123" s="1">
        <v>42272</v>
      </c>
      <c r="H123" s="3">
        <f t="shared" si="3"/>
        <v>3</v>
      </c>
      <c r="I123">
        <f t="shared" si="4"/>
        <v>1</v>
      </c>
      <c r="J123">
        <f t="shared" si="5"/>
        <v>139274</v>
      </c>
    </row>
    <row r="124" spans="1:10" x14ac:dyDescent="0.25">
      <c r="A124" t="s">
        <v>187</v>
      </c>
      <c r="B124" t="s">
        <v>201</v>
      </c>
      <c r="C124">
        <v>2014</v>
      </c>
      <c r="D124">
        <v>219000</v>
      </c>
      <c r="E124" t="s">
        <v>165</v>
      </c>
      <c r="F124">
        <v>126290</v>
      </c>
      <c r="G124" s="1">
        <v>42083</v>
      </c>
      <c r="H124" s="3">
        <f t="shared" si="3"/>
        <v>3</v>
      </c>
      <c r="I124">
        <f t="shared" si="4"/>
        <v>1</v>
      </c>
      <c r="J124">
        <f t="shared" si="5"/>
        <v>181770</v>
      </c>
    </row>
    <row r="125" spans="1:10" x14ac:dyDescent="0.25">
      <c r="A125" t="s">
        <v>206</v>
      </c>
      <c r="B125" t="s">
        <v>226</v>
      </c>
      <c r="C125">
        <v>2014</v>
      </c>
      <c r="D125">
        <v>240000</v>
      </c>
      <c r="E125" t="s">
        <v>166</v>
      </c>
      <c r="F125">
        <v>183788</v>
      </c>
      <c r="G125" s="1">
        <v>42681</v>
      </c>
      <c r="H125" s="3">
        <f t="shared" si="3"/>
        <v>3</v>
      </c>
      <c r="I125">
        <f t="shared" si="4"/>
        <v>1</v>
      </c>
      <c r="J125">
        <f t="shared" si="5"/>
        <v>199200</v>
      </c>
    </row>
    <row r="126" spans="1:10" x14ac:dyDescent="0.25">
      <c r="A126" t="s">
        <v>206</v>
      </c>
      <c r="B126" t="s">
        <v>226</v>
      </c>
      <c r="C126">
        <v>2014</v>
      </c>
      <c r="D126">
        <v>240000</v>
      </c>
      <c r="E126" t="s">
        <v>167</v>
      </c>
      <c r="F126">
        <v>160198</v>
      </c>
      <c r="G126" s="1">
        <v>42681</v>
      </c>
      <c r="H126" s="3">
        <f t="shared" si="3"/>
        <v>3</v>
      </c>
      <c r="I126">
        <f t="shared" si="4"/>
        <v>1</v>
      </c>
      <c r="J126">
        <f t="shared" si="5"/>
        <v>199200</v>
      </c>
    </row>
    <row r="127" spans="1:10" x14ac:dyDescent="0.25">
      <c r="A127" t="s">
        <v>206</v>
      </c>
      <c r="B127" t="s">
        <v>226</v>
      </c>
      <c r="C127">
        <v>2014</v>
      </c>
      <c r="D127">
        <v>240000</v>
      </c>
      <c r="E127" t="s">
        <v>168</v>
      </c>
      <c r="F127">
        <v>156724</v>
      </c>
      <c r="G127" s="1">
        <v>42681</v>
      </c>
      <c r="H127" s="3">
        <f t="shared" si="3"/>
        <v>3</v>
      </c>
      <c r="I127">
        <f t="shared" si="4"/>
        <v>1</v>
      </c>
      <c r="J127">
        <f t="shared" si="5"/>
        <v>199200</v>
      </c>
    </row>
    <row r="128" spans="1:10" x14ac:dyDescent="0.25">
      <c r="A128" t="s">
        <v>189</v>
      </c>
      <c r="B128" t="s">
        <v>227</v>
      </c>
      <c r="C128">
        <v>2014</v>
      </c>
      <c r="D128">
        <v>270000</v>
      </c>
      <c r="E128" t="s">
        <v>169</v>
      </c>
      <c r="F128">
        <v>157000</v>
      </c>
      <c r="G128" s="1">
        <v>42334</v>
      </c>
      <c r="H128" s="3">
        <f t="shared" si="3"/>
        <v>3</v>
      </c>
      <c r="I128">
        <f t="shared" si="4"/>
        <v>1</v>
      </c>
      <c r="J128">
        <f t="shared" si="5"/>
        <v>224100</v>
      </c>
    </row>
    <row r="129" spans="1:10" x14ac:dyDescent="0.25">
      <c r="A129" t="s">
        <v>187</v>
      </c>
      <c r="B129" t="s">
        <v>201</v>
      </c>
      <c r="C129">
        <v>2015</v>
      </c>
      <c r="D129">
        <v>218000</v>
      </c>
      <c r="E129" t="s">
        <v>170</v>
      </c>
      <c r="F129">
        <v>130290</v>
      </c>
      <c r="G129" s="1">
        <v>42083</v>
      </c>
      <c r="H129" s="3">
        <f t="shared" si="3"/>
        <v>2</v>
      </c>
      <c r="I129">
        <f t="shared" si="4"/>
        <v>1</v>
      </c>
      <c r="J129">
        <f t="shared" si="5"/>
        <v>191840</v>
      </c>
    </row>
    <row r="130" spans="1:10" x14ac:dyDescent="0.25">
      <c r="A130" t="s">
        <v>187</v>
      </c>
      <c r="B130" t="s">
        <v>212</v>
      </c>
      <c r="C130">
        <v>2015</v>
      </c>
      <c r="D130">
        <v>258000</v>
      </c>
      <c r="E130" t="s">
        <v>171</v>
      </c>
      <c r="F130">
        <v>160700</v>
      </c>
      <c r="G130" s="1">
        <v>42286</v>
      </c>
      <c r="H130" s="3">
        <f t="shared" si="3"/>
        <v>2</v>
      </c>
      <c r="I130">
        <f t="shared" si="4"/>
        <v>1</v>
      </c>
      <c r="J130">
        <f t="shared" si="5"/>
        <v>227040</v>
      </c>
    </row>
    <row r="131" spans="1:10" x14ac:dyDescent="0.25">
      <c r="A131" t="s">
        <v>191</v>
      </c>
      <c r="B131" t="s">
        <v>229</v>
      </c>
      <c r="C131">
        <v>2015</v>
      </c>
      <c r="D131">
        <v>360000</v>
      </c>
      <c r="E131" t="s">
        <v>173</v>
      </c>
      <c r="F131">
        <v>100000</v>
      </c>
      <c r="G131" s="1">
        <v>42734</v>
      </c>
      <c r="H131" s="3">
        <f t="shared" ref="H131:H135" si="6">2017-TRUNC(C131)</f>
        <v>2</v>
      </c>
      <c r="I131">
        <f t="shared" ref="I131:I135" si="7">TRUNC(F131/100000)</f>
        <v>1</v>
      </c>
      <c r="J131">
        <f t="shared" ref="J131:J135" si="8">D131-(D131*H131*0.05 + D131*I131*0.02)</f>
        <v>316800</v>
      </c>
    </row>
    <row r="132" spans="1:10" x14ac:dyDescent="0.25">
      <c r="A132" t="s">
        <v>191</v>
      </c>
      <c r="B132" t="s">
        <v>229</v>
      </c>
      <c r="C132">
        <v>2015</v>
      </c>
      <c r="D132">
        <v>360000</v>
      </c>
      <c r="E132" t="s">
        <v>174</v>
      </c>
      <c r="F132">
        <v>115000</v>
      </c>
      <c r="G132" s="1">
        <v>42734</v>
      </c>
      <c r="H132" s="3">
        <f t="shared" si="6"/>
        <v>2</v>
      </c>
      <c r="I132">
        <f t="shared" si="7"/>
        <v>1</v>
      </c>
      <c r="J132">
        <f t="shared" si="8"/>
        <v>316800</v>
      </c>
    </row>
    <row r="133" spans="1:10" x14ac:dyDescent="0.25">
      <c r="A133" t="s">
        <v>191</v>
      </c>
      <c r="B133" t="s">
        <v>229</v>
      </c>
      <c r="C133">
        <v>2015</v>
      </c>
      <c r="D133">
        <v>360000</v>
      </c>
      <c r="E133" t="s">
        <v>175</v>
      </c>
      <c r="F133">
        <v>132000</v>
      </c>
      <c r="G133" s="1">
        <v>42734</v>
      </c>
      <c r="H133" s="3">
        <f t="shared" si="6"/>
        <v>2</v>
      </c>
      <c r="I133">
        <f t="shared" si="7"/>
        <v>1</v>
      </c>
      <c r="J133">
        <f t="shared" si="8"/>
        <v>316800</v>
      </c>
    </row>
    <row r="134" spans="1:10" x14ac:dyDescent="0.25">
      <c r="A134" t="s">
        <v>191</v>
      </c>
      <c r="B134" t="s">
        <v>229</v>
      </c>
      <c r="C134">
        <v>2015</v>
      </c>
      <c r="D134">
        <v>360000</v>
      </c>
      <c r="E134" t="s">
        <v>176</v>
      </c>
      <c r="F134">
        <v>108000</v>
      </c>
      <c r="G134" s="1">
        <v>42734</v>
      </c>
      <c r="H134" s="3">
        <f t="shared" si="6"/>
        <v>2</v>
      </c>
      <c r="I134">
        <f t="shared" si="7"/>
        <v>1</v>
      </c>
      <c r="J134">
        <f t="shared" si="8"/>
        <v>316800</v>
      </c>
    </row>
    <row r="135" spans="1:10" x14ac:dyDescent="0.25">
      <c r="A135" t="s">
        <v>191</v>
      </c>
      <c r="B135" t="s">
        <v>229</v>
      </c>
      <c r="C135">
        <v>2015</v>
      </c>
      <c r="D135">
        <v>360000</v>
      </c>
      <c r="E135" t="s">
        <v>177</v>
      </c>
      <c r="F135">
        <v>140000</v>
      </c>
      <c r="G135" s="1">
        <v>42734</v>
      </c>
      <c r="H135" s="3">
        <f t="shared" si="6"/>
        <v>2</v>
      </c>
      <c r="I135">
        <f t="shared" si="7"/>
        <v>1</v>
      </c>
      <c r="J135">
        <f t="shared" si="8"/>
        <v>316800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7DE0-627F-41AF-AAEF-AE4236CC2240}">
  <dimension ref="A1:P135"/>
  <sheetViews>
    <sheetView tabSelected="1" workbookViewId="0">
      <selection activeCell="M6" sqref="M6:P9"/>
    </sheetView>
  </sheetViews>
  <sheetFormatPr defaultRowHeight="15" x14ac:dyDescent="0.25"/>
  <cols>
    <col min="1" max="1" width="17.85546875" bestFit="1" customWidth="1"/>
    <col min="2" max="2" width="17.85546875" customWidth="1"/>
    <col min="3" max="3" width="13.7109375" bestFit="1" customWidth="1"/>
    <col min="4" max="4" width="12.7109375" bestFit="1" customWidth="1"/>
    <col min="5" max="5" width="15.28515625" bestFit="1" customWidth="1"/>
    <col min="6" max="6" width="8.42578125" bestFit="1" customWidth="1"/>
    <col min="7" max="7" width="24" bestFit="1" customWidth="1"/>
    <col min="8" max="8" width="10.140625" style="2" bestFit="1" customWidth="1"/>
    <col min="10" max="10" width="11.85546875" bestFit="1" customWidth="1"/>
  </cols>
  <sheetData>
    <row r="1" spans="1:16" x14ac:dyDescent="0.25">
      <c r="A1" t="s">
        <v>230</v>
      </c>
      <c r="B1" t="s">
        <v>231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178</v>
      </c>
      <c r="I1" t="s">
        <v>179</v>
      </c>
      <c r="J1" t="s">
        <v>180</v>
      </c>
    </row>
    <row r="2" spans="1:16" x14ac:dyDescent="0.25">
      <c r="A2" t="s">
        <v>187</v>
      </c>
      <c r="B2" t="s">
        <v>201</v>
      </c>
      <c r="C2">
        <v>2009</v>
      </c>
      <c r="D2">
        <v>85000</v>
      </c>
      <c r="E2" t="s">
        <v>36</v>
      </c>
      <c r="F2">
        <v>946000</v>
      </c>
      <c r="G2" s="1">
        <v>42014</v>
      </c>
      <c r="H2" s="3">
        <f>2017-TRUNC(C2)</f>
        <v>8</v>
      </c>
      <c r="I2">
        <f>TRUNC(F2/100000)</f>
        <v>9</v>
      </c>
      <c r="J2">
        <f>D2-(D2*H2*0.05 + D2*I2*0.02)</f>
        <v>35700</v>
      </c>
      <c r="K2">
        <f>$P$3-G2</f>
        <v>722</v>
      </c>
    </row>
    <row r="3" spans="1:16" x14ac:dyDescent="0.25">
      <c r="A3" t="s">
        <v>185</v>
      </c>
      <c r="B3" t="s">
        <v>186</v>
      </c>
      <c r="C3">
        <v>2006</v>
      </c>
      <c r="D3">
        <v>85900</v>
      </c>
      <c r="E3" t="s">
        <v>9</v>
      </c>
      <c r="F3">
        <v>998704</v>
      </c>
      <c r="G3" s="1">
        <v>42028</v>
      </c>
      <c r="H3" s="3">
        <f>2017-TRUNC(C3)</f>
        <v>11</v>
      </c>
      <c r="I3">
        <f>TRUNC(F3/100000)</f>
        <v>9</v>
      </c>
      <c r="J3">
        <f>D3-(D3*H3*0.05 + D3*I3*0.02)</f>
        <v>23193</v>
      </c>
      <c r="K3">
        <f>$P$3-G3</f>
        <v>708</v>
      </c>
      <c r="P3" s="1">
        <v>42736</v>
      </c>
    </row>
    <row r="4" spans="1:16" x14ac:dyDescent="0.25">
      <c r="A4" t="s">
        <v>185</v>
      </c>
      <c r="B4" t="s">
        <v>186</v>
      </c>
      <c r="C4">
        <v>2006</v>
      </c>
      <c r="D4">
        <v>85900</v>
      </c>
      <c r="E4" t="s">
        <v>10</v>
      </c>
      <c r="F4">
        <v>936780</v>
      </c>
      <c r="G4" s="1">
        <v>42028</v>
      </c>
      <c r="H4" s="3">
        <f>2017-TRUNC(C4)</f>
        <v>11</v>
      </c>
      <c r="I4">
        <f>TRUNC(F4/100000)</f>
        <v>9</v>
      </c>
      <c r="J4">
        <f>D4-(D4*H4*0.05 + D4*I4*0.02)</f>
        <v>23193</v>
      </c>
      <c r="K4">
        <f>$P$3-G4</f>
        <v>708</v>
      </c>
    </row>
    <row r="5" spans="1:16" x14ac:dyDescent="0.25">
      <c r="A5" t="s">
        <v>185</v>
      </c>
      <c r="B5" t="s">
        <v>217</v>
      </c>
      <c r="C5">
        <v>2010</v>
      </c>
      <c r="D5">
        <v>160000</v>
      </c>
      <c r="E5" t="s">
        <v>82</v>
      </c>
      <c r="F5">
        <v>263000</v>
      </c>
      <c r="G5" s="1">
        <v>42028</v>
      </c>
      <c r="H5" s="3">
        <f>2017-TRUNC(C5)</f>
        <v>7</v>
      </c>
      <c r="I5">
        <f>TRUNC(F5/100000)</f>
        <v>2</v>
      </c>
      <c r="J5">
        <f>D5-(D5*H5*0.05 + D5*I5*0.02)</f>
        <v>97600</v>
      </c>
      <c r="K5">
        <f>$P$3-G5</f>
        <v>708</v>
      </c>
    </row>
    <row r="6" spans="1:16" x14ac:dyDescent="0.25">
      <c r="A6" t="s">
        <v>185</v>
      </c>
      <c r="B6" t="s">
        <v>186</v>
      </c>
      <c r="C6">
        <v>2006</v>
      </c>
      <c r="D6">
        <v>85900</v>
      </c>
      <c r="E6" t="s">
        <v>8</v>
      </c>
      <c r="F6">
        <v>1068570</v>
      </c>
      <c r="G6" s="1">
        <v>42029</v>
      </c>
      <c r="H6" s="3">
        <f>2017-TRUNC(C6)</f>
        <v>11</v>
      </c>
      <c r="I6">
        <f>TRUNC(F6/100000)</f>
        <v>10</v>
      </c>
      <c r="J6">
        <f>D6-(D6*H6*0.05 + D6*I6*0.02)</f>
        <v>21475</v>
      </c>
      <c r="K6">
        <f>$P$3-G6</f>
        <v>707</v>
      </c>
      <c r="M6" t="s">
        <v>187</v>
      </c>
      <c r="N6" t="s">
        <v>201</v>
      </c>
      <c r="O6" t="s">
        <v>36</v>
      </c>
      <c r="P6">
        <v>722</v>
      </c>
    </row>
    <row r="7" spans="1:16" x14ac:dyDescent="0.25">
      <c r="A7" t="s">
        <v>187</v>
      </c>
      <c r="B7" t="s">
        <v>201</v>
      </c>
      <c r="C7">
        <v>2010</v>
      </c>
      <c r="D7">
        <v>84000</v>
      </c>
      <c r="E7" t="s">
        <v>69</v>
      </c>
      <c r="F7">
        <v>950000</v>
      </c>
      <c r="G7" s="1">
        <v>42029</v>
      </c>
      <c r="H7" s="3">
        <f>2017-TRUNC(C7)</f>
        <v>7</v>
      </c>
      <c r="I7">
        <f>TRUNC(F7/100000)</f>
        <v>9</v>
      </c>
      <c r="J7">
        <f>D7-(D7*H7*0.05 + D7*I7*0.02)</f>
        <v>39480</v>
      </c>
      <c r="K7">
        <f>$P$3-G7</f>
        <v>707</v>
      </c>
      <c r="M7" t="s">
        <v>185</v>
      </c>
      <c r="N7" t="s">
        <v>186</v>
      </c>
      <c r="O7" t="s">
        <v>9</v>
      </c>
      <c r="P7">
        <v>708</v>
      </c>
    </row>
    <row r="8" spans="1:16" x14ac:dyDescent="0.25">
      <c r="A8" t="s">
        <v>185</v>
      </c>
      <c r="B8" t="s">
        <v>186</v>
      </c>
      <c r="C8">
        <v>2006</v>
      </c>
      <c r="D8">
        <v>85900</v>
      </c>
      <c r="E8" t="s">
        <v>11</v>
      </c>
      <c r="F8">
        <v>870233</v>
      </c>
      <c r="G8" s="1">
        <v>42034</v>
      </c>
      <c r="H8" s="3">
        <f>2017-TRUNC(C8)</f>
        <v>11</v>
      </c>
      <c r="I8">
        <f>TRUNC(F8/100000)</f>
        <v>8</v>
      </c>
      <c r="J8">
        <f>D8-(D8*H8*0.05 + D8*I8*0.02)</f>
        <v>24911</v>
      </c>
      <c r="K8">
        <f>$P$3-G8</f>
        <v>702</v>
      </c>
      <c r="M8" t="s">
        <v>185</v>
      </c>
      <c r="N8" t="s">
        <v>186</v>
      </c>
      <c r="O8" t="s">
        <v>10</v>
      </c>
      <c r="P8">
        <v>708</v>
      </c>
    </row>
    <row r="9" spans="1:16" x14ac:dyDescent="0.25">
      <c r="A9" t="s">
        <v>185</v>
      </c>
      <c r="B9" t="s">
        <v>186</v>
      </c>
      <c r="C9">
        <v>2006</v>
      </c>
      <c r="D9">
        <v>85900</v>
      </c>
      <c r="E9" t="s">
        <v>7</v>
      </c>
      <c r="F9">
        <v>1200655</v>
      </c>
      <c r="G9" s="1">
        <v>42035</v>
      </c>
      <c r="H9" s="3">
        <f>2017-TRUNC(C9)</f>
        <v>11</v>
      </c>
      <c r="I9">
        <f>TRUNC(F9/100000)</f>
        <v>12</v>
      </c>
      <c r="J9">
        <f>D9-(D9*H9*0.05 + D9*I9*0.02)</f>
        <v>18039</v>
      </c>
      <c r="K9">
        <f>$P$3-G9</f>
        <v>701</v>
      </c>
      <c r="M9" t="s">
        <v>185</v>
      </c>
      <c r="N9" t="s">
        <v>217</v>
      </c>
      <c r="O9" t="s">
        <v>82</v>
      </c>
      <c r="P9">
        <v>708</v>
      </c>
    </row>
    <row r="10" spans="1:16" x14ac:dyDescent="0.25">
      <c r="A10" t="s">
        <v>185</v>
      </c>
      <c r="B10" t="s">
        <v>222</v>
      </c>
      <c r="C10">
        <v>2012</v>
      </c>
      <c r="D10">
        <v>145000</v>
      </c>
      <c r="E10" t="s">
        <v>120</v>
      </c>
      <c r="F10">
        <v>386732</v>
      </c>
      <c r="G10" s="1">
        <v>42059</v>
      </c>
      <c r="H10" s="3">
        <f>2017-TRUNC(C10)</f>
        <v>5</v>
      </c>
      <c r="I10">
        <f>TRUNC(F10/100000)</f>
        <v>3</v>
      </c>
      <c r="J10">
        <f>D10-(D10*H10*0.05 + D10*I10*0.02)</f>
        <v>100050</v>
      </c>
      <c r="K10">
        <f>$P$3-G10</f>
        <v>677</v>
      </c>
    </row>
    <row r="11" spans="1:16" x14ac:dyDescent="0.25">
      <c r="A11" t="s">
        <v>185</v>
      </c>
      <c r="B11" t="s">
        <v>222</v>
      </c>
      <c r="C11">
        <v>2012</v>
      </c>
      <c r="D11">
        <v>145000</v>
      </c>
      <c r="E11" t="s">
        <v>121</v>
      </c>
      <c r="F11">
        <v>312680</v>
      </c>
      <c r="G11" s="1">
        <v>42059</v>
      </c>
      <c r="H11" s="3">
        <f>2017-TRUNC(C11)</f>
        <v>5</v>
      </c>
      <c r="I11">
        <f>TRUNC(F11/100000)</f>
        <v>3</v>
      </c>
      <c r="J11">
        <f>D11-(D11*H11*0.05 + D11*I11*0.02)</f>
        <v>100050</v>
      </c>
      <c r="K11">
        <f>$P$3-G11</f>
        <v>677</v>
      </c>
    </row>
    <row r="12" spans="1:16" x14ac:dyDescent="0.25">
      <c r="A12" t="s">
        <v>206</v>
      </c>
      <c r="B12" t="s">
        <v>207</v>
      </c>
      <c r="C12">
        <v>2010</v>
      </c>
      <c r="D12">
        <v>40830</v>
      </c>
      <c r="E12" t="s">
        <v>65</v>
      </c>
      <c r="F12">
        <v>326000</v>
      </c>
      <c r="G12" s="1">
        <v>42062</v>
      </c>
      <c r="H12" s="3">
        <f>2017-TRUNC(C12)</f>
        <v>7</v>
      </c>
      <c r="I12">
        <f>TRUNC(F12/100000)</f>
        <v>3</v>
      </c>
      <c r="J12">
        <f>D12-(D12*H12*0.05 + D12*I12*0.02)</f>
        <v>24089.7</v>
      </c>
      <c r="K12">
        <f>$P$3-G12</f>
        <v>674</v>
      </c>
    </row>
    <row r="13" spans="1:16" x14ac:dyDescent="0.25">
      <c r="A13" t="s">
        <v>206</v>
      </c>
      <c r="B13" t="s">
        <v>207</v>
      </c>
      <c r="C13">
        <v>2012</v>
      </c>
      <c r="D13">
        <v>39830</v>
      </c>
      <c r="E13" t="s">
        <v>111</v>
      </c>
      <c r="F13">
        <v>330000</v>
      </c>
      <c r="G13" s="1">
        <v>42062</v>
      </c>
      <c r="H13" s="3">
        <f>2017-TRUNC(C13)</f>
        <v>5</v>
      </c>
      <c r="I13">
        <f>TRUNC(F13/100000)</f>
        <v>3</v>
      </c>
      <c r="J13">
        <f>D13-(D13*H13*0.05 + D13*I13*0.02)</f>
        <v>27482.7</v>
      </c>
      <c r="K13">
        <f>$P$3-G13</f>
        <v>674</v>
      </c>
    </row>
    <row r="14" spans="1:16" x14ac:dyDescent="0.25">
      <c r="A14" t="s">
        <v>206</v>
      </c>
      <c r="B14" t="s">
        <v>216</v>
      </c>
      <c r="C14">
        <v>2010</v>
      </c>
      <c r="D14">
        <v>135000</v>
      </c>
      <c r="E14" t="s">
        <v>80</v>
      </c>
      <c r="F14">
        <v>251000</v>
      </c>
      <c r="G14" s="1">
        <v>42067</v>
      </c>
      <c r="H14" s="3">
        <f>2017-TRUNC(C14)</f>
        <v>7</v>
      </c>
      <c r="I14">
        <f>TRUNC(F14/100000)</f>
        <v>2</v>
      </c>
      <c r="J14">
        <f>D14-(D14*H14*0.05 + D14*I14*0.02)</f>
        <v>82350</v>
      </c>
      <c r="K14">
        <f>$P$3-G14</f>
        <v>669</v>
      </c>
    </row>
    <row r="15" spans="1:16" x14ac:dyDescent="0.25">
      <c r="A15" t="s">
        <v>206</v>
      </c>
      <c r="B15" t="s">
        <v>216</v>
      </c>
      <c r="C15">
        <v>2013</v>
      </c>
      <c r="D15">
        <v>136000</v>
      </c>
      <c r="E15" t="s">
        <v>147</v>
      </c>
      <c r="F15">
        <v>247000</v>
      </c>
      <c r="G15" s="1">
        <v>42067</v>
      </c>
      <c r="H15" s="3">
        <f>2017-TRUNC(C15)</f>
        <v>4</v>
      </c>
      <c r="I15">
        <f>TRUNC(F15/100000)</f>
        <v>2</v>
      </c>
      <c r="J15">
        <f>D15-(D15*H15*0.05 + D15*I15*0.02)</f>
        <v>103360</v>
      </c>
      <c r="K15">
        <f>$P$3-G15</f>
        <v>669</v>
      </c>
    </row>
    <row r="16" spans="1:16" x14ac:dyDescent="0.25">
      <c r="A16" t="s">
        <v>189</v>
      </c>
      <c r="B16" t="s">
        <v>204</v>
      </c>
      <c r="C16">
        <v>2009</v>
      </c>
      <c r="D16">
        <v>114400</v>
      </c>
      <c r="E16" t="s">
        <v>46</v>
      </c>
      <c r="F16">
        <v>226000</v>
      </c>
      <c r="G16" s="1">
        <v>42073</v>
      </c>
      <c r="H16" s="3">
        <f>2017-TRUNC(C16)</f>
        <v>8</v>
      </c>
      <c r="I16">
        <f>TRUNC(F16/100000)</f>
        <v>2</v>
      </c>
      <c r="J16">
        <f>D16-(D16*H16*0.05 + D16*I16*0.02)</f>
        <v>64064</v>
      </c>
      <c r="K16">
        <f>$P$3-G16</f>
        <v>663</v>
      </c>
    </row>
    <row r="17" spans="1:11" x14ac:dyDescent="0.25">
      <c r="A17" t="s">
        <v>189</v>
      </c>
      <c r="B17" t="s">
        <v>204</v>
      </c>
      <c r="C17">
        <v>2010</v>
      </c>
      <c r="D17">
        <v>113400</v>
      </c>
      <c r="E17" t="s">
        <v>78</v>
      </c>
      <c r="F17">
        <v>230000</v>
      </c>
      <c r="G17" s="1">
        <v>42073</v>
      </c>
      <c r="H17" s="3">
        <f>2017-TRUNC(C17)</f>
        <v>7</v>
      </c>
      <c r="I17">
        <f>TRUNC(F17/100000)</f>
        <v>2</v>
      </c>
      <c r="J17">
        <f>D17-(D17*H17*0.05 + D17*I17*0.02)</f>
        <v>69174</v>
      </c>
      <c r="K17">
        <f>$P$3-G17</f>
        <v>663</v>
      </c>
    </row>
    <row r="18" spans="1:11" x14ac:dyDescent="0.25">
      <c r="A18" t="s">
        <v>191</v>
      </c>
      <c r="B18" t="s">
        <v>195</v>
      </c>
      <c r="C18">
        <v>2008</v>
      </c>
      <c r="D18">
        <v>89000</v>
      </c>
      <c r="E18" t="s">
        <v>23</v>
      </c>
      <c r="F18">
        <v>305000</v>
      </c>
      <c r="G18" s="1">
        <v>42075</v>
      </c>
      <c r="H18" s="3">
        <f>2017-TRUNC(C18)</f>
        <v>9</v>
      </c>
      <c r="I18">
        <f>TRUNC(F18/100000)</f>
        <v>3</v>
      </c>
      <c r="J18">
        <f>D18-(D18*H18*0.05 + D18*I18*0.02)</f>
        <v>43610</v>
      </c>
      <c r="K18">
        <f>$P$3-G18</f>
        <v>661</v>
      </c>
    </row>
    <row r="19" spans="1:11" x14ac:dyDescent="0.25">
      <c r="A19" t="s">
        <v>191</v>
      </c>
      <c r="B19" t="s">
        <v>195</v>
      </c>
      <c r="C19">
        <v>2009</v>
      </c>
      <c r="D19">
        <v>90000</v>
      </c>
      <c r="E19" t="s">
        <v>43</v>
      </c>
      <c r="F19">
        <v>301000</v>
      </c>
      <c r="G19" s="1">
        <v>42075</v>
      </c>
      <c r="H19" s="3">
        <f>2017-TRUNC(C19)</f>
        <v>8</v>
      </c>
      <c r="I19">
        <f>TRUNC(F19/100000)</f>
        <v>3</v>
      </c>
      <c r="J19">
        <f>D19-(D19*H19*0.05 + D19*I19*0.02)</f>
        <v>48600</v>
      </c>
      <c r="K19">
        <f>$P$3-G19</f>
        <v>661</v>
      </c>
    </row>
    <row r="20" spans="1:11" x14ac:dyDescent="0.25">
      <c r="A20" t="s">
        <v>191</v>
      </c>
      <c r="B20" t="s">
        <v>195</v>
      </c>
      <c r="C20">
        <v>2012</v>
      </c>
      <c r="D20">
        <v>110000</v>
      </c>
      <c r="E20" t="s">
        <v>116</v>
      </c>
      <c r="F20">
        <v>201000</v>
      </c>
      <c r="G20" s="1">
        <v>42075</v>
      </c>
      <c r="H20" s="3">
        <f>2017-TRUNC(C20)</f>
        <v>5</v>
      </c>
      <c r="I20">
        <f>TRUNC(F20/100000)</f>
        <v>2</v>
      </c>
      <c r="J20">
        <f>D20-(D20*H20*0.05 + D20*I20*0.02)</f>
        <v>78100</v>
      </c>
      <c r="K20">
        <f>$P$3-G20</f>
        <v>661</v>
      </c>
    </row>
    <row r="21" spans="1:11" x14ac:dyDescent="0.25">
      <c r="A21" t="s">
        <v>187</v>
      </c>
      <c r="B21" t="s">
        <v>201</v>
      </c>
      <c r="C21">
        <v>2014</v>
      </c>
      <c r="D21">
        <v>219000</v>
      </c>
      <c r="E21" t="s">
        <v>165</v>
      </c>
      <c r="F21">
        <v>126290</v>
      </c>
      <c r="G21" s="1">
        <v>42083</v>
      </c>
      <c r="H21" s="3">
        <f>2017-TRUNC(C21)</f>
        <v>3</v>
      </c>
      <c r="I21">
        <f>TRUNC(F21/100000)</f>
        <v>1</v>
      </c>
      <c r="J21">
        <f>D21-(D21*H21*0.05 + D21*I21*0.02)</f>
        <v>181770</v>
      </c>
      <c r="K21">
        <f>$P$3-G21</f>
        <v>653</v>
      </c>
    </row>
    <row r="22" spans="1:11" x14ac:dyDescent="0.25">
      <c r="A22" t="s">
        <v>187</v>
      </c>
      <c r="B22" t="s">
        <v>201</v>
      </c>
      <c r="C22">
        <v>2015</v>
      </c>
      <c r="D22">
        <v>218000</v>
      </c>
      <c r="E22" t="s">
        <v>170</v>
      </c>
      <c r="F22">
        <v>130290</v>
      </c>
      <c r="G22" s="1">
        <v>42083</v>
      </c>
      <c r="H22" s="3">
        <f>2017-TRUNC(C22)</f>
        <v>2</v>
      </c>
      <c r="I22">
        <f>TRUNC(F22/100000)</f>
        <v>1</v>
      </c>
      <c r="J22">
        <f>D22-(D22*H22*0.05 + D22*I22*0.02)</f>
        <v>191840</v>
      </c>
      <c r="K22">
        <f>$P$3-G22</f>
        <v>653</v>
      </c>
    </row>
    <row r="23" spans="1:11" x14ac:dyDescent="0.25">
      <c r="A23" t="s">
        <v>206</v>
      </c>
      <c r="B23" t="s">
        <v>207</v>
      </c>
      <c r="C23">
        <v>2012</v>
      </c>
      <c r="D23">
        <v>48800</v>
      </c>
      <c r="E23" t="s">
        <v>112</v>
      </c>
      <c r="F23">
        <v>268650</v>
      </c>
      <c r="G23" s="1">
        <v>42117</v>
      </c>
      <c r="H23" s="3">
        <f>2017-TRUNC(C23)</f>
        <v>5</v>
      </c>
      <c r="I23">
        <f>TRUNC(F23/100000)</f>
        <v>2</v>
      </c>
      <c r="J23">
        <f>D23-(D23*H23*0.05 + D23*I23*0.02)</f>
        <v>34648</v>
      </c>
      <c r="K23">
        <f>$P$3-G23</f>
        <v>619</v>
      </c>
    </row>
    <row r="24" spans="1:11" x14ac:dyDescent="0.25">
      <c r="A24" t="s">
        <v>206</v>
      </c>
      <c r="B24" t="s">
        <v>207</v>
      </c>
      <c r="C24">
        <v>2013</v>
      </c>
      <c r="D24">
        <v>47800</v>
      </c>
      <c r="E24" t="s">
        <v>143</v>
      </c>
      <c r="F24">
        <v>272650</v>
      </c>
      <c r="G24" s="1">
        <v>42117</v>
      </c>
      <c r="H24" s="3">
        <f>2017-TRUNC(C24)</f>
        <v>4</v>
      </c>
      <c r="I24">
        <f>TRUNC(F24/100000)</f>
        <v>2</v>
      </c>
      <c r="J24">
        <f>D24-(D24*H24*0.05 + D24*I24*0.02)</f>
        <v>36328</v>
      </c>
      <c r="K24">
        <f>$P$3-G24</f>
        <v>619</v>
      </c>
    </row>
    <row r="25" spans="1:11" x14ac:dyDescent="0.25">
      <c r="A25" t="s">
        <v>185</v>
      </c>
      <c r="B25" t="s">
        <v>196</v>
      </c>
      <c r="C25">
        <v>2009</v>
      </c>
      <c r="D25">
        <v>68000</v>
      </c>
      <c r="E25" t="s">
        <v>26</v>
      </c>
      <c r="F25">
        <v>992600</v>
      </c>
      <c r="G25" s="1">
        <v>42157</v>
      </c>
      <c r="H25" s="3">
        <f>2017-TRUNC(C25)</f>
        <v>8</v>
      </c>
      <c r="I25">
        <f>TRUNC(F25/100000)</f>
        <v>9</v>
      </c>
      <c r="J25">
        <f>D25-(D25*H25*0.05 + D25*I25*0.02)</f>
        <v>28560</v>
      </c>
      <c r="K25">
        <f>$P$3-G25</f>
        <v>579</v>
      </c>
    </row>
    <row r="26" spans="1:11" x14ac:dyDescent="0.25">
      <c r="A26" t="s">
        <v>185</v>
      </c>
      <c r="B26" t="s">
        <v>196</v>
      </c>
      <c r="C26">
        <v>2010</v>
      </c>
      <c r="D26">
        <v>67000</v>
      </c>
      <c r="E26" t="s">
        <v>70</v>
      </c>
      <c r="F26">
        <v>103260</v>
      </c>
      <c r="G26" s="1">
        <v>42157</v>
      </c>
      <c r="H26" s="3">
        <f>2017-TRUNC(C26)</f>
        <v>7</v>
      </c>
      <c r="I26">
        <f>TRUNC(F26/100000)</f>
        <v>1</v>
      </c>
      <c r="J26">
        <f>D26-(D26*H26*0.05 + D26*I26*0.02)</f>
        <v>42210</v>
      </c>
      <c r="K26">
        <f>$P$3-G26</f>
        <v>579</v>
      </c>
    </row>
    <row r="27" spans="1:11" x14ac:dyDescent="0.25">
      <c r="A27" t="s">
        <v>187</v>
      </c>
      <c r="B27" t="s">
        <v>201</v>
      </c>
      <c r="C27">
        <v>2009</v>
      </c>
      <c r="D27">
        <v>91000</v>
      </c>
      <c r="E27" t="s">
        <v>44</v>
      </c>
      <c r="F27">
        <v>360000</v>
      </c>
      <c r="G27" s="1">
        <v>42174</v>
      </c>
      <c r="H27" s="3">
        <f>2017-TRUNC(C27)</f>
        <v>8</v>
      </c>
      <c r="I27">
        <f>TRUNC(F27/100000)</f>
        <v>3</v>
      </c>
      <c r="J27">
        <f>D27-(D27*H27*0.05 + D27*I27*0.02)</f>
        <v>49140</v>
      </c>
      <c r="K27">
        <f>$P$3-G27</f>
        <v>562</v>
      </c>
    </row>
    <row r="28" spans="1:11" x14ac:dyDescent="0.25">
      <c r="A28" t="s">
        <v>199</v>
      </c>
      <c r="B28" t="s">
        <v>214</v>
      </c>
      <c r="C28">
        <v>2010</v>
      </c>
      <c r="D28">
        <v>75300</v>
      </c>
      <c r="E28" t="s">
        <v>72</v>
      </c>
      <c r="F28">
        <v>302000</v>
      </c>
      <c r="G28" s="1">
        <v>42174</v>
      </c>
      <c r="H28" s="3">
        <f>2017-TRUNC(C28)</f>
        <v>7</v>
      </c>
      <c r="I28">
        <f>TRUNC(F28/100000)</f>
        <v>3</v>
      </c>
      <c r="J28">
        <f>D28-(D28*H28*0.05 + D28*I28*0.02)</f>
        <v>44427</v>
      </c>
      <c r="K28">
        <f>$P$3-G28</f>
        <v>562</v>
      </c>
    </row>
    <row r="29" spans="1:11" x14ac:dyDescent="0.25">
      <c r="A29" t="s">
        <v>187</v>
      </c>
      <c r="B29" t="s">
        <v>201</v>
      </c>
      <c r="C29">
        <v>2010</v>
      </c>
      <c r="D29">
        <v>92000</v>
      </c>
      <c r="E29" t="s">
        <v>74</v>
      </c>
      <c r="F29">
        <v>356000</v>
      </c>
      <c r="G29" s="1">
        <v>42174</v>
      </c>
      <c r="H29" s="3">
        <f>2017-TRUNC(C29)</f>
        <v>7</v>
      </c>
      <c r="I29">
        <f>TRUNC(F29/100000)</f>
        <v>3</v>
      </c>
      <c r="J29">
        <f>D29-(D29*H29*0.05 + D29*I29*0.02)</f>
        <v>54280</v>
      </c>
      <c r="K29">
        <f>$P$3-G29</f>
        <v>562</v>
      </c>
    </row>
    <row r="30" spans="1:11" x14ac:dyDescent="0.25">
      <c r="A30" t="s">
        <v>199</v>
      </c>
      <c r="B30" t="s">
        <v>214</v>
      </c>
      <c r="C30">
        <v>2011</v>
      </c>
      <c r="D30">
        <v>74300</v>
      </c>
      <c r="E30" t="s">
        <v>95</v>
      </c>
      <c r="F30">
        <v>306000</v>
      </c>
      <c r="G30" s="1">
        <v>42174</v>
      </c>
      <c r="H30" s="3">
        <f>2017-TRUNC(C30)</f>
        <v>6</v>
      </c>
      <c r="I30">
        <f>TRUNC(F30/100000)</f>
        <v>3</v>
      </c>
      <c r="J30">
        <f>D30-(D30*H30*0.05 + D30*I30*0.02)</f>
        <v>47552</v>
      </c>
      <c r="K30">
        <f>$P$3-G30</f>
        <v>562</v>
      </c>
    </row>
    <row r="31" spans="1:11" x14ac:dyDescent="0.25">
      <c r="A31" t="s">
        <v>206</v>
      </c>
      <c r="B31" t="s">
        <v>226</v>
      </c>
      <c r="C31">
        <v>2012</v>
      </c>
      <c r="D31">
        <v>240000</v>
      </c>
      <c r="E31" t="s">
        <v>137</v>
      </c>
      <c r="F31">
        <v>301344</v>
      </c>
      <c r="G31" s="1">
        <v>42185</v>
      </c>
      <c r="H31" s="3">
        <f>2017-TRUNC(C31)</f>
        <v>5</v>
      </c>
      <c r="I31">
        <f>TRUNC(F31/100000)</f>
        <v>3</v>
      </c>
      <c r="J31">
        <f>D31-(D31*H31*0.05 + D31*I31*0.02)</f>
        <v>165600</v>
      </c>
      <c r="K31">
        <f>$P$3-G31</f>
        <v>551</v>
      </c>
    </row>
    <row r="32" spans="1:11" x14ac:dyDescent="0.25">
      <c r="A32" t="s">
        <v>206</v>
      </c>
      <c r="B32" t="s">
        <v>226</v>
      </c>
      <c r="C32">
        <v>2012</v>
      </c>
      <c r="D32">
        <v>240000</v>
      </c>
      <c r="E32" t="s">
        <v>138</v>
      </c>
      <c r="F32">
        <v>315988</v>
      </c>
      <c r="G32" s="1">
        <v>42185</v>
      </c>
      <c r="H32" s="3">
        <f>2017-TRUNC(C32)</f>
        <v>5</v>
      </c>
      <c r="I32">
        <f>TRUNC(F32/100000)</f>
        <v>3</v>
      </c>
      <c r="J32">
        <f>D32-(D32*H32*0.05 + D32*I32*0.02)</f>
        <v>165600</v>
      </c>
      <c r="K32">
        <f>$P$3-G32</f>
        <v>551</v>
      </c>
    </row>
    <row r="33" spans="1:11" x14ac:dyDescent="0.25">
      <c r="A33" t="s">
        <v>206</v>
      </c>
      <c r="B33" t="s">
        <v>226</v>
      </c>
      <c r="C33">
        <v>2012</v>
      </c>
      <c r="D33">
        <v>240000</v>
      </c>
      <c r="E33" t="s">
        <v>139</v>
      </c>
      <c r="F33">
        <v>234760</v>
      </c>
      <c r="G33" s="1">
        <v>42185</v>
      </c>
      <c r="H33" s="3">
        <f>2017-TRUNC(C33)</f>
        <v>5</v>
      </c>
      <c r="I33">
        <f>TRUNC(F33/100000)</f>
        <v>2</v>
      </c>
      <c r="J33">
        <f>D33-(D33*H33*0.05 + D33*I33*0.02)</f>
        <v>170400</v>
      </c>
      <c r="K33">
        <f>$P$3-G33</f>
        <v>551</v>
      </c>
    </row>
    <row r="34" spans="1:11" x14ac:dyDescent="0.25">
      <c r="A34" t="s">
        <v>206</v>
      </c>
      <c r="B34" t="s">
        <v>226</v>
      </c>
      <c r="C34">
        <v>2012</v>
      </c>
      <c r="D34">
        <v>240000</v>
      </c>
      <c r="E34" t="s">
        <v>140</v>
      </c>
      <c r="F34">
        <v>210780</v>
      </c>
      <c r="G34" s="1">
        <v>42185</v>
      </c>
      <c r="H34" s="3">
        <f>2017-TRUNC(C34)</f>
        <v>5</v>
      </c>
      <c r="I34">
        <f>TRUNC(F34/100000)</f>
        <v>2</v>
      </c>
      <c r="J34">
        <f>D34-(D34*H34*0.05 + D34*I34*0.02)</f>
        <v>170400</v>
      </c>
      <c r="K34">
        <f>$P$3-G34</f>
        <v>551</v>
      </c>
    </row>
    <row r="35" spans="1:11" x14ac:dyDescent="0.25">
      <c r="A35" t="s">
        <v>206</v>
      </c>
      <c r="B35" t="s">
        <v>226</v>
      </c>
      <c r="C35">
        <v>2012</v>
      </c>
      <c r="D35">
        <v>240000</v>
      </c>
      <c r="E35" t="s">
        <v>141</v>
      </c>
      <c r="F35">
        <v>198240</v>
      </c>
      <c r="G35" s="1">
        <v>42185</v>
      </c>
      <c r="H35" s="3">
        <f>2017-TRUNC(C35)</f>
        <v>5</v>
      </c>
      <c r="I35">
        <f>TRUNC(F35/100000)</f>
        <v>1</v>
      </c>
      <c r="J35">
        <f>D35-(D35*H35*0.05 + D35*I35*0.02)</f>
        <v>175200</v>
      </c>
      <c r="K35">
        <f>$P$3-G35</f>
        <v>551</v>
      </c>
    </row>
    <row r="36" spans="1:11" x14ac:dyDescent="0.25">
      <c r="A36" t="s">
        <v>197</v>
      </c>
      <c r="B36" t="s">
        <v>198</v>
      </c>
      <c r="C36">
        <v>2009</v>
      </c>
      <c r="D36">
        <v>67900</v>
      </c>
      <c r="E36" t="s">
        <v>29</v>
      </c>
      <c r="F36">
        <v>850000</v>
      </c>
      <c r="G36" s="1">
        <v>42194</v>
      </c>
      <c r="H36" s="3">
        <f>2017-TRUNC(C36)</f>
        <v>8</v>
      </c>
      <c r="I36">
        <f>TRUNC(F36/100000)</f>
        <v>8</v>
      </c>
      <c r="J36">
        <f>D36-(D36*H36*0.05 + D36*I36*0.02)</f>
        <v>29876</v>
      </c>
      <c r="K36">
        <f>$P$3-G36</f>
        <v>542</v>
      </c>
    </row>
    <row r="37" spans="1:11" x14ac:dyDescent="0.25">
      <c r="A37" t="s">
        <v>197</v>
      </c>
      <c r="B37" t="s">
        <v>198</v>
      </c>
      <c r="C37">
        <v>2009</v>
      </c>
      <c r="D37">
        <v>68900</v>
      </c>
      <c r="E37" t="s">
        <v>31</v>
      </c>
      <c r="F37">
        <v>846000</v>
      </c>
      <c r="G37" s="1">
        <v>42194</v>
      </c>
      <c r="H37" s="3">
        <f>2017-TRUNC(C37)</f>
        <v>8</v>
      </c>
      <c r="I37">
        <f>TRUNC(F37/100000)</f>
        <v>8</v>
      </c>
      <c r="J37">
        <f>D37-(D37*H37*0.05 + D37*I37*0.02)</f>
        <v>30316</v>
      </c>
      <c r="K37">
        <f>$P$3-G37</f>
        <v>542</v>
      </c>
    </row>
    <row r="38" spans="1:11" x14ac:dyDescent="0.25">
      <c r="A38" t="s">
        <v>185</v>
      </c>
      <c r="B38" t="s">
        <v>203</v>
      </c>
      <c r="C38">
        <v>2009</v>
      </c>
      <c r="D38">
        <v>86133</v>
      </c>
      <c r="E38" t="s">
        <v>42</v>
      </c>
      <c r="F38">
        <v>380000</v>
      </c>
      <c r="G38" s="1">
        <v>42208</v>
      </c>
      <c r="H38" s="3">
        <f>2017-TRUNC(C38)</f>
        <v>8</v>
      </c>
      <c r="I38">
        <f>TRUNC(F38/100000)</f>
        <v>3</v>
      </c>
      <c r="J38">
        <f>D38-(D38*H38*0.05 + D38*I38*0.02)</f>
        <v>46511.819999999992</v>
      </c>
      <c r="K38">
        <f>$P$3-G38</f>
        <v>528</v>
      </c>
    </row>
    <row r="39" spans="1:11" x14ac:dyDescent="0.25">
      <c r="A39" t="s">
        <v>185</v>
      </c>
      <c r="B39" t="s">
        <v>203</v>
      </c>
      <c r="C39">
        <v>2012</v>
      </c>
      <c r="D39">
        <v>87133</v>
      </c>
      <c r="E39" t="s">
        <v>115</v>
      </c>
      <c r="F39">
        <v>376000</v>
      </c>
      <c r="G39" s="1">
        <v>42208</v>
      </c>
      <c r="H39" s="3">
        <f>2017-TRUNC(C39)</f>
        <v>5</v>
      </c>
      <c r="I39">
        <f>TRUNC(F39/100000)</f>
        <v>3</v>
      </c>
      <c r="J39">
        <f>D39-(D39*H39*0.05 + D39*I39*0.02)</f>
        <v>60121.770000000004</v>
      </c>
      <c r="K39">
        <f>$P$3-G39</f>
        <v>528</v>
      </c>
    </row>
    <row r="40" spans="1:11" x14ac:dyDescent="0.25">
      <c r="A40" t="s">
        <v>191</v>
      </c>
      <c r="B40" t="s">
        <v>192</v>
      </c>
      <c r="C40">
        <v>2008</v>
      </c>
      <c r="D40">
        <v>49411</v>
      </c>
      <c r="E40" t="s">
        <v>17</v>
      </c>
      <c r="F40">
        <v>186000</v>
      </c>
      <c r="G40" s="1">
        <v>42210</v>
      </c>
      <c r="H40" s="3">
        <f>2017-TRUNC(C40)</f>
        <v>9</v>
      </c>
      <c r="I40">
        <f>TRUNC(F40/100000)</f>
        <v>1</v>
      </c>
      <c r="J40">
        <f>D40-(D40*H40*0.05 + D40*I40*0.02)</f>
        <v>26187.829999999998</v>
      </c>
      <c r="K40">
        <f>$P$3-G40</f>
        <v>526</v>
      </c>
    </row>
    <row r="41" spans="1:11" x14ac:dyDescent="0.25">
      <c r="A41" t="s">
        <v>191</v>
      </c>
      <c r="B41" t="s">
        <v>192</v>
      </c>
      <c r="C41">
        <v>2009</v>
      </c>
      <c r="D41">
        <v>48411</v>
      </c>
      <c r="E41" t="s">
        <v>24</v>
      </c>
      <c r="F41">
        <v>190000</v>
      </c>
      <c r="G41" s="1">
        <v>42210</v>
      </c>
      <c r="H41" s="3">
        <f>2017-TRUNC(C41)</f>
        <v>8</v>
      </c>
      <c r="I41">
        <f>TRUNC(F41/100000)</f>
        <v>1</v>
      </c>
      <c r="J41">
        <f>D41-(D41*H41*0.05 + D41*I41*0.02)</f>
        <v>28078.379999999997</v>
      </c>
      <c r="K41">
        <f>$P$3-G41</f>
        <v>526</v>
      </c>
    </row>
    <row r="42" spans="1:11" x14ac:dyDescent="0.25">
      <c r="A42" t="s">
        <v>191</v>
      </c>
      <c r="B42" t="s">
        <v>192</v>
      </c>
      <c r="C42">
        <v>2009</v>
      </c>
      <c r="D42">
        <v>49411</v>
      </c>
      <c r="E42" t="s">
        <v>27</v>
      </c>
      <c r="F42">
        <v>186000</v>
      </c>
      <c r="G42" s="1">
        <v>42210</v>
      </c>
      <c r="H42" s="3">
        <f>2017-TRUNC(C42)</f>
        <v>8</v>
      </c>
      <c r="I42">
        <f>TRUNC(F42/100000)</f>
        <v>1</v>
      </c>
      <c r="J42">
        <f>D42-(D42*H42*0.05 + D42*I42*0.02)</f>
        <v>28658.379999999997</v>
      </c>
      <c r="K42">
        <f>$P$3-G42</f>
        <v>526</v>
      </c>
    </row>
    <row r="43" spans="1:11" x14ac:dyDescent="0.25">
      <c r="A43" t="s">
        <v>199</v>
      </c>
      <c r="B43" t="s">
        <v>213</v>
      </c>
      <c r="C43">
        <v>2010</v>
      </c>
      <c r="D43">
        <v>60000</v>
      </c>
      <c r="E43" t="s">
        <v>68</v>
      </c>
      <c r="F43">
        <v>99250</v>
      </c>
      <c r="G43" s="1">
        <v>42226</v>
      </c>
      <c r="H43" s="3">
        <f>2017-TRUNC(C43)</f>
        <v>7</v>
      </c>
      <c r="I43">
        <f>TRUNC(F43/100000)</f>
        <v>0</v>
      </c>
      <c r="J43">
        <f>D43-(D43*H43*0.05 + D43*I43*0.02)</f>
        <v>39000</v>
      </c>
      <c r="K43">
        <f>$P$3-G43</f>
        <v>510</v>
      </c>
    </row>
    <row r="44" spans="1:11" x14ac:dyDescent="0.25">
      <c r="A44" t="s">
        <v>199</v>
      </c>
      <c r="B44" t="s">
        <v>213</v>
      </c>
      <c r="C44">
        <v>2011</v>
      </c>
      <c r="D44">
        <v>59000</v>
      </c>
      <c r="E44" t="s">
        <v>94</v>
      </c>
      <c r="F44">
        <v>103250</v>
      </c>
      <c r="G44" s="1">
        <v>42226</v>
      </c>
      <c r="H44" s="3">
        <f>2017-TRUNC(C44)</f>
        <v>6</v>
      </c>
      <c r="I44">
        <f>TRUNC(F44/100000)</f>
        <v>1</v>
      </c>
      <c r="J44">
        <f>D44-(D44*H44*0.05 + D44*I44*0.02)</f>
        <v>40120</v>
      </c>
      <c r="K44">
        <f>$P$3-G44</f>
        <v>510</v>
      </c>
    </row>
    <row r="45" spans="1:11" x14ac:dyDescent="0.25">
      <c r="A45" t="s">
        <v>199</v>
      </c>
      <c r="B45" t="s">
        <v>218</v>
      </c>
      <c r="C45">
        <v>2010</v>
      </c>
      <c r="D45">
        <v>265000</v>
      </c>
      <c r="E45" t="s">
        <v>84</v>
      </c>
      <c r="F45">
        <v>930000</v>
      </c>
      <c r="G45" s="1">
        <v>42236</v>
      </c>
      <c r="H45" s="3">
        <f>2017-TRUNC(C45)</f>
        <v>7</v>
      </c>
      <c r="I45">
        <f>TRUNC(F45/100000)</f>
        <v>9</v>
      </c>
      <c r="J45">
        <f>D45-(D45*H45*0.05 + D45*I45*0.02)</f>
        <v>124550</v>
      </c>
      <c r="K45">
        <f>$P$3-G45</f>
        <v>500</v>
      </c>
    </row>
    <row r="46" spans="1:11" x14ac:dyDescent="0.25">
      <c r="A46" t="s">
        <v>199</v>
      </c>
      <c r="B46" t="s">
        <v>218</v>
      </c>
      <c r="C46">
        <v>2010</v>
      </c>
      <c r="D46">
        <v>265000</v>
      </c>
      <c r="E46" t="s">
        <v>85</v>
      </c>
      <c r="F46">
        <v>912000</v>
      </c>
      <c r="G46" s="1">
        <v>42236</v>
      </c>
      <c r="H46" s="3">
        <f>2017-TRUNC(C46)</f>
        <v>7</v>
      </c>
      <c r="I46">
        <f>TRUNC(F46/100000)</f>
        <v>9</v>
      </c>
      <c r="J46">
        <f>D46-(D46*H46*0.05 + D46*I46*0.02)</f>
        <v>124550</v>
      </c>
      <c r="K46">
        <f>$P$3-G46</f>
        <v>500</v>
      </c>
    </row>
    <row r="47" spans="1:11" x14ac:dyDescent="0.25">
      <c r="A47" t="s">
        <v>199</v>
      </c>
      <c r="B47" t="s">
        <v>218</v>
      </c>
      <c r="C47">
        <v>2010</v>
      </c>
      <c r="D47">
        <v>265000</v>
      </c>
      <c r="E47" t="s">
        <v>86</v>
      </c>
      <c r="F47">
        <v>856000</v>
      </c>
      <c r="G47" s="1">
        <v>42236</v>
      </c>
      <c r="H47" s="3">
        <f>2017-TRUNC(C47)</f>
        <v>7</v>
      </c>
      <c r="I47">
        <f>TRUNC(F47/100000)</f>
        <v>8</v>
      </c>
      <c r="J47">
        <f>D47-(D47*H47*0.05 + D47*I47*0.02)</f>
        <v>129850</v>
      </c>
      <c r="K47">
        <f>$P$3-G47</f>
        <v>500</v>
      </c>
    </row>
    <row r="48" spans="1:11" x14ac:dyDescent="0.25">
      <c r="A48" t="s">
        <v>199</v>
      </c>
      <c r="B48" t="s">
        <v>219</v>
      </c>
      <c r="C48">
        <v>2011</v>
      </c>
      <c r="D48">
        <v>56700</v>
      </c>
      <c r="E48" t="s">
        <v>92</v>
      </c>
      <c r="F48">
        <v>290000</v>
      </c>
      <c r="G48" s="1">
        <v>42236</v>
      </c>
      <c r="H48" s="3">
        <f>2017-TRUNC(C48)</f>
        <v>6</v>
      </c>
      <c r="I48">
        <f>TRUNC(F48/100000)</f>
        <v>2</v>
      </c>
      <c r="J48">
        <f>D48-(D48*H48*0.05 + D48*I48*0.02)</f>
        <v>37422</v>
      </c>
      <c r="K48">
        <f>$P$3-G48</f>
        <v>500</v>
      </c>
    </row>
    <row r="49" spans="1:11" x14ac:dyDescent="0.25">
      <c r="A49" t="s">
        <v>199</v>
      </c>
      <c r="B49" t="s">
        <v>219</v>
      </c>
      <c r="C49">
        <v>2011</v>
      </c>
      <c r="D49">
        <v>57700</v>
      </c>
      <c r="E49" t="s">
        <v>93</v>
      </c>
      <c r="F49">
        <v>286000</v>
      </c>
      <c r="G49" s="1">
        <v>42236</v>
      </c>
      <c r="H49" s="3">
        <f>2017-TRUNC(C49)</f>
        <v>6</v>
      </c>
      <c r="I49">
        <f>TRUNC(F49/100000)</f>
        <v>2</v>
      </c>
      <c r="J49">
        <f>D49-(D49*H49*0.05 + D49*I49*0.02)</f>
        <v>38082</v>
      </c>
      <c r="K49">
        <f>$P$3-G49</f>
        <v>500</v>
      </c>
    </row>
    <row r="50" spans="1:11" x14ac:dyDescent="0.25">
      <c r="A50" t="s">
        <v>199</v>
      </c>
      <c r="B50" t="s">
        <v>220</v>
      </c>
      <c r="C50">
        <v>2011</v>
      </c>
      <c r="D50">
        <v>220000</v>
      </c>
      <c r="E50" t="s">
        <v>101</v>
      </c>
      <c r="F50">
        <v>731000</v>
      </c>
      <c r="G50" s="1">
        <v>42236</v>
      </c>
      <c r="H50" s="3">
        <f>2017-TRUNC(C50)</f>
        <v>6</v>
      </c>
      <c r="I50">
        <f>TRUNC(F50/100000)</f>
        <v>7</v>
      </c>
      <c r="J50">
        <f>D50-(D50*H50*0.05 + D50*I50*0.02)</f>
        <v>123200</v>
      </c>
      <c r="K50">
        <f>$P$3-G50</f>
        <v>500</v>
      </c>
    </row>
    <row r="51" spans="1:11" x14ac:dyDescent="0.25">
      <c r="A51" t="s">
        <v>199</v>
      </c>
      <c r="B51" t="s">
        <v>220</v>
      </c>
      <c r="C51">
        <v>2011</v>
      </c>
      <c r="D51">
        <v>220000</v>
      </c>
      <c r="E51" t="s">
        <v>102</v>
      </c>
      <c r="F51">
        <v>685413</v>
      </c>
      <c r="G51" s="1">
        <v>42236</v>
      </c>
      <c r="H51" s="3">
        <f>2017-TRUNC(C51)</f>
        <v>6</v>
      </c>
      <c r="I51">
        <f>TRUNC(F51/100000)</f>
        <v>6</v>
      </c>
      <c r="J51">
        <f>D51-(D51*H51*0.05 + D51*I51*0.02)</f>
        <v>127600</v>
      </c>
      <c r="K51">
        <f>$P$3-G51</f>
        <v>500</v>
      </c>
    </row>
    <row r="52" spans="1:11" x14ac:dyDescent="0.25">
      <c r="A52" t="s">
        <v>206</v>
      </c>
      <c r="B52" t="s">
        <v>215</v>
      </c>
      <c r="C52">
        <v>2010</v>
      </c>
      <c r="D52">
        <v>94000</v>
      </c>
      <c r="E52" t="s">
        <v>77</v>
      </c>
      <c r="F52">
        <v>91000</v>
      </c>
      <c r="G52" s="1">
        <v>42268</v>
      </c>
      <c r="H52" s="3">
        <f>2017-TRUNC(C52)</f>
        <v>7</v>
      </c>
      <c r="I52">
        <f>TRUNC(F52/100000)</f>
        <v>0</v>
      </c>
      <c r="J52">
        <f>D52-(D52*H52*0.05 + D52*I52*0.02)</f>
        <v>61100</v>
      </c>
      <c r="K52">
        <f>$P$3-G52</f>
        <v>468</v>
      </c>
    </row>
    <row r="53" spans="1:11" x14ac:dyDescent="0.25">
      <c r="A53" t="s">
        <v>206</v>
      </c>
      <c r="B53" t="s">
        <v>215</v>
      </c>
      <c r="C53">
        <v>2013</v>
      </c>
      <c r="D53">
        <v>93000</v>
      </c>
      <c r="E53" t="s">
        <v>146</v>
      </c>
      <c r="F53">
        <v>195000</v>
      </c>
      <c r="G53" s="1">
        <v>42268</v>
      </c>
      <c r="H53" s="3">
        <f>2017-TRUNC(C53)</f>
        <v>4</v>
      </c>
      <c r="I53">
        <f>TRUNC(F53/100000)</f>
        <v>1</v>
      </c>
      <c r="J53">
        <f>D53-(D53*H53*0.05 + D53*I53*0.02)</f>
        <v>72540</v>
      </c>
      <c r="K53">
        <f>$P$3-G53</f>
        <v>468</v>
      </c>
    </row>
    <row r="54" spans="1:11" x14ac:dyDescent="0.25">
      <c r="A54" t="s">
        <v>191</v>
      </c>
      <c r="B54" t="s">
        <v>193</v>
      </c>
      <c r="C54">
        <v>2008</v>
      </c>
      <c r="D54">
        <v>58000</v>
      </c>
      <c r="E54" t="s">
        <v>19</v>
      </c>
      <c r="F54">
        <v>306000</v>
      </c>
      <c r="G54" s="1">
        <v>42271</v>
      </c>
      <c r="H54" s="3">
        <f>2017-TRUNC(C54)</f>
        <v>9</v>
      </c>
      <c r="I54">
        <f>TRUNC(F54/100000)</f>
        <v>3</v>
      </c>
      <c r="J54">
        <f>D54-(D54*H54*0.05 + D54*I54*0.02)</f>
        <v>28420</v>
      </c>
      <c r="K54">
        <f>$P$3-G54</f>
        <v>465</v>
      </c>
    </row>
    <row r="55" spans="1:11" x14ac:dyDescent="0.25">
      <c r="A55" t="s">
        <v>191</v>
      </c>
      <c r="B55" t="s">
        <v>193</v>
      </c>
      <c r="C55">
        <v>2009</v>
      </c>
      <c r="D55">
        <v>59000</v>
      </c>
      <c r="E55" t="s">
        <v>32</v>
      </c>
      <c r="F55">
        <v>302000</v>
      </c>
      <c r="G55" s="1">
        <v>42271</v>
      </c>
      <c r="H55" s="3">
        <f>2017-TRUNC(C55)</f>
        <v>8</v>
      </c>
      <c r="I55">
        <f>TRUNC(F55/100000)</f>
        <v>3</v>
      </c>
      <c r="J55">
        <f>D55-(D55*H55*0.05 + D55*I55*0.02)</f>
        <v>31860</v>
      </c>
      <c r="K55">
        <f>$P$3-G55</f>
        <v>465</v>
      </c>
    </row>
    <row r="56" spans="1:11" x14ac:dyDescent="0.25">
      <c r="A56" t="s">
        <v>191</v>
      </c>
      <c r="B56" t="s">
        <v>193</v>
      </c>
      <c r="C56">
        <v>2012</v>
      </c>
      <c r="D56">
        <v>59000</v>
      </c>
      <c r="E56" t="s">
        <v>113</v>
      </c>
      <c r="F56">
        <v>302000</v>
      </c>
      <c r="G56" s="1">
        <v>42271</v>
      </c>
      <c r="H56" s="3">
        <f>2017-TRUNC(C56)</f>
        <v>5</v>
      </c>
      <c r="I56">
        <f>TRUNC(F56/100000)</f>
        <v>3</v>
      </c>
      <c r="J56">
        <f>D56-(D56*H56*0.05 + D56*I56*0.02)</f>
        <v>40710</v>
      </c>
      <c r="K56">
        <f>$P$3-G56</f>
        <v>465</v>
      </c>
    </row>
    <row r="57" spans="1:11" x14ac:dyDescent="0.25">
      <c r="A57" t="s">
        <v>189</v>
      </c>
      <c r="B57" t="s">
        <v>208</v>
      </c>
      <c r="C57">
        <v>2009</v>
      </c>
      <c r="D57">
        <v>168800</v>
      </c>
      <c r="E57" t="s">
        <v>55</v>
      </c>
      <c r="F57">
        <v>186300</v>
      </c>
      <c r="G57" s="1">
        <v>42272</v>
      </c>
      <c r="H57" s="3">
        <f>2017-TRUNC(C57)</f>
        <v>8</v>
      </c>
      <c r="I57">
        <f>TRUNC(F57/100000)</f>
        <v>1</v>
      </c>
      <c r="J57">
        <f>D57-(D57*H57*0.05 + D57*I57*0.02)</f>
        <v>97904</v>
      </c>
      <c r="K57">
        <f>$P$3-G57</f>
        <v>464</v>
      </c>
    </row>
    <row r="58" spans="1:11" x14ac:dyDescent="0.25">
      <c r="A58" t="s">
        <v>189</v>
      </c>
      <c r="B58" t="s">
        <v>208</v>
      </c>
      <c r="C58">
        <v>2014</v>
      </c>
      <c r="D58">
        <v>167800</v>
      </c>
      <c r="E58" t="s">
        <v>164</v>
      </c>
      <c r="F58">
        <v>190300</v>
      </c>
      <c r="G58" s="1">
        <v>42272</v>
      </c>
      <c r="H58" s="3">
        <f>2017-TRUNC(C58)</f>
        <v>3</v>
      </c>
      <c r="I58">
        <f>TRUNC(F58/100000)</f>
        <v>1</v>
      </c>
      <c r="J58">
        <f>D58-(D58*H58*0.05 + D58*I58*0.02)</f>
        <v>139274</v>
      </c>
      <c r="K58">
        <f>$P$3-G58</f>
        <v>464</v>
      </c>
    </row>
    <row r="59" spans="1:11" x14ac:dyDescent="0.25">
      <c r="A59" t="s">
        <v>206</v>
      </c>
      <c r="B59" t="s">
        <v>210</v>
      </c>
      <c r="C59">
        <v>2009</v>
      </c>
      <c r="D59">
        <v>195340</v>
      </c>
      <c r="E59" t="s">
        <v>59</v>
      </c>
      <c r="F59">
        <v>190000</v>
      </c>
      <c r="G59" s="1">
        <v>42278</v>
      </c>
      <c r="H59" s="3">
        <f>2017-TRUNC(C59)</f>
        <v>8</v>
      </c>
      <c r="I59">
        <f>TRUNC(F59/100000)</f>
        <v>1</v>
      </c>
      <c r="J59">
        <f>D59-(D59*H59*0.05 + D59*I59*0.02)</f>
        <v>113297.2</v>
      </c>
      <c r="K59">
        <f>$P$3-G59</f>
        <v>458</v>
      </c>
    </row>
    <row r="60" spans="1:11" x14ac:dyDescent="0.25">
      <c r="A60" t="s">
        <v>206</v>
      </c>
      <c r="B60" t="s">
        <v>210</v>
      </c>
      <c r="C60">
        <v>2011</v>
      </c>
      <c r="D60">
        <v>196340</v>
      </c>
      <c r="E60" t="s">
        <v>103</v>
      </c>
      <c r="F60">
        <v>186000</v>
      </c>
      <c r="G60" s="1">
        <v>42278</v>
      </c>
      <c r="H60" s="3">
        <f>2017-TRUNC(C60)</f>
        <v>6</v>
      </c>
      <c r="I60">
        <f>TRUNC(F60/100000)</f>
        <v>1</v>
      </c>
      <c r="J60">
        <f>D60-(D60*H60*0.05 + D60*I60*0.02)</f>
        <v>133511.20000000001</v>
      </c>
      <c r="K60">
        <f>$P$3-G60</f>
        <v>458</v>
      </c>
    </row>
    <row r="61" spans="1:11" x14ac:dyDescent="0.25">
      <c r="A61" t="s">
        <v>187</v>
      </c>
      <c r="B61" t="s">
        <v>212</v>
      </c>
      <c r="C61">
        <v>2010</v>
      </c>
      <c r="D61">
        <v>257000</v>
      </c>
      <c r="E61" t="s">
        <v>89</v>
      </c>
      <c r="F61">
        <v>164700</v>
      </c>
      <c r="G61" s="1">
        <v>42286</v>
      </c>
      <c r="H61" s="3">
        <f>2017-TRUNC(C61)</f>
        <v>7</v>
      </c>
      <c r="I61">
        <f>TRUNC(F61/100000)</f>
        <v>1</v>
      </c>
      <c r="J61">
        <f>D61-(D61*H61*0.05 + D61*I61*0.02)</f>
        <v>161910</v>
      </c>
      <c r="K61">
        <f>$P$3-G61</f>
        <v>450</v>
      </c>
    </row>
    <row r="62" spans="1:11" x14ac:dyDescent="0.25">
      <c r="A62" t="s">
        <v>187</v>
      </c>
      <c r="B62" t="s">
        <v>212</v>
      </c>
      <c r="C62">
        <v>2015</v>
      </c>
      <c r="D62">
        <v>258000</v>
      </c>
      <c r="E62" t="s">
        <v>171</v>
      </c>
      <c r="F62">
        <v>160700</v>
      </c>
      <c r="G62" s="1">
        <v>42286</v>
      </c>
      <c r="H62" s="3">
        <f>2017-TRUNC(C62)</f>
        <v>2</v>
      </c>
      <c r="I62">
        <f>TRUNC(F62/100000)</f>
        <v>1</v>
      </c>
      <c r="J62">
        <f>D62-(D62*H62*0.05 + D62*I62*0.02)</f>
        <v>227040</v>
      </c>
      <c r="K62">
        <f>$P$3-G62</f>
        <v>450</v>
      </c>
    </row>
    <row r="63" spans="1:11" x14ac:dyDescent="0.25">
      <c r="A63" t="s">
        <v>187</v>
      </c>
      <c r="B63" t="s">
        <v>212</v>
      </c>
      <c r="C63">
        <v>2009</v>
      </c>
      <c r="D63">
        <v>291000</v>
      </c>
      <c r="E63" t="s">
        <v>63</v>
      </c>
      <c r="F63">
        <v>166000</v>
      </c>
      <c r="G63" s="1">
        <v>42297</v>
      </c>
      <c r="H63" s="3">
        <f>2017-TRUNC(C63)</f>
        <v>8</v>
      </c>
      <c r="I63">
        <f>TRUNC(F63/100000)</f>
        <v>1</v>
      </c>
      <c r="J63">
        <f>D63-(D63*H63*0.05 + D63*I63*0.02)</f>
        <v>168780</v>
      </c>
      <c r="K63">
        <f>$P$3-G63</f>
        <v>439</v>
      </c>
    </row>
    <row r="64" spans="1:11" x14ac:dyDescent="0.25">
      <c r="A64" t="s">
        <v>187</v>
      </c>
      <c r="B64" t="s">
        <v>212</v>
      </c>
      <c r="C64">
        <v>2012</v>
      </c>
      <c r="D64">
        <v>290000</v>
      </c>
      <c r="E64" t="s">
        <v>142</v>
      </c>
      <c r="F64">
        <v>170000</v>
      </c>
      <c r="G64" s="1">
        <v>42297</v>
      </c>
      <c r="H64" s="3">
        <f>2017-TRUNC(C64)</f>
        <v>5</v>
      </c>
      <c r="I64">
        <f>TRUNC(F64/100000)</f>
        <v>1</v>
      </c>
      <c r="J64">
        <f>D64-(D64*H64*0.05 + D64*I64*0.02)</f>
        <v>211700</v>
      </c>
      <c r="K64">
        <f>$P$3-G64</f>
        <v>439</v>
      </c>
    </row>
    <row r="65" spans="1:11" x14ac:dyDescent="0.25">
      <c r="A65" t="s">
        <v>187</v>
      </c>
      <c r="B65" t="s">
        <v>211</v>
      </c>
      <c r="C65">
        <v>2009</v>
      </c>
      <c r="D65">
        <v>230000</v>
      </c>
      <c r="E65" t="s">
        <v>61</v>
      </c>
      <c r="F65">
        <v>305000</v>
      </c>
      <c r="G65" s="1">
        <v>42307</v>
      </c>
      <c r="H65" s="3">
        <f>2017-TRUNC(C65)</f>
        <v>8</v>
      </c>
      <c r="I65">
        <f>TRUNC(F65/100000)</f>
        <v>3</v>
      </c>
      <c r="J65">
        <f>D65-(D65*H65*0.05 + D65*I65*0.02)</f>
        <v>124200</v>
      </c>
      <c r="K65">
        <f>$P$3-G65</f>
        <v>429</v>
      </c>
    </row>
    <row r="66" spans="1:11" x14ac:dyDescent="0.25">
      <c r="A66" t="s">
        <v>187</v>
      </c>
      <c r="B66" t="s">
        <v>211</v>
      </c>
      <c r="C66">
        <v>2010</v>
      </c>
      <c r="D66">
        <v>231000</v>
      </c>
      <c r="E66" t="s">
        <v>88</v>
      </c>
      <c r="F66">
        <v>301000</v>
      </c>
      <c r="G66" s="1">
        <v>42307</v>
      </c>
      <c r="H66" s="3">
        <f>2017-TRUNC(C66)</f>
        <v>7</v>
      </c>
      <c r="I66">
        <f>TRUNC(F66/100000)</f>
        <v>3</v>
      </c>
      <c r="J66">
        <f>D66-(D66*H66*0.05 + D66*I66*0.02)</f>
        <v>136290</v>
      </c>
      <c r="K66">
        <f>$P$3-G66</f>
        <v>429</v>
      </c>
    </row>
    <row r="67" spans="1:11" x14ac:dyDescent="0.25">
      <c r="A67" t="s">
        <v>206</v>
      </c>
      <c r="B67" t="s">
        <v>207</v>
      </c>
      <c r="C67">
        <v>2010</v>
      </c>
      <c r="D67">
        <v>37000</v>
      </c>
      <c r="E67" t="s">
        <v>64</v>
      </c>
      <c r="F67">
        <v>978000</v>
      </c>
      <c r="G67" s="1">
        <v>42309</v>
      </c>
      <c r="H67" s="3">
        <f>2017-TRUNC(C67)</f>
        <v>7</v>
      </c>
      <c r="I67">
        <f>TRUNC(F67/100000)</f>
        <v>9</v>
      </c>
      <c r="J67">
        <f>D67-(D67*H67*0.05 + D67*I67*0.02)</f>
        <v>17390</v>
      </c>
      <c r="K67">
        <f>$P$3-G67</f>
        <v>427</v>
      </c>
    </row>
    <row r="68" spans="1:11" x14ac:dyDescent="0.25">
      <c r="A68" t="s">
        <v>206</v>
      </c>
      <c r="B68" t="s">
        <v>207</v>
      </c>
      <c r="C68">
        <v>2011</v>
      </c>
      <c r="D68">
        <v>38000</v>
      </c>
      <c r="E68" t="s">
        <v>90</v>
      </c>
      <c r="F68">
        <v>574000</v>
      </c>
      <c r="G68" s="1">
        <v>42309</v>
      </c>
      <c r="H68" s="3">
        <f>2017-TRUNC(C68)</f>
        <v>6</v>
      </c>
      <c r="I68">
        <f>TRUNC(F68/100000)</f>
        <v>5</v>
      </c>
      <c r="J68">
        <f>D68-(D68*H68*0.05 + D68*I68*0.02)</f>
        <v>22800</v>
      </c>
      <c r="K68">
        <f>$P$3-G68</f>
        <v>427</v>
      </c>
    </row>
    <row r="69" spans="1:11" x14ac:dyDescent="0.25">
      <c r="A69" t="s">
        <v>199</v>
      </c>
      <c r="B69" t="s">
        <v>200</v>
      </c>
      <c r="C69">
        <v>2009</v>
      </c>
      <c r="D69">
        <v>162800</v>
      </c>
      <c r="E69" t="s">
        <v>53</v>
      </c>
      <c r="F69">
        <v>370000</v>
      </c>
      <c r="G69" s="1">
        <v>42329</v>
      </c>
      <c r="H69" s="3">
        <f>2017-TRUNC(C69)</f>
        <v>8</v>
      </c>
      <c r="I69">
        <f>TRUNC(F69/100000)</f>
        <v>3</v>
      </c>
      <c r="J69">
        <f>D69-(D69*H69*0.05 + D69*I69*0.02)</f>
        <v>87912</v>
      </c>
      <c r="K69">
        <f>$P$3-G69</f>
        <v>407</v>
      </c>
    </row>
    <row r="70" spans="1:11" x14ac:dyDescent="0.25">
      <c r="A70" t="s">
        <v>199</v>
      </c>
      <c r="B70" t="s">
        <v>200</v>
      </c>
      <c r="C70">
        <v>2012</v>
      </c>
      <c r="D70">
        <v>163800</v>
      </c>
      <c r="E70" t="s">
        <v>122</v>
      </c>
      <c r="F70">
        <v>366000</v>
      </c>
      <c r="G70" s="1">
        <v>42329</v>
      </c>
      <c r="H70" s="3">
        <f>2017-TRUNC(C70)</f>
        <v>5</v>
      </c>
      <c r="I70">
        <f>TRUNC(F70/100000)</f>
        <v>3</v>
      </c>
      <c r="J70">
        <f>D70-(D70*H70*0.05 + D70*I70*0.02)</f>
        <v>113022</v>
      </c>
      <c r="K70">
        <f>$P$3-G70</f>
        <v>407</v>
      </c>
    </row>
    <row r="71" spans="1:11" x14ac:dyDescent="0.25">
      <c r="A71" t="s">
        <v>189</v>
      </c>
      <c r="B71" t="s">
        <v>227</v>
      </c>
      <c r="C71">
        <v>2013</v>
      </c>
      <c r="D71">
        <v>271000</v>
      </c>
      <c r="E71" t="s">
        <v>158</v>
      </c>
      <c r="F71">
        <v>153000</v>
      </c>
      <c r="G71" s="1">
        <v>42334</v>
      </c>
      <c r="H71" s="3">
        <f>2017-TRUNC(C71)</f>
        <v>4</v>
      </c>
      <c r="I71">
        <f>TRUNC(F71/100000)</f>
        <v>1</v>
      </c>
      <c r="J71">
        <f>D71-(D71*H71*0.05 + D71*I71*0.02)</f>
        <v>211380</v>
      </c>
      <c r="K71">
        <f>$P$3-G71</f>
        <v>402</v>
      </c>
    </row>
    <row r="72" spans="1:11" x14ac:dyDescent="0.25">
      <c r="A72" t="s">
        <v>189</v>
      </c>
      <c r="B72" t="s">
        <v>227</v>
      </c>
      <c r="C72">
        <v>2014</v>
      </c>
      <c r="D72">
        <v>270000</v>
      </c>
      <c r="E72" t="s">
        <v>169</v>
      </c>
      <c r="F72">
        <v>157000</v>
      </c>
      <c r="G72" s="1">
        <v>42334</v>
      </c>
      <c r="H72" s="3">
        <f>2017-TRUNC(C72)</f>
        <v>3</v>
      </c>
      <c r="I72">
        <f>TRUNC(F72/100000)</f>
        <v>1</v>
      </c>
      <c r="J72">
        <f>D72-(D72*H72*0.05 + D72*I72*0.02)</f>
        <v>224100</v>
      </c>
      <c r="K72">
        <f>$P$3-G72</f>
        <v>402</v>
      </c>
    </row>
    <row r="73" spans="1:11" x14ac:dyDescent="0.25">
      <c r="A73" t="s">
        <v>189</v>
      </c>
      <c r="B73" t="s">
        <v>228</v>
      </c>
      <c r="C73">
        <v>2014</v>
      </c>
      <c r="D73">
        <v>98000</v>
      </c>
      <c r="E73" t="s">
        <v>161</v>
      </c>
      <c r="F73">
        <v>251000</v>
      </c>
      <c r="G73" s="1">
        <v>42344</v>
      </c>
      <c r="H73" s="3">
        <f>2017-TRUNC(C73)</f>
        <v>3</v>
      </c>
      <c r="I73">
        <f>TRUNC(F73/100000)</f>
        <v>2</v>
      </c>
      <c r="J73">
        <f>D73-(D73*H73*0.05 + D73*I73*0.02)</f>
        <v>79380</v>
      </c>
      <c r="K73">
        <f>$P$3-G73</f>
        <v>392</v>
      </c>
    </row>
    <row r="74" spans="1:11" x14ac:dyDescent="0.25">
      <c r="A74" t="s">
        <v>189</v>
      </c>
      <c r="B74" t="s">
        <v>228</v>
      </c>
      <c r="C74">
        <v>2014</v>
      </c>
      <c r="D74">
        <v>99000</v>
      </c>
      <c r="E74" t="s">
        <v>162</v>
      </c>
      <c r="F74">
        <v>247000</v>
      </c>
      <c r="G74" s="1">
        <v>42344</v>
      </c>
      <c r="H74" s="3">
        <f>2017-TRUNC(C74)</f>
        <v>3</v>
      </c>
      <c r="I74">
        <f>TRUNC(F74/100000)</f>
        <v>2</v>
      </c>
      <c r="J74">
        <f>D74-(D74*H74*0.05 + D74*I74*0.02)</f>
        <v>80190</v>
      </c>
      <c r="K74">
        <f>$P$3-G74</f>
        <v>392</v>
      </c>
    </row>
    <row r="75" spans="1:11" x14ac:dyDescent="0.25">
      <c r="A75" t="s">
        <v>206</v>
      </c>
      <c r="B75" t="s">
        <v>207</v>
      </c>
      <c r="C75">
        <v>2009</v>
      </c>
      <c r="D75">
        <v>131780</v>
      </c>
      <c r="E75" t="s">
        <v>51</v>
      </c>
      <c r="F75">
        <v>306000</v>
      </c>
      <c r="G75" s="1">
        <v>42365</v>
      </c>
      <c r="H75" s="3">
        <f>2017-TRUNC(C75)</f>
        <v>8</v>
      </c>
      <c r="I75">
        <f>TRUNC(F75/100000)</f>
        <v>3</v>
      </c>
      <c r="J75">
        <f>D75-(D75*H75*0.05 + D75*I75*0.02)</f>
        <v>71161.2</v>
      </c>
      <c r="K75">
        <f>$P$3-G75</f>
        <v>371</v>
      </c>
    </row>
    <row r="76" spans="1:11" x14ac:dyDescent="0.25">
      <c r="A76" t="s">
        <v>206</v>
      </c>
      <c r="B76" t="s">
        <v>207</v>
      </c>
      <c r="C76">
        <v>2012</v>
      </c>
      <c r="D76">
        <v>130780</v>
      </c>
      <c r="E76" t="s">
        <v>117</v>
      </c>
      <c r="F76">
        <v>310000</v>
      </c>
      <c r="G76" s="1">
        <v>42365</v>
      </c>
      <c r="H76" s="3">
        <f>2017-TRUNC(C76)</f>
        <v>5</v>
      </c>
      <c r="I76">
        <f>TRUNC(F76/100000)</f>
        <v>3</v>
      </c>
      <c r="J76">
        <f>D76-(D76*H76*0.05 + D76*I76*0.02)</f>
        <v>90238.2</v>
      </c>
      <c r="K76">
        <f>$P$3-G76</f>
        <v>371</v>
      </c>
    </row>
    <row r="77" spans="1:11" x14ac:dyDescent="0.25">
      <c r="A77" t="s">
        <v>199</v>
      </c>
      <c r="B77" t="s">
        <v>200</v>
      </c>
      <c r="C77">
        <v>2009</v>
      </c>
      <c r="D77">
        <v>77000</v>
      </c>
      <c r="E77" t="s">
        <v>34</v>
      </c>
      <c r="F77">
        <v>846000</v>
      </c>
      <c r="G77" s="1">
        <v>42376</v>
      </c>
      <c r="H77" s="3">
        <f>2017-TRUNC(C77)</f>
        <v>8</v>
      </c>
      <c r="I77">
        <f>TRUNC(F77/100000)</f>
        <v>8</v>
      </c>
      <c r="J77">
        <f>D77-(D77*H77*0.05 + D77*I77*0.02)</f>
        <v>33880</v>
      </c>
      <c r="K77">
        <f>$P$3-G77</f>
        <v>360</v>
      </c>
    </row>
    <row r="78" spans="1:11" x14ac:dyDescent="0.25">
      <c r="A78" t="s">
        <v>199</v>
      </c>
      <c r="B78" t="s">
        <v>200</v>
      </c>
      <c r="C78">
        <v>2012</v>
      </c>
      <c r="D78">
        <v>76000</v>
      </c>
      <c r="E78" t="s">
        <v>114</v>
      </c>
      <c r="F78">
        <v>850000</v>
      </c>
      <c r="G78" s="1">
        <v>42376</v>
      </c>
      <c r="H78" s="3">
        <f>2017-TRUNC(C78)</f>
        <v>5</v>
      </c>
      <c r="I78">
        <f>TRUNC(F78/100000)</f>
        <v>8</v>
      </c>
      <c r="J78">
        <f>D78-(D78*H78*0.05 + D78*I78*0.02)</f>
        <v>44840</v>
      </c>
      <c r="K78">
        <f>$P$3-G78</f>
        <v>360</v>
      </c>
    </row>
    <row r="79" spans="1:11" x14ac:dyDescent="0.25">
      <c r="A79" t="s">
        <v>197</v>
      </c>
      <c r="B79" t="s">
        <v>202</v>
      </c>
      <c r="C79">
        <v>2009</v>
      </c>
      <c r="D79">
        <v>79000</v>
      </c>
      <c r="E79" t="s">
        <v>38</v>
      </c>
      <c r="F79">
        <v>390000</v>
      </c>
      <c r="G79" s="1">
        <v>42379</v>
      </c>
      <c r="H79" s="3">
        <f>2017-TRUNC(C79)</f>
        <v>8</v>
      </c>
      <c r="I79">
        <f>TRUNC(F79/100000)</f>
        <v>3</v>
      </c>
      <c r="J79">
        <f>D79-(D79*H79*0.05 + D79*I79*0.02)</f>
        <v>42660</v>
      </c>
      <c r="K79">
        <f>$P$3-G79</f>
        <v>357</v>
      </c>
    </row>
    <row r="80" spans="1:11" x14ac:dyDescent="0.25">
      <c r="A80" t="s">
        <v>197</v>
      </c>
      <c r="B80" t="s">
        <v>202</v>
      </c>
      <c r="C80">
        <v>2009</v>
      </c>
      <c r="D80">
        <v>79000</v>
      </c>
      <c r="E80" t="s">
        <v>39</v>
      </c>
      <c r="F80">
        <v>390000</v>
      </c>
      <c r="G80" s="1">
        <v>42379</v>
      </c>
      <c r="H80" s="3">
        <f>2017-TRUNC(C80)</f>
        <v>8</v>
      </c>
      <c r="I80">
        <f>TRUNC(F80/100000)</f>
        <v>3</v>
      </c>
      <c r="J80">
        <f>D80-(D80*H80*0.05 + D80*I80*0.02)</f>
        <v>42660</v>
      </c>
      <c r="K80">
        <f>$P$3-G80</f>
        <v>357</v>
      </c>
    </row>
    <row r="81" spans="1:11" x14ac:dyDescent="0.25">
      <c r="A81" t="s">
        <v>197</v>
      </c>
      <c r="B81" t="s">
        <v>202</v>
      </c>
      <c r="C81">
        <v>2013</v>
      </c>
      <c r="D81">
        <v>80000</v>
      </c>
      <c r="E81" t="s">
        <v>144</v>
      </c>
      <c r="F81">
        <v>350000</v>
      </c>
      <c r="G81" s="1">
        <v>42379</v>
      </c>
      <c r="H81" s="3">
        <f>2017-TRUNC(C81)</f>
        <v>4</v>
      </c>
      <c r="I81">
        <f>TRUNC(F81/100000)</f>
        <v>3</v>
      </c>
      <c r="J81">
        <f>D81-(D81*H81*0.05 + D81*I81*0.02)</f>
        <v>59200</v>
      </c>
      <c r="K81">
        <f>$P$3-G81</f>
        <v>357</v>
      </c>
    </row>
    <row r="82" spans="1:11" x14ac:dyDescent="0.25">
      <c r="A82" t="s">
        <v>197</v>
      </c>
      <c r="B82" t="s">
        <v>202</v>
      </c>
      <c r="C82">
        <v>2013</v>
      </c>
      <c r="D82">
        <v>80000</v>
      </c>
      <c r="E82" t="s">
        <v>145</v>
      </c>
      <c r="F82">
        <v>235000</v>
      </c>
      <c r="G82" s="1">
        <v>42379</v>
      </c>
      <c r="H82" s="3">
        <f>2017-TRUNC(C82)</f>
        <v>4</v>
      </c>
      <c r="I82">
        <f>TRUNC(F82/100000)</f>
        <v>2</v>
      </c>
      <c r="J82">
        <f>D82-(D82*H82*0.05 + D82*I82*0.02)</f>
        <v>60800</v>
      </c>
      <c r="K82">
        <f>$P$3-G82</f>
        <v>357</v>
      </c>
    </row>
    <row r="83" spans="1:11" x14ac:dyDescent="0.25">
      <c r="A83" t="s">
        <v>191</v>
      </c>
      <c r="B83" t="s">
        <v>194</v>
      </c>
      <c r="C83">
        <v>2008</v>
      </c>
      <c r="D83">
        <v>84000</v>
      </c>
      <c r="E83" t="s">
        <v>21</v>
      </c>
      <c r="F83">
        <v>266000</v>
      </c>
      <c r="G83" s="1">
        <v>42382</v>
      </c>
      <c r="H83" s="3">
        <f>2017-TRUNC(C83)</f>
        <v>9</v>
      </c>
      <c r="I83">
        <f>TRUNC(F83/100000)</f>
        <v>2</v>
      </c>
      <c r="J83">
        <f>D83-(D83*H83*0.05 + D83*I83*0.02)</f>
        <v>42840</v>
      </c>
      <c r="K83">
        <f>$P$3-G83</f>
        <v>354</v>
      </c>
    </row>
    <row r="84" spans="1:11" x14ac:dyDescent="0.25">
      <c r="A84" t="s">
        <v>191</v>
      </c>
      <c r="B84" t="s">
        <v>194</v>
      </c>
      <c r="C84">
        <v>2009</v>
      </c>
      <c r="D84">
        <v>83000</v>
      </c>
      <c r="E84" t="s">
        <v>40</v>
      </c>
      <c r="F84">
        <v>270000</v>
      </c>
      <c r="G84" s="1">
        <v>42382</v>
      </c>
      <c r="H84" s="3">
        <f>2017-TRUNC(C84)</f>
        <v>8</v>
      </c>
      <c r="I84">
        <f>TRUNC(F84/100000)</f>
        <v>2</v>
      </c>
      <c r="J84">
        <f>D84-(D84*H84*0.05 + D84*I84*0.02)</f>
        <v>46480</v>
      </c>
      <c r="K84">
        <f>$P$3-G84</f>
        <v>354</v>
      </c>
    </row>
    <row r="85" spans="1:11" x14ac:dyDescent="0.25">
      <c r="A85" t="s">
        <v>191</v>
      </c>
      <c r="B85" t="s">
        <v>194</v>
      </c>
      <c r="C85">
        <v>2010</v>
      </c>
      <c r="D85">
        <v>84000</v>
      </c>
      <c r="E85" t="s">
        <v>73</v>
      </c>
      <c r="F85">
        <v>266000</v>
      </c>
      <c r="G85" s="1">
        <v>42382</v>
      </c>
      <c r="H85" s="3">
        <f>2017-TRUNC(C85)</f>
        <v>7</v>
      </c>
      <c r="I85">
        <f>TRUNC(F85/100000)</f>
        <v>2</v>
      </c>
      <c r="J85">
        <f>D85-(D85*H85*0.05 + D85*I85*0.02)</f>
        <v>51240</v>
      </c>
      <c r="K85">
        <f>$P$3-G85</f>
        <v>354</v>
      </c>
    </row>
    <row r="86" spans="1:11" x14ac:dyDescent="0.25">
      <c r="A86" t="s">
        <v>189</v>
      </c>
      <c r="B86" t="s">
        <v>204</v>
      </c>
      <c r="C86">
        <v>2010</v>
      </c>
      <c r="D86">
        <v>89000</v>
      </c>
      <c r="E86" t="s">
        <v>75</v>
      </c>
      <c r="F86">
        <v>266000</v>
      </c>
      <c r="G86" s="1">
        <v>42382</v>
      </c>
      <c r="H86" s="3">
        <f>2017-TRUNC(C86)</f>
        <v>7</v>
      </c>
      <c r="I86">
        <f>TRUNC(F86/100000)</f>
        <v>2</v>
      </c>
      <c r="J86">
        <f>D86-(D86*H86*0.05 + D86*I86*0.02)</f>
        <v>54290</v>
      </c>
      <c r="K86">
        <f>$P$3-G86</f>
        <v>354</v>
      </c>
    </row>
    <row r="87" spans="1:11" x14ac:dyDescent="0.25">
      <c r="A87" t="s">
        <v>191</v>
      </c>
      <c r="B87" t="s">
        <v>192</v>
      </c>
      <c r="C87">
        <v>2009</v>
      </c>
      <c r="D87">
        <v>65000</v>
      </c>
      <c r="E87" t="s">
        <v>30</v>
      </c>
      <c r="F87">
        <v>740000</v>
      </c>
      <c r="G87" s="1">
        <v>42385</v>
      </c>
      <c r="H87" s="3">
        <f>2017-TRUNC(C87)</f>
        <v>8</v>
      </c>
      <c r="I87">
        <f>TRUNC(F87/100000)</f>
        <v>7</v>
      </c>
      <c r="J87">
        <f>D87-(D87*H87*0.05 + D87*I87*0.02)</f>
        <v>29900</v>
      </c>
      <c r="K87">
        <f>$P$3-G87</f>
        <v>351</v>
      </c>
    </row>
    <row r="88" spans="1:11" x14ac:dyDescent="0.25">
      <c r="A88" t="s">
        <v>191</v>
      </c>
      <c r="B88" t="s">
        <v>205</v>
      </c>
      <c r="C88">
        <v>2009</v>
      </c>
      <c r="D88">
        <v>134000</v>
      </c>
      <c r="E88" t="s">
        <v>48</v>
      </c>
      <c r="F88">
        <v>482000</v>
      </c>
      <c r="G88" s="1">
        <v>42385</v>
      </c>
      <c r="H88" s="3">
        <f>2017-TRUNC(C88)</f>
        <v>8</v>
      </c>
      <c r="I88">
        <f>TRUNC(F88/100000)</f>
        <v>4</v>
      </c>
      <c r="J88">
        <f>D88-(D88*H88*0.05 + D88*I88*0.02)</f>
        <v>69680</v>
      </c>
      <c r="K88">
        <f>$P$3-G88</f>
        <v>351</v>
      </c>
    </row>
    <row r="89" spans="1:11" x14ac:dyDescent="0.25">
      <c r="A89" t="s">
        <v>191</v>
      </c>
      <c r="B89" t="s">
        <v>205</v>
      </c>
      <c r="C89">
        <v>2009</v>
      </c>
      <c r="D89">
        <v>135000</v>
      </c>
      <c r="E89" t="s">
        <v>49</v>
      </c>
      <c r="F89">
        <v>478000</v>
      </c>
      <c r="G89" s="1">
        <v>42385</v>
      </c>
      <c r="H89" s="3">
        <f>2017-TRUNC(C89)</f>
        <v>8</v>
      </c>
      <c r="I89">
        <f>TRUNC(F89/100000)</f>
        <v>4</v>
      </c>
      <c r="J89">
        <f>D89-(D89*H89*0.05 + D89*I89*0.02)</f>
        <v>70200</v>
      </c>
      <c r="K89">
        <f>$P$3-G89</f>
        <v>351</v>
      </c>
    </row>
    <row r="90" spans="1:11" x14ac:dyDescent="0.25">
      <c r="A90" t="s">
        <v>191</v>
      </c>
      <c r="B90" t="s">
        <v>192</v>
      </c>
      <c r="C90">
        <v>2010</v>
      </c>
      <c r="D90">
        <v>66000</v>
      </c>
      <c r="E90" t="s">
        <v>66</v>
      </c>
      <c r="F90">
        <v>736000</v>
      </c>
      <c r="G90" s="1">
        <v>42385</v>
      </c>
      <c r="H90" s="3">
        <f>2017-TRUNC(C90)</f>
        <v>7</v>
      </c>
      <c r="I90">
        <f>TRUNC(F90/100000)</f>
        <v>7</v>
      </c>
      <c r="J90">
        <f>D90-(D90*H90*0.05 + D90*I90*0.02)</f>
        <v>33660</v>
      </c>
      <c r="K90">
        <f>$P$3-G90</f>
        <v>351</v>
      </c>
    </row>
    <row r="91" spans="1:11" x14ac:dyDescent="0.25">
      <c r="A91" t="s">
        <v>191</v>
      </c>
      <c r="B91" t="s">
        <v>224</v>
      </c>
      <c r="C91">
        <v>2012</v>
      </c>
      <c r="D91">
        <v>210000</v>
      </c>
      <c r="E91" t="s">
        <v>130</v>
      </c>
      <c r="F91">
        <v>517000</v>
      </c>
      <c r="G91" s="1">
        <v>42415</v>
      </c>
      <c r="H91" s="3">
        <f>2017-TRUNC(C91)</f>
        <v>5</v>
      </c>
      <c r="I91">
        <f>TRUNC(F91/100000)</f>
        <v>5</v>
      </c>
      <c r="J91">
        <f>D91-(D91*H91*0.05 + D91*I91*0.02)</f>
        <v>136500</v>
      </c>
      <c r="K91">
        <f>$P$3-G91</f>
        <v>321</v>
      </c>
    </row>
    <row r="92" spans="1:11" x14ac:dyDescent="0.25">
      <c r="A92" t="s">
        <v>191</v>
      </c>
      <c r="B92" t="s">
        <v>224</v>
      </c>
      <c r="C92">
        <v>2012</v>
      </c>
      <c r="D92">
        <v>210000</v>
      </c>
      <c r="E92" t="s">
        <v>132</v>
      </c>
      <c r="F92">
        <v>435000</v>
      </c>
      <c r="G92" s="1">
        <v>42415</v>
      </c>
      <c r="H92" s="3">
        <f>2017-TRUNC(C92)</f>
        <v>5</v>
      </c>
      <c r="I92">
        <f>TRUNC(F92/100000)</f>
        <v>4</v>
      </c>
      <c r="J92">
        <f>D92-(D92*H92*0.05 + D92*I92*0.02)</f>
        <v>140700</v>
      </c>
      <c r="K92">
        <f>$P$3-G92</f>
        <v>321</v>
      </c>
    </row>
    <row r="93" spans="1:11" x14ac:dyDescent="0.25">
      <c r="A93" t="s">
        <v>199</v>
      </c>
      <c r="B93" t="s">
        <v>200</v>
      </c>
      <c r="C93">
        <v>2010</v>
      </c>
      <c r="D93">
        <v>230000</v>
      </c>
      <c r="E93" t="s">
        <v>87</v>
      </c>
      <c r="F93">
        <v>455000</v>
      </c>
      <c r="G93" s="1">
        <v>42439</v>
      </c>
      <c r="H93" s="3">
        <f>2017-TRUNC(C93)</f>
        <v>7</v>
      </c>
      <c r="I93">
        <f>TRUNC(F93/100000)</f>
        <v>4</v>
      </c>
      <c r="J93">
        <f>D93-(D93*H93*0.05 + D93*I93*0.02)</f>
        <v>131100</v>
      </c>
      <c r="K93">
        <f>$P$3-G93</f>
        <v>297</v>
      </c>
    </row>
    <row r="94" spans="1:11" x14ac:dyDescent="0.25">
      <c r="A94" t="s">
        <v>199</v>
      </c>
      <c r="B94" t="s">
        <v>200</v>
      </c>
      <c r="C94">
        <v>2012</v>
      </c>
      <c r="D94">
        <v>231000</v>
      </c>
      <c r="E94" t="s">
        <v>135</v>
      </c>
      <c r="F94">
        <v>451000</v>
      </c>
      <c r="G94" s="1">
        <v>42439</v>
      </c>
      <c r="H94" s="3">
        <f>2017-TRUNC(C94)</f>
        <v>5</v>
      </c>
      <c r="I94">
        <f>TRUNC(F94/100000)</f>
        <v>4</v>
      </c>
      <c r="J94">
        <f>D94-(D94*H94*0.05 + D94*I94*0.02)</f>
        <v>154770</v>
      </c>
      <c r="K94">
        <f>$P$3-G94</f>
        <v>297</v>
      </c>
    </row>
    <row r="95" spans="1:11" x14ac:dyDescent="0.25">
      <c r="A95" t="s">
        <v>197</v>
      </c>
      <c r="B95" t="s">
        <v>223</v>
      </c>
      <c r="C95">
        <v>2012</v>
      </c>
      <c r="D95">
        <v>183000</v>
      </c>
      <c r="E95" t="s">
        <v>124</v>
      </c>
      <c r="F95">
        <v>520000</v>
      </c>
      <c r="G95" s="1">
        <v>42444</v>
      </c>
      <c r="H95" s="3">
        <f>2017-TRUNC(C95)</f>
        <v>5</v>
      </c>
      <c r="I95">
        <f>TRUNC(F95/100000)</f>
        <v>5</v>
      </c>
      <c r="J95">
        <f>D95-(D95*H95*0.05 + D95*I95*0.02)</f>
        <v>118950</v>
      </c>
      <c r="K95">
        <f>$P$3-G95</f>
        <v>292</v>
      </c>
    </row>
    <row r="96" spans="1:11" x14ac:dyDescent="0.25">
      <c r="A96" t="s">
        <v>197</v>
      </c>
      <c r="B96" t="s">
        <v>223</v>
      </c>
      <c r="C96">
        <v>2012</v>
      </c>
      <c r="D96">
        <v>183000</v>
      </c>
      <c r="E96" t="s">
        <v>125</v>
      </c>
      <c r="F96">
        <v>530000</v>
      </c>
      <c r="G96" s="1">
        <v>42444</v>
      </c>
      <c r="H96" s="3">
        <f>2017-TRUNC(C96)</f>
        <v>5</v>
      </c>
      <c r="I96">
        <f>TRUNC(F96/100000)</f>
        <v>5</v>
      </c>
      <c r="J96">
        <f>D96-(D96*H96*0.05 + D96*I96*0.02)</f>
        <v>118950</v>
      </c>
      <c r="K96">
        <f>$P$3-G96</f>
        <v>292</v>
      </c>
    </row>
    <row r="97" spans="1:11" x14ac:dyDescent="0.25">
      <c r="A97" t="s">
        <v>197</v>
      </c>
      <c r="B97" t="s">
        <v>223</v>
      </c>
      <c r="C97">
        <v>2012</v>
      </c>
      <c r="D97">
        <v>183000</v>
      </c>
      <c r="E97" t="s">
        <v>126</v>
      </c>
      <c r="F97">
        <v>490000</v>
      </c>
      <c r="G97" s="1">
        <v>42444</v>
      </c>
      <c r="H97" s="3">
        <f>2017-TRUNC(C97)</f>
        <v>5</v>
      </c>
      <c r="I97">
        <f>TRUNC(F97/100000)</f>
        <v>4</v>
      </c>
      <c r="J97">
        <f>D97-(D97*H97*0.05 + D97*I97*0.02)</f>
        <v>122610</v>
      </c>
      <c r="K97">
        <f>$P$3-G97</f>
        <v>292</v>
      </c>
    </row>
    <row r="98" spans="1:11" x14ac:dyDescent="0.25">
      <c r="A98" t="s">
        <v>197</v>
      </c>
      <c r="B98" t="s">
        <v>223</v>
      </c>
      <c r="C98">
        <v>2012</v>
      </c>
      <c r="D98">
        <v>183000</v>
      </c>
      <c r="E98" t="s">
        <v>127</v>
      </c>
      <c r="F98">
        <v>481000</v>
      </c>
      <c r="G98" s="1">
        <v>42444</v>
      </c>
      <c r="H98" s="3">
        <f>2017-TRUNC(C98)</f>
        <v>5</v>
      </c>
      <c r="I98">
        <f>TRUNC(F98/100000)</f>
        <v>4</v>
      </c>
      <c r="J98">
        <f>D98-(D98*H98*0.05 + D98*I98*0.02)</f>
        <v>122610</v>
      </c>
      <c r="K98">
        <f>$P$3-G98</f>
        <v>292</v>
      </c>
    </row>
    <row r="99" spans="1:11" x14ac:dyDescent="0.25">
      <c r="A99" t="s">
        <v>197</v>
      </c>
      <c r="B99" t="s">
        <v>223</v>
      </c>
      <c r="C99">
        <v>2012</v>
      </c>
      <c r="D99">
        <v>183000</v>
      </c>
      <c r="E99" t="s">
        <v>128</v>
      </c>
      <c r="F99">
        <v>454000</v>
      </c>
      <c r="G99" s="1">
        <v>42444</v>
      </c>
      <c r="H99" s="3">
        <f>2017-TRUNC(C99)</f>
        <v>5</v>
      </c>
      <c r="I99">
        <f>TRUNC(F99/100000)</f>
        <v>4</v>
      </c>
      <c r="J99">
        <f>D99-(D99*H99*0.05 + D99*I99*0.02)</f>
        <v>122610</v>
      </c>
      <c r="K99">
        <f>$P$3-G99</f>
        <v>292</v>
      </c>
    </row>
    <row r="100" spans="1:11" x14ac:dyDescent="0.25">
      <c r="A100" t="s">
        <v>197</v>
      </c>
      <c r="B100" t="s">
        <v>221</v>
      </c>
      <c r="C100">
        <v>2011</v>
      </c>
      <c r="D100">
        <v>245000</v>
      </c>
      <c r="E100" t="s">
        <v>105</v>
      </c>
      <c r="F100">
        <v>720000</v>
      </c>
      <c r="G100" s="1">
        <v>42462</v>
      </c>
      <c r="H100" s="3">
        <f>2017-TRUNC(C100)</f>
        <v>6</v>
      </c>
      <c r="I100">
        <f>TRUNC(F100/100000)</f>
        <v>7</v>
      </c>
      <c r="J100">
        <f>D100-(D100*H100*0.05 + D100*I100*0.02)</f>
        <v>137200</v>
      </c>
      <c r="K100">
        <f>$P$3-G100</f>
        <v>274</v>
      </c>
    </row>
    <row r="101" spans="1:11" x14ac:dyDescent="0.25">
      <c r="A101" t="s">
        <v>197</v>
      </c>
      <c r="B101" t="s">
        <v>221</v>
      </c>
      <c r="C101">
        <v>2011</v>
      </c>
      <c r="D101">
        <v>245000</v>
      </c>
      <c r="E101" t="s">
        <v>106</v>
      </c>
      <c r="F101">
        <v>680000</v>
      </c>
      <c r="G101" s="1">
        <v>42462</v>
      </c>
      <c r="H101" s="3">
        <f>2017-TRUNC(C101)</f>
        <v>6</v>
      </c>
      <c r="I101">
        <f>TRUNC(F101/100000)</f>
        <v>6</v>
      </c>
      <c r="J101">
        <f>D101-(D101*H101*0.05 + D101*I101*0.02)</f>
        <v>142100</v>
      </c>
      <c r="K101">
        <f>$P$3-G101</f>
        <v>274</v>
      </c>
    </row>
    <row r="102" spans="1:11" x14ac:dyDescent="0.25">
      <c r="A102" t="s">
        <v>197</v>
      </c>
      <c r="B102" t="s">
        <v>221</v>
      </c>
      <c r="C102">
        <v>2011</v>
      </c>
      <c r="D102">
        <v>245000</v>
      </c>
      <c r="E102" t="s">
        <v>107</v>
      </c>
      <c r="F102">
        <v>660000</v>
      </c>
      <c r="G102" s="1">
        <v>42462</v>
      </c>
      <c r="H102" s="3">
        <f>2017-TRUNC(C102)</f>
        <v>6</v>
      </c>
      <c r="I102">
        <f>TRUNC(F102/100000)</f>
        <v>6</v>
      </c>
      <c r="J102">
        <f>D102-(D102*H102*0.05 + D102*I102*0.02)</f>
        <v>142100</v>
      </c>
      <c r="K102">
        <f>$P$3-G102</f>
        <v>274</v>
      </c>
    </row>
    <row r="103" spans="1:11" x14ac:dyDescent="0.25">
      <c r="A103" t="s">
        <v>197</v>
      </c>
      <c r="B103" t="s">
        <v>221</v>
      </c>
      <c r="C103">
        <v>2011</v>
      </c>
      <c r="D103">
        <v>245000</v>
      </c>
      <c r="E103" t="s">
        <v>108</v>
      </c>
      <c r="F103">
        <v>630000</v>
      </c>
      <c r="G103" s="1">
        <v>42462</v>
      </c>
      <c r="H103" s="3">
        <f>2017-TRUNC(C103)</f>
        <v>6</v>
      </c>
      <c r="I103">
        <f>TRUNC(F103/100000)</f>
        <v>6</v>
      </c>
      <c r="J103">
        <f>D103-(D103*H103*0.05 + D103*I103*0.02)</f>
        <v>142100</v>
      </c>
      <c r="K103">
        <f>$P$3-G103</f>
        <v>274</v>
      </c>
    </row>
    <row r="104" spans="1:11" x14ac:dyDescent="0.25">
      <c r="A104" t="s">
        <v>197</v>
      </c>
      <c r="B104" t="s">
        <v>221</v>
      </c>
      <c r="C104">
        <v>2011</v>
      </c>
      <c r="D104">
        <v>245000</v>
      </c>
      <c r="E104" t="s">
        <v>109</v>
      </c>
      <c r="F104">
        <v>655000</v>
      </c>
      <c r="G104" s="1">
        <v>42462</v>
      </c>
      <c r="H104" s="3">
        <f>2017-TRUNC(C104)</f>
        <v>6</v>
      </c>
      <c r="I104">
        <f>TRUNC(F104/100000)</f>
        <v>6</v>
      </c>
      <c r="J104">
        <f>D104-(D104*H104*0.05 + D104*I104*0.02)</f>
        <v>142100</v>
      </c>
      <c r="K104">
        <f>$P$3-G104</f>
        <v>274</v>
      </c>
    </row>
    <row r="105" spans="1:11" x14ac:dyDescent="0.25">
      <c r="A105" t="s">
        <v>197</v>
      </c>
      <c r="B105" t="s">
        <v>221</v>
      </c>
      <c r="C105">
        <v>2011</v>
      </c>
      <c r="D105">
        <v>245000</v>
      </c>
      <c r="E105" t="s">
        <v>110</v>
      </c>
      <c r="F105">
        <v>590000</v>
      </c>
      <c r="G105" s="1">
        <v>42462</v>
      </c>
      <c r="H105" s="3">
        <f>2017-TRUNC(C105)</f>
        <v>6</v>
      </c>
      <c r="I105">
        <f>TRUNC(F105/100000)</f>
        <v>5</v>
      </c>
      <c r="J105">
        <f>D105-(D105*H105*0.05 + D105*I105*0.02)</f>
        <v>147000</v>
      </c>
      <c r="K105">
        <f>$P$3-G105</f>
        <v>274</v>
      </c>
    </row>
    <row r="106" spans="1:11" x14ac:dyDescent="0.25">
      <c r="A106" t="s">
        <v>189</v>
      </c>
      <c r="B106" t="s">
        <v>209</v>
      </c>
      <c r="C106">
        <v>2009</v>
      </c>
      <c r="D106">
        <v>195370</v>
      </c>
      <c r="E106" t="s">
        <v>57</v>
      </c>
      <c r="F106">
        <v>290000</v>
      </c>
      <c r="G106" s="1">
        <v>42467</v>
      </c>
      <c r="H106" s="3">
        <f>2017-TRUNC(C106)</f>
        <v>8</v>
      </c>
      <c r="I106">
        <f>TRUNC(F106/100000)</f>
        <v>2</v>
      </c>
      <c r="J106">
        <f>D106-(D106*H106*0.05 + D106*I106*0.02)</f>
        <v>109407.2</v>
      </c>
      <c r="K106">
        <f>$P$3-G106</f>
        <v>269</v>
      </c>
    </row>
    <row r="107" spans="1:11" x14ac:dyDescent="0.25">
      <c r="A107" t="s">
        <v>189</v>
      </c>
      <c r="B107" t="s">
        <v>209</v>
      </c>
      <c r="C107">
        <v>2012</v>
      </c>
      <c r="D107">
        <v>196370</v>
      </c>
      <c r="E107" t="s">
        <v>131</v>
      </c>
      <c r="F107">
        <v>286000</v>
      </c>
      <c r="G107" s="1">
        <v>42467</v>
      </c>
      <c r="H107" s="3">
        <f>2017-TRUNC(C107)</f>
        <v>5</v>
      </c>
      <c r="I107">
        <f>TRUNC(F107/100000)</f>
        <v>2</v>
      </c>
      <c r="J107">
        <f>D107-(D107*H107*0.05 + D107*I107*0.02)</f>
        <v>139422.70000000001</v>
      </c>
      <c r="K107">
        <f>$P$3-G107</f>
        <v>269</v>
      </c>
    </row>
    <row r="108" spans="1:11" x14ac:dyDescent="0.25">
      <c r="A108" t="s">
        <v>189</v>
      </c>
      <c r="B108" t="s">
        <v>204</v>
      </c>
      <c r="C108">
        <v>2012</v>
      </c>
      <c r="D108">
        <v>135502</v>
      </c>
      <c r="E108" t="s">
        <v>118</v>
      </c>
      <c r="F108">
        <v>247000</v>
      </c>
      <c r="G108" s="1">
        <v>42476</v>
      </c>
      <c r="H108" s="3">
        <f>2017-TRUNC(C108)</f>
        <v>5</v>
      </c>
      <c r="I108">
        <f>TRUNC(F108/100000)</f>
        <v>2</v>
      </c>
      <c r="J108">
        <f>D108-(D108*H108*0.05 + D108*I108*0.02)</f>
        <v>96206.42</v>
      </c>
      <c r="K108">
        <f>$P$3-G108</f>
        <v>260</v>
      </c>
    </row>
    <row r="109" spans="1:11" x14ac:dyDescent="0.25">
      <c r="A109" t="s">
        <v>189</v>
      </c>
      <c r="B109" t="s">
        <v>204</v>
      </c>
      <c r="C109">
        <v>2014</v>
      </c>
      <c r="D109">
        <v>136502</v>
      </c>
      <c r="E109" t="s">
        <v>163</v>
      </c>
      <c r="F109">
        <v>243000</v>
      </c>
      <c r="G109" s="1">
        <v>42476</v>
      </c>
      <c r="H109" s="3">
        <f>2017-TRUNC(C109)</f>
        <v>3</v>
      </c>
      <c r="I109">
        <f>TRUNC(F109/100000)</f>
        <v>2</v>
      </c>
      <c r="J109">
        <f>D109-(D109*H109*0.05 + D109*I109*0.02)</f>
        <v>110566.62</v>
      </c>
      <c r="K109">
        <f>$P$3-G109</f>
        <v>260</v>
      </c>
    </row>
    <row r="110" spans="1:11" x14ac:dyDescent="0.25">
      <c r="A110" t="s">
        <v>187</v>
      </c>
      <c r="B110" t="s">
        <v>212</v>
      </c>
      <c r="C110">
        <v>2011</v>
      </c>
      <c r="D110">
        <v>210000</v>
      </c>
      <c r="E110" t="s">
        <v>96</v>
      </c>
      <c r="F110">
        <v>780000</v>
      </c>
      <c r="G110" s="1">
        <v>42481</v>
      </c>
      <c r="H110" s="3">
        <f>2017-TRUNC(C110)</f>
        <v>6</v>
      </c>
      <c r="I110">
        <f>TRUNC(F110/100000)</f>
        <v>7</v>
      </c>
      <c r="J110">
        <f>D110-(D110*H110*0.05 + D110*I110*0.02)</f>
        <v>117600</v>
      </c>
      <c r="K110">
        <f>$P$3-G110</f>
        <v>255</v>
      </c>
    </row>
    <row r="111" spans="1:11" x14ac:dyDescent="0.25">
      <c r="A111" t="s">
        <v>187</v>
      </c>
      <c r="B111" t="s">
        <v>212</v>
      </c>
      <c r="C111">
        <v>2011</v>
      </c>
      <c r="D111">
        <v>210000</v>
      </c>
      <c r="E111" t="s">
        <v>97</v>
      </c>
      <c r="F111">
        <v>760300</v>
      </c>
      <c r="G111" s="1">
        <v>42481</v>
      </c>
      <c r="H111" s="3">
        <f>2017-TRUNC(C111)</f>
        <v>6</v>
      </c>
      <c r="I111">
        <f>TRUNC(F111/100000)</f>
        <v>7</v>
      </c>
      <c r="J111">
        <f>D111-(D111*H111*0.05 + D111*I111*0.02)</f>
        <v>117600</v>
      </c>
      <c r="K111">
        <f>$P$3-G111</f>
        <v>255</v>
      </c>
    </row>
    <row r="112" spans="1:11" x14ac:dyDescent="0.25">
      <c r="A112" t="s">
        <v>187</v>
      </c>
      <c r="B112" t="s">
        <v>212</v>
      </c>
      <c r="C112">
        <v>2011</v>
      </c>
      <c r="D112">
        <v>210000</v>
      </c>
      <c r="E112" t="s">
        <v>98</v>
      </c>
      <c r="F112">
        <v>680000</v>
      </c>
      <c r="G112" s="1">
        <v>42481</v>
      </c>
      <c r="H112" s="3">
        <f>2017-TRUNC(C112)</f>
        <v>6</v>
      </c>
      <c r="I112">
        <f>TRUNC(F112/100000)</f>
        <v>6</v>
      </c>
      <c r="J112">
        <f>D112-(D112*H112*0.05 + D112*I112*0.02)</f>
        <v>121800</v>
      </c>
      <c r="K112">
        <f>$P$3-G112</f>
        <v>255</v>
      </c>
    </row>
    <row r="113" spans="1:11" x14ac:dyDescent="0.25">
      <c r="A113" t="s">
        <v>187</v>
      </c>
      <c r="B113" t="s">
        <v>212</v>
      </c>
      <c r="C113">
        <v>2011</v>
      </c>
      <c r="D113">
        <v>210000</v>
      </c>
      <c r="E113" t="s">
        <v>99</v>
      </c>
      <c r="F113">
        <v>655000</v>
      </c>
      <c r="G113" s="1">
        <v>42481</v>
      </c>
      <c r="H113" s="3">
        <f>2017-TRUNC(C113)</f>
        <v>6</v>
      </c>
      <c r="I113">
        <f>TRUNC(F113/100000)</f>
        <v>6</v>
      </c>
      <c r="J113">
        <f>D113-(D113*H113*0.05 + D113*I113*0.02)</f>
        <v>121800</v>
      </c>
      <c r="K113">
        <f>$P$3-G113</f>
        <v>255</v>
      </c>
    </row>
    <row r="114" spans="1:11" x14ac:dyDescent="0.25">
      <c r="A114" t="s">
        <v>187</v>
      </c>
      <c r="B114" t="s">
        <v>188</v>
      </c>
      <c r="C114">
        <v>2007</v>
      </c>
      <c r="D114">
        <v>205000</v>
      </c>
      <c r="E114" t="s">
        <v>13</v>
      </c>
      <c r="F114">
        <v>1260000</v>
      </c>
      <c r="G114" s="1">
        <v>42483</v>
      </c>
      <c r="H114" s="3">
        <f>2017-TRUNC(C114)</f>
        <v>10</v>
      </c>
      <c r="I114">
        <f>TRUNC(F114/100000)</f>
        <v>12</v>
      </c>
      <c r="J114">
        <f>D114-(D114*H114*0.05 + D114*I114*0.02)</f>
        <v>53300</v>
      </c>
      <c r="K114">
        <f>$P$3-G114</f>
        <v>253</v>
      </c>
    </row>
    <row r="115" spans="1:11" x14ac:dyDescent="0.25">
      <c r="A115" t="s">
        <v>189</v>
      </c>
      <c r="B115" t="s">
        <v>190</v>
      </c>
      <c r="C115">
        <v>2007</v>
      </c>
      <c r="D115">
        <v>198000</v>
      </c>
      <c r="E115" t="s">
        <v>15</v>
      </c>
      <c r="F115">
        <v>890200</v>
      </c>
      <c r="G115" s="1">
        <v>42520</v>
      </c>
      <c r="H115" s="3">
        <f>2017-TRUNC(C115)</f>
        <v>10</v>
      </c>
      <c r="I115">
        <f>TRUNC(F115/100000)</f>
        <v>8</v>
      </c>
      <c r="J115">
        <f>D115-(D115*H115*0.05 + D115*I115*0.02)</f>
        <v>67320</v>
      </c>
      <c r="K115">
        <f>$P$3-G115</f>
        <v>216</v>
      </c>
    </row>
    <row r="116" spans="1:11" x14ac:dyDescent="0.25">
      <c r="A116" t="s">
        <v>189</v>
      </c>
      <c r="B116" t="s">
        <v>225</v>
      </c>
      <c r="C116">
        <v>2012</v>
      </c>
      <c r="D116">
        <v>210300</v>
      </c>
      <c r="E116" t="s">
        <v>134</v>
      </c>
      <c r="F116">
        <v>417671</v>
      </c>
      <c r="G116" s="1">
        <v>42520</v>
      </c>
      <c r="H116" s="3">
        <f>2017-TRUNC(C116)</f>
        <v>5</v>
      </c>
      <c r="I116">
        <f>TRUNC(F116/100000)</f>
        <v>4</v>
      </c>
      <c r="J116">
        <f>D116-(D116*H116*0.05 + D116*I116*0.02)</f>
        <v>140901</v>
      </c>
      <c r="K116">
        <f>$P$3-G116</f>
        <v>216</v>
      </c>
    </row>
    <row r="117" spans="1:11" x14ac:dyDescent="0.25">
      <c r="A117" t="s">
        <v>189</v>
      </c>
      <c r="B117" t="s">
        <v>227</v>
      </c>
      <c r="C117">
        <v>2013</v>
      </c>
      <c r="D117">
        <v>271000</v>
      </c>
      <c r="E117" t="s">
        <v>159</v>
      </c>
      <c r="F117">
        <v>123000</v>
      </c>
      <c r="G117" s="1">
        <v>42520</v>
      </c>
      <c r="H117" s="3">
        <f>2017-TRUNC(C117)</f>
        <v>4</v>
      </c>
      <c r="I117">
        <f>TRUNC(F117/100000)</f>
        <v>1</v>
      </c>
      <c r="J117">
        <f>D117-(D117*H117*0.05 + D117*I117*0.02)</f>
        <v>211380</v>
      </c>
      <c r="K117">
        <f>$P$3-G117</f>
        <v>216</v>
      </c>
    </row>
    <row r="118" spans="1:11" x14ac:dyDescent="0.25">
      <c r="A118" t="s">
        <v>189</v>
      </c>
      <c r="B118" t="s">
        <v>204</v>
      </c>
      <c r="C118">
        <v>2009</v>
      </c>
      <c r="D118">
        <v>159000</v>
      </c>
      <c r="E118" t="s">
        <v>52</v>
      </c>
      <c r="F118">
        <v>403000</v>
      </c>
      <c r="G118" s="1">
        <v>42681</v>
      </c>
      <c r="H118" s="3">
        <f>2017-TRUNC(C118)</f>
        <v>8</v>
      </c>
      <c r="I118">
        <f>TRUNC(F118/100000)</f>
        <v>4</v>
      </c>
      <c r="J118">
        <f>D118-(D118*H118*0.05 + D118*I118*0.02)</f>
        <v>82680</v>
      </c>
      <c r="K118">
        <f>$P$3-G118</f>
        <v>55</v>
      </c>
    </row>
    <row r="119" spans="1:11" x14ac:dyDescent="0.25">
      <c r="A119" t="s">
        <v>189</v>
      </c>
      <c r="B119" t="s">
        <v>204</v>
      </c>
      <c r="C119">
        <v>2013</v>
      </c>
      <c r="D119">
        <v>158000</v>
      </c>
      <c r="E119" t="s">
        <v>148</v>
      </c>
      <c r="F119">
        <v>407000</v>
      </c>
      <c r="G119" s="1">
        <v>42681</v>
      </c>
      <c r="H119" s="3">
        <f>2017-TRUNC(C119)</f>
        <v>4</v>
      </c>
      <c r="I119">
        <f>TRUNC(F119/100000)</f>
        <v>4</v>
      </c>
      <c r="J119">
        <f>D119-(D119*H119*0.05 + D119*I119*0.02)</f>
        <v>113760</v>
      </c>
      <c r="K119">
        <f>$P$3-G119</f>
        <v>55</v>
      </c>
    </row>
    <row r="120" spans="1:11" x14ac:dyDescent="0.25">
      <c r="A120" t="s">
        <v>206</v>
      </c>
      <c r="B120" t="s">
        <v>226</v>
      </c>
      <c r="C120">
        <v>2014</v>
      </c>
      <c r="D120">
        <v>240000</v>
      </c>
      <c r="E120" t="s">
        <v>166</v>
      </c>
      <c r="F120">
        <v>183788</v>
      </c>
      <c r="G120" s="1">
        <v>42681</v>
      </c>
      <c r="H120" s="3">
        <f>2017-TRUNC(C120)</f>
        <v>3</v>
      </c>
      <c r="I120">
        <f>TRUNC(F120/100000)</f>
        <v>1</v>
      </c>
      <c r="J120">
        <f>D120-(D120*H120*0.05 + D120*I120*0.02)</f>
        <v>199200</v>
      </c>
      <c r="K120">
        <f>$P$3-G120</f>
        <v>55</v>
      </c>
    </row>
    <row r="121" spans="1:11" x14ac:dyDescent="0.25">
      <c r="A121" t="s">
        <v>206</v>
      </c>
      <c r="B121" t="s">
        <v>226</v>
      </c>
      <c r="C121">
        <v>2014</v>
      </c>
      <c r="D121">
        <v>240000</v>
      </c>
      <c r="E121" t="s">
        <v>167</v>
      </c>
      <c r="F121">
        <v>160198</v>
      </c>
      <c r="G121" s="1">
        <v>42681</v>
      </c>
      <c r="H121" s="3">
        <f>2017-TRUNC(C121)</f>
        <v>3</v>
      </c>
      <c r="I121">
        <f>TRUNC(F121/100000)</f>
        <v>1</v>
      </c>
      <c r="J121">
        <f>D121-(D121*H121*0.05 + D121*I121*0.02)</f>
        <v>199200</v>
      </c>
      <c r="K121">
        <f>$P$3-G121</f>
        <v>55</v>
      </c>
    </row>
    <row r="122" spans="1:11" x14ac:dyDescent="0.25">
      <c r="A122" t="s">
        <v>206</v>
      </c>
      <c r="B122" t="s">
        <v>226</v>
      </c>
      <c r="C122">
        <v>2014</v>
      </c>
      <c r="D122">
        <v>240000</v>
      </c>
      <c r="E122" t="s">
        <v>168</v>
      </c>
      <c r="F122">
        <v>156724</v>
      </c>
      <c r="G122" s="1">
        <v>42681</v>
      </c>
      <c r="H122" s="3">
        <f>2017-TRUNC(C122)</f>
        <v>3</v>
      </c>
      <c r="I122">
        <f>TRUNC(F122/100000)</f>
        <v>1</v>
      </c>
      <c r="J122">
        <f>D122-(D122*H122*0.05 + D122*I122*0.02)</f>
        <v>199200</v>
      </c>
      <c r="K122">
        <f>$P$3-G122</f>
        <v>55</v>
      </c>
    </row>
    <row r="123" spans="1:11" x14ac:dyDescent="0.25">
      <c r="A123" t="s">
        <v>206</v>
      </c>
      <c r="B123" t="s">
        <v>226</v>
      </c>
      <c r="C123">
        <v>2013</v>
      </c>
      <c r="D123">
        <v>240000</v>
      </c>
      <c r="E123" t="s">
        <v>149</v>
      </c>
      <c r="F123">
        <v>301232</v>
      </c>
      <c r="G123" s="1">
        <v>42719</v>
      </c>
      <c r="H123" s="3">
        <f>2017-TRUNC(C123)</f>
        <v>4</v>
      </c>
      <c r="I123">
        <f>TRUNC(F123/100000)</f>
        <v>3</v>
      </c>
      <c r="J123">
        <f>D123-(D123*H123*0.05 + D123*I123*0.02)</f>
        <v>177600</v>
      </c>
      <c r="K123">
        <f>$P$3-G123</f>
        <v>17</v>
      </c>
    </row>
    <row r="124" spans="1:11" x14ac:dyDescent="0.25">
      <c r="A124" t="s">
        <v>206</v>
      </c>
      <c r="B124" t="s">
        <v>226</v>
      </c>
      <c r="C124">
        <v>2013</v>
      </c>
      <c r="D124">
        <v>240000</v>
      </c>
      <c r="E124" t="s">
        <v>150</v>
      </c>
      <c r="F124">
        <v>289567</v>
      </c>
      <c r="G124" s="1">
        <v>42719</v>
      </c>
      <c r="H124" s="3">
        <f>2017-TRUNC(C124)</f>
        <v>4</v>
      </c>
      <c r="I124">
        <f>TRUNC(F124/100000)</f>
        <v>2</v>
      </c>
      <c r="J124">
        <f>D124-(D124*H124*0.05 + D124*I124*0.02)</f>
        <v>182400</v>
      </c>
      <c r="K124">
        <f>$P$3-G124</f>
        <v>17</v>
      </c>
    </row>
    <row r="125" spans="1:11" x14ac:dyDescent="0.25">
      <c r="A125" t="s">
        <v>206</v>
      </c>
      <c r="B125" t="s">
        <v>226</v>
      </c>
      <c r="C125">
        <v>2013</v>
      </c>
      <c r="D125">
        <v>240000</v>
      </c>
      <c r="E125" t="s">
        <v>151</v>
      </c>
      <c r="F125">
        <v>245211</v>
      </c>
      <c r="G125" s="1">
        <v>42719</v>
      </c>
      <c r="H125" s="3">
        <f>2017-TRUNC(C125)</f>
        <v>4</v>
      </c>
      <c r="I125">
        <f>TRUNC(F125/100000)</f>
        <v>2</v>
      </c>
      <c r="J125">
        <f>D125-(D125*H125*0.05 + D125*I125*0.02)</f>
        <v>182400</v>
      </c>
      <c r="K125">
        <f>$P$3-G125</f>
        <v>17</v>
      </c>
    </row>
    <row r="126" spans="1:11" x14ac:dyDescent="0.25">
      <c r="A126" t="s">
        <v>206</v>
      </c>
      <c r="B126" t="s">
        <v>226</v>
      </c>
      <c r="C126">
        <v>2013</v>
      </c>
      <c r="D126">
        <v>240000</v>
      </c>
      <c r="E126" t="s">
        <v>152</v>
      </c>
      <c r="F126">
        <v>200123</v>
      </c>
      <c r="G126" s="1">
        <v>42719</v>
      </c>
      <c r="H126" s="3">
        <f>2017-TRUNC(C126)</f>
        <v>4</v>
      </c>
      <c r="I126">
        <f>TRUNC(F126/100000)</f>
        <v>2</v>
      </c>
      <c r="J126">
        <f>D126-(D126*H126*0.05 + D126*I126*0.02)</f>
        <v>182400</v>
      </c>
      <c r="K126">
        <f>$P$3-G126</f>
        <v>17</v>
      </c>
    </row>
    <row r="127" spans="1:11" x14ac:dyDescent="0.25">
      <c r="A127" t="s">
        <v>206</v>
      </c>
      <c r="B127" t="s">
        <v>226</v>
      </c>
      <c r="C127">
        <v>2013</v>
      </c>
      <c r="D127">
        <v>240000</v>
      </c>
      <c r="E127" t="s">
        <v>153</v>
      </c>
      <c r="F127">
        <v>235811</v>
      </c>
      <c r="G127" s="1">
        <v>42719</v>
      </c>
      <c r="H127" s="3">
        <f>2017-TRUNC(C127)</f>
        <v>4</v>
      </c>
      <c r="I127">
        <f>TRUNC(F127/100000)</f>
        <v>2</v>
      </c>
      <c r="J127">
        <f>D127-(D127*H127*0.05 + D127*I127*0.02)</f>
        <v>182400</v>
      </c>
      <c r="K127">
        <f>$P$3-G127</f>
        <v>17</v>
      </c>
    </row>
    <row r="128" spans="1:11" x14ac:dyDescent="0.25">
      <c r="A128" t="s">
        <v>206</v>
      </c>
      <c r="B128" t="s">
        <v>226</v>
      </c>
      <c r="C128">
        <v>2013</v>
      </c>
      <c r="D128">
        <v>240000</v>
      </c>
      <c r="E128" t="s">
        <v>154</v>
      </c>
      <c r="F128">
        <v>250021</v>
      </c>
      <c r="G128" s="1">
        <v>42719</v>
      </c>
      <c r="H128" s="3">
        <f>2017-TRUNC(C128)</f>
        <v>4</v>
      </c>
      <c r="I128">
        <f>TRUNC(F128/100000)</f>
        <v>2</v>
      </c>
      <c r="J128">
        <f>D128-(D128*H128*0.05 + D128*I128*0.02)</f>
        <v>182400</v>
      </c>
      <c r="K128">
        <f>$P$3-G128</f>
        <v>17</v>
      </c>
    </row>
    <row r="129" spans="1:11" x14ac:dyDescent="0.25">
      <c r="A129" t="s">
        <v>206</v>
      </c>
      <c r="B129" t="s">
        <v>226</v>
      </c>
      <c r="C129">
        <v>2013</v>
      </c>
      <c r="D129">
        <v>240000</v>
      </c>
      <c r="E129" t="s">
        <v>155</v>
      </c>
      <c r="F129">
        <v>198340</v>
      </c>
      <c r="G129" s="1">
        <v>42719</v>
      </c>
      <c r="H129" s="3">
        <f>2017-TRUNC(C129)</f>
        <v>4</v>
      </c>
      <c r="I129">
        <f>TRUNC(F129/100000)</f>
        <v>1</v>
      </c>
      <c r="J129">
        <f>D129-(D129*H129*0.05 + D129*I129*0.02)</f>
        <v>187200</v>
      </c>
      <c r="K129">
        <f>$P$3-G129</f>
        <v>17</v>
      </c>
    </row>
    <row r="130" spans="1:11" x14ac:dyDescent="0.25">
      <c r="A130" t="s">
        <v>206</v>
      </c>
      <c r="B130" t="s">
        <v>226</v>
      </c>
      <c r="C130">
        <v>2013</v>
      </c>
      <c r="D130">
        <v>240000</v>
      </c>
      <c r="E130" t="s">
        <v>156</v>
      </c>
      <c r="F130">
        <v>189761</v>
      </c>
      <c r="G130" s="1">
        <v>42719</v>
      </c>
      <c r="H130" s="3">
        <f>2017-TRUNC(C130)</f>
        <v>4</v>
      </c>
      <c r="I130">
        <f>TRUNC(F130/100000)</f>
        <v>1</v>
      </c>
      <c r="J130">
        <f>D130-(D130*H130*0.05 + D130*I130*0.02)</f>
        <v>187200</v>
      </c>
      <c r="K130">
        <f>$P$3-G130</f>
        <v>17</v>
      </c>
    </row>
    <row r="131" spans="1:11" x14ac:dyDescent="0.25">
      <c r="A131" t="s">
        <v>191</v>
      </c>
      <c r="B131" t="s">
        <v>229</v>
      </c>
      <c r="C131">
        <v>2015</v>
      </c>
      <c r="D131">
        <v>360000</v>
      </c>
      <c r="E131" t="s">
        <v>173</v>
      </c>
      <c r="F131">
        <v>100000</v>
      </c>
      <c r="G131" s="1">
        <v>42734</v>
      </c>
      <c r="H131" s="3">
        <f>2017-TRUNC(C131)</f>
        <v>2</v>
      </c>
      <c r="I131">
        <f>TRUNC(F131/100000)</f>
        <v>1</v>
      </c>
      <c r="J131">
        <f>D131-(D131*H131*0.05 + D131*I131*0.02)</f>
        <v>316800</v>
      </c>
      <c r="K131">
        <f>$P$3-G131</f>
        <v>2</v>
      </c>
    </row>
    <row r="132" spans="1:11" x14ac:dyDescent="0.25">
      <c r="A132" t="s">
        <v>191</v>
      </c>
      <c r="B132" t="s">
        <v>229</v>
      </c>
      <c r="C132">
        <v>2015</v>
      </c>
      <c r="D132">
        <v>360000</v>
      </c>
      <c r="E132" t="s">
        <v>174</v>
      </c>
      <c r="F132">
        <v>115000</v>
      </c>
      <c r="G132" s="1">
        <v>42734</v>
      </c>
      <c r="H132" s="3">
        <f>2017-TRUNC(C132)</f>
        <v>2</v>
      </c>
      <c r="I132">
        <f>TRUNC(F132/100000)</f>
        <v>1</v>
      </c>
      <c r="J132">
        <f>D132-(D132*H132*0.05 + D132*I132*0.02)</f>
        <v>316800</v>
      </c>
      <c r="K132">
        <f>$P$3-G132</f>
        <v>2</v>
      </c>
    </row>
    <row r="133" spans="1:11" x14ac:dyDescent="0.25">
      <c r="A133" t="s">
        <v>191</v>
      </c>
      <c r="B133" t="s">
        <v>229</v>
      </c>
      <c r="C133">
        <v>2015</v>
      </c>
      <c r="D133">
        <v>360000</v>
      </c>
      <c r="E133" t="s">
        <v>175</v>
      </c>
      <c r="F133">
        <v>132000</v>
      </c>
      <c r="G133" s="1">
        <v>42734</v>
      </c>
      <c r="H133" s="3">
        <f>2017-TRUNC(C133)</f>
        <v>2</v>
      </c>
      <c r="I133">
        <f>TRUNC(F133/100000)</f>
        <v>1</v>
      </c>
      <c r="J133">
        <f>D133-(D133*H133*0.05 + D133*I133*0.02)</f>
        <v>316800</v>
      </c>
      <c r="K133">
        <f>$P$3-G133</f>
        <v>2</v>
      </c>
    </row>
    <row r="134" spans="1:11" x14ac:dyDescent="0.25">
      <c r="A134" t="s">
        <v>191</v>
      </c>
      <c r="B134" t="s">
        <v>229</v>
      </c>
      <c r="C134">
        <v>2015</v>
      </c>
      <c r="D134">
        <v>360000</v>
      </c>
      <c r="E134" t="s">
        <v>176</v>
      </c>
      <c r="F134">
        <v>108000</v>
      </c>
      <c r="G134" s="1">
        <v>42734</v>
      </c>
      <c r="H134" s="3">
        <f>2017-TRUNC(C134)</f>
        <v>2</v>
      </c>
      <c r="I134">
        <f>TRUNC(F134/100000)</f>
        <v>1</v>
      </c>
      <c r="J134">
        <f>D134-(D134*H134*0.05 + D134*I134*0.02)</f>
        <v>316800</v>
      </c>
      <c r="K134">
        <f>$P$3-G134</f>
        <v>2</v>
      </c>
    </row>
    <row r="135" spans="1:11" x14ac:dyDescent="0.25">
      <c r="A135" t="s">
        <v>191</v>
      </c>
      <c r="B135" t="s">
        <v>229</v>
      </c>
      <c r="C135">
        <v>2015</v>
      </c>
      <c r="D135">
        <v>360000</v>
      </c>
      <c r="E135" t="s">
        <v>177</v>
      </c>
      <c r="F135">
        <v>140000</v>
      </c>
      <c r="G135" s="1">
        <v>42734</v>
      </c>
      <c r="H135" s="3">
        <f>2017-TRUNC(C135)</f>
        <v>2</v>
      </c>
      <c r="I135">
        <f>TRUNC(F135/100000)</f>
        <v>1</v>
      </c>
      <c r="J135">
        <f>D135-(D135*H135*0.05 + D135*I135*0.02)</f>
        <v>316800</v>
      </c>
      <c r="K135">
        <f>$P$3-G135</f>
        <v>2</v>
      </c>
    </row>
  </sheetData>
  <sortState xmlns:xlrd2="http://schemas.microsoft.com/office/spreadsheetml/2017/richdata2" ref="A2:K135">
    <sortCondition descending="1" ref="K2:K13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5.1</vt:lpstr>
      <vt:lpstr>5.2</vt:lpstr>
      <vt:lpstr>5.3</vt:lpstr>
      <vt:lpstr>5,4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2025-09-30T06:41:01Z</dcterms:created>
  <dcterms:modified xsi:type="dcterms:W3CDTF">2025-09-30T07:23:08Z</dcterms:modified>
</cp:coreProperties>
</file>