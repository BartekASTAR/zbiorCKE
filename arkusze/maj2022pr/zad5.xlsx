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arkusze\maj2022pr\"/>
    </mc:Choice>
  </mc:AlternateContent>
  <xr:revisionPtr revIDLastSave="0" documentId="13_ncr:1_{7ED83C66-C080-4CBB-B1E7-11F97B28A590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temperatury" sheetId="2" r:id="rId1"/>
    <sheet name="5.1" sheetId="3" r:id="rId2"/>
    <sheet name="5.2" sheetId="4" r:id="rId3"/>
    <sheet name="5.3" sheetId="5" r:id="rId4"/>
    <sheet name="5.4" sheetId="6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6" l="1"/>
  <c r="H1" i="6"/>
  <c r="G1" i="6"/>
  <c r="G122" i="6" s="1"/>
  <c r="F1" i="6"/>
  <c r="F111" i="6" s="1"/>
  <c r="C97" i="6"/>
  <c r="D97" i="6"/>
  <c r="G97" i="6" s="1"/>
  <c r="E97" i="6"/>
  <c r="H97" i="6" s="1"/>
  <c r="F97" i="6"/>
  <c r="C98" i="6"/>
  <c r="D98" i="6"/>
  <c r="E98" i="6"/>
  <c r="F98" i="6"/>
  <c r="G98" i="6"/>
  <c r="H98" i="6"/>
  <c r="C99" i="6"/>
  <c r="D99" i="6"/>
  <c r="E99" i="6"/>
  <c r="F99" i="6"/>
  <c r="G99" i="6"/>
  <c r="H99" i="6"/>
  <c r="C100" i="6"/>
  <c r="D100" i="6"/>
  <c r="E100" i="6"/>
  <c r="F100" i="6"/>
  <c r="G100" i="6"/>
  <c r="H100" i="6"/>
  <c r="C101" i="6"/>
  <c r="D101" i="6"/>
  <c r="G101" i="6" s="1"/>
  <c r="E101" i="6"/>
  <c r="C102" i="6"/>
  <c r="D102" i="6"/>
  <c r="E102" i="6"/>
  <c r="G102" i="6"/>
  <c r="H102" i="6"/>
  <c r="C103" i="6"/>
  <c r="D103" i="6"/>
  <c r="E103" i="6"/>
  <c r="F103" i="6"/>
  <c r="G103" i="6"/>
  <c r="H103" i="6"/>
  <c r="C104" i="6"/>
  <c r="D104" i="6"/>
  <c r="E104" i="6"/>
  <c r="F104" i="6"/>
  <c r="G104" i="6"/>
  <c r="H104" i="6"/>
  <c r="C105" i="6"/>
  <c r="D105" i="6"/>
  <c r="E105" i="6"/>
  <c r="F105" i="6"/>
  <c r="G105" i="6"/>
  <c r="H105" i="6"/>
  <c r="C106" i="6"/>
  <c r="F106" i="6" s="1"/>
  <c r="D106" i="6"/>
  <c r="G106" i="6" s="1"/>
  <c r="E106" i="6"/>
  <c r="H106" i="6"/>
  <c r="C107" i="6"/>
  <c r="D107" i="6"/>
  <c r="E107" i="6"/>
  <c r="F107" i="6"/>
  <c r="G107" i="6"/>
  <c r="H107" i="6"/>
  <c r="C108" i="6"/>
  <c r="D108" i="6"/>
  <c r="E108" i="6"/>
  <c r="F108" i="6"/>
  <c r="G108" i="6"/>
  <c r="H108" i="6"/>
  <c r="C109" i="6"/>
  <c r="D109" i="6"/>
  <c r="E109" i="6"/>
  <c r="F109" i="6"/>
  <c r="G109" i="6"/>
  <c r="H109" i="6"/>
  <c r="C110" i="6"/>
  <c r="D110" i="6"/>
  <c r="E110" i="6"/>
  <c r="F110" i="6"/>
  <c r="G110" i="6"/>
  <c r="H110" i="6"/>
  <c r="C111" i="6"/>
  <c r="D111" i="6"/>
  <c r="E111" i="6"/>
  <c r="H111" i="6" s="1"/>
  <c r="G111" i="6"/>
  <c r="C112" i="6"/>
  <c r="D112" i="6"/>
  <c r="E112" i="6"/>
  <c r="F112" i="6"/>
  <c r="G112" i="6"/>
  <c r="H112" i="6"/>
  <c r="C113" i="6"/>
  <c r="D113" i="6"/>
  <c r="E113" i="6"/>
  <c r="F113" i="6"/>
  <c r="G113" i="6"/>
  <c r="H113" i="6"/>
  <c r="C114" i="6"/>
  <c r="D114" i="6"/>
  <c r="E114" i="6"/>
  <c r="F114" i="6"/>
  <c r="G114" i="6"/>
  <c r="H114" i="6"/>
  <c r="C115" i="6"/>
  <c r="D115" i="6"/>
  <c r="G115" i="6" s="1"/>
  <c r="E115" i="6"/>
  <c r="H115" i="6" s="1"/>
  <c r="F115" i="6"/>
  <c r="C116" i="6"/>
  <c r="F116" i="6" s="1"/>
  <c r="D116" i="6"/>
  <c r="E116" i="6"/>
  <c r="G116" i="6"/>
  <c r="H116" i="6"/>
  <c r="C117" i="6"/>
  <c r="D117" i="6"/>
  <c r="E117" i="6"/>
  <c r="G117" i="6"/>
  <c r="H117" i="6"/>
  <c r="C118" i="6"/>
  <c r="D118" i="6"/>
  <c r="E118" i="6"/>
  <c r="F118" i="6"/>
  <c r="G118" i="6"/>
  <c r="H118" i="6"/>
  <c r="C119" i="6"/>
  <c r="D119" i="6"/>
  <c r="E119" i="6"/>
  <c r="F119" i="6"/>
  <c r="G119" i="6"/>
  <c r="H119" i="6"/>
  <c r="C120" i="6"/>
  <c r="F120" i="6" s="1"/>
  <c r="D120" i="6"/>
  <c r="G120" i="6" s="1"/>
  <c r="E120" i="6"/>
  <c r="H120" i="6"/>
  <c r="C121" i="6"/>
  <c r="D121" i="6"/>
  <c r="E121" i="6"/>
  <c r="F121" i="6"/>
  <c r="G121" i="6"/>
  <c r="H121" i="6"/>
  <c r="C122" i="6"/>
  <c r="D122" i="6"/>
  <c r="E122" i="6"/>
  <c r="H122" i="6"/>
  <c r="C123" i="6"/>
  <c r="D123" i="6"/>
  <c r="E123" i="6"/>
  <c r="F123" i="6"/>
  <c r="G123" i="6"/>
  <c r="H123" i="6"/>
  <c r="C124" i="6"/>
  <c r="D124" i="6"/>
  <c r="E124" i="6"/>
  <c r="F124" i="6"/>
  <c r="G124" i="6"/>
  <c r="H124" i="6"/>
  <c r="B97" i="6"/>
  <c r="B98" i="6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96" i="6"/>
  <c r="C96" i="6"/>
  <c r="F96" i="6" s="1"/>
  <c r="D96" i="6"/>
  <c r="G96" i="6"/>
  <c r="E96" i="6"/>
  <c r="H96" i="6" s="1"/>
  <c r="C95" i="6"/>
  <c r="F95" i="6" s="1"/>
  <c r="D95" i="6"/>
  <c r="G95" i="6"/>
  <c r="E95" i="6"/>
  <c r="H95" i="6" s="1"/>
  <c r="E94" i="6"/>
  <c r="H94" i="6" s="1"/>
  <c r="D94" i="6"/>
  <c r="G94" i="6" s="1"/>
  <c r="C94" i="6"/>
  <c r="E93" i="6"/>
  <c r="D93" i="6"/>
  <c r="C93" i="6"/>
  <c r="E92" i="6"/>
  <c r="H92" i="6" s="1"/>
  <c r="D92" i="6"/>
  <c r="G92" i="6" s="1"/>
  <c r="C92" i="6"/>
  <c r="F92" i="6" s="1"/>
  <c r="E91" i="6"/>
  <c r="H91" i="6" s="1"/>
  <c r="D91" i="6"/>
  <c r="G91" i="6" s="1"/>
  <c r="C91" i="6"/>
  <c r="F91" i="6" s="1"/>
  <c r="E90" i="6"/>
  <c r="H90" i="6" s="1"/>
  <c r="D90" i="6"/>
  <c r="G90" i="6" s="1"/>
  <c r="C90" i="6"/>
  <c r="F90" i="6" s="1"/>
  <c r="E89" i="6"/>
  <c r="H89" i="6" s="1"/>
  <c r="D89" i="6"/>
  <c r="G89" i="6" s="1"/>
  <c r="C89" i="6"/>
  <c r="F89" i="6" s="1"/>
  <c r="E88" i="6"/>
  <c r="H88" i="6" s="1"/>
  <c r="D88" i="6"/>
  <c r="G88" i="6" s="1"/>
  <c r="C88" i="6"/>
  <c r="F88" i="6" s="1"/>
  <c r="F87" i="6"/>
  <c r="E87" i="6"/>
  <c r="H87" i="6" s="1"/>
  <c r="D87" i="6"/>
  <c r="G87" i="6" s="1"/>
  <c r="C87" i="6"/>
  <c r="E86" i="6"/>
  <c r="H86" i="6" s="1"/>
  <c r="D86" i="6"/>
  <c r="G86" i="6" s="1"/>
  <c r="C86" i="6"/>
  <c r="F86" i="6" s="1"/>
  <c r="E85" i="6"/>
  <c r="H85" i="6" s="1"/>
  <c r="D85" i="6"/>
  <c r="G85" i="6" s="1"/>
  <c r="C85" i="6"/>
  <c r="E84" i="6"/>
  <c r="D84" i="6"/>
  <c r="C84" i="6"/>
  <c r="E83" i="6"/>
  <c r="H83" i="6" s="1"/>
  <c r="D83" i="6"/>
  <c r="G83" i="6" s="1"/>
  <c r="C83" i="6"/>
  <c r="F83" i="6" s="1"/>
  <c r="E82" i="6"/>
  <c r="H82" i="6" s="1"/>
  <c r="D82" i="6"/>
  <c r="G82" i="6" s="1"/>
  <c r="C82" i="6"/>
  <c r="F82" i="6" s="1"/>
  <c r="E81" i="6"/>
  <c r="H81" i="6" s="1"/>
  <c r="D81" i="6"/>
  <c r="G81" i="6" s="1"/>
  <c r="C81" i="6"/>
  <c r="F81" i="6" s="1"/>
  <c r="E80" i="6"/>
  <c r="H80" i="6" s="1"/>
  <c r="D80" i="6"/>
  <c r="G80" i="6" s="1"/>
  <c r="C80" i="6"/>
  <c r="F80" i="6" s="1"/>
  <c r="G79" i="6"/>
  <c r="F79" i="6"/>
  <c r="E79" i="6"/>
  <c r="H79" i="6" s="1"/>
  <c r="D79" i="6"/>
  <c r="C79" i="6"/>
  <c r="E78" i="6"/>
  <c r="H78" i="6" s="1"/>
  <c r="D78" i="6"/>
  <c r="G78" i="6" s="1"/>
  <c r="C78" i="6"/>
  <c r="F78" i="6" s="1"/>
  <c r="E77" i="6"/>
  <c r="H77" i="6" s="1"/>
  <c r="D77" i="6"/>
  <c r="G77" i="6" s="1"/>
  <c r="C77" i="6"/>
  <c r="E76" i="6"/>
  <c r="H76" i="6" s="1"/>
  <c r="D76" i="6"/>
  <c r="C76" i="6"/>
  <c r="E75" i="6"/>
  <c r="H75" i="6" s="1"/>
  <c r="D75" i="6"/>
  <c r="G75" i="6" s="1"/>
  <c r="C75" i="6"/>
  <c r="F75" i="6" s="1"/>
  <c r="E74" i="6"/>
  <c r="H74" i="6" s="1"/>
  <c r="D74" i="6"/>
  <c r="G74" i="6" s="1"/>
  <c r="C74" i="6"/>
  <c r="F74" i="6" s="1"/>
  <c r="E73" i="6"/>
  <c r="H73" i="6" s="1"/>
  <c r="D73" i="6"/>
  <c r="G73" i="6" s="1"/>
  <c r="C73" i="6"/>
  <c r="F73" i="6" s="1"/>
  <c r="E72" i="6"/>
  <c r="H72" i="6" s="1"/>
  <c r="D72" i="6"/>
  <c r="G72" i="6" s="1"/>
  <c r="C72" i="6"/>
  <c r="F72" i="6" s="1"/>
  <c r="G71" i="6"/>
  <c r="F71" i="6"/>
  <c r="E71" i="6"/>
  <c r="H71" i="6" s="1"/>
  <c r="D71" i="6"/>
  <c r="C71" i="6"/>
  <c r="E70" i="6"/>
  <c r="H70" i="6" s="1"/>
  <c r="D70" i="6"/>
  <c r="G70" i="6" s="1"/>
  <c r="C70" i="6"/>
  <c r="F70" i="6" s="1"/>
  <c r="E69" i="6"/>
  <c r="H69" i="6" s="1"/>
  <c r="D69" i="6"/>
  <c r="G69" i="6" s="1"/>
  <c r="C69" i="6"/>
  <c r="F69" i="6" s="1"/>
  <c r="E68" i="6"/>
  <c r="H68" i="6" s="1"/>
  <c r="D68" i="6"/>
  <c r="G68" i="6" s="1"/>
  <c r="C68" i="6"/>
  <c r="E67" i="6"/>
  <c r="H67" i="6" s="1"/>
  <c r="D67" i="6"/>
  <c r="C67" i="6"/>
  <c r="E66" i="6"/>
  <c r="H66" i="6" s="1"/>
  <c r="D66" i="6"/>
  <c r="G66" i="6" s="1"/>
  <c r="C66" i="6"/>
  <c r="F66" i="6" s="1"/>
  <c r="E65" i="6"/>
  <c r="H65" i="6" s="1"/>
  <c r="D65" i="6"/>
  <c r="G65" i="6" s="1"/>
  <c r="C65" i="6"/>
  <c r="F65" i="6" s="1"/>
  <c r="E64" i="6"/>
  <c r="H64" i="6" s="1"/>
  <c r="D64" i="6"/>
  <c r="G64" i="6" s="1"/>
  <c r="C64" i="6"/>
  <c r="F64" i="6" s="1"/>
  <c r="H63" i="6"/>
  <c r="G63" i="6"/>
  <c r="E63" i="6"/>
  <c r="D63" i="6"/>
  <c r="C63" i="6"/>
  <c r="F63" i="6" s="1"/>
  <c r="E62" i="6"/>
  <c r="H62" i="6" s="1"/>
  <c r="D62" i="6"/>
  <c r="G62" i="6" s="1"/>
  <c r="C62" i="6"/>
  <c r="F62" i="6" s="1"/>
  <c r="E61" i="6"/>
  <c r="H61" i="6" s="1"/>
  <c r="D61" i="6"/>
  <c r="G61" i="6" s="1"/>
  <c r="C61" i="6"/>
  <c r="F61" i="6" s="1"/>
  <c r="E60" i="6"/>
  <c r="H60" i="6" s="1"/>
  <c r="D60" i="6"/>
  <c r="G60" i="6" s="1"/>
  <c r="C60" i="6"/>
  <c r="F60" i="6" s="1"/>
  <c r="E59" i="6"/>
  <c r="H59" i="6" s="1"/>
  <c r="D59" i="6"/>
  <c r="G59" i="6" s="1"/>
  <c r="C59" i="6"/>
  <c r="E58" i="6"/>
  <c r="D58" i="6"/>
  <c r="G58" i="6" s="1"/>
  <c r="C58" i="6"/>
  <c r="E57" i="6"/>
  <c r="H57" i="6" s="1"/>
  <c r="D57" i="6"/>
  <c r="G57" i="6" s="1"/>
  <c r="C57" i="6"/>
  <c r="F57" i="6" s="1"/>
  <c r="E56" i="6"/>
  <c r="H56" i="6" s="1"/>
  <c r="D56" i="6"/>
  <c r="G56" i="6" s="1"/>
  <c r="C56" i="6"/>
  <c r="F56" i="6" s="1"/>
  <c r="H55" i="6"/>
  <c r="E55" i="6"/>
  <c r="D55" i="6"/>
  <c r="G55" i="6" s="1"/>
  <c r="C55" i="6"/>
  <c r="F55" i="6" s="1"/>
  <c r="E54" i="6"/>
  <c r="H54" i="6" s="1"/>
  <c r="D54" i="6"/>
  <c r="G54" i="6" s="1"/>
  <c r="C54" i="6"/>
  <c r="F54" i="6" s="1"/>
  <c r="E53" i="6"/>
  <c r="H53" i="6" s="1"/>
  <c r="D53" i="6"/>
  <c r="G53" i="6" s="1"/>
  <c r="C53" i="6"/>
  <c r="F53" i="6" s="1"/>
  <c r="E52" i="6"/>
  <c r="H52" i="6" s="1"/>
  <c r="D52" i="6"/>
  <c r="G52" i="6" s="1"/>
  <c r="C52" i="6"/>
  <c r="F52" i="6" s="1"/>
  <c r="E51" i="6"/>
  <c r="H51" i="6" s="1"/>
  <c r="D51" i="6"/>
  <c r="G51" i="6" s="1"/>
  <c r="C51" i="6"/>
  <c r="F51" i="6" s="1"/>
  <c r="E50" i="6"/>
  <c r="H50" i="6" s="1"/>
  <c r="D50" i="6"/>
  <c r="G50" i="6" s="1"/>
  <c r="C50" i="6"/>
  <c r="E49" i="6"/>
  <c r="D49" i="6"/>
  <c r="G49" i="6" s="1"/>
  <c r="C49" i="6"/>
  <c r="E48" i="6"/>
  <c r="H48" i="6" s="1"/>
  <c r="D48" i="6"/>
  <c r="G48" i="6" s="1"/>
  <c r="C48" i="6"/>
  <c r="F48" i="6" s="1"/>
  <c r="E47" i="6"/>
  <c r="H47" i="6" s="1"/>
  <c r="D47" i="6"/>
  <c r="G47" i="6" s="1"/>
  <c r="C47" i="6"/>
  <c r="F47" i="6" s="1"/>
  <c r="E46" i="6"/>
  <c r="H46" i="6" s="1"/>
  <c r="D46" i="6"/>
  <c r="G46" i="6" s="1"/>
  <c r="C46" i="6"/>
  <c r="F46" i="6" s="1"/>
  <c r="E45" i="6"/>
  <c r="H45" i="6" s="1"/>
  <c r="D45" i="6"/>
  <c r="G45" i="6" s="1"/>
  <c r="C45" i="6"/>
  <c r="F45" i="6" s="1"/>
  <c r="E44" i="6"/>
  <c r="H44" i="6" s="1"/>
  <c r="D44" i="6"/>
  <c r="G44" i="6" s="1"/>
  <c r="C44" i="6"/>
  <c r="F44" i="6" s="1"/>
  <c r="E43" i="6"/>
  <c r="H43" i="6" s="1"/>
  <c r="D43" i="6"/>
  <c r="G43" i="6" s="1"/>
  <c r="C43" i="6"/>
  <c r="F43" i="6" s="1"/>
  <c r="E42" i="6"/>
  <c r="H42" i="6" s="1"/>
  <c r="D42" i="6"/>
  <c r="G42" i="6" s="1"/>
  <c r="C42" i="6"/>
  <c r="F42" i="6" s="1"/>
  <c r="E41" i="6"/>
  <c r="H41" i="6" s="1"/>
  <c r="D41" i="6"/>
  <c r="G41" i="6" s="1"/>
  <c r="C41" i="6"/>
  <c r="F41" i="6" s="1"/>
  <c r="E40" i="6"/>
  <c r="H40" i="6" s="1"/>
  <c r="D40" i="6"/>
  <c r="C40" i="6"/>
  <c r="E39" i="6"/>
  <c r="H39" i="6" s="1"/>
  <c r="D39" i="6"/>
  <c r="G39" i="6" s="1"/>
  <c r="C39" i="6"/>
  <c r="F39" i="6" s="1"/>
  <c r="E38" i="6"/>
  <c r="H38" i="6" s="1"/>
  <c r="D38" i="6"/>
  <c r="G38" i="6" s="1"/>
  <c r="C38" i="6"/>
  <c r="F38" i="6" s="1"/>
  <c r="E37" i="6"/>
  <c r="H37" i="6" s="1"/>
  <c r="D37" i="6"/>
  <c r="G37" i="6" s="1"/>
  <c r="C37" i="6"/>
  <c r="F37" i="6" s="1"/>
  <c r="E36" i="6"/>
  <c r="H36" i="6" s="1"/>
  <c r="D36" i="6"/>
  <c r="G36" i="6" s="1"/>
  <c r="C36" i="6"/>
  <c r="F36" i="6" s="1"/>
  <c r="E35" i="6"/>
  <c r="H35" i="6" s="1"/>
  <c r="D35" i="6"/>
  <c r="G35" i="6" s="1"/>
  <c r="C35" i="6"/>
  <c r="F35" i="6" s="1"/>
  <c r="E34" i="6"/>
  <c r="H34" i="6" s="1"/>
  <c r="D34" i="6"/>
  <c r="G34" i="6" s="1"/>
  <c r="C34" i="6"/>
  <c r="F34" i="6" s="1"/>
  <c r="E33" i="6"/>
  <c r="H33" i="6" s="1"/>
  <c r="D33" i="6"/>
  <c r="G33" i="6" s="1"/>
  <c r="C33" i="6"/>
  <c r="F33" i="6" s="1"/>
  <c r="E32" i="6"/>
  <c r="H32" i="6" s="1"/>
  <c r="D32" i="6"/>
  <c r="G32" i="6" s="1"/>
  <c r="C32" i="6"/>
  <c r="F32" i="6" s="1"/>
  <c r="E31" i="6"/>
  <c r="H31" i="6" s="1"/>
  <c r="D31" i="6"/>
  <c r="G31" i="6" s="1"/>
  <c r="C31" i="6"/>
  <c r="E30" i="6"/>
  <c r="H30" i="6" s="1"/>
  <c r="D30" i="6"/>
  <c r="G30" i="6" s="1"/>
  <c r="C30" i="6"/>
  <c r="F30" i="6" s="1"/>
  <c r="E29" i="6"/>
  <c r="H29" i="6" s="1"/>
  <c r="D29" i="6"/>
  <c r="G29" i="6" s="1"/>
  <c r="C29" i="6"/>
  <c r="F29" i="6" s="1"/>
  <c r="E28" i="6"/>
  <c r="H28" i="6" s="1"/>
  <c r="D28" i="6"/>
  <c r="G28" i="6" s="1"/>
  <c r="C28" i="6"/>
  <c r="F28" i="6" s="1"/>
  <c r="E27" i="6"/>
  <c r="H27" i="6" s="1"/>
  <c r="D27" i="6"/>
  <c r="G27" i="6" s="1"/>
  <c r="C27" i="6"/>
  <c r="F27" i="6" s="1"/>
  <c r="E26" i="6"/>
  <c r="H26" i="6" s="1"/>
  <c r="D26" i="6"/>
  <c r="G26" i="6" s="1"/>
  <c r="C26" i="6"/>
  <c r="F26" i="6" s="1"/>
  <c r="E25" i="6"/>
  <c r="H25" i="6" s="1"/>
  <c r="D25" i="6"/>
  <c r="G25" i="6" s="1"/>
  <c r="C25" i="6"/>
  <c r="F25" i="6" s="1"/>
  <c r="E24" i="6"/>
  <c r="H24" i="6" s="1"/>
  <c r="D24" i="6"/>
  <c r="G24" i="6" s="1"/>
  <c r="C24" i="6"/>
  <c r="F24" i="6" s="1"/>
  <c r="E23" i="6"/>
  <c r="H23" i="6" s="1"/>
  <c r="D23" i="6"/>
  <c r="G23" i="6" s="1"/>
  <c r="C23" i="6"/>
  <c r="F23" i="6" s="1"/>
  <c r="E22" i="6"/>
  <c r="H22" i="6" s="1"/>
  <c r="D22" i="6"/>
  <c r="G22" i="6" s="1"/>
  <c r="C22" i="6"/>
  <c r="E21" i="6"/>
  <c r="D21" i="6"/>
  <c r="G21" i="6" s="1"/>
  <c r="C21" i="6"/>
  <c r="E20" i="6"/>
  <c r="H20" i="6" s="1"/>
  <c r="D20" i="6"/>
  <c r="G20" i="6" s="1"/>
  <c r="C20" i="6"/>
  <c r="F20" i="6" s="1"/>
  <c r="E19" i="6"/>
  <c r="H19" i="6" s="1"/>
  <c r="D19" i="6"/>
  <c r="G19" i="6" s="1"/>
  <c r="C19" i="6"/>
  <c r="F19" i="6" s="1"/>
  <c r="E18" i="6"/>
  <c r="H18" i="6" s="1"/>
  <c r="D18" i="6"/>
  <c r="G18" i="6" s="1"/>
  <c r="C18" i="6"/>
  <c r="F18" i="6" s="1"/>
  <c r="E17" i="6"/>
  <c r="H17" i="6" s="1"/>
  <c r="D17" i="6"/>
  <c r="G17" i="6" s="1"/>
  <c r="C17" i="6"/>
  <c r="F17" i="6" s="1"/>
  <c r="E16" i="6"/>
  <c r="H16" i="6" s="1"/>
  <c r="D16" i="6"/>
  <c r="G16" i="6" s="1"/>
  <c r="C16" i="6"/>
  <c r="F16" i="6" s="1"/>
  <c r="E15" i="6"/>
  <c r="H15" i="6" s="1"/>
  <c r="D15" i="6"/>
  <c r="G15" i="6" s="1"/>
  <c r="C15" i="6"/>
  <c r="F15" i="6" s="1"/>
  <c r="E14" i="6"/>
  <c r="H14" i="6" s="1"/>
  <c r="D14" i="6"/>
  <c r="G14" i="6" s="1"/>
  <c r="C14" i="6"/>
  <c r="F14" i="6" s="1"/>
  <c r="E13" i="6"/>
  <c r="H13" i="6" s="1"/>
  <c r="D13" i="6"/>
  <c r="G13" i="6" s="1"/>
  <c r="C13" i="6"/>
  <c r="F13" i="6" s="1"/>
  <c r="E12" i="6"/>
  <c r="H12" i="6" s="1"/>
  <c r="D12" i="6"/>
  <c r="G12" i="6" s="1"/>
  <c r="C12" i="6"/>
  <c r="E11" i="6"/>
  <c r="H11" i="6" s="1"/>
  <c r="D11" i="6"/>
  <c r="G11" i="6" s="1"/>
  <c r="C11" i="6"/>
  <c r="F11" i="6" s="1"/>
  <c r="E10" i="6"/>
  <c r="H10" i="6" s="1"/>
  <c r="D10" i="6"/>
  <c r="G10" i="6" s="1"/>
  <c r="C10" i="6"/>
  <c r="F10" i="6" s="1"/>
  <c r="E9" i="6"/>
  <c r="H9" i="6" s="1"/>
  <c r="D9" i="6"/>
  <c r="G9" i="6" s="1"/>
  <c r="C9" i="6"/>
  <c r="F9" i="6" s="1"/>
  <c r="E8" i="6"/>
  <c r="H8" i="6" s="1"/>
  <c r="D8" i="6"/>
  <c r="G8" i="6" s="1"/>
  <c r="C8" i="6"/>
  <c r="F8" i="6" s="1"/>
  <c r="E7" i="6"/>
  <c r="H7" i="6" s="1"/>
  <c r="D7" i="6"/>
  <c r="G7" i="6" s="1"/>
  <c r="C7" i="6"/>
  <c r="F7" i="6" s="1"/>
  <c r="E6" i="6"/>
  <c r="H6" i="6" s="1"/>
  <c r="D6" i="6"/>
  <c r="G6" i="6" s="1"/>
  <c r="C6" i="6"/>
  <c r="F6" i="6" s="1"/>
  <c r="E5" i="6"/>
  <c r="H5" i="6" s="1"/>
  <c r="D5" i="6"/>
  <c r="G5" i="6" s="1"/>
  <c r="C5" i="6"/>
  <c r="F5" i="6" s="1"/>
  <c r="E4" i="6"/>
  <c r="H4" i="6" s="1"/>
  <c r="D4" i="6"/>
  <c r="G4" i="6" s="1"/>
  <c r="C4" i="6"/>
  <c r="F4" i="6" s="1"/>
  <c r="H3" i="6"/>
  <c r="G3" i="6"/>
  <c r="I5" i="5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4" i="5"/>
  <c r="I3" i="5"/>
  <c r="F4" i="5"/>
  <c r="G4" i="5"/>
  <c r="H4" i="5"/>
  <c r="F5" i="5"/>
  <c r="G5" i="5"/>
  <c r="H5" i="5"/>
  <c r="F6" i="5"/>
  <c r="G6" i="5"/>
  <c r="H6" i="5"/>
  <c r="F7" i="5"/>
  <c r="G7" i="5"/>
  <c r="H7" i="5"/>
  <c r="F8" i="5"/>
  <c r="G8" i="5"/>
  <c r="H8" i="5"/>
  <c r="F9" i="5"/>
  <c r="G9" i="5"/>
  <c r="H9" i="5"/>
  <c r="F10" i="5"/>
  <c r="G10" i="5"/>
  <c r="H10" i="5"/>
  <c r="F11" i="5"/>
  <c r="G11" i="5"/>
  <c r="H11" i="5"/>
  <c r="F12" i="5"/>
  <c r="G12" i="5"/>
  <c r="H12" i="5"/>
  <c r="F13" i="5"/>
  <c r="G13" i="5"/>
  <c r="H13" i="5"/>
  <c r="F14" i="5"/>
  <c r="G14" i="5"/>
  <c r="H14" i="5"/>
  <c r="F15" i="5"/>
  <c r="G15" i="5"/>
  <c r="H15" i="5"/>
  <c r="F16" i="5"/>
  <c r="G16" i="5"/>
  <c r="H16" i="5"/>
  <c r="F17" i="5"/>
  <c r="G17" i="5"/>
  <c r="H17" i="5"/>
  <c r="F18" i="5"/>
  <c r="G18" i="5"/>
  <c r="H18" i="5"/>
  <c r="F19" i="5"/>
  <c r="G19" i="5"/>
  <c r="H19" i="5"/>
  <c r="F20" i="5"/>
  <c r="G20" i="5"/>
  <c r="H20" i="5"/>
  <c r="F21" i="5"/>
  <c r="G21" i="5"/>
  <c r="H21" i="5"/>
  <c r="F22" i="5"/>
  <c r="G22" i="5"/>
  <c r="H22" i="5"/>
  <c r="F23" i="5"/>
  <c r="G23" i="5"/>
  <c r="H23" i="5"/>
  <c r="F24" i="5"/>
  <c r="G24" i="5"/>
  <c r="H24" i="5"/>
  <c r="F25" i="5"/>
  <c r="G25" i="5"/>
  <c r="H25" i="5"/>
  <c r="F26" i="5"/>
  <c r="G26" i="5"/>
  <c r="H26" i="5"/>
  <c r="F27" i="5"/>
  <c r="G27" i="5"/>
  <c r="H27" i="5"/>
  <c r="F28" i="5"/>
  <c r="G28" i="5"/>
  <c r="H28" i="5"/>
  <c r="F29" i="5"/>
  <c r="G29" i="5"/>
  <c r="H29" i="5"/>
  <c r="F30" i="5"/>
  <c r="G30" i="5"/>
  <c r="H30" i="5"/>
  <c r="F31" i="5"/>
  <c r="G31" i="5"/>
  <c r="H31" i="5"/>
  <c r="F32" i="5"/>
  <c r="G32" i="5"/>
  <c r="H32" i="5"/>
  <c r="F33" i="5"/>
  <c r="G33" i="5"/>
  <c r="H33" i="5"/>
  <c r="F34" i="5"/>
  <c r="G34" i="5"/>
  <c r="H34" i="5"/>
  <c r="F35" i="5"/>
  <c r="G35" i="5"/>
  <c r="H35" i="5"/>
  <c r="F36" i="5"/>
  <c r="G36" i="5"/>
  <c r="H36" i="5"/>
  <c r="F37" i="5"/>
  <c r="G37" i="5"/>
  <c r="H37" i="5"/>
  <c r="F38" i="5"/>
  <c r="G38" i="5"/>
  <c r="H38" i="5"/>
  <c r="F39" i="5"/>
  <c r="G39" i="5"/>
  <c r="H39" i="5"/>
  <c r="F40" i="5"/>
  <c r="G40" i="5"/>
  <c r="H40" i="5"/>
  <c r="F41" i="5"/>
  <c r="G41" i="5"/>
  <c r="H41" i="5"/>
  <c r="F42" i="5"/>
  <c r="G42" i="5"/>
  <c r="H42" i="5"/>
  <c r="F43" i="5"/>
  <c r="G43" i="5"/>
  <c r="H43" i="5"/>
  <c r="F44" i="5"/>
  <c r="G44" i="5"/>
  <c r="H44" i="5"/>
  <c r="F45" i="5"/>
  <c r="G45" i="5"/>
  <c r="H45" i="5"/>
  <c r="F46" i="5"/>
  <c r="G46" i="5"/>
  <c r="H46" i="5"/>
  <c r="F47" i="5"/>
  <c r="G47" i="5"/>
  <c r="H47" i="5"/>
  <c r="F48" i="5"/>
  <c r="G48" i="5"/>
  <c r="H48" i="5"/>
  <c r="F49" i="5"/>
  <c r="G49" i="5"/>
  <c r="H49" i="5"/>
  <c r="F50" i="5"/>
  <c r="G50" i="5"/>
  <c r="H50" i="5"/>
  <c r="F51" i="5"/>
  <c r="G51" i="5"/>
  <c r="H51" i="5"/>
  <c r="F52" i="5"/>
  <c r="G52" i="5"/>
  <c r="H52" i="5"/>
  <c r="F53" i="5"/>
  <c r="G53" i="5"/>
  <c r="H53" i="5"/>
  <c r="F54" i="5"/>
  <c r="G54" i="5"/>
  <c r="H54" i="5"/>
  <c r="F55" i="5"/>
  <c r="G55" i="5"/>
  <c r="H55" i="5"/>
  <c r="F56" i="5"/>
  <c r="G56" i="5"/>
  <c r="H56" i="5"/>
  <c r="F57" i="5"/>
  <c r="G57" i="5"/>
  <c r="H57" i="5"/>
  <c r="F58" i="5"/>
  <c r="G58" i="5"/>
  <c r="H58" i="5"/>
  <c r="F59" i="5"/>
  <c r="G59" i="5"/>
  <c r="H59" i="5"/>
  <c r="F60" i="5"/>
  <c r="G60" i="5"/>
  <c r="H60" i="5"/>
  <c r="F61" i="5"/>
  <c r="G61" i="5"/>
  <c r="H61" i="5"/>
  <c r="F62" i="5"/>
  <c r="G62" i="5"/>
  <c r="H62" i="5"/>
  <c r="F63" i="5"/>
  <c r="G63" i="5"/>
  <c r="H63" i="5"/>
  <c r="F64" i="5"/>
  <c r="G64" i="5"/>
  <c r="H64" i="5"/>
  <c r="F65" i="5"/>
  <c r="G65" i="5"/>
  <c r="H65" i="5"/>
  <c r="F66" i="5"/>
  <c r="G66" i="5"/>
  <c r="H66" i="5"/>
  <c r="F67" i="5"/>
  <c r="G67" i="5"/>
  <c r="H67" i="5"/>
  <c r="F68" i="5"/>
  <c r="G68" i="5"/>
  <c r="H68" i="5"/>
  <c r="F69" i="5"/>
  <c r="G69" i="5"/>
  <c r="H69" i="5"/>
  <c r="F70" i="5"/>
  <c r="G70" i="5"/>
  <c r="H70" i="5"/>
  <c r="F71" i="5"/>
  <c r="G71" i="5"/>
  <c r="H71" i="5"/>
  <c r="F72" i="5"/>
  <c r="G72" i="5"/>
  <c r="H72" i="5"/>
  <c r="F73" i="5"/>
  <c r="G73" i="5"/>
  <c r="H73" i="5"/>
  <c r="F74" i="5"/>
  <c r="G74" i="5"/>
  <c r="H74" i="5"/>
  <c r="F75" i="5"/>
  <c r="G75" i="5"/>
  <c r="H75" i="5"/>
  <c r="F76" i="5"/>
  <c r="G76" i="5"/>
  <c r="H76" i="5"/>
  <c r="F77" i="5"/>
  <c r="G77" i="5"/>
  <c r="H77" i="5"/>
  <c r="F78" i="5"/>
  <c r="G78" i="5"/>
  <c r="H78" i="5"/>
  <c r="F79" i="5"/>
  <c r="G79" i="5"/>
  <c r="H79" i="5"/>
  <c r="F80" i="5"/>
  <c r="G80" i="5"/>
  <c r="H80" i="5"/>
  <c r="F81" i="5"/>
  <c r="G81" i="5"/>
  <c r="H81" i="5"/>
  <c r="F82" i="5"/>
  <c r="G82" i="5"/>
  <c r="H82" i="5"/>
  <c r="F83" i="5"/>
  <c r="G83" i="5"/>
  <c r="H83" i="5"/>
  <c r="F84" i="5"/>
  <c r="G84" i="5"/>
  <c r="H84" i="5"/>
  <c r="F85" i="5"/>
  <c r="G85" i="5"/>
  <c r="H85" i="5"/>
  <c r="F86" i="5"/>
  <c r="G86" i="5"/>
  <c r="H86" i="5"/>
  <c r="F87" i="5"/>
  <c r="G87" i="5"/>
  <c r="H87" i="5"/>
  <c r="F88" i="5"/>
  <c r="G88" i="5"/>
  <c r="H88" i="5"/>
  <c r="F89" i="5"/>
  <c r="G89" i="5"/>
  <c r="H89" i="5"/>
  <c r="F90" i="5"/>
  <c r="G90" i="5"/>
  <c r="H90" i="5"/>
  <c r="F91" i="5"/>
  <c r="G91" i="5"/>
  <c r="H91" i="5"/>
  <c r="F92" i="5"/>
  <c r="G92" i="5"/>
  <c r="H92" i="5"/>
  <c r="F93" i="5"/>
  <c r="G93" i="5"/>
  <c r="H93" i="5"/>
  <c r="F94" i="5"/>
  <c r="G94" i="5"/>
  <c r="H94" i="5"/>
  <c r="H3" i="5"/>
  <c r="G3" i="5"/>
  <c r="F3" i="5"/>
  <c r="E94" i="5"/>
  <c r="D94" i="5"/>
  <c r="C94" i="5"/>
  <c r="E93" i="5"/>
  <c r="D93" i="5"/>
  <c r="C93" i="5"/>
  <c r="E92" i="5"/>
  <c r="D92" i="5"/>
  <c r="C92" i="5"/>
  <c r="E91" i="5"/>
  <c r="D91" i="5"/>
  <c r="C91" i="5"/>
  <c r="E90" i="5"/>
  <c r="D90" i="5"/>
  <c r="C90" i="5"/>
  <c r="E89" i="5"/>
  <c r="D89" i="5"/>
  <c r="C89" i="5"/>
  <c r="E88" i="5"/>
  <c r="D88" i="5"/>
  <c r="C88" i="5"/>
  <c r="E87" i="5"/>
  <c r="D87" i="5"/>
  <c r="C87" i="5"/>
  <c r="E86" i="5"/>
  <c r="D86" i="5"/>
  <c r="C86" i="5"/>
  <c r="E85" i="5"/>
  <c r="D85" i="5"/>
  <c r="C85" i="5"/>
  <c r="E84" i="5"/>
  <c r="D84" i="5"/>
  <c r="C84" i="5"/>
  <c r="E83" i="5"/>
  <c r="D83" i="5"/>
  <c r="C83" i="5"/>
  <c r="E82" i="5"/>
  <c r="D82" i="5"/>
  <c r="C82" i="5"/>
  <c r="E81" i="5"/>
  <c r="D81" i="5"/>
  <c r="C81" i="5"/>
  <c r="E80" i="5"/>
  <c r="D80" i="5"/>
  <c r="C80" i="5"/>
  <c r="E79" i="5"/>
  <c r="D79" i="5"/>
  <c r="C79" i="5"/>
  <c r="E78" i="5"/>
  <c r="D78" i="5"/>
  <c r="C78" i="5"/>
  <c r="E77" i="5"/>
  <c r="D77" i="5"/>
  <c r="C77" i="5"/>
  <c r="E76" i="5"/>
  <c r="D76" i="5"/>
  <c r="C76" i="5"/>
  <c r="E75" i="5"/>
  <c r="D75" i="5"/>
  <c r="C75" i="5"/>
  <c r="E74" i="5"/>
  <c r="D74" i="5"/>
  <c r="C74" i="5"/>
  <c r="E73" i="5"/>
  <c r="D73" i="5"/>
  <c r="C73" i="5"/>
  <c r="E72" i="5"/>
  <c r="D72" i="5"/>
  <c r="C72" i="5"/>
  <c r="E71" i="5"/>
  <c r="D71" i="5"/>
  <c r="C71" i="5"/>
  <c r="E70" i="5"/>
  <c r="D70" i="5"/>
  <c r="C70" i="5"/>
  <c r="E69" i="5"/>
  <c r="D69" i="5"/>
  <c r="C69" i="5"/>
  <c r="E68" i="5"/>
  <c r="D68" i="5"/>
  <c r="C68" i="5"/>
  <c r="E67" i="5"/>
  <c r="D67" i="5"/>
  <c r="C67" i="5"/>
  <c r="E66" i="5"/>
  <c r="D66" i="5"/>
  <c r="C66" i="5"/>
  <c r="E65" i="5"/>
  <c r="D65" i="5"/>
  <c r="C65" i="5"/>
  <c r="E64" i="5"/>
  <c r="D64" i="5"/>
  <c r="C64" i="5"/>
  <c r="E63" i="5"/>
  <c r="D63" i="5"/>
  <c r="C63" i="5"/>
  <c r="E62" i="5"/>
  <c r="D62" i="5"/>
  <c r="C62" i="5"/>
  <c r="E61" i="5"/>
  <c r="D61" i="5"/>
  <c r="C61" i="5"/>
  <c r="E60" i="5"/>
  <c r="D60" i="5"/>
  <c r="C60" i="5"/>
  <c r="E59" i="5"/>
  <c r="D59" i="5"/>
  <c r="C59" i="5"/>
  <c r="E58" i="5"/>
  <c r="D58" i="5"/>
  <c r="C58" i="5"/>
  <c r="E57" i="5"/>
  <c r="D57" i="5"/>
  <c r="C57" i="5"/>
  <c r="E56" i="5"/>
  <c r="D56" i="5"/>
  <c r="C56" i="5"/>
  <c r="E55" i="5"/>
  <c r="D55" i="5"/>
  <c r="C55" i="5"/>
  <c r="E54" i="5"/>
  <c r="D54" i="5"/>
  <c r="C54" i="5"/>
  <c r="E53" i="5"/>
  <c r="D53" i="5"/>
  <c r="C53" i="5"/>
  <c r="E52" i="5"/>
  <c r="D52" i="5"/>
  <c r="C52" i="5"/>
  <c r="E51" i="5"/>
  <c r="D51" i="5"/>
  <c r="C51" i="5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40" i="5"/>
  <c r="D40" i="5"/>
  <c r="C40" i="5"/>
  <c r="E39" i="5"/>
  <c r="D39" i="5"/>
  <c r="C39" i="5"/>
  <c r="E38" i="5"/>
  <c r="D38" i="5"/>
  <c r="C38" i="5"/>
  <c r="E37" i="5"/>
  <c r="D37" i="5"/>
  <c r="C37" i="5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E5" i="5"/>
  <c r="D5" i="5"/>
  <c r="C5" i="5"/>
  <c r="E4" i="5"/>
  <c r="D4" i="5"/>
  <c r="C4" i="5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C20" i="4"/>
  <c r="D20" i="4"/>
  <c r="E20" i="4"/>
  <c r="C21" i="4"/>
  <c r="D21" i="4"/>
  <c r="E21" i="4"/>
  <c r="C22" i="4"/>
  <c r="D22" i="4"/>
  <c r="E22" i="4"/>
  <c r="C23" i="4"/>
  <c r="D23" i="4"/>
  <c r="E23" i="4"/>
  <c r="C24" i="4"/>
  <c r="D24" i="4"/>
  <c r="E24" i="4"/>
  <c r="C25" i="4"/>
  <c r="D25" i="4"/>
  <c r="E25" i="4"/>
  <c r="C26" i="4"/>
  <c r="D26" i="4"/>
  <c r="E26" i="4"/>
  <c r="C27" i="4"/>
  <c r="D27" i="4"/>
  <c r="E27" i="4"/>
  <c r="C28" i="4"/>
  <c r="D28" i="4"/>
  <c r="E28" i="4"/>
  <c r="C29" i="4"/>
  <c r="D29" i="4"/>
  <c r="E29" i="4"/>
  <c r="C30" i="4"/>
  <c r="D30" i="4"/>
  <c r="E30" i="4"/>
  <c r="C31" i="4"/>
  <c r="D31" i="4"/>
  <c r="E31" i="4"/>
  <c r="C32" i="4"/>
  <c r="D32" i="4"/>
  <c r="E32" i="4"/>
  <c r="C33" i="4"/>
  <c r="D33" i="4"/>
  <c r="E33" i="4"/>
  <c r="C34" i="4"/>
  <c r="D34" i="4"/>
  <c r="E34" i="4"/>
  <c r="C35" i="4"/>
  <c r="D35" i="4"/>
  <c r="E35" i="4"/>
  <c r="C36" i="4"/>
  <c r="D36" i="4"/>
  <c r="E36" i="4"/>
  <c r="C37" i="4"/>
  <c r="D37" i="4"/>
  <c r="E37" i="4"/>
  <c r="C38" i="4"/>
  <c r="D38" i="4"/>
  <c r="E38" i="4"/>
  <c r="C39" i="4"/>
  <c r="D39" i="4"/>
  <c r="E39" i="4"/>
  <c r="C40" i="4"/>
  <c r="D40" i="4"/>
  <c r="E40" i="4"/>
  <c r="C41" i="4"/>
  <c r="D41" i="4"/>
  <c r="E41" i="4"/>
  <c r="C42" i="4"/>
  <c r="D42" i="4"/>
  <c r="E42" i="4"/>
  <c r="C43" i="4"/>
  <c r="D43" i="4"/>
  <c r="E43" i="4"/>
  <c r="C44" i="4"/>
  <c r="D44" i="4"/>
  <c r="E44" i="4"/>
  <c r="C45" i="4"/>
  <c r="D45" i="4"/>
  <c r="E45" i="4"/>
  <c r="C46" i="4"/>
  <c r="D46" i="4"/>
  <c r="E46" i="4"/>
  <c r="C47" i="4"/>
  <c r="D47" i="4"/>
  <c r="E47" i="4"/>
  <c r="C48" i="4"/>
  <c r="D48" i="4"/>
  <c r="E48" i="4"/>
  <c r="C49" i="4"/>
  <c r="D49" i="4"/>
  <c r="E49" i="4"/>
  <c r="C50" i="4"/>
  <c r="D50" i="4"/>
  <c r="E50" i="4"/>
  <c r="C51" i="4"/>
  <c r="D51" i="4"/>
  <c r="E51" i="4"/>
  <c r="C52" i="4"/>
  <c r="D52" i="4"/>
  <c r="E52" i="4"/>
  <c r="C53" i="4"/>
  <c r="D53" i="4"/>
  <c r="E53" i="4"/>
  <c r="C54" i="4"/>
  <c r="D54" i="4"/>
  <c r="E54" i="4"/>
  <c r="C55" i="4"/>
  <c r="D55" i="4"/>
  <c r="E55" i="4"/>
  <c r="C56" i="4"/>
  <c r="D56" i="4"/>
  <c r="E56" i="4"/>
  <c r="C57" i="4"/>
  <c r="D57" i="4"/>
  <c r="E57" i="4"/>
  <c r="C58" i="4"/>
  <c r="D58" i="4"/>
  <c r="E58" i="4"/>
  <c r="C59" i="4"/>
  <c r="D59" i="4"/>
  <c r="E59" i="4"/>
  <c r="C60" i="4"/>
  <c r="D60" i="4"/>
  <c r="E60" i="4"/>
  <c r="C61" i="4"/>
  <c r="D61" i="4"/>
  <c r="E61" i="4"/>
  <c r="C62" i="4"/>
  <c r="D62" i="4"/>
  <c r="E62" i="4"/>
  <c r="C63" i="4"/>
  <c r="D63" i="4"/>
  <c r="E63" i="4"/>
  <c r="C64" i="4"/>
  <c r="D64" i="4"/>
  <c r="E64" i="4"/>
  <c r="C65" i="4"/>
  <c r="D65" i="4"/>
  <c r="E65" i="4"/>
  <c r="C66" i="4"/>
  <c r="D66" i="4"/>
  <c r="E66" i="4"/>
  <c r="C67" i="4"/>
  <c r="D67" i="4"/>
  <c r="E67" i="4"/>
  <c r="C68" i="4"/>
  <c r="D68" i="4"/>
  <c r="E68" i="4"/>
  <c r="C69" i="4"/>
  <c r="D69" i="4"/>
  <c r="E69" i="4"/>
  <c r="C70" i="4"/>
  <c r="D70" i="4"/>
  <c r="E70" i="4"/>
  <c r="C71" i="4"/>
  <c r="D71" i="4"/>
  <c r="E71" i="4"/>
  <c r="C72" i="4"/>
  <c r="D72" i="4"/>
  <c r="E72" i="4"/>
  <c r="C73" i="4"/>
  <c r="D73" i="4"/>
  <c r="E73" i="4"/>
  <c r="C74" i="4"/>
  <c r="D74" i="4"/>
  <c r="E74" i="4"/>
  <c r="C75" i="4"/>
  <c r="D75" i="4"/>
  <c r="E75" i="4"/>
  <c r="C76" i="4"/>
  <c r="D76" i="4"/>
  <c r="E76" i="4"/>
  <c r="C77" i="4"/>
  <c r="D77" i="4"/>
  <c r="E77" i="4"/>
  <c r="C78" i="4"/>
  <c r="D78" i="4"/>
  <c r="E78" i="4"/>
  <c r="C79" i="4"/>
  <c r="D79" i="4"/>
  <c r="E79" i="4"/>
  <c r="C80" i="4"/>
  <c r="D80" i="4"/>
  <c r="E80" i="4"/>
  <c r="C81" i="4"/>
  <c r="D81" i="4"/>
  <c r="E81" i="4"/>
  <c r="C82" i="4"/>
  <c r="D82" i="4"/>
  <c r="E82" i="4"/>
  <c r="C83" i="4"/>
  <c r="D83" i="4"/>
  <c r="E83" i="4"/>
  <c r="C84" i="4"/>
  <c r="D84" i="4"/>
  <c r="E84" i="4"/>
  <c r="C85" i="4"/>
  <c r="D85" i="4"/>
  <c r="E85" i="4"/>
  <c r="C86" i="4"/>
  <c r="D86" i="4"/>
  <c r="E86" i="4"/>
  <c r="C87" i="4"/>
  <c r="D87" i="4"/>
  <c r="E87" i="4"/>
  <c r="C88" i="4"/>
  <c r="D88" i="4"/>
  <c r="E88" i="4"/>
  <c r="C89" i="4"/>
  <c r="D89" i="4"/>
  <c r="E89" i="4"/>
  <c r="C90" i="4"/>
  <c r="D90" i="4"/>
  <c r="E90" i="4"/>
  <c r="C91" i="4"/>
  <c r="D91" i="4"/>
  <c r="E91" i="4"/>
  <c r="C92" i="4"/>
  <c r="D92" i="4"/>
  <c r="E92" i="4"/>
  <c r="C93" i="4"/>
  <c r="D93" i="4"/>
  <c r="E93" i="4"/>
  <c r="C94" i="4"/>
  <c r="D94" i="4"/>
  <c r="E94" i="4"/>
  <c r="D4" i="4"/>
  <c r="E4" i="4"/>
  <c r="C4" i="4"/>
  <c r="E3" i="3"/>
  <c r="F3" i="3"/>
  <c r="E2" i="3"/>
  <c r="C3" i="3"/>
  <c r="C4" i="3"/>
  <c r="C5" i="3" s="1"/>
  <c r="C6" i="3" s="1"/>
  <c r="C7" i="3" s="1"/>
  <c r="C8" i="3" s="1"/>
  <c r="C9" i="3" s="1"/>
  <c r="C10" i="3" s="1"/>
  <c r="C11" i="3" s="1"/>
  <c r="C12" i="3"/>
  <c r="C13" i="3"/>
  <c r="C14" i="3"/>
  <c r="C15" i="3"/>
  <c r="C16" i="3"/>
  <c r="C17" i="3"/>
  <c r="C18" i="3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/>
  <c r="C30" i="3"/>
  <c r="C31" i="3" s="1"/>
  <c r="C32" i="3" s="1"/>
  <c r="C33" i="3" s="1"/>
  <c r="C34" i="3" s="1"/>
  <c r="C35" i="3" s="1"/>
  <c r="C36" i="3" s="1"/>
  <c r="C37" i="3"/>
  <c r="C38" i="3" s="1"/>
  <c r="C39" i="3" s="1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 s="1"/>
  <c r="C60" i="3" s="1"/>
  <c r="C61" i="3" s="1"/>
  <c r="C62" i="3" s="1"/>
  <c r="C63" i="3" s="1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 s="1"/>
  <c r="C88" i="3" s="1"/>
  <c r="C89" i="3" s="1"/>
  <c r="C90" i="3" s="1"/>
  <c r="C91" i="3" s="1"/>
  <c r="C92" i="3" s="1"/>
  <c r="C93" i="3" s="1"/>
  <c r="C2" i="3"/>
  <c r="H21" i="6" l="1"/>
  <c r="H49" i="6"/>
  <c r="H58" i="6"/>
  <c r="G40" i="6"/>
  <c r="H84" i="6"/>
  <c r="G84" i="6"/>
  <c r="G67" i="6"/>
  <c r="I115" i="6"/>
  <c r="F21" i="6"/>
  <c r="F49" i="6"/>
  <c r="F58" i="6"/>
  <c r="F12" i="6"/>
  <c r="F40" i="6"/>
  <c r="F3" i="6"/>
  <c r="F31" i="6"/>
  <c r="F84" i="6"/>
  <c r="F93" i="6"/>
  <c r="F67" i="6"/>
  <c r="G93" i="6"/>
  <c r="H93" i="6"/>
  <c r="I3" i="6"/>
  <c r="I4" i="6" s="1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F76" i="6"/>
  <c r="F22" i="6"/>
  <c r="F50" i="6"/>
  <c r="F59" i="6"/>
  <c r="G76" i="6"/>
  <c r="F85" i="6"/>
  <c r="F94" i="6"/>
  <c r="F122" i="6"/>
  <c r="F117" i="6"/>
  <c r="I117" i="6" s="1"/>
  <c r="F68" i="6"/>
  <c r="F77" i="6"/>
  <c r="H101" i="6"/>
  <c r="F102" i="6"/>
  <c r="I102" i="6" s="1"/>
  <c r="F101" i="6"/>
  <c r="I108" i="6"/>
  <c r="I118" i="6"/>
  <c r="I123" i="6"/>
  <c r="I113" i="6"/>
  <c r="I97" i="6"/>
  <c r="I121" i="6"/>
  <c r="I96" i="6"/>
  <c r="I114" i="6"/>
  <c r="I105" i="6"/>
  <c r="I119" i="6"/>
  <c r="I98" i="6"/>
  <c r="I116" i="6"/>
  <c r="I109" i="6"/>
  <c r="I103" i="6"/>
  <c r="I120" i="6"/>
  <c r="I95" i="6"/>
  <c r="I124" i="6"/>
  <c r="I112" i="6"/>
  <c r="I111" i="6"/>
  <c r="I106" i="6"/>
  <c r="I100" i="6"/>
  <c r="I110" i="6"/>
  <c r="I104" i="6"/>
  <c r="I122" i="6"/>
  <c r="I107" i="6"/>
  <c r="I99" i="6"/>
  <c r="I22" i="6" l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10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9E79CF-3D83-415C-889D-D11B763D1C3C}" keepAlive="1" name="Zapytanie — temperatury" description="Połączenie z zapytaniem „temperatury” w skoroszycie." type="5" refreshedVersion="0" background="1">
    <dbPr connection="Provider=Microsoft.Mashup.OleDb.1;Data Source=$Workbook$;Location=temperatury;Extended Properties=&quot;&quot;" command="SELECT * FROM [temperatury]"/>
  </connection>
</connections>
</file>

<file path=xl/sharedStrings.xml><?xml version="1.0" encoding="utf-8"?>
<sst xmlns="http://schemas.openxmlformats.org/spreadsheetml/2006/main" count="44" uniqueCount="20">
  <si>
    <t>data</t>
  </si>
  <si>
    <t>temperatura</t>
  </si>
  <si>
    <t>sprzedane produkty</t>
  </si>
  <si>
    <t>hot-dog</t>
  </si>
  <si>
    <t>kukurydza</t>
  </si>
  <si>
    <t>lody</t>
  </si>
  <si>
    <t>w</t>
  </si>
  <si>
    <t>Suma końcowa</t>
  </si>
  <si>
    <t>cze</t>
  </si>
  <si>
    <t>lip</t>
  </si>
  <si>
    <t>sie</t>
  </si>
  <si>
    <t>Suma z hot-dog</t>
  </si>
  <si>
    <t>Suma z lody</t>
  </si>
  <si>
    <t>Suma z kukurydza</t>
  </si>
  <si>
    <t>Etykiety kolumn</t>
  </si>
  <si>
    <t>Wartości</t>
  </si>
  <si>
    <t>suma utargów</t>
  </si>
  <si>
    <t>a)</t>
  </si>
  <si>
    <t>dodatkowe grosze</t>
  </si>
  <si>
    <t>podwyżka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</si>
</sst>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14" fontId="0" fillId="3" borderId="3" xfId="0" applyNumberFormat="1" applyFont="1" applyFill="1" applyBorder="1"/>
    <xf numFmtId="0" fontId="0" fillId="3" borderId="4" xfId="0" applyFont="1" applyFill="1" applyBorder="1"/>
    <xf numFmtId="14" fontId="0" fillId="0" borderId="3" xfId="0" applyNumberFormat="1" applyFont="1" applyBorder="1"/>
    <xf numFmtId="0" fontId="0" fillId="0" borderId="4" xfId="0" applyFont="1" applyBorder="1"/>
    <xf numFmtId="14" fontId="0" fillId="0" borderId="1" xfId="0" applyNumberFormat="1" applyFont="1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4" borderId="5" xfId="0" applyFont="1" applyFill="1" applyBorder="1"/>
    <xf numFmtId="0" fontId="0" fillId="3" borderId="6" xfId="0" applyFont="1" applyFill="1" applyBorder="1"/>
  </cellXfs>
  <cellStyles count="1">
    <cellStyle name="Normalny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'5.2'!$I$10</c:f>
              <c:strCache>
                <c:ptCount val="1"/>
                <c:pt idx="0">
                  <c:v>hot-dog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'5.2'!$J$9:$L$9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'5.2'!$J$10:$L$10</c:f>
              <c:numCache>
                <c:formatCode>General</c:formatCode>
                <c:ptCount val="3"/>
                <c:pt idx="0">
                  <c:v>2639</c:v>
                </c:pt>
                <c:pt idx="1">
                  <c:v>2747</c:v>
                </c:pt>
                <c:pt idx="2">
                  <c:v>2665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D-4E35-A88D-B2DCAFE4A18C}"/>
            </c:ext>
          </c:extLst>
        </c:ser>
        <c:ser>
          <c:idx val="1"/>
          <c:order val="1"/>
          <c:tx>
            <c:strRef>
              <c:f>'5.2'!$I$11</c:f>
              <c:strCache>
                <c:ptCount val="1"/>
                <c:pt idx="0">
                  <c:v>lody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'5.2'!$J$9:$L$9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'5.2'!$J$11:$L$11</c:f>
              <c:numCache>
                <c:formatCode>General</c:formatCode>
                <c:ptCount val="3"/>
                <c:pt idx="0">
                  <c:v>3527</c:v>
                </c:pt>
                <c:pt idx="1">
                  <c:v>3675</c:v>
                </c:pt>
                <c:pt idx="2">
                  <c:v>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D-4E35-A88D-B2DCAFE4A18C}"/>
            </c:ext>
          </c:extLst>
        </c:ser>
        <c:ser>
          <c:idx val="2"/>
          <c:order val="2"/>
          <c:tx>
            <c:strRef>
              <c:f>'5.2'!$I$12</c:f>
              <c:strCache>
                <c:ptCount val="1"/>
                <c:pt idx="0">
                  <c:v>kukurydza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'5.2'!$J$9:$L$9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'5.2'!$J$12:$L$12</c:f>
              <c:numCache>
                <c:formatCode>General</c:formatCode>
                <c:ptCount val="3"/>
                <c:pt idx="0">
                  <c:v>2355</c:v>
                </c:pt>
                <c:pt idx="1">
                  <c:v>2448</c:v>
                </c:pt>
                <c:pt idx="2">
                  <c:v>2390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D-4E35-A88D-B2DCAFE4A1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3391151"/>
        <c:axId val="1793392591"/>
      </c:barChart>
      <c:catAx>
        <c:axId val="1793391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3392591"/>
        <c:crosses val="autoZero"/>
        <c:auto val="1"/>
        <c:lblAlgn val="ctr"/>
        <c:lblOffset val="100"/>
        <c:noMultiLvlLbl val="0"/>
      </c:catAx>
      <c:valAx>
        <c:axId val="179339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sprzeddanych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339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141514</xdr:colOff>
      <xdr:row>14</xdr:row>
      <xdr:rowOff>149678</xdr:rowOff>
    </xdr:from>
    <xdr:to>
      <xdr:col>13</xdr:col>
      <xdr:colOff>27214</xdr:colOff>
      <xdr:row>29</xdr:row>
      <xdr:rowOff>35378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2F0FD06-2B21-CFD6-BB2B-C7893F8CC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29.847307638891" createdVersion="8" refreshedVersion="8" minRefreshableVersion="3" recordCount="92" xr:uid="{05B80C15-AAE3-414E-8287-BBD71E142614}">
  <cacheSource type="worksheet">
    <worksheetSource ref="A2:E94" sheet="5.2"/>
  </cacheSource>
  <cacheFields count="7">
    <cacheField name="data" numFmtId="14">
      <sharedItems containsSemiMixedTypes="0" containsNonDate="0" containsDate="1" containsString="0" minDate="2022-06-01T00:00:00" maxDate="2022-09-01T00:00:00" count="92"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</sharedItems>
      <fieldGroup par="6"/>
    </cacheField>
    <cacheField name="temperatura" numFmtId="0">
      <sharedItems containsSemiMixedTypes="0" containsString="0" containsNumber="1" containsInteger="1" minValue="15" maxValue="33"/>
    </cacheField>
    <cacheField name="hot-dog" numFmtId="0">
      <sharedItems containsSemiMixedTypes="0" containsString="0" containsNumber="1" containsInteger="1" minValue="58" maxValue="121"/>
    </cacheField>
    <cacheField name="lody" numFmtId="0">
      <sharedItems containsSemiMixedTypes="0" containsString="0" containsNumber="1" containsInteger="1" minValue="82" maxValue="157"/>
    </cacheField>
    <cacheField name="kukurydza" numFmtId="0">
      <sharedItems containsSemiMixedTypes="0" containsString="0" containsNumber="1" containsInteger="1" minValue="58" maxValue="101"/>
    </cacheField>
    <cacheField name="Dni (data)" numFmtId="0" databaseField="0">
      <fieldGroup base="0">
        <rangePr groupBy="days" startDate="2022-06-01T00:00:00" endDate="2022-09-01T00:00:00"/>
        <groupItems count="368">
          <s v="&lt;01.06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9.2022"/>
        </groupItems>
      </fieldGroup>
    </cacheField>
    <cacheField name="Miesiące (data)" numFmtId="0" databaseField="0">
      <fieldGroup base="0">
        <rangePr groupBy="months" startDate="2022-06-01T00:00:00" endDate="2022-09-01T00:00:00"/>
        <groupItems count="14">
          <s v="&lt;01.06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9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24"/>
    <n v="90"/>
    <n v="120"/>
    <n v="80"/>
  </r>
  <r>
    <x v="1"/>
    <n v="25"/>
    <n v="93"/>
    <n v="124"/>
    <n v="82"/>
  </r>
  <r>
    <x v="2"/>
    <n v="27"/>
    <n v="100"/>
    <n v="132"/>
    <n v="87"/>
  </r>
  <r>
    <x v="3"/>
    <n v="27"/>
    <n v="100"/>
    <n v="132"/>
    <n v="87"/>
  </r>
  <r>
    <x v="4"/>
    <n v="27"/>
    <n v="100"/>
    <n v="132"/>
    <n v="87"/>
  </r>
  <r>
    <x v="5"/>
    <n v="22"/>
    <n v="83"/>
    <n v="111"/>
    <n v="75"/>
  </r>
  <r>
    <x v="6"/>
    <n v="25"/>
    <n v="93"/>
    <n v="124"/>
    <n v="82"/>
  </r>
  <r>
    <x v="7"/>
    <n v="25"/>
    <n v="93"/>
    <n v="124"/>
    <n v="82"/>
  </r>
  <r>
    <x v="8"/>
    <n v="21"/>
    <n v="79"/>
    <n v="107"/>
    <n v="72"/>
  </r>
  <r>
    <x v="9"/>
    <n v="21"/>
    <n v="79"/>
    <n v="107"/>
    <n v="72"/>
  </r>
  <r>
    <x v="10"/>
    <n v="19"/>
    <n v="72"/>
    <n v="99"/>
    <n v="68"/>
  </r>
  <r>
    <x v="11"/>
    <n v="19"/>
    <n v="72"/>
    <n v="99"/>
    <n v="68"/>
  </r>
  <r>
    <x v="12"/>
    <n v="15"/>
    <n v="58"/>
    <n v="82"/>
    <n v="58"/>
  </r>
  <r>
    <x v="13"/>
    <n v="21"/>
    <n v="79"/>
    <n v="107"/>
    <n v="72"/>
  </r>
  <r>
    <x v="14"/>
    <n v="23"/>
    <n v="86"/>
    <n v="115"/>
    <n v="77"/>
  </r>
  <r>
    <x v="15"/>
    <n v="23"/>
    <n v="86"/>
    <n v="115"/>
    <n v="77"/>
  </r>
  <r>
    <x v="16"/>
    <n v="16"/>
    <n v="62"/>
    <n v="86"/>
    <n v="61"/>
  </r>
  <r>
    <x v="17"/>
    <n v="21"/>
    <n v="79"/>
    <n v="107"/>
    <n v="72"/>
  </r>
  <r>
    <x v="18"/>
    <n v="22"/>
    <n v="83"/>
    <n v="111"/>
    <n v="75"/>
  </r>
  <r>
    <x v="19"/>
    <n v="22"/>
    <n v="83"/>
    <n v="111"/>
    <n v="75"/>
  </r>
  <r>
    <x v="20"/>
    <n v="22"/>
    <n v="83"/>
    <n v="111"/>
    <n v="75"/>
  </r>
  <r>
    <x v="21"/>
    <n v="28"/>
    <n v="103"/>
    <n v="136"/>
    <n v="89"/>
  </r>
  <r>
    <x v="22"/>
    <n v="31"/>
    <n v="114"/>
    <n v="148"/>
    <n v="96"/>
  </r>
  <r>
    <x v="23"/>
    <n v="33"/>
    <n v="121"/>
    <n v="157"/>
    <n v="101"/>
  </r>
  <r>
    <x v="24"/>
    <n v="33"/>
    <n v="121"/>
    <n v="157"/>
    <n v="101"/>
  </r>
  <r>
    <x v="25"/>
    <n v="23"/>
    <n v="86"/>
    <n v="115"/>
    <n v="77"/>
  </r>
  <r>
    <x v="26"/>
    <n v="23"/>
    <n v="86"/>
    <n v="115"/>
    <n v="77"/>
  </r>
  <r>
    <x v="27"/>
    <n v="19"/>
    <n v="72"/>
    <n v="99"/>
    <n v="68"/>
  </r>
  <r>
    <x v="28"/>
    <n v="24"/>
    <n v="90"/>
    <n v="120"/>
    <n v="80"/>
  </r>
  <r>
    <x v="29"/>
    <n v="25"/>
    <n v="93"/>
    <n v="124"/>
    <n v="82"/>
  </r>
  <r>
    <x v="30"/>
    <n v="27"/>
    <n v="100"/>
    <n v="132"/>
    <n v="87"/>
  </r>
  <r>
    <x v="31"/>
    <n v="27"/>
    <n v="100"/>
    <n v="132"/>
    <n v="87"/>
  </r>
  <r>
    <x v="32"/>
    <n v="21"/>
    <n v="79"/>
    <n v="107"/>
    <n v="72"/>
  </r>
  <r>
    <x v="33"/>
    <n v="21"/>
    <n v="79"/>
    <n v="107"/>
    <n v="72"/>
  </r>
  <r>
    <x v="34"/>
    <n v="25"/>
    <n v="93"/>
    <n v="124"/>
    <n v="82"/>
  </r>
  <r>
    <x v="35"/>
    <n v="19"/>
    <n v="72"/>
    <n v="99"/>
    <n v="68"/>
  </r>
  <r>
    <x v="36"/>
    <n v="21"/>
    <n v="79"/>
    <n v="107"/>
    <n v="72"/>
  </r>
  <r>
    <x v="37"/>
    <n v="24"/>
    <n v="90"/>
    <n v="120"/>
    <n v="80"/>
  </r>
  <r>
    <x v="38"/>
    <n v="19"/>
    <n v="72"/>
    <n v="99"/>
    <n v="68"/>
  </r>
  <r>
    <x v="39"/>
    <n v="28"/>
    <n v="103"/>
    <n v="136"/>
    <n v="89"/>
  </r>
  <r>
    <x v="40"/>
    <n v="27"/>
    <n v="100"/>
    <n v="132"/>
    <n v="87"/>
  </r>
  <r>
    <x v="41"/>
    <n v="24"/>
    <n v="90"/>
    <n v="120"/>
    <n v="80"/>
  </r>
  <r>
    <x v="42"/>
    <n v="22"/>
    <n v="83"/>
    <n v="111"/>
    <n v="75"/>
  </r>
  <r>
    <x v="43"/>
    <n v="17"/>
    <n v="65"/>
    <n v="91"/>
    <n v="63"/>
  </r>
  <r>
    <x v="44"/>
    <n v="18"/>
    <n v="69"/>
    <n v="95"/>
    <n v="65"/>
  </r>
  <r>
    <x v="45"/>
    <n v="23"/>
    <n v="86"/>
    <n v="115"/>
    <n v="77"/>
  </r>
  <r>
    <x v="46"/>
    <n v="23"/>
    <n v="86"/>
    <n v="115"/>
    <n v="77"/>
  </r>
  <r>
    <x v="47"/>
    <n v="19"/>
    <n v="72"/>
    <n v="99"/>
    <n v="68"/>
  </r>
  <r>
    <x v="48"/>
    <n v="21"/>
    <n v="79"/>
    <n v="107"/>
    <n v="72"/>
  </r>
  <r>
    <x v="49"/>
    <n v="25"/>
    <n v="93"/>
    <n v="124"/>
    <n v="82"/>
  </r>
  <r>
    <x v="50"/>
    <n v="28"/>
    <n v="103"/>
    <n v="136"/>
    <n v="89"/>
  </r>
  <r>
    <x v="51"/>
    <n v="27"/>
    <n v="100"/>
    <n v="132"/>
    <n v="87"/>
  </r>
  <r>
    <x v="52"/>
    <n v="23"/>
    <n v="86"/>
    <n v="115"/>
    <n v="77"/>
  </r>
  <r>
    <x v="53"/>
    <n v="26"/>
    <n v="96"/>
    <n v="128"/>
    <n v="84"/>
  </r>
  <r>
    <x v="54"/>
    <n v="29"/>
    <n v="107"/>
    <n v="140"/>
    <n v="91"/>
  </r>
  <r>
    <x v="55"/>
    <n v="26"/>
    <n v="96"/>
    <n v="128"/>
    <n v="84"/>
  </r>
  <r>
    <x v="56"/>
    <n v="27"/>
    <n v="100"/>
    <n v="132"/>
    <n v="87"/>
  </r>
  <r>
    <x v="57"/>
    <n v="24"/>
    <n v="90"/>
    <n v="120"/>
    <n v="80"/>
  </r>
  <r>
    <x v="58"/>
    <n v="26"/>
    <n v="96"/>
    <n v="128"/>
    <n v="84"/>
  </r>
  <r>
    <x v="59"/>
    <n v="25"/>
    <n v="93"/>
    <n v="124"/>
    <n v="82"/>
  </r>
  <r>
    <x v="60"/>
    <n v="24"/>
    <n v="90"/>
    <n v="120"/>
    <n v="80"/>
  </r>
  <r>
    <x v="61"/>
    <n v="22"/>
    <n v="83"/>
    <n v="111"/>
    <n v="75"/>
  </r>
  <r>
    <x v="62"/>
    <n v="19"/>
    <n v="72"/>
    <n v="99"/>
    <n v="68"/>
  </r>
  <r>
    <x v="63"/>
    <n v="21"/>
    <n v="79"/>
    <n v="107"/>
    <n v="72"/>
  </r>
  <r>
    <x v="64"/>
    <n v="26"/>
    <n v="96"/>
    <n v="128"/>
    <n v="84"/>
  </r>
  <r>
    <x v="65"/>
    <n v="19"/>
    <n v="72"/>
    <n v="99"/>
    <n v="68"/>
  </r>
  <r>
    <x v="66"/>
    <n v="21"/>
    <n v="79"/>
    <n v="107"/>
    <n v="72"/>
  </r>
  <r>
    <x v="67"/>
    <n v="23"/>
    <n v="86"/>
    <n v="115"/>
    <n v="77"/>
  </r>
  <r>
    <x v="68"/>
    <n v="27"/>
    <n v="100"/>
    <n v="132"/>
    <n v="87"/>
  </r>
  <r>
    <x v="69"/>
    <n v="20"/>
    <n v="76"/>
    <n v="103"/>
    <n v="70"/>
  </r>
  <r>
    <x v="70"/>
    <n v="18"/>
    <n v="69"/>
    <n v="95"/>
    <n v="65"/>
  </r>
  <r>
    <x v="71"/>
    <n v="17"/>
    <n v="65"/>
    <n v="91"/>
    <n v="63"/>
  </r>
  <r>
    <x v="72"/>
    <n v="19"/>
    <n v="72"/>
    <n v="99"/>
    <n v="68"/>
  </r>
  <r>
    <x v="73"/>
    <n v="26"/>
    <n v="96"/>
    <n v="128"/>
    <n v="84"/>
  </r>
  <r>
    <x v="74"/>
    <n v="21"/>
    <n v="79"/>
    <n v="107"/>
    <n v="72"/>
  </r>
  <r>
    <x v="75"/>
    <n v="19"/>
    <n v="72"/>
    <n v="99"/>
    <n v="68"/>
  </r>
  <r>
    <x v="76"/>
    <n v="19"/>
    <n v="72"/>
    <n v="99"/>
    <n v="68"/>
  </r>
  <r>
    <x v="77"/>
    <n v="21"/>
    <n v="79"/>
    <n v="107"/>
    <n v="72"/>
  </r>
  <r>
    <x v="78"/>
    <n v="21"/>
    <n v="79"/>
    <n v="107"/>
    <n v="72"/>
  </r>
  <r>
    <x v="79"/>
    <n v="24"/>
    <n v="90"/>
    <n v="120"/>
    <n v="80"/>
  </r>
  <r>
    <x v="80"/>
    <n v="26"/>
    <n v="96"/>
    <n v="128"/>
    <n v="84"/>
  </r>
  <r>
    <x v="81"/>
    <n v="23"/>
    <n v="86"/>
    <n v="115"/>
    <n v="77"/>
  </r>
  <r>
    <x v="82"/>
    <n v="23"/>
    <n v="86"/>
    <n v="115"/>
    <n v="77"/>
  </r>
  <r>
    <x v="83"/>
    <n v="24"/>
    <n v="90"/>
    <n v="120"/>
    <n v="80"/>
  </r>
  <r>
    <x v="84"/>
    <n v="26"/>
    <n v="96"/>
    <n v="128"/>
    <n v="84"/>
  </r>
  <r>
    <x v="85"/>
    <n v="28"/>
    <n v="103"/>
    <n v="136"/>
    <n v="89"/>
  </r>
  <r>
    <x v="86"/>
    <n v="32"/>
    <n v="117"/>
    <n v="153"/>
    <n v="98"/>
  </r>
  <r>
    <x v="87"/>
    <n v="26"/>
    <n v="96"/>
    <n v="128"/>
    <n v="84"/>
  </r>
  <r>
    <x v="88"/>
    <n v="32"/>
    <n v="117"/>
    <n v="153"/>
    <n v="98"/>
  </r>
  <r>
    <x v="89"/>
    <n v="23"/>
    <n v="86"/>
    <n v="115"/>
    <n v="77"/>
  </r>
  <r>
    <x v="90"/>
    <n v="22"/>
    <n v="83"/>
    <n v="111"/>
    <n v="75"/>
  </r>
  <r>
    <x v="91"/>
    <n v="25"/>
    <n v="93"/>
    <n v="12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0C7AF-A79D-48F7-8BEB-4E283296BD03}" name="Tabela przestawna2" cacheId="6" dataOnRows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2:K7" firstHeaderRow="1" firstDataRow="3" firstDataCol="1"/>
  <pivotFields count="7">
    <pivotField axis="axisCol"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dataField="1"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3">
    <i>
      <x/>
    </i>
    <i i="1">
      <x v="1"/>
    </i>
    <i i="2">
      <x v="2"/>
    </i>
  </rowItems>
  <colFields count="2">
    <field x="6"/>
    <field x="0"/>
  </colFields>
  <colItems count="4">
    <i>
      <x v="6"/>
    </i>
    <i>
      <x v="7"/>
    </i>
    <i>
      <x v="8"/>
    </i>
    <i t="grand">
      <x/>
    </i>
  </colItems>
  <dataFields count="3">
    <dataField name="Suma z hot-dog" fld="2" baseField="0" baseItem="0"/>
    <dataField name="Suma z lody" fld="3" baseField="0" baseItem="0"/>
    <dataField name="Suma z kukurydz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DC87-610B-4074-AF58-F132CA4BA4E3}">
  <dimension ref="A1:C93"/>
  <sheetViews>
    <sheetView zoomScale="175" zoomScaleNormal="175" workbookViewId="0">
      <selection activeCell="C2" sqref="C2"/>
    </sheetView>
  </sheetViews>
  <sheetFormatPr defaultRowHeight="15" x14ac:dyDescent="0.25"/>
  <cols>
    <col min="1" max="1" width="11.140625" bestFit="1" customWidth="1"/>
    <col min="2" max="2" width="12.140625" bestFit="1" customWidth="1"/>
    <col min="3" max="3" width="18.85546875" bestFit="1" customWidth="1"/>
  </cols>
  <sheetData>
    <row r="1" spans="1:3" x14ac:dyDescent="0.25">
      <c r="A1" s="3" t="s">
        <v>0</v>
      </c>
      <c r="B1" s="4" t="s">
        <v>1</v>
      </c>
      <c r="C1" t="s">
        <v>2</v>
      </c>
    </row>
    <row r="2" spans="1:3" x14ac:dyDescent="0.25">
      <c r="A2" s="5">
        <v>44713</v>
      </c>
      <c r="B2" s="6">
        <v>24</v>
      </c>
    </row>
    <row r="3" spans="1:3" x14ac:dyDescent="0.25">
      <c r="A3" s="7">
        <v>44714</v>
      </c>
      <c r="B3" s="8">
        <v>25</v>
      </c>
    </row>
    <row r="4" spans="1:3" x14ac:dyDescent="0.25">
      <c r="A4" s="5">
        <v>44715</v>
      </c>
      <c r="B4" s="6">
        <v>27</v>
      </c>
    </row>
    <row r="5" spans="1:3" x14ac:dyDescent="0.25">
      <c r="A5" s="7">
        <v>44716</v>
      </c>
      <c r="B5" s="8">
        <v>27</v>
      </c>
    </row>
    <row r="6" spans="1:3" x14ac:dyDescent="0.25">
      <c r="A6" s="5">
        <v>44717</v>
      </c>
      <c r="B6" s="6">
        <v>27</v>
      </c>
    </row>
    <row r="7" spans="1:3" x14ac:dyDescent="0.25">
      <c r="A7" s="7">
        <v>44718</v>
      </c>
      <c r="B7" s="8">
        <v>22</v>
      </c>
    </row>
    <row r="8" spans="1:3" x14ac:dyDescent="0.25">
      <c r="A8" s="5">
        <v>44719</v>
      </c>
      <c r="B8" s="6">
        <v>25</v>
      </c>
    </row>
    <row r="9" spans="1:3" x14ac:dyDescent="0.25">
      <c r="A9" s="7">
        <v>44720</v>
      </c>
      <c r="B9" s="8">
        <v>25</v>
      </c>
    </row>
    <row r="10" spans="1:3" x14ac:dyDescent="0.25">
      <c r="A10" s="5">
        <v>44721</v>
      </c>
      <c r="B10" s="6">
        <v>21</v>
      </c>
    </row>
    <row r="11" spans="1:3" x14ac:dyDescent="0.25">
      <c r="A11" s="7">
        <v>44722</v>
      </c>
      <c r="B11" s="8">
        <v>21</v>
      </c>
    </row>
    <row r="12" spans="1:3" x14ac:dyDescent="0.25">
      <c r="A12" s="5">
        <v>44723</v>
      </c>
      <c r="B12" s="6">
        <v>19</v>
      </c>
    </row>
    <row r="13" spans="1:3" x14ac:dyDescent="0.25">
      <c r="A13" s="7">
        <v>44724</v>
      </c>
      <c r="B13" s="8">
        <v>19</v>
      </c>
    </row>
    <row r="14" spans="1:3" x14ac:dyDescent="0.25">
      <c r="A14" s="5">
        <v>44725</v>
      </c>
      <c r="B14" s="6">
        <v>15</v>
      </c>
    </row>
    <row r="15" spans="1:3" x14ac:dyDescent="0.25">
      <c r="A15" s="7">
        <v>44726</v>
      </c>
      <c r="B15" s="8">
        <v>21</v>
      </c>
    </row>
    <row r="16" spans="1:3" x14ac:dyDescent="0.25">
      <c r="A16" s="5">
        <v>44727</v>
      </c>
      <c r="B16" s="6">
        <v>23</v>
      </c>
    </row>
    <row r="17" spans="1:2" x14ac:dyDescent="0.25">
      <c r="A17" s="7">
        <v>44728</v>
      </c>
      <c r="B17" s="8">
        <v>23</v>
      </c>
    </row>
    <row r="18" spans="1:2" x14ac:dyDescent="0.25">
      <c r="A18" s="5">
        <v>44729</v>
      </c>
      <c r="B18" s="6">
        <v>16</v>
      </c>
    </row>
    <row r="19" spans="1:2" x14ac:dyDescent="0.25">
      <c r="A19" s="7">
        <v>44730</v>
      </c>
      <c r="B19" s="8">
        <v>21</v>
      </c>
    </row>
    <row r="20" spans="1:2" x14ac:dyDescent="0.25">
      <c r="A20" s="5">
        <v>44731</v>
      </c>
      <c r="B20" s="6">
        <v>22</v>
      </c>
    </row>
    <row r="21" spans="1:2" x14ac:dyDescent="0.25">
      <c r="A21" s="7">
        <v>44732</v>
      </c>
      <c r="B21" s="8">
        <v>22</v>
      </c>
    </row>
    <row r="22" spans="1:2" x14ac:dyDescent="0.25">
      <c r="A22" s="5">
        <v>44733</v>
      </c>
      <c r="B22" s="6">
        <v>22</v>
      </c>
    </row>
    <row r="23" spans="1:2" x14ac:dyDescent="0.25">
      <c r="A23" s="7">
        <v>44734</v>
      </c>
      <c r="B23" s="8">
        <v>28</v>
      </c>
    </row>
    <row r="24" spans="1:2" x14ac:dyDescent="0.25">
      <c r="A24" s="5">
        <v>44735</v>
      </c>
      <c r="B24" s="6">
        <v>31</v>
      </c>
    </row>
    <row r="25" spans="1:2" x14ac:dyDescent="0.25">
      <c r="A25" s="7">
        <v>44736</v>
      </c>
      <c r="B25" s="8">
        <v>33</v>
      </c>
    </row>
    <row r="26" spans="1:2" x14ac:dyDescent="0.25">
      <c r="A26" s="5">
        <v>44737</v>
      </c>
      <c r="B26" s="6">
        <v>33</v>
      </c>
    </row>
    <row r="27" spans="1:2" x14ac:dyDescent="0.25">
      <c r="A27" s="7">
        <v>44738</v>
      </c>
      <c r="B27" s="8">
        <v>23</v>
      </c>
    </row>
    <row r="28" spans="1:2" x14ac:dyDescent="0.25">
      <c r="A28" s="5">
        <v>44739</v>
      </c>
      <c r="B28" s="6">
        <v>23</v>
      </c>
    </row>
    <row r="29" spans="1:2" x14ac:dyDescent="0.25">
      <c r="A29" s="7">
        <v>44740</v>
      </c>
      <c r="B29" s="8">
        <v>19</v>
      </c>
    </row>
    <row r="30" spans="1:2" x14ac:dyDescent="0.25">
      <c r="A30" s="5">
        <v>44741</v>
      </c>
      <c r="B30" s="6">
        <v>24</v>
      </c>
    </row>
    <row r="31" spans="1:2" x14ac:dyDescent="0.25">
      <c r="A31" s="7">
        <v>44742</v>
      </c>
      <c r="B31" s="8">
        <v>25</v>
      </c>
    </row>
    <row r="32" spans="1:2" x14ac:dyDescent="0.25">
      <c r="A32" s="5">
        <v>44743</v>
      </c>
      <c r="B32" s="6">
        <v>27</v>
      </c>
    </row>
    <row r="33" spans="1:2" x14ac:dyDescent="0.25">
      <c r="A33" s="7">
        <v>44744</v>
      </c>
      <c r="B33" s="8">
        <v>27</v>
      </c>
    </row>
    <row r="34" spans="1:2" x14ac:dyDescent="0.25">
      <c r="A34" s="5">
        <v>44745</v>
      </c>
      <c r="B34" s="6">
        <v>21</v>
      </c>
    </row>
    <row r="35" spans="1:2" x14ac:dyDescent="0.25">
      <c r="A35" s="7">
        <v>44746</v>
      </c>
      <c r="B35" s="8">
        <v>21</v>
      </c>
    </row>
    <row r="36" spans="1:2" x14ac:dyDescent="0.25">
      <c r="A36" s="5">
        <v>44747</v>
      </c>
      <c r="B36" s="6">
        <v>25</v>
      </c>
    </row>
    <row r="37" spans="1:2" x14ac:dyDescent="0.25">
      <c r="A37" s="7">
        <v>44748</v>
      </c>
      <c r="B37" s="8">
        <v>19</v>
      </c>
    </row>
    <row r="38" spans="1:2" x14ac:dyDescent="0.25">
      <c r="A38" s="5">
        <v>44749</v>
      </c>
      <c r="B38" s="6">
        <v>21</v>
      </c>
    </row>
    <row r="39" spans="1:2" x14ac:dyDescent="0.25">
      <c r="A39" s="7">
        <v>44750</v>
      </c>
      <c r="B39" s="8">
        <v>24</v>
      </c>
    </row>
    <row r="40" spans="1:2" x14ac:dyDescent="0.25">
      <c r="A40" s="5">
        <v>44751</v>
      </c>
      <c r="B40" s="6">
        <v>19</v>
      </c>
    </row>
    <row r="41" spans="1:2" x14ac:dyDescent="0.25">
      <c r="A41" s="7">
        <v>44752</v>
      </c>
      <c r="B41" s="8">
        <v>28</v>
      </c>
    </row>
    <row r="42" spans="1:2" x14ac:dyDescent="0.25">
      <c r="A42" s="5">
        <v>44753</v>
      </c>
      <c r="B42" s="6">
        <v>27</v>
      </c>
    </row>
    <row r="43" spans="1:2" x14ac:dyDescent="0.25">
      <c r="A43" s="7">
        <v>44754</v>
      </c>
      <c r="B43" s="8">
        <v>24</v>
      </c>
    </row>
    <row r="44" spans="1:2" x14ac:dyDescent="0.25">
      <c r="A44" s="5">
        <v>44755</v>
      </c>
      <c r="B44" s="6">
        <v>22</v>
      </c>
    </row>
    <row r="45" spans="1:2" x14ac:dyDescent="0.25">
      <c r="A45" s="7">
        <v>44756</v>
      </c>
      <c r="B45" s="8">
        <v>17</v>
      </c>
    </row>
    <row r="46" spans="1:2" x14ac:dyDescent="0.25">
      <c r="A46" s="5">
        <v>44757</v>
      </c>
      <c r="B46" s="6">
        <v>18</v>
      </c>
    </row>
    <row r="47" spans="1:2" x14ac:dyDescent="0.25">
      <c r="A47" s="7">
        <v>44758</v>
      </c>
      <c r="B47" s="8">
        <v>23</v>
      </c>
    </row>
    <row r="48" spans="1:2" x14ac:dyDescent="0.25">
      <c r="A48" s="5">
        <v>44759</v>
      </c>
      <c r="B48" s="6">
        <v>23</v>
      </c>
    </row>
    <row r="49" spans="1:2" x14ac:dyDescent="0.25">
      <c r="A49" s="7">
        <v>44760</v>
      </c>
      <c r="B49" s="8">
        <v>19</v>
      </c>
    </row>
    <row r="50" spans="1:2" x14ac:dyDescent="0.25">
      <c r="A50" s="5">
        <v>44761</v>
      </c>
      <c r="B50" s="6">
        <v>21</v>
      </c>
    </row>
    <row r="51" spans="1:2" x14ac:dyDescent="0.25">
      <c r="A51" s="7">
        <v>44762</v>
      </c>
      <c r="B51" s="8">
        <v>25</v>
      </c>
    </row>
    <row r="52" spans="1:2" x14ac:dyDescent="0.25">
      <c r="A52" s="5">
        <v>44763</v>
      </c>
      <c r="B52" s="6">
        <v>28</v>
      </c>
    </row>
    <row r="53" spans="1:2" x14ac:dyDescent="0.25">
      <c r="A53" s="7">
        <v>44764</v>
      </c>
      <c r="B53" s="8">
        <v>27</v>
      </c>
    </row>
    <row r="54" spans="1:2" x14ac:dyDescent="0.25">
      <c r="A54" s="5">
        <v>44765</v>
      </c>
      <c r="B54" s="6">
        <v>23</v>
      </c>
    </row>
    <row r="55" spans="1:2" x14ac:dyDescent="0.25">
      <c r="A55" s="7">
        <v>44766</v>
      </c>
      <c r="B55" s="8">
        <v>26</v>
      </c>
    </row>
    <row r="56" spans="1:2" x14ac:dyDescent="0.25">
      <c r="A56" s="5">
        <v>44767</v>
      </c>
      <c r="B56" s="6">
        <v>29</v>
      </c>
    </row>
    <row r="57" spans="1:2" x14ac:dyDescent="0.25">
      <c r="A57" s="7">
        <v>44768</v>
      </c>
      <c r="B57" s="8">
        <v>26</v>
      </c>
    </row>
    <row r="58" spans="1:2" x14ac:dyDescent="0.25">
      <c r="A58" s="5">
        <v>44769</v>
      </c>
      <c r="B58" s="6">
        <v>27</v>
      </c>
    </row>
    <row r="59" spans="1:2" x14ac:dyDescent="0.25">
      <c r="A59" s="7">
        <v>44770</v>
      </c>
      <c r="B59" s="8">
        <v>24</v>
      </c>
    </row>
    <row r="60" spans="1:2" x14ac:dyDescent="0.25">
      <c r="A60" s="5">
        <v>44771</v>
      </c>
      <c r="B60" s="6">
        <v>26</v>
      </c>
    </row>
    <row r="61" spans="1:2" x14ac:dyDescent="0.25">
      <c r="A61" s="7">
        <v>44772</v>
      </c>
      <c r="B61" s="8">
        <v>25</v>
      </c>
    </row>
    <row r="62" spans="1:2" x14ac:dyDescent="0.25">
      <c r="A62" s="5">
        <v>44773</v>
      </c>
      <c r="B62" s="6">
        <v>24</v>
      </c>
    </row>
    <row r="63" spans="1:2" x14ac:dyDescent="0.25">
      <c r="A63" s="7">
        <v>44774</v>
      </c>
      <c r="B63" s="8">
        <v>22</v>
      </c>
    </row>
    <row r="64" spans="1:2" x14ac:dyDescent="0.25">
      <c r="A64" s="5">
        <v>44775</v>
      </c>
      <c r="B64" s="6">
        <v>19</v>
      </c>
    </row>
    <row r="65" spans="1:2" x14ac:dyDescent="0.25">
      <c r="A65" s="7">
        <v>44776</v>
      </c>
      <c r="B65" s="8">
        <v>21</v>
      </c>
    </row>
    <row r="66" spans="1:2" x14ac:dyDescent="0.25">
      <c r="A66" s="5">
        <v>44777</v>
      </c>
      <c r="B66" s="6">
        <v>26</v>
      </c>
    </row>
    <row r="67" spans="1:2" x14ac:dyDescent="0.25">
      <c r="A67" s="7">
        <v>44778</v>
      </c>
      <c r="B67" s="8">
        <v>19</v>
      </c>
    </row>
    <row r="68" spans="1:2" x14ac:dyDescent="0.25">
      <c r="A68" s="5">
        <v>44779</v>
      </c>
      <c r="B68" s="6">
        <v>21</v>
      </c>
    </row>
    <row r="69" spans="1:2" x14ac:dyDescent="0.25">
      <c r="A69" s="7">
        <v>44780</v>
      </c>
      <c r="B69" s="8">
        <v>23</v>
      </c>
    </row>
    <row r="70" spans="1:2" x14ac:dyDescent="0.25">
      <c r="A70" s="5">
        <v>44781</v>
      </c>
      <c r="B70" s="6">
        <v>27</v>
      </c>
    </row>
    <row r="71" spans="1:2" x14ac:dyDescent="0.25">
      <c r="A71" s="7">
        <v>44782</v>
      </c>
      <c r="B71" s="8">
        <v>20</v>
      </c>
    </row>
    <row r="72" spans="1:2" x14ac:dyDescent="0.25">
      <c r="A72" s="5">
        <v>44783</v>
      </c>
      <c r="B72" s="6">
        <v>18</v>
      </c>
    </row>
    <row r="73" spans="1:2" x14ac:dyDescent="0.25">
      <c r="A73" s="7">
        <v>44784</v>
      </c>
      <c r="B73" s="8">
        <v>17</v>
      </c>
    </row>
    <row r="74" spans="1:2" x14ac:dyDescent="0.25">
      <c r="A74" s="5">
        <v>44785</v>
      </c>
      <c r="B74" s="6">
        <v>19</v>
      </c>
    </row>
    <row r="75" spans="1:2" x14ac:dyDescent="0.25">
      <c r="A75" s="7">
        <v>44786</v>
      </c>
      <c r="B75" s="8">
        <v>26</v>
      </c>
    </row>
    <row r="76" spans="1:2" x14ac:dyDescent="0.25">
      <c r="A76" s="5">
        <v>44787</v>
      </c>
      <c r="B76" s="6">
        <v>21</v>
      </c>
    </row>
    <row r="77" spans="1:2" x14ac:dyDescent="0.25">
      <c r="A77" s="7">
        <v>44788</v>
      </c>
      <c r="B77" s="8">
        <v>19</v>
      </c>
    </row>
    <row r="78" spans="1:2" x14ac:dyDescent="0.25">
      <c r="A78" s="5">
        <v>44789</v>
      </c>
      <c r="B78" s="6">
        <v>19</v>
      </c>
    </row>
    <row r="79" spans="1:2" x14ac:dyDescent="0.25">
      <c r="A79" s="7">
        <v>44790</v>
      </c>
      <c r="B79" s="8">
        <v>21</v>
      </c>
    </row>
    <row r="80" spans="1:2" x14ac:dyDescent="0.25">
      <c r="A80" s="5">
        <v>44791</v>
      </c>
      <c r="B80" s="6">
        <v>21</v>
      </c>
    </row>
    <row r="81" spans="1:2" x14ac:dyDescent="0.25">
      <c r="A81" s="7">
        <v>44792</v>
      </c>
      <c r="B81" s="8">
        <v>24</v>
      </c>
    </row>
    <row r="82" spans="1:2" x14ac:dyDescent="0.25">
      <c r="A82" s="5">
        <v>44793</v>
      </c>
      <c r="B82" s="6">
        <v>26</v>
      </c>
    </row>
    <row r="83" spans="1:2" x14ac:dyDescent="0.25">
      <c r="A83" s="7">
        <v>44794</v>
      </c>
      <c r="B83" s="8">
        <v>23</v>
      </c>
    </row>
    <row r="84" spans="1:2" x14ac:dyDescent="0.25">
      <c r="A84" s="5">
        <v>44795</v>
      </c>
      <c r="B84" s="6">
        <v>23</v>
      </c>
    </row>
    <row r="85" spans="1:2" x14ac:dyDescent="0.25">
      <c r="A85" s="7">
        <v>44796</v>
      </c>
      <c r="B85" s="8">
        <v>24</v>
      </c>
    </row>
    <row r="86" spans="1:2" x14ac:dyDescent="0.25">
      <c r="A86" s="5">
        <v>44797</v>
      </c>
      <c r="B86" s="6">
        <v>26</v>
      </c>
    </row>
    <row r="87" spans="1:2" x14ac:dyDescent="0.25">
      <c r="A87" s="7">
        <v>44798</v>
      </c>
      <c r="B87" s="8">
        <v>28</v>
      </c>
    </row>
    <row r="88" spans="1:2" x14ac:dyDescent="0.25">
      <c r="A88" s="5">
        <v>44799</v>
      </c>
      <c r="B88" s="6">
        <v>32</v>
      </c>
    </row>
    <row r="89" spans="1:2" x14ac:dyDescent="0.25">
      <c r="A89" s="7">
        <v>44800</v>
      </c>
      <c r="B89" s="8">
        <v>26</v>
      </c>
    </row>
    <row r="90" spans="1:2" x14ac:dyDescent="0.25">
      <c r="A90" s="5">
        <v>44801</v>
      </c>
      <c r="B90" s="6">
        <v>32</v>
      </c>
    </row>
    <row r="91" spans="1:2" x14ac:dyDescent="0.25">
      <c r="A91" s="7">
        <v>44802</v>
      </c>
      <c r="B91" s="8">
        <v>23</v>
      </c>
    </row>
    <row r="92" spans="1:2" x14ac:dyDescent="0.25">
      <c r="A92" s="5">
        <v>44803</v>
      </c>
      <c r="B92" s="6">
        <v>22</v>
      </c>
    </row>
    <row r="93" spans="1:2" x14ac:dyDescent="0.25">
      <c r="A93" s="9">
        <v>44804</v>
      </c>
      <c r="B93" s="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BF9C-3899-477B-BF2E-2A01470D3A76}">
  <dimension ref="A1:F93"/>
  <sheetViews>
    <sheetView zoomScale="175" zoomScaleNormal="175" workbookViewId="0">
      <selection activeCell="E4" sqref="E4"/>
    </sheetView>
  </sheetViews>
  <sheetFormatPr defaultRowHeight="15" x14ac:dyDescent="0.25"/>
  <cols>
    <col min="1" max="1" width="11.140625" bestFit="1" customWidth="1"/>
    <col min="2" max="2" width="12.140625" bestFit="1" customWidth="1"/>
    <col min="3" max="3" width="18.85546875" bestFit="1" customWidth="1"/>
    <col min="5" max="6" width="10.5703125" bestFit="1" customWidth="1"/>
  </cols>
  <sheetData>
    <row r="1" spans="1:6" x14ac:dyDescent="0.25">
      <c r="A1" s="3" t="s">
        <v>0</v>
      </c>
      <c r="B1" s="4" t="s">
        <v>1</v>
      </c>
    </row>
    <row r="2" spans="1:6" x14ac:dyDescent="0.25">
      <c r="A2" s="5">
        <v>44713</v>
      </c>
      <c r="B2" s="6">
        <v>24</v>
      </c>
      <c r="C2">
        <f>IF(B2&gt;20,C1+1,0)</f>
        <v>1</v>
      </c>
      <c r="E2">
        <f>MAX(C2:C93)</f>
        <v>15</v>
      </c>
    </row>
    <row r="3" spans="1:6" x14ac:dyDescent="0.25">
      <c r="A3" s="7">
        <v>44714</v>
      </c>
      <c r="B3" s="8">
        <v>25</v>
      </c>
      <c r="C3">
        <f t="shared" ref="C3:C66" si="0">IF(B3&gt;20,C2+1,0)</f>
        <v>2</v>
      </c>
      <c r="E3" s="1">
        <f>F3-E2+1</f>
        <v>44790</v>
      </c>
      <c r="F3" s="1">
        <f>_xlfn.XLOOKUP(E2,C2:C93,A2:A93,0)</f>
        <v>44804</v>
      </c>
    </row>
    <row r="4" spans="1:6" x14ac:dyDescent="0.25">
      <c r="A4" s="5">
        <v>44715</v>
      </c>
      <c r="B4" s="6">
        <v>27</v>
      </c>
      <c r="C4">
        <f t="shared" si="0"/>
        <v>3</v>
      </c>
    </row>
    <row r="5" spans="1:6" x14ac:dyDescent="0.25">
      <c r="A5" s="7">
        <v>44716</v>
      </c>
      <c r="B5" s="8">
        <v>27</v>
      </c>
      <c r="C5">
        <f t="shared" si="0"/>
        <v>4</v>
      </c>
    </row>
    <row r="6" spans="1:6" x14ac:dyDescent="0.25">
      <c r="A6" s="5">
        <v>44717</v>
      </c>
      <c r="B6" s="6">
        <v>27</v>
      </c>
      <c r="C6">
        <f t="shared" si="0"/>
        <v>5</v>
      </c>
    </row>
    <row r="7" spans="1:6" x14ac:dyDescent="0.25">
      <c r="A7" s="7">
        <v>44718</v>
      </c>
      <c r="B7" s="8">
        <v>22</v>
      </c>
      <c r="C7">
        <f t="shared" si="0"/>
        <v>6</v>
      </c>
    </row>
    <row r="8" spans="1:6" x14ac:dyDescent="0.25">
      <c r="A8" s="5">
        <v>44719</v>
      </c>
      <c r="B8" s="6">
        <v>25</v>
      </c>
      <c r="C8">
        <f t="shared" si="0"/>
        <v>7</v>
      </c>
    </row>
    <row r="9" spans="1:6" x14ac:dyDescent="0.25">
      <c r="A9" s="7">
        <v>44720</v>
      </c>
      <c r="B9" s="8">
        <v>25</v>
      </c>
      <c r="C9">
        <f t="shared" si="0"/>
        <v>8</v>
      </c>
    </row>
    <row r="10" spans="1:6" x14ac:dyDescent="0.25">
      <c r="A10" s="5">
        <v>44721</v>
      </c>
      <c r="B10" s="6">
        <v>21</v>
      </c>
      <c r="C10">
        <f t="shared" si="0"/>
        <v>9</v>
      </c>
    </row>
    <row r="11" spans="1:6" x14ac:dyDescent="0.25">
      <c r="A11" s="7">
        <v>44722</v>
      </c>
      <c r="B11" s="8">
        <v>21</v>
      </c>
      <c r="C11">
        <f t="shared" si="0"/>
        <v>10</v>
      </c>
    </row>
    <row r="12" spans="1:6" x14ac:dyDescent="0.25">
      <c r="A12" s="5">
        <v>44723</v>
      </c>
      <c r="B12" s="6">
        <v>19</v>
      </c>
      <c r="C12">
        <f t="shared" si="0"/>
        <v>0</v>
      </c>
    </row>
    <row r="13" spans="1:6" x14ac:dyDescent="0.25">
      <c r="A13" s="7">
        <v>44724</v>
      </c>
      <c r="B13" s="8">
        <v>19</v>
      </c>
      <c r="C13">
        <f t="shared" si="0"/>
        <v>0</v>
      </c>
    </row>
    <row r="14" spans="1:6" x14ac:dyDescent="0.25">
      <c r="A14" s="5">
        <v>44725</v>
      </c>
      <c r="B14" s="6">
        <v>15</v>
      </c>
      <c r="C14">
        <f t="shared" si="0"/>
        <v>0</v>
      </c>
    </row>
    <row r="15" spans="1:6" x14ac:dyDescent="0.25">
      <c r="A15" s="7">
        <v>44726</v>
      </c>
      <c r="B15" s="8">
        <v>21</v>
      </c>
      <c r="C15">
        <f t="shared" si="0"/>
        <v>1</v>
      </c>
    </row>
    <row r="16" spans="1:6" x14ac:dyDescent="0.25">
      <c r="A16" s="5">
        <v>44727</v>
      </c>
      <c r="B16" s="6">
        <v>23</v>
      </c>
      <c r="C16">
        <f t="shared" si="0"/>
        <v>2</v>
      </c>
    </row>
    <row r="17" spans="1:3" x14ac:dyDescent="0.25">
      <c r="A17" s="7">
        <v>44728</v>
      </c>
      <c r="B17" s="8">
        <v>23</v>
      </c>
      <c r="C17">
        <f t="shared" si="0"/>
        <v>3</v>
      </c>
    </row>
    <row r="18" spans="1:3" x14ac:dyDescent="0.25">
      <c r="A18" s="5">
        <v>44729</v>
      </c>
      <c r="B18" s="6">
        <v>16</v>
      </c>
      <c r="C18">
        <f t="shared" si="0"/>
        <v>0</v>
      </c>
    </row>
    <row r="19" spans="1:3" x14ac:dyDescent="0.25">
      <c r="A19" s="7">
        <v>44730</v>
      </c>
      <c r="B19" s="8">
        <v>21</v>
      </c>
      <c r="C19">
        <f t="shared" si="0"/>
        <v>1</v>
      </c>
    </row>
    <row r="20" spans="1:3" x14ac:dyDescent="0.25">
      <c r="A20" s="5">
        <v>44731</v>
      </c>
      <c r="B20" s="6">
        <v>22</v>
      </c>
      <c r="C20">
        <f t="shared" si="0"/>
        <v>2</v>
      </c>
    </row>
    <row r="21" spans="1:3" x14ac:dyDescent="0.25">
      <c r="A21" s="7">
        <v>44732</v>
      </c>
      <c r="B21" s="8">
        <v>22</v>
      </c>
      <c r="C21">
        <f t="shared" si="0"/>
        <v>3</v>
      </c>
    </row>
    <row r="22" spans="1:3" x14ac:dyDescent="0.25">
      <c r="A22" s="5">
        <v>44733</v>
      </c>
      <c r="B22" s="6">
        <v>22</v>
      </c>
      <c r="C22">
        <f t="shared" si="0"/>
        <v>4</v>
      </c>
    </row>
    <row r="23" spans="1:3" x14ac:dyDescent="0.25">
      <c r="A23" s="7">
        <v>44734</v>
      </c>
      <c r="B23" s="8">
        <v>28</v>
      </c>
      <c r="C23">
        <f t="shared" si="0"/>
        <v>5</v>
      </c>
    </row>
    <row r="24" spans="1:3" x14ac:dyDescent="0.25">
      <c r="A24" s="5">
        <v>44735</v>
      </c>
      <c r="B24" s="6">
        <v>31</v>
      </c>
      <c r="C24">
        <f t="shared" si="0"/>
        <v>6</v>
      </c>
    </row>
    <row r="25" spans="1:3" x14ac:dyDescent="0.25">
      <c r="A25" s="7">
        <v>44736</v>
      </c>
      <c r="B25" s="8">
        <v>33</v>
      </c>
      <c r="C25">
        <f t="shared" si="0"/>
        <v>7</v>
      </c>
    </row>
    <row r="26" spans="1:3" x14ac:dyDescent="0.25">
      <c r="A26" s="5">
        <v>44737</v>
      </c>
      <c r="B26" s="6">
        <v>33</v>
      </c>
      <c r="C26">
        <f t="shared" si="0"/>
        <v>8</v>
      </c>
    </row>
    <row r="27" spans="1:3" x14ac:dyDescent="0.25">
      <c r="A27" s="7">
        <v>44738</v>
      </c>
      <c r="B27" s="8">
        <v>23</v>
      </c>
      <c r="C27">
        <f t="shared" si="0"/>
        <v>9</v>
      </c>
    </row>
    <row r="28" spans="1:3" x14ac:dyDescent="0.25">
      <c r="A28" s="5">
        <v>44739</v>
      </c>
      <c r="B28" s="6">
        <v>23</v>
      </c>
      <c r="C28">
        <f t="shared" si="0"/>
        <v>10</v>
      </c>
    </row>
    <row r="29" spans="1:3" x14ac:dyDescent="0.25">
      <c r="A29" s="7">
        <v>44740</v>
      </c>
      <c r="B29" s="8">
        <v>19</v>
      </c>
      <c r="C29">
        <f t="shared" si="0"/>
        <v>0</v>
      </c>
    </row>
    <row r="30" spans="1:3" x14ac:dyDescent="0.25">
      <c r="A30" s="5">
        <v>44741</v>
      </c>
      <c r="B30" s="6">
        <v>24</v>
      </c>
      <c r="C30">
        <f t="shared" si="0"/>
        <v>1</v>
      </c>
    </row>
    <row r="31" spans="1:3" x14ac:dyDescent="0.25">
      <c r="A31" s="7">
        <v>44742</v>
      </c>
      <c r="B31" s="8">
        <v>25</v>
      </c>
      <c r="C31">
        <f t="shared" si="0"/>
        <v>2</v>
      </c>
    </row>
    <row r="32" spans="1:3" x14ac:dyDescent="0.25">
      <c r="A32" s="5">
        <v>44743</v>
      </c>
      <c r="B32" s="6">
        <v>27</v>
      </c>
      <c r="C32">
        <f t="shared" si="0"/>
        <v>3</v>
      </c>
    </row>
    <row r="33" spans="1:3" x14ac:dyDescent="0.25">
      <c r="A33" s="7">
        <v>44744</v>
      </c>
      <c r="B33" s="8">
        <v>27</v>
      </c>
      <c r="C33">
        <f t="shared" si="0"/>
        <v>4</v>
      </c>
    </row>
    <row r="34" spans="1:3" x14ac:dyDescent="0.25">
      <c r="A34" s="5">
        <v>44745</v>
      </c>
      <c r="B34" s="6">
        <v>21</v>
      </c>
      <c r="C34">
        <f t="shared" si="0"/>
        <v>5</v>
      </c>
    </row>
    <row r="35" spans="1:3" x14ac:dyDescent="0.25">
      <c r="A35" s="7">
        <v>44746</v>
      </c>
      <c r="B35" s="8">
        <v>21</v>
      </c>
      <c r="C35">
        <f t="shared" si="0"/>
        <v>6</v>
      </c>
    </row>
    <row r="36" spans="1:3" x14ac:dyDescent="0.25">
      <c r="A36" s="5">
        <v>44747</v>
      </c>
      <c r="B36" s="6">
        <v>25</v>
      </c>
      <c r="C36">
        <f t="shared" si="0"/>
        <v>7</v>
      </c>
    </row>
    <row r="37" spans="1:3" x14ac:dyDescent="0.25">
      <c r="A37" s="7">
        <v>44748</v>
      </c>
      <c r="B37" s="8">
        <v>19</v>
      </c>
      <c r="C37">
        <f t="shared" si="0"/>
        <v>0</v>
      </c>
    </row>
    <row r="38" spans="1:3" x14ac:dyDescent="0.25">
      <c r="A38" s="5">
        <v>44749</v>
      </c>
      <c r="B38" s="6">
        <v>21</v>
      </c>
      <c r="C38">
        <f t="shared" si="0"/>
        <v>1</v>
      </c>
    </row>
    <row r="39" spans="1:3" x14ac:dyDescent="0.25">
      <c r="A39" s="7">
        <v>44750</v>
      </c>
      <c r="B39" s="8">
        <v>24</v>
      </c>
      <c r="C39">
        <f t="shared" si="0"/>
        <v>2</v>
      </c>
    </row>
    <row r="40" spans="1:3" x14ac:dyDescent="0.25">
      <c r="A40" s="5">
        <v>44751</v>
      </c>
      <c r="B40" s="6">
        <v>19</v>
      </c>
      <c r="C40">
        <f t="shared" si="0"/>
        <v>0</v>
      </c>
    </row>
    <row r="41" spans="1:3" x14ac:dyDescent="0.25">
      <c r="A41" s="7">
        <v>44752</v>
      </c>
      <c r="B41" s="8">
        <v>28</v>
      </c>
      <c r="C41">
        <f t="shared" si="0"/>
        <v>1</v>
      </c>
    </row>
    <row r="42" spans="1:3" x14ac:dyDescent="0.25">
      <c r="A42" s="5">
        <v>44753</v>
      </c>
      <c r="B42" s="6">
        <v>27</v>
      </c>
      <c r="C42">
        <f t="shared" si="0"/>
        <v>2</v>
      </c>
    </row>
    <row r="43" spans="1:3" x14ac:dyDescent="0.25">
      <c r="A43" s="7">
        <v>44754</v>
      </c>
      <c r="B43" s="8">
        <v>24</v>
      </c>
      <c r="C43">
        <f t="shared" si="0"/>
        <v>3</v>
      </c>
    </row>
    <row r="44" spans="1:3" x14ac:dyDescent="0.25">
      <c r="A44" s="5">
        <v>44755</v>
      </c>
      <c r="B44" s="6">
        <v>22</v>
      </c>
      <c r="C44">
        <f t="shared" si="0"/>
        <v>4</v>
      </c>
    </row>
    <row r="45" spans="1:3" x14ac:dyDescent="0.25">
      <c r="A45" s="7">
        <v>44756</v>
      </c>
      <c r="B45" s="8">
        <v>17</v>
      </c>
      <c r="C45">
        <f t="shared" si="0"/>
        <v>0</v>
      </c>
    </row>
    <row r="46" spans="1:3" x14ac:dyDescent="0.25">
      <c r="A46" s="5">
        <v>44757</v>
      </c>
      <c r="B46" s="6">
        <v>18</v>
      </c>
      <c r="C46">
        <f t="shared" si="0"/>
        <v>0</v>
      </c>
    </row>
    <row r="47" spans="1:3" x14ac:dyDescent="0.25">
      <c r="A47" s="7">
        <v>44758</v>
      </c>
      <c r="B47" s="8">
        <v>23</v>
      </c>
      <c r="C47">
        <f t="shared" si="0"/>
        <v>1</v>
      </c>
    </row>
    <row r="48" spans="1:3" x14ac:dyDescent="0.25">
      <c r="A48" s="5">
        <v>44759</v>
      </c>
      <c r="B48" s="6">
        <v>23</v>
      </c>
      <c r="C48">
        <f t="shared" si="0"/>
        <v>2</v>
      </c>
    </row>
    <row r="49" spans="1:3" x14ac:dyDescent="0.25">
      <c r="A49" s="7">
        <v>44760</v>
      </c>
      <c r="B49" s="8">
        <v>19</v>
      </c>
      <c r="C49">
        <f t="shared" si="0"/>
        <v>0</v>
      </c>
    </row>
    <row r="50" spans="1:3" x14ac:dyDescent="0.25">
      <c r="A50" s="5">
        <v>44761</v>
      </c>
      <c r="B50" s="6">
        <v>21</v>
      </c>
      <c r="C50">
        <f t="shared" si="0"/>
        <v>1</v>
      </c>
    </row>
    <row r="51" spans="1:3" x14ac:dyDescent="0.25">
      <c r="A51" s="7">
        <v>44762</v>
      </c>
      <c r="B51" s="8">
        <v>25</v>
      </c>
      <c r="C51">
        <f t="shared" si="0"/>
        <v>2</v>
      </c>
    </row>
    <row r="52" spans="1:3" x14ac:dyDescent="0.25">
      <c r="A52" s="5">
        <v>44763</v>
      </c>
      <c r="B52" s="6">
        <v>28</v>
      </c>
      <c r="C52">
        <f t="shared" si="0"/>
        <v>3</v>
      </c>
    </row>
    <row r="53" spans="1:3" x14ac:dyDescent="0.25">
      <c r="A53" s="7">
        <v>44764</v>
      </c>
      <c r="B53" s="8">
        <v>27</v>
      </c>
      <c r="C53">
        <f t="shared" si="0"/>
        <v>4</v>
      </c>
    </row>
    <row r="54" spans="1:3" x14ac:dyDescent="0.25">
      <c r="A54" s="5">
        <v>44765</v>
      </c>
      <c r="B54" s="6">
        <v>23</v>
      </c>
      <c r="C54">
        <f t="shared" si="0"/>
        <v>5</v>
      </c>
    </row>
    <row r="55" spans="1:3" x14ac:dyDescent="0.25">
      <c r="A55" s="7">
        <v>44766</v>
      </c>
      <c r="B55" s="8">
        <v>26</v>
      </c>
      <c r="C55">
        <f t="shared" si="0"/>
        <v>6</v>
      </c>
    </row>
    <row r="56" spans="1:3" x14ac:dyDescent="0.25">
      <c r="A56" s="5">
        <v>44767</v>
      </c>
      <c r="B56" s="6">
        <v>29</v>
      </c>
      <c r="C56">
        <f t="shared" si="0"/>
        <v>7</v>
      </c>
    </row>
    <row r="57" spans="1:3" x14ac:dyDescent="0.25">
      <c r="A57" s="7">
        <v>44768</v>
      </c>
      <c r="B57" s="8">
        <v>26</v>
      </c>
      <c r="C57">
        <f t="shared" si="0"/>
        <v>8</v>
      </c>
    </row>
    <row r="58" spans="1:3" x14ac:dyDescent="0.25">
      <c r="A58" s="5">
        <v>44769</v>
      </c>
      <c r="B58" s="6">
        <v>27</v>
      </c>
      <c r="C58">
        <f t="shared" si="0"/>
        <v>9</v>
      </c>
    </row>
    <row r="59" spans="1:3" x14ac:dyDescent="0.25">
      <c r="A59" s="7">
        <v>44770</v>
      </c>
      <c r="B59" s="8">
        <v>24</v>
      </c>
      <c r="C59">
        <f t="shared" si="0"/>
        <v>10</v>
      </c>
    </row>
    <row r="60" spans="1:3" x14ac:dyDescent="0.25">
      <c r="A60" s="5">
        <v>44771</v>
      </c>
      <c r="B60" s="6">
        <v>26</v>
      </c>
      <c r="C60">
        <f t="shared" si="0"/>
        <v>11</v>
      </c>
    </row>
    <row r="61" spans="1:3" x14ac:dyDescent="0.25">
      <c r="A61" s="7">
        <v>44772</v>
      </c>
      <c r="B61" s="8">
        <v>25</v>
      </c>
      <c r="C61">
        <f t="shared" si="0"/>
        <v>12</v>
      </c>
    </row>
    <row r="62" spans="1:3" x14ac:dyDescent="0.25">
      <c r="A62" s="5">
        <v>44773</v>
      </c>
      <c r="B62" s="6">
        <v>24</v>
      </c>
      <c r="C62">
        <f t="shared" si="0"/>
        <v>13</v>
      </c>
    </row>
    <row r="63" spans="1:3" x14ac:dyDescent="0.25">
      <c r="A63" s="7">
        <v>44774</v>
      </c>
      <c r="B63" s="8">
        <v>22</v>
      </c>
      <c r="C63">
        <f t="shared" si="0"/>
        <v>14</v>
      </c>
    </row>
    <row r="64" spans="1:3" x14ac:dyDescent="0.25">
      <c r="A64" s="5">
        <v>44775</v>
      </c>
      <c r="B64" s="6">
        <v>19</v>
      </c>
      <c r="C64">
        <f t="shared" si="0"/>
        <v>0</v>
      </c>
    </row>
    <row r="65" spans="1:3" x14ac:dyDescent="0.25">
      <c r="A65" s="7">
        <v>44776</v>
      </c>
      <c r="B65" s="8">
        <v>21</v>
      </c>
      <c r="C65">
        <f t="shared" si="0"/>
        <v>1</v>
      </c>
    </row>
    <row r="66" spans="1:3" x14ac:dyDescent="0.25">
      <c r="A66" s="5">
        <v>44777</v>
      </c>
      <c r="B66" s="6">
        <v>26</v>
      </c>
      <c r="C66">
        <f t="shared" si="0"/>
        <v>2</v>
      </c>
    </row>
    <row r="67" spans="1:3" x14ac:dyDescent="0.25">
      <c r="A67" s="7">
        <v>44778</v>
      </c>
      <c r="B67" s="8">
        <v>19</v>
      </c>
      <c r="C67">
        <f t="shared" ref="C67:C93" si="1">IF(B67&gt;20,C66+1,0)</f>
        <v>0</v>
      </c>
    </row>
    <row r="68" spans="1:3" x14ac:dyDescent="0.25">
      <c r="A68" s="5">
        <v>44779</v>
      </c>
      <c r="B68" s="6">
        <v>21</v>
      </c>
      <c r="C68">
        <f t="shared" si="1"/>
        <v>1</v>
      </c>
    </row>
    <row r="69" spans="1:3" x14ac:dyDescent="0.25">
      <c r="A69" s="7">
        <v>44780</v>
      </c>
      <c r="B69" s="8">
        <v>23</v>
      </c>
      <c r="C69">
        <f t="shared" si="1"/>
        <v>2</v>
      </c>
    </row>
    <row r="70" spans="1:3" x14ac:dyDescent="0.25">
      <c r="A70" s="5">
        <v>44781</v>
      </c>
      <c r="B70" s="6">
        <v>27</v>
      </c>
      <c r="C70">
        <f t="shared" si="1"/>
        <v>3</v>
      </c>
    </row>
    <row r="71" spans="1:3" x14ac:dyDescent="0.25">
      <c r="A71" s="7">
        <v>44782</v>
      </c>
      <c r="B71" s="8">
        <v>20</v>
      </c>
      <c r="C71">
        <f t="shared" si="1"/>
        <v>0</v>
      </c>
    </row>
    <row r="72" spans="1:3" x14ac:dyDescent="0.25">
      <c r="A72" s="5">
        <v>44783</v>
      </c>
      <c r="B72" s="6">
        <v>18</v>
      </c>
      <c r="C72">
        <f t="shared" si="1"/>
        <v>0</v>
      </c>
    </row>
    <row r="73" spans="1:3" x14ac:dyDescent="0.25">
      <c r="A73" s="7">
        <v>44784</v>
      </c>
      <c r="B73" s="8">
        <v>17</v>
      </c>
      <c r="C73">
        <f t="shared" si="1"/>
        <v>0</v>
      </c>
    </row>
    <row r="74" spans="1:3" x14ac:dyDescent="0.25">
      <c r="A74" s="5">
        <v>44785</v>
      </c>
      <c r="B74" s="6">
        <v>19</v>
      </c>
      <c r="C74">
        <f t="shared" si="1"/>
        <v>0</v>
      </c>
    </row>
    <row r="75" spans="1:3" x14ac:dyDescent="0.25">
      <c r="A75" s="7">
        <v>44786</v>
      </c>
      <c r="B75" s="8">
        <v>26</v>
      </c>
      <c r="C75">
        <f t="shared" si="1"/>
        <v>1</v>
      </c>
    </row>
    <row r="76" spans="1:3" x14ac:dyDescent="0.25">
      <c r="A76" s="5">
        <v>44787</v>
      </c>
      <c r="B76" s="6">
        <v>21</v>
      </c>
      <c r="C76">
        <f t="shared" si="1"/>
        <v>2</v>
      </c>
    </row>
    <row r="77" spans="1:3" x14ac:dyDescent="0.25">
      <c r="A77" s="7">
        <v>44788</v>
      </c>
      <c r="B77" s="8">
        <v>19</v>
      </c>
      <c r="C77">
        <f t="shared" si="1"/>
        <v>0</v>
      </c>
    </row>
    <row r="78" spans="1:3" x14ac:dyDescent="0.25">
      <c r="A78" s="5">
        <v>44789</v>
      </c>
      <c r="B78" s="6">
        <v>19</v>
      </c>
      <c r="C78">
        <f t="shared" si="1"/>
        <v>0</v>
      </c>
    </row>
    <row r="79" spans="1:3" x14ac:dyDescent="0.25">
      <c r="A79" s="7">
        <v>44790</v>
      </c>
      <c r="B79" s="8">
        <v>21</v>
      </c>
      <c r="C79">
        <f t="shared" si="1"/>
        <v>1</v>
      </c>
    </row>
    <row r="80" spans="1:3" x14ac:dyDescent="0.25">
      <c r="A80" s="5">
        <v>44791</v>
      </c>
      <c r="B80" s="6">
        <v>21</v>
      </c>
      <c r="C80">
        <f t="shared" si="1"/>
        <v>2</v>
      </c>
    </row>
    <row r="81" spans="1:3" x14ac:dyDescent="0.25">
      <c r="A81" s="7">
        <v>44792</v>
      </c>
      <c r="B81" s="8">
        <v>24</v>
      </c>
      <c r="C81">
        <f t="shared" si="1"/>
        <v>3</v>
      </c>
    </row>
    <row r="82" spans="1:3" x14ac:dyDescent="0.25">
      <c r="A82" s="5">
        <v>44793</v>
      </c>
      <c r="B82" s="6">
        <v>26</v>
      </c>
      <c r="C82">
        <f t="shared" si="1"/>
        <v>4</v>
      </c>
    </row>
    <row r="83" spans="1:3" x14ac:dyDescent="0.25">
      <c r="A83" s="7">
        <v>44794</v>
      </c>
      <c r="B83" s="8">
        <v>23</v>
      </c>
      <c r="C83">
        <f t="shared" si="1"/>
        <v>5</v>
      </c>
    </row>
    <row r="84" spans="1:3" x14ac:dyDescent="0.25">
      <c r="A84" s="5">
        <v>44795</v>
      </c>
      <c r="B84" s="6">
        <v>23</v>
      </c>
      <c r="C84">
        <f t="shared" si="1"/>
        <v>6</v>
      </c>
    </row>
    <row r="85" spans="1:3" x14ac:dyDescent="0.25">
      <c r="A85" s="7">
        <v>44796</v>
      </c>
      <c r="B85" s="8">
        <v>24</v>
      </c>
      <c r="C85">
        <f t="shared" si="1"/>
        <v>7</v>
      </c>
    </row>
    <row r="86" spans="1:3" x14ac:dyDescent="0.25">
      <c r="A86" s="5">
        <v>44797</v>
      </c>
      <c r="B86" s="6">
        <v>26</v>
      </c>
      <c r="C86">
        <f t="shared" si="1"/>
        <v>8</v>
      </c>
    </row>
    <row r="87" spans="1:3" x14ac:dyDescent="0.25">
      <c r="A87" s="7">
        <v>44798</v>
      </c>
      <c r="B87" s="8">
        <v>28</v>
      </c>
      <c r="C87">
        <f t="shared" si="1"/>
        <v>9</v>
      </c>
    </row>
    <row r="88" spans="1:3" x14ac:dyDescent="0.25">
      <c r="A88" s="5">
        <v>44799</v>
      </c>
      <c r="B88" s="6">
        <v>32</v>
      </c>
      <c r="C88">
        <f t="shared" si="1"/>
        <v>10</v>
      </c>
    </row>
    <row r="89" spans="1:3" x14ac:dyDescent="0.25">
      <c r="A89" s="7">
        <v>44800</v>
      </c>
      <c r="B89" s="8">
        <v>26</v>
      </c>
      <c r="C89">
        <f t="shared" si="1"/>
        <v>11</v>
      </c>
    </row>
    <row r="90" spans="1:3" x14ac:dyDescent="0.25">
      <c r="A90" s="5">
        <v>44801</v>
      </c>
      <c r="B90" s="6">
        <v>32</v>
      </c>
      <c r="C90">
        <f t="shared" si="1"/>
        <v>12</v>
      </c>
    </row>
    <row r="91" spans="1:3" x14ac:dyDescent="0.25">
      <c r="A91" s="7">
        <v>44802</v>
      </c>
      <c r="B91" s="8">
        <v>23</v>
      </c>
      <c r="C91">
        <f t="shared" si="1"/>
        <v>13</v>
      </c>
    </row>
    <row r="92" spans="1:3" x14ac:dyDescent="0.25">
      <c r="A92" s="5">
        <v>44803</v>
      </c>
      <c r="B92" s="6">
        <v>22</v>
      </c>
      <c r="C92">
        <f t="shared" si="1"/>
        <v>14</v>
      </c>
    </row>
    <row r="93" spans="1:3" x14ac:dyDescent="0.25">
      <c r="A93" s="9">
        <v>44804</v>
      </c>
      <c r="B93" s="2">
        <v>25</v>
      </c>
      <c r="C93">
        <f t="shared" si="1"/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CE3B-AEFD-4856-A448-86BB36C2AB36}">
  <dimension ref="A1:L94"/>
  <sheetViews>
    <sheetView topLeftCell="A10" zoomScale="175" zoomScaleNormal="175" workbookViewId="0">
      <selection activeCell="I13" sqref="I13"/>
    </sheetView>
  </sheetViews>
  <sheetFormatPr defaultRowHeight="15" x14ac:dyDescent="0.25"/>
  <cols>
    <col min="1" max="1" width="11.140625" bestFit="1" customWidth="1"/>
    <col min="2" max="2" width="12.140625" bestFit="1" customWidth="1"/>
    <col min="3" max="3" width="8.85546875" bestFit="1" customWidth="1"/>
    <col min="4" max="4" width="4.85546875" customWidth="1"/>
    <col min="5" max="5" width="10" bestFit="1" customWidth="1"/>
    <col min="7" max="7" width="16.7109375" bestFit="1" customWidth="1"/>
    <col min="8" max="8" width="17.7109375" bestFit="1" customWidth="1"/>
    <col min="9" max="9" width="6.5703125" bestFit="1" customWidth="1"/>
    <col min="10" max="10" width="6.7109375" bestFit="1" customWidth="1"/>
    <col min="11" max="11" width="14.28515625" bestFit="1" customWidth="1"/>
  </cols>
  <sheetData>
    <row r="1" spans="1:12" x14ac:dyDescent="0.25">
      <c r="B1" t="s">
        <v>6</v>
      </c>
      <c r="C1" s="10">
        <v>7.6923076923076927E-2</v>
      </c>
      <c r="D1" s="10">
        <v>6.8965517241379309E-2</v>
      </c>
      <c r="E1" s="10">
        <v>5.8823529411764705E-2</v>
      </c>
    </row>
    <row r="2" spans="1:12" x14ac:dyDescent="0.25">
      <c r="A2" s="3" t="s">
        <v>0</v>
      </c>
      <c r="B2" s="4" t="s">
        <v>1</v>
      </c>
      <c r="C2" t="s">
        <v>3</v>
      </c>
      <c r="D2" t="s">
        <v>5</v>
      </c>
      <c r="E2" t="s">
        <v>4</v>
      </c>
      <c r="H2" s="11" t="s">
        <v>14</v>
      </c>
    </row>
    <row r="3" spans="1:12" x14ac:dyDescent="0.25">
      <c r="A3" s="5">
        <v>44713</v>
      </c>
      <c r="B3" s="6">
        <v>24</v>
      </c>
      <c r="C3">
        <v>90</v>
      </c>
      <c r="D3">
        <v>120</v>
      </c>
      <c r="E3">
        <v>80</v>
      </c>
      <c r="H3" t="s">
        <v>8</v>
      </c>
      <c r="I3" t="s">
        <v>9</v>
      </c>
      <c r="J3" t="s">
        <v>10</v>
      </c>
      <c r="K3" t="s">
        <v>7</v>
      </c>
    </row>
    <row r="4" spans="1:12" x14ac:dyDescent="0.25">
      <c r="A4" s="7">
        <v>44714</v>
      </c>
      <c r="B4" s="8">
        <v>25</v>
      </c>
      <c r="C4">
        <f>INT(C$3*(1+C$1*(($B4-24)/2)))</f>
        <v>93</v>
      </c>
      <c r="D4">
        <f t="shared" ref="D4:E19" si="0">INT(D$3*(1+D$1*(($B4-24)/2)))</f>
        <v>124</v>
      </c>
      <c r="E4">
        <f t="shared" si="0"/>
        <v>82</v>
      </c>
      <c r="G4" s="11" t="s">
        <v>15</v>
      </c>
    </row>
    <row r="5" spans="1:12" x14ac:dyDescent="0.25">
      <c r="A5" s="5">
        <v>44715</v>
      </c>
      <c r="B5" s="6">
        <v>27</v>
      </c>
      <c r="C5">
        <f t="shared" ref="C5:E36" si="1">INT(C$3*(1+C$1*(($B5-24)/2)))</f>
        <v>100</v>
      </c>
      <c r="D5">
        <f t="shared" si="0"/>
        <v>132</v>
      </c>
      <c r="E5">
        <f t="shared" si="0"/>
        <v>87</v>
      </c>
      <c r="G5" s="12" t="s">
        <v>11</v>
      </c>
      <c r="H5" s="13">
        <v>2639</v>
      </c>
      <c r="I5" s="13">
        <v>2747</v>
      </c>
      <c r="J5" s="13">
        <v>2665</v>
      </c>
      <c r="K5" s="13">
        <v>8051</v>
      </c>
    </row>
    <row r="6" spans="1:12" x14ac:dyDescent="0.25">
      <c r="A6" s="7">
        <v>44716</v>
      </c>
      <c r="B6" s="8">
        <v>27</v>
      </c>
      <c r="C6">
        <f t="shared" si="1"/>
        <v>100</v>
      </c>
      <c r="D6">
        <f t="shared" si="0"/>
        <v>132</v>
      </c>
      <c r="E6">
        <f t="shared" si="0"/>
        <v>87</v>
      </c>
      <c r="G6" s="12" t="s">
        <v>12</v>
      </c>
      <c r="H6" s="13">
        <v>3527</v>
      </c>
      <c r="I6" s="13">
        <v>3675</v>
      </c>
      <c r="J6" s="13">
        <v>3579</v>
      </c>
      <c r="K6" s="13">
        <v>10781</v>
      </c>
    </row>
    <row r="7" spans="1:12" x14ac:dyDescent="0.25">
      <c r="A7" s="5">
        <v>44717</v>
      </c>
      <c r="B7" s="6">
        <v>27</v>
      </c>
      <c r="C7">
        <f t="shared" si="1"/>
        <v>100</v>
      </c>
      <c r="D7">
        <f t="shared" si="0"/>
        <v>132</v>
      </c>
      <c r="E7">
        <f t="shared" si="0"/>
        <v>87</v>
      </c>
      <c r="G7" s="12" t="s">
        <v>13</v>
      </c>
      <c r="H7" s="13">
        <v>2355</v>
      </c>
      <c r="I7" s="13">
        <v>2448</v>
      </c>
      <c r="J7" s="13">
        <v>2390</v>
      </c>
      <c r="K7" s="13">
        <v>7193</v>
      </c>
    </row>
    <row r="8" spans="1:12" x14ac:dyDescent="0.25">
      <c r="A8" s="7">
        <v>44718</v>
      </c>
      <c r="B8" s="8">
        <v>22</v>
      </c>
      <c r="C8">
        <f t="shared" si="1"/>
        <v>83</v>
      </c>
      <c r="D8">
        <f t="shared" si="0"/>
        <v>111</v>
      </c>
      <c r="E8">
        <f t="shared" si="0"/>
        <v>75</v>
      </c>
    </row>
    <row r="9" spans="1:12" x14ac:dyDescent="0.25">
      <c r="A9" s="5">
        <v>44719</v>
      </c>
      <c r="B9" s="6">
        <v>25</v>
      </c>
      <c r="C9">
        <f t="shared" si="1"/>
        <v>93</v>
      </c>
      <c r="D9">
        <f t="shared" si="0"/>
        <v>124</v>
      </c>
      <c r="E9">
        <f t="shared" si="0"/>
        <v>82</v>
      </c>
      <c r="H9" s="14"/>
      <c r="I9" s="14" t="s">
        <v>15</v>
      </c>
      <c r="J9" s="14" t="s">
        <v>8</v>
      </c>
      <c r="K9" s="14" t="s">
        <v>9</v>
      </c>
      <c r="L9" s="14" t="s">
        <v>10</v>
      </c>
    </row>
    <row r="10" spans="1:12" x14ac:dyDescent="0.25">
      <c r="A10" s="7">
        <v>44720</v>
      </c>
      <c r="B10" s="8">
        <v>25</v>
      </c>
      <c r="C10">
        <f t="shared" si="1"/>
        <v>93</v>
      </c>
      <c r="D10">
        <f t="shared" si="0"/>
        <v>124</v>
      </c>
      <c r="E10">
        <f t="shared" si="0"/>
        <v>82</v>
      </c>
      <c r="H10" s="12"/>
      <c r="I10" s="12" t="s">
        <v>3</v>
      </c>
      <c r="J10" s="13">
        <v>2639</v>
      </c>
      <c r="K10" s="13">
        <v>2747</v>
      </c>
      <c r="L10" s="13">
        <v>2665</v>
      </c>
    </row>
    <row r="11" spans="1:12" x14ac:dyDescent="0.25">
      <c r="A11" s="5">
        <v>44721</v>
      </c>
      <c r="B11" s="6">
        <v>21</v>
      </c>
      <c r="C11">
        <f t="shared" si="1"/>
        <v>79</v>
      </c>
      <c r="D11">
        <f t="shared" si="0"/>
        <v>107</v>
      </c>
      <c r="E11">
        <f t="shared" si="0"/>
        <v>72</v>
      </c>
      <c r="H11" s="12"/>
      <c r="I11" s="12" t="s">
        <v>5</v>
      </c>
      <c r="J11" s="13">
        <v>3527</v>
      </c>
      <c r="K11" s="13">
        <v>3675</v>
      </c>
      <c r="L11" s="13">
        <v>3579</v>
      </c>
    </row>
    <row r="12" spans="1:12" x14ac:dyDescent="0.25">
      <c r="A12" s="7">
        <v>44722</v>
      </c>
      <c r="B12" s="8">
        <v>21</v>
      </c>
      <c r="C12">
        <f t="shared" si="1"/>
        <v>79</v>
      </c>
      <c r="D12">
        <f t="shared" si="0"/>
        <v>107</v>
      </c>
      <c r="E12">
        <f t="shared" si="0"/>
        <v>72</v>
      </c>
      <c r="H12" s="12"/>
      <c r="I12" s="12" t="s">
        <v>4</v>
      </c>
      <c r="J12" s="13">
        <v>2355</v>
      </c>
      <c r="K12" s="13">
        <v>2448</v>
      </c>
      <c r="L12" s="13">
        <v>2390</v>
      </c>
    </row>
    <row r="13" spans="1:12" x14ac:dyDescent="0.25">
      <c r="A13" s="5">
        <v>44723</v>
      </c>
      <c r="B13" s="6">
        <v>19</v>
      </c>
      <c r="C13">
        <f t="shared" si="1"/>
        <v>72</v>
      </c>
      <c r="D13">
        <f t="shared" si="0"/>
        <v>99</v>
      </c>
      <c r="E13">
        <f t="shared" si="0"/>
        <v>68</v>
      </c>
    </row>
    <row r="14" spans="1:12" x14ac:dyDescent="0.25">
      <c r="A14" s="7">
        <v>44724</v>
      </c>
      <c r="B14" s="8">
        <v>19</v>
      </c>
      <c r="C14">
        <f t="shared" si="1"/>
        <v>72</v>
      </c>
      <c r="D14">
        <f t="shared" si="0"/>
        <v>99</v>
      </c>
      <c r="E14">
        <f t="shared" si="0"/>
        <v>68</v>
      </c>
    </row>
    <row r="15" spans="1:12" x14ac:dyDescent="0.25">
      <c r="A15" s="5">
        <v>44725</v>
      </c>
      <c r="B15" s="6">
        <v>15</v>
      </c>
      <c r="C15">
        <f t="shared" si="1"/>
        <v>58</v>
      </c>
      <c r="D15">
        <f t="shared" si="0"/>
        <v>82</v>
      </c>
      <c r="E15">
        <f t="shared" si="0"/>
        <v>58</v>
      </c>
    </row>
    <row r="16" spans="1:12" x14ac:dyDescent="0.25">
      <c r="A16" s="7">
        <v>44726</v>
      </c>
      <c r="B16" s="8">
        <v>21</v>
      </c>
      <c r="C16">
        <f t="shared" si="1"/>
        <v>79</v>
      </c>
      <c r="D16">
        <f t="shared" si="0"/>
        <v>107</v>
      </c>
      <c r="E16">
        <f t="shared" si="0"/>
        <v>72</v>
      </c>
    </row>
    <row r="17" spans="1:5" x14ac:dyDescent="0.25">
      <c r="A17" s="5">
        <v>44727</v>
      </c>
      <c r="B17" s="6">
        <v>23</v>
      </c>
      <c r="C17">
        <f t="shared" si="1"/>
        <v>86</v>
      </c>
      <c r="D17">
        <f t="shared" si="0"/>
        <v>115</v>
      </c>
      <c r="E17">
        <f t="shared" si="0"/>
        <v>77</v>
      </c>
    </row>
    <row r="18" spans="1:5" x14ac:dyDescent="0.25">
      <c r="A18" s="7">
        <v>44728</v>
      </c>
      <c r="B18" s="8">
        <v>23</v>
      </c>
      <c r="C18">
        <f t="shared" si="1"/>
        <v>86</v>
      </c>
      <c r="D18">
        <f t="shared" si="0"/>
        <v>115</v>
      </c>
      <c r="E18">
        <f t="shared" si="0"/>
        <v>77</v>
      </c>
    </row>
    <row r="19" spans="1:5" x14ac:dyDescent="0.25">
      <c r="A19" s="5">
        <v>44729</v>
      </c>
      <c r="B19" s="6">
        <v>16</v>
      </c>
      <c r="C19">
        <f t="shared" si="1"/>
        <v>62</v>
      </c>
      <c r="D19">
        <f t="shared" si="0"/>
        <v>86</v>
      </c>
      <c r="E19">
        <f t="shared" si="0"/>
        <v>61</v>
      </c>
    </row>
    <row r="20" spans="1:5" x14ac:dyDescent="0.25">
      <c r="A20" s="7">
        <v>44730</v>
      </c>
      <c r="B20" s="8">
        <v>21</v>
      </c>
      <c r="C20">
        <f t="shared" si="1"/>
        <v>79</v>
      </c>
      <c r="D20">
        <f t="shared" si="1"/>
        <v>107</v>
      </c>
      <c r="E20">
        <f t="shared" si="1"/>
        <v>72</v>
      </c>
    </row>
    <row r="21" spans="1:5" x14ac:dyDescent="0.25">
      <c r="A21" s="5">
        <v>44731</v>
      </c>
      <c r="B21" s="6">
        <v>22</v>
      </c>
      <c r="C21">
        <f t="shared" si="1"/>
        <v>83</v>
      </c>
      <c r="D21">
        <f t="shared" si="1"/>
        <v>111</v>
      </c>
      <c r="E21">
        <f t="shared" si="1"/>
        <v>75</v>
      </c>
    </row>
    <row r="22" spans="1:5" x14ac:dyDescent="0.25">
      <c r="A22" s="7">
        <v>44732</v>
      </c>
      <c r="B22" s="8">
        <v>22</v>
      </c>
      <c r="C22">
        <f t="shared" si="1"/>
        <v>83</v>
      </c>
      <c r="D22">
        <f t="shared" si="1"/>
        <v>111</v>
      </c>
      <c r="E22">
        <f t="shared" si="1"/>
        <v>75</v>
      </c>
    </row>
    <row r="23" spans="1:5" x14ac:dyDescent="0.25">
      <c r="A23" s="5">
        <v>44733</v>
      </c>
      <c r="B23" s="6">
        <v>22</v>
      </c>
      <c r="C23">
        <f t="shared" si="1"/>
        <v>83</v>
      </c>
      <c r="D23">
        <f t="shared" si="1"/>
        <v>111</v>
      </c>
      <c r="E23">
        <f t="shared" si="1"/>
        <v>75</v>
      </c>
    </row>
    <row r="24" spans="1:5" x14ac:dyDescent="0.25">
      <c r="A24" s="7">
        <v>44734</v>
      </c>
      <c r="B24" s="8">
        <v>28</v>
      </c>
      <c r="C24">
        <f t="shared" si="1"/>
        <v>103</v>
      </c>
      <c r="D24">
        <f t="shared" si="1"/>
        <v>136</v>
      </c>
      <c r="E24">
        <f t="shared" si="1"/>
        <v>89</v>
      </c>
    </row>
    <row r="25" spans="1:5" x14ac:dyDescent="0.25">
      <c r="A25" s="5">
        <v>44735</v>
      </c>
      <c r="B25" s="6">
        <v>31</v>
      </c>
      <c r="C25">
        <f t="shared" si="1"/>
        <v>114</v>
      </c>
      <c r="D25">
        <f t="shared" si="1"/>
        <v>148</v>
      </c>
      <c r="E25">
        <f t="shared" si="1"/>
        <v>96</v>
      </c>
    </row>
    <row r="26" spans="1:5" x14ac:dyDescent="0.25">
      <c r="A26" s="7">
        <v>44736</v>
      </c>
      <c r="B26" s="8">
        <v>33</v>
      </c>
      <c r="C26">
        <f t="shared" si="1"/>
        <v>121</v>
      </c>
      <c r="D26">
        <f t="shared" si="1"/>
        <v>157</v>
      </c>
      <c r="E26">
        <f t="shared" si="1"/>
        <v>101</v>
      </c>
    </row>
    <row r="27" spans="1:5" x14ac:dyDescent="0.25">
      <c r="A27" s="5">
        <v>44737</v>
      </c>
      <c r="B27" s="6">
        <v>33</v>
      </c>
      <c r="C27">
        <f t="shared" si="1"/>
        <v>121</v>
      </c>
      <c r="D27">
        <f t="shared" si="1"/>
        <v>157</v>
      </c>
      <c r="E27">
        <f t="shared" si="1"/>
        <v>101</v>
      </c>
    </row>
    <row r="28" spans="1:5" x14ac:dyDescent="0.25">
      <c r="A28" s="7">
        <v>44738</v>
      </c>
      <c r="B28" s="8">
        <v>23</v>
      </c>
      <c r="C28">
        <f t="shared" si="1"/>
        <v>86</v>
      </c>
      <c r="D28">
        <f t="shared" si="1"/>
        <v>115</v>
      </c>
      <c r="E28">
        <f t="shared" si="1"/>
        <v>77</v>
      </c>
    </row>
    <row r="29" spans="1:5" x14ac:dyDescent="0.25">
      <c r="A29" s="5">
        <v>44739</v>
      </c>
      <c r="B29" s="6">
        <v>23</v>
      </c>
      <c r="C29">
        <f t="shared" si="1"/>
        <v>86</v>
      </c>
      <c r="D29">
        <f t="shared" si="1"/>
        <v>115</v>
      </c>
      <c r="E29">
        <f t="shared" si="1"/>
        <v>77</v>
      </c>
    </row>
    <row r="30" spans="1:5" x14ac:dyDescent="0.25">
      <c r="A30" s="7">
        <v>44740</v>
      </c>
      <c r="B30" s="8">
        <v>19</v>
      </c>
      <c r="C30">
        <f t="shared" si="1"/>
        <v>72</v>
      </c>
      <c r="D30">
        <f t="shared" si="1"/>
        <v>99</v>
      </c>
      <c r="E30">
        <f t="shared" si="1"/>
        <v>68</v>
      </c>
    </row>
    <row r="31" spans="1:5" x14ac:dyDescent="0.25">
      <c r="A31" s="5">
        <v>44741</v>
      </c>
      <c r="B31" s="6">
        <v>24</v>
      </c>
      <c r="C31">
        <f t="shared" si="1"/>
        <v>90</v>
      </c>
      <c r="D31">
        <f t="shared" si="1"/>
        <v>120</v>
      </c>
      <c r="E31">
        <f t="shared" si="1"/>
        <v>80</v>
      </c>
    </row>
    <row r="32" spans="1:5" x14ac:dyDescent="0.25">
      <c r="A32" s="7">
        <v>44742</v>
      </c>
      <c r="B32" s="8">
        <v>25</v>
      </c>
      <c r="C32">
        <f t="shared" si="1"/>
        <v>93</v>
      </c>
      <c r="D32">
        <f t="shared" si="1"/>
        <v>124</v>
      </c>
      <c r="E32">
        <f t="shared" si="1"/>
        <v>82</v>
      </c>
    </row>
    <row r="33" spans="1:5" x14ac:dyDescent="0.25">
      <c r="A33" s="5">
        <v>44743</v>
      </c>
      <c r="B33" s="6">
        <v>27</v>
      </c>
      <c r="C33">
        <f t="shared" si="1"/>
        <v>100</v>
      </c>
      <c r="D33">
        <f t="shared" si="1"/>
        <v>132</v>
      </c>
      <c r="E33">
        <f t="shared" si="1"/>
        <v>87</v>
      </c>
    </row>
    <row r="34" spans="1:5" x14ac:dyDescent="0.25">
      <c r="A34" s="7">
        <v>44744</v>
      </c>
      <c r="B34" s="8">
        <v>27</v>
      </c>
      <c r="C34">
        <f t="shared" si="1"/>
        <v>100</v>
      </c>
      <c r="D34">
        <f t="shared" si="1"/>
        <v>132</v>
      </c>
      <c r="E34">
        <f t="shared" si="1"/>
        <v>87</v>
      </c>
    </row>
    <row r="35" spans="1:5" x14ac:dyDescent="0.25">
      <c r="A35" s="5">
        <v>44745</v>
      </c>
      <c r="B35" s="6">
        <v>21</v>
      </c>
      <c r="C35">
        <f t="shared" si="1"/>
        <v>79</v>
      </c>
      <c r="D35">
        <f t="shared" si="1"/>
        <v>107</v>
      </c>
      <c r="E35">
        <f t="shared" si="1"/>
        <v>72</v>
      </c>
    </row>
    <row r="36" spans="1:5" x14ac:dyDescent="0.25">
      <c r="A36" s="7">
        <v>44746</v>
      </c>
      <c r="B36" s="8">
        <v>21</v>
      </c>
      <c r="C36">
        <f t="shared" si="1"/>
        <v>79</v>
      </c>
      <c r="D36">
        <f t="shared" si="1"/>
        <v>107</v>
      </c>
      <c r="E36">
        <f t="shared" si="1"/>
        <v>72</v>
      </c>
    </row>
    <row r="37" spans="1:5" x14ac:dyDescent="0.25">
      <c r="A37" s="5">
        <v>44747</v>
      </c>
      <c r="B37" s="6">
        <v>25</v>
      </c>
      <c r="C37">
        <f t="shared" ref="C37:E68" si="2">INT(C$3*(1+C$1*(($B37-24)/2)))</f>
        <v>93</v>
      </c>
      <c r="D37">
        <f t="shared" si="2"/>
        <v>124</v>
      </c>
      <c r="E37">
        <f t="shared" si="2"/>
        <v>82</v>
      </c>
    </row>
    <row r="38" spans="1:5" x14ac:dyDescent="0.25">
      <c r="A38" s="7">
        <v>44748</v>
      </c>
      <c r="B38" s="8">
        <v>19</v>
      </c>
      <c r="C38">
        <f t="shared" si="2"/>
        <v>72</v>
      </c>
      <c r="D38">
        <f t="shared" si="2"/>
        <v>99</v>
      </c>
      <c r="E38">
        <f t="shared" si="2"/>
        <v>68</v>
      </c>
    </row>
    <row r="39" spans="1:5" x14ac:dyDescent="0.25">
      <c r="A39" s="5">
        <v>44749</v>
      </c>
      <c r="B39" s="6">
        <v>21</v>
      </c>
      <c r="C39">
        <f t="shared" si="2"/>
        <v>79</v>
      </c>
      <c r="D39">
        <f t="shared" si="2"/>
        <v>107</v>
      </c>
      <c r="E39">
        <f t="shared" si="2"/>
        <v>72</v>
      </c>
    </row>
    <row r="40" spans="1:5" x14ac:dyDescent="0.25">
      <c r="A40" s="7">
        <v>44750</v>
      </c>
      <c r="B40" s="8">
        <v>24</v>
      </c>
      <c r="C40">
        <f t="shared" si="2"/>
        <v>90</v>
      </c>
      <c r="D40">
        <f t="shared" si="2"/>
        <v>120</v>
      </c>
      <c r="E40">
        <f t="shared" si="2"/>
        <v>80</v>
      </c>
    </row>
    <row r="41" spans="1:5" x14ac:dyDescent="0.25">
      <c r="A41" s="5">
        <v>44751</v>
      </c>
      <c r="B41" s="6">
        <v>19</v>
      </c>
      <c r="C41">
        <f t="shared" si="2"/>
        <v>72</v>
      </c>
      <c r="D41">
        <f t="shared" si="2"/>
        <v>99</v>
      </c>
      <c r="E41">
        <f t="shared" si="2"/>
        <v>68</v>
      </c>
    </row>
    <row r="42" spans="1:5" x14ac:dyDescent="0.25">
      <c r="A42" s="7">
        <v>44752</v>
      </c>
      <c r="B42" s="8">
        <v>28</v>
      </c>
      <c r="C42">
        <f t="shared" si="2"/>
        <v>103</v>
      </c>
      <c r="D42">
        <f t="shared" si="2"/>
        <v>136</v>
      </c>
      <c r="E42">
        <f t="shared" si="2"/>
        <v>89</v>
      </c>
    </row>
    <row r="43" spans="1:5" x14ac:dyDescent="0.25">
      <c r="A43" s="5">
        <v>44753</v>
      </c>
      <c r="B43" s="6">
        <v>27</v>
      </c>
      <c r="C43">
        <f t="shared" si="2"/>
        <v>100</v>
      </c>
      <c r="D43">
        <f t="shared" si="2"/>
        <v>132</v>
      </c>
      <c r="E43">
        <f t="shared" si="2"/>
        <v>87</v>
      </c>
    </row>
    <row r="44" spans="1:5" x14ac:dyDescent="0.25">
      <c r="A44" s="7">
        <v>44754</v>
      </c>
      <c r="B44" s="8">
        <v>24</v>
      </c>
      <c r="C44">
        <f t="shared" si="2"/>
        <v>90</v>
      </c>
      <c r="D44">
        <f t="shared" si="2"/>
        <v>120</v>
      </c>
      <c r="E44">
        <f t="shared" si="2"/>
        <v>80</v>
      </c>
    </row>
    <row r="45" spans="1:5" x14ac:dyDescent="0.25">
      <c r="A45" s="5">
        <v>44755</v>
      </c>
      <c r="B45" s="6">
        <v>22</v>
      </c>
      <c r="C45">
        <f t="shared" si="2"/>
        <v>83</v>
      </c>
      <c r="D45">
        <f t="shared" si="2"/>
        <v>111</v>
      </c>
      <c r="E45">
        <f t="shared" si="2"/>
        <v>75</v>
      </c>
    </row>
    <row r="46" spans="1:5" x14ac:dyDescent="0.25">
      <c r="A46" s="7">
        <v>44756</v>
      </c>
      <c r="B46" s="8">
        <v>17</v>
      </c>
      <c r="C46">
        <f t="shared" si="2"/>
        <v>65</v>
      </c>
      <c r="D46">
        <f t="shared" si="2"/>
        <v>91</v>
      </c>
      <c r="E46">
        <f t="shared" si="2"/>
        <v>63</v>
      </c>
    </row>
    <row r="47" spans="1:5" x14ac:dyDescent="0.25">
      <c r="A47" s="5">
        <v>44757</v>
      </c>
      <c r="B47" s="6">
        <v>18</v>
      </c>
      <c r="C47">
        <f t="shared" si="2"/>
        <v>69</v>
      </c>
      <c r="D47">
        <f t="shared" si="2"/>
        <v>95</v>
      </c>
      <c r="E47">
        <f t="shared" si="2"/>
        <v>65</v>
      </c>
    </row>
    <row r="48" spans="1:5" x14ac:dyDescent="0.25">
      <c r="A48" s="7">
        <v>44758</v>
      </c>
      <c r="B48" s="8">
        <v>23</v>
      </c>
      <c r="C48">
        <f t="shared" si="2"/>
        <v>86</v>
      </c>
      <c r="D48">
        <f t="shared" si="2"/>
        <v>115</v>
      </c>
      <c r="E48">
        <f t="shared" si="2"/>
        <v>77</v>
      </c>
    </row>
    <row r="49" spans="1:5" x14ac:dyDescent="0.25">
      <c r="A49" s="5">
        <v>44759</v>
      </c>
      <c r="B49" s="6">
        <v>23</v>
      </c>
      <c r="C49">
        <f t="shared" si="2"/>
        <v>86</v>
      </c>
      <c r="D49">
        <f t="shared" si="2"/>
        <v>115</v>
      </c>
      <c r="E49">
        <f t="shared" si="2"/>
        <v>77</v>
      </c>
    </row>
    <row r="50" spans="1:5" x14ac:dyDescent="0.25">
      <c r="A50" s="7">
        <v>44760</v>
      </c>
      <c r="B50" s="8">
        <v>19</v>
      </c>
      <c r="C50">
        <f t="shared" si="2"/>
        <v>72</v>
      </c>
      <c r="D50">
        <f t="shared" si="2"/>
        <v>99</v>
      </c>
      <c r="E50">
        <f t="shared" si="2"/>
        <v>68</v>
      </c>
    </row>
    <row r="51" spans="1:5" x14ac:dyDescent="0.25">
      <c r="A51" s="5">
        <v>44761</v>
      </c>
      <c r="B51" s="6">
        <v>21</v>
      </c>
      <c r="C51">
        <f t="shared" si="2"/>
        <v>79</v>
      </c>
      <c r="D51">
        <f t="shared" si="2"/>
        <v>107</v>
      </c>
      <c r="E51">
        <f t="shared" si="2"/>
        <v>72</v>
      </c>
    </row>
    <row r="52" spans="1:5" x14ac:dyDescent="0.25">
      <c r="A52" s="7">
        <v>44762</v>
      </c>
      <c r="B52" s="8">
        <v>25</v>
      </c>
      <c r="C52">
        <f t="shared" si="2"/>
        <v>93</v>
      </c>
      <c r="D52">
        <f t="shared" si="2"/>
        <v>124</v>
      </c>
      <c r="E52">
        <f t="shared" si="2"/>
        <v>82</v>
      </c>
    </row>
    <row r="53" spans="1:5" x14ac:dyDescent="0.25">
      <c r="A53" s="5">
        <v>44763</v>
      </c>
      <c r="B53" s="6">
        <v>28</v>
      </c>
      <c r="C53">
        <f t="shared" si="2"/>
        <v>103</v>
      </c>
      <c r="D53">
        <f t="shared" si="2"/>
        <v>136</v>
      </c>
      <c r="E53">
        <f t="shared" si="2"/>
        <v>89</v>
      </c>
    </row>
    <row r="54" spans="1:5" x14ac:dyDescent="0.25">
      <c r="A54" s="7">
        <v>44764</v>
      </c>
      <c r="B54" s="8">
        <v>27</v>
      </c>
      <c r="C54">
        <f t="shared" si="2"/>
        <v>100</v>
      </c>
      <c r="D54">
        <f t="shared" si="2"/>
        <v>132</v>
      </c>
      <c r="E54">
        <f t="shared" si="2"/>
        <v>87</v>
      </c>
    </row>
    <row r="55" spans="1:5" x14ac:dyDescent="0.25">
      <c r="A55" s="5">
        <v>44765</v>
      </c>
      <c r="B55" s="6">
        <v>23</v>
      </c>
      <c r="C55">
        <f t="shared" si="2"/>
        <v>86</v>
      </c>
      <c r="D55">
        <f t="shared" si="2"/>
        <v>115</v>
      </c>
      <c r="E55">
        <f t="shared" si="2"/>
        <v>77</v>
      </c>
    </row>
    <row r="56" spans="1:5" x14ac:dyDescent="0.25">
      <c r="A56" s="7">
        <v>44766</v>
      </c>
      <c r="B56" s="8">
        <v>26</v>
      </c>
      <c r="C56">
        <f t="shared" si="2"/>
        <v>96</v>
      </c>
      <c r="D56">
        <f t="shared" si="2"/>
        <v>128</v>
      </c>
      <c r="E56">
        <f t="shared" si="2"/>
        <v>84</v>
      </c>
    </row>
    <row r="57" spans="1:5" x14ac:dyDescent="0.25">
      <c r="A57" s="5">
        <v>44767</v>
      </c>
      <c r="B57" s="6">
        <v>29</v>
      </c>
      <c r="C57">
        <f t="shared" si="2"/>
        <v>107</v>
      </c>
      <c r="D57">
        <f t="shared" si="2"/>
        <v>140</v>
      </c>
      <c r="E57">
        <f t="shared" si="2"/>
        <v>91</v>
      </c>
    </row>
    <row r="58" spans="1:5" x14ac:dyDescent="0.25">
      <c r="A58" s="7">
        <v>44768</v>
      </c>
      <c r="B58" s="8">
        <v>26</v>
      </c>
      <c r="C58">
        <f t="shared" si="2"/>
        <v>96</v>
      </c>
      <c r="D58">
        <f t="shared" si="2"/>
        <v>128</v>
      </c>
      <c r="E58">
        <f t="shared" si="2"/>
        <v>84</v>
      </c>
    </row>
    <row r="59" spans="1:5" x14ac:dyDescent="0.25">
      <c r="A59" s="5">
        <v>44769</v>
      </c>
      <c r="B59" s="6">
        <v>27</v>
      </c>
      <c r="C59">
        <f t="shared" si="2"/>
        <v>100</v>
      </c>
      <c r="D59">
        <f t="shared" si="2"/>
        <v>132</v>
      </c>
      <c r="E59">
        <f t="shared" si="2"/>
        <v>87</v>
      </c>
    </row>
    <row r="60" spans="1:5" x14ac:dyDescent="0.25">
      <c r="A60" s="7">
        <v>44770</v>
      </c>
      <c r="B60" s="8">
        <v>24</v>
      </c>
      <c r="C60">
        <f t="shared" si="2"/>
        <v>90</v>
      </c>
      <c r="D60">
        <f t="shared" si="2"/>
        <v>120</v>
      </c>
      <c r="E60">
        <f t="shared" si="2"/>
        <v>80</v>
      </c>
    </row>
    <row r="61" spans="1:5" x14ac:dyDescent="0.25">
      <c r="A61" s="5">
        <v>44771</v>
      </c>
      <c r="B61" s="6">
        <v>26</v>
      </c>
      <c r="C61">
        <f t="shared" si="2"/>
        <v>96</v>
      </c>
      <c r="D61">
        <f t="shared" si="2"/>
        <v>128</v>
      </c>
      <c r="E61">
        <f t="shared" si="2"/>
        <v>84</v>
      </c>
    </row>
    <row r="62" spans="1:5" x14ac:dyDescent="0.25">
      <c r="A62" s="7">
        <v>44772</v>
      </c>
      <c r="B62" s="8">
        <v>25</v>
      </c>
      <c r="C62">
        <f t="shared" si="2"/>
        <v>93</v>
      </c>
      <c r="D62">
        <f t="shared" si="2"/>
        <v>124</v>
      </c>
      <c r="E62">
        <f t="shared" si="2"/>
        <v>82</v>
      </c>
    </row>
    <row r="63" spans="1:5" x14ac:dyDescent="0.25">
      <c r="A63" s="5">
        <v>44773</v>
      </c>
      <c r="B63" s="6">
        <v>24</v>
      </c>
      <c r="C63">
        <f t="shared" si="2"/>
        <v>90</v>
      </c>
      <c r="D63">
        <f t="shared" si="2"/>
        <v>120</v>
      </c>
      <c r="E63">
        <f t="shared" si="2"/>
        <v>80</v>
      </c>
    </row>
    <row r="64" spans="1:5" x14ac:dyDescent="0.25">
      <c r="A64" s="7">
        <v>44774</v>
      </c>
      <c r="B64" s="8">
        <v>22</v>
      </c>
      <c r="C64">
        <f t="shared" si="2"/>
        <v>83</v>
      </c>
      <c r="D64">
        <f t="shared" si="2"/>
        <v>111</v>
      </c>
      <c r="E64">
        <f t="shared" si="2"/>
        <v>75</v>
      </c>
    </row>
    <row r="65" spans="1:5" x14ac:dyDescent="0.25">
      <c r="A65" s="5">
        <v>44775</v>
      </c>
      <c r="B65" s="6">
        <v>19</v>
      </c>
      <c r="C65">
        <f t="shared" si="2"/>
        <v>72</v>
      </c>
      <c r="D65">
        <f t="shared" si="2"/>
        <v>99</v>
      </c>
      <c r="E65">
        <f t="shared" si="2"/>
        <v>68</v>
      </c>
    </row>
    <row r="66" spans="1:5" x14ac:dyDescent="0.25">
      <c r="A66" s="7">
        <v>44776</v>
      </c>
      <c r="B66" s="8">
        <v>21</v>
      </c>
      <c r="C66">
        <f t="shared" si="2"/>
        <v>79</v>
      </c>
      <c r="D66">
        <f t="shared" si="2"/>
        <v>107</v>
      </c>
      <c r="E66">
        <f t="shared" si="2"/>
        <v>72</v>
      </c>
    </row>
    <row r="67" spans="1:5" x14ac:dyDescent="0.25">
      <c r="A67" s="5">
        <v>44777</v>
      </c>
      <c r="B67" s="6">
        <v>26</v>
      </c>
      <c r="C67">
        <f t="shared" si="2"/>
        <v>96</v>
      </c>
      <c r="D67">
        <f t="shared" si="2"/>
        <v>128</v>
      </c>
      <c r="E67">
        <f t="shared" si="2"/>
        <v>84</v>
      </c>
    </row>
    <row r="68" spans="1:5" x14ac:dyDescent="0.25">
      <c r="A68" s="7">
        <v>44778</v>
      </c>
      <c r="B68" s="8">
        <v>19</v>
      </c>
      <c r="C68">
        <f t="shared" si="2"/>
        <v>72</v>
      </c>
      <c r="D68">
        <f t="shared" si="2"/>
        <v>99</v>
      </c>
      <c r="E68">
        <f t="shared" si="2"/>
        <v>68</v>
      </c>
    </row>
    <row r="69" spans="1:5" x14ac:dyDescent="0.25">
      <c r="A69" s="5">
        <v>44779</v>
      </c>
      <c r="B69" s="6">
        <v>21</v>
      </c>
      <c r="C69">
        <f t="shared" ref="C69:E94" si="3">INT(C$3*(1+C$1*(($B69-24)/2)))</f>
        <v>79</v>
      </c>
      <c r="D69">
        <f t="shared" si="3"/>
        <v>107</v>
      </c>
      <c r="E69">
        <f t="shared" si="3"/>
        <v>72</v>
      </c>
    </row>
    <row r="70" spans="1:5" x14ac:dyDescent="0.25">
      <c r="A70" s="7">
        <v>44780</v>
      </c>
      <c r="B70" s="8">
        <v>23</v>
      </c>
      <c r="C70">
        <f t="shared" si="3"/>
        <v>86</v>
      </c>
      <c r="D70">
        <f t="shared" si="3"/>
        <v>115</v>
      </c>
      <c r="E70">
        <f t="shared" si="3"/>
        <v>77</v>
      </c>
    </row>
    <row r="71" spans="1:5" x14ac:dyDescent="0.25">
      <c r="A71" s="5">
        <v>44781</v>
      </c>
      <c r="B71" s="6">
        <v>27</v>
      </c>
      <c r="C71">
        <f t="shared" si="3"/>
        <v>100</v>
      </c>
      <c r="D71">
        <f t="shared" si="3"/>
        <v>132</v>
      </c>
      <c r="E71">
        <f t="shared" si="3"/>
        <v>87</v>
      </c>
    </row>
    <row r="72" spans="1:5" x14ac:dyDescent="0.25">
      <c r="A72" s="7">
        <v>44782</v>
      </c>
      <c r="B72" s="8">
        <v>20</v>
      </c>
      <c r="C72">
        <f t="shared" si="3"/>
        <v>76</v>
      </c>
      <c r="D72">
        <f t="shared" si="3"/>
        <v>103</v>
      </c>
      <c r="E72">
        <f t="shared" si="3"/>
        <v>70</v>
      </c>
    </row>
    <row r="73" spans="1:5" x14ac:dyDescent="0.25">
      <c r="A73" s="5">
        <v>44783</v>
      </c>
      <c r="B73" s="6">
        <v>18</v>
      </c>
      <c r="C73">
        <f t="shared" si="3"/>
        <v>69</v>
      </c>
      <c r="D73">
        <f t="shared" si="3"/>
        <v>95</v>
      </c>
      <c r="E73">
        <f t="shared" si="3"/>
        <v>65</v>
      </c>
    </row>
    <row r="74" spans="1:5" x14ac:dyDescent="0.25">
      <c r="A74" s="7">
        <v>44784</v>
      </c>
      <c r="B74" s="8">
        <v>17</v>
      </c>
      <c r="C74">
        <f t="shared" si="3"/>
        <v>65</v>
      </c>
      <c r="D74">
        <f t="shared" si="3"/>
        <v>91</v>
      </c>
      <c r="E74">
        <f t="shared" si="3"/>
        <v>63</v>
      </c>
    </row>
    <row r="75" spans="1:5" x14ac:dyDescent="0.25">
      <c r="A75" s="5">
        <v>44785</v>
      </c>
      <c r="B75" s="6">
        <v>19</v>
      </c>
      <c r="C75">
        <f t="shared" si="3"/>
        <v>72</v>
      </c>
      <c r="D75">
        <f t="shared" si="3"/>
        <v>99</v>
      </c>
      <c r="E75">
        <f t="shared" si="3"/>
        <v>68</v>
      </c>
    </row>
    <row r="76" spans="1:5" x14ac:dyDescent="0.25">
      <c r="A76" s="7">
        <v>44786</v>
      </c>
      <c r="B76" s="8">
        <v>26</v>
      </c>
      <c r="C76">
        <f t="shared" si="3"/>
        <v>96</v>
      </c>
      <c r="D76">
        <f t="shared" si="3"/>
        <v>128</v>
      </c>
      <c r="E76">
        <f t="shared" si="3"/>
        <v>84</v>
      </c>
    </row>
    <row r="77" spans="1:5" x14ac:dyDescent="0.25">
      <c r="A77" s="5">
        <v>44787</v>
      </c>
      <c r="B77" s="6">
        <v>21</v>
      </c>
      <c r="C77">
        <f t="shared" si="3"/>
        <v>79</v>
      </c>
      <c r="D77">
        <f t="shared" si="3"/>
        <v>107</v>
      </c>
      <c r="E77">
        <f t="shared" si="3"/>
        <v>72</v>
      </c>
    </row>
    <row r="78" spans="1:5" x14ac:dyDescent="0.25">
      <c r="A78" s="7">
        <v>44788</v>
      </c>
      <c r="B78" s="8">
        <v>19</v>
      </c>
      <c r="C78">
        <f t="shared" si="3"/>
        <v>72</v>
      </c>
      <c r="D78">
        <f t="shared" si="3"/>
        <v>99</v>
      </c>
      <c r="E78">
        <f t="shared" si="3"/>
        <v>68</v>
      </c>
    </row>
    <row r="79" spans="1:5" x14ac:dyDescent="0.25">
      <c r="A79" s="5">
        <v>44789</v>
      </c>
      <c r="B79" s="6">
        <v>19</v>
      </c>
      <c r="C79">
        <f t="shared" si="3"/>
        <v>72</v>
      </c>
      <c r="D79">
        <f t="shared" si="3"/>
        <v>99</v>
      </c>
      <c r="E79">
        <f t="shared" si="3"/>
        <v>68</v>
      </c>
    </row>
    <row r="80" spans="1:5" x14ac:dyDescent="0.25">
      <c r="A80" s="7">
        <v>44790</v>
      </c>
      <c r="B80" s="8">
        <v>21</v>
      </c>
      <c r="C80">
        <f t="shared" si="3"/>
        <v>79</v>
      </c>
      <c r="D80">
        <f t="shared" si="3"/>
        <v>107</v>
      </c>
      <c r="E80">
        <f t="shared" si="3"/>
        <v>72</v>
      </c>
    </row>
    <row r="81" spans="1:5" x14ac:dyDescent="0.25">
      <c r="A81" s="5">
        <v>44791</v>
      </c>
      <c r="B81" s="6">
        <v>21</v>
      </c>
      <c r="C81">
        <f t="shared" si="3"/>
        <v>79</v>
      </c>
      <c r="D81">
        <f t="shared" si="3"/>
        <v>107</v>
      </c>
      <c r="E81">
        <f t="shared" si="3"/>
        <v>72</v>
      </c>
    </row>
    <row r="82" spans="1:5" x14ac:dyDescent="0.25">
      <c r="A82" s="7">
        <v>44792</v>
      </c>
      <c r="B82" s="8">
        <v>24</v>
      </c>
      <c r="C82">
        <f t="shared" si="3"/>
        <v>90</v>
      </c>
      <c r="D82">
        <f t="shared" si="3"/>
        <v>120</v>
      </c>
      <c r="E82">
        <f t="shared" si="3"/>
        <v>80</v>
      </c>
    </row>
    <row r="83" spans="1:5" x14ac:dyDescent="0.25">
      <c r="A83" s="5">
        <v>44793</v>
      </c>
      <c r="B83" s="6">
        <v>26</v>
      </c>
      <c r="C83">
        <f t="shared" si="3"/>
        <v>96</v>
      </c>
      <c r="D83">
        <f t="shared" si="3"/>
        <v>128</v>
      </c>
      <c r="E83">
        <f t="shared" si="3"/>
        <v>84</v>
      </c>
    </row>
    <row r="84" spans="1:5" x14ac:dyDescent="0.25">
      <c r="A84" s="7">
        <v>44794</v>
      </c>
      <c r="B84" s="8">
        <v>23</v>
      </c>
      <c r="C84">
        <f t="shared" si="3"/>
        <v>86</v>
      </c>
      <c r="D84">
        <f t="shared" si="3"/>
        <v>115</v>
      </c>
      <c r="E84">
        <f t="shared" si="3"/>
        <v>77</v>
      </c>
    </row>
    <row r="85" spans="1:5" x14ac:dyDescent="0.25">
      <c r="A85" s="5">
        <v>44795</v>
      </c>
      <c r="B85" s="6">
        <v>23</v>
      </c>
      <c r="C85">
        <f t="shared" si="3"/>
        <v>86</v>
      </c>
      <c r="D85">
        <f t="shared" si="3"/>
        <v>115</v>
      </c>
      <c r="E85">
        <f t="shared" si="3"/>
        <v>77</v>
      </c>
    </row>
    <row r="86" spans="1:5" x14ac:dyDescent="0.25">
      <c r="A86" s="7">
        <v>44796</v>
      </c>
      <c r="B86" s="8">
        <v>24</v>
      </c>
      <c r="C86">
        <f t="shared" si="3"/>
        <v>90</v>
      </c>
      <c r="D86">
        <f t="shared" si="3"/>
        <v>120</v>
      </c>
      <c r="E86">
        <f t="shared" si="3"/>
        <v>80</v>
      </c>
    </row>
    <row r="87" spans="1:5" x14ac:dyDescent="0.25">
      <c r="A87" s="5">
        <v>44797</v>
      </c>
      <c r="B87" s="6">
        <v>26</v>
      </c>
      <c r="C87">
        <f t="shared" si="3"/>
        <v>96</v>
      </c>
      <c r="D87">
        <f t="shared" si="3"/>
        <v>128</v>
      </c>
      <c r="E87">
        <f t="shared" si="3"/>
        <v>84</v>
      </c>
    </row>
    <row r="88" spans="1:5" x14ac:dyDescent="0.25">
      <c r="A88" s="7">
        <v>44798</v>
      </c>
      <c r="B88" s="8">
        <v>28</v>
      </c>
      <c r="C88">
        <f t="shared" si="3"/>
        <v>103</v>
      </c>
      <c r="D88">
        <f t="shared" si="3"/>
        <v>136</v>
      </c>
      <c r="E88">
        <f t="shared" si="3"/>
        <v>89</v>
      </c>
    </row>
    <row r="89" spans="1:5" x14ac:dyDescent="0.25">
      <c r="A89" s="5">
        <v>44799</v>
      </c>
      <c r="B89" s="6">
        <v>32</v>
      </c>
      <c r="C89">
        <f t="shared" si="3"/>
        <v>117</v>
      </c>
      <c r="D89">
        <f t="shared" si="3"/>
        <v>153</v>
      </c>
      <c r="E89">
        <f t="shared" si="3"/>
        <v>98</v>
      </c>
    </row>
    <row r="90" spans="1:5" x14ac:dyDescent="0.25">
      <c r="A90" s="7">
        <v>44800</v>
      </c>
      <c r="B90" s="8">
        <v>26</v>
      </c>
      <c r="C90">
        <f t="shared" si="3"/>
        <v>96</v>
      </c>
      <c r="D90">
        <f t="shared" si="3"/>
        <v>128</v>
      </c>
      <c r="E90">
        <f t="shared" si="3"/>
        <v>84</v>
      </c>
    </row>
    <row r="91" spans="1:5" x14ac:dyDescent="0.25">
      <c r="A91" s="5">
        <v>44801</v>
      </c>
      <c r="B91" s="6">
        <v>32</v>
      </c>
      <c r="C91">
        <f t="shared" si="3"/>
        <v>117</v>
      </c>
      <c r="D91">
        <f t="shared" si="3"/>
        <v>153</v>
      </c>
      <c r="E91">
        <f t="shared" si="3"/>
        <v>98</v>
      </c>
    </row>
    <row r="92" spans="1:5" x14ac:dyDescent="0.25">
      <c r="A92" s="7">
        <v>44802</v>
      </c>
      <c r="B92" s="8">
        <v>23</v>
      </c>
      <c r="C92">
        <f t="shared" si="3"/>
        <v>86</v>
      </c>
      <c r="D92">
        <f t="shared" si="3"/>
        <v>115</v>
      </c>
      <c r="E92">
        <f t="shared" si="3"/>
        <v>77</v>
      </c>
    </row>
    <row r="93" spans="1:5" x14ac:dyDescent="0.25">
      <c r="A93" s="5">
        <v>44803</v>
      </c>
      <c r="B93" s="6">
        <v>22</v>
      </c>
      <c r="C93">
        <f t="shared" si="3"/>
        <v>83</v>
      </c>
      <c r="D93">
        <f t="shared" si="3"/>
        <v>111</v>
      </c>
      <c r="E93">
        <f t="shared" si="3"/>
        <v>75</v>
      </c>
    </row>
    <row r="94" spans="1:5" x14ac:dyDescent="0.25">
      <c r="A94" s="9">
        <v>44804</v>
      </c>
      <c r="B94" s="2">
        <v>25</v>
      </c>
      <c r="C94">
        <f t="shared" si="3"/>
        <v>93</v>
      </c>
      <c r="D94">
        <f t="shared" si="3"/>
        <v>124</v>
      </c>
      <c r="E94">
        <f t="shared" si="3"/>
        <v>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01AB-CCBA-480B-865D-F517E1DFE56D}">
  <dimension ref="A1:M94"/>
  <sheetViews>
    <sheetView zoomScale="175" zoomScaleNormal="175" workbookViewId="0">
      <selection activeCell="L3" sqref="L3"/>
    </sheetView>
  </sheetViews>
  <sheetFormatPr defaultRowHeight="15" x14ac:dyDescent="0.25"/>
  <cols>
    <col min="1" max="1" width="11.140625" bestFit="1" customWidth="1"/>
    <col min="2" max="2" width="12.140625" bestFit="1" customWidth="1"/>
    <col min="3" max="3" width="8.85546875" bestFit="1" customWidth="1"/>
    <col min="4" max="4" width="4.85546875" customWidth="1"/>
    <col min="5" max="5" width="10" bestFit="1" customWidth="1"/>
    <col min="7" max="7" width="16.7109375" bestFit="1" customWidth="1"/>
    <col min="8" max="8" width="17.7109375" bestFit="1" customWidth="1"/>
    <col min="9" max="9" width="13.5703125" bestFit="1" customWidth="1"/>
    <col min="10" max="10" width="6.7109375" bestFit="1" customWidth="1"/>
    <col min="11" max="11" width="14.28515625" bestFit="1" customWidth="1"/>
  </cols>
  <sheetData>
    <row r="1" spans="1:13" x14ac:dyDescent="0.25">
      <c r="B1" t="s">
        <v>6</v>
      </c>
      <c r="C1" s="10">
        <v>7.6923076923076927E-2</v>
      </c>
      <c r="D1" s="10">
        <v>6.8965517241379309E-2</v>
      </c>
      <c r="E1" s="10">
        <v>5.8823529411764705E-2</v>
      </c>
      <c r="F1" s="10">
        <v>7</v>
      </c>
      <c r="G1" s="10">
        <v>5</v>
      </c>
      <c r="H1" s="10">
        <v>6</v>
      </c>
    </row>
    <row r="2" spans="1:13" x14ac:dyDescent="0.25">
      <c r="A2" s="3" t="s">
        <v>0</v>
      </c>
      <c r="B2" s="4" t="s">
        <v>1</v>
      </c>
      <c r="C2" t="s">
        <v>3</v>
      </c>
      <c r="D2" t="s">
        <v>5</v>
      </c>
      <c r="E2" t="s">
        <v>4</v>
      </c>
      <c r="I2" t="s">
        <v>16</v>
      </c>
      <c r="K2" s="5">
        <v>44739</v>
      </c>
      <c r="L2" s="12">
        <v>45358</v>
      </c>
    </row>
    <row r="3" spans="1:13" x14ac:dyDescent="0.25">
      <c r="A3" s="5">
        <v>44713</v>
      </c>
      <c r="B3" s="6">
        <v>24</v>
      </c>
      <c r="C3">
        <v>90</v>
      </c>
      <c r="D3">
        <v>120</v>
      </c>
      <c r="E3">
        <v>80</v>
      </c>
      <c r="F3">
        <f>C3*$F$1</f>
        <v>630</v>
      </c>
      <c r="G3">
        <f>D3*$G$1</f>
        <v>600</v>
      </c>
      <c r="H3">
        <f>E3*$H$1</f>
        <v>480</v>
      </c>
      <c r="I3">
        <f>SUM(F3:H3)</f>
        <v>1710</v>
      </c>
    </row>
    <row r="4" spans="1:13" x14ac:dyDescent="0.25">
      <c r="A4" s="7">
        <v>44714</v>
      </c>
      <c r="B4" s="8">
        <v>25</v>
      </c>
      <c r="C4">
        <f>INT(C$3*(1+C$1*(($B4-24)/2)))</f>
        <v>93</v>
      </c>
      <c r="D4">
        <f t="shared" ref="D4:E19" si="0">INT(D$3*(1+D$1*(($B4-24)/2)))</f>
        <v>124</v>
      </c>
      <c r="E4">
        <f t="shared" si="0"/>
        <v>82</v>
      </c>
      <c r="F4">
        <f t="shared" ref="F4:F67" si="1">C4*$F$1</f>
        <v>651</v>
      </c>
      <c r="G4">
        <f t="shared" ref="G4:G67" si="2">D4*$G$1</f>
        <v>620</v>
      </c>
      <c r="H4">
        <f t="shared" ref="H4:H67" si="3">E4*$H$1</f>
        <v>492</v>
      </c>
      <c r="I4" s="12">
        <f>SUM(F4:H4)+I3</f>
        <v>3473</v>
      </c>
      <c r="J4" s="12"/>
      <c r="K4" s="12"/>
      <c r="L4" s="12"/>
      <c r="M4" s="12"/>
    </row>
    <row r="5" spans="1:13" x14ac:dyDescent="0.25">
      <c r="A5" s="5">
        <v>44715</v>
      </c>
      <c r="B5" s="6">
        <v>27</v>
      </c>
      <c r="C5">
        <f t="shared" ref="C5:E36" si="4">INT(C$3*(1+C$1*(($B5-24)/2)))</f>
        <v>100</v>
      </c>
      <c r="D5">
        <f t="shared" si="0"/>
        <v>132</v>
      </c>
      <c r="E5">
        <f t="shared" si="0"/>
        <v>87</v>
      </c>
      <c r="F5">
        <f t="shared" si="1"/>
        <v>700</v>
      </c>
      <c r="G5">
        <f t="shared" si="2"/>
        <v>660</v>
      </c>
      <c r="H5">
        <f t="shared" si="3"/>
        <v>522</v>
      </c>
      <c r="I5" s="12">
        <f t="shared" ref="I5:I68" si="5">SUM(F5:H5)+I4</f>
        <v>5355</v>
      </c>
      <c r="J5" s="12"/>
      <c r="K5" s="12"/>
      <c r="L5" s="12"/>
      <c r="M5" s="12"/>
    </row>
    <row r="6" spans="1:13" x14ac:dyDescent="0.25">
      <c r="A6" s="7">
        <v>44716</v>
      </c>
      <c r="B6" s="8">
        <v>27</v>
      </c>
      <c r="C6">
        <f t="shared" si="4"/>
        <v>100</v>
      </c>
      <c r="D6">
        <f t="shared" si="0"/>
        <v>132</v>
      </c>
      <c r="E6">
        <f t="shared" si="0"/>
        <v>87</v>
      </c>
      <c r="F6">
        <f t="shared" si="1"/>
        <v>700</v>
      </c>
      <c r="G6">
        <f t="shared" si="2"/>
        <v>660</v>
      </c>
      <c r="H6">
        <f t="shared" si="3"/>
        <v>522</v>
      </c>
      <c r="I6" s="12">
        <f t="shared" si="5"/>
        <v>7237</v>
      </c>
      <c r="J6" s="12"/>
      <c r="K6" s="12"/>
      <c r="L6" s="12"/>
      <c r="M6" s="12"/>
    </row>
    <row r="7" spans="1:13" x14ac:dyDescent="0.25">
      <c r="A7" s="5">
        <v>44717</v>
      </c>
      <c r="B7" s="6">
        <v>27</v>
      </c>
      <c r="C7">
        <f t="shared" si="4"/>
        <v>100</v>
      </c>
      <c r="D7">
        <f t="shared" si="0"/>
        <v>132</v>
      </c>
      <c r="E7">
        <f t="shared" si="0"/>
        <v>87</v>
      </c>
      <c r="F7">
        <f t="shared" si="1"/>
        <v>700</v>
      </c>
      <c r="G7">
        <f t="shared" si="2"/>
        <v>660</v>
      </c>
      <c r="H7">
        <f t="shared" si="3"/>
        <v>522</v>
      </c>
      <c r="I7" s="12">
        <f t="shared" si="5"/>
        <v>9119</v>
      </c>
      <c r="J7" s="12"/>
      <c r="K7" s="12"/>
      <c r="L7" s="12"/>
      <c r="M7" s="12"/>
    </row>
    <row r="8" spans="1:13" x14ac:dyDescent="0.25">
      <c r="A8" s="7">
        <v>44718</v>
      </c>
      <c r="B8" s="8">
        <v>22</v>
      </c>
      <c r="C8">
        <f t="shared" si="4"/>
        <v>83</v>
      </c>
      <c r="D8">
        <f t="shared" si="0"/>
        <v>111</v>
      </c>
      <c r="E8">
        <f t="shared" si="0"/>
        <v>75</v>
      </c>
      <c r="F8">
        <f t="shared" si="1"/>
        <v>581</v>
      </c>
      <c r="G8">
        <f t="shared" si="2"/>
        <v>555</v>
      </c>
      <c r="H8">
        <f t="shared" si="3"/>
        <v>450</v>
      </c>
      <c r="I8" s="12">
        <f t="shared" si="5"/>
        <v>10705</v>
      </c>
      <c r="J8" s="12"/>
      <c r="K8" s="12"/>
      <c r="L8" s="12"/>
      <c r="M8" s="12"/>
    </row>
    <row r="9" spans="1:13" x14ac:dyDescent="0.25">
      <c r="A9" s="5">
        <v>44719</v>
      </c>
      <c r="B9" s="6">
        <v>25</v>
      </c>
      <c r="C9">
        <f t="shared" si="4"/>
        <v>93</v>
      </c>
      <c r="D9">
        <f t="shared" si="0"/>
        <v>124</v>
      </c>
      <c r="E9">
        <f t="shared" si="0"/>
        <v>82</v>
      </c>
      <c r="F9">
        <f t="shared" si="1"/>
        <v>651</v>
      </c>
      <c r="G9">
        <f t="shared" si="2"/>
        <v>620</v>
      </c>
      <c r="H9">
        <f t="shared" si="3"/>
        <v>492</v>
      </c>
      <c r="I9" s="12">
        <f t="shared" si="5"/>
        <v>12468</v>
      </c>
      <c r="J9" s="12"/>
      <c r="K9" s="12"/>
      <c r="L9" s="12"/>
      <c r="M9" s="12"/>
    </row>
    <row r="10" spans="1:13" x14ac:dyDescent="0.25">
      <c r="A10" s="7">
        <v>44720</v>
      </c>
      <c r="B10" s="8">
        <v>25</v>
      </c>
      <c r="C10">
        <f t="shared" si="4"/>
        <v>93</v>
      </c>
      <c r="D10">
        <f t="shared" si="0"/>
        <v>124</v>
      </c>
      <c r="E10">
        <f t="shared" si="0"/>
        <v>82</v>
      </c>
      <c r="F10">
        <f t="shared" si="1"/>
        <v>651</v>
      </c>
      <c r="G10">
        <f t="shared" si="2"/>
        <v>620</v>
      </c>
      <c r="H10">
        <f t="shared" si="3"/>
        <v>492</v>
      </c>
      <c r="I10" s="12">
        <f t="shared" si="5"/>
        <v>14231</v>
      </c>
      <c r="J10" s="12"/>
      <c r="K10" s="12"/>
      <c r="L10" s="12"/>
      <c r="M10" s="12"/>
    </row>
    <row r="11" spans="1:13" x14ac:dyDescent="0.25">
      <c r="A11" s="5">
        <v>44721</v>
      </c>
      <c r="B11" s="6">
        <v>21</v>
      </c>
      <c r="C11">
        <f t="shared" si="4"/>
        <v>79</v>
      </c>
      <c r="D11">
        <f t="shared" si="0"/>
        <v>107</v>
      </c>
      <c r="E11">
        <f t="shared" si="0"/>
        <v>72</v>
      </c>
      <c r="F11">
        <f t="shared" si="1"/>
        <v>553</v>
      </c>
      <c r="G11">
        <f t="shared" si="2"/>
        <v>535</v>
      </c>
      <c r="H11">
        <f t="shared" si="3"/>
        <v>432</v>
      </c>
      <c r="I11" s="12">
        <f t="shared" si="5"/>
        <v>15751</v>
      </c>
      <c r="J11" s="12"/>
      <c r="K11" s="12"/>
      <c r="L11" s="12"/>
      <c r="M11" s="12"/>
    </row>
    <row r="12" spans="1:13" x14ac:dyDescent="0.25">
      <c r="A12" s="7">
        <v>44722</v>
      </c>
      <c r="B12" s="8">
        <v>21</v>
      </c>
      <c r="C12">
        <f t="shared" si="4"/>
        <v>79</v>
      </c>
      <c r="D12">
        <f t="shared" si="0"/>
        <v>107</v>
      </c>
      <c r="E12">
        <f t="shared" si="0"/>
        <v>72</v>
      </c>
      <c r="F12">
        <f t="shared" si="1"/>
        <v>553</v>
      </c>
      <c r="G12">
        <f t="shared" si="2"/>
        <v>535</v>
      </c>
      <c r="H12">
        <f t="shared" si="3"/>
        <v>432</v>
      </c>
      <c r="I12" s="12">
        <f t="shared" si="5"/>
        <v>17271</v>
      </c>
      <c r="J12" s="12"/>
      <c r="K12" s="12"/>
      <c r="L12" s="12"/>
      <c r="M12" s="12"/>
    </row>
    <row r="13" spans="1:13" x14ac:dyDescent="0.25">
      <c r="A13" s="5">
        <v>44723</v>
      </c>
      <c r="B13" s="6">
        <v>19</v>
      </c>
      <c r="C13">
        <f t="shared" si="4"/>
        <v>72</v>
      </c>
      <c r="D13">
        <f t="shared" si="0"/>
        <v>99</v>
      </c>
      <c r="E13">
        <f t="shared" si="0"/>
        <v>68</v>
      </c>
      <c r="F13">
        <f t="shared" si="1"/>
        <v>504</v>
      </c>
      <c r="G13">
        <f t="shared" si="2"/>
        <v>495</v>
      </c>
      <c r="H13">
        <f t="shared" si="3"/>
        <v>408</v>
      </c>
      <c r="I13" s="12">
        <f t="shared" si="5"/>
        <v>18678</v>
      </c>
      <c r="J13" s="12"/>
      <c r="K13" s="12"/>
      <c r="L13" s="12"/>
      <c r="M13" s="12"/>
    </row>
    <row r="14" spans="1:13" x14ac:dyDescent="0.25">
      <c r="A14" s="7">
        <v>44724</v>
      </c>
      <c r="B14" s="8">
        <v>19</v>
      </c>
      <c r="C14">
        <f t="shared" si="4"/>
        <v>72</v>
      </c>
      <c r="D14">
        <f t="shared" si="0"/>
        <v>99</v>
      </c>
      <c r="E14">
        <f t="shared" si="0"/>
        <v>68</v>
      </c>
      <c r="F14">
        <f t="shared" si="1"/>
        <v>504</v>
      </c>
      <c r="G14">
        <f t="shared" si="2"/>
        <v>495</v>
      </c>
      <c r="H14">
        <f t="shared" si="3"/>
        <v>408</v>
      </c>
      <c r="I14" s="12">
        <f t="shared" si="5"/>
        <v>20085</v>
      </c>
      <c r="J14" s="12"/>
      <c r="K14" s="12"/>
      <c r="L14" s="12"/>
      <c r="M14" s="12"/>
    </row>
    <row r="15" spans="1:13" x14ac:dyDescent="0.25">
      <c r="A15" s="5">
        <v>44725</v>
      </c>
      <c r="B15" s="6">
        <v>15</v>
      </c>
      <c r="C15">
        <f t="shared" si="4"/>
        <v>58</v>
      </c>
      <c r="D15">
        <f t="shared" si="0"/>
        <v>82</v>
      </c>
      <c r="E15">
        <f t="shared" si="0"/>
        <v>58</v>
      </c>
      <c r="F15">
        <f t="shared" si="1"/>
        <v>406</v>
      </c>
      <c r="G15">
        <f t="shared" si="2"/>
        <v>410</v>
      </c>
      <c r="H15">
        <f t="shared" si="3"/>
        <v>348</v>
      </c>
      <c r="I15" s="12">
        <f t="shared" si="5"/>
        <v>21249</v>
      </c>
      <c r="J15" s="12"/>
      <c r="K15" s="12"/>
      <c r="L15" s="12"/>
      <c r="M15" s="12"/>
    </row>
    <row r="16" spans="1:13" x14ac:dyDescent="0.25">
      <c r="A16" s="7">
        <v>44726</v>
      </c>
      <c r="B16" s="8">
        <v>21</v>
      </c>
      <c r="C16">
        <f t="shared" si="4"/>
        <v>79</v>
      </c>
      <c r="D16">
        <f t="shared" si="0"/>
        <v>107</v>
      </c>
      <c r="E16">
        <f t="shared" si="0"/>
        <v>72</v>
      </c>
      <c r="F16">
        <f t="shared" si="1"/>
        <v>553</v>
      </c>
      <c r="G16">
        <f t="shared" si="2"/>
        <v>535</v>
      </c>
      <c r="H16">
        <f t="shared" si="3"/>
        <v>432</v>
      </c>
      <c r="I16" s="12">
        <f t="shared" si="5"/>
        <v>22769</v>
      </c>
      <c r="J16" s="12"/>
      <c r="K16" s="12"/>
      <c r="L16" s="12"/>
      <c r="M16" s="12"/>
    </row>
    <row r="17" spans="1:9" x14ac:dyDescent="0.25">
      <c r="A17" s="5">
        <v>44727</v>
      </c>
      <c r="B17" s="6">
        <v>23</v>
      </c>
      <c r="C17">
        <f t="shared" si="4"/>
        <v>86</v>
      </c>
      <c r="D17">
        <f t="shared" si="0"/>
        <v>115</v>
      </c>
      <c r="E17">
        <f t="shared" si="0"/>
        <v>77</v>
      </c>
      <c r="F17">
        <f t="shared" si="1"/>
        <v>602</v>
      </c>
      <c r="G17">
        <f t="shared" si="2"/>
        <v>575</v>
      </c>
      <c r="H17">
        <f t="shared" si="3"/>
        <v>462</v>
      </c>
      <c r="I17" s="12">
        <f t="shared" si="5"/>
        <v>24408</v>
      </c>
    </row>
    <row r="18" spans="1:9" x14ac:dyDescent="0.25">
      <c r="A18" s="7">
        <v>44728</v>
      </c>
      <c r="B18" s="8">
        <v>23</v>
      </c>
      <c r="C18">
        <f t="shared" si="4"/>
        <v>86</v>
      </c>
      <c r="D18">
        <f t="shared" si="0"/>
        <v>115</v>
      </c>
      <c r="E18">
        <f t="shared" si="0"/>
        <v>77</v>
      </c>
      <c r="F18">
        <f t="shared" si="1"/>
        <v>602</v>
      </c>
      <c r="G18">
        <f t="shared" si="2"/>
        <v>575</v>
      </c>
      <c r="H18">
        <f t="shared" si="3"/>
        <v>462</v>
      </c>
      <c r="I18" s="12">
        <f t="shared" si="5"/>
        <v>26047</v>
      </c>
    </row>
    <row r="19" spans="1:9" x14ac:dyDescent="0.25">
      <c r="A19" s="5">
        <v>44729</v>
      </c>
      <c r="B19" s="6">
        <v>16</v>
      </c>
      <c r="C19">
        <f t="shared" si="4"/>
        <v>62</v>
      </c>
      <c r="D19">
        <f t="shared" si="0"/>
        <v>86</v>
      </c>
      <c r="E19">
        <f t="shared" si="0"/>
        <v>61</v>
      </c>
      <c r="F19">
        <f t="shared" si="1"/>
        <v>434</v>
      </c>
      <c r="G19">
        <f t="shared" si="2"/>
        <v>430</v>
      </c>
      <c r="H19">
        <f t="shared" si="3"/>
        <v>366</v>
      </c>
      <c r="I19" s="12">
        <f t="shared" si="5"/>
        <v>27277</v>
      </c>
    </row>
    <row r="20" spans="1:9" x14ac:dyDescent="0.25">
      <c r="A20" s="7">
        <v>44730</v>
      </c>
      <c r="B20" s="8">
        <v>21</v>
      </c>
      <c r="C20">
        <f t="shared" si="4"/>
        <v>79</v>
      </c>
      <c r="D20">
        <f t="shared" si="4"/>
        <v>107</v>
      </c>
      <c r="E20">
        <f t="shared" si="4"/>
        <v>72</v>
      </c>
      <c r="F20">
        <f t="shared" si="1"/>
        <v>553</v>
      </c>
      <c r="G20">
        <f t="shared" si="2"/>
        <v>535</v>
      </c>
      <c r="H20">
        <f t="shared" si="3"/>
        <v>432</v>
      </c>
      <c r="I20" s="12">
        <f t="shared" si="5"/>
        <v>28797</v>
      </c>
    </row>
    <row r="21" spans="1:9" x14ac:dyDescent="0.25">
      <c r="A21" s="5">
        <v>44731</v>
      </c>
      <c r="B21" s="6">
        <v>22</v>
      </c>
      <c r="C21">
        <f t="shared" si="4"/>
        <v>83</v>
      </c>
      <c r="D21">
        <f t="shared" si="4"/>
        <v>111</v>
      </c>
      <c r="E21">
        <f t="shared" si="4"/>
        <v>75</v>
      </c>
      <c r="F21">
        <f t="shared" si="1"/>
        <v>581</v>
      </c>
      <c r="G21">
        <f t="shared" si="2"/>
        <v>555</v>
      </c>
      <c r="H21">
        <f t="shared" si="3"/>
        <v>450</v>
      </c>
      <c r="I21" s="12">
        <f t="shared" si="5"/>
        <v>30383</v>
      </c>
    </row>
    <row r="22" spans="1:9" x14ac:dyDescent="0.25">
      <c r="A22" s="7">
        <v>44732</v>
      </c>
      <c r="B22" s="8">
        <v>22</v>
      </c>
      <c r="C22">
        <f t="shared" si="4"/>
        <v>83</v>
      </c>
      <c r="D22">
        <f t="shared" si="4"/>
        <v>111</v>
      </c>
      <c r="E22">
        <f t="shared" si="4"/>
        <v>75</v>
      </c>
      <c r="F22">
        <f t="shared" si="1"/>
        <v>581</v>
      </c>
      <c r="G22">
        <f t="shared" si="2"/>
        <v>555</v>
      </c>
      <c r="H22">
        <f t="shared" si="3"/>
        <v>450</v>
      </c>
      <c r="I22" s="12">
        <f t="shared" si="5"/>
        <v>31969</v>
      </c>
    </row>
    <row r="23" spans="1:9" x14ac:dyDescent="0.25">
      <c r="A23" s="5">
        <v>44733</v>
      </c>
      <c r="B23" s="6">
        <v>22</v>
      </c>
      <c r="C23">
        <f t="shared" si="4"/>
        <v>83</v>
      </c>
      <c r="D23">
        <f t="shared" si="4"/>
        <v>111</v>
      </c>
      <c r="E23">
        <f t="shared" si="4"/>
        <v>75</v>
      </c>
      <c r="F23">
        <f t="shared" si="1"/>
        <v>581</v>
      </c>
      <c r="G23">
        <f t="shared" si="2"/>
        <v>555</v>
      </c>
      <c r="H23">
        <f t="shared" si="3"/>
        <v>450</v>
      </c>
      <c r="I23" s="12">
        <f t="shared" si="5"/>
        <v>33555</v>
      </c>
    </row>
    <row r="24" spans="1:9" x14ac:dyDescent="0.25">
      <c r="A24" s="7">
        <v>44734</v>
      </c>
      <c r="B24" s="8">
        <v>28</v>
      </c>
      <c r="C24">
        <f t="shared" si="4"/>
        <v>103</v>
      </c>
      <c r="D24">
        <f t="shared" si="4"/>
        <v>136</v>
      </c>
      <c r="E24">
        <f t="shared" si="4"/>
        <v>89</v>
      </c>
      <c r="F24">
        <f t="shared" si="1"/>
        <v>721</v>
      </c>
      <c r="G24">
        <f t="shared" si="2"/>
        <v>680</v>
      </c>
      <c r="H24">
        <f t="shared" si="3"/>
        <v>534</v>
      </c>
      <c r="I24" s="12">
        <f t="shared" si="5"/>
        <v>35490</v>
      </c>
    </row>
    <row r="25" spans="1:9" x14ac:dyDescent="0.25">
      <c r="A25" s="5">
        <v>44735</v>
      </c>
      <c r="B25" s="6">
        <v>31</v>
      </c>
      <c r="C25">
        <f t="shared" si="4"/>
        <v>114</v>
      </c>
      <c r="D25">
        <f t="shared" si="4"/>
        <v>148</v>
      </c>
      <c r="E25">
        <f t="shared" si="4"/>
        <v>96</v>
      </c>
      <c r="F25">
        <f t="shared" si="1"/>
        <v>798</v>
      </c>
      <c r="G25">
        <f t="shared" si="2"/>
        <v>740</v>
      </c>
      <c r="H25">
        <f t="shared" si="3"/>
        <v>576</v>
      </c>
      <c r="I25" s="12">
        <f t="shared" si="5"/>
        <v>37604</v>
      </c>
    </row>
    <row r="26" spans="1:9" x14ac:dyDescent="0.25">
      <c r="A26" s="7">
        <v>44736</v>
      </c>
      <c r="B26" s="8">
        <v>33</v>
      </c>
      <c r="C26">
        <f t="shared" si="4"/>
        <v>121</v>
      </c>
      <c r="D26">
        <f t="shared" si="4"/>
        <v>157</v>
      </c>
      <c r="E26">
        <f t="shared" si="4"/>
        <v>101</v>
      </c>
      <c r="F26">
        <f t="shared" si="1"/>
        <v>847</v>
      </c>
      <c r="G26">
        <f t="shared" si="2"/>
        <v>785</v>
      </c>
      <c r="H26">
        <f t="shared" si="3"/>
        <v>606</v>
      </c>
      <c r="I26" s="12">
        <f t="shared" si="5"/>
        <v>39842</v>
      </c>
    </row>
    <row r="27" spans="1:9" x14ac:dyDescent="0.25">
      <c r="A27" s="5">
        <v>44737</v>
      </c>
      <c r="B27" s="6">
        <v>33</v>
      </c>
      <c r="C27">
        <f t="shared" si="4"/>
        <v>121</v>
      </c>
      <c r="D27">
        <f t="shared" si="4"/>
        <v>157</v>
      </c>
      <c r="E27">
        <f t="shared" si="4"/>
        <v>101</v>
      </c>
      <c r="F27">
        <f t="shared" si="1"/>
        <v>847</v>
      </c>
      <c r="G27">
        <f t="shared" si="2"/>
        <v>785</v>
      </c>
      <c r="H27">
        <f t="shared" si="3"/>
        <v>606</v>
      </c>
      <c r="I27" s="12">
        <f t="shared" si="5"/>
        <v>42080</v>
      </c>
    </row>
    <row r="28" spans="1:9" x14ac:dyDescent="0.25">
      <c r="A28" s="7">
        <v>44738</v>
      </c>
      <c r="B28" s="8">
        <v>23</v>
      </c>
      <c r="C28">
        <f t="shared" si="4"/>
        <v>86</v>
      </c>
      <c r="D28">
        <f t="shared" si="4"/>
        <v>115</v>
      </c>
      <c r="E28">
        <f t="shared" si="4"/>
        <v>77</v>
      </c>
      <c r="F28">
        <f t="shared" si="1"/>
        <v>602</v>
      </c>
      <c r="G28">
        <f t="shared" si="2"/>
        <v>575</v>
      </c>
      <c r="H28">
        <f t="shared" si="3"/>
        <v>462</v>
      </c>
      <c r="I28" s="12">
        <f t="shared" si="5"/>
        <v>43719</v>
      </c>
    </row>
    <row r="29" spans="1:9" x14ac:dyDescent="0.25">
      <c r="A29" s="5">
        <v>44739</v>
      </c>
      <c r="B29" s="6">
        <v>23</v>
      </c>
      <c r="C29">
        <f t="shared" si="4"/>
        <v>86</v>
      </c>
      <c r="D29">
        <f t="shared" si="4"/>
        <v>115</v>
      </c>
      <c r="E29">
        <f t="shared" si="4"/>
        <v>77</v>
      </c>
      <c r="F29">
        <f t="shared" si="1"/>
        <v>602</v>
      </c>
      <c r="G29">
        <f t="shared" si="2"/>
        <v>575</v>
      </c>
      <c r="H29">
        <f t="shared" si="3"/>
        <v>462</v>
      </c>
      <c r="I29" s="12">
        <f t="shared" si="5"/>
        <v>45358</v>
      </c>
    </row>
    <row r="30" spans="1:9" x14ac:dyDescent="0.25">
      <c r="A30" s="7">
        <v>44740</v>
      </c>
      <c r="B30" s="8">
        <v>19</v>
      </c>
      <c r="C30">
        <f t="shared" si="4"/>
        <v>72</v>
      </c>
      <c r="D30">
        <f t="shared" si="4"/>
        <v>99</v>
      </c>
      <c r="E30">
        <f t="shared" si="4"/>
        <v>68</v>
      </c>
      <c r="F30">
        <f t="shared" si="1"/>
        <v>504</v>
      </c>
      <c r="G30">
        <f t="shared" si="2"/>
        <v>495</v>
      </c>
      <c r="H30">
        <f t="shared" si="3"/>
        <v>408</v>
      </c>
      <c r="I30" s="12">
        <f t="shared" si="5"/>
        <v>46765</v>
      </c>
    </row>
    <row r="31" spans="1:9" x14ac:dyDescent="0.25">
      <c r="A31" s="5">
        <v>44741</v>
      </c>
      <c r="B31" s="6">
        <v>24</v>
      </c>
      <c r="C31">
        <f t="shared" si="4"/>
        <v>90</v>
      </c>
      <c r="D31">
        <f t="shared" si="4"/>
        <v>120</v>
      </c>
      <c r="E31">
        <f t="shared" si="4"/>
        <v>80</v>
      </c>
      <c r="F31">
        <f t="shared" si="1"/>
        <v>630</v>
      </c>
      <c r="G31">
        <f t="shared" si="2"/>
        <v>600</v>
      </c>
      <c r="H31">
        <f t="shared" si="3"/>
        <v>480</v>
      </c>
      <c r="I31" s="12">
        <f t="shared" si="5"/>
        <v>48475</v>
      </c>
    </row>
    <row r="32" spans="1:9" x14ac:dyDescent="0.25">
      <c r="A32" s="7">
        <v>44742</v>
      </c>
      <c r="B32" s="8">
        <v>25</v>
      </c>
      <c r="C32">
        <f t="shared" si="4"/>
        <v>93</v>
      </c>
      <c r="D32">
        <f t="shared" si="4"/>
        <v>124</v>
      </c>
      <c r="E32">
        <f t="shared" si="4"/>
        <v>82</v>
      </c>
      <c r="F32">
        <f t="shared" si="1"/>
        <v>651</v>
      </c>
      <c r="G32">
        <f t="shared" si="2"/>
        <v>620</v>
      </c>
      <c r="H32">
        <f t="shared" si="3"/>
        <v>492</v>
      </c>
      <c r="I32" s="12">
        <f t="shared" si="5"/>
        <v>50238</v>
      </c>
    </row>
    <row r="33" spans="1:9" x14ac:dyDescent="0.25">
      <c r="A33" s="5">
        <v>44743</v>
      </c>
      <c r="B33" s="6">
        <v>27</v>
      </c>
      <c r="C33">
        <f t="shared" si="4"/>
        <v>100</v>
      </c>
      <c r="D33">
        <f t="shared" si="4"/>
        <v>132</v>
      </c>
      <c r="E33">
        <f t="shared" si="4"/>
        <v>87</v>
      </c>
      <c r="F33">
        <f t="shared" si="1"/>
        <v>700</v>
      </c>
      <c r="G33">
        <f t="shared" si="2"/>
        <v>660</v>
      </c>
      <c r="H33">
        <f t="shared" si="3"/>
        <v>522</v>
      </c>
      <c r="I33" s="12">
        <f t="shared" si="5"/>
        <v>52120</v>
      </c>
    </row>
    <row r="34" spans="1:9" x14ac:dyDescent="0.25">
      <c r="A34" s="7">
        <v>44744</v>
      </c>
      <c r="B34" s="8">
        <v>27</v>
      </c>
      <c r="C34">
        <f t="shared" si="4"/>
        <v>100</v>
      </c>
      <c r="D34">
        <f t="shared" si="4"/>
        <v>132</v>
      </c>
      <c r="E34">
        <f t="shared" si="4"/>
        <v>87</v>
      </c>
      <c r="F34">
        <f t="shared" si="1"/>
        <v>700</v>
      </c>
      <c r="G34">
        <f t="shared" si="2"/>
        <v>660</v>
      </c>
      <c r="H34">
        <f t="shared" si="3"/>
        <v>522</v>
      </c>
      <c r="I34" s="12">
        <f t="shared" si="5"/>
        <v>54002</v>
      </c>
    </row>
    <row r="35" spans="1:9" x14ac:dyDescent="0.25">
      <c r="A35" s="5">
        <v>44745</v>
      </c>
      <c r="B35" s="6">
        <v>21</v>
      </c>
      <c r="C35">
        <f t="shared" si="4"/>
        <v>79</v>
      </c>
      <c r="D35">
        <f t="shared" si="4"/>
        <v>107</v>
      </c>
      <c r="E35">
        <f t="shared" si="4"/>
        <v>72</v>
      </c>
      <c r="F35">
        <f t="shared" si="1"/>
        <v>553</v>
      </c>
      <c r="G35">
        <f t="shared" si="2"/>
        <v>535</v>
      </c>
      <c r="H35">
        <f t="shared" si="3"/>
        <v>432</v>
      </c>
      <c r="I35" s="12">
        <f t="shared" si="5"/>
        <v>55522</v>
      </c>
    </row>
    <row r="36" spans="1:9" x14ac:dyDescent="0.25">
      <c r="A36" s="7">
        <v>44746</v>
      </c>
      <c r="B36" s="8">
        <v>21</v>
      </c>
      <c r="C36">
        <f t="shared" si="4"/>
        <v>79</v>
      </c>
      <c r="D36">
        <f t="shared" si="4"/>
        <v>107</v>
      </c>
      <c r="E36">
        <f t="shared" si="4"/>
        <v>72</v>
      </c>
      <c r="F36">
        <f t="shared" si="1"/>
        <v>553</v>
      </c>
      <c r="G36">
        <f t="shared" si="2"/>
        <v>535</v>
      </c>
      <c r="H36">
        <f t="shared" si="3"/>
        <v>432</v>
      </c>
      <c r="I36" s="12">
        <f t="shared" si="5"/>
        <v>57042</v>
      </c>
    </row>
    <row r="37" spans="1:9" x14ac:dyDescent="0.25">
      <c r="A37" s="5">
        <v>44747</v>
      </c>
      <c r="B37" s="6">
        <v>25</v>
      </c>
      <c r="C37">
        <f t="shared" ref="C37:E68" si="6">INT(C$3*(1+C$1*(($B37-24)/2)))</f>
        <v>93</v>
      </c>
      <c r="D37">
        <f t="shared" si="6"/>
        <v>124</v>
      </c>
      <c r="E37">
        <f t="shared" si="6"/>
        <v>82</v>
      </c>
      <c r="F37">
        <f t="shared" si="1"/>
        <v>651</v>
      </c>
      <c r="G37">
        <f t="shared" si="2"/>
        <v>620</v>
      </c>
      <c r="H37">
        <f t="shared" si="3"/>
        <v>492</v>
      </c>
      <c r="I37" s="12">
        <f t="shared" si="5"/>
        <v>58805</v>
      </c>
    </row>
    <row r="38" spans="1:9" x14ac:dyDescent="0.25">
      <c r="A38" s="7">
        <v>44748</v>
      </c>
      <c r="B38" s="8">
        <v>19</v>
      </c>
      <c r="C38">
        <f t="shared" si="6"/>
        <v>72</v>
      </c>
      <c r="D38">
        <f t="shared" si="6"/>
        <v>99</v>
      </c>
      <c r="E38">
        <f t="shared" si="6"/>
        <v>68</v>
      </c>
      <c r="F38">
        <f t="shared" si="1"/>
        <v>504</v>
      </c>
      <c r="G38">
        <f t="shared" si="2"/>
        <v>495</v>
      </c>
      <c r="H38">
        <f t="shared" si="3"/>
        <v>408</v>
      </c>
      <c r="I38" s="12">
        <f t="shared" si="5"/>
        <v>60212</v>
      </c>
    </row>
    <row r="39" spans="1:9" x14ac:dyDescent="0.25">
      <c r="A39" s="5">
        <v>44749</v>
      </c>
      <c r="B39" s="6">
        <v>21</v>
      </c>
      <c r="C39">
        <f t="shared" si="6"/>
        <v>79</v>
      </c>
      <c r="D39">
        <f t="shared" si="6"/>
        <v>107</v>
      </c>
      <c r="E39">
        <f t="shared" si="6"/>
        <v>72</v>
      </c>
      <c r="F39">
        <f t="shared" si="1"/>
        <v>553</v>
      </c>
      <c r="G39">
        <f t="shared" si="2"/>
        <v>535</v>
      </c>
      <c r="H39">
        <f t="shared" si="3"/>
        <v>432</v>
      </c>
      <c r="I39" s="12">
        <f t="shared" si="5"/>
        <v>61732</v>
      </c>
    </row>
    <row r="40" spans="1:9" x14ac:dyDescent="0.25">
      <c r="A40" s="7">
        <v>44750</v>
      </c>
      <c r="B40" s="8">
        <v>24</v>
      </c>
      <c r="C40">
        <f t="shared" si="6"/>
        <v>90</v>
      </c>
      <c r="D40">
        <f t="shared" si="6"/>
        <v>120</v>
      </c>
      <c r="E40">
        <f t="shared" si="6"/>
        <v>80</v>
      </c>
      <c r="F40">
        <f t="shared" si="1"/>
        <v>630</v>
      </c>
      <c r="G40">
        <f t="shared" si="2"/>
        <v>600</v>
      </c>
      <c r="H40">
        <f t="shared" si="3"/>
        <v>480</v>
      </c>
      <c r="I40" s="12">
        <f t="shared" si="5"/>
        <v>63442</v>
      </c>
    </row>
    <row r="41" spans="1:9" x14ac:dyDescent="0.25">
      <c r="A41" s="5">
        <v>44751</v>
      </c>
      <c r="B41" s="6">
        <v>19</v>
      </c>
      <c r="C41">
        <f t="shared" si="6"/>
        <v>72</v>
      </c>
      <c r="D41">
        <f t="shared" si="6"/>
        <v>99</v>
      </c>
      <c r="E41">
        <f t="shared" si="6"/>
        <v>68</v>
      </c>
      <c r="F41">
        <f t="shared" si="1"/>
        <v>504</v>
      </c>
      <c r="G41">
        <f t="shared" si="2"/>
        <v>495</v>
      </c>
      <c r="H41">
        <f t="shared" si="3"/>
        <v>408</v>
      </c>
      <c r="I41" s="12">
        <f t="shared" si="5"/>
        <v>64849</v>
      </c>
    </row>
    <row r="42" spans="1:9" x14ac:dyDescent="0.25">
      <c r="A42" s="7">
        <v>44752</v>
      </c>
      <c r="B42" s="8">
        <v>28</v>
      </c>
      <c r="C42">
        <f t="shared" si="6"/>
        <v>103</v>
      </c>
      <c r="D42">
        <f t="shared" si="6"/>
        <v>136</v>
      </c>
      <c r="E42">
        <f t="shared" si="6"/>
        <v>89</v>
      </c>
      <c r="F42">
        <f t="shared" si="1"/>
        <v>721</v>
      </c>
      <c r="G42">
        <f t="shared" si="2"/>
        <v>680</v>
      </c>
      <c r="H42">
        <f t="shared" si="3"/>
        <v>534</v>
      </c>
      <c r="I42" s="12">
        <f t="shared" si="5"/>
        <v>66784</v>
      </c>
    </row>
    <row r="43" spans="1:9" x14ac:dyDescent="0.25">
      <c r="A43" s="5">
        <v>44753</v>
      </c>
      <c r="B43" s="6">
        <v>27</v>
      </c>
      <c r="C43">
        <f t="shared" si="6"/>
        <v>100</v>
      </c>
      <c r="D43">
        <f t="shared" si="6"/>
        <v>132</v>
      </c>
      <c r="E43">
        <f t="shared" si="6"/>
        <v>87</v>
      </c>
      <c r="F43">
        <f t="shared" si="1"/>
        <v>700</v>
      </c>
      <c r="G43">
        <f t="shared" si="2"/>
        <v>660</v>
      </c>
      <c r="H43">
        <f t="shared" si="3"/>
        <v>522</v>
      </c>
      <c r="I43" s="12">
        <f t="shared" si="5"/>
        <v>68666</v>
      </c>
    </row>
    <row r="44" spans="1:9" x14ac:dyDescent="0.25">
      <c r="A44" s="7">
        <v>44754</v>
      </c>
      <c r="B44" s="8">
        <v>24</v>
      </c>
      <c r="C44">
        <f t="shared" si="6"/>
        <v>90</v>
      </c>
      <c r="D44">
        <f t="shared" si="6"/>
        <v>120</v>
      </c>
      <c r="E44">
        <f t="shared" si="6"/>
        <v>80</v>
      </c>
      <c r="F44">
        <f t="shared" si="1"/>
        <v>630</v>
      </c>
      <c r="G44">
        <f t="shared" si="2"/>
        <v>600</v>
      </c>
      <c r="H44">
        <f t="shared" si="3"/>
        <v>480</v>
      </c>
      <c r="I44" s="12">
        <f t="shared" si="5"/>
        <v>70376</v>
      </c>
    </row>
    <row r="45" spans="1:9" x14ac:dyDescent="0.25">
      <c r="A45" s="5">
        <v>44755</v>
      </c>
      <c r="B45" s="6">
        <v>22</v>
      </c>
      <c r="C45">
        <f t="shared" si="6"/>
        <v>83</v>
      </c>
      <c r="D45">
        <f t="shared" si="6"/>
        <v>111</v>
      </c>
      <c r="E45">
        <f t="shared" si="6"/>
        <v>75</v>
      </c>
      <c r="F45">
        <f t="shared" si="1"/>
        <v>581</v>
      </c>
      <c r="G45">
        <f t="shared" si="2"/>
        <v>555</v>
      </c>
      <c r="H45">
        <f t="shared" si="3"/>
        <v>450</v>
      </c>
      <c r="I45" s="12">
        <f t="shared" si="5"/>
        <v>71962</v>
      </c>
    </row>
    <row r="46" spans="1:9" x14ac:dyDescent="0.25">
      <c r="A46" s="7">
        <v>44756</v>
      </c>
      <c r="B46" s="8">
        <v>17</v>
      </c>
      <c r="C46">
        <f t="shared" si="6"/>
        <v>65</v>
      </c>
      <c r="D46">
        <f t="shared" si="6"/>
        <v>91</v>
      </c>
      <c r="E46">
        <f t="shared" si="6"/>
        <v>63</v>
      </c>
      <c r="F46">
        <f t="shared" si="1"/>
        <v>455</v>
      </c>
      <c r="G46">
        <f t="shared" si="2"/>
        <v>455</v>
      </c>
      <c r="H46">
        <f t="shared" si="3"/>
        <v>378</v>
      </c>
      <c r="I46" s="12">
        <f t="shared" si="5"/>
        <v>73250</v>
      </c>
    </row>
    <row r="47" spans="1:9" x14ac:dyDescent="0.25">
      <c r="A47" s="5">
        <v>44757</v>
      </c>
      <c r="B47" s="6">
        <v>18</v>
      </c>
      <c r="C47">
        <f t="shared" si="6"/>
        <v>69</v>
      </c>
      <c r="D47">
        <f t="shared" si="6"/>
        <v>95</v>
      </c>
      <c r="E47">
        <f t="shared" si="6"/>
        <v>65</v>
      </c>
      <c r="F47">
        <f t="shared" si="1"/>
        <v>483</v>
      </c>
      <c r="G47">
        <f t="shared" si="2"/>
        <v>475</v>
      </c>
      <c r="H47">
        <f t="shared" si="3"/>
        <v>390</v>
      </c>
      <c r="I47" s="12">
        <f t="shared" si="5"/>
        <v>74598</v>
      </c>
    </row>
    <row r="48" spans="1:9" x14ac:dyDescent="0.25">
      <c r="A48" s="7">
        <v>44758</v>
      </c>
      <c r="B48" s="8">
        <v>23</v>
      </c>
      <c r="C48">
        <f t="shared" si="6"/>
        <v>86</v>
      </c>
      <c r="D48">
        <f t="shared" si="6"/>
        <v>115</v>
      </c>
      <c r="E48">
        <f t="shared" si="6"/>
        <v>77</v>
      </c>
      <c r="F48">
        <f t="shared" si="1"/>
        <v>602</v>
      </c>
      <c r="G48">
        <f t="shared" si="2"/>
        <v>575</v>
      </c>
      <c r="H48">
        <f t="shared" si="3"/>
        <v>462</v>
      </c>
      <c r="I48" s="12">
        <f t="shared" si="5"/>
        <v>76237</v>
      </c>
    </row>
    <row r="49" spans="1:9" x14ac:dyDescent="0.25">
      <c r="A49" s="5">
        <v>44759</v>
      </c>
      <c r="B49" s="6">
        <v>23</v>
      </c>
      <c r="C49">
        <f t="shared" si="6"/>
        <v>86</v>
      </c>
      <c r="D49">
        <f t="shared" si="6"/>
        <v>115</v>
      </c>
      <c r="E49">
        <f t="shared" si="6"/>
        <v>77</v>
      </c>
      <c r="F49">
        <f t="shared" si="1"/>
        <v>602</v>
      </c>
      <c r="G49">
        <f t="shared" si="2"/>
        <v>575</v>
      </c>
      <c r="H49">
        <f t="shared" si="3"/>
        <v>462</v>
      </c>
      <c r="I49" s="12">
        <f t="shared" si="5"/>
        <v>77876</v>
      </c>
    </row>
    <row r="50" spans="1:9" x14ac:dyDescent="0.25">
      <c r="A50" s="7">
        <v>44760</v>
      </c>
      <c r="B50" s="8">
        <v>19</v>
      </c>
      <c r="C50">
        <f t="shared" si="6"/>
        <v>72</v>
      </c>
      <c r="D50">
        <f t="shared" si="6"/>
        <v>99</v>
      </c>
      <c r="E50">
        <f t="shared" si="6"/>
        <v>68</v>
      </c>
      <c r="F50">
        <f t="shared" si="1"/>
        <v>504</v>
      </c>
      <c r="G50">
        <f t="shared" si="2"/>
        <v>495</v>
      </c>
      <c r="H50">
        <f t="shared" si="3"/>
        <v>408</v>
      </c>
      <c r="I50" s="12">
        <f t="shared" si="5"/>
        <v>79283</v>
      </c>
    </row>
    <row r="51" spans="1:9" x14ac:dyDescent="0.25">
      <c r="A51" s="5">
        <v>44761</v>
      </c>
      <c r="B51" s="6">
        <v>21</v>
      </c>
      <c r="C51">
        <f t="shared" si="6"/>
        <v>79</v>
      </c>
      <c r="D51">
        <f t="shared" si="6"/>
        <v>107</v>
      </c>
      <c r="E51">
        <f t="shared" si="6"/>
        <v>72</v>
      </c>
      <c r="F51">
        <f t="shared" si="1"/>
        <v>553</v>
      </c>
      <c r="G51">
        <f t="shared" si="2"/>
        <v>535</v>
      </c>
      <c r="H51">
        <f t="shared" si="3"/>
        <v>432</v>
      </c>
      <c r="I51" s="12">
        <f t="shared" si="5"/>
        <v>80803</v>
      </c>
    </row>
    <row r="52" spans="1:9" x14ac:dyDescent="0.25">
      <c r="A52" s="7">
        <v>44762</v>
      </c>
      <c r="B52" s="8">
        <v>25</v>
      </c>
      <c r="C52">
        <f t="shared" si="6"/>
        <v>93</v>
      </c>
      <c r="D52">
        <f t="shared" si="6"/>
        <v>124</v>
      </c>
      <c r="E52">
        <f t="shared" si="6"/>
        <v>82</v>
      </c>
      <c r="F52">
        <f t="shared" si="1"/>
        <v>651</v>
      </c>
      <c r="G52">
        <f t="shared" si="2"/>
        <v>620</v>
      </c>
      <c r="H52">
        <f t="shared" si="3"/>
        <v>492</v>
      </c>
      <c r="I52" s="12">
        <f t="shared" si="5"/>
        <v>82566</v>
      </c>
    </row>
    <row r="53" spans="1:9" x14ac:dyDescent="0.25">
      <c r="A53" s="5">
        <v>44763</v>
      </c>
      <c r="B53" s="6">
        <v>28</v>
      </c>
      <c r="C53">
        <f t="shared" si="6"/>
        <v>103</v>
      </c>
      <c r="D53">
        <f t="shared" si="6"/>
        <v>136</v>
      </c>
      <c r="E53">
        <f t="shared" si="6"/>
        <v>89</v>
      </c>
      <c r="F53">
        <f t="shared" si="1"/>
        <v>721</v>
      </c>
      <c r="G53">
        <f t="shared" si="2"/>
        <v>680</v>
      </c>
      <c r="H53">
        <f t="shared" si="3"/>
        <v>534</v>
      </c>
      <c r="I53" s="12">
        <f t="shared" si="5"/>
        <v>84501</v>
      </c>
    </row>
    <row r="54" spans="1:9" x14ac:dyDescent="0.25">
      <c r="A54" s="7">
        <v>44764</v>
      </c>
      <c r="B54" s="8">
        <v>27</v>
      </c>
      <c r="C54">
        <f t="shared" si="6"/>
        <v>100</v>
      </c>
      <c r="D54">
        <f t="shared" si="6"/>
        <v>132</v>
      </c>
      <c r="E54">
        <f t="shared" si="6"/>
        <v>87</v>
      </c>
      <c r="F54">
        <f t="shared" si="1"/>
        <v>700</v>
      </c>
      <c r="G54">
        <f t="shared" si="2"/>
        <v>660</v>
      </c>
      <c r="H54">
        <f t="shared" si="3"/>
        <v>522</v>
      </c>
      <c r="I54" s="12">
        <f t="shared" si="5"/>
        <v>86383</v>
      </c>
    </row>
    <row r="55" spans="1:9" x14ac:dyDescent="0.25">
      <c r="A55" s="5">
        <v>44765</v>
      </c>
      <c r="B55" s="6">
        <v>23</v>
      </c>
      <c r="C55">
        <f t="shared" si="6"/>
        <v>86</v>
      </c>
      <c r="D55">
        <f t="shared" si="6"/>
        <v>115</v>
      </c>
      <c r="E55">
        <f t="shared" si="6"/>
        <v>77</v>
      </c>
      <c r="F55">
        <f t="shared" si="1"/>
        <v>602</v>
      </c>
      <c r="G55">
        <f t="shared" si="2"/>
        <v>575</v>
      </c>
      <c r="H55">
        <f t="shared" si="3"/>
        <v>462</v>
      </c>
      <c r="I55" s="12">
        <f t="shared" si="5"/>
        <v>88022</v>
      </c>
    </row>
    <row r="56" spans="1:9" x14ac:dyDescent="0.25">
      <c r="A56" s="7">
        <v>44766</v>
      </c>
      <c r="B56" s="8">
        <v>26</v>
      </c>
      <c r="C56">
        <f t="shared" si="6"/>
        <v>96</v>
      </c>
      <c r="D56">
        <f t="shared" si="6"/>
        <v>128</v>
      </c>
      <c r="E56">
        <f t="shared" si="6"/>
        <v>84</v>
      </c>
      <c r="F56">
        <f t="shared" si="1"/>
        <v>672</v>
      </c>
      <c r="G56">
        <f t="shared" si="2"/>
        <v>640</v>
      </c>
      <c r="H56">
        <f t="shared" si="3"/>
        <v>504</v>
      </c>
      <c r="I56" s="12">
        <f t="shared" si="5"/>
        <v>89838</v>
      </c>
    </row>
    <row r="57" spans="1:9" x14ac:dyDescent="0.25">
      <c r="A57" s="5">
        <v>44767</v>
      </c>
      <c r="B57" s="6">
        <v>29</v>
      </c>
      <c r="C57">
        <f t="shared" si="6"/>
        <v>107</v>
      </c>
      <c r="D57">
        <f t="shared" si="6"/>
        <v>140</v>
      </c>
      <c r="E57">
        <f t="shared" si="6"/>
        <v>91</v>
      </c>
      <c r="F57">
        <f t="shared" si="1"/>
        <v>749</v>
      </c>
      <c r="G57">
        <f t="shared" si="2"/>
        <v>700</v>
      </c>
      <c r="H57">
        <f t="shared" si="3"/>
        <v>546</v>
      </c>
      <c r="I57" s="12">
        <f t="shared" si="5"/>
        <v>91833</v>
      </c>
    </row>
    <row r="58" spans="1:9" x14ac:dyDescent="0.25">
      <c r="A58" s="7">
        <v>44768</v>
      </c>
      <c r="B58" s="8">
        <v>26</v>
      </c>
      <c r="C58">
        <f t="shared" si="6"/>
        <v>96</v>
      </c>
      <c r="D58">
        <f t="shared" si="6"/>
        <v>128</v>
      </c>
      <c r="E58">
        <f t="shared" si="6"/>
        <v>84</v>
      </c>
      <c r="F58">
        <f t="shared" si="1"/>
        <v>672</v>
      </c>
      <c r="G58">
        <f t="shared" si="2"/>
        <v>640</v>
      </c>
      <c r="H58">
        <f t="shared" si="3"/>
        <v>504</v>
      </c>
      <c r="I58" s="12">
        <f t="shared" si="5"/>
        <v>93649</v>
      </c>
    </row>
    <row r="59" spans="1:9" x14ac:dyDescent="0.25">
      <c r="A59" s="5">
        <v>44769</v>
      </c>
      <c r="B59" s="6">
        <v>27</v>
      </c>
      <c r="C59">
        <f t="shared" si="6"/>
        <v>100</v>
      </c>
      <c r="D59">
        <f t="shared" si="6"/>
        <v>132</v>
      </c>
      <c r="E59">
        <f t="shared" si="6"/>
        <v>87</v>
      </c>
      <c r="F59">
        <f t="shared" si="1"/>
        <v>700</v>
      </c>
      <c r="G59">
        <f t="shared" si="2"/>
        <v>660</v>
      </c>
      <c r="H59">
        <f t="shared" si="3"/>
        <v>522</v>
      </c>
      <c r="I59" s="12">
        <f t="shared" si="5"/>
        <v>95531</v>
      </c>
    </row>
    <row r="60" spans="1:9" x14ac:dyDescent="0.25">
      <c r="A60" s="7">
        <v>44770</v>
      </c>
      <c r="B60" s="8">
        <v>24</v>
      </c>
      <c r="C60">
        <f t="shared" si="6"/>
        <v>90</v>
      </c>
      <c r="D60">
        <f t="shared" si="6"/>
        <v>120</v>
      </c>
      <c r="E60">
        <f t="shared" si="6"/>
        <v>80</v>
      </c>
      <c r="F60">
        <f t="shared" si="1"/>
        <v>630</v>
      </c>
      <c r="G60">
        <f t="shared" si="2"/>
        <v>600</v>
      </c>
      <c r="H60">
        <f t="shared" si="3"/>
        <v>480</v>
      </c>
      <c r="I60" s="12">
        <f t="shared" si="5"/>
        <v>97241</v>
      </c>
    </row>
    <row r="61" spans="1:9" x14ac:dyDescent="0.25">
      <c r="A61" s="5">
        <v>44771</v>
      </c>
      <c r="B61" s="6">
        <v>26</v>
      </c>
      <c r="C61">
        <f t="shared" si="6"/>
        <v>96</v>
      </c>
      <c r="D61">
        <f t="shared" si="6"/>
        <v>128</v>
      </c>
      <c r="E61">
        <f t="shared" si="6"/>
        <v>84</v>
      </c>
      <c r="F61">
        <f t="shared" si="1"/>
        <v>672</v>
      </c>
      <c r="G61">
        <f t="shared" si="2"/>
        <v>640</v>
      </c>
      <c r="H61">
        <f t="shared" si="3"/>
        <v>504</v>
      </c>
      <c r="I61" s="12">
        <f t="shared" si="5"/>
        <v>99057</v>
      </c>
    </row>
    <row r="62" spans="1:9" x14ac:dyDescent="0.25">
      <c r="A62" s="7">
        <v>44772</v>
      </c>
      <c r="B62" s="8">
        <v>25</v>
      </c>
      <c r="C62">
        <f t="shared" si="6"/>
        <v>93</v>
      </c>
      <c r="D62">
        <f t="shared" si="6"/>
        <v>124</v>
      </c>
      <c r="E62">
        <f t="shared" si="6"/>
        <v>82</v>
      </c>
      <c r="F62">
        <f t="shared" si="1"/>
        <v>651</v>
      </c>
      <c r="G62">
        <f t="shared" si="2"/>
        <v>620</v>
      </c>
      <c r="H62">
        <f t="shared" si="3"/>
        <v>492</v>
      </c>
      <c r="I62" s="12">
        <f t="shared" si="5"/>
        <v>100820</v>
      </c>
    </row>
    <row r="63" spans="1:9" x14ac:dyDescent="0.25">
      <c r="A63" s="5">
        <v>44773</v>
      </c>
      <c r="B63" s="6">
        <v>24</v>
      </c>
      <c r="C63">
        <f t="shared" si="6"/>
        <v>90</v>
      </c>
      <c r="D63">
        <f t="shared" si="6"/>
        <v>120</v>
      </c>
      <c r="E63">
        <f t="shared" si="6"/>
        <v>80</v>
      </c>
      <c r="F63">
        <f t="shared" si="1"/>
        <v>630</v>
      </c>
      <c r="G63">
        <f t="shared" si="2"/>
        <v>600</v>
      </c>
      <c r="H63">
        <f t="shared" si="3"/>
        <v>480</v>
      </c>
      <c r="I63" s="12">
        <f t="shared" si="5"/>
        <v>102530</v>
      </c>
    </row>
    <row r="64" spans="1:9" x14ac:dyDescent="0.25">
      <c r="A64" s="7">
        <v>44774</v>
      </c>
      <c r="B64" s="8">
        <v>22</v>
      </c>
      <c r="C64">
        <f t="shared" si="6"/>
        <v>83</v>
      </c>
      <c r="D64">
        <f t="shared" si="6"/>
        <v>111</v>
      </c>
      <c r="E64">
        <f t="shared" si="6"/>
        <v>75</v>
      </c>
      <c r="F64">
        <f t="shared" si="1"/>
        <v>581</v>
      </c>
      <c r="G64">
        <f t="shared" si="2"/>
        <v>555</v>
      </c>
      <c r="H64">
        <f t="shared" si="3"/>
        <v>450</v>
      </c>
      <c r="I64" s="12">
        <f t="shared" si="5"/>
        <v>104116</v>
      </c>
    </row>
    <row r="65" spans="1:9" x14ac:dyDescent="0.25">
      <c r="A65" s="5">
        <v>44775</v>
      </c>
      <c r="B65" s="6">
        <v>19</v>
      </c>
      <c r="C65">
        <f t="shared" si="6"/>
        <v>72</v>
      </c>
      <c r="D65">
        <f t="shared" si="6"/>
        <v>99</v>
      </c>
      <c r="E65">
        <f t="shared" si="6"/>
        <v>68</v>
      </c>
      <c r="F65">
        <f t="shared" si="1"/>
        <v>504</v>
      </c>
      <c r="G65">
        <f t="shared" si="2"/>
        <v>495</v>
      </c>
      <c r="H65">
        <f t="shared" si="3"/>
        <v>408</v>
      </c>
      <c r="I65" s="12">
        <f t="shared" si="5"/>
        <v>105523</v>
      </c>
    </row>
    <row r="66" spans="1:9" x14ac:dyDescent="0.25">
      <c r="A66" s="7">
        <v>44776</v>
      </c>
      <c r="B66" s="8">
        <v>21</v>
      </c>
      <c r="C66">
        <f t="shared" si="6"/>
        <v>79</v>
      </c>
      <c r="D66">
        <f t="shared" si="6"/>
        <v>107</v>
      </c>
      <c r="E66">
        <f t="shared" si="6"/>
        <v>72</v>
      </c>
      <c r="F66">
        <f t="shared" si="1"/>
        <v>553</v>
      </c>
      <c r="G66">
        <f t="shared" si="2"/>
        <v>535</v>
      </c>
      <c r="H66">
        <f t="shared" si="3"/>
        <v>432</v>
      </c>
      <c r="I66" s="12">
        <f t="shared" si="5"/>
        <v>107043</v>
      </c>
    </row>
    <row r="67" spans="1:9" x14ac:dyDescent="0.25">
      <c r="A67" s="5">
        <v>44777</v>
      </c>
      <c r="B67" s="6">
        <v>26</v>
      </c>
      <c r="C67">
        <f t="shared" si="6"/>
        <v>96</v>
      </c>
      <c r="D67">
        <f t="shared" si="6"/>
        <v>128</v>
      </c>
      <c r="E67">
        <f t="shared" si="6"/>
        <v>84</v>
      </c>
      <c r="F67">
        <f t="shared" si="1"/>
        <v>672</v>
      </c>
      <c r="G67">
        <f t="shared" si="2"/>
        <v>640</v>
      </c>
      <c r="H67">
        <f t="shared" si="3"/>
        <v>504</v>
      </c>
      <c r="I67" s="12">
        <f t="shared" si="5"/>
        <v>108859</v>
      </c>
    </row>
    <row r="68" spans="1:9" x14ac:dyDescent="0.25">
      <c r="A68" s="7">
        <v>44778</v>
      </c>
      <c r="B68" s="8">
        <v>19</v>
      </c>
      <c r="C68">
        <f t="shared" si="6"/>
        <v>72</v>
      </c>
      <c r="D68">
        <f t="shared" si="6"/>
        <v>99</v>
      </c>
      <c r="E68">
        <f t="shared" si="6"/>
        <v>68</v>
      </c>
      <c r="F68">
        <f t="shared" ref="F68:F94" si="7">C68*$F$1</f>
        <v>504</v>
      </c>
      <c r="G68">
        <f t="shared" ref="G68:G94" si="8">D68*$G$1</f>
        <v>495</v>
      </c>
      <c r="H68">
        <f t="shared" ref="H68:H94" si="9">E68*$H$1</f>
        <v>408</v>
      </c>
      <c r="I68" s="12">
        <f t="shared" si="5"/>
        <v>110266</v>
      </c>
    </row>
    <row r="69" spans="1:9" x14ac:dyDescent="0.25">
      <c r="A69" s="5">
        <v>44779</v>
      </c>
      <c r="B69" s="6">
        <v>21</v>
      </c>
      <c r="C69">
        <f t="shared" ref="C69:E94" si="10">INT(C$3*(1+C$1*(($B69-24)/2)))</f>
        <v>79</v>
      </c>
      <c r="D69">
        <f t="shared" si="10"/>
        <v>107</v>
      </c>
      <c r="E69">
        <f t="shared" si="10"/>
        <v>72</v>
      </c>
      <c r="F69">
        <f t="shared" si="7"/>
        <v>553</v>
      </c>
      <c r="G69">
        <f t="shared" si="8"/>
        <v>535</v>
      </c>
      <c r="H69">
        <f t="shared" si="9"/>
        <v>432</v>
      </c>
      <c r="I69" s="12">
        <f t="shared" ref="I69:I94" si="11">SUM(F69:H69)+I68</f>
        <v>111786</v>
      </c>
    </row>
    <row r="70" spans="1:9" x14ac:dyDescent="0.25">
      <c r="A70" s="7">
        <v>44780</v>
      </c>
      <c r="B70" s="8">
        <v>23</v>
      </c>
      <c r="C70">
        <f t="shared" si="10"/>
        <v>86</v>
      </c>
      <c r="D70">
        <f t="shared" si="10"/>
        <v>115</v>
      </c>
      <c r="E70">
        <f t="shared" si="10"/>
        <v>77</v>
      </c>
      <c r="F70">
        <f t="shared" si="7"/>
        <v>602</v>
      </c>
      <c r="G70">
        <f t="shared" si="8"/>
        <v>575</v>
      </c>
      <c r="H70">
        <f t="shared" si="9"/>
        <v>462</v>
      </c>
      <c r="I70" s="12">
        <f t="shared" si="11"/>
        <v>113425</v>
      </c>
    </row>
    <row r="71" spans="1:9" x14ac:dyDescent="0.25">
      <c r="A71" s="5">
        <v>44781</v>
      </c>
      <c r="B71" s="6">
        <v>27</v>
      </c>
      <c r="C71">
        <f t="shared" si="10"/>
        <v>100</v>
      </c>
      <c r="D71">
        <f t="shared" si="10"/>
        <v>132</v>
      </c>
      <c r="E71">
        <f t="shared" si="10"/>
        <v>87</v>
      </c>
      <c r="F71">
        <f t="shared" si="7"/>
        <v>700</v>
      </c>
      <c r="G71">
        <f t="shared" si="8"/>
        <v>660</v>
      </c>
      <c r="H71">
        <f t="shared" si="9"/>
        <v>522</v>
      </c>
      <c r="I71" s="12">
        <f t="shared" si="11"/>
        <v>115307</v>
      </c>
    </row>
    <row r="72" spans="1:9" x14ac:dyDescent="0.25">
      <c r="A72" s="7">
        <v>44782</v>
      </c>
      <c r="B72" s="8">
        <v>20</v>
      </c>
      <c r="C72">
        <f t="shared" si="10"/>
        <v>76</v>
      </c>
      <c r="D72">
        <f t="shared" si="10"/>
        <v>103</v>
      </c>
      <c r="E72">
        <f t="shared" si="10"/>
        <v>70</v>
      </c>
      <c r="F72">
        <f t="shared" si="7"/>
        <v>532</v>
      </c>
      <c r="G72">
        <f t="shared" si="8"/>
        <v>515</v>
      </c>
      <c r="H72">
        <f t="shared" si="9"/>
        <v>420</v>
      </c>
      <c r="I72" s="12">
        <f t="shared" si="11"/>
        <v>116774</v>
      </c>
    </row>
    <row r="73" spans="1:9" x14ac:dyDescent="0.25">
      <c r="A73" s="5">
        <v>44783</v>
      </c>
      <c r="B73" s="6">
        <v>18</v>
      </c>
      <c r="C73">
        <f t="shared" si="10"/>
        <v>69</v>
      </c>
      <c r="D73">
        <f t="shared" si="10"/>
        <v>95</v>
      </c>
      <c r="E73">
        <f t="shared" si="10"/>
        <v>65</v>
      </c>
      <c r="F73">
        <f t="shared" si="7"/>
        <v>483</v>
      </c>
      <c r="G73">
        <f t="shared" si="8"/>
        <v>475</v>
      </c>
      <c r="H73">
        <f t="shared" si="9"/>
        <v>390</v>
      </c>
      <c r="I73" s="12">
        <f t="shared" si="11"/>
        <v>118122</v>
      </c>
    </row>
    <row r="74" spans="1:9" x14ac:dyDescent="0.25">
      <c r="A74" s="7">
        <v>44784</v>
      </c>
      <c r="B74" s="8">
        <v>17</v>
      </c>
      <c r="C74">
        <f t="shared" si="10"/>
        <v>65</v>
      </c>
      <c r="D74">
        <f t="shared" si="10"/>
        <v>91</v>
      </c>
      <c r="E74">
        <f t="shared" si="10"/>
        <v>63</v>
      </c>
      <c r="F74">
        <f t="shared" si="7"/>
        <v>455</v>
      </c>
      <c r="G74">
        <f t="shared" si="8"/>
        <v>455</v>
      </c>
      <c r="H74">
        <f t="shared" si="9"/>
        <v>378</v>
      </c>
      <c r="I74" s="12">
        <f t="shared" si="11"/>
        <v>119410</v>
      </c>
    </row>
    <row r="75" spans="1:9" x14ac:dyDescent="0.25">
      <c r="A75" s="5">
        <v>44785</v>
      </c>
      <c r="B75" s="6">
        <v>19</v>
      </c>
      <c r="C75">
        <f t="shared" si="10"/>
        <v>72</v>
      </c>
      <c r="D75">
        <f t="shared" si="10"/>
        <v>99</v>
      </c>
      <c r="E75">
        <f t="shared" si="10"/>
        <v>68</v>
      </c>
      <c r="F75">
        <f t="shared" si="7"/>
        <v>504</v>
      </c>
      <c r="G75">
        <f t="shared" si="8"/>
        <v>495</v>
      </c>
      <c r="H75">
        <f t="shared" si="9"/>
        <v>408</v>
      </c>
      <c r="I75" s="12">
        <f t="shared" si="11"/>
        <v>120817</v>
      </c>
    </row>
    <row r="76" spans="1:9" x14ac:dyDescent="0.25">
      <c r="A76" s="7">
        <v>44786</v>
      </c>
      <c r="B76" s="8">
        <v>26</v>
      </c>
      <c r="C76">
        <f t="shared" si="10"/>
        <v>96</v>
      </c>
      <c r="D76">
        <f t="shared" si="10"/>
        <v>128</v>
      </c>
      <c r="E76">
        <f t="shared" si="10"/>
        <v>84</v>
      </c>
      <c r="F76">
        <f t="shared" si="7"/>
        <v>672</v>
      </c>
      <c r="G76">
        <f t="shared" si="8"/>
        <v>640</v>
      </c>
      <c r="H76">
        <f t="shared" si="9"/>
        <v>504</v>
      </c>
      <c r="I76" s="12">
        <f t="shared" si="11"/>
        <v>122633</v>
      </c>
    </row>
    <row r="77" spans="1:9" x14ac:dyDescent="0.25">
      <c r="A77" s="5">
        <v>44787</v>
      </c>
      <c r="B77" s="6">
        <v>21</v>
      </c>
      <c r="C77">
        <f t="shared" si="10"/>
        <v>79</v>
      </c>
      <c r="D77">
        <f t="shared" si="10"/>
        <v>107</v>
      </c>
      <c r="E77">
        <f t="shared" si="10"/>
        <v>72</v>
      </c>
      <c r="F77">
        <f t="shared" si="7"/>
        <v>553</v>
      </c>
      <c r="G77">
        <f t="shared" si="8"/>
        <v>535</v>
      </c>
      <c r="H77">
        <f t="shared" si="9"/>
        <v>432</v>
      </c>
      <c r="I77" s="12">
        <f t="shared" si="11"/>
        <v>124153</v>
      </c>
    </row>
    <row r="78" spans="1:9" x14ac:dyDescent="0.25">
      <c r="A78" s="7">
        <v>44788</v>
      </c>
      <c r="B78" s="8">
        <v>19</v>
      </c>
      <c r="C78">
        <f t="shared" si="10"/>
        <v>72</v>
      </c>
      <c r="D78">
        <f t="shared" si="10"/>
        <v>99</v>
      </c>
      <c r="E78">
        <f t="shared" si="10"/>
        <v>68</v>
      </c>
      <c r="F78">
        <f t="shared" si="7"/>
        <v>504</v>
      </c>
      <c r="G78">
        <f t="shared" si="8"/>
        <v>495</v>
      </c>
      <c r="H78">
        <f t="shared" si="9"/>
        <v>408</v>
      </c>
      <c r="I78" s="12">
        <f t="shared" si="11"/>
        <v>125560</v>
      </c>
    </row>
    <row r="79" spans="1:9" x14ac:dyDescent="0.25">
      <c r="A79" s="5">
        <v>44789</v>
      </c>
      <c r="B79" s="6">
        <v>19</v>
      </c>
      <c r="C79">
        <f t="shared" si="10"/>
        <v>72</v>
      </c>
      <c r="D79">
        <f t="shared" si="10"/>
        <v>99</v>
      </c>
      <c r="E79">
        <f t="shared" si="10"/>
        <v>68</v>
      </c>
      <c r="F79">
        <f t="shared" si="7"/>
        <v>504</v>
      </c>
      <c r="G79">
        <f t="shared" si="8"/>
        <v>495</v>
      </c>
      <c r="H79">
        <f t="shared" si="9"/>
        <v>408</v>
      </c>
      <c r="I79" s="12">
        <f t="shared" si="11"/>
        <v>126967</v>
      </c>
    </row>
    <row r="80" spans="1:9" x14ac:dyDescent="0.25">
      <c r="A80" s="7">
        <v>44790</v>
      </c>
      <c r="B80" s="8">
        <v>21</v>
      </c>
      <c r="C80">
        <f t="shared" si="10"/>
        <v>79</v>
      </c>
      <c r="D80">
        <f t="shared" si="10"/>
        <v>107</v>
      </c>
      <c r="E80">
        <f t="shared" si="10"/>
        <v>72</v>
      </c>
      <c r="F80">
        <f t="shared" si="7"/>
        <v>553</v>
      </c>
      <c r="G80">
        <f t="shared" si="8"/>
        <v>535</v>
      </c>
      <c r="H80">
        <f t="shared" si="9"/>
        <v>432</v>
      </c>
      <c r="I80" s="12">
        <f t="shared" si="11"/>
        <v>128487</v>
      </c>
    </row>
    <row r="81" spans="1:9" x14ac:dyDescent="0.25">
      <c r="A81" s="5">
        <v>44791</v>
      </c>
      <c r="B81" s="6">
        <v>21</v>
      </c>
      <c r="C81">
        <f t="shared" si="10"/>
        <v>79</v>
      </c>
      <c r="D81">
        <f t="shared" si="10"/>
        <v>107</v>
      </c>
      <c r="E81">
        <f t="shared" si="10"/>
        <v>72</v>
      </c>
      <c r="F81">
        <f t="shared" si="7"/>
        <v>553</v>
      </c>
      <c r="G81">
        <f t="shared" si="8"/>
        <v>535</v>
      </c>
      <c r="H81">
        <f t="shared" si="9"/>
        <v>432</v>
      </c>
      <c r="I81" s="12">
        <f t="shared" si="11"/>
        <v>130007</v>
      </c>
    </row>
    <row r="82" spans="1:9" x14ac:dyDescent="0.25">
      <c r="A82" s="7">
        <v>44792</v>
      </c>
      <c r="B82" s="8">
        <v>24</v>
      </c>
      <c r="C82">
        <f t="shared" si="10"/>
        <v>90</v>
      </c>
      <c r="D82">
        <f t="shared" si="10"/>
        <v>120</v>
      </c>
      <c r="E82">
        <f t="shared" si="10"/>
        <v>80</v>
      </c>
      <c r="F82">
        <f t="shared" si="7"/>
        <v>630</v>
      </c>
      <c r="G82">
        <f t="shared" si="8"/>
        <v>600</v>
      </c>
      <c r="H82">
        <f t="shared" si="9"/>
        <v>480</v>
      </c>
      <c r="I82" s="12">
        <f t="shared" si="11"/>
        <v>131717</v>
      </c>
    </row>
    <row r="83" spans="1:9" x14ac:dyDescent="0.25">
      <c r="A83" s="5">
        <v>44793</v>
      </c>
      <c r="B83" s="6">
        <v>26</v>
      </c>
      <c r="C83">
        <f t="shared" si="10"/>
        <v>96</v>
      </c>
      <c r="D83">
        <f t="shared" si="10"/>
        <v>128</v>
      </c>
      <c r="E83">
        <f t="shared" si="10"/>
        <v>84</v>
      </c>
      <c r="F83">
        <f t="shared" si="7"/>
        <v>672</v>
      </c>
      <c r="G83">
        <f t="shared" si="8"/>
        <v>640</v>
      </c>
      <c r="H83">
        <f t="shared" si="9"/>
        <v>504</v>
      </c>
      <c r="I83" s="12">
        <f t="shared" si="11"/>
        <v>133533</v>
      </c>
    </row>
    <row r="84" spans="1:9" x14ac:dyDescent="0.25">
      <c r="A84" s="7">
        <v>44794</v>
      </c>
      <c r="B84" s="8">
        <v>23</v>
      </c>
      <c r="C84">
        <f t="shared" si="10"/>
        <v>86</v>
      </c>
      <c r="D84">
        <f t="shared" si="10"/>
        <v>115</v>
      </c>
      <c r="E84">
        <f t="shared" si="10"/>
        <v>77</v>
      </c>
      <c r="F84">
        <f t="shared" si="7"/>
        <v>602</v>
      </c>
      <c r="G84">
        <f t="shared" si="8"/>
        <v>575</v>
      </c>
      <c r="H84">
        <f t="shared" si="9"/>
        <v>462</v>
      </c>
      <c r="I84" s="12">
        <f t="shared" si="11"/>
        <v>135172</v>
      </c>
    </row>
    <row r="85" spans="1:9" x14ac:dyDescent="0.25">
      <c r="A85" s="5">
        <v>44795</v>
      </c>
      <c r="B85" s="6">
        <v>23</v>
      </c>
      <c r="C85">
        <f t="shared" si="10"/>
        <v>86</v>
      </c>
      <c r="D85">
        <f t="shared" si="10"/>
        <v>115</v>
      </c>
      <c r="E85">
        <f t="shared" si="10"/>
        <v>77</v>
      </c>
      <c r="F85">
        <f t="shared" si="7"/>
        <v>602</v>
      </c>
      <c r="G85">
        <f t="shared" si="8"/>
        <v>575</v>
      </c>
      <c r="H85">
        <f t="shared" si="9"/>
        <v>462</v>
      </c>
      <c r="I85" s="12">
        <f t="shared" si="11"/>
        <v>136811</v>
      </c>
    </row>
    <row r="86" spans="1:9" x14ac:dyDescent="0.25">
      <c r="A86" s="7">
        <v>44796</v>
      </c>
      <c r="B86" s="8">
        <v>24</v>
      </c>
      <c r="C86">
        <f t="shared" si="10"/>
        <v>90</v>
      </c>
      <c r="D86">
        <f t="shared" si="10"/>
        <v>120</v>
      </c>
      <c r="E86">
        <f t="shared" si="10"/>
        <v>80</v>
      </c>
      <c r="F86">
        <f t="shared" si="7"/>
        <v>630</v>
      </c>
      <c r="G86">
        <f t="shared" si="8"/>
        <v>600</v>
      </c>
      <c r="H86">
        <f t="shared" si="9"/>
        <v>480</v>
      </c>
      <c r="I86" s="12">
        <f t="shared" si="11"/>
        <v>138521</v>
      </c>
    </row>
    <row r="87" spans="1:9" x14ac:dyDescent="0.25">
      <c r="A87" s="5">
        <v>44797</v>
      </c>
      <c r="B87" s="6">
        <v>26</v>
      </c>
      <c r="C87">
        <f t="shared" si="10"/>
        <v>96</v>
      </c>
      <c r="D87">
        <f t="shared" si="10"/>
        <v>128</v>
      </c>
      <c r="E87">
        <f t="shared" si="10"/>
        <v>84</v>
      </c>
      <c r="F87">
        <f t="shared" si="7"/>
        <v>672</v>
      </c>
      <c r="G87">
        <f t="shared" si="8"/>
        <v>640</v>
      </c>
      <c r="H87">
        <f t="shared" si="9"/>
        <v>504</v>
      </c>
      <c r="I87" s="12">
        <f t="shared" si="11"/>
        <v>140337</v>
      </c>
    </row>
    <row r="88" spans="1:9" x14ac:dyDescent="0.25">
      <c r="A88" s="7">
        <v>44798</v>
      </c>
      <c r="B88" s="8">
        <v>28</v>
      </c>
      <c r="C88">
        <f t="shared" si="10"/>
        <v>103</v>
      </c>
      <c r="D88">
        <f t="shared" si="10"/>
        <v>136</v>
      </c>
      <c r="E88">
        <f t="shared" si="10"/>
        <v>89</v>
      </c>
      <c r="F88">
        <f t="shared" si="7"/>
        <v>721</v>
      </c>
      <c r="G88">
        <f t="shared" si="8"/>
        <v>680</v>
      </c>
      <c r="H88">
        <f t="shared" si="9"/>
        <v>534</v>
      </c>
      <c r="I88" s="12">
        <f t="shared" si="11"/>
        <v>142272</v>
      </c>
    </row>
    <row r="89" spans="1:9" x14ac:dyDescent="0.25">
      <c r="A89" s="5">
        <v>44799</v>
      </c>
      <c r="B89" s="6">
        <v>32</v>
      </c>
      <c r="C89">
        <f t="shared" si="10"/>
        <v>117</v>
      </c>
      <c r="D89">
        <f t="shared" si="10"/>
        <v>153</v>
      </c>
      <c r="E89">
        <f t="shared" si="10"/>
        <v>98</v>
      </c>
      <c r="F89">
        <f t="shared" si="7"/>
        <v>819</v>
      </c>
      <c r="G89">
        <f t="shared" si="8"/>
        <v>765</v>
      </c>
      <c r="H89">
        <f t="shared" si="9"/>
        <v>588</v>
      </c>
      <c r="I89" s="12">
        <f t="shared" si="11"/>
        <v>144444</v>
      </c>
    </row>
    <row r="90" spans="1:9" x14ac:dyDescent="0.25">
      <c r="A90" s="7">
        <v>44800</v>
      </c>
      <c r="B90" s="8">
        <v>26</v>
      </c>
      <c r="C90">
        <f t="shared" si="10"/>
        <v>96</v>
      </c>
      <c r="D90">
        <f t="shared" si="10"/>
        <v>128</v>
      </c>
      <c r="E90">
        <f t="shared" si="10"/>
        <v>84</v>
      </c>
      <c r="F90">
        <f t="shared" si="7"/>
        <v>672</v>
      </c>
      <c r="G90">
        <f t="shared" si="8"/>
        <v>640</v>
      </c>
      <c r="H90">
        <f t="shared" si="9"/>
        <v>504</v>
      </c>
      <c r="I90" s="12">
        <f t="shared" si="11"/>
        <v>146260</v>
      </c>
    </row>
    <row r="91" spans="1:9" x14ac:dyDescent="0.25">
      <c r="A91" s="5">
        <v>44801</v>
      </c>
      <c r="B91" s="6">
        <v>32</v>
      </c>
      <c r="C91">
        <f t="shared" si="10"/>
        <v>117</v>
      </c>
      <c r="D91">
        <f t="shared" si="10"/>
        <v>153</v>
      </c>
      <c r="E91">
        <f t="shared" si="10"/>
        <v>98</v>
      </c>
      <c r="F91">
        <f t="shared" si="7"/>
        <v>819</v>
      </c>
      <c r="G91">
        <f t="shared" si="8"/>
        <v>765</v>
      </c>
      <c r="H91">
        <f t="shared" si="9"/>
        <v>588</v>
      </c>
      <c r="I91" s="12">
        <f t="shared" si="11"/>
        <v>148432</v>
      </c>
    </row>
    <row r="92" spans="1:9" x14ac:dyDescent="0.25">
      <c r="A92" s="7">
        <v>44802</v>
      </c>
      <c r="B92" s="8">
        <v>23</v>
      </c>
      <c r="C92">
        <f t="shared" si="10"/>
        <v>86</v>
      </c>
      <c r="D92">
        <f t="shared" si="10"/>
        <v>115</v>
      </c>
      <c r="E92">
        <f t="shared" si="10"/>
        <v>77</v>
      </c>
      <c r="F92">
        <f t="shared" si="7"/>
        <v>602</v>
      </c>
      <c r="G92">
        <f t="shared" si="8"/>
        <v>575</v>
      </c>
      <c r="H92">
        <f t="shared" si="9"/>
        <v>462</v>
      </c>
      <c r="I92" s="12">
        <f t="shared" si="11"/>
        <v>150071</v>
      </c>
    </row>
    <row r="93" spans="1:9" x14ac:dyDescent="0.25">
      <c r="A93" s="5">
        <v>44803</v>
      </c>
      <c r="B93" s="6">
        <v>22</v>
      </c>
      <c r="C93">
        <f t="shared" si="10"/>
        <v>83</v>
      </c>
      <c r="D93">
        <f t="shared" si="10"/>
        <v>111</v>
      </c>
      <c r="E93">
        <f t="shared" si="10"/>
        <v>75</v>
      </c>
      <c r="F93">
        <f t="shared" si="7"/>
        <v>581</v>
      </c>
      <c r="G93">
        <f t="shared" si="8"/>
        <v>555</v>
      </c>
      <c r="H93">
        <f t="shared" si="9"/>
        <v>450</v>
      </c>
      <c r="I93" s="12">
        <f t="shared" si="11"/>
        <v>151657</v>
      </c>
    </row>
    <row r="94" spans="1:9" x14ac:dyDescent="0.25">
      <c r="A94" s="9">
        <v>44804</v>
      </c>
      <c r="B94" s="2">
        <v>25</v>
      </c>
      <c r="C94">
        <f t="shared" si="10"/>
        <v>93</v>
      </c>
      <c r="D94">
        <f t="shared" si="10"/>
        <v>124</v>
      </c>
      <c r="E94">
        <f t="shared" si="10"/>
        <v>82</v>
      </c>
      <c r="F94">
        <f t="shared" si="7"/>
        <v>651</v>
      </c>
      <c r="G94">
        <f t="shared" si="8"/>
        <v>620</v>
      </c>
      <c r="H94">
        <f t="shared" si="9"/>
        <v>492</v>
      </c>
      <c r="I94" s="12">
        <f t="shared" si="11"/>
        <v>153420</v>
      </c>
    </row>
  </sheetData>
  <conditionalFormatting sqref="I3:I94">
    <cfRule type="cellIs" dxfId="4" priority="2" operator="greaterThan">
      <formula>45000</formula>
    </cfRule>
  </conditionalFormatting>
  <conditionalFormatting sqref="L2">
    <cfRule type="cellIs" dxfId="0" priority="1" operator="greaterThan">
      <formula>45000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574C-5BAF-4FCF-9354-41BDA9BBB436}">
  <dimension ref="A1:N124"/>
  <sheetViews>
    <sheetView tabSelected="1" zoomScale="145" zoomScaleNormal="145" workbookViewId="0">
      <selection activeCell="N110" sqref="N110"/>
    </sheetView>
  </sheetViews>
  <sheetFormatPr defaultRowHeight="15" x14ac:dyDescent="0.25"/>
  <cols>
    <col min="1" max="1" width="11.140625" bestFit="1" customWidth="1"/>
    <col min="2" max="2" width="12.140625" bestFit="1" customWidth="1"/>
    <col min="3" max="3" width="8.85546875" bestFit="1" customWidth="1"/>
    <col min="4" max="4" width="4.85546875" customWidth="1"/>
    <col min="5" max="5" width="10" bestFit="1" customWidth="1"/>
    <col min="7" max="7" width="16.7109375" bestFit="1" customWidth="1"/>
    <col min="8" max="8" width="17.7109375" bestFit="1" customWidth="1"/>
    <col min="9" max="9" width="13.5703125" bestFit="1" customWidth="1"/>
    <col min="10" max="10" width="6.7109375" bestFit="1" customWidth="1"/>
    <col min="11" max="11" width="14.28515625" bestFit="1" customWidth="1"/>
    <col min="13" max="13" width="10.5703125" bestFit="1" customWidth="1"/>
  </cols>
  <sheetData>
    <row r="1" spans="1:13" x14ac:dyDescent="0.25">
      <c r="B1" t="s">
        <v>6</v>
      </c>
      <c r="C1" s="10">
        <v>7.6923076923076927E-2</v>
      </c>
      <c r="D1" s="10">
        <v>6.8965517241379309E-2</v>
      </c>
      <c r="E1" s="10">
        <v>5.8823529411764705E-2</v>
      </c>
      <c r="F1" s="10">
        <f>7+M7</f>
        <v>8.34</v>
      </c>
      <c r="G1" s="10">
        <f>5+M7</f>
        <v>6.34</v>
      </c>
      <c r="H1" s="10">
        <f>6+M7</f>
        <v>7.34</v>
      </c>
    </row>
    <row r="2" spans="1:13" x14ac:dyDescent="0.25">
      <c r="A2" s="3" t="s">
        <v>0</v>
      </c>
      <c r="B2" s="4" t="s">
        <v>1</v>
      </c>
      <c r="C2" t="s">
        <v>3</v>
      </c>
      <c r="D2" t="s">
        <v>5</v>
      </c>
      <c r="E2" t="s">
        <v>4</v>
      </c>
      <c r="I2" t="s">
        <v>16</v>
      </c>
      <c r="K2" s="5">
        <v>44739</v>
      </c>
    </row>
    <row r="3" spans="1:13" x14ac:dyDescent="0.25">
      <c r="A3" s="5">
        <v>44713</v>
      </c>
      <c r="B3" s="6">
        <v>24</v>
      </c>
      <c r="C3">
        <v>90</v>
      </c>
      <c r="D3">
        <v>120</v>
      </c>
      <c r="E3">
        <v>80</v>
      </c>
      <c r="F3">
        <f>C3*$F$1</f>
        <v>750.6</v>
      </c>
      <c r="G3">
        <f>D3*$G$1</f>
        <v>760.8</v>
      </c>
      <c r="H3">
        <f>E3*$H$1</f>
        <v>587.20000000000005</v>
      </c>
      <c r="I3">
        <f>SUM(F3:H3)</f>
        <v>2098.6000000000004</v>
      </c>
    </row>
    <row r="4" spans="1:13" x14ac:dyDescent="0.25">
      <c r="A4" s="7">
        <v>44714</v>
      </c>
      <c r="B4" s="8">
        <v>25</v>
      </c>
      <c r="C4">
        <f>INT(C$3*(1+C$1*(($B4-24)/2)))</f>
        <v>93</v>
      </c>
      <c r="D4">
        <f t="shared" ref="D4:E19" si="0">INT(D$3*(1+D$1*(($B4-24)/2)))</f>
        <v>124</v>
      </c>
      <c r="E4">
        <f t="shared" si="0"/>
        <v>82</v>
      </c>
      <c r="F4">
        <f t="shared" ref="F4:F67" si="1">C4*$F$1</f>
        <v>775.62</v>
      </c>
      <c r="G4">
        <f t="shared" ref="G4:G67" si="2">D4*$G$1</f>
        <v>786.16</v>
      </c>
      <c r="H4">
        <f t="shared" ref="H4:H67" si="3">E4*$H$1</f>
        <v>601.88</v>
      </c>
      <c r="I4" s="12">
        <f>SUM(F4:H4)+I3</f>
        <v>4262.26</v>
      </c>
      <c r="J4" s="12"/>
      <c r="K4" s="12"/>
      <c r="L4" s="12" t="s">
        <v>17</v>
      </c>
      <c r="M4" s="5">
        <v>44827</v>
      </c>
    </row>
    <row r="5" spans="1:13" x14ac:dyDescent="0.25">
      <c r="A5" s="5">
        <v>44715</v>
      </c>
      <c r="B5" s="6">
        <v>27</v>
      </c>
      <c r="C5">
        <f t="shared" ref="C5:E36" si="4">INT(C$3*(1+C$1*(($B5-24)/2)))</f>
        <v>100</v>
      </c>
      <c r="D5">
        <f t="shared" si="0"/>
        <v>132</v>
      </c>
      <c r="E5">
        <f t="shared" si="0"/>
        <v>87</v>
      </c>
      <c r="F5">
        <f t="shared" si="1"/>
        <v>834</v>
      </c>
      <c r="G5">
        <f t="shared" si="2"/>
        <v>836.88</v>
      </c>
      <c r="H5">
        <f t="shared" si="3"/>
        <v>638.58000000000004</v>
      </c>
      <c r="I5" s="12">
        <f t="shared" ref="I5:I68" si="5">SUM(F5:H5)+I4</f>
        <v>6571.72</v>
      </c>
      <c r="J5" s="12"/>
      <c r="K5" s="12"/>
      <c r="L5" s="12"/>
      <c r="M5" s="12"/>
    </row>
    <row r="6" spans="1:13" x14ac:dyDescent="0.25">
      <c r="A6" s="7">
        <v>44716</v>
      </c>
      <c r="B6" s="8">
        <v>27</v>
      </c>
      <c r="C6">
        <f t="shared" si="4"/>
        <v>100</v>
      </c>
      <c r="D6">
        <f t="shared" si="0"/>
        <v>132</v>
      </c>
      <c r="E6">
        <f t="shared" si="0"/>
        <v>87</v>
      </c>
      <c r="F6">
        <f t="shared" si="1"/>
        <v>834</v>
      </c>
      <c r="G6">
        <f t="shared" si="2"/>
        <v>836.88</v>
      </c>
      <c r="H6">
        <f t="shared" si="3"/>
        <v>638.58000000000004</v>
      </c>
      <c r="I6" s="12">
        <f t="shared" si="5"/>
        <v>8881.18</v>
      </c>
      <c r="J6" s="12"/>
      <c r="K6" s="12"/>
      <c r="L6" s="12"/>
      <c r="M6" s="12" t="s">
        <v>18</v>
      </c>
    </row>
    <row r="7" spans="1:13" x14ac:dyDescent="0.25">
      <c r="A7" s="5">
        <v>44717</v>
      </c>
      <c r="B7" s="6">
        <v>27</v>
      </c>
      <c r="C7">
        <f t="shared" si="4"/>
        <v>100</v>
      </c>
      <c r="D7">
        <f t="shared" si="0"/>
        <v>132</v>
      </c>
      <c r="E7">
        <f t="shared" si="0"/>
        <v>87</v>
      </c>
      <c r="F7">
        <f t="shared" si="1"/>
        <v>834</v>
      </c>
      <c r="G7">
        <f t="shared" si="2"/>
        <v>836.88</v>
      </c>
      <c r="H7">
        <f t="shared" si="3"/>
        <v>638.58000000000004</v>
      </c>
      <c r="I7" s="12">
        <f t="shared" si="5"/>
        <v>11190.64</v>
      </c>
      <c r="J7" s="12"/>
      <c r="K7" s="12"/>
      <c r="L7" s="12"/>
      <c r="M7" s="12">
        <f>N109</f>
        <v>1.34</v>
      </c>
    </row>
    <row r="8" spans="1:13" x14ac:dyDescent="0.25">
      <c r="A8" s="7">
        <v>44718</v>
      </c>
      <c r="B8" s="8">
        <v>22</v>
      </c>
      <c r="C8">
        <f t="shared" si="4"/>
        <v>83</v>
      </c>
      <c r="D8">
        <f t="shared" si="0"/>
        <v>111</v>
      </c>
      <c r="E8">
        <f t="shared" si="0"/>
        <v>75</v>
      </c>
      <c r="F8">
        <f t="shared" si="1"/>
        <v>692.22</v>
      </c>
      <c r="G8">
        <f t="shared" si="2"/>
        <v>703.74</v>
      </c>
      <c r="H8">
        <f t="shared" si="3"/>
        <v>550.5</v>
      </c>
      <c r="I8" s="12">
        <f t="shared" si="5"/>
        <v>13137.099999999999</v>
      </c>
      <c r="J8" s="12"/>
      <c r="K8" s="12"/>
      <c r="L8" s="12"/>
      <c r="M8" s="12"/>
    </row>
    <row r="9" spans="1:13" x14ac:dyDescent="0.25">
      <c r="A9" s="5">
        <v>44719</v>
      </c>
      <c r="B9" s="6">
        <v>25</v>
      </c>
      <c r="C9">
        <f t="shared" si="4"/>
        <v>93</v>
      </c>
      <c r="D9">
        <f t="shared" si="0"/>
        <v>124</v>
      </c>
      <c r="E9">
        <f t="shared" si="0"/>
        <v>82</v>
      </c>
      <c r="F9">
        <f t="shared" si="1"/>
        <v>775.62</v>
      </c>
      <c r="G9">
        <f t="shared" si="2"/>
        <v>786.16</v>
      </c>
      <c r="H9">
        <f t="shared" si="3"/>
        <v>601.88</v>
      </c>
      <c r="I9" s="12">
        <f t="shared" si="5"/>
        <v>15300.759999999998</v>
      </c>
      <c r="J9" s="12"/>
      <c r="K9" s="12"/>
      <c r="L9" s="12"/>
      <c r="M9" s="12"/>
    </row>
    <row r="10" spans="1:13" x14ac:dyDescent="0.25">
      <c r="A10" s="7">
        <v>44720</v>
      </c>
      <c r="B10" s="8">
        <v>25</v>
      </c>
      <c r="C10">
        <f t="shared" si="4"/>
        <v>93</v>
      </c>
      <c r="D10">
        <f t="shared" si="0"/>
        <v>124</v>
      </c>
      <c r="E10">
        <f t="shared" si="0"/>
        <v>82</v>
      </c>
      <c r="F10">
        <f t="shared" si="1"/>
        <v>775.62</v>
      </c>
      <c r="G10">
        <f t="shared" si="2"/>
        <v>786.16</v>
      </c>
      <c r="H10">
        <f t="shared" si="3"/>
        <v>601.88</v>
      </c>
      <c r="I10" s="12">
        <f t="shared" si="5"/>
        <v>17464.419999999998</v>
      </c>
      <c r="J10" s="12"/>
      <c r="K10" s="12"/>
      <c r="L10" s="12"/>
      <c r="M10" s="12"/>
    </row>
    <row r="11" spans="1:13" x14ac:dyDescent="0.25">
      <c r="A11" s="5">
        <v>44721</v>
      </c>
      <c r="B11" s="6">
        <v>21</v>
      </c>
      <c r="C11">
        <f t="shared" si="4"/>
        <v>79</v>
      </c>
      <c r="D11">
        <f t="shared" si="0"/>
        <v>107</v>
      </c>
      <c r="E11">
        <f t="shared" si="0"/>
        <v>72</v>
      </c>
      <c r="F11">
        <f t="shared" si="1"/>
        <v>658.86</v>
      </c>
      <c r="G11">
        <f t="shared" si="2"/>
        <v>678.38</v>
      </c>
      <c r="H11">
        <f t="shared" si="3"/>
        <v>528.48</v>
      </c>
      <c r="I11" s="12">
        <f t="shared" si="5"/>
        <v>19330.14</v>
      </c>
      <c r="J11" s="12"/>
      <c r="K11" s="12"/>
      <c r="L11" s="12"/>
      <c r="M11" s="12"/>
    </row>
    <row r="12" spans="1:13" x14ac:dyDescent="0.25">
      <c r="A12" s="7">
        <v>44722</v>
      </c>
      <c r="B12" s="8">
        <v>21</v>
      </c>
      <c r="C12">
        <f t="shared" si="4"/>
        <v>79</v>
      </c>
      <c r="D12">
        <f t="shared" si="0"/>
        <v>107</v>
      </c>
      <c r="E12">
        <f t="shared" si="0"/>
        <v>72</v>
      </c>
      <c r="F12">
        <f t="shared" si="1"/>
        <v>658.86</v>
      </c>
      <c r="G12">
        <f t="shared" si="2"/>
        <v>678.38</v>
      </c>
      <c r="H12">
        <f t="shared" si="3"/>
        <v>528.48</v>
      </c>
      <c r="I12" s="12">
        <f t="shared" si="5"/>
        <v>21195.86</v>
      </c>
      <c r="J12" s="12"/>
      <c r="K12" s="12"/>
      <c r="L12" s="12"/>
      <c r="M12" s="12"/>
    </row>
    <row r="13" spans="1:13" x14ac:dyDescent="0.25">
      <c r="A13" s="5">
        <v>44723</v>
      </c>
      <c r="B13" s="6">
        <v>19</v>
      </c>
      <c r="C13">
        <f t="shared" si="4"/>
        <v>72</v>
      </c>
      <c r="D13">
        <f t="shared" si="0"/>
        <v>99</v>
      </c>
      <c r="E13">
        <f t="shared" si="0"/>
        <v>68</v>
      </c>
      <c r="F13">
        <f t="shared" si="1"/>
        <v>600.48</v>
      </c>
      <c r="G13">
        <f t="shared" si="2"/>
        <v>627.66</v>
      </c>
      <c r="H13">
        <f t="shared" si="3"/>
        <v>499.12</v>
      </c>
      <c r="I13" s="12">
        <f t="shared" si="5"/>
        <v>22923.119999999999</v>
      </c>
      <c r="J13" s="12"/>
      <c r="K13" s="12"/>
      <c r="L13" s="12"/>
      <c r="M13" s="12"/>
    </row>
    <row r="14" spans="1:13" x14ac:dyDescent="0.25">
      <c r="A14" s="7">
        <v>44724</v>
      </c>
      <c r="B14" s="8">
        <v>19</v>
      </c>
      <c r="C14">
        <f t="shared" si="4"/>
        <v>72</v>
      </c>
      <c r="D14">
        <f t="shared" si="0"/>
        <v>99</v>
      </c>
      <c r="E14">
        <f t="shared" si="0"/>
        <v>68</v>
      </c>
      <c r="F14">
        <f t="shared" si="1"/>
        <v>600.48</v>
      </c>
      <c r="G14">
        <f t="shared" si="2"/>
        <v>627.66</v>
      </c>
      <c r="H14">
        <f t="shared" si="3"/>
        <v>499.12</v>
      </c>
      <c r="I14" s="12">
        <f t="shared" si="5"/>
        <v>24650.379999999997</v>
      </c>
      <c r="J14" s="12"/>
      <c r="K14" s="12"/>
      <c r="L14" s="12"/>
      <c r="M14" s="12"/>
    </row>
    <row r="15" spans="1:13" x14ac:dyDescent="0.25">
      <c r="A15" s="5">
        <v>44725</v>
      </c>
      <c r="B15" s="6">
        <v>15</v>
      </c>
      <c r="C15">
        <f t="shared" si="4"/>
        <v>58</v>
      </c>
      <c r="D15">
        <f t="shared" si="0"/>
        <v>82</v>
      </c>
      <c r="E15">
        <f t="shared" si="0"/>
        <v>58</v>
      </c>
      <c r="F15">
        <f t="shared" si="1"/>
        <v>483.71999999999997</v>
      </c>
      <c r="G15">
        <f t="shared" si="2"/>
        <v>519.88</v>
      </c>
      <c r="H15">
        <f t="shared" si="3"/>
        <v>425.71999999999997</v>
      </c>
      <c r="I15" s="12">
        <f t="shared" si="5"/>
        <v>26079.699999999997</v>
      </c>
      <c r="J15" s="12"/>
      <c r="K15" s="12"/>
      <c r="L15" s="12"/>
      <c r="M15" s="12"/>
    </row>
    <row r="16" spans="1:13" x14ac:dyDescent="0.25">
      <c r="A16" s="7">
        <v>44726</v>
      </c>
      <c r="B16" s="8">
        <v>21</v>
      </c>
      <c r="C16">
        <f t="shared" si="4"/>
        <v>79</v>
      </c>
      <c r="D16">
        <f t="shared" si="0"/>
        <v>107</v>
      </c>
      <c r="E16">
        <f t="shared" si="0"/>
        <v>72</v>
      </c>
      <c r="F16">
        <f t="shared" si="1"/>
        <v>658.86</v>
      </c>
      <c r="G16">
        <f t="shared" si="2"/>
        <v>678.38</v>
      </c>
      <c r="H16">
        <f t="shared" si="3"/>
        <v>528.48</v>
      </c>
      <c r="I16" s="12">
        <f t="shared" si="5"/>
        <v>27945.42</v>
      </c>
      <c r="J16" s="12"/>
      <c r="K16" s="12"/>
      <c r="L16" s="12"/>
      <c r="M16" s="12"/>
    </row>
    <row r="17" spans="1:9" x14ac:dyDescent="0.25">
      <c r="A17" s="5">
        <v>44727</v>
      </c>
      <c r="B17" s="6">
        <v>23</v>
      </c>
      <c r="C17">
        <f t="shared" si="4"/>
        <v>86</v>
      </c>
      <c r="D17">
        <f t="shared" si="0"/>
        <v>115</v>
      </c>
      <c r="E17">
        <f t="shared" si="0"/>
        <v>77</v>
      </c>
      <c r="F17">
        <f t="shared" si="1"/>
        <v>717.24</v>
      </c>
      <c r="G17">
        <f t="shared" si="2"/>
        <v>729.1</v>
      </c>
      <c r="H17">
        <f t="shared" si="3"/>
        <v>565.17999999999995</v>
      </c>
      <c r="I17" s="12">
        <f t="shared" si="5"/>
        <v>29956.94</v>
      </c>
    </row>
    <row r="18" spans="1:9" x14ac:dyDescent="0.25">
      <c r="A18" s="7">
        <v>44728</v>
      </c>
      <c r="B18" s="8">
        <v>23</v>
      </c>
      <c r="C18">
        <f t="shared" si="4"/>
        <v>86</v>
      </c>
      <c r="D18">
        <f t="shared" si="0"/>
        <v>115</v>
      </c>
      <c r="E18">
        <f t="shared" si="0"/>
        <v>77</v>
      </c>
      <c r="F18">
        <f t="shared" si="1"/>
        <v>717.24</v>
      </c>
      <c r="G18">
        <f t="shared" si="2"/>
        <v>729.1</v>
      </c>
      <c r="H18">
        <f t="shared" si="3"/>
        <v>565.17999999999995</v>
      </c>
      <c r="I18" s="12">
        <f t="shared" si="5"/>
        <v>31968.46</v>
      </c>
    </row>
    <row r="19" spans="1:9" x14ac:dyDescent="0.25">
      <c r="A19" s="5">
        <v>44729</v>
      </c>
      <c r="B19" s="6">
        <v>16</v>
      </c>
      <c r="C19">
        <f t="shared" si="4"/>
        <v>62</v>
      </c>
      <c r="D19">
        <f t="shared" si="0"/>
        <v>86</v>
      </c>
      <c r="E19">
        <f t="shared" si="0"/>
        <v>61</v>
      </c>
      <c r="F19">
        <f t="shared" si="1"/>
        <v>517.08000000000004</v>
      </c>
      <c r="G19">
        <f t="shared" si="2"/>
        <v>545.24</v>
      </c>
      <c r="H19">
        <f t="shared" si="3"/>
        <v>447.74</v>
      </c>
      <c r="I19" s="12">
        <f t="shared" si="5"/>
        <v>33478.519999999997</v>
      </c>
    </row>
    <row r="20" spans="1:9" x14ac:dyDescent="0.25">
      <c r="A20" s="7">
        <v>44730</v>
      </c>
      <c r="B20" s="8">
        <v>21</v>
      </c>
      <c r="C20">
        <f t="shared" si="4"/>
        <v>79</v>
      </c>
      <c r="D20">
        <f t="shared" si="4"/>
        <v>107</v>
      </c>
      <c r="E20">
        <f t="shared" si="4"/>
        <v>72</v>
      </c>
      <c r="F20">
        <f t="shared" si="1"/>
        <v>658.86</v>
      </c>
      <c r="G20">
        <f t="shared" si="2"/>
        <v>678.38</v>
      </c>
      <c r="H20">
        <f t="shared" si="3"/>
        <v>528.48</v>
      </c>
      <c r="I20" s="12">
        <f t="shared" si="5"/>
        <v>35344.239999999998</v>
      </c>
    </row>
    <row r="21" spans="1:9" x14ac:dyDescent="0.25">
      <c r="A21" s="5">
        <v>44731</v>
      </c>
      <c r="B21" s="6">
        <v>22</v>
      </c>
      <c r="C21">
        <f t="shared" si="4"/>
        <v>83</v>
      </c>
      <c r="D21">
        <f t="shared" si="4"/>
        <v>111</v>
      </c>
      <c r="E21">
        <f t="shared" si="4"/>
        <v>75</v>
      </c>
      <c r="F21">
        <f t="shared" si="1"/>
        <v>692.22</v>
      </c>
      <c r="G21">
        <f t="shared" si="2"/>
        <v>703.74</v>
      </c>
      <c r="H21">
        <f t="shared" si="3"/>
        <v>550.5</v>
      </c>
      <c r="I21" s="12">
        <f t="shared" si="5"/>
        <v>37290.699999999997</v>
      </c>
    </row>
    <row r="22" spans="1:9" x14ac:dyDescent="0.25">
      <c r="A22" s="7">
        <v>44732</v>
      </c>
      <c r="B22" s="8">
        <v>22</v>
      </c>
      <c r="C22">
        <f t="shared" si="4"/>
        <v>83</v>
      </c>
      <c r="D22">
        <f t="shared" si="4"/>
        <v>111</v>
      </c>
      <c r="E22">
        <f t="shared" si="4"/>
        <v>75</v>
      </c>
      <c r="F22">
        <f t="shared" si="1"/>
        <v>692.22</v>
      </c>
      <c r="G22">
        <f t="shared" si="2"/>
        <v>703.74</v>
      </c>
      <c r="H22">
        <f t="shared" si="3"/>
        <v>550.5</v>
      </c>
      <c r="I22" s="12">
        <f t="shared" si="5"/>
        <v>39237.159999999996</v>
      </c>
    </row>
    <row r="23" spans="1:9" x14ac:dyDescent="0.25">
      <c r="A23" s="5">
        <v>44733</v>
      </c>
      <c r="B23" s="6">
        <v>22</v>
      </c>
      <c r="C23">
        <f t="shared" si="4"/>
        <v>83</v>
      </c>
      <c r="D23">
        <f t="shared" si="4"/>
        <v>111</v>
      </c>
      <c r="E23">
        <f t="shared" si="4"/>
        <v>75</v>
      </c>
      <c r="F23">
        <f t="shared" si="1"/>
        <v>692.22</v>
      </c>
      <c r="G23">
        <f t="shared" si="2"/>
        <v>703.74</v>
      </c>
      <c r="H23">
        <f t="shared" si="3"/>
        <v>550.5</v>
      </c>
      <c r="I23" s="12">
        <f t="shared" si="5"/>
        <v>41183.619999999995</v>
      </c>
    </row>
    <row r="24" spans="1:9" x14ac:dyDescent="0.25">
      <c r="A24" s="7">
        <v>44734</v>
      </c>
      <c r="B24" s="8">
        <v>28</v>
      </c>
      <c r="C24">
        <f t="shared" si="4"/>
        <v>103</v>
      </c>
      <c r="D24">
        <f t="shared" si="4"/>
        <v>136</v>
      </c>
      <c r="E24">
        <f t="shared" si="4"/>
        <v>89</v>
      </c>
      <c r="F24">
        <f t="shared" si="1"/>
        <v>859.02</v>
      </c>
      <c r="G24">
        <f t="shared" si="2"/>
        <v>862.24</v>
      </c>
      <c r="H24">
        <f t="shared" si="3"/>
        <v>653.26</v>
      </c>
      <c r="I24" s="12">
        <f t="shared" si="5"/>
        <v>43558.139999999992</v>
      </c>
    </row>
    <row r="25" spans="1:9" x14ac:dyDescent="0.25">
      <c r="A25" s="5">
        <v>44735</v>
      </c>
      <c r="B25" s="6">
        <v>31</v>
      </c>
      <c r="C25">
        <f t="shared" si="4"/>
        <v>114</v>
      </c>
      <c r="D25">
        <f t="shared" si="4"/>
        <v>148</v>
      </c>
      <c r="E25">
        <f t="shared" si="4"/>
        <v>96</v>
      </c>
      <c r="F25">
        <f t="shared" si="1"/>
        <v>950.76</v>
      </c>
      <c r="G25">
        <f t="shared" si="2"/>
        <v>938.31999999999994</v>
      </c>
      <c r="H25">
        <f t="shared" si="3"/>
        <v>704.64</v>
      </c>
      <c r="I25" s="12">
        <f t="shared" si="5"/>
        <v>46151.859999999993</v>
      </c>
    </row>
    <row r="26" spans="1:9" x14ac:dyDescent="0.25">
      <c r="A26" s="7">
        <v>44736</v>
      </c>
      <c r="B26" s="8">
        <v>33</v>
      </c>
      <c r="C26">
        <f t="shared" si="4"/>
        <v>121</v>
      </c>
      <c r="D26">
        <f t="shared" si="4"/>
        <v>157</v>
      </c>
      <c r="E26">
        <f t="shared" si="4"/>
        <v>101</v>
      </c>
      <c r="F26">
        <f t="shared" si="1"/>
        <v>1009.14</v>
      </c>
      <c r="G26">
        <f t="shared" si="2"/>
        <v>995.38</v>
      </c>
      <c r="H26">
        <f t="shared" si="3"/>
        <v>741.34</v>
      </c>
      <c r="I26" s="12">
        <f t="shared" si="5"/>
        <v>48897.719999999994</v>
      </c>
    </row>
    <row r="27" spans="1:9" x14ac:dyDescent="0.25">
      <c r="A27" s="5">
        <v>44737</v>
      </c>
      <c r="B27" s="6">
        <v>33</v>
      </c>
      <c r="C27">
        <f t="shared" si="4"/>
        <v>121</v>
      </c>
      <c r="D27">
        <f t="shared" si="4"/>
        <v>157</v>
      </c>
      <c r="E27">
        <f t="shared" si="4"/>
        <v>101</v>
      </c>
      <c r="F27">
        <f t="shared" si="1"/>
        <v>1009.14</v>
      </c>
      <c r="G27">
        <f t="shared" si="2"/>
        <v>995.38</v>
      </c>
      <c r="H27">
        <f t="shared" si="3"/>
        <v>741.34</v>
      </c>
      <c r="I27" s="12">
        <f t="shared" si="5"/>
        <v>51643.579999999994</v>
      </c>
    </row>
    <row r="28" spans="1:9" x14ac:dyDescent="0.25">
      <c r="A28" s="7">
        <v>44738</v>
      </c>
      <c r="B28" s="8">
        <v>23</v>
      </c>
      <c r="C28">
        <f t="shared" si="4"/>
        <v>86</v>
      </c>
      <c r="D28">
        <f t="shared" si="4"/>
        <v>115</v>
      </c>
      <c r="E28">
        <f t="shared" si="4"/>
        <v>77</v>
      </c>
      <c r="F28">
        <f t="shared" si="1"/>
        <v>717.24</v>
      </c>
      <c r="G28">
        <f t="shared" si="2"/>
        <v>729.1</v>
      </c>
      <c r="H28">
        <f t="shared" si="3"/>
        <v>565.17999999999995</v>
      </c>
      <c r="I28" s="12">
        <f t="shared" si="5"/>
        <v>53655.099999999991</v>
      </c>
    </row>
    <row r="29" spans="1:9" x14ac:dyDescent="0.25">
      <c r="A29" s="5">
        <v>44739</v>
      </c>
      <c r="B29" s="6">
        <v>23</v>
      </c>
      <c r="C29">
        <f t="shared" si="4"/>
        <v>86</v>
      </c>
      <c r="D29">
        <f t="shared" si="4"/>
        <v>115</v>
      </c>
      <c r="E29">
        <f t="shared" si="4"/>
        <v>77</v>
      </c>
      <c r="F29">
        <f t="shared" si="1"/>
        <v>717.24</v>
      </c>
      <c r="G29">
        <f t="shared" si="2"/>
        <v>729.1</v>
      </c>
      <c r="H29">
        <f t="shared" si="3"/>
        <v>565.17999999999995</v>
      </c>
      <c r="I29" s="12">
        <f t="shared" si="5"/>
        <v>55666.619999999988</v>
      </c>
    </row>
    <row r="30" spans="1:9" x14ac:dyDescent="0.25">
      <c r="A30" s="7">
        <v>44740</v>
      </c>
      <c r="B30" s="8">
        <v>19</v>
      </c>
      <c r="C30">
        <f t="shared" si="4"/>
        <v>72</v>
      </c>
      <c r="D30">
        <f t="shared" si="4"/>
        <v>99</v>
      </c>
      <c r="E30">
        <f t="shared" si="4"/>
        <v>68</v>
      </c>
      <c r="F30">
        <f t="shared" si="1"/>
        <v>600.48</v>
      </c>
      <c r="G30">
        <f t="shared" si="2"/>
        <v>627.66</v>
      </c>
      <c r="H30">
        <f t="shared" si="3"/>
        <v>499.12</v>
      </c>
      <c r="I30" s="12">
        <f t="shared" si="5"/>
        <v>57393.87999999999</v>
      </c>
    </row>
    <row r="31" spans="1:9" x14ac:dyDescent="0.25">
      <c r="A31" s="5">
        <v>44741</v>
      </c>
      <c r="B31" s="6">
        <v>24</v>
      </c>
      <c r="C31">
        <f t="shared" si="4"/>
        <v>90</v>
      </c>
      <c r="D31">
        <f t="shared" si="4"/>
        <v>120</v>
      </c>
      <c r="E31">
        <f t="shared" si="4"/>
        <v>80</v>
      </c>
      <c r="F31">
        <f t="shared" si="1"/>
        <v>750.6</v>
      </c>
      <c r="G31">
        <f t="shared" si="2"/>
        <v>760.8</v>
      </c>
      <c r="H31">
        <f t="shared" si="3"/>
        <v>587.20000000000005</v>
      </c>
      <c r="I31" s="12">
        <f t="shared" si="5"/>
        <v>59492.479999999989</v>
      </c>
    </row>
    <row r="32" spans="1:9" x14ac:dyDescent="0.25">
      <c r="A32" s="7">
        <v>44742</v>
      </c>
      <c r="B32" s="8">
        <v>25</v>
      </c>
      <c r="C32">
        <f t="shared" si="4"/>
        <v>93</v>
      </c>
      <c r="D32">
        <f t="shared" si="4"/>
        <v>124</v>
      </c>
      <c r="E32">
        <f t="shared" si="4"/>
        <v>82</v>
      </c>
      <c r="F32">
        <f t="shared" si="1"/>
        <v>775.62</v>
      </c>
      <c r="G32">
        <f t="shared" si="2"/>
        <v>786.16</v>
      </c>
      <c r="H32">
        <f t="shared" si="3"/>
        <v>601.88</v>
      </c>
      <c r="I32" s="12">
        <f t="shared" si="5"/>
        <v>61656.139999999985</v>
      </c>
    </row>
    <row r="33" spans="1:9" x14ac:dyDescent="0.25">
      <c r="A33" s="5">
        <v>44743</v>
      </c>
      <c r="B33" s="6">
        <v>27</v>
      </c>
      <c r="C33">
        <f t="shared" si="4"/>
        <v>100</v>
      </c>
      <c r="D33">
        <f t="shared" si="4"/>
        <v>132</v>
      </c>
      <c r="E33">
        <f t="shared" si="4"/>
        <v>87</v>
      </c>
      <c r="F33">
        <f t="shared" si="1"/>
        <v>834</v>
      </c>
      <c r="G33">
        <f t="shared" si="2"/>
        <v>836.88</v>
      </c>
      <c r="H33">
        <f t="shared" si="3"/>
        <v>638.58000000000004</v>
      </c>
      <c r="I33" s="12">
        <f t="shared" si="5"/>
        <v>63965.599999999984</v>
      </c>
    </row>
    <row r="34" spans="1:9" x14ac:dyDescent="0.25">
      <c r="A34" s="7">
        <v>44744</v>
      </c>
      <c r="B34" s="8">
        <v>27</v>
      </c>
      <c r="C34">
        <f t="shared" si="4"/>
        <v>100</v>
      </c>
      <c r="D34">
        <f t="shared" si="4"/>
        <v>132</v>
      </c>
      <c r="E34">
        <f t="shared" si="4"/>
        <v>87</v>
      </c>
      <c r="F34">
        <f t="shared" si="1"/>
        <v>834</v>
      </c>
      <c r="G34">
        <f t="shared" si="2"/>
        <v>836.88</v>
      </c>
      <c r="H34">
        <f t="shared" si="3"/>
        <v>638.58000000000004</v>
      </c>
      <c r="I34" s="12">
        <f t="shared" si="5"/>
        <v>66275.059999999983</v>
      </c>
    </row>
    <row r="35" spans="1:9" x14ac:dyDescent="0.25">
      <c r="A35" s="5">
        <v>44745</v>
      </c>
      <c r="B35" s="6">
        <v>21</v>
      </c>
      <c r="C35">
        <f t="shared" si="4"/>
        <v>79</v>
      </c>
      <c r="D35">
        <f t="shared" si="4"/>
        <v>107</v>
      </c>
      <c r="E35">
        <f t="shared" si="4"/>
        <v>72</v>
      </c>
      <c r="F35">
        <f t="shared" si="1"/>
        <v>658.86</v>
      </c>
      <c r="G35">
        <f t="shared" si="2"/>
        <v>678.38</v>
      </c>
      <c r="H35">
        <f t="shared" si="3"/>
        <v>528.48</v>
      </c>
      <c r="I35" s="12">
        <f t="shared" si="5"/>
        <v>68140.779999999984</v>
      </c>
    </row>
    <row r="36" spans="1:9" x14ac:dyDescent="0.25">
      <c r="A36" s="7">
        <v>44746</v>
      </c>
      <c r="B36" s="8">
        <v>21</v>
      </c>
      <c r="C36">
        <f t="shared" si="4"/>
        <v>79</v>
      </c>
      <c r="D36">
        <f t="shared" si="4"/>
        <v>107</v>
      </c>
      <c r="E36">
        <f t="shared" si="4"/>
        <v>72</v>
      </c>
      <c r="F36">
        <f t="shared" si="1"/>
        <v>658.86</v>
      </c>
      <c r="G36">
        <f t="shared" si="2"/>
        <v>678.38</v>
      </c>
      <c r="H36">
        <f t="shared" si="3"/>
        <v>528.48</v>
      </c>
      <c r="I36" s="12">
        <f t="shared" si="5"/>
        <v>70006.499999999985</v>
      </c>
    </row>
    <row r="37" spans="1:9" x14ac:dyDescent="0.25">
      <c r="A37" s="5">
        <v>44747</v>
      </c>
      <c r="B37" s="6">
        <v>25</v>
      </c>
      <c r="C37">
        <f t="shared" ref="C37:E68" si="6">INT(C$3*(1+C$1*(($B37-24)/2)))</f>
        <v>93</v>
      </c>
      <c r="D37">
        <f t="shared" si="6"/>
        <v>124</v>
      </c>
      <c r="E37">
        <f t="shared" si="6"/>
        <v>82</v>
      </c>
      <c r="F37">
        <f t="shared" si="1"/>
        <v>775.62</v>
      </c>
      <c r="G37">
        <f t="shared" si="2"/>
        <v>786.16</v>
      </c>
      <c r="H37">
        <f t="shared" si="3"/>
        <v>601.88</v>
      </c>
      <c r="I37" s="12">
        <f t="shared" si="5"/>
        <v>72170.159999999989</v>
      </c>
    </row>
    <row r="38" spans="1:9" x14ac:dyDescent="0.25">
      <c r="A38" s="7">
        <v>44748</v>
      </c>
      <c r="B38" s="8">
        <v>19</v>
      </c>
      <c r="C38">
        <f t="shared" si="6"/>
        <v>72</v>
      </c>
      <c r="D38">
        <f t="shared" si="6"/>
        <v>99</v>
      </c>
      <c r="E38">
        <f t="shared" si="6"/>
        <v>68</v>
      </c>
      <c r="F38">
        <f t="shared" si="1"/>
        <v>600.48</v>
      </c>
      <c r="G38">
        <f t="shared" si="2"/>
        <v>627.66</v>
      </c>
      <c r="H38">
        <f t="shared" si="3"/>
        <v>499.12</v>
      </c>
      <c r="I38" s="12">
        <f t="shared" si="5"/>
        <v>73897.419999999984</v>
      </c>
    </row>
    <row r="39" spans="1:9" x14ac:dyDescent="0.25">
      <c r="A39" s="5">
        <v>44749</v>
      </c>
      <c r="B39" s="6">
        <v>21</v>
      </c>
      <c r="C39">
        <f t="shared" si="6"/>
        <v>79</v>
      </c>
      <c r="D39">
        <f t="shared" si="6"/>
        <v>107</v>
      </c>
      <c r="E39">
        <f t="shared" si="6"/>
        <v>72</v>
      </c>
      <c r="F39">
        <f t="shared" si="1"/>
        <v>658.86</v>
      </c>
      <c r="G39">
        <f t="shared" si="2"/>
        <v>678.38</v>
      </c>
      <c r="H39">
        <f t="shared" si="3"/>
        <v>528.48</v>
      </c>
      <c r="I39" s="12">
        <f t="shared" si="5"/>
        <v>75763.139999999985</v>
      </c>
    </row>
    <row r="40" spans="1:9" x14ac:dyDescent="0.25">
      <c r="A40" s="7">
        <v>44750</v>
      </c>
      <c r="B40" s="8">
        <v>24</v>
      </c>
      <c r="C40">
        <f t="shared" si="6"/>
        <v>90</v>
      </c>
      <c r="D40">
        <f t="shared" si="6"/>
        <v>120</v>
      </c>
      <c r="E40">
        <f t="shared" si="6"/>
        <v>80</v>
      </c>
      <c r="F40">
        <f t="shared" si="1"/>
        <v>750.6</v>
      </c>
      <c r="G40">
        <f t="shared" si="2"/>
        <v>760.8</v>
      </c>
      <c r="H40">
        <f t="shared" si="3"/>
        <v>587.20000000000005</v>
      </c>
      <c r="I40" s="12">
        <f t="shared" si="5"/>
        <v>77861.739999999991</v>
      </c>
    </row>
    <row r="41" spans="1:9" x14ac:dyDescent="0.25">
      <c r="A41" s="5">
        <v>44751</v>
      </c>
      <c r="B41" s="6">
        <v>19</v>
      </c>
      <c r="C41">
        <f t="shared" si="6"/>
        <v>72</v>
      </c>
      <c r="D41">
        <f t="shared" si="6"/>
        <v>99</v>
      </c>
      <c r="E41">
        <f t="shared" si="6"/>
        <v>68</v>
      </c>
      <c r="F41">
        <f t="shared" si="1"/>
        <v>600.48</v>
      </c>
      <c r="G41">
        <f t="shared" si="2"/>
        <v>627.66</v>
      </c>
      <c r="H41">
        <f t="shared" si="3"/>
        <v>499.12</v>
      </c>
      <c r="I41" s="12">
        <f t="shared" si="5"/>
        <v>79588.999999999985</v>
      </c>
    </row>
    <row r="42" spans="1:9" x14ac:dyDescent="0.25">
      <c r="A42" s="7">
        <v>44752</v>
      </c>
      <c r="B42" s="8">
        <v>28</v>
      </c>
      <c r="C42">
        <f t="shared" si="6"/>
        <v>103</v>
      </c>
      <c r="D42">
        <f t="shared" si="6"/>
        <v>136</v>
      </c>
      <c r="E42">
        <f t="shared" si="6"/>
        <v>89</v>
      </c>
      <c r="F42">
        <f t="shared" si="1"/>
        <v>859.02</v>
      </c>
      <c r="G42">
        <f t="shared" si="2"/>
        <v>862.24</v>
      </c>
      <c r="H42">
        <f t="shared" si="3"/>
        <v>653.26</v>
      </c>
      <c r="I42" s="12">
        <f t="shared" si="5"/>
        <v>81963.51999999999</v>
      </c>
    </row>
    <row r="43" spans="1:9" x14ac:dyDescent="0.25">
      <c r="A43" s="5">
        <v>44753</v>
      </c>
      <c r="B43" s="6">
        <v>27</v>
      </c>
      <c r="C43">
        <f t="shared" si="6"/>
        <v>100</v>
      </c>
      <c r="D43">
        <f t="shared" si="6"/>
        <v>132</v>
      </c>
      <c r="E43">
        <f t="shared" si="6"/>
        <v>87</v>
      </c>
      <c r="F43">
        <f t="shared" si="1"/>
        <v>834</v>
      </c>
      <c r="G43">
        <f t="shared" si="2"/>
        <v>836.88</v>
      </c>
      <c r="H43">
        <f t="shared" si="3"/>
        <v>638.58000000000004</v>
      </c>
      <c r="I43" s="12">
        <f t="shared" si="5"/>
        <v>84272.98</v>
      </c>
    </row>
    <row r="44" spans="1:9" x14ac:dyDescent="0.25">
      <c r="A44" s="7">
        <v>44754</v>
      </c>
      <c r="B44" s="8">
        <v>24</v>
      </c>
      <c r="C44">
        <f t="shared" si="6"/>
        <v>90</v>
      </c>
      <c r="D44">
        <f t="shared" si="6"/>
        <v>120</v>
      </c>
      <c r="E44">
        <f t="shared" si="6"/>
        <v>80</v>
      </c>
      <c r="F44">
        <f t="shared" si="1"/>
        <v>750.6</v>
      </c>
      <c r="G44">
        <f t="shared" si="2"/>
        <v>760.8</v>
      </c>
      <c r="H44">
        <f t="shared" si="3"/>
        <v>587.20000000000005</v>
      </c>
      <c r="I44" s="12">
        <f t="shared" si="5"/>
        <v>86371.58</v>
      </c>
    </row>
    <row r="45" spans="1:9" x14ac:dyDescent="0.25">
      <c r="A45" s="5">
        <v>44755</v>
      </c>
      <c r="B45" s="6">
        <v>22</v>
      </c>
      <c r="C45">
        <f t="shared" si="6"/>
        <v>83</v>
      </c>
      <c r="D45">
        <f t="shared" si="6"/>
        <v>111</v>
      </c>
      <c r="E45">
        <f t="shared" si="6"/>
        <v>75</v>
      </c>
      <c r="F45">
        <f t="shared" si="1"/>
        <v>692.22</v>
      </c>
      <c r="G45">
        <f t="shared" si="2"/>
        <v>703.74</v>
      </c>
      <c r="H45">
        <f t="shared" si="3"/>
        <v>550.5</v>
      </c>
      <c r="I45" s="12">
        <f t="shared" si="5"/>
        <v>88318.040000000008</v>
      </c>
    </row>
    <row r="46" spans="1:9" x14ac:dyDescent="0.25">
      <c r="A46" s="7">
        <v>44756</v>
      </c>
      <c r="B46" s="8">
        <v>17</v>
      </c>
      <c r="C46">
        <f t="shared" si="6"/>
        <v>65</v>
      </c>
      <c r="D46">
        <f t="shared" si="6"/>
        <v>91</v>
      </c>
      <c r="E46">
        <f t="shared" si="6"/>
        <v>63</v>
      </c>
      <c r="F46">
        <f t="shared" si="1"/>
        <v>542.1</v>
      </c>
      <c r="G46">
        <f t="shared" si="2"/>
        <v>576.93999999999994</v>
      </c>
      <c r="H46">
        <f t="shared" si="3"/>
        <v>462.42</v>
      </c>
      <c r="I46" s="12">
        <f t="shared" si="5"/>
        <v>89899.500000000015</v>
      </c>
    </row>
    <row r="47" spans="1:9" x14ac:dyDescent="0.25">
      <c r="A47" s="5">
        <v>44757</v>
      </c>
      <c r="B47" s="6">
        <v>18</v>
      </c>
      <c r="C47">
        <f t="shared" si="6"/>
        <v>69</v>
      </c>
      <c r="D47">
        <f t="shared" si="6"/>
        <v>95</v>
      </c>
      <c r="E47">
        <f t="shared" si="6"/>
        <v>65</v>
      </c>
      <c r="F47">
        <f t="shared" si="1"/>
        <v>575.46</v>
      </c>
      <c r="G47">
        <f t="shared" si="2"/>
        <v>602.29999999999995</v>
      </c>
      <c r="H47">
        <f t="shared" si="3"/>
        <v>477.09999999999997</v>
      </c>
      <c r="I47" s="12">
        <f t="shared" si="5"/>
        <v>91554.360000000015</v>
      </c>
    </row>
    <row r="48" spans="1:9" x14ac:dyDescent="0.25">
      <c r="A48" s="7">
        <v>44758</v>
      </c>
      <c r="B48" s="8">
        <v>23</v>
      </c>
      <c r="C48">
        <f t="shared" si="6"/>
        <v>86</v>
      </c>
      <c r="D48">
        <f t="shared" si="6"/>
        <v>115</v>
      </c>
      <c r="E48">
        <f t="shared" si="6"/>
        <v>77</v>
      </c>
      <c r="F48">
        <f t="shared" si="1"/>
        <v>717.24</v>
      </c>
      <c r="G48">
        <f t="shared" si="2"/>
        <v>729.1</v>
      </c>
      <c r="H48">
        <f t="shared" si="3"/>
        <v>565.17999999999995</v>
      </c>
      <c r="I48" s="12">
        <f t="shared" si="5"/>
        <v>93565.880000000019</v>
      </c>
    </row>
    <row r="49" spans="1:9" x14ac:dyDescent="0.25">
      <c r="A49" s="5">
        <v>44759</v>
      </c>
      <c r="B49" s="6">
        <v>23</v>
      </c>
      <c r="C49">
        <f t="shared" si="6"/>
        <v>86</v>
      </c>
      <c r="D49">
        <f t="shared" si="6"/>
        <v>115</v>
      </c>
      <c r="E49">
        <f t="shared" si="6"/>
        <v>77</v>
      </c>
      <c r="F49">
        <f t="shared" si="1"/>
        <v>717.24</v>
      </c>
      <c r="G49">
        <f t="shared" si="2"/>
        <v>729.1</v>
      </c>
      <c r="H49">
        <f t="shared" si="3"/>
        <v>565.17999999999995</v>
      </c>
      <c r="I49" s="12">
        <f t="shared" si="5"/>
        <v>95577.400000000023</v>
      </c>
    </row>
    <row r="50" spans="1:9" x14ac:dyDescent="0.25">
      <c r="A50" s="7">
        <v>44760</v>
      </c>
      <c r="B50" s="8">
        <v>19</v>
      </c>
      <c r="C50">
        <f t="shared" si="6"/>
        <v>72</v>
      </c>
      <c r="D50">
        <f t="shared" si="6"/>
        <v>99</v>
      </c>
      <c r="E50">
        <f t="shared" si="6"/>
        <v>68</v>
      </c>
      <c r="F50">
        <f t="shared" si="1"/>
        <v>600.48</v>
      </c>
      <c r="G50">
        <f t="shared" si="2"/>
        <v>627.66</v>
      </c>
      <c r="H50">
        <f t="shared" si="3"/>
        <v>499.12</v>
      </c>
      <c r="I50" s="12">
        <f t="shared" si="5"/>
        <v>97304.660000000018</v>
      </c>
    </row>
    <row r="51" spans="1:9" x14ac:dyDescent="0.25">
      <c r="A51" s="5">
        <v>44761</v>
      </c>
      <c r="B51" s="6">
        <v>21</v>
      </c>
      <c r="C51">
        <f t="shared" si="6"/>
        <v>79</v>
      </c>
      <c r="D51">
        <f t="shared" si="6"/>
        <v>107</v>
      </c>
      <c r="E51">
        <f t="shared" si="6"/>
        <v>72</v>
      </c>
      <c r="F51">
        <f t="shared" si="1"/>
        <v>658.86</v>
      </c>
      <c r="G51">
        <f t="shared" si="2"/>
        <v>678.38</v>
      </c>
      <c r="H51">
        <f t="shared" si="3"/>
        <v>528.48</v>
      </c>
      <c r="I51" s="12">
        <f t="shared" si="5"/>
        <v>99170.380000000019</v>
      </c>
    </row>
    <row r="52" spans="1:9" x14ac:dyDescent="0.25">
      <c r="A52" s="7">
        <v>44762</v>
      </c>
      <c r="B52" s="8">
        <v>25</v>
      </c>
      <c r="C52">
        <f t="shared" si="6"/>
        <v>93</v>
      </c>
      <c r="D52">
        <f t="shared" si="6"/>
        <v>124</v>
      </c>
      <c r="E52">
        <f t="shared" si="6"/>
        <v>82</v>
      </c>
      <c r="F52">
        <f t="shared" si="1"/>
        <v>775.62</v>
      </c>
      <c r="G52">
        <f t="shared" si="2"/>
        <v>786.16</v>
      </c>
      <c r="H52">
        <f t="shared" si="3"/>
        <v>601.88</v>
      </c>
      <c r="I52" s="12">
        <f t="shared" si="5"/>
        <v>101334.04000000002</v>
      </c>
    </row>
    <row r="53" spans="1:9" x14ac:dyDescent="0.25">
      <c r="A53" s="5">
        <v>44763</v>
      </c>
      <c r="B53" s="6">
        <v>28</v>
      </c>
      <c r="C53">
        <f t="shared" si="6"/>
        <v>103</v>
      </c>
      <c r="D53">
        <f t="shared" si="6"/>
        <v>136</v>
      </c>
      <c r="E53">
        <f t="shared" si="6"/>
        <v>89</v>
      </c>
      <c r="F53">
        <f t="shared" si="1"/>
        <v>859.02</v>
      </c>
      <c r="G53">
        <f t="shared" si="2"/>
        <v>862.24</v>
      </c>
      <c r="H53">
        <f t="shared" si="3"/>
        <v>653.26</v>
      </c>
      <c r="I53" s="12">
        <f t="shared" si="5"/>
        <v>103708.56000000003</v>
      </c>
    </row>
    <row r="54" spans="1:9" x14ac:dyDescent="0.25">
      <c r="A54" s="7">
        <v>44764</v>
      </c>
      <c r="B54" s="8">
        <v>27</v>
      </c>
      <c r="C54">
        <f t="shared" si="6"/>
        <v>100</v>
      </c>
      <c r="D54">
        <f t="shared" si="6"/>
        <v>132</v>
      </c>
      <c r="E54">
        <f t="shared" si="6"/>
        <v>87</v>
      </c>
      <c r="F54">
        <f t="shared" si="1"/>
        <v>834</v>
      </c>
      <c r="G54">
        <f t="shared" si="2"/>
        <v>836.88</v>
      </c>
      <c r="H54">
        <f t="shared" si="3"/>
        <v>638.58000000000004</v>
      </c>
      <c r="I54" s="12">
        <f t="shared" si="5"/>
        <v>106018.02000000003</v>
      </c>
    </row>
    <row r="55" spans="1:9" x14ac:dyDescent="0.25">
      <c r="A55" s="5">
        <v>44765</v>
      </c>
      <c r="B55" s="6">
        <v>23</v>
      </c>
      <c r="C55">
        <f t="shared" si="6"/>
        <v>86</v>
      </c>
      <c r="D55">
        <f t="shared" si="6"/>
        <v>115</v>
      </c>
      <c r="E55">
        <f t="shared" si="6"/>
        <v>77</v>
      </c>
      <c r="F55">
        <f t="shared" si="1"/>
        <v>717.24</v>
      </c>
      <c r="G55">
        <f t="shared" si="2"/>
        <v>729.1</v>
      </c>
      <c r="H55">
        <f t="shared" si="3"/>
        <v>565.17999999999995</v>
      </c>
      <c r="I55" s="12">
        <f t="shared" si="5"/>
        <v>108029.54000000004</v>
      </c>
    </row>
    <row r="56" spans="1:9" x14ac:dyDescent="0.25">
      <c r="A56" s="7">
        <v>44766</v>
      </c>
      <c r="B56" s="8">
        <v>26</v>
      </c>
      <c r="C56">
        <f t="shared" si="6"/>
        <v>96</v>
      </c>
      <c r="D56">
        <f t="shared" si="6"/>
        <v>128</v>
      </c>
      <c r="E56">
        <f t="shared" si="6"/>
        <v>84</v>
      </c>
      <c r="F56">
        <f t="shared" si="1"/>
        <v>800.64</v>
      </c>
      <c r="G56">
        <f t="shared" si="2"/>
        <v>811.52</v>
      </c>
      <c r="H56">
        <f t="shared" si="3"/>
        <v>616.55999999999995</v>
      </c>
      <c r="I56" s="12">
        <f t="shared" si="5"/>
        <v>110258.26000000004</v>
      </c>
    </row>
    <row r="57" spans="1:9" x14ac:dyDescent="0.25">
      <c r="A57" s="5">
        <v>44767</v>
      </c>
      <c r="B57" s="6">
        <v>29</v>
      </c>
      <c r="C57">
        <f t="shared" si="6"/>
        <v>107</v>
      </c>
      <c r="D57">
        <f t="shared" si="6"/>
        <v>140</v>
      </c>
      <c r="E57">
        <f t="shared" si="6"/>
        <v>91</v>
      </c>
      <c r="F57">
        <f t="shared" si="1"/>
        <v>892.38</v>
      </c>
      <c r="G57">
        <f t="shared" si="2"/>
        <v>887.6</v>
      </c>
      <c r="H57">
        <f t="shared" si="3"/>
        <v>667.93999999999994</v>
      </c>
      <c r="I57" s="12">
        <f t="shared" si="5"/>
        <v>112706.18000000004</v>
      </c>
    </row>
    <row r="58" spans="1:9" x14ac:dyDescent="0.25">
      <c r="A58" s="7">
        <v>44768</v>
      </c>
      <c r="B58" s="8">
        <v>26</v>
      </c>
      <c r="C58">
        <f t="shared" si="6"/>
        <v>96</v>
      </c>
      <c r="D58">
        <f t="shared" si="6"/>
        <v>128</v>
      </c>
      <c r="E58">
        <f t="shared" si="6"/>
        <v>84</v>
      </c>
      <c r="F58">
        <f t="shared" si="1"/>
        <v>800.64</v>
      </c>
      <c r="G58">
        <f t="shared" si="2"/>
        <v>811.52</v>
      </c>
      <c r="H58">
        <f t="shared" si="3"/>
        <v>616.55999999999995</v>
      </c>
      <c r="I58" s="12">
        <f t="shared" si="5"/>
        <v>114934.90000000004</v>
      </c>
    </row>
    <row r="59" spans="1:9" x14ac:dyDescent="0.25">
      <c r="A59" s="5">
        <v>44769</v>
      </c>
      <c r="B59" s="6">
        <v>27</v>
      </c>
      <c r="C59">
        <f t="shared" si="6"/>
        <v>100</v>
      </c>
      <c r="D59">
        <f t="shared" si="6"/>
        <v>132</v>
      </c>
      <c r="E59">
        <f t="shared" si="6"/>
        <v>87</v>
      </c>
      <c r="F59">
        <f t="shared" si="1"/>
        <v>834</v>
      </c>
      <c r="G59">
        <f t="shared" si="2"/>
        <v>836.88</v>
      </c>
      <c r="H59">
        <f t="shared" si="3"/>
        <v>638.58000000000004</v>
      </c>
      <c r="I59" s="12">
        <f t="shared" si="5"/>
        <v>117244.36000000004</v>
      </c>
    </row>
    <row r="60" spans="1:9" x14ac:dyDescent="0.25">
      <c r="A60" s="7">
        <v>44770</v>
      </c>
      <c r="B60" s="8">
        <v>24</v>
      </c>
      <c r="C60">
        <f t="shared" si="6"/>
        <v>90</v>
      </c>
      <c r="D60">
        <f t="shared" si="6"/>
        <v>120</v>
      </c>
      <c r="E60">
        <f t="shared" si="6"/>
        <v>80</v>
      </c>
      <c r="F60">
        <f t="shared" si="1"/>
        <v>750.6</v>
      </c>
      <c r="G60">
        <f t="shared" si="2"/>
        <v>760.8</v>
      </c>
      <c r="H60">
        <f t="shared" si="3"/>
        <v>587.20000000000005</v>
      </c>
      <c r="I60" s="12">
        <f t="shared" si="5"/>
        <v>119342.96000000005</v>
      </c>
    </row>
    <row r="61" spans="1:9" x14ac:dyDescent="0.25">
      <c r="A61" s="5">
        <v>44771</v>
      </c>
      <c r="B61" s="6">
        <v>26</v>
      </c>
      <c r="C61">
        <f t="shared" si="6"/>
        <v>96</v>
      </c>
      <c r="D61">
        <f t="shared" si="6"/>
        <v>128</v>
      </c>
      <c r="E61">
        <f t="shared" si="6"/>
        <v>84</v>
      </c>
      <c r="F61">
        <f t="shared" si="1"/>
        <v>800.64</v>
      </c>
      <c r="G61">
        <f t="shared" si="2"/>
        <v>811.52</v>
      </c>
      <c r="H61">
        <f t="shared" si="3"/>
        <v>616.55999999999995</v>
      </c>
      <c r="I61" s="12">
        <f t="shared" si="5"/>
        <v>121571.68000000005</v>
      </c>
    </row>
    <row r="62" spans="1:9" x14ac:dyDescent="0.25">
      <c r="A62" s="7">
        <v>44772</v>
      </c>
      <c r="B62" s="8">
        <v>25</v>
      </c>
      <c r="C62">
        <f t="shared" si="6"/>
        <v>93</v>
      </c>
      <c r="D62">
        <f t="shared" si="6"/>
        <v>124</v>
      </c>
      <c r="E62">
        <f t="shared" si="6"/>
        <v>82</v>
      </c>
      <c r="F62">
        <f t="shared" si="1"/>
        <v>775.62</v>
      </c>
      <c r="G62">
        <f t="shared" si="2"/>
        <v>786.16</v>
      </c>
      <c r="H62">
        <f t="shared" si="3"/>
        <v>601.88</v>
      </c>
      <c r="I62" s="12">
        <f t="shared" si="5"/>
        <v>123735.34000000005</v>
      </c>
    </row>
    <row r="63" spans="1:9" x14ac:dyDescent="0.25">
      <c r="A63" s="5">
        <v>44773</v>
      </c>
      <c r="B63" s="6">
        <v>24</v>
      </c>
      <c r="C63">
        <f t="shared" si="6"/>
        <v>90</v>
      </c>
      <c r="D63">
        <f t="shared" si="6"/>
        <v>120</v>
      </c>
      <c r="E63">
        <f t="shared" si="6"/>
        <v>80</v>
      </c>
      <c r="F63">
        <f t="shared" si="1"/>
        <v>750.6</v>
      </c>
      <c r="G63">
        <f t="shared" si="2"/>
        <v>760.8</v>
      </c>
      <c r="H63">
        <f t="shared" si="3"/>
        <v>587.20000000000005</v>
      </c>
      <c r="I63" s="12">
        <f t="shared" si="5"/>
        <v>125833.94000000006</v>
      </c>
    </row>
    <row r="64" spans="1:9" x14ac:dyDescent="0.25">
      <c r="A64" s="7">
        <v>44774</v>
      </c>
      <c r="B64" s="8">
        <v>22</v>
      </c>
      <c r="C64">
        <f t="shared" si="6"/>
        <v>83</v>
      </c>
      <c r="D64">
        <f t="shared" si="6"/>
        <v>111</v>
      </c>
      <c r="E64">
        <f t="shared" si="6"/>
        <v>75</v>
      </c>
      <c r="F64">
        <f t="shared" si="1"/>
        <v>692.22</v>
      </c>
      <c r="G64">
        <f t="shared" si="2"/>
        <v>703.74</v>
      </c>
      <c r="H64">
        <f t="shared" si="3"/>
        <v>550.5</v>
      </c>
      <c r="I64" s="12">
        <f t="shared" si="5"/>
        <v>127780.40000000007</v>
      </c>
    </row>
    <row r="65" spans="1:9" x14ac:dyDescent="0.25">
      <c r="A65" s="5">
        <v>44775</v>
      </c>
      <c r="B65" s="6">
        <v>19</v>
      </c>
      <c r="C65">
        <f t="shared" si="6"/>
        <v>72</v>
      </c>
      <c r="D65">
        <f t="shared" si="6"/>
        <v>99</v>
      </c>
      <c r="E65">
        <f t="shared" si="6"/>
        <v>68</v>
      </c>
      <c r="F65">
        <f t="shared" si="1"/>
        <v>600.48</v>
      </c>
      <c r="G65">
        <f t="shared" si="2"/>
        <v>627.66</v>
      </c>
      <c r="H65">
        <f t="shared" si="3"/>
        <v>499.12</v>
      </c>
      <c r="I65" s="12">
        <f t="shared" si="5"/>
        <v>129507.66000000006</v>
      </c>
    </row>
    <row r="66" spans="1:9" x14ac:dyDescent="0.25">
      <c r="A66" s="7">
        <v>44776</v>
      </c>
      <c r="B66" s="8">
        <v>21</v>
      </c>
      <c r="C66">
        <f t="shared" si="6"/>
        <v>79</v>
      </c>
      <c r="D66">
        <f t="shared" si="6"/>
        <v>107</v>
      </c>
      <c r="E66">
        <f t="shared" si="6"/>
        <v>72</v>
      </c>
      <c r="F66">
        <f t="shared" si="1"/>
        <v>658.86</v>
      </c>
      <c r="G66">
        <f t="shared" si="2"/>
        <v>678.38</v>
      </c>
      <c r="H66">
        <f t="shared" si="3"/>
        <v>528.48</v>
      </c>
      <c r="I66" s="12">
        <f t="shared" si="5"/>
        <v>131373.38000000006</v>
      </c>
    </row>
    <row r="67" spans="1:9" x14ac:dyDescent="0.25">
      <c r="A67" s="5">
        <v>44777</v>
      </c>
      <c r="B67" s="6">
        <v>26</v>
      </c>
      <c r="C67">
        <f t="shared" si="6"/>
        <v>96</v>
      </c>
      <c r="D67">
        <f t="shared" si="6"/>
        <v>128</v>
      </c>
      <c r="E67">
        <f t="shared" si="6"/>
        <v>84</v>
      </c>
      <c r="F67">
        <f t="shared" si="1"/>
        <v>800.64</v>
      </c>
      <c r="G67">
        <f t="shared" si="2"/>
        <v>811.52</v>
      </c>
      <c r="H67">
        <f t="shared" si="3"/>
        <v>616.55999999999995</v>
      </c>
      <c r="I67" s="12">
        <f t="shared" si="5"/>
        <v>133602.10000000006</v>
      </c>
    </row>
    <row r="68" spans="1:9" x14ac:dyDescent="0.25">
      <c r="A68" s="7">
        <v>44778</v>
      </c>
      <c r="B68" s="8">
        <v>19</v>
      </c>
      <c r="C68">
        <f t="shared" si="6"/>
        <v>72</v>
      </c>
      <c r="D68">
        <f t="shared" si="6"/>
        <v>99</v>
      </c>
      <c r="E68">
        <f t="shared" si="6"/>
        <v>68</v>
      </c>
      <c r="F68">
        <f t="shared" ref="F68:F96" si="7">C68*$F$1</f>
        <v>600.48</v>
      </c>
      <c r="G68">
        <f t="shared" ref="G68:G96" si="8">D68*$G$1</f>
        <v>627.66</v>
      </c>
      <c r="H68">
        <f t="shared" ref="H68:H96" si="9">E68*$H$1</f>
        <v>499.12</v>
      </c>
      <c r="I68" s="12">
        <f t="shared" si="5"/>
        <v>135329.36000000007</v>
      </c>
    </row>
    <row r="69" spans="1:9" x14ac:dyDescent="0.25">
      <c r="A69" s="5">
        <v>44779</v>
      </c>
      <c r="B69" s="6">
        <v>21</v>
      </c>
      <c r="C69">
        <f t="shared" ref="C69:E97" si="10">INT(C$3*(1+C$1*(($B69-24)/2)))</f>
        <v>79</v>
      </c>
      <c r="D69">
        <f t="shared" si="10"/>
        <v>107</v>
      </c>
      <c r="E69">
        <f t="shared" si="10"/>
        <v>72</v>
      </c>
      <c r="F69">
        <f t="shared" si="7"/>
        <v>658.86</v>
      </c>
      <c r="G69">
        <f t="shared" si="8"/>
        <v>678.38</v>
      </c>
      <c r="H69">
        <f t="shared" si="9"/>
        <v>528.48</v>
      </c>
      <c r="I69" s="12">
        <f t="shared" ref="I69:I124" si="11">SUM(F69:H69)+I68</f>
        <v>137195.08000000007</v>
      </c>
    </row>
    <row r="70" spans="1:9" x14ac:dyDescent="0.25">
      <c r="A70" s="7">
        <v>44780</v>
      </c>
      <c r="B70" s="8">
        <v>23</v>
      </c>
      <c r="C70">
        <f t="shared" si="10"/>
        <v>86</v>
      </c>
      <c r="D70">
        <f t="shared" si="10"/>
        <v>115</v>
      </c>
      <c r="E70">
        <f t="shared" si="10"/>
        <v>77</v>
      </c>
      <c r="F70">
        <f t="shared" si="7"/>
        <v>717.24</v>
      </c>
      <c r="G70">
        <f t="shared" si="8"/>
        <v>729.1</v>
      </c>
      <c r="H70">
        <f t="shared" si="9"/>
        <v>565.17999999999995</v>
      </c>
      <c r="I70" s="12">
        <f t="shared" si="11"/>
        <v>139206.60000000006</v>
      </c>
    </row>
    <row r="71" spans="1:9" x14ac:dyDescent="0.25">
      <c r="A71" s="5">
        <v>44781</v>
      </c>
      <c r="B71" s="6">
        <v>27</v>
      </c>
      <c r="C71">
        <f t="shared" si="10"/>
        <v>100</v>
      </c>
      <c r="D71">
        <f t="shared" si="10"/>
        <v>132</v>
      </c>
      <c r="E71">
        <f t="shared" si="10"/>
        <v>87</v>
      </c>
      <c r="F71">
        <f t="shared" si="7"/>
        <v>834</v>
      </c>
      <c r="G71">
        <f t="shared" si="8"/>
        <v>836.88</v>
      </c>
      <c r="H71">
        <f t="shared" si="9"/>
        <v>638.58000000000004</v>
      </c>
      <c r="I71" s="12">
        <f t="shared" si="11"/>
        <v>141516.06000000006</v>
      </c>
    </row>
    <row r="72" spans="1:9" x14ac:dyDescent="0.25">
      <c r="A72" s="7">
        <v>44782</v>
      </c>
      <c r="B72" s="8">
        <v>20</v>
      </c>
      <c r="C72">
        <f t="shared" si="10"/>
        <v>76</v>
      </c>
      <c r="D72">
        <f t="shared" si="10"/>
        <v>103</v>
      </c>
      <c r="E72">
        <f t="shared" si="10"/>
        <v>70</v>
      </c>
      <c r="F72">
        <f t="shared" si="7"/>
        <v>633.84</v>
      </c>
      <c r="G72">
        <f t="shared" si="8"/>
        <v>653.02</v>
      </c>
      <c r="H72">
        <f t="shared" si="9"/>
        <v>513.79999999999995</v>
      </c>
      <c r="I72" s="12">
        <f t="shared" si="11"/>
        <v>143316.72000000006</v>
      </c>
    </row>
    <row r="73" spans="1:9" x14ac:dyDescent="0.25">
      <c r="A73" s="5">
        <v>44783</v>
      </c>
      <c r="B73" s="6">
        <v>18</v>
      </c>
      <c r="C73">
        <f t="shared" si="10"/>
        <v>69</v>
      </c>
      <c r="D73">
        <f t="shared" si="10"/>
        <v>95</v>
      </c>
      <c r="E73">
        <f t="shared" si="10"/>
        <v>65</v>
      </c>
      <c r="F73">
        <f t="shared" si="7"/>
        <v>575.46</v>
      </c>
      <c r="G73">
        <f t="shared" si="8"/>
        <v>602.29999999999995</v>
      </c>
      <c r="H73">
        <f t="shared" si="9"/>
        <v>477.09999999999997</v>
      </c>
      <c r="I73" s="12">
        <f t="shared" si="11"/>
        <v>144971.58000000005</v>
      </c>
    </row>
    <row r="74" spans="1:9" x14ac:dyDescent="0.25">
      <c r="A74" s="7">
        <v>44784</v>
      </c>
      <c r="B74" s="8">
        <v>17</v>
      </c>
      <c r="C74">
        <f t="shared" si="10"/>
        <v>65</v>
      </c>
      <c r="D74">
        <f t="shared" si="10"/>
        <v>91</v>
      </c>
      <c r="E74">
        <f t="shared" si="10"/>
        <v>63</v>
      </c>
      <c r="F74">
        <f t="shared" si="7"/>
        <v>542.1</v>
      </c>
      <c r="G74">
        <f t="shared" si="8"/>
        <v>576.93999999999994</v>
      </c>
      <c r="H74">
        <f t="shared" si="9"/>
        <v>462.42</v>
      </c>
      <c r="I74" s="12">
        <f t="shared" si="11"/>
        <v>146553.04000000004</v>
      </c>
    </row>
    <row r="75" spans="1:9" x14ac:dyDescent="0.25">
      <c r="A75" s="5">
        <v>44785</v>
      </c>
      <c r="B75" s="6">
        <v>19</v>
      </c>
      <c r="C75">
        <f t="shared" si="10"/>
        <v>72</v>
      </c>
      <c r="D75">
        <f t="shared" si="10"/>
        <v>99</v>
      </c>
      <c r="E75">
        <f t="shared" si="10"/>
        <v>68</v>
      </c>
      <c r="F75">
        <f t="shared" si="7"/>
        <v>600.48</v>
      </c>
      <c r="G75">
        <f t="shared" si="8"/>
        <v>627.66</v>
      </c>
      <c r="H75">
        <f t="shared" si="9"/>
        <v>499.12</v>
      </c>
      <c r="I75" s="12">
        <f t="shared" si="11"/>
        <v>148280.30000000005</v>
      </c>
    </row>
    <row r="76" spans="1:9" x14ac:dyDescent="0.25">
      <c r="A76" s="7">
        <v>44786</v>
      </c>
      <c r="B76" s="8">
        <v>26</v>
      </c>
      <c r="C76">
        <f t="shared" si="10"/>
        <v>96</v>
      </c>
      <c r="D76">
        <f t="shared" si="10"/>
        <v>128</v>
      </c>
      <c r="E76">
        <f t="shared" si="10"/>
        <v>84</v>
      </c>
      <c r="F76">
        <f t="shared" si="7"/>
        <v>800.64</v>
      </c>
      <c r="G76">
        <f t="shared" si="8"/>
        <v>811.52</v>
      </c>
      <c r="H76">
        <f t="shared" si="9"/>
        <v>616.55999999999995</v>
      </c>
      <c r="I76" s="12">
        <f t="shared" si="11"/>
        <v>150509.02000000005</v>
      </c>
    </row>
    <row r="77" spans="1:9" x14ac:dyDescent="0.25">
      <c r="A77" s="5">
        <v>44787</v>
      </c>
      <c r="B77" s="6">
        <v>21</v>
      </c>
      <c r="C77">
        <f t="shared" si="10"/>
        <v>79</v>
      </c>
      <c r="D77">
        <f t="shared" si="10"/>
        <v>107</v>
      </c>
      <c r="E77">
        <f t="shared" si="10"/>
        <v>72</v>
      </c>
      <c r="F77">
        <f t="shared" si="7"/>
        <v>658.86</v>
      </c>
      <c r="G77">
        <f t="shared" si="8"/>
        <v>678.38</v>
      </c>
      <c r="H77">
        <f t="shared" si="9"/>
        <v>528.48</v>
      </c>
      <c r="I77" s="12">
        <f t="shared" si="11"/>
        <v>152374.74000000005</v>
      </c>
    </row>
    <row r="78" spans="1:9" x14ac:dyDescent="0.25">
      <c r="A78" s="7">
        <v>44788</v>
      </c>
      <c r="B78" s="8">
        <v>19</v>
      </c>
      <c r="C78">
        <f t="shared" si="10"/>
        <v>72</v>
      </c>
      <c r="D78">
        <f t="shared" si="10"/>
        <v>99</v>
      </c>
      <c r="E78">
        <f t="shared" si="10"/>
        <v>68</v>
      </c>
      <c r="F78">
        <f t="shared" si="7"/>
        <v>600.48</v>
      </c>
      <c r="G78">
        <f t="shared" si="8"/>
        <v>627.66</v>
      </c>
      <c r="H78">
        <f t="shared" si="9"/>
        <v>499.12</v>
      </c>
      <c r="I78" s="12">
        <f t="shared" si="11"/>
        <v>154102.00000000006</v>
      </c>
    </row>
    <row r="79" spans="1:9" x14ac:dyDescent="0.25">
      <c r="A79" s="5">
        <v>44789</v>
      </c>
      <c r="B79" s="6">
        <v>19</v>
      </c>
      <c r="C79">
        <f t="shared" si="10"/>
        <v>72</v>
      </c>
      <c r="D79">
        <f t="shared" si="10"/>
        <v>99</v>
      </c>
      <c r="E79">
        <f t="shared" si="10"/>
        <v>68</v>
      </c>
      <c r="F79">
        <f t="shared" si="7"/>
        <v>600.48</v>
      </c>
      <c r="G79">
        <f t="shared" si="8"/>
        <v>627.66</v>
      </c>
      <c r="H79">
        <f t="shared" si="9"/>
        <v>499.12</v>
      </c>
      <c r="I79" s="12">
        <f t="shared" si="11"/>
        <v>155829.26000000007</v>
      </c>
    </row>
    <row r="80" spans="1:9" x14ac:dyDescent="0.25">
      <c r="A80" s="7">
        <v>44790</v>
      </c>
      <c r="B80" s="8">
        <v>21</v>
      </c>
      <c r="C80">
        <f t="shared" si="10"/>
        <v>79</v>
      </c>
      <c r="D80">
        <f t="shared" si="10"/>
        <v>107</v>
      </c>
      <c r="E80">
        <f t="shared" si="10"/>
        <v>72</v>
      </c>
      <c r="F80">
        <f t="shared" si="7"/>
        <v>658.86</v>
      </c>
      <c r="G80">
        <f t="shared" si="8"/>
        <v>678.38</v>
      </c>
      <c r="H80">
        <f t="shared" si="9"/>
        <v>528.48</v>
      </c>
      <c r="I80" s="12">
        <f t="shared" si="11"/>
        <v>157694.98000000007</v>
      </c>
    </row>
    <row r="81" spans="1:10" x14ac:dyDescent="0.25">
      <c r="A81" s="5">
        <v>44791</v>
      </c>
      <c r="B81" s="6">
        <v>21</v>
      </c>
      <c r="C81">
        <f t="shared" si="10"/>
        <v>79</v>
      </c>
      <c r="D81">
        <f t="shared" si="10"/>
        <v>107</v>
      </c>
      <c r="E81">
        <f t="shared" si="10"/>
        <v>72</v>
      </c>
      <c r="F81">
        <f t="shared" si="7"/>
        <v>658.86</v>
      </c>
      <c r="G81">
        <f t="shared" si="8"/>
        <v>678.38</v>
      </c>
      <c r="H81">
        <f t="shared" si="9"/>
        <v>528.48</v>
      </c>
      <c r="I81" s="12">
        <f t="shared" si="11"/>
        <v>159560.70000000007</v>
      </c>
    </row>
    <row r="82" spans="1:10" x14ac:dyDescent="0.25">
      <c r="A82" s="7">
        <v>44792</v>
      </c>
      <c r="B82" s="8">
        <v>24</v>
      </c>
      <c r="C82">
        <f t="shared" si="10"/>
        <v>90</v>
      </c>
      <c r="D82">
        <f t="shared" si="10"/>
        <v>120</v>
      </c>
      <c r="E82">
        <f t="shared" si="10"/>
        <v>80</v>
      </c>
      <c r="F82">
        <f t="shared" si="7"/>
        <v>750.6</v>
      </c>
      <c r="G82">
        <f t="shared" si="8"/>
        <v>760.8</v>
      </c>
      <c r="H82">
        <f t="shared" si="9"/>
        <v>587.20000000000005</v>
      </c>
      <c r="I82" s="12">
        <f t="shared" si="11"/>
        <v>161659.30000000008</v>
      </c>
    </row>
    <row r="83" spans="1:10" x14ac:dyDescent="0.25">
      <c r="A83" s="5">
        <v>44793</v>
      </c>
      <c r="B83" s="6">
        <v>26</v>
      </c>
      <c r="C83">
        <f t="shared" si="10"/>
        <v>96</v>
      </c>
      <c r="D83">
        <f t="shared" si="10"/>
        <v>128</v>
      </c>
      <c r="E83">
        <f t="shared" si="10"/>
        <v>84</v>
      </c>
      <c r="F83">
        <f t="shared" si="7"/>
        <v>800.64</v>
      </c>
      <c r="G83">
        <f t="shared" si="8"/>
        <v>811.52</v>
      </c>
      <c r="H83">
        <f t="shared" si="9"/>
        <v>616.55999999999995</v>
      </c>
      <c r="I83" s="12">
        <f t="shared" si="11"/>
        <v>163888.02000000008</v>
      </c>
    </row>
    <row r="84" spans="1:10" x14ac:dyDescent="0.25">
      <c r="A84" s="7">
        <v>44794</v>
      </c>
      <c r="B84" s="8">
        <v>23</v>
      </c>
      <c r="C84">
        <f t="shared" si="10"/>
        <v>86</v>
      </c>
      <c r="D84">
        <f t="shared" si="10"/>
        <v>115</v>
      </c>
      <c r="E84">
        <f t="shared" si="10"/>
        <v>77</v>
      </c>
      <c r="F84">
        <f t="shared" si="7"/>
        <v>717.24</v>
      </c>
      <c r="G84">
        <f t="shared" si="8"/>
        <v>729.1</v>
      </c>
      <c r="H84">
        <f t="shared" si="9"/>
        <v>565.17999999999995</v>
      </c>
      <c r="I84" s="12">
        <f t="shared" si="11"/>
        <v>165899.54000000007</v>
      </c>
    </row>
    <row r="85" spans="1:10" x14ac:dyDescent="0.25">
      <c r="A85" s="5">
        <v>44795</v>
      </c>
      <c r="B85" s="6">
        <v>23</v>
      </c>
      <c r="C85">
        <f t="shared" si="10"/>
        <v>86</v>
      </c>
      <c r="D85">
        <f t="shared" si="10"/>
        <v>115</v>
      </c>
      <c r="E85">
        <f t="shared" si="10"/>
        <v>77</v>
      </c>
      <c r="F85">
        <f t="shared" si="7"/>
        <v>717.24</v>
      </c>
      <c r="G85">
        <f t="shared" si="8"/>
        <v>729.1</v>
      </c>
      <c r="H85">
        <f t="shared" si="9"/>
        <v>565.17999999999995</v>
      </c>
      <c r="I85" s="12">
        <f t="shared" si="11"/>
        <v>167911.06000000006</v>
      </c>
    </row>
    <row r="86" spans="1:10" x14ac:dyDescent="0.25">
      <c r="A86" s="7">
        <v>44796</v>
      </c>
      <c r="B86" s="8">
        <v>24</v>
      </c>
      <c r="C86">
        <f t="shared" si="10"/>
        <v>90</v>
      </c>
      <c r="D86">
        <f t="shared" si="10"/>
        <v>120</v>
      </c>
      <c r="E86">
        <f t="shared" si="10"/>
        <v>80</v>
      </c>
      <c r="F86">
        <f t="shared" si="7"/>
        <v>750.6</v>
      </c>
      <c r="G86">
        <f t="shared" si="8"/>
        <v>760.8</v>
      </c>
      <c r="H86">
        <f t="shared" si="9"/>
        <v>587.20000000000005</v>
      </c>
      <c r="I86" s="12">
        <f t="shared" si="11"/>
        <v>170009.66000000006</v>
      </c>
    </row>
    <row r="87" spans="1:10" x14ac:dyDescent="0.25">
      <c r="A87" s="5">
        <v>44797</v>
      </c>
      <c r="B87" s="6">
        <v>26</v>
      </c>
      <c r="C87">
        <f t="shared" si="10"/>
        <v>96</v>
      </c>
      <c r="D87">
        <f t="shared" si="10"/>
        <v>128</v>
      </c>
      <c r="E87">
        <f t="shared" si="10"/>
        <v>84</v>
      </c>
      <c r="F87">
        <f t="shared" si="7"/>
        <v>800.64</v>
      </c>
      <c r="G87">
        <f t="shared" si="8"/>
        <v>811.52</v>
      </c>
      <c r="H87">
        <f t="shared" si="9"/>
        <v>616.55999999999995</v>
      </c>
      <c r="I87" s="12">
        <f t="shared" si="11"/>
        <v>172238.38000000006</v>
      </c>
    </row>
    <row r="88" spans="1:10" x14ac:dyDescent="0.25">
      <c r="A88" s="7">
        <v>44798</v>
      </c>
      <c r="B88" s="8">
        <v>28</v>
      </c>
      <c r="C88">
        <f t="shared" si="10"/>
        <v>103</v>
      </c>
      <c r="D88">
        <f t="shared" si="10"/>
        <v>136</v>
      </c>
      <c r="E88">
        <f t="shared" si="10"/>
        <v>89</v>
      </c>
      <c r="F88">
        <f t="shared" si="7"/>
        <v>859.02</v>
      </c>
      <c r="G88">
        <f t="shared" si="8"/>
        <v>862.24</v>
      </c>
      <c r="H88">
        <f t="shared" si="9"/>
        <v>653.26</v>
      </c>
      <c r="I88" s="12">
        <f t="shared" si="11"/>
        <v>174612.90000000005</v>
      </c>
    </row>
    <row r="89" spans="1:10" x14ac:dyDescent="0.25">
      <c r="A89" s="5">
        <v>44799</v>
      </c>
      <c r="B89" s="6">
        <v>32</v>
      </c>
      <c r="C89">
        <f t="shared" si="10"/>
        <v>117</v>
      </c>
      <c r="D89">
        <f t="shared" si="10"/>
        <v>153</v>
      </c>
      <c r="E89">
        <f t="shared" si="10"/>
        <v>98</v>
      </c>
      <c r="F89">
        <f t="shared" si="7"/>
        <v>975.78</v>
      </c>
      <c r="G89">
        <f t="shared" si="8"/>
        <v>970.02</v>
      </c>
      <c r="H89">
        <f t="shared" si="9"/>
        <v>719.31999999999994</v>
      </c>
      <c r="I89" s="12">
        <f t="shared" si="11"/>
        <v>177278.02000000005</v>
      </c>
    </row>
    <row r="90" spans="1:10" x14ac:dyDescent="0.25">
      <c r="A90" s="7">
        <v>44800</v>
      </c>
      <c r="B90" s="8">
        <v>26</v>
      </c>
      <c r="C90">
        <f t="shared" si="10"/>
        <v>96</v>
      </c>
      <c r="D90">
        <f t="shared" si="10"/>
        <v>128</v>
      </c>
      <c r="E90">
        <f t="shared" si="10"/>
        <v>84</v>
      </c>
      <c r="F90">
        <f t="shared" si="7"/>
        <v>800.64</v>
      </c>
      <c r="G90">
        <f t="shared" si="8"/>
        <v>811.52</v>
      </c>
      <c r="H90">
        <f t="shared" si="9"/>
        <v>616.55999999999995</v>
      </c>
      <c r="I90" s="12">
        <f t="shared" si="11"/>
        <v>179506.74000000005</v>
      </c>
    </row>
    <row r="91" spans="1:10" x14ac:dyDescent="0.25">
      <c r="A91" s="5">
        <v>44801</v>
      </c>
      <c r="B91" s="6">
        <v>32</v>
      </c>
      <c r="C91">
        <f t="shared" si="10"/>
        <v>117</v>
      </c>
      <c r="D91">
        <f t="shared" si="10"/>
        <v>153</v>
      </c>
      <c r="E91">
        <f t="shared" si="10"/>
        <v>98</v>
      </c>
      <c r="F91">
        <f t="shared" si="7"/>
        <v>975.78</v>
      </c>
      <c r="G91">
        <f t="shared" si="8"/>
        <v>970.02</v>
      </c>
      <c r="H91">
        <f t="shared" si="9"/>
        <v>719.31999999999994</v>
      </c>
      <c r="I91" s="12">
        <f t="shared" si="11"/>
        <v>182171.86000000004</v>
      </c>
    </row>
    <row r="92" spans="1:10" x14ac:dyDescent="0.25">
      <c r="A92" s="7">
        <v>44802</v>
      </c>
      <c r="B92" s="8">
        <v>23</v>
      </c>
      <c r="C92">
        <f t="shared" si="10"/>
        <v>86</v>
      </c>
      <c r="D92">
        <f t="shared" si="10"/>
        <v>115</v>
      </c>
      <c r="E92">
        <f t="shared" si="10"/>
        <v>77</v>
      </c>
      <c r="F92">
        <f t="shared" si="7"/>
        <v>717.24</v>
      </c>
      <c r="G92">
        <f t="shared" si="8"/>
        <v>729.1</v>
      </c>
      <c r="H92">
        <f t="shared" si="9"/>
        <v>565.17999999999995</v>
      </c>
      <c r="I92" s="12">
        <f t="shared" si="11"/>
        <v>184183.38000000003</v>
      </c>
    </row>
    <row r="93" spans="1:10" x14ac:dyDescent="0.25">
      <c r="A93" s="5">
        <v>44803</v>
      </c>
      <c r="B93" s="6">
        <v>22</v>
      </c>
      <c r="C93">
        <f t="shared" si="10"/>
        <v>83</v>
      </c>
      <c r="D93">
        <f t="shared" si="10"/>
        <v>111</v>
      </c>
      <c r="E93">
        <f t="shared" si="10"/>
        <v>75</v>
      </c>
      <c r="F93">
        <f t="shared" si="7"/>
        <v>692.22</v>
      </c>
      <c r="G93">
        <f t="shared" si="8"/>
        <v>703.74</v>
      </c>
      <c r="H93">
        <f t="shared" si="9"/>
        <v>550.5</v>
      </c>
      <c r="I93" s="12">
        <f t="shared" si="11"/>
        <v>186129.84000000003</v>
      </c>
    </row>
    <row r="94" spans="1:10" x14ac:dyDescent="0.25">
      <c r="A94" s="9">
        <v>44804</v>
      </c>
      <c r="B94" s="2">
        <v>25</v>
      </c>
      <c r="C94">
        <f t="shared" si="10"/>
        <v>93</v>
      </c>
      <c r="D94">
        <f t="shared" si="10"/>
        <v>124</v>
      </c>
      <c r="E94">
        <f t="shared" si="10"/>
        <v>82</v>
      </c>
      <c r="F94">
        <f t="shared" si="7"/>
        <v>775.62</v>
      </c>
      <c r="G94">
        <f t="shared" si="8"/>
        <v>786.16</v>
      </c>
      <c r="H94">
        <f t="shared" si="9"/>
        <v>601.88</v>
      </c>
      <c r="I94" s="12">
        <f t="shared" si="11"/>
        <v>188293.50000000003</v>
      </c>
    </row>
    <row r="95" spans="1:10" x14ac:dyDescent="0.25">
      <c r="A95" s="5">
        <v>44805</v>
      </c>
      <c r="B95" s="15">
        <v>23</v>
      </c>
      <c r="C95">
        <f t="shared" si="10"/>
        <v>86</v>
      </c>
      <c r="D95">
        <f t="shared" si="10"/>
        <v>115</v>
      </c>
      <c r="E95">
        <f t="shared" si="10"/>
        <v>77</v>
      </c>
      <c r="F95">
        <f t="shared" si="7"/>
        <v>717.24</v>
      </c>
      <c r="G95">
        <f t="shared" si="8"/>
        <v>729.1</v>
      </c>
      <c r="H95">
        <f t="shared" si="9"/>
        <v>565.17999999999995</v>
      </c>
      <c r="I95" s="12">
        <f>SUM(F95:H95)</f>
        <v>2011.52</v>
      </c>
      <c r="J95">
        <v>1</v>
      </c>
    </row>
    <row r="96" spans="1:10" x14ac:dyDescent="0.25">
      <c r="A96" s="7">
        <v>44806</v>
      </c>
      <c r="B96">
        <f>IF(MOD(J96,2)=0,B95,B95-1)</f>
        <v>23</v>
      </c>
      <c r="C96">
        <f t="shared" si="10"/>
        <v>86</v>
      </c>
      <c r="D96">
        <f t="shared" si="10"/>
        <v>115</v>
      </c>
      <c r="E96">
        <f t="shared" si="10"/>
        <v>77</v>
      </c>
      <c r="F96">
        <f t="shared" si="7"/>
        <v>717.24</v>
      </c>
      <c r="G96">
        <f t="shared" si="8"/>
        <v>729.1</v>
      </c>
      <c r="H96">
        <f t="shared" si="9"/>
        <v>565.17999999999995</v>
      </c>
      <c r="I96" s="12">
        <f t="shared" ref="I96:I124" si="12">SUM(F96:H96)</f>
        <v>2011.52</v>
      </c>
      <c r="J96">
        <v>2</v>
      </c>
    </row>
    <row r="97" spans="1:14" x14ac:dyDescent="0.25">
      <c r="A97" s="5">
        <v>44807</v>
      </c>
      <c r="B97">
        <f t="shared" ref="B97:B124" si="13">IF(MOD(J97,2)=0,B96,B96-1)</f>
        <v>22</v>
      </c>
      <c r="C97">
        <f t="shared" si="10"/>
        <v>83</v>
      </c>
      <c r="D97">
        <f t="shared" si="10"/>
        <v>111</v>
      </c>
      <c r="E97">
        <f t="shared" si="10"/>
        <v>75</v>
      </c>
      <c r="F97">
        <f t="shared" ref="F97:F124" si="14">C97*$F$1</f>
        <v>692.22</v>
      </c>
      <c r="G97">
        <f t="shared" ref="G97:G124" si="15">D97*$G$1</f>
        <v>703.74</v>
      </c>
      <c r="H97">
        <f t="shared" ref="H97:H124" si="16">E97*$H$1</f>
        <v>550.5</v>
      </c>
      <c r="I97" s="12">
        <f t="shared" si="12"/>
        <v>1946.46</v>
      </c>
      <c r="J97">
        <v>3</v>
      </c>
    </row>
    <row r="98" spans="1:14" x14ac:dyDescent="0.25">
      <c r="A98" s="9">
        <v>44808</v>
      </c>
      <c r="B98">
        <f t="shared" si="13"/>
        <v>22</v>
      </c>
      <c r="C98">
        <f t="shared" ref="C98:E124" si="17">INT(C$3*(1+C$1*(($B98-24)/2)))</f>
        <v>83</v>
      </c>
      <c r="D98">
        <f t="shared" si="17"/>
        <v>111</v>
      </c>
      <c r="E98">
        <f t="shared" si="17"/>
        <v>75</v>
      </c>
      <c r="F98">
        <f t="shared" si="14"/>
        <v>692.22</v>
      </c>
      <c r="G98">
        <f t="shared" si="15"/>
        <v>703.74</v>
      </c>
      <c r="H98">
        <f t="shared" si="16"/>
        <v>550.5</v>
      </c>
      <c r="I98" s="12">
        <f t="shared" si="12"/>
        <v>1946.46</v>
      </c>
      <c r="J98">
        <v>4</v>
      </c>
    </row>
    <row r="99" spans="1:14" x14ac:dyDescent="0.25">
      <c r="A99" s="5">
        <v>44809</v>
      </c>
      <c r="B99">
        <f t="shared" si="13"/>
        <v>21</v>
      </c>
      <c r="C99">
        <f t="shared" si="17"/>
        <v>79</v>
      </c>
      <c r="D99">
        <f t="shared" si="17"/>
        <v>107</v>
      </c>
      <c r="E99">
        <f t="shared" si="17"/>
        <v>72</v>
      </c>
      <c r="F99">
        <f t="shared" si="14"/>
        <v>658.86</v>
      </c>
      <c r="G99">
        <f t="shared" si="15"/>
        <v>678.38</v>
      </c>
      <c r="H99">
        <f t="shared" si="16"/>
        <v>528.48</v>
      </c>
      <c r="I99" s="12">
        <f t="shared" si="12"/>
        <v>1865.72</v>
      </c>
      <c r="J99">
        <v>5</v>
      </c>
    </row>
    <row r="100" spans="1:14" x14ac:dyDescent="0.25">
      <c r="A100" s="7">
        <v>44810</v>
      </c>
      <c r="B100">
        <f t="shared" si="13"/>
        <v>21</v>
      </c>
      <c r="C100">
        <f t="shared" si="17"/>
        <v>79</v>
      </c>
      <c r="D100">
        <f t="shared" si="17"/>
        <v>107</v>
      </c>
      <c r="E100">
        <f t="shared" si="17"/>
        <v>72</v>
      </c>
      <c r="F100">
        <f t="shared" si="14"/>
        <v>658.86</v>
      </c>
      <c r="G100">
        <f t="shared" si="15"/>
        <v>678.38</v>
      </c>
      <c r="H100">
        <f t="shared" si="16"/>
        <v>528.48</v>
      </c>
      <c r="I100" s="12">
        <f t="shared" si="12"/>
        <v>1865.72</v>
      </c>
      <c r="J100">
        <v>6</v>
      </c>
    </row>
    <row r="101" spans="1:14" x14ac:dyDescent="0.25">
      <c r="A101" s="5">
        <v>44811</v>
      </c>
      <c r="B101">
        <f t="shared" si="13"/>
        <v>20</v>
      </c>
      <c r="C101">
        <f t="shared" si="17"/>
        <v>76</v>
      </c>
      <c r="D101">
        <f t="shared" si="17"/>
        <v>103</v>
      </c>
      <c r="E101">
        <f t="shared" si="17"/>
        <v>70</v>
      </c>
      <c r="F101">
        <f t="shared" si="14"/>
        <v>633.84</v>
      </c>
      <c r="G101">
        <f t="shared" si="15"/>
        <v>653.02</v>
      </c>
      <c r="H101">
        <f t="shared" si="16"/>
        <v>513.79999999999995</v>
      </c>
      <c r="I101" s="12">
        <f t="shared" si="12"/>
        <v>1800.66</v>
      </c>
      <c r="J101">
        <v>7</v>
      </c>
    </row>
    <row r="102" spans="1:14" x14ac:dyDescent="0.25">
      <c r="A102" s="9">
        <v>44812</v>
      </c>
      <c r="B102">
        <f t="shared" si="13"/>
        <v>20</v>
      </c>
      <c r="C102">
        <f t="shared" si="17"/>
        <v>76</v>
      </c>
      <c r="D102">
        <f t="shared" si="17"/>
        <v>103</v>
      </c>
      <c r="E102">
        <f t="shared" si="17"/>
        <v>70</v>
      </c>
      <c r="F102">
        <f t="shared" si="14"/>
        <v>633.84</v>
      </c>
      <c r="G102">
        <f t="shared" si="15"/>
        <v>653.02</v>
      </c>
      <c r="H102">
        <f t="shared" si="16"/>
        <v>513.79999999999995</v>
      </c>
      <c r="I102" s="12">
        <f t="shared" si="12"/>
        <v>1800.66</v>
      </c>
      <c r="J102">
        <v>8</v>
      </c>
    </row>
    <row r="103" spans="1:14" x14ac:dyDescent="0.25">
      <c r="A103" s="5">
        <v>44813</v>
      </c>
      <c r="B103">
        <f t="shared" si="13"/>
        <v>19</v>
      </c>
      <c r="C103">
        <f t="shared" si="17"/>
        <v>72</v>
      </c>
      <c r="D103">
        <f t="shared" si="17"/>
        <v>99</v>
      </c>
      <c r="E103">
        <f t="shared" si="17"/>
        <v>68</v>
      </c>
      <c r="F103">
        <f t="shared" si="14"/>
        <v>600.48</v>
      </c>
      <c r="G103">
        <f t="shared" si="15"/>
        <v>627.66</v>
      </c>
      <c r="H103">
        <f t="shared" si="16"/>
        <v>499.12</v>
      </c>
      <c r="I103" s="12">
        <f t="shared" si="12"/>
        <v>1727.2599999999998</v>
      </c>
      <c r="J103">
        <v>9</v>
      </c>
    </row>
    <row r="104" spans="1:14" x14ac:dyDescent="0.25">
      <c r="A104" s="7">
        <v>44814</v>
      </c>
      <c r="B104">
        <f t="shared" si="13"/>
        <v>19</v>
      </c>
      <c r="C104">
        <f t="shared" si="17"/>
        <v>72</v>
      </c>
      <c r="D104">
        <f t="shared" si="17"/>
        <v>99</v>
      </c>
      <c r="E104">
        <f t="shared" si="17"/>
        <v>68</v>
      </c>
      <c r="F104">
        <f t="shared" si="14"/>
        <v>600.48</v>
      </c>
      <c r="G104">
        <f t="shared" si="15"/>
        <v>627.66</v>
      </c>
      <c r="H104">
        <f t="shared" si="16"/>
        <v>499.12</v>
      </c>
      <c r="I104" s="12">
        <f t="shared" si="12"/>
        <v>1727.2599999999998</v>
      </c>
      <c r="J104">
        <v>10</v>
      </c>
    </row>
    <row r="105" spans="1:14" x14ac:dyDescent="0.25">
      <c r="A105" s="5">
        <v>44815</v>
      </c>
      <c r="B105">
        <f t="shared" si="13"/>
        <v>18</v>
      </c>
      <c r="C105">
        <f t="shared" si="17"/>
        <v>69</v>
      </c>
      <c r="D105">
        <f t="shared" si="17"/>
        <v>95</v>
      </c>
      <c r="E105">
        <f t="shared" si="17"/>
        <v>65</v>
      </c>
      <c r="F105">
        <f t="shared" si="14"/>
        <v>575.46</v>
      </c>
      <c r="G105">
        <f t="shared" si="15"/>
        <v>602.29999999999995</v>
      </c>
      <c r="H105">
        <f t="shared" si="16"/>
        <v>477.09999999999997</v>
      </c>
      <c r="I105" s="12">
        <f t="shared" si="12"/>
        <v>1654.86</v>
      </c>
      <c r="J105">
        <v>11</v>
      </c>
    </row>
    <row r="106" spans="1:14" x14ac:dyDescent="0.25">
      <c r="A106" s="9">
        <v>44816</v>
      </c>
      <c r="B106">
        <f t="shared" si="13"/>
        <v>18</v>
      </c>
      <c r="C106">
        <f t="shared" si="17"/>
        <v>69</v>
      </c>
      <c r="D106">
        <f t="shared" si="17"/>
        <v>95</v>
      </c>
      <c r="E106">
        <f t="shared" si="17"/>
        <v>65</v>
      </c>
      <c r="F106">
        <f t="shared" si="14"/>
        <v>575.46</v>
      </c>
      <c r="G106">
        <f t="shared" si="15"/>
        <v>602.29999999999995</v>
      </c>
      <c r="H106">
        <f t="shared" si="16"/>
        <v>477.09999999999997</v>
      </c>
      <c r="I106" s="12">
        <f t="shared" si="12"/>
        <v>1654.86</v>
      </c>
      <c r="J106">
        <v>12</v>
      </c>
    </row>
    <row r="107" spans="1:14" x14ac:dyDescent="0.25">
      <c r="A107" s="5">
        <v>44817</v>
      </c>
      <c r="B107">
        <f t="shared" si="13"/>
        <v>17</v>
      </c>
      <c r="C107">
        <f t="shared" si="17"/>
        <v>65</v>
      </c>
      <c r="D107">
        <f t="shared" si="17"/>
        <v>91</v>
      </c>
      <c r="E107">
        <f t="shared" si="17"/>
        <v>63</v>
      </c>
      <c r="F107">
        <f t="shared" si="14"/>
        <v>542.1</v>
      </c>
      <c r="G107">
        <f t="shared" si="15"/>
        <v>576.93999999999994</v>
      </c>
      <c r="H107">
        <f t="shared" si="16"/>
        <v>462.42</v>
      </c>
      <c r="I107" s="12">
        <f t="shared" si="12"/>
        <v>1581.46</v>
      </c>
      <c r="J107">
        <v>13</v>
      </c>
    </row>
    <row r="108" spans="1:14" x14ac:dyDescent="0.25">
      <c r="A108" s="7">
        <v>44818</v>
      </c>
      <c r="B108">
        <f t="shared" si="13"/>
        <v>17</v>
      </c>
      <c r="C108">
        <f t="shared" si="17"/>
        <v>65</v>
      </c>
      <c r="D108">
        <f t="shared" si="17"/>
        <v>91</v>
      </c>
      <c r="E108">
        <f t="shared" si="17"/>
        <v>63</v>
      </c>
      <c r="F108">
        <f t="shared" si="14"/>
        <v>542.1</v>
      </c>
      <c r="G108">
        <f t="shared" si="15"/>
        <v>576.93999999999994</v>
      </c>
      <c r="H108">
        <f t="shared" si="16"/>
        <v>462.42</v>
      </c>
      <c r="I108" s="12">
        <f t="shared" si="12"/>
        <v>1581.46</v>
      </c>
      <c r="J108">
        <v>14</v>
      </c>
      <c r="N108" t="s">
        <v>19</v>
      </c>
    </row>
    <row r="109" spans="1:14" x14ac:dyDescent="0.25">
      <c r="A109" s="5">
        <v>44819</v>
      </c>
      <c r="B109">
        <f t="shared" si="13"/>
        <v>16</v>
      </c>
      <c r="C109">
        <f t="shared" si="17"/>
        <v>62</v>
      </c>
      <c r="D109">
        <f t="shared" si="17"/>
        <v>86</v>
      </c>
      <c r="E109">
        <f t="shared" si="17"/>
        <v>61</v>
      </c>
      <c r="F109">
        <f t="shared" si="14"/>
        <v>517.08000000000004</v>
      </c>
      <c r="G109">
        <f t="shared" si="15"/>
        <v>545.24</v>
      </c>
      <c r="H109">
        <f t="shared" si="16"/>
        <v>447.74</v>
      </c>
      <c r="I109" s="12">
        <f t="shared" si="12"/>
        <v>1510.0600000000002</v>
      </c>
      <c r="J109">
        <v>15</v>
      </c>
      <c r="N109">
        <v>1.34</v>
      </c>
    </row>
    <row r="110" spans="1:14" x14ac:dyDescent="0.25">
      <c r="A110" s="9">
        <v>44820</v>
      </c>
      <c r="B110">
        <f t="shared" si="13"/>
        <v>16</v>
      </c>
      <c r="C110">
        <f t="shared" si="17"/>
        <v>62</v>
      </c>
      <c r="D110">
        <f t="shared" si="17"/>
        <v>86</v>
      </c>
      <c r="E110">
        <f t="shared" si="17"/>
        <v>61</v>
      </c>
      <c r="F110">
        <f t="shared" si="14"/>
        <v>517.08000000000004</v>
      </c>
      <c r="G110">
        <f t="shared" si="15"/>
        <v>545.24</v>
      </c>
      <c r="H110">
        <f t="shared" si="16"/>
        <v>447.74</v>
      </c>
      <c r="I110" s="12">
        <f t="shared" si="12"/>
        <v>1510.0600000000002</v>
      </c>
      <c r="J110">
        <v>16</v>
      </c>
    </row>
    <row r="111" spans="1:14" x14ac:dyDescent="0.25">
      <c r="A111" s="5">
        <v>44821</v>
      </c>
      <c r="B111">
        <f t="shared" si="13"/>
        <v>15</v>
      </c>
      <c r="C111">
        <f t="shared" si="17"/>
        <v>58</v>
      </c>
      <c r="D111">
        <f t="shared" si="17"/>
        <v>82</v>
      </c>
      <c r="E111">
        <f t="shared" si="17"/>
        <v>58</v>
      </c>
      <c r="F111">
        <f t="shared" si="14"/>
        <v>483.71999999999997</v>
      </c>
      <c r="G111">
        <f t="shared" si="15"/>
        <v>519.88</v>
      </c>
      <c r="H111">
        <f t="shared" si="16"/>
        <v>425.71999999999997</v>
      </c>
      <c r="I111" s="12">
        <f t="shared" si="12"/>
        <v>1429.32</v>
      </c>
      <c r="J111">
        <v>17</v>
      </c>
    </row>
    <row r="112" spans="1:14" x14ac:dyDescent="0.25">
      <c r="A112" s="7">
        <v>44822</v>
      </c>
      <c r="B112">
        <f t="shared" si="13"/>
        <v>15</v>
      </c>
      <c r="C112">
        <f t="shared" si="17"/>
        <v>58</v>
      </c>
      <c r="D112">
        <f t="shared" si="17"/>
        <v>82</v>
      </c>
      <c r="E112">
        <f t="shared" si="17"/>
        <v>58</v>
      </c>
      <c r="F112">
        <f t="shared" si="14"/>
        <v>483.71999999999997</v>
      </c>
      <c r="G112">
        <f t="shared" si="15"/>
        <v>519.88</v>
      </c>
      <c r="H112">
        <f t="shared" si="16"/>
        <v>425.71999999999997</v>
      </c>
      <c r="I112" s="12">
        <f t="shared" si="12"/>
        <v>1429.32</v>
      </c>
      <c r="J112">
        <v>18</v>
      </c>
    </row>
    <row r="113" spans="1:10" x14ac:dyDescent="0.25">
      <c r="A113" s="5">
        <v>44823</v>
      </c>
      <c r="B113">
        <f t="shared" si="13"/>
        <v>14</v>
      </c>
      <c r="C113">
        <f t="shared" si="17"/>
        <v>55</v>
      </c>
      <c r="D113">
        <f t="shared" si="17"/>
        <v>78</v>
      </c>
      <c r="E113">
        <f t="shared" si="17"/>
        <v>56</v>
      </c>
      <c r="F113">
        <f t="shared" si="14"/>
        <v>458.7</v>
      </c>
      <c r="G113">
        <f t="shared" si="15"/>
        <v>494.52</v>
      </c>
      <c r="H113">
        <f t="shared" si="16"/>
        <v>411.03999999999996</v>
      </c>
      <c r="I113" s="12">
        <f t="shared" si="12"/>
        <v>1364.26</v>
      </c>
      <c r="J113">
        <v>19</v>
      </c>
    </row>
    <row r="114" spans="1:10" x14ac:dyDescent="0.25">
      <c r="A114" s="9">
        <v>44824</v>
      </c>
      <c r="B114">
        <f t="shared" si="13"/>
        <v>14</v>
      </c>
      <c r="C114">
        <f t="shared" si="17"/>
        <v>55</v>
      </c>
      <c r="D114">
        <f t="shared" si="17"/>
        <v>78</v>
      </c>
      <c r="E114">
        <f t="shared" si="17"/>
        <v>56</v>
      </c>
      <c r="F114">
        <f t="shared" si="14"/>
        <v>458.7</v>
      </c>
      <c r="G114">
        <f t="shared" si="15"/>
        <v>494.52</v>
      </c>
      <c r="H114">
        <f t="shared" si="16"/>
        <v>411.03999999999996</v>
      </c>
      <c r="I114" s="12">
        <f t="shared" si="12"/>
        <v>1364.26</v>
      </c>
      <c r="J114">
        <v>20</v>
      </c>
    </row>
    <row r="115" spans="1:10" x14ac:dyDescent="0.25">
      <c r="A115" s="5">
        <v>44825</v>
      </c>
      <c r="B115">
        <f t="shared" si="13"/>
        <v>13</v>
      </c>
      <c r="C115">
        <f t="shared" si="17"/>
        <v>51</v>
      </c>
      <c r="D115">
        <f t="shared" si="17"/>
        <v>74</v>
      </c>
      <c r="E115">
        <f t="shared" si="17"/>
        <v>54</v>
      </c>
      <c r="F115">
        <f t="shared" si="14"/>
        <v>425.34</v>
      </c>
      <c r="G115">
        <f t="shared" si="15"/>
        <v>469.15999999999997</v>
      </c>
      <c r="H115">
        <f t="shared" si="16"/>
        <v>396.36</v>
      </c>
      <c r="I115" s="12">
        <f t="shared" si="12"/>
        <v>1290.8600000000001</v>
      </c>
      <c r="J115">
        <v>21</v>
      </c>
    </row>
    <row r="116" spans="1:10" x14ac:dyDescent="0.25">
      <c r="A116" s="7">
        <v>44826</v>
      </c>
      <c r="B116">
        <f t="shared" si="13"/>
        <v>13</v>
      </c>
      <c r="C116">
        <f t="shared" si="17"/>
        <v>51</v>
      </c>
      <c r="D116">
        <f t="shared" si="17"/>
        <v>74</v>
      </c>
      <c r="E116">
        <f t="shared" si="17"/>
        <v>54</v>
      </c>
      <c r="F116">
        <f t="shared" si="14"/>
        <v>425.34</v>
      </c>
      <c r="G116">
        <f t="shared" si="15"/>
        <v>469.15999999999997</v>
      </c>
      <c r="H116">
        <f t="shared" si="16"/>
        <v>396.36</v>
      </c>
      <c r="I116" s="12">
        <f t="shared" si="12"/>
        <v>1290.8600000000001</v>
      </c>
      <c r="J116">
        <v>22</v>
      </c>
    </row>
    <row r="117" spans="1:10" x14ac:dyDescent="0.25">
      <c r="A117" s="5">
        <v>44827</v>
      </c>
      <c r="B117">
        <f t="shared" si="13"/>
        <v>12</v>
      </c>
      <c r="C117">
        <f t="shared" si="17"/>
        <v>48</v>
      </c>
      <c r="D117">
        <f t="shared" si="17"/>
        <v>70</v>
      </c>
      <c r="E117">
        <f t="shared" si="17"/>
        <v>51</v>
      </c>
      <c r="F117">
        <f t="shared" si="14"/>
        <v>400.32</v>
      </c>
      <c r="G117">
        <f t="shared" si="15"/>
        <v>443.8</v>
      </c>
      <c r="H117">
        <f t="shared" si="16"/>
        <v>374.34</v>
      </c>
      <c r="I117" s="12">
        <f t="shared" si="12"/>
        <v>1218.46</v>
      </c>
      <c r="J117">
        <v>23</v>
      </c>
    </row>
    <row r="118" spans="1:10" x14ac:dyDescent="0.25">
      <c r="A118" s="9">
        <v>44828</v>
      </c>
      <c r="B118">
        <f t="shared" si="13"/>
        <v>12</v>
      </c>
      <c r="C118">
        <f t="shared" si="17"/>
        <v>48</v>
      </c>
      <c r="D118">
        <f t="shared" si="17"/>
        <v>70</v>
      </c>
      <c r="E118">
        <f t="shared" si="17"/>
        <v>51</v>
      </c>
      <c r="F118">
        <f t="shared" si="14"/>
        <v>400.32</v>
      </c>
      <c r="G118">
        <f t="shared" si="15"/>
        <v>443.8</v>
      </c>
      <c r="H118">
        <f t="shared" si="16"/>
        <v>374.34</v>
      </c>
      <c r="I118" s="12">
        <f t="shared" si="12"/>
        <v>1218.46</v>
      </c>
      <c r="J118">
        <v>24</v>
      </c>
    </row>
    <row r="119" spans="1:10" x14ac:dyDescent="0.25">
      <c r="A119" s="5">
        <v>44829</v>
      </c>
      <c r="B119">
        <f t="shared" si="13"/>
        <v>11</v>
      </c>
      <c r="C119">
        <f t="shared" si="17"/>
        <v>45</v>
      </c>
      <c r="D119">
        <f t="shared" si="17"/>
        <v>66</v>
      </c>
      <c r="E119">
        <f t="shared" si="17"/>
        <v>49</v>
      </c>
      <c r="F119">
        <f t="shared" si="14"/>
        <v>375.3</v>
      </c>
      <c r="G119">
        <f t="shared" si="15"/>
        <v>418.44</v>
      </c>
      <c r="H119">
        <f t="shared" si="16"/>
        <v>359.65999999999997</v>
      </c>
      <c r="I119" s="12">
        <f t="shared" si="12"/>
        <v>1153.4000000000001</v>
      </c>
      <c r="J119">
        <v>25</v>
      </c>
    </row>
    <row r="120" spans="1:10" x14ac:dyDescent="0.25">
      <c r="A120" s="7">
        <v>44830</v>
      </c>
      <c r="B120">
        <f t="shared" si="13"/>
        <v>11</v>
      </c>
      <c r="C120">
        <f t="shared" si="17"/>
        <v>45</v>
      </c>
      <c r="D120">
        <f t="shared" si="17"/>
        <v>66</v>
      </c>
      <c r="E120">
        <f t="shared" si="17"/>
        <v>49</v>
      </c>
      <c r="F120">
        <f t="shared" si="14"/>
        <v>375.3</v>
      </c>
      <c r="G120">
        <f t="shared" si="15"/>
        <v>418.44</v>
      </c>
      <c r="H120">
        <f t="shared" si="16"/>
        <v>359.65999999999997</v>
      </c>
      <c r="I120" s="12">
        <f t="shared" si="12"/>
        <v>1153.4000000000001</v>
      </c>
      <c r="J120">
        <v>26</v>
      </c>
    </row>
    <row r="121" spans="1:10" x14ac:dyDescent="0.25">
      <c r="A121" s="5">
        <v>44831</v>
      </c>
      <c r="B121">
        <f t="shared" si="13"/>
        <v>10</v>
      </c>
      <c r="C121">
        <f t="shared" si="17"/>
        <v>41</v>
      </c>
      <c r="D121">
        <f t="shared" si="17"/>
        <v>62</v>
      </c>
      <c r="E121">
        <f t="shared" si="17"/>
        <v>47</v>
      </c>
      <c r="F121">
        <f t="shared" si="14"/>
        <v>341.94</v>
      </c>
      <c r="G121">
        <f t="shared" si="15"/>
        <v>393.08</v>
      </c>
      <c r="H121">
        <f t="shared" si="16"/>
        <v>344.98</v>
      </c>
      <c r="I121" s="12">
        <f t="shared" si="12"/>
        <v>1080</v>
      </c>
      <c r="J121">
        <v>27</v>
      </c>
    </row>
    <row r="122" spans="1:10" x14ac:dyDescent="0.25">
      <c r="A122" s="9">
        <v>44832</v>
      </c>
      <c r="B122">
        <f t="shared" si="13"/>
        <v>10</v>
      </c>
      <c r="C122">
        <f t="shared" si="17"/>
        <v>41</v>
      </c>
      <c r="D122">
        <f t="shared" si="17"/>
        <v>62</v>
      </c>
      <c r="E122">
        <f t="shared" si="17"/>
        <v>47</v>
      </c>
      <c r="F122">
        <f t="shared" si="14"/>
        <v>341.94</v>
      </c>
      <c r="G122">
        <f t="shared" si="15"/>
        <v>393.08</v>
      </c>
      <c r="H122">
        <f t="shared" si="16"/>
        <v>344.98</v>
      </c>
      <c r="I122" s="12">
        <f t="shared" si="12"/>
        <v>1080</v>
      </c>
      <c r="J122">
        <v>28</v>
      </c>
    </row>
    <row r="123" spans="1:10" x14ac:dyDescent="0.25">
      <c r="A123" s="5">
        <v>44833</v>
      </c>
      <c r="B123">
        <f t="shared" si="13"/>
        <v>9</v>
      </c>
      <c r="C123">
        <f t="shared" si="17"/>
        <v>38</v>
      </c>
      <c r="D123">
        <f t="shared" si="17"/>
        <v>57</v>
      </c>
      <c r="E123">
        <f t="shared" si="17"/>
        <v>44</v>
      </c>
      <c r="F123">
        <f t="shared" si="14"/>
        <v>316.92</v>
      </c>
      <c r="G123">
        <f t="shared" si="15"/>
        <v>361.38</v>
      </c>
      <c r="H123">
        <f t="shared" si="16"/>
        <v>322.95999999999998</v>
      </c>
      <c r="I123" s="12">
        <f t="shared" si="12"/>
        <v>1001.26</v>
      </c>
      <c r="J123">
        <v>29</v>
      </c>
    </row>
    <row r="124" spans="1:10" x14ac:dyDescent="0.25">
      <c r="A124" s="7">
        <v>44834</v>
      </c>
      <c r="B124">
        <f t="shared" si="13"/>
        <v>9</v>
      </c>
      <c r="C124">
        <f t="shared" si="17"/>
        <v>38</v>
      </c>
      <c r="D124">
        <f t="shared" si="17"/>
        <v>57</v>
      </c>
      <c r="E124">
        <f t="shared" si="17"/>
        <v>44</v>
      </c>
      <c r="F124">
        <f t="shared" si="14"/>
        <v>316.92</v>
      </c>
      <c r="G124">
        <f t="shared" si="15"/>
        <v>361.38</v>
      </c>
      <c r="H124">
        <f t="shared" si="16"/>
        <v>322.95999999999998</v>
      </c>
      <c r="I124" s="12">
        <f t="shared" si="12"/>
        <v>1001.26</v>
      </c>
      <c r="J124">
        <v>30</v>
      </c>
    </row>
  </sheetData>
  <conditionalFormatting sqref="I95:I124">
    <cfRule type="cellIs" dxfId="1" priority="1" operator="greaterThan">
      <formula>1000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FC0CA7-BFF3-491B-92C0-E00B5AAD2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temperatury</vt:lpstr>
      <vt:lpstr>5.1</vt:lpstr>
      <vt:lpstr>5.2</vt:lpstr>
      <vt:lpstr>5.3</vt:lpstr>
      <vt:lpstr>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Starosta</dc:creator>
  <cp:lastModifiedBy>Bartlomiej Starosta</cp:lastModifiedBy>
  <dcterms:created xsi:type="dcterms:W3CDTF">2015-06-05T18:19:34Z</dcterms:created>
  <dcterms:modified xsi:type="dcterms:W3CDTF">2026-01-07T19:39:46Z</dcterms:modified>
</cp:coreProperties>
</file>